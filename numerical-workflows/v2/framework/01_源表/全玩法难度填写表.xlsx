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数值文档\数值文档\框架v2\01_源表\"/>
    </mc:Choice>
  </mc:AlternateContent>
  <bookViews>
    <workbookView/>
  </bookViews>
  <sheets>
    <sheet name="使用说明" sheetId="1" r:id="rId1"/>
    <sheet name="玩法汇总" sheetId="2" r:id="rId2"/>
    <sheet name="主线" sheetId="3" r:id="rId3"/>
    <sheet name="困难主线" sheetId="4" r:id="rId4"/>
    <sheet name="角色经验" sheetId="5" r:id="rId5"/>
    <sheet name="金币" sheetId="6" r:id="rId6"/>
    <sheet name="收容经验" sheetId="7" r:id="rId7"/>
    <sheet name="旅券" sheetId="8" r:id="rId8"/>
    <sheet name="映射" sheetId="9" r:id="rId9"/>
    <sheet name="爬塔" sheetId="10" r:id="rId10"/>
    <sheet name="Boss挑战" sheetId="11" r:id="rId11"/>
    <sheet name="肉鸽" sheetId="12" r:id="rId12"/>
    <sheet name="大秘境" sheetId="13" r:id="rId13"/>
    <sheet name="PVPVE" sheetId="14" r:id="rId14"/>
    <sheet name="_玩家曲线" sheetId="15" state="veryHidden" r:id="rId15"/>
    <sheet name="_怪物模型" sheetId="16" state="veryHidden" r:id="rId16"/>
    <sheet name="_字典" sheetId="17" state="veryHidden" r:id="rId17"/>
  </sheets>
  <definedNames>
    <definedName name="_xlnm.Print_Titles" localSheetId="2">主线!$1:$4</definedName>
    <definedName name="_xlnm.Print_Area" localSheetId="2">主线!$A$1:$AD$103</definedName>
    <definedName name="_xlnm.Print_Titles" localSheetId="3">困难主线!$1:$4</definedName>
    <definedName name="_xlnm.Print_Area" localSheetId="3">困难主线!$A$1:$AD$39</definedName>
    <definedName name="_xlnm.Print_Titles" localSheetId="4">角色经验!$1:$4</definedName>
    <definedName name="_xlnm.Print_Area" localSheetId="4">角色经验!$A$1:$AD$13</definedName>
    <definedName name="_xlnm.Print_Titles" localSheetId="5">金币!$1:$4</definedName>
    <definedName name="_xlnm.Print_Area" localSheetId="5">金币!$A$1:$AD$13</definedName>
    <definedName name="_xlnm.Print_Titles" localSheetId="6">收容经验!$1:$4</definedName>
    <definedName name="_xlnm.Print_Area" localSheetId="6">收容经验!$A$1:$AD$13</definedName>
    <definedName name="_xlnm.Print_Titles" localSheetId="7">旅券!$1:$4</definedName>
    <definedName name="_xlnm.Print_Area" localSheetId="7">旅券!$A$1:$AD$14</definedName>
    <definedName name="_xlnm.Print_Titles" localSheetId="8">映射!$1:$4</definedName>
    <definedName name="_xlnm.Print_Area" localSheetId="8">映射!$A$1:$AD$34</definedName>
    <definedName name="_xlnm.Print_Titles" localSheetId="9">爬塔!$1:$4</definedName>
    <definedName name="_xlnm.Print_Area" localSheetId="9">爬塔!$A$1:$AD$104</definedName>
    <definedName name="_xlnm.Print_Titles" localSheetId="10">Boss挑战!$1:$4</definedName>
    <definedName name="_xlnm.Print_Area" localSheetId="10">Boss挑战!$A$1:$AD$14</definedName>
    <definedName name="_xlnm.Print_Titles" localSheetId="11">肉鸽!$1:$4</definedName>
    <definedName name="_xlnm.Print_Area" localSheetId="11">肉鸽!$A$1:$AD$9</definedName>
    <definedName name="_xlnm.Print_Titles" localSheetId="12">大秘境!$1:$4</definedName>
    <definedName name="_xlnm.Print_Area" localSheetId="12">大秘境!$A$1:$AD$29</definedName>
    <definedName name="_xlnm.Print_Titles" localSheetId="13">PVPVE!$1:$4</definedName>
    <definedName name="_xlnm.Print_Area" localSheetId="13">PVPVE!$A$1:$AD$6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Codex</author>
  </authors>
  <commentList>
    <comment ref="E4" authorId="0">
      <text>
        <r>
          <rPr>
            <sz val="10"/>
            <rFont val="宋体"/>
            <charset val="134"/>
          </rPr>
          <t>同一行可映射多个配置LevelId；表示这些关卡共用同一档怪物等级。</t>
        </r>
      </text>
    </comment>
    <comment ref="F4" authorId="0">
      <text>
        <r>
          <rPr>
            <sz val="10"/>
            <rFont val="宋体"/>
            <charset val="134"/>
          </rPr>
          <t>选择战斗公式怪物标准模型中的怪物类型；主表已按玩法内容给出默认类型。</t>
        </r>
      </text>
    </comment>
    <comment ref="G4" authorId="0">
      <text>
        <r>
          <rPr>
            <sz val="10"/>
            <rFont val="宋体"/>
            <charset val="134"/>
          </rPr>
          <t>主线使用同关玩家快照；其他玩法使用开放节点或共用档位的默认快照。</t>
        </r>
      </text>
    </comment>
    <comment ref="H4" authorId="0">
      <text>
        <r>
          <rPr>
            <sz val="10"/>
            <rFont val="宋体"/>
            <charset val="134"/>
          </rPr>
          <t>可选覆盖。填1-285；留空时使用G列默认对照关卡。</t>
        </r>
      </text>
    </comment>
    <comment ref="J4" authorId="0">
      <text>
        <r>
          <rPr>
            <sz val="10"/>
            <rFont val="宋体"/>
            <charset val="134"/>
          </rPr>
          <t>主要输入项。填战斗公式“怪物标准模型”的Lv1-Lv500整数等级。</t>
        </r>
      </text>
    </comment>
    <comment ref="N4" authorId="0">
      <text>
        <r>
          <rPr>
            <sz val="10"/>
            <rFont val="宋体"/>
            <charset val="134"/>
          </rPr>
          <t>整关所有敌人/波次总EHP相对一只标准怪EHP的倍数；留空按1。</t>
        </r>
      </text>
    </comment>
    <comment ref="O4" authorId="0">
      <text>
        <r>
          <rPr>
            <sz val="10"/>
            <rFont val="宋体"/>
            <charset val="134"/>
          </rPr>
          <t>用来近似多怪同时攻击、技能频率等压力；留空按1。</t>
        </r>
      </text>
    </comment>
    <comment ref="P4" authorId="0">
      <text>
        <r>
          <rPr>
            <sz val="10"/>
            <rFont val="宋体"/>
            <charset val="134"/>
          </rPr>
          <t>可选目标TTK/目标通关时间。填写后AA列才会给出简单/适中/困难判断。</t>
        </r>
      </text>
    </comment>
    <comment ref="X4" authorId="0">
      <text>
        <r>
          <rPr>
            <sz val="10"/>
            <rFont val="宋体"/>
            <charset val="134"/>
          </rPr>
          <t>整关目标EHP÷玩家DPS。N列为空时等于一只标准怪的TTK。</t>
        </r>
      </text>
    </comment>
    <comment ref="Y4" authorId="0">
      <text>
        <r>
          <rPr>
            <sz val="10"/>
            <rFont val="宋体"/>
            <charset val="134"/>
          </rPr>
          <t>玩家队伍EHP÷(怪物实际攻击×攻击压力倍率)，仅作生存压力近似。</t>
        </r>
      </text>
    </comment>
  </commentList>
</comments>
</file>

<file path=xl/comments2.xml><?xml version="1.0" encoding="utf-8"?>
<comments xmlns="http://schemas.openxmlformats.org/spreadsheetml/2006/main">
  <authors>
    <author>Codex</author>
  </authors>
  <commentList>
    <comment ref="E4" authorId="0">
      <text>
        <r>
          <rPr>
            <sz val="10"/>
            <rFont val="宋体"/>
            <charset val="134"/>
          </rPr>
          <t>同一行可映射多个配置LevelId；表示这些关卡共用同一档怪物等级。</t>
        </r>
      </text>
    </comment>
    <comment ref="F4" authorId="0">
      <text>
        <r>
          <rPr>
            <sz val="10"/>
            <rFont val="宋体"/>
            <charset val="134"/>
          </rPr>
          <t>选择战斗公式怪物标准模型中的怪物类型；主表已按玩法内容给出默认类型。</t>
        </r>
      </text>
    </comment>
    <comment ref="G4" authorId="0">
      <text>
        <r>
          <rPr>
            <sz val="10"/>
            <rFont val="宋体"/>
            <charset val="134"/>
          </rPr>
          <t>主线使用同关玩家快照；其他玩法使用开放节点或共用档位的默认快照。</t>
        </r>
      </text>
    </comment>
    <comment ref="H4" authorId="0">
      <text>
        <r>
          <rPr>
            <sz val="10"/>
            <rFont val="宋体"/>
            <charset val="134"/>
          </rPr>
          <t>可选覆盖。填1-285；留空时使用G列默认对照关卡。</t>
        </r>
      </text>
    </comment>
    <comment ref="J4" authorId="0">
      <text>
        <r>
          <rPr>
            <sz val="10"/>
            <rFont val="宋体"/>
            <charset val="134"/>
          </rPr>
          <t>主要输入项。填战斗公式“怪物标准模型”的Lv1-Lv500整数等级。</t>
        </r>
      </text>
    </comment>
    <comment ref="N4" authorId="0">
      <text>
        <r>
          <rPr>
            <sz val="10"/>
            <rFont val="宋体"/>
            <charset val="134"/>
          </rPr>
          <t>整关所有敌人/波次总EHP相对一只标准怪EHP的倍数；留空按1。</t>
        </r>
      </text>
    </comment>
    <comment ref="O4" authorId="0">
      <text>
        <r>
          <rPr>
            <sz val="10"/>
            <rFont val="宋体"/>
            <charset val="134"/>
          </rPr>
          <t>用来近似多怪同时攻击、技能频率等压力；留空按1。</t>
        </r>
      </text>
    </comment>
    <comment ref="P4" authorId="0">
      <text>
        <r>
          <rPr>
            <sz val="10"/>
            <rFont val="宋体"/>
            <charset val="134"/>
          </rPr>
          <t>可选目标TTK/目标通关时间。填写后AA列才会给出简单/适中/困难判断。</t>
        </r>
      </text>
    </comment>
    <comment ref="X4" authorId="0">
      <text>
        <r>
          <rPr>
            <sz val="10"/>
            <rFont val="宋体"/>
            <charset val="134"/>
          </rPr>
          <t>整关目标EHP÷玩家DPS。N列为空时等于一只标准怪的TTK。</t>
        </r>
      </text>
    </comment>
    <comment ref="Y4" authorId="0">
      <text>
        <r>
          <rPr>
            <sz val="10"/>
            <rFont val="宋体"/>
            <charset val="134"/>
          </rPr>
          <t>玩家队伍EHP÷(怪物实际攻击×攻击压力倍率)，仅作生存压力近似。</t>
        </r>
      </text>
    </comment>
  </commentList>
</comments>
</file>

<file path=xl/comments3.xml><?xml version="1.0" encoding="utf-8"?>
<comments xmlns="http://schemas.openxmlformats.org/spreadsheetml/2006/main">
  <authors>
    <author>Codex</author>
  </authors>
  <commentList>
    <comment ref="E4" authorId="0">
      <text>
        <r>
          <rPr>
            <sz val="10"/>
            <rFont val="宋体"/>
            <charset val="134"/>
          </rPr>
          <t>同一行可映射多个配置LevelId；表示这些关卡共用同一档怪物等级。</t>
        </r>
      </text>
    </comment>
    <comment ref="F4" authorId="0">
      <text>
        <r>
          <rPr>
            <sz val="10"/>
            <rFont val="宋体"/>
            <charset val="134"/>
          </rPr>
          <t>选择战斗公式怪物标准模型中的怪物类型；主表已按玩法内容给出默认类型。</t>
        </r>
      </text>
    </comment>
    <comment ref="G4" authorId="0">
      <text>
        <r>
          <rPr>
            <sz val="10"/>
            <rFont val="宋体"/>
            <charset val="134"/>
          </rPr>
          <t>主线使用同关玩家快照；其他玩法使用开放节点或共用档位的默认快照。</t>
        </r>
      </text>
    </comment>
    <comment ref="H4" authorId="0">
      <text>
        <r>
          <rPr>
            <sz val="10"/>
            <rFont val="宋体"/>
            <charset val="134"/>
          </rPr>
          <t>可选覆盖。填1-285；留空时使用G列默认对照关卡。</t>
        </r>
      </text>
    </comment>
    <comment ref="J4" authorId="0">
      <text>
        <r>
          <rPr>
            <sz val="10"/>
            <rFont val="宋体"/>
            <charset val="134"/>
          </rPr>
          <t>主要输入项。填战斗公式“怪物标准模型”的Lv1-Lv500整数等级。</t>
        </r>
      </text>
    </comment>
    <comment ref="N4" authorId="0">
      <text>
        <r>
          <rPr>
            <sz val="10"/>
            <rFont val="宋体"/>
            <charset val="134"/>
          </rPr>
          <t>整关所有敌人/波次总EHP相对一只标准怪EHP的倍数；留空按1。</t>
        </r>
      </text>
    </comment>
    <comment ref="O4" authorId="0">
      <text>
        <r>
          <rPr>
            <sz val="10"/>
            <rFont val="宋体"/>
            <charset val="134"/>
          </rPr>
          <t>用来近似多怪同时攻击、技能频率等压力；留空按1。</t>
        </r>
      </text>
    </comment>
    <comment ref="P4" authorId="0">
      <text>
        <r>
          <rPr>
            <sz val="10"/>
            <rFont val="宋体"/>
            <charset val="134"/>
          </rPr>
          <t>可选目标TTK/目标通关时间。填写后AA列才会给出简单/适中/困难判断。</t>
        </r>
      </text>
    </comment>
    <comment ref="X4" authorId="0">
      <text>
        <r>
          <rPr>
            <sz val="10"/>
            <rFont val="宋体"/>
            <charset val="134"/>
          </rPr>
          <t>整关目标EHP÷玩家DPS。N列为空时等于一只标准怪的TTK。</t>
        </r>
      </text>
    </comment>
    <comment ref="Y4" authorId="0">
      <text>
        <r>
          <rPr>
            <sz val="10"/>
            <rFont val="宋体"/>
            <charset val="134"/>
          </rPr>
          <t>玩家队伍EHP÷(怪物实际攻击×攻击压力倍率)，仅作生存压力近似。</t>
        </r>
      </text>
    </comment>
  </commentList>
</comments>
</file>

<file path=xl/comments4.xml><?xml version="1.0" encoding="utf-8"?>
<comments xmlns="http://schemas.openxmlformats.org/spreadsheetml/2006/main">
  <authors>
    <author>Codex</author>
  </authors>
  <commentList>
    <comment ref="E4" authorId="0">
      <text>
        <r>
          <rPr>
            <sz val="10"/>
            <rFont val="宋体"/>
            <charset val="134"/>
          </rPr>
          <t>同一行可映射多个配置LevelId；表示这些关卡共用同一档怪物等级。</t>
        </r>
      </text>
    </comment>
    <comment ref="F4" authorId="0">
      <text>
        <r>
          <rPr>
            <sz val="10"/>
            <rFont val="宋体"/>
            <charset val="134"/>
          </rPr>
          <t>选择战斗公式怪物标准模型中的怪物类型；主表已按玩法内容给出默认类型。</t>
        </r>
      </text>
    </comment>
    <comment ref="G4" authorId="0">
      <text>
        <r>
          <rPr>
            <sz val="10"/>
            <rFont val="宋体"/>
            <charset val="134"/>
          </rPr>
          <t>主线使用同关玩家快照；其他玩法使用开放节点或共用档位的默认快照。</t>
        </r>
      </text>
    </comment>
    <comment ref="H4" authorId="0">
      <text>
        <r>
          <rPr>
            <sz val="10"/>
            <rFont val="宋体"/>
            <charset val="134"/>
          </rPr>
          <t>可选覆盖。填1-285；留空时使用G列默认对照关卡。</t>
        </r>
      </text>
    </comment>
    <comment ref="J4" authorId="0">
      <text>
        <r>
          <rPr>
            <sz val="10"/>
            <rFont val="宋体"/>
            <charset val="134"/>
          </rPr>
          <t>主要输入项。填战斗公式“怪物标准模型”的Lv1-Lv500整数等级。</t>
        </r>
      </text>
    </comment>
    <comment ref="N4" authorId="0">
      <text>
        <r>
          <rPr>
            <sz val="10"/>
            <rFont val="宋体"/>
            <charset val="134"/>
          </rPr>
          <t>整关所有敌人/波次总EHP相对一只标准怪EHP的倍数；留空按1。</t>
        </r>
      </text>
    </comment>
    <comment ref="O4" authorId="0">
      <text>
        <r>
          <rPr>
            <sz val="10"/>
            <rFont val="宋体"/>
            <charset val="134"/>
          </rPr>
          <t>用来近似多怪同时攻击、技能频率等压力；留空按1。</t>
        </r>
      </text>
    </comment>
    <comment ref="P4" authorId="0">
      <text>
        <r>
          <rPr>
            <sz val="10"/>
            <rFont val="宋体"/>
            <charset val="134"/>
          </rPr>
          <t>可选目标TTK/目标通关时间。填写后AA列才会给出简单/适中/困难判断。</t>
        </r>
      </text>
    </comment>
    <comment ref="X4" authorId="0">
      <text>
        <r>
          <rPr>
            <sz val="10"/>
            <rFont val="宋体"/>
            <charset val="134"/>
          </rPr>
          <t>整关目标EHP÷玩家DPS。N列为空时等于一只标准怪的TTK。</t>
        </r>
      </text>
    </comment>
    <comment ref="Y4" authorId="0">
      <text>
        <r>
          <rPr>
            <sz val="10"/>
            <rFont val="宋体"/>
            <charset val="134"/>
          </rPr>
          <t>玩家队伍EHP÷(怪物实际攻击×攻击压力倍率)，仅作生存压力近似。</t>
        </r>
      </text>
    </comment>
  </commentList>
</comments>
</file>

<file path=xl/comments5.xml><?xml version="1.0" encoding="utf-8"?>
<comments xmlns="http://schemas.openxmlformats.org/spreadsheetml/2006/main">
  <authors>
    <author>Codex</author>
  </authors>
  <commentList>
    <comment ref="E4" authorId="0">
      <text>
        <r>
          <rPr>
            <sz val="10"/>
            <rFont val="宋体"/>
            <charset val="134"/>
          </rPr>
          <t>同一行可映射多个配置LevelId；表示这些关卡共用同一档怪物等级。</t>
        </r>
      </text>
    </comment>
    <comment ref="F4" authorId="0">
      <text>
        <r>
          <rPr>
            <sz val="10"/>
            <rFont val="宋体"/>
            <charset val="134"/>
          </rPr>
          <t>选择战斗公式怪物标准模型中的怪物类型；主表已按玩法内容给出默认类型。</t>
        </r>
      </text>
    </comment>
    <comment ref="G4" authorId="0">
      <text>
        <r>
          <rPr>
            <sz val="10"/>
            <rFont val="宋体"/>
            <charset val="134"/>
          </rPr>
          <t>主线使用同关玩家快照；其他玩法使用开放节点或共用档位的默认快照。</t>
        </r>
      </text>
    </comment>
    <comment ref="H4" authorId="0">
      <text>
        <r>
          <rPr>
            <sz val="10"/>
            <rFont val="宋体"/>
            <charset val="134"/>
          </rPr>
          <t>可选覆盖。填1-285；留空时使用G列默认对照关卡。</t>
        </r>
      </text>
    </comment>
    <comment ref="J4" authorId="0">
      <text>
        <r>
          <rPr>
            <sz val="10"/>
            <rFont val="宋体"/>
            <charset val="134"/>
          </rPr>
          <t>主要输入项。填战斗公式“怪物标准模型”的Lv1-Lv500整数等级。</t>
        </r>
      </text>
    </comment>
    <comment ref="N4" authorId="0">
      <text>
        <r>
          <rPr>
            <sz val="10"/>
            <rFont val="宋体"/>
            <charset val="134"/>
          </rPr>
          <t>整关所有敌人/波次总EHP相对一只标准怪EHP的倍数；留空按1。</t>
        </r>
      </text>
    </comment>
    <comment ref="O4" authorId="0">
      <text>
        <r>
          <rPr>
            <sz val="10"/>
            <rFont val="宋体"/>
            <charset val="134"/>
          </rPr>
          <t>用来近似多怪同时攻击、技能频率等压力；留空按1。</t>
        </r>
      </text>
    </comment>
    <comment ref="P4" authorId="0">
      <text>
        <r>
          <rPr>
            <sz val="10"/>
            <rFont val="宋体"/>
            <charset val="134"/>
          </rPr>
          <t>可选目标TTK/目标通关时间。填写后AA列才会给出简单/适中/困难判断。</t>
        </r>
      </text>
    </comment>
    <comment ref="X4" authorId="0">
      <text>
        <r>
          <rPr>
            <sz val="10"/>
            <rFont val="宋体"/>
            <charset val="134"/>
          </rPr>
          <t>整关目标EHP÷玩家DPS。N列为空时等于一只标准怪的TTK。</t>
        </r>
      </text>
    </comment>
    <comment ref="Y4" authorId="0">
      <text>
        <r>
          <rPr>
            <sz val="10"/>
            <rFont val="宋体"/>
            <charset val="134"/>
          </rPr>
          <t>玩家队伍EHP÷(怪物实际攻击×攻击压力倍率)，仅作生存压力近似。</t>
        </r>
      </text>
    </comment>
  </commentList>
</comments>
</file>

<file path=xl/comments6.xml><?xml version="1.0" encoding="utf-8"?>
<comments xmlns="http://schemas.openxmlformats.org/spreadsheetml/2006/main">
  <authors>
    <author>Codex</author>
  </authors>
  <commentList>
    <comment ref="E4" authorId="0">
      <text>
        <r>
          <rPr>
            <sz val="10"/>
            <rFont val="宋体"/>
            <charset val="134"/>
          </rPr>
          <t>同一行可映射多个配置LevelId；表示这些关卡共用同一档怪物等级。</t>
        </r>
      </text>
    </comment>
    <comment ref="F4" authorId="0">
      <text>
        <r>
          <rPr>
            <sz val="10"/>
            <rFont val="宋体"/>
            <charset val="134"/>
          </rPr>
          <t>选择战斗公式怪物标准模型中的怪物类型；主表已按玩法内容给出默认类型。</t>
        </r>
      </text>
    </comment>
    <comment ref="G4" authorId="0">
      <text>
        <r>
          <rPr>
            <sz val="10"/>
            <rFont val="宋体"/>
            <charset val="134"/>
          </rPr>
          <t>主线使用同关玩家快照；其他玩法使用开放节点或共用档位的默认快照。</t>
        </r>
      </text>
    </comment>
    <comment ref="H4" authorId="0">
      <text>
        <r>
          <rPr>
            <sz val="10"/>
            <rFont val="宋体"/>
            <charset val="134"/>
          </rPr>
          <t>可选覆盖。填1-285；留空时使用G列默认对照关卡。</t>
        </r>
      </text>
    </comment>
    <comment ref="J4" authorId="0">
      <text>
        <r>
          <rPr>
            <sz val="10"/>
            <rFont val="宋体"/>
            <charset val="134"/>
          </rPr>
          <t>主要输入项。填战斗公式“怪物标准模型”的Lv1-Lv500整数等级。</t>
        </r>
      </text>
    </comment>
    <comment ref="N4" authorId="0">
      <text>
        <r>
          <rPr>
            <sz val="10"/>
            <rFont val="宋体"/>
            <charset val="134"/>
          </rPr>
          <t>整关所有敌人/波次总EHP相对一只标准怪EHP的倍数；留空按1。</t>
        </r>
      </text>
    </comment>
    <comment ref="O4" authorId="0">
      <text>
        <r>
          <rPr>
            <sz val="10"/>
            <rFont val="宋体"/>
            <charset val="134"/>
          </rPr>
          <t>用来近似多怪同时攻击、技能频率等压力；留空按1。</t>
        </r>
      </text>
    </comment>
    <comment ref="P4" authorId="0">
      <text>
        <r>
          <rPr>
            <sz val="10"/>
            <rFont val="宋体"/>
            <charset val="134"/>
          </rPr>
          <t>可选目标TTK/目标通关时间。填写后AA列才会给出简单/适中/困难判断。</t>
        </r>
      </text>
    </comment>
    <comment ref="X4" authorId="0">
      <text>
        <r>
          <rPr>
            <sz val="10"/>
            <rFont val="宋体"/>
            <charset val="134"/>
          </rPr>
          <t>整关目标EHP÷玩家DPS。N列为空时等于一只标准怪的TTK。</t>
        </r>
      </text>
    </comment>
    <comment ref="Y4" authorId="0">
      <text>
        <r>
          <rPr>
            <sz val="10"/>
            <rFont val="宋体"/>
            <charset val="134"/>
          </rPr>
          <t>玩家队伍EHP÷(怪物实际攻击×攻击压力倍率)，仅作生存压力近似。</t>
        </r>
      </text>
    </comment>
  </commentList>
</comments>
</file>

<file path=xl/comments7.xml><?xml version="1.0" encoding="utf-8"?>
<comments xmlns="http://schemas.openxmlformats.org/spreadsheetml/2006/main">
  <authors>
    <author>Codex</author>
  </authors>
  <commentList>
    <comment ref="E4" authorId="0">
      <text>
        <r>
          <rPr>
            <sz val="10"/>
            <rFont val="宋体"/>
            <charset val="134"/>
          </rPr>
          <t>同一行可映射多个配置LevelId；表示这些关卡共用同一档怪物等级。</t>
        </r>
      </text>
    </comment>
    <comment ref="F4" authorId="0">
      <text>
        <r>
          <rPr>
            <sz val="10"/>
            <rFont val="宋体"/>
            <charset val="134"/>
          </rPr>
          <t>选择战斗公式怪物标准模型中的怪物类型；主表已按玩法内容给出默认类型。</t>
        </r>
      </text>
    </comment>
    <comment ref="G4" authorId="0">
      <text>
        <r>
          <rPr>
            <sz val="10"/>
            <rFont val="宋体"/>
            <charset val="134"/>
          </rPr>
          <t>主线使用同关玩家快照；其他玩法使用开放节点或共用档位的默认快照。</t>
        </r>
      </text>
    </comment>
    <comment ref="H4" authorId="0">
      <text>
        <r>
          <rPr>
            <sz val="10"/>
            <rFont val="宋体"/>
            <charset val="134"/>
          </rPr>
          <t>可选覆盖。填1-285；留空时使用G列默认对照关卡。</t>
        </r>
      </text>
    </comment>
    <comment ref="J4" authorId="0">
      <text>
        <r>
          <rPr>
            <sz val="10"/>
            <rFont val="宋体"/>
            <charset val="134"/>
          </rPr>
          <t>主要输入项。填战斗公式“怪物标准模型”的Lv1-Lv500整数等级。</t>
        </r>
      </text>
    </comment>
    <comment ref="N4" authorId="0">
      <text>
        <r>
          <rPr>
            <sz val="10"/>
            <rFont val="宋体"/>
            <charset val="134"/>
          </rPr>
          <t>整关所有敌人/波次总EHP相对一只标准怪EHP的倍数；留空按1。</t>
        </r>
      </text>
    </comment>
    <comment ref="O4" authorId="0">
      <text>
        <r>
          <rPr>
            <sz val="10"/>
            <rFont val="宋体"/>
            <charset val="134"/>
          </rPr>
          <t>用来近似多怪同时攻击、技能频率等压力；留空按1。</t>
        </r>
      </text>
    </comment>
    <comment ref="P4" authorId="0">
      <text>
        <r>
          <rPr>
            <sz val="10"/>
            <rFont val="宋体"/>
            <charset val="134"/>
          </rPr>
          <t>可选目标TTK/目标通关时间。填写后AA列才会给出简单/适中/困难判断。</t>
        </r>
      </text>
    </comment>
    <comment ref="X4" authorId="0">
      <text>
        <r>
          <rPr>
            <sz val="10"/>
            <rFont val="宋体"/>
            <charset val="134"/>
          </rPr>
          <t>整关目标EHP÷玩家DPS。N列为空时等于一只标准怪的TTK。</t>
        </r>
      </text>
    </comment>
    <comment ref="Y4" authorId="0">
      <text>
        <r>
          <rPr>
            <sz val="10"/>
            <rFont val="宋体"/>
            <charset val="134"/>
          </rPr>
          <t>玩家队伍EHP÷(怪物实际攻击×攻击压力倍率)，仅作生存压力近似。</t>
        </r>
      </text>
    </comment>
  </commentList>
</comments>
</file>

<file path=xl/comments8.xml><?xml version="1.0" encoding="utf-8"?>
<comments xmlns="http://schemas.openxmlformats.org/spreadsheetml/2006/main">
  <authors>
    <author>Codex</author>
  </authors>
  <commentList>
    <comment ref="E4" authorId="0">
      <text>
        <r>
          <rPr>
            <sz val="10"/>
            <rFont val="宋体"/>
            <charset val="134"/>
          </rPr>
          <t>同一行可映射多个配置LevelId；表示这些关卡共用同一档怪物等级。</t>
        </r>
      </text>
    </comment>
    <comment ref="F4" authorId="0">
      <text>
        <r>
          <rPr>
            <sz val="10"/>
            <rFont val="宋体"/>
            <charset val="134"/>
          </rPr>
          <t>选择战斗公式怪物标准模型中的怪物类型；主表已按玩法内容给出默认类型。</t>
        </r>
      </text>
    </comment>
    <comment ref="G4" authorId="0">
      <text>
        <r>
          <rPr>
            <sz val="10"/>
            <rFont val="宋体"/>
            <charset val="134"/>
          </rPr>
          <t>主线使用同关玩家快照；其他玩法使用开放节点或共用档位的默认快照。</t>
        </r>
      </text>
    </comment>
    <comment ref="H4" authorId="0">
      <text>
        <r>
          <rPr>
            <sz val="10"/>
            <rFont val="宋体"/>
            <charset val="134"/>
          </rPr>
          <t>可选覆盖。填1-285；留空时使用G列默认对照关卡。</t>
        </r>
      </text>
    </comment>
    <comment ref="J4" authorId="0">
      <text>
        <r>
          <rPr>
            <sz val="10"/>
            <rFont val="宋体"/>
            <charset val="134"/>
          </rPr>
          <t>主要输入项。填战斗公式“怪物标准模型”的Lv1-Lv500整数等级。</t>
        </r>
      </text>
    </comment>
    <comment ref="N4" authorId="0">
      <text>
        <r>
          <rPr>
            <sz val="10"/>
            <rFont val="宋体"/>
            <charset val="134"/>
          </rPr>
          <t>整关所有敌人/波次总EHP相对一只标准怪EHP的倍数；留空按1。</t>
        </r>
      </text>
    </comment>
    <comment ref="O4" authorId="0">
      <text>
        <r>
          <rPr>
            <sz val="10"/>
            <rFont val="宋体"/>
            <charset val="134"/>
          </rPr>
          <t>用来近似多怪同时攻击、技能频率等压力；留空按1。</t>
        </r>
      </text>
    </comment>
    <comment ref="P4" authorId="0">
      <text>
        <r>
          <rPr>
            <sz val="10"/>
            <rFont val="宋体"/>
            <charset val="134"/>
          </rPr>
          <t>可选目标TTK/目标通关时间。填写后AA列才会给出简单/适中/困难判断。</t>
        </r>
      </text>
    </comment>
    <comment ref="X4" authorId="0">
      <text>
        <r>
          <rPr>
            <sz val="10"/>
            <rFont val="宋体"/>
            <charset val="134"/>
          </rPr>
          <t>整关目标EHP÷玩家DPS。N列为空时等于一只标准怪的TTK。</t>
        </r>
      </text>
    </comment>
    <comment ref="Y4" authorId="0">
      <text>
        <r>
          <rPr>
            <sz val="10"/>
            <rFont val="宋体"/>
            <charset val="134"/>
          </rPr>
          <t>玩家队伍EHP÷(怪物实际攻击×攻击压力倍率)，仅作生存压力近似。</t>
        </r>
      </text>
    </comment>
  </commentList>
</comments>
</file>

<file path=xl/comments9.xml><?xml version="1.0" encoding="utf-8"?>
<comments xmlns="http://schemas.openxmlformats.org/spreadsheetml/2006/main">
  <authors>
    <author>Codex</author>
  </authors>
  <commentList>
    <comment ref="E4" authorId="0">
      <text>
        <r>
          <rPr>
            <sz val="10"/>
            <rFont val="宋体"/>
            <charset val="134"/>
          </rPr>
          <t>同一行可映射多个配置LevelId；表示这些关卡共用同一档怪物等级。</t>
        </r>
      </text>
    </comment>
    <comment ref="F4" authorId="0">
      <text>
        <r>
          <rPr>
            <sz val="10"/>
            <rFont val="宋体"/>
            <charset val="134"/>
          </rPr>
          <t>选择战斗公式怪物标准模型中的怪物类型；主表已按玩法内容给出默认类型。</t>
        </r>
      </text>
    </comment>
    <comment ref="G4" authorId="0">
      <text>
        <r>
          <rPr>
            <sz val="10"/>
            <rFont val="宋体"/>
            <charset val="134"/>
          </rPr>
          <t>主线使用同关玩家快照；其他玩法使用开放节点或共用档位的默认快照。</t>
        </r>
      </text>
    </comment>
    <comment ref="H4" authorId="0">
      <text>
        <r>
          <rPr>
            <sz val="10"/>
            <rFont val="宋体"/>
            <charset val="134"/>
          </rPr>
          <t>可选覆盖。填1-285；留空时使用G列默认对照关卡。</t>
        </r>
      </text>
    </comment>
    <comment ref="J4" authorId="0">
      <text>
        <r>
          <rPr>
            <sz val="10"/>
            <rFont val="宋体"/>
            <charset val="134"/>
          </rPr>
          <t>主要输入项。填战斗公式“怪物标准模型”的Lv1-Lv500整数等级。</t>
        </r>
      </text>
    </comment>
    <comment ref="N4" authorId="0">
      <text>
        <r>
          <rPr>
            <sz val="10"/>
            <rFont val="宋体"/>
            <charset val="134"/>
          </rPr>
          <t>整关所有敌人/波次总EHP相对一只标准怪EHP的倍数；留空按1。</t>
        </r>
      </text>
    </comment>
    <comment ref="O4" authorId="0">
      <text>
        <r>
          <rPr>
            <sz val="10"/>
            <rFont val="宋体"/>
            <charset val="134"/>
          </rPr>
          <t>用来近似多怪同时攻击、技能频率等压力；留空按1。</t>
        </r>
      </text>
    </comment>
    <comment ref="P4" authorId="0">
      <text>
        <r>
          <rPr>
            <sz val="10"/>
            <rFont val="宋体"/>
            <charset val="134"/>
          </rPr>
          <t>可选目标TTK/目标通关时间。填写后AA列才会给出简单/适中/困难判断。</t>
        </r>
      </text>
    </comment>
    <comment ref="X4" authorId="0">
      <text>
        <r>
          <rPr>
            <sz val="10"/>
            <rFont val="宋体"/>
            <charset val="134"/>
          </rPr>
          <t>整关目标EHP÷玩家DPS。N列为空时等于一只标准怪的TTK。</t>
        </r>
      </text>
    </comment>
    <comment ref="Y4" authorId="0">
      <text>
        <r>
          <rPr>
            <sz val="10"/>
            <rFont val="宋体"/>
            <charset val="134"/>
          </rPr>
          <t>玩家队伍EHP÷(怪物实际攻击×攻击压力倍率)，仅作生存压力近似。</t>
        </r>
      </text>
    </comment>
  </commentList>
</comments>
</file>

<file path=xl/comments10.xml><?xml version="1.0" encoding="utf-8"?>
<comments xmlns="http://schemas.openxmlformats.org/spreadsheetml/2006/main">
  <authors>
    <author>Codex</author>
  </authors>
  <commentList>
    <comment ref="E4" authorId="0">
      <text>
        <r>
          <rPr>
            <sz val="10"/>
            <rFont val="宋体"/>
            <charset val="134"/>
          </rPr>
          <t>同一行可映射多个配置LevelId；表示这些关卡共用同一档怪物等级。</t>
        </r>
      </text>
    </comment>
    <comment ref="F4" authorId="0">
      <text>
        <r>
          <rPr>
            <sz val="10"/>
            <rFont val="宋体"/>
            <charset val="134"/>
          </rPr>
          <t>选择战斗公式怪物标准模型中的怪物类型；主表已按玩法内容给出默认类型。</t>
        </r>
      </text>
    </comment>
    <comment ref="G4" authorId="0">
      <text>
        <r>
          <rPr>
            <sz val="10"/>
            <rFont val="宋体"/>
            <charset val="134"/>
          </rPr>
          <t>主线使用同关玩家快照；其他玩法使用开放节点或共用档位的默认快照。</t>
        </r>
      </text>
    </comment>
    <comment ref="H4" authorId="0">
      <text>
        <r>
          <rPr>
            <sz val="10"/>
            <rFont val="宋体"/>
            <charset val="134"/>
          </rPr>
          <t>可选覆盖。填1-285；留空时使用G列默认对照关卡。</t>
        </r>
      </text>
    </comment>
    <comment ref="J4" authorId="0">
      <text>
        <r>
          <rPr>
            <sz val="10"/>
            <rFont val="宋体"/>
            <charset val="134"/>
          </rPr>
          <t>主要输入项。填战斗公式“怪物标准模型”的Lv1-Lv500整数等级。</t>
        </r>
      </text>
    </comment>
    <comment ref="N4" authorId="0">
      <text>
        <r>
          <rPr>
            <sz val="10"/>
            <rFont val="宋体"/>
            <charset val="134"/>
          </rPr>
          <t>整关所有敌人/波次总EHP相对一只标准怪EHP的倍数；留空按1。</t>
        </r>
      </text>
    </comment>
    <comment ref="O4" authorId="0">
      <text>
        <r>
          <rPr>
            <sz val="10"/>
            <rFont val="宋体"/>
            <charset val="134"/>
          </rPr>
          <t>用来近似多怪同时攻击、技能频率等压力；留空按1。</t>
        </r>
      </text>
    </comment>
    <comment ref="P4" authorId="0">
      <text>
        <r>
          <rPr>
            <sz val="10"/>
            <rFont val="宋体"/>
            <charset val="134"/>
          </rPr>
          <t>可选目标TTK/目标通关时间。填写后AA列才会给出简单/适中/困难判断。</t>
        </r>
      </text>
    </comment>
    <comment ref="X4" authorId="0">
      <text>
        <r>
          <rPr>
            <sz val="10"/>
            <rFont val="宋体"/>
            <charset val="134"/>
          </rPr>
          <t>整关目标EHP÷玩家DPS。N列为空时等于一只标准怪的TTK。</t>
        </r>
      </text>
    </comment>
    <comment ref="Y4" authorId="0">
      <text>
        <r>
          <rPr>
            <sz val="10"/>
            <rFont val="宋体"/>
            <charset val="134"/>
          </rPr>
          <t>玩家队伍EHP÷(怪物实际攻击×攻击压力倍率)，仅作生存压力近似。</t>
        </r>
      </text>
    </comment>
  </commentList>
</comments>
</file>

<file path=xl/comments11.xml><?xml version="1.0" encoding="utf-8"?>
<comments xmlns="http://schemas.openxmlformats.org/spreadsheetml/2006/main">
  <authors>
    <author>Codex</author>
  </authors>
  <commentList>
    <comment ref="E4" authorId="0">
      <text>
        <r>
          <rPr>
            <sz val="10"/>
            <rFont val="宋体"/>
            <charset val="134"/>
          </rPr>
          <t>同一行可映射多个配置LevelId；表示这些关卡共用同一档怪物等级。</t>
        </r>
      </text>
    </comment>
    <comment ref="F4" authorId="0">
      <text>
        <r>
          <rPr>
            <sz val="10"/>
            <rFont val="宋体"/>
            <charset val="134"/>
          </rPr>
          <t>选择战斗公式怪物标准模型中的怪物类型；主表已按玩法内容给出默认类型。</t>
        </r>
      </text>
    </comment>
    <comment ref="G4" authorId="0">
      <text>
        <r>
          <rPr>
            <sz val="10"/>
            <rFont val="宋体"/>
            <charset val="134"/>
          </rPr>
          <t>主线使用同关玩家快照；其他玩法使用开放节点或共用档位的默认快照。</t>
        </r>
      </text>
    </comment>
    <comment ref="H4" authorId="0">
      <text>
        <r>
          <rPr>
            <sz val="10"/>
            <rFont val="宋体"/>
            <charset val="134"/>
          </rPr>
          <t>可选覆盖。填1-285；留空时使用G列默认对照关卡。</t>
        </r>
      </text>
    </comment>
    <comment ref="J4" authorId="0">
      <text>
        <r>
          <rPr>
            <sz val="10"/>
            <rFont val="宋体"/>
            <charset val="134"/>
          </rPr>
          <t>主要输入项。填战斗公式“怪物标准模型”的Lv1-Lv500整数等级。</t>
        </r>
      </text>
    </comment>
    <comment ref="N4" authorId="0">
      <text>
        <r>
          <rPr>
            <sz val="10"/>
            <rFont val="宋体"/>
            <charset val="134"/>
          </rPr>
          <t>整关所有敌人/波次总EHP相对一只标准怪EHP的倍数；留空按1。</t>
        </r>
      </text>
    </comment>
    <comment ref="O4" authorId="0">
      <text>
        <r>
          <rPr>
            <sz val="10"/>
            <rFont val="宋体"/>
            <charset val="134"/>
          </rPr>
          <t>用来近似多怪同时攻击、技能频率等压力；留空按1。</t>
        </r>
      </text>
    </comment>
    <comment ref="P4" authorId="0">
      <text>
        <r>
          <rPr>
            <sz val="10"/>
            <rFont val="宋体"/>
            <charset val="134"/>
          </rPr>
          <t>可选目标TTK/目标通关时间。填写后AA列才会给出简单/适中/困难判断。</t>
        </r>
      </text>
    </comment>
    <comment ref="X4" authorId="0">
      <text>
        <r>
          <rPr>
            <sz val="10"/>
            <rFont val="宋体"/>
            <charset val="134"/>
          </rPr>
          <t>整关目标EHP÷玩家DPS。N列为空时等于一只标准怪的TTK。</t>
        </r>
      </text>
    </comment>
    <comment ref="Y4" authorId="0">
      <text>
        <r>
          <rPr>
            <sz val="10"/>
            <rFont val="宋体"/>
            <charset val="134"/>
          </rPr>
          <t>玩家队伍EHP÷(怪物实际攻击×攻击压力倍率)，仅作生存压力近似。</t>
        </r>
      </text>
    </comment>
  </commentList>
</comments>
</file>

<file path=xl/comments12.xml><?xml version="1.0" encoding="utf-8"?>
<comments xmlns="http://schemas.openxmlformats.org/spreadsheetml/2006/main">
  <authors>
    <author>Codex</author>
  </authors>
  <commentList>
    <comment ref="E4" authorId="0">
      <text>
        <r>
          <rPr>
            <sz val="10"/>
            <rFont val="宋体"/>
            <charset val="134"/>
          </rPr>
          <t>同一行可映射多个配置LevelId；表示这些关卡共用同一档怪物等级。</t>
        </r>
      </text>
    </comment>
    <comment ref="F4" authorId="0">
      <text>
        <r>
          <rPr>
            <sz val="10"/>
            <rFont val="宋体"/>
            <charset val="134"/>
          </rPr>
          <t>选择战斗公式怪物标准模型中的怪物类型；主表已按玩法内容给出默认类型。</t>
        </r>
      </text>
    </comment>
    <comment ref="G4" authorId="0">
      <text>
        <r>
          <rPr>
            <sz val="10"/>
            <rFont val="宋体"/>
            <charset val="134"/>
          </rPr>
          <t>主线使用同关玩家快照；其他玩法使用开放节点或共用档位的默认快照。</t>
        </r>
      </text>
    </comment>
    <comment ref="H4" authorId="0">
      <text>
        <r>
          <rPr>
            <sz val="10"/>
            <rFont val="宋体"/>
            <charset val="134"/>
          </rPr>
          <t>可选覆盖。填1-285；留空时使用G列默认对照关卡。</t>
        </r>
      </text>
    </comment>
    <comment ref="J4" authorId="0">
      <text>
        <r>
          <rPr>
            <sz val="10"/>
            <rFont val="宋体"/>
            <charset val="134"/>
          </rPr>
          <t>主要输入项。填战斗公式“怪物标准模型”的Lv1-Lv500整数等级。</t>
        </r>
      </text>
    </comment>
    <comment ref="N4" authorId="0">
      <text>
        <r>
          <rPr>
            <sz val="10"/>
            <rFont val="宋体"/>
            <charset val="134"/>
          </rPr>
          <t>整关所有敌人/波次总EHP相对一只标准怪EHP的倍数；留空按1。</t>
        </r>
      </text>
    </comment>
    <comment ref="O4" authorId="0">
      <text>
        <r>
          <rPr>
            <sz val="10"/>
            <rFont val="宋体"/>
            <charset val="134"/>
          </rPr>
          <t>用来近似多怪同时攻击、技能频率等压力；留空按1。</t>
        </r>
      </text>
    </comment>
    <comment ref="P4" authorId="0">
      <text>
        <r>
          <rPr>
            <sz val="10"/>
            <rFont val="宋体"/>
            <charset val="134"/>
          </rPr>
          <t>可选目标TTK/目标通关时间。填写后AA列才会给出简单/适中/困难判断。</t>
        </r>
      </text>
    </comment>
    <comment ref="X4" authorId="0">
      <text>
        <r>
          <rPr>
            <sz val="10"/>
            <rFont val="宋体"/>
            <charset val="134"/>
          </rPr>
          <t>整关目标EHP÷玩家DPS。N列为空时等于一只标准怪的TTK。</t>
        </r>
      </text>
    </comment>
    <comment ref="Y4" authorId="0">
      <text>
        <r>
          <rPr>
            <sz val="10"/>
            <rFont val="宋体"/>
            <charset val="134"/>
          </rPr>
          <t>玩家队伍EHP÷(怪物实际攻击×攻击压力倍率)，仅作生存压力近似。</t>
        </r>
      </text>
    </comment>
  </commentList>
</comments>
</file>

<file path=xl/sharedStrings.xml><?xml version="1.0" encoding="utf-8"?>
<sst xmlns="http://schemas.openxmlformats.org/spreadsheetml/2006/main" count="11975" uniqueCount="5635">
  <si>
    <t>Vgame 全玩法难度填写表｜使用说明</t>
  </si>
  <si>
    <t>修正版V4已同步最新养成分配与平滑有效人数系数，并按原TTK/生存压力反推全部玩法怪物等级。黄色J列仍可直接覆盖，公式会自动更新；PVPVE继续使用双方属性对算。</t>
  </si>
  <si>
    <t>① 必填</t>
  </si>
  <si>
    <t>J列已填首版怪物等级，范围Lv1～Lv500；PVPVE不使用怪物等级，无限挑战本轮不纳入。</t>
  </si>
  <si>
    <t>② 可选</t>
  </si>
  <si>
    <t>G列是首版使用的玩家对照节点；H列仍可手动覆盖。F列怪物类型和K～P系数/目标时间保持可选。</t>
  </si>
  <si>
    <t>③ 结果</t>
  </si>
  <si>
    <t>Q～AC列是公式。X为预测TTK；Y为按怪物攻击估算的玩家存活时间；AA给出简要判断。</t>
  </si>
  <si>
    <t>④ 整关</t>
  </si>
  <si>
    <t>标准模型是一只怪。若要估整关，把N列【整关EHP倍率】填成波次总EHP÷标准怪EHP；攻击压力用O列修正。</t>
  </si>
  <si>
    <t>⑤ 对照</t>
  </si>
  <si>
    <t>G列是默认玩家养成快照，主线按同关；其他玩法按开放节点/共用档位预置。若你不同意，直接在H列覆盖。</t>
  </si>
  <si>
    <t>⑥ 汇总</t>
  </si>
  <si>
    <t>“玩法汇总”会跨页签检查完成率、最低/最高等级、等级倒退和超范围。</t>
  </si>
  <si>
    <t>颜色约定</t>
  </si>
  <si>
    <t>黄色 + 蓝字</t>
  </si>
  <si>
    <t>怪物等级：主要填写区</t>
  </si>
  <si>
    <t>浅蓝 + 蓝字</t>
  </si>
  <si>
    <t>可选输入/覆盖项</t>
  </si>
  <si>
    <t>绿字</t>
  </si>
  <si>
    <t>引用本工作簿隐藏基线的公式</t>
  </si>
  <si>
    <t>黑字</t>
  </si>
  <si>
    <t>普通计算公式</t>
  </si>
  <si>
    <t>数据来源（复制为 VeryHidden 静态基线，工作簿无外链）</t>
  </si>
  <si>
    <t>用途</t>
  </si>
  <si>
    <t>文件</t>
  </si>
  <si>
    <t>页签/字段</t>
  </si>
  <si>
    <t>SHA256</t>
  </si>
  <si>
    <t>更新时间</t>
  </si>
  <si>
    <t>玩家曲线</t>
  </si>
  <si>
    <t>D:\数值文档\数值文档\框架v2\01_源表\养成属性分配.xlsx</t>
  </si>
  <si>
    <t>玩家战力曲线 B/AL/AN/AO；关卡S1-279；有效人数系数见F；等价怪物等级按AO目标EHP重新匹配</t>
  </si>
  <si>
    <t>3453bacda197ab04334c73cf1f2e1e856f21e5be683d7537720aa68af2e6b0ec</t>
  </si>
  <si>
    <t>怪物模型</t>
  </si>
  <si>
    <t>D:\数值文档\数值文档\框架v2\01_源表\战斗公式.xlsx</t>
  </si>
  <si>
    <t>怪物标准模型 Lv1-500 / AS:BA</t>
  </si>
  <si>
    <t>8c573a872e8e3b1029b738b372c1fc5d652d0d256da8197d768a4bfca6776c69</t>
  </si>
  <si>
    <t>关卡节点</t>
  </si>
  <si>
    <t>D:\Vgame\Config\GameConfig\Datas\level\LevelNode.xlsx</t>
  </si>
  <si>
    <t>LevelNode / LevelId / IsBoss</t>
  </si>
  <si>
    <t>5546d887be1fec3387c6f1c5e973b2eac02afb36e5914621807b43783192a360</t>
  </si>
  <si>
    <t>开放条件</t>
  </si>
  <si>
    <t>D:\Vgame\Config\GameConfig\Datas\system_open\SystemOpen.xlsx</t>
  </si>
  <si>
    <t>SystemOpen / UnlockId / CloseSys</t>
  </si>
  <si>
    <t>7d50f24030fbb173425c5f62ea28d4f0662d64d928be28dc05de27c716b27bf5</t>
  </si>
  <si>
    <t>口径边界</t>
  </si>
  <si>
    <t>• 本表共有343个节点行：主线99关、其余玩法244行；需要怪物等级的节点341个，PVPVE 2个入口不使用等级。</t>
  </si>
  <si>
    <t>• 旅券按10档×4主题共用、映射按30档×5类型共用、爬塔按100层×4赛季包共用、Boss挑战按10档×7个Boss共用。</t>
  </si>
  <si>
    <t>• 肉鸽按5个难度行；大秘境按25层×4环境共用；PVPVE只保留入口，不使用怪物等级。</t>
  </si>
  <si>
    <t>• 本表是MVP静态基线。玩家源表或怪物公式更新后，需要重新同步隐藏基线，工作簿不会自动外链更新。</t>
  </si>
  <si>
    <t>玩法页签快捷入口</t>
  </si>
  <si>
    <t>主线</t>
  </si>
  <si>
    <t>点击进入</t>
  </si>
  <si>
    <t>困难主线</t>
  </si>
  <si>
    <t>角色经验</t>
  </si>
  <si>
    <t>金币</t>
  </si>
  <si>
    <t>收容经验</t>
  </si>
  <si>
    <t>旅券</t>
  </si>
  <si>
    <t>映射</t>
  </si>
  <si>
    <t>爬塔</t>
  </si>
  <si>
    <t>Boss挑战</t>
  </si>
  <si>
    <t>肉鸽</t>
  </si>
  <si>
    <t>大秘境</t>
  </si>
  <si>
    <t>PVPVE</t>
  </si>
  <si>
    <t>修正版V4难度同步口径｜2026-08-10</t>
  </si>
  <si>
    <t>主线按当前99关顺序逐关对齐玩家曲线S1-S99；V4怪物等级Lv5-Lv236，保留原逐关TTK与Boss生存压力。</t>
  </si>
  <si>
    <t>困难主线在5-15/S69后统一开放；35关连续对照S71-S105，V4使用Lv186-Lv247，仍略高于同期主线。</t>
  </si>
  <si>
    <t>基础资源本</t>
  </si>
  <si>
    <t>角色经验、金币、收容经验定位为稳定供给；9档使用Lv27/Lv32/Lv51/Lv67/Lv85/Lv104/Lv126/Lv148/Lv171缓升，首档继续送进度。</t>
  </si>
  <si>
    <t>旅券/映射</t>
  </si>
  <si>
    <t>旅券使用Lv169-Lv369；映射使用Lv37-Lv370。两者保留原开放顺序、前段赠送进度与长期定位。</t>
  </si>
  <si>
    <t>爬塔/Boss</t>
  </si>
  <si>
    <t>爬塔前20层由Lv37缓升至Lv169、100层Lv370；Boss挑战使用Lv111-Lv361。</t>
  </si>
  <si>
    <t>肉鸽5档使用Lv140/Lv199/Lv274/Lv330/Lv351，继续为玩法开启与局内成长预留容错。</t>
  </si>
  <si>
    <t>大秘境按Lv37/S95开放口径，25层使用Lv234-Lv370；当前系统关闭状态不变。</t>
  </si>
  <si>
    <t>边界</t>
  </si>
  <si>
    <t>本版只同步怪物等级与派生属性，不改波次、技能和玩法系数。养成源表AP46当前为手填2，本表按AO目标EHP重匹配为Lv93，未修改养成源表。</t>
  </si>
  <si>
    <t>全玩法难度填写进度</t>
  </si>
  <si>
    <t>每个玩法已拆成独立页签。点击A列玩法名可直接跳转；这里统一检查完成率、等级范围和同玩法内的等级倒退。</t>
  </si>
  <si>
    <t>玩法</t>
  </si>
  <si>
    <t>状态</t>
  </si>
  <si>
    <t>节点口径</t>
  </si>
  <si>
    <t>节点数</t>
  </si>
  <si>
    <t>需填等级</t>
  </si>
  <si>
    <t>已填有效</t>
  </si>
  <si>
    <t>完成率</t>
  </si>
  <si>
    <t>最低等级</t>
  </si>
  <si>
    <t>最高等级</t>
  </si>
  <si>
    <t>等级下降</t>
  </si>
  <si>
    <t>超范围</t>
  </si>
  <si>
    <t>备注</t>
  </si>
  <si>
    <t>修正版V4已同步</t>
  </si>
  <si>
    <t>99个当前关卡</t>
  </si>
  <si>
    <t>当前99关轴S1-S99，怪物等级Lv5-Lv236；V4已同步最新玩家曲线</t>
  </si>
  <si>
    <t>35个LevelNode</t>
  </si>
  <si>
    <t>通关5-15/S69后开放；35关对照S71-S105，Lv186-Lv247，略高于同期主线</t>
  </si>
  <si>
    <t>9档</t>
  </si>
  <si>
    <t>2-4后开放；首档送进度，9档Lv27-Lv171缓升，定位稳定刷取</t>
  </si>
  <si>
    <t>10档×4主题共用</t>
  </si>
  <si>
    <t>Lv38/S100开放；首档Lv169送进度，前3档缓升，10档Lv369</t>
  </si>
  <si>
    <t>30档×5类型共用</t>
  </si>
  <si>
    <t>2-12/S24开放；首档Lv37送进度，前5档缓升，30档Lv370</t>
  </si>
  <si>
    <t>100层×4赛季包共用</t>
  </si>
  <si>
    <t>2-12/S24开放；前20层Lv37-Lv169缓升，100层Lv370</t>
  </si>
  <si>
    <t>10档×7个Boss共用</t>
  </si>
  <si>
    <t>4-15/S54开放；首档Lv111送进度，前5档缓升，10档Lv361</t>
  </si>
  <si>
    <t>5档</t>
  </si>
  <si>
    <t>Lv35/S85开放；5档Lv140/Lv199/Lv274/Lv330/Lv351，保留局内成长空间</t>
  </si>
  <si>
    <t>当前关闭｜修正版V4已同步</t>
  </si>
  <si>
    <t>25层×4环境共用</t>
  </si>
  <si>
    <t>Lv37/S95开放；25层Lv234-Lv370，关闭状态不变</t>
  </si>
  <si>
    <t>特殊口径</t>
  </si>
  <si>
    <t>2个入口</t>
  </si>
  <si>
    <t>双方属性对算，不使用怪物等级</t>
  </si>
  <si>
    <t>合计</t>
  </si>
  <si>
    <t>全玩法难度填写｜主线</t>
  </si>
  <si>
    <t>当前页已按开启顺序和玩法定位填入首版怪物等级。黄色J列可直接覆盖；G列是本版使用的玩家曲线对照节点。</t>
  </si>
  <si>
    <t>公式口径：怪物实际属性=战斗公式标准模型×可选系数；怪物EHP=实际生命÷(1-防御减伤)×整关EHP倍率；TTK=怪物EHP÷玩家DPS。</t>
  </si>
  <si>
    <t>子玩法/共用范围</t>
  </si>
  <si>
    <t>节点名称</t>
  </si>
  <si>
    <t>LevelId/配置映射</t>
  </si>
  <si>
    <t>怪物类型</t>
  </si>
  <si>
    <t>默认对照关卡</t>
  </si>
  <si>
    <t>手动对照关卡</t>
  </si>
  <si>
    <t>实际对照关卡</t>
  </si>
  <si>
    <t>怪物等级</t>
  </si>
  <si>
    <t>生命系数</t>
  </si>
  <si>
    <t>攻击系数</t>
  </si>
  <si>
    <t>防御系数</t>
  </si>
  <si>
    <t>整关EHP倍率</t>
  </si>
  <si>
    <t>攻击压力倍率</t>
  </si>
  <si>
    <t>目标时间(s)</t>
  </si>
  <si>
    <t>玩家DPS</t>
  </si>
  <si>
    <t>玩家队伍EHP</t>
  </si>
  <si>
    <t>怪物实际生命</t>
  </si>
  <si>
    <t>怪物实际攻击</t>
  </si>
  <si>
    <t>怪物实际防御</t>
  </si>
  <si>
    <t>怪物减伤率</t>
  </si>
  <si>
    <t>整关目标EHP</t>
  </si>
  <si>
    <t>预测TTK(s)</t>
  </si>
  <si>
    <t>预测存活(s)</t>
  </si>
  <si>
    <t>TTK/目标</t>
  </si>
  <si>
    <t>难度判断</t>
  </si>
  <si>
    <t>等级检查</t>
  </si>
  <si>
    <t>等级趋势</t>
  </si>
  <si>
    <t>当前配置</t>
  </si>
  <si>
    <t>序章</t>
  </si>
  <si>
    <t>0-1</t>
  </si>
  <si>
    <t>100001</t>
  </si>
  <si>
    <t>普通怪</t>
  </si>
  <si>
    <t>0-1｜修正版V4：当前99关轴S1，同关标准｜曲线同步20260811：Lv5→Lv5，保持原玩法定位与TTK/生存压力</t>
  </si>
  <si>
    <t>0-2</t>
  </si>
  <si>
    <t>100002</t>
  </si>
  <si>
    <t>0-2｜修正版V4：当前99关轴S2，同关标准｜曲线同步20260811：Lv6→Lv6，保持原玩法定位与TTK/生存压力</t>
  </si>
  <si>
    <t>0-3</t>
  </si>
  <si>
    <t>100003</t>
  </si>
  <si>
    <t>0-3｜修正版V4：当前99关轴S3，同关标准｜V4同步最新玩家曲线：Lv12→Lv8，保留原TTK/生存压力目标｜曲线同步20260811：Lv8→Lv8，保持原玩法定位与TTK/生存压力</t>
  </si>
  <si>
    <t>0-4</t>
  </si>
  <si>
    <t>100004</t>
  </si>
  <si>
    <t>Boss</t>
  </si>
  <si>
    <t>0-4｜修正版V4：S4同关标准；为保证首个Boss生存成立，Lv13校正为Lv9｜V4同步最新玩家曲线：Lv12→Lv9，保留原TTK/生存压力目标｜曲线同步20260811：Lv9→Lv9，保持原玩法定位与TTK/生存压力</t>
  </si>
  <si>
    <t>第一章</t>
  </si>
  <si>
    <t>1-1</t>
  </si>
  <si>
    <t>100101</t>
  </si>
  <si>
    <t>1-1｜修正版V4：当前99关轴S5，同关标准｜V4同步最新玩家曲线：Lv14→Lv12，保留原TTK/生存压力目标｜曲线同步20260811：Lv12→Lv12，保持原玩法定位与TTK/生存压力</t>
  </si>
  <si>
    <t>1-2</t>
  </si>
  <si>
    <t>100102</t>
  </si>
  <si>
    <t>1-2｜修正版V4：当前99关轴S6，同关标准｜V4同步最新玩家曲线：Lv15→Lv14，保留原TTK/生存压力目标｜曲线同步20260811：Lv14→Lv14，保持原玩法定位与TTK/生存压力</t>
  </si>
  <si>
    <t>1-3</t>
  </si>
  <si>
    <t>100103</t>
  </si>
  <si>
    <t>1-3｜修正版V4：当前99关轴S7，同关标准｜V4同步最新玩家曲线：Lv22→Lv17，保留原TTK/生存压力目标｜曲线同步20260811：Lv17→Lv16，保持原玩法定位与TTK/生存压力</t>
  </si>
  <si>
    <t>1-4</t>
  </si>
  <si>
    <t>100104</t>
  </si>
  <si>
    <t>1-4｜修正版V4：当前99关轴S8，同关标准｜V4同步最新玩家曲线：Lv23→Lv19，保留原TTK/生存压力目标｜曲线同步20260811：Lv19→Lv18，保持原玩法定位与TTK/生存压力</t>
  </si>
  <si>
    <t>1-5</t>
  </si>
  <si>
    <t>100105</t>
  </si>
  <si>
    <t>1-5｜修正版V4：当前99关轴S9，同关标准｜V4同步最新玩家曲线：Lv24→Lv22，保留原TTK/生存压力目标｜曲线同步20260811：Lv22→Lv21，保持原玩法定位与TTK/生存压力</t>
  </si>
  <si>
    <t>1-6</t>
  </si>
  <si>
    <t>100106</t>
  </si>
  <si>
    <t>1-6｜修正版V4：当前99关轴S10，同关标准｜V4同步最新玩家曲线：Lv31→Lv24，保留原TTK/生存压力目标｜曲线同步20260811：Lv24→Lv23，保持原玩法定位与TTK/生存压力</t>
  </si>
  <si>
    <t>1-7</t>
  </si>
  <si>
    <t>100107</t>
  </si>
  <si>
    <t>1-7｜修正版V4：当前99关轴S11，同关标准｜V4同步最新玩家曲线：Lv32→Lv26，保留原TTK/生存压力目标｜曲线同步20260811：Lv26→Lv25，保持原玩法定位与TTK/生存压力</t>
  </si>
  <si>
    <t>1-8</t>
  </si>
  <si>
    <t>100108</t>
  </si>
  <si>
    <t>1-8｜修正版V4：当前99关轴S12，同关标准｜V4同步最新玩家曲线：Lv33→Lv27，保留原TTK/生存压力目标｜曲线同步20260811：Lv27→Lv26，保持原玩法定位与TTK/生存压力</t>
  </si>
  <si>
    <t>第二章</t>
  </si>
  <si>
    <t>2-1</t>
  </si>
  <si>
    <t>100201</t>
  </si>
  <si>
    <t>2-1｜修正版V4：当前99关轴S13，同关标准｜V4同步最新玩家曲线：Lv34→Lv29，保留原TTK/生存压力目标｜曲线同步20260811：Lv29→Lv28，保持原玩法定位与TTK/生存压力</t>
  </si>
  <si>
    <t>2-2</t>
  </si>
  <si>
    <t>100202</t>
  </si>
  <si>
    <t>2-2｜修正版V4：当前99关轴S14，同关标准｜V4同步最新玩家曲线：Lv35→Lv31，保留原TTK/生存压力目标｜曲线同步20260811：Lv31→Lv30，保持原玩法定位与TTK/生存压力</t>
  </si>
  <si>
    <t>2-3</t>
  </si>
  <si>
    <t>100203</t>
  </si>
  <si>
    <t>2-3｜修正版V4：当前99关轴S15，同关标准｜V4同步最新玩家曲线：Lv37→Lv33，保留原TTK/生存压力目标｜曲线同步20260811：Lv33→Lv31，保持原玩法定位与TTK/生存压力</t>
  </si>
  <si>
    <t>2-4</t>
  </si>
  <si>
    <t>100204</t>
  </si>
  <si>
    <t>2-4｜修正版V4：当前99关轴S16，同关标准｜V4同步最新玩家曲线：Lv40→Lv36，保留原TTK/生存压力目标｜曲线同步20260811：Lv36→Lv34，保持原玩法定位与TTK/生存压力</t>
  </si>
  <si>
    <t>2-5</t>
  </si>
  <si>
    <t>100205</t>
  </si>
  <si>
    <t>2-5｜修正版V4：当前99关轴S17，同关标准｜V4同步最新玩家曲线：Lv43→Lv38，保留原TTK/生存压力目标｜曲线同步20260811：Lv38→Lv36，保持原玩法定位与TTK/生存压力</t>
  </si>
  <si>
    <t>2-6</t>
  </si>
  <si>
    <t>100206</t>
  </si>
  <si>
    <t>2-6｜修正版V4：当前99关轴S18，同关标准｜V4同步最新玩家曲线：Lv45→Lv40，保留原TTK/生存压力目标｜曲线同步20260811：Lv40→Lv37，保持原玩法定位与TTK/生存压力</t>
  </si>
  <si>
    <t>2-7</t>
  </si>
  <si>
    <t>100207</t>
  </si>
  <si>
    <t>2-7｜修正版V4：当前99关轴S19，同关标准｜V4同步最新玩家曲线：Lv48→Lv43，保留原TTK/生存压力目标｜曲线同步20260811：Lv43→Lv40，保持原玩法定位与TTK/生存压力</t>
  </si>
  <si>
    <t>2-8</t>
  </si>
  <si>
    <t>100208</t>
  </si>
  <si>
    <t>2-8｜修正版V4：当前99关轴S20，同关标准｜V4同步最新玩家曲线：Lv57→Lv45，保留原TTK/生存压力目标｜曲线同步20260811：Lv45→Lv41，保持原玩法定位与TTK/生存压力</t>
  </si>
  <si>
    <t>2-9</t>
  </si>
  <si>
    <t>100209</t>
  </si>
  <si>
    <t>2-9｜修正版V4：当前99关轴S21，同关标准｜V4同步最新玩家曲线：Lv60→Lv48，保留原TTK/生存压力目标｜曲线同步20260811：Lv48→Lv44，保持原玩法定位与TTK/生存压力</t>
  </si>
  <si>
    <t>2-10</t>
  </si>
  <si>
    <t>100210</t>
  </si>
  <si>
    <t>2-10｜修正版V4：当前99关轴S22，同关标准｜V4同步最新玩家曲线：Lv63→Lv51，保留原TTK/生存压力目标｜曲线同步20260811：Lv51→Lv46，保持原玩法定位与TTK/生存压力</t>
  </si>
  <si>
    <t>2-11</t>
  </si>
  <si>
    <t>100211</t>
  </si>
  <si>
    <t>2-11｜修正版V4：当前99关轴S23，同关标准｜V4同步最新玩家曲线：Lv65→Lv54，保留原TTK/生存压力目标｜曲线同步20260811：Lv54→Lv49，保持原玩法定位与TTK/生存压力</t>
  </si>
  <si>
    <t>2-12</t>
  </si>
  <si>
    <t>100212</t>
  </si>
  <si>
    <t>2-12｜修正版V4：当前99关轴S24，同关标准｜V4同步最新玩家曲线：Lv67→Lv56，保留原TTK/生存压力目标｜曲线同步20260811：Lv56→Lv51，保持原玩法定位与TTK/生存压力</t>
  </si>
  <si>
    <t>第三章</t>
  </si>
  <si>
    <t>3-1</t>
  </si>
  <si>
    <t>100301</t>
  </si>
  <si>
    <t>3-1｜修正版V4：当前99关轴S25，同关标准｜V4同步最新玩家曲线：Lv70→Lv59，保留原TTK/生存压力目标｜曲线同步20260811：Lv59→Lv53，保持原玩法定位与TTK/生存压力</t>
  </si>
  <si>
    <t>3-2</t>
  </si>
  <si>
    <t>100302</t>
  </si>
  <si>
    <t>3-2｜修正版V4：当前99关轴S26，同关标准｜V4同步最新玩家曲线：Lv72→Lv62，保留原TTK/生存压力目标｜曲线同步20260811：Lv62→Lv56，保持原玩法定位与TTK/生存压力</t>
  </si>
  <si>
    <t>3-3</t>
  </si>
  <si>
    <t>100303</t>
  </si>
  <si>
    <t>3-3｜修正版V4：当前99关轴S27，同关标准｜V4同步最新玩家曲线：Lv74→Lv64，保留原TTK/生存压力目标｜曲线同步20260811：Lv64→Lv58，保持原玩法定位与TTK/生存压力</t>
  </si>
  <si>
    <t>3-4</t>
  </si>
  <si>
    <t>100304</t>
  </si>
  <si>
    <t>3-4｜修正版V4：当前99关轴S28，同关标准｜V4同步最新玩家曲线：Lv76→Lv67，保留原TTK/生存压力目标｜曲线同步20260811：Lv67→Lv60，保持原玩法定位与TTK/生存压力</t>
  </si>
  <si>
    <t>3-5</t>
  </si>
  <si>
    <t>100305</t>
  </si>
  <si>
    <t>3-5｜修正版V4：当前99关轴S29，同关标准｜V4同步最新玩家曲线：Lv79→Lv71，保留原TTK/生存压力目标｜曲线同步20260811：Lv71→Lv64，保持原玩法定位与TTK/生存压力</t>
  </si>
  <si>
    <t>3-6</t>
  </si>
  <si>
    <t>100306</t>
  </si>
  <si>
    <t>3-6｜修正版V4：当前99关轴S30，同关标准｜V4同步最新玩家曲线：Lv81→Lv72，保留原TTK/生存压力目标｜曲线同步20260811：Lv72→Lv64，保持原玩法定位与TTK/生存压力</t>
  </si>
  <si>
    <t>3-7</t>
  </si>
  <si>
    <t>100307</t>
  </si>
  <si>
    <t>3-7｜修正版V4：当前99关轴S31，同关标准｜V4同步最新玩家曲线：Lv85→Lv76，保留原TTK/生存压力目标｜曲线同步20260811：Lv76→Lv68，保持原玩法定位与TTK/生存压力</t>
  </si>
  <si>
    <t>3-8</t>
  </si>
  <si>
    <t>100308</t>
  </si>
  <si>
    <t>3-8｜修正版V4：当前99关轴S32，同关标准｜V4同步最新玩家曲线：Lv89→Lv80，保留原TTK/生存压力目标｜曲线同步20260811：Lv80→Lv71，保持原玩法定位与TTK/生存压力</t>
  </si>
  <si>
    <t>3-9</t>
  </si>
  <si>
    <t>100309</t>
  </si>
  <si>
    <t>3-9｜修正版V4：当前99关轴S33，同关标准｜V4同步最新玩家曲线：Lv93→Lv84，保留原TTK/生存压力目标｜曲线同步20260811：Lv84→Lv74，保持原玩法定位与TTK/生存压力</t>
  </si>
  <si>
    <t>3-10</t>
  </si>
  <si>
    <t>100310</t>
  </si>
  <si>
    <t>3-10｜修正版V4：当前99关轴S34，同关标准｜V4同步最新玩家曲线：Lv97→Lv88，保留原TTK/生存压力目标｜曲线同步20260811：Lv88→Lv78，保持原玩法定位与TTK/生存压力</t>
  </si>
  <si>
    <t>3-11</t>
  </si>
  <si>
    <t>100311</t>
  </si>
  <si>
    <t>3-11｜修正版V4：当前99关轴S35，同关标准｜V4同步最新玩家曲线：Lv101→Lv92，保留原TTK/生存压力目标｜曲线同步20260811：Lv92→Lv81，保持原玩法定位与TTK/生存压力</t>
  </si>
  <si>
    <t>3-12</t>
  </si>
  <si>
    <t>100312</t>
  </si>
  <si>
    <t>3-12｜修正版V4：当前99关轴S36，同关标准｜V4同步最新玩家曲线：Lv104→Lv94，保留原TTK/生存压力目标｜曲线同步20260811：Lv94→Lv83，保持原玩法定位与TTK/生存压力</t>
  </si>
  <si>
    <t>3-13</t>
  </si>
  <si>
    <t>100313</t>
  </si>
  <si>
    <t>3-13｜修正版V4：当前99关轴S37，同关标准｜V4同步最新玩家曲线：Lv108→Lv98，保留原TTK/生存压力目标｜曲线同步20260811：Lv98→Lv86，保持原玩法定位与TTK/生存压力</t>
  </si>
  <si>
    <t>3-14</t>
  </si>
  <si>
    <t>100314</t>
  </si>
  <si>
    <t>3-14｜修正版V4：当前99关轴S38，同关标准｜V4同步最新玩家曲线：Lv111→Lv101，保留原TTK/生存压力目标｜曲线同步20260811：Lv101→Lv89，保持原玩法定位与TTK/生存压力</t>
  </si>
  <si>
    <t>3-15</t>
  </si>
  <si>
    <t>100315</t>
  </si>
  <si>
    <t>3-15｜修正版V4：当前99关轴S39，同关标准｜V4同步最新玩家曲线：Lv115→Lv106，保留原TTK/生存压力目标｜曲线同步20260811：Lv106→Lv94，保持原玩法定位与TTK/生存压力</t>
  </si>
  <si>
    <t>第四章</t>
  </si>
  <si>
    <t>4-1</t>
  </si>
  <si>
    <t>100401</t>
  </si>
  <si>
    <t>4-1｜修正版V4：当前99关轴S40，同关标准｜V4同步最新玩家曲线：Lv118→Lv108，保留原TTK/生存压力目标｜曲线同步20260811：Lv108→Lv94，保持原玩法定位与TTK/生存压力</t>
  </si>
  <si>
    <t>4-2</t>
  </si>
  <si>
    <t>100402</t>
  </si>
  <si>
    <t>4-2｜修正版V4：当前99关轴S41，同关标准｜V4同步最新玩家曲线：Lv121→Lv111，保留原TTK/生存压力目标｜曲线同步20260811：Lv111→Lv97，保持原玩法定位与TTK/生存压力</t>
  </si>
  <si>
    <t>4-3</t>
  </si>
  <si>
    <t>100403</t>
  </si>
  <si>
    <t>4-3｜修正版V4：当前99关轴S42，同关标准｜V4同步最新玩家曲线：Lv125→Lv115，保留原TTK/生存压力目标｜曲线同步20260811：Lv115→Lv100，保持原玩法定位与TTK/生存压力</t>
  </si>
  <si>
    <t>4-4</t>
  </si>
  <si>
    <t>100404</t>
  </si>
  <si>
    <t>4-4｜修正版V4：当前99关轴S43，同关标准｜V4同步最新玩家曲线：Lv128→Lv118，保留原TTK/生存压力目标｜曲线同步20260811：Lv118→Lv103，保持原玩法定位与TTK/生存压力</t>
  </si>
  <si>
    <t>4-5</t>
  </si>
  <si>
    <t>100405</t>
  </si>
  <si>
    <t>4-5｜修正版V4：当前99关轴S44，同关标准｜V4同步最新玩家曲线：Lv131→Lv120，保留原TTK/生存压力目标｜曲线同步20260811：Lv120→Lv105，保持原玩法定位与TTK/生存压力</t>
  </si>
  <si>
    <t>4-6</t>
  </si>
  <si>
    <t>100406</t>
  </si>
  <si>
    <t>4-6｜修正版V4：当前99关轴S45，同关标准｜V4同步最新玩家曲线：Lv134→Lv123，保留原TTK/生存压力目标｜曲线同步20260811：Lv123→Lv107，保持原玩法定位与TTK/生存压力</t>
  </si>
  <si>
    <t>4-7</t>
  </si>
  <si>
    <t>100407</t>
  </si>
  <si>
    <t>4-7｜修正版V4：当前99关轴S46，同关标准｜V4同步最新玩家曲线：Lv137→Lv126，保留原TTK/生存压力目标｜曲线同步20260811：Lv126→Lv110，保持原玩法定位与TTK/生存压力</t>
  </si>
  <si>
    <t>4-8</t>
  </si>
  <si>
    <t>100408</t>
  </si>
  <si>
    <t>4-8｜修正版V4：当前99关轴S47，同关标准｜V4同步最新玩家曲线：Lv140→Lv129，保留原TTK/生存压力目标｜曲线同步20260811：Lv129→Lv112，保持原玩法定位与TTK/生存压力</t>
  </si>
  <si>
    <t>4-9</t>
  </si>
  <si>
    <t>100409</t>
  </si>
  <si>
    <t>4-9｜修正版V4：当前99关轴S48，同关标准｜V4同步最新玩家曲线：Lv142→Lv131，保留原TTK/生存压力目标｜曲线同步20260811：Lv131→Lv114，保持原玩法定位与TTK/生存压力</t>
  </si>
  <si>
    <t>4-10</t>
  </si>
  <si>
    <t>100410</t>
  </si>
  <si>
    <t>4-10｜修正版V4：当前99关轴S49，同关标准｜V4同步最新玩家曲线：Lv145→Lv134，保留原TTK/生存压力目标｜曲线同步20260811：Lv134→Lv116，保持原玩法定位与TTK/生存压力</t>
  </si>
  <si>
    <t>4-11</t>
  </si>
  <si>
    <t>100411</t>
  </si>
  <si>
    <t>4-11｜修正版V4：当前99关轴S50，同关标准｜V4同步最新玩家曲线：Lv148→Lv137，保留原TTK/生存压力目标｜曲线同步20260811：Lv137→Lv119，保持原玩法定位与TTK/生存压力</t>
  </si>
  <si>
    <t>4-12</t>
  </si>
  <si>
    <t>100412</t>
  </si>
  <si>
    <t>4-12｜修正版V4：当前99关轴S51，同关标准｜V4同步最新玩家曲线：Lv150→Lv139，保留原TTK/生存压力目标｜曲线同步20260811：Lv139→Lv121，保持原玩法定位与TTK/生存压力</t>
  </si>
  <si>
    <t>4-13</t>
  </si>
  <si>
    <t>100413</t>
  </si>
  <si>
    <t>4-13｜修正版V4：当前99关轴S52，同关标准｜V4同步最新玩家曲线：Lv153→Lv142，保留原TTK/生存压力目标｜曲线同步20260811：Lv142→Lv123，保持原玩法定位与TTK/生存压力</t>
  </si>
  <si>
    <t>4-14</t>
  </si>
  <si>
    <t>100414</t>
  </si>
  <si>
    <t>4-14｜修正版V4：当前99关轴S53，同关标准｜V4同步最新玩家曲线：Lv155→Lv144，保留原TTK/生存压力目标｜曲线同步20260811：Lv144→Lv125，保持原玩法定位与TTK/生存压力</t>
  </si>
  <si>
    <t>4-15</t>
  </si>
  <si>
    <t>100415</t>
  </si>
  <si>
    <t>4-15｜修正版V4：当前99关轴S54，同关标准｜V4同步最新玩家曲线：Lv158→Lv147，保留原TTK/生存压力目标｜曲线同步20260811：Lv147→Lv129，保持原玩法定位与TTK/生存压力</t>
  </si>
  <si>
    <t>第五章</t>
  </si>
  <si>
    <t>5-1</t>
  </si>
  <si>
    <t>100501</t>
  </si>
  <si>
    <t>5-1｜修正版V4：当前99关轴S55，同关标准｜V4同步最新玩家曲线：Lv160→Lv149，保留原TTK/生存压力目标｜曲线同步20260811：Lv149→Lv129，保持原玩法定位与TTK/生存压力</t>
  </si>
  <si>
    <t>5-2</t>
  </si>
  <si>
    <t>100502</t>
  </si>
  <si>
    <t>5-2｜修正版V4：当前99关轴S56，同关标准｜V4同步最新玩家曲线：Lv163→Lv152，保留原TTK/生存压力目标｜曲线同步20260811：Lv152→Lv132，保持原玩法定位与TTK/生存压力</t>
  </si>
  <si>
    <t>5-3</t>
  </si>
  <si>
    <t>100503</t>
  </si>
  <si>
    <t>5-3｜修正版V4：当前99关轴S57，同关标准｜V4同步最新玩家曲线：Lv165→Lv154，保留原TTK/生存压力目标｜曲线同步20260811：Lv154→Lv133，保持原玩法定位与TTK/生存压力</t>
  </si>
  <si>
    <t>5-4</t>
  </si>
  <si>
    <t>100504</t>
  </si>
  <si>
    <t>5-4｜修正版V4：当前99关轴S58，同关标准｜V4同步最新玩家曲线：Lv167→Lv156，保留原TTK/生存压力目标｜曲线同步20260811：Lv156→Lv135，保持原玩法定位与TTK/生存压力</t>
  </si>
  <si>
    <t>5-5</t>
  </si>
  <si>
    <t>100505</t>
  </si>
  <si>
    <t>5-5｜修正版V4：当前99关轴S59，同关标准｜V4同步最新玩家曲线：Lv169→Lv158，保留原TTK/生存压力目标｜曲线同步20260811：Lv158→Lv137，保持原玩法定位与TTK/生存压力</t>
  </si>
  <si>
    <t>5-6</t>
  </si>
  <si>
    <t>100506</t>
  </si>
  <si>
    <t>5-6｜修正版V4：当前99关轴S60，同关标准｜V4同步最新玩家曲线：Lv172→Lv161，保留原TTK/生存压力目标｜曲线同步20260811：Lv161→Lv139，保持原玩法定位与TTK/生存压力</t>
  </si>
  <si>
    <t>5-7</t>
  </si>
  <si>
    <t>100507</t>
  </si>
  <si>
    <t>5-7｜修正版V4：当前99关轴S61，同关标准｜V4同步最新玩家曲线：Lv174→Lv163，保留原TTK/生存压力目标｜曲线同步20260811：Lv163→Lv141，保持原玩法定位与TTK/生存压力</t>
  </si>
  <si>
    <t>5-8</t>
  </si>
  <si>
    <t>100508</t>
  </si>
  <si>
    <t>5-8｜修正版V4：当前99关轴S62，同关标准｜V4同步最新玩家曲线：Lv176→Lv165，保留原TTK/生存压力目标｜曲线同步20260811：Lv165→Lv143，保持原玩法定位与TTK/生存压力</t>
  </si>
  <si>
    <t>5-9</t>
  </si>
  <si>
    <t>100509</t>
  </si>
  <si>
    <t>5-9｜修正版V4：当前99关轴S63，同关标准｜V4同步最新玩家曲线：Lv178→Lv167，保留原TTK/生存压力目标｜曲线同步20260811：Lv167→Lv145，保持原玩法定位与TTK/生存压力</t>
  </si>
  <si>
    <t>5-10</t>
  </si>
  <si>
    <t>100510</t>
  </si>
  <si>
    <t>5-10｜修正版V4：当前99关轴S64，同关标准｜V4同步最新玩家曲线：Lv180→Lv169，保留原TTK/生存压力目标｜曲线同步20260811：Lv169→Lv146，保持原玩法定位与TTK/生存压力</t>
  </si>
  <si>
    <t>5-11</t>
  </si>
  <si>
    <t>100511</t>
  </si>
  <si>
    <t>5-11｜修正版V4：当前99关轴S65，同关标准｜V4同步最新玩家曲线：Lv183→Lv171，保留原TTK/生存压力目标｜曲线同步20260811：Lv171→Lv148，保持原玩法定位与TTK/生存压力</t>
  </si>
  <si>
    <t>5-12</t>
  </si>
  <si>
    <t>100512</t>
  </si>
  <si>
    <t>5-12｜修正版V4：当前99关轴S66，同关标准｜V4同步最新玩家曲线：Lv186→Lv174，保留原TTK/生存压力目标｜曲线同步20260811：Lv174→Lv150，保持原玩法定位与TTK/生存压力</t>
  </si>
  <si>
    <t>5-13</t>
  </si>
  <si>
    <t>100513</t>
  </si>
  <si>
    <t>5-13｜修正版V4：当前99关轴S67，同关标准｜V4同步最新玩家曲线：Lv188→Lv176，保留原TTK/生存压力目标｜曲线同步20260811：Lv176→Lv152，保持原玩法定位与TTK/生存压力</t>
  </si>
  <si>
    <t>5-14</t>
  </si>
  <si>
    <t>100514</t>
  </si>
  <si>
    <t>5-14｜修正版V4：当前99关轴S68，同关标准｜V4同步最新玩家曲线：Lv191→Lv179，保留原TTK/生存压力目标｜曲线同步20260811：Lv179→Lv154，保持原玩法定位与TTK/生存压力</t>
  </si>
  <si>
    <t>5-15</t>
  </si>
  <si>
    <t>100515</t>
  </si>
  <si>
    <t>5-15｜修正版V4：当前99关轴S69，同关标准｜V4同步最新玩家曲线：Lv194→Lv182，保留原TTK/生存压力目标｜曲线同步20260811：Lv182→Lv158，保持原玩法定位与TTK/生存压力</t>
  </si>
  <si>
    <t>第六章</t>
  </si>
  <si>
    <t>6-1</t>
  </si>
  <si>
    <t>100601</t>
  </si>
  <si>
    <t>6-1｜修正版V4：当前99关轴S70，同关标准｜V4同步最新玩家曲线：Lv197→Lv184，保留原TTK/生存压力目标｜曲线同步20260811：Lv184→Lv159，保持原玩法定位与TTK/生存压力</t>
  </si>
  <si>
    <t>6-2</t>
  </si>
  <si>
    <t>100602</t>
  </si>
  <si>
    <t>6-2｜修正版V4：当前99关轴S71，同关标准｜V4同步最新玩家曲线：Lv199→Lv186，保留原TTK/生存压力目标｜曲线同步20260811：Lv186→Lv160，保持原玩法定位与TTK/生存压力</t>
  </si>
  <si>
    <t>6-3</t>
  </si>
  <si>
    <t>100603</t>
  </si>
  <si>
    <t>6-3｜修正版V4：当前99关轴S72，同关标准｜V4同步最新玩家曲线：Lv202→Lv189，保留原TTK/生存压力目标｜曲线同步20260811：Lv189→Lv163，保持原玩法定位与TTK/生存压力</t>
  </si>
  <si>
    <t>6-4</t>
  </si>
  <si>
    <t>100604</t>
  </si>
  <si>
    <t>6-4｜修正版V4：当前99关轴S73，同关标准｜V4同步最新玩家曲线：Lv204→Lv191，保留原TTK/生存压力目标｜曲线同步20260811：Lv191→Lv164，保持原玩法定位与TTK/生存压力</t>
  </si>
  <si>
    <t>6-5</t>
  </si>
  <si>
    <t>100605</t>
  </si>
  <si>
    <t>6-5｜修正版V4：当前99关轴S74，同关标准｜V4同步最新玩家曲线：Lv206→Lv193，保留原TTK/生存压力目标｜曲线同步20260811：Lv193→Lv166，保持原玩法定位与TTK/生存压力</t>
  </si>
  <si>
    <t>6-6</t>
  </si>
  <si>
    <t>100606</t>
  </si>
  <si>
    <t>6-6｜修正版V4：当前99关轴S75，同关标准｜V4同步最新玩家曲线：Lv209→Lv196，保留原TTK/生存压力目标｜曲线同步20260811：Lv196→Lv169，保持原玩法定位与TTK/生存压力</t>
  </si>
  <si>
    <t>6-7</t>
  </si>
  <si>
    <t>100607</t>
  </si>
  <si>
    <t>6-7｜修正版V4：当前99关轴S76，同关标准｜V4同步最新玩家曲线：Lv211→Lv198，保留原TTK/生存压力目标｜曲线同步20260811：Lv198→Lv170，保持原玩法定位与TTK/生存压力</t>
  </si>
  <si>
    <t>6-8</t>
  </si>
  <si>
    <t>100608</t>
  </si>
  <si>
    <t>6-8｜修正版V4：当前99关轴S77，同关标准｜V4同步最新玩家曲线：Lv213→Lv199，保留原TTK/生存压力目标｜曲线同步20260811：Lv199→Lv171，保持原玩法定位与TTK/生存压力</t>
  </si>
  <si>
    <t>6-9</t>
  </si>
  <si>
    <t>100609</t>
  </si>
  <si>
    <t>6-9｜修正版V4：当前99关轴S78，同关标准｜V4同步最新玩家曲线：Lv215→Lv201，保留原TTK/生存压力目标｜曲线同步20260811：Lv201→Lv173，保持原玩法定位与TTK/生存压力</t>
  </si>
  <si>
    <t>6-10</t>
  </si>
  <si>
    <t>100610</t>
  </si>
  <si>
    <t>6-10｜修正版V4：当前99关轴S79，同关标准｜V4同步最新玩家曲线：Lv217→Lv203，保留原TTK/生存压力目标｜曲线同步20260811：Lv203→Lv174，保持原玩法定位与TTK/生存压力</t>
  </si>
  <si>
    <t>6-11</t>
  </si>
  <si>
    <t>100611</t>
  </si>
  <si>
    <t>6-11｜修正版V4：当前99关轴S80，同关标准｜V4同步最新玩家曲线：Lv219→Lv205，保留原TTK/生存压力目标｜曲线同步20260811：Lv205→Lv176，保持原玩法定位与TTK/生存压力</t>
  </si>
  <si>
    <t>6-12</t>
  </si>
  <si>
    <t>100612</t>
  </si>
  <si>
    <t>6-12｜修正版V4：当前99关轴S81，同关标准｜V4同步最新玩家曲线：Lv221→Lv207，保留原TTK/生存压力目标｜曲线同步20260811：Lv207→Lv178，保持原玩法定位与TTK/生存压力</t>
  </si>
  <si>
    <t>6-13</t>
  </si>
  <si>
    <t>100613</t>
  </si>
  <si>
    <t>6-13｜修正版V4：当前99关轴S82，同关标准｜V4同步最新玩家曲线：Lv223→Lv209，保留原TTK/生存压力目标｜曲线同步20260811：Lv209→Lv180，保持原玩法定位与TTK/生存压力</t>
  </si>
  <si>
    <t>6-14</t>
  </si>
  <si>
    <t>100614</t>
  </si>
  <si>
    <t>6-14｜修正版V4：当前99关轴S83，同关标准｜V4同步最新玩家曲线：Lv225→Lv211，保留原TTK/生存压力目标｜曲线同步20260811：Lv211→Lv181，保持原玩法定位与TTK/生存压力</t>
  </si>
  <si>
    <t>6-15</t>
  </si>
  <si>
    <t>100615</t>
  </si>
  <si>
    <t>6-15｜修正版V4：当前99关轴S84，同关标准｜V4同步最新玩家曲线：Lv227→Lv214，保留原TTK/生存压力目标｜曲线同步20260811：Lv214→Lv185，保持原玩法定位与TTK/生存压力</t>
  </si>
  <si>
    <t>第七章</t>
  </si>
  <si>
    <t>7-1</t>
  </si>
  <si>
    <t>100701</t>
  </si>
  <si>
    <t>7-1｜修正版V4：当前99关轴S85，同关标准｜V4同步最新玩家曲线：Lv228→Lv214，保留原TTK/生存压力目标｜曲线同步20260811：Lv214→Lv185，保持原玩法定位与TTK/生存压力</t>
  </si>
  <si>
    <t>7-2</t>
  </si>
  <si>
    <t>100702</t>
  </si>
  <si>
    <t>7-2｜修正版V4：当前99关轴S86，同关标准｜V4同步最新玩家曲线：Lv230→Lv216，保留原TTK/生存压力目标｜曲线同步20260811：Lv216→Lv185，保持原玩法定位与TTK/生存压力</t>
  </si>
  <si>
    <t>7-3</t>
  </si>
  <si>
    <t>100703</t>
  </si>
  <si>
    <t>7-3｜修正版V4：当前99关轴S87，同关标准｜V4同步最新玩家曲线：Lv232→Lv218，保留原TTK/生存压力目标｜曲线同步20260811：Lv218→Lv187，保持原玩法定位与TTK/生存压力</t>
  </si>
  <si>
    <t>7-4</t>
  </si>
  <si>
    <t>100704</t>
  </si>
  <si>
    <t>7-4｜修正版V4：当前99关轴S88，同关标准｜V4同步最新玩家曲线：Lv233→Lv219，保留原TTK/生存压力目标｜曲线同步20260811：Lv219→Lv188，保持原玩法定位与TTK/生存压力</t>
  </si>
  <si>
    <t>7-5</t>
  </si>
  <si>
    <t>100705</t>
  </si>
  <si>
    <t>7-5｜修正版V4：当前99关轴S89，同关标准｜V4同步最新玩家曲线：Lv235→Lv221，保留原TTK/生存压力目标｜曲线同步20260811：Lv221→Lv190，保持原玩法定位与TTK/生存压力</t>
  </si>
  <si>
    <t>7-6</t>
  </si>
  <si>
    <t>100706</t>
  </si>
  <si>
    <t>7-6｜修正版V4：当前99关轴S90，同关标准｜V4同步最新玩家曲线：Lv236→Lv222，保留原TTK/生存压力目标｜曲线同步20260811：Lv222→Lv191，保持原玩法定位与TTK/生存压力</t>
  </si>
  <si>
    <t>7-7</t>
  </si>
  <si>
    <t>100707</t>
  </si>
  <si>
    <t>7-7｜修正版V4：当前99关轴S91，同关标准｜V4同步最新玩家曲线：Lv238→Lv224，保留原TTK/生存压力目标｜曲线同步20260811：Lv224→Lv192，保持原玩法定位与TTK/生存压力</t>
  </si>
  <si>
    <t>7-8</t>
  </si>
  <si>
    <t>100708</t>
  </si>
  <si>
    <t>7-8｜修正版V4：当前99关轴S92，同关标准｜V4同步最新玩家曲线：Lv239→Lv225，保留原TTK/生存压力目标｜曲线同步20260811：Lv225→Lv193，保持原玩法定位与TTK/生存压力</t>
  </si>
  <si>
    <t>7-9</t>
  </si>
  <si>
    <t>100709</t>
  </si>
  <si>
    <t>7-9｜修正版V4：当前99关轴S93，同关标准｜V4同步最新玩家曲线：Lv241→Lv227，保留原TTK/生存压力目标｜曲线同步20260811：Lv227→Lv195，保持原玩法定位与TTK/生存压力</t>
  </si>
  <si>
    <t>7-10</t>
  </si>
  <si>
    <t>100710</t>
  </si>
  <si>
    <t>7-10｜修正版V4：当前99关轴S94，同关标准｜V4同步最新玩家曲线：Lv242→Lv228，保留原TTK/生存压力目标｜曲线同步20260811：Lv228→Lv196，保持原玩法定位与TTK/生存压力</t>
  </si>
  <si>
    <t>7-11</t>
  </si>
  <si>
    <t>100711</t>
  </si>
  <si>
    <t>7-11｜修正版V4：当前99关轴S95，同关标准｜V4同步最新玩家曲线：Lv244→Lv230，保留原TTK/生存压力目标｜曲线同步20260811：Lv230→Lv198，保持原玩法定位与TTK/生存压力</t>
  </si>
  <si>
    <t>7-12</t>
  </si>
  <si>
    <t>100712</t>
  </si>
  <si>
    <t>7-12｜修正版V4：当前99关轴S96，同关标准｜V4同步最新玩家曲线：Lv245→Lv231，保留原TTK/生存压力目标｜曲线同步20260811：Lv231→Lv198，保持原玩法定位与TTK/生存压力</t>
  </si>
  <si>
    <t>7-13</t>
  </si>
  <si>
    <t>100713</t>
  </si>
  <si>
    <t>7-13｜修正版V4：当前99关轴S97，同关标准｜V4同步最新玩家曲线：Lv246→Lv232，保留原TTK/生存压力目标｜曲线同步20260811：Lv232→Lv199，保持原玩法定位与TTK/生存压力</t>
  </si>
  <si>
    <t>7-14</t>
  </si>
  <si>
    <t>100714</t>
  </si>
  <si>
    <t>7-14｜修正版V4：当前99关轴S98，同关标准｜V4同步最新玩家曲线：Lv248→Lv234，保留原TTK/生存压力目标｜曲线同步20260811：Lv234→Lv201，保持原玩法定位与TTK/生存压力</t>
  </si>
  <si>
    <t>7-15</t>
  </si>
  <si>
    <t>100715</t>
  </si>
  <si>
    <t>7-15｜修正版V4：当前99关轴S99，同关标准｜V4同步最新玩家曲线：Lv249→Lv236，保留原TTK/生存压力目标｜曲线同步20260811：Lv236→Lv204，保持原玩法定位与TTK/生存压力</t>
  </si>
  <si>
    <t>全玩法难度填写｜困难主线</t>
  </si>
  <si>
    <t>第1章</t>
  </si>
  <si>
    <t>高难1-1</t>
  </si>
  <si>
    <t>110101</t>
  </si>
  <si>
    <t>高难1-1；通关5-15后统一开放｜修正版V4：对照S71，略高于开放基点S69/Lv194｜V4同步最新玩家曲线：Lv199→Lv186，保留原TTK/生存压力目标｜曲线同步20260811：Lv186→Lv160，保持原玩法定位与TTK/生存压力</t>
  </si>
  <si>
    <t>高难1-2</t>
  </si>
  <si>
    <t>110102</t>
  </si>
  <si>
    <t>高难1-2；通关5-15后统一开放｜修正版V4：对照S72，略高于开放基点S69/Lv194｜V4同步最新玩家曲线：Lv202→Lv189，保留原TTK/生存压力目标｜曲线同步20260811：Lv189→Lv163，保持原玩法定位与TTK/生存压力</t>
  </si>
  <si>
    <t>高难1-3</t>
  </si>
  <si>
    <t>110103</t>
  </si>
  <si>
    <t>高难1-3；通关5-15后统一开放｜修正版V4：对照S73，略高于开放基点S69/Lv194｜V4同步最新玩家曲线：Lv204→Lv191，保留原TTK/生存压力目标｜曲线同步20260811：Lv191→Lv164，保持原玩法定位与TTK/生存压力</t>
  </si>
  <si>
    <t>高难1-4</t>
  </si>
  <si>
    <t>110104</t>
  </si>
  <si>
    <t>高难1-4；通关5-15后统一开放｜修正版V4：对照S74，略高于开放基点S69/Lv194｜V4同步最新玩家曲线：Lv206→Lv193，保留原TTK/生存压力目标｜曲线同步20260811：Lv193→Lv166，保持原玩法定位与TTK/生存压力</t>
  </si>
  <si>
    <t>高难1-5</t>
  </si>
  <si>
    <t>110105</t>
  </si>
  <si>
    <t>高难1-5；通关5-15后统一开放｜修正版V4：对照S75，略高于开放基点S69/Lv194｜V4同步最新玩家曲线：Lv209→Lv196，保留原TTK/生存压力目标｜曲线同步20260811：Lv196→Lv169，保持原玩法定位与TTK/生存压力</t>
  </si>
  <si>
    <t>第2章</t>
  </si>
  <si>
    <t>高难2-1</t>
  </si>
  <si>
    <t>110201</t>
  </si>
  <si>
    <t>高难2-1；通关5-15后统一开放｜修正版V4：对照S76，略高于开放基点S69/Lv194｜V4同步最新玩家曲线：Lv211→Lv198，保留原TTK/生存压力目标｜曲线同步20260811：Lv198→Lv170，保持原玩法定位与TTK/生存压力</t>
  </si>
  <si>
    <t>高难2-2</t>
  </si>
  <si>
    <t>110202</t>
  </si>
  <si>
    <t>高难2-2；通关5-15后统一开放｜修正版V4：对照S77，略高于开放基点S69/Lv194｜V4同步最新玩家曲线：Lv213→Lv199，保留原TTK/生存压力目标｜曲线同步20260811：Lv199→Lv171，保持原玩法定位与TTK/生存压力</t>
  </si>
  <si>
    <t>高难2-3</t>
  </si>
  <si>
    <t>110203</t>
  </si>
  <si>
    <t>高难2-3；通关5-15后统一开放｜修正版V4：对照S78，略高于开放基点S69/Lv194｜V4同步最新玩家曲线：Lv215→Lv201，保留原TTK/生存压力目标｜曲线同步20260811：Lv201→Lv173，保持原玩法定位与TTK/生存压力</t>
  </si>
  <si>
    <t>高难2-4</t>
  </si>
  <si>
    <t>110204</t>
  </si>
  <si>
    <t>高难2-4；通关5-15后统一开放｜修正版V4：对照S79，略高于开放基点S69/Lv194｜V4同步最新玩家曲线：Lv217→Lv203，保留原TTK/生存压力目标｜曲线同步20260811：Lv203→Lv174，保持原玩法定位与TTK/生存压力</t>
  </si>
  <si>
    <t>高难2-5</t>
  </si>
  <si>
    <t>110205</t>
  </si>
  <si>
    <t>高难2-5；通关5-15后统一开放｜修正版V4：对照S80，略高于开放基点S69/Lv194｜V4同步最新玩家曲线：Lv219→Lv205，保留原TTK/生存压力目标｜曲线同步20260811：Lv205→Lv176，保持原玩法定位与TTK/生存压力</t>
  </si>
  <si>
    <t>第3章</t>
  </si>
  <si>
    <t>高难3-1</t>
  </si>
  <si>
    <t>110301</t>
  </si>
  <si>
    <t>高难3-1；通关5-15后统一开放｜修正版V4：对照S81，略高于开放基点S69/Lv194｜V4同步最新玩家曲线：Lv221→Lv207，保留原TTK/生存压力目标｜曲线同步20260811：Lv207→Lv178，保持原玩法定位与TTK/生存压力</t>
  </si>
  <si>
    <t>高难3-2</t>
  </si>
  <si>
    <t>110302</t>
  </si>
  <si>
    <t>高难3-2；通关5-15后统一开放｜修正版V4：对照S82，略高于开放基点S69/Lv194｜V4同步最新玩家曲线：Lv223→Lv209，保留原TTK/生存压力目标｜曲线同步20260811：Lv209→Lv180，保持原玩法定位与TTK/生存压力</t>
  </si>
  <si>
    <t>高难3-3</t>
  </si>
  <si>
    <t>110303</t>
  </si>
  <si>
    <t>高难3-3；通关5-15后统一开放｜修正版V4：对照S83，略高于开放基点S69/Lv194｜V4同步最新玩家曲线：Lv225→Lv211，保留原TTK/生存压力目标｜曲线同步20260811：Lv211→Lv181，保持原玩法定位与TTK/生存压力</t>
  </si>
  <si>
    <t>高难3-4</t>
  </si>
  <si>
    <t>110304</t>
  </si>
  <si>
    <t>高难3-4；通关5-15后统一开放｜修正版V4：对照S84，略高于开放基点S69/Lv194｜V4同步最新玩家曲线：Lv227→Lv213，保留原TTK/生存压力目标｜曲线同步20260811：Lv213→Lv183，保持原玩法定位与TTK/生存压力</t>
  </si>
  <si>
    <t>高难3-5</t>
  </si>
  <si>
    <t>110305</t>
  </si>
  <si>
    <t>高难3-5；通关5-15后统一开放｜修正版V4：对照S85，略高于开放基点S69/Lv194｜V4同步最新玩家曲线：Lv228→Lv214，保留原TTK/生存压力目标｜曲线同步20260811：Lv214→Lv184，保持原玩法定位与TTK/生存压力</t>
  </si>
  <si>
    <t>第4章</t>
  </si>
  <si>
    <t>高难4-1</t>
  </si>
  <si>
    <t>110401</t>
  </si>
  <si>
    <t>高难4-1；通关5-15后统一开放｜修正版V4：对照S86，略高于开放基点S69/Lv194｜V4同步最新玩家曲线：Lv230→Lv216，保留原TTK/生存压力目标｜曲线同步20260811：Lv216→Lv185，保持原玩法定位与TTK/生存压力</t>
  </si>
  <si>
    <t>高难4-2</t>
  </si>
  <si>
    <t>110402</t>
  </si>
  <si>
    <t>高难4-2；通关5-15后统一开放｜修正版V4：对照S87，略高于开放基点S69/Lv194｜V4同步最新玩家曲线：Lv232→Lv218，保留原TTK/生存压力目标｜曲线同步20260811：Lv218→Lv187，保持原玩法定位与TTK/生存压力</t>
  </si>
  <si>
    <t>高难4-3</t>
  </si>
  <si>
    <t>110403</t>
  </si>
  <si>
    <t>高难4-3；通关5-15后统一开放｜修正版V4：对照S88，略高于开放基点S69/Lv194｜V4同步最新玩家曲线：Lv233→Lv219，保留原TTK/生存压力目标｜曲线同步20260811：Lv219→Lv188，保持原玩法定位与TTK/生存压力</t>
  </si>
  <si>
    <t>高难4-4</t>
  </si>
  <si>
    <t>110404</t>
  </si>
  <si>
    <t>高难4-4；通关5-15后统一开放｜修正版V4：对照S89，略高于开放基点S69/Lv194｜V4同步最新玩家曲线：Lv235→Lv221，保留原TTK/生存压力目标｜曲线同步20260811：Lv221→Lv190，保持原玩法定位与TTK/生存压力</t>
  </si>
  <si>
    <t>高难4-5</t>
  </si>
  <si>
    <t>110405</t>
  </si>
  <si>
    <t>高难4-5；通关5-15后统一开放｜修正版V4：对照S90，略高于开放基点S69/Lv194｜V4同步最新玩家曲线：Lv236→Lv222，保留原TTK/生存压力目标｜曲线同步20260811：Lv222→Lv191，保持原玩法定位与TTK/生存压力</t>
  </si>
  <si>
    <t>第5章</t>
  </si>
  <si>
    <t>高难5-1</t>
  </si>
  <si>
    <t>110501</t>
  </si>
  <si>
    <t>高难5-1；通关5-15后统一开放｜修正版V4：对照S91，略高于开放基点S69/Lv194｜V4同步最新玩家曲线：Lv238→Lv224，保留原TTK/生存压力目标｜曲线同步20260811：Lv224→Lv192，保持原玩法定位与TTK/生存压力</t>
  </si>
  <si>
    <t>高难5-2</t>
  </si>
  <si>
    <t>110502</t>
  </si>
  <si>
    <t>高难5-2；通关5-15后统一开放｜修正版V4：对照S92，略高于开放基点S69/Lv194｜V4同步最新玩家曲线：Lv239→Lv225，保留原TTK/生存压力目标｜曲线同步20260811：Lv225→Lv193，保持原玩法定位与TTK/生存压力</t>
  </si>
  <si>
    <t>高难5-3</t>
  </si>
  <si>
    <t>110503</t>
  </si>
  <si>
    <t>高难5-3；通关5-15后统一开放｜修正版V4：对照S93，略高于开放基点S69/Lv194｜V4同步最新玩家曲线：Lv241→Lv227，保留原TTK/生存压力目标｜曲线同步20260811：Lv227→Lv195，保持原玩法定位与TTK/生存压力</t>
  </si>
  <si>
    <t>高难5-4</t>
  </si>
  <si>
    <t>110504</t>
  </si>
  <si>
    <t>高难5-4；通关5-15后统一开放｜修正版V4：对照S94，略高于开放基点S69/Lv194｜V4同步最新玩家曲线：Lv242→Lv228，保留原TTK/生存压力目标｜曲线同步20260811：Lv228→Lv196，保持原玩法定位与TTK/生存压力</t>
  </si>
  <si>
    <t>高难5-5</t>
  </si>
  <si>
    <t>110505</t>
  </si>
  <si>
    <t>高难5-5；通关5-15后统一开放｜修正版V4：对照S95，略高于开放基点S69/Lv194｜V4同步最新玩家曲线：Lv244→Lv230，保留原TTK/生存压力目标｜曲线同步20260811：Lv230→Lv198，保持原玩法定位与TTK/生存压力</t>
  </si>
  <si>
    <t>第6章</t>
  </si>
  <si>
    <t>高难6-1</t>
  </si>
  <si>
    <t>110601</t>
  </si>
  <si>
    <t>高难6-1；通关5-15后统一开放｜修正版V4：对照S96，略高于开放基点S69/Lv194｜V4同步最新玩家曲线：Lv245→Lv231，保留原TTK/生存压力目标｜曲线同步20260811：Lv231→Lv198，保持原玩法定位与TTK/生存压力</t>
  </si>
  <si>
    <t>高难6-2</t>
  </si>
  <si>
    <t>110602</t>
  </si>
  <si>
    <t>高难6-2；通关5-15后统一开放｜修正版V4：对照S97，略高于开放基点S69/Lv194｜V4同步最新玩家曲线：Lv246→Lv232，保留原TTK/生存压力目标｜曲线同步20260811：Lv232→Lv199，保持原玩法定位与TTK/生存压力</t>
  </si>
  <si>
    <t>高难6-3</t>
  </si>
  <si>
    <t>110603</t>
  </si>
  <si>
    <t>高难6-3；通关5-15后统一开放｜修正版V4：对照S98，略高于开放基点S69/Lv194｜V4同步最新玩家曲线：Lv248→Lv234，保留原TTK/生存压力目标｜曲线同步20260811：Lv234→Lv201，保持原玩法定位与TTK/生存压力</t>
  </si>
  <si>
    <t>高难6-4</t>
  </si>
  <si>
    <t>110604</t>
  </si>
  <si>
    <t>高难6-4；通关5-15后统一开放｜修正版V4：对照S99，略高于开放基点S69/Lv194｜V4同步最新玩家曲线：Lv249→Lv235，保留原TTK/生存压力目标｜曲线同步20260811：Lv235→Lv202，保持原玩法定位与TTK/生存压力</t>
  </si>
  <si>
    <t>高难6-5</t>
  </si>
  <si>
    <t>110605</t>
  </si>
  <si>
    <t>高难6-5；通关5-15后统一开放｜修正版V4：对照S100，略高于开放基点S69/Lv194｜V4同步最新玩家曲线：Lv250→Lv236，保留原TTK/生存压力目标｜曲线同步20260811：Lv236→Lv203，保持原玩法定位与TTK/生存压力</t>
  </si>
  <si>
    <t>第7章</t>
  </si>
  <si>
    <t>高难7-1</t>
  </si>
  <si>
    <t>110701</t>
  </si>
  <si>
    <t>高难7-1；通关5-15后统一开放｜修正版V4：对照S101，略高于开放基点S69/Lv194｜V4同步最新玩家曲线：Lv252→Lv238，保留原TTK/生存压力目标｜曲线同步20260811：Lv238→Lv205，保持原玩法定位与TTK/生存压力</t>
  </si>
  <si>
    <t>高难7-2</t>
  </si>
  <si>
    <t>110702</t>
  </si>
  <si>
    <t>高难7-2；通关5-15后统一开放｜修正版V4：对照S102，略高于开放基点S69/Lv194｜V4同步最新玩家曲线：Lv255→Lv241，保留原TTK/生存压力目标｜曲线同步20260811：Lv241→Lv207，保持原玩法定位与TTK/生存压力</t>
  </si>
  <si>
    <t>高难7-3</t>
  </si>
  <si>
    <t>110703</t>
  </si>
  <si>
    <t>高难7-3；通关5-15后统一开放｜修正版V4：对照S103，略高于开放基点S69/Lv194｜V4同步最新玩家曲线：Lv257→Lv243，保留原TTK/生存压力目标｜曲线同步20260811：Lv243→Lv209，保持原玩法定位与TTK/生存压力</t>
  </si>
  <si>
    <t>高难7-4</t>
  </si>
  <si>
    <t>110704</t>
  </si>
  <si>
    <t>高难7-4；通关5-15后统一开放｜修正版V4：对照S104，略高于开放基点S69/Lv194｜V4同步最新玩家曲线：Lv259→Lv245，保留原TTK/生存压力目标｜曲线同步20260811：Lv245→Lv211，保持原玩法定位与TTK/生存压力</t>
  </si>
  <si>
    <t>高难7-5</t>
  </si>
  <si>
    <t>110705</t>
  </si>
  <si>
    <t>高难7-5；通关5-15后统一开放｜修正版V4：对照S105，略高于开放基点S69/Lv194｜V4同步最新玩家曲线：Lv261→Lv247，保留原TTK/生存压力目标｜曲线同步20260811：Lv247→Lv212，保持原玩法定位与TTK/生存压力</t>
  </si>
  <si>
    <t>全玩法难度填写｜角色经验</t>
  </si>
  <si>
    <t>资源副本</t>
  </si>
  <si>
    <t>难度1</t>
  </si>
  <si>
    <t>210001</t>
  </si>
  <si>
    <t>档位解锁Lv10；修正版V4：首档送进度，9档共用Lv27→180缓升；对照节点S16｜V4同步最新玩家曲线：Lv30→Lv27，保留原TTK/生存压力目标｜曲线同步20260811：Lv27→Lv25，保持原玩法定位与TTK/生存压力</t>
  </si>
  <si>
    <t>难度2</t>
  </si>
  <si>
    <t>210002</t>
  </si>
  <si>
    <t>档位解锁Lv15；修正版V4：首档送进度，9档共用Lv30→180缓升；对照节点S20｜V4同步最新玩家曲线：Lv41→Lv32，保留原TTK/生存压力目标｜曲线同步20260811：Lv32→Lv29，保持原玩法定位与TTK/生存压力</t>
  </si>
  <si>
    <t>难度3</t>
  </si>
  <si>
    <t>210003</t>
  </si>
  <si>
    <t>档位解锁Lv20；修正版V4：首档送进度，9档共用Lv30→180缓升；对照节点S33｜V4同步最新玩家曲线：Lv57→Lv51，保留原TTK/生存压力目标｜曲线同步20260811：Lv51→Lv44，保持原玩法定位与TTK/生存压力</t>
  </si>
  <si>
    <t>难度4</t>
  </si>
  <si>
    <t>210004</t>
  </si>
  <si>
    <t>档位解锁Lv25；修正版V4：首档送进度，9档共用Lv30→180缓升；对照节点S48｜V4同步最新玩家曲线：Lv74→Lv67，保留原TTK/生存压力目标｜曲线同步20260811：Lv67→Lv56，保持原玩法定位与TTK/生存压力</t>
  </si>
  <si>
    <t>难度5</t>
  </si>
  <si>
    <t>210005</t>
  </si>
  <si>
    <t>档位解锁Lv30；修正版V4：首档送进度，9档共用Lv30→180缓升；对照节点S64｜V4同步最新玩家曲线：Lv93→Lv85，保留原TTK/生存压力目标｜曲线同步20260811：Lv85→Lv70，保持原玩法定位与TTK/生存压力</t>
  </si>
  <si>
    <t>难度6</t>
  </si>
  <si>
    <t>210006</t>
  </si>
  <si>
    <t>档位解锁Lv35；修正版V4：首档送进度，9档共用Lv30→180缓升；对照节点S85｜V4同步最新玩家曲线：Lv113→Lv104，保留原TTK/生存压力目标｜曲线同步20260811：Lv104→Lv85，保持原玩法定位与TTK/生存压力</t>
  </si>
  <si>
    <t>难度7</t>
  </si>
  <si>
    <t>210007</t>
  </si>
  <si>
    <t>档位解锁Lv40；修正版V4：首档送进度，9档共用Lv30→180缓升；对照节点S108｜V4同步最新玩家曲线：Lv135→Lv126，保留原TTK/生存压力目标｜曲线同步20260811：Lv126→Lv103，保持原玩法定位与TTK/生存压力</t>
  </si>
  <si>
    <t>难度8</t>
  </si>
  <si>
    <t>210008</t>
  </si>
  <si>
    <t>档位解锁Lv45；修正版V4：首档送进度，9档共用Lv30→180缓升；对照节点S124｜V4同步最新玩家曲线：Lv157→Lv148，保留原TTK/生存压力目标｜曲线同步20260811：Lv148→Lv122，保持原玩法定位与TTK/生存压力</t>
  </si>
  <si>
    <t>难度9</t>
  </si>
  <si>
    <t>210009</t>
  </si>
  <si>
    <t>档位解锁Lv50；修正版V4：首档送进度，9档共用Lv30→180缓升；对照节点S146｜V4同步最新玩家曲线：Lv180→Lv171，保留原TTK/生存压力目标｜曲线同步20260811：Lv171→Lv142，保持原玩法定位与TTK/生存压力</t>
  </si>
  <si>
    <t>全玩法难度填写｜金币</t>
  </si>
  <si>
    <t>220001</t>
  </si>
  <si>
    <t>220002</t>
  </si>
  <si>
    <t>220003</t>
  </si>
  <si>
    <t>220004</t>
  </si>
  <si>
    <t>220005</t>
  </si>
  <si>
    <t>220006</t>
  </si>
  <si>
    <t>220007</t>
  </si>
  <si>
    <t>220008</t>
  </si>
  <si>
    <t>220009</t>
  </si>
  <si>
    <t>全玩法难度填写｜收容经验</t>
  </si>
  <si>
    <t>221001</t>
  </si>
  <si>
    <t>221002</t>
  </si>
  <si>
    <t>221003</t>
  </si>
  <si>
    <t>221004</t>
  </si>
  <si>
    <t>221005</t>
  </si>
  <si>
    <t>221006</t>
  </si>
  <si>
    <t>221007</t>
  </si>
  <si>
    <t>221008</t>
  </si>
  <si>
    <t>221009</t>
  </si>
  <si>
    <t>全玩法难度填写｜旅券</t>
  </si>
  <si>
    <t>4主题共用</t>
  </si>
  <si>
    <t>241001;242001;243001;244001</t>
  </si>
  <si>
    <t>旅券系统Lv38开放；4个主题共用难度档｜修正版V4：首档Lv169送进度，前三档缓升，难度4后逐步接回长期曲线；对照S100｜V4同步最新玩家曲线：Lv180→Lv169，保留原TTK/生存压力目标｜曲线同步20260811：Lv169→Lv143，保持原玩法定位与TTK/生存压力</t>
  </si>
  <si>
    <t>241002;242002;243002;244002</t>
  </si>
  <si>
    <t>旅券系统Lv38开放；4个主题共用难度档｜修正版V4：首档Lv180送进度，前三档缓升，难度4后逐步接回长期曲线；对照S112｜V4同步最新玩家曲线：Lv225→Lv213，保留原TTK/生存压力目标｜曲线同步20260811：Lv213→Lv183，保持原玩法定位与TTK/生存压力</t>
  </si>
  <si>
    <t>241003;242003;243003;244003</t>
  </si>
  <si>
    <t>旅券系统Lv38开放；4个主题共用难度档｜修正版V4：首档Lv180送进度，前三档缓升，难度4后逐步接回长期曲线；对照S126｜V4同步最新玩家曲线：Lv270→Lv258，保留原TTK/生存压力目标｜曲线同步20260811：Lv258→Lv223，保持原玩法定位与TTK/生存压力</t>
  </si>
  <si>
    <t>241004;242004;243004;244004</t>
  </si>
  <si>
    <t>旅券系统Lv38开放；4个主题共用难度档｜修正版V4：首档Lv180送进度，前三档缓升，难度4后逐步接回长期曲线；对照S142｜V4同步最新玩家曲线：Lv300→Lv289，保留原TTK/生存压力目标｜曲线同步20260811：Lv289→Lv251，保持原玩法定位与TTK/生存压力</t>
  </si>
  <si>
    <t>241005;242005;243005;244005</t>
  </si>
  <si>
    <t>旅券系统Lv38开放；4个主题共用难度档｜修正版V4：首档Lv180送进度，前三档缓升，难度4后逐步接回长期曲线；对照S160｜V4同步最新玩家曲线：Lv320→Lv309，保留原TTK/生存压力目标｜曲线同步20260811：Lv309→Lv270，保持原玩法定位与TTK/生存压力</t>
  </si>
  <si>
    <t>241006;242006;243006;244006</t>
  </si>
  <si>
    <t>旅券系统Lv38开放；4个主题共用难度档｜修正版V4：首档Lv180送进度，前三档缓升，难度4后逐步接回长期曲线；对照S180｜V4同步最新玩家曲线：Lv338→Lv327，保留原TTK/生存压力目标｜曲线同步20260811：Lv327→Lv286，保持原玩法定位与TTK/生存压力</t>
  </si>
  <si>
    <t>241007;242007;243007;244007</t>
  </si>
  <si>
    <t>旅券系统Lv38开放；4个主题共用难度档｜修正版V4：首档Lv180送进度，前三档缓升，难度4后逐步接回长期曲线；对照S202｜V4同步最新玩家曲线：Lv349→Lv339，保留原TTK/生存压力目标｜曲线同步20260811：Lv339→Lv298，保持原玩法定位与TTK/生存压力</t>
  </si>
  <si>
    <t>241008;242008;243008;244008</t>
  </si>
  <si>
    <t>旅券系统Lv38开放；4个主题共用难度档｜修正版V4：首档Lv180送进度，前三档缓升，难度4后逐步接回长期曲线；对照S226｜V4同步最新玩家曲线：Lv359→Lv349，保留原TTK/生存压力目标｜曲线同步20260811：Lv349→Lv307，保持原玩法定位与TTK/生存压力</t>
  </si>
  <si>
    <t>241009;242009;243009;244009</t>
  </si>
  <si>
    <t>旅券系统Lv38开放；4个主题共用难度档｜修正版V4：首档Lv180送进度，前三档缓升，难度4后逐步接回长期曲线；对照S252｜V4同步最新玩家曲线：Lv368→Lv358，保留原TTK/生存压力目标｜曲线同步20260811：Lv358→Lv315，保持原玩法定位与TTK/生存压力</t>
  </si>
  <si>
    <t>难度10</t>
  </si>
  <si>
    <t>241010;242010;243010;244010</t>
  </si>
  <si>
    <t>旅券系统Lv38开放；4个主题共用难度档｜修正版V4：首档Lv180送进度，前三档缓升，难度4后逐步接回长期曲线；对照S279｜V4同步最新玩家曲线：Lv379→Lv369，保留原TTK/生存压力目标｜曲线同步20260811：Lv369→Lv326，保持原玩法定位与TTK/生存压力</t>
  </si>
  <si>
    <t>全玩法难度填写｜映射</t>
  </si>
  <si>
    <t>当前页映射难度按TierNum/难度1～30线性生成：Lv31→Lv322。黄色J列首尾为锚点，中间为公式；G列仅用于玩家曲线与TTK对照。</t>
  </si>
  <si>
    <t>5类型共用</t>
  </si>
  <si>
    <t>250011;250012;250013;250014;250015</t>
  </si>
  <si>
    <t>装备副本Boss</t>
  </si>
  <si>
    <t>映射副本通关2-12/S24开放；5类型共用难度档｜V5线性难度：按TierNum/难度档位1-30，从Lv37线性至Lv370，每档约+11/+12；G列仅用于TTK观察，不参与J列生成｜曲线同步20260811：Lv37→Lv31，保持原玩法定位与TTK/生存压力</t>
  </si>
  <si>
    <t>250021;250022;250023;250024;250025</t>
  </si>
  <si>
    <t>映射副本通关2-12/S24开放；5类型共用难度档｜V5线性难度：按TierNum/难度档位1-30，从Lv37线性至Lv370，每档约+11/+12；G列仅用于TTK观察，不参与J列生成｜曲线同步20260811：Lv48→Lv41，保持原玩法定位与TTK/生存压力</t>
  </si>
  <si>
    <t>250031;250032;250033;250034;250035</t>
  </si>
  <si>
    <t>映射副本通关2-12/S24开放；5类型共用难度档｜V5线性难度：按TierNum/难度档位1-30，从Lv37线性至Lv370，每档约+11/+12；G列仅用于TTK观察，不参与J列生成｜曲线同步20260811：Lv60→Lv51，保持原玩法定位与TTK/生存压力</t>
  </si>
  <si>
    <t>250041;250042;250043;250044;250045</t>
  </si>
  <si>
    <t>映射副本通关2-12/S24开放；5类型共用难度档｜V5线性难度：按TierNum/难度档位1-30，从Lv37线性至Lv370，每档约+11/+12；G列仅用于TTK观察，不参与J列生成｜曲线同步20260811：Lv71→Lv61，保持原玩法定位与TTK/生存压力</t>
  </si>
  <si>
    <t>250051;250052;250053;250054;250055</t>
  </si>
  <si>
    <t>映射副本通关2-12/S24开放；5类型共用难度档｜V5线性难度：按TierNum/难度档位1-30，从Lv37线性至Lv370，每档约+11/+12；G列仅用于TTK观察，不参与J列生成｜曲线同步20260811：Lv83→Lv71，保持原玩法定位与TTK/生存压力</t>
  </si>
  <si>
    <t>250061;250062;250063;250064;250065</t>
  </si>
  <si>
    <t>映射副本通关2-12/S24开放；5类型共用难度档｜V5线性难度：按TierNum/难度档位1-30，从Lv37线性至Lv370，每档约+11/+12；G列仅用于TTK观察，不参与J列生成｜曲线同步20260811：Lv94→Lv81，保持原玩法定位与TTK/生存压力</t>
  </si>
  <si>
    <t>250071;250072;250073;250074;250075</t>
  </si>
  <si>
    <t>映射副本通关2-12/S24开放；5类型共用难度档｜V5线性难度：按TierNum/难度档位1-30，从Lv37线性至Lv370，每档约+11/+12；G列仅用于TTK观察，不参与J列生成｜曲线同步20260811：Lv106→Lv91，保持原玩法定位与TTK/生存压力</t>
  </si>
  <si>
    <t>250081;250082;250083;250084;250085</t>
  </si>
  <si>
    <t>映射副本通关2-12/S24开放；5类型共用难度档｜V5线性难度：按TierNum/难度档位1-30，从Lv37线性至Lv370，每档约+11/+12；G列仅用于TTK观察，不参与J列生成｜曲线同步20260811：Lv117→Lv101，保持原玩法定位与TTK/生存压力</t>
  </si>
  <si>
    <t>250091;250092;250093;250094;250095</t>
  </si>
  <si>
    <t>映射副本通关2-12/S24开放；5类型共用难度档｜V5线性难度：按TierNum/难度档位1-30，从Lv37线性至Lv370，每档约+11/+12；G列仅用于TTK观察，不参与J列生成｜曲线同步20260811：Lv129→Lv111，保持原玩法定位与TTK/生存压力</t>
  </si>
  <si>
    <t>250101;250102;250103;250104;250105</t>
  </si>
  <si>
    <t>映射副本通关2-12/S24开放；5类型共用难度档｜V5线性难度：按TierNum/难度档位1-30，从Lv37线性至Lv370，每档约+11/+12；G列仅用于TTK观察，不参与J列生成｜曲线同步20260811：Lv140→Lv121，保持原玩法定位与TTK/生存压力</t>
  </si>
  <si>
    <t>难度11</t>
  </si>
  <si>
    <t>250111;250112;250113;250114;250115</t>
  </si>
  <si>
    <t>映射副本通关2-12/S24开放；5类型共用难度档｜V5线性难度：按TierNum/难度档位1-30，从Lv37线性至Lv370，每档约+11/+12；G列仅用于TTK观察，不参与J列生成｜曲线同步20260811：Lv152→Lv131，保持原玩法定位与TTK/生存压力</t>
  </si>
  <si>
    <t>难度12</t>
  </si>
  <si>
    <t>250121;250122;250123;250124;250125</t>
  </si>
  <si>
    <t>映射副本通关2-12/S24开放；5类型共用难度档｜V5线性难度：按TierNum/难度档位1-30，从Lv37线性至Lv370，每档约+11/+12；G列仅用于TTK观察，不参与J列生成｜曲线同步20260811：Lv163→Lv141，保持原玩法定位与TTK/生存压力</t>
  </si>
  <si>
    <t>难度13</t>
  </si>
  <si>
    <t>250131;250132;250133;250134;250135</t>
  </si>
  <si>
    <t>映射副本通关2-12/S24开放；5类型共用难度档｜V5线性难度：按TierNum/难度档位1-30，从Lv37线性至Lv370，每档约+11/+12；G列仅用于TTK观察，不参与J列生成｜曲线同步20260811：Lv175→Lv151，保持原玩法定位与TTK/生存压力</t>
  </si>
  <si>
    <t>难度14</t>
  </si>
  <si>
    <t>250141;250142;250143;250144;250145</t>
  </si>
  <si>
    <t>映射副本通关2-12/S24开放；5类型共用难度档｜V5线性难度：按TierNum/难度档位1-30，从Lv37线性至Lv370，每档约+11/+12；G列仅用于TTK观察，不参与J列生成｜曲线同步20260811：Lv186→Lv161，保持原玩法定位与TTK/生存压力</t>
  </si>
  <si>
    <t>难度15</t>
  </si>
  <si>
    <t>250151;250152;250153;250154;250155</t>
  </si>
  <si>
    <t>映射副本通关2-12/S24开放；5类型共用难度档｜V5线性难度：按TierNum/难度档位1-30，从Lv37线性至Lv370，每档约+11/+12；G列仅用于TTK观察，不参与J列生成｜曲线同步20260811：Lv198→Lv171，保持原玩法定位与TTK/生存压力</t>
  </si>
  <si>
    <t>难度16</t>
  </si>
  <si>
    <t>250161;250162;250163;250164;250165</t>
  </si>
  <si>
    <t>映射副本通关2-12/S24开放；5类型共用难度档｜V5线性难度：按TierNum/难度档位1-30，从Lv37线性至Lv370，每档约+11/+12；G列仅用于TTK观察，不参与J列生成｜曲线同步20260811：Lv209→Lv182，保持原玩法定位与TTK/生存压力</t>
  </si>
  <si>
    <t>难度17</t>
  </si>
  <si>
    <t>250171;250172;250173;250174;250175</t>
  </si>
  <si>
    <t>映射副本通关2-12/S24开放；5类型共用难度档｜V5线性难度：按TierNum/难度档位1-30，从Lv37线性至Lv370，每档约+11/+12；G列仅用于TTK观察，不参与J列生成｜曲线同步20260811：Lv221→Lv192，保持原玩法定位与TTK/生存压力</t>
  </si>
  <si>
    <t>难度18</t>
  </si>
  <si>
    <t>250181;250182;250183;250184;250185</t>
  </si>
  <si>
    <t>映射副本通关2-12/S24开放；5类型共用难度档｜V5线性难度：按TierNum/难度档位1-30，从Lv37线性至Lv370，每档约+11/+12；G列仅用于TTK观察，不参与J列生成｜曲线同步20260811：Lv232→Lv202，保持原玩法定位与TTK/生存压力</t>
  </si>
  <si>
    <t>难度19</t>
  </si>
  <si>
    <t>250191;250192;250193;250194;250195</t>
  </si>
  <si>
    <t>映射副本通关2-12/S24开放；5类型共用难度档｜V5线性难度：按TierNum/难度档位1-30，从Lv37线性至Lv370，每档约+11/+12；G列仅用于TTK观察，不参与J列生成｜曲线同步20260811：Lv244→Lv212，保持原玩法定位与TTK/生存压力</t>
  </si>
  <si>
    <t>难度20</t>
  </si>
  <si>
    <t>250201;250202;250203;250204;250205</t>
  </si>
  <si>
    <t>映射副本通关2-12/S24开放；5类型共用难度档｜V5线性难度：按TierNum/难度档位1-30，从Lv37线性至Lv370，每档约+11/+12；G列仅用于TTK观察，不参与J列生成｜曲线同步20260811：Lv255→Lv222，保持原玩法定位与TTK/生存压力</t>
  </si>
  <si>
    <t>难度21</t>
  </si>
  <si>
    <t>250211;250212;250213;250214;250215</t>
  </si>
  <si>
    <t>映射副本通关2-12/S24开放；5类型共用难度档｜V5线性难度：按TierNum/难度档位1-30，从Lv37线性至Lv370，每档约+11/+12；G列仅用于TTK观察，不参与J列生成｜曲线同步20260811：Lv267→Lv232，保持原玩法定位与TTK/生存压力</t>
  </si>
  <si>
    <t>难度22</t>
  </si>
  <si>
    <t>250221;250222;250223;250224;250225</t>
  </si>
  <si>
    <t>映射副本通关2-12/S24开放；5类型共用难度档｜V5线性难度：按TierNum/难度档位1-30，从Lv37线性至Lv370，每档约+11/+12；G列仅用于TTK观察，不参与J列生成｜曲线同步20260811：Lv278→Lv242，保持原玩法定位与TTK/生存压力</t>
  </si>
  <si>
    <t>难度23</t>
  </si>
  <si>
    <t>250231;250232;250233;250234;250235</t>
  </si>
  <si>
    <t>映射副本通关2-12/S24开放；5类型共用难度档｜V5线性难度：按TierNum/难度档位1-30，从Lv37线性至Lv370，每档约+11/+12；G列仅用于TTK观察，不参与J列生成｜曲线同步20260811：Lv290→Lv252，保持原玩法定位与TTK/生存压力</t>
  </si>
  <si>
    <t>难度24</t>
  </si>
  <si>
    <t>250241;250242;250243;250244;250245</t>
  </si>
  <si>
    <t>映射副本通关2-12/S24开放；5类型共用难度档｜V5线性难度：按TierNum/难度档位1-30，从Lv37线性至Lv370，每档约+11/+12；G列仅用于TTK观察，不参与J列生成｜曲线同步20260811：Lv301→Lv262，保持原玩法定位与TTK/生存压力</t>
  </si>
  <si>
    <t>难度25</t>
  </si>
  <si>
    <t>250251;250252;250253;250254;250255</t>
  </si>
  <si>
    <t>映射副本通关2-12/S24开放；5类型共用难度档｜V5线性难度：按TierNum/难度档位1-30，从Lv37线性至Lv370，每档约+11/+12；G列仅用于TTK观察，不参与J列生成｜曲线同步20260811：Lv313→Lv272，保持原玩法定位与TTK/生存压力</t>
  </si>
  <si>
    <t>难度26</t>
  </si>
  <si>
    <t>250261;250262;250263;250264;250265</t>
  </si>
  <si>
    <t>映射副本通关2-12/S24开放；5类型共用难度档｜V5线性难度：按TierNum/难度档位1-30，从Lv37线性至Lv370，每档约+11/+12；G列仅用于TTK观察，不参与J列生成｜曲线同步20260811：Lv324→Lv282，保持原玩法定位与TTK/生存压力</t>
  </si>
  <si>
    <t>难度27</t>
  </si>
  <si>
    <t>250271;250272;250273;250274;250275</t>
  </si>
  <si>
    <t>映射副本通关2-12/S24开放；5类型共用难度档｜V5线性难度：按TierNum/难度档位1-30，从Lv37线性至Lv370，每档约+11/+12；G列仅用于TTK观察，不参与J列生成｜曲线同步20260811：Lv336→Lv292，保持原玩法定位与TTK/生存压力</t>
  </si>
  <si>
    <t>难度28</t>
  </si>
  <si>
    <t>250281;250282;250283;250284;250285</t>
  </si>
  <si>
    <t>映射副本通关2-12/S24开放；5类型共用难度档｜V5线性难度：按TierNum/难度档位1-30，从Lv37线性至Lv370，每档约+11/+12；G列仅用于TTK观察，不参与J列生成｜曲线同步20260811：Lv347→Lv302，保持原玩法定位与TTK/生存压力</t>
  </si>
  <si>
    <t>难度29</t>
  </si>
  <si>
    <t>250291;250292;250293;250294;250295</t>
  </si>
  <si>
    <t>映射副本通关2-12/S24开放；5类型共用难度档｜V5线性难度：按TierNum/难度档位1-30，从Lv37线性至Lv370，每档约+11/+12；G列仅用于TTK观察，不参与J列生成｜曲线同步20260811：Lv359→Lv312，保持原玩法定位与TTK/生存压力</t>
  </si>
  <si>
    <t>难度30</t>
  </si>
  <si>
    <t>250301;250302;250303;250304;250305</t>
  </si>
  <si>
    <t>映射副本通关2-12/S24开放；5类型共用难度档｜V5线性难度：按TierNum/难度档位1-30，从Lv37线性至Lv370，每档约+11/+12；G列仅用于TTK观察，不参与J列生成｜曲线同步20260811：Lv370→Lv322，保持原玩法定位与TTK/生存压力</t>
  </si>
  <si>
    <t>全玩法难度填写｜爬塔</t>
  </si>
  <si>
    <t>4赛季包共用</t>
  </si>
  <si>
    <t>第1层</t>
  </si>
  <si>
    <t>300001;300101;300201;300301</t>
  </si>
  <si>
    <t>爬塔通关2-12/S24开放；4赛季包按层共用｜修正版V4：前20层由Lv37缓升至Lv180，之后接回长期曲线；对照S24｜V4同步最新玩家曲线：Lv45→Lv37，保留原TTK/生存压力目标</t>
  </si>
  <si>
    <t>第2层</t>
  </si>
  <si>
    <t>300002;300102;300202;300302</t>
  </si>
  <si>
    <t>爬塔通关2-12/S24开放；4赛季包按层共用｜修正版V4：前20层由Lv45缓升至Lv180，之后接回长期曲线；对照S25｜V4同步最新玩家曲线：Lv52→Lv44，保留原TTK/生存压力目标</t>
  </si>
  <si>
    <t>第3层</t>
  </si>
  <si>
    <t>300003;300103;300203;300303</t>
  </si>
  <si>
    <t>爬塔通关2-12/S24开放；4赛季包按层共用｜修正版V4：前20层由Lv45缓升至Lv180，之后接回长期曲线；对照S27｜V4同步最新玩家曲线：Lv59→Lv51，保留原TTK/生存压力目标</t>
  </si>
  <si>
    <t>第4层</t>
  </si>
  <si>
    <t>300004;300104;300204;300304</t>
  </si>
  <si>
    <t>爬塔通关2-12/S24开放；4赛季包按层共用｜修正版V4：前20层由Lv45缓升至Lv180，之后接回长期曲线；对照S29｜V4同步最新玩家曲线：Lv66→Lv59，保留原TTK/生存压力目标</t>
  </si>
  <si>
    <t>第5层</t>
  </si>
  <si>
    <t>300005;300105;300205;300305</t>
  </si>
  <si>
    <t>精英怪</t>
  </si>
  <si>
    <t>爬塔通关2-12/S24开放；4赛季包按层共用｜修正版V4：前20层由Lv45缓升至Lv180，之后接回长期曲线；对照S30｜V4同步最新玩家曲线：Lv73→Lv65，保留原TTK/生存压力目标</t>
  </si>
  <si>
    <t>第6层</t>
  </si>
  <si>
    <t>300006;300106;300206;300306</t>
  </si>
  <si>
    <t>爬塔通关2-12/S24开放；4赛季包按层共用｜修正版V4：前20层由Lv45缓升至Lv180，之后接回长期曲线；对照S32｜V4同步最新玩家曲线：Lv81→Lv73，保留原TTK/生存压力目标</t>
  </si>
  <si>
    <t>第7层</t>
  </si>
  <si>
    <t>300007;300107;300207;300307</t>
  </si>
  <si>
    <t>爬塔通关2-12/S24开放；4赛季包按层共用｜修正版V4：前20层由Lv45缓升至Lv180，之后接回长期曲线；对照S34｜V4同步最新玩家曲线：Lv88→Lv79，保留原TTK/生存压力目标</t>
  </si>
  <si>
    <t>第8层</t>
  </si>
  <si>
    <t>300008;300108;300208;300308</t>
  </si>
  <si>
    <t>爬塔通关2-12/S24开放；4赛季包按层共用｜修正版V4：前20层由Lv45缓升至Lv180，之后接回长期曲线；对照S36｜V4同步最新玩家曲线：Lv95→Lv86，保留原TTK/生存压力目标</t>
  </si>
  <si>
    <t>第9层</t>
  </si>
  <si>
    <t>300009;300109;300209;300309</t>
  </si>
  <si>
    <t>爬塔通关2-12/S24开放；4赛季包按层共用｜修正版V4：前20层由Lv45缓升至Lv180，之后接回长期曲线；对照S38｜V4同步最新玩家曲线：Lv102→Lv93，保留原TTK/生存压力目标</t>
  </si>
  <si>
    <t>第10层</t>
  </si>
  <si>
    <t>300010;300110;300210;300310</t>
  </si>
  <si>
    <t>爬塔通关2-12/S24开放；4赛季包按层共用｜修正版V4：前20层由Lv45缓升至Lv180，之后接回长期曲线；对照S40｜V4同步最新玩家曲线：Lv109→Lv100，保留原TTK/生存压力目标</t>
  </si>
  <si>
    <t>第11层</t>
  </si>
  <si>
    <t>300011;300111;300211;300311</t>
  </si>
  <si>
    <t>爬塔通关2-12/S24开放；4赛季包按层共用｜修正版V4：前20层由Lv45缓升至Lv180，之后接回长期曲线；对照S42｜V4同步最新玩家曲线：Lv116→Lv106，保留原TTK/生存压力目标</t>
  </si>
  <si>
    <t>第12层</t>
  </si>
  <si>
    <t>300012;300112;300212;300312</t>
  </si>
  <si>
    <t>爬塔通关2-12/S24开放；4赛季包按层共用｜修正版V4：前20层由Lv45缓升至Lv180，之后接回长期曲线；对照S44｜V4同步最新玩家曲线：Lv123→Lv113，保留原TTK/生存压力目标</t>
  </si>
  <si>
    <t>第13层</t>
  </si>
  <si>
    <t>300013;300113;300213;300313</t>
  </si>
  <si>
    <t>爬塔通关2-12/S24开放；4赛季包按层共用｜修正版V4：前20层由Lv45缓升至Lv180，之后接回长期曲线；对照S47｜V4同步最新玩家曲线：Lv130→Lv120，保留原TTK/生存压力目标</t>
  </si>
  <si>
    <t>第14层</t>
  </si>
  <si>
    <t>300014;300114;300214;300314</t>
  </si>
  <si>
    <t>爬塔通关2-12/S24开放；4赛季包按层共用｜修正版V4：前20层由Lv45缓升至Lv180，之后接回长期曲线；对照S49｜V4同步最新玩家曲线：Lv137→Lv126，保留原TTK/生存压力目标</t>
  </si>
  <si>
    <t>第15层</t>
  </si>
  <si>
    <t>300015;300115;300215;300315</t>
  </si>
  <si>
    <t>爬塔通关2-12/S24开放；4赛季包按层共用｜修正版V4：前20层由Lv45缓升至Lv180，之后接回长期曲线；对照S51｜V4同步最新玩家曲线：Lv144→Lv133，保留原TTK/生存压力目标</t>
  </si>
  <si>
    <t>第16层</t>
  </si>
  <si>
    <t>300016;300116;300216;300316</t>
  </si>
  <si>
    <t>爬塔通关2-12/S24开放；4赛季包按层共用｜修正版V4：前20层由Lv45缓升至Lv180，之后接回长期曲线；对照S53｜V4同步最新玩家曲线：Lv152→Lv141，保留原TTK/生存压力目标</t>
  </si>
  <si>
    <t>第17层</t>
  </si>
  <si>
    <t>300017;300117;300217;300317</t>
  </si>
  <si>
    <t>爬塔通关2-12/S24开放；4赛季包按层共用｜修正版V4：前20层由Lv45缓升至Lv180，之后接回长期曲线；对照S55｜V4同步最新玩家曲线：Lv159→Lv148，保留原TTK/生存压力目标</t>
  </si>
  <si>
    <t>第18层</t>
  </si>
  <si>
    <t>300018;300118;300218;300318</t>
  </si>
  <si>
    <t>爬塔通关2-12/S24开放；4赛季包按层共用｜修正版V4：前20层由Lv45缓升至Lv180，之后接回长期曲线；对照S58｜V4同步最新玩家曲线：Lv166→Lv155，保留原TTK/生存压力目标</t>
  </si>
  <si>
    <t>第19层</t>
  </si>
  <si>
    <t>300019;300119;300219;300319</t>
  </si>
  <si>
    <t>爬塔通关2-12/S24开放；4赛季包按层共用｜修正版V4：前20层由Lv45缓升至Lv180，之后接回长期曲线；对照S60｜V4同步最新玩家曲线：Lv173→Lv162，保留原TTK/生存压力目标</t>
  </si>
  <si>
    <t>第20层</t>
  </si>
  <si>
    <t>300020;300120;300220;300320</t>
  </si>
  <si>
    <t>爬塔通关2-12/S24开放；4赛季包按层共用｜修正版V4：前20层由Lv45缓升至Lv169，之后接回长期曲线；对照S62｜V4同步最新玩家曲线：Lv180→Lv169，保留原TTK/生存压力目标</t>
  </si>
  <si>
    <t>第21层</t>
  </si>
  <si>
    <t>300021;300121;300221;300321</t>
  </si>
  <si>
    <t>爬塔通关2-12/S24开放；4赛季包按层共用｜修正版V4：前20层由Lv45缓升至Lv180，之后接回长期曲线；对照S65｜V4同步最新玩家曲线：Lv188→Lv176，保留原TTK/生存压力目标</t>
  </si>
  <si>
    <t>第22层</t>
  </si>
  <si>
    <t>300022;300122;300222;300322</t>
  </si>
  <si>
    <t>爬塔通关2-12/S24开放；4赛季包按层共用｜修正版V4：前20层由Lv45缓升至Lv180，之后接回长期曲线；对照S67｜V4同步最新玩家曲线：Lv194→Lv182，保留原TTK/生存压力目标</t>
  </si>
  <si>
    <t>第23层</t>
  </si>
  <si>
    <t>300023;300123;300223;300323</t>
  </si>
  <si>
    <t>爬塔通关2-12/S24开放；4赛季包按层共用｜修正版V4：前20层由Lv45缓升至Lv180，之后接回长期曲线；对照S69｜V4同步最新玩家曲线：Lv199→Lv186，保留原TTK/生存压力目标</t>
  </si>
  <si>
    <t>第24层</t>
  </si>
  <si>
    <t>300024;300124;300224;300324</t>
  </si>
  <si>
    <t>爬塔通关2-12/S24开放；4赛季包按层共用｜修正版V4：前20层由Lv45缓升至Lv180，之后接回长期曲线；对照S72｜V4同步最新玩家曲线：Lv206→Lv193，保留原TTK/生存压力目标</t>
  </si>
  <si>
    <t>第25层</t>
  </si>
  <si>
    <t>300025;300125;300225;300325</t>
  </si>
  <si>
    <t>爬塔通关2-12/S24开放；4赛季包按层共用｜修正版V4：前20层由Lv45缓升至Lv180，之后接回长期曲线；对照S74｜V4同步最新玩家曲线：Lv211→Lv198，保留原TTK/生存压力目标</t>
  </si>
  <si>
    <t>第26层</t>
  </si>
  <si>
    <t>300026;300126;300226;300326</t>
  </si>
  <si>
    <t>爬塔通关2-12/S24开放；4赛季包按层共用｜修正版V4：前20层由Lv45缓升至Lv180，之后接回长期曲线；对照S76｜V4同步最新玩家曲线：Lv215→Lv201，保留原TTK/生存压力目标</t>
  </si>
  <si>
    <t>第27层</t>
  </si>
  <si>
    <t>300027;300127;300227;300327</t>
  </si>
  <si>
    <t>爬塔通关2-12/S24开放；4赛季包按层共用｜修正版V4：前20层由Lv45缓升至Lv180，之后接回长期曲线；对照S79｜V4同步最新玩家曲线：Lv221→Lv207，保留原TTK/生存压力目标</t>
  </si>
  <si>
    <t>第28层</t>
  </si>
  <si>
    <t>300028;300128;300228;300328</t>
  </si>
  <si>
    <t>爬塔通关2-12/S24开放；4赛季包按层共用｜修正版V4：前20层由Lv45缓升至Lv180，之后接回长期曲线；对照S81｜V4同步最新玩家曲线：Lv225→Lv211，保留原TTK/生存压力目标</t>
  </si>
  <si>
    <t>第29层</t>
  </si>
  <si>
    <t>300029;300129;300229;300329</t>
  </si>
  <si>
    <t>爬塔通关2-12/S24开放；4赛季包按层共用｜修正版V4：前20层由Lv45缓升至Lv180，之后接回长期曲线；对照S84｜V4同步最新玩家曲线：Lv230→Lv216，保留原TTK/生存压力目标</t>
  </si>
  <si>
    <t>第30层</t>
  </si>
  <si>
    <t>300030;300130;300230;300330</t>
  </si>
  <si>
    <t>爬塔通关2-12/S24开放；4赛季包按层共用｜修正版V4：前20层由Lv45缓升至Lv180，之后接回长期曲线；对照S86｜V4同步最新玩家曲线：Lv233→Lv220，保留原TTK/生存压力目标</t>
  </si>
  <si>
    <t>第31层</t>
  </si>
  <si>
    <t>300031;300131;300231;300331</t>
  </si>
  <si>
    <t>爬塔通关2-12/S24开放；4赛季包按层共用｜修正版V4：前20层由Lv45缓升至Lv180，之后接回长期曲线；对照S89｜V4同步最新玩家曲线：Lv238→Lv224，保留原TTK/生存压力目标</t>
  </si>
  <si>
    <t>第32层</t>
  </si>
  <si>
    <t>300032;300132;300232;300332</t>
  </si>
  <si>
    <t>爬塔通关2-12/S24开放；4赛季包按层共用｜修正版V4：前20层由Lv45缓升至Lv180，之后接回长期曲线；对照S91｜V4同步最新玩家曲线：Lv241→Lv227，保留原TTK/生存压力目标</t>
  </si>
  <si>
    <t>第33层</t>
  </si>
  <si>
    <t>300033;300133;300233;300333</t>
  </si>
  <si>
    <t>爬塔通关2-12/S24开放；4赛季包按层共用｜修正版V4：前20层由Lv45缓升至Lv180，之后接回长期曲线；对照S94｜V4同步最新玩家曲线：Lv245→Lv231，保留原TTK/生存压力目标</t>
  </si>
  <si>
    <t>第34层</t>
  </si>
  <si>
    <t>300034;300134;300234;300334</t>
  </si>
  <si>
    <t>爬塔通关2-12/S24开放；4赛季包按层共用｜修正版V4：前20层由Lv45缓升至Lv180，之后接回长期曲线；对照S96｜V4同步最新玩家曲线：Lv248→Lv234，保留原TTK/生存压力目标</t>
  </si>
  <si>
    <t>第35层</t>
  </si>
  <si>
    <t>300035;300135;300235;300335</t>
  </si>
  <si>
    <t>爬塔通关2-12/S24开放；4赛季包按层共用｜修正版V4：前20层由Lv45缓升至Lv180，之后接回长期曲线；对照S99｜V4同步最新玩家曲线：Lv252→Lv238，保留原TTK/生存压力目标</t>
  </si>
  <si>
    <t>第36层</t>
  </si>
  <si>
    <t>300036;300136;300236;300336</t>
  </si>
  <si>
    <t>爬塔通关2-12/S24开放；4赛季包按层共用｜修正版V4：前20层由Lv45缓升至Lv180，之后接回长期曲线；对照S101｜V4同步最新玩家曲线：Lv257→Lv243，保留原TTK/生存压力目标</t>
  </si>
  <si>
    <t>第37层</t>
  </si>
  <si>
    <t>300037;300137;300237;300337</t>
  </si>
  <si>
    <t>爬塔通关2-12/S24开放；4赛季包按层共用｜修正版V4：前20层由Lv45缓升至Lv180，之后接回长期曲线；对照S104｜V4同步最新玩家曲线：Lv263→Lv249，保留原TTK/生存压力目标</t>
  </si>
  <si>
    <t>第38层</t>
  </si>
  <si>
    <t>300038;300138;300238;300338</t>
  </si>
  <si>
    <t>爬塔通关2-12/S24开放；4赛季包按层共用｜修正版V4：前20层由Lv45缓升至Lv180，之后接回长期曲线；对照S106｜V4同步最新玩家曲线：Lv267→Lv253，保留原TTK/生存压力目标</t>
  </si>
  <si>
    <t>第39层</t>
  </si>
  <si>
    <t>300039;300139;300239;300339</t>
  </si>
  <si>
    <t>爬塔通关2-12/S24开放；4赛季包按层共用｜修正版V4：前20层由Lv45缓升至Lv180，之后接回长期曲线；对照S109｜V4同步最新玩家曲线：Lv272→Lv258，保留原TTK/生存压力目标</t>
  </si>
  <si>
    <t>第40层</t>
  </si>
  <si>
    <t>300040;300140;300240;300340</t>
  </si>
  <si>
    <t>爬塔通关2-12/S24开放；4赛季包按层共用｜修正版V4：前20层由Lv45缓升至Lv180，之后接回长期曲线；对照S111｜V4同步最新玩家曲线：Lv276→Lv263，保留原TTK/生存压力目标</t>
  </si>
  <si>
    <t>第41层</t>
  </si>
  <si>
    <t>300041;300141;300241;300341</t>
  </si>
  <si>
    <t>爬塔通关2-12/S24开放；4赛季包按层共用｜修正版V4：前20层由Lv45缓升至Lv180，之后接回长期曲线；对照S114｜V4同步最新玩家曲线：Lv280→Lv266，保留原TTK/生存压力目标</t>
  </si>
  <si>
    <t>第42层</t>
  </si>
  <si>
    <t>300042;300142;300242;300342</t>
  </si>
  <si>
    <t>爬塔通关2-12/S24开放；4赛季包按层共用｜修正版V4：前20层由Lv45缓升至Lv180，之后接回长期曲线；对照S117｜V4同步最新玩家曲线：Lv285→Lv272，保留原TTK/生存压力目标</t>
  </si>
  <si>
    <t>第43层</t>
  </si>
  <si>
    <t>300043;300143;300243;300343</t>
  </si>
  <si>
    <t>爬塔通关2-12/S24开放；4赛季包按层共用｜修正版V4：前20层由Lv45缓升至Lv180，之后接回长期曲线；对照S119｜V4同步最新玩家曲线：Lv288→Lv275，保留原TTK/生存压力目标</t>
  </si>
  <si>
    <t>第44层</t>
  </si>
  <si>
    <t>300044;300144;300244;300344</t>
  </si>
  <si>
    <t>爬塔通关2-12/S24开放；4赛季包按层共用｜修正版V4：前20层由Lv45缓升至Lv180，之后接回长期曲线；对照S122｜V4同步最新玩家曲线：Lv292→Lv279，保留原TTK/生存压力目标</t>
  </si>
  <si>
    <t>第45层</t>
  </si>
  <si>
    <t>300045;300145;300245;300345</t>
  </si>
  <si>
    <t>爬塔通关2-12/S24开放；4赛季包按层共用｜修正版V4：前20层由Lv45缓升至Lv180，之后接回长期曲线；对照S124｜V4同步最新玩家曲线：Lv295→Lv282，保留原TTK/生存压力目标</t>
  </si>
  <si>
    <t>第46层</t>
  </si>
  <si>
    <t>300046;300146;300246;300346</t>
  </si>
  <si>
    <t>爬塔通关2-12/S24开放；4赛季包按层共用｜修正版V4：前20层由Lv45缓升至Lv180，之后接回长期曲线；对照S127｜V4同步最新玩家曲线：Lv299→Lv286，保留原TTK/生存压力目标</t>
  </si>
  <si>
    <t>第47层</t>
  </si>
  <si>
    <t>300047;300147;300247;300347</t>
  </si>
  <si>
    <t>爬塔通关2-12/S24开放；4赛季包按层共用｜修正版V4：前20层由Lv45缓升至Lv180，之后接回长期曲线；对照S130｜V4同步最新玩家曲线：Lv302→Lv289，保留原TTK/生存压力目标</t>
  </si>
  <si>
    <t>第48层</t>
  </si>
  <si>
    <t>300048;300148;300248;300348</t>
  </si>
  <si>
    <t>爬塔通关2-12/S24开放；4赛季包按层共用｜修正版V4：前20层由Lv45缓升至Lv180，之后接回长期曲线；对照S132｜V4同步最新玩家曲线：Lv304→Lv291，保留原TTK/生存压力目标</t>
  </si>
  <si>
    <t>第49层</t>
  </si>
  <si>
    <t>300049;300149;300249;300349</t>
  </si>
  <si>
    <t>爬塔通关2-12/S24开放；4赛季包按层共用｜修正版V4：前20层由Lv45缓升至Lv180，之后接回长期曲线；对照S135｜V4同步最新玩家曲线：Lv308→Lv295，保留原TTK/生存压力目标</t>
  </si>
  <si>
    <t>第50层</t>
  </si>
  <si>
    <t>300050;300150;300250;300350</t>
  </si>
  <si>
    <t>爬塔通关2-12/S24开放；4赛季包按层共用｜修正版V4：前20层由Lv45缓升至Lv180，之后接回长期曲线；对照S138｜V4同步最新玩家曲线：Lv311→Lv299，保留原TTK/生存压力目标</t>
  </si>
  <si>
    <t>第51层</t>
  </si>
  <si>
    <t>300051;300151;300251;300351</t>
  </si>
  <si>
    <t>爬塔通关2-12/S24开放；4赛季包按层共用｜修正版V4：前20层由Lv45缓升至Lv180，之后接回长期曲线；对照S140｜V4同步最新玩家曲线：Lv313→Lv301，保留原TTK/生存压力目标</t>
  </si>
  <si>
    <t>第52层</t>
  </si>
  <si>
    <t>300052;300152;300252;300352</t>
  </si>
  <si>
    <t>爬塔通关2-12/S24开放；4赛季包按层共用｜修正版V4：前20层由Lv45缓升至Lv180，之后接回长期曲线；对照S143｜V4同步最新玩家曲线：Lv315→Lv303，保留原TTK/生存压力目标</t>
  </si>
  <si>
    <t>第53层</t>
  </si>
  <si>
    <t>300053;300153;300253;300353</t>
  </si>
  <si>
    <t>爬塔通关2-12/S24开放；4赛季包按层共用｜修正版V4：前20层由Lv45缓升至Lv180，之后接回长期曲线；对照S146｜V4同步最新玩家曲线：Lv318→Lv306，保留原TTK/生存压力目标</t>
  </si>
  <si>
    <t>第54层</t>
  </si>
  <si>
    <t>300054;300154;300254;300354</t>
  </si>
  <si>
    <t>爬塔通关2-12/S24开放；4赛季包按层共用｜修正版V4：前20层由Lv45缓升至Lv180，之后接回长期曲线；对照S148｜V4同步最新玩家曲线：Lv320→Lv308，保留原TTK/生存压力目标</t>
  </si>
  <si>
    <t>第55层</t>
  </si>
  <si>
    <t>300055;300155;300255;300355</t>
  </si>
  <si>
    <t>爬塔通关2-12/S24开放；4赛季包按层共用｜修正版V4：前20层由Lv45缓升至Lv180，之后接回长期曲线；对照S151｜V4同步最新玩家曲线：Lv322→Lv310，保留原TTK/生存压力目标</t>
  </si>
  <si>
    <t>第56层</t>
  </si>
  <si>
    <t>300056;300156;300256;300356</t>
  </si>
  <si>
    <t>爬塔通关2-12/S24开放；4赛季包按层共用｜修正版V4：前20层由Lv45缓升至Lv180，之后接回长期曲线；对照S154｜V4同步最新玩家曲线：Lv324→Lv312，保留原TTK/生存压力目标</t>
  </si>
  <si>
    <t>第57层</t>
  </si>
  <si>
    <t>300057;300157;300257;300357</t>
  </si>
  <si>
    <t>爬塔通关2-12/S24开放；4赛季包按层共用｜修正版V4：前20层由Lv45缓升至Lv180，之后接回长期曲线；对照S156｜V4同步最新玩家曲线：Lv326→Lv314，保留原TTK/生存压力目标</t>
  </si>
  <si>
    <t>第58层</t>
  </si>
  <si>
    <t>300058;300158;300258;300358</t>
  </si>
  <si>
    <t>爬塔通关2-12/S24开放；4赛季包按层共用｜修正版V4：前20层由Lv45缓升至Lv180，之后接回长期曲线；对照S159｜V4同步最新玩家曲线：Lv328→Lv316，保留原TTK/生存压力目标</t>
  </si>
  <si>
    <t>第59层</t>
  </si>
  <si>
    <t>300059;300159;300259;300359</t>
  </si>
  <si>
    <t>爬塔通关2-12/S24开放；4赛季包按层共用｜修正版V4：前20层由Lv45缓升至Lv180，之后接回长期曲线；对照S162｜V4同步最新玩家曲线：Lv330→Lv318，保留原TTK/生存压力目标</t>
  </si>
  <si>
    <t>第60层</t>
  </si>
  <si>
    <t>300060;300160;300260;300360</t>
  </si>
  <si>
    <t>爬塔通关2-12/S24开放；4赛季包按层共用｜修正版V4：前20层由Lv45缓升至Lv180，之后接回长期曲线；对照S165｜V4同步最新玩家曲线：Lv332→Lv321，保留原TTK/生存压力目标</t>
  </si>
  <si>
    <t>第61层</t>
  </si>
  <si>
    <t>300061;300161;300261;300361</t>
  </si>
  <si>
    <t>爬塔通关2-12/S24开放；4赛季包按层共用｜修正版V4：前20层由Lv45缓升至Lv180，之后接回长期曲线；对照S167｜V4同步最新玩家曲线：Lv333→Lv322，保留原TTK/生存压力目标</t>
  </si>
  <si>
    <t>第62层</t>
  </si>
  <si>
    <t>300062;300162;300262;300362</t>
  </si>
  <si>
    <t>爬塔通关2-12/S24开放；4赛季包按层共用｜修正版V4：前20层由Lv45缓升至Lv180，之后接回长期曲线；对照S170｜V4同步最新玩家曲线：Lv335→Lv324，保留原TTK/生存压力目标</t>
  </si>
  <si>
    <t>第63层</t>
  </si>
  <si>
    <t>300063;300163;300263;300363</t>
  </si>
  <si>
    <t>爬塔通关2-12/S24开放；4赛季包按层共用｜修正版V4：前20层由Lv45缓升至Lv180，之后接回长期曲线；对照S173｜V4同步最新玩家曲线：Lv337→Lv326，保留原TTK/生存压力目标</t>
  </si>
  <si>
    <t>第64层</t>
  </si>
  <si>
    <t>300064;300164;300264;300364</t>
  </si>
  <si>
    <t>爬塔通关2-12/S24开放；4赛季包按层共用｜修正版V4：前20层由Lv45缓升至Lv180，之后接回长期曲线；对照S176｜V4同步最新玩家曲线：Lv339→Lv328，保留原TTK/生存压力目标</t>
  </si>
  <si>
    <t>第65层</t>
  </si>
  <si>
    <t>300065;300165;300265;300365</t>
  </si>
  <si>
    <t>爬塔通关2-12/S24开放；4赛季包按层共用｜修正版V4：前20层由Lv45缓升至Lv180，之后接回长期曲线；对照S178｜V4同步最新玩家曲线：Lv340→Lv329，保留原TTK/生存压力目标</t>
  </si>
  <si>
    <t>第66层</t>
  </si>
  <si>
    <t>300066;300166;300266;300366</t>
  </si>
  <si>
    <t>爬塔通关2-12/S24开放；4赛季包按层共用｜修正版V4：前20层由Lv45缓升至Lv180，之后接回长期曲线；对照S181｜V4同步最新玩家曲线：Lv341→Lv330，保留原TTK/生存压力目标</t>
  </si>
  <si>
    <t>第67层</t>
  </si>
  <si>
    <t>300067;300167;300267;300367</t>
  </si>
  <si>
    <t>爬塔通关2-12/S24开放；4赛季包按层共用｜修正版V4：前20层由Lv45缓升至Lv180，之后接回长期曲线；对照S184｜V4同步最新玩家曲线：Lv343→Lv332，保留原TTK/生存压力目标</t>
  </si>
  <si>
    <t>第68层</t>
  </si>
  <si>
    <t>300068;300168;300268;300368</t>
  </si>
  <si>
    <t>爬塔通关2-12/S24开放；4赛季包按层共用｜修正版V4：前20层由Lv45缓升至Lv180，之后接回长期曲线；对照S187｜V4同步最新玩家曲线：Lv344→Lv333，保留原TTK/生存压力目标</t>
  </si>
  <si>
    <t>第69层</t>
  </si>
  <si>
    <t>300069;300169;300269;300369</t>
  </si>
  <si>
    <t>爬塔通关2-12/S24开放；4赛季包按层共用｜修正版V4：前20层由Lv45缓升至Lv180，之后接回长期曲线；对照S190｜V4同步最新玩家曲线：Lv346→Lv335，保留原TTK/生存压力目标</t>
  </si>
  <si>
    <t>第70层</t>
  </si>
  <si>
    <t>300070;300170;300270;300370</t>
  </si>
  <si>
    <t>爬塔通关2-12/S24开放；4赛季包按层共用｜修正版V4：前20层由Lv45缓升至Lv180，之后接回长期曲线；对照S192｜V4同步最新玩家曲线：Lv347→Lv337，保留原TTK/生存压力目标</t>
  </si>
  <si>
    <t>第71层</t>
  </si>
  <si>
    <t>300071;300171;300271;300371</t>
  </si>
  <si>
    <t>爬塔通关2-12/S24开放；4赛季包按层共用｜修正版V4：前20层由Lv45缓升至Lv180，之后接回长期曲线；对照S195｜V4同步最新玩家曲线：Lv348→Lv337，保留原TTK/生存压力目标</t>
  </si>
  <si>
    <t>第72层</t>
  </si>
  <si>
    <t>300072;300172;300272;300372</t>
  </si>
  <si>
    <t>爬塔通关2-12/S24开放；4赛季包按层共用｜修正版V4：前20层由Lv45缓升至Lv180，之后接回长期曲线；对照S198｜V4同步最新玩家曲线：Lv349→Lv338，保留原TTK/生存压力目标</t>
  </si>
  <si>
    <t>第73层</t>
  </si>
  <si>
    <t>300073;300173;300273;300373</t>
  </si>
  <si>
    <t>爬塔通关2-12/S24开放；4赛季包按层共用｜修正版V4：前20层由Lv45缓升至Lv180，之后接回长期曲线；对照S201｜V4同步最新玩家曲线：Lv351→Lv340，保留原TTK/生存压力目标</t>
  </si>
  <si>
    <t>第74层</t>
  </si>
  <si>
    <t>300074;300174;300274;300374</t>
  </si>
  <si>
    <t>爬塔通关2-12/S24开放；4赛季包按层共用｜修正版V4：前20层由Lv45缓升至Lv180，之后接回长期曲线；对照S204｜V4同步最新玩家曲线：Lv352→Lv341，保留原TTK/生存压力目标</t>
  </si>
  <si>
    <t>第75层</t>
  </si>
  <si>
    <t>300075;300175;300275;300375</t>
  </si>
  <si>
    <t>爬塔通关2-12/S24开放；4赛季包按层共用｜修正版V4：前20层由Lv45缓升至Lv180，之后接回长期曲线；对照S206｜V4同步最新玩家曲线：Lv353→Lv342，保留原TTK/生存压力目标</t>
  </si>
  <si>
    <t>第76层</t>
  </si>
  <si>
    <t>300076;300176;300276;300376</t>
  </si>
  <si>
    <t>爬塔通关2-12/S24开放；4赛季包按层共用｜修正版V4：前20层由Lv45缓升至Lv180，之后接回长期曲线；对照S209｜V4同步最新玩家曲线：Lv354→Lv343，保留原TTK/生存压力目标</t>
  </si>
  <si>
    <t>第77层</t>
  </si>
  <si>
    <t>300077;300177;300277;300377</t>
  </si>
  <si>
    <t>爬塔通关2-12/S24开放；4赛季包按层共用｜修正版V4：前20层由Lv45缓升至Lv180，之后接回长期曲线；对照S212｜V4同步最新玩家曲线：Lv355→Lv345，保留原TTK/生存压力目标</t>
  </si>
  <si>
    <t>第78层</t>
  </si>
  <si>
    <t>300078;300178;300278;300378</t>
  </si>
  <si>
    <t>爬塔通关2-12/S24开放；4赛季包按层共用｜修正版V4：前20层由Lv45缓升至Lv180，之后接回长期曲线；对照S215｜V4同步最新玩家曲线：Lv356→Lv346，保留原TTK/生存压力目标</t>
  </si>
  <si>
    <t>第79层</t>
  </si>
  <si>
    <t>300079;300179;300279;300379</t>
  </si>
  <si>
    <t>爬塔通关2-12/S24开放；4赛季包按层共用｜修正版V4：前20层由Lv45缓升至Lv180，之后接回长期曲线；对照S218｜V4同步最新玩家曲线：Lv357→Lv347，保留原TTK/生存压力目标</t>
  </si>
  <si>
    <t>第80层</t>
  </si>
  <si>
    <t>300080;300180;300280;300380</t>
  </si>
  <si>
    <t>爬塔通关2-12/S24开放；4赛季包按层共用｜修正版V4：前20层由Lv45缓升至Lv180，之后接回长期曲线；对照S221｜V4同步最新玩家曲线：Lv359→Lv349，保留原TTK/生存压力目标</t>
  </si>
  <si>
    <t>第81层</t>
  </si>
  <si>
    <t>300081;300181;300281;300381</t>
  </si>
  <si>
    <t>爬塔通关2-12/S24开放；4赛季包按层共用｜修正版V4：前20层由Lv45缓升至Lv180，之后接回长期曲线；对照S224｜V4同步最新玩家曲线：Lv360→Lv350，保留原TTK/生存压力目标</t>
  </si>
  <si>
    <t>第82层</t>
  </si>
  <si>
    <t>300082;300182;300282;300382</t>
  </si>
  <si>
    <t>爬塔通关2-12/S24开放；4赛季包按层共用｜修正版V4：前20层由Lv45缓升至Lv180，之后接回长期曲线；对照S226｜V4同步最新玩家曲线：Lv361→Lv351，保留原TTK/生存压力目标</t>
  </si>
  <si>
    <t>第83层</t>
  </si>
  <si>
    <t>300083;300183;300283;300383</t>
  </si>
  <si>
    <t>爬塔通关2-12/S24开放；4赛季包按层共用｜修正版V4：前20层由Lv45缓升至Lv180，之后接回长期曲线；对照S229｜V4同步最新玩家曲线：Lv362→Lv352，保留原TTK/生存压力目标</t>
  </si>
  <si>
    <t>第84层</t>
  </si>
  <si>
    <t>300084;300184;300284;300384</t>
  </si>
  <si>
    <t>爬塔通关2-12/S24开放；4赛季包按层共用｜修正版V4：前20层由Lv45缓升至Lv180，之后接回长期曲线；对照S232｜V4同步最新玩家曲线：Lv363→Lv353，保留原TTK/生存压力目标</t>
  </si>
  <si>
    <t>第85层</t>
  </si>
  <si>
    <t>300085;300185;300285;300385</t>
  </si>
  <si>
    <t>爬塔通关2-12/S24开放；4赛季包按层共用｜修正版V4：前20层由Lv45缓升至Lv180，之后接回长期曲线；对照S235｜V4同步最新玩家曲线：Lv364→Lv354，保留原TTK/生存压力目标</t>
  </si>
  <si>
    <t>第86层</t>
  </si>
  <si>
    <t>300086;300186;300286;300386</t>
  </si>
  <si>
    <t>爬塔通关2-12/S24开放；4赛季包按层共用｜修正版V4：前20层由Lv45缓升至Lv180，之后接回长期曲线；对照S238｜V4同步最新玩家曲线：Lv365→Lv355，保留原TTK/生存压力目标</t>
  </si>
  <si>
    <t>第87层</t>
  </si>
  <si>
    <t>300087;300187;300287;300387</t>
  </si>
  <si>
    <t>爬塔通关2-12/S24开放；4赛季包按层共用｜修正版V4：前20层由Lv45缓升至Lv180，之后接回长期曲线；对照S241｜V4同步最新玩家曲线：Lv366→Lv356，保留原TTK/生存压力目标</t>
  </si>
  <si>
    <t>第88层</t>
  </si>
  <si>
    <t>300088;300188;300288;300388</t>
  </si>
  <si>
    <t>爬塔通关2-12/S24开放；4赛季包按层共用｜修正版V4：前20层由Lv45缓升至Lv180，之后接回长期曲线；对照S244｜V4同步最新玩家曲线：Lv367→Lv357，保留原TTK/生存压力目标</t>
  </si>
  <si>
    <t>第89层</t>
  </si>
  <si>
    <t>300089;300189;300289;300389</t>
  </si>
  <si>
    <t>爬塔通关2-12/S24开放；4赛季包按层共用｜修正版V4：前20层由Lv45缓升至Lv180，之后接回长期曲线；对照S247｜V4同步最新玩家曲线：Lv368→Lv358，保留原TTK/生存压力目标</t>
  </si>
  <si>
    <t>第90层</t>
  </si>
  <si>
    <t>300090;300190;300290;300390</t>
  </si>
  <si>
    <t>爬塔通关2-12/S24开放；4赛季包按层共用｜修正版V4：前20层由Lv45缓升至Lv180，之后接回长期曲线；对照S250｜V4同步最新玩家曲线：Lv370→Lv360，保留原TTK/生存压力目标</t>
  </si>
  <si>
    <t>第91层</t>
  </si>
  <si>
    <t>300091;300191;300291;300391</t>
  </si>
  <si>
    <t>爬塔通关2-12/S24开放；4赛季包按层共用｜修正版V4：前20层由Lv45缓升至Lv180，之后接回长期曲线；对照S253｜V4同步最新玩家曲线：Lv371→Lv361，保留原TTK/生存压力目标</t>
  </si>
  <si>
    <t>第92层</t>
  </si>
  <si>
    <t>300092;300192;300292;300392</t>
  </si>
  <si>
    <t>爬塔通关2-12/S24开放；4赛季包按层共用｜修正版V4：前20层由Lv45缓升至Lv180，之后接回长期曲线；对照S255｜V4同步最新玩家曲线：Lv371→Lv361，保留原TTK/生存压力目标</t>
  </si>
  <si>
    <t>第93层</t>
  </si>
  <si>
    <t>300093;300193;300293;300393</t>
  </si>
  <si>
    <t>爬塔通关2-12/S24开放；4赛季包按层共用｜修正版V4：前20层由Lv45缓升至Lv180，之后接回长期曲线；对照S258｜V4同步最新玩家曲线：Lv373→Lv363，保留原TTK/生存压力目标</t>
  </si>
  <si>
    <t>第94层</t>
  </si>
  <si>
    <t>300094;300194;300294;300394</t>
  </si>
  <si>
    <t>爬塔通关2-12/S24开放；4赛季包按层共用｜修正版V4：前20层由Lv45缓升至Lv180，之后接回长期曲线；对照S261｜V4同步最新玩家曲线：Lv374→Lv364，保留原TTK/生存压力目标</t>
  </si>
  <si>
    <t>第95层</t>
  </si>
  <si>
    <t>300095;300195;300295;300395</t>
  </si>
  <si>
    <t>爬塔通关2-12/S24开放；4赛季包按层共用｜修正版V4：前20层由Lv45缓升至Lv180，之后接回长期曲线；对照S264｜V4同步最新玩家曲线：Lv375→Lv365，保留原TTK/生存压力目标</t>
  </si>
  <si>
    <t>第96层</t>
  </si>
  <si>
    <t>300096;300196;300296;300396</t>
  </si>
  <si>
    <t>爬塔通关2-12/S24开放；4赛季包按层共用｜修正版V4：前20层由Lv45缓升至Lv180，之后接回长期曲线；对照S267｜V4同步最新玩家曲线：Lv376→Lv366，保留原TTK/生存压力目标</t>
  </si>
  <si>
    <t>第97层</t>
  </si>
  <si>
    <t>300097;300197;300297;300397</t>
  </si>
  <si>
    <t>爬塔通关2-12/S24开放；4赛季包按层共用｜修正版V4：前20层由Lv45缓升至Lv180，之后接回长期曲线；对照S270｜V4同步最新玩家曲线：Lv377→Lv367，保留原TTK/生存压力目标</t>
  </si>
  <si>
    <t>第98层</t>
  </si>
  <si>
    <t>300098;300198;300298;300398</t>
  </si>
  <si>
    <t>爬塔通关2-12/S24开放；4赛季包按层共用｜修正版V4：前20层由Lv45缓升至Lv180，之后接回长期曲线；对照S273｜V4同步最新玩家曲线：Lv378→Lv368，保留原TTK/生存压力目标</t>
  </si>
  <si>
    <t>第99层</t>
  </si>
  <si>
    <t>300099;300199;300299;300399</t>
  </si>
  <si>
    <t>爬塔通关2-12/S24开放；4赛季包按层共用｜修正版V4：前20层由Lv45缓升至Lv180，之后接回长期曲线；对照S276｜V4同步最新玩家曲线：Lv380→Lv370，保留原TTK/生存压力目标</t>
  </si>
  <si>
    <t>第100层</t>
  </si>
  <si>
    <t>300100;300200;300300;300400</t>
  </si>
  <si>
    <t>爬塔通关2-12/S24开放；4赛季包按层共用｜修正版V4：前20层由Lv45缓升至Lv180，之后接回长期曲线；对照S279｜V4同步最新玩家曲线：Lv380→Lv370，保留原TTK/生存压力目标</t>
  </si>
  <si>
    <t>全玩法难度填写｜Boss挑战</t>
  </si>
  <si>
    <t>7个Boss共用</t>
  </si>
  <si>
    <t>510001;520001;530001;540001;550001;560001;570001</t>
  </si>
  <si>
    <t>Boss挑战通关4-15/S54开放；7个Boss共用难度档｜修正版V4：首档Lv111送进度，前5档缓升后接回验证强度；对照S54｜V4同步最新玩家曲线：Lv120→Lv111，保留原TTK/生存压力目标｜曲线同步20260811：Lv111→Lv96，保持原玩法定位与TTK/生存压力</t>
  </si>
  <si>
    <t>510002;520002;530002;540002;550002;560002;570002</t>
  </si>
  <si>
    <t>Boss挑战通关4-15/S54开放；7个Boss共用难度档｜修正版V4：首档Lv120送进度，前5档缓升后接回验证强度；对照S64｜V4同步最新玩家曲线：Lv160→Lv150，保留原TTK/生存压力目标｜曲线同步20260811：Lv150→Lv130，保持原玩法定位与TTK/生存压力</t>
  </si>
  <si>
    <t>510003;520003;530003;540003;550003;560003;570003</t>
  </si>
  <si>
    <t>Boss挑战通关4-15/S54开放；7个Boss共用难度档｜修正版V4：首档Lv120送进度，前5档缓升后接回验证强度；对照S76｜V4同步最新玩家曲线：Lv200→Lv188，保留原TTK/生存压力目标｜曲线同步20260811：Lv188→Lv163，保持原玩法定位与TTK/生存压力</t>
  </si>
  <si>
    <t>510004;520004;530004;540004;550004;560004;570004</t>
  </si>
  <si>
    <t>Boss挑战通关4-15/S54开放；7个Boss共用难度档｜修正版V4：首档Lv120送进度，前5档缓升后接回验证强度；对照S89｜V4同步最新玩家曲线：Lv230→Lv217，保留原TTK/生存压力目标｜曲线同步20260811：Lv217→Lv188，保持原玩法定位与TTK/生存压力</t>
  </si>
  <si>
    <t>510005;520005;530005;540005;550005;560005;570005</t>
  </si>
  <si>
    <t>Boss挑战通关4-15/S54开放；7个Boss共用难度档｜修正版V4：首档Lv120送进度，前5档缓升后接回验证强度；对照S104｜V4同步最新玩家曲线：Lv260→Lv247，保留原TTK/生存压力目标｜曲线同步20260811：Lv247→Lv214，保持原玩法定位与TTK/生存压力</t>
  </si>
  <si>
    <t>510006;520006;530006;540006;550006;560006;570006</t>
  </si>
  <si>
    <t>Boss挑战通关4-15/S54开放；7个Boss共用难度档｜修正版V4：首档Lv120送进度，前5档缓升后接回验证强度；对照S122｜V4同步最新玩家曲线：Lv293→Lv280，保留原TTK/生存压力目标｜曲线同步20260811：Lv280→Lv244，保持原玩法定位与TTK/生存压力</t>
  </si>
  <si>
    <t>510007;520007;530007;540007;550007;560007;570007</t>
  </si>
  <si>
    <t>Boss挑战通关4-15/S54开放；7个Boss共用难度档｜修正版V4：首档Lv120送进度，前5档缓升后接回验证强度；对照S144｜V4同步最新玩家曲线：Lv317→Lv305，保留原TTK/生存压力目标｜曲线同步20260811：Lv305→Lv266，保持原玩法定位与TTK/生存压力</t>
  </si>
  <si>
    <t>510008;520008;530008;540008;550008;560008;570008</t>
  </si>
  <si>
    <t>Boss挑战通关4-15/S54开放；7个Boss共用难度档｜修正版V4：首档Lv120送进度，前5档缓升后接回验证强度；对照S172｜V4同步最新玩家曲线：Lv337→Lv326，保留原TTK/生存压力目标｜曲线同步20260811：Lv326→Lv285，保持原玩法定位与TTK/生存压力</t>
  </si>
  <si>
    <t>510009;520009;530009;540009;550009;560009;570009</t>
  </si>
  <si>
    <t>Boss挑战通关4-15/S54开放；7个Boss共用难度档｜修正版V4：首档Lv120送进度，前5档缓升后接回验证强度；对照S209｜V4同步最新玩家曲线：Lv354→Lv344，保留原TTK/生存压力目标｜曲线同步20260811：Lv344→Lv302，保持原玩法定位与TTK/生存压力</t>
  </si>
  <si>
    <t>510010;520010;530010;540010;550010;560010;570010</t>
  </si>
  <si>
    <t>Boss挑战通关4-15/S54开放；7个Boss共用难度档｜修正版V4：首档Lv120送进度，前5档缓升后接回验证强度；对照S254｜V4同步最新玩家曲线：Lv371→Lv361，保留原TTK/生存压力目标｜曲线同步20260811：Lv361→Lv318，保持原玩法定位与TTK/生存压力</t>
  </si>
  <si>
    <t>全玩法难度填写｜肉鸽</t>
  </si>
  <si>
    <t>5张场景</t>
  </si>
  <si>
    <t>肉鸽系统Lv35/S85开放；场景索引1000001｜修正版V4：前三档Lv140/210/285缓升，为开启与局内成长留容错；对照S85｜V4同步最新玩家曲线：Lv150→Lv140，保留原TTK/生存压力目标｜曲线同步20260811：Lv140→Lv118，保持原玩法定位与TTK/生存压力</t>
  </si>
  <si>
    <t>肉鸽系统Lv35/S85开放；场景索引1000002｜修正版V4：前三档Lv150/210/285缓升，为开启与局内成长留容错；对照S110｜V4同步最新玩家曲线：Lv210→Lv199，保留原TTK/生存压力目标｜曲线同步20260811：Lv199→Lv170，保持原玩法定位与TTK/生存压力</t>
  </si>
  <si>
    <t>肉鸽系统Lv35/S85开放；场景索引1000003｜修正版V4：前三档Lv150/210/285缓升，为开启与局内成长留容错；对照S145｜V4同步最新玩家曲线：Lv285→Lv274，保留原TTK/生存压力目标｜曲线同步20260811：Lv274→Lv238，保持原玩法定位与TTK/生存压力</t>
  </si>
  <si>
    <t>肉鸽系统Lv35/S85开放；场景索引1000004｜修正版V4：前三档Lv150/210/285缓升，为开启与局内成长留容错；对照S190｜V4同步最新玩家曲线：Lv340→Lv330，保留原TTK/生存压力目标｜曲线同步20260811：Lv330→Lv289，保持原玩法定位与TTK/生存压力</t>
  </si>
  <si>
    <t>肉鸽系统Lv35/S85开放；场景索引1000005｜修正版V4：前三档Lv150/210/285缓升，为开启与局内成长留容错；对照S240｜V4同步最新玩家曲线：Lv361→Lv351，保留原TTK/生存压力目标｜曲线同步20260811：Lv351→Lv309，保持原玩法定位与TTK/生存压力</t>
  </si>
  <si>
    <t>全玩法难度填写｜大秘境</t>
  </si>
  <si>
    <t>当前关闭</t>
  </si>
  <si>
    <t>4环境共用</t>
  </si>
  <si>
    <t>320001;320026;320051;320076</t>
  </si>
  <si>
    <t>大秘境Lv37/S95开放、当前系统关闭；4环境共用｜修正版V4：对照S95，终局限时验证领先3关｜V4同步最新玩家曲线：Lv248→Lv234，保留原TTK/生存压力目标｜曲线同步20260811：Lv234→Lv201，保持原玩法定位与TTK/生存压力</t>
  </si>
  <si>
    <t>320002;320027;320052;320077</t>
  </si>
  <si>
    <t>大秘境Lv37/S95开放、当前系统关闭；4环境共用｜修正版V4：对照S101，终局限时验证领先3关｜V4同步最新玩家曲线：Lv259→Lv245，保留原TTK/生存压力目标｜曲线同步20260811：Lv245→Lv211，保持原玩法定位与TTK/生存压力</t>
  </si>
  <si>
    <t>320003;320028;320053;320078</t>
  </si>
  <si>
    <t>大秘境Lv37/S95开放、当前系统关闭；4环境共用｜修正版V4：对照S107，终局限时验证领先3关｜V4同步最新玩家曲线：Lv270→Lv256，保留原TTK/生存压力目标｜曲线同步20260811：Lv256→Lv221，保持原玩法定位与TTK/生存压力</t>
  </si>
  <si>
    <t>320004;320029;320054;320079</t>
  </si>
  <si>
    <t>大秘境Lv37/S95开放、当前系统关闭；4环境共用｜修正版V4：对照S114，终局限时验证领先3关｜V4同步最新玩家曲线：Lv282→Lv268，保留原TTK/生存压力目标｜曲线同步20260811：Lv268→Lv231，保持原玩法定位与TTK/生存压力</t>
  </si>
  <si>
    <t>320005;320030;320055;320080</t>
  </si>
  <si>
    <t>大秘境Lv37/S95开放、当前系统关闭；4环境共用｜修正版V4：对照S121，终局限时验证领先3关｜V4同步最新玩家曲线：Lv292→Lv279，保留原TTK/生存压力目标｜曲线同步20260811：Lv279→Lv241，保持原玩法定位与TTK/生存压力</t>
  </si>
  <si>
    <t>320006;320031;320056;320081</t>
  </si>
  <si>
    <t>大秘境Lv37/S95开放、当前系统关闭；4环境共用｜修正版V4：对照S128，终局限时验证领先3关｜V4同步最新玩家曲线：Lv301→Lv288，保留原TTK/生存压力目标｜曲线同步20260811：Lv288→Lv249，保持原玩法定位与TTK/生存压力</t>
  </si>
  <si>
    <t>320007;320032;320057;320082</t>
  </si>
  <si>
    <t>大秘境Lv37/S95开放、当前系统关闭；4环境共用｜修正版V4：对照S135，终局限时验证领先3关｜V4同步最新玩家曲线：Lv309→Lv296，保留原TTK/生存压力目标｜曲线同步20260811：Lv296→Lv256，保持原玩法定位与TTK/生存压力</t>
  </si>
  <si>
    <t>320008;320033;320058;320083</t>
  </si>
  <si>
    <t>大秘境Lv37/S95开放、当前系统关闭；4环境共用｜修正版V4：对照S142，终局限时验证领先3关｜V4同步最新玩家曲线：Lv315→Lv303，保留原TTK/生存压力目标｜曲线同步20260811：Lv303→Lv263，保持原玩法定位与TTK/生存压力</t>
  </si>
  <si>
    <t>320009;320034;320059;320084</t>
  </si>
  <si>
    <t>大秘境Lv37/S95开放、当前系统关闭；4环境共用｜修正版V4：对照S150，终局限时验证领先3关｜V4同步最新玩家曲线：Lv322→Lv310，保留原TTK/生存压力目标｜曲线同步20260811：Lv310→Lv269，保持原玩法定位与TTK/生存压力</t>
  </si>
  <si>
    <t>320010;320035;320060;320085</t>
  </si>
  <si>
    <t>大秘境Lv37/S95开放、当前系统关闭；4环境共用｜修正版V4：对照S158，终局限时验证领先3关｜V4同步最新玩家曲线：Lv328→Lv316，保留原TTK/生存压力目标｜曲线同步20260811：Lv316→Lv274，保持原玩法定位与TTK/生存压力</t>
  </si>
  <si>
    <t>320011;320036;320061;320086</t>
  </si>
  <si>
    <t>大秘境Lv37/S95开放、当前系统关闭；4环境共用｜修正版V4：对照S165，终局限时验证领先3关｜V4同步最新玩家曲线：Lv333→Lv322，保留原TTK/生存压力目标｜曲线同步20260811：Lv322→Lv280，保持原玩法定位与TTK/生存压力</t>
  </si>
  <si>
    <t>320012;320037;320062;320087</t>
  </si>
  <si>
    <t>大秘境Lv37/S95开放、当前系统关闭；4环境共用｜修正版V4：对照S173，终局限时验证领先3关｜V4同步最新玩家曲线：Lv337→Lv326，保留原TTK/生存压力目标｜曲线同步20260811：Lv326→Lv284，保持原玩法定位与TTK/生存压力</t>
  </si>
  <si>
    <t>320013;320038;320063;320088</t>
  </si>
  <si>
    <t>大秘境Lv37/S95开放、当前系统关闭；4环境共用｜修正版V4：对照S181，终局限时验证领先3关｜V4同步最新玩家曲线：Lv342→Lv331，保留原TTK/生存压力目标｜曲线同步20260811：Lv331→Lv288，保持原玩法定位与TTK/生存压力</t>
  </si>
  <si>
    <t>320014;320039;320064;320089</t>
  </si>
  <si>
    <t>大秘境Lv37/S95开放、当前系统关闭；4环境共用｜修正版V4：对照S189，终局限时验证领先3关｜V4同步最新玩家曲线：Lv346→Lv335，保留原TTK/生存压力目标｜曲线同步20260811：Lv335→Lv292，保持原玩法定位与TTK/生存压力</t>
  </si>
  <si>
    <t>320015;320040;320065;320090</t>
  </si>
  <si>
    <t>大秘境Lv37/S95开放、当前系统关闭；4环境共用｜修正版V4：对照S197，终局限时验证领先3关｜V4同步最新玩家曲线：Lv349→Lv338，保留原TTK/生存压力目标｜曲线同步20260811：Lv338→Lv295，保持原玩法定位与TTK/生存压力</t>
  </si>
  <si>
    <t>320016;320041;320066;320091</t>
  </si>
  <si>
    <t>大秘境Lv37/S95开放、当前系统关闭；4环境共用｜修正版V4：对照S205，终局限时验证领先3关｜V4同步最新玩家曲线：Lv353→Lv342，保留原TTK/生存压力目标｜曲线同步20260811：Lv342→Lv298，保持原玩法定位与TTK/生存压力</t>
  </si>
  <si>
    <t>320017;320042;320067;320092</t>
  </si>
  <si>
    <t>大秘境Lv37/S95开放、当前系统关闭；4环境共用｜修正版V4：对照S213，终局限时验证领先3关｜V4同步最新玩家曲线：Lv356→Lv346，保留原TTK/生存压力目标｜曲线同步20260811：Lv346→Lv302，保持原玩法定位与TTK/生存压力</t>
  </si>
  <si>
    <t>320018;320043;320068;320093</t>
  </si>
  <si>
    <t>大秘境Lv37/S95开放、当前系统关闭；4环境共用｜修正版V4：对照S221，终局限时验证领先3关｜V4同步最新玩家曲线：Lv359→Lv349，保留原TTK/生存压力目标｜曲线同步20260811：Lv349→Lv305，保持原玩法定位与TTK/生存压力</t>
  </si>
  <si>
    <t>320019;320044;320069;320094</t>
  </si>
  <si>
    <t>大秘境Lv37/S95开放、当前系统关闭；4环境共用｜修正版V4：对照S229，终局限时验证领先3关｜V4同步最新玩家曲线：Lv362→Lv352，保留原TTK/生存压力目标｜曲线同步20260811：Lv352→Lv308，保持原玩法定位与TTK/生存压力</t>
  </si>
  <si>
    <t>320020;320045;320070;320095</t>
  </si>
  <si>
    <t>大秘境Lv37/S95开放、当前系统关闭；4环境共用｜修正版V4：对照S237，终局限时验证领先3关｜V4同步最新玩家曲线：Lv365→Lv355，保留原TTK/生存压力目标｜曲线同步20260811：Lv355→Lv311，保持原玩法定位与TTK/生存压力</t>
  </si>
  <si>
    <t>320021;320046;320071;320096</t>
  </si>
  <si>
    <t>大秘境Lv37/S95开放、当前系统关闭；4环境共用｜修正版V4：对照S246，终局限时验证领先3关｜V4同步最新玩家曲线：Lv368→Lv358，保留原TTK/生存压力目标｜曲线同步20260811：Lv358→Lv313，保持原玩法定位与TTK/生存压力</t>
  </si>
  <si>
    <t>320022;320047;320072;320097</t>
  </si>
  <si>
    <t>大秘境Lv37/S95开放、当前系统关闭；4环境共用｜修正版V4：对照S254，终局限时验证领先3关｜V4同步最新玩家曲线：Lv371→Lv361，保留原TTK/生存压力目标｜曲线同步20260811：Lv361→Lv316，保持原玩法定位与TTK/生存压力</t>
  </si>
  <si>
    <t>320023;320048;320073;320098</t>
  </si>
  <si>
    <t>大秘境Lv37/S95开放、当前系统关闭；4环境共用｜修正版V4：对照S262，终局限时验证领先3关｜V4同步最新玩家曲线：Lv375→Lv365，保留原TTK/生存压力目标｜曲线同步20260811：Lv365→Lv320，保持原玩法定位与TTK/生存压力</t>
  </si>
  <si>
    <t>320024;320049;320074;320099</t>
  </si>
  <si>
    <t>大秘境Lv37/S95开放、当前系统关闭；4环境共用｜修正版V4：对照S271，终局限时验证领先3关｜V4同步最新玩家曲线：Lv378→Lv368，保留原TTK/生存压力目标｜曲线同步20260811：Lv368→Lv323，保持原玩法定位与TTK/生存压力</t>
  </si>
  <si>
    <t>320025;320050;320075;320100</t>
  </si>
  <si>
    <t>大秘境Lv37/S95开放、当前系统关闭；4环境共用｜修正版V4：对照S279，终局限时验证领先3关｜V4同步最新玩家曲线：Lv380→Lv370，保留原TTK/生存压力目标｜曲线同步20260811：Lv370→Lv325，保持原玩法定位与TTK/生存压力</t>
  </si>
  <si>
    <t>全玩法难度填写｜PVPVE</t>
  </si>
  <si>
    <t>当前页只维护【PVPVE】。默认只填黄色J列怪物等级；浅蓝输入区可选覆盖，点击标题返回玩法汇总。</t>
  </si>
  <si>
    <t>特殊：双方属性对算</t>
  </si>
  <si>
    <t>属性对算</t>
  </si>
  <si>
    <t>竞技场场景1</t>
  </si>
  <si>
    <t>700000</t>
  </si>
  <si>
    <t>不适用</t>
  </si>
  <si>
    <t>不使用怪物等级；按双方属性生成对抗参数</t>
  </si>
  <si>
    <t>竞技场场景2</t>
  </si>
  <si>
    <t>700001</t>
  </si>
  <si>
    <t>关卡序号</t>
  </si>
  <si>
    <t>玩家等级</t>
  </si>
  <si>
    <t>章节</t>
  </si>
  <si>
    <t>章内关卡</t>
  </si>
  <si>
    <t>上阵人数</t>
  </si>
  <si>
    <t>最终攻击</t>
  </si>
  <si>
    <t>最终防御</t>
  </si>
  <si>
    <t>Boss目标TTK</t>
  </si>
  <si>
    <t>等价怪物等级</t>
  </si>
  <si>
    <t>索引键</t>
  </si>
  <si>
    <t>基础生命</t>
  </si>
  <si>
    <t>基础攻击</t>
  </si>
  <si>
    <t>基础防御</t>
  </si>
  <si>
    <t>1|普通怪</t>
  </si>
  <si>
    <t>1|盾怪</t>
  </si>
  <si>
    <t>盾怪</t>
  </si>
  <si>
    <t>1|二级普通怪</t>
  </si>
  <si>
    <t>二级普通怪</t>
  </si>
  <si>
    <t>1|站桩怪</t>
  </si>
  <si>
    <t>站桩怪</t>
  </si>
  <si>
    <t>1|炮灰怪</t>
  </si>
  <si>
    <t>炮灰怪</t>
  </si>
  <si>
    <t>1|精英怪</t>
  </si>
  <si>
    <t>1|精英盾怪</t>
  </si>
  <si>
    <t>精英盾怪</t>
  </si>
  <si>
    <t>1|Boss</t>
  </si>
  <si>
    <t>1|装备副本Boss</t>
  </si>
  <si>
    <t>2|普通怪</t>
  </si>
  <si>
    <t>2|盾怪</t>
  </si>
  <si>
    <t>2|二级普通怪</t>
  </si>
  <si>
    <t>2|站桩怪</t>
  </si>
  <si>
    <t>2|炮灰怪</t>
  </si>
  <si>
    <t>2|精英怪</t>
  </si>
  <si>
    <t>2|精英盾怪</t>
  </si>
  <si>
    <t>2|Boss</t>
  </si>
  <si>
    <t>2|装备副本Boss</t>
  </si>
  <si>
    <t>3|普通怪</t>
  </si>
  <si>
    <t>3|盾怪</t>
  </si>
  <si>
    <t>3|二级普通怪</t>
  </si>
  <si>
    <t>3|站桩怪</t>
  </si>
  <si>
    <t>3|炮灰怪</t>
  </si>
  <si>
    <t>3|精英怪</t>
  </si>
  <si>
    <t>3|精英盾怪</t>
  </si>
  <si>
    <t>3|Boss</t>
  </si>
  <si>
    <t>3|装备副本Boss</t>
  </si>
  <si>
    <t>4|普通怪</t>
  </si>
  <si>
    <t>4|盾怪</t>
  </si>
  <si>
    <t>4|二级普通怪</t>
  </si>
  <si>
    <t>4|站桩怪</t>
  </si>
  <si>
    <t>4|炮灰怪</t>
  </si>
  <si>
    <t>4|精英怪</t>
  </si>
  <si>
    <t>4|精英盾怪</t>
  </si>
  <si>
    <t>4|Boss</t>
  </si>
  <si>
    <t>4|装备副本Boss</t>
  </si>
  <si>
    <t>5|普通怪</t>
  </si>
  <si>
    <t>5|盾怪</t>
  </si>
  <si>
    <t>5|二级普通怪</t>
  </si>
  <si>
    <t>5|站桩怪</t>
  </si>
  <si>
    <t>5|炮灰怪</t>
  </si>
  <si>
    <t>5|精英怪</t>
  </si>
  <si>
    <t>5|精英盾怪</t>
  </si>
  <si>
    <t>5|Boss</t>
  </si>
  <si>
    <t>5|装备副本Boss</t>
  </si>
  <si>
    <t>6|普通怪</t>
  </si>
  <si>
    <t>6|盾怪</t>
  </si>
  <si>
    <t>6|二级普通怪</t>
  </si>
  <si>
    <t>6|站桩怪</t>
  </si>
  <si>
    <t>6|炮灰怪</t>
  </si>
  <si>
    <t>6|精英怪</t>
  </si>
  <si>
    <t>6|精英盾怪</t>
  </si>
  <si>
    <t>6|Boss</t>
  </si>
  <si>
    <t>6|装备副本Boss</t>
  </si>
  <si>
    <t>7|普通怪</t>
  </si>
  <si>
    <t>7|盾怪</t>
  </si>
  <si>
    <t>7|二级普通怪</t>
  </si>
  <si>
    <t>7|站桩怪</t>
  </si>
  <si>
    <t>7|炮灰怪</t>
  </si>
  <si>
    <t>7|精英怪</t>
  </si>
  <si>
    <t>7|精英盾怪</t>
  </si>
  <si>
    <t>7|Boss</t>
  </si>
  <si>
    <t>7|装备副本Boss</t>
  </si>
  <si>
    <t>8|普通怪</t>
  </si>
  <si>
    <t>8|盾怪</t>
  </si>
  <si>
    <t>8|二级普通怪</t>
  </si>
  <si>
    <t>8|站桩怪</t>
  </si>
  <si>
    <t>8|炮灰怪</t>
  </si>
  <si>
    <t>8|精英怪</t>
  </si>
  <si>
    <t>8|精英盾怪</t>
  </si>
  <si>
    <t>8|Boss</t>
  </si>
  <si>
    <t>8|装备副本Boss</t>
  </si>
  <si>
    <t>9|普通怪</t>
  </si>
  <si>
    <t>9|盾怪</t>
  </si>
  <si>
    <t>9|二级普通怪</t>
  </si>
  <si>
    <t>9|站桩怪</t>
  </si>
  <si>
    <t>9|炮灰怪</t>
  </si>
  <si>
    <t>9|精英怪</t>
  </si>
  <si>
    <t>9|精英盾怪</t>
  </si>
  <si>
    <t>9|Boss</t>
  </si>
  <si>
    <t>9|装备副本Boss</t>
  </si>
  <si>
    <t>10|普通怪</t>
  </si>
  <si>
    <t>10|盾怪</t>
  </si>
  <si>
    <t>10|二级普通怪</t>
  </si>
  <si>
    <t>10|站桩怪</t>
  </si>
  <si>
    <t>10|炮灰怪</t>
  </si>
  <si>
    <t>10|精英怪</t>
  </si>
  <si>
    <t>10|精英盾怪</t>
  </si>
  <si>
    <t>10|Boss</t>
  </si>
  <si>
    <t>10|装备副本Boss</t>
  </si>
  <si>
    <t>11|普通怪</t>
  </si>
  <si>
    <t>11|盾怪</t>
  </si>
  <si>
    <t>11|二级普通怪</t>
  </si>
  <si>
    <t>11|站桩怪</t>
  </si>
  <si>
    <t>11|炮灰怪</t>
  </si>
  <si>
    <t>11|精英怪</t>
  </si>
  <si>
    <t>11|精英盾怪</t>
  </si>
  <si>
    <t>11|Boss</t>
  </si>
  <si>
    <t>11|装备副本Boss</t>
  </si>
  <si>
    <t>12|普通怪</t>
  </si>
  <si>
    <t>12|盾怪</t>
  </si>
  <si>
    <t>12|二级普通怪</t>
  </si>
  <si>
    <t>12|站桩怪</t>
  </si>
  <si>
    <t>12|炮灰怪</t>
  </si>
  <si>
    <t>12|精英怪</t>
  </si>
  <si>
    <t>12|精英盾怪</t>
  </si>
  <si>
    <t>12|Boss</t>
  </si>
  <si>
    <t>12|装备副本Boss</t>
  </si>
  <si>
    <t>13|普通怪</t>
  </si>
  <si>
    <t>13|盾怪</t>
  </si>
  <si>
    <t>13|二级普通怪</t>
  </si>
  <si>
    <t>13|站桩怪</t>
  </si>
  <si>
    <t>13|炮灰怪</t>
  </si>
  <si>
    <t>13|精英怪</t>
  </si>
  <si>
    <t>13|精英盾怪</t>
  </si>
  <si>
    <t>13|Boss</t>
  </si>
  <si>
    <t>13|装备副本Boss</t>
  </si>
  <si>
    <t>14|普通怪</t>
  </si>
  <si>
    <t>14|盾怪</t>
  </si>
  <si>
    <t>14|二级普通怪</t>
  </si>
  <si>
    <t>14|站桩怪</t>
  </si>
  <si>
    <t>14|炮灰怪</t>
  </si>
  <si>
    <t>14|精英怪</t>
  </si>
  <si>
    <t>14|精英盾怪</t>
  </si>
  <si>
    <t>14|Boss</t>
  </si>
  <si>
    <t>14|装备副本Boss</t>
  </si>
  <si>
    <t>15|普通怪</t>
  </si>
  <si>
    <t>15|盾怪</t>
  </si>
  <si>
    <t>15|二级普通怪</t>
  </si>
  <si>
    <t>15|站桩怪</t>
  </si>
  <si>
    <t>15|炮灰怪</t>
  </si>
  <si>
    <t>15|精英怪</t>
  </si>
  <si>
    <t>15|精英盾怪</t>
  </si>
  <si>
    <t>15|Boss</t>
  </si>
  <si>
    <t>15|装备副本Boss</t>
  </si>
  <si>
    <t>16|普通怪</t>
  </si>
  <si>
    <t>16|盾怪</t>
  </si>
  <si>
    <t>16|二级普通怪</t>
  </si>
  <si>
    <t>16|站桩怪</t>
  </si>
  <si>
    <t>16|炮灰怪</t>
  </si>
  <si>
    <t>16|精英怪</t>
  </si>
  <si>
    <t>16|精英盾怪</t>
  </si>
  <si>
    <t>16|Boss</t>
  </si>
  <si>
    <t>16|装备副本Boss</t>
  </si>
  <si>
    <t>17|普通怪</t>
  </si>
  <si>
    <t>17|盾怪</t>
  </si>
  <si>
    <t>17|二级普通怪</t>
  </si>
  <si>
    <t>17|站桩怪</t>
  </si>
  <si>
    <t>17|炮灰怪</t>
  </si>
  <si>
    <t>17|精英怪</t>
  </si>
  <si>
    <t>17|精英盾怪</t>
  </si>
  <si>
    <t>17|Boss</t>
  </si>
  <si>
    <t>17|装备副本Boss</t>
  </si>
  <si>
    <t>18|普通怪</t>
  </si>
  <si>
    <t>18|盾怪</t>
  </si>
  <si>
    <t>18|二级普通怪</t>
  </si>
  <si>
    <t>18|站桩怪</t>
  </si>
  <si>
    <t>18|炮灰怪</t>
  </si>
  <si>
    <t>18|精英怪</t>
  </si>
  <si>
    <t>18|精英盾怪</t>
  </si>
  <si>
    <t>18|Boss</t>
  </si>
  <si>
    <t>18|装备副本Boss</t>
  </si>
  <si>
    <t>19|普通怪</t>
  </si>
  <si>
    <t>19|盾怪</t>
  </si>
  <si>
    <t>19|二级普通怪</t>
  </si>
  <si>
    <t>19|站桩怪</t>
  </si>
  <si>
    <t>19|炮灰怪</t>
  </si>
  <si>
    <t>19|精英怪</t>
  </si>
  <si>
    <t>19|精英盾怪</t>
  </si>
  <si>
    <t>19|Boss</t>
  </si>
  <si>
    <t>19|装备副本Boss</t>
  </si>
  <si>
    <t>20|普通怪</t>
  </si>
  <si>
    <t>20|盾怪</t>
  </si>
  <si>
    <t>20|二级普通怪</t>
  </si>
  <si>
    <t>20|站桩怪</t>
  </si>
  <si>
    <t>20|炮灰怪</t>
  </si>
  <si>
    <t>20|精英怪</t>
  </si>
  <si>
    <t>20|精英盾怪</t>
  </si>
  <si>
    <t>20|Boss</t>
  </si>
  <si>
    <t>20|装备副本Boss</t>
  </si>
  <si>
    <t>21|普通怪</t>
  </si>
  <si>
    <t>21|盾怪</t>
  </si>
  <si>
    <t>21|二级普通怪</t>
  </si>
  <si>
    <t>21|站桩怪</t>
  </si>
  <si>
    <t>21|炮灰怪</t>
  </si>
  <si>
    <t>21|精英怪</t>
  </si>
  <si>
    <t>21|精英盾怪</t>
  </si>
  <si>
    <t>21|Boss</t>
  </si>
  <si>
    <t>21|装备副本Boss</t>
  </si>
  <si>
    <t>22|普通怪</t>
  </si>
  <si>
    <t>22|盾怪</t>
  </si>
  <si>
    <t>22|二级普通怪</t>
  </si>
  <si>
    <t>22|站桩怪</t>
  </si>
  <si>
    <t>22|炮灰怪</t>
  </si>
  <si>
    <t>22|精英怪</t>
  </si>
  <si>
    <t>22|精英盾怪</t>
  </si>
  <si>
    <t>22|Boss</t>
  </si>
  <si>
    <t>22|装备副本Boss</t>
  </si>
  <si>
    <t>23|普通怪</t>
  </si>
  <si>
    <t>23|盾怪</t>
  </si>
  <si>
    <t>23|二级普通怪</t>
  </si>
  <si>
    <t>23|站桩怪</t>
  </si>
  <si>
    <t>23|炮灰怪</t>
  </si>
  <si>
    <t>23|精英怪</t>
  </si>
  <si>
    <t>23|精英盾怪</t>
  </si>
  <si>
    <t>23|Boss</t>
  </si>
  <si>
    <t>23|装备副本Boss</t>
  </si>
  <si>
    <t>24|普通怪</t>
  </si>
  <si>
    <t>24|盾怪</t>
  </si>
  <si>
    <t>24|二级普通怪</t>
  </si>
  <si>
    <t>24|站桩怪</t>
  </si>
  <si>
    <t>24|炮灰怪</t>
  </si>
  <si>
    <t>24|精英怪</t>
  </si>
  <si>
    <t>24|精英盾怪</t>
  </si>
  <si>
    <t>24|Boss</t>
  </si>
  <si>
    <t>24|装备副本Boss</t>
  </si>
  <si>
    <t>25|普通怪</t>
  </si>
  <si>
    <t>25|盾怪</t>
  </si>
  <si>
    <t>25|二级普通怪</t>
  </si>
  <si>
    <t>25|站桩怪</t>
  </si>
  <si>
    <t>25|炮灰怪</t>
  </si>
  <si>
    <t>25|精英怪</t>
  </si>
  <si>
    <t>25|精英盾怪</t>
  </si>
  <si>
    <t>25|Boss</t>
  </si>
  <si>
    <t>25|装备副本Boss</t>
  </si>
  <si>
    <t>26|普通怪</t>
  </si>
  <si>
    <t>26|盾怪</t>
  </si>
  <si>
    <t>26|二级普通怪</t>
  </si>
  <si>
    <t>26|站桩怪</t>
  </si>
  <si>
    <t>26|炮灰怪</t>
  </si>
  <si>
    <t>26|精英怪</t>
  </si>
  <si>
    <t>26|精英盾怪</t>
  </si>
  <si>
    <t>26|Boss</t>
  </si>
  <si>
    <t>26|装备副本Boss</t>
  </si>
  <si>
    <t>27|普通怪</t>
  </si>
  <si>
    <t>27|盾怪</t>
  </si>
  <si>
    <t>27|二级普通怪</t>
  </si>
  <si>
    <t>27|站桩怪</t>
  </si>
  <si>
    <t>27|炮灰怪</t>
  </si>
  <si>
    <t>27|精英怪</t>
  </si>
  <si>
    <t>27|精英盾怪</t>
  </si>
  <si>
    <t>27|Boss</t>
  </si>
  <si>
    <t>27|装备副本Boss</t>
  </si>
  <si>
    <t>28|普通怪</t>
  </si>
  <si>
    <t>28|盾怪</t>
  </si>
  <si>
    <t>28|二级普通怪</t>
  </si>
  <si>
    <t>28|站桩怪</t>
  </si>
  <si>
    <t>28|炮灰怪</t>
  </si>
  <si>
    <t>28|精英怪</t>
  </si>
  <si>
    <t>28|精英盾怪</t>
  </si>
  <si>
    <t>28|Boss</t>
  </si>
  <si>
    <t>28|装备副本Boss</t>
  </si>
  <si>
    <t>29|普通怪</t>
  </si>
  <si>
    <t>29|盾怪</t>
  </si>
  <si>
    <t>29|二级普通怪</t>
  </si>
  <si>
    <t>29|站桩怪</t>
  </si>
  <si>
    <t>29|炮灰怪</t>
  </si>
  <si>
    <t>29|精英怪</t>
  </si>
  <si>
    <t>29|精英盾怪</t>
  </si>
  <si>
    <t>29|Boss</t>
  </si>
  <si>
    <t>29|装备副本Boss</t>
  </si>
  <si>
    <t>30|普通怪</t>
  </si>
  <si>
    <t>30|盾怪</t>
  </si>
  <si>
    <t>30|二级普通怪</t>
  </si>
  <si>
    <t>30|站桩怪</t>
  </si>
  <si>
    <t>30|炮灰怪</t>
  </si>
  <si>
    <t>30|精英怪</t>
  </si>
  <si>
    <t>30|精英盾怪</t>
  </si>
  <si>
    <t>30|Boss</t>
  </si>
  <si>
    <t>30|装备副本Boss</t>
  </si>
  <si>
    <t>31|普通怪</t>
  </si>
  <si>
    <t>31|盾怪</t>
  </si>
  <si>
    <t>31|二级普通怪</t>
  </si>
  <si>
    <t>31|站桩怪</t>
  </si>
  <si>
    <t>31|炮灰怪</t>
  </si>
  <si>
    <t>31|精英怪</t>
  </si>
  <si>
    <t>31|精英盾怪</t>
  </si>
  <si>
    <t>31|Boss</t>
  </si>
  <si>
    <t>31|装备副本Boss</t>
  </si>
  <si>
    <t>32|普通怪</t>
  </si>
  <si>
    <t>32|盾怪</t>
  </si>
  <si>
    <t>32|二级普通怪</t>
  </si>
  <si>
    <t>32|站桩怪</t>
  </si>
  <si>
    <t>32|炮灰怪</t>
  </si>
  <si>
    <t>32|精英怪</t>
  </si>
  <si>
    <t>32|精英盾怪</t>
  </si>
  <si>
    <t>32|Boss</t>
  </si>
  <si>
    <t>32|装备副本Boss</t>
  </si>
  <si>
    <t>33|普通怪</t>
  </si>
  <si>
    <t>33|盾怪</t>
  </si>
  <si>
    <t>33|二级普通怪</t>
  </si>
  <si>
    <t>33|站桩怪</t>
  </si>
  <si>
    <t>33|炮灰怪</t>
  </si>
  <si>
    <t>33|精英怪</t>
  </si>
  <si>
    <t>33|精英盾怪</t>
  </si>
  <si>
    <t>33|Boss</t>
  </si>
  <si>
    <t>33|装备副本Boss</t>
  </si>
  <si>
    <t>34|普通怪</t>
  </si>
  <si>
    <t>34|盾怪</t>
  </si>
  <si>
    <t>34|二级普通怪</t>
  </si>
  <si>
    <t>34|站桩怪</t>
  </si>
  <si>
    <t>34|炮灰怪</t>
  </si>
  <si>
    <t>34|精英怪</t>
  </si>
  <si>
    <t>34|精英盾怪</t>
  </si>
  <si>
    <t>34|Boss</t>
  </si>
  <si>
    <t>34|装备副本Boss</t>
  </si>
  <si>
    <t>35|普通怪</t>
  </si>
  <si>
    <t>35|盾怪</t>
  </si>
  <si>
    <t>35|二级普通怪</t>
  </si>
  <si>
    <t>35|站桩怪</t>
  </si>
  <si>
    <t>35|炮灰怪</t>
  </si>
  <si>
    <t>35|精英怪</t>
  </si>
  <si>
    <t>35|精英盾怪</t>
  </si>
  <si>
    <t>35|Boss</t>
  </si>
  <si>
    <t>35|装备副本Boss</t>
  </si>
  <si>
    <t>36|普通怪</t>
  </si>
  <si>
    <t>36|盾怪</t>
  </si>
  <si>
    <t>36|二级普通怪</t>
  </si>
  <si>
    <t>36|站桩怪</t>
  </si>
  <si>
    <t>36|炮灰怪</t>
  </si>
  <si>
    <t>36|精英怪</t>
  </si>
  <si>
    <t>36|精英盾怪</t>
  </si>
  <si>
    <t>36|Boss</t>
  </si>
  <si>
    <t>36|装备副本Boss</t>
  </si>
  <si>
    <t>37|普通怪</t>
  </si>
  <si>
    <t>37|盾怪</t>
  </si>
  <si>
    <t>37|二级普通怪</t>
  </si>
  <si>
    <t>37|站桩怪</t>
  </si>
  <si>
    <t>37|炮灰怪</t>
  </si>
  <si>
    <t>37|精英怪</t>
  </si>
  <si>
    <t>37|精英盾怪</t>
  </si>
  <si>
    <t>37|Boss</t>
  </si>
  <si>
    <t>37|装备副本Boss</t>
  </si>
  <si>
    <t>38|普通怪</t>
  </si>
  <si>
    <t>38|盾怪</t>
  </si>
  <si>
    <t>38|二级普通怪</t>
  </si>
  <si>
    <t>38|站桩怪</t>
  </si>
  <si>
    <t>38|炮灰怪</t>
  </si>
  <si>
    <t>38|精英怪</t>
  </si>
  <si>
    <t>38|精英盾怪</t>
  </si>
  <si>
    <t>38|Boss</t>
  </si>
  <si>
    <t>38|装备副本Boss</t>
  </si>
  <si>
    <t>39|普通怪</t>
  </si>
  <si>
    <t>39|盾怪</t>
  </si>
  <si>
    <t>39|二级普通怪</t>
  </si>
  <si>
    <t>39|站桩怪</t>
  </si>
  <si>
    <t>39|炮灰怪</t>
  </si>
  <si>
    <t>39|精英怪</t>
  </si>
  <si>
    <t>39|精英盾怪</t>
  </si>
  <si>
    <t>39|Boss</t>
  </si>
  <si>
    <t>39|装备副本Boss</t>
  </si>
  <si>
    <t>40|普通怪</t>
  </si>
  <si>
    <t>40|盾怪</t>
  </si>
  <si>
    <t>40|二级普通怪</t>
  </si>
  <si>
    <t>40|站桩怪</t>
  </si>
  <si>
    <t>40|炮灰怪</t>
  </si>
  <si>
    <t>40|精英怪</t>
  </si>
  <si>
    <t>40|精英盾怪</t>
  </si>
  <si>
    <t>40|Boss</t>
  </si>
  <si>
    <t>40|装备副本Boss</t>
  </si>
  <si>
    <t>41|普通怪</t>
  </si>
  <si>
    <t>41|盾怪</t>
  </si>
  <si>
    <t>41|二级普通怪</t>
  </si>
  <si>
    <t>41|站桩怪</t>
  </si>
  <si>
    <t>41|炮灰怪</t>
  </si>
  <si>
    <t>41|精英怪</t>
  </si>
  <si>
    <t>41|精英盾怪</t>
  </si>
  <si>
    <t>41|Boss</t>
  </si>
  <si>
    <t>41|装备副本Boss</t>
  </si>
  <si>
    <t>42|普通怪</t>
  </si>
  <si>
    <t>42|盾怪</t>
  </si>
  <si>
    <t>42|二级普通怪</t>
  </si>
  <si>
    <t>42|站桩怪</t>
  </si>
  <si>
    <t>42|炮灰怪</t>
  </si>
  <si>
    <t>42|精英怪</t>
  </si>
  <si>
    <t>42|精英盾怪</t>
  </si>
  <si>
    <t>42|Boss</t>
  </si>
  <si>
    <t>42|装备副本Boss</t>
  </si>
  <si>
    <t>43|普通怪</t>
  </si>
  <si>
    <t>43|盾怪</t>
  </si>
  <si>
    <t>43|二级普通怪</t>
  </si>
  <si>
    <t>43|站桩怪</t>
  </si>
  <si>
    <t>43|炮灰怪</t>
  </si>
  <si>
    <t>43|精英怪</t>
  </si>
  <si>
    <t>43|精英盾怪</t>
  </si>
  <si>
    <t>43|Boss</t>
  </si>
  <si>
    <t>43|装备副本Boss</t>
  </si>
  <si>
    <t>44|普通怪</t>
  </si>
  <si>
    <t>44|盾怪</t>
  </si>
  <si>
    <t>44|二级普通怪</t>
  </si>
  <si>
    <t>44|站桩怪</t>
  </si>
  <si>
    <t>44|炮灰怪</t>
  </si>
  <si>
    <t>44|精英怪</t>
  </si>
  <si>
    <t>44|精英盾怪</t>
  </si>
  <si>
    <t>44|Boss</t>
  </si>
  <si>
    <t>44|装备副本Boss</t>
  </si>
  <si>
    <t>45|普通怪</t>
  </si>
  <si>
    <t>45|盾怪</t>
  </si>
  <si>
    <t>45|二级普通怪</t>
  </si>
  <si>
    <t>45|站桩怪</t>
  </si>
  <si>
    <t>45|炮灰怪</t>
  </si>
  <si>
    <t>45|精英怪</t>
  </si>
  <si>
    <t>45|精英盾怪</t>
  </si>
  <si>
    <t>45|Boss</t>
  </si>
  <si>
    <t>45|装备副本Boss</t>
  </si>
  <si>
    <t>46|普通怪</t>
  </si>
  <si>
    <t>46|盾怪</t>
  </si>
  <si>
    <t>46|二级普通怪</t>
  </si>
  <si>
    <t>46|站桩怪</t>
  </si>
  <si>
    <t>46|炮灰怪</t>
  </si>
  <si>
    <t>46|精英怪</t>
  </si>
  <si>
    <t>46|精英盾怪</t>
  </si>
  <si>
    <t>46|Boss</t>
  </si>
  <si>
    <t>46|装备副本Boss</t>
  </si>
  <si>
    <t>47|普通怪</t>
  </si>
  <si>
    <t>47|盾怪</t>
  </si>
  <si>
    <t>47|二级普通怪</t>
  </si>
  <si>
    <t>47|站桩怪</t>
  </si>
  <si>
    <t>47|炮灰怪</t>
  </si>
  <si>
    <t>47|精英怪</t>
  </si>
  <si>
    <t>47|精英盾怪</t>
  </si>
  <si>
    <t>47|Boss</t>
  </si>
  <si>
    <t>47|装备副本Boss</t>
  </si>
  <si>
    <t>48|普通怪</t>
  </si>
  <si>
    <t>48|盾怪</t>
  </si>
  <si>
    <t>48|二级普通怪</t>
  </si>
  <si>
    <t>48|站桩怪</t>
  </si>
  <si>
    <t>48|炮灰怪</t>
  </si>
  <si>
    <t>48|精英怪</t>
  </si>
  <si>
    <t>48|精英盾怪</t>
  </si>
  <si>
    <t>48|Boss</t>
  </si>
  <si>
    <t>48|装备副本Boss</t>
  </si>
  <si>
    <t>49|普通怪</t>
  </si>
  <si>
    <t>49|盾怪</t>
  </si>
  <si>
    <t>49|二级普通怪</t>
  </si>
  <si>
    <t>49|站桩怪</t>
  </si>
  <si>
    <t>49|炮灰怪</t>
  </si>
  <si>
    <t>49|精英怪</t>
  </si>
  <si>
    <t>49|精英盾怪</t>
  </si>
  <si>
    <t>49|Boss</t>
  </si>
  <si>
    <t>49|装备副本Boss</t>
  </si>
  <si>
    <t>50|普通怪</t>
  </si>
  <si>
    <t>50|盾怪</t>
  </si>
  <si>
    <t>50|二级普通怪</t>
  </si>
  <si>
    <t>50|站桩怪</t>
  </si>
  <si>
    <t>50|炮灰怪</t>
  </si>
  <si>
    <t>50|精英怪</t>
  </si>
  <si>
    <t>50|精英盾怪</t>
  </si>
  <si>
    <t>50|Boss</t>
  </si>
  <si>
    <t>50|装备副本Boss</t>
  </si>
  <si>
    <t>51|普通怪</t>
  </si>
  <si>
    <t>51|盾怪</t>
  </si>
  <si>
    <t>51|二级普通怪</t>
  </si>
  <si>
    <t>51|站桩怪</t>
  </si>
  <si>
    <t>51|炮灰怪</t>
  </si>
  <si>
    <t>51|精英怪</t>
  </si>
  <si>
    <t>51|精英盾怪</t>
  </si>
  <si>
    <t>51|Boss</t>
  </si>
  <si>
    <t>51|装备副本Boss</t>
  </si>
  <si>
    <t>52|普通怪</t>
  </si>
  <si>
    <t>52|盾怪</t>
  </si>
  <si>
    <t>52|二级普通怪</t>
  </si>
  <si>
    <t>52|站桩怪</t>
  </si>
  <si>
    <t>52|炮灰怪</t>
  </si>
  <si>
    <t>52|精英怪</t>
  </si>
  <si>
    <t>52|精英盾怪</t>
  </si>
  <si>
    <t>52|Boss</t>
  </si>
  <si>
    <t>52|装备副本Boss</t>
  </si>
  <si>
    <t>53|普通怪</t>
  </si>
  <si>
    <t>53|盾怪</t>
  </si>
  <si>
    <t>53|二级普通怪</t>
  </si>
  <si>
    <t>53|站桩怪</t>
  </si>
  <si>
    <t>53|炮灰怪</t>
  </si>
  <si>
    <t>53|精英怪</t>
  </si>
  <si>
    <t>53|精英盾怪</t>
  </si>
  <si>
    <t>53|Boss</t>
  </si>
  <si>
    <t>53|装备副本Boss</t>
  </si>
  <si>
    <t>54|普通怪</t>
  </si>
  <si>
    <t>54|盾怪</t>
  </si>
  <si>
    <t>54|二级普通怪</t>
  </si>
  <si>
    <t>54|站桩怪</t>
  </si>
  <si>
    <t>54|炮灰怪</t>
  </si>
  <si>
    <t>54|精英怪</t>
  </si>
  <si>
    <t>54|精英盾怪</t>
  </si>
  <si>
    <t>54|Boss</t>
  </si>
  <si>
    <t>54|装备副本Boss</t>
  </si>
  <si>
    <t>55|普通怪</t>
  </si>
  <si>
    <t>55|盾怪</t>
  </si>
  <si>
    <t>55|二级普通怪</t>
  </si>
  <si>
    <t>55|站桩怪</t>
  </si>
  <si>
    <t>55|炮灰怪</t>
  </si>
  <si>
    <t>55|精英怪</t>
  </si>
  <si>
    <t>55|精英盾怪</t>
  </si>
  <si>
    <t>55|Boss</t>
  </si>
  <si>
    <t>55|装备副本Boss</t>
  </si>
  <si>
    <t>56|普通怪</t>
  </si>
  <si>
    <t>56|盾怪</t>
  </si>
  <si>
    <t>56|二级普通怪</t>
  </si>
  <si>
    <t>56|站桩怪</t>
  </si>
  <si>
    <t>56|炮灰怪</t>
  </si>
  <si>
    <t>56|精英怪</t>
  </si>
  <si>
    <t>56|精英盾怪</t>
  </si>
  <si>
    <t>56|Boss</t>
  </si>
  <si>
    <t>56|装备副本Boss</t>
  </si>
  <si>
    <t>57|普通怪</t>
  </si>
  <si>
    <t>57|盾怪</t>
  </si>
  <si>
    <t>57|二级普通怪</t>
  </si>
  <si>
    <t>57|站桩怪</t>
  </si>
  <si>
    <t>57|炮灰怪</t>
  </si>
  <si>
    <t>57|精英怪</t>
  </si>
  <si>
    <t>57|精英盾怪</t>
  </si>
  <si>
    <t>57|Boss</t>
  </si>
  <si>
    <t>57|装备副本Boss</t>
  </si>
  <si>
    <t>58|普通怪</t>
  </si>
  <si>
    <t>58|盾怪</t>
  </si>
  <si>
    <t>58|二级普通怪</t>
  </si>
  <si>
    <t>58|站桩怪</t>
  </si>
  <si>
    <t>58|炮灰怪</t>
  </si>
  <si>
    <t>58|精英怪</t>
  </si>
  <si>
    <t>58|精英盾怪</t>
  </si>
  <si>
    <t>58|Boss</t>
  </si>
  <si>
    <t>58|装备副本Boss</t>
  </si>
  <si>
    <t>59|普通怪</t>
  </si>
  <si>
    <t>59|盾怪</t>
  </si>
  <si>
    <t>59|二级普通怪</t>
  </si>
  <si>
    <t>59|站桩怪</t>
  </si>
  <si>
    <t>59|炮灰怪</t>
  </si>
  <si>
    <t>59|精英怪</t>
  </si>
  <si>
    <t>59|精英盾怪</t>
  </si>
  <si>
    <t>59|Boss</t>
  </si>
  <si>
    <t>59|装备副本Boss</t>
  </si>
  <si>
    <t>60|普通怪</t>
  </si>
  <si>
    <t>60|盾怪</t>
  </si>
  <si>
    <t>60|二级普通怪</t>
  </si>
  <si>
    <t>60|站桩怪</t>
  </si>
  <si>
    <t>60|炮灰怪</t>
  </si>
  <si>
    <t>60|精英怪</t>
  </si>
  <si>
    <t>60|精英盾怪</t>
  </si>
  <si>
    <t>60|Boss</t>
  </si>
  <si>
    <t>60|装备副本Boss</t>
  </si>
  <si>
    <t>61|普通怪</t>
  </si>
  <si>
    <t>61|盾怪</t>
  </si>
  <si>
    <t>61|二级普通怪</t>
  </si>
  <si>
    <t>61|站桩怪</t>
  </si>
  <si>
    <t>61|炮灰怪</t>
  </si>
  <si>
    <t>61|精英怪</t>
  </si>
  <si>
    <t>61|精英盾怪</t>
  </si>
  <si>
    <t>61|Boss</t>
  </si>
  <si>
    <t>61|装备副本Boss</t>
  </si>
  <si>
    <t>62|普通怪</t>
  </si>
  <si>
    <t>62|盾怪</t>
  </si>
  <si>
    <t>62|二级普通怪</t>
  </si>
  <si>
    <t>62|站桩怪</t>
  </si>
  <si>
    <t>62|炮灰怪</t>
  </si>
  <si>
    <t>62|精英怪</t>
  </si>
  <si>
    <t>62|精英盾怪</t>
  </si>
  <si>
    <t>62|Boss</t>
  </si>
  <si>
    <t>62|装备副本Boss</t>
  </si>
  <si>
    <t>63|普通怪</t>
  </si>
  <si>
    <t>63|盾怪</t>
  </si>
  <si>
    <t>63|二级普通怪</t>
  </si>
  <si>
    <t>63|站桩怪</t>
  </si>
  <si>
    <t>63|炮灰怪</t>
  </si>
  <si>
    <t>63|精英怪</t>
  </si>
  <si>
    <t>63|精英盾怪</t>
  </si>
  <si>
    <t>63|Boss</t>
  </si>
  <si>
    <t>63|装备副本Boss</t>
  </si>
  <si>
    <t>64|普通怪</t>
  </si>
  <si>
    <t>64|盾怪</t>
  </si>
  <si>
    <t>64|二级普通怪</t>
  </si>
  <si>
    <t>64|站桩怪</t>
  </si>
  <si>
    <t>64|炮灰怪</t>
  </si>
  <si>
    <t>64|精英怪</t>
  </si>
  <si>
    <t>64|精英盾怪</t>
  </si>
  <si>
    <t>64|Boss</t>
  </si>
  <si>
    <t>64|装备副本Boss</t>
  </si>
  <si>
    <t>65|普通怪</t>
  </si>
  <si>
    <t>65|盾怪</t>
  </si>
  <si>
    <t>65|二级普通怪</t>
  </si>
  <si>
    <t>65|站桩怪</t>
  </si>
  <si>
    <t>65|炮灰怪</t>
  </si>
  <si>
    <t>65|精英怪</t>
  </si>
  <si>
    <t>65|精英盾怪</t>
  </si>
  <si>
    <t>65|Boss</t>
  </si>
  <si>
    <t>65|装备副本Boss</t>
  </si>
  <si>
    <t>66|普通怪</t>
  </si>
  <si>
    <t>66|盾怪</t>
  </si>
  <si>
    <t>66|二级普通怪</t>
  </si>
  <si>
    <t>66|站桩怪</t>
  </si>
  <si>
    <t>66|炮灰怪</t>
  </si>
  <si>
    <t>66|精英怪</t>
  </si>
  <si>
    <t>66|精英盾怪</t>
  </si>
  <si>
    <t>66|Boss</t>
  </si>
  <si>
    <t>66|装备副本Boss</t>
  </si>
  <si>
    <t>67|普通怪</t>
  </si>
  <si>
    <t>67|盾怪</t>
  </si>
  <si>
    <t>67|二级普通怪</t>
  </si>
  <si>
    <t>67|站桩怪</t>
  </si>
  <si>
    <t>67|炮灰怪</t>
  </si>
  <si>
    <t>67|精英怪</t>
  </si>
  <si>
    <t>67|精英盾怪</t>
  </si>
  <si>
    <t>67|Boss</t>
  </si>
  <si>
    <t>67|装备副本Boss</t>
  </si>
  <si>
    <t>68|普通怪</t>
  </si>
  <si>
    <t>68|盾怪</t>
  </si>
  <si>
    <t>68|二级普通怪</t>
  </si>
  <si>
    <t>68|站桩怪</t>
  </si>
  <si>
    <t>68|炮灰怪</t>
  </si>
  <si>
    <t>68|精英怪</t>
  </si>
  <si>
    <t>68|精英盾怪</t>
  </si>
  <si>
    <t>68|Boss</t>
  </si>
  <si>
    <t>68|装备副本Boss</t>
  </si>
  <si>
    <t>69|普通怪</t>
  </si>
  <si>
    <t>69|盾怪</t>
  </si>
  <si>
    <t>69|二级普通怪</t>
  </si>
  <si>
    <t>69|站桩怪</t>
  </si>
  <si>
    <t>69|炮灰怪</t>
  </si>
  <si>
    <t>69|精英怪</t>
  </si>
  <si>
    <t>69|精英盾怪</t>
  </si>
  <si>
    <t>69|Boss</t>
  </si>
  <si>
    <t>69|装备副本Boss</t>
  </si>
  <si>
    <t>70|普通怪</t>
  </si>
  <si>
    <t>70|盾怪</t>
  </si>
  <si>
    <t>70|二级普通怪</t>
  </si>
  <si>
    <t>70|站桩怪</t>
  </si>
  <si>
    <t>70|炮灰怪</t>
  </si>
  <si>
    <t>70|精英怪</t>
  </si>
  <si>
    <t>70|精英盾怪</t>
  </si>
  <si>
    <t>70|Boss</t>
  </si>
  <si>
    <t>70|装备副本Boss</t>
  </si>
  <si>
    <t>71|普通怪</t>
  </si>
  <si>
    <t>71|盾怪</t>
  </si>
  <si>
    <t>71|二级普通怪</t>
  </si>
  <si>
    <t>71|站桩怪</t>
  </si>
  <si>
    <t>71|炮灰怪</t>
  </si>
  <si>
    <t>71|精英怪</t>
  </si>
  <si>
    <t>71|精英盾怪</t>
  </si>
  <si>
    <t>71|Boss</t>
  </si>
  <si>
    <t>71|装备副本Boss</t>
  </si>
  <si>
    <t>72|普通怪</t>
  </si>
  <si>
    <t>72|盾怪</t>
  </si>
  <si>
    <t>72|二级普通怪</t>
  </si>
  <si>
    <t>72|站桩怪</t>
  </si>
  <si>
    <t>72|炮灰怪</t>
  </si>
  <si>
    <t>72|精英怪</t>
  </si>
  <si>
    <t>72|精英盾怪</t>
  </si>
  <si>
    <t>72|Boss</t>
  </si>
  <si>
    <t>72|装备副本Boss</t>
  </si>
  <si>
    <t>73|普通怪</t>
  </si>
  <si>
    <t>73|盾怪</t>
  </si>
  <si>
    <t>73|二级普通怪</t>
  </si>
  <si>
    <t>73|站桩怪</t>
  </si>
  <si>
    <t>73|炮灰怪</t>
  </si>
  <si>
    <t>73|精英怪</t>
  </si>
  <si>
    <t>73|精英盾怪</t>
  </si>
  <si>
    <t>73|Boss</t>
  </si>
  <si>
    <t>73|装备副本Boss</t>
  </si>
  <si>
    <t>74|普通怪</t>
  </si>
  <si>
    <t>74|盾怪</t>
  </si>
  <si>
    <t>74|二级普通怪</t>
  </si>
  <si>
    <t>74|站桩怪</t>
  </si>
  <si>
    <t>74|炮灰怪</t>
  </si>
  <si>
    <t>74|精英怪</t>
  </si>
  <si>
    <t>74|精英盾怪</t>
  </si>
  <si>
    <t>74|Boss</t>
  </si>
  <si>
    <t>74|装备副本Boss</t>
  </si>
  <si>
    <t>75|普通怪</t>
  </si>
  <si>
    <t>75|盾怪</t>
  </si>
  <si>
    <t>75|二级普通怪</t>
  </si>
  <si>
    <t>75|站桩怪</t>
  </si>
  <si>
    <t>75|炮灰怪</t>
  </si>
  <si>
    <t>75|精英怪</t>
  </si>
  <si>
    <t>75|精英盾怪</t>
  </si>
  <si>
    <t>75|Boss</t>
  </si>
  <si>
    <t>75|装备副本Boss</t>
  </si>
  <si>
    <t>76|普通怪</t>
  </si>
  <si>
    <t>76|盾怪</t>
  </si>
  <si>
    <t>76|二级普通怪</t>
  </si>
  <si>
    <t>76|站桩怪</t>
  </si>
  <si>
    <t>76|炮灰怪</t>
  </si>
  <si>
    <t>76|精英怪</t>
  </si>
  <si>
    <t>76|精英盾怪</t>
  </si>
  <si>
    <t>76|Boss</t>
  </si>
  <si>
    <t>76|装备副本Boss</t>
  </si>
  <si>
    <t>77|普通怪</t>
  </si>
  <si>
    <t>77|盾怪</t>
  </si>
  <si>
    <t>77|二级普通怪</t>
  </si>
  <si>
    <t>77|站桩怪</t>
  </si>
  <si>
    <t>77|炮灰怪</t>
  </si>
  <si>
    <t>77|精英怪</t>
  </si>
  <si>
    <t>77|精英盾怪</t>
  </si>
  <si>
    <t>77|Boss</t>
  </si>
  <si>
    <t>77|装备副本Boss</t>
  </si>
  <si>
    <t>78|普通怪</t>
  </si>
  <si>
    <t>78|盾怪</t>
  </si>
  <si>
    <t>78|二级普通怪</t>
  </si>
  <si>
    <t>78|站桩怪</t>
  </si>
  <si>
    <t>78|炮灰怪</t>
  </si>
  <si>
    <t>78|精英怪</t>
  </si>
  <si>
    <t>78|精英盾怪</t>
  </si>
  <si>
    <t>78|Boss</t>
  </si>
  <si>
    <t>78|装备副本Boss</t>
  </si>
  <si>
    <t>79|普通怪</t>
  </si>
  <si>
    <t>79|盾怪</t>
  </si>
  <si>
    <t>79|二级普通怪</t>
  </si>
  <si>
    <t>79|站桩怪</t>
  </si>
  <si>
    <t>79|炮灰怪</t>
  </si>
  <si>
    <t>79|精英怪</t>
  </si>
  <si>
    <t>79|精英盾怪</t>
  </si>
  <si>
    <t>79|Boss</t>
  </si>
  <si>
    <t>79|装备副本Boss</t>
  </si>
  <si>
    <t>80|普通怪</t>
  </si>
  <si>
    <t>80|盾怪</t>
  </si>
  <si>
    <t>80|二级普通怪</t>
  </si>
  <si>
    <t>80|站桩怪</t>
  </si>
  <si>
    <t>80|炮灰怪</t>
  </si>
  <si>
    <t>80|精英怪</t>
  </si>
  <si>
    <t>80|精英盾怪</t>
  </si>
  <si>
    <t>80|Boss</t>
  </si>
  <si>
    <t>80|装备副本Boss</t>
  </si>
  <si>
    <t>81|普通怪</t>
  </si>
  <si>
    <t>81|盾怪</t>
  </si>
  <si>
    <t>81|二级普通怪</t>
  </si>
  <si>
    <t>81|站桩怪</t>
  </si>
  <si>
    <t>81|炮灰怪</t>
  </si>
  <si>
    <t>81|精英怪</t>
  </si>
  <si>
    <t>81|精英盾怪</t>
  </si>
  <si>
    <t>81|Boss</t>
  </si>
  <si>
    <t>81|装备副本Boss</t>
  </si>
  <si>
    <t>82|普通怪</t>
  </si>
  <si>
    <t>82|盾怪</t>
  </si>
  <si>
    <t>82|二级普通怪</t>
  </si>
  <si>
    <t>82|站桩怪</t>
  </si>
  <si>
    <t>82|炮灰怪</t>
  </si>
  <si>
    <t>82|精英怪</t>
  </si>
  <si>
    <t>82|精英盾怪</t>
  </si>
  <si>
    <t>82|Boss</t>
  </si>
  <si>
    <t>82|装备副本Boss</t>
  </si>
  <si>
    <t>83|普通怪</t>
  </si>
  <si>
    <t>83|盾怪</t>
  </si>
  <si>
    <t>83|二级普通怪</t>
  </si>
  <si>
    <t>83|站桩怪</t>
  </si>
  <si>
    <t>83|炮灰怪</t>
  </si>
  <si>
    <t>83|精英怪</t>
  </si>
  <si>
    <t>83|精英盾怪</t>
  </si>
  <si>
    <t>83|Boss</t>
  </si>
  <si>
    <t>83|装备副本Boss</t>
  </si>
  <si>
    <t>84|普通怪</t>
  </si>
  <si>
    <t>84|盾怪</t>
  </si>
  <si>
    <t>84|二级普通怪</t>
  </si>
  <si>
    <t>84|站桩怪</t>
  </si>
  <si>
    <t>84|炮灰怪</t>
  </si>
  <si>
    <t>84|精英怪</t>
  </si>
  <si>
    <t>84|精英盾怪</t>
  </si>
  <si>
    <t>84|Boss</t>
  </si>
  <si>
    <t>84|装备副本Boss</t>
  </si>
  <si>
    <t>85|普通怪</t>
  </si>
  <si>
    <t>85|盾怪</t>
  </si>
  <si>
    <t>85|二级普通怪</t>
  </si>
  <si>
    <t>85|站桩怪</t>
  </si>
  <si>
    <t>85|炮灰怪</t>
  </si>
  <si>
    <t>85|精英怪</t>
  </si>
  <si>
    <t>85|精英盾怪</t>
  </si>
  <si>
    <t>85|Boss</t>
  </si>
  <si>
    <t>85|装备副本Boss</t>
  </si>
  <si>
    <t>86|普通怪</t>
  </si>
  <si>
    <t>86|盾怪</t>
  </si>
  <si>
    <t>86|二级普通怪</t>
  </si>
  <si>
    <t>86|站桩怪</t>
  </si>
  <si>
    <t>86|炮灰怪</t>
  </si>
  <si>
    <t>86|精英怪</t>
  </si>
  <si>
    <t>86|精英盾怪</t>
  </si>
  <si>
    <t>86|Boss</t>
  </si>
  <si>
    <t>86|装备副本Boss</t>
  </si>
  <si>
    <t>87|普通怪</t>
  </si>
  <si>
    <t>87|盾怪</t>
  </si>
  <si>
    <t>87|二级普通怪</t>
  </si>
  <si>
    <t>87|站桩怪</t>
  </si>
  <si>
    <t>87|炮灰怪</t>
  </si>
  <si>
    <t>87|精英怪</t>
  </si>
  <si>
    <t>87|精英盾怪</t>
  </si>
  <si>
    <t>87|Boss</t>
  </si>
  <si>
    <t>87|装备副本Boss</t>
  </si>
  <si>
    <t>88|普通怪</t>
  </si>
  <si>
    <t>88|盾怪</t>
  </si>
  <si>
    <t>88|二级普通怪</t>
  </si>
  <si>
    <t>88|站桩怪</t>
  </si>
  <si>
    <t>88|炮灰怪</t>
  </si>
  <si>
    <t>88|精英怪</t>
  </si>
  <si>
    <t>88|精英盾怪</t>
  </si>
  <si>
    <t>88|Boss</t>
  </si>
  <si>
    <t>88|装备副本Boss</t>
  </si>
  <si>
    <t>89|普通怪</t>
  </si>
  <si>
    <t>89|盾怪</t>
  </si>
  <si>
    <t>89|二级普通怪</t>
  </si>
  <si>
    <t>89|站桩怪</t>
  </si>
  <si>
    <t>89|炮灰怪</t>
  </si>
  <si>
    <t>89|精英怪</t>
  </si>
  <si>
    <t>89|精英盾怪</t>
  </si>
  <si>
    <t>89|Boss</t>
  </si>
  <si>
    <t>89|装备副本Boss</t>
  </si>
  <si>
    <t>90|普通怪</t>
  </si>
  <si>
    <t>90|盾怪</t>
  </si>
  <si>
    <t>90|二级普通怪</t>
  </si>
  <si>
    <t>90|站桩怪</t>
  </si>
  <si>
    <t>90|炮灰怪</t>
  </si>
  <si>
    <t>90|精英怪</t>
  </si>
  <si>
    <t>90|精英盾怪</t>
  </si>
  <si>
    <t>90|Boss</t>
  </si>
  <si>
    <t>90|装备副本Boss</t>
  </si>
  <si>
    <t>91|普通怪</t>
  </si>
  <si>
    <t>91|盾怪</t>
  </si>
  <si>
    <t>91|二级普通怪</t>
  </si>
  <si>
    <t>91|站桩怪</t>
  </si>
  <si>
    <t>91|炮灰怪</t>
  </si>
  <si>
    <t>91|精英怪</t>
  </si>
  <si>
    <t>91|精英盾怪</t>
  </si>
  <si>
    <t>91|Boss</t>
  </si>
  <si>
    <t>91|装备副本Boss</t>
  </si>
  <si>
    <t>92|普通怪</t>
  </si>
  <si>
    <t>92|盾怪</t>
  </si>
  <si>
    <t>92|二级普通怪</t>
  </si>
  <si>
    <t>92|站桩怪</t>
  </si>
  <si>
    <t>92|炮灰怪</t>
  </si>
  <si>
    <t>92|精英怪</t>
  </si>
  <si>
    <t>92|精英盾怪</t>
  </si>
  <si>
    <t>92|Boss</t>
  </si>
  <si>
    <t>92|装备副本Boss</t>
  </si>
  <si>
    <t>93|普通怪</t>
  </si>
  <si>
    <t>93|盾怪</t>
  </si>
  <si>
    <t>93|二级普通怪</t>
  </si>
  <si>
    <t>93|站桩怪</t>
  </si>
  <si>
    <t>93|炮灰怪</t>
  </si>
  <si>
    <t>93|精英怪</t>
  </si>
  <si>
    <t>93|精英盾怪</t>
  </si>
  <si>
    <t>93|Boss</t>
  </si>
  <si>
    <t>93|装备副本Boss</t>
  </si>
  <si>
    <t>94|普通怪</t>
  </si>
  <si>
    <t>94|盾怪</t>
  </si>
  <si>
    <t>94|二级普通怪</t>
  </si>
  <si>
    <t>94|站桩怪</t>
  </si>
  <si>
    <t>94|炮灰怪</t>
  </si>
  <si>
    <t>94|精英怪</t>
  </si>
  <si>
    <t>94|精英盾怪</t>
  </si>
  <si>
    <t>94|Boss</t>
  </si>
  <si>
    <t>94|装备副本Boss</t>
  </si>
  <si>
    <t>95|普通怪</t>
  </si>
  <si>
    <t>95|盾怪</t>
  </si>
  <si>
    <t>95|二级普通怪</t>
  </si>
  <si>
    <t>95|站桩怪</t>
  </si>
  <si>
    <t>95|炮灰怪</t>
  </si>
  <si>
    <t>95|精英怪</t>
  </si>
  <si>
    <t>95|精英盾怪</t>
  </si>
  <si>
    <t>95|Boss</t>
  </si>
  <si>
    <t>95|装备副本Boss</t>
  </si>
  <si>
    <t>96|普通怪</t>
  </si>
  <si>
    <t>96|盾怪</t>
  </si>
  <si>
    <t>96|二级普通怪</t>
  </si>
  <si>
    <t>96|站桩怪</t>
  </si>
  <si>
    <t>96|炮灰怪</t>
  </si>
  <si>
    <t>96|精英怪</t>
  </si>
  <si>
    <t>96|精英盾怪</t>
  </si>
  <si>
    <t>96|Boss</t>
  </si>
  <si>
    <t>96|装备副本Boss</t>
  </si>
  <si>
    <t>97|普通怪</t>
  </si>
  <si>
    <t>97|盾怪</t>
  </si>
  <si>
    <t>97|二级普通怪</t>
  </si>
  <si>
    <t>97|站桩怪</t>
  </si>
  <si>
    <t>97|炮灰怪</t>
  </si>
  <si>
    <t>97|精英怪</t>
  </si>
  <si>
    <t>97|精英盾怪</t>
  </si>
  <si>
    <t>97|Boss</t>
  </si>
  <si>
    <t>97|装备副本Boss</t>
  </si>
  <si>
    <t>98|普通怪</t>
  </si>
  <si>
    <t>98|盾怪</t>
  </si>
  <si>
    <t>98|二级普通怪</t>
  </si>
  <si>
    <t>98|站桩怪</t>
  </si>
  <si>
    <t>98|炮灰怪</t>
  </si>
  <si>
    <t>98|精英怪</t>
  </si>
  <si>
    <t>98|精英盾怪</t>
  </si>
  <si>
    <t>98|Boss</t>
  </si>
  <si>
    <t>98|装备副本Boss</t>
  </si>
  <si>
    <t>99|普通怪</t>
  </si>
  <si>
    <t>99|盾怪</t>
  </si>
  <si>
    <t>99|二级普通怪</t>
  </si>
  <si>
    <t>99|站桩怪</t>
  </si>
  <si>
    <t>99|炮灰怪</t>
  </si>
  <si>
    <t>99|精英怪</t>
  </si>
  <si>
    <t>99|精英盾怪</t>
  </si>
  <si>
    <t>99|Boss</t>
  </si>
  <si>
    <t>99|装备副本Boss</t>
  </si>
  <si>
    <t>100|普通怪</t>
  </si>
  <si>
    <t>100|盾怪</t>
  </si>
  <si>
    <t>100|二级普通怪</t>
  </si>
  <si>
    <t>100|站桩怪</t>
  </si>
  <si>
    <t>100|炮灰怪</t>
  </si>
  <si>
    <t>100|精英怪</t>
  </si>
  <si>
    <t>100|精英盾怪</t>
  </si>
  <si>
    <t>100|Boss</t>
  </si>
  <si>
    <t>100|装备副本Boss</t>
  </si>
  <si>
    <t>101|普通怪</t>
  </si>
  <si>
    <t>101|盾怪</t>
  </si>
  <si>
    <t>101|二级普通怪</t>
  </si>
  <si>
    <t>101|站桩怪</t>
  </si>
  <si>
    <t>101|炮灰怪</t>
  </si>
  <si>
    <t>101|精英怪</t>
  </si>
  <si>
    <t>101|精英盾怪</t>
  </si>
  <si>
    <t>101|Boss</t>
  </si>
  <si>
    <t>101|装备副本Boss</t>
  </si>
  <si>
    <t>102|普通怪</t>
  </si>
  <si>
    <t>102|盾怪</t>
  </si>
  <si>
    <t>102|二级普通怪</t>
  </si>
  <si>
    <t>102|站桩怪</t>
  </si>
  <si>
    <t>102|炮灰怪</t>
  </si>
  <si>
    <t>102|精英怪</t>
  </si>
  <si>
    <t>102|精英盾怪</t>
  </si>
  <si>
    <t>102|Boss</t>
  </si>
  <si>
    <t>102|装备副本Boss</t>
  </si>
  <si>
    <t>103|普通怪</t>
  </si>
  <si>
    <t>103|盾怪</t>
  </si>
  <si>
    <t>103|二级普通怪</t>
  </si>
  <si>
    <t>103|站桩怪</t>
  </si>
  <si>
    <t>103|炮灰怪</t>
  </si>
  <si>
    <t>103|精英怪</t>
  </si>
  <si>
    <t>103|精英盾怪</t>
  </si>
  <si>
    <t>103|Boss</t>
  </si>
  <si>
    <t>103|装备副本Boss</t>
  </si>
  <si>
    <t>104|普通怪</t>
  </si>
  <si>
    <t>104|盾怪</t>
  </si>
  <si>
    <t>104|二级普通怪</t>
  </si>
  <si>
    <t>104|站桩怪</t>
  </si>
  <si>
    <t>104|炮灰怪</t>
  </si>
  <si>
    <t>104|精英怪</t>
  </si>
  <si>
    <t>104|精英盾怪</t>
  </si>
  <si>
    <t>104|Boss</t>
  </si>
  <si>
    <t>104|装备副本Boss</t>
  </si>
  <si>
    <t>105|普通怪</t>
  </si>
  <si>
    <t>105|盾怪</t>
  </si>
  <si>
    <t>105|二级普通怪</t>
  </si>
  <si>
    <t>105|站桩怪</t>
  </si>
  <si>
    <t>105|炮灰怪</t>
  </si>
  <si>
    <t>105|精英怪</t>
  </si>
  <si>
    <t>105|精英盾怪</t>
  </si>
  <si>
    <t>105|Boss</t>
  </si>
  <si>
    <t>105|装备副本Boss</t>
  </si>
  <si>
    <t>106|普通怪</t>
  </si>
  <si>
    <t>106|盾怪</t>
  </si>
  <si>
    <t>106|二级普通怪</t>
  </si>
  <si>
    <t>106|站桩怪</t>
  </si>
  <si>
    <t>106|炮灰怪</t>
  </si>
  <si>
    <t>106|精英怪</t>
  </si>
  <si>
    <t>106|精英盾怪</t>
  </si>
  <si>
    <t>106|Boss</t>
  </si>
  <si>
    <t>106|装备副本Boss</t>
  </si>
  <si>
    <t>107|普通怪</t>
  </si>
  <si>
    <t>107|盾怪</t>
  </si>
  <si>
    <t>107|二级普通怪</t>
  </si>
  <si>
    <t>107|站桩怪</t>
  </si>
  <si>
    <t>107|炮灰怪</t>
  </si>
  <si>
    <t>107|精英怪</t>
  </si>
  <si>
    <t>107|精英盾怪</t>
  </si>
  <si>
    <t>107|Boss</t>
  </si>
  <si>
    <t>107|装备副本Boss</t>
  </si>
  <si>
    <t>108|普通怪</t>
  </si>
  <si>
    <t>108|盾怪</t>
  </si>
  <si>
    <t>108|二级普通怪</t>
  </si>
  <si>
    <t>108|站桩怪</t>
  </si>
  <si>
    <t>108|炮灰怪</t>
  </si>
  <si>
    <t>108|精英怪</t>
  </si>
  <si>
    <t>108|精英盾怪</t>
  </si>
  <si>
    <t>108|Boss</t>
  </si>
  <si>
    <t>108|装备副本Boss</t>
  </si>
  <si>
    <t>109|普通怪</t>
  </si>
  <si>
    <t>109|盾怪</t>
  </si>
  <si>
    <t>109|二级普通怪</t>
  </si>
  <si>
    <t>109|站桩怪</t>
  </si>
  <si>
    <t>109|炮灰怪</t>
  </si>
  <si>
    <t>109|精英怪</t>
  </si>
  <si>
    <t>109|精英盾怪</t>
  </si>
  <si>
    <t>109|Boss</t>
  </si>
  <si>
    <t>109|装备副本Boss</t>
  </si>
  <si>
    <t>110|普通怪</t>
  </si>
  <si>
    <t>110|盾怪</t>
  </si>
  <si>
    <t>110|二级普通怪</t>
  </si>
  <si>
    <t>110|站桩怪</t>
  </si>
  <si>
    <t>110|炮灰怪</t>
  </si>
  <si>
    <t>110|精英怪</t>
  </si>
  <si>
    <t>110|精英盾怪</t>
  </si>
  <si>
    <t>110|Boss</t>
  </si>
  <si>
    <t>110|装备副本Boss</t>
  </si>
  <si>
    <t>111|普通怪</t>
  </si>
  <si>
    <t>111|盾怪</t>
  </si>
  <si>
    <t>111|二级普通怪</t>
  </si>
  <si>
    <t>111|站桩怪</t>
  </si>
  <si>
    <t>111|炮灰怪</t>
  </si>
  <si>
    <t>111|精英怪</t>
  </si>
  <si>
    <t>111|精英盾怪</t>
  </si>
  <si>
    <t>111|Boss</t>
  </si>
  <si>
    <t>111|装备副本Boss</t>
  </si>
  <si>
    <t>112|普通怪</t>
  </si>
  <si>
    <t>112|盾怪</t>
  </si>
  <si>
    <t>112|二级普通怪</t>
  </si>
  <si>
    <t>112|站桩怪</t>
  </si>
  <si>
    <t>112|炮灰怪</t>
  </si>
  <si>
    <t>112|精英怪</t>
  </si>
  <si>
    <t>112|精英盾怪</t>
  </si>
  <si>
    <t>112|Boss</t>
  </si>
  <si>
    <t>112|装备副本Boss</t>
  </si>
  <si>
    <t>113|普通怪</t>
  </si>
  <si>
    <t>113|盾怪</t>
  </si>
  <si>
    <t>113|二级普通怪</t>
  </si>
  <si>
    <t>113|站桩怪</t>
  </si>
  <si>
    <t>113|炮灰怪</t>
  </si>
  <si>
    <t>113|精英怪</t>
  </si>
  <si>
    <t>113|精英盾怪</t>
  </si>
  <si>
    <t>113|Boss</t>
  </si>
  <si>
    <t>113|装备副本Boss</t>
  </si>
  <si>
    <t>114|普通怪</t>
  </si>
  <si>
    <t>114|盾怪</t>
  </si>
  <si>
    <t>114|二级普通怪</t>
  </si>
  <si>
    <t>114|站桩怪</t>
  </si>
  <si>
    <t>114|炮灰怪</t>
  </si>
  <si>
    <t>114|精英怪</t>
  </si>
  <si>
    <t>114|精英盾怪</t>
  </si>
  <si>
    <t>114|Boss</t>
  </si>
  <si>
    <t>114|装备副本Boss</t>
  </si>
  <si>
    <t>115|普通怪</t>
  </si>
  <si>
    <t>115|盾怪</t>
  </si>
  <si>
    <t>115|二级普通怪</t>
  </si>
  <si>
    <t>115|站桩怪</t>
  </si>
  <si>
    <t>115|炮灰怪</t>
  </si>
  <si>
    <t>115|精英怪</t>
  </si>
  <si>
    <t>115|精英盾怪</t>
  </si>
  <si>
    <t>115|Boss</t>
  </si>
  <si>
    <t>115|装备副本Boss</t>
  </si>
  <si>
    <t>116|普通怪</t>
  </si>
  <si>
    <t>116|盾怪</t>
  </si>
  <si>
    <t>116|二级普通怪</t>
  </si>
  <si>
    <t>116|站桩怪</t>
  </si>
  <si>
    <t>116|炮灰怪</t>
  </si>
  <si>
    <t>116|精英怪</t>
  </si>
  <si>
    <t>116|精英盾怪</t>
  </si>
  <si>
    <t>116|Boss</t>
  </si>
  <si>
    <t>116|装备副本Boss</t>
  </si>
  <si>
    <t>117|普通怪</t>
  </si>
  <si>
    <t>117|盾怪</t>
  </si>
  <si>
    <t>117|二级普通怪</t>
  </si>
  <si>
    <t>117|站桩怪</t>
  </si>
  <si>
    <t>117|炮灰怪</t>
  </si>
  <si>
    <t>117|精英怪</t>
  </si>
  <si>
    <t>117|精英盾怪</t>
  </si>
  <si>
    <t>117|Boss</t>
  </si>
  <si>
    <t>117|装备副本Boss</t>
  </si>
  <si>
    <t>118|普通怪</t>
  </si>
  <si>
    <t>118|盾怪</t>
  </si>
  <si>
    <t>118|二级普通怪</t>
  </si>
  <si>
    <t>118|站桩怪</t>
  </si>
  <si>
    <t>118|炮灰怪</t>
  </si>
  <si>
    <t>118|精英怪</t>
  </si>
  <si>
    <t>118|精英盾怪</t>
  </si>
  <si>
    <t>118|Boss</t>
  </si>
  <si>
    <t>118|装备副本Boss</t>
  </si>
  <si>
    <t>119|普通怪</t>
  </si>
  <si>
    <t>119|盾怪</t>
  </si>
  <si>
    <t>119|二级普通怪</t>
  </si>
  <si>
    <t>119|站桩怪</t>
  </si>
  <si>
    <t>119|炮灰怪</t>
  </si>
  <si>
    <t>119|精英怪</t>
  </si>
  <si>
    <t>119|精英盾怪</t>
  </si>
  <si>
    <t>119|Boss</t>
  </si>
  <si>
    <t>119|装备副本Boss</t>
  </si>
  <si>
    <t>120|普通怪</t>
  </si>
  <si>
    <t>120|盾怪</t>
  </si>
  <si>
    <t>120|二级普通怪</t>
  </si>
  <si>
    <t>120|站桩怪</t>
  </si>
  <si>
    <t>120|炮灰怪</t>
  </si>
  <si>
    <t>120|精英怪</t>
  </si>
  <si>
    <t>120|精英盾怪</t>
  </si>
  <si>
    <t>120|Boss</t>
  </si>
  <si>
    <t>120|装备副本Boss</t>
  </si>
  <si>
    <t>121|普通怪</t>
  </si>
  <si>
    <t>121|盾怪</t>
  </si>
  <si>
    <t>121|二级普通怪</t>
  </si>
  <si>
    <t>121|站桩怪</t>
  </si>
  <si>
    <t>121|炮灰怪</t>
  </si>
  <si>
    <t>121|精英怪</t>
  </si>
  <si>
    <t>121|精英盾怪</t>
  </si>
  <si>
    <t>121|Boss</t>
  </si>
  <si>
    <t>121|装备副本Boss</t>
  </si>
  <si>
    <t>122|普通怪</t>
  </si>
  <si>
    <t>122|盾怪</t>
  </si>
  <si>
    <t>122|二级普通怪</t>
  </si>
  <si>
    <t>122|站桩怪</t>
  </si>
  <si>
    <t>122|炮灰怪</t>
  </si>
  <si>
    <t>122|精英怪</t>
  </si>
  <si>
    <t>122|精英盾怪</t>
  </si>
  <si>
    <t>122|Boss</t>
  </si>
  <si>
    <t>122|装备副本Boss</t>
  </si>
  <si>
    <t>123|普通怪</t>
  </si>
  <si>
    <t>123|盾怪</t>
  </si>
  <si>
    <t>123|二级普通怪</t>
  </si>
  <si>
    <t>123|站桩怪</t>
  </si>
  <si>
    <t>123|炮灰怪</t>
  </si>
  <si>
    <t>123|精英怪</t>
  </si>
  <si>
    <t>123|精英盾怪</t>
  </si>
  <si>
    <t>123|Boss</t>
  </si>
  <si>
    <t>123|装备副本Boss</t>
  </si>
  <si>
    <t>124|普通怪</t>
  </si>
  <si>
    <t>124|盾怪</t>
  </si>
  <si>
    <t>124|二级普通怪</t>
  </si>
  <si>
    <t>124|站桩怪</t>
  </si>
  <si>
    <t>124|炮灰怪</t>
  </si>
  <si>
    <t>124|精英怪</t>
  </si>
  <si>
    <t>124|精英盾怪</t>
  </si>
  <si>
    <t>124|Boss</t>
  </si>
  <si>
    <t>124|装备副本Boss</t>
  </si>
  <si>
    <t>125|普通怪</t>
  </si>
  <si>
    <t>125|盾怪</t>
  </si>
  <si>
    <t>125|二级普通怪</t>
  </si>
  <si>
    <t>125|站桩怪</t>
  </si>
  <si>
    <t>125|炮灰怪</t>
  </si>
  <si>
    <t>125|精英怪</t>
  </si>
  <si>
    <t>125|精英盾怪</t>
  </si>
  <si>
    <t>125|Boss</t>
  </si>
  <si>
    <t>125|装备副本Boss</t>
  </si>
  <si>
    <t>126|普通怪</t>
  </si>
  <si>
    <t>126|盾怪</t>
  </si>
  <si>
    <t>126|二级普通怪</t>
  </si>
  <si>
    <t>126|站桩怪</t>
  </si>
  <si>
    <t>126|炮灰怪</t>
  </si>
  <si>
    <t>126|精英怪</t>
  </si>
  <si>
    <t>126|精英盾怪</t>
  </si>
  <si>
    <t>126|Boss</t>
  </si>
  <si>
    <t>126|装备副本Boss</t>
  </si>
  <si>
    <t>127|普通怪</t>
  </si>
  <si>
    <t>127|盾怪</t>
  </si>
  <si>
    <t>127|二级普通怪</t>
  </si>
  <si>
    <t>127|站桩怪</t>
  </si>
  <si>
    <t>127|炮灰怪</t>
  </si>
  <si>
    <t>127|精英怪</t>
  </si>
  <si>
    <t>127|精英盾怪</t>
  </si>
  <si>
    <t>127|Boss</t>
  </si>
  <si>
    <t>127|装备副本Boss</t>
  </si>
  <si>
    <t>128|普通怪</t>
  </si>
  <si>
    <t>128|盾怪</t>
  </si>
  <si>
    <t>128|二级普通怪</t>
  </si>
  <si>
    <t>128|站桩怪</t>
  </si>
  <si>
    <t>128|炮灰怪</t>
  </si>
  <si>
    <t>128|精英怪</t>
  </si>
  <si>
    <t>128|精英盾怪</t>
  </si>
  <si>
    <t>128|Boss</t>
  </si>
  <si>
    <t>128|装备副本Boss</t>
  </si>
  <si>
    <t>129|普通怪</t>
  </si>
  <si>
    <t>129|盾怪</t>
  </si>
  <si>
    <t>129|二级普通怪</t>
  </si>
  <si>
    <t>129|站桩怪</t>
  </si>
  <si>
    <t>129|炮灰怪</t>
  </si>
  <si>
    <t>129|精英怪</t>
  </si>
  <si>
    <t>129|精英盾怪</t>
  </si>
  <si>
    <t>129|Boss</t>
  </si>
  <si>
    <t>129|装备副本Boss</t>
  </si>
  <si>
    <t>130|普通怪</t>
  </si>
  <si>
    <t>130|盾怪</t>
  </si>
  <si>
    <t>130|二级普通怪</t>
  </si>
  <si>
    <t>130|站桩怪</t>
  </si>
  <si>
    <t>130|炮灰怪</t>
  </si>
  <si>
    <t>130|精英怪</t>
  </si>
  <si>
    <t>130|精英盾怪</t>
  </si>
  <si>
    <t>130|Boss</t>
  </si>
  <si>
    <t>130|装备副本Boss</t>
  </si>
  <si>
    <t>131|普通怪</t>
  </si>
  <si>
    <t>131|盾怪</t>
  </si>
  <si>
    <t>131|二级普通怪</t>
  </si>
  <si>
    <t>131|站桩怪</t>
  </si>
  <si>
    <t>131|炮灰怪</t>
  </si>
  <si>
    <t>131|精英怪</t>
  </si>
  <si>
    <t>131|精英盾怪</t>
  </si>
  <si>
    <t>131|Boss</t>
  </si>
  <si>
    <t>131|装备副本Boss</t>
  </si>
  <si>
    <t>132|普通怪</t>
  </si>
  <si>
    <t>132|盾怪</t>
  </si>
  <si>
    <t>132|二级普通怪</t>
  </si>
  <si>
    <t>132|站桩怪</t>
  </si>
  <si>
    <t>132|炮灰怪</t>
  </si>
  <si>
    <t>132|精英怪</t>
  </si>
  <si>
    <t>132|精英盾怪</t>
  </si>
  <si>
    <t>132|Boss</t>
  </si>
  <si>
    <t>132|装备副本Boss</t>
  </si>
  <si>
    <t>133|普通怪</t>
  </si>
  <si>
    <t>133|盾怪</t>
  </si>
  <si>
    <t>133|二级普通怪</t>
  </si>
  <si>
    <t>133|站桩怪</t>
  </si>
  <si>
    <t>133|炮灰怪</t>
  </si>
  <si>
    <t>133|精英怪</t>
  </si>
  <si>
    <t>133|精英盾怪</t>
  </si>
  <si>
    <t>133|Boss</t>
  </si>
  <si>
    <t>133|装备副本Boss</t>
  </si>
  <si>
    <t>134|普通怪</t>
  </si>
  <si>
    <t>134|盾怪</t>
  </si>
  <si>
    <t>134|二级普通怪</t>
  </si>
  <si>
    <t>134|站桩怪</t>
  </si>
  <si>
    <t>134|炮灰怪</t>
  </si>
  <si>
    <t>134|精英怪</t>
  </si>
  <si>
    <t>134|精英盾怪</t>
  </si>
  <si>
    <t>134|Boss</t>
  </si>
  <si>
    <t>134|装备副本Boss</t>
  </si>
  <si>
    <t>135|普通怪</t>
  </si>
  <si>
    <t>135|盾怪</t>
  </si>
  <si>
    <t>135|二级普通怪</t>
  </si>
  <si>
    <t>135|站桩怪</t>
  </si>
  <si>
    <t>135|炮灰怪</t>
  </si>
  <si>
    <t>135|精英怪</t>
  </si>
  <si>
    <t>135|精英盾怪</t>
  </si>
  <si>
    <t>135|Boss</t>
  </si>
  <si>
    <t>135|装备副本Boss</t>
  </si>
  <si>
    <t>136|普通怪</t>
  </si>
  <si>
    <t>136|盾怪</t>
  </si>
  <si>
    <t>136|二级普通怪</t>
  </si>
  <si>
    <t>136|站桩怪</t>
  </si>
  <si>
    <t>136|炮灰怪</t>
  </si>
  <si>
    <t>136|精英怪</t>
  </si>
  <si>
    <t>136|精英盾怪</t>
  </si>
  <si>
    <t>136|Boss</t>
  </si>
  <si>
    <t>136|装备副本Boss</t>
  </si>
  <si>
    <t>137|普通怪</t>
  </si>
  <si>
    <t>137|盾怪</t>
  </si>
  <si>
    <t>137|二级普通怪</t>
  </si>
  <si>
    <t>137|站桩怪</t>
  </si>
  <si>
    <t>137|炮灰怪</t>
  </si>
  <si>
    <t>137|精英怪</t>
  </si>
  <si>
    <t>137|精英盾怪</t>
  </si>
  <si>
    <t>137|Boss</t>
  </si>
  <si>
    <t>137|装备副本Boss</t>
  </si>
  <si>
    <t>138|普通怪</t>
  </si>
  <si>
    <t>138|盾怪</t>
  </si>
  <si>
    <t>138|二级普通怪</t>
  </si>
  <si>
    <t>138|站桩怪</t>
  </si>
  <si>
    <t>138|炮灰怪</t>
  </si>
  <si>
    <t>138|精英怪</t>
  </si>
  <si>
    <t>138|精英盾怪</t>
  </si>
  <si>
    <t>138|Boss</t>
  </si>
  <si>
    <t>138|装备副本Boss</t>
  </si>
  <si>
    <t>139|普通怪</t>
  </si>
  <si>
    <t>139|盾怪</t>
  </si>
  <si>
    <t>139|二级普通怪</t>
  </si>
  <si>
    <t>139|站桩怪</t>
  </si>
  <si>
    <t>139|炮灰怪</t>
  </si>
  <si>
    <t>139|精英怪</t>
  </si>
  <si>
    <t>139|精英盾怪</t>
  </si>
  <si>
    <t>139|Boss</t>
  </si>
  <si>
    <t>139|装备副本Boss</t>
  </si>
  <si>
    <t>140|普通怪</t>
  </si>
  <si>
    <t>140|盾怪</t>
  </si>
  <si>
    <t>140|二级普通怪</t>
  </si>
  <si>
    <t>140|站桩怪</t>
  </si>
  <si>
    <t>140|炮灰怪</t>
  </si>
  <si>
    <t>140|精英怪</t>
  </si>
  <si>
    <t>140|精英盾怪</t>
  </si>
  <si>
    <t>140|Boss</t>
  </si>
  <si>
    <t>140|装备副本Boss</t>
  </si>
  <si>
    <t>141|普通怪</t>
  </si>
  <si>
    <t>141|盾怪</t>
  </si>
  <si>
    <t>141|二级普通怪</t>
  </si>
  <si>
    <t>141|站桩怪</t>
  </si>
  <si>
    <t>141|炮灰怪</t>
  </si>
  <si>
    <t>141|精英怪</t>
  </si>
  <si>
    <t>141|精英盾怪</t>
  </si>
  <si>
    <t>141|Boss</t>
  </si>
  <si>
    <t>141|装备副本Boss</t>
  </si>
  <si>
    <t>142|普通怪</t>
  </si>
  <si>
    <t>142|盾怪</t>
  </si>
  <si>
    <t>142|二级普通怪</t>
  </si>
  <si>
    <t>142|站桩怪</t>
  </si>
  <si>
    <t>142|炮灰怪</t>
  </si>
  <si>
    <t>142|精英怪</t>
  </si>
  <si>
    <t>142|精英盾怪</t>
  </si>
  <si>
    <t>142|Boss</t>
  </si>
  <si>
    <t>142|装备副本Boss</t>
  </si>
  <si>
    <t>143|普通怪</t>
  </si>
  <si>
    <t>143|盾怪</t>
  </si>
  <si>
    <t>143|二级普通怪</t>
  </si>
  <si>
    <t>143|站桩怪</t>
  </si>
  <si>
    <t>143|炮灰怪</t>
  </si>
  <si>
    <t>143|精英怪</t>
  </si>
  <si>
    <t>143|精英盾怪</t>
  </si>
  <si>
    <t>143|Boss</t>
  </si>
  <si>
    <t>143|装备副本Boss</t>
  </si>
  <si>
    <t>144|普通怪</t>
  </si>
  <si>
    <t>144|盾怪</t>
  </si>
  <si>
    <t>144|二级普通怪</t>
  </si>
  <si>
    <t>144|站桩怪</t>
  </si>
  <si>
    <t>144|炮灰怪</t>
  </si>
  <si>
    <t>144|精英怪</t>
  </si>
  <si>
    <t>144|精英盾怪</t>
  </si>
  <si>
    <t>144|Boss</t>
  </si>
  <si>
    <t>144|装备副本Boss</t>
  </si>
  <si>
    <t>145|普通怪</t>
  </si>
  <si>
    <t>145|盾怪</t>
  </si>
  <si>
    <t>145|二级普通怪</t>
  </si>
  <si>
    <t>145|站桩怪</t>
  </si>
  <si>
    <t>145|炮灰怪</t>
  </si>
  <si>
    <t>145|精英怪</t>
  </si>
  <si>
    <t>145|精英盾怪</t>
  </si>
  <si>
    <t>145|Boss</t>
  </si>
  <si>
    <t>145|装备副本Boss</t>
  </si>
  <si>
    <t>146|普通怪</t>
  </si>
  <si>
    <t>146|盾怪</t>
  </si>
  <si>
    <t>146|二级普通怪</t>
  </si>
  <si>
    <t>146|站桩怪</t>
  </si>
  <si>
    <t>146|炮灰怪</t>
  </si>
  <si>
    <t>146|精英怪</t>
  </si>
  <si>
    <t>146|精英盾怪</t>
  </si>
  <si>
    <t>146|Boss</t>
  </si>
  <si>
    <t>146|装备副本Boss</t>
  </si>
  <si>
    <t>147|普通怪</t>
  </si>
  <si>
    <t>147|盾怪</t>
  </si>
  <si>
    <t>147|二级普通怪</t>
  </si>
  <si>
    <t>147|站桩怪</t>
  </si>
  <si>
    <t>147|炮灰怪</t>
  </si>
  <si>
    <t>147|精英怪</t>
  </si>
  <si>
    <t>147|精英盾怪</t>
  </si>
  <si>
    <t>147|Boss</t>
  </si>
  <si>
    <t>147|装备副本Boss</t>
  </si>
  <si>
    <t>148|普通怪</t>
  </si>
  <si>
    <t>148|盾怪</t>
  </si>
  <si>
    <t>148|二级普通怪</t>
  </si>
  <si>
    <t>148|站桩怪</t>
  </si>
  <si>
    <t>148|炮灰怪</t>
  </si>
  <si>
    <t>148|精英怪</t>
  </si>
  <si>
    <t>148|精英盾怪</t>
  </si>
  <si>
    <t>148|Boss</t>
  </si>
  <si>
    <t>148|装备副本Boss</t>
  </si>
  <si>
    <t>149|普通怪</t>
  </si>
  <si>
    <t>149|盾怪</t>
  </si>
  <si>
    <t>149|二级普通怪</t>
  </si>
  <si>
    <t>149|站桩怪</t>
  </si>
  <si>
    <t>149|炮灰怪</t>
  </si>
  <si>
    <t>149|精英怪</t>
  </si>
  <si>
    <t>149|精英盾怪</t>
  </si>
  <si>
    <t>149|Boss</t>
  </si>
  <si>
    <t>149|装备副本Boss</t>
  </si>
  <si>
    <t>150|普通怪</t>
  </si>
  <si>
    <t>150|盾怪</t>
  </si>
  <si>
    <t>150|二级普通怪</t>
  </si>
  <si>
    <t>150|站桩怪</t>
  </si>
  <si>
    <t>150|炮灰怪</t>
  </si>
  <si>
    <t>150|精英怪</t>
  </si>
  <si>
    <t>150|精英盾怪</t>
  </si>
  <si>
    <t>150|Boss</t>
  </si>
  <si>
    <t>150|装备副本Boss</t>
  </si>
  <si>
    <t>151|普通怪</t>
  </si>
  <si>
    <t>151|盾怪</t>
  </si>
  <si>
    <t>151|二级普通怪</t>
  </si>
  <si>
    <t>151|站桩怪</t>
  </si>
  <si>
    <t>151|炮灰怪</t>
  </si>
  <si>
    <t>151|精英怪</t>
  </si>
  <si>
    <t>151|精英盾怪</t>
  </si>
  <si>
    <t>151|Boss</t>
  </si>
  <si>
    <t>151|装备副本Boss</t>
  </si>
  <si>
    <t>152|普通怪</t>
  </si>
  <si>
    <t>152|盾怪</t>
  </si>
  <si>
    <t>152|二级普通怪</t>
  </si>
  <si>
    <t>152|站桩怪</t>
  </si>
  <si>
    <t>152|炮灰怪</t>
  </si>
  <si>
    <t>152|精英怪</t>
  </si>
  <si>
    <t>152|精英盾怪</t>
  </si>
  <si>
    <t>152|Boss</t>
  </si>
  <si>
    <t>152|装备副本Boss</t>
  </si>
  <si>
    <t>153|普通怪</t>
  </si>
  <si>
    <t>153|盾怪</t>
  </si>
  <si>
    <t>153|二级普通怪</t>
  </si>
  <si>
    <t>153|站桩怪</t>
  </si>
  <si>
    <t>153|炮灰怪</t>
  </si>
  <si>
    <t>153|精英怪</t>
  </si>
  <si>
    <t>153|精英盾怪</t>
  </si>
  <si>
    <t>153|Boss</t>
  </si>
  <si>
    <t>153|装备副本Boss</t>
  </si>
  <si>
    <t>154|普通怪</t>
  </si>
  <si>
    <t>154|盾怪</t>
  </si>
  <si>
    <t>154|二级普通怪</t>
  </si>
  <si>
    <t>154|站桩怪</t>
  </si>
  <si>
    <t>154|炮灰怪</t>
  </si>
  <si>
    <t>154|精英怪</t>
  </si>
  <si>
    <t>154|精英盾怪</t>
  </si>
  <si>
    <t>154|Boss</t>
  </si>
  <si>
    <t>154|装备副本Boss</t>
  </si>
  <si>
    <t>155|普通怪</t>
  </si>
  <si>
    <t>155|盾怪</t>
  </si>
  <si>
    <t>155|二级普通怪</t>
  </si>
  <si>
    <t>155|站桩怪</t>
  </si>
  <si>
    <t>155|炮灰怪</t>
  </si>
  <si>
    <t>155|精英怪</t>
  </si>
  <si>
    <t>155|精英盾怪</t>
  </si>
  <si>
    <t>155|Boss</t>
  </si>
  <si>
    <t>155|装备副本Boss</t>
  </si>
  <si>
    <t>156|普通怪</t>
  </si>
  <si>
    <t>156|盾怪</t>
  </si>
  <si>
    <t>156|二级普通怪</t>
  </si>
  <si>
    <t>156|站桩怪</t>
  </si>
  <si>
    <t>156|炮灰怪</t>
  </si>
  <si>
    <t>156|精英怪</t>
  </si>
  <si>
    <t>156|精英盾怪</t>
  </si>
  <si>
    <t>156|Boss</t>
  </si>
  <si>
    <t>156|装备副本Boss</t>
  </si>
  <si>
    <t>157|普通怪</t>
  </si>
  <si>
    <t>157|盾怪</t>
  </si>
  <si>
    <t>157|二级普通怪</t>
  </si>
  <si>
    <t>157|站桩怪</t>
  </si>
  <si>
    <t>157|炮灰怪</t>
  </si>
  <si>
    <t>157|精英怪</t>
  </si>
  <si>
    <t>157|精英盾怪</t>
  </si>
  <si>
    <t>157|Boss</t>
  </si>
  <si>
    <t>157|装备副本Boss</t>
  </si>
  <si>
    <t>158|普通怪</t>
  </si>
  <si>
    <t>158|盾怪</t>
  </si>
  <si>
    <t>158|二级普通怪</t>
  </si>
  <si>
    <t>158|站桩怪</t>
  </si>
  <si>
    <t>158|炮灰怪</t>
  </si>
  <si>
    <t>158|精英怪</t>
  </si>
  <si>
    <t>158|精英盾怪</t>
  </si>
  <si>
    <t>158|Boss</t>
  </si>
  <si>
    <t>158|装备副本Boss</t>
  </si>
  <si>
    <t>159|普通怪</t>
  </si>
  <si>
    <t>159|盾怪</t>
  </si>
  <si>
    <t>159|二级普通怪</t>
  </si>
  <si>
    <t>159|站桩怪</t>
  </si>
  <si>
    <t>159|炮灰怪</t>
  </si>
  <si>
    <t>159|精英怪</t>
  </si>
  <si>
    <t>159|精英盾怪</t>
  </si>
  <si>
    <t>159|Boss</t>
  </si>
  <si>
    <t>159|装备副本Boss</t>
  </si>
  <si>
    <t>160|普通怪</t>
  </si>
  <si>
    <t>160|盾怪</t>
  </si>
  <si>
    <t>160|二级普通怪</t>
  </si>
  <si>
    <t>160|站桩怪</t>
  </si>
  <si>
    <t>160|炮灰怪</t>
  </si>
  <si>
    <t>160|精英怪</t>
  </si>
  <si>
    <t>160|精英盾怪</t>
  </si>
  <si>
    <t>160|Boss</t>
  </si>
  <si>
    <t>160|装备副本Boss</t>
  </si>
  <si>
    <t>161|普通怪</t>
  </si>
  <si>
    <t>161|盾怪</t>
  </si>
  <si>
    <t>161|二级普通怪</t>
  </si>
  <si>
    <t>161|站桩怪</t>
  </si>
  <si>
    <t>161|炮灰怪</t>
  </si>
  <si>
    <t>161|精英怪</t>
  </si>
  <si>
    <t>161|精英盾怪</t>
  </si>
  <si>
    <t>161|Boss</t>
  </si>
  <si>
    <t>161|装备副本Boss</t>
  </si>
  <si>
    <t>162|普通怪</t>
  </si>
  <si>
    <t>162|盾怪</t>
  </si>
  <si>
    <t>162|二级普通怪</t>
  </si>
  <si>
    <t>162|站桩怪</t>
  </si>
  <si>
    <t>162|炮灰怪</t>
  </si>
  <si>
    <t>162|精英怪</t>
  </si>
  <si>
    <t>162|精英盾怪</t>
  </si>
  <si>
    <t>162|Boss</t>
  </si>
  <si>
    <t>162|装备副本Boss</t>
  </si>
  <si>
    <t>163|普通怪</t>
  </si>
  <si>
    <t>163|盾怪</t>
  </si>
  <si>
    <t>163|二级普通怪</t>
  </si>
  <si>
    <t>163|站桩怪</t>
  </si>
  <si>
    <t>163|炮灰怪</t>
  </si>
  <si>
    <t>163|精英怪</t>
  </si>
  <si>
    <t>163|精英盾怪</t>
  </si>
  <si>
    <t>163|Boss</t>
  </si>
  <si>
    <t>163|装备副本Boss</t>
  </si>
  <si>
    <t>164|普通怪</t>
  </si>
  <si>
    <t>164|盾怪</t>
  </si>
  <si>
    <t>164|二级普通怪</t>
  </si>
  <si>
    <t>164|站桩怪</t>
  </si>
  <si>
    <t>164|炮灰怪</t>
  </si>
  <si>
    <t>164|精英怪</t>
  </si>
  <si>
    <t>164|精英盾怪</t>
  </si>
  <si>
    <t>164|Boss</t>
  </si>
  <si>
    <t>164|装备副本Boss</t>
  </si>
  <si>
    <t>165|普通怪</t>
  </si>
  <si>
    <t>165|盾怪</t>
  </si>
  <si>
    <t>165|二级普通怪</t>
  </si>
  <si>
    <t>165|站桩怪</t>
  </si>
  <si>
    <t>165|炮灰怪</t>
  </si>
  <si>
    <t>165|精英怪</t>
  </si>
  <si>
    <t>165|精英盾怪</t>
  </si>
  <si>
    <t>165|Boss</t>
  </si>
  <si>
    <t>165|装备副本Boss</t>
  </si>
  <si>
    <t>166|普通怪</t>
  </si>
  <si>
    <t>166|盾怪</t>
  </si>
  <si>
    <t>166|二级普通怪</t>
  </si>
  <si>
    <t>166|站桩怪</t>
  </si>
  <si>
    <t>166|炮灰怪</t>
  </si>
  <si>
    <t>166|精英怪</t>
  </si>
  <si>
    <t>166|精英盾怪</t>
  </si>
  <si>
    <t>166|Boss</t>
  </si>
  <si>
    <t>166|装备副本Boss</t>
  </si>
  <si>
    <t>167|普通怪</t>
  </si>
  <si>
    <t>167|盾怪</t>
  </si>
  <si>
    <t>167|二级普通怪</t>
  </si>
  <si>
    <t>167|站桩怪</t>
  </si>
  <si>
    <t>167|炮灰怪</t>
  </si>
  <si>
    <t>167|精英怪</t>
  </si>
  <si>
    <t>167|精英盾怪</t>
  </si>
  <si>
    <t>167|Boss</t>
  </si>
  <si>
    <t>167|装备副本Boss</t>
  </si>
  <si>
    <t>168|普通怪</t>
  </si>
  <si>
    <t>168|盾怪</t>
  </si>
  <si>
    <t>168|二级普通怪</t>
  </si>
  <si>
    <t>168|站桩怪</t>
  </si>
  <si>
    <t>168|炮灰怪</t>
  </si>
  <si>
    <t>168|精英怪</t>
  </si>
  <si>
    <t>168|精英盾怪</t>
  </si>
  <si>
    <t>168|Boss</t>
  </si>
  <si>
    <t>168|装备副本Boss</t>
  </si>
  <si>
    <t>169|普通怪</t>
  </si>
  <si>
    <t>169|盾怪</t>
  </si>
  <si>
    <t>169|二级普通怪</t>
  </si>
  <si>
    <t>169|站桩怪</t>
  </si>
  <si>
    <t>169|炮灰怪</t>
  </si>
  <si>
    <t>169|精英怪</t>
  </si>
  <si>
    <t>169|精英盾怪</t>
  </si>
  <si>
    <t>169|Boss</t>
  </si>
  <si>
    <t>169|装备副本Boss</t>
  </si>
  <si>
    <t>170|普通怪</t>
  </si>
  <si>
    <t>170|盾怪</t>
  </si>
  <si>
    <t>170|二级普通怪</t>
  </si>
  <si>
    <t>170|站桩怪</t>
  </si>
  <si>
    <t>170|炮灰怪</t>
  </si>
  <si>
    <t>170|精英怪</t>
  </si>
  <si>
    <t>170|精英盾怪</t>
  </si>
  <si>
    <t>170|Boss</t>
  </si>
  <si>
    <t>170|装备副本Boss</t>
  </si>
  <si>
    <t>171|普通怪</t>
  </si>
  <si>
    <t>171|盾怪</t>
  </si>
  <si>
    <t>171|二级普通怪</t>
  </si>
  <si>
    <t>171|站桩怪</t>
  </si>
  <si>
    <t>171|炮灰怪</t>
  </si>
  <si>
    <t>171|精英怪</t>
  </si>
  <si>
    <t>171|精英盾怪</t>
  </si>
  <si>
    <t>171|Boss</t>
  </si>
  <si>
    <t>171|装备副本Boss</t>
  </si>
  <si>
    <t>172|普通怪</t>
  </si>
  <si>
    <t>172|盾怪</t>
  </si>
  <si>
    <t>172|二级普通怪</t>
  </si>
  <si>
    <t>172|站桩怪</t>
  </si>
  <si>
    <t>172|炮灰怪</t>
  </si>
  <si>
    <t>172|精英怪</t>
  </si>
  <si>
    <t>172|精英盾怪</t>
  </si>
  <si>
    <t>172|Boss</t>
  </si>
  <si>
    <t>172|装备副本Boss</t>
  </si>
  <si>
    <t>173|普通怪</t>
  </si>
  <si>
    <t>173|盾怪</t>
  </si>
  <si>
    <t>173|二级普通怪</t>
  </si>
  <si>
    <t>173|站桩怪</t>
  </si>
  <si>
    <t>173|炮灰怪</t>
  </si>
  <si>
    <t>173|精英怪</t>
  </si>
  <si>
    <t>173|精英盾怪</t>
  </si>
  <si>
    <t>173|Boss</t>
  </si>
  <si>
    <t>173|装备副本Boss</t>
  </si>
  <si>
    <t>174|普通怪</t>
  </si>
  <si>
    <t>174|盾怪</t>
  </si>
  <si>
    <t>174|二级普通怪</t>
  </si>
  <si>
    <t>174|站桩怪</t>
  </si>
  <si>
    <t>174|炮灰怪</t>
  </si>
  <si>
    <t>174|精英怪</t>
  </si>
  <si>
    <t>174|精英盾怪</t>
  </si>
  <si>
    <t>174|Boss</t>
  </si>
  <si>
    <t>174|装备副本Boss</t>
  </si>
  <si>
    <t>175|普通怪</t>
  </si>
  <si>
    <t>175|盾怪</t>
  </si>
  <si>
    <t>175|二级普通怪</t>
  </si>
  <si>
    <t>175|站桩怪</t>
  </si>
  <si>
    <t>175|炮灰怪</t>
  </si>
  <si>
    <t>175|精英怪</t>
  </si>
  <si>
    <t>175|精英盾怪</t>
  </si>
  <si>
    <t>175|Boss</t>
  </si>
  <si>
    <t>175|装备副本Boss</t>
  </si>
  <si>
    <t>176|普通怪</t>
  </si>
  <si>
    <t>176|盾怪</t>
  </si>
  <si>
    <t>176|二级普通怪</t>
  </si>
  <si>
    <t>176|站桩怪</t>
  </si>
  <si>
    <t>176|炮灰怪</t>
  </si>
  <si>
    <t>176|精英怪</t>
  </si>
  <si>
    <t>176|精英盾怪</t>
  </si>
  <si>
    <t>176|Boss</t>
  </si>
  <si>
    <t>176|装备副本Boss</t>
  </si>
  <si>
    <t>177|普通怪</t>
  </si>
  <si>
    <t>177|盾怪</t>
  </si>
  <si>
    <t>177|二级普通怪</t>
  </si>
  <si>
    <t>177|站桩怪</t>
  </si>
  <si>
    <t>177|炮灰怪</t>
  </si>
  <si>
    <t>177|精英怪</t>
  </si>
  <si>
    <t>177|精英盾怪</t>
  </si>
  <si>
    <t>177|Boss</t>
  </si>
  <si>
    <t>177|装备副本Boss</t>
  </si>
  <si>
    <t>178|普通怪</t>
  </si>
  <si>
    <t>178|盾怪</t>
  </si>
  <si>
    <t>178|二级普通怪</t>
  </si>
  <si>
    <t>178|站桩怪</t>
  </si>
  <si>
    <t>178|炮灰怪</t>
  </si>
  <si>
    <t>178|精英怪</t>
  </si>
  <si>
    <t>178|精英盾怪</t>
  </si>
  <si>
    <t>178|Boss</t>
  </si>
  <si>
    <t>178|装备副本Boss</t>
  </si>
  <si>
    <t>179|普通怪</t>
  </si>
  <si>
    <t>179|盾怪</t>
  </si>
  <si>
    <t>179|二级普通怪</t>
  </si>
  <si>
    <t>179|站桩怪</t>
  </si>
  <si>
    <t>179|炮灰怪</t>
  </si>
  <si>
    <t>179|精英怪</t>
  </si>
  <si>
    <t>179|精英盾怪</t>
  </si>
  <si>
    <t>179|Boss</t>
  </si>
  <si>
    <t>179|装备副本Boss</t>
  </si>
  <si>
    <t>180|普通怪</t>
  </si>
  <si>
    <t>180|盾怪</t>
  </si>
  <si>
    <t>180|二级普通怪</t>
  </si>
  <si>
    <t>180|站桩怪</t>
  </si>
  <si>
    <t>180|炮灰怪</t>
  </si>
  <si>
    <t>180|精英怪</t>
  </si>
  <si>
    <t>180|精英盾怪</t>
  </si>
  <si>
    <t>180|Boss</t>
  </si>
  <si>
    <t>180|装备副本Boss</t>
  </si>
  <si>
    <t>181|普通怪</t>
  </si>
  <si>
    <t>181|盾怪</t>
  </si>
  <si>
    <t>181|二级普通怪</t>
  </si>
  <si>
    <t>181|站桩怪</t>
  </si>
  <si>
    <t>181|炮灰怪</t>
  </si>
  <si>
    <t>181|精英怪</t>
  </si>
  <si>
    <t>181|精英盾怪</t>
  </si>
  <si>
    <t>181|Boss</t>
  </si>
  <si>
    <t>181|装备副本Boss</t>
  </si>
  <si>
    <t>182|普通怪</t>
  </si>
  <si>
    <t>182|盾怪</t>
  </si>
  <si>
    <t>182|二级普通怪</t>
  </si>
  <si>
    <t>182|站桩怪</t>
  </si>
  <si>
    <t>182|炮灰怪</t>
  </si>
  <si>
    <t>182|精英怪</t>
  </si>
  <si>
    <t>182|精英盾怪</t>
  </si>
  <si>
    <t>182|Boss</t>
  </si>
  <si>
    <t>182|装备副本Boss</t>
  </si>
  <si>
    <t>183|普通怪</t>
  </si>
  <si>
    <t>183|盾怪</t>
  </si>
  <si>
    <t>183|二级普通怪</t>
  </si>
  <si>
    <t>183|站桩怪</t>
  </si>
  <si>
    <t>183|炮灰怪</t>
  </si>
  <si>
    <t>183|精英怪</t>
  </si>
  <si>
    <t>183|精英盾怪</t>
  </si>
  <si>
    <t>183|Boss</t>
  </si>
  <si>
    <t>183|装备副本Boss</t>
  </si>
  <si>
    <t>184|普通怪</t>
  </si>
  <si>
    <t>184|盾怪</t>
  </si>
  <si>
    <t>184|二级普通怪</t>
  </si>
  <si>
    <t>184|站桩怪</t>
  </si>
  <si>
    <t>184|炮灰怪</t>
  </si>
  <si>
    <t>184|精英怪</t>
  </si>
  <si>
    <t>184|精英盾怪</t>
  </si>
  <si>
    <t>184|Boss</t>
  </si>
  <si>
    <t>184|装备副本Boss</t>
  </si>
  <si>
    <t>185|普通怪</t>
  </si>
  <si>
    <t>185|盾怪</t>
  </si>
  <si>
    <t>185|二级普通怪</t>
  </si>
  <si>
    <t>185|站桩怪</t>
  </si>
  <si>
    <t>185|炮灰怪</t>
  </si>
  <si>
    <t>185|精英怪</t>
  </si>
  <si>
    <t>185|精英盾怪</t>
  </si>
  <si>
    <t>185|Boss</t>
  </si>
  <si>
    <t>185|装备副本Boss</t>
  </si>
  <si>
    <t>186|普通怪</t>
  </si>
  <si>
    <t>186|盾怪</t>
  </si>
  <si>
    <t>186|二级普通怪</t>
  </si>
  <si>
    <t>186|站桩怪</t>
  </si>
  <si>
    <t>186|炮灰怪</t>
  </si>
  <si>
    <t>186|精英怪</t>
  </si>
  <si>
    <t>186|精英盾怪</t>
  </si>
  <si>
    <t>186|Boss</t>
  </si>
  <si>
    <t>186|装备副本Boss</t>
  </si>
  <si>
    <t>187|普通怪</t>
  </si>
  <si>
    <t>187|盾怪</t>
  </si>
  <si>
    <t>187|二级普通怪</t>
  </si>
  <si>
    <t>187|站桩怪</t>
  </si>
  <si>
    <t>187|炮灰怪</t>
  </si>
  <si>
    <t>187|精英怪</t>
  </si>
  <si>
    <t>187|精英盾怪</t>
  </si>
  <si>
    <t>187|Boss</t>
  </si>
  <si>
    <t>187|装备副本Boss</t>
  </si>
  <si>
    <t>188|普通怪</t>
  </si>
  <si>
    <t>188|盾怪</t>
  </si>
  <si>
    <t>188|二级普通怪</t>
  </si>
  <si>
    <t>188|站桩怪</t>
  </si>
  <si>
    <t>188|炮灰怪</t>
  </si>
  <si>
    <t>188|精英怪</t>
  </si>
  <si>
    <t>188|精英盾怪</t>
  </si>
  <si>
    <t>188|Boss</t>
  </si>
  <si>
    <t>188|装备副本Boss</t>
  </si>
  <si>
    <t>189|普通怪</t>
  </si>
  <si>
    <t>189|盾怪</t>
  </si>
  <si>
    <t>189|二级普通怪</t>
  </si>
  <si>
    <t>189|站桩怪</t>
  </si>
  <si>
    <t>189|炮灰怪</t>
  </si>
  <si>
    <t>189|精英怪</t>
  </si>
  <si>
    <t>189|精英盾怪</t>
  </si>
  <si>
    <t>189|Boss</t>
  </si>
  <si>
    <t>189|装备副本Boss</t>
  </si>
  <si>
    <t>190|普通怪</t>
  </si>
  <si>
    <t>190|盾怪</t>
  </si>
  <si>
    <t>190|二级普通怪</t>
  </si>
  <si>
    <t>190|站桩怪</t>
  </si>
  <si>
    <t>190|炮灰怪</t>
  </si>
  <si>
    <t>190|精英怪</t>
  </si>
  <si>
    <t>190|精英盾怪</t>
  </si>
  <si>
    <t>190|Boss</t>
  </si>
  <si>
    <t>190|装备副本Boss</t>
  </si>
  <si>
    <t>191|普通怪</t>
  </si>
  <si>
    <t>191|盾怪</t>
  </si>
  <si>
    <t>191|二级普通怪</t>
  </si>
  <si>
    <t>191|站桩怪</t>
  </si>
  <si>
    <t>191|炮灰怪</t>
  </si>
  <si>
    <t>191|精英怪</t>
  </si>
  <si>
    <t>191|精英盾怪</t>
  </si>
  <si>
    <t>191|Boss</t>
  </si>
  <si>
    <t>191|装备副本Boss</t>
  </si>
  <si>
    <t>192|普通怪</t>
  </si>
  <si>
    <t>192|盾怪</t>
  </si>
  <si>
    <t>192|二级普通怪</t>
  </si>
  <si>
    <t>192|站桩怪</t>
  </si>
  <si>
    <t>192|炮灰怪</t>
  </si>
  <si>
    <t>192|精英怪</t>
  </si>
  <si>
    <t>192|精英盾怪</t>
  </si>
  <si>
    <t>192|Boss</t>
  </si>
  <si>
    <t>192|装备副本Boss</t>
  </si>
  <si>
    <t>193|普通怪</t>
  </si>
  <si>
    <t>193|盾怪</t>
  </si>
  <si>
    <t>193|二级普通怪</t>
  </si>
  <si>
    <t>193|站桩怪</t>
  </si>
  <si>
    <t>193|炮灰怪</t>
  </si>
  <si>
    <t>193|精英怪</t>
  </si>
  <si>
    <t>193|精英盾怪</t>
  </si>
  <si>
    <t>193|Boss</t>
  </si>
  <si>
    <t>193|装备副本Boss</t>
  </si>
  <si>
    <t>194|普通怪</t>
  </si>
  <si>
    <t>194|盾怪</t>
  </si>
  <si>
    <t>194|二级普通怪</t>
  </si>
  <si>
    <t>194|站桩怪</t>
  </si>
  <si>
    <t>194|炮灰怪</t>
  </si>
  <si>
    <t>194|精英怪</t>
  </si>
  <si>
    <t>194|精英盾怪</t>
  </si>
  <si>
    <t>194|Boss</t>
  </si>
  <si>
    <t>194|装备副本Boss</t>
  </si>
  <si>
    <t>195|普通怪</t>
  </si>
  <si>
    <t>195|盾怪</t>
  </si>
  <si>
    <t>195|二级普通怪</t>
  </si>
  <si>
    <t>195|站桩怪</t>
  </si>
  <si>
    <t>195|炮灰怪</t>
  </si>
  <si>
    <t>195|精英怪</t>
  </si>
  <si>
    <t>195|精英盾怪</t>
  </si>
  <si>
    <t>195|Boss</t>
  </si>
  <si>
    <t>195|装备副本Boss</t>
  </si>
  <si>
    <t>196|普通怪</t>
  </si>
  <si>
    <t>196|盾怪</t>
  </si>
  <si>
    <t>196|二级普通怪</t>
  </si>
  <si>
    <t>196|站桩怪</t>
  </si>
  <si>
    <t>196|炮灰怪</t>
  </si>
  <si>
    <t>196|精英怪</t>
  </si>
  <si>
    <t>196|精英盾怪</t>
  </si>
  <si>
    <t>196|Boss</t>
  </si>
  <si>
    <t>196|装备副本Boss</t>
  </si>
  <si>
    <t>197|普通怪</t>
  </si>
  <si>
    <t>197|盾怪</t>
  </si>
  <si>
    <t>197|二级普通怪</t>
  </si>
  <si>
    <t>197|站桩怪</t>
  </si>
  <si>
    <t>197|炮灰怪</t>
  </si>
  <si>
    <t>197|精英怪</t>
  </si>
  <si>
    <t>197|精英盾怪</t>
  </si>
  <si>
    <t>197|Boss</t>
  </si>
  <si>
    <t>197|装备副本Boss</t>
  </si>
  <si>
    <t>198|普通怪</t>
  </si>
  <si>
    <t>198|盾怪</t>
  </si>
  <si>
    <t>198|二级普通怪</t>
  </si>
  <si>
    <t>198|站桩怪</t>
  </si>
  <si>
    <t>198|炮灰怪</t>
  </si>
  <si>
    <t>198|精英怪</t>
  </si>
  <si>
    <t>198|精英盾怪</t>
  </si>
  <si>
    <t>198|Boss</t>
  </si>
  <si>
    <t>198|装备副本Boss</t>
  </si>
  <si>
    <t>199|普通怪</t>
  </si>
  <si>
    <t>199|盾怪</t>
  </si>
  <si>
    <t>199|二级普通怪</t>
  </si>
  <si>
    <t>199|站桩怪</t>
  </si>
  <si>
    <t>199|炮灰怪</t>
  </si>
  <si>
    <t>199|精英怪</t>
  </si>
  <si>
    <t>199|精英盾怪</t>
  </si>
  <si>
    <t>199|Boss</t>
  </si>
  <si>
    <t>199|装备副本Boss</t>
  </si>
  <si>
    <t>200|普通怪</t>
  </si>
  <si>
    <t>200|盾怪</t>
  </si>
  <si>
    <t>200|二级普通怪</t>
  </si>
  <si>
    <t>200|站桩怪</t>
  </si>
  <si>
    <t>200|炮灰怪</t>
  </si>
  <si>
    <t>200|精英怪</t>
  </si>
  <si>
    <t>200|精英盾怪</t>
  </si>
  <si>
    <t>200|Boss</t>
  </si>
  <si>
    <t>200|装备副本Boss</t>
  </si>
  <si>
    <t>201|普通怪</t>
  </si>
  <si>
    <t>201|盾怪</t>
  </si>
  <si>
    <t>201|二级普通怪</t>
  </si>
  <si>
    <t>201|站桩怪</t>
  </si>
  <si>
    <t>201|炮灰怪</t>
  </si>
  <si>
    <t>201|精英怪</t>
  </si>
  <si>
    <t>201|精英盾怪</t>
  </si>
  <si>
    <t>201|Boss</t>
  </si>
  <si>
    <t>201|装备副本Boss</t>
  </si>
  <si>
    <t>202|普通怪</t>
  </si>
  <si>
    <t>202|盾怪</t>
  </si>
  <si>
    <t>202|二级普通怪</t>
  </si>
  <si>
    <t>202|站桩怪</t>
  </si>
  <si>
    <t>202|炮灰怪</t>
  </si>
  <si>
    <t>202|精英怪</t>
  </si>
  <si>
    <t>202|精英盾怪</t>
  </si>
  <si>
    <t>202|Boss</t>
  </si>
  <si>
    <t>202|装备副本Boss</t>
  </si>
  <si>
    <t>203|普通怪</t>
  </si>
  <si>
    <t>203|盾怪</t>
  </si>
  <si>
    <t>203|二级普通怪</t>
  </si>
  <si>
    <t>203|站桩怪</t>
  </si>
  <si>
    <t>203|炮灰怪</t>
  </si>
  <si>
    <t>203|精英怪</t>
  </si>
  <si>
    <t>203|精英盾怪</t>
  </si>
  <si>
    <t>203|Boss</t>
  </si>
  <si>
    <t>203|装备副本Boss</t>
  </si>
  <si>
    <t>204|普通怪</t>
  </si>
  <si>
    <t>204|盾怪</t>
  </si>
  <si>
    <t>204|二级普通怪</t>
  </si>
  <si>
    <t>204|站桩怪</t>
  </si>
  <si>
    <t>204|炮灰怪</t>
  </si>
  <si>
    <t>204|精英怪</t>
  </si>
  <si>
    <t>204|精英盾怪</t>
  </si>
  <si>
    <t>204|Boss</t>
  </si>
  <si>
    <t>204|装备副本Boss</t>
  </si>
  <si>
    <t>205|普通怪</t>
  </si>
  <si>
    <t>205|盾怪</t>
  </si>
  <si>
    <t>205|二级普通怪</t>
  </si>
  <si>
    <t>205|站桩怪</t>
  </si>
  <si>
    <t>205|炮灰怪</t>
  </si>
  <si>
    <t>205|精英怪</t>
  </si>
  <si>
    <t>205|精英盾怪</t>
  </si>
  <si>
    <t>205|Boss</t>
  </si>
  <si>
    <t>205|装备副本Boss</t>
  </si>
  <si>
    <t>206|普通怪</t>
  </si>
  <si>
    <t>206|盾怪</t>
  </si>
  <si>
    <t>206|二级普通怪</t>
  </si>
  <si>
    <t>206|站桩怪</t>
  </si>
  <si>
    <t>206|炮灰怪</t>
  </si>
  <si>
    <t>206|精英怪</t>
  </si>
  <si>
    <t>206|精英盾怪</t>
  </si>
  <si>
    <t>206|Boss</t>
  </si>
  <si>
    <t>206|装备副本Boss</t>
  </si>
  <si>
    <t>207|普通怪</t>
  </si>
  <si>
    <t>207|盾怪</t>
  </si>
  <si>
    <t>207|二级普通怪</t>
  </si>
  <si>
    <t>207|站桩怪</t>
  </si>
  <si>
    <t>207|炮灰怪</t>
  </si>
  <si>
    <t>207|精英怪</t>
  </si>
  <si>
    <t>207|精英盾怪</t>
  </si>
  <si>
    <t>207|Boss</t>
  </si>
  <si>
    <t>207|装备副本Boss</t>
  </si>
  <si>
    <t>208|普通怪</t>
  </si>
  <si>
    <t>208|盾怪</t>
  </si>
  <si>
    <t>208|二级普通怪</t>
  </si>
  <si>
    <t>208|站桩怪</t>
  </si>
  <si>
    <t>208|炮灰怪</t>
  </si>
  <si>
    <t>208|精英怪</t>
  </si>
  <si>
    <t>208|精英盾怪</t>
  </si>
  <si>
    <t>208|Boss</t>
  </si>
  <si>
    <t>208|装备副本Boss</t>
  </si>
  <si>
    <t>209|普通怪</t>
  </si>
  <si>
    <t>209|盾怪</t>
  </si>
  <si>
    <t>209|二级普通怪</t>
  </si>
  <si>
    <t>209|站桩怪</t>
  </si>
  <si>
    <t>209|炮灰怪</t>
  </si>
  <si>
    <t>209|精英怪</t>
  </si>
  <si>
    <t>209|精英盾怪</t>
  </si>
  <si>
    <t>209|Boss</t>
  </si>
  <si>
    <t>209|装备副本Boss</t>
  </si>
  <si>
    <t>210|普通怪</t>
  </si>
  <si>
    <t>210|盾怪</t>
  </si>
  <si>
    <t>210|二级普通怪</t>
  </si>
  <si>
    <t>210|站桩怪</t>
  </si>
  <si>
    <t>210|炮灰怪</t>
  </si>
  <si>
    <t>210|精英怪</t>
  </si>
  <si>
    <t>210|精英盾怪</t>
  </si>
  <si>
    <t>210|Boss</t>
  </si>
  <si>
    <t>210|装备副本Boss</t>
  </si>
  <si>
    <t>211|普通怪</t>
  </si>
  <si>
    <t>211|盾怪</t>
  </si>
  <si>
    <t>211|二级普通怪</t>
  </si>
  <si>
    <t>211|站桩怪</t>
  </si>
  <si>
    <t>211|炮灰怪</t>
  </si>
  <si>
    <t>211|精英怪</t>
  </si>
  <si>
    <t>211|精英盾怪</t>
  </si>
  <si>
    <t>211|Boss</t>
  </si>
  <si>
    <t>211|装备副本Boss</t>
  </si>
  <si>
    <t>212|普通怪</t>
  </si>
  <si>
    <t>212|盾怪</t>
  </si>
  <si>
    <t>212|二级普通怪</t>
  </si>
  <si>
    <t>212|站桩怪</t>
  </si>
  <si>
    <t>212|炮灰怪</t>
  </si>
  <si>
    <t>212|精英怪</t>
  </si>
  <si>
    <t>212|精英盾怪</t>
  </si>
  <si>
    <t>212|Boss</t>
  </si>
  <si>
    <t>212|装备副本Boss</t>
  </si>
  <si>
    <t>213|普通怪</t>
  </si>
  <si>
    <t>213|盾怪</t>
  </si>
  <si>
    <t>213|二级普通怪</t>
  </si>
  <si>
    <t>213|站桩怪</t>
  </si>
  <si>
    <t>213|炮灰怪</t>
  </si>
  <si>
    <t>213|精英怪</t>
  </si>
  <si>
    <t>213|精英盾怪</t>
  </si>
  <si>
    <t>213|Boss</t>
  </si>
  <si>
    <t>213|装备副本Boss</t>
  </si>
  <si>
    <t>214|普通怪</t>
  </si>
  <si>
    <t>214|盾怪</t>
  </si>
  <si>
    <t>214|二级普通怪</t>
  </si>
  <si>
    <t>214|站桩怪</t>
  </si>
  <si>
    <t>214|炮灰怪</t>
  </si>
  <si>
    <t>214|精英怪</t>
  </si>
  <si>
    <t>214|精英盾怪</t>
  </si>
  <si>
    <t>214|Boss</t>
  </si>
  <si>
    <t>214|装备副本Boss</t>
  </si>
  <si>
    <t>215|普通怪</t>
  </si>
  <si>
    <t>215|盾怪</t>
  </si>
  <si>
    <t>215|二级普通怪</t>
  </si>
  <si>
    <t>215|站桩怪</t>
  </si>
  <si>
    <t>215|炮灰怪</t>
  </si>
  <si>
    <t>215|精英怪</t>
  </si>
  <si>
    <t>215|精英盾怪</t>
  </si>
  <si>
    <t>215|Boss</t>
  </si>
  <si>
    <t>215|装备副本Boss</t>
  </si>
  <si>
    <t>216|普通怪</t>
  </si>
  <si>
    <t>216|盾怪</t>
  </si>
  <si>
    <t>216|二级普通怪</t>
  </si>
  <si>
    <t>216|站桩怪</t>
  </si>
  <si>
    <t>216|炮灰怪</t>
  </si>
  <si>
    <t>216|精英怪</t>
  </si>
  <si>
    <t>216|精英盾怪</t>
  </si>
  <si>
    <t>216|Boss</t>
  </si>
  <si>
    <t>216|装备副本Boss</t>
  </si>
  <si>
    <t>217|普通怪</t>
  </si>
  <si>
    <t>217|盾怪</t>
  </si>
  <si>
    <t>217|二级普通怪</t>
  </si>
  <si>
    <t>217|站桩怪</t>
  </si>
  <si>
    <t>217|炮灰怪</t>
  </si>
  <si>
    <t>217|精英怪</t>
  </si>
  <si>
    <t>217|精英盾怪</t>
  </si>
  <si>
    <t>217|Boss</t>
  </si>
  <si>
    <t>217|装备副本Boss</t>
  </si>
  <si>
    <t>218|普通怪</t>
  </si>
  <si>
    <t>218|盾怪</t>
  </si>
  <si>
    <t>218|二级普通怪</t>
  </si>
  <si>
    <t>218|站桩怪</t>
  </si>
  <si>
    <t>218|炮灰怪</t>
  </si>
  <si>
    <t>218|精英怪</t>
  </si>
  <si>
    <t>218|精英盾怪</t>
  </si>
  <si>
    <t>218|Boss</t>
  </si>
  <si>
    <t>218|装备副本Boss</t>
  </si>
  <si>
    <t>219|普通怪</t>
  </si>
  <si>
    <t>219|盾怪</t>
  </si>
  <si>
    <t>219|二级普通怪</t>
  </si>
  <si>
    <t>219|站桩怪</t>
  </si>
  <si>
    <t>219|炮灰怪</t>
  </si>
  <si>
    <t>219|精英怪</t>
  </si>
  <si>
    <t>219|精英盾怪</t>
  </si>
  <si>
    <t>219|Boss</t>
  </si>
  <si>
    <t>219|装备副本Boss</t>
  </si>
  <si>
    <t>220|普通怪</t>
  </si>
  <si>
    <t>220|盾怪</t>
  </si>
  <si>
    <t>220|二级普通怪</t>
  </si>
  <si>
    <t>220|站桩怪</t>
  </si>
  <si>
    <t>220|炮灰怪</t>
  </si>
  <si>
    <t>220|精英怪</t>
  </si>
  <si>
    <t>220|精英盾怪</t>
  </si>
  <si>
    <t>220|Boss</t>
  </si>
  <si>
    <t>220|装备副本Boss</t>
  </si>
  <si>
    <t>221|普通怪</t>
  </si>
  <si>
    <t>221|盾怪</t>
  </si>
  <si>
    <t>221|二级普通怪</t>
  </si>
  <si>
    <t>221|站桩怪</t>
  </si>
  <si>
    <t>221|炮灰怪</t>
  </si>
  <si>
    <t>221|精英怪</t>
  </si>
  <si>
    <t>221|精英盾怪</t>
  </si>
  <si>
    <t>221|Boss</t>
  </si>
  <si>
    <t>221|装备副本Boss</t>
  </si>
  <si>
    <t>222|普通怪</t>
  </si>
  <si>
    <t>222|盾怪</t>
  </si>
  <si>
    <t>222|二级普通怪</t>
  </si>
  <si>
    <t>222|站桩怪</t>
  </si>
  <si>
    <t>222|炮灰怪</t>
  </si>
  <si>
    <t>222|精英怪</t>
  </si>
  <si>
    <t>222|精英盾怪</t>
  </si>
  <si>
    <t>222|Boss</t>
  </si>
  <si>
    <t>222|装备副本Boss</t>
  </si>
  <si>
    <t>223|普通怪</t>
  </si>
  <si>
    <t>223|盾怪</t>
  </si>
  <si>
    <t>223|二级普通怪</t>
  </si>
  <si>
    <t>223|站桩怪</t>
  </si>
  <si>
    <t>223|炮灰怪</t>
  </si>
  <si>
    <t>223|精英怪</t>
  </si>
  <si>
    <t>223|精英盾怪</t>
  </si>
  <si>
    <t>223|Boss</t>
  </si>
  <si>
    <t>223|装备副本Boss</t>
  </si>
  <si>
    <t>224|普通怪</t>
  </si>
  <si>
    <t>224|盾怪</t>
  </si>
  <si>
    <t>224|二级普通怪</t>
  </si>
  <si>
    <t>224|站桩怪</t>
  </si>
  <si>
    <t>224|炮灰怪</t>
  </si>
  <si>
    <t>224|精英怪</t>
  </si>
  <si>
    <t>224|精英盾怪</t>
  </si>
  <si>
    <t>224|Boss</t>
  </si>
  <si>
    <t>224|装备副本Boss</t>
  </si>
  <si>
    <t>225|普通怪</t>
  </si>
  <si>
    <t>225|盾怪</t>
  </si>
  <si>
    <t>225|二级普通怪</t>
  </si>
  <si>
    <t>225|站桩怪</t>
  </si>
  <si>
    <t>225|炮灰怪</t>
  </si>
  <si>
    <t>225|精英怪</t>
  </si>
  <si>
    <t>225|精英盾怪</t>
  </si>
  <si>
    <t>225|Boss</t>
  </si>
  <si>
    <t>225|装备副本Boss</t>
  </si>
  <si>
    <t>226|普通怪</t>
  </si>
  <si>
    <t>226|盾怪</t>
  </si>
  <si>
    <t>226|二级普通怪</t>
  </si>
  <si>
    <t>226|站桩怪</t>
  </si>
  <si>
    <t>226|炮灰怪</t>
  </si>
  <si>
    <t>226|精英怪</t>
  </si>
  <si>
    <t>226|精英盾怪</t>
  </si>
  <si>
    <t>226|Boss</t>
  </si>
  <si>
    <t>226|装备副本Boss</t>
  </si>
  <si>
    <t>227|普通怪</t>
  </si>
  <si>
    <t>227|盾怪</t>
  </si>
  <si>
    <t>227|二级普通怪</t>
  </si>
  <si>
    <t>227|站桩怪</t>
  </si>
  <si>
    <t>227|炮灰怪</t>
  </si>
  <si>
    <t>227|精英怪</t>
  </si>
  <si>
    <t>227|精英盾怪</t>
  </si>
  <si>
    <t>227|Boss</t>
  </si>
  <si>
    <t>227|装备副本Boss</t>
  </si>
  <si>
    <t>228|普通怪</t>
  </si>
  <si>
    <t>228|盾怪</t>
  </si>
  <si>
    <t>228|二级普通怪</t>
  </si>
  <si>
    <t>228|站桩怪</t>
  </si>
  <si>
    <t>228|炮灰怪</t>
  </si>
  <si>
    <t>228|精英怪</t>
  </si>
  <si>
    <t>228|精英盾怪</t>
  </si>
  <si>
    <t>228|Boss</t>
  </si>
  <si>
    <t>228|装备副本Boss</t>
  </si>
  <si>
    <t>229|普通怪</t>
  </si>
  <si>
    <t>229|盾怪</t>
  </si>
  <si>
    <t>229|二级普通怪</t>
  </si>
  <si>
    <t>229|站桩怪</t>
  </si>
  <si>
    <t>229|炮灰怪</t>
  </si>
  <si>
    <t>229|精英怪</t>
  </si>
  <si>
    <t>229|精英盾怪</t>
  </si>
  <si>
    <t>229|Boss</t>
  </si>
  <si>
    <t>229|装备副本Boss</t>
  </si>
  <si>
    <t>230|普通怪</t>
  </si>
  <si>
    <t>230|盾怪</t>
  </si>
  <si>
    <t>230|二级普通怪</t>
  </si>
  <si>
    <t>230|站桩怪</t>
  </si>
  <si>
    <t>230|炮灰怪</t>
  </si>
  <si>
    <t>230|精英怪</t>
  </si>
  <si>
    <t>230|精英盾怪</t>
  </si>
  <si>
    <t>230|Boss</t>
  </si>
  <si>
    <t>230|装备副本Boss</t>
  </si>
  <si>
    <t>231|普通怪</t>
  </si>
  <si>
    <t>231|盾怪</t>
  </si>
  <si>
    <t>231|二级普通怪</t>
  </si>
  <si>
    <t>231|站桩怪</t>
  </si>
  <si>
    <t>231|炮灰怪</t>
  </si>
  <si>
    <t>231|精英怪</t>
  </si>
  <si>
    <t>231|精英盾怪</t>
  </si>
  <si>
    <t>231|Boss</t>
  </si>
  <si>
    <t>231|装备副本Boss</t>
  </si>
  <si>
    <t>232|普通怪</t>
  </si>
  <si>
    <t>232|盾怪</t>
  </si>
  <si>
    <t>232|二级普通怪</t>
  </si>
  <si>
    <t>232|站桩怪</t>
  </si>
  <si>
    <t>232|炮灰怪</t>
  </si>
  <si>
    <t>232|精英怪</t>
  </si>
  <si>
    <t>232|精英盾怪</t>
  </si>
  <si>
    <t>232|Boss</t>
  </si>
  <si>
    <t>232|装备副本Boss</t>
  </si>
  <si>
    <t>233|普通怪</t>
  </si>
  <si>
    <t>233|盾怪</t>
  </si>
  <si>
    <t>233|二级普通怪</t>
  </si>
  <si>
    <t>233|站桩怪</t>
  </si>
  <si>
    <t>233|炮灰怪</t>
  </si>
  <si>
    <t>233|精英怪</t>
  </si>
  <si>
    <t>233|精英盾怪</t>
  </si>
  <si>
    <t>233|Boss</t>
  </si>
  <si>
    <t>233|装备副本Boss</t>
  </si>
  <si>
    <t>234|普通怪</t>
  </si>
  <si>
    <t>234|盾怪</t>
  </si>
  <si>
    <t>234|二级普通怪</t>
  </si>
  <si>
    <t>234|站桩怪</t>
  </si>
  <si>
    <t>234|炮灰怪</t>
  </si>
  <si>
    <t>234|精英怪</t>
  </si>
  <si>
    <t>234|精英盾怪</t>
  </si>
  <si>
    <t>234|Boss</t>
  </si>
  <si>
    <t>234|装备副本Boss</t>
  </si>
  <si>
    <t>235|普通怪</t>
  </si>
  <si>
    <t>235|盾怪</t>
  </si>
  <si>
    <t>235|二级普通怪</t>
  </si>
  <si>
    <t>235|站桩怪</t>
  </si>
  <si>
    <t>235|炮灰怪</t>
  </si>
  <si>
    <t>235|精英怪</t>
  </si>
  <si>
    <t>235|精英盾怪</t>
  </si>
  <si>
    <t>235|Boss</t>
  </si>
  <si>
    <t>235|装备副本Boss</t>
  </si>
  <si>
    <t>236|普通怪</t>
  </si>
  <si>
    <t>236|盾怪</t>
  </si>
  <si>
    <t>236|二级普通怪</t>
  </si>
  <si>
    <t>236|站桩怪</t>
  </si>
  <si>
    <t>236|炮灰怪</t>
  </si>
  <si>
    <t>236|精英怪</t>
  </si>
  <si>
    <t>236|精英盾怪</t>
  </si>
  <si>
    <t>236|Boss</t>
  </si>
  <si>
    <t>236|装备副本Boss</t>
  </si>
  <si>
    <t>237|普通怪</t>
  </si>
  <si>
    <t>237|盾怪</t>
  </si>
  <si>
    <t>237|二级普通怪</t>
  </si>
  <si>
    <t>237|站桩怪</t>
  </si>
  <si>
    <t>237|炮灰怪</t>
  </si>
  <si>
    <t>237|精英怪</t>
  </si>
  <si>
    <t>237|精英盾怪</t>
  </si>
  <si>
    <t>237|Boss</t>
  </si>
  <si>
    <t>237|装备副本Boss</t>
  </si>
  <si>
    <t>238|普通怪</t>
  </si>
  <si>
    <t>238|盾怪</t>
  </si>
  <si>
    <t>238|二级普通怪</t>
  </si>
  <si>
    <t>238|站桩怪</t>
  </si>
  <si>
    <t>238|炮灰怪</t>
  </si>
  <si>
    <t>238|精英怪</t>
  </si>
  <si>
    <t>238|精英盾怪</t>
  </si>
  <si>
    <t>238|Boss</t>
  </si>
  <si>
    <t>238|装备副本Boss</t>
  </si>
  <si>
    <t>239|普通怪</t>
  </si>
  <si>
    <t>239|盾怪</t>
  </si>
  <si>
    <t>239|二级普通怪</t>
  </si>
  <si>
    <t>239|站桩怪</t>
  </si>
  <si>
    <t>239|炮灰怪</t>
  </si>
  <si>
    <t>239|精英怪</t>
  </si>
  <si>
    <t>239|精英盾怪</t>
  </si>
  <si>
    <t>239|Boss</t>
  </si>
  <si>
    <t>239|装备副本Boss</t>
  </si>
  <si>
    <t>240|普通怪</t>
  </si>
  <si>
    <t>240|盾怪</t>
  </si>
  <si>
    <t>240|二级普通怪</t>
  </si>
  <si>
    <t>240|站桩怪</t>
  </si>
  <si>
    <t>240|炮灰怪</t>
  </si>
  <si>
    <t>240|精英怪</t>
  </si>
  <si>
    <t>240|精英盾怪</t>
  </si>
  <si>
    <t>240|Boss</t>
  </si>
  <si>
    <t>240|装备副本Boss</t>
  </si>
  <si>
    <t>241|普通怪</t>
  </si>
  <si>
    <t>241|盾怪</t>
  </si>
  <si>
    <t>241|二级普通怪</t>
  </si>
  <si>
    <t>241|站桩怪</t>
  </si>
  <si>
    <t>241|炮灰怪</t>
  </si>
  <si>
    <t>241|精英怪</t>
  </si>
  <si>
    <t>241|精英盾怪</t>
  </si>
  <si>
    <t>241|Boss</t>
  </si>
  <si>
    <t>241|装备副本Boss</t>
  </si>
  <si>
    <t>242|普通怪</t>
  </si>
  <si>
    <t>242|盾怪</t>
  </si>
  <si>
    <t>242|二级普通怪</t>
  </si>
  <si>
    <t>242|站桩怪</t>
  </si>
  <si>
    <t>242|炮灰怪</t>
  </si>
  <si>
    <t>242|精英怪</t>
  </si>
  <si>
    <t>242|精英盾怪</t>
  </si>
  <si>
    <t>242|Boss</t>
  </si>
  <si>
    <t>242|装备副本Boss</t>
  </si>
  <si>
    <t>243|普通怪</t>
  </si>
  <si>
    <t>243|盾怪</t>
  </si>
  <si>
    <t>243|二级普通怪</t>
  </si>
  <si>
    <t>243|站桩怪</t>
  </si>
  <si>
    <t>243|炮灰怪</t>
  </si>
  <si>
    <t>243|精英怪</t>
  </si>
  <si>
    <t>243|精英盾怪</t>
  </si>
  <si>
    <t>243|Boss</t>
  </si>
  <si>
    <t>243|装备副本Boss</t>
  </si>
  <si>
    <t>244|普通怪</t>
  </si>
  <si>
    <t>244|盾怪</t>
  </si>
  <si>
    <t>244|二级普通怪</t>
  </si>
  <si>
    <t>244|站桩怪</t>
  </si>
  <si>
    <t>244|炮灰怪</t>
  </si>
  <si>
    <t>244|精英怪</t>
  </si>
  <si>
    <t>244|精英盾怪</t>
  </si>
  <si>
    <t>244|Boss</t>
  </si>
  <si>
    <t>244|装备副本Boss</t>
  </si>
  <si>
    <t>245|普通怪</t>
  </si>
  <si>
    <t>245|盾怪</t>
  </si>
  <si>
    <t>245|二级普通怪</t>
  </si>
  <si>
    <t>245|站桩怪</t>
  </si>
  <si>
    <t>245|炮灰怪</t>
  </si>
  <si>
    <t>245|精英怪</t>
  </si>
  <si>
    <t>245|精英盾怪</t>
  </si>
  <si>
    <t>245|Boss</t>
  </si>
  <si>
    <t>245|装备副本Boss</t>
  </si>
  <si>
    <t>246|普通怪</t>
  </si>
  <si>
    <t>246|盾怪</t>
  </si>
  <si>
    <t>246|二级普通怪</t>
  </si>
  <si>
    <t>246|站桩怪</t>
  </si>
  <si>
    <t>246|炮灰怪</t>
  </si>
  <si>
    <t>246|精英怪</t>
  </si>
  <si>
    <t>246|精英盾怪</t>
  </si>
  <si>
    <t>246|Boss</t>
  </si>
  <si>
    <t>246|装备副本Boss</t>
  </si>
  <si>
    <t>247|普通怪</t>
  </si>
  <si>
    <t>247|盾怪</t>
  </si>
  <si>
    <t>247|二级普通怪</t>
  </si>
  <si>
    <t>247|站桩怪</t>
  </si>
  <si>
    <t>247|炮灰怪</t>
  </si>
  <si>
    <t>247|精英怪</t>
  </si>
  <si>
    <t>247|精英盾怪</t>
  </si>
  <si>
    <t>247|Boss</t>
  </si>
  <si>
    <t>247|装备副本Boss</t>
  </si>
  <si>
    <t>248|普通怪</t>
  </si>
  <si>
    <t>248|盾怪</t>
  </si>
  <si>
    <t>248|二级普通怪</t>
  </si>
  <si>
    <t>248|站桩怪</t>
  </si>
  <si>
    <t>248|炮灰怪</t>
  </si>
  <si>
    <t>248|精英怪</t>
  </si>
  <si>
    <t>248|精英盾怪</t>
  </si>
  <si>
    <t>248|Boss</t>
  </si>
  <si>
    <t>248|装备副本Boss</t>
  </si>
  <si>
    <t>249|普通怪</t>
  </si>
  <si>
    <t>249|盾怪</t>
  </si>
  <si>
    <t>249|二级普通怪</t>
  </si>
  <si>
    <t>249|站桩怪</t>
  </si>
  <si>
    <t>249|炮灰怪</t>
  </si>
  <si>
    <t>249|精英怪</t>
  </si>
  <si>
    <t>249|精英盾怪</t>
  </si>
  <si>
    <t>249|Boss</t>
  </si>
  <si>
    <t>249|装备副本Boss</t>
  </si>
  <si>
    <t>250|普通怪</t>
  </si>
  <si>
    <t>250|盾怪</t>
  </si>
  <si>
    <t>250|二级普通怪</t>
  </si>
  <si>
    <t>250|站桩怪</t>
  </si>
  <si>
    <t>250|炮灰怪</t>
  </si>
  <si>
    <t>250|精英怪</t>
  </si>
  <si>
    <t>250|精英盾怪</t>
  </si>
  <si>
    <t>250|Boss</t>
  </si>
  <si>
    <t>250|装备副本Boss</t>
  </si>
  <si>
    <t>251|普通怪</t>
  </si>
  <si>
    <t>251|盾怪</t>
  </si>
  <si>
    <t>251|二级普通怪</t>
  </si>
  <si>
    <t>251|站桩怪</t>
  </si>
  <si>
    <t>251|炮灰怪</t>
  </si>
  <si>
    <t>251|精英怪</t>
  </si>
  <si>
    <t>251|精英盾怪</t>
  </si>
  <si>
    <t>251|Boss</t>
  </si>
  <si>
    <t>251|装备副本Boss</t>
  </si>
  <si>
    <t>252|普通怪</t>
  </si>
  <si>
    <t>252|盾怪</t>
  </si>
  <si>
    <t>252|二级普通怪</t>
  </si>
  <si>
    <t>252|站桩怪</t>
  </si>
  <si>
    <t>252|炮灰怪</t>
  </si>
  <si>
    <t>252|精英怪</t>
  </si>
  <si>
    <t>252|精英盾怪</t>
  </si>
  <si>
    <t>252|Boss</t>
  </si>
  <si>
    <t>252|装备副本Boss</t>
  </si>
  <si>
    <t>253|普通怪</t>
  </si>
  <si>
    <t>253|盾怪</t>
  </si>
  <si>
    <t>253|二级普通怪</t>
  </si>
  <si>
    <t>253|站桩怪</t>
  </si>
  <si>
    <t>253|炮灰怪</t>
  </si>
  <si>
    <t>253|精英怪</t>
  </si>
  <si>
    <t>253|精英盾怪</t>
  </si>
  <si>
    <t>253|Boss</t>
  </si>
  <si>
    <t>253|装备副本Boss</t>
  </si>
  <si>
    <t>254|普通怪</t>
  </si>
  <si>
    <t>254|盾怪</t>
  </si>
  <si>
    <t>254|二级普通怪</t>
  </si>
  <si>
    <t>254|站桩怪</t>
  </si>
  <si>
    <t>254|炮灰怪</t>
  </si>
  <si>
    <t>254|精英怪</t>
  </si>
  <si>
    <t>254|精英盾怪</t>
  </si>
  <si>
    <t>254|Boss</t>
  </si>
  <si>
    <t>254|装备副本Boss</t>
  </si>
  <si>
    <t>255|普通怪</t>
  </si>
  <si>
    <t>255|盾怪</t>
  </si>
  <si>
    <t>255|二级普通怪</t>
  </si>
  <si>
    <t>255|站桩怪</t>
  </si>
  <si>
    <t>255|炮灰怪</t>
  </si>
  <si>
    <t>255|精英怪</t>
  </si>
  <si>
    <t>255|精英盾怪</t>
  </si>
  <si>
    <t>255|Boss</t>
  </si>
  <si>
    <t>255|装备副本Boss</t>
  </si>
  <si>
    <t>256|普通怪</t>
  </si>
  <si>
    <t>256|盾怪</t>
  </si>
  <si>
    <t>256|二级普通怪</t>
  </si>
  <si>
    <t>256|站桩怪</t>
  </si>
  <si>
    <t>256|炮灰怪</t>
  </si>
  <si>
    <t>256|精英怪</t>
  </si>
  <si>
    <t>256|精英盾怪</t>
  </si>
  <si>
    <t>256|Boss</t>
  </si>
  <si>
    <t>256|装备副本Boss</t>
  </si>
  <si>
    <t>257|普通怪</t>
  </si>
  <si>
    <t>257|盾怪</t>
  </si>
  <si>
    <t>257|二级普通怪</t>
  </si>
  <si>
    <t>257|站桩怪</t>
  </si>
  <si>
    <t>257|炮灰怪</t>
  </si>
  <si>
    <t>257|精英怪</t>
  </si>
  <si>
    <t>257|精英盾怪</t>
  </si>
  <si>
    <t>257|Boss</t>
  </si>
  <si>
    <t>257|装备副本Boss</t>
  </si>
  <si>
    <t>258|普通怪</t>
  </si>
  <si>
    <t>258|盾怪</t>
  </si>
  <si>
    <t>258|二级普通怪</t>
  </si>
  <si>
    <t>258|站桩怪</t>
  </si>
  <si>
    <t>258|炮灰怪</t>
  </si>
  <si>
    <t>258|精英怪</t>
  </si>
  <si>
    <t>258|精英盾怪</t>
  </si>
  <si>
    <t>258|Boss</t>
  </si>
  <si>
    <t>258|装备副本Boss</t>
  </si>
  <si>
    <t>259|普通怪</t>
  </si>
  <si>
    <t>259|盾怪</t>
  </si>
  <si>
    <t>259|二级普通怪</t>
  </si>
  <si>
    <t>259|站桩怪</t>
  </si>
  <si>
    <t>259|炮灰怪</t>
  </si>
  <si>
    <t>259|精英怪</t>
  </si>
  <si>
    <t>259|精英盾怪</t>
  </si>
  <si>
    <t>259|Boss</t>
  </si>
  <si>
    <t>259|装备副本Boss</t>
  </si>
  <si>
    <t>260|普通怪</t>
  </si>
  <si>
    <t>260|盾怪</t>
  </si>
  <si>
    <t>260|二级普通怪</t>
  </si>
  <si>
    <t>260|站桩怪</t>
  </si>
  <si>
    <t>260|炮灰怪</t>
  </si>
  <si>
    <t>260|精英怪</t>
  </si>
  <si>
    <t>260|精英盾怪</t>
  </si>
  <si>
    <t>260|Boss</t>
  </si>
  <si>
    <t>260|装备副本Boss</t>
  </si>
  <si>
    <t>261|普通怪</t>
  </si>
  <si>
    <t>261|盾怪</t>
  </si>
  <si>
    <t>261|二级普通怪</t>
  </si>
  <si>
    <t>261|站桩怪</t>
  </si>
  <si>
    <t>261|炮灰怪</t>
  </si>
  <si>
    <t>261|精英怪</t>
  </si>
  <si>
    <t>261|精英盾怪</t>
  </si>
  <si>
    <t>261|Boss</t>
  </si>
  <si>
    <t>261|装备副本Boss</t>
  </si>
  <si>
    <t>262|普通怪</t>
  </si>
  <si>
    <t>262|盾怪</t>
  </si>
  <si>
    <t>262|二级普通怪</t>
  </si>
  <si>
    <t>262|站桩怪</t>
  </si>
  <si>
    <t>262|炮灰怪</t>
  </si>
  <si>
    <t>262|精英怪</t>
  </si>
  <si>
    <t>262|精英盾怪</t>
  </si>
  <si>
    <t>262|Boss</t>
  </si>
  <si>
    <t>262|装备副本Boss</t>
  </si>
  <si>
    <t>263|普通怪</t>
  </si>
  <si>
    <t>263|盾怪</t>
  </si>
  <si>
    <t>263|二级普通怪</t>
  </si>
  <si>
    <t>263|站桩怪</t>
  </si>
  <si>
    <t>263|炮灰怪</t>
  </si>
  <si>
    <t>263|精英怪</t>
  </si>
  <si>
    <t>263|精英盾怪</t>
  </si>
  <si>
    <t>263|Boss</t>
  </si>
  <si>
    <t>263|装备副本Boss</t>
  </si>
  <si>
    <t>264|普通怪</t>
  </si>
  <si>
    <t>264|盾怪</t>
  </si>
  <si>
    <t>264|二级普通怪</t>
  </si>
  <si>
    <t>264|站桩怪</t>
  </si>
  <si>
    <t>264|炮灰怪</t>
  </si>
  <si>
    <t>264|精英怪</t>
  </si>
  <si>
    <t>264|精英盾怪</t>
  </si>
  <si>
    <t>264|Boss</t>
  </si>
  <si>
    <t>264|装备副本Boss</t>
  </si>
  <si>
    <t>265|普通怪</t>
  </si>
  <si>
    <t>265|盾怪</t>
  </si>
  <si>
    <t>265|二级普通怪</t>
  </si>
  <si>
    <t>265|站桩怪</t>
  </si>
  <si>
    <t>265|炮灰怪</t>
  </si>
  <si>
    <t>265|精英怪</t>
  </si>
  <si>
    <t>265|精英盾怪</t>
  </si>
  <si>
    <t>265|Boss</t>
  </si>
  <si>
    <t>265|装备副本Boss</t>
  </si>
  <si>
    <t>266|普通怪</t>
  </si>
  <si>
    <t>266|盾怪</t>
  </si>
  <si>
    <t>266|二级普通怪</t>
  </si>
  <si>
    <t>266|站桩怪</t>
  </si>
  <si>
    <t>266|炮灰怪</t>
  </si>
  <si>
    <t>266|精英怪</t>
  </si>
  <si>
    <t>266|精英盾怪</t>
  </si>
  <si>
    <t>266|Boss</t>
  </si>
  <si>
    <t>266|装备副本Boss</t>
  </si>
  <si>
    <t>267|普通怪</t>
  </si>
  <si>
    <t>267|盾怪</t>
  </si>
  <si>
    <t>267|二级普通怪</t>
  </si>
  <si>
    <t>267|站桩怪</t>
  </si>
  <si>
    <t>267|炮灰怪</t>
  </si>
  <si>
    <t>267|精英怪</t>
  </si>
  <si>
    <t>267|精英盾怪</t>
  </si>
  <si>
    <t>267|Boss</t>
  </si>
  <si>
    <t>267|装备副本Boss</t>
  </si>
  <si>
    <t>268|普通怪</t>
  </si>
  <si>
    <t>268|盾怪</t>
  </si>
  <si>
    <t>268|二级普通怪</t>
  </si>
  <si>
    <t>268|站桩怪</t>
  </si>
  <si>
    <t>268|炮灰怪</t>
  </si>
  <si>
    <t>268|精英怪</t>
  </si>
  <si>
    <t>268|精英盾怪</t>
  </si>
  <si>
    <t>268|Boss</t>
  </si>
  <si>
    <t>268|装备副本Boss</t>
  </si>
  <si>
    <t>269|普通怪</t>
  </si>
  <si>
    <t>269|盾怪</t>
  </si>
  <si>
    <t>269|二级普通怪</t>
  </si>
  <si>
    <t>269|站桩怪</t>
  </si>
  <si>
    <t>269|炮灰怪</t>
  </si>
  <si>
    <t>269|精英怪</t>
  </si>
  <si>
    <t>269|精英盾怪</t>
  </si>
  <si>
    <t>269|Boss</t>
  </si>
  <si>
    <t>269|装备副本Boss</t>
  </si>
  <si>
    <t>270|普通怪</t>
  </si>
  <si>
    <t>270|盾怪</t>
  </si>
  <si>
    <t>270|二级普通怪</t>
  </si>
  <si>
    <t>270|站桩怪</t>
  </si>
  <si>
    <t>270|炮灰怪</t>
  </si>
  <si>
    <t>270|精英怪</t>
  </si>
  <si>
    <t>270|精英盾怪</t>
  </si>
  <si>
    <t>270|Boss</t>
  </si>
  <si>
    <t>270|装备副本Boss</t>
  </si>
  <si>
    <t>271|普通怪</t>
  </si>
  <si>
    <t>271|盾怪</t>
  </si>
  <si>
    <t>271|二级普通怪</t>
  </si>
  <si>
    <t>271|站桩怪</t>
  </si>
  <si>
    <t>271|炮灰怪</t>
  </si>
  <si>
    <t>271|精英怪</t>
  </si>
  <si>
    <t>271|精英盾怪</t>
  </si>
  <si>
    <t>271|Boss</t>
  </si>
  <si>
    <t>271|装备副本Boss</t>
  </si>
  <si>
    <t>272|普通怪</t>
  </si>
  <si>
    <t>272|盾怪</t>
  </si>
  <si>
    <t>272|二级普通怪</t>
  </si>
  <si>
    <t>272|站桩怪</t>
  </si>
  <si>
    <t>272|炮灰怪</t>
  </si>
  <si>
    <t>272|精英怪</t>
  </si>
  <si>
    <t>272|精英盾怪</t>
  </si>
  <si>
    <t>272|Boss</t>
  </si>
  <si>
    <t>272|装备副本Boss</t>
  </si>
  <si>
    <t>273|普通怪</t>
  </si>
  <si>
    <t>273|盾怪</t>
  </si>
  <si>
    <t>273|二级普通怪</t>
  </si>
  <si>
    <t>273|站桩怪</t>
  </si>
  <si>
    <t>273|炮灰怪</t>
  </si>
  <si>
    <t>273|精英怪</t>
  </si>
  <si>
    <t>273|精英盾怪</t>
  </si>
  <si>
    <t>273|Boss</t>
  </si>
  <si>
    <t>273|装备副本Boss</t>
  </si>
  <si>
    <t>274|普通怪</t>
  </si>
  <si>
    <t>274|盾怪</t>
  </si>
  <si>
    <t>274|二级普通怪</t>
  </si>
  <si>
    <t>274|站桩怪</t>
  </si>
  <si>
    <t>274|炮灰怪</t>
  </si>
  <si>
    <t>274|精英怪</t>
  </si>
  <si>
    <t>274|精英盾怪</t>
  </si>
  <si>
    <t>274|Boss</t>
  </si>
  <si>
    <t>274|装备副本Boss</t>
  </si>
  <si>
    <t>275|普通怪</t>
  </si>
  <si>
    <t>275|盾怪</t>
  </si>
  <si>
    <t>275|二级普通怪</t>
  </si>
  <si>
    <t>275|站桩怪</t>
  </si>
  <si>
    <t>275|炮灰怪</t>
  </si>
  <si>
    <t>275|精英怪</t>
  </si>
  <si>
    <t>275|精英盾怪</t>
  </si>
  <si>
    <t>275|Boss</t>
  </si>
  <si>
    <t>275|装备副本Boss</t>
  </si>
  <si>
    <t>276|普通怪</t>
  </si>
  <si>
    <t>276|盾怪</t>
  </si>
  <si>
    <t>276|二级普通怪</t>
  </si>
  <si>
    <t>276|站桩怪</t>
  </si>
  <si>
    <t>276|炮灰怪</t>
  </si>
  <si>
    <t>276|精英怪</t>
  </si>
  <si>
    <t>276|精英盾怪</t>
  </si>
  <si>
    <t>276|Boss</t>
  </si>
  <si>
    <t>276|装备副本Boss</t>
  </si>
  <si>
    <t>277|普通怪</t>
  </si>
  <si>
    <t>277|盾怪</t>
  </si>
  <si>
    <t>277|二级普通怪</t>
  </si>
  <si>
    <t>277|站桩怪</t>
  </si>
  <si>
    <t>277|炮灰怪</t>
  </si>
  <si>
    <t>277|精英怪</t>
  </si>
  <si>
    <t>277|精英盾怪</t>
  </si>
  <si>
    <t>277|Boss</t>
  </si>
  <si>
    <t>277|装备副本Boss</t>
  </si>
  <si>
    <t>278|普通怪</t>
  </si>
  <si>
    <t>278|盾怪</t>
  </si>
  <si>
    <t>278|二级普通怪</t>
  </si>
  <si>
    <t>278|站桩怪</t>
  </si>
  <si>
    <t>278|炮灰怪</t>
  </si>
  <si>
    <t>278|精英怪</t>
  </si>
  <si>
    <t>278|精英盾怪</t>
  </si>
  <si>
    <t>278|Boss</t>
  </si>
  <si>
    <t>278|装备副本Boss</t>
  </si>
  <si>
    <t>279|普通怪</t>
  </si>
  <si>
    <t>279|盾怪</t>
  </si>
  <si>
    <t>279|二级普通怪</t>
  </si>
  <si>
    <t>279|站桩怪</t>
  </si>
  <si>
    <t>279|炮灰怪</t>
  </si>
  <si>
    <t>279|精英怪</t>
  </si>
  <si>
    <t>279|精英盾怪</t>
  </si>
  <si>
    <t>279|Boss</t>
  </si>
  <si>
    <t>279|装备副本Boss</t>
  </si>
  <si>
    <t>280|普通怪</t>
  </si>
  <si>
    <t>280|盾怪</t>
  </si>
  <si>
    <t>280|二级普通怪</t>
  </si>
  <si>
    <t>280|站桩怪</t>
  </si>
  <si>
    <t>280|炮灰怪</t>
  </si>
  <si>
    <t>280|精英怪</t>
  </si>
  <si>
    <t>280|精英盾怪</t>
  </si>
  <si>
    <t>280|Boss</t>
  </si>
  <si>
    <t>280|装备副本Boss</t>
  </si>
  <si>
    <t>281|普通怪</t>
  </si>
  <si>
    <t>281|盾怪</t>
  </si>
  <si>
    <t>281|二级普通怪</t>
  </si>
  <si>
    <t>281|站桩怪</t>
  </si>
  <si>
    <t>281|炮灰怪</t>
  </si>
  <si>
    <t>281|精英怪</t>
  </si>
  <si>
    <t>281|精英盾怪</t>
  </si>
  <si>
    <t>281|Boss</t>
  </si>
  <si>
    <t>281|装备副本Boss</t>
  </si>
  <si>
    <t>282|普通怪</t>
  </si>
  <si>
    <t>282|盾怪</t>
  </si>
  <si>
    <t>282|二级普通怪</t>
  </si>
  <si>
    <t>282|站桩怪</t>
  </si>
  <si>
    <t>282|炮灰怪</t>
  </si>
  <si>
    <t>282|精英怪</t>
  </si>
  <si>
    <t>282|精英盾怪</t>
  </si>
  <si>
    <t>282|Boss</t>
  </si>
  <si>
    <t>282|装备副本Boss</t>
  </si>
  <si>
    <t>283|普通怪</t>
  </si>
  <si>
    <t>283|盾怪</t>
  </si>
  <si>
    <t>283|二级普通怪</t>
  </si>
  <si>
    <t>283|站桩怪</t>
  </si>
  <si>
    <t>283|炮灰怪</t>
  </si>
  <si>
    <t>283|精英怪</t>
  </si>
  <si>
    <t>283|精英盾怪</t>
  </si>
  <si>
    <t>283|Boss</t>
  </si>
  <si>
    <t>283|装备副本Boss</t>
  </si>
  <si>
    <t>284|普通怪</t>
  </si>
  <si>
    <t>284|盾怪</t>
  </si>
  <si>
    <t>284|二级普通怪</t>
  </si>
  <si>
    <t>284|站桩怪</t>
  </si>
  <si>
    <t>284|炮灰怪</t>
  </si>
  <si>
    <t>284|精英怪</t>
  </si>
  <si>
    <t>284|精英盾怪</t>
  </si>
  <si>
    <t>284|Boss</t>
  </si>
  <si>
    <t>284|装备副本Boss</t>
  </si>
  <si>
    <t>285|普通怪</t>
  </si>
  <si>
    <t>285|盾怪</t>
  </si>
  <si>
    <t>285|二级普通怪</t>
  </si>
  <si>
    <t>285|站桩怪</t>
  </si>
  <si>
    <t>285|炮灰怪</t>
  </si>
  <si>
    <t>285|精英怪</t>
  </si>
  <si>
    <t>285|精英盾怪</t>
  </si>
  <si>
    <t>285|Boss</t>
  </si>
  <si>
    <t>285|装备副本Boss</t>
  </si>
  <si>
    <t>286|普通怪</t>
  </si>
  <si>
    <t>286|盾怪</t>
  </si>
  <si>
    <t>286|二级普通怪</t>
  </si>
  <si>
    <t>286|站桩怪</t>
  </si>
  <si>
    <t>286|炮灰怪</t>
  </si>
  <si>
    <t>286|精英怪</t>
  </si>
  <si>
    <t>286|精英盾怪</t>
  </si>
  <si>
    <t>286|Boss</t>
  </si>
  <si>
    <t>286|装备副本Boss</t>
  </si>
  <si>
    <t>287|普通怪</t>
  </si>
  <si>
    <t>287|盾怪</t>
  </si>
  <si>
    <t>287|二级普通怪</t>
  </si>
  <si>
    <t>287|站桩怪</t>
  </si>
  <si>
    <t>287|炮灰怪</t>
  </si>
  <si>
    <t>287|精英怪</t>
  </si>
  <si>
    <t>287|精英盾怪</t>
  </si>
  <si>
    <t>287|Boss</t>
  </si>
  <si>
    <t>287|装备副本Boss</t>
  </si>
  <si>
    <t>288|普通怪</t>
  </si>
  <si>
    <t>288|盾怪</t>
  </si>
  <si>
    <t>288|二级普通怪</t>
  </si>
  <si>
    <t>288|站桩怪</t>
  </si>
  <si>
    <t>288|炮灰怪</t>
  </si>
  <si>
    <t>288|精英怪</t>
  </si>
  <si>
    <t>288|精英盾怪</t>
  </si>
  <si>
    <t>288|Boss</t>
  </si>
  <si>
    <t>288|装备副本Boss</t>
  </si>
  <si>
    <t>289|普通怪</t>
  </si>
  <si>
    <t>289|盾怪</t>
  </si>
  <si>
    <t>289|二级普通怪</t>
  </si>
  <si>
    <t>289|站桩怪</t>
  </si>
  <si>
    <t>289|炮灰怪</t>
  </si>
  <si>
    <t>289|精英怪</t>
  </si>
  <si>
    <t>289|精英盾怪</t>
  </si>
  <si>
    <t>289|Boss</t>
  </si>
  <si>
    <t>289|装备副本Boss</t>
  </si>
  <si>
    <t>290|普通怪</t>
  </si>
  <si>
    <t>290|盾怪</t>
  </si>
  <si>
    <t>290|二级普通怪</t>
  </si>
  <si>
    <t>290|站桩怪</t>
  </si>
  <si>
    <t>290|炮灰怪</t>
  </si>
  <si>
    <t>290|精英怪</t>
  </si>
  <si>
    <t>290|精英盾怪</t>
  </si>
  <si>
    <t>290|Boss</t>
  </si>
  <si>
    <t>290|装备副本Boss</t>
  </si>
  <si>
    <t>291|普通怪</t>
  </si>
  <si>
    <t>291|盾怪</t>
  </si>
  <si>
    <t>291|二级普通怪</t>
  </si>
  <si>
    <t>291|站桩怪</t>
  </si>
  <si>
    <t>291|炮灰怪</t>
  </si>
  <si>
    <t>291|精英怪</t>
  </si>
  <si>
    <t>291|精英盾怪</t>
  </si>
  <si>
    <t>291|Boss</t>
  </si>
  <si>
    <t>291|装备副本Boss</t>
  </si>
  <si>
    <t>292|普通怪</t>
  </si>
  <si>
    <t>292|盾怪</t>
  </si>
  <si>
    <t>292|二级普通怪</t>
  </si>
  <si>
    <t>292|站桩怪</t>
  </si>
  <si>
    <t>292|炮灰怪</t>
  </si>
  <si>
    <t>292|精英怪</t>
  </si>
  <si>
    <t>292|精英盾怪</t>
  </si>
  <si>
    <t>292|Boss</t>
  </si>
  <si>
    <t>292|装备副本Boss</t>
  </si>
  <si>
    <t>293|普通怪</t>
  </si>
  <si>
    <t>293|盾怪</t>
  </si>
  <si>
    <t>293|二级普通怪</t>
  </si>
  <si>
    <t>293|站桩怪</t>
  </si>
  <si>
    <t>293|炮灰怪</t>
  </si>
  <si>
    <t>293|精英怪</t>
  </si>
  <si>
    <t>293|精英盾怪</t>
  </si>
  <si>
    <t>293|Boss</t>
  </si>
  <si>
    <t>293|装备副本Boss</t>
  </si>
  <si>
    <t>294|普通怪</t>
  </si>
  <si>
    <t>294|盾怪</t>
  </si>
  <si>
    <t>294|二级普通怪</t>
  </si>
  <si>
    <t>294|站桩怪</t>
  </si>
  <si>
    <t>294|炮灰怪</t>
  </si>
  <si>
    <t>294|精英怪</t>
  </si>
  <si>
    <t>294|精英盾怪</t>
  </si>
  <si>
    <t>294|Boss</t>
  </si>
  <si>
    <t>294|装备副本Boss</t>
  </si>
  <si>
    <t>295|普通怪</t>
  </si>
  <si>
    <t>295|盾怪</t>
  </si>
  <si>
    <t>295|二级普通怪</t>
  </si>
  <si>
    <t>295|站桩怪</t>
  </si>
  <si>
    <t>295|炮灰怪</t>
  </si>
  <si>
    <t>295|精英怪</t>
  </si>
  <si>
    <t>295|精英盾怪</t>
  </si>
  <si>
    <t>295|Boss</t>
  </si>
  <si>
    <t>295|装备副本Boss</t>
  </si>
  <si>
    <t>296|普通怪</t>
  </si>
  <si>
    <t>296|盾怪</t>
  </si>
  <si>
    <t>296|二级普通怪</t>
  </si>
  <si>
    <t>296|站桩怪</t>
  </si>
  <si>
    <t>296|炮灰怪</t>
  </si>
  <si>
    <t>296|精英怪</t>
  </si>
  <si>
    <t>296|精英盾怪</t>
  </si>
  <si>
    <t>296|Boss</t>
  </si>
  <si>
    <t>296|装备副本Boss</t>
  </si>
  <si>
    <t>297|普通怪</t>
  </si>
  <si>
    <t>297|盾怪</t>
  </si>
  <si>
    <t>297|二级普通怪</t>
  </si>
  <si>
    <t>297|站桩怪</t>
  </si>
  <si>
    <t>297|炮灰怪</t>
  </si>
  <si>
    <t>297|精英怪</t>
  </si>
  <si>
    <t>297|精英盾怪</t>
  </si>
  <si>
    <t>297|Boss</t>
  </si>
  <si>
    <t>297|装备副本Boss</t>
  </si>
  <si>
    <t>298|普通怪</t>
  </si>
  <si>
    <t>298|盾怪</t>
  </si>
  <si>
    <t>298|二级普通怪</t>
  </si>
  <si>
    <t>298|站桩怪</t>
  </si>
  <si>
    <t>298|炮灰怪</t>
  </si>
  <si>
    <t>298|精英怪</t>
  </si>
  <si>
    <t>298|精英盾怪</t>
  </si>
  <si>
    <t>298|Boss</t>
  </si>
  <si>
    <t>298|装备副本Boss</t>
  </si>
  <si>
    <t>299|普通怪</t>
  </si>
  <si>
    <t>299|盾怪</t>
  </si>
  <si>
    <t>299|二级普通怪</t>
  </si>
  <si>
    <t>299|站桩怪</t>
  </si>
  <si>
    <t>299|炮灰怪</t>
  </si>
  <si>
    <t>299|精英怪</t>
  </si>
  <si>
    <t>299|精英盾怪</t>
  </si>
  <si>
    <t>299|Boss</t>
  </si>
  <si>
    <t>299|装备副本Boss</t>
  </si>
  <si>
    <t>300|普通怪</t>
  </si>
  <si>
    <t>300|盾怪</t>
  </si>
  <si>
    <t>300|二级普通怪</t>
  </si>
  <si>
    <t>300|站桩怪</t>
  </si>
  <si>
    <t>300|炮灰怪</t>
  </si>
  <si>
    <t>300|精英怪</t>
  </si>
  <si>
    <t>300|精英盾怪</t>
  </si>
  <si>
    <t>300|Boss</t>
  </si>
  <si>
    <t>300|装备副本Boss</t>
  </si>
  <si>
    <t>301|普通怪</t>
  </si>
  <si>
    <t>301|盾怪</t>
  </si>
  <si>
    <t>301|二级普通怪</t>
  </si>
  <si>
    <t>301|站桩怪</t>
  </si>
  <si>
    <t>301|炮灰怪</t>
  </si>
  <si>
    <t>301|精英怪</t>
  </si>
  <si>
    <t>301|精英盾怪</t>
  </si>
  <si>
    <t>301|Boss</t>
  </si>
  <si>
    <t>301|装备副本Boss</t>
  </si>
  <si>
    <t>302|普通怪</t>
  </si>
  <si>
    <t>302|盾怪</t>
  </si>
  <si>
    <t>302|二级普通怪</t>
  </si>
  <si>
    <t>302|站桩怪</t>
  </si>
  <si>
    <t>302|炮灰怪</t>
  </si>
  <si>
    <t>302|精英怪</t>
  </si>
  <si>
    <t>302|精英盾怪</t>
  </si>
  <si>
    <t>302|Boss</t>
  </si>
  <si>
    <t>302|装备副本Boss</t>
  </si>
  <si>
    <t>303|普通怪</t>
  </si>
  <si>
    <t>303|盾怪</t>
  </si>
  <si>
    <t>303|二级普通怪</t>
  </si>
  <si>
    <t>303|站桩怪</t>
  </si>
  <si>
    <t>303|炮灰怪</t>
  </si>
  <si>
    <t>303|精英怪</t>
  </si>
  <si>
    <t>303|精英盾怪</t>
  </si>
  <si>
    <t>303|Boss</t>
  </si>
  <si>
    <t>303|装备副本Boss</t>
  </si>
  <si>
    <t>304|普通怪</t>
  </si>
  <si>
    <t>304|盾怪</t>
  </si>
  <si>
    <t>304|二级普通怪</t>
  </si>
  <si>
    <t>304|站桩怪</t>
  </si>
  <si>
    <t>304|炮灰怪</t>
  </si>
  <si>
    <t>304|精英怪</t>
  </si>
  <si>
    <t>304|精英盾怪</t>
  </si>
  <si>
    <t>304|Boss</t>
  </si>
  <si>
    <t>304|装备副本Boss</t>
  </si>
  <si>
    <t>305|普通怪</t>
  </si>
  <si>
    <t>305|盾怪</t>
  </si>
  <si>
    <t>305|二级普通怪</t>
  </si>
  <si>
    <t>305|站桩怪</t>
  </si>
  <si>
    <t>305|炮灰怪</t>
  </si>
  <si>
    <t>305|精英怪</t>
  </si>
  <si>
    <t>305|精英盾怪</t>
  </si>
  <si>
    <t>305|Boss</t>
  </si>
  <si>
    <t>305|装备副本Boss</t>
  </si>
  <si>
    <t>306|普通怪</t>
  </si>
  <si>
    <t>306|盾怪</t>
  </si>
  <si>
    <t>306|二级普通怪</t>
  </si>
  <si>
    <t>306|站桩怪</t>
  </si>
  <si>
    <t>306|炮灰怪</t>
  </si>
  <si>
    <t>306|精英怪</t>
  </si>
  <si>
    <t>306|精英盾怪</t>
  </si>
  <si>
    <t>306|Boss</t>
  </si>
  <si>
    <t>306|装备副本Boss</t>
  </si>
  <si>
    <t>307|普通怪</t>
  </si>
  <si>
    <t>307|盾怪</t>
  </si>
  <si>
    <t>307|二级普通怪</t>
  </si>
  <si>
    <t>307|站桩怪</t>
  </si>
  <si>
    <t>307|炮灰怪</t>
  </si>
  <si>
    <t>307|精英怪</t>
  </si>
  <si>
    <t>307|精英盾怪</t>
  </si>
  <si>
    <t>307|Boss</t>
  </si>
  <si>
    <t>307|装备副本Boss</t>
  </si>
  <si>
    <t>308|普通怪</t>
  </si>
  <si>
    <t>308|盾怪</t>
  </si>
  <si>
    <t>308|二级普通怪</t>
  </si>
  <si>
    <t>308|站桩怪</t>
  </si>
  <si>
    <t>308|炮灰怪</t>
  </si>
  <si>
    <t>308|精英怪</t>
  </si>
  <si>
    <t>308|精英盾怪</t>
  </si>
  <si>
    <t>308|Boss</t>
  </si>
  <si>
    <t>308|装备副本Boss</t>
  </si>
  <si>
    <t>309|普通怪</t>
  </si>
  <si>
    <t>309|盾怪</t>
  </si>
  <si>
    <t>309|二级普通怪</t>
  </si>
  <si>
    <t>309|站桩怪</t>
  </si>
  <si>
    <t>309|炮灰怪</t>
  </si>
  <si>
    <t>309|精英怪</t>
  </si>
  <si>
    <t>309|精英盾怪</t>
  </si>
  <si>
    <t>309|Boss</t>
  </si>
  <si>
    <t>309|装备副本Boss</t>
  </si>
  <si>
    <t>310|普通怪</t>
  </si>
  <si>
    <t>310|盾怪</t>
  </si>
  <si>
    <t>310|二级普通怪</t>
  </si>
  <si>
    <t>310|站桩怪</t>
  </si>
  <si>
    <t>310|炮灰怪</t>
  </si>
  <si>
    <t>310|精英怪</t>
  </si>
  <si>
    <t>310|精英盾怪</t>
  </si>
  <si>
    <t>310|Boss</t>
  </si>
  <si>
    <t>310|装备副本Boss</t>
  </si>
  <si>
    <t>311|普通怪</t>
  </si>
  <si>
    <t>311|盾怪</t>
  </si>
  <si>
    <t>311|二级普通怪</t>
  </si>
  <si>
    <t>311|站桩怪</t>
  </si>
  <si>
    <t>311|炮灰怪</t>
  </si>
  <si>
    <t>311|精英怪</t>
  </si>
  <si>
    <t>311|精英盾怪</t>
  </si>
  <si>
    <t>311|Boss</t>
  </si>
  <si>
    <t>311|装备副本Boss</t>
  </si>
  <si>
    <t>312|普通怪</t>
  </si>
  <si>
    <t>312|盾怪</t>
  </si>
  <si>
    <t>312|二级普通怪</t>
  </si>
  <si>
    <t>312|站桩怪</t>
  </si>
  <si>
    <t>312|炮灰怪</t>
  </si>
  <si>
    <t>312|精英怪</t>
  </si>
  <si>
    <t>312|精英盾怪</t>
  </si>
  <si>
    <t>312|Boss</t>
  </si>
  <si>
    <t>312|装备副本Boss</t>
  </si>
  <si>
    <t>313|普通怪</t>
  </si>
  <si>
    <t>313|盾怪</t>
  </si>
  <si>
    <t>313|二级普通怪</t>
  </si>
  <si>
    <t>313|站桩怪</t>
  </si>
  <si>
    <t>313|炮灰怪</t>
  </si>
  <si>
    <t>313|精英怪</t>
  </si>
  <si>
    <t>313|精英盾怪</t>
  </si>
  <si>
    <t>313|Boss</t>
  </si>
  <si>
    <t>313|装备副本Boss</t>
  </si>
  <si>
    <t>314|普通怪</t>
  </si>
  <si>
    <t>314|盾怪</t>
  </si>
  <si>
    <t>314|二级普通怪</t>
  </si>
  <si>
    <t>314|站桩怪</t>
  </si>
  <si>
    <t>314|炮灰怪</t>
  </si>
  <si>
    <t>314|精英怪</t>
  </si>
  <si>
    <t>314|精英盾怪</t>
  </si>
  <si>
    <t>314|Boss</t>
  </si>
  <si>
    <t>314|装备副本Boss</t>
  </si>
  <si>
    <t>315|普通怪</t>
  </si>
  <si>
    <t>315|盾怪</t>
  </si>
  <si>
    <t>315|二级普通怪</t>
  </si>
  <si>
    <t>315|站桩怪</t>
  </si>
  <si>
    <t>315|炮灰怪</t>
  </si>
  <si>
    <t>315|精英怪</t>
  </si>
  <si>
    <t>315|精英盾怪</t>
  </si>
  <si>
    <t>315|Boss</t>
  </si>
  <si>
    <t>315|装备副本Boss</t>
  </si>
  <si>
    <t>316|普通怪</t>
  </si>
  <si>
    <t>316|盾怪</t>
  </si>
  <si>
    <t>316|二级普通怪</t>
  </si>
  <si>
    <t>316|站桩怪</t>
  </si>
  <si>
    <t>316|炮灰怪</t>
  </si>
  <si>
    <t>316|精英怪</t>
  </si>
  <si>
    <t>316|精英盾怪</t>
  </si>
  <si>
    <t>316|Boss</t>
  </si>
  <si>
    <t>316|装备副本Boss</t>
  </si>
  <si>
    <t>317|普通怪</t>
  </si>
  <si>
    <t>317|盾怪</t>
  </si>
  <si>
    <t>317|二级普通怪</t>
  </si>
  <si>
    <t>317|站桩怪</t>
  </si>
  <si>
    <t>317|炮灰怪</t>
  </si>
  <si>
    <t>317|精英怪</t>
  </si>
  <si>
    <t>317|精英盾怪</t>
  </si>
  <si>
    <t>317|Boss</t>
  </si>
  <si>
    <t>317|装备副本Boss</t>
  </si>
  <si>
    <t>318|普通怪</t>
  </si>
  <si>
    <t>318|盾怪</t>
  </si>
  <si>
    <t>318|二级普通怪</t>
  </si>
  <si>
    <t>318|站桩怪</t>
  </si>
  <si>
    <t>318|炮灰怪</t>
  </si>
  <si>
    <t>318|精英怪</t>
  </si>
  <si>
    <t>318|精英盾怪</t>
  </si>
  <si>
    <t>318|Boss</t>
  </si>
  <si>
    <t>318|装备副本Boss</t>
  </si>
  <si>
    <t>319|普通怪</t>
  </si>
  <si>
    <t>319|盾怪</t>
  </si>
  <si>
    <t>319|二级普通怪</t>
  </si>
  <si>
    <t>319|站桩怪</t>
  </si>
  <si>
    <t>319|炮灰怪</t>
  </si>
  <si>
    <t>319|精英怪</t>
  </si>
  <si>
    <t>319|精英盾怪</t>
  </si>
  <si>
    <t>319|Boss</t>
  </si>
  <si>
    <t>319|装备副本Boss</t>
  </si>
  <si>
    <t>320|普通怪</t>
  </si>
  <si>
    <t>320|盾怪</t>
  </si>
  <si>
    <t>320|二级普通怪</t>
  </si>
  <si>
    <t>320|站桩怪</t>
  </si>
  <si>
    <t>320|炮灰怪</t>
  </si>
  <si>
    <t>320|精英怪</t>
  </si>
  <si>
    <t>320|精英盾怪</t>
  </si>
  <si>
    <t>320|Boss</t>
  </si>
  <si>
    <t>320|装备副本Boss</t>
  </si>
  <si>
    <t>321|普通怪</t>
  </si>
  <si>
    <t>321|盾怪</t>
  </si>
  <si>
    <t>321|二级普通怪</t>
  </si>
  <si>
    <t>321|站桩怪</t>
  </si>
  <si>
    <t>321|炮灰怪</t>
  </si>
  <si>
    <t>321|精英怪</t>
  </si>
  <si>
    <t>321|精英盾怪</t>
  </si>
  <si>
    <t>321|Boss</t>
  </si>
  <si>
    <t>321|装备副本Boss</t>
  </si>
  <si>
    <t>322|普通怪</t>
  </si>
  <si>
    <t>322|盾怪</t>
  </si>
  <si>
    <t>322|二级普通怪</t>
  </si>
  <si>
    <t>322|站桩怪</t>
  </si>
  <si>
    <t>322|炮灰怪</t>
  </si>
  <si>
    <t>322|精英怪</t>
  </si>
  <si>
    <t>322|精英盾怪</t>
  </si>
  <si>
    <t>322|Boss</t>
  </si>
  <si>
    <t>322|装备副本Boss</t>
  </si>
  <si>
    <t>323|普通怪</t>
  </si>
  <si>
    <t>323|盾怪</t>
  </si>
  <si>
    <t>323|二级普通怪</t>
  </si>
  <si>
    <t>323|站桩怪</t>
  </si>
  <si>
    <t>323|炮灰怪</t>
  </si>
  <si>
    <t>323|精英怪</t>
  </si>
  <si>
    <t>323|精英盾怪</t>
  </si>
  <si>
    <t>323|Boss</t>
  </si>
  <si>
    <t>323|装备副本Boss</t>
  </si>
  <si>
    <t>324|普通怪</t>
  </si>
  <si>
    <t>324|盾怪</t>
  </si>
  <si>
    <t>324|二级普通怪</t>
  </si>
  <si>
    <t>324|站桩怪</t>
  </si>
  <si>
    <t>324|炮灰怪</t>
  </si>
  <si>
    <t>324|精英怪</t>
  </si>
  <si>
    <t>324|精英盾怪</t>
  </si>
  <si>
    <t>324|Boss</t>
  </si>
  <si>
    <t>324|装备副本Boss</t>
  </si>
  <si>
    <t>325|普通怪</t>
  </si>
  <si>
    <t>325|盾怪</t>
  </si>
  <si>
    <t>325|二级普通怪</t>
  </si>
  <si>
    <t>325|站桩怪</t>
  </si>
  <si>
    <t>325|炮灰怪</t>
  </si>
  <si>
    <t>325|精英怪</t>
  </si>
  <si>
    <t>325|精英盾怪</t>
  </si>
  <si>
    <t>325|Boss</t>
  </si>
  <si>
    <t>325|装备副本Boss</t>
  </si>
  <si>
    <t>326|普通怪</t>
  </si>
  <si>
    <t>326|盾怪</t>
  </si>
  <si>
    <t>326|二级普通怪</t>
  </si>
  <si>
    <t>326|站桩怪</t>
  </si>
  <si>
    <t>326|炮灰怪</t>
  </si>
  <si>
    <t>326|精英怪</t>
  </si>
  <si>
    <t>326|精英盾怪</t>
  </si>
  <si>
    <t>326|Boss</t>
  </si>
  <si>
    <t>326|装备副本Boss</t>
  </si>
  <si>
    <t>327|普通怪</t>
  </si>
  <si>
    <t>327|盾怪</t>
  </si>
  <si>
    <t>327|二级普通怪</t>
  </si>
  <si>
    <t>327|站桩怪</t>
  </si>
  <si>
    <t>327|炮灰怪</t>
  </si>
  <si>
    <t>327|精英怪</t>
  </si>
  <si>
    <t>327|精英盾怪</t>
  </si>
  <si>
    <t>327|Boss</t>
  </si>
  <si>
    <t>327|装备副本Boss</t>
  </si>
  <si>
    <t>328|普通怪</t>
  </si>
  <si>
    <t>328|盾怪</t>
  </si>
  <si>
    <t>328|二级普通怪</t>
  </si>
  <si>
    <t>328|站桩怪</t>
  </si>
  <si>
    <t>328|炮灰怪</t>
  </si>
  <si>
    <t>328|精英怪</t>
  </si>
  <si>
    <t>328|精英盾怪</t>
  </si>
  <si>
    <t>328|Boss</t>
  </si>
  <si>
    <t>328|装备副本Boss</t>
  </si>
  <si>
    <t>329|普通怪</t>
  </si>
  <si>
    <t>329|盾怪</t>
  </si>
  <si>
    <t>329|二级普通怪</t>
  </si>
  <si>
    <t>329|站桩怪</t>
  </si>
  <si>
    <t>329|炮灰怪</t>
  </si>
  <si>
    <t>329|精英怪</t>
  </si>
  <si>
    <t>329|精英盾怪</t>
  </si>
  <si>
    <t>329|Boss</t>
  </si>
  <si>
    <t>329|装备副本Boss</t>
  </si>
  <si>
    <t>330|普通怪</t>
  </si>
  <si>
    <t>330|盾怪</t>
  </si>
  <si>
    <t>330|二级普通怪</t>
  </si>
  <si>
    <t>330|站桩怪</t>
  </si>
  <si>
    <t>330|炮灰怪</t>
  </si>
  <si>
    <t>330|精英怪</t>
  </si>
  <si>
    <t>330|精英盾怪</t>
  </si>
  <si>
    <t>330|Boss</t>
  </si>
  <si>
    <t>330|装备副本Boss</t>
  </si>
  <si>
    <t>331|普通怪</t>
  </si>
  <si>
    <t>331|盾怪</t>
  </si>
  <si>
    <t>331|二级普通怪</t>
  </si>
  <si>
    <t>331|站桩怪</t>
  </si>
  <si>
    <t>331|炮灰怪</t>
  </si>
  <si>
    <t>331|精英怪</t>
  </si>
  <si>
    <t>331|精英盾怪</t>
  </si>
  <si>
    <t>331|Boss</t>
  </si>
  <si>
    <t>331|装备副本Boss</t>
  </si>
  <si>
    <t>332|普通怪</t>
  </si>
  <si>
    <t>332|盾怪</t>
  </si>
  <si>
    <t>332|二级普通怪</t>
  </si>
  <si>
    <t>332|站桩怪</t>
  </si>
  <si>
    <t>332|炮灰怪</t>
  </si>
  <si>
    <t>332|精英怪</t>
  </si>
  <si>
    <t>332|精英盾怪</t>
  </si>
  <si>
    <t>332|Boss</t>
  </si>
  <si>
    <t>332|装备副本Boss</t>
  </si>
  <si>
    <t>333|普通怪</t>
  </si>
  <si>
    <t>333|盾怪</t>
  </si>
  <si>
    <t>333|二级普通怪</t>
  </si>
  <si>
    <t>333|站桩怪</t>
  </si>
  <si>
    <t>333|炮灰怪</t>
  </si>
  <si>
    <t>333|精英怪</t>
  </si>
  <si>
    <t>333|精英盾怪</t>
  </si>
  <si>
    <t>333|Boss</t>
  </si>
  <si>
    <t>333|装备副本Boss</t>
  </si>
  <si>
    <t>334|普通怪</t>
  </si>
  <si>
    <t>334|盾怪</t>
  </si>
  <si>
    <t>334|二级普通怪</t>
  </si>
  <si>
    <t>334|站桩怪</t>
  </si>
  <si>
    <t>334|炮灰怪</t>
  </si>
  <si>
    <t>334|精英怪</t>
  </si>
  <si>
    <t>334|精英盾怪</t>
  </si>
  <si>
    <t>334|Boss</t>
  </si>
  <si>
    <t>334|装备副本Boss</t>
  </si>
  <si>
    <t>335|普通怪</t>
  </si>
  <si>
    <t>335|盾怪</t>
  </si>
  <si>
    <t>335|二级普通怪</t>
  </si>
  <si>
    <t>335|站桩怪</t>
  </si>
  <si>
    <t>335|炮灰怪</t>
  </si>
  <si>
    <t>335|精英怪</t>
  </si>
  <si>
    <t>335|精英盾怪</t>
  </si>
  <si>
    <t>335|Boss</t>
  </si>
  <si>
    <t>335|装备副本Boss</t>
  </si>
  <si>
    <t>336|普通怪</t>
  </si>
  <si>
    <t>336|盾怪</t>
  </si>
  <si>
    <t>336|二级普通怪</t>
  </si>
  <si>
    <t>336|站桩怪</t>
  </si>
  <si>
    <t>336|炮灰怪</t>
  </si>
  <si>
    <t>336|精英怪</t>
  </si>
  <si>
    <t>336|精英盾怪</t>
  </si>
  <si>
    <t>336|Boss</t>
  </si>
  <si>
    <t>336|装备副本Boss</t>
  </si>
  <si>
    <t>337|普通怪</t>
  </si>
  <si>
    <t>337|盾怪</t>
  </si>
  <si>
    <t>337|二级普通怪</t>
  </si>
  <si>
    <t>337|站桩怪</t>
  </si>
  <si>
    <t>337|炮灰怪</t>
  </si>
  <si>
    <t>337|精英怪</t>
  </si>
  <si>
    <t>337|精英盾怪</t>
  </si>
  <si>
    <t>337|Boss</t>
  </si>
  <si>
    <t>337|装备副本Boss</t>
  </si>
  <si>
    <t>338|普通怪</t>
  </si>
  <si>
    <t>338|盾怪</t>
  </si>
  <si>
    <t>338|二级普通怪</t>
  </si>
  <si>
    <t>338|站桩怪</t>
  </si>
  <si>
    <t>338|炮灰怪</t>
  </si>
  <si>
    <t>338|精英怪</t>
  </si>
  <si>
    <t>338|精英盾怪</t>
  </si>
  <si>
    <t>338|Boss</t>
  </si>
  <si>
    <t>338|装备副本Boss</t>
  </si>
  <si>
    <t>339|普通怪</t>
  </si>
  <si>
    <t>339|盾怪</t>
  </si>
  <si>
    <t>339|二级普通怪</t>
  </si>
  <si>
    <t>339|站桩怪</t>
  </si>
  <si>
    <t>339|炮灰怪</t>
  </si>
  <si>
    <t>339|精英怪</t>
  </si>
  <si>
    <t>339|精英盾怪</t>
  </si>
  <si>
    <t>339|Boss</t>
  </si>
  <si>
    <t>339|装备副本Boss</t>
  </si>
  <si>
    <t>340|普通怪</t>
  </si>
  <si>
    <t>340|盾怪</t>
  </si>
  <si>
    <t>340|二级普通怪</t>
  </si>
  <si>
    <t>340|站桩怪</t>
  </si>
  <si>
    <t>340|炮灰怪</t>
  </si>
  <si>
    <t>340|精英怪</t>
  </si>
  <si>
    <t>340|精英盾怪</t>
  </si>
  <si>
    <t>340|Boss</t>
  </si>
  <si>
    <t>340|装备副本Boss</t>
  </si>
  <si>
    <t>341|普通怪</t>
  </si>
  <si>
    <t>341|盾怪</t>
  </si>
  <si>
    <t>341|二级普通怪</t>
  </si>
  <si>
    <t>341|站桩怪</t>
  </si>
  <si>
    <t>341|炮灰怪</t>
  </si>
  <si>
    <t>341|精英怪</t>
  </si>
  <si>
    <t>341|精英盾怪</t>
  </si>
  <si>
    <t>341|Boss</t>
  </si>
  <si>
    <t>341|装备副本Boss</t>
  </si>
  <si>
    <t>342|普通怪</t>
  </si>
  <si>
    <t>342|盾怪</t>
  </si>
  <si>
    <t>342|二级普通怪</t>
  </si>
  <si>
    <t>342|站桩怪</t>
  </si>
  <si>
    <t>342|炮灰怪</t>
  </si>
  <si>
    <t>342|精英怪</t>
  </si>
  <si>
    <t>342|精英盾怪</t>
  </si>
  <si>
    <t>342|Boss</t>
  </si>
  <si>
    <t>342|装备副本Boss</t>
  </si>
  <si>
    <t>343|普通怪</t>
  </si>
  <si>
    <t>343|盾怪</t>
  </si>
  <si>
    <t>343|二级普通怪</t>
  </si>
  <si>
    <t>343|站桩怪</t>
  </si>
  <si>
    <t>343|炮灰怪</t>
  </si>
  <si>
    <t>343|精英怪</t>
  </si>
  <si>
    <t>343|精英盾怪</t>
  </si>
  <si>
    <t>343|Boss</t>
  </si>
  <si>
    <t>343|装备副本Boss</t>
  </si>
  <si>
    <t>344|普通怪</t>
  </si>
  <si>
    <t>344|盾怪</t>
  </si>
  <si>
    <t>344|二级普通怪</t>
  </si>
  <si>
    <t>344|站桩怪</t>
  </si>
  <si>
    <t>344|炮灰怪</t>
  </si>
  <si>
    <t>344|精英怪</t>
  </si>
  <si>
    <t>344|精英盾怪</t>
  </si>
  <si>
    <t>344|Boss</t>
  </si>
  <si>
    <t>344|装备副本Boss</t>
  </si>
  <si>
    <t>345|普通怪</t>
  </si>
  <si>
    <t>345|盾怪</t>
  </si>
  <si>
    <t>345|二级普通怪</t>
  </si>
  <si>
    <t>345|站桩怪</t>
  </si>
  <si>
    <t>345|炮灰怪</t>
  </si>
  <si>
    <t>345|精英怪</t>
  </si>
  <si>
    <t>345|精英盾怪</t>
  </si>
  <si>
    <t>345|Boss</t>
  </si>
  <si>
    <t>345|装备副本Boss</t>
  </si>
  <si>
    <t>346|普通怪</t>
  </si>
  <si>
    <t>346|盾怪</t>
  </si>
  <si>
    <t>346|二级普通怪</t>
  </si>
  <si>
    <t>346|站桩怪</t>
  </si>
  <si>
    <t>346|炮灰怪</t>
  </si>
  <si>
    <t>346|精英怪</t>
  </si>
  <si>
    <t>346|精英盾怪</t>
  </si>
  <si>
    <t>346|Boss</t>
  </si>
  <si>
    <t>346|装备副本Boss</t>
  </si>
  <si>
    <t>347|普通怪</t>
  </si>
  <si>
    <t>347|盾怪</t>
  </si>
  <si>
    <t>347|二级普通怪</t>
  </si>
  <si>
    <t>347|站桩怪</t>
  </si>
  <si>
    <t>347|炮灰怪</t>
  </si>
  <si>
    <t>347|精英怪</t>
  </si>
  <si>
    <t>347|精英盾怪</t>
  </si>
  <si>
    <t>347|Boss</t>
  </si>
  <si>
    <t>347|装备副本Boss</t>
  </si>
  <si>
    <t>348|普通怪</t>
  </si>
  <si>
    <t>348|盾怪</t>
  </si>
  <si>
    <t>348|二级普通怪</t>
  </si>
  <si>
    <t>348|站桩怪</t>
  </si>
  <si>
    <t>348|炮灰怪</t>
  </si>
  <si>
    <t>348|精英怪</t>
  </si>
  <si>
    <t>348|精英盾怪</t>
  </si>
  <si>
    <t>348|Boss</t>
  </si>
  <si>
    <t>348|装备副本Boss</t>
  </si>
  <si>
    <t>349|普通怪</t>
  </si>
  <si>
    <t>349|盾怪</t>
  </si>
  <si>
    <t>349|二级普通怪</t>
  </si>
  <si>
    <t>349|站桩怪</t>
  </si>
  <si>
    <t>349|炮灰怪</t>
  </si>
  <si>
    <t>349|精英怪</t>
  </si>
  <si>
    <t>349|精英盾怪</t>
  </si>
  <si>
    <t>349|Boss</t>
  </si>
  <si>
    <t>349|装备副本Boss</t>
  </si>
  <si>
    <t>350|普通怪</t>
  </si>
  <si>
    <t>350|盾怪</t>
  </si>
  <si>
    <t>350|二级普通怪</t>
  </si>
  <si>
    <t>350|站桩怪</t>
  </si>
  <si>
    <t>350|炮灰怪</t>
  </si>
  <si>
    <t>350|精英怪</t>
  </si>
  <si>
    <t>350|精英盾怪</t>
  </si>
  <si>
    <t>350|Boss</t>
  </si>
  <si>
    <t>350|装备副本Boss</t>
  </si>
  <si>
    <t>351|普通怪</t>
  </si>
  <si>
    <t>351|盾怪</t>
  </si>
  <si>
    <t>351|二级普通怪</t>
  </si>
  <si>
    <t>351|站桩怪</t>
  </si>
  <si>
    <t>351|炮灰怪</t>
  </si>
  <si>
    <t>351|精英怪</t>
  </si>
  <si>
    <t>351|精英盾怪</t>
  </si>
  <si>
    <t>351|Boss</t>
  </si>
  <si>
    <t>351|装备副本Boss</t>
  </si>
  <si>
    <t>352|普通怪</t>
  </si>
  <si>
    <t>352|盾怪</t>
  </si>
  <si>
    <t>352|二级普通怪</t>
  </si>
  <si>
    <t>352|站桩怪</t>
  </si>
  <si>
    <t>352|炮灰怪</t>
  </si>
  <si>
    <t>352|精英怪</t>
  </si>
  <si>
    <t>352|精英盾怪</t>
  </si>
  <si>
    <t>352|Boss</t>
  </si>
  <si>
    <t>352|装备副本Boss</t>
  </si>
  <si>
    <t>353|普通怪</t>
  </si>
  <si>
    <t>353|盾怪</t>
  </si>
  <si>
    <t>353|二级普通怪</t>
  </si>
  <si>
    <t>353|站桩怪</t>
  </si>
  <si>
    <t>353|炮灰怪</t>
  </si>
  <si>
    <t>353|精英怪</t>
  </si>
  <si>
    <t>353|精英盾怪</t>
  </si>
  <si>
    <t>353|Boss</t>
  </si>
  <si>
    <t>353|装备副本Boss</t>
  </si>
  <si>
    <t>354|普通怪</t>
  </si>
  <si>
    <t>354|盾怪</t>
  </si>
  <si>
    <t>354|二级普通怪</t>
  </si>
  <si>
    <t>354|站桩怪</t>
  </si>
  <si>
    <t>354|炮灰怪</t>
  </si>
  <si>
    <t>354|精英怪</t>
  </si>
  <si>
    <t>354|精英盾怪</t>
  </si>
  <si>
    <t>354|Boss</t>
  </si>
  <si>
    <t>354|装备副本Boss</t>
  </si>
  <si>
    <t>355|普通怪</t>
  </si>
  <si>
    <t>355|盾怪</t>
  </si>
  <si>
    <t>355|二级普通怪</t>
  </si>
  <si>
    <t>355|站桩怪</t>
  </si>
  <si>
    <t>355|炮灰怪</t>
  </si>
  <si>
    <t>355|精英怪</t>
  </si>
  <si>
    <t>355|精英盾怪</t>
  </si>
  <si>
    <t>355|Boss</t>
  </si>
  <si>
    <t>355|装备副本Boss</t>
  </si>
  <si>
    <t>356|普通怪</t>
  </si>
  <si>
    <t>356|盾怪</t>
  </si>
  <si>
    <t>356|二级普通怪</t>
  </si>
  <si>
    <t>356|站桩怪</t>
  </si>
  <si>
    <t>356|炮灰怪</t>
  </si>
  <si>
    <t>356|精英怪</t>
  </si>
  <si>
    <t>356|精英盾怪</t>
  </si>
  <si>
    <t>356|Boss</t>
  </si>
  <si>
    <t>356|装备副本Boss</t>
  </si>
  <si>
    <t>357|普通怪</t>
  </si>
  <si>
    <t>357|盾怪</t>
  </si>
  <si>
    <t>357|二级普通怪</t>
  </si>
  <si>
    <t>357|站桩怪</t>
  </si>
  <si>
    <t>357|炮灰怪</t>
  </si>
  <si>
    <t>357|精英怪</t>
  </si>
  <si>
    <t>357|精英盾怪</t>
  </si>
  <si>
    <t>357|Boss</t>
  </si>
  <si>
    <t>357|装备副本Boss</t>
  </si>
  <si>
    <t>358|普通怪</t>
  </si>
  <si>
    <t>358|盾怪</t>
  </si>
  <si>
    <t>358|二级普通怪</t>
  </si>
  <si>
    <t>358|站桩怪</t>
  </si>
  <si>
    <t>358|炮灰怪</t>
  </si>
  <si>
    <t>358|精英怪</t>
  </si>
  <si>
    <t>358|精英盾怪</t>
  </si>
  <si>
    <t>358|Boss</t>
  </si>
  <si>
    <t>358|装备副本Boss</t>
  </si>
  <si>
    <t>359|普通怪</t>
  </si>
  <si>
    <t>359|盾怪</t>
  </si>
  <si>
    <t>359|二级普通怪</t>
  </si>
  <si>
    <t>359|站桩怪</t>
  </si>
  <si>
    <t>359|炮灰怪</t>
  </si>
  <si>
    <t>359|精英怪</t>
  </si>
  <si>
    <t>359|精英盾怪</t>
  </si>
  <si>
    <t>359|Boss</t>
  </si>
  <si>
    <t>359|装备副本Boss</t>
  </si>
  <si>
    <t>360|普通怪</t>
  </si>
  <si>
    <t>360|盾怪</t>
  </si>
  <si>
    <t>360|二级普通怪</t>
  </si>
  <si>
    <t>360|站桩怪</t>
  </si>
  <si>
    <t>360|炮灰怪</t>
  </si>
  <si>
    <t>360|精英怪</t>
  </si>
  <si>
    <t>360|精英盾怪</t>
  </si>
  <si>
    <t>360|Boss</t>
  </si>
  <si>
    <t>360|装备副本Boss</t>
  </si>
  <si>
    <t>361|普通怪</t>
  </si>
  <si>
    <t>361|盾怪</t>
  </si>
  <si>
    <t>361|二级普通怪</t>
  </si>
  <si>
    <t>361|站桩怪</t>
  </si>
  <si>
    <t>361|炮灰怪</t>
  </si>
  <si>
    <t>361|精英怪</t>
  </si>
  <si>
    <t>361|精英盾怪</t>
  </si>
  <si>
    <t>361|Boss</t>
  </si>
  <si>
    <t>361|装备副本Boss</t>
  </si>
  <si>
    <t>362|普通怪</t>
  </si>
  <si>
    <t>362|盾怪</t>
  </si>
  <si>
    <t>362|二级普通怪</t>
  </si>
  <si>
    <t>362|站桩怪</t>
  </si>
  <si>
    <t>362|炮灰怪</t>
  </si>
  <si>
    <t>362|精英怪</t>
  </si>
  <si>
    <t>362|精英盾怪</t>
  </si>
  <si>
    <t>362|Boss</t>
  </si>
  <si>
    <t>362|装备副本Boss</t>
  </si>
  <si>
    <t>363|普通怪</t>
  </si>
  <si>
    <t>363|盾怪</t>
  </si>
  <si>
    <t>363|二级普通怪</t>
  </si>
  <si>
    <t>363|站桩怪</t>
  </si>
  <si>
    <t>363|炮灰怪</t>
  </si>
  <si>
    <t>363|精英怪</t>
  </si>
  <si>
    <t>363|精英盾怪</t>
  </si>
  <si>
    <t>363|Boss</t>
  </si>
  <si>
    <t>363|装备副本Boss</t>
  </si>
  <si>
    <t>364|普通怪</t>
  </si>
  <si>
    <t>364|盾怪</t>
  </si>
  <si>
    <t>364|二级普通怪</t>
  </si>
  <si>
    <t>364|站桩怪</t>
  </si>
  <si>
    <t>364|炮灰怪</t>
  </si>
  <si>
    <t>364|精英怪</t>
  </si>
  <si>
    <t>364|精英盾怪</t>
  </si>
  <si>
    <t>364|Boss</t>
  </si>
  <si>
    <t>364|装备副本Boss</t>
  </si>
  <si>
    <t>365|普通怪</t>
  </si>
  <si>
    <t>365|盾怪</t>
  </si>
  <si>
    <t>365|二级普通怪</t>
  </si>
  <si>
    <t>365|站桩怪</t>
  </si>
  <si>
    <t>365|炮灰怪</t>
  </si>
  <si>
    <t>365|精英怪</t>
  </si>
  <si>
    <t>365|精英盾怪</t>
  </si>
  <si>
    <t>365|Boss</t>
  </si>
  <si>
    <t>365|装备副本Boss</t>
  </si>
  <si>
    <t>366|普通怪</t>
  </si>
  <si>
    <t>366|盾怪</t>
  </si>
  <si>
    <t>366|二级普通怪</t>
  </si>
  <si>
    <t>366|站桩怪</t>
  </si>
  <si>
    <t>366|炮灰怪</t>
  </si>
  <si>
    <t>366|精英怪</t>
  </si>
  <si>
    <t>366|精英盾怪</t>
  </si>
  <si>
    <t>366|Boss</t>
  </si>
  <si>
    <t>366|装备副本Boss</t>
  </si>
  <si>
    <t>367|普通怪</t>
  </si>
  <si>
    <t>367|盾怪</t>
  </si>
  <si>
    <t>367|二级普通怪</t>
  </si>
  <si>
    <t>367|站桩怪</t>
  </si>
  <si>
    <t>367|炮灰怪</t>
  </si>
  <si>
    <t>367|精英怪</t>
  </si>
  <si>
    <t>367|精英盾怪</t>
  </si>
  <si>
    <t>367|Boss</t>
  </si>
  <si>
    <t>367|装备副本Boss</t>
  </si>
  <si>
    <t>368|普通怪</t>
  </si>
  <si>
    <t>368|盾怪</t>
  </si>
  <si>
    <t>368|二级普通怪</t>
  </si>
  <si>
    <t>368|站桩怪</t>
  </si>
  <si>
    <t>368|炮灰怪</t>
  </si>
  <si>
    <t>368|精英怪</t>
  </si>
  <si>
    <t>368|精英盾怪</t>
  </si>
  <si>
    <t>368|Boss</t>
  </si>
  <si>
    <t>368|装备副本Boss</t>
  </si>
  <si>
    <t>369|普通怪</t>
  </si>
  <si>
    <t>369|盾怪</t>
  </si>
  <si>
    <t>369|二级普通怪</t>
  </si>
  <si>
    <t>369|站桩怪</t>
  </si>
  <si>
    <t>369|炮灰怪</t>
  </si>
  <si>
    <t>369|精英怪</t>
  </si>
  <si>
    <t>369|精英盾怪</t>
  </si>
  <si>
    <t>369|Boss</t>
  </si>
  <si>
    <t>369|装备副本Boss</t>
  </si>
  <si>
    <t>370|普通怪</t>
  </si>
  <si>
    <t>370|盾怪</t>
  </si>
  <si>
    <t>370|二级普通怪</t>
  </si>
  <si>
    <t>370|站桩怪</t>
  </si>
  <si>
    <t>370|炮灰怪</t>
  </si>
  <si>
    <t>370|精英怪</t>
  </si>
  <si>
    <t>370|精英盾怪</t>
  </si>
  <si>
    <t>370|Boss</t>
  </si>
  <si>
    <t>370|装备副本Boss</t>
  </si>
  <si>
    <t>371|普通怪</t>
  </si>
  <si>
    <t>371|盾怪</t>
  </si>
  <si>
    <t>371|二级普通怪</t>
  </si>
  <si>
    <t>371|站桩怪</t>
  </si>
  <si>
    <t>371|炮灰怪</t>
  </si>
  <si>
    <t>371|精英怪</t>
  </si>
  <si>
    <t>371|精英盾怪</t>
  </si>
  <si>
    <t>371|Boss</t>
  </si>
  <si>
    <t>371|装备副本Boss</t>
  </si>
  <si>
    <t>372|普通怪</t>
  </si>
  <si>
    <t>372|盾怪</t>
  </si>
  <si>
    <t>372|二级普通怪</t>
  </si>
  <si>
    <t>372|站桩怪</t>
  </si>
  <si>
    <t>372|炮灰怪</t>
  </si>
  <si>
    <t>372|精英怪</t>
  </si>
  <si>
    <t>372|精英盾怪</t>
  </si>
  <si>
    <t>372|Boss</t>
  </si>
  <si>
    <t>372|装备副本Boss</t>
  </si>
  <si>
    <t>373|普通怪</t>
  </si>
  <si>
    <t>373|盾怪</t>
  </si>
  <si>
    <t>373|二级普通怪</t>
  </si>
  <si>
    <t>373|站桩怪</t>
  </si>
  <si>
    <t>373|炮灰怪</t>
  </si>
  <si>
    <t>373|精英怪</t>
  </si>
  <si>
    <t>373|精英盾怪</t>
  </si>
  <si>
    <t>373|Boss</t>
  </si>
  <si>
    <t>373|装备副本Boss</t>
  </si>
  <si>
    <t>374|普通怪</t>
  </si>
  <si>
    <t>374|盾怪</t>
  </si>
  <si>
    <t>374|二级普通怪</t>
  </si>
  <si>
    <t>374|站桩怪</t>
  </si>
  <si>
    <t>374|炮灰怪</t>
  </si>
  <si>
    <t>374|精英怪</t>
  </si>
  <si>
    <t>374|精英盾怪</t>
  </si>
  <si>
    <t>374|Boss</t>
  </si>
  <si>
    <t>374|装备副本Boss</t>
  </si>
  <si>
    <t>375|普通怪</t>
  </si>
  <si>
    <t>375|盾怪</t>
  </si>
  <si>
    <t>375|二级普通怪</t>
  </si>
  <si>
    <t>375|站桩怪</t>
  </si>
  <si>
    <t>375|炮灰怪</t>
  </si>
  <si>
    <t>375|精英怪</t>
  </si>
  <si>
    <t>375|精英盾怪</t>
  </si>
  <si>
    <t>375|Boss</t>
  </si>
  <si>
    <t>375|装备副本Boss</t>
  </si>
  <si>
    <t>376|普通怪</t>
  </si>
  <si>
    <t>376|盾怪</t>
  </si>
  <si>
    <t>376|二级普通怪</t>
  </si>
  <si>
    <t>376|站桩怪</t>
  </si>
  <si>
    <t>376|炮灰怪</t>
  </si>
  <si>
    <t>376|精英怪</t>
  </si>
  <si>
    <t>376|精英盾怪</t>
  </si>
  <si>
    <t>376|Boss</t>
  </si>
  <si>
    <t>376|装备副本Boss</t>
  </si>
  <si>
    <t>377|普通怪</t>
  </si>
  <si>
    <t>377|盾怪</t>
  </si>
  <si>
    <t>377|二级普通怪</t>
  </si>
  <si>
    <t>377|站桩怪</t>
  </si>
  <si>
    <t>377|炮灰怪</t>
  </si>
  <si>
    <t>377|精英怪</t>
  </si>
  <si>
    <t>377|精英盾怪</t>
  </si>
  <si>
    <t>377|Boss</t>
  </si>
  <si>
    <t>377|装备副本Boss</t>
  </si>
  <si>
    <t>378|普通怪</t>
  </si>
  <si>
    <t>378|盾怪</t>
  </si>
  <si>
    <t>378|二级普通怪</t>
  </si>
  <si>
    <t>378|站桩怪</t>
  </si>
  <si>
    <t>378|炮灰怪</t>
  </si>
  <si>
    <t>378|精英怪</t>
  </si>
  <si>
    <t>378|精英盾怪</t>
  </si>
  <si>
    <t>378|Boss</t>
  </si>
  <si>
    <t>378|装备副本Boss</t>
  </si>
  <si>
    <t>379|普通怪</t>
  </si>
  <si>
    <t>379|盾怪</t>
  </si>
  <si>
    <t>379|二级普通怪</t>
  </si>
  <si>
    <t>379|站桩怪</t>
  </si>
  <si>
    <t>379|炮灰怪</t>
  </si>
  <si>
    <t>379|精英怪</t>
  </si>
  <si>
    <t>379|精英盾怪</t>
  </si>
  <si>
    <t>379|Boss</t>
  </si>
  <si>
    <t>379|装备副本Boss</t>
  </si>
  <si>
    <t>380|普通怪</t>
  </si>
  <si>
    <t>380|盾怪</t>
  </si>
  <si>
    <t>380|二级普通怪</t>
  </si>
  <si>
    <t>380|站桩怪</t>
  </si>
  <si>
    <t>380|炮灰怪</t>
  </si>
  <si>
    <t>380|精英怪</t>
  </si>
  <si>
    <t>380|精英盾怪</t>
  </si>
  <si>
    <t>380|Boss</t>
  </si>
  <si>
    <t>380|装备副本Boss</t>
  </si>
  <si>
    <t>381|普通怪</t>
  </si>
  <si>
    <t>381|盾怪</t>
  </si>
  <si>
    <t>381|二级普通怪</t>
  </si>
  <si>
    <t>381|站桩怪</t>
  </si>
  <si>
    <t>381|炮灰怪</t>
  </si>
  <si>
    <t>381|精英怪</t>
  </si>
  <si>
    <t>381|精英盾怪</t>
  </si>
  <si>
    <t>381|Boss</t>
  </si>
  <si>
    <t>381|装备副本Boss</t>
  </si>
  <si>
    <t>382|普通怪</t>
  </si>
  <si>
    <t>382|盾怪</t>
  </si>
  <si>
    <t>382|二级普通怪</t>
  </si>
  <si>
    <t>382|站桩怪</t>
  </si>
  <si>
    <t>382|炮灰怪</t>
  </si>
  <si>
    <t>382|精英怪</t>
  </si>
  <si>
    <t>382|精英盾怪</t>
  </si>
  <si>
    <t>382|Boss</t>
  </si>
  <si>
    <t>382|装备副本Boss</t>
  </si>
  <si>
    <t>383|普通怪</t>
  </si>
  <si>
    <t>383|盾怪</t>
  </si>
  <si>
    <t>383|二级普通怪</t>
  </si>
  <si>
    <t>383|站桩怪</t>
  </si>
  <si>
    <t>383|炮灰怪</t>
  </si>
  <si>
    <t>383|精英怪</t>
  </si>
  <si>
    <t>383|精英盾怪</t>
  </si>
  <si>
    <t>383|Boss</t>
  </si>
  <si>
    <t>383|装备副本Boss</t>
  </si>
  <si>
    <t>384|普通怪</t>
  </si>
  <si>
    <t>384|盾怪</t>
  </si>
  <si>
    <t>384|二级普通怪</t>
  </si>
  <si>
    <t>384|站桩怪</t>
  </si>
  <si>
    <t>384|炮灰怪</t>
  </si>
  <si>
    <t>384|精英怪</t>
  </si>
  <si>
    <t>384|精英盾怪</t>
  </si>
  <si>
    <t>384|Boss</t>
  </si>
  <si>
    <t>384|装备副本Boss</t>
  </si>
  <si>
    <t>385|普通怪</t>
  </si>
  <si>
    <t>385|盾怪</t>
  </si>
  <si>
    <t>385|二级普通怪</t>
  </si>
  <si>
    <t>385|站桩怪</t>
  </si>
  <si>
    <t>385|炮灰怪</t>
  </si>
  <si>
    <t>385|精英怪</t>
  </si>
  <si>
    <t>385|精英盾怪</t>
  </si>
  <si>
    <t>385|Boss</t>
  </si>
  <si>
    <t>385|装备副本Boss</t>
  </si>
  <si>
    <t>386|普通怪</t>
  </si>
  <si>
    <t>386|盾怪</t>
  </si>
  <si>
    <t>386|二级普通怪</t>
  </si>
  <si>
    <t>386|站桩怪</t>
  </si>
  <si>
    <t>386|炮灰怪</t>
  </si>
  <si>
    <t>386|精英怪</t>
  </si>
  <si>
    <t>386|精英盾怪</t>
  </si>
  <si>
    <t>386|Boss</t>
  </si>
  <si>
    <t>386|装备副本Boss</t>
  </si>
  <si>
    <t>387|普通怪</t>
  </si>
  <si>
    <t>387|盾怪</t>
  </si>
  <si>
    <t>387|二级普通怪</t>
  </si>
  <si>
    <t>387|站桩怪</t>
  </si>
  <si>
    <t>387|炮灰怪</t>
  </si>
  <si>
    <t>387|精英怪</t>
  </si>
  <si>
    <t>387|精英盾怪</t>
  </si>
  <si>
    <t>387|Boss</t>
  </si>
  <si>
    <t>387|装备副本Boss</t>
  </si>
  <si>
    <t>388|普通怪</t>
  </si>
  <si>
    <t>388|盾怪</t>
  </si>
  <si>
    <t>388|二级普通怪</t>
  </si>
  <si>
    <t>388|站桩怪</t>
  </si>
  <si>
    <t>388|炮灰怪</t>
  </si>
  <si>
    <t>388|精英怪</t>
  </si>
  <si>
    <t>388|精英盾怪</t>
  </si>
  <si>
    <t>388|Boss</t>
  </si>
  <si>
    <t>388|装备副本Boss</t>
  </si>
  <si>
    <t>389|普通怪</t>
  </si>
  <si>
    <t>389|盾怪</t>
  </si>
  <si>
    <t>389|二级普通怪</t>
  </si>
  <si>
    <t>389|站桩怪</t>
  </si>
  <si>
    <t>389|炮灰怪</t>
  </si>
  <si>
    <t>389|精英怪</t>
  </si>
  <si>
    <t>389|精英盾怪</t>
  </si>
  <si>
    <t>389|Boss</t>
  </si>
  <si>
    <t>389|装备副本Boss</t>
  </si>
  <si>
    <t>390|普通怪</t>
  </si>
  <si>
    <t>390|盾怪</t>
  </si>
  <si>
    <t>390|二级普通怪</t>
  </si>
  <si>
    <t>390|站桩怪</t>
  </si>
  <si>
    <t>390|炮灰怪</t>
  </si>
  <si>
    <t>390|精英怪</t>
  </si>
  <si>
    <t>390|精英盾怪</t>
  </si>
  <si>
    <t>390|Boss</t>
  </si>
  <si>
    <t>390|装备副本Boss</t>
  </si>
  <si>
    <t>391|普通怪</t>
  </si>
  <si>
    <t>391|盾怪</t>
  </si>
  <si>
    <t>391|二级普通怪</t>
  </si>
  <si>
    <t>391|站桩怪</t>
  </si>
  <si>
    <t>391|炮灰怪</t>
  </si>
  <si>
    <t>391|精英怪</t>
  </si>
  <si>
    <t>391|精英盾怪</t>
  </si>
  <si>
    <t>391|Boss</t>
  </si>
  <si>
    <t>391|装备副本Boss</t>
  </si>
  <si>
    <t>392|普通怪</t>
  </si>
  <si>
    <t>392|盾怪</t>
  </si>
  <si>
    <t>392|二级普通怪</t>
  </si>
  <si>
    <t>392|站桩怪</t>
  </si>
  <si>
    <t>392|炮灰怪</t>
  </si>
  <si>
    <t>392|精英怪</t>
  </si>
  <si>
    <t>392|精英盾怪</t>
  </si>
  <si>
    <t>392|Boss</t>
  </si>
  <si>
    <t>392|装备副本Boss</t>
  </si>
  <si>
    <t>393|普通怪</t>
  </si>
  <si>
    <t>393|盾怪</t>
  </si>
  <si>
    <t>393|二级普通怪</t>
  </si>
  <si>
    <t>393|站桩怪</t>
  </si>
  <si>
    <t>393|炮灰怪</t>
  </si>
  <si>
    <t>393|精英怪</t>
  </si>
  <si>
    <t>393|精英盾怪</t>
  </si>
  <si>
    <t>393|Boss</t>
  </si>
  <si>
    <t>393|装备副本Boss</t>
  </si>
  <si>
    <t>394|普通怪</t>
  </si>
  <si>
    <t>394|盾怪</t>
  </si>
  <si>
    <t>394|二级普通怪</t>
  </si>
  <si>
    <t>394|站桩怪</t>
  </si>
  <si>
    <t>394|炮灰怪</t>
  </si>
  <si>
    <t>394|精英怪</t>
  </si>
  <si>
    <t>394|精英盾怪</t>
  </si>
  <si>
    <t>394|Boss</t>
  </si>
  <si>
    <t>394|装备副本Boss</t>
  </si>
  <si>
    <t>395|普通怪</t>
  </si>
  <si>
    <t>395|盾怪</t>
  </si>
  <si>
    <t>395|二级普通怪</t>
  </si>
  <si>
    <t>395|站桩怪</t>
  </si>
  <si>
    <t>395|炮灰怪</t>
  </si>
  <si>
    <t>395|精英怪</t>
  </si>
  <si>
    <t>395|精英盾怪</t>
  </si>
  <si>
    <t>395|Boss</t>
  </si>
  <si>
    <t>395|装备副本Boss</t>
  </si>
  <si>
    <t>396|普通怪</t>
  </si>
  <si>
    <t>396|盾怪</t>
  </si>
  <si>
    <t>396|二级普通怪</t>
  </si>
  <si>
    <t>396|站桩怪</t>
  </si>
  <si>
    <t>396|炮灰怪</t>
  </si>
  <si>
    <t>396|精英怪</t>
  </si>
  <si>
    <t>396|精英盾怪</t>
  </si>
  <si>
    <t>396|Boss</t>
  </si>
  <si>
    <t>396|装备副本Boss</t>
  </si>
  <si>
    <t>397|普通怪</t>
  </si>
  <si>
    <t>397|盾怪</t>
  </si>
  <si>
    <t>397|二级普通怪</t>
  </si>
  <si>
    <t>397|站桩怪</t>
  </si>
  <si>
    <t>397|炮灰怪</t>
  </si>
  <si>
    <t>397|精英怪</t>
  </si>
  <si>
    <t>397|精英盾怪</t>
  </si>
  <si>
    <t>397|Boss</t>
  </si>
  <si>
    <t>397|装备副本Boss</t>
  </si>
  <si>
    <t>398|普通怪</t>
  </si>
  <si>
    <t>398|盾怪</t>
  </si>
  <si>
    <t>398|二级普通怪</t>
  </si>
  <si>
    <t>398|站桩怪</t>
  </si>
  <si>
    <t>398|炮灰怪</t>
  </si>
  <si>
    <t>398|精英怪</t>
  </si>
  <si>
    <t>398|精英盾怪</t>
  </si>
  <si>
    <t>398|Boss</t>
  </si>
  <si>
    <t>398|装备副本Boss</t>
  </si>
  <si>
    <t>399|普通怪</t>
  </si>
  <si>
    <t>399|盾怪</t>
  </si>
  <si>
    <t>399|二级普通怪</t>
  </si>
  <si>
    <t>399|站桩怪</t>
  </si>
  <si>
    <t>399|炮灰怪</t>
  </si>
  <si>
    <t>399|精英怪</t>
  </si>
  <si>
    <t>399|精英盾怪</t>
  </si>
  <si>
    <t>399|Boss</t>
  </si>
  <si>
    <t>399|装备副本Boss</t>
  </si>
  <si>
    <t>400|普通怪</t>
  </si>
  <si>
    <t>400|盾怪</t>
  </si>
  <si>
    <t>400|二级普通怪</t>
  </si>
  <si>
    <t>400|站桩怪</t>
  </si>
  <si>
    <t>400|炮灰怪</t>
  </si>
  <si>
    <t>400|精英怪</t>
  </si>
  <si>
    <t>400|精英盾怪</t>
  </si>
  <si>
    <t>400|Boss</t>
  </si>
  <si>
    <t>400|装备副本Boss</t>
  </si>
  <si>
    <t>401|普通怪</t>
  </si>
  <si>
    <t>401|盾怪</t>
  </si>
  <si>
    <t>401|二级普通怪</t>
  </si>
  <si>
    <t>401|站桩怪</t>
  </si>
  <si>
    <t>401|炮灰怪</t>
  </si>
  <si>
    <t>401|精英怪</t>
  </si>
  <si>
    <t>401|精英盾怪</t>
  </si>
  <si>
    <t>401|Boss</t>
  </si>
  <si>
    <t>401|装备副本Boss</t>
  </si>
  <si>
    <t>402|普通怪</t>
  </si>
  <si>
    <t>402|盾怪</t>
  </si>
  <si>
    <t>402|二级普通怪</t>
  </si>
  <si>
    <t>402|站桩怪</t>
  </si>
  <si>
    <t>402|炮灰怪</t>
  </si>
  <si>
    <t>402|精英怪</t>
  </si>
  <si>
    <t>402|精英盾怪</t>
  </si>
  <si>
    <t>402|Boss</t>
  </si>
  <si>
    <t>402|装备副本Boss</t>
  </si>
  <si>
    <t>403|普通怪</t>
  </si>
  <si>
    <t>403|盾怪</t>
  </si>
  <si>
    <t>403|二级普通怪</t>
  </si>
  <si>
    <t>403|站桩怪</t>
  </si>
  <si>
    <t>403|炮灰怪</t>
  </si>
  <si>
    <t>403|精英怪</t>
  </si>
  <si>
    <t>403|精英盾怪</t>
  </si>
  <si>
    <t>403|Boss</t>
  </si>
  <si>
    <t>403|装备副本Boss</t>
  </si>
  <si>
    <t>404|普通怪</t>
  </si>
  <si>
    <t>404|盾怪</t>
  </si>
  <si>
    <t>404|二级普通怪</t>
  </si>
  <si>
    <t>404|站桩怪</t>
  </si>
  <si>
    <t>404|炮灰怪</t>
  </si>
  <si>
    <t>404|精英怪</t>
  </si>
  <si>
    <t>404|精英盾怪</t>
  </si>
  <si>
    <t>404|Boss</t>
  </si>
  <si>
    <t>404|装备副本Boss</t>
  </si>
  <si>
    <t>405|普通怪</t>
  </si>
  <si>
    <t>405|盾怪</t>
  </si>
  <si>
    <t>405|二级普通怪</t>
  </si>
  <si>
    <t>405|站桩怪</t>
  </si>
  <si>
    <t>405|炮灰怪</t>
  </si>
  <si>
    <t>405|精英怪</t>
  </si>
  <si>
    <t>405|精英盾怪</t>
  </si>
  <si>
    <t>405|Boss</t>
  </si>
  <si>
    <t>405|装备副本Boss</t>
  </si>
  <si>
    <t>406|普通怪</t>
  </si>
  <si>
    <t>406|盾怪</t>
  </si>
  <si>
    <t>406|二级普通怪</t>
  </si>
  <si>
    <t>406|站桩怪</t>
  </si>
  <si>
    <t>406|炮灰怪</t>
  </si>
  <si>
    <t>406|精英怪</t>
  </si>
  <si>
    <t>406|精英盾怪</t>
  </si>
  <si>
    <t>406|Boss</t>
  </si>
  <si>
    <t>406|装备副本Boss</t>
  </si>
  <si>
    <t>407|普通怪</t>
  </si>
  <si>
    <t>407|盾怪</t>
  </si>
  <si>
    <t>407|二级普通怪</t>
  </si>
  <si>
    <t>407|站桩怪</t>
  </si>
  <si>
    <t>407|炮灰怪</t>
  </si>
  <si>
    <t>407|精英怪</t>
  </si>
  <si>
    <t>407|精英盾怪</t>
  </si>
  <si>
    <t>407|Boss</t>
  </si>
  <si>
    <t>407|装备副本Boss</t>
  </si>
  <si>
    <t>408|普通怪</t>
  </si>
  <si>
    <t>408|盾怪</t>
  </si>
  <si>
    <t>408|二级普通怪</t>
  </si>
  <si>
    <t>408|站桩怪</t>
  </si>
  <si>
    <t>408|炮灰怪</t>
  </si>
  <si>
    <t>408|精英怪</t>
  </si>
  <si>
    <t>408|精英盾怪</t>
  </si>
  <si>
    <t>408|Boss</t>
  </si>
  <si>
    <t>408|装备副本Boss</t>
  </si>
  <si>
    <t>409|普通怪</t>
  </si>
  <si>
    <t>409|盾怪</t>
  </si>
  <si>
    <t>409|二级普通怪</t>
  </si>
  <si>
    <t>409|站桩怪</t>
  </si>
  <si>
    <t>409|炮灰怪</t>
  </si>
  <si>
    <t>409|精英怪</t>
  </si>
  <si>
    <t>409|精英盾怪</t>
  </si>
  <si>
    <t>409|Boss</t>
  </si>
  <si>
    <t>409|装备副本Boss</t>
  </si>
  <si>
    <t>410|普通怪</t>
  </si>
  <si>
    <t>410|盾怪</t>
  </si>
  <si>
    <t>410|二级普通怪</t>
  </si>
  <si>
    <t>410|站桩怪</t>
  </si>
  <si>
    <t>410|炮灰怪</t>
  </si>
  <si>
    <t>410|精英怪</t>
  </si>
  <si>
    <t>410|精英盾怪</t>
  </si>
  <si>
    <t>410|Boss</t>
  </si>
  <si>
    <t>410|装备副本Boss</t>
  </si>
  <si>
    <t>411|普通怪</t>
  </si>
  <si>
    <t>411|盾怪</t>
  </si>
  <si>
    <t>411|二级普通怪</t>
  </si>
  <si>
    <t>411|站桩怪</t>
  </si>
  <si>
    <t>411|炮灰怪</t>
  </si>
  <si>
    <t>411|精英怪</t>
  </si>
  <si>
    <t>411|精英盾怪</t>
  </si>
  <si>
    <t>411|Boss</t>
  </si>
  <si>
    <t>411|装备副本Boss</t>
  </si>
  <si>
    <t>412|普通怪</t>
  </si>
  <si>
    <t>412|盾怪</t>
  </si>
  <si>
    <t>412|二级普通怪</t>
  </si>
  <si>
    <t>412|站桩怪</t>
  </si>
  <si>
    <t>412|炮灰怪</t>
  </si>
  <si>
    <t>412|精英怪</t>
  </si>
  <si>
    <t>412|精英盾怪</t>
  </si>
  <si>
    <t>412|Boss</t>
  </si>
  <si>
    <t>412|装备副本Boss</t>
  </si>
  <si>
    <t>413|普通怪</t>
  </si>
  <si>
    <t>413|盾怪</t>
  </si>
  <si>
    <t>413|二级普通怪</t>
  </si>
  <si>
    <t>413|站桩怪</t>
  </si>
  <si>
    <t>413|炮灰怪</t>
  </si>
  <si>
    <t>413|精英怪</t>
  </si>
  <si>
    <t>413|精英盾怪</t>
  </si>
  <si>
    <t>413|Boss</t>
  </si>
  <si>
    <t>413|装备副本Boss</t>
  </si>
  <si>
    <t>414|普通怪</t>
  </si>
  <si>
    <t>414|盾怪</t>
  </si>
  <si>
    <t>414|二级普通怪</t>
  </si>
  <si>
    <t>414|站桩怪</t>
  </si>
  <si>
    <t>414|炮灰怪</t>
  </si>
  <si>
    <t>414|精英怪</t>
  </si>
  <si>
    <t>414|精英盾怪</t>
  </si>
  <si>
    <t>414|Boss</t>
  </si>
  <si>
    <t>414|装备副本Boss</t>
  </si>
  <si>
    <t>415|普通怪</t>
  </si>
  <si>
    <t>415|盾怪</t>
  </si>
  <si>
    <t>415|二级普通怪</t>
  </si>
  <si>
    <t>415|站桩怪</t>
  </si>
  <si>
    <t>415|炮灰怪</t>
  </si>
  <si>
    <t>415|精英怪</t>
  </si>
  <si>
    <t>415|精英盾怪</t>
  </si>
  <si>
    <t>415|Boss</t>
  </si>
  <si>
    <t>415|装备副本Boss</t>
  </si>
  <si>
    <t>416|普通怪</t>
  </si>
  <si>
    <t>416|盾怪</t>
  </si>
  <si>
    <t>416|二级普通怪</t>
  </si>
  <si>
    <t>416|站桩怪</t>
  </si>
  <si>
    <t>416|炮灰怪</t>
  </si>
  <si>
    <t>416|精英怪</t>
  </si>
  <si>
    <t>416|精英盾怪</t>
  </si>
  <si>
    <t>416|Boss</t>
  </si>
  <si>
    <t>416|装备副本Boss</t>
  </si>
  <si>
    <t>417|普通怪</t>
  </si>
  <si>
    <t>417|盾怪</t>
  </si>
  <si>
    <t>417|二级普通怪</t>
  </si>
  <si>
    <t>417|站桩怪</t>
  </si>
  <si>
    <t>417|炮灰怪</t>
  </si>
  <si>
    <t>417|精英怪</t>
  </si>
  <si>
    <t>417|精英盾怪</t>
  </si>
  <si>
    <t>417|Boss</t>
  </si>
  <si>
    <t>417|装备副本Boss</t>
  </si>
  <si>
    <t>418|普通怪</t>
  </si>
  <si>
    <t>418|盾怪</t>
  </si>
  <si>
    <t>418|二级普通怪</t>
  </si>
  <si>
    <t>418|站桩怪</t>
  </si>
  <si>
    <t>418|炮灰怪</t>
  </si>
  <si>
    <t>418|精英怪</t>
  </si>
  <si>
    <t>418|精英盾怪</t>
  </si>
  <si>
    <t>418|Boss</t>
  </si>
  <si>
    <t>418|装备副本Boss</t>
  </si>
  <si>
    <t>419|普通怪</t>
  </si>
  <si>
    <t>419|盾怪</t>
  </si>
  <si>
    <t>419|二级普通怪</t>
  </si>
  <si>
    <t>419|站桩怪</t>
  </si>
  <si>
    <t>419|炮灰怪</t>
  </si>
  <si>
    <t>419|精英怪</t>
  </si>
  <si>
    <t>419|精英盾怪</t>
  </si>
  <si>
    <t>419|Boss</t>
  </si>
  <si>
    <t>419|装备副本Boss</t>
  </si>
  <si>
    <t>420|普通怪</t>
  </si>
  <si>
    <t>420|盾怪</t>
  </si>
  <si>
    <t>420|二级普通怪</t>
  </si>
  <si>
    <t>420|站桩怪</t>
  </si>
  <si>
    <t>420|炮灰怪</t>
  </si>
  <si>
    <t>420|精英怪</t>
  </si>
  <si>
    <t>420|精英盾怪</t>
  </si>
  <si>
    <t>420|Boss</t>
  </si>
  <si>
    <t>420|装备副本Boss</t>
  </si>
  <si>
    <t>421|普通怪</t>
  </si>
  <si>
    <t>421|盾怪</t>
  </si>
  <si>
    <t>421|二级普通怪</t>
  </si>
  <si>
    <t>421|站桩怪</t>
  </si>
  <si>
    <t>421|炮灰怪</t>
  </si>
  <si>
    <t>421|精英怪</t>
  </si>
  <si>
    <t>421|精英盾怪</t>
  </si>
  <si>
    <t>421|Boss</t>
  </si>
  <si>
    <t>421|装备副本Boss</t>
  </si>
  <si>
    <t>422|普通怪</t>
  </si>
  <si>
    <t>422|盾怪</t>
  </si>
  <si>
    <t>422|二级普通怪</t>
  </si>
  <si>
    <t>422|站桩怪</t>
  </si>
  <si>
    <t>422|炮灰怪</t>
  </si>
  <si>
    <t>422|精英怪</t>
  </si>
  <si>
    <t>422|精英盾怪</t>
  </si>
  <si>
    <t>422|Boss</t>
  </si>
  <si>
    <t>422|装备副本Boss</t>
  </si>
  <si>
    <t>423|普通怪</t>
  </si>
  <si>
    <t>423|盾怪</t>
  </si>
  <si>
    <t>423|二级普通怪</t>
  </si>
  <si>
    <t>423|站桩怪</t>
  </si>
  <si>
    <t>423|炮灰怪</t>
  </si>
  <si>
    <t>423|精英怪</t>
  </si>
  <si>
    <t>423|精英盾怪</t>
  </si>
  <si>
    <t>423|Boss</t>
  </si>
  <si>
    <t>423|装备副本Boss</t>
  </si>
  <si>
    <t>424|普通怪</t>
  </si>
  <si>
    <t>424|盾怪</t>
  </si>
  <si>
    <t>424|二级普通怪</t>
  </si>
  <si>
    <t>424|站桩怪</t>
  </si>
  <si>
    <t>424|炮灰怪</t>
  </si>
  <si>
    <t>424|精英怪</t>
  </si>
  <si>
    <t>424|精英盾怪</t>
  </si>
  <si>
    <t>424|Boss</t>
  </si>
  <si>
    <t>424|装备副本Boss</t>
  </si>
  <si>
    <t>425|普通怪</t>
  </si>
  <si>
    <t>425|盾怪</t>
  </si>
  <si>
    <t>425|二级普通怪</t>
  </si>
  <si>
    <t>425|站桩怪</t>
  </si>
  <si>
    <t>425|炮灰怪</t>
  </si>
  <si>
    <t>425|精英怪</t>
  </si>
  <si>
    <t>425|精英盾怪</t>
  </si>
  <si>
    <t>425|Boss</t>
  </si>
  <si>
    <t>425|装备副本Boss</t>
  </si>
  <si>
    <t>426|普通怪</t>
  </si>
  <si>
    <t>426|盾怪</t>
  </si>
  <si>
    <t>426|二级普通怪</t>
  </si>
  <si>
    <t>426|站桩怪</t>
  </si>
  <si>
    <t>426|炮灰怪</t>
  </si>
  <si>
    <t>426|精英怪</t>
  </si>
  <si>
    <t>426|精英盾怪</t>
  </si>
  <si>
    <t>426|Boss</t>
  </si>
  <si>
    <t>426|装备副本Boss</t>
  </si>
  <si>
    <t>427|普通怪</t>
  </si>
  <si>
    <t>427|盾怪</t>
  </si>
  <si>
    <t>427|二级普通怪</t>
  </si>
  <si>
    <t>427|站桩怪</t>
  </si>
  <si>
    <t>427|炮灰怪</t>
  </si>
  <si>
    <t>427|精英怪</t>
  </si>
  <si>
    <t>427|精英盾怪</t>
  </si>
  <si>
    <t>427|Boss</t>
  </si>
  <si>
    <t>427|装备副本Boss</t>
  </si>
  <si>
    <t>428|普通怪</t>
  </si>
  <si>
    <t>428|盾怪</t>
  </si>
  <si>
    <t>428|二级普通怪</t>
  </si>
  <si>
    <t>428|站桩怪</t>
  </si>
  <si>
    <t>428|炮灰怪</t>
  </si>
  <si>
    <t>428|精英怪</t>
  </si>
  <si>
    <t>428|精英盾怪</t>
  </si>
  <si>
    <t>428|Boss</t>
  </si>
  <si>
    <t>428|装备副本Boss</t>
  </si>
  <si>
    <t>429|普通怪</t>
  </si>
  <si>
    <t>429|盾怪</t>
  </si>
  <si>
    <t>429|二级普通怪</t>
  </si>
  <si>
    <t>429|站桩怪</t>
  </si>
  <si>
    <t>429|炮灰怪</t>
  </si>
  <si>
    <t>429|精英怪</t>
  </si>
  <si>
    <t>429|精英盾怪</t>
  </si>
  <si>
    <t>429|Boss</t>
  </si>
  <si>
    <t>429|装备副本Boss</t>
  </si>
  <si>
    <t>430|普通怪</t>
  </si>
  <si>
    <t>430|盾怪</t>
  </si>
  <si>
    <t>430|二级普通怪</t>
  </si>
  <si>
    <t>430|站桩怪</t>
  </si>
  <si>
    <t>430|炮灰怪</t>
  </si>
  <si>
    <t>430|精英怪</t>
  </si>
  <si>
    <t>430|精英盾怪</t>
  </si>
  <si>
    <t>430|Boss</t>
  </si>
  <si>
    <t>430|装备副本Boss</t>
  </si>
  <si>
    <t>431|普通怪</t>
  </si>
  <si>
    <t>431|盾怪</t>
  </si>
  <si>
    <t>431|二级普通怪</t>
  </si>
  <si>
    <t>431|站桩怪</t>
  </si>
  <si>
    <t>431|炮灰怪</t>
  </si>
  <si>
    <t>431|精英怪</t>
  </si>
  <si>
    <t>431|精英盾怪</t>
  </si>
  <si>
    <t>431|Boss</t>
  </si>
  <si>
    <t>431|装备副本Boss</t>
  </si>
  <si>
    <t>432|普通怪</t>
  </si>
  <si>
    <t>432|盾怪</t>
  </si>
  <si>
    <t>432|二级普通怪</t>
  </si>
  <si>
    <t>432|站桩怪</t>
  </si>
  <si>
    <t>432|炮灰怪</t>
  </si>
  <si>
    <t>432|精英怪</t>
  </si>
  <si>
    <t>432|精英盾怪</t>
  </si>
  <si>
    <t>432|Boss</t>
  </si>
  <si>
    <t>432|装备副本Boss</t>
  </si>
  <si>
    <t>433|普通怪</t>
  </si>
  <si>
    <t>433|盾怪</t>
  </si>
  <si>
    <t>433|二级普通怪</t>
  </si>
  <si>
    <t>433|站桩怪</t>
  </si>
  <si>
    <t>433|炮灰怪</t>
  </si>
  <si>
    <t>433|精英怪</t>
  </si>
  <si>
    <t>433|精英盾怪</t>
  </si>
  <si>
    <t>433|Boss</t>
  </si>
  <si>
    <t>433|装备副本Boss</t>
  </si>
  <si>
    <t>434|普通怪</t>
  </si>
  <si>
    <t>434|盾怪</t>
  </si>
  <si>
    <t>434|二级普通怪</t>
  </si>
  <si>
    <t>434|站桩怪</t>
  </si>
  <si>
    <t>434|炮灰怪</t>
  </si>
  <si>
    <t>434|精英怪</t>
  </si>
  <si>
    <t>434|精英盾怪</t>
  </si>
  <si>
    <t>434|Boss</t>
  </si>
  <si>
    <t>434|装备副本Boss</t>
  </si>
  <si>
    <t>435|普通怪</t>
  </si>
  <si>
    <t>435|盾怪</t>
  </si>
  <si>
    <t>435|二级普通怪</t>
  </si>
  <si>
    <t>435|站桩怪</t>
  </si>
  <si>
    <t>435|炮灰怪</t>
  </si>
  <si>
    <t>435|精英怪</t>
  </si>
  <si>
    <t>435|精英盾怪</t>
  </si>
  <si>
    <t>435|Boss</t>
  </si>
  <si>
    <t>435|装备副本Boss</t>
  </si>
  <si>
    <t>436|普通怪</t>
  </si>
  <si>
    <t>436|盾怪</t>
  </si>
  <si>
    <t>436|二级普通怪</t>
  </si>
  <si>
    <t>436|站桩怪</t>
  </si>
  <si>
    <t>436|炮灰怪</t>
  </si>
  <si>
    <t>436|精英怪</t>
  </si>
  <si>
    <t>436|精英盾怪</t>
  </si>
  <si>
    <t>436|Boss</t>
  </si>
  <si>
    <t>436|装备副本Boss</t>
  </si>
  <si>
    <t>437|普通怪</t>
  </si>
  <si>
    <t>437|盾怪</t>
  </si>
  <si>
    <t>437|二级普通怪</t>
  </si>
  <si>
    <t>437|站桩怪</t>
  </si>
  <si>
    <t>437|炮灰怪</t>
  </si>
  <si>
    <t>437|精英怪</t>
  </si>
  <si>
    <t>437|精英盾怪</t>
  </si>
  <si>
    <t>437|Boss</t>
  </si>
  <si>
    <t>437|装备副本Boss</t>
  </si>
  <si>
    <t>438|普通怪</t>
  </si>
  <si>
    <t>438|盾怪</t>
  </si>
  <si>
    <t>438|二级普通怪</t>
  </si>
  <si>
    <t>438|站桩怪</t>
  </si>
  <si>
    <t>438|炮灰怪</t>
  </si>
  <si>
    <t>438|精英怪</t>
  </si>
  <si>
    <t>438|精英盾怪</t>
  </si>
  <si>
    <t>438|Boss</t>
  </si>
  <si>
    <t>438|装备副本Boss</t>
  </si>
  <si>
    <t>439|普通怪</t>
  </si>
  <si>
    <t>439|盾怪</t>
  </si>
  <si>
    <t>439|二级普通怪</t>
  </si>
  <si>
    <t>439|站桩怪</t>
  </si>
  <si>
    <t>439|炮灰怪</t>
  </si>
  <si>
    <t>439|精英怪</t>
  </si>
  <si>
    <t>439|精英盾怪</t>
  </si>
  <si>
    <t>439|Boss</t>
  </si>
  <si>
    <t>439|装备副本Boss</t>
  </si>
  <si>
    <t>440|普通怪</t>
  </si>
  <si>
    <t>440|盾怪</t>
  </si>
  <si>
    <t>440|二级普通怪</t>
  </si>
  <si>
    <t>440|站桩怪</t>
  </si>
  <si>
    <t>440|炮灰怪</t>
  </si>
  <si>
    <t>440|精英怪</t>
  </si>
  <si>
    <t>440|精英盾怪</t>
  </si>
  <si>
    <t>440|Boss</t>
  </si>
  <si>
    <t>440|装备副本Boss</t>
  </si>
  <si>
    <t>441|普通怪</t>
  </si>
  <si>
    <t>441|盾怪</t>
  </si>
  <si>
    <t>441|二级普通怪</t>
  </si>
  <si>
    <t>441|站桩怪</t>
  </si>
  <si>
    <t>441|炮灰怪</t>
  </si>
  <si>
    <t>441|精英怪</t>
  </si>
  <si>
    <t>441|精英盾怪</t>
  </si>
  <si>
    <t>441|Boss</t>
  </si>
  <si>
    <t>441|装备副本Boss</t>
  </si>
  <si>
    <t>442|普通怪</t>
  </si>
  <si>
    <t>442|盾怪</t>
  </si>
  <si>
    <t>442|二级普通怪</t>
  </si>
  <si>
    <t>442|站桩怪</t>
  </si>
  <si>
    <t>442|炮灰怪</t>
  </si>
  <si>
    <t>442|精英怪</t>
  </si>
  <si>
    <t>442|精英盾怪</t>
  </si>
  <si>
    <t>442|Boss</t>
  </si>
  <si>
    <t>442|装备副本Boss</t>
  </si>
  <si>
    <t>443|普通怪</t>
  </si>
  <si>
    <t>443|盾怪</t>
  </si>
  <si>
    <t>443|二级普通怪</t>
  </si>
  <si>
    <t>443|站桩怪</t>
  </si>
  <si>
    <t>443|炮灰怪</t>
  </si>
  <si>
    <t>443|精英怪</t>
  </si>
  <si>
    <t>443|精英盾怪</t>
  </si>
  <si>
    <t>443|Boss</t>
  </si>
  <si>
    <t>443|装备副本Boss</t>
  </si>
  <si>
    <t>444|普通怪</t>
  </si>
  <si>
    <t>444|盾怪</t>
  </si>
  <si>
    <t>444|二级普通怪</t>
  </si>
  <si>
    <t>444|站桩怪</t>
  </si>
  <si>
    <t>444|炮灰怪</t>
  </si>
  <si>
    <t>444|精英怪</t>
  </si>
  <si>
    <t>444|精英盾怪</t>
  </si>
  <si>
    <t>444|Boss</t>
  </si>
  <si>
    <t>444|装备副本Boss</t>
  </si>
  <si>
    <t>445|普通怪</t>
  </si>
  <si>
    <t>445|盾怪</t>
  </si>
  <si>
    <t>445|二级普通怪</t>
  </si>
  <si>
    <t>445|站桩怪</t>
  </si>
  <si>
    <t>445|炮灰怪</t>
  </si>
  <si>
    <t>445|精英怪</t>
  </si>
  <si>
    <t>445|精英盾怪</t>
  </si>
  <si>
    <t>445|Boss</t>
  </si>
  <si>
    <t>445|装备副本Boss</t>
  </si>
  <si>
    <t>446|普通怪</t>
  </si>
  <si>
    <t>446|盾怪</t>
  </si>
  <si>
    <t>446|二级普通怪</t>
  </si>
  <si>
    <t>446|站桩怪</t>
  </si>
  <si>
    <t>446|炮灰怪</t>
  </si>
  <si>
    <t>446|精英怪</t>
  </si>
  <si>
    <t>446|精英盾怪</t>
  </si>
  <si>
    <t>446|Boss</t>
  </si>
  <si>
    <t>446|装备副本Boss</t>
  </si>
  <si>
    <t>447|普通怪</t>
  </si>
  <si>
    <t>447|盾怪</t>
  </si>
  <si>
    <t>447|二级普通怪</t>
  </si>
  <si>
    <t>447|站桩怪</t>
  </si>
  <si>
    <t>447|炮灰怪</t>
  </si>
  <si>
    <t>447|精英怪</t>
  </si>
  <si>
    <t>447|精英盾怪</t>
  </si>
  <si>
    <t>447|Boss</t>
  </si>
  <si>
    <t>447|装备副本Boss</t>
  </si>
  <si>
    <t>448|普通怪</t>
  </si>
  <si>
    <t>448|盾怪</t>
  </si>
  <si>
    <t>448|二级普通怪</t>
  </si>
  <si>
    <t>448|站桩怪</t>
  </si>
  <si>
    <t>448|炮灰怪</t>
  </si>
  <si>
    <t>448|精英怪</t>
  </si>
  <si>
    <t>448|精英盾怪</t>
  </si>
  <si>
    <t>448|Boss</t>
  </si>
  <si>
    <t>448|装备副本Boss</t>
  </si>
  <si>
    <t>449|普通怪</t>
  </si>
  <si>
    <t>449|盾怪</t>
  </si>
  <si>
    <t>449|二级普通怪</t>
  </si>
  <si>
    <t>449|站桩怪</t>
  </si>
  <si>
    <t>449|炮灰怪</t>
  </si>
  <si>
    <t>449|精英怪</t>
  </si>
  <si>
    <t>449|精英盾怪</t>
  </si>
  <si>
    <t>449|Boss</t>
  </si>
  <si>
    <t>449|装备副本Boss</t>
  </si>
  <si>
    <t>450|普通怪</t>
  </si>
  <si>
    <t>450|盾怪</t>
  </si>
  <si>
    <t>450|二级普通怪</t>
  </si>
  <si>
    <t>450|站桩怪</t>
  </si>
  <si>
    <t>450|炮灰怪</t>
  </si>
  <si>
    <t>450|精英怪</t>
  </si>
  <si>
    <t>450|精英盾怪</t>
  </si>
  <si>
    <t>450|Boss</t>
  </si>
  <si>
    <t>450|装备副本Boss</t>
  </si>
  <si>
    <t>451|普通怪</t>
  </si>
  <si>
    <t>451|盾怪</t>
  </si>
  <si>
    <t>451|二级普通怪</t>
  </si>
  <si>
    <t>451|站桩怪</t>
  </si>
  <si>
    <t>451|炮灰怪</t>
  </si>
  <si>
    <t>451|精英怪</t>
  </si>
  <si>
    <t>451|精英盾怪</t>
  </si>
  <si>
    <t>451|Boss</t>
  </si>
  <si>
    <t>451|装备副本Boss</t>
  </si>
  <si>
    <t>452|普通怪</t>
  </si>
  <si>
    <t>452|盾怪</t>
  </si>
  <si>
    <t>452|二级普通怪</t>
  </si>
  <si>
    <t>452|站桩怪</t>
  </si>
  <si>
    <t>452|炮灰怪</t>
  </si>
  <si>
    <t>452|精英怪</t>
  </si>
  <si>
    <t>452|精英盾怪</t>
  </si>
  <si>
    <t>452|Boss</t>
  </si>
  <si>
    <t>452|装备副本Boss</t>
  </si>
  <si>
    <t>453|普通怪</t>
  </si>
  <si>
    <t>453|盾怪</t>
  </si>
  <si>
    <t>453|二级普通怪</t>
  </si>
  <si>
    <t>453|站桩怪</t>
  </si>
  <si>
    <t>453|炮灰怪</t>
  </si>
  <si>
    <t>453|精英怪</t>
  </si>
  <si>
    <t>453|精英盾怪</t>
  </si>
  <si>
    <t>453|Boss</t>
  </si>
  <si>
    <t>453|装备副本Boss</t>
  </si>
  <si>
    <t>454|普通怪</t>
  </si>
  <si>
    <t>454|盾怪</t>
  </si>
  <si>
    <t>454|二级普通怪</t>
  </si>
  <si>
    <t>454|站桩怪</t>
  </si>
  <si>
    <t>454|炮灰怪</t>
  </si>
  <si>
    <t>454|精英怪</t>
  </si>
  <si>
    <t>454|精英盾怪</t>
  </si>
  <si>
    <t>454|Boss</t>
  </si>
  <si>
    <t>454|装备副本Boss</t>
  </si>
  <si>
    <t>455|普通怪</t>
  </si>
  <si>
    <t>455|盾怪</t>
  </si>
  <si>
    <t>455|二级普通怪</t>
  </si>
  <si>
    <t>455|站桩怪</t>
  </si>
  <si>
    <t>455|炮灰怪</t>
  </si>
  <si>
    <t>455|精英怪</t>
  </si>
  <si>
    <t>455|精英盾怪</t>
  </si>
  <si>
    <t>455|Boss</t>
  </si>
  <si>
    <t>455|装备副本Boss</t>
  </si>
  <si>
    <t>456|普通怪</t>
  </si>
  <si>
    <t>456|盾怪</t>
  </si>
  <si>
    <t>456|二级普通怪</t>
  </si>
  <si>
    <t>456|站桩怪</t>
  </si>
  <si>
    <t>456|炮灰怪</t>
  </si>
  <si>
    <t>456|精英怪</t>
  </si>
  <si>
    <t>456|精英盾怪</t>
  </si>
  <si>
    <t>456|Boss</t>
  </si>
  <si>
    <t>456|装备副本Boss</t>
  </si>
  <si>
    <t>457|普通怪</t>
  </si>
  <si>
    <t>457|盾怪</t>
  </si>
  <si>
    <t>457|二级普通怪</t>
  </si>
  <si>
    <t>457|站桩怪</t>
  </si>
  <si>
    <t>457|炮灰怪</t>
  </si>
  <si>
    <t>457|精英怪</t>
  </si>
  <si>
    <t>457|精英盾怪</t>
  </si>
  <si>
    <t>457|Boss</t>
  </si>
  <si>
    <t>457|装备副本Boss</t>
  </si>
  <si>
    <t>458|普通怪</t>
  </si>
  <si>
    <t>458|盾怪</t>
  </si>
  <si>
    <t>458|二级普通怪</t>
  </si>
  <si>
    <t>458|站桩怪</t>
  </si>
  <si>
    <t>458|炮灰怪</t>
  </si>
  <si>
    <t>458|精英怪</t>
  </si>
  <si>
    <t>458|精英盾怪</t>
  </si>
  <si>
    <t>458|Boss</t>
  </si>
  <si>
    <t>458|装备副本Boss</t>
  </si>
  <si>
    <t>459|普通怪</t>
  </si>
  <si>
    <t>459|盾怪</t>
  </si>
  <si>
    <t>459|二级普通怪</t>
  </si>
  <si>
    <t>459|站桩怪</t>
  </si>
  <si>
    <t>459|炮灰怪</t>
  </si>
  <si>
    <t>459|精英怪</t>
  </si>
  <si>
    <t>459|精英盾怪</t>
  </si>
  <si>
    <t>459|Boss</t>
  </si>
  <si>
    <t>459|装备副本Boss</t>
  </si>
  <si>
    <t>460|普通怪</t>
  </si>
  <si>
    <t>460|盾怪</t>
  </si>
  <si>
    <t>460|二级普通怪</t>
  </si>
  <si>
    <t>460|站桩怪</t>
  </si>
  <si>
    <t>460|炮灰怪</t>
  </si>
  <si>
    <t>460|精英怪</t>
  </si>
  <si>
    <t>460|精英盾怪</t>
  </si>
  <si>
    <t>460|Boss</t>
  </si>
  <si>
    <t>460|装备副本Boss</t>
  </si>
  <si>
    <t>461|普通怪</t>
  </si>
  <si>
    <t>461|盾怪</t>
  </si>
  <si>
    <t>461|二级普通怪</t>
  </si>
  <si>
    <t>461|站桩怪</t>
  </si>
  <si>
    <t>461|炮灰怪</t>
  </si>
  <si>
    <t>461|精英怪</t>
  </si>
  <si>
    <t>461|精英盾怪</t>
  </si>
  <si>
    <t>461|Boss</t>
  </si>
  <si>
    <t>461|装备副本Boss</t>
  </si>
  <si>
    <t>462|普通怪</t>
  </si>
  <si>
    <t>462|盾怪</t>
  </si>
  <si>
    <t>462|二级普通怪</t>
  </si>
  <si>
    <t>462|站桩怪</t>
  </si>
  <si>
    <t>462|炮灰怪</t>
  </si>
  <si>
    <t>462|精英怪</t>
  </si>
  <si>
    <t>462|精英盾怪</t>
  </si>
  <si>
    <t>462|Boss</t>
  </si>
  <si>
    <t>462|装备副本Boss</t>
  </si>
  <si>
    <t>463|普通怪</t>
  </si>
  <si>
    <t>463|盾怪</t>
  </si>
  <si>
    <t>463|二级普通怪</t>
  </si>
  <si>
    <t>463|站桩怪</t>
  </si>
  <si>
    <t>463|炮灰怪</t>
  </si>
  <si>
    <t>463|精英怪</t>
  </si>
  <si>
    <t>463|精英盾怪</t>
  </si>
  <si>
    <t>463|Boss</t>
  </si>
  <si>
    <t>463|装备副本Boss</t>
  </si>
  <si>
    <t>464|普通怪</t>
  </si>
  <si>
    <t>464|盾怪</t>
  </si>
  <si>
    <t>464|二级普通怪</t>
  </si>
  <si>
    <t>464|站桩怪</t>
  </si>
  <si>
    <t>464|炮灰怪</t>
  </si>
  <si>
    <t>464|精英怪</t>
  </si>
  <si>
    <t>464|精英盾怪</t>
  </si>
  <si>
    <t>464|Boss</t>
  </si>
  <si>
    <t>464|装备副本Boss</t>
  </si>
  <si>
    <t>465|普通怪</t>
  </si>
  <si>
    <t>465|盾怪</t>
  </si>
  <si>
    <t>465|二级普通怪</t>
  </si>
  <si>
    <t>465|站桩怪</t>
  </si>
  <si>
    <t>465|炮灰怪</t>
  </si>
  <si>
    <t>465|精英怪</t>
  </si>
  <si>
    <t>465|精英盾怪</t>
  </si>
  <si>
    <t>465|Boss</t>
  </si>
  <si>
    <t>465|装备副本Boss</t>
  </si>
  <si>
    <t>466|普通怪</t>
  </si>
  <si>
    <t>466|盾怪</t>
  </si>
  <si>
    <t>466|二级普通怪</t>
  </si>
  <si>
    <t>466|站桩怪</t>
  </si>
  <si>
    <t>466|炮灰怪</t>
  </si>
  <si>
    <t>466|精英怪</t>
  </si>
  <si>
    <t>466|精英盾怪</t>
  </si>
  <si>
    <t>466|Boss</t>
  </si>
  <si>
    <t>466|装备副本Boss</t>
  </si>
  <si>
    <t>467|普通怪</t>
  </si>
  <si>
    <t>467|盾怪</t>
  </si>
  <si>
    <t>467|二级普通怪</t>
  </si>
  <si>
    <t>467|站桩怪</t>
  </si>
  <si>
    <t>467|炮灰怪</t>
  </si>
  <si>
    <t>467|精英怪</t>
  </si>
  <si>
    <t>467|精英盾怪</t>
  </si>
  <si>
    <t>467|Boss</t>
  </si>
  <si>
    <t>467|装备副本Boss</t>
  </si>
  <si>
    <t>468|普通怪</t>
  </si>
  <si>
    <t>468|盾怪</t>
  </si>
  <si>
    <t>468|二级普通怪</t>
  </si>
  <si>
    <t>468|站桩怪</t>
  </si>
  <si>
    <t>468|炮灰怪</t>
  </si>
  <si>
    <t>468|精英怪</t>
  </si>
  <si>
    <t>468|精英盾怪</t>
  </si>
  <si>
    <t>468|Boss</t>
  </si>
  <si>
    <t>468|装备副本Boss</t>
  </si>
  <si>
    <t>469|普通怪</t>
  </si>
  <si>
    <t>469|盾怪</t>
  </si>
  <si>
    <t>469|二级普通怪</t>
  </si>
  <si>
    <t>469|站桩怪</t>
  </si>
  <si>
    <t>469|炮灰怪</t>
  </si>
  <si>
    <t>469|精英怪</t>
  </si>
  <si>
    <t>469|精英盾怪</t>
  </si>
  <si>
    <t>469|Boss</t>
  </si>
  <si>
    <t>469|装备副本Boss</t>
  </si>
  <si>
    <t>470|普通怪</t>
  </si>
  <si>
    <t>470|盾怪</t>
  </si>
  <si>
    <t>470|二级普通怪</t>
  </si>
  <si>
    <t>470|站桩怪</t>
  </si>
  <si>
    <t>470|炮灰怪</t>
  </si>
  <si>
    <t>470|精英怪</t>
  </si>
  <si>
    <t>470|精英盾怪</t>
  </si>
  <si>
    <t>470|Boss</t>
  </si>
  <si>
    <t>470|装备副本Boss</t>
  </si>
  <si>
    <t>471|普通怪</t>
  </si>
  <si>
    <t>471|盾怪</t>
  </si>
  <si>
    <t>471|二级普通怪</t>
  </si>
  <si>
    <t>471|站桩怪</t>
  </si>
  <si>
    <t>471|炮灰怪</t>
  </si>
  <si>
    <t>471|精英怪</t>
  </si>
  <si>
    <t>471|精英盾怪</t>
  </si>
  <si>
    <t>471|Boss</t>
  </si>
  <si>
    <t>471|装备副本Boss</t>
  </si>
  <si>
    <t>472|普通怪</t>
  </si>
  <si>
    <t>472|盾怪</t>
  </si>
  <si>
    <t>472|二级普通怪</t>
  </si>
  <si>
    <t>472|站桩怪</t>
  </si>
  <si>
    <t>472|炮灰怪</t>
  </si>
  <si>
    <t>472|精英怪</t>
  </si>
  <si>
    <t>472|精英盾怪</t>
  </si>
  <si>
    <t>472|Boss</t>
  </si>
  <si>
    <t>472|装备副本Boss</t>
  </si>
  <si>
    <t>473|普通怪</t>
  </si>
  <si>
    <t>473|盾怪</t>
  </si>
  <si>
    <t>473|二级普通怪</t>
  </si>
  <si>
    <t>473|站桩怪</t>
  </si>
  <si>
    <t>473|炮灰怪</t>
  </si>
  <si>
    <t>473|精英怪</t>
  </si>
  <si>
    <t>473|精英盾怪</t>
  </si>
  <si>
    <t>473|Boss</t>
  </si>
  <si>
    <t>473|装备副本Boss</t>
  </si>
  <si>
    <t>474|普通怪</t>
  </si>
  <si>
    <t>474|盾怪</t>
  </si>
  <si>
    <t>474|二级普通怪</t>
  </si>
  <si>
    <t>474|站桩怪</t>
  </si>
  <si>
    <t>474|炮灰怪</t>
  </si>
  <si>
    <t>474|精英怪</t>
  </si>
  <si>
    <t>474|精英盾怪</t>
  </si>
  <si>
    <t>474|Boss</t>
  </si>
  <si>
    <t>474|装备副本Boss</t>
  </si>
  <si>
    <t>475|普通怪</t>
  </si>
  <si>
    <t>475|盾怪</t>
  </si>
  <si>
    <t>475|二级普通怪</t>
  </si>
  <si>
    <t>475|站桩怪</t>
  </si>
  <si>
    <t>475|炮灰怪</t>
  </si>
  <si>
    <t>475|精英怪</t>
  </si>
  <si>
    <t>475|精英盾怪</t>
  </si>
  <si>
    <t>475|Boss</t>
  </si>
  <si>
    <t>475|装备副本Boss</t>
  </si>
  <si>
    <t>476|普通怪</t>
  </si>
  <si>
    <t>476|盾怪</t>
  </si>
  <si>
    <t>476|二级普通怪</t>
  </si>
  <si>
    <t>476|站桩怪</t>
  </si>
  <si>
    <t>476|炮灰怪</t>
  </si>
  <si>
    <t>476|精英怪</t>
  </si>
  <si>
    <t>476|精英盾怪</t>
  </si>
  <si>
    <t>476|Boss</t>
  </si>
  <si>
    <t>476|装备副本Boss</t>
  </si>
  <si>
    <t>477|普通怪</t>
  </si>
  <si>
    <t>477|盾怪</t>
  </si>
  <si>
    <t>477|二级普通怪</t>
  </si>
  <si>
    <t>477|站桩怪</t>
  </si>
  <si>
    <t>477|炮灰怪</t>
  </si>
  <si>
    <t>477|精英怪</t>
  </si>
  <si>
    <t>477|精英盾怪</t>
  </si>
  <si>
    <t>477|Boss</t>
  </si>
  <si>
    <t>477|装备副本Boss</t>
  </si>
  <si>
    <t>478|普通怪</t>
  </si>
  <si>
    <t>478|盾怪</t>
  </si>
  <si>
    <t>478|二级普通怪</t>
  </si>
  <si>
    <t>478|站桩怪</t>
  </si>
  <si>
    <t>478|炮灰怪</t>
  </si>
  <si>
    <t>478|精英怪</t>
  </si>
  <si>
    <t>478|精英盾怪</t>
  </si>
  <si>
    <t>478|Boss</t>
  </si>
  <si>
    <t>478|装备副本Boss</t>
  </si>
  <si>
    <t>479|普通怪</t>
  </si>
  <si>
    <t>479|盾怪</t>
  </si>
  <si>
    <t>479|二级普通怪</t>
  </si>
  <si>
    <t>479|站桩怪</t>
  </si>
  <si>
    <t>479|炮灰怪</t>
  </si>
  <si>
    <t>479|精英怪</t>
  </si>
  <si>
    <t>479|精英盾怪</t>
  </si>
  <si>
    <t>479|Boss</t>
  </si>
  <si>
    <t>479|装备副本Boss</t>
  </si>
  <si>
    <t>480|普通怪</t>
  </si>
  <si>
    <t>480|盾怪</t>
  </si>
  <si>
    <t>480|二级普通怪</t>
  </si>
  <si>
    <t>480|站桩怪</t>
  </si>
  <si>
    <t>480|炮灰怪</t>
  </si>
  <si>
    <t>480|精英怪</t>
  </si>
  <si>
    <t>480|精英盾怪</t>
  </si>
  <si>
    <t>480|Boss</t>
  </si>
  <si>
    <t>480|装备副本Boss</t>
  </si>
  <si>
    <t>481|普通怪</t>
  </si>
  <si>
    <t>481|盾怪</t>
  </si>
  <si>
    <t>481|二级普通怪</t>
  </si>
  <si>
    <t>481|站桩怪</t>
  </si>
  <si>
    <t>481|炮灰怪</t>
  </si>
  <si>
    <t>481|精英怪</t>
  </si>
  <si>
    <t>481|精英盾怪</t>
  </si>
  <si>
    <t>481|Boss</t>
  </si>
  <si>
    <t>481|装备副本Boss</t>
  </si>
  <si>
    <t>482|普通怪</t>
  </si>
  <si>
    <t>482|盾怪</t>
  </si>
  <si>
    <t>482|二级普通怪</t>
  </si>
  <si>
    <t>482|站桩怪</t>
  </si>
  <si>
    <t>482|炮灰怪</t>
  </si>
  <si>
    <t>482|精英怪</t>
  </si>
  <si>
    <t>482|精英盾怪</t>
  </si>
  <si>
    <t>482|Boss</t>
  </si>
  <si>
    <t>482|装备副本Boss</t>
  </si>
  <si>
    <t>483|普通怪</t>
  </si>
  <si>
    <t>483|盾怪</t>
  </si>
  <si>
    <t>483|二级普通怪</t>
  </si>
  <si>
    <t>483|站桩怪</t>
  </si>
  <si>
    <t>483|炮灰怪</t>
  </si>
  <si>
    <t>483|精英怪</t>
  </si>
  <si>
    <t>483|精英盾怪</t>
  </si>
  <si>
    <t>483|Boss</t>
  </si>
  <si>
    <t>483|装备副本Boss</t>
  </si>
  <si>
    <t>484|普通怪</t>
  </si>
  <si>
    <t>484|盾怪</t>
  </si>
  <si>
    <t>484|二级普通怪</t>
  </si>
  <si>
    <t>484|站桩怪</t>
  </si>
  <si>
    <t>484|炮灰怪</t>
  </si>
  <si>
    <t>484|精英怪</t>
  </si>
  <si>
    <t>484|精英盾怪</t>
  </si>
  <si>
    <t>484|Boss</t>
  </si>
  <si>
    <t>484|装备副本Boss</t>
  </si>
  <si>
    <t>485|普通怪</t>
  </si>
  <si>
    <t>485|盾怪</t>
  </si>
  <si>
    <t>485|二级普通怪</t>
  </si>
  <si>
    <t>485|站桩怪</t>
  </si>
  <si>
    <t>485|炮灰怪</t>
  </si>
  <si>
    <t>485|精英怪</t>
  </si>
  <si>
    <t>485|精英盾怪</t>
  </si>
  <si>
    <t>485|Boss</t>
  </si>
  <si>
    <t>485|装备副本Boss</t>
  </si>
  <si>
    <t>486|普通怪</t>
  </si>
  <si>
    <t>486|盾怪</t>
  </si>
  <si>
    <t>486|二级普通怪</t>
  </si>
  <si>
    <t>486|站桩怪</t>
  </si>
  <si>
    <t>486|炮灰怪</t>
  </si>
  <si>
    <t>486|精英怪</t>
  </si>
  <si>
    <t>486|精英盾怪</t>
  </si>
  <si>
    <t>486|Boss</t>
  </si>
  <si>
    <t>486|装备副本Boss</t>
  </si>
  <si>
    <t>487|普通怪</t>
  </si>
  <si>
    <t>487|盾怪</t>
  </si>
  <si>
    <t>487|二级普通怪</t>
  </si>
  <si>
    <t>487|站桩怪</t>
  </si>
  <si>
    <t>487|炮灰怪</t>
  </si>
  <si>
    <t>487|精英怪</t>
  </si>
  <si>
    <t>487|精英盾怪</t>
  </si>
  <si>
    <t>487|Boss</t>
  </si>
  <si>
    <t>487|装备副本Boss</t>
  </si>
  <si>
    <t>488|普通怪</t>
  </si>
  <si>
    <t>488|盾怪</t>
  </si>
  <si>
    <t>488|二级普通怪</t>
  </si>
  <si>
    <t>488|站桩怪</t>
  </si>
  <si>
    <t>488|炮灰怪</t>
  </si>
  <si>
    <t>488|精英怪</t>
  </si>
  <si>
    <t>488|精英盾怪</t>
  </si>
  <si>
    <t>488|Boss</t>
  </si>
  <si>
    <t>488|装备副本Boss</t>
  </si>
  <si>
    <t>489|普通怪</t>
  </si>
  <si>
    <t>489|盾怪</t>
  </si>
  <si>
    <t>489|二级普通怪</t>
  </si>
  <si>
    <t>489|站桩怪</t>
  </si>
  <si>
    <t>489|炮灰怪</t>
  </si>
  <si>
    <t>489|精英怪</t>
  </si>
  <si>
    <t>489|精英盾怪</t>
  </si>
  <si>
    <t>489|Boss</t>
  </si>
  <si>
    <t>489|装备副本Boss</t>
  </si>
  <si>
    <t>490|普通怪</t>
  </si>
  <si>
    <t>490|盾怪</t>
  </si>
  <si>
    <t>490|二级普通怪</t>
  </si>
  <si>
    <t>490|站桩怪</t>
  </si>
  <si>
    <t>490|炮灰怪</t>
  </si>
  <si>
    <t>490|精英怪</t>
  </si>
  <si>
    <t>490|精英盾怪</t>
  </si>
  <si>
    <t>490|Boss</t>
  </si>
  <si>
    <t>490|装备副本Boss</t>
  </si>
  <si>
    <t>491|普通怪</t>
  </si>
  <si>
    <t>491|盾怪</t>
  </si>
  <si>
    <t>491|二级普通怪</t>
  </si>
  <si>
    <t>491|站桩怪</t>
  </si>
  <si>
    <t>491|炮灰怪</t>
  </si>
  <si>
    <t>491|精英怪</t>
  </si>
  <si>
    <t>491|精英盾怪</t>
  </si>
  <si>
    <t>491|Boss</t>
  </si>
  <si>
    <t>491|装备副本Boss</t>
  </si>
  <si>
    <t>492|普通怪</t>
  </si>
  <si>
    <t>492|盾怪</t>
  </si>
  <si>
    <t>492|二级普通怪</t>
  </si>
  <si>
    <t>492|站桩怪</t>
  </si>
  <si>
    <t>492|炮灰怪</t>
  </si>
  <si>
    <t>492|精英怪</t>
  </si>
  <si>
    <t>492|精英盾怪</t>
  </si>
  <si>
    <t>492|Boss</t>
  </si>
  <si>
    <t>492|装备副本Boss</t>
  </si>
  <si>
    <t>493|普通怪</t>
  </si>
  <si>
    <t>493|盾怪</t>
  </si>
  <si>
    <t>493|二级普通怪</t>
  </si>
  <si>
    <t>493|站桩怪</t>
  </si>
  <si>
    <t>493|炮灰怪</t>
  </si>
  <si>
    <t>493|精英怪</t>
  </si>
  <si>
    <t>493|精英盾怪</t>
  </si>
  <si>
    <t>493|Boss</t>
  </si>
  <si>
    <t>493|装备副本Boss</t>
  </si>
  <si>
    <t>494|普通怪</t>
  </si>
  <si>
    <t>494|盾怪</t>
  </si>
  <si>
    <t>494|二级普通怪</t>
  </si>
  <si>
    <t>494|站桩怪</t>
  </si>
  <si>
    <t>494|炮灰怪</t>
  </si>
  <si>
    <t>494|精英怪</t>
  </si>
  <si>
    <t>494|精英盾怪</t>
  </si>
  <si>
    <t>494|Boss</t>
  </si>
  <si>
    <t>494|装备副本Boss</t>
  </si>
  <si>
    <t>495|普通怪</t>
  </si>
  <si>
    <t>495|盾怪</t>
  </si>
  <si>
    <t>495|二级普通怪</t>
  </si>
  <si>
    <t>495|站桩怪</t>
  </si>
  <si>
    <t>495|炮灰怪</t>
  </si>
  <si>
    <t>495|精英怪</t>
  </si>
  <si>
    <t>495|精英盾怪</t>
  </si>
  <si>
    <t>495|Boss</t>
  </si>
  <si>
    <t>495|装备副本Boss</t>
  </si>
  <si>
    <t>496|普通怪</t>
  </si>
  <si>
    <t>496|盾怪</t>
  </si>
  <si>
    <t>496|二级普通怪</t>
  </si>
  <si>
    <t>496|站桩怪</t>
  </si>
  <si>
    <t>496|炮灰怪</t>
  </si>
  <si>
    <t>496|精英怪</t>
  </si>
  <si>
    <t>496|精英盾怪</t>
  </si>
  <si>
    <t>496|Boss</t>
  </si>
  <si>
    <t>496|装备副本Boss</t>
  </si>
  <si>
    <t>497|普通怪</t>
  </si>
  <si>
    <t>497|盾怪</t>
  </si>
  <si>
    <t>497|二级普通怪</t>
  </si>
  <si>
    <t>497|站桩怪</t>
  </si>
  <si>
    <t>497|炮灰怪</t>
  </si>
  <si>
    <t>497|精英怪</t>
  </si>
  <si>
    <t>497|精英盾怪</t>
  </si>
  <si>
    <t>497|Boss</t>
  </si>
  <si>
    <t>497|装备副本Boss</t>
  </si>
  <si>
    <t>498|普通怪</t>
  </si>
  <si>
    <t>498|盾怪</t>
  </si>
  <si>
    <t>498|二级普通怪</t>
  </si>
  <si>
    <t>498|站桩怪</t>
  </si>
  <si>
    <t>498|炮灰怪</t>
  </si>
  <si>
    <t>498|精英怪</t>
  </si>
  <si>
    <t>498|精英盾怪</t>
  </si>
  <si>
    <t>498|Boss</t>
  </si>
  <si>
    <t>498|装备副本Boss</t>
  </si>
  <si>
    <t>499|普通怪</t>
  </si>
  <si>
    <t>499|盾怪</t>
  </si>
  <si>
    <t>499|二级普通怪</t>
  </si>
  <si>
    <t>499|站桩怪</t>
  </si>
  <si>
    <t>499|炮灰怪</t>
  </si>
  <si>
    <t>499|精英怪</t>
  </si>
  <si>
    <t>499|精英盾怪</t>
  </si>
  <si>
    <t>499|Boss</t>
  </si>
  <si>
    <t>499|装备副本Boss</t>
  </si>
  <si>
    <t>500|普通怪</t>
  </si>
  <si>
    <t>500|盾怪</t>
  </si>
  <si>
    <t>500|二级普通怪</t>
  </si>
  <si>
    <t>500|站桩怪</t>
  </si>
  <si>
    <t>500|炮灰怪</t>
  </si>
  <si>
    <t>500|精英怪</t>
  </si>
  <si>
    <t>500|精英盾怪</t>
  </si>
  <si>
    <t>500|Boss</t>
  </si>
  <si>
    <t>500|装备副本Boss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</si>
</sst>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;[Red]\(#,##0.00\);\-"/>
    <numFmt numFmtId="177" formatCode="0.0%"/>
    <numFmt numFmtId="178" formatCode="0.00#"/>
    <numFmt numFmtId="179" formatCode="yyyy\-mm\-dd\ hh:mm"/>
  </numFmts>
  <fonts count="41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b/>
      <sz val="18"/>
      <color rgb="FFFFFFFF"/>
      <name val="Microsoft YaHei"/>
      <charset val="134"/>
    </font>
    <font>
      <b/>
      <sz val="11"/>
      <color rgb="FF17365D"/>
      <name val="Microsoft YaHei"/>
      <charset val="134"/>
    </font>
    <font>
      <sz val="9"/>
      <color rgb="FF595959"/>
      <name val="Microsoft YaHei"/>
      <charset val="134"/>
    </font>
    <font>
      <b/>
      <sz val="10"/>
      <color rgb="FFFFFFFF"/>
      <name val="Microsoft YaHei"/>
      <charset val="134"/>
    </font>
    <font>
      <sz val="9"/>
      <color rgb="FF000000"/>
      <name val="Microsoft YaHei"/>
      <charset val="134"/>
    </font>
    <font>
      <sz val="9"/>
      <color rgb="FF008000"/>
      <name val="Microsoft YaHei"/>
      <charset val="134"/>
    </font>
    <font>
      <sz val="9"/>
      <color rgb="FF0000FF"/>
      <name val="Microsoft YaHei"/>
      <charset val="134"/>
    </font>
    <font>
      <b/>
      <sz val="9"/>
      <color rgb="FF0000FF"/>
      <name val="Microsoft YaHei"/>
      <charset val="134"/>
    </font>
    <font>
      <sz val="12"/>
      <color theme="10"/>
      <name val="宋体"/>
      <charset val="134"/>
      <scheme val="minor"/>
    </font>
    <font>
      <sz val="10"/>
      <color rgb="FF000000"/>
      <name val="Microsoft YaHei"/>
      <charset val="134"/>
    </font>
    <font>
      <b/>
      <sz val="12"/>
      <color rgb="FF17365D"/>
      <name val="Microsoft YaHei"/>
      <charset val="134"/>
    </font>
    <font>
      <b/>
      <sz val="11"/>
      <color rgb="FF1F4E78"/>
      <name val="Microsoft YaHei"/>
      <charset val="134"/>
    </font>
    <font>
      <sz val="11"/>
      <color rgb="FF000000"/>
      <name val="Microsoft YaHei"/>
      <charset val="134"/>
    </font>
    <font>
      <b/>
      <sz val="11"/>
      <color rgb="FF0000FF"/>
      <name val="Microsoft YaHei"/>
      <charset val="134"/>
    </font>
    <font>
      <sz val="11"/>
      <name val="Microsoft YaHei"/>
      <charset val="134"/>
    </font>
    <font>
      <b/>
      <sz val="11"/>
      <color rgb="FF008000"/>
      <name val="Microsoft YaHei"/>
      <charset val="134"/>
    </font>
    <font>
      <b/>
      <sz val="11"/>
      <color rgb="FF000000"/>
      <name val="Microsoft YaHei"/>
      <charset val="134"/>
    </font>
    <font>
      <sz val="9"/>
      <name val="Microsoft YaHei"/>
      <charset val="134"/>
    </font>
    <font>
      <b/>
      <u/>
      <sz val="11"/>
      <color rgb="FF0563C1"/>
      <name val="Microsoft YaHei"/>
      <charset val="134"/>
    </font>
    <font>
      <sz val="11"/>
      <color rgb="FF595959"/>
      <name val="Microsoft YaHei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/>
    <xf numFmtId="0" fontId="22" fillId="0" borderId="0">
      <alignment vertical="center"/>
    </xf>
    <xf numFmtId="0" fontId="0" fillId="9" borderId="4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6" fillId="0" borderId="5">
      <alignment vertical="center"/>
    </xf>
    <xf numFmtId="0" fontId="27" fillId="0" borderId="5">
      <alignment vertical="center"/>
    </xf>
    <xf numFmtId="0" fontId="28" fillId="0" borderId="6">
      <alignment vertical="center"/>
    </xf>
    <xf numFmtId="0" fontId="28" fillId="0" borderId="0">
      <alignment vertical="center"/>
    </xf>
    <xf numFmtId="0" fontId="29" fillId="10" borderId="7">
      <alignment vertical="center"/>
    </xf>
    <xf numFmtId="0" fontId="30" fillId="5" borderId="8">
      <alignment vertical="center"/>
    </xf>
    <xf numFmtId="0" fontId="31" fillId="5" borderId="7">
      <alignment vertical="center"/>
    </xf>
    <xf numFmtId="0" fontId="32" fillId="11" borderId="9">
      <alignment vertical="center"/>
    </xf>
    <xf numFmtId="0" fontId="33" fillId="0" borderId="10">
      <alignment vertical="center"/>
    </xf>
    <xf numFmtId="0" fontId="34" fillId="0" borderId="11">
      <alignment vertical="center"/>
    </xf>
    <xf numFmtId="0" fontId="35" fillId="12" borderId="0">
      <alignment vertical="center"/>
    </xf>
    <xf numFmtId="0" fontId="36" fillId="13" borderId="0">
      <alignment vertical="center"/>
    </xf>
    <xf numFmtId="0" fontId="37" fillId="14" borderId="0">
      <alignment vertical="center"/>
    </xf>
    <xf numFmtId="0" fontId="38" fillId="15" borderId="0">
      <alignment vertical="center"/>
    </xf>
    <xf numFmtId="0" fontId="39" fillId="16" borderId="0">
      <alignment vertical="center"/>
    </xf>
    <xf numFmtId="0" fontId="39" fillId="17" borderId="0">
      <alignment vertical="center"/>
    </xf>
    <xf numFmtId="0" fontId="38" fillId="18" borderId="0">
      <alignment vertical="center"/>
    </xf>
    <xf numFmtId="0" fontId="38" fillId="19" borderId="0">
      <alignment vertical="center"/>
    </xf>
    <xf numFmtId="0" fontId="39" fillId="20" borderId="0">
      <alignment vertical="center"/>
    </xf>
    <xf numFmtId="0" fontId="39" fillId="21" borderId="0">
      <alignment vertical="center"/>
    </xf>
    <xf numFmtId="0" fontId="38" fillId="22" borderId="0">
      <alignment vertical="center"/>
    </xf>
    <xf numFmtId="0" fontId="38" fillId="23" borderId="0">
      <alignment vertical="center"/>
    </xf>
    <xf numFmtId="0" fontId="39" fillId="24" borderId="0">
      <alignment vertical="center"/>
    </xf>
    <xf numFmtId="0" fontId="39" fillId="25" borderId="0">
      <alignment vertical="center"/>
    </xf>
    <xf numFmtId="0" fontId="38" fillId="26" borderId="0">
      <alignment vertical="center"/>
    </xf>
    <xf numFmtId="0" fontId="38" fillId="27" borderId="0">
      <alignment vertical="center"/>
    </xf>
    <xf numFmtId="0" fontId="39" fillId="28" borderId="0">
      <alignment vertical="center"/>
    </xf>
    <xf numFmtId="0" fontId="39" fillId="29" borderId="0">
      <alignment vertical="center"/>
    </xf>
    <xf numFmtId="0" fontId="38" fillId="30" borderId="0">
      <alignment vertical="center"/>
    </xf>
    <xf numFmtId="0" fontId="38" fillId="31" borderId="0">
      <alignment vertical="center"/>
    </xf>
    <xf numFmtId="0" fontId="39" fillId="32" borderId="0">
      <alignment vertical="center"/>
    </xf>
    <xf numFmtId="0" fontId="39" fillId="33" borderId="0">
      <alignment vertical="center"/>
    </xf>
    <xf numFmtId="0" fontId="38" fillId="34" borderId="0">
      <alignment vertical="center"/>
    </xf>
    <xf numFmtId="0" fontId="38" fillId="35" borderId="0">
      <alignment vertical="center"/>
    </xf>
    <xf numFmtId="0" fontId="39" fillId="36" borderId="0">
      <alignment vertical="center"/>
    </xf>
    <xf numFmtId="0" fontId="39" fillId="37" borderId="0">
      <alignment vertical="center"/>
    </xf>
    <xf numFmtId="0" fontId="38" fillId="38" borderId="0">
      <alignment vertical="center"/>
    </xf>
  </cellStyleXfs>
  <cellXfs count="44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left" vertical="center"/>
    </xf>
    <xf numFmtId="0" fontId="3" fillId="4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 wrapText="1"/>
    </xf>
    <xf numFmtId="1" fontId="4" fillId="5" borderId="2" xfId="0" applyNumberFormat="1" applyFont="1" applyFill="1" applyBorder="1" applyAlignment="1">
      <alignment vertical="center"/>
    </xf>
    <xf numFmtId="1" fontId="6" fillId="5" borderId="2" xfId="0" applyNumberFormat="1" applyFont="1" applyFill="1" applyBorder="1" applyAlignment="1">
      <alignment vertical="center"/>
    </xf>
    <xf numFmtId="176" fontId="4" fillId="5" borderId="2" xfId="0" applyNumberFormat="1" applyFont="1" applyFill="1" applyBorder="1" applyAlignment="1">
      <alignment vertical="center"/>
    </xf>
    <xf numFmtId="176" fontId="7" fillId="5" borderId="2" xfId="0" applyNumberFormat="1" applyFont="1" applyFill="1" applyBorder="1" applyAlignment="1">
      <alignment vertical="center"/>
    </xf>
    <xf numFmtId="177" fontId="6" fillId="5" borderId="2" xfId="0" applyNumberFormat="1" applyFont="1" applyFill="1" applyBorder="1" applyAlignment="1">
      <alignment vertical="center"/>
    </xf>
    <xf numFmtId="176" fontId="6" fillId="5" borderId="2" xfId="0" applyNumberFormat="1" applyFont="1" applyFill="1" applyBorder="1" applyAlignment="1">
      <alignment vertical="center"/>
    </xf>
    <xf numFmtId="178" fontId="6" fillId="5" borderId="2" xfId="0" applyNumberFormat="1" applyFont="1" applyFill="1" applyBorder="1" applyAlignment="1">
      <alignment vertical="center"/>
    </xf>
    <xf numFmtId="0" fontId="6" fillId="5" borderId="2" xfId="0" applyFont="1" applyFill="1" applyBorder="1" applyAlignment="1">
      <alignment vertical="center"/>
    </xf>
    <xf numFmtId="1" fontId="8" fillId="0" borderId="2" xfId="0" applyNumberFormat="1" applyFont="1" applyBorder="1" applyAlignment="1">
      <alignment vertical="center"/>
    </xf>
    <xf numFmtId="1" fontId="8" fillId="6" borderId="2" xfId="0" applyNumberFormat="1" applyFont="1" applyFill="1" applyBorder="1" applyAlignment="1">
      <alignment vertical="center"/>
    </xf>
    <xf numFmtId="1" fontId="6" fillId="0" borderId="2" xfId="0" applyNumberFormat="1" applyFont="1" applyBorder="1" applyAlignment="1">
      <alignment vertical="center"/>
    </xf>
    <xf numFmtId="1" fontId="9" fillId="7" borderId="2" xfId="0" applyNumberFormat="1" applyFont="1" applyFill="1" applyBorder="1" applyAlignment="1">
      <alignment vertical="center"/>
    </xf>
    <xf numFmtId="176" fontId="8" fillId="6" borderId="2" xfId="0" applyNumberFormat="1" applyFont="1" applyFill="1" applyBorder="1" applyAlignment="1">
      <alignment vertical="center"/>
    </xf>
    <xf numFmtId="176" fontId="7" fillId="0" borderId="2" xfId="0" applyNumberFormat="1" applyFont="1" applyBorder="1" applyAlignment="1">
      <alignment vertical="center"/>
    </xf>
    <xf numFmtId="177" fontId="6" fillId="0" borderId="2" xfId="0" applyNumberFormat="1" applyFont="1" applyBorder="1" applyAlignment="1">
      <alignment vertical="center"/>
    </xf>
    <xf numFmtId="176" fontId="6" fillId="0" borderId="2" xfId="0" applyNumberFormat="1" applyFont="1" applyBorder="1" applyAlignment="1">
      <alignment vertical="center"/>
    </xf>
    <xf numFmtId="178" fontId="6" fillId="0" borderId="2" xfId="0" applyNumberFormat="1" applyFont="1" applyBorder="1" applyAlignment="1">
      <alignment vertical="center"/>
    </xf>
    <xf numFmtId="0" fontId="10" fillId="0" borderId="0" xfId="6"/>
    <xf numFmtId="0" fontId="11" fillId="0" borderId="2" xfId="0" applyFont="1" applyBorder="1" applyAlignment="1">
      <alignment vertical="center"/>
    </xf>
    <xf numFmtId="0" fontId="11" fillId="0" borderId="2" xfId="0" applyFont="1" applyBorder="1" applyAlignment="1">
      <alignment vertical="center" wrapText="1"/>
    </xf>
    <xf numFmtId="177" fontId="11" fillId="0" borderId="2" xfId="0" applyNumberFormat="1" applyFont="1" applyBorder="1" applyAlignment="1">
      <alignment vertical="center"/>
    </xf>
    <xf numFmtId="0" fontId="1" fillId="3" borderId="3" xfId="0" applyFont="1" applyFill="1" applyBorder="1"/>
    <xf numFmtId="177" fontId="1" fillId="3" borderId="3" xfId="0" applyNumberFormat="1" applyFont="1" applyFill="1" applyBorder="1"/>
    <xf numFmtId="0" fontId="12" fillId="7" borderId="0" xfId="0" applyFont="1" applyFill="1" applyAlignment="1">
      <alignment vertical="center" wrapText="1"/>
    </xf>
    <xf numFmtId="0" fontId="13" fillId="0" borderId="0" xfId="0" applyFont="1"/>
    <xf numFmtId="0" fontId="14" fillId="0" borderId="0" xfId="0" applyFont="1" applyAlignment="1">
      <alignment vertical="center" wrapText="1"/>
    </xf>
    <xf numFmtId="0" fontId="15" fillId="7" borderId="0" xfId="0" applyFont="1" applyFill="1"/>
    <xf numFmtId="0" fontId="16" fillId="0" borderId="0" xfId="0" applyFont="1"/>
    <xf numFmtId="0" fontId="15" fillId="6" borderId="0" xfId="0" applyFont="1" applyFill="1"/>
    <xf numFmtId="0" fontId="17" fillId="8" borderId="0" xfId="0" applyFont="1" applyFill="1"/>
    <xf numFmtId="0" fontId="18" fillId="8" borderId="0" xfId="0" applyFont="1" applyFill="1"/>
    <xf numFmtId="0" fontId="19" fillId="0" borderId="2" xfId="0" applyFont="1" applyBorder="1" applyAlignment="1">
      <alignment vertical="top" wrapText="1"/>
    </xf>
    <xf numFmtId="179" fontId="19" fillId="0" borderId="2" xfId="0" applyNumberFormat="1" applyFont="1" applyBorder="1" applyAlignment="1">
      <alignment vertical="top" wrapText="1"/>
    </xf>
    <xf numFmtId="0" fontId="16" fillId="0" borderId="0" xfId="0" applyFont="1" applyAlignment="1">
      <alignment vertical="center" wrapText="1"/>
    </xf>
    <xf numFmtId="0" fontId="20" fillId="4" borderId="0" xfId="6" applyFont="1" applyFill="1"/>
    <xf numFmtId="0" fontId="2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8CBAD"/>
        </patternFill>
      </fill>
    </dxf>
    <dxf>
      <font>
        <name val="Microsoft YaHei"/>
        <scheme val="none"/>
        <b val="1"/>
        <color rgb="FFC00000"/>
      </font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ModeSummary" displayName="ModeSummary" ref="A4:L16">
  <autoFilter xmlns:etc="http://www.wps.cn/officeDocument/2017/etCustomData" ref="A4:L16" etc:filterBottomFollowUsedRange="0"/>
  <tableColumns count="12">
    <tableColumn id="1" name="玩法"/>
    <tableColumn id="2" name="状态"/>
    <tableColumn id="3" name="节点口径"/>
    <tableColumn id="4" name="节点数"/>
    <tableColumn id="5" name="需填等级"/>
    <tableColumn id="6" name="已填有效"/>
    <tableColumn id="7" name="完成率"/>
    <tableColumn id="8" name="最低等级"/>
    <tableColumn id="9" name="最高等级"/>
    <tableColumn id="10" name="等级下降"/>
    <tableColumn id="11" name="超范围"/>
    <tableColumn id="12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ifficulty_Main" displayName="Difficulty_Main" ref="A4:AD103">
  <autoFilter xmlns:etc="http://www.wps.cn/officeDocument/2017/etCustomData" ref="A4:AD103" etc:filterBottomFollowUsedRange="0"/>
  <tableColumns count="30">
    <tableColumn id="1" name="状态"/>
    <tableColumn id="2" name="玩法"/>
    <tableColumn id="3" name="子玩法/共用范围"/>
    <tableColumn id="4" name="节点名称"/>
    <tableColumn id="5" name="LevelId/配置映射"/>
    <tableColumn id="6" name="怪物类型"/>
    <tableColumn id="7" name="默认对照关卡"/>
    <tableColumn id="8" name="手动对照关卡"/>
    <tableColumn id="9" name="实际对照关卡"/>
    <tableColumn id="10" name="怪物等级"/>
    <tableColumn id="11" name="生命系数"/>
    <tableColumn id="12" name="攻击系数"/>
    <tableColumn id="13" name="防御系数"/>
    <tableColumn id="14" name="整关EHP倍率"/>
    <tableColumn id="15" name="攻击压力倍率"/>
    <tableColumn id="16" name="目标时间(s)"/>
    <tableColumn id="17" name="玩家DPS"/>
    <tableColumn id="18" name="玩家队伍EHP"/>
    <tableColumn id="19" name="怪物实际生命"/>
    <tableColumn id="20" name="怪物实际攻击"/>
    <tableColumn id="21" name="怪物实际防御"/>
    <tableColumn id="22" name="怪物减伤率"/>
    <tableColumn id="23" name="整关目标EHP"/>
    <tableColumn id="24" name="预测TTK(s)"/>
    <tableColumn id="25" name="预测存活(s)"/>
    <tableColumn id="26" name="TTK/目标"/>
    <tableColumn id="27" name="难度判断"/>
    <tableColumn id="28" name="等级检查"/>
    <tableColumn id="29" name="等级趋势">
      <calculatedColumnFormula>IF(OR($J5="",ROW()=5,$B5&lt;&gt;$B4,$J4=""),"",IF($J5&lt;$J4,"下降",""))</calculatedColumnFormula>
    </tableColumn>
    <tableColumn id="30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ifficulty_HardMain" displayName="Difficulty_HardMain" ref="A4:AD39">
  <autoFilter xmlns:etc="http://www.wps.cn/officeDocument/2017/etCustomData" ref="A4:AD39" etc:filterBottomFollowUsedRange="0"/>
  <tableColumns count="30">
    <tableColumn id="1" name="状态"/>
    <tableColumn id="2" name="玩法"/>
    <tableColumn id="3" name="子玩法/共用范围"/>
    <tableColumn id="4" name="节点名称"/>
    <tableColumn id="5" name="LevelId/配置映射"/>
    <tableColumn id="6" name="怪物类型"/>
    <tableColumn id="7" name="默认对照关卡"/>
    <tableColumn id="8" name="手动对照关卡"/>
    <tableColumn id="9" name="实际对照关卡"/>
    <tableColumn id="10" name="怪物等级"/>
    <tableColumn id="11" name="生命系数"/>
    <tableColumn id="12" name="攻击系数"/>
    <tableColumn id="13" name="防御系数"/>
    <tableColumn id="14" name="整关EHP倍率"/>
    <tableColumn id="15" name="攻击压力倍率"/>
    <tableColumn id="16" name="目标时间(s)"/>
    <tableColumn id="17" name="玩家DPS"/>
    <tableColumn id="18" name="玩家队伍EHP"/>
    <tableColumn id="19" name="怪物实际生命"/>
    <tableColumn id="20" name="怪物实际攻击"/>
    <tableColumn id="21" name="怪物实际防御"/>
    <tableColumn id="22" name="怪物减伤率"/>
    <tableColumn id="23" name="整关目标EHP"/>
    <tableColumn id="24" name="预测TTK(s)"/>
    <tableColumn id="25" name="预测存活(s)"/>
    <tableColumn id="26" name="TTK/目标"/>
    <tableColumn id="27" name="难度判断"/>
    <tableColumn id="28" name="等级检查"/>
    <tableColumn id="29" name="等级趋势"/>
    <tableColumn id="30" name="备注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ifficulty_RoleExp" displayName="Difficulty_RoleExp" ref="A4:AD13">
  <autoFilter xmlns:etc="http://www.wps.cn/officeDocument/2017/etCustomData" ref="A4:AD13" etc:filterBottomFollowUsedRange="0"/>
  <tableColumns count="30">
    <tableColumn id="1" name="状态"/>
    <tableColumn id="2" name="玩法"/>
    <tableColumn id="3" name="子玩法/共用范围"/>
    <tableColumn id="4" name="节点名称"/>
    <tableColumn id="5" name="LevelId/配置映射"/>
    <tableColumn id="6" name="怪物类型"/>
    <tableColumn id="7" name="默认对照关卡"/>
    <tableColumn id="8" name="手动对照关卡"/>
    <tableColumn id="9" name="实际对照关卡"/>
    <tableColumn id="10" name="怪物等级"/>
    <tableColumn id="11" name="生命系数"/>
    <tableColumn id="12" name="攻击系数"/>
    <tableColumn id="13" name="防御系数"/>
    <tableColumn id="14" name="整关EHP倍率"/>
    <tableColumn id="15" name="攻击压力倍率"/>
    <tableColumn id="16" name="目标时间(s)"/>
    <tableColumn id="17" name="玩家DPS"/>
    <tableColumn id="18" name="玩家队伍EHP"/>
    <tableColumn id="19" name="怪物实际生命"/>
    <tableColumn id="20" name="怪物实际攻击"/>
    <tableColumn id="21" name="怪物实际防御"/>
    <tableColumn id="22" name="怪物减伤率"/>
    <tableColumn id="23" name="整关目标EHP"/>
    <tableColumn id="24" name="预测TTK(s)"/>
    <tableColumn id="25" name="预测存活(s)"/>
    <tableColumn id="26" name="TTK/目标"/>
    <tableColumn id="27" name="难度判断"/>
    <tableColumn id="28" name="等级检查"/>
    <tableColumn id="29" name="等级趋势"/>
    <tableColumn id="30" name="备注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ifficulty_Coin" displayName="Difficulty_Coin" ref="A4:AD13">
  <autoFilter xmlns:etc="http://www.wps.cn/officeDocument/2017/etCustomData" ref="A4:AD13" etc:filterBottomFollowUsedRange="0"/>
  <tableColumns count="30">
    <tableColumn id="1" name="状态"/>
    <tableColumn id="2" name="玩法"/>
    <tableColumn id="3" name="子玩法/共用范围"/>
    <tableColumn id="4" name="节点名称"/>
    <tableColumn id="5" name="LevelId/配置映射"/>
    <tableColumn id="6" name="怪物类型"/>
    <tableColumn id="7" name="默认对照关卡"/>
    <tableColumn id="8" name="手动对照关卡"/>
    <tableColumn id="9" name="实际对照关卡"/>
    <tableColumn id="10" name="怪物等级"/>
    <tableColumn id="11" name="生命系数"/>
    <tableColumn id="12" name="攻击系数"/>
    <tableColumn id="13" name="防御系数"/>
    <tableColumn id="14" name="整关EHP倍率"/>
    <tableColumn id="15" name="攻击压力倍率"/>
    <tableColumn id="16" name="目标时间(s)"/>
    <tableColumn id="17" name="玩家DPS"/>
    <tableColumn id="18" name="玩家队伍EHP"/>
    <tableColumn id="19" name="怪物实际生命"/>
    <tableColumn id="20" name="怪物实际攻击"/>
    <tableColumn id="21" name="怪物实际防御"/>
    <tableColumn id="22" name="怪物减伤率"/>
    <tableColumn id="23" name="整关目标EHP"/>
    <tableColumn id="24" name="预测TTK(s)"/>
    <tableColumn id="25" name="预测存活(s)"/>
    <tableColumn id="26" name="TTK/目标"/>
    <tableColumn id="27" name="难度判断"/>
    <tableColumn id="28" name="等级检查"/>
    <tableColumn id="29" name="等级趋势"/>
    <tableColumn id="30" name="备注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ifficulty_ContainmentExp" displayName="Difficulty_ContainmentExp" ref="A4:AD13">
  <autoFilter xmlns:etc="http://www.wps.cn/officeDocument/2017/etCustomData" ref="A4:AD13" etc:filterBottomFollowUsedRange="0"/>
  <tableColumns count="30">
    <tableColumn id="1" name="状态"/>
    <tableColumn id="2" name="玩法"/>
    <tableColumn id="3" name="子玩法/共用范围"/>
    <tableColumn id="4" name="节点名称"/>
    <tableColumn id="5" name="LevelId/配置映射"/>
    <tableColumn id="6" name="怪物类型"/>
    <tableColumn id="7" name="默认对照关卡"/>
    <tableColumn id="8" name="手动对照关卡"/>
    <tableColumn id="9" name="实际对照关卡"/>
    <tableColumn id="10" name="怪物等级"/>
    <tableColumn id="11" name="生命系数"/>
    <tableColumn id="12" name="攻击系数"/>
    <tableColumn id="13" name="防御系数"/>
    <tableColumn id="14" name="整关EHP倍率"/>
    <tableColumn id="15" name="攻击压力倍率"/>
    <tableColumn id="16" name="目标时间(s)"/>
    <tableColumn id="17" name="玩家DPS"/>
    <tableColumn id="18" name="玩家队伍EHP"/>
    <tableColumn id="19" name="怪物实际生命"/>
    <tableColumn id="20" name="怪物实际攻击"/>
    <tableColumn id="21" name="怪物实际防御"/>
    <tableColumn id="22" name="怪物减伤率"/>
    <tableColumn id="23" name="整关目标EHP"/>
    <tableColumn id="24" name="预测TTK(s)"/>
    <tableColumn id="25" name="预测存活(s)"/>
    <tableColumn id="26" name="TTK/目标"/>
    <tableColumn id="27" name="难度判断"/>
    <tableColumn id="28" name="等级检查"/>
    <tableColumn id="29" name="等级趋势"/>
    <tableColumn id="30" name="备注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Difficulty_Travel" displayName="Difficulty_Travel" ref="A4:AD14">
  <autoFilter xmlns:etc="http://www.wps.cn/officeDocument/2017/etCustomData" ref="A4:AD14" etc:filterBottomFollowUsedRange="0"/>
  <tableColumns count="30">
    <tableColumn id="1" name="状态"/>
    <tableColumn id="2" name="玩法"/>
    <tableColumn id="3" name="子玩法/共用范围"/>
    <tableColumn id="4" name="节点名称"/>
    <tableColumn id="5" name="LevelId/配置映射"/>
    <tableColumn id="6" name="怪物类型"/>
    <tableColumn id="7" name="默认对照关卡"/>
    <tableColumn id="8" name="手动对照关卡"/>
    <tableColumn id="9" name="实际对照关卡"/>
    <tableColumn id="10" name="怪物等级"/>
    <tableColumn id="11" name="生命系数"/>
    <tableColumn id="12" name="攻击系数"/>
    <tableColumn id="13" name="防御系数"/>
    <tableColumn id="14" name="整关EHP倍率"/>
    <tableColumn id="15" name="攻击压力倍率"/>
    <tableColumn id="16" name="目标时间(s)"/>
    <tableColumn id="17" name="玩家DPS"/>
    <tableColumn id="18" name="玩家队伍EHP"/>
    <tableColumn id="19" name="怪物实际生命"/>
    <tableColumn id="20" name="怪物实际攻击"/>
    <tableColumn id="21" name="怪物实际防御"/>
    <tableColumn id="22" name="怪物减伤率"/>
    <tableColumn id="23" name="整关目标EHP"/>
    <tableColumn id="24" name="预测TTK(s)"/>
    <tableColumn id="25" name="预测存活(s)"/>
    <tableColumn id="26" name="TTK/目标"/>
    <tableColumn id="27" name="难度判断"/>
    <tableColumn id="28" name="等级检查"/>
    <tableColumn id="29" name="等级趋势"/>
    <tableColumn id="30" name="备注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Difficulty_Mapping" displayName="Difficulty_Mapping" ref="A4:AD34">
  <autoFilter xmlns:etc="http://www.wps.cn/officeDocument/2017/etCustomData" ref="A4:AD34" etc:filterBottomFollowUsedRange="0"/>
  <tableColumns count="30">
    <tableColumn id="1" name="状态"/>
    <tableColumn id="2" name="玩法"/>
    <tableColumn id="3" name="子玩法/共用范围"/>
    <tableColumn id="4" name="节点名称"/>
    <tableColumn id="5" name="LevelId/配置映射"/>
    <tableColumn id="6" name="怪物类型"/>
    <tableColumn id="7" name="默认对照关卡"/>
    <tableColumn id="8" name="手动对照关卡"/>
    <tableColumn id="9" name="实际对照关卡"/>
    <tableColumn id="10" name="怪物等级"/>
    <tableColumn id="11" name="生命系数"/>
    <tableColumn id="12" name="攻击系数"/>
    <tableColumn id="13" name="防御系数"/>
    <tableColumn id="14" name="整关EHP倍率"/>
    <tableColumn id="15" name="攻击压力倍率"/>
    <tableColumn id="16" name="目标时间(s)"/>
    <tableColumn id="17" name="玩家DPS"/>
    <tableColumn id="18" name="玩家队伍EHP"/>
    <tableColumn id="19" name="怪物实际生命"/>
    <tableColumn id="20" name="怪物实际攻击"/>
    <tableColumn id="21" name="怪物实际防御"/>
    <tableColumn id="22" name="怪物减伤率"/>
    <tableColumn id="23" name="整关目标EHP"/>
    <tableColumn id="24" name="预测TTK(s)"/>
    <tableColumn id="25" name="预测存活(s)"/>
    <tableColumn id="26" name="TTK/目标"/>
    <tableColumn id="27" name="难度判断"/>
    <tableColumn id="28" name="等级检查"/>
    <tableColumn id="29" name="等级趋势"/>
    <tableColumn id="30" name="备注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Difficulty_Tower" displayName="Difficulty_Tower" ref="A4:AD104">
  <autoFilter xmlns:etc="http://www.wps.cn/officeDocument/2017/etCustomData" ref="A4:AD104" etc:filterBottomFollowUsedRange="0"/>
  <tableColumns count="30">
    <tableColumn id="1" name="状态"/>
    <tableColumn id="2" name="玩法"/>
    <tableColumn id="3" name="子玩法/共用范围"/>
    <tableColumn id="4" name="节点名称"/>
    <tableColumn id="5" name="LevelId/配置映射"/>
    <tableColumn id="6" name="怪物类型"/>
    <tableColumn id="7" name="默认对照关卡"/>
    <tableColumn id="8" name="手动对照关卡"/>
    <tableColumn id="9" name="实际对照关卡"/>
    <tableColumn id="10" name="怪物等级"/>
    <tableColumn id="11" name="生命系数"/>
    <tableColumn id="12" name="攻击系数"/>
    <tableColumn id="13" name="防御系数"/>
    <tableColumn id="14" name="整关EHP倍率"/>
    <tableColumn id="15" name="攻击压力倍率"/>
    <tableColumn id="16" name="目标时间(s)"/>
    <tableColumn id="17" name="玩家DPS"/>
    <tableColumn id="18" name="玩家队伍EHP"/>
    <tableColumn id="19" name="怪物实际生命"/>
    <tableColumn id="20" name="怪物实际攻击"/>
    <tableColumn id="21" name="怪物实际防御"/>
    <tableColumn id="22" name="怪物减伤率"/>
    <tableColumn id="23" name="整关目标EHP"/>
    <tableColumn id="24" name="预测TTK(s)"/>
    <tableColumn id="25" name="预测存活(s)"/>
    <tableColumn id="26" name="TTK/目标"/>
    <tableColumn id="27" name="难度判断"/>
    <tableColumn id="28" name="等级检查"/>
    <tableColumn id="29" name="等级趋势"/>
    <tableColumn id="30" name="备注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Difficulty_BossChallenge" displayName="Difficulty_BossChallenge" ref="A4:AD14">
  <autoFilter xmlns:etc="http://www.wps.cn/officeDocument/2017/etCustomData" ref="A4:AD14" etc:filterBottomFollowUsedRange="0"/>
  <tableColumns count="30">
    <tableColumn id="1" name="状态"/>
    <tableColumn id="2" name="玩法"/>
    <tableColumn id="3" name="子玩法/共用范围"/>
    <tableColumn id="4" name="节点名称"/>
    <tableColumn id="5" name="LevelId/配置映射"/>
    <tableColumn id="6" name="怪物类型"/>
    <tableColumn id="7" name="默认对照关卡"/>
    <tableColumn id="8" name="手动对照关卡"/>
    <tableColumn id="9" name="实际对照关卡"/>
    <tableColumn id="10" name="怪物等级"/>
    <tableColumn id="11" name="生命系数"/>
    <tableColumn id="12" name="攻击系数"/>
    <tableColumn id="13" name="防御系数"/>
    <tableColumn id="14" name="整关EHP倍率"/>
    <tableColumn id="15" name="攻击压力倍率"/>
    <tableColumn id="16" name="目标时间(s)"/>
    <tableColumn id="17" name="玩家DPS"/>
    <tableColumn id="18" name="玩家队伍EHP"/>
    <tableColumn id="19" name="怪物实际生命"/>
    <tableColumn id="20" name="怪物实际攻击"/>
    <tableColumn id="21" name="怪物实际防御"/>
    <tableColumn id="22" name="怪物减伤率"/>
    <tableColumn id="23" name="整关目标EHP"/>
    <tableColumn id="24" name="预测TTK(s)"/>
    <tableColumn id="25" name="预测存活(s)"/>
    <tableColumn id="26" name="TTK/目标"/>
    <tableColumn id="27" name="难度判断"/>
    <tableColumn id="28" name="等级检查"/>
    <tableColumn id="29" name="等级趋势"/>
    <tableColumn id="30" name="备注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Difficulty_Rogue" displayName="Difficulty_Rogue" ref="A4:AD9">
  <autoFilter xmlns:etc="http://www.wps.cn/officeDocument/2017/etCustomData" ref="A4:AD9" etc:filterBottomFollowUsedRange="0"/>
  <tableColumns count="30">
    <tableColumn id="1" name="状态"/>
    <tableColumn id="2" name="玩法"/>
    <tableColumn id="3" name="子玩法/共用范围"/>
    <tableColumn id="4" name="节点名称"/>
    <tableColumn id="5" name="LevelId/配置映射"/>
    <tableColumn id="6" name="怪物类型"/>
    <tableColumn id="7" name="默认对照关卡"/>
    <tableColumn id="8" name="手动对照关卡"/>
    <tableColumn id="9" name="实际对照关卡"/>
    <tableColumn id="10" name="怪物等级"/>
    <tableColumn id="11" name="生命系数"/>
    <tableColumn id="12" name="攻击系数"/>
    <tableColumn id="13" name="防御系数"/>
    <tableColumn id="14" name="整关EHP倍率"/>
    <tableColumn id="15" name="攻击压力倍率"/>
    <tableColumn id="16" name="目标时间(s)"/>
    <tableColumn id="17" name="玩家DPS"/>
    <tableColumn id="18" name="玩家队伍EHP"/>
    <tableColumn id="19" name="怪物实际生命"/>
    <tableColumn id="20" name="怪物实际攻击"/>
    <tableColumn id="21" name="怪物实际防御"/>
    <tableColumn id="22" name="怪物减伤率"/>
    <tableColumn id="23" name="整关目标EHP"/>
    <tableColumn id="24" name="预测TTK(s)"/>
    <tableColumn id="25" name="预测存活(s)"/>
    <tableColumn id="26" name="TTK/目标"/>
    <tableColumn id="27" name="难度判断"/>
    <tableColumn id="28" name="等级检查"/>
    <tableColumn id="29" name="等级趋势"/>
    <tableColumn id="30" name="备注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Difficulty_Mythic" displayName="Difficulty_Mythic" ref="A4:AD29">
  <autoFilter xmlns:etc="http://www.wps.cn/officeDocument/2017/etCustomData" ref="A4:AD29" etc:filterBottomFollowUsedRange="0"/>
  <tableColumns count="30">
    <tableColumn id="1" name="状态"/>
    <tableColumn id="2" name="玩法"/>
    <tableColumn id="3" name="子玩法/共用范围"/>
    <tableColumn id="4" name="节点名称"/>
    <tableColumn id="5" name="LevelId/配置映射"/>
    <tableColumn id="6" name="怪物类型"/>
    <tableColumn id="7" name="默认对照关卡"/>
    <tableColumn id="8" name="手动对照关卡"/>
    <tableColumn id="9" name="实际对照关卡"/>
    <tableColumn id="10" name="怪物等级"/>
    <tableColumn id="11" name="生命系数"/>
    <tableColumn id="12" name="攻击系数"/>
    <tableColumn id="13" name="防御系数"/>
    <tableColumn id="14" name="整关EHP倍率"/>
    <tableColumn id="15" name="攻击压力倍率"/>
    <tableColumn id="16" name="目标时间(s)"/>
    <tableColumn id="17" name="玩家DPS"/>
    <tableColumn id="18" name="玩家队伍EHP"/>
    <tableColumn id="19" name="怪物实际生命"/>
    <tableColumn id="20" name="怪物实际攻击"/>
    <tableColumn id="21" name="怪物实际防御"/>
    <tableColumn id="22" name="怪物减伤率"/>
    <tableColumn id="23" name="整关目标EHP"/>
    <tableColumn id="24" name="预测TTK(s)"/>
    <tableColumn id="25" name="预测存活(s)"/>
    <tableColumn id="26" name="TTK/目标"/>
    <tableColumn id="27" name="难度判断"/>
    <tableColumn id="28" name="等级检查"/>
    <tableColumn id="29" name="等级趋势"/>
    <tableColumn id="30" name="备注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Difficulty_PVPVE" displayName="Difficulty_PVPVE" ref="A4:AD6">
  <autoFilter xmlns:etc="http://www.wps.cn/officeDocument/2017/etCustomData" ref="A4:AD6" etc:filterBottomFollowUsedRange="0"/>
  <tableColumns count="30">
    <tableColumn id="1" name="状态"/>
    <tableColumn id="2" name="玩法"/>
    <tableColumn id="3" name="子玩法/共用范围"/>
    <tableColumn id="4" name="节点名称"/>
    <tableColumn id="5" name="LevelId/配置映射"/>
    <tableColumn id="6" name="怪物类型"/>
    <tableColumn id="7" name="默认对照关卡"/>
    <tableColumn id="8" name="手动对照关卡"/>
    <tableColumn id="9" name="实际对照关卡"/>
    <tableColumn id="10" name="怪物等级"/>
    <tableColumn id="11" name="生命系数"/>
    <tableColumn id="12" name="攻击系数"/>
    <tableColumn id="13" name="防御系数"/>
    <tableColumn id="14" name="整关EHP倍率"/>
    <tableColumn id="15" name="攻击压力倍率"/>
    <tableColumn id="16" name="目标时间(s)"/>
    <tableColumn id="17" name="玩家DPS"/>
    <tableColumn id="18" name="玩家队伍EHP"/>
    <tableColumn id="19" name="怪物实际生命"/>
    <tableColumn id="20" name="怪物实际攻击"/>
    <tableColumn id="21" name="怪物实际防御"/>
    <tableColumn id="22" name="怪物减伤率"/>
    <tableColumn id="23" name="整关目标EHP"/>
    <tableColumn id="24" name="预测TTK(s)"/>
    <tableColumn id="25" name="预测存活(s)"/>
    <tableColumn id="26" name="TTK/目标"/>
    <tableColumn id="27" name="难度判断"/>
    <tableColumn id="28" name="等级检查"/>
    <tableColumn id="29" name="等级趋势"/>
    <tableColumn id="30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#'Boss&#25361;&#25112;'!A1" TargetMode="External"/><Relationship Id="rId8" Type="http://schemas.openxmlformats.org/officeDocument/2006/relationships/hyperlink" Target="#'&#29228;&#22612;'!A1" TargetMode="External"/><Relationship Id="rId7" Type="http://schemas.openxmlformats.org/officeDocument/2006/relationships/hyperlink" Target="#'&#26144;&#23556;'!A1" TargetMode="External"/><Relationship Id="rId6" Type="http://schemas.openxmlformats.org/officeDocument/2006/relationships/hyperlink" Target="#'&#26053;&#21048;'!A1" TargetMode="External"/><Relationship Id="rId5" Type="http://schemas.openxmlformats.org/officeDocument/2006/relationships/hyperlink" Target="#'&#25910;&#23481;&#32463;&#39564;'!A1" TargetMode="External"/><Relationship Id="rId4" Type="http://schemas.openxmlformats.org/officeDocument/2006/relationships/hyperlink" Target="#'&#37329;&#24065;'!A1" TargetMode="External"/><Relationship Id="rId3" Type="http://schemas.openxmlformats.org/officeDocument/2006/relationships/hyperlink" Target="#'&#35282;&#33394;&#32463;&#39564;'!A1" TargetMode="External"/><Relationship Id="rId2" Type="http://schemas.openxmlformats.org/officeDocument/2006/relationships/hyperlink" Target="#'&#22256;&#38590;&#20027;&#32447;'!A1" TargetMode="External"/><Relationship Id="rId12" Type="http://schemas.openxmlformats.org/officeDocument/2006/relationships/hyperlink" Target="#'PVPVE'!A1" TargetMode="External"/><Relationship Id="rId11" Type="http://schemas.openxmlformats.org/officeDocument/2006/relationships/hyperlink" Target="#'&#22823;&#31192;&#22659;'!A1" TargetMode="External"/><Relationship Id="rId10" Type="http://schemas.openxmlformats.org/officeDocument/2006/relationships/hyperlink" Target="#'&#32905;&#40509;'!A1" TargetMode="External"/><Relationship Id="rId1" Type="http://schemas.openxmlformats.org/officeDocument/2006/relationships/hyperlink" Target="#'&#20027;&#32447;'!A1" TargetMode="Externa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#'&#29228;&#22612;'!A1" TargetMode="External"/><Relationship Id="rId8" Type="http://schemas.openxmlformats.org/officeDocument/2006/relationships/hyperlink" Target="#'&#26144;&#23556;'!A1" TargetMode="External"/><Relationship Id="rId7" Type="http://schemas.openxmlformats.org/officeDocument/2006/relationships/hyperlink" Target="#'&#26053;&#21048;'!A1" TargetMode="External"/><Relationship Id="rId6" Type="http://schemas.openxmlformats.org/officeDocument/2006/relationships/hyperlink" Target="#'&#25910;&#23481;&#32463;&#39564;'!A1" TargetMode="External"/><Relationship Id="rId5" Type="http://schemas.openxmlformats.org/officeDocument/2006/relationships/hyperlink" Target="#'&#37329;&#24065;'!A1" TargetMode="External"/><Relationship Id="rId4" Type="http://schemas.openxmlformats.org/officeDocument/2006/relationships/hyperlink" Target="#'&#35282;&#33394;&#32463;&#39564;'!A1" TargetMode="External"/><Relationship Id="rId3" Type="http://schemas.openxmlformats.org/officeDocument/2006/relationships/hyperlink" Target="#'&#22256;&#38590;&#20027;&#32447;'!A1" TargetMode="External"/><Relationship Id="rId2" Type="http://schemas.openxmlformats.org/officeDocument/2006/relationships/hyperlink" Target="#'&#20027;&#32447;'!A1" TargetMode="External"/><Relationship Id="rId13" Type="http://schemas.openxmlformats.org/officeDocument/2006/relationships/hyperlink" Target="#'PVPVE'!A1" TargetMode="External"/><Relationship Id="rId12" Type="http://schemas.openxmlformats.org/officeDocument/2006/relationships/hyperlink" Target="#'&#22823;&#31192;&#22659;'!A1" TargetMode="External"/><Relationship Id="rId11" Type="http://schemas.openxmlformats.org/officeDocument/2006/relationships/hyperlink" Target="#'&#32905;&#40509;'!A1" TargetMode="External"/><Relationship Id="rId10" Type="http://schemas.openxmlformats.org/officeDocument/2006/relationships/hyperlink" Target="#'Boss&#25361;&#25112;'!A1" TargetMode="Externa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hyperlink" Target="#'&#29609;&#27861;&#27719;&#24635;'!A1" TargetMode="External"/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4" Type="http://schemas.openxmlformats.org/officeDocument/2006/relationships/hyperlink" Target="#'&#29609;&#27861;&#27719;&#24635;'!A1" TargetMode="External"/><Relationship Id="rId3" Type="http://schemas.openxmlformats.org/officeDocument/2006/relationships/table" Target="../tables/table3.xml"/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4" Type="http://schemas.openxmlformats.org/officeDocument/2006/relationships/hyperlink" Target="#'&#29609;&#27861;&#27719;&#24635;'!A1" TargetMode="External"/><Relationship Id="rId3" Type="http://schemas.openxmlformats.org/officeDocument/2006/relationships/table" Target="../tables/table4.xml"/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4" Type="http://schemas.openxmlformats.org/officeDocument/2006/relationships/hyperlink" Target="#'&#29609;&#27861;&#27719;&#24635;'!A1" TargetMode="External"/><Relationship Id="rId3" Type="http://schemas.openxmlformats.org/officeDocument/2006/relationships/table" Target="../tables/table5.xml"/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4" Type="http://schemas.openxmlformats.org/officeDocument/2006/relationships/hyperlink" Target="#'&#29609;&#27861;&#27719;&#24635;'!A1" TargetMode="External"/><Relationship Id="rId3" Type="http://schemas.openxmlformats.org/officeDocument/2006/relationships/table" Target="../tables/table6.xml"/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8.xml.rels><?xml version="1.0" encoding="UTF-8" standalone="yes"?>
<Relationships xmlns="http://schemas.openxmlformats.org/package/2006/relationships"><Relationship Id="rId4" Type="http://schemas.openxmlformats.org/officeDocument/2006/relationships/hyperlink" Target="#'&#29609;&#27861;&#27719;&#24635;'!A1" TargetMode="External"/><Relationship Id="rId3" Type="http://schemas.openxmlformats.org/officeDocument/2006/relationships/table" Target="../tables/table7.xml"/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9.xml.rels><?xml version="1.0" encoding="UTF-8" standalone="yes"?>
<Relationships xmlns="http://schemas.openxmlformats.org/package/2006/relationships"><Relationship Id="rId4" Type="http://schemas.openxmlformats.org/officeDocument/2006/relationships/hyperlink" Target="#'&#29609;&#27861;&#27719;&#24635;'!A1" TargetMode="External"/><Relationship Id="rId3" Type="http://schemas.openxmlformats.org/officeDocument/2006/relationships/table" Target="../tables/table8.xml"/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10.xml.rels><?xml version="1.0" encoding="UTF-8" standalone="yes"?>
<Relationships xmlns="http://schemas.openxmlformats.org/package/2006/relationships"><Relationship Id="rId4" Type="http://schemas.openxmlformats.org/officeDocument/2006/relationships/hyperlink" Target="#'&#29609;&#27861;&#27719;&#24635;'!A1" TargetMode="External"/><Relationship Id="rId3" Type="http://schemas.openxmlformats.org/officeDocument/2006/relationships/table" Target="../tables/table9.xml"/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11.xml.rels><?xml version="1.0" encoding="UTF-8" standalone="yes"?>
<Relationships xmlns="http://schemas.openxmlformats.org/package/2006/relationships"><Relationship Id="rId4" Type="http://schemas.openxmlformats.org/officeDocument/2006/relationships/hyperlink" Target="#'&#29609;&#27861;&#27719;&#24635;'!A1" TargetMode="External"/><Relationship Id="rId3" Type="http://schemas.openxmlformats.org/officeDocument/2006/relationships/table" Target="../tables/table10.xml"/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12.xml.rels><?xml version="1.0" encoding="UTF-8" standalone="yes"?>
<Relationships xmlns="http://schemas.openxmlformats.org/package/2006/relationships"><Relationship Id="rId4" Type="http://schemas.openxmlformats.org/officeDocument/2006/relationships/hyperlink" Target="#'&#29609;&#27861;&#27719;&#24635;'!A1" TargetMode="External"/><Relationship Id="rId3" Type="http://schemas.openxmlformats.org/officeDocument/2006/relationships/table" Target="../tables/table11.xml"/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_rels/sheet13.xml.rels><?xml version="1.0" encoding="UTF-8" standalone="yes"?>
<Relationships xmlns="http://schemas.openxmlformats.org/package/2006/relationships"><Relationship Id="rId4" Type="http://schemas.openxmlformats.org/officeDocument/2006/relationships/hyperlink" Target="#'&#29609;&#27861;&#27719;&#24635;'!A1" TargetMode="External"/><Relationship Id="rId3" Type="http://schemas.openxmlformats.org/officeDocument/2006/relationships/table" Target="../tables/table12.xml"/><Relationship Id="rId2" Type="http://schemas.openxmlformats.org/officeDocument/2006/relationships/vmlDrawing" Target="../drawings/vmlDrawing11.vml"/><Relationship Id="rId1" Type="http://schemas.openxmlformats.org/officeDocument/2006/relationships/comments" Target="../comments11.xml"/></Relationships>
</file>

<file path=xl/worksheets/_rels/sheet14.xml.rels><?xml version="1.0" encoding="UTF-8" standalone="yes"?>
<Relationships xmlns="http://schemas.openxmlformats.org/package/2006/relationships"><Relationship Id="rId4" Type="http://schemas.openxmlformats.org/officeDocument/2006/relationships/hyperlink" Target="#'&#29609;&#27861;&#27719;&#24635;'!A1" TargetMode="External"/><Relationship Id="rId3" Type="http://schemas.openxmlformats.org/officeDocument/2006/relationships/table" Target="../tables/table13.xml"/><Relationship Id="rId2" Type="http://schemas.openxmlformats.org/officeDocument/2006/relationships/vmlDrawing" Target="../drawings/vmlDrawing12.vml"/><Relationship Id="rId1" Type="http://schemas.openxmlformats.org/officeDocument/2006/relationships/comments" Target="../comments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7"/>
  <sheetViews>
    <sheetView showGridLines="0" tabSelected="1" workbookViewId="0">
      <pane ySplit="2" topLeftCell="A3" activePane="bottomLeft" state="frozen"/>
      <selection/>
      <selection pane="bottomLeft" activeCell="A1" sqref="A1:I1"/>
    </sheetView>
  </sheetViews>
  <sheetFormatPr defaultColWidth="9" defaultRowHeight="13.5"/>
  <cols>
    <col min="1" max="1" width="17" customWidth="1"/>
    <col min="2" max="3" width="34" customWidth="1"/>
    <col min="4" max="4" width="67" customWidth="1"/>
    <col min="5" max="5" width="20" customWidth="1"/>
    <col min="6" max="9" width="12" customWidth="1"/>
  </cols>
  <sheetData>
    <row r="1" ht="34" customHeight="1" spans="1:2">
      <c r="A1" s="2" t="s">
        <v>0</v>
      </c>
    </row>
    <row r="3" ht="42" customHeight="1" spans="1:2">
      <c r="A3" s="31" t="s">
        <v>1</v>
      </c>
    </row>
    <row r="5" ht="27" customHeight="1" spans="1:2">
      <c r="A5" s="32" t="s">
        <v>2</v>
      </c>
      <c r="B5" s="33" t="s">
        <v>3</v>
      </c>
    </row>
    <row r="6" ht="27" customHeight="1" spans="1:2">
      <c r="A6" s="32" t="s">
        <v>4</v>
      </c>
      <c r="B6" s="33" t="s">
        <v>5</v>
      </c>
    </row>
    <row r="7" ht="27" customHeight="1" spans="1:2">
      <c r="A7" s="32" t="s">
        <v>6</v>
      </c>
      <c r="B7" s="33" t="s">
        <v>7</v>
      </c>
    </row>
    <row r="8" ht="27" customHeight="1" spans="1:2">
      <c r="A8" s="32" t="s">
        <v>8</v>
      </c>
      <c r="B8" s="33" t="s">
        <v>9</v>
      </c>
    </row>
    <row r="9" ht="27" customHeight="1" spans="1:2">
      <c r="A9" s="32" t="s">
        <v>10</v>
      </c>
      <c r="B9" s="33" t="s">
        <v>11</v>
      </c>
    </row>
    <row r="10" ht="27" customHeight="1" spans="1:2">
      <c r="A10" s="32" t="s">
        <v>12</v>
      </c>
      <c r="B10" s="33" t="s">
        <v>13</v>
      </c>
    </row>
    <row r="12" ht="15" customHeight="1" spans="1:2">
      <c r="A12" s="1" t="s">
        <v>14</v>
      </c>
    </row>
    <row r="13" ht="16.5" customHeight="1" spans="1:2">
      <c r="A13" s="34" t="s">
        <v>15</v>
      </c>
      <c r="B13" s="35" t="s">
        <v>16</v>
      </c>
    </row>
    <row r="14" ht="16.5" customHeight="1" spans="1:2">
      <c r="A14" s="36" t="s">
        <v>17</v>
      </c>
      <c r="B14" s="35" t="s">
        <v>18</v>
      </c>
    </row>
    <row r="15" ht="16.5" customHeight="1" spans="1:2">
      <c r="A15" s="37" t="s">
        <v>19</v>
      </c>
      <c r="B15" s="35" t="s">
        <v>20</v>
      </c>
    </row>
    <row r="16" ht="16.5" customHeight="1" spans="1:2">
      <c r="A16" s="38" t="s">
        <v>21</v>
      </c>
      <c r="B16" s="35" t="s">
        <v>22</v>
      </c>
    </row>
    <row r="18" ht="15" customHeight="1" spans="1:5">
      <c r="A18" s="1" t="s">
        <v>23</v>
      </c>
    </row>
    <row r="19" ht="36" customHeight="1" spans="1:5">
      <c r="A19" s="5" t="s">
        <v>24</v>
      </c>
      <c r="B19" s="5" t="s">
        <v>25</v>
      </c>
      <c r="C19" s="5" t="s">
        <v>26</v>
      </c>
      <c r="D19" s="5" t="s">
        <v>27</v>
      </c>
      <c r="E19" s="5" t="s">
        <v>28</v>
      </c>
    </row>
    <row r="20" ht="42" customHeight="1" spans="1:5">
      <c r="A20" s="39" t="s">
        <v>29</v>
      </c>
      <c r="B20" s="39" t="s">
        <v>30</v>
      </c>
      <c r="C20" s="39" t="s">
        <v>31</v>
      </c>
      <c r="D20" s="39" t="s">
        <v>32</v>
      </c>
      <c r="E20" s="40">
        <v>46244.6139287934</v>
      </c>
    </row>
    <row r="21" ht="42" customHeight="1" spans="1:5">
      <c r="A21" s="39" t="s">
        <v>33</v>
      </c>
      <c r="B21" s="39" t="s">
        <v>34</v>
      </c>
      <c r="C21" s="39" t="s">
        <v>35</v>
      </c>
      <c r="D21" s="39" t="s">
        <v>36</v>
      </c>
      <c r="E21" s="40">
        <v>46239.7193433796</v>
      </c>
    </row>
    <row r="22" ht="42" customHeight="1" spans="1:5">
      <c r="A22" s="39" t="s">
        <v>37</v>
      </c>
      <c r="B22" s="39" t="s">
        <v>38</v>
      </c>
      <c r="C22" s="39" t="s">
        <v>39</v>
      </c>
      <c r="D22" s="39" t="s">
        <v>40</v>
      </c>
      <c r="E22" s="40">
        <v>46240.415280162</v>
      </c>
    </row>
    <row r="23" ht="42" customHeight="1" spans="1:5">
      <c r="A23" s="39" t="s">
        <v>41</v>
      </c>
      <c r="B23" s="39" t="s">
        <v>42</v>
      </c>
      <c r="C23" s="39" t="s">
        <v>43</v>
      </c>
      <c r="D23" s="39" t="s">
        <v>44</v>
      </c>
      <c r="E23" s="40">
        <v>46240.4152802778</v>
      </c>
    </row>
    <row r="26" ht="15" customHeight="1" spans="1:5">
      <c r="A26" s="1" t="s">
        <v>45</v>
      </c>
    </row>
    <row r="27" ht="27" customHeight="1" spans="1:5">
      <c r="A27" s="41" t="s">
        <v>46</v>
      </c>
    </row>
    <row r="28" ht="27" customHeight="1" spans="1:5">
      <c r="A28" s="41" t="s">
        <v>47</v>
      </c>
    </row>
    <row r="29" ht="27" customHeight="1" spans="1:5">
      <c r="A29" s="41" t="s">
        <v>48</v>
      </c>
    </row>
    <row r="30" ht="27" customHeight="1" spans="1:5">
      <c r="A30" s="41" t="s">
        <v>49</v>
      </c>
    </row>
    <row r="33" ht="15" customHeight="1" spans="1:8">
      <c r="A33" s="1" t="s">
        <v>50</v>
      </c>
    </row>
    <row r="34" ht="24" customHeight="1" spans="1:8">
      <c r="A34" s="42" t="s">
        <v>51</v>
      </c>
      <c r="B34" s="43" t="s">
        <v>52</v>
      </c>
      <c r="C34" s="42" t="s">
        <v>53</v>
      </c>
      <c r="D34" s="43" t="s">
        <v>52</v>
      </c>
      <c r="E34" s="42" t="s">
        <v>54</v>
      </c>
      <c r="F34" s="43" t="s">
        <v>52</v>
      </c>
      <c r="G34" s="42" t="s">
        <v>55</v>
      </c>
      <c r="H34" s="43" t="s">
        <v>52</v>
      </c>
    </row>
    <row r="35" ht="24" customHeight="1" spans="1:8">
      <c r="A35" s="42" t="s">
        <v>56</v>
      </c>
      <c r="B35" s="43" t="s">
        <v>52</v>
      </c>
      <c r="C35" s="42" t="s">
        <v>57</v>
      </c>
      <c r="D35" s="43" t="s">
        <v>52</v>
      </c>
      <c r="E35" s="42" t="s">
        <v>58</v>
      </c>
      <c r="F35" s="43" t="s">
        <v>52</v>
      </c>
      <c r="G35" s="42" t="s">
        <v>59</v>
      </c>
      <c r="H35" s="43" t="s">
        <v>52</v>
      </c>
    </row>
    <row r="36" ht="24" customHeight="1" spans="1:8">
      <c r="A36" s="42" t="s">
        <v>60</v>
      </c>
      <c r="B36" s="43" t="s">
        <v>52</v>
      </c>
      <c r="C36" s="42" t="s">
        <v>61</v>
      </c>
      <c r="D36" s="43" t="s">
        <v>52</v>
      </c>
      <c r="E36" s="42" t="s">
        <v>62</v>
      </c>
      <c r="F36" s="43" t="s">
        <v>52</v>
      </c>
      <c r="G36" s="42" t="s">
        <v>63</v>
      </c>
      <c r="H36" s="43" t="s">
        <v>52</v>
      </c>
    </row>
    <row r="39" ht="15" customHeight="1" spans="1:8">
      <c r="A39" s="1" t="s">
        <v>64</v>
      </c>
    </row>
    <row r="40" ht="28" customHeight="1" spans="1:8">
      <c r="A40" s="32" t="s">
        <v>51</v>
      </c>
      <c r="B40" s="33" t="s">
        <v>65</v>
      </c>
    </row>
    <row r="41" ht="28" customHeight="1" spans="1:8">
      <c r="A41" s="32" t="s">
        <v>53</v>
      </c>
      <c r="B41" s="33" t="s">
        <v>66</v>
      </c>
    </row>
    <row r="42" ht="28" customHeight="1" spans="1:8">
      <c r="A42" s="32" t="s">
        <v>67</v>
      </c>
      <c r="B42" s="33" t="s">
        <v>68</v>
      </c>
    </row>
    <row r="43" ht="28" customHeight="1" spans="1:8">
      <c r="A43" s="32" t="s">
        <v>69</v>
      </c>
      <c r="B43" s="33" t="s">
        <v>70</v>
      </c>
    </row>
    <row r="44" ht="28" customHeight="1" spans="1:8">
      <c r="A44" s="32" t="s">
        <v>71</v>
      </c>
      <c r="B44" s="33" t="s">
        <v>72</v>
      </c>
    </row>
    <row r="45" ht="28" customHeight="1" spans="1:8">
      <c r="A45" s="32" t="s">
        <v>61</v>
      </c>
      <c r="B45" s="33" t="s">
        <v>73</v>
      </c>
    </row>
    <row r="46" ht="28" customHeight="1" spans="1:8">
      <c r="A46" s="32" t="s">
        <v>62</v>
      </c>
      <c r="B46" s="33" t="s">
        <v>74</v>
      </c>
    </row>
    <row r="47" ht="28" customHeight="1" spans="1:8">
      <c r="A47" s="32" t="s">
        <v>75</v>
      </c>
      <c r="B47" s="33" t="s">
        <v>76</v>
      </c>
    </row>
  </sheetData>
  <mergeCells count="29">
    <mergeCell ref="A1:I1"/>
    <mergeCell ref="A3:I3"/>
    <mergeCell ref="B5:I5"/>
    <mergeCell ref="B6:I6"/>
    <mergeCell ref="B7:I7"/>
    <mergeCell ref="B8:I8"/>
    <mergeCell ref="B9:I9"/>
    <mergeCell ref="B10:I10"/>
    <mergeCell ref="A12:I12"/>
    <mergeCell ref="B13:I13"/>
    <mergeCell ref="B14:I14"/>
    <mergeCell ref="B15:I15"/>
    <mergeCell ref="B16:I16"/>
    <mergeCell ref="A18:I18"/>
    <mergeCell ref="A26:I26"/>
    <mergeCell ref="A27:I27"/>
    <mergeCell ref="A28:I28"/>
    <mergeCell ref="A29:I29"/>
    <mergeCell ref="A30:I30"/>
    <mergeCell ref="A33:I33"/>
    <mergeCell ref="A39:I39"/>
    <mergeCell ref="B40:I40"/>
    <mergeCell ref="B41:I41"/>
    <mergeCell ref="B42:I42"/>
    <mergeCell ref="B43:I43"/>
    <mergeCell ref="B44:I44"/>
    <mergeCell ref="B45:I45"/>
    <mergeCell ref="B46:I46"/>
    <mergeCell ref="B47:I47"/>
  </mergeCells>
  <hyperlinks>
    <hyperlink ref="A34" r:id="rId1" display="主线"/>
    <hyperlink ref="C34" r:id="rId2" display="困难主线"/>
    <hyperlink ref="E34" r:id="rId3" display="角色经验"/>
    <hyperlink ref="G34" r:id="rId4" display="金币"/>
    <hyperlink ref="A35" r:id="rId5" display="收容经验"/>
    <hyperlink ref="C35" r:id="rId6" display="旅券"/>
    <hyperlink ref="E35" r:id="rId7" display="映射"/>
    <hyperlink ref="G35" r:id="rId8" display="爬塔"/>
    <hyperlink ref="A36" r:id="rId9" display="Boss挑战"/>
    <hyperlink ref="C36" r:id="rId10" display="肉鸽"/>
    <hyperlink ref="E36" r:id="rId11" display="大秘境"/>
    <hyperlink ref="G36" r:id="rId12" display="PVPVE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showGridLines="0" workbookViewId="0">
      <pane xSplit="3" ySplit="4" topLeftCell="D5" activePane="bottomRight" state="frozen"/>
      <selection/>
      <selection pane="topRight"/>
      <selection pane="bottomLeft"/>
      <selection pane="bottomRight" activeCell="A1" sqref="A1:L1"/>
    </sheetView>
  </sheetViews>
  <sheetFormatPr defaultColWidth="9" defaultRowHeight="13.5"/>
  <cols>
    <col min="1" max="1" width="15" customWidth="1"/>
    <col min="2" max="2" width="14" customWidth="1"/>
    <col min="3" max="3" width="23" customWidth="1"/>
    <col min="4" max="4" width="10" customWidth="1"/>
    <col min="5" max="11" width="12" customWidth="1"/>
    <col min="12" max="12" width="55" customWidth="1"/>
  </cols>
  <sheetData>
    <row r="1" ht="34" customHeight="1" spans="1:12">
      <c r="A1" s="2" t="s">
        <v>77</v>
      </c>
    </row>
    <row r="2" ht="15" customHeight="1" spans="1:12">
      <c r="A2" s="3" t="s">
        <v>78</v>
      </c>
    </row>
    <row r="4" ht="36" customHeight="1" spans="1:12">
      <c r="A4" s="5" t="s">
        <v>79</v>
      </c>
      <c r="B4" s="5" t="s">
        <v>80</v>
      </c>
      <c r="C4" s="5" t="s">
        <v>81</v>
      </c>
      <c r="D4" s="5" t="s">
        <v>82</v>
      </c>
      <c r="E4" s="5" t="s">
        <v>83</v>
      </c>
      <c r="F4" s="5" t="s">
        <v>84</v>
      </c>
      <c r="G4" s="5" t="s">
        <v>85</v>
      </c>
      <c r="H4" s="5" t="s">
        <v>86</v>
      </c>
      <c r="I4" s="5" t="s">
        <v>87</v>
      </c>
      <c r="J4" s="5" t="s">
        <v>88</v>
      </c>
      <c r="K4" s="5" t="s">
        <v>89</v>
      </c>
      <c r="L4" s="5" t="s">
        <v>90</v>
      </c>
    </row>
    <row r="5" ht="30" customHeight="1" spans="1:12">
      <c r="A5" s="25" t="s">
        <v>51</v>
      </c>
      <c r="B5" s="26" t="s">
        <v>91</v>
      </c>
      <c r="C5" s="27" t="s">
        <v>92</v>
      </c>
      <c r="D5" s="26">
        <f>ROWS(主线!$B$5:$B$103)</f>
        <v>99</v>
      </c>
      <c r="E5" s="26">
        <f t="shared" ref="E5:E15" si="0">D5</f>
        <v>99</v>
      </c>
      <c r="F5" s="26">
        <f>COUNTIFS(主线!$J$5:$J$103,"&gt;=1",主线!$J$5:$J$103,"&lt;=500")</f>
        <v>99</v>
      </c>
      <c r="G5" s="28">
        <f t="shared" ref="G5:G16" si="1">IF($E5=0,1,$F5/$E5)</f>
        <v>1</v>
      </c>
      <c r="H5" s="26">
        <f>IF($F5=0,"",_xlfn.MINIFS(主线!$J$5:$J$103,主线!$J$5:$J$103,"&gt;=1",主线!$J$5:$J$103,"&lt;=500"))</f>
        <v>5</v>
      </c>
      <c r="I5" s="26">
        <f>IF($F5=0,"",_xlfn.MAXIFS(主线!$J$5:$J$103,主线!$J$5:$J$103,"&gt;=1",主线!$J$5:$J$103,"&lt;=500"))</f>
        <v>187</v>
      </c>
      <c r="J5" s="26">
        <f>COUNTIF(主线!$AC$5:$AC$103,"下降")</f>
        <v>0</v>
      </c>
      <c r="K5" s="26">
        <f>COUNTIF(主线!$AB$5:$AB$103,"超范围")</f>
        <v>0</v>
      </c>
      <c r="L5" s="27" t="s">
        <v>93</v>
      </c>
    </row>
    <row r="6" ht="30" customHeight="1" spans="1:12">
      <c r="A6" s="25" t="s">
        <v>53</v>
      </c>
      <c r="B6" s="26" t="s">
        <v>91</v>
      </c>
      <c r="C6" s="27" t="s">
        <v>94</v>
      </c>
      <c r="D6" s="26">
        <f>ROWS(困难主线!$B$5:$B$39)</f>
        <v>35</v>
      </c>
      <c r="E6" s="26">
        <f t="shared" si="0"/>
        <v>35</v>
      </c>
      <c r="F6" s="26">
        <f>COUNTIFS(困难主线!$J$5:$J$39,"&gt;=1",困难主线!$J$5:$J$39,"&lt;=500")</f>
        <v>35</v>
      </c>
      <c r="G6" s="28">
        <f t="shared" si="1"/>
        <v>1</v>
      </c>
      <c r="H6" s="26">
        <f>IF($F6=0,"",_xlfn.MINIFS(困难主线!$J$5:$J$39,困难主线!$J$5:$J$39,"&gt;=1",困难主线!$J$5:$J$39,"&lt;=500"))</f>
        <v>146</v>
      </c>
      <c r="I6" s="26">
        <f>IF($F6=0,"",_xlfn.MAXIFS(困难主线!$J$5:$J$39,困难主线!$J$5:$J$39,"&gt;=1",困难主线!$J$5:$J$39,"&lt;=500"))</f>
        <v>193</v>
      </c>
      <c r="J6" s="26">
        <f>COUNTIF(困难主线!$AC$5:$AC$39,"下降")</f>
        <v>0</v>
      </c>
      <c r="K6" s="26">
        <f>COUNTIF(困难主线!$AB$5:$AB$39,"超范围")</f>
        <v>0</v>
      </c>
      <c r="L6" s="27" t="s">
        <v>95</v>
      </c>
    </row>
    <row r="7" ht="30" customHeight="1" spans="1:12">
      <c r="A7" s="25" t="s">
        <v>54</v>
      </c>
      <c r="B7" s="26" t="s">
        <v>91</v>
      </c>
      <c r="C7" s="27" t="s">
        <v>96</v>
      </c>
      <c r="D7" s="26">
        <f>ROWS(角色经验!$B$5:$B$13)</f>
        <v>9</v>
      </c>
      <c r="E7" s="26">
        <f t="shared" si="0"/>
        <v>9</v>
      </c>
      <c r="F7" s="26">
        <f>COUNTIFS(角色经验!$J$5:$J$13,"&gt;=1",角色经验!$J$5:$J$13,"&lt;=500")</f>
        <v>9</v>
      </c>
      <c r="G7" s="28">
        <f t="shared" si="1"/>
        <v>1</v>
      </c>
      <c r="H7" s="26">
        <f>IF($F7=0,"",_xlfn.MINIFS(角色经验!$J$5:$J$13,角色经验!$J$5:$J$13,"&gt;=1",角色经验!$J$5:$J$13,"&lt;=500"))</f>
        <v>22</v>
      </c>
      <c r="I7" s="26">
        <f>IF($F7=0,"",_xlfn.MAXIFS(角色经验!$J$5:$J$13,角色经验!$J$5:$J$13,"&gt;=1",角色经验!$J$5:$J$13,"&lt;=500"))</f>
        <v>126</v>
      </c>
      <c r="J7" s="26">
        <f>COUNTIF(角色经验!$AC$5:$AC$13,"下降")</f>
        <v>0</v>
      </c>
      <c r="K7" s="26">
        <f>COUNTIF(角色经验!$AB$5:$AB$13,"超范围")</f>
        <v>0</v>
      </c>
      <c r="L7" s="27" t="s">
        <v>97</v>
      </c>
    </row>
    <row r="8" ht="30" customHeight="1" spans="1:12">
      <c r="A8" s="25" t="s">
        <v>55</v>
      </c>
      <c r="B8" s="26" t="s">
        <v>91</v>
      </c>
      <c r="C8" s="27" t="s">
        <v>96</v>
      </c>
      <c r="D8" s="26">
        <f>ROWS(金币!$B$5:$B$13)</f>
        <v>9</v>
      </c>
      <c r="E8" s="26">
        <f t="shared" si="0"/>
        <v>9</v>
      </c>
      <c r="F8" s="26">
        <f>COUNTIFS(金币!$J$5:$J$13,"&gt;=1",金币!$J$5:$J$13,"&lt;=500")</f>
        <v>9</v>
      </c>
      <c r="G8" s="28">
        <f t="shared" si="1"/>
        <v>1</v>
      </c>
      <c r="H8" s="26">
        <f>IF($F8=0,"",_xlfn.MINIFS(金币!$J$5:$J$13,金币!$J$5:$J$13,"&gt;=1",金币!$J$5:$J$13,"&lt;=500"))</f>
        <v>22</v>
      </c>
      <c r="I8" s="26">
        <f>IF($F8=0,"",_xlfn.MAXIFS(金币!$J$5:$J$13,金币!$J$5:$J$13,"&gt;=1",金币!$J$5:$J$13,"&lt;=500"))</f>
        <v>126</v>
      </c>
      <c r="J8" s="26">
        <f>COUNTIF(金币!$AC$5:$AC$13,"下降")</f>
        <v>0</v>
      </c>
      <c r="K8" s="26">
        <f>COUNTIF(金币!$AB$5:$AB$13,"超范围")</f>
        <v>0</v>
      </c>
      <c r="L8" s="27" t="s">
        <v>97</v>
      </c>
    </row>
    <row r="9" ht="30" customHeight="1" spans="1:12">
      <c r="A9" s="25" t="s">
        <v>56</v>
      </c>
      <c r="B9" s="26" t="s">
        <v>91</v>
      </c>
      <c r="C9" s="27" t="s">
        <v>96</v>
      </c>
      <c r="D9" s="26">
        <f>ROWS(收容经验!$B$5:$B$13)</f>
        <v>9</v>
      </c>
      <c r="E9" s="26">
        <f t="shared" si="0"/>
        <v>9</v>
      </c>
      <c r="F9" s="26">
        <f>COUNTIFS(收容经验!$J$5:$J$13,"&gt;=1",收容经验!$J$5:$J$13,"&lt;=500")</f>
        <v>9</v>
      </c>
      <c r="G9" s="28">
        <f t="shared" si="1"/>
        <v>1</v>
      </c>
      <c r="H9" s="26">
        <f>IF($F9=0,"",_xlfn.MINIFS(收容经验!$J$5:$J$13,收容经验!$J$5:$J$13,"&gt;=1",收容经验!$J$5:$J$13,"&lt;=500"))</f>
        <v>22</v>
      </c>
      <c r="I9" s="26">
        <f>IF($F9=0,"",_xlfn.MAXIFS(收容经验!$J$5:$J$13,收容经验!$J$5:$J$13,"&gt;=1",收容经验!$J$5:$J$13,"&lt;=500"))</f>
        <v>126</v>
      </c>
      <c r="J9" s="26">
        <f>COUNTIF(收容经验!$AC$5:$AC$13,"下降")</f>
        <v>0</v>
      </c>
      <c r="K9" s="26">
        <f>COUNTIF(收容经验!$AB$5:$AB$13,"超范围")</f>
        <v>0</v>
      </c>
      <c r="L9" s="27" t="s">
        <v>97</v>
      </c>
    </row>
    <row r="10" ht="30" customHeight="1" spans="1:12">
      <c r="A10" s="25" t="s">
        <v>57</v>
      </c>
      <c r="B10" s="26" t="s">
        <v>91</v>
      </c>
      <c r="C10" s="27" t="s">
        <v>98</v>
      </c>
      <c r="D10" s="26">
        <f>ROWS(旅券!$B$5:$B$14)</f>
        <v>10</v>
      </c>
      <c r="E10" s="26">
        <f t="shared" si="0"/>
        <v>10</v>
      </c>
      <c r="F10" s="26">
        <f>COUNTIFS(旅券!$J$5:$J$14,"&gt;=1",旅券!$J$5:$J$14,"&lt;=500")</f>
        <v>10</v>
      </c>
      <c r="G10" s="28">
        <f t="shared" si="1"/>
        <v>1</v>
      </c>
      <c r="H10" s="26">
        <f>IF($F10=0,"",_xlfn.MINIFS(旅券!$J$5:$J$14,旅券!$J$5:$J$14,"&gt;=1",旅券!$J$5:$J$14,"&lt;=500"))</f>
        <v>129</v>
      </c>
      <c r="I10" s="26">
        <f>IF($F10=0,"",_xlfn.MAXIFS(旅券!$J$5:$J$14,旅券!$J$5:$J$14,"&gt;=1",旅券!$J$5:$J$14,"&lt;=500"))</f>
        <v>303</v>
      </c>
      <c r="J10" s="26">
        <f>COUNTIF(旅券!$AC$5:$AC$14,"下降")</f>
        <v>0</v>
      </c>
      <c r="K10" s="26">
        <f>COUNTIF(旅券!$AB$5:$AB$14,"超范围")</f>
        <v>0</v>
      </c>
      <c r="L10" s="27" t="s">
        <v>99</v>
      </c>
    </row>
    <row r="11" ht="30" customHeight="1" spans="1:12">
      <c r="A11" s="25" t="s">
        <v>58</v>
      </c>
      <c r="B11" s="26" t="s">
        <v>91</v>
      </c>
      <c r="C11" s="27" t="s">
        <v>100</v>
      </c>
      <c r="D11" s="26">
        <f>ROWS(映射!$B$5:$B$34)</f>
        <v>30</v>
      </c>
      <c r="E11" s="26">
        <f t="shared" si="0"/>
        <v>30</v>
      </c>
      <c r="F11" s="26">
        <f>COUNTIFS(映射!$J$5:$J$34,"&gt;=1",映射!$J$5:$J$34,"&lt;=500")</f>
        <v>30</v>
      </c>
      <c r="G11" s="28">
        <f t="shared" si="1"/>
        <v>1</v>
      </c>
      <c r="H11" s="26">
        <f>IF($F11=0,"",_xlfn.MINIFS(映射!$J$5:$J$34,映射!$J$5:$J$34,"&gt;=1",映射!$J$5:$J$34,"&lt;=500"))</f>
        <v>26</v>
      </c>
      <c r="I11" s="26">
        <f>IF($F11=0,"",_xlfn.MAXIFS(映射!$J$5:$J$34,映射!$J$5:$J$34,"&gt;=1",映射!$J$5:$J$34,"&lt;=500"))</f>
        <v>296</v>
      </c>
      <c r="J11" s="26">
        <f>COUNTIF(映射!$AC$5:$AC$34,"下降")</f>
        <v>0</v>
      </c>
      <c r="K11" s="26">
        <f>COUNTIF(映射!$AB$5:$AB$34,"超范围")</f>
        <v>0</v>
      </c>
      <c r="L11" s="27" t="s">
        <v>101</v>
      </c>
    </row>
    <row r="12" ht="30" customHeight="1" spans="1:12">
      <c r="A12" s="25" t="s">
        <v>59</v>
      </c>
      <c r="B12" s="26" t="s">
        <v>91</v>
      </c>
      <c r="C12" s="27" t="s">
        <v>102</v>
      </c>
      <c r="D12" s="26">
        <f>ROWS(爬塔!$B$5:$B$104)</f>
        <v>100</v>
      </c>
      <c r="E12" s="26">
        <f t="shared" si="0"/>
        <v>100</v>
      </c>
      <c r="F12" s="26">
        <f>COUNTIFS(爬塔!$J$5:$J$104,"&gt;=1",爬塔!$J$5:$J$104,"&lt;=500")</f>
        <v>100</v>
      </c>
      <c r="G12" s="28">
        <f t="shared" si="1"/>
        <v>1</v>
      </c>
      <c r="H12" s="26">
        <f>IF($F12=0,"",_xlfn.MINIFS(爬塔!$J$5:$J$104,爬塔!$J$5:$J$104,"&gt;=1",爬塔!$J$5:$J$104,"&lt;=500"))</f>
        <v>37</v>
      </c>
      <c r="I12" s="26">
        <f>IF($F12=0,"",_xlfn.MAXIFS(爬塔!$J$5:$J$104,爬塔!$J$5:$J$104,"&gt;=1",爬塔!$J$5:$J$104,"&lt;=500"))</f>
        <v>370</v>
      </c>
      <c r="J12" s="26">
        <f>COUNTIF(爬塔!$AC$5:$AC$104,"下降")</f>
        <v>0</v>
      </c>
      <c r="K12" s="26">
        <f>COUNTIF(爬塔!$AB$5:$AB$104,"超范围")</f>
        <v>0</v>
      </c>
      <c r="L12" s="27" t="s">
        <v>103</v>
      </c>
    </row>
    <row r="13" ht="30" customHeight="1" spans="1:12">
      <c r="A13" s="25" t="s">
        <v>60</v>
      </c>
      <c r="B13" s="26" t="s">
        <v>91</v>
      </c>
      <c r="C13" s="27" t="s">
        <v>104</v>
      </c>
      <c r="D13" s="26">
        <f>ROWS(Boss挑战!$B$5:$B$14)</f>
        <v>10</v>
      </c>
      <c r="E13" s="26">
        <f t="shared" si="0"/>
        <v>10</v>
      </c>
      <c r="F13" s="26">
        <f>COUNTIFS(Boss挑战!$J$5:$J$14,"&gt;=1",Boss挑战!$J$5:$J$14,"&lt;=500")</f>
        <v>10</v>
      </c>
      <c r="G13" s="28">
        <f t="shared" si="1"/>
        <v>1</v>
      </c>
      <c r="H13" s="26">
        <f>IF($F13=0,"",_xlfn.MINIFS(Boss挑战!$J$5:$J$14,Boss挑战!$J$5:$J$14,"&gt;=1",Boss挑战!$J$5:$J$14,"&lt;=500"))</f>
        <v>87</v>
      </c>
      <c r="I13" s="26">
        <f>IF($F13=0,"",_xlfn.MAXIFS(Boss挑战!$J$5:$J$14,Boss挑战!$J$5:$J$14,"&gt;=1",Boss挑战!$J$5:$J$14,"&lt;=500"))</f>
        <v>295</v>
      </c>
      <c r="J13" s="26">
        <f>COUNTIF(Boss挑战!$AC$5:$AC$14,"下降")</f>
        <v>0</v>
      </c>
      <c r="K13" s="26">
        <f>COUNTIF(Boss挑战!$AB$5:$AB$14,"超范围")</f>
        <v>0</v>
      </c>
      <c r="L13" s="27" t="s">
        <v>105</v>
      </c>
    </row>
    <row r="14" ht="30" customHeight="1" spans="1:12">
      <c r="A14" s="25" t="s">
        <v>61</v>
      </c>
      <c r="B14" s="26" t="s">
        <v>91</v>
      </c>
      <c r="C14" s="27" t="s">
        <v>106</v>
      </c>
      <c r="D14" s="26">
        <f>ROWS(肉鸽!$B$5:$B$9)</f>
        <v>5</v>
      </c>
      <c r="E14" s="26">
        <f t="shared" si="0"/>
        <v>5</v>
      </c>
      <c r="F14" s="26">
        <f>COUNTIFS(肉鸽!$J$5:$J$9,"&gt;=1",肉鸽!$J$5:$J$9,"&lt;=500")</f>
        <v>5</v>
      </c>
      <c r="G14" s="28">
        <f t="shared" si="1"/>
        <v>1</v>
      </c>
      <c r="H14" s="26">
        <f>IF($F14=0,"",_xlfn.MINIFS(肉鸽!$J$5:$J$9,肉鸽!$J$5:$J$9,"&gt;=1",肉鸽!$J$5:$J$9,"&lt;=500"))</f>
        <v>106</v>
      </c>
      <c r="I14" s="26">
        <f>IF($F14=0,"",_xlfn.MAXIFS(肉鸽!$J$5:$J$9,肉鸽!$J$5:$J$9,"&gt;=1",肉鸽!$J$5:$J$9,"&lt;=500"))</f>
        <v>286</v>
      </c>
      <c r="J14" s="26">
        <f>COUNTIF(肉鸽!$AC$5:$AC$9,"下降")</f>
        <v>0</v>
      </c>
      <c r="K14" s="26">
        <f>COUNTIF(肉鸽!$AB$5:$AB$9,"超范围")</f>
        <v>0</v>
      </c>
      <c r="L14" s="27" t="s">
        <v>107</v>
      </c>
    </row>
    <row r="15" ht="30" customHeight="1" spans="1:12">
      <c r="A15" s="25" t="s">
        <v>62</v>
      </c>
      <c r="B15" s="26" t="s">
        <v>108</v>
      </c>
      <c r="C15" s="27" t="s">
        <v>109</v>
      </c>
      <c r="D15" s="26">
        <f>ROWS(大秘境!$B$5:$B$29)</f>
        <v>25</v>
      </c>
      <c r="E15" s="26">
        <f t="shared" si="0"/>
        <v>25</v>
      </c>
      <c r="F15" s="26">
        <f>COUNTIFS(大秘境!$J$5:$J$29,"&gt;=1",大秘境!$J$5:$J$29,"&lt;=500")</f>
        <v>25</v>
      </c>
      <c r="G15" s="28">
        <f t="shared" si="1"/>
        <v>1</v>
      </c>
      <c r="H15" s="26">
        <f>IF($F15=0,"",_xlfn.MINIFS(大秘境!$J$5:$J$29,大秘境!$J$5:$J$29,"&gt;=1",大秘境!$J$5:$J$29,"&lt;=500"))</f>
        <v>183</v>
      </c>
      <c r="I15" s="26">
        <f>IF($F15=0,"",_xlfn.MAXIFS(大秘境!$J$5:$J$29,大秘境!$J$5:$J$29,"&gt;=1",大秘境!$J$5:$J$29,"&lt;=500"))</f>
        <v>301</v>
      </c>
      <c r="J15" s="26">
        <f>COUNTIF(大秘境!$AC$5:$AC$29,"下降")</f>
        <v>0</v>
      </c>
      <c r="K15" s="26">
        <f>COUNTIF(大秘境!$AB$5:$AB$29,"超范围")</f>
        <v>0</v>
      </c>
      <c r="L15" s="27" t="s">
        <v>110</v>
      </c>
    </row>
    <row r="16" ht="30" customHeight="1" spans="1:12">
      <c r="A16" s="25" t="s">
        <v>63</v>
      </c>
      <c r="B16" s="26" t="s">
        <v>111</v>
      </c>
      <c r="C16" s="27" t="s">
        <v>112</v>
      </c>
      <c r="D16" s="26">
        <f>ROWS(PVPVE!$B$5:$B$6)</f>
        <v>2</v>
      </c>
      <c r="E16" s="26">
        <f>0</f>
        <v>0</v>
      </c>
      <c r="F16" s="26">
        <f>COUNTIFS(PVPVE!$J$5:$J$6,"&gt;=1",PVPVE!$J$5:$J$6,"&lt;=500")</f>
        <v>0</v>
      </c>
      <c r="G16" s="28">
        <f t="shared" si="1"/>
        <v>1</v>
      </c>
      <c r="H16" s="26" t="str">
        <f>IF($F16=0,"",_xlfn.MINIFS(PVPVE!$J$5:$J$6,PVPVE!$J$5:$J$6,"&gt;=1",PVPVE!$J$5:$J$6,"&lt;=500"))</f>
        <v/>
      </c>
      <c r="I16" s="26" t="str">
        <f>IF($F16=0,"",_xlfn.MAXIFS(PVPVE!$J$5:$J$6,PVPVE!$J$5:$J$6,"&gt;=1",PVPVE!$J$5:$J$6,"&lt;=500"))</f>
        <v/>
      </c>
      <c r="J16" s="26">
        <f>COUNTIF(PVPVE!$AC$5:$AC$6,"下降")</f>
        <v>0</v>
      </c>
      <c r="K16" s="26">
        <f>COUNTIF(PVPVE!$AB$5:$AB$6,"超范围")</f>
        <v>0</v>
      </c>
      <c r="L16" s="27" t="s">
        <v>113</v>
      </c>
    </row>
    <row r="17" ht="15" customHeight="1" spans="1:12">
      <c r="A17" s="29" t="s">
        <v>114</v>
      </c>
      <c r="B17" s="29"/>
      <c r="C17" s="29"/>
      <c r="D17" s="29">
        <f>SUM(D5:D16)</f>
        <v>343</v>
      </c>
      <c r="E17" s="29">
        <f>SUM(E5:E16)</f>
        <v>341</v>
      </c>
      <c r="F17" s="29">
        <f>SUM(F5:F16)</f>
        <v>341</v>
      </c>
      <c r="G17" s="30">
        <f>IF(E17=0,1,F17/E17)</f>
        <v>1</v>
      </c>
      <c r="H17" s="29"/>
      <c r="I17" s="29"/>
      <c r="J17" s="29">
        <f>SUM(J5:J16)</f>
        <v>0</v>
      </c>
      <c r="K17" s="29">
        <f>SUM(K5:K16)</f>
        <v>0</v>
      </c>
      <c r="L17" s="29"/>
    </row>
  </sheetData>
  <mergeCells count="2">
    <mergeCell ref="A1:L1"/>
    <mergeCell ref="A2:L2"/>
  </mergeCells>
  <conditionalFormatting sqref="G5:G16">
    <cfRule type="expression" dxfId="0" priority="1">
      <formula>$G5=1</formula>
    </cfRule>
  </conditionalFormatting>
  <conditionalFormatting sqref="J5:K16">
    <cfRule type="expression" dxfId="1" priority="2">
      <formula>J5&gt;0</formula>
    </cfRule>
  </conditionalFormatting>
  <hyperlinks>
    <hyperlink ref="A5" r:id="rId2" display="主线"/>
    <hyperlink ref="A6" r:id="rId3" display="困难主线"/>
    <hyperlink ref="A7" r:id="rId4" display="角色经验"/>
    <hyperlink ref="A8" r:id="rId5" display="金币"/>
    <hyperlink ref="A9" r:id="rId6" display="收容经验"/>
    <hyperlink ref="A10" r:id="rId7" display="旅券"/>
    <hyperlink ref="A11" r:id="rId8" display="映射"/>
    <hyperlink ref="A12" r:id="rId9" display="爬塔"/>
    <hyperlink ref="A13" r:id="rId10" display="Boss挑战"/>
    <hyperlink ref="A14" r:id="rId11" display="肉鸽"/>
    <hyperlink ref="A15" r:id="rId12" display="大秘境"/>
    <hyperlink ref="A16" r:id="rId13" display="PVPVE"/>
  </hyperlinks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472C4"/>
    <pageSetUpPr fitToPage="1"/>
  </sheetPr>
  <dimension ref="A1:AD109"/>
  <sheetViews>
    <sheetView showGridLines="0" workbookViewId="0">
      <pane xSplit="6" ySplit="4" topLeftCell="G5" activePane="bottomRight" state="frozen"/>
      <selection/>
      <selection pane="topRight"/>
      <selection pane="bottomLeft"/>
      <selection pane="bottomRight" activeCell="A1" sqref="A1:AD1"/>
    </sheetView>
  </sheetViews>
  <sheetFormatPr defaultColWidth="9" defaultRowHeight="13.5"/>
  <cols>
    <col min="1" max="1" width="12" customWidth="1"/>
    <col min="2" max="2" width="13" customWidth="1"/>
    <col min="3" max="3" width="18" customWidth="1"/>
    <col min="4" max="4" width="15" customWidth="1"/>
    <col min="5" max="5" width="35" customWidth="1"/>
    <col min="6" max="9" width="14" customWidth="1"/>
    <col min="10" max="10" width="12" customWidth="1"/>
    <col min="11" max="13" width="11" customWidth="1"/>
    <col min="14" max="15" width="13" customWidth="1"/>
    <col min="16" max="16" width="12" customWidth="1"/>
    <col min="17" max="21" width="16" customWidth="1"/>
    <col min="22" max="22" width="12" customWidth="1"/>
    <col min="23" max="23" width="17" customWidth="1"/>
    <col min="24" max="25" width="14" customWidth="1"/>
    <col min="26" max="26" width="12" customWidth="1"/>
    <col min="27" max="27" width="15" customWidth="1"/>
    <col min="28" max="29" width="12" customWidth="1"/>
    <col min="30" max="30" width="46" customWidth="1"/>
  </cols>
  <sheetData>
    <row r="1" ht="34" customHeight="1" spans="1:30">
      <c r="A1" s="2" t="s">
        <v>115</v>
      </c>
    </row>
    <row r="2" ht="30" customHeight="1" spans="1:30">
      <c r="A2" s="3" t="s">
        <v>116</v>
      </c>
    </row>
    <row r="3" ht="14.25" customHeight="1" spans="1:30">
      <c r="A3" s="4" t="s">
        <v>117</v>
      </c>
    </row>
    <row r="4" ht="36" customHeight="1" spans="1:30">
      <c r="A4" s="5" t="s">
        <v>80</v>
      </c>
      <c r="B4" s="5" t="s">
        <v>79</v>
      </c>
      <c r="C4" s="5" t="s">
        <v>118</v>
      </c>
      <c r="D4" s="5" t="s">
        <v>119</v>
      </c>
      <c r="E4" s="5" t="s">
        <v>120</v>
      </c>
      <c r="F4" s="5" t="s">
        <v>121</v>
      </c>
      <c r="G4" s="5" t="s">
        <v>122</v>
      </c>
      <c r="H4" s="5" t="s">
        <v>123</v>
      </c>
      <c r="I4" s="5" t="s">
        <v>124</v>
      </c>
      <c r="J4" s="5" t="s">
        <v>125</v>
      </c>
      <c r="K4" s="5" t="s">
        <v>126</v>
      </c>
      <c r="L4" s="5" t="s">
        <v>127</v>
      </c>
      <c r="M4" s="5" t="s">
        <v>128</v>
      </c>
      <c r="N4" s="5" t="s">
        <v>129</v>
      </c>
      <c r="O4" s="5" t="s">
        <v>130</v>
      </c>
      <c r="P4" s="5" t="s">
        <v>131</v>
      </c>
      <c r="Q4" s="5" t="s">
        <v>132</v>
      </c>
      <c r="R4" s="5" t="s">
        <v>133</v>
      </c>
      <c r="S4" s="5" t="s">
        <v>134</v>
      </c>
      <c r="T4" s="5" t="s">
        <v>135</v>
      </c>
      <c r="U4" s="5" t="s">
        <v>136</v>
      </c>
      <c r="V4" s="5" t="s">
        <v>137</v>
      </c>
      <c r="W4" s="5" t="s">
        <v>138</v>
      </c>
      <c r="X4" s="5" t="s">
        <v>139</v>
      </c>
      <c r="Y4" s="5" t="s">
        <v>140</v>
      </c>
      <c r="Z4" s="5" t="s">
        <v>141</v>
      </c>
      <c r="AA4" s="5" t="s">
        <v>142</v>
      </c>
      <c r="AB4" s="5" t="s">
        <v>143</v>
      </c>
      <c r="AC4" s="5" t="s">
        <v>144</v>
      </c>
      <c r="AD4" s="5" t="s">
        <v>90</v>
      </c>
    </row>
    <row r="5" ht="25" customHeight="1" spans="1:30">
      <c r="A5" s="6" t="s">
        <v>145</v>
      </c>
      <c r="B5" s="6" t="s">
        <v>51</v>
      </c>
      <c r="C5" s="7" t="s">
        <v>146</v>
      </c>
      <c r="D5" s="7" t="s">
        <v>147</v>
      </c>
      <c r="E5" s="7" t="s">
        <v>148</v>
      </c>
      <c r="F5" s="6" t="s">
        <v>149</v>
      </c>
      <c r="G5" s="16">
        <v>1</v>
      </c>
      <c r="H5" s="17"/>
      <c r="I5" s="18">
        <f t="shared" ref="I5:I68" si="0">IF($H5="",$G5,$H5)</f>
        <v>1</v>
      </c>
      <c r="J5" s="19">
        <v>5</v>
      </c>
      <c r="K5" s="20"/>
      <c r="L5" s="20"/>
      <c r="M5" s="20"/>
      <c r="N5" s="20"/>
      <c r="O5" s="20"/>
      <c r="P5" s="20"/>
      <c r="Q5" s="21">
        <f>IF($I5="","",IFERROR(INDEX(_玩家曲线!$H$2:$H$286,MATCH($I5,_玩家曲线!$A$2:$A$286,0)),""))</f>
        <v>1535.625</v>
      </c>
      <c r="R5" s="21">
        <f>IF($I5="","",IFERROR(INDEX(_玩家曲线!$I$2:$I$286,MATCH($I5,_玩家曲线!$A$2:$A$286,0)),""))</f>
        <v>5208.33333333333</v>
      </c>
      <c r="S5" s="21">
        <f>IF(OR($J5="",$F5="不适用"),"",IFERROR(INDEX(_怪物模型!$D$2:$D$4501,MATCH(INT($J5)&amp;"|"&amp;$F5,_怪物模型!$A$2:$A$4501,0))*IF($K5="",1,$K5),""))</f>
        <v>531</v>
      </c>
      <c r="T5" s="21">
        <f>IF(OR($J5="",$F5="不适用"),"",IFERROR(INDEX(_怪物模型!$E$2:$E$4501,MATCH(INT($J5)&amp;"|"&amp;$F5,_怪物模型!$A$2:$A$4501,0))*IF($L5="",1,$L5),""))</f>
        <v>165</v>
      </c>
      <c r="U5" s="21">
        <f>IF(OR($J5="",$F5="不适用"),"",IFERROR(INDEX(_怪物模型!$F$2:$F$4501,MATCH(INT($J5)&amp;"|"&amp;$F5,_怪物模型!$A$2:$A$4501,0))*IF($M5="",1,$M5),""))</f>
        <v>356</v>
      </c>
      <c r="V5" s="22">
        <f t="shared" ref="V5:V68" si="1">IF($U5="","",MIN(0.75,$U5/($U5+24000)))</f>
        <v>0.0146165215963212</v>
      </c>
      <c r="W5" s="23">
        <f t="shared" ref="W5:W68" si="2">IF($S5="","",$S5/(1-$V5)*IF($N5="",1,$N5))</f>
        <v>538.8765</v>
      </c>
      <c r="X5" s="23">
        <f t="shared" ref="X5:X68" si="3">IF(OR($W5="",$Q5="",$Q5=0),"",$W5/$Q5)</f>
        <v>0.350916727716728</v>
      </c>
      <c r="Y5" s="23">
        <f t="shared" ref="Y5:Y68" si="4">IF(OR($R5="",$T5="",$T5=0),"",$R5/($T5*IF($O5="",1,$O5)))</f>
        <v>31.5656565656565</v>
      </c>
      <c r="Z5" s="24" t="str">
        <f t="shared" ref="Z5:Z68" si="5">IF(OR($X5="",$P5="",$P5=0),"",$X5/$P5)</f>
        <v/>
      </c>
      <c r="AA5" s="6" t="str">
        <f t="shared" ref="AA5:AA68" si="6">IF($J5="","待填怪物等级",IF(OR($I5="",$Q5=""),"待填对照关卡",IF($P5="","已计算",IF(AND($Y5&lt;&gt;"",$Y5&lt;$X5),"生存不成立",IF($Z5&lt;0.5,"碾压",IF($Z5&lt;0.8,"偏简单",IF($Z5&lt;=1.2,"适中",IF($Z5&lt;=1.5,"偏难","过难"))))))))</f>
        <v>已计算</v>
      </c>
      <c r="AB5" s="6" t="str">
        <f t="shared" ref="AB5:AB68" si="7">IF($J5="","待填",IF(AND(ISNUMBER($J5),$J5&gt;=1,$J5&lt;=500,MOD($J5,1)=0),"有效","超范围"))</f>
        <v>有效</v>
      </c>
      <c r="AC5" s="6" t="str">
        <f t="shared" ref="AC5:AC68" si="8">IF(OR($J5="",ROW()=5,$B5&lt;&gt;$B4,$J4=""),"",IF($J5&lt;$J4,"下降",""))</f>
        <v/>
      </c>
      <c r="AD5" s="7" t="s">
        <v>150</v>
      </c>
    </row>
    <row r="6" ht="25" customHeight="1" spans="1:30">
      <c r="A6" s="6" t="s">
        <v>145</v>
      </c>
      <c r="B6" s="6" t="s">
        <v>51</v>
      </c>
      <c r="C6" s="7" t="s">
        <v>146</v>
      </c>
      <c r="D6" s="7" t="s">
        <v>151</v>
      </c>
      <c r="E6" s="7" t="s">
        <v>152</v>
      </c>
      <c r="F6" s="6" t="s">
        <v>149</v>
      </c>
      <c r="G6" s="16">
        <v>2</v>
      </c>
      <c r="H6" s="17"/>
      <c r="I6" s="18">
        <f t="shared" si="0"/>
        <v>2</v>
      </c>
      <c r="J6" s="19">
        <v>6</v>
      </c>
      <c r="K6" s="20"/>
      <c r="L6" s="20"/>
      <c r="M6" s="20"/>
      <c r="N6" s="20"/>
      <c r="O6" s="20"/>
      <c r="P6" s="20"/>
      <c r="Q6" s="21">
        <f>IF($I6="","",IFERROR(INDEX(_玩家曲线!$H$2:$H$286,MATCH($I6,_玩家曲线!$A$2:$A$286,0)),""))</f>
        <v>1636.64595884009</v>
      </c>
      <c r="R6" s="21">
        <f>IF($I6="","",IFERROR(INDEX(_玩家曲线!$I$2:$I$286,MATCH($I6,_玩家曲线!$A$2:$A$286,0)),""))</f>
        <v>5565.56987992812</v>
      </c>
      <c r="S6" s="21">
        <f>IF(OR($J6="",$F6="不适用"),"",IFERROR(INDEX(_怪物模型!$D$2:$D$4501,MATCH(INT($J6)&amp;"|"&amp;$F6,_怪物模型!$A$2:$A$4501,0))*IF($K6="",1,$K6),""))</f>
        <v>654</v>
      </c>
      <c r="T6" s="21">
        <f>IF(OR($J6="",$F6="不适用"),"",IFERROR(INDEX(_怪物模型!$E$2:$E$4501,MATCH(INT($J6)&amp;"|"&amp;$F6,_怪物模型!$A$2:$A$4501,0))*IF($L6="",1,$L6),""))</f>
        <v>200</v>
      </c>
      <c r="U6" s="21">
        <f>IF(OR($J6="",$F6="不适用"),"",IFERROR(INDEX(_怪物模型!$F$2:$F$4501,MATCH(INT($J6)&amp;"|"&amp;$F6,_怪物模型!$A$2:$A$4501,0))*IF($M6="",1,$M6),""))</f>
        <v>428</v>
      </c>
      <c r="V6" s="22">
        <f t="shared" si="1"/>
        <v>0.0175208776813493</v>
      </c>
      <c r="W6" s="23">
        <f t="shared" si="2"/>
        <v>665.663</v>
      </c>
      <c r="X6" s="23">
        <f t="shared" si="3"/>
        <v>0.406723883320351</v>
      </c>
      <c r="Y6" s="23">
        <f t="shared" si="4"/>
        <v>27.8278493996406</v>
      </c>
      <c r="Z6" s="24" t="str">
        <f t="shared" si="5"/>
        <v/>
      </c>
      <c r="AA6" s="6" t="str">
        <f t="shared" si="6"/>
        <v>已计算</v>
      </c>
      <c r="AB6" s="6" t="str">
        <f t="shared" si="7"/>
        <v>有效</v>
      </c>
      <c r="AC6" s="6" t="str">
        <f t="shared" si="8"/>
        <v/>
      </c>
      <c r="AD6" s="7" t="s">
        <v>153</v>
      </c>
    </row>
    <row r="7" ht="25" customHeight="1" spans="1:30">
      <c r="A7" s="6" t="s">
        <v>145</v>
      </c>
      <c r="B7" s="6" t="s">
        <v>51</v>
      </c>
      <c r="C7" s="7" t="s">
        <v>146</v>
      </c>
      <c r="D7" s="7" t="s">
        <v>154</v>
      </c>
      <c r="E7" s="7" t="s">
        <v>155</v>
      </c>
      <c r="F7" s="6" t="s">
        <v>149</v>
      </c>
      <c r="G7" s="16">
        <v>3</v>
      </c>
      <c r="H7" s="17"/>
      <c r="I7" s="18">
        <f t="shared" si="0"/>
        <v>3</v>
      </c>
      <c r="J7" s="19">
        <v>8</v>
      </c>
      <c r="K7" s="20"/>
      <c r="L7" s="20"/>
      <c r="M7" s="20"/>
      <c r="N7" s="20"/>
      <c r="O7" s="20"/>
      <c r="P7" s="20"/>
      <c r="Q7" s="21">
        <f>IF($I7="","",IFERROR(INDEX(_玩家曲线!$H$2:$H$286,MATCH($I7,_玩家曲线!$A$2:$A$286,0)),""))</f>
        <v>2170.18950412197</v>
      </c>
      <c r="R7" s="21">
        <f>IF($I7="","",IFERROR(INDEX(_玩家曲线!$I$2:$I$286,MATCH($I7,_玩家曲线!$A$2:$A$286,0)),""))</f>
        <v>7399.01337371698</v>
      </c>
      <c r="S7" s="21">
        <f>IF(OR($J7="",$F7="不适用"),"",IFERROR(INDEX(_怪物模型!$D$2:$D$4501,MATCH(INT($J7)&amp;"|"&amp;$F7,_怪物模型!$A$2:$A$4501,0))*IF($K7="",1,$K7),""))</f>
        <v>914</v>
      </c>
      <c r="T7" s="21">
        <f>IF(OR($J7="",$F7="不适用"),"",IFERROR(INDEX(_怪物模型!$E$2:$E$4501,MATCH(INT($J7)&amp;"|"&amp;$F7,_怪物模型!$A$2:$A$4501,0))*IF($L7="",1,$L7),""))</f>
        <v>272</v>
      </c>
      <c r="U7" s="21">
        <f>IF(OR($J7="",$F7="不适用"),"",IFERROR(INDEX(_怪物模型!$F$2:$F$4501,MATCH(INT($J7)&amp;"|"&amp;$F7,_怪物模型!$A$2:$A$4501,0))*IF($M7="",1,$M7),""))</f>
        <v>572</v>
      </c>
      <c r="V7" s="22">
        <f t="shared" si="1"/>
        <v>0.0232785284063161</v>
      </c>
      <c r="W7" s="23">
        <f t="shared" si="2"/>
        <v>935.783666666667</v>
      </c>
      <c r="X7" s="23">
        <f t="shared" si="3"/>
        <v>0.431199056529062</v>
      </c>
      <c r="Y7" s="23">
        <f t="shared" si="4"/>
        <v>27.2022550504301</v>
      </c>
      <c r="Z7" s="24" t="str">
        <f t="shared" si="5"/>
        <v/>
      </c>
      <c r="AA7" s="6" t="str">
        <f t="shared" si="6"/>
        <v>已计算</v>
      </c>
      <c r="AB7" s="6" t="str">
        <f t="shared" si="7"/>
        <v>有效</v>
      </c>
      <c r="AC7" s="6" t="str">
        <f t="shared" si="8"/>
        <v/>
      </c>
      <c r="AD7" s="7" t="s">
        <v>156</v>
      </c>
    </row>
    <row r="8" ht="25" customHeight="1" spans="1:30">
      <c r="A8" s="6" t="s">
        <v>145</v>
      </c>
      <c r="B8" s="6" t="s">
        <v>51</v>
      </c>
      <c r="C8" s="7" t="s">
        <v>146</v>
      </c>
      <c r="D8" s="7" t="s">
        <v>157</v>
      </c>
      <c r="E8" s="7" t="s">
        <v>158</v>
      </c>
      <c r="F8" s="6" t="s">
        <v>159</v>
      </c>
      <c r="G8" s="16">
        <v>4</v>
      </c>
      <c r="H8" s="17"/>
      <c r="I8" s="18">
        <f t="shared" si="0"/>
        <v>4</v>
      </c>
      <c r="J8" s="19">
        <v>8</v>
      </c>
      <c r="K8" s="20"/>
      <c r="L8" s="20"/>
      <c r="M8" s="20"/>
      <c r="N8" s="20"/>
      <c r="O8" s="20"/>
      <c r="P8" s="20"/>
      <c r="Q8" s="21">
        <f>IF($I8="","",IFERROR(INDEX(_玩家曲线!$H$2:$H$286,MATCH($I8,_玩家曲线!$A$2:$A$286,0)),""))</f>
        <v>2751.2469946323</v>
      </c>
      <c r="R8" s="21">
        <f>IF($I8="","",IFERROR(INDEX(_玩家曲线!$I$2:$I$286,MATCH($I8,_玩家曲线!$A$2:$A$286,0)),""))</f>
        <v>9403.88585759719</v>
      </c>
      <c r="S8" s="21">
        <f>IF(OR($J8="",$F8="不适用"),"",IFERROR(INDEX(_怪物模型!$D$2:$D$4501,MATCH(INT($J8)&amp;"|"&amp;$F8,_怪物模型!$A$2:$A$4501,0))*IF($K8="",1,$K8),""))</f>
        <v>90876</v>
      </c>
      <c r="T8" s="21">
        <f>IF(OR($J8="",$F8="不适用"),"",IFERROR(INDEX(_怪物模型!$E$2:$E$4501,MATCH(INT($J8)&amp;"|"&amp;$F8,_怪物模型!$A$2:$A$4501,0))*IF($L8="",1,$L8),""))</f>
        <v>272</v>
      </c>
      <c r="U8" s="21">
        <f>IF(OR($J8="",$F8="不适用"),"",IFERROR(INDEX(_怪物模型!$F$2:$F$4501,MATCH(INT($J8)&amp;"|"&amp;$F8,_怪物模型!$A$2:$A$4501,0))*IF($M8="",1,$M8),""))</f>
        <v>572</v>
      </c>
      <c r="V8" s="22">
        <f t="shared" si="1"/>
        <v>0.0232785284063161</v>
      </c>
      <c r="W8" s="23">
        <f t="shared" si="2"/>
        <v>93041.878</v>
      </c>
      <c r="X8" s="23">
        <f t="shared" si="3"/>
        <v>33.8180752878696</v>
      </c>
      <c r="Y8" s="23">
        <f t="shared" si="4"/>
        <v>34.5731097705779</v>
      </c>
      <c r="Z8" s="24" t="str">
        <f t="shared" si="5"/>
        <v/>
      </c>
      <c r="AA8" s="6" t="str">
        <f t="shared" si="6"/>
        <v>已计算</v>
      </c>
      <c r="AB8" s="6" t="str">
        <f t="shared" si="7"/>
        <v>有效</v>
      </c>
      <c r="AC8" s="6" t="str">
        <f t="shared" si="8"/>
        <v/>
      </c>
      <c r="AD8" s="7" t="s">
        <v>160</v>
      </c>
    </row>
    <row r="9" ht="25" customHeight="1" spans="1:30">
      <c r="A9" s="6" t="s">
        <v>145</v>
      </c>
      <c r="B9" s="6" t="s">
        <v>51</v>
      </c>
      <c r="C9" s="7" t="s">
        <v>161</v>
      </c>
      <c r="D9" s="7" t="s">
        <v>162</v>
      </c>
      <c r="E9" s="7" t="s">
        <v>163</v>
      </c>
      <c r="F9" s="6" t="s">
        <v>149</v>
      </c>
      <c r="G9" s="16">
        <v>5</v>
      </c>
      <c r="H9" s="17"/>
      <c r="I9" s="18">
        <f t="shared" si="0"/>
        <v>5</v>
      </c>
      <c r="J9" s="19">
        <v>11</v>
      </c>
      <c r="K9" s="20"/>
      <c r="L9" s="20"/>
      <c r="M9" s="20"/>
      <c r="N9" s="20"/>
      <c r="O9" s="20"/>
      <c r="P9" s="20"/>
      <c r="Q9" s="21">
        <f>IF($I9="","",IFERROR(INDEX(_玩家曲线!$H$2:$H$286,MATCH($I9,_玩家曲线!$A$2:$A$286,0)),""))</f>
        <v>3378.73817221844</v>
      </c>
      <c r="R9" s="21">
        <f>IF($I9="","",IFERROR(INDEX(_玩家曲线!$I$2:$I$286,MATCH($I9,_玩家曲线!$A$2:$A$286,0)),""))</f>
        <v>11577.4968526717</v>
      </c>
      <c r="S9" s="21">
        <f>IF(OR($J9="",$F9="不适用"),"",IFERROR(INDEX(_怪物模型!$D$2:$D$4501,MATCH(INT($J9)&amp;"|"&amp;$F9,_怪物模型!$A$2:$A$4501,0))*IF($K9="",1,$K9),""))</f>
        <v>1342</v>
      </c>
      <c r="T9" s="21">
        <f>IF(OR($J9="",$F9="不适用"),"",IFERROR(INDEX(_怪物模型!$E$2:$E$4501,MATCH(INT($J9)&amp;"|"&amp;$F9,_怪物模型!$A$2:$A$4501,0))*IF($L9="",1,$L9),""))</f>
        <v>384</v>
      </c>
      <c r="U9" s="21">
        <f>IF(OR($J9="",$F9="不适用"),"",IFERROR(INDEX(_怪物模型!$F$2:$F$4501,MATCH(INT($J9)&amp;"|"&amp;$F9,_怪物模型!$A$2:$A$4501,0))*IF($M9="",1,$M9),""))</f>
        <v>790</v>
      </c>
      <c r="V9" s="22">
        <f t="shared" si="1"/>
        <v>0.0318676885841065</v>
      </c>
      <c r="W9" s="23">
        <f t="shared" si="2"/>
        <v>1386.17416666667</v>
      </c>
      <c r="X9" s="23">
        <f t="shared" si="3"/>
        <v>0.410263860652014</v>
      </c>
      <c r="Y9" s="23">
        <f t="shared" si="4"/>
        <v>30.1497313871659</v>
      </c>
      <c r="Z9" s="24" t="str">
        <f t="shared" si="5"/>
        <v/>
      </c>
      <c r="AA9" s="6" t="str">
        <f t="shared" si="6"/>
        <v>已计算</v>
      </c>
      <c r="AB9" s="6" t="str">
        <f t="shared" si="7"/>
        <v>有效</v>
      </c>
      <c r="AC9" s="6" t="str">
        <f t="shared" si="8"/>
        <v/>
      </c>
      <c r="AD9" s="7" t="s">
        <v>164</v>
      </c>
    </row>
    <row r="10" ht="25" customHeight="1" spans="1:30">
      <c r="A10" s="6" t="s">
        <v>145</v>
      </c>
      <c r="B10" s="6" t="s">
        <v>51</v>
      </c>
      <c r="C10" s="7" t="s">
        <v>161</v>
      </c>
      <c r="D10" s="7" t="s">
        <v>165</v>
      </c>
      <c r="E10" s="7" t="s">
        <v>166</v>
      </c>
      <c r="F10" s="6" t="s">
        <v>149</v>
      </c>
      <c r="G10" s="16">
        <v>6</v>
      </c>
      <c r="H10" s="17"/>
      <c r="I10" s="18">
        <f t="shared" si="0"/>
        <v>6</v>
      </c>
      <c r="J10" s="19">
        <v>13</v>
      </c>
      <c r="K10" s="20"/>
      <c r="L10" s="20"/>
      <c r="M10" s="20"/>
      <c r="N10" s="20"/>
      <c r="O10" s="20"/>
      <c r="P10" s="20"/>
      <c r="Q10" s="21">
        <f>IF($I10="","",IFERROR(INDEX(_玩家曲线!$H$2:$H$286,MATCH($I10,_玩家曲线!$A$2:$A$286,0)),""))</f>
        <v>4051.60449583465</v>
      </c>
      <c r="R10" s="21">
        <f>IF($I10="","",IFERROR(INDEX(_玩家曲线!$I$2:$I$286,MATCH($I10,_玩家曲线!$A$2:$A$286,0)),""))</f>
        <v>13917.1618120045</v>
      </c>
      <c r="S10" s="21">
        <f>IF(OR($J10="",$F10="不适用"),"",IFERROR(INDEX(_怪物模型!$D$2:$D$4501,MATCH(INT($J10)&amp;"|"&amp;$F10,_怪物模型!$A$2:$A$4501,0))*IF($K10="",1,$K10),""))</f>
        <v>1652</v>
      </c>
      <c r="T10" s="21">
        <f>IF(OR($J10="",$F10="不适用"),"",IFERROR(INDEX(_怪物模型!$E$2:$E$4501,MATCH(INT($J10)&amp;"|"&amp;$F10,_怪物模型!$A$2:$A$4501,0))*IF($L10="",1,$L10),""))</f>
        <v>461</v>
      </c>
      <c r="U10" s="21">
        <f>IF(OR($J10="",$F10="不适用"),"",IFERROR(INDEX(_怪物模型!$F$2:$F$4501,MATCH(INT($J10)&amp;"|"&amp;$F10,_怪物模型!$A$2:$A$4501,0))*IF($M10="",1,$M10),""))</f>
        <v>936</v>
      </c>
      <c r="V10" s="22">
        <f t="shared" si="1"/>
        <v>0.0375360923965351</v>
      </c>
      <c r="W10" s="23">
        <f t="shared" si="2"/>
        <v>1716.428</v>
      </c>
      <c r="X10" s="23">
        <f t="shared" si="3"/>
        <v>0.423641547876802</v>
      </c>
      <c r="Y10" s="23">
        <f t="shared" si="4"/>
        <v>30.1890711757148</v>
      </c>
      <c r="Z10" s="24" t="str">
        <f t="shared" si="5"/>
        <v/>
      </c>
      <c r="AA10" s="6" t="str">
        <f t="shared" si="6"/>
        <v>已计算</v>
      </c>
      <c r="AB10" s="6" t="str">
        <f t="shared" si="7"/>
        <v>有效</v>
      </c>
      <c r="AC10" s="6" t="str">
        <f t="shared" si="8"/>
        <v/>
      </c>
      <c r="AD10" s="7" t="s">
        <v>167</v>
      </c>
    </row>
    <row r="11" ht="25" customHeight="1" spans="1:30">
      <c r="A11" s="6" t="s">
        <v>145</v>
      </c>
      <c r="B11" s="6" t="s">
        <v>51</v>
      </c>
      <c r="C11" s="7" t="s">
        <v>161</v>
      </c>
      <c r="D11" s="7" t="s">
        <v>168</v>
      </c>
      <c r="E11" s="7" t="s">
        <v>169</v>
      </c>
      <c r="F11" s="6" t="s">
        <v>149</v>
      </c>
      <c r="G11" s="16">
        <v>7</v>
      </c>
      <c r="H11" s="17"/>
      <c r="I11" s="18">
        <f t="shared" si="0"/>
        <v>7</v>
      </c>
      <c r="J11" s="19">
        <v>15</v>
      </c>
      <c r="K11" s="20"/>
      <c r="L11" s="20"/>
      <c r="M11" s="20"/>
      <c r="N11" s="20"/>
      <c r="O11" s="20"/>
      <c r="P11" s="20"/>
      <c r="Q11" s="21">
        <f>IF($I11="","",IFERROR(INDEX(_玩家曲线!$H$2:$H$286,MATCH($I11,_玩家曲线!$A$2:$A$286,0)),""))</f>
        <v>4945.43127875686</v>
      </c>
      <c r="R11" s="21">
        <f>IF($I11="","",IFERROR(INDEX(_玩家曲线!$I$2:$I$286,MATCH($I11,_玩家曲线!$A$2:$A$286,0)),""))</f>
        <v>17028.359505321</v>
      </c>
      <c r="S11" s="21">
        <f>IF(OR($J11="",$F11="不适用"),"",IFERROR(INDEX(_怪物模型!$D$2:$D$4501,MATCH(INT($J11)&amp;"|"&amp;$F11,_怪物模型!$A$2:$A$4501,0))*IF($K11="",1,$K11),""))</f>
        <v>1982</v>
      </c>
      <c r="T11" s="21">
        <f>IF(OR($J11="",$F11="不适用"),"",IFERROR(INDEX(_怪物模型!$E$2:$E$4501,MATCH(INT($J11)&amp;"|"&amp;$F11,_怪物模型!$A$2:$A$4501,0))*IF($L11="",1,$L11),""))</f>
        <v>541</v>
      </c>
      <c r="U11" s="21">
        <f>IF(OR($J11="",$F11="不适用"),"",IFERROR(INDEX(_怪物模型!$F$2:$F$4501,MATCH(INT($J11)&amp;"|"&amp;$F11,_怪物模型!$A$2:$A$4501,0))*IF($M11="",1,$M11),""))</f>
        <v>1083</v>
      </c>
      <c r="V11" s="22">
        <f t="shared" si="1"/>
        <v>0.0431766535103457</v>
      </c>
      <c r="W11" s="23">
        <f t="shared" si="2"/>
        <v>2071.43775</v>
      </c>
      <c r="X11" s="23">
        <f t="shared" si="3"/>
        <v>0.418858868567819</v>
      </c>
      <c r="Y11" s="23">
        <f t="shared" si="4"/>
        <v>31.4757107307227</v>
      </c>
      <c r="Z11" s="24" t="str">
        <f t="shared" si="5"/>
        <v/>
      </c>
      <c r="AA11" s="6" t="str">
        <f t="shared" si="6"/>
        <v>已计算</v>
      </c>
      <c r="AB11" s="6" t="str">
        <f t="shared" si="7"/>
        <v>有效</v>
      </c>
      <c r="AC11" s="6" t="str">
        <f t="shared" si="8"/>
        <v/>
      </c>
      <c r="AD11" s="7" t="s">
        <v>170</v>
      </c>
    </row>
    <row r="12" ht="25" customHeight="1" spans="1:30">
      <c r="A12" s="6" t="s">
        <v>145</v>
      </c>
      <c r="B12" s="6" t="s">
        <v>51</v>
      </c>
      <c r="C12" s="7" t="s">
        <v>161</v>
      </c>
      <c r="D12" s="7" t="s">
        <v>171</v>
      </c>
      <c r="E12" s="7" t="s">
        <v>172</v>
      </c>
      <c r="F12" s="6" t="s">
        <v>149</v>
      </c>
      <c r="G12" s="16">
        <v>8</v>
      </c>
      <c r="H12" s="17"/>
      <c r="I12" s="18">
        <f t="shared" si="0"/>
        <v>8</v>
      </c>
      <c r="J12" s="19">
        <v>16</v>
      </c>
      <c r="K12" s="20"/>
      <c r="L12" s="20"/>
      <c r="M12" s="20"/>
      <c r="N12" s="20"/>
      <c r="O12" s="20"/>
      <c r="P12" s="20"/>
      <c r="Q12" s="21">
        <f>IF($I12="","",IFERROR(INDEX(_玩家曲线!$H$2:$H$286,MATCH($I12,_玩家曲线!$A$2:$A$286,0)),""))</f>
        <v>5897.95686308845</v>
      </c>
      <c r="R12" s="21">
        <f>IF($I12="","",IFERROR(INDEX(_玩家曲线!$I$2:$I$286,MATCH($I12,_玩家曲线!$A$2:$A$286,0)),""))</f>
        <v>20356.2188043194</v>
      </c>
      <c r="S12" s="21">
        <f>IF(OR($J12="",$F12="不适用"),"",IFERROR(INDEX(_怪物模型!$D$2:$D$4501,MATCH(INT($J12)&amp;"|"&amp;$F12,_怪物模型!$A$2:$A$4501,0))*IF($K12="",1,$K12),""))</f>
        <v>2154</v>
      </c>
      <c r="T12" s="21">
        <f>IF(OR($J12="",$F12="不适用"),"",IFERROR(INDEX(_怪物模型!$E$2:$E$4501,MATCH(INT($J12)&amp;"|"&amp;$F12,_怪物模型!$A$2:$A$4501,0))*IF($L12="",1,$L12),""))</f>
        <v>582</v>
      </c>
      <c r="U12" s="21">
        <f>IF(OR($J12="",$F12="不适用"),"",IFERROR(INDEX(_怪物模型!$F$2:$F$4501,MATCH(INT($J12)&amp;"|"&amp;$F12,_怪物模型!$A$2:$A$4501,0))*IF($M12="",1,$M12),""))</f>
        <v>1157</v>
      </c>
      <c r="V12" s="22">
        <f t="shared" si="1"/>
        <v>0.0459911754183726</v>
      </c>
      <c r="W12" s="23">
        <f t="shared" si="2"/>
        <v>2257.84075</v>
      </c>
      <c r="X12" s="23">
        <f t="shared" si="3"/>
        <v>0.38281744041405</v>
      </c>
      <c r="Y12" s="23">
        <f t="shared" si="4"/>
        <v>34.976320969621</v>
      </c>
      <c r="Z12" s="24" t="str">
        <f t="shared" si="5"/>
        <v/>
      </c>
      <c r="AA12" s="6" t="str">
        <f t="shared" si="6"/>
        <v>已计算</v>
      </c>
      <c r="AB12" s="6" t="str">
        <f t="shared" si="7"/>
        <v>有效</v>
      </c>
      <c r="AC12" s="6" t="str">
        <f t="shared" si="8"/>
        <v/>
      </c>
      <c r="AD12" s="7" t="s">
        <v>173</v>
      </c>
    </row>
    <row r="13" ht="25" customHeight="1" spans="1:30">
      <c r="A13" s="6" t="s">
        <v>145</v>
      </c>
      <c r="B13" s="6" t="s">
        <v>51</v>
      </c>
      <c r="C13" s="7" t="s">
        <v>161</v>
      </c>
      <c r="D13" s="7" t="s">
        <v>174</v>
      </c>
      <c r="E13" s="7" t="s">
        <v>175</v>
      </c>
      <c r="F13" s="6" t="s">
        <v>149</v>
      </c>
      <c r="G13" s="16">
        <v>9</v>
      </c>
      <c r="H13" s="17"/>
      <c r="I13" s="18">
        <f t="shared" si="0"/>
        <v>9</v>
      </c>
      <c r="J13" s="19">
        <v>19</v>
      </c>
      <c r="K13" s="20"/>
      <c r="L13" s="20"/>
      <c r="M13" s="20"/>
      <c r="N13" s="20"/>
      <c r="O13" s="20"/>
      <c r="P13" s="20"/>
      <c r="Q13" s="21">
        <f>IF($I13="","",IFERROR(INDEX(_玩家曲线!$H$2:$H$286,MATCH($I13,_玩家曲线!$A$2:$A$286,0)),""))</f>
        <v>6907.83945043015</v>
      </c>
      <c r="R13" s="21">
        <f>IF($I13="","",IFERROR(INDEX(_玩家曲线!$I$2:$I$286,MATCH($I13,_玩家曲线!$A$2:$A$286,0)),""))</f>
        <v>23897.1913904748</v>
      </c>
      <c r="S13" s="21">
        <f>IF(OR($J13="",$F13="不适用"),"",IFERROR(INDEX(_怪物模型!$D$2:$D$4501,MATCH(INT($J13)&amp;"|"&amp;$F13,_怪物模型!$A$2:$A$4501,0))*IF($K13="",1,$K13),""))</f>
        <v>2700</v>
      </c>
      <c r="T13" s="21">
        <f>IF(OR($J13="",$F13="不适用"),"",IFERROR(INDEX(_怪物模型!$E$2:$E$4501,MATCH(INT($J13)&amp;"|"&amp;$F13,_怪物模型!$A$2:$A$4501,0))*IF($L13="",1,$L13),""))</f>
        <v>709</v>
      </c>
      <c r="U13" s="21">
        <f>IF(OR($J13="",$F13="不适用"),"",IFERROR(INDEX(_怪物模型!$F$2:$F$4501,MATCH(INT($J13)&amp;"|"&amp;$F13,_怪物模型!$A$2:$A$4501,0))*IF($M13="",1,$M13),""))</f>
        <v>1379</v>
      </c>
      <c r="V13" s="22">
        <f t="shared" si="1"/>
        <v>0.0543362622640766</v>
      </c>
      <c r="W13" s="23">
        <f t="shared" si="2"/>
        <v>2855.1375</v>
      </c>
      <c r="X13" s="23">
        <f t="shared" si="3"/>
        <v>0.413318450796104</v>
      </c>
      <c r="Y13" s="23">
        <f t="shared" si="4"/>
        <v>33.7054885620237</v>
      </c>
      <c r="Z13" s="24" t="str">
        <f t="shared" si="5"/>
        <v/>
      </c>
      <c r="AA13" s="6" t="str">
        <f t="shared" si="6"/>
        <v>已计算</v>
      </c>
      <c r="AB13" s="6" t="str">
        <f t="shared" si="7"/>
        <v>有效</v>
      </c>
      <c r="AC13" s="6" t="str">
        <f t="shared" si="8"/>
        <v/>
      </c>
      <c r="AD13" s="7" t="s">
        <v>176</v>
      </c>
    </row>
    <row r="14" ht="25" customHeight="1" spans="1:30">
      <c r="A14" s="6" t="s">
        <v>145</v>
      </c>
      <c r="B14" s="6" t="s">
        <v>51</v>
      </c>
      <c r="C14" s="7" t="s">
        <v>161</v>
      </c>
      <c r="D14" s="7" t="s">
        <v>177</v>
      </c>
      <c r="E14" s="7" t="s">
        <v>178</v>
      </c>
      <c r="F14" s="6" t="s">
        <v>149</v>
      </c>
      <c r="G14" s="16">
        <v>10</v>
      </c>
      <c r="H14" s="17"/>
      <c r="I14" s="18">
        <f t="shared" si="0"/>
        <v>10</v>
      </c>
      <c r="J14" s="19">
        <v>21</v>
      </c>
      <c r="K14" s="20"/>
      <c r="L14" s="20"/>
      <c r="M14" s="20"/>
      <c r="N14" s="20"/>
      <c r="O14" s="20"/>
      <c r="P14" s="20"/>
      <c r="Q14" s="21">
        <f>IF($I14="","",IFERROR(INDEX(_玩家曲线!$H$2:$H$286,MATCH($I14,_玩家曲线!$A$2:$A$286,0)),""))</f>
        <v>7654.81371754022</v>
      </c>
      <c r="R14" s="21">
        <f>IF($I14="","",IFERROR(INDEX(_玩家曲线!$I$2:$I$286,MATCH($I14,_玩家曲线!$A$2:$A$286,0)),""))</f>
        <v>26541.83453548</v>
      </c>
      <c r="S14" s="21">
        <f>IF(OR($J14="",$F14="不适用"),"",IFERROR(INDEX(_怪物模型!$D$2:$D$4501,MATCH(INT($J14)&amp;"|"&amp;$F14,_怪物模型!$A$2:$A$4501,0))*IF($K14="",1,$K14),""))</f>
        <v>3088</v>
      </c>
      <c r="T14" s="21">
        <f>IF(OR($J14="",$F14="不适用"),"",IFERROR(INDEX(_怪物模型!$E$2:$E$4501,MATCH(INT($J14)&amp;"|"&amp;$F14,_怪物模型!$A$2:$A$4501,0))*IF($L14="",1,$L14),""))</f>
        <v>797</v>
      </c>
      <c r="U14" s="21">
        <f>IF(OR($J14="",$F14="不适用"),"",IFERROR(INDEX(_怪物模型!$F$2:$F$4501,MATCH(INT($J14)&amp;"|"&amp;$F14,_怪物模型!$A$2:$A$4501,0))*IF($M14="",1,$M14),""))</f>
        <v>1528</v>
      </c>
      <c r="V14" s="22">
        <f t="shared" si="1"/>
        <v>0.059855844562833</v>
      </c>
      <c r="W14" s="23">
        <f t="shared" si="2"/>
        <v>3284.60266666667</v>
      </c>
      <c r="X14" s="23">
        <f t="shared" si="3"/>
        <v>0.429089823458452</v>
      </c>
      <c r="Y14" s="23">
        <f t="shared" si="4"/>
        <v>33.3021763305897</v>
      </c>
      <c r="Z14" s="24" t="str">
        <f t="shared" si="5"/>
        <v/>
      </c>
      <c r="AA14" s="6" t="str">
        <f t="shared" si="6"/>
        <v>已计算</v>
      </c>
      <c r="AB14" s="6" t="str">
        <f t="shared" si="7"/>
        <v>有效</v>
      </c>
      <c r="AC14" s="6" t="str">
        <f t="shared" si="8"/>
        <v/>
      </c>
      <c r="AD14" s="7" t="s">
        <v>179</v>
      </c>
    </row>
    <row r="15" ht="25" customHeight="1" spans="1:30">
      <c r="A15" s="6" t="s">
        <v>145</v>
      </c>
      <c r="B15" s="6" t="s">
        <v>51</v>
      </c>
      <c r="C15" s="7" t="s">
        <v>161</v>
      </c>
      <c r="D15" s="7" t="s">
        <v>180</v>
      </c>
      <c r="E15" s="7" t="s">
        <v>181</v>
      </c>
      <c r="F15" s="6" t="s">
        <v>149</v>
      </c>
      <c r="G15" s="16">
        <v>11</v>
      </c>
      <c r="H15" s="17"/>
      <c r="I15" s="18">
        <f t="shared" si="0"/>
        <v>11</v>
      </c>
      <c r="J15" s="19">
        <v>22</v>
      </c>
      <c r="K15" s="20"/>
      <c r="L15" s="20"/>
      <c r="M15" s="20"/>
      <c r="N15" s="20"/>
      <c r="O15" s="20"/>
      <c r="P15" s="20"/>
      <c r="Q15" s="21">
        <f>IF($I15="","",IFERROR(INDEX(_玩家曲线!$H$2:$H$286,MATCH($I15,_玩家曲线!$A$2:$A$286,0)),""))</f>
        <v>8433.02911631949</v>
      </c>
      <c r="R15" s="21">
        <f>IF($I15="","",IFERROR(INDEX(_玩家曲线!$I$2:$I$286,MATCH($I15,_玩家曲线!$A$2:$A$286,0)),""))</f>
        <v>29305.8627382503</v>
      </c>
      <c r="S15" s="21">
        <f>IF(OR($J15="",$F15="不适用"),"",IFERROR(INDEX(_怪物模型!$D$2:$D$4501,MATCH(INT($J15)&amp;"|"&amp;$F15,_怪物模型!$A$2:$A$4501,0))*IF($K15="",1,$K15),""))</f>
        <v>3288</v>
      </c>
      <c r="T15" s="21">
        <f>IF(OR($J15="",$F15="不适用"),"",IFERROR(INDEX(_怪物模型!$E$2:$E$4501,MATCH(INT($J15)&amp;"|"&amp;$F15,_怪物模型!$A$2:$A$4501,0))*IF($L15="",1,$L15),""))</f>
        <v>842</v>
      </c>
      <c r="U15" s="21">
        <f>IF(OR($J15="",$F15="不适用"),"",IFERROR(INDEX(_怪物模型!$F$2:$F$4501,MATCH(INT($J15)&amp;"|"&amp;$F15,_怪物模型!$A$2:$A$4501,0))*IF($M15="",1,$M15),""))</f>
        <v>1603</v>
      </c>
      <c r="V15" s="22">
        <f t="shared" si="1"/>
        <v>0.0626098504081553</v>
      </c>
      <c r="W15" s="23">
        <f t="shared" si="2"/>
        <v>3507.611</v>
      </c>
      <c r="X15" s="23">
        <f t="shared" si="3"/>
        <v>0.415937257137191</v>
      </c>
      <c r="Y15" s="23">
        <f t="shared" si="4"/>
        <v>34.8050626345015</v>
      </c>
      <c r="Z15" s="24" t="str">
        <f t="shared" si="5"/>
        <v/>
      </c>
      <c r="AA15" s="6" t="str">
        <f t="shared" si="6"/>
        <v>已计算</v>
      </c>
      <c r="AB15" s="6" t="str">
        <f t="shared" si="7"/>
        <v>有效</v>
      </c>
      <c r="AC15" s="6" t="str">
        <f t="shared" si="8"/>
        <v/>
      </c>
      <c r="AD15" s="7" t="s">
        <v>182</v>
      </c>
    </row>
    <row r="16" ht="25" customHeight="1" spans="1:30">
      <c r="A16" s="6" t="s">
        <v>145</v>
      </c>
      <c r="B16" s="6" t="s">
        <v>51</v>
      </c>
      <c r="C16" s="7" t="s">
        <v>161</v>
      </c>
      <c r="D16" s="7" t="s">
        <v>183</v>
      </c>
      <c r="E16" s="7" t="s">
        <v>184</v>
      </c>
      <c r="F16" s="6" t="s">
        <v>159</v>
      </c>
      <c r="G16" s="16">
        <v>12</v>
      </c>
      <c r="H16" s="17"/>
      <c r="I16" s="18">
        <f t="shared" si="0"/>
        <v>12</v>
      </c>
      <c r="J16" s="19">
        <v>23</v>
      </c>
      <c r="K16" s="20"/>
      <c r="L16" s="20"/>
      <c r="M16" s="20"/>
      <c r="N16" s="20"/>
      <c r="O16" s="20"/>
      <c r="P16" s="20"/>
      <c r="Q16" s="21">
        <f>IF($I16="","",IFERROR(INDEX(_玩家曲线!$H$2:$H$286,MATCH($I16,_玩家曲线!$A$2:$A$286,0)),""))</f>
        <v>9241.7525096093</v>
      </c>
      <c r="R16" s="21">
        <f>IF($I16="","",IFERROR(INDEX(_玩家曲线!$I$2:$I$286,MATCH($I16,_玩家曲线!$A$2:$A$286,0)),""))</f>
        <v>32187.1922088963</v>
      </c>
      <c r="S16" s="21">
        <f>IF(OR($J16="",$F16="不适用"),"",IFERROR(INDEX(_怪物模型!$D$2:$D$4501,MATCH(INT($J16)&amp;"|"&amp;$F16,_怪物模型!$A$2:$A$4501,0))*IF($K16="",1,$K16),""))</f>
        <v>299412</v>
      </c>
      <c r="T16" s="21">
        <f>IF(OR($J16="",$F16="不适用"),"",IFERROR(INDEX(_怪物模型!$E$2:$E$4501,MATCH(INT($J16)&amp;"|"&amp;$F16,_怪物模型!$A$2:$A$4501,0))*IF($L16="",1,$L16),""))</f>
        <v>887</v>
      </c>
      <c r="U16" s="21">
        <f>IF(OR($J16="",$F16="不适用"),"",IFERROR(INDEX(_怪物模型!$F$2:$F$4501,MATCH(INT($J16)&amp;"|"&amp;$F16,_怪物模型!$A$2:$A$4501,0))*IF($M16="",1,$M16),""))</f>
        <v>1678</v>
      </c>
      <c r="V16" s="22">
        <f t="shared" si="1"/>
        <v>0.0653477685177973</v>
      </c>
      <c r="W16" s="23">
        <f t="shared" si="2"/>
        <v>320345.889</v>
      </c>
      <c r="X16" s="23">
        <f t="shared" si="3"/>
        <v>34.6628941498827</v>
      </c>
      <c r="Y16" s="23">
        <f t="shared" si="4"/>
        <v>36.2877026030398</v>
      </c>
      <c r="Z16" s="24" t="str">
        <f t="shared" si="5"/>
        <v/>
      </c>
      <c r="AA16" s="6" t="str">
        <f t="shared" si="6"/>
        <v>已计算</v>
      </c>
      <c r="AB16" s="6" t="str">
        <f t="shared" si="7"/>
        <v>有效</v>
      </c>
      <c r="AC16" s="6" t="str">
        <f t="shared" si="8"/>
        <v/>
      </c>
      <c r="AD16" s="7" t="s">
        <v>185</v>
      </c>
    </row>
    <row r="17" ht="25" customHeight="1" spans="1:30">
      <c r="A17" s="6" t="s">
        <v>145</v>
      </c>
      <c r="B17" s="6" t="s">
        <v>51</v>
      </c>
      <c r="C17" s="7" t="s">
        <v>186</v>
      </c>
      <c r="D17" s="7" t="s">
        <v>187</v>
      </c>
      <c r="E17" s="7" t="s">
        <v>188</v>
      </c>
      <c r="F17" s="6" t="s">
        <v>149</v>
      </c>
      <c r="G17" s="16">
        <v>13</v>
      </c>
      <c r="H17" s="17"/>
      <c r="I17" s="18">
        <f t="shared" si="0"/>
        <v>13</v>
      </c>
      <c r="J17" s="19">
        <v>25</v>
      </c>
      <c r="K17" s="20"/>
      <c r="L17" s="20"/>
      <c r="M17" s="20"/>
      <c r="N17" s="20"/>
      <c r="O17" s="20"/>
      <c r="P17" s="20"/>
      <c r="Q17" s="21">
        <f>IF($I17="","",IFERROR(INDEX(_玩家曲线!$H$2:$H$286,MATCH($I17,_玩家曲线!$A$2:$A$286,0)),""))</f>
        <v>10080.2657251111</v>
      </c>
      <c r="R17" s="21">
        <f>IF($I17="","",IFERROR(INDEX(_玩家曲线!$I$2:$I$286,MATCH($I17,_玩家曲线!$A$2:$A$286,0)),""))</f>
        <v>35183.7527049831</v>
      </c>
      <c r="S17" s="21">
        <f>IF(OR($J17="",$F17="不适用"),"",IFERROR(INDEX(_怪物模型!$D$2:$D$4501,MATCH(INT($J17)&amp;"|"&amp;$F17,_怪物模型!$A$2:$A$4501,0))*IF($K17="",1,$K17),""))</f>
        <v>3920</v>
      </c>
      <c r="T17" s="21">
        <f>IF(OR($J17="",$F17="不适用"),"",IFERROR(INDEX(_怪物模型!$E$2:$E$4501,MATCH(INT($J17)&amp;"|"&amp;$F17,_怪物模型!$A$2:$A$4501,0))*IF($L17="",1,$L17),""))</f>
        <v>980</v>
      </c>
      <c r="U17" s="21">
        <f>IF(OR($J17="",$F17="不适用"),"",IFERROR(INDEX(_怪物模型!$F$2:$F$4501,MATCH(INT($J17)&amp;"|"&amp;$F17,_怪物模型!$A$2:$A$4501,0))*IF($M17="",1,$M17),""))</f>
        <v>1828</v>
      </c>
      <c r="V17" s="22">
        <f t="shared" si="1"/>
        <v>0.0707759021217284</v>
      </c>
      <c r="W17" s="23">
        <f t="shared" si="2"/>
        <v>4218.57333333333</v>
      </c>
      <c r="X17" s="23">
        <f t="shared" si="3"/>
        <v>0.418498226968797</v>
      </c>
      <c r="Y17" s="23">
        <f t="shared" si="4"/>
        <v>35.9017884744725</v>
      </c>
      <c r="Z17" s="24" t="str">
        <f t="shared" si="5"/>
        <v/>
      </c>
      <c r="AA17" s="6" t="str">
        <f t="shared" si="6"/>
        <v>已计算</v>
      </c>
      <c r="AB17" s="6" t="str">
        <f t="shared" si="7"/>
        <v>有效</v>
      </c>
      <c r="AC17" s="6" t="str">
        <f t="shared" si="8"/>
        <v/>
      </c>
      <c r="AD17" s="7" t="s">
        <v>189</v>
      </c>
    </row>
    <row r="18" ht="25" customHeight="1" spans="1:30">
      <c r="A18" s="6" t="s">
        <v>145</v>
      </c>
      <c r="B18" s="6" t="s">
        <v>51</v>
      </c>
      <c r="C18" s="7" t="s">
        <v>186</v>
      </c>
      <c r="D18" s="7" t="s">
        <v>190</v>
      </c>
      <c r="E18" s="7" t="s">
        <v>191</v>
      </c>
      <c r="F18" s="6" t="s">
        <v>149</v>
      </c>
      <c r="G18" s="16">
        <v>14</v>
      </c>
      <c r="H18" s="17"/>
      <c r="I18" s="18">
        <f t="shared" si="0"/>
        <v>14</v>
      </c>
      <c r="J18" s="19">
        <v>27</v>
      </c>
      <c r="K18" s="20"/>
      <c r="L18" s="20"/>
      <c r="M18" s="20"/>
      <c r="N18" s="20"/>
      <c r="O18" s="20"/>
      <c r="P18" s="20"/>
      <c r="Q18" s="21">
        <f>IF($I18="","",IFERROR(INDEX(_玩家曲线!$H$2:$H$286,MATCH($I18,_玩家曲线!$A$2:$A$286,0)),""))</f>
        <v>10947.8652713966</v>
      </c>
      <c r="R18" s="21">
        <f>IF($I18="","",IFERROR(INDEX(_玩家曲线!$I$2:$I$286,MATCH($I18,_玩家曲线!$A$2:$A$286,0)),""))</f>
        <v>38293.4883702837</v>
      </c>
      <c r="S18" s="21">
        <f>IF(OR($J18="",$F18="不适用"),"",IFERROR(INDEX(_怪物模型!$D$2:$D$4501,MATCH(INT($J18)&amp;"|"&amp;$F18,_怪物模型!$A$2:$A$4501,0))*IF($K18="",1,$K18),""))</f>
        <v>4365</v>
      </c>
      <c r="T18" s="21">
        <f>IF(OR($J18="",$F18="不适用"),"",IFERROR(INDEX(_怪物模型!$E$2:$E$4501,MATCH(INT($J18)&amp;"|"&amp;$F18,_怪物模型!$A$2:$A$4501,0))*IF($L18="",1,$L18),""))</f>
        <v>1076</v>
      </c>
      <c r="U18" s="21">
        <f>IF(OR($J18="",$F18="不适用"),"",IFERROR(INDEX(_怪物模型!$F$2:$F$4501,MATCH(INT($J18)&amp;"|"&amp;$F18,_怪物模型!$A$2:$A$4501,0))*IF($M18="",1,$M18),""))</f>
        <v>1979</v>
      </c>
      <c r="V18" s="22">
        <f t="shared" si="1"/>
        <v>0.0761769121213288</v>
      </c>
      <c r="W18" s="23">
        <f t="shared" si="2"/>
        <v>4724.930625</v>
      </c>
      <c r="X18" s="23">
        <f t="shared" si="3"/>
        <v>0.43158465215541</v>
      </c>
      <c r="Y18" s="23">
        <f t="shared" si="4"/>
        <v>35.5887438385536</v>
      </c>
      <c r="Z18" s="24" t="str">
        <f t="shared" si="5"/>
        <v/>
      </c>
      <c r="AA18" s="6" t="str">
        <f t="shared" si="6"/>
        <v>已计算</v>
      </c>
      <c r="AB18" s="6" t="str">
        <f t="shared" si="7"/>
        <v>有效</v>
      </c>
      <c r="AC18" s="6" t="str">
        <f t="shared" si="8"/>
        <v/>
      </c>
      <c r="AD18" s="7" t="s">
        <v>192</v>
      </c>
    </row>
    <row r="19" ht="25" customHeight="1" spans="1:30">
      <c r="A19" s="6" t="s">
        <v>145</v>
      </c>
      <c r="B19" s="6" t="s">
        <v>51</v>
      </c>
      <c r="C19" s="7" t="s">
        <v>186</v>
      </c>
      <c r="D19" s="7" t="s">
        <v>193</v>
      </c>
      <c r="E19" s="7" t="s">
        <v>194</v>
      </c>
      <c r="F19" s="6" t="s">
        <v>149</v>
      </c>
      <c r="G19" s="16">
        <v>15</v>
      </c>
      <c r="H19" s="17"/>
      <c r="I19" s="18">
        <f t="shared" si="0"/>
        <v>15</v>
      </c>
      <c r="J19" s="19">
        <v>28</v>
      </c>
      <c r="K19" s="20"/>
      <c r="L19" s="20"/>
      <c r="M19" s="20"/>
      <c r="N19" s="20"/>
      <c r="O19" s="20"/>
      <c r="P19" s="20"/>
      <c r="Q19" s="21">
        <f>IF($I19="","",IFERROR(INDEX(_玩家曲线!$H$2:$H$286,MATCH($I19,_玩家曲线!$A$2:$A$286,0)),""))</f>
        <v>11554.7916589384</v>
      </c>
      <c r="R19" s="21">
        <f>IF($I19="","",IFERROR(INDEX(_玩家曲线!$I$2:$I$286,MATCH($I19,_玩家曲线!$A$2:$A$286,0)),""))</f>
        <v>40054.7709950847</v>
      </c>
      <c r="S19" s="21">
        <f>IF(OR($J19="",$F19="不适用"),"",IFERROR(INDEX(_怪物模型!$D$2:$D$4501,MATCH(INT($J19)&amp;"|"&amp;$F19,_怪物模型!$A$2:$A$4501,0))*IF($K19="",1,$K19),""))</f>
        <v>4594</v>
      </c>
      <c r="T19" s="21">
        <f>IF(OR($J19="",$F19="不适用"),"",IFERROR(INDEX(_怪物模型!$E$2:$E$4501,MATCH(INT($J19)&amp;"|"&amp;$F19,_怪物模型!$A$2:$A$4501,0))*IF($L19="",1,$L19),""))</f>
        <v>1125</v>
      </c>
      <c r="U19" s="21">
        <f>IF(OR($J19="",$F19="不适用"),"",IFERROR(INDEX(_怪物模型!$F$2:$F$4501,MATCH(INT($J19)&amp;"|"&amp;$F19,_怪物模型!$A$2:$A$4501,0))*IF($M19="",1,$M19),""))</f>
        <v>2055</v>
      </c>
      <c r="V19" s="22">
        <f t="shared" si="1"/>
        <v>0.0788716177317214</v>
      </c>
      <c r="W19" s="23">
        <f t="shared" si="2"/>
        <v>4987.36125</v>
      </c>
      <c r="X19" s="23">
        <f t="shared" si="3"/>
        <v>0.431627103041875</v>
      </c>
      <c r="Y19" s="23">
        <f t="shared" si="4"/>
        <v>35.6042408845197</v>
      </c>
      <c r="Z19" s="24" t="str">
        <f t="shared" si="5"/>
        <v/>
      </c>
      <c r="AA19" s="6" t="str">
        <f t="shared" si="6"/>
        <v>已计算</v>
      </c>
      <c r="AB19" s="6" t="str">
        <f t="shared" si="7"/>
        <v>有效</v>
      </c>
      <c r="AC19" s="6" t="str">
        <f t="shared" si="8"/>
        <v/>
      </c>
      <c r="AD19" s="7" t="s">
        <v>195</v>
      </c>
    </row>
    <row r="20" ht="25" customHeight="1" spans="1:30">
      <c r="A20" s="6" t="s">
        <v>145</v>
      </c>
      <c r="B20" s="6" t="s">
        <v>51</v>
      </c>
      <c r="C20" s="7" t="s">
        <v>186</v>
      </c>
      <c r="D20" s="7" t="s">
        <v>196</v>
      </c>
      <c r="E20" s="7" t="s">
        <v>197</v>
      </c>
      <c r="F20" s="6" t="s">
        <v>149</v>
      </c>
      <c r="G20" s="16">
        <v>16</v>
      </c>
      <c r="H20" s="17"/>
      <c r="I20" s="18">
        <f t="shared" si="0"/>
        <v>16</v>
      </c>
      <c r="J20" s="19">
        <v>30</v>
      </c>
      <c r="K20" s="20"/>
      <c r="L20" s="20"/>
      <c r="M20" s="20"/>
      <c r="N20" s="20"/>
      <c r="O20" s="20"/>
      <c r="P20" s="20"/>
      <c r="Q20" s="21">
        <f>IF($I20="","",IFERROR(INDEX(_玩家曲线!$H$2:$H$286,MATCH($I20,_玩家曲线!$A$2:$A$286,0)),""))</f>
        <v>12775.0326599693</v>
      </c>
      <c r="R20" s="21">
        <f>IF($I20="","",IFERROR(INDEX(_玩家曲线!$I$2:$I$286,MATCH($I20,_玩家曲线!$A$2:$A$286,0)),""))</f>
        <v>43484.7798603876</v>
      </c>
      <c r="S20" s="21">
        <f>IF(OR($J20="",$F20="不适用"),"",IFERROR(INDEX(_怪物模型!$D$2:$D$4501,MATCH(INT($J20)&amp;"|"&amp;$F20,_怪物模型!$A$2:$A$4501,0))*IF($K20="",1,$K20),""))</f>
        <v>5068</v>
      </c>
      <c r="T20" s="21">
        <f>IF(OR($J20="",$F20="不适用"),"",IFERROR(INDEX(_怪物模型!$E$2:$E$4501,MATCH(INT($J20)&amp;"|"&amp;$F20,_怪物模型!$A$2:$A$4501,0))*IF($L20="",1,$L20),""))</f>
        <v>1224</v>
      </c>
      <c r="U20" s="21">
        <f>IF(OR($J20="",$F20="不适用"),"",IFERROR(INDEX(_怪物模型!$F$2:$F$4501,MATCH(INT($J20)&amp;"|"&amp;$F20,_怪物模型!$A$2:$A$4501,0))*IF($M20="",1,$M20),""))</f>
        <v>2207</v>
      </c>
      <c r="V20" s="22">
        <f t="shared" si="1"/>
        <v>0.0842141412599687</v>
      </c>
      <c r="W20" s="23">
        <f t="shared" si="2"/>
        <v>5534.04483333333</v>
      </c>
      <c r="X20" s="23">
        <f t="shared" si="3"/>
        <v>0.433192225854289</v>
      </c>
      <c r="Y20" s="23">
        <f t="shared" si="4"/>
        <v>35.5267809316892</v>
      </c>
      <c r="Z20" s="24" t="str">
        <f t="shared" si="5"/>
        <v/>
      </c>
      <c r="AA20" s="6" t="str">
        <f t="shared" si="6"/>
        <v>已计算</v>
      </c>
      <c r="AB20" s="6" t="str">
        <f t="shared" si="7"/>
        <v>有效</v>
      </c>
      <c r="AC20" s="6" t="str">
        <f t="shared" si="8"/>
        <v/>
      </c>
      <c r="AD20" s="7" t="s">
        <v>198</v>
      </c>
    </row>
    <row r="21" ht="25" customHeight="1" spans="1:30">
      <c r="A21" s="6" t="s">
        <v>145</v>
      </c>
      <c r="B21" s="6" t="s">
        <v>51</v>
      </c>
      <c r="C21" s="7" t="s">
        <v>186</v>
      </c>
      <c r="D21" s="7" t="s">
        <v>199</v>
      </c>
      <c r="E21" s="7" t="s">
        <v>200</v>
      </c>
      <c r="F21" s="6" t="s">
        <v>149</v>
      </c>
      <c r="G21" s="16">
        <v>17</v>
      </c>
      <c r="H21" s="17"/>
      <c r="I21" s="18">
        <f t="shared" si="0"/>
        <v>17</v>
      </c>
      <c r="J21" s="19">
        <v>32</v>
      </c>
      <c r="K21" s="20"/>
      <c r="L21" s="20"/>
      <c r="M21" s="20"/>
      <c r="N21" s="20"/>
      <c r="O21" s="20"/>
      <c r="P21" s="20"/>
      <c r="Q21" s="21">
        <f>IF($I21="","",IFERROR(INDEX(_玩家曲线!$H$2:$H$286,MATCH($I21,_玩家曲线!$A$2:$A$286,0)),""))</f>
        <v>14028.1105049217</v>
      </c>
      <c r="R21" s="21">
        <f>IF($I21="","",IFERROR(INDEX(_玩家曲线!$I$2:$I$286,MATCH($I21,_玩家曲线!$A$2:$A$286,0)),""))</f>
        <v>46918.5616999096</v>
      </c>
      <c r="S21" s="21">
        <f>IF(OR($J21="",$F21="不适用"),"",IFERROR(INDEX(_怪物模型!$D$2:$D$4501,MATCH(INT($J21)&amp;"|"&amp;$F21,_怪物模型!$A$2:$A$4501,0))*IF($K21="",1,$K21),""))</f>
        <v>5560</v>
      </c>
      <c r="T21" s="21">
        <f>IF(OR($J21="",$F21="不适用"),"",IFERROR(INDEX(_怪物模型!$E$2:$E$4501,MATCH(INT($J21)&amp;"|"&amp;$F21,_怪物模型!$A$2:$A$4501,0))*IF($L21="",1,$L21),""))</f>
        <v>1327</v>
      </c>
      <c r="U21" s="21">
        <f>IF(OR($J21="",$F21="不适用"),"",IFERROR(INDEX(_怪物模型!$F$2:$F$4501,MATCH(INT($J21)&amp;"|"&amp;$F21,_怪物模型!$A$2:$A$4501,0))*IF($M21="",1,$M21),""))</f>
        <v>2361</v>
      </c>
      <c r="V21" s="22">
        <f t="shared" si="1"/>
        <v>0.0895641288266758</v>
      </c>
      <c r="W21" s="23">
        <f t="shared" si="2"/>
        <v>6106.965</v>
      </c>
      <c r="X21" s="23">
        <f t="shared" si="3"/>
        <v>0.435337674154862</v>
      </c>
      <c r="Y21" s="23">
        <f t="shared" si="4"/>
        <v>35.3568663902861</v>
      </c>
      <c r="Z21" s="24" t="str">
        <f t="shared" si="5"/>
        <v/>
      </c>
      <c r="AA21" s="6" t="str">
        <f t="shared" si="6"/>
        <v>已计算</v>
      </c>
      <c r="AB21" s="6" t="str">
        <f t="shared" si="7"/>
        <v>有效</v>
      </c>
      <c r="AC21" s="6" t="str">
        <f t="shared" si="8"/>
        <v/>
      </c>
      <c r="AD21" s="7" t="s">
        <v>201</v>
      </c>
    </row>
    <row r="22" ht="25" customHeight="1" spans="1:30">
      <c r="A22" s="6" t="s">
        <v>145</v>
      </c>
      <c r="B22" s="6" t="s">
        <v>51</v>
      </c>
      <c r="C22" s="7" t="s">
        <v>186</v>
      </c>
      <c r="D22" s="7" t="s">
        <v>202</v>
      </c>
      <c r="E22" s="7" t="s">
        <v>203</v>
      </c>
      <c r="F22" s="6" t="s">
        <v>149</v>
      </c>
      <c r="G22" s="16">
        <v>18</v>
      </c>
      <c r="H22" s="17"/>
      <c r="I22" s="18">
        <f t="shared" si="0"/>
        <v>18</v>
      </c>
      <c r="J22" s="19">
        <v>33</v>
      </c>
      <c r="K22" s="20"/>
      <c r="L22" s="20"/>
      <c r="M22" s="20"/>
      <c r="N22" s="20"/>
      <c r="O22" s="20"/>
      <c r="P22" s="20"/>
      <c r="Q22" s="21">
        <f>IF($I22="","",IFERROR(INDEX(_玩家曲线!$H$2:$H$286,MATCH($I22,_玩家曲线!$A$2:$A$286,0)),""))</f>
        <v>15312.8699828075</v>
      </c>
      <c r="R22" s="21">
        <f>IF($I22="","",IFERROR(INDEX(_玩家曲线!$I$2:$I$286,MATCH($I22,_玩家曲线!$A$2:$A$286,0)),""))</f>
        <v>50354.6857712343</v>
      </c>
      <c r="S22" s="21">
        <f>IF(OR($J22="",$F22="不适用"),"",IFERROR(INDEX(_怪物模型!$D$2:$D$4501,MATCH(INT($J22)&amp;"|"&amp;$F22,_怪物模型!$A$2:$A$4501,0))*IF($K22="",1,$K22),""))</f>
        <v>5814</v>
      </c>
      <c r="T22" s="21">
        <f>IF(OR($J22="",$F22="不适用"),"",IFERROR(INDEX(_怪物模型!$E$2:$E$4501,MATCH(INT($J22)&amp;"|"&amp;$F22,_怪物模型!$A$2:$A$4501,0))*IF($L22="",1,$L22),""))</f>
        <v>1379</v>
      </c>
      <c r="U22" s="21">
        <f>IF(OR($J22="",$F22="不适用"),"",IFERROR(INDEX(_怪物模型!$F$2:$F$4501,MATCH(INT($J22)&amp;"|"&amp;$F22,_怪物模型!$A$2:$A$4501,0))*IF($M22="",1,$M22),""))</f>
        <v>2437</v>
      </c>
      <c r="V22" s="22">
        <f t="shared" si="1"/>
        <v>0.0921814124144192</v>
      </c>
      <c r="W22" s="23">
        <f t="shared" si="2"/>
        <v>6404.36325</v>
      </c>
      <c r="X22" s="23">
        <f t="shared" si="3"/>
        <v>0.418234025182117</v>
      </c>
      <c r="Y22" s="23">
        <f t="shared" si="4"/>
        <v>36.5153631408516</v>
      </c>
      <c r="Z22" s="24" t="str">
        <f t="shared" si="5"/>
        <v/>
      </c>
      <c r="AA22" s="6" t="str">
        <f t="shared" si="6"/>
        <v>已计算</v>
      </c>
      <c r="AB22" s="6" t="str">
        <f t="shared" si="7"/>
        <v>有效</v>
      </c>
      <c r="AC22" s="6" t="str">
        <f t="shared" si="8"/>
        <v/>
      </c>
      <c r="AD22" s="7" t="s">
        <v>204</v>
      </c>
    </row>
    <row r="23" ht="25" customHeight="1" spans="1:30">
      <c r="A23" s="6" t="s">
        <v>145</v>
      </c>
      <c r="B23" s="6" t="s">
        <v>51</v>
      </c>
      <c r="C23" s="7" t="s">
        <v>186</v>
      </c>
      <c r="D23" s="7" t="s">
        <v>205</v>
      </c>
      <c r="E23" s="7" t="s">
        <v>206</v>
      </c>
      <c r="F23" s="6" t="s">
        <v>149</v>
      </c>
      <c r="G23" s="16">
        <v>19</v>
      </c>
      <c r="H23" s="17"/>
      <c r="I23" s="18">
        <f t="shared" si="0"/>
        <v>19</v>
      </c>
      <c r="J23" s="19">
        <v>36</v>
      </c>
      <c r="K23" s="20"/>
      <c r="L23" s="20"/>
      <c r="M23" s="20"/>
      <c r="N23" s="20"/>
      <c r="O23" s="20"/>
      <c r="P23" s="20"/>
      <c r="Q23" s="21">
        <f>IF($I23="","",IFERROR(INDEX(_玩家曲线!$H$2:$H$286,MATCH($I23,_玩家曲线!$A$2:$A$286,0)),""))</f>
        <v>16628.1421390327</v>
      </c>
      <c r="R23" s="21">
        <f>IF($I23="","",IFERROR(INDEX(_玩家曲线!$I$2:$I$286,MATCH($I23,_玩家曲线!$A$2:$A$286,0)),""))</f>
        <v>53791.7558511785</v>
      </c>
      <c r="S23" s="21">
        <f>IF(OR($J23="",$F23="不适用"),"",IFERROR(INDEX(_怪物模型!$D$2:$D$4501,MATCH(INT($J23)&amp;"|"&amp;$F23,_怪物模型!$A$2:$A$4501,0))*IF($K23="",1,$K23),""))</f>
        <v>6603</v>
      </c>
      <c r="T23" s="21">
        <f>IF(OR($J23="",$F23="不适用"),"",IFERROR(INDEX(_怪物模型!$E$2:$E$4501,MATCH(INT($J23)&amp;"|"&amp;$F23,_怪物模型!$A$2:$A$4501,0))*IF($L23="",1,$L23),""))</f>
        <v>1540</v>
      </c>
      <c r="U23" s="21">
        <f>IF(OR($J23="",$F23="不适用"),"",IFERROR(INDEX(_怪物模型!$F$2:$F$4501,MATCH(INT($J23)&amp;"|"&amp;$F23,_怪物模型!$A$2:$A$4501,0))*IF($M23="",1,$M23),""))</f>
        <v>2669</v>
      </c>
      <c r="V23" s="22">
        <f t="shared" si="1"/>
        <v>0.100078743109978</v>
      </c>
      <c r="W23" s="23">
        <f t="shared" si="2"/>
        <v>7337.308625</v>
      </c>
      <c r="X23" s="23">
        <f t="shared" si="3"/>
        <v>0.441258473956419</v>
      </c>
      <c r="Y23" s="23">
        <f t="shared" si="4"/>
        <v>34.9297115916744</v>
      </c>
      <c r="Z23" s="24" t="str">
        <f t="shared" si="5"/>
        <v/>
      </c>
      <c r="AA23" s="6" t="str">
        <f t="shared" si="6"/>
        <v>已计算</v>
      </c>
      <c r="AB23" s="6" t="str">
        <f t="shared" si="7"/>
        <v>有效</v>
      </c>
      <c r="AC23" s="6" t="str">
        <f t="shared" si="8"/>
        <v/>
      </c>
      <c r="AD23" s="7" t="s">
        <v>207</v>
      </c>
    </row>
    <row r="24" ht="25" customHeight="1" spans="1:30">
      <c r="A24" s="6" t="s">
        <v>145</v>
      </c>
      <c r="B24" s="6" t="s">
        <v>51</v>
      </c>
      <c r="C24" s="7" t="s">
        <v>186</v>
      </c>
      <c r="D24" s="7" t="s">
        <v>208</v>
      </c>
      <c r="E24" s="7" t="s">
        <v>209</v>
      </c>
      <c r="F24" s="6" t="s">
        <v>149</v>
      </c>
      <c r="G24" s="16">
        <v>20</v>
      </c>
      <c r="H24" s="17"/>
      <c r="I24" s="18">
        <f t="shared" si="0"/>
        <v>20</v>
      </c>
      <c r="J24" s="19">
        <v>37</v>
      </c>
      <c r="K24" s="20"/>
      <c r="L24" s="20"/>
      <c r="M24" s="20"/>
      <c r="N24" s="20"/>
      <c r="O24" s="20"/>
      <c r="P24" s="20"/>
      <c r="Q24" s="21">
        <f>IF($I24="","",IFERROR(INDEX(_玩家曲线!$H$2:$H$286,MATCH($I24,_玩家曲线!$A$2:$A$286,0)),""))</f>
        <v>18422.0658556409</v>
      </c>
      <c r="R24" s="21">
        <f>IF($I24="","",IFERROR(INDEX(_玩家曲线!$I$2:$I$286,MATCH($I24,_玩家曲线!$A$2:$A$286,0)),""))</f>
        <v>58659.1211219851</v>
      </c>
      <c r="S24" s="21">
        <f>IF(OR($J24="",$F24="不适用"),"",IFERROR(INDEX(_怪物模型!$D$2:$D$4501,MATCH(INT($J24)&amp;"|"&amp;$F24,_怪物模型!$A$2:$A$4501,0))*IF($K24="",1,$K24),""))</f>
        <v>6876</v>
      </c>
      <c r="T24" s="21">
        <f>IF(OR($J24="",$F24="不适用"),"",IFERROR(INDEX(_怪物模型!$E$2:$E$4501,MATCH(INT($J24)&amp;"|"&amp;$F24,_怪物模型!$A$2:$A$4501,0))*IF($L24="",1,$L24),""))</f>
        <v>1595</v>
      </c>
      <c r="U24" s="21">
        <f>IF(OR($J24="",$F24="不适用"),"",IFERROR(INDEX(_怪物模型!$F$2:$F$4501,MATCH(INT($J24)&amp;"|"&amp;$F24,_怪物模型!$A$2:$A$4501,0))*IF($M24="",1,$M24),""))</f>
        <v>2746</v>
      </c>
      <c r="V24" s="22">
        <f t="shared" si="1"/>
        <v>0.102669558064757</v>
      </c>
      <c r="W24" s="23">
        <f t="shared" si="2"/>
        <v>7662.729</v>
      </c>
      <c r="X24" s="23">
        <f t="shared" si="3"/>
        <v>0.415953838187678</v>
      </c>
      <c r="Y24" s="23">
        <f t="shared" si="4"/>
        <v>36.7768784463856</v>
      </c>
      <c r="Z24" s="24" t="str">
        <f t="shared" si="5"/>
        <v/>
      </c>
      <c r="AA24" s="6" t="str">
        <f t="shared" si="6"/>
        <v>已计算</v>
      </c>
      <c r="AB24" s="6" t="str">
        <f t="shared" si="7"/>
        <v>有效</v>
      </c>
      <c r="AC24" s="6" t="str">
        <f t="shared" si="8"/>
        <v/>
      </c>
      <c r="AD24" s="7" t="s">
        <v>210</v>
      </c>
    </row>
    <row r="25" ht="25" customHeight="1" spans="1:30">
      <c r="A25" s="6" t="s">
        <v>145</v>
      </c>
      <c r="B25" s="6" t="s">
        <v>51</v>
      </c>
      <c r="C25" s="7" t="s">
        <v>186</v>
      </c>
      <c r="D25" s="7" t="s">
        <v>211</v>
      </c>
      <c r="E25" s="7" t="s">
        <v>212</v>
      </c>
      <c r="F25" s="6" t="s">
        <v>149</v>
      </c>
      <c r="G25" s="16">
        <v>21</v>
      </c>
      <c r="H25" s="17"/>
      <c r="I25" s="18">
        <f t="shared" si="0"/>
        <v>21</v>
      </c>
      <c r="J25" s="19">
        <v>39</v>
      </c>
      <c r="K25" s="20"/>
      <c r="L25" s="20"/>
      <c r="M25" s="20"/>
      <c r="N25" s="20"/>
      <c r="O25" s="20"/>
      <c r="P25" s="20"/>
      <c r="Q25" s="21">
        <f>IF($I25="","",IFERROR(INDEX(_玩家曲线!$H$2:$H$286,MATCH($I25,_玩家曲线!$A$2:$A$286,0)),""))</f>
        <v>20312.7720853607</v>
      </c>
      <c r="R25" s="21">
        <f>IF($I25="","",IFERROR(INDEX(_玩家曲线!$I$2:$I$286,MATCH($I25,_玩家曲线!$A$2:$A$286,0)),""))</f>
        <v>63696.4915940233</v>
      </c>
      <c r="S25" s="21">
        <f>IF(OR($J25="",$F25="不适用"),"",IFERROR(INDEX(_怪物模型!$D$2:$D$4501,MATCH(INT($J25)&amp;"|"&amp;$F25,_怪物模型!$A$2:$A$4501,0))*IF($K25="",1,$K25),""))</f>
        <v>7437</v>
      </c>
      <c r="T25" s="21">
        <f>IF(OR($J25="",$F25="不适用"),"",IFERROR(INDEX(_怪物模型!$E$2:$E$4501,MATCH(INT($J25)&amp;"|"&amp;$F25,_怪物模型!$A$2:$A$4501,0))*IF($L25="",1,$L25),""))</f>
        <v>1707</v>
      </c>
      <c r="U25" s="21">
        <f>IF(OR($J25="",$F25="不适用"),"",IFERROR(INDEX(_怪物模型!$F$2:$F$4501,MATCH(INT($J25)&amp;"|"&amp;$F25,_怪物模型!$A$2:$A$4501,0))*IF($M25="",1,$M25),""))</f>
        <v>2902</v>
      </c>
      <c r="V25" s="22">
        <f t="shared" si="1"/>
        <v>0.107873020593264</v>
      </c>
      <c r="W25" s="23">
        <f t="shared" si="2"/>
        <v>8336.25725</v>
      </c>
      <c r="X25" s="23">
        <f t="shared" si="3"/>
        <v>0.410394859695585</v>
      </c>
      <c r="Y25" s="23">
        <f t="shared" si="4"/>
        <v>37.3148749818531</v>
      </c>
      <c r="Z25" s="24" t="str">
        <f t="shared" si="5"/>
        <v/>
      </c>
      <c r="AA25" s="6" t="str">
        <f t="shared" si="6"/>
        <v>已计算</v>
      </c>
      <c r="AB25" s="6" t="str">
        <f t="shared" si="7"/>
        <v>有效</v>
      </c>
      <c r="AC25" s="6" t="str">
        <f t="shared" si="8"/>
        <v/>
      </c>
      <c r="AD25" s="7" t="s">
        <v>213</v>
      </c>
    </row>
    <row r="26" ht="25" customHeight="1" spans="1:30">
      <c r="A26" s="6" t="s">
        <v>145</v>
      </c>
      <c r="B26" s="6" t="s">
        <v>51</v>
      </c>
      <c r="C26" s="7" t="s">
        <v>186</v>
      </c>
      <c r="D26" s="7" t="s">
        <v>214</v>
      </c>
      <c r="E26" s="7" t="s">
        <v>215</v>
      </c>
      <c r="F26" s="6" t="s">
        <v>149</v>
      </c>
      <c r="G26" s="16">
        <v>22</v>
      </c>
      <c r="H26" s="17"/>
      <c r="I26" s="18">
        <f t="shared" si="0"/>
        <v>22</v>
      </c>
      <c r="J26" s="19">
        <v>41</v>
      </c>
      <c r="K26" s="20"/>
      <c r="L26" s="20"/>
      <c r="M26" s="20"/>
      <c r="N26" s="20"/>
      <c r="O26" s="20"/>
      <c r="P26" s="20"/>
      <c r="Q26" s="21">
        <f>IF($I26="","",IFERROR(INDEX(_玩家曲线!$H$2:$H$286,MATCH($I26,_玩家曲线!$A$2:$A$286,0)),""))</f>
        <v>22301.0889018727</v>
      </c>
      <c r="R26" s="21">
        <f>IF($I26="","",IFERROR(INDEX(_玩家曲线!$I$2:$I$286,MATCH($I26,_玩家曲线!$A$2:$A$286,0)),""))</f>
        <v>68902.350644876</v>
      </c>
      <c r="S26" s="21">
        <f>IF(OR($J26="",$F26="不适用"),"",IFERROR(INDEX(_怪物模型!$D$2:$D$4501,MATCH(INT($J26)&amp;"|"&amp;$F26,_怪物模型!$A$2:$A$4501,0))*IF($K26="",1,$K26),""))</f>
        <v>8017</v>
      </c>
      <c r="T26" s="21">
        <f>IF(OR($J26="",$F26="不适用"),"",IFERROR(INDEX(_怪物模型!$E$2:$E$4501,MATCH(INT($J26)&amp;"|"&amp;$F26,_怪物模型!$A$2:$A$4501,0))*IF($L26="",1,$L26),""))</f>
        <v>1823</v>
      </c>
      <c r="U26" s="21">
        <f>IF(OR($J26="",$F26="不适用"),"",IFERROR(INDEX(_怪物模型!$F$2:$F$4501,MATCH(INT($J26)&amp;"|"&amp;$F26,_怪物模型!$A$2:$A$4501,0))*IF($M26="",1,$M26),""))</f>
        <v>3058</v>
      </c>
      <c r="V26" s="22">
        <f t="shared" si="1"/>
        <v>0.113016483110356</v>
      </c>
      <c r="W26" s="23">
        <f t="shared" si="2"/>
        <v>9038.49941666667</v>
      </c>
      <c r="X26" s="23">
        <f t="shared" si="3"/>
        <v>0.405294084806221</v>
      </c>
      <c r="Y26" s="23">
        <f t="shared" si="4"/>
        <v>37.7961331019616</v>
      </c>
      <c r="Z26" s="24" t="str">
        <f t="shared" si="5"/>
        <v/>
      </c>
      <c r="AA26" s="6" t="str">
        <f t="shared" si="6"/>
        <v>已计算</v>
      </c>
      <c r="AB26" s="6" t="str">
        <f t="shared" si="7"/>
        <v>有效</v>
      </c>
      <c r="AC26" s="6" t="str">
        <f t="shared" si="8"/>
        <v/>
      </c>
      <c r="AD26" s="7" t="s">
        <v>216</v>
      </c>
    </row>
    <row r="27" ht="25" customHeight="1" spans="1:30">
      <c r="A27" s="6" t="s">
        <v>145</v>
      </c>
      <c r="B27" s="6" t="s">
        <v>51</v>
      </c>
      <c r="C27" s="7" t="s">
        <v>186</v>
      </c>
      <c r="D27" s="7" t="s">
        <v>217</v>
      </c>
      <c r="E27" s="7" t="s">
        <v>218</v>
      </c>
      <c r="F27" s="6" t="s">
        <v>149</v>
      </c>
      <c r="G27" s="16">
        <v>23</v>
      </c>
      <c r="H27" s="17"/>
      <c r="I27" s="18">
        <f t="shared" si="0"/>
        <v>23</v>
      </c>
      <c r="J27" s="19">
        <v>44</v>
      </c>
      <c r="K27" s="20"/>
      <c r="L27" s="20"/>
      <c r="M27" s="20"/>
      <c r="N27" s="20"/>
      <c r="O27" s="20"/>
      <c r="P27" s="20"/>
      <c r="Q27" s="21">
        <f>IF($I27="","",IFERROR(INDEX(_玩家曲线!$H$2:$H$286,MATCH($I27,_玩家曲线!$A$2:$A$286,0)),""))</f>
        <v>24387.7218300813</v>
      </c>
      <c r="R27" s="21">
        <f>IF($I27="","",IFERROR(INDEX(_玩家曲线!$I$2:$I$286,MATCH($I27,_玩家曲线!$A$2:$A$286,0)),""))</f>
        <v>74275.0927390987</v>
      </c>
      <c r="S27" s="21">
        <f>IF(OR($J27="",$F27="不适用"),"",IFERROR(INDEX(_怪物模型!$D$2:$D$4501,MATCH(INT($J27)&amp;"|"&amp;$F27,_怪物模型!$A$2:$A$4501,0))*IF($K27="",1,$K27),""))</f>
        <v>8926</v>
      </c>
      <c r="T27" s="21">
        <f>IF(OR($J27="",$F27="不适用"),"",IFERROR(INDEX(_怪物模型!$E$2:$E$4501,MATCH(INT($J27)&amp;"|"&amp;$F27,_怪物模型!$A$2:$A$4501,0))*IF($L27="",1,$L27),""))</f>
        <v>2001</v>
      </c>
      <c r="U27" s="21">
        <f>IF(OR($J27="",$F27="不适用"),"",IFERROR(INDEX(_怪物模型!$F$2:$F$4501,MATCH(INT($J27)&amp;"|"&amp;$F27,_怪物模型!$A$2:$A$4501,0))*IF($M27="",1,$M27),""))</f>
        <v>3294</v>
      </c>
      <c r="V27" s="22">
        <f t="shared" si="1"/>
        <v>0.12068586502528</v>
      </c>
      <c r="W27" s="23">
        <f t="shared" si="2"/>
        <v>10151.0935</v>
      </c>
      <c r="X27" s="23">
        <f t="shared" si="3"/>
        <v>0.416237874563545</v>
      </c>
      <c r="Y27" s="23">
        <f t="shared" si="4"/>
        <v>37.1189868761113</v>
      </c>
      <c r="Z27" s="24" t="str">
        <f t="shared" si="5"/>
        <v/>
      </c>
      <c r="AA27" s="6" t="str">
        <f t="shared" si="6"/>
        <v>已计算</v>
      </c>
      <c r="AB27" s="6" t="str">
        <f t="shared" si="7"/>
        <v>有效</v>
      </c>
      <c r="AC27" s="6" t="str">
        <f t="shared" si="8"/>
        <v/>
      </c>
      <c r="AD27" s="7" t="s">
        <v>219</v>
      </c>
    </row>
    <row r="28" ht="25" customHeight="1" spans="1:30">
      <c r="A28" s="6" t="s">
        <v>145</v>
      </c>
      <c r="B28" s="6" t="s">
        <v>51</v>
      </c>
      <c r="C28" s="7" t="s">
        <v>186</v>
      </c>
      <c r="D28" s="7" t="s">
        <v>220</v>
      </c>
      <c r="E28" s="7" t="s">
        <v>221</v>
      </c>
      <c r="F28" s="6" t="s">
        <v>159</v>
      </c>
      <c r="G28" s="16">
        <v>24</v>
      </c>
      <c r="H28" s="17"/>
      <c r="I28" s="18">
        <f t="shared" si="0"/>
        <v>24</v>
      </c>
      <c r="J28" s="19">
        <v>46</v>
      </c>
      <c r="K28" s="20"/>
      <c r="L28" s="20"/>
      <c r="M28" s="20"/>
      <c r="N28" s="20"/>
      <c r="O28" s="20"/>
      <c r="P28" s="20"/>
      <c r="Q28" s="21">
        <f>IF($I28="","",IFERROR(INDEX(_玩家曲线!$H$2:$H$286,MATCH($I28,_玩家曲线!$A$2:$A$286,0)),""))</f>
        <v>26573.2561562461</v>
      </c>
      <c r="R28" s="21">
        <f>IF($I28="","",IFERROR(INDEX(_玩家曲线!$I$2:$I$286,MATCH($I28,_玩家曲线!$A$2:$A$286,0)),""))</f>
        <v>79813.0282432992</v>
      </c>
      <c r="S28" s="21">
        <f>IF(OR($J28="",$F28="不适用"),"",IFERROR(INDEX(_怪物模型!$D$2:$D$4501,MATCH(INT($J28)&amp;"|"&amp;$F28,_怪物模型!$A$2:$A$4501,0))*IF($K28="",1,$K28),""))</f>
        <v>773653</v>
      </c>
      <c r="T28" s="21">
        <f>IF(OR($J28="",$F28="不适用"),"",IFERROR(INDEX(_怪物模型!$E$2:$E$4501,MATCH(INT($J28)&amp;"|"&amp;$F28,_怪物模型!$A$2:$A$4501,0))*IF($L28="",1,$L28),""))</f>
        <v>2123</v>
      </c>
      <c r="U28" s="21">
        <f>IF(OR($J28="",$F28="不适用"),"",IFERROR(INDEX(_怪物模型!$F$2:$F$4501,MATCH(INT($J28)&amp;"|"&amp;$F28,_怪物模型!$A$2:$A$4501,0))*IF($M28="",1,$M28),""))</f>
        <v>3453</v>
      </c>
      <c r="V28" s="22">
        <f t="shared" si="1"/>
        <v>0.125778603431319</v>
      </c>
      <c r="W28" s="23">
        <f t="shared" si="2"/>
        <v>884962.325375</v>
      </c>
      <c r="X28" s="23">
        <f t="shared" si="3"/>
        <v>33.3027431855387</v>
      </c>
      <c r="Y28" s="23">
        <f t="shared" si="4"/>
        <v>37.5944551310877</v>
      </c>
      <c r="Z28" s="24" t="str">
        <f t="shared" si="5"/>
        <v/>
      </c>
      <c r="AA28" s="6" t="str">
        <f t="shared" si="6"/>
        <v>已计算</v>
      </c>
      <c r="AB28" s="6" t="str">
        <f t="shared" si="7"/>
        <v>有效</v>
      </c>
      <c r="AC28" s="6" t="str">
        <f t="shared" si="8"/>
        <v/>
      </c>
      <c r="AD28" s="7" t="s">
        <v>222</v>
      </c>
    </row>
    <row r="29" ht="25" customHeight="1" spans="1:30">
      <c r="A29" s="6" t="s">
        <v>145</v>
      </c>
      <c r="B29" s="6" t="s">
        <v>51</v>
      </c>
      <c r="C29" s="7" t="s">
        <v>223</v>
      </c>
      <c r="D29" s="7" t="s">
        <v>224</v>
      </c>
      <c r="E29" s="7" t="s">
        <v>225</v>
      </c>
      <c r="F29" s="6" t="s">
        <v>149</v>
      </c>
      <c r="G29" s="16">
        <v>25</v>
      </c>
      <c r="H29" s="17"/>
      <c r="I29" s="18">
        <f t="shared" si="0"/>
        <v>25</v>
      </c>
      <c r="J29" s="19">
        <v>48</v>
      </c>
      <c r="K29" s="20"/>
      <c r="L29" s="20"/>
      <c r="M29" s="20"/>
      <c r="N29" s="20"/>
      <c r="O29" s="20"/>
      <c r="P29" s="20"/>
      <c r="Q29" s="21">
        <f>IF($I29="","",IFERROR(INDEX(_玩家曲线!$H$2:$H$286,MATCH($I29,_玩家曲线!$A$2:$A$286,0)),""))</f>
        <v>28858.159447132</v>
      </c>
      <c r="R29" s="21">
        <f>IF($I29="","",IFERROR(INDEX(_玩家曲线!$I$2:$I$286,MATCH($I29,_玩家曲线!$A$2:$A$286,0)),""))</f>
        <v>85514.3881828406</v>
      </c>
      <c r="S29" s="21">
        <f>IF(OR($J29="",$F29="不适用"),"",IFERROR(INDEX(_怪物模型!$D$2:$D$4501,MATCH(INT($J29)&amp;"|"&amp;$F29,_怪物模型!$A$2:$A$4501,0))*IF($K29="",1,$K29),""))</f>
        <v>10210</v>
      </c>
      <c r="T29" s="21">
        <f>IF(OR($J29="",$F29="不适用"),"",IFERROR(INDEX(_怪物模型!$E$2:$E$4501,MATCH(INT($J29)&amp;"|"&amp;$F29,_怪物模型!$A$2:$A$4501,0))*IF($L29="",1,$L29),""))</f>
        <v>2249</v>
      </c>
      <c r="U29" s="21">
        <f>IF(OR($J29="",$F29="不适用"),"",IFERROR(INDEX(_怪物模型!$F$2:$F$4501,MATCH(INT($J29)&amp;"|"&amp;$F29,_怪物模型!$A$2:$A$4501,0))*IF($M29="",1,$M29),""))</f>
        <v>3612</v>
      </c>
      <c r="V29" s="22">
        <f t="shared" si="1"/>
        <v>0.130812690134724</v>
      </c>
      <c r="W29" s="23">
        <f t="shared" si="2"/>
        <v>11746.605</v>
      </c>
      <c r="X29" s="23">
        <f t="shared" si="3"/>
        <v>0.407046229733387</v>
      </c>
      <c r="Y29" s="23">
        <f t="shared" si="4"/>
        <v>38.0232939897024</v>
      </c>
      <c r="Z29" s="24" t="str">
        <f t="shared" si="5"/>
        <v/>
      </c>
      <c r="AA29" s="6" t="str">
        <f t="shared" si="6"/>
        <v>已计算</v>
      </c>
      <c r="AB29" s="6" t="str">
        <f t="shared" si="7"/>
        <v>有效</v>
      </c>
      <c r="AC29" s="6" t="str">
        <f t="shared" si="8"/>
        <v/>
      </c>
      <c r="AD29" s="7" t="s">
        <v>226</v>
      </c>
    </row>
    <row r="30" ht="25" customHeight="1" spans="1:30">
      <c r="A30" s="6" t="s">
        <v>145</v>
      </c>
      <c r="B30" s="6" t="s">
        <v>51</v>
      </c>
      <c r="C30" s="7" t="s">
        <v>223</v>
      </c>
      <c r="D30" s="7" t="s">
        <v>227</v>
      </c>
      <c r="E30" s="7" t="s">
        <v>228</v>
      </c>
      <c r="F30" s="6" t="s">
        <v>149</v>
      </c>
      <c r="G30" s="16">
        <v>26</v>
      </c>
      <c r="H30" s="17"/>
      <c r="I30" s="18">
        <f t="shared" si="0"/>
        <v>26</v>
      </c>
      <c r="J30" s="19">
        <v>50</v>
      </c>
      <c r="K30" s="20"/>
      <c r="L30" s="20"/>
      <c r="M30" s="20"/>
      <c r="N30" s="20"/>
      <c r="O30" s="20"/>
      <c r="P30" s="20"/>
      <c r="Q30" s="21">
        <f>IF($I30="","",IFERROR(INDEX(_玩家曲线!$H$2:$H$286,MATCH($I30,_玩家曲线!$A$2:$A$286,0)),""))</f>
        <v>31242.7842575802</v>
      </c>
      <c r="R30" s="21">
        <f>IF($I30="","",IFERROR(INDEX(_玩家曲线!$I$2:$I$286,MATCH($I30,_玩家曲线!$A$2:$A$286,0)),""))</f>
        <v>91377.328931621</v>
      </c>
      <c r="S30" s="21">
        <f>IF(OR($J30="",$F30="不适用"),"",IFERROR(INDEX(_怪物模型!$D$2:$D$4501,MATCH(INT($J30)&amp;"|"&amp;$F30,_怪物模型!$A$2:$A$4501,0))*IF($K30="",1,$K30),""))</f>
        <v>10883</v>
      </c>
      <c r="T30" s="21">
        <f>IF(OR($J30="",$F30="不适用"),"",IFERROR(INDEX(_怪物模型!$E$2:$E$4501,MATCH(INT($J30)&amp;"|"&amp;$F30,_怪物模型!$A$2:$A$4501,0))*IF($L30="",1,$L30),""))</f>
        <v>2378</v>
      </c>
      <c r="U30" s="21">
        <f>IF(OR($J30="",$F30="不适用"),"",IFERROR(INDEX(_怪物模型!$F$2:$F$4501,MATCH(INT($J30)&amp;"|"&amp;$F30,_怪物模型!$A$2:$A$4501,0))*IF($M30="",1,$M30),""))</f>
        <v>3771</v>
      </c>
      <c r="V30" s="22">
        <f t="shared" si="1"/>
        <v>0.135789132548342</v>
      </c>
      <c r="W30" s="23">
        <f t="shared" si="2"/>
        <v>12592.991375</v>
      </c>
      <c r="X30" s="23">
        <f t="shared" si="3"/>
        <v>0.403068794099062</v>
      </c>
      <c r="Y30" s="23">
        <f t="shared" si="4"/>
        <v>38.4261265482006</v>
      </c>
      <c r="Z30" s="24" t="str">
        <f t="shared" si="5"/>
        <v/>
      </c>
      <c r="AA30" s="6" t="str">
        <f t="shared" si="6"/>
        <v>已计算</v>
      </c>
      <c r="AB30" s="6" t="str">
        <f t="shared" si="7"/>
        <v>有效</v>
      </c>
      <c r="AC30" s="6" t="str">
        <f t="shared" si="8"/>
        <v/>
      </c>
      <c r="AD30" s="7" t="s">
        <v>229</v>
      </c>
    </row>
    <row r="31" ht="25" customHeight="1" spans="1:30">
      <c r="A31" s="6" t="s">
        <v>145</v>
      </c>
      <c r="B31" s="6" t="s">
        <v>51</v>
      </c>
      <c r="C31" s="7" t="s">
        <v>223</v>
      </c>
      <c r="D31" s="7" t="s">
        <v>230</v>
      </c>
      <c r="E31" s="7" t="s">
        <v>231</v>
      </c>
      <c r="F31" s="6" t="s">
        <v>149</v>
      </c>
      <c r="G31" s="16">
        <v>27</v>
      </c>
      <c r="H31" s="17"/>
      <c r="I31" s="18">
        <f t="shared" si="0"/>
        <v>27</v>
      </c>
      <c r="J31" s="19">
        <v>52</v>
      </c>
      <c r="K31" s="20"/>
      <c r="L31" s="20"/>
      <c r="M31" s="20"/>
      <c r="N31" s="20"/>
      <c r="O31" s="20"/>
      <c r="P31" s="20"/>
      <c r="Q31" s="21">
        <f>IF($I31="","",IFERROR(INDEX(_玩家曲线!$H$2:$H$286,MATCH($I31,_玩家曲线!$A$2:$A$286,0)),""))</f>
        <v>33727.3710066178</v>
      </c>
      <c r="R31" s="21">
        <f>IF($I31="","",IFERROR(INDEX(_玩家曲线!$I$2:$I$286,MATCH($I31,_玩家曲线!$A$2:$A$286,0)),""))</f>
        <v>97399.9368272031</v>
      </c>
      <c r="S31" s="21">
        <f>IF(OR($J31="",$F31="不适用"),"",IFERROR(INDEX(_怪物模型!$D$2:$D$4501,MATCH(INT($J31)&amp;"|"&amp;$F31,_怪物模型!$A$2:$A$4501,0))*IF($K31="",1,$K31),""))</f>
        <v>11578</v>
      </c>
      <c r="T31" s="21">
        <f>IF(OR($J31="",$F31="不适用"),"",IFERROR(INDEX(_怪物模型!$E$2:$E$4501,MATCH(INT($J31)&amp;"|"&amp;$F31,_怪物模型!$A$2:$A$4501,0))*IF($L31="",1,$L31),""))</f>
        <v>2509</v>
      </c>
      <c r="U31" s="21">
        <f>IF(OR($J31="",$F31="不适用"),"",IFERROR(INDEX(_怪物模型!$F$2:$F$4501,MATCH(INT($J31)&amp;"|"&amp;$F31,_怪物模型!$A$2:$A$4501,0))*IF($M31="",1,$M31),""))</f>
        <v>3932</v>
      </c>
      <c r="V31" s="22">
        <f t="shared" si="1"/>
        <v>0.140770442503222</v>
      </c>
      <c r="W31" s="23">
        <f t="shared" si="2"/>
        <v>13474.8623333333</v>
      </c>
      <c r="X31" s="23">
        <f t="shared" si="3"/>
        <v>0.399523055938436</v>
      </c>
      <c r="Y31" s="23">
        <f t="shared" si="4"/>
        <v>38.8202219319263</v>
      </c>
      <c r="Z31" s="24" t="str">
        <f t="shared" si="5"/>
        <v/>
      </c>
      <c r="AA31" s="6" t="str">
        <f t="shared" si="6"/>
        <v>已计算</v>
      </c>
      <c r="AB31" s="6" t="str">
        <f t="shared" si="7"/>
        <v>有效</v>
      </c>
      <c r="AC31" s="6" t="str">
        <f t="shared" si="8"/>
        <v/>
      </c>
      <c r="AD31" s="7" t="s">
        <v>232</v>
      </c>
    </row>
    <row r="32" ht="25" customHeight="1" spans="1:30">
      <c r="A32" s="6" t="s">
        <v>145</v>
      </c>
      <c r="B32" s="6" t="s">
        <v>51</v>
      </c>
      <c r="C32" s="7" t="s">
        <v>223</v>
      </c>
      <c r="D32" s="7" t="s">
        <v>233</v>
      </c>
      <c r="E32" s="7" t="s">
        <v>234</v>
      </c>
      <c r="F32" s="6" t="s">
        <v>149</v>
      </c>
      <c r="G32" s="16">
        <v>28</v>
      </c>
      <c r="H32" s="17"/>
      <c r="I32" s="18">
        <f t="shared" si="0"/>
        <v>28</v>
      </c>
      <c r="J32" s="19">
        <v>54</v>
      </c>
      <c r="K32" s="20"/>
      <c r="L32" s="20"/>
      <c r="M32" s="20"/>
      <c r="N32" s="20"/>
      <c r="O32" s="20"/>
      <c r="P32" s="20"/>
      <c r="Q32" s="21">
        <f>IF($I32="","",IFERROR(INDEX(_玩家曲线!$H$2:$H$286,MATCH($I32,_玩家曲线!$A$2:$A$286,0)),""))</f>
        <v>36312.0510029681</v>
      </c>
      <c r="R32" s="21">
        <f>IF($I32="","",IFERROR(INDEX(_玩家曲线!$I$2:$I$286,MATCH($I32,_玩家曲线!$A$2:$A$286,0)),""))</f>
        <v>103580.232704358</v>
      </c>
      <c r="S32" s="21">
        <f>IF(OR($J32="",$F32="不适用"),"",IFERROR(INDEX(_怪物模型!$D$2:$D$4501,MATCH(INT($J32)&amp;"|"&amp;$F32,_怪物模型!$A$2:$A$4501,0))*IF($K32="",1,$K32),""))</f>
        <v>12295</v>
      </c>
      <c r="T32" s="21">
        <f>IF(OR($J32="",$F32="不适用"),"",IFERROR(INDEX(_怪物模型!$E$2:$E$4501,MATCH(INT($J32)&amp;"|"&amp;$F32,_怪物模型!$A$2:$A$4501,0))*IF($L32="",1,$L32),""))</f>
        <v>2644</v>
      </c>
      <c r="U32" s="21">
        <f>IF(OR($J32="",$F32="不适用"),"",IFERROR(INDEX(_怪物模型!$F$2:$F$4501,MATCH(INT($J32)&amp;"|"&amp;$F32,_怪物模型!$A$2:$A$4501,0))*IF($M32="",1,$M32),""))</f>
        <v>4093</v>
      </c>
      <c r="V32" s="22">
        <f t="shared" si="1"/>
        <v>0.145694657032001</v>
      </c>
      <c r="W32" s="23">
        <f t="shared" si="2"/>
        <v>14391.8097916667</v>
      </c>
      <c r="X32" s="23">
        <f t="shared" si="3"/>
        <v>0.396337011932768</v>
      </c>
      <c r="Y32" s="23">
        <f t="shared" si="4"/>
        <v>39.1755796915121</v>
      </c>
      <c r="Z32" s="24" t="str">
        <f t="shared" si="5"/>
        <v/>
      </c>
      <c r="AA32" s="6" t="str">
        <f t="shared" si="6"/>
        <v>已计算</v>
      </c>
      <c r="AB32" s="6" t="str">
        <f t="shared" si="7"/>
        <v>有效</v>
      </c>
      <c r="AC32" s="6" t="str">
        <f t="shared" si="8"/>
        <v/>
      </c>
      <c r="AD32" s="7" t="s">
        <v>235</v>
      </c>
    </row>
    <row r="33" ht="25" customHeight="1" spans="1:30">
      <c r="A33" s="6" t="s">
        <v>145</v>
      </c>
      <c r="B33" s="6" t="s">
        <v>51</v>
      </c>
      <c r="C33" s="7" t="s">
        <v>223</v>
      </c>
      <c r="D33" s="7" t="s">
        <v>236</v>
      </c>
      <c r="E33" s="7" t="s">
        <v>237</v>
      </c>
      <c r="F33" s="6" t="s">
        <v>149</v>
      </c>
      <c r="G33" s="16">
        <v>29</v>
      </c>
      <c r="H33" s="17"/>
      <c r="I33" s="18">
        <f t="shared" si="0"/>
        <v>29</v>
      </c>
      <c r="J33" s="19">
        <v>58</v>
      </c>
      <c r="K33" s="20"/>
      <c r="L33" s="20"/>
      <c r="M33" s="20"/>
      <c r="N33" s="20"/>
      <c r="O33" s="20"/>
      <c r="P33" s="20"/>
      <c r="Q33" s="21">
        <f>IF($I33="","",IFERROR(INDEX(_玩家曲线!$H$2:$H$286,MATCH($I33,_玩家曲线!$A$2:$A$286,0)),""))</f>
        <v>38996.8496015956</v>
      </c>
      <c r="R33" s="21">
        <f>IF($I33="","",IFERROR(INDEX(_玩家曲线!$I$2:$I$286,MATCH($I33,_玩家曲线!$A$2:$A$286,0)),""))</f>
        <v>109916.17634084</v>
      </c>
      <c r="S33" s="21">
        <f>IF(OR($J33="",$F33="不适用"),"",IFERROR(INDEX(_怪物模型!$D$2:$D$4501,MATCH(INT($J33)&amp;"|"&amp;$F33,_怪物模型!$A$2:$A$4501,0))*IF($K33="",1,$K33),""))</f>
        <v>13796</v>
      </c>
      <c r="T33" s="21">
        <f>IF(OR($J33="",$F33="不适用"),"",IFERROR(INDEX(_怪物模型!$E$2:$E$4501,MATCH(INT($J33)&amp;"|"&amp;$F33,_怪物模型!$A$2:$A$4501,0))*IF($L33="",1,$L33),""))</f>
        <v>2923</v>
      </c>
      <c r="U33" s="21">
        <f>IF(OR($J33="",$F33="不适用"),"",IFERROR(INDEX(_怪物模型!$F$2:$F$4501,MATCH(INT($J33)&amp;"|"&amp;$F33,_怪物模型!$A$2:$A$4501,0))*IF($M33="",1,$M33),""))</f>
        <v>4417</v>
      </c>
      <c r="V33" s="22">
        <f t="shared" si="1"/>
        <v>0.155435126860682</v>
      </c>
      <c r="W33" s="23">
        <f t="shared" si="2"/>
        <v>16335.0388333333</v>
      </c>
      <c r="X33" s="23">
        <f t="shared" si="3"/>
        <v>0.418880986546794</v>
      </c>
      <c r="Y33" s="23">
        <f t="shared" si="4"/>
        <v>37.6038920084981</v>
      </c>
      <c r="Z33" s="24" t="str">
        <f t="shared" si="5"/>
        <v/>
      </c>
      <c r="AA33" s="6" t="str">
        <f t="shared" si="6"/>
        <v>已计算</v>
      </c>
      <c r="AB33" s="6" t="str">
        <f t="shared" si="7"/>
        <v>有效</v>
      </c>
      <c r="AC33" s="6" t="str">
        <f t="shared" si="8"/>
        <v/>
      </c>
      <c r="AD33" s="7" t="s">
        <v>238</v>
      </c>
    </row>
    <row r="34" ht="25" customHeight="1" spans="1:30">
      <c r="A34" s="6" t="s">
        <v>145</v>
      </c>
      <c r="B34" s="6" t="s">
        <v>51</v>
      </c>
      <c r="C34" s="7" t="s">
        <v>223</v>
      </c>
      <c r="D34" s="7" t="s">
        <v>239</v>
      </c>
      <c r="E34" s="7" t="s">
        <v>240</v>
      </c>
      <c r="F34" s="6" t="s">
        <v>149</v>
      </c>
      <c r="G34" s="16">
        <v>30</v>
      </c>
      <c r="H34" s="17"/>
      <c r="I34" s="18">
        <f t="shared" si="0"/>
        <v>30</v>
      </c>
      <c r="J34" s="19">
        <v>58</v>
      </c>
      <c r="K34" s="20"/>
      <c r="L34" s="20"/>
      <c r="M34" s="20"/>
      <c r="N34" s="20"/>
      <c r="O34" s="20"/>
      <c r="P34" s="20"/>
      <c r="Q34" s="21">
        <f>IF($I34="","",IFERROR(INDEX(_玩家曲线!$H$2:$H$286,MATCH($I34,_玩家曲线!$A$2:$A$286,0)),""))</f>
        <v>40962.4406605056</v>
      </c>
      <c r="R34" s="21">
        <f>IF($I34="","",IFERROR(INDEX(_玩家曲线!$I$2:$I$286,MATCH($I34,_玩家曲线!$A$2:$A$286,0)),""))</f>
        <v>114123.206676371</v>
      </c>
      <c r="S34" s="21">
        <f>IF(OR($J34="",$F34="不适用"),"",IFERROR(INDEX(_怪物模型!$D$2:$D$4501,MATCH(INT($J34)&amp;"|"&amp;$F34,_怪物模型!$A$2:$A$4501,0))*IF($K34="",1,$K34),""))</f>
        <v>13796</v>
      </c>
      <c r="T34" s="21">
        <f>IF(OR($J34="",$F34="不适用"),"",IFERROR(INDEX(_怪物模型!$E$2:$E$4501,MATCH(INT($J34)&amp;"|"&amp;$F34,_怪物模型!$A$2:$A$4501,0))*IF($L34="",1,$L34),""))</f>
        <v>2923</v>
      </c>
      <c r="U34" s="21">
        <f>IF(OR($J34="",$F34="不适用"),"",IFERROR(INDEX(_怪物模型!$F$2:$F$4501,MATCH(INT($J34)&amp;"|"&amp;$F34,_怪物模型!$A$2:$A$4501,0))*IF($M34="",1,$M34),""))</f>
        <v>4417</v>
      </c>
      <c r="V34" s="22">
        <f t="shared" si="1"/>
        <v>0.155435126860682</v>
      </c>
      <c r="W34" s="23">
        <f t="shared" si="2"/>
        <v>16335.0388333333</v>
      </c>
      <c r="X34" s="23">
        <f t="shared" si="3"/>
        <v>0.398780897083678</v>
      </c>
      <c r="Y34" s="23">
        <f t="shared" si="4"/>
        <v>39.0431771044718</v>
      </c>
      <c r="Z34" s="24" t="str">
        <f t="shared" si="5"/>
        <v/>
      </c>
      <c r="AA34" s="6" t="str">
        <f t="shared" si="6"/>
        <v>已计算</v>
      </c>
      <c r="AB34" s="6" t="str">
        <f t="shared" si="7"/>
        <v>有效</v>
      </c>
      <c r="AC34" s="6" t="str">
        <f t="shared" si="8"/>
        <v/>
      </c>
      <c r="AD34" s="7" t="s">
        <v>241</v>
      </c>
    </row>
    <row r="35" ht="25" customHeight="1" spans="1:30">
      <c r="A35" s="6" t="s">
        <v>145</v>
      </c>
      <c r="B35" s="6" t="s">
        <v>51</v>
      </c>
      <c r="C35" s="7" t="s">
        <v>223</v>
      </c>
      <c r="D35" s="7" t="s">
        <v>242</v>
      </c>
      <c r="E35" s="7" t="s">
        <v>243</v>
      </c>
      <c r="F35" s="6" t="s">
        <v>149</v>
      </c>
      <c r="G35" s="16">
        <v>31</v>
      </c>
      <c r="H35" s="17"/>
      <c r="I35" s="18">
        <f t="shared" si="0"/>
        <v>31</v>
      </c>
      <c r="J35" s="19">
        <v>62</v>
      </c>
      <c r="K35" s="20"/>
      <c r="L35" s="20"/>
      <c r="M35" s="20"/>
      <c r="N35" s="20"/>
      <c r="O35" s="20"/>
      <c r="P35" s="20"/>
      <c r="Q35" s="21">
        <f>IF($I35="","",IFERROR(INDEX(_玩家曲线!$H$2:$H$286,MATCH($I35,_玩家曲线!$A$2:$A$286,0)),""))</f>
        <v>45617.8742969053</v>
      </c>
      <c r="R35" s="21">
        <f>IF($I35="","",IFERROR(INDEX(_玩家曲线!$I$2:$I$286,MATCH($I35,_玩家曲线!$A$2:$A$286,0)),""))</f>
        <v>124407.579750946</v>
      </c>
      <c r="S35" s="21">
        <f>IF(OR($J35="",$F35="不适用"),"",IFERROR(INDEX(_怪物模型!$D$2:$D$4501,MATCH(INT($J35)&amp;"|"&amp;$F35,_怪物模型!$A$2:$A$4501,0))*IF($K35="",1,$K35),""))</f>
        <v>15388</v>
      </c>
      <c r="T35" s="21">
        <f>IF(OR($J35="",$F35="不适用"),"",IFERROR(INDEX(_怪物模型!$E$2:$E$4501,MATCH(INT($J35)&amp;"|"&amp;$F35,_怪物模型!$A$2:$A$4501,0))*IF($L35="",1,$L35),""))</f>
        <v>3214</v>
      </c>
      <c r="U35" s="21">
        <f>IF(OR($J35="",$F35="不适用"),"",IFERROR(INDEX(_怪物模型!$F$2:$F$4501,MATCH(INT($J35)&amp;"|"&amp;$F35,_怪物模型!$A$2:$A$4501,0))*IF($M35="",1,$M35),""))</f>
        <v>4745</v>
      </c>
      <c r="V35" s="22">
        <f t="shared" si="1"/>
        <v>0.165072186467212</v>
      </c>
      <c r="W35" s="23">
        <f t="shared" si="2"/>
        <v>18430.3358333333</v>
      </c>
      <c r="X35" s="23">
        <f t="shared" si="3"/>
        <v>0.404015665293366</v>
      </c>
      <c r="Y35" s="23">
        <f t="shared" si="4"/>
        <v>38.7080210799459</v>
      </c>
      <c r="Z35" s="24" t="str">
        <f t="shared" si="5"/>
        <v/>
      </c>
      <c r="AA35" s="6" t="str">
        <f t="shared" si="6"/>
        <v>已计算</v>
      </c>
      <c r="AB35" s="6" t="str">
        <f t="shared" si="7"/>
        <v>有效</v>
      </c>
      <c r="AC35" s="6" t="str">
        <f t="shared" si="8"/>
        <v/>
      </c>
      <c r="AD35" s="7" t="s">
        <v>244</v>
      </c>
    </row>
    <row r="36" ht="25" customHeight="1" spans="1:30">
      <c r="A36" s="6" t="s">
        <v>145</v>
      </c>
      <c r="B36" s="6" t="s">
        <v>51</v>
      </c>
      <c r="C36" s="7" t="s">
        <v>223</v>
      </c>
      <c r="D36" s="7" t="s">
        <v>245</v>
      </c>
      <c r="E36" s="7" t="s">
        <v>246</v>
      </c>
      <c r="F36" s="6" t="s">
        <v>149</v>
      </c>
      <c r="G36" s="16">
        <v>32</v>
      </c>
      <c r="H36" s="17"/>
      <c r="I36" s="18">
        <f t="shared" si="0"/>
        <v>32</v>
      </c>
      <c r="J36" s="19">
        <v>64</v>
      </c>
      <c r="K36" s="20"/>
      <c r="L36" s="20"/>
      <c r="M36" s="20"/>
      <c r="N36" s="20"/>
      <c r="O36" s="20"/>
      <c r="P36" s="20"/>
      <c r="Q36" s="21">
        <f>IF($I36="","",IFERROR(INDEX(_玩家曲线!$H$2:$H$286,MATCH($I36,_玩家曲线!$A$2:$A$286,0)),""))</f>
        <v>50461.2092632005</v>
      </c>
      <c r="R36" s="21">
        <f>IF($I36="","",IFERROR(INDEX(_玩家曲线!$I$2:$I$286,MATCH($I36,_玩家曲线!$A$2:$A$286,0)),""))</f>
        <v>134928.232078736</v>
      </c>
      <c r="S36" s="21">
        <f>IF(OR($J36="",$F36="不适用"),"",IFERROR(INDEX(_怪物模型!$D$2:$D$4501,MATCH(INT($J36)&amp;"|"&amp;$F36,_怪物模型!$A$2:$A$4501,0))*IF($K36="",1,$K36),""))</f>
        <v>16219</v>
      </c>
      <c r="T36" s="21">
        <f>IF(OR($J36="",$F36="不适用"),"",IFERROR(INDEX(_怪物模型!$E$2:$E$4501,MATCH(INT($J36)&amp;"|"&amp;$F36,_怪物模型!$A$2:$A$4501,0))*IF($L36="",1,$L36),""))</f>
        <v>3365</v>
      </c>
      <c r="U36" s="21">
        <f>IF(OR($J36="",$F36="不适用"),"",IFERROR(INDEX(_怪物模型!$F$2:$F$4501,MATCH(INT($J36)&amp;"|"&amp;$F36,_怪物模型!$A$2:$A$4501,0))*IF($M36="",1,$M36),""))</f>
        <v>4910</v>
      </c>
      <c r="V36" s="22">
        <f t="shared" si="1"/>
        <v>0.169837426496022</v>
      </c>
      <c r="W36" s="23">
        <f t="shared" si="2"/>
        <v>19537.1370833333</v>
      </c>
      <c r="X36" s="23">
        <f t="shared" si="3"/>
        <v>0.387171400935511</v>
      </c>
      <c r="Y36" s="23">
        <f t="shared" si="4"/>
        <v>40.097542965449</v>
      </c>
      <c r="Z36" s="24" t="str">
        <f t="shared" si="5"/>
        <v/>
      </c>
      <c r="AA36" s="6" t="str">
        <f t="shared" si="6"/>
        <v>已计算</v>
      </c>
      <c r="AB36" s="6" t="str">
        <f t="shared" si="7"/>
        <v>有效</v>
      </c>
      <c r="AC36" s="6" t="str">
        <f t="shared" si="8"/>
        <v/>
      </c>
      <c r="AD36" s="7" t="s">
        <v>247</v>
      </c>
    </row>
    <row r="37" ht="25" customHeight="1" spans="1:30">
      <c r="A37" s="6" t="s">
        <v>145</v>
      </c>
      <c r="B37" s="6" t="s">
        <v>51</v>
      </c>
      <c r="C37" s="7" t="s">
        <v>223</v>
      </c>
      <c r="D37" s="7" t="s">
        <v>248</v>
      </c>
      <c r="E37" s="7" t="s">
        <v>249</v>
      </c>
      <c r="F37" s="6" t="s">
        <v>149</v>
      </c>
      <c r="G37" s="16">
        <v>33</v>
      </c>
      <c r="H37" s="17"/>
      <c r="I37" s="18">
        <f t="shared" si="0"/>
        <v>33</v>
      </c>
      <c r="J37" s="19">
        <v>67</v>
      </c>
      <c r="K37" s="20"/>
      <c r="L37" s="20"/>
      <c r="M37" s="20"/>
      <c r="N37" s="20"/>
      <c r="O37" s="20"/>
      <c r="P37" s="20"/>
      <c r="Q37" s="21">
        <f>IF($I37="","",IFERROR(INDEX(_玩家曲线!$H$2:$H$286,MATCH($I37,_玩家曲线!$A$2:$A$286,0)),""))</f>
        <v>55490.6113855249</v>
      </c>
      <c r="R37" s="21">
        <f>IF($I37="","",IFERROR(INDEX(_玩家曲线!$I$2:$I$286,MATCH($I37,_玩家曲线!$A$2:$A$286,0)),""))</f>
        <v>145674.718224066</v>
      </c>
      <c r="S37" s="21">
        <f>IF(OR($J37="",$F37="不适用"),"",IFERROR(INDEX(_怪物模型!$D$2:$D$4501,MATCH(INT($J37)&amp;"|"&amp;$F37,_怪物模型!$A$2:$A$4501,0))*IF($K37="",1,$K37),""))</f>
        <v>17512</v>
      </c>
      <c r="T37" s="21">
        <f>IF(OR($J37="",$F37="不适用"),"",IFERROR(INDEX(_怪物模型!$E$2:$E$4501,MATCH(INT($J37)&amp;"|"&amp;$F37,_怪物模型!$A$2:$A$4501,0))*IF($L37="",1,$L37),""))</f>
        <v>3597</v>
      </c>
      <c r="U37" s="21">
        <f>IF(OR($J37="",$F37="不适用"),"",IFERROR(INDEX(_怪物模型!$F$2:$F$4501,MATCH(INT($J37)&amp;"|"&amp;$F37,_怪物模型!$A$2:$A$4501,0))*IF($M37="",1,$M37),""))</f>
        <v>5158</v>
      </c>
      <c r="V37" s="22">
        <f t="shared" si="1"/>
        <v>0.176898278345566</v>
      </c>
      <c r="W37" s="23">
        <f t="shared" si="2"/>
        <v>21275.6206666667</v>
      </c>
      <c r="X37" s="23">
        <f t="shared" si="3"/>
        <v>0.383409375666323</v>
      </c>
      <c r="Y37" s="23">
        <f t="shared" si="4"/>
        <v>40.4989486305438</v>
      </c>
      <c r="Z37" s="24" t="str">
        <f t="shared" si="5"/>
        <v/>
      </c>
      <c r="AA37" s="6" t="str">
        <f t="shared" si="6"/>
        <v>已计算</v>
      </c>
      <c r="AB37" s="6" t="str">
        <f t="shared" si="7"/>
        <v>有效</v>
      </c>
      <c r="AC37" s="6" t="str">
        <f t="shared" si="8"/>
        <v/>
      </c>
      <c r="AD37" s="7" t="s">
        <v>250</v>
      </c>
    </row>
    <row r="38" ht="25" customHeight="1" spans="1:30">
      <c r="A38" s="6" t="s">
        <v>145</v>
      </c>
      <c r="B38" s="6" t="s">
        <v>51</v>
      </c>
      <c r="C38" s="7" t="s">
        <v>223</v>
      </c>
      <c r="D38" s="7" t="s">
        <v>251</v>
      </c>
      <c r="E38" s="7" t="s">
        <v>252</v>
      </c>
      <c r="F38" s="6" t="s">
        <v>149</v>
      </c>
      <c r="G38" s="16">
        <v>34</v>
      </c>
      <c r="H38" s="17"/>
      <c r="I38" s="18">
        <f t="shared" si="0"/>
        <v>34</v>
      </c>
      <c r="J38" s="19">
        <v>71</v>
      </c>
      <c r="K38" s="20"/>
      <c r="L38" s="20"/>
      <c r="M38" s="20"/>
      <c r="N38" s="20"/>
      <c r="O38" s="20"/>
      <c r="P38" s="20"/>
      <c r="Q38" s="21">
        <f>IF($I38="","",IFERROR(INDEX(_玩家曲线!$H$2:$H$286,MATCH($I38,_玩家曲线!$A$2:$A$286,0)),""))</f>
        <v>60703.9563472719</v>
      </c>
      <c r="R38" s="21">
        <f>IF($I38="","",IFERROR(INDEX(_玩家曲线!$I$2:$I$286,MATCH($I38,_玩家曲线!$A$2:$A$286,0)),""))</f>
        <v>156636.602390652</v>
      </c>
      <c r="S38" s="21">
        <f>IF(OR($J38="",$F38="不适用"),"",IFERROR(INDEX(_怪物模型!$D$2:$D$4501,MATCH(INT($J38)&amp;"|"&amp;$F38,_怪物模型!$A$2:$A$4501,0))*IF($K38="",1,$K38),""))</f>
        <v>19324</v>
      </c>
      <c r="T38" s="21">
        <f>IF(OR($J38="",$F38="不适用"),"",IFERROR(INDEX(_怪物模型!$E$2:$E$4501,MATCH(INT($J38)&amp;"|"&amp;$F38,_怪物模型!$A$2:$A$4501,0))*IF($L38="",1,$L38),""))</f>
        <v>3918</v>
      </c>
      <c r="U38" s="21">
        <f>IF(OR($J38="",$F38="不适用"),"",IFERROR(INDEX(_怪物模型!$F$2:$F$4501,MATCH(INT($J38)&amp;"|"&amp;$F38,_怪物模型!$A$2:$A$4501,0))*IF($M38="",1,$M38),""))</f>
        <v>5493</v>
      </c>
      <c r="V38" s="22">
        <f t="shared" si="1"/>
        <v>0.186247584172516</v>
      </c>
      <c r="W38" s="23">
        <f t="shared" si="2"/>
        <v>23746.7805</v>
      </c>
      <c r="X38" s="23">
        <f t="shared" si="3"/>
        <v>0.391189996977309</v>
      </c>
      <c r="Y38" s="23">
        <f t="shared" si="4"/>
        <v>39.9787142395743</v>
      </c>
      <c r="Z38" s="24" t="str">
        <f t="shared" si="5"/>
        <v/>
      </c>
      <c r="AA38" s="6" t="str">
        <f t="shared" si="6"/>
        <v>已计算</v>
      </c>
      <c r="AB38" s="6" t="str">
        <f t="shared" si="7"/>
        <v>有效</v>
      </c>
      <c r="AC38" s="6" t="str">
        <f t="shared" si="8"/>
        <v/>
      </c>
      <c r="AD38" s="7" t="s">
        <v>253</v>
      </c>
    </row>
    <row r="39" ht="25" customHeight="1" spans="1:30">
      <c r="A39" s="6" t="s">
        <v>145</v>
      </c>
      <c r="B39" s="6" t="s">
        <v>51</v>
      </c>
      <c r="C39" s="7" t="s">
        <v>223</v>
      </c>
      <c r="D39" s="7" t="s">
        <v>254</v>
      </c>
      <c r="E39" s="7" t="s">
        <v>255</v>
      </c>
      <c r="F39" s="6" t="s">
        <v>149</v>
      </c>
      <c r="G39" s="16">
        <v>35</v>
      </c>
      <c r="H39" s="17"/>
      <c r="I39" s="18">
        <f t="shared" si="0"/>
        <v>35</v>
      </c>
      <c r="J39" s="19">
        <v>73</v>
      </c>
      <c r="K39" s="20"/>
      <c r="L39" s="20"/>
      <c r="M39" s="20"/>
      <c r="N39" s="20"/>
      <c r="O39" s="20"/>
      <c r="P39" s="20"/>
      <c r="Q39" s="21">
        <f>IF($I39="","",IFERROR(INDEX(_玩家曲线!$H$2:$H$286,MATCH($I39,_玩家曲线!$A$2:$A$286,0)),""))</f>
        <v>66098.8402461491</v>
      </c>
      <c r="R39" s="21">
        <f>IF($I39="","",IFERROR(INDEX(_玩家曲线!$I$2:$I$286,MATCH($I39,_玩家曲线!$A$2:$A$286,0)),""))</f>
        <v>167803.47880109</v>
      </c>
      <c r="S39" s="21">
        <f>IF(OR($J39="",$F39="不适用"),"",IFERROR(INDEX(_怪物模型!$D$2:$D$4501,MATCH(INT($J39)&amp;"|"&amp;$F39,_怪物模型!$A$2:$A$4501,0))*IF($K39="",1,$K39),""))</f>
        <v>20268</v>
      </c>
      <c r="T39" s="21">
        <f>IF(OR($J39="",$F39="不适用"),"",IFERROR(INDEX(_怪物模型!$E$2:$E$4501,MATCH(INT($J39)&amp;"|"&amp;$F39,_怪物模型!$A$2:$A$4501,0))*IF($L39="",1,$L39),""))</f>
        <v>4084</v>
      </c>
      <c r="U39" s="21">
        <f>IF(OR($J39="",$F39="不适用"),"",IFERROR(INDEX(_怪物模型!$F$2:$F$4501,MATCH(INT($J39)&amp;"|"&amp;$F39,_怪物模型!$A$2:$A$4501,0))*IF($M39="",1,$M39),""))</f>
        <v>5661</v>
      </c>
      <c r="V39" s="22">
        <f t="shared" si="1"/>
        <v>0.190856680489532</v>
      </c>
      <c r="W39" s="23">
        <f t="shared" si="2"/>
        <v>25048.7145</v>
      </c>
      <c r="X39" s="23">
        <f t="shared" si="3"/>
        <v>0.378958456861266</v>
      </c>
      <c r="Y39" s="23">
        <f t="shared" si="4"/>
        <v>41.0880212539398</v>
      </c>
      <c r="Z39" s="24" t="str">
        <f t="shared" si="5"/>
        <v/>
      </c>
      <c r="AA39" s="6" t="str">
        <f t="shared" si="6"/>
        <v>已计算</v>
      </c>
      <c r="AB39" s="6" t="str">
        <f t="shared" si="7"/>
        <v>有效</v>
      </c>
      <c r="AC39" s="6" t="str">
        <f t="shared" si="8"/>
        <v/>
      </c>
      <c r="AD39" s="7" t="s">
        <v>256</v>
      </c>
    </row>
    <row r="40" ht="25" customHeight="1" spans="1:30">
      <c r="A40" s="6" t="s">
        <v>145</v>
      </c>
      <c r="B40" s="6" t="s">
        <v>51</v>
      </c>
      <c r="C40" s="7" t="s">
        <v>223</v>
      </c>
      <c r="D40" s="7" t="s">
        <v>257</v>
      </c>
      <c r="E40" s="7" t="s">
        <v>258</v>
      </c>
      <c r="F40" s="6" t="s">
        <v>149</v>
      </c>
      <c r="G40" s="16">
        <v>36</v>
      </c>
      <c r="H40" s="17"/>
      <c r="I40" s="18">
        <f t="shared" si="0"/>
        <v>36</v>
      </c>
      <c r="J40" s="19">
        <v>75</v>
      </c>
      <c r="K40" s="20"/>
      <c r="L40" s="20"/>
      <c r="M40" s="20"/>
      <c r="N40" s="20"/>
      <c r="O40" s="20"/>
      <c r="P40" s="20"/>
      <c r="Q40" s="21">
        <f>IF($I40="","",IFERROR(INDEX(_玩家曲线!$H$2:$H$286,MATCH($I40,_玩家曲线!$A$2:$A$286,0)),""))</f>
        <v>71672.5909486815</v>
      </c>
      <c r="R40" s="21">
        <f>IF($I40="","",IFERROR(INDEX(_玩家曲线!$I$2:$I$286,MATCH($I40,_玩家曲线!$A$2:$A$286,0)),""))</f>
        <v>179164.990773805</v>
      </c>
      <c r="S40" s="21">
        <f>IF(OR($J40="",$F40="不适用"),"",IFERROR(INDEX(_怪物模型!$D$2:$D$4501,MATCH(INT($J40)&amp;"|"&amp;$F40,_怪物模型!$A$2:$A$4501,0))*IF($K40="",1,$K40),""))</f>
        <v>21238</v>
      </c>
      <c r="T40" s="21">
        <f>IF(OR($J40="",$F40="不适用"),"",IFERROR(INDEX(_怪物模型!$E$2:$E$4501,MATCH(INT($J40)&amp;"|"&amp;$F40,_怪物模型!$A$2:$A$4501,0))*IF($L40="",1,$L40),""))</f>
        <v>4253</v>
      </c>
      <c r="U40" s="21">
        <f>IF(OR($J40="",$F40="不适用"),"",IFERROR(INDEX(_怪物模型!$F$2:$F$4501,MATCH(INT($J40)&amp;"|"&amp;$F40,_怪物模型!$A$2:$A$4501,0))*IF($M40="",1,$M40),""))</f>
        <v>5830</v>
      </c>
      <c r="V40" s="22">
        <f t="shared" si="1"/>
        <v>0.195440831377808</v>
      </c>
      <c r="W40" s="23">
        <f t="shared" si="2"/>
        <v>26397.0641666667</v>
      </c>
      <c r="X40" s="23">
        <f t="shared" si="3"/>
        <v>0.368300682551958</v>
      </c>
      <c r="Y40" s="23">
        <f t="shared" si="4"/>
        <v>42.1267319007301</v>
      </c>
      <c r="Z40" s="24" t="str">
        <f t="shared" si="5"/>
        <v/>
      </c>
      <c r="AA40" s="6" t="str">
        <f t="shared" si="6"/>
        <v>已计算</v>
      </c>
      <c r="AB40" s="6" t="str">
        <f t="shared" si="7"/>
        <v>有效</v>
      </c>
      <c r="AC40" s="6" t="str">
        <f t="shared" si="8"/>
        <v/>
      </c>
      <c r="AD40" s="7" t="s">
        <v>259</v>
      </c>
    </row>
    <row r="41" ht="25" customHeight="1" spans="1:30">
      <c r="A41" s="6" t="s">
        <v>145</v>
      </c>
      <c r="B41" s="6" t="s">
        <v>51</v>
      </c>
      <c r="C41" s="7" t="s">
        <v>223</v>
      </c>
      <c r="D41" s="7" t="s">
        <v>260</v>
      </c>
      <c r="E41" s="7" t="s">
        <v>261</v>
      </c>
      <c r="F41" s="6" t="s">
        <v>149</v>
      </c>
      <c r="G41" s="16">
        <v>37</v>
      </c>
      <c r="H41" s="17"/>
      <c r="I41" s="18">
        <f t="shared" si="0"/>
        <v>37</v>
      </c>
      <c r="J41" s="19">
        <v>78</v>
      </c>
      <c r="K41" s="20"/>
      <c r="L41" s="20"/>
      <c r="M41" s="20"/>
      <c r="N41" s="20"/>
      <c r="O41" s="20"/>
      <c r="P41" s="20"/>
      <c r="Q41" s="21">
        <f>IF($I41="","",IFERROR(INDEX(_玩家曲线!$H$2:$H$286,MATCH($I41,_玩家曲线!$A$2:$A$286,0)),""))</f>
        <v>77422.2801293547</v>
      </c>
      <c r="R41" s="21">
        <f>IF($I41="","",IFERROR(INDEX(_玩家曲线!$I$2:$I$286,MATCH($I41,_玩家曲线!$A$2:$A$286,0)),""))</f>
        <v>190710.848526007</v>
      </c>
      <c r="S41" s="21">
        <f>IF(OR($J41="",$F41="不适用"),"",IFERROR(INDEX(_怪物模型!$D$2:$D$4501,MATCH(INT($J41)&amp;"|"&amp;$F41,_怪物模型!$A$2:$A$4501,0))*IF($K41="",1,$K41),""))</f>
        <v>22744</v>
      </c>
      <c r="T41" s="21">
        <f>IF(OR($J41="",$F41="不适用"),"",IFERROR(INDEX(_怪物模型!$E$2:$E$4501,MATCH(INT($J41)&amp;"|"&amp;$F41,_怪物模型!$A$2:$A$4501,0))*IF($L41="",1,$L41),""))</f>
        <v>4513</v>
      </c>
      <c r="U41" s="21">
        <f>IF(OR($J41="",$F41="不适用"),"",IFERROR(INDEX(_怪物模型!$F$2:$F$4501,MATCH(INT($J41)&amp;"|"&amp;$F41,_怪物模型!$A$2:$A$4501,0))*IF($M41="",1,$M41),""))</f>
        <v>6084</v>
      </c>
      <c r="V41" s="22">
        <f t="shared" si="1"/>
        <v>0.202233745512565</v>
      </c>
      <c r="W41" s="23">
        <f t="shared" si="2"/>
        <v>28509.604</v>
      </c>
      <c r="X41" s="23">
        <f t="shared" si="3"/>
        <v>0.368235137900447</v>
      </c>
      <c r="Y41" s="23">
        <f t="shared" si="4"/>
        <v>42.2581095781092</v>
      </c>
      <c r="Z41" s="24" t="str">
        <f t="shared" si="5"/>
        <v/>
      </c>
      <c r="AA41" s="6" t="str">
        <f t="shared" si="6"/>
        <v>已计算</v>
      </c>
      <c r="AB41" s="6" t="str">
        <f t="shared" si="7"/>
        <v>有效</v>
      </c>
      <c r="AC41" s="6" t="str">
        <f t="shared" si="8"/>
        <v/>
      </c>
      <c r="AD41" s="7" t="s">
        <v>262</v>
      </c>
    </row>
    <row r="42" ht="25" customHeight="1" spans="1:30">
      <c r="A42" s="6" t="s">
        <v>145</v>
      </c>
      <c r="B42" s="6" t="s">
        <v>51</v>
      </c>
      <c r="C42" s="7" t="s">
        <v>223</v>
      </c>
      <c r="D42" s="7" t="s">
        <v>263</v>
      </c>
      <c r="E42" s="7" t="s">
        <v>264</v>
      </c>
      <c r="F42" s="6" t="s">
        <v>149</v>
      </c>
      <c r="G42" s="16">
        <v>38</v>
      </c>
      <c r="H42" s="17"/>
      <c r="I42" s="18">
        <f t="shared" si="0"/>
        <v>38</v>
      </c>
      <c r="J42" s="19">
        <v>80</v>
      </c>
      <c r="K42" s="20"/>
      <c r="L42" s="20"/>
      <c r="M42" s="20"/>
      <c r="N42" s="20"/>
      <c r="O42" s="20"/>
      <c r="P42" s="20"/>
      <c r="Q42" s="21">
        <f>IF($I42="","",IFERROR(INDEX(_玩家曲线!$H$2:$H$286,MATCH($I42,_玩家曲线!$A$2:$A$286,0)),""))</f>
        <v>83344.7358859077</v>
      </c>
      <c r="R42" s="21">
        <f>IF($I42="","",IFERROR(INDEX(_玩家曲线!$I$2:$I$286,MATCH($I42,_玩家曲线!$A$2:$A$286,0)),""))</f>
        <v>202430.845734616</v>
      </c>
      <c r="S42" s="21">
        <f>IF(OR($J42="",$F42="不适用"),"",IFERROR(INDEX(_怪物模型!$D$2:$D$4501,MATCH(INT($J42)&amp;"|"&amp;$F42,_怪物模型!$A$2:$A$4501,0))*IF($K42="",1,$K42),""))</f>
        <v>23783</v>
      </c>
      <c r="T42" s="21">
        <f>IF(OR($J42="",$F42="不适用"),"",IFERROR(INDEX(_怪物模型!$E$2:$E$4501,MATCH(INT($J42)&amp;"|"&amp;$F42,_怪物模型!$A$2:$A$4501,0))*IF($L42="",1,$L42),""))</f>
        <v>4691</v>
      </c>
      <c r="U42" s="21">
        <f>IF(OR($J42="",$F42="不适用"),"",IFERROR(INDEX(_怪物模型!$F$2:$F$4501,MATCH(INT($J42)&amp;"|"&amp;$F42,_怪物模型!$A$2:$A$4501,0))*IF($M42="",1,$M42),""))</f>
        <v>6255</v>
      </c>
      <c r="V42" s="22">
        <f t="shared" si="1"/>
        <v>0.206742687159147</v>
      </c>
      <c r="W42" s="23">
        <f t="shared" si="2"/>
        <v>29981.444375</v>
      </c>
      <c r="X42" s="23">
        <f t="shared" si="3"/>
        <v>0.359728110675666</v>
      </c>
      <c r="Y42" s="23">
        <f t="shared" si="4"/>
        <v>43.1530261638491</v>
      </c>
      <c r="Z42" s="24" t="str">
        <f t="shared" si="5"/>
        <v/>
      </c>
      <c r="AA42" s="6" t="str">
        <f t="shared" si="6"/>
        <v>已计算</v>
      </c>
      <c r="AB42" s="6" t="str">
        <f t="shared" si="7"/>
        <v>有效</v>
      </c>
      <c r="AC42" s="6" t="str">
        <f t="shared" si="8"/>
        <v/>
      </c>
      <c r="AD42" s="7" t="s">
        <v>265</v>
      </c>
    </row>
    <row r="43" ht="25" customHeight="1" spans="1:30">
      <c r="A43" s="6" t="s">
        <v>145</v>
      </c>
      <c r="B43" s="6" t="s">
        <v>51</v>
      </c>
      <c r="C43" s="7" t="s">
        <v>223</v>
      </c>
      <c r="D43" s="7" t="s">
        <v>266</v>
      </c>
      <c r="E43" s="7" t="s">
        <v>267</v>
      </c>
      <c r="F43" s="6" t="s">
        <v>159</v>
      </c>
      <c r="G43" s="16">
        <v>39</v>
      </c>
      <c r="H43" s="17"/>
      <c r="I43" s="18">
        <f t="shared" si="0"/>
        <v>39</v>
      </c>
      <c r="J43" s="19">
        <v>85</v>
      </c>
      <c r="K43" s="20"/>
      <c r="L43" s="20"/>
      <c r="M43" s="20"/>
      <c r="N43" s="20"/>
      <c r="O43" s="20"/>
      <c r="P43" s="20"/>
      <c r="Q43" s="21">
        <f>IF($I43="","",IFERROR(INDEX(_玩家曲线!$H$2:$H$286,MATCH($I43,_玩家曲线!$A$2:$A$286,0)),""))</f>
        <v>89436.5558271038</v>
      </c>
      <c r="R43" s="21">
        <f>IF($I43="","",IFERROR(INDEX(_玩家曲线!$I$2:$I$286,MATCH($I43,_玩家曲线!$A$2:$A$286,0)),""))</f>
        <v>214314.874889878</v>
      </c>
      <c r="S43" s="21">
        <f>IF(OR($J43="",$F43="不适用"),"",IFERROR(INDEX(_怪物模型!$D$2:$D$4501,MATCH(INT($J43)&amp;"|"&amp;$F43,_怪物模型!$A$2:$A$4501,0))*IF($K43="",1,$K43),""))</f>
        <v>2318866</v>
      </c>
      <c r="T43" s="21">
        <f>IF(OR($J43="",$F43="不适用"),"",IFERROR(INDEX(_怪物模型!$E$2:$E$4501,MATCH(INT($J43)&amp;"|"&amp;$F43,_怪物模型!$A$2:$A$4501,0))*IF($L43="",1,$L43),""))</f>
        <v>5151</v>
      </c>
      <c r="U43" s="21">
        <f>IF(OR($J43="",$F43="不适用"),"",IFERROR(INDEX(_怪物模型!$F$2:$F$4501,MATCH(INT($J43)&amp;"|"&amp;$F43,_怪物模型!$A$2:$A$4501,0))*IF($M43="",1,$M43),""))</f>
        <v>6685</v>
      </c>
      <c r="V43" s="22">
        <f t="shared" si="1"/>
        <v>0.217858888707838</v>
      </c>
      <c r="W43" s="23">
        <f t="shared" si="2"/>
        <v>2964766.80041667</v>
      </c>
      <c r="X43" s="23">
        <f t="shared" si="3"/>
        <v>33.1493847565873</v>
      </c>
      <c r="Y43" s="23">
        <f t="shared" si="4"/>
        <v>41.6064598893182</v>
      </c>
      <c r="Z43" s="24" t="str">
        <f t="shared" si="5"/>
        <v/>
      </c>
      <c r="AA43" s="6" t="str">
        <f t="shared" si="6"/>
        <v>已计算</v>
      </c>
      <c r="AB43" s="6" t="str">
        <f t="shared" si="7"/>
        <v>有效</v>
      </c>
      <c r="AC43" s="6" t="str">
        <f t="shared" si="8"/>
        <v/>
      </c>
      <c r="AD43" s="7" t="s">
        <v>268</v>
      </c>
    </row>
    <row r="44" ht="25" customHeight="1" spans="1:30">
      <c r="A44" s="6" t="s">
        <v>145</v>
      </c>
      <c r="B44" s="6" t="s">
        <v>51</v>
      </c>
      <c r="C44" s="7" t="s">
        <v>269</v>
      </c>
      <c r="D44" s="7" t="s">
        <v>270</v>
      </c>
      <c r="E44" s="7" t="s">
        <v>271</v>
      </c>
      <c r="F44" s="6" t="s">
        <v>149</v>
      </c>
      <c r="G44" s="16">
        <v>40</v>
      </c>
      <c r="H44" s="17"/>
      <c r="I44" s="18">
        <f t="shared" si="0"/>
        <v>40</v>
      </c>
      <c r="J44" s="19">
        <v>85</v>
      </c>
      <c r="K44" s="20"/>
      <c r="L44" s="20"/>
      <c r="M44" s="20"/>
      <c r="N44" s="20"/>
      <c r="O44" s="20"/>
      <c r="P44" s="20"/>
      <c r="Q44" s="21">
        <f>IF($I44="","",IFERROR(INDEX(_玩家曲线!$H$2:$H$286,MATCH($I44,_玩家曲线!$A$2:$A$286,0)),""))</f>
        <v>95694.1205345253</v>
      </c>
      <c r="R44" s="21">
        <f>IF($I44="","",IFERROR(INDEX(_玩家曲线!$I$2:$I$286,MATCH($I44,_玩家曲线!$A$2:$A$286,0)),""))</f>
        <v>226352.941478705</v>
      </c>
      <c r="S44" s="21">
        <f>IF(OR($J44="",$F44="不适用"),"",IFERROR(INDEX(_怪物模型!$D$2:$D$4501,MATCH(INT($J44)&amp;"|"&amp;$F44,_怪物模型!$A$2:$A$4501,0))*IF($K44="",1,$K44),""))</f>
        <v>26503</v>
      </c>
      <c r="T44" s="21">
        <f>IF(OR($J44="",$F44="不适用"),"",IFERROR(INDEX(_怪物模型!$E$2:$E$4501,MATCH(INT($J44)&amp;"|"&amp;$F44,_怪物模型!$A$2:$A$4501,0))*IF($L44="",1,$L44),""))</f>
        <v>5151</v>
      </c>
      <c r="U44" s="21">
        <f>IF(OR($J44="",$F44="不适用"),"",IFERROR(INDEX(_怪物模型!$F$2:$F$4501,MATCH(INT($J44)&amp;"|"&amp;$F44,_怪物模型!$A$2:$A$4501,0))*IF($M44="",1,$M44),""))</f>
        <v>6685</v>
      </c>
      <c r="V44" s="22">
        <f t="shared" si="1"/>
        <v>0.217858888707838</v>
      </c>
      <c r="W44" s="23">
        <f t="shared" si="2"/>
        <v>33885.1897916667</v>
      </c>
      <c r="X44" s="23">
        <f t="shared" si="3"/>
        <v>0.354098972877245</v>
      </c>
      <c r="Y44" s="23">
        <f t="shared" si="4"/>
        <v>43.9434947541652</v>
      </c>
      <c r="Z44" s="24" t="str">
        <f t="shared" si="5"/>
        <v/>
      </c>
      <c r="AA44" s="6" t="str">
        <f t="shared" si="6"/>
        <v>已计算</v>
      </c>
      <c r="AB44" s="6" t="str">
        <f t="shared" si="7"/>
        <v>有效</v>
      </c>
      <c r="AC44" s="6" t="str">
        <f t="shared" si="8"/>
        <v/>
      </c>
      <c r="AD44" s="7" t="s">
        <v>272</v>
      </c>
    </row>
    <row r="45" ht="25" customHeight="1" spans="1:30">
      <c r="A45" s="6" t="s">
        <v>145</v>
      </c>
      <c r="B45" s="6" t="s">
        <v>51</v>
      </c>
      <c r="C45" s="7" t="s">
        <v>269</v>
      </c>
      <c r="D45" s="7" t="s">
        <v>273</v>
      </c>
      <c r="E45" s="7" t="s">
        <v>274</v>
      </c>
      <c r="F45" s="6" t="s">
        <v>149</v>
      </c>
      <c r="G45" s="16">
        <v>41</v>
      </c>
      <c r="H45" s="17"/>
      <c r="I45" s="18">
        <f t="shared" si="0"/>
        <v>41</v>
      </c>
      <c r="J45" s="19">
        <v>88</v>
      </c>
      <c r="K45" s="20"/>
      <c r="L45" s="20"/>
      <c r="M45" s="20"/>
      <c r="N45" s="20"/>
      <c r="O45" s="20"/>
      <c r="P45" s="20"/>
      <c r="Q45" s="21">
        <f>IF($I45="","",IFERROR(INDEX(_玩家曲线!$H$2:$H$286,MATCH($I45,_玩家曲线!$A$2:$A$286,0)),""))</f>
        <v>102113.607305438</v>
      </c>
      <c r="R45" s="21">
        <f>IF($I45="","",IFERROR(INDEX(_玩家曲线!$I$2:$I$286,MATCH($I45,_玩家曲线!$A$2:$A$286,0)),""))</f>
        <v>238535.177036596</v>
      </c>
      <c r="S45" s="21">
        <f>IF(OR($J45="",$F45="不适用"),"",IFERROR(INDEX(_怪物模型!$D$2:$D$4501,MATCH(INT($J45)&amp;"|"&amp;$F45,_怪物模型!$A$2:$A$4501,0))*IF($K45="",1,$K45),""))</f>
        <v>28222</v>
      </c>
      <c r="T45" s="21">
        <f>IF(OR($J45="",$F45="不适用"),"",IFERROR(INDEX(_怪物模型!$E$2:$E$4501,MATCH(INT($J45)&amp;"|"&amp;$F45,_怪物模型!$A$2:$A$4501,0))*IF($L45="",1,$L45),""))</f>
        <v>5439</v>
      </c>
      <c r="U45" s="21">
        <f>IF(OR($J45="",$F45="不适用"),"",IFERROR(INDEX(_怪物模型!$F$2:$F$4501,MATCH(INT($J45)&amp;"|"&amp;$F45,_怪物模型!$A$2:$A$4501,0))*IF($M45="",1,$M45),""))</f>
        <v>6946</v>
      </c>
      <c r="V45" s="22">
        <f t="shared" si="1"/>
        <v>0.224455503134492</v>
      </c>
      <c r="W45" s="23">
        <f t="shared" si="2"/>
        <v>36389.9171666667</v>
      </c>
      <c r="X45" s="23">
        <f t="shared" si="3"/>
        <v>0.356366973285144</v>
      </c>
      <c r="Y45" s="23">
        <f t="shared" si="4"/>
        <v>43.8564399773113</v>
      </c>
      <c r="Z45" s="24" t="str">
        <f t="shared" si="5"/>
        <v/>
      </c>
      <c r="AA45" s="6" t="str">
        <f t="shared" si="6"/>
        <v>已计算</v>
      </c>
      <c r="AB45" s="6" t="str">
        <f t="shared" si="7"/>
        <v>有效</v>
      </c>
      <c r="AC45" s="6" t="str">
        <f t="shared" si="8"/>
        <v/>
      </c>
      <c r="AD45" s="7" t="s">
        <v>275</v>
      </c>
    </row>
    <row r="46" ht="25" customHeight="1" spans="1:30">
      <c r="A46" s="6" t="s">
        <v>145</v>
      </c>
      <c r="B46" s="6" t="s">
        <v>51</v>
      </c>
      <c r="C46" s="7" t="s">
        <v>269</v>
      </c>
      <c r="D46" s="7" t="s">
        <v>276</v>
      </c>
      <c r="E46" s="7" t="s">
        <v>277</v>
      </c>
      <c r="F46" s="6" t="s">
        <v>149</v>
      </c>
      <c r="G46" s="16">
        <v>42</v>
      </c>
      <c r="H46" s="17"/>
      <c r="I46" s="18">
        <f t="shared" si="0"/>
        <v>42</v>
      </c>
      <c r="J46" s="19">
        <v>90</v>
      </c>
      <c r="K46" s="20"/>
      <c r="L46" s="20"/>
      <c r="M46" s="20"/>
      <c r="N46" s="20"/>
      <c r="O46" s="20"/>
      <c r="P46" s="20"/>
      <c r="Q46" s="21">
        <f>IF($I46="","",IFERROR(INDEX(_玩家曲线!$H$2:$H$286,MATCH($I46,_玩家曲线!$A$2:$A$286,0)),""))</f>
        <v>108691.004089477</v>
      </c>
      <c r="R46" s="21">
        <f>IF($I46="","",IFERROR(INDEX(_玩家曲线!$I$2:$I$286,MATCH($I46,_玩家曲线!$A$2:$A$286,0)),""))</f>
        <v>250851.85110839</v>
      </c>
      <c r="S46" s="21">
        <f>IF(OR($J46="",$F46="不适用"),"",IFERROR(INDEX(_怪物模型!$D$2:$D$4501,MATCH(INT($J46)&amp;"|"&amp;$F46,_怪物模型!$A$2:$A$4501,0))*IF($K46="",1,$K46),""))</f>
        <v>29406</v>
      </c>
      <c r="T46" s="21">
        <f>IF(OR($J46="",$F46="不适用"),"",IFERROR(INDEX(_怪物模型!$E$2:$E$4501,MATCH(INT($J46)&amp;"|"&amp;$F46,_怪物模型!$A$2:$A$4501,0))*IF($L46="",1,$L46),""))</f>
        <v>5635</v>
      </c>
      <c r="U46" s="21">
        <f>IF(OR($J46="",$F46="不适用"),"",IFERROR(INDEX(_怪物模型!$F$2:$F$4501,MATCH(INT($J46)&amp;"|"&amp;$F46,_怪物模型!$A$2:$A$4501,0))*IF($M46="",1,$M46),""))</f>
        <v>7120</v>
      </c>
      <c r="V46" s="22">
        <f t="shared" si="1"/>
        <v>0.22879177377892</v>
      </c>
      <c r="W46" s="23">
        <f t="shared" si="2"/>
        <v>38129.78</v>
      </c>
      <c r="X46" s="23">
        <f t="shared" si="3"/>
        <v>0.350808977425682</v>
      </c>
      <c r="Y46" s="23">
        <f t="shared" si="4"/>
        <v>44.5167437636894</v>
      </c>
      <c r="Z46" s="24" t="str">
        <f t="shared" si="5"/>
        <v/>
      </c>
      <c r="AA46" s="6" t="str">
        <f t="shared" si="6"/>
        <v>已计算</v>
      </c>
      <c r="AB46" s="6" t="str">
        <f t="shared" si="7"/>
        <v>有效</v>
      </c>
      <c r="AC46" s="6" t="str">
        <f t="shared" si="8"/>
        <v/>
      </c>
      <c r="AD46" s="7" t="s">
        <v>278</v>
      </c>
    </row>
    <row r="47" ht="25" customHeight="1" spans="1:30">
      <c r="A47" s="6" t="s">
        <v>145</v>
      </c>
      <c r="B47" s="6" t="s">
        <v>51</v>
      </c>
      <c r="C47" s="7" t="s">
        <v>269</v>
      </c>
      <c r="D47" s="7" t="s">
        <v>279</v>
      </c>
      <c r="E47" s="7" t="s">
        <v>280</v>
      </c>
      <c r="F47" s="6" t="s">
        <v>149</v>
      </c>
      <c r="G47" s="16">
        <v>43</v>
      </c>
      <c r="H47" s="17"/>
      <c r="I47" s="18">
        <f t="shared" si="0"/>
        <v>43</v>
      </c>
      <c r="J47" s="19">
        <v>93</v>
      </c>
      <c r="K47" s="20"/>
      <c r="L47" s="20"/>
      <c r="M47" s="20"/>
      <c r="N47" s="20"/>
      <c r="O47" s="20"/>
      <c r="P47" s="20"/>
      <c r="Q47" s="21">
        <f>IF($I47="","",IFERROR(INDEX(_玩家曲线!$H$2:$H$286,MATCH($I47,_玩家曲线!$A$2:$A$286,0)),""))</f>
        <v>115422.123537734</v>
      </c>
      <c r="R47" s="21">
        <f>IF($I47="","",IFERROR(INDEX(_玩家曲线!$I$2:$I$286,MATCH($I47,_玩家曲线!$A$2:$A$286,0)),""))</f>
        <v>263293.382159158</v>
      </c>
      <c r="S47" s="21">
        <f>IF(OR($J47="",$F47="不适用"),"",IFERROR(INDEX(_怪物模型!$D$2:$D$4501,MATCH(INT($J47)&amp;"|"&amp;$F47,_怪物模型!$A$2:$A$4501,0))*IF($K47="",1,$K47),""))</f>
        <v>31240</v>
      </c>
      <c r="T47" s="21">
        <f>IF(OR($J47="",$F47="不适用"),"",IFERROR(INDEX(_怪物模型!$E$2:$E$4501,MATCH(INT($J47)&amp;"|"&amp;$F47,_怪物模型!$A$2:$A$4501,0))*IF($L47="",1,$L47),""))</f>
        <v>5936</v>
      </c>
      <c r="U47" s="21">
        <f>IF(OR($J47="",$F47="不适用"),"",IFERROR(INDEX(_怪物模型!$F$2:$F$4501,MATCH(INT($J47)&amp;"|"&amp;$F47,_怪物模型!$A$2:$A$4501,0))*IF($M47="",1,$M47),""))</f>
        <v>7383</v>
      </c>
      <c r="V47" s="22">
        <f t="shared" si="1"/>
        <v>0.235254755759488</v>
      </c>
      <c r="W47" s="23">
        <f t="shared" si="2"/>
        <v>40850.205</v>
      </c>
      <c r="X47" s="23">
        <f t="shared" si="3"/>
        <v>0.353920060972065</v>
      </c>
      <c r="Y47" s="23">
        <f t="shared" si="4"/>
        <v>44.3553541373245</v>
      </c>
      <c r="Z47" s="24" t="str">
        <f t="shared" si="5"/>
        <v/>
      </c>
      <c r="AA47" s="6" t="str">
        <f t="shared" si="6"/>
        <v>已计算</v>
      </c>
      <c r="AB47" s="6" t="str">
        <f t="shared" si="7"/>
        <v>有效</v>
      </c>
      <c r="AC47" s="6" t="str">
        <f t="shared" si="8"/>
        <v/>
      </c>
      <c r="AD47" s="7" t="s">
        <v>281</v>
      </c>
    </row>
    <row r="48" ht="25" customHeight="1" spans="1:30">
      <c r="A48" s="6" t="s">
        <v>145</v>
      </c>
      <c r="B48" s="6" t="s">
        <v>51</v>
      </c>
      <c r="C48" s="7" t="s">
        <v>269</v>
      </c>
      <c r="D48" s="7" t="s">
        <v>282</v>
      </c>
      <c r="E48" s="7" t="s">
        <v>283</v>
      </c>
      <c r="F48" s="6" t="s">
        <v>149</v>
      </c>
      <c r="G48" s="16">
        <v>44</v>
      </c>
      <c r="H48" s="17"/>
      <c r="I48" s="18">
        <f t="shared" si="0"/>
        <v>44</v>
      </c>
      <c r="J48" s="19">
        <v>95</v>
      </c>
      <c r="K48" s="20"/>
      <c r="L48" s="20"/>
      <c r="M48" s="20"/>
      <c r="N48" s="20"/>
      <c r="O48" s="20"/>
      <c r="P48" s="20"/>
      <c r="Q48" s="21">
        <f>IF($I48="","",IFERROR(INDEX(_玩家曲线!$H$2:$H$286,MATCH($I48,_玩家曲线!$A$2:$A$286,0)),""))</f>
        <v>122302.617088683</v>
      </c>
      <c r="R48" s="21">
        <f>IF($I48="","",IFERROR(INDEX(_玩家曲线!$I$2:$I$286,MATCH($I48,_玩家曲线!$A$2:$A$286,0)),""))</f>
        <v>275850.347477235</v>
      </c>
      <c r="S48" s="21">
        <f>IF(OR($J48="",$F48="不适用"),"",IFERROR(INDEX(_怪物模型!$D$2:$D$4501,MATCH(INT($J48)&amp;"|"&amp;$F48,_怪物模型!$A$2:$A$4501,0))*IF($K48="",1,$K48),""))</f>
        <v>32502</v>
      </c>
      <c r="T48" s="21">
        <f>IF(OR($J48="",$F48="不适用"),"",IFERROR(INDEX(_怪物模型!$E$2:$E$4501,MATCH(INT($J48)&amp;"|"&amp;$F48,_怪物模型!$A$2:$A$4501,0))*IF($L48="",1,$L48),""))</f>
        <v>6141</v>
      </c>
      <c r="U48" s="21">
        <f>IF(OR($J48="",$F48="不适用"),"",IFERROR(INDEX(_怪物模型!$F$2:$F$4501,MATCH(INT($J48)&amp;"|"&amp;$F48,_怪物模型!$A$2:$A$4501,0))*IF($M48="",1,$M48),""))</f>
        <v>7559</v>
      </c>
      <c r="V48" s="22">
        <f t="shared" si="1"/>
        <v>0.239519629899553</v>
      </c>
      <c r="W48" s="23">
        <f t="shared" si="2"/>
        <v>42738.77575</v>
      </c>
      <c r="X48" s="23">
        <f t="shared" si="3"/>
        <v>0.34945103193507</v>
      </c>
      <c r="Y48" s="23">
        <f t="shared" si="4"/>
        <v>44.9194508186346</v>
      </c>
      <c r="Z48" s="24" t="str">
        <f t="shared" si="5"/>
        <v/>
      </c>
      <c r="AA48" s="6" t="str">
        <f t="shared" si="6"/>
        <v>已计算</v>
      </c>
      <c r="AB48" s="6" t="str">
        <f t="shared" si="7"/>
        <v>有效</v>
      </c>
      <c r="AC48" s="6" t="str">
        <f t="shared" si="8"/>
        <v/>
      </c>
      <c r="AD48" s="7" t="s">
        <v>284</v>
      </c>
    </row>
    <row r="49" ht="25" customHeight="1" spans="1:30">
      <c r="A49" s="6" t="s">
        <v>145</v>
      </c>
      <c r="B49" s="6" t="s">
        <v>51</v>
      </c>
      <c r="C49" s="7" t="s">
        <v>269</v>
      </c>
      <c r="D49" s="7" t="s">
        <v>285</v>
      </c>
      <c r="E49" s="7" t="s">
        <v>286</v>
      </c>
      <c r="F49" s="6" t="s">
        <v>149</v>
      </c>
      <c r="G49" s="16">
        <v>45</v>
      </c>
      <c r="H49" s="17"/>
      <c r="I49" s="18">
        <f t="shared" si="0"/>
        <v>45</v>
      </c>
      <c r="J49" s="19">
        <v>97</v>
      </c>
      <c r="K49" s="20"/>
      <c r="L49" s="20"/>
      <c r="M49" s="20"/>
      <c r="N49" s="20"/>
      <c r="O49" s="20"/>
      <c r="P49" s="20"/>
      <c r="Q49" s="21">
        <f>IF($I49="","",IFERROR(INDEX(_玩家曲线!$H$2:$H$286,MATCH($I49,_玩家曲线!$A$2:$A$286,0)),""))</f>
        <v>129327.989021266</v>
      </c>
      <c r="R49" s="21">
        <f>IF($I49="","",IFERROR(INDEX(_玩家曲线!$I$2:$I$286,MATCH($I49,_玩家曲线!$A$2:$A$286,0)),""))</f>
        <v>288513.492111806</v>
      </c>
      <c r="S49" s="21">
        <f>IF(OR($J49="",$F49="不适用"),"",IFERROR(INDEX(_怪物模型!$D$2:$D$4501,MATCH(INT($J49)&amp;"|"&amp;$F49,_怪物模型!$A$2:$A$4501,0))*IF($K49="",1,$K49),""))</f>
        <v>33796</v>
      </c>
      <c r="T49" s="21">
        <f>IF(OR($J49="",$F49="不适用"),"",IFERROR(INDEX(_怪物模型!$E$2:$E$4501,MATCH(INT($J49)&amp;"|"&amp;$F49,_怪物模型!$A$2:$A$4501,0))*IF($L49="",1,$L49),""))</f>
        <v>6351</v>
      </c>
      <c r="U49" s="21">
        <f>IF(OR($J49="",$F49="不适用"),"",IFERROR(INDEX(_怪物模型!$F$2:$F$4501,MATCH(INT($J49)&amp;"|"&amp;$F49,_怪物模型!$A$2:$A$4501,0))*IF($M49="",1,$M49),""))</f>
        <v>7736</v>
      </c>
      <c r="V49" s="22">
        <f t="shared" si="1"/>
        <v>0.243761028485001</v>
      </c>
      <c r="W49" s="23">
        <f t="shared" si="2"/>
        <v>44689.5773333333</v>
      </c>
      <c r="X49" s="23">
        <f t="shared" si="3"/>
        <v>0.345552247982336</v>
      </c>
      <c r="Y49" s="23">
        <f t="shared" si="4"/>
        <v>45.4280415858614</v>
      </c>
      <c r="Z49" s="24" t="str">
        <f t="shared" si="5"/>
        <v/>
      </c>
      <c r="AA49" s="6" t="str">
        <f t="shared" si="6"/>
        <v>已计算</v>
      </c>
      <c r="AB49" s="6" t="str">
        <f t="shared" si="7"/>
        <v>有效</v>
      </c>
      <c r="AC49" s="6" t="str">
        <f t="shared" si="8"/>
        <v/>
      </c>
      <c r="AD49" s="7" t="s">
        <v>287</v>
      </c>
    </row>
    <row r="50" ht="25" customHeight="1" spans="1:30">
      <c r="A50" s="6" t="s">
        <v>145</v>
      </c>
      <c r="B50" s="6" t="s">
        <v>51</v>
      </c>
      <c r="C50" s="7" t="s">
        <v>269</v>
      </c>
      <c r="D50" s="7" t="s">
        <v>288</v>
      </c>
      <c r="E50" s="7" t="s">
        <v>289</v>
      </c>
      <c r="F50" s="6" t="s">
        <v>149</v>
      </c>
      <c r="G50" s="16">
        <v>46</v>
      </c>
      <c r="H50" s="17"/>
      <c r="I50" s="18">
        <f t="shared" si="0"/>
        <v>46</v>
      </c>
      <c r="J50" s="19">
        <v>99</v>
      </c>
      <c r="K50" s="20"/>
      <c r="L50" s="20"/>
      <c r="M50" s="20"/>
      <c r="N50" s="20"/>
      <c r="O50" s="20"/>
      <c r="P50" s="20"/>
      <c r="Q50" s="21">
        <f>IF($I50="","",IFERROR(INDEX(_玩家曲线!$H$2:$H$286,MATCH($I50,_玩家曲线!$A$2:$A$286,0)),""))</f>
        <v>136493.610411249</v>
      </c>
      <c r="R50" s="21">
        <f>IF($I50="","",IFERROR(INDEX(_玩家曲线!$I$2:$I$286,MATCH($I50,_玩家曲线!$A$2:$A$286,0)),""))</f>
        <v>301273.736887632</v>
      </c>
      <c r="S50" s="21">
        <f>IF(OR($J50="",$F50="不适用"),"",IFERROR(INDEX(_怪物模型!$D$2:$D$4501,MATCH(INT($J50)&amp;"|"&amp;$F50,_怪物模型!$A$2:$A$4501,0))*IF($K50="",1,$K50),""))</f>
        <v>35123</v>
      </c>
      <c r="T50" s="21">
        <f>IF(OR($J50="",$F50="不适用"),"",IFERROR(INDEX(_怪物模型!$E$2:$E$4501,MATCH(INT($J50)&amp;"|"&amp;$F50,_怪物模型!$A$2:$A$4501,0))*IF($L50="",1,$L50),""))</f>
        <v>6564</v>
      </c>
      <c r="U50" s="21">
        <f>IF(OR($J50="",$F50="不适用"),"",IFERROR(INDEX(_怪物模型!$F$2:$F$4501,MATCH(INT($J50)&amp;"|"&amp;$F50,_怪物模型!$A$2:$A$4501,0))*IF($M50="",1,$M50),""))</f>
        <v>7914</v>
      </c>
      <c r="V50" s="22">
        <f t="shared" si="1"/>
        <v>0.247978943410415</v>
      </c>
      <c r="W50" s="23">
        <f t="shared" si="2"/>
        <v>46704.80925</v>
      </c>
      <c r="X50" s="23">
        <f t="shared" si="3"/>
        <v>0.342175792033638</v>
      </c>
      <c r="Y50" s="23">
        <f t="shared" si="4"/>
        <v>45.8978880084753</v>
      </c>
      <c r="Z50" s="24" t="str">
        <f t="shared" si="5"/>
        <v/>
      </c>
      <c r="AA50" s="6" t="str">
        <f t="shared" si="6"/>
        <v>已计算</v>
      </c>
      <c r="AB50" s="6" t="str">
        <f t="shared" si="7"/>
        <v>有效</v>
      </c>
      <c r="AC50" s="6" t="str">
        <f t="shared" si="8"/>
        <v/>
      </c>
      <c r="AD50" s="7" t="s">
        <v>290</v>
      </c>
    </row>
    <row r="51" ht="25" customHeight="1" spans="1:30">
      <c r="A51" s="6" t="s">
        <v>145</v>
      </c>
      <c r="B51" s="6" t="s">
        <v>51</v>
      </c>
      <c r="C51" s="7" t="s">
        <v>269</v>
      </c>
      <c r="D51" s="7" t="s">
        <v>291</v>
      </c>
      <c r="E51" s="7" t="s">
        <v>292</v>
      </c>
      <c r="F51" s="6" t="s">
        <v>149</v>
      </c>
      <c r="G51" s="16">
        <v>47</v>
      </c>
      <c r="H51" s="17"/>
      <c r="I51" s="18">
        <f t="shared" si="0"/>
        <v>47</v>
      </c>
      <c r="J51" s="19">
        <v>101</v>
      </c>
      <c r="K51" s="20"/>
      <c r="L51" s="20"/>
      <c r="M51" s="20"/>
      <c r="N51" s="20"/>
      <c r="O51" s="20"/>
      <c r="P51" s="20"/>
      <c r="Q51" s="21">
        <f>IF($I51="","",IFERROR(INDEX(_玩家曲线!$H$2:$H$286,MATCH($I51,_玩家曲线!$A$2:$A$286,0)),""))</f>
        <v>143794.73293264</v>
      </c>
      <c r="R51" s="21">
        <f>IF($I51="","",IFERROR(INDEX(_玩家曲线!$I$2:$I$286,MATCH($I51,_玩家曲线!$A$2:$A$286,0)),""))</f>
        <v>314122.185539391</v>
      </c>
      <c r="S51" s="21">
        <f>IF(OR($J51="",$F51="不适用"),"",IFERROR(INDEX(_怪物模型!$D$2:$D$4501,MATCH(INT($J51)&amp;"|"&amp;$F51,_怪物模型!$A$2:$A$4501,0))*IF($K51="",1,$K51),""))</f>
        <v>36483</v>
      </c>
      <c r="T51" s="21">
        <f>IF(OR($J51="",$F51="不适用"),"",IFERROR(INDEX(_怪物模型!$E$2:$E$4501,MATCH(INT($J51)&amp;"|"&amp;$F51,_怪物模型!$A$2:$A$4501,0))*IF($L51="",1,$L51),""))</f>
        <v>6781</v>
      </c>
      <c r="U51" s="21">
        <f>IF(OR($J51="",$F51="不适用"),"",IFERROR(INDEX(_怪物模型!$F$2:$F$4501,MATCH(INT($J51)&amp;"|"&amp;$F51,_怪物模型!$A$2:$A$4501,0))*IF($M51="",1,$M51),""))</f>
        <v>8093</v>
      </c>
      <c r="V51" s="22">
        <f t="shared" si="1"/>
        <v>0.252173371140124</v>
      </c>
      <c r="W51" s="23">
        <f t="shared" si="2"/>
        <v>48785.371625</v>
      </c>
      <c r="X51" s="23">
        <f t="shared" si="3"/>
        <v>0.339270922029205</v>
      </c>
      <c r="Y51" s="23">
        <f t="shared" si="4"/>
        <v>46.3238734020633</v>
      </c>
      <c r="Z51" s="24" t="str">
        <f t="shared" si="5"/>
        <v/>
      </c>
      <c r="AA51" s="6" t="str">
        <f t="shared" si="6"/>
        <v>已计算</v>
      </c>
      <c r="AB51" s="6" t="str">
        <f t="shared" si="7"/>
        <v>有效</v>
      </c>
      <c r="AC51" s="6" t="str">
        <f t="shared" si="8"/>
        <v/>
      </c>
      <c r="AD51" s="7" t="s">
        <v>293</v>
      </c>
    </row>
    <row r="52" ht="25" customHeight="1" spans="1:30">
      <c r="A52" s="6" t="s">
        <v>145</v>
      </c>
      <c r="B52" s="6" t="s">
        <v>51</v>
      </c>
      <c r="C52" s="7" t="s">
        <v>269</v>
      </c>
      <c r="D52" s="7" t="s">
        <v>294</v>
      </c>
      <c r="E52" s="7" t="s">
        <v>295</v>
      </c>
      <c r="F52" s="6" t="s">
        <v>149</v>
      </c>
      <c r="G52" s="16">
        <v>48</v>
      </c>
      <c r="H52" s="17"/>
      <c r="I52" s="18">
        <f t="shared" si="0"/>
        <v>48</v>
      </c>
      <c r="J52" s="19">
        <v>103</v>
      </c>
      <c r="K52" s="20"/>
      <c r="L52" s="20"/>
      <c r="M52" s="20"/>
      <c r="N52" s="20"/>
      <c r="O52" s="20"/>
      <c r="P52" s="20"/>
      <c r="Q52" s="21">
        <f>IF($I52="","",IFERROR(INDEX(_玩家曲线!$H$2:$H$286,MATCH($I52,_玩家曲线!$A$2:$A$286,0)),""))</f>
        <v>151226.502451555</v>
      </c>
      <c r="R52" s="21">
        <f>IF($I52="","",IFERROR(INDEX(_玩家曲线!$I$2:$I$286,MATCH($I52,_玩家曲线!$A$2:$A$286,0)),""))</f>
        <v>327050.131007878</v>
      </c>
      <c r="S52" s="21">
        <f>IF(OR($J52="",$F52="不适用"),"",IFERROR(INDEX(_怪物模型!$D$2:$D$4501,MATCH(INT($J52)&amp;"|"&amp;$F52,_怪物模型!$A$2:$A$4501,0))*IF($K52="",1,$K52),""))</f>
        <v>37877</v>
      </c>
      <c r="T52" s="21">
        <f>IF(OR($J52="",$F52="不适用"),"",IFERROR(INDEX(_怪物模型!$E$2:$E$4501,MATCH(INT($J52)&amp;"|"&amp;$F52,_怪物模型!$A$2:$A$4501,0))*IF($L52="",1,$L52),""))</f>
        <v>7002</v>
      </c>
      <c r="U52" s="21">
        <f>IF(OR($J52="",$F52="不适用"),"",IFERROR(INDEX(_怪物模型!$F$2:$F$4501,MATCH(INT($J52)&amp;"|"&amp;$F52,_怪物模型!$A$2:$A$4501,0))*IF($M52="",1,$M52),""))</f>
        <v>8272</v>
      </c>
      <c r="V52" s="22">
        <f t="shared" si="1"/>
        <v>0.256321269211701</v>
      </c>
      <c r="W52" s="23">
        <f t="shared" si="2"/>
        <v>50931.9393333333</v>
      </c>
      <c r="X52" s="23">
        <f t="shared" si="3"/>
        <v>0.33679241738497</v>
      </c>
      <c r="Y52" s="23">
        <f t="shared" si="4"/>
        <v>46.7081021148069</v>
      </c>
      <c r="Z52" s="24" t="str">
        <f t="shared" si="5"/>
        <v/>
      </c>
      <c r="AA52" s="6" t="str">
        <f t="shared" si="6"/>
        <v>已计算</v>
      </c>
      <c r="AB52" s="6" t="str">
        <f t="shared" si="7"/>
        <v>有效</v>
      </c>
      <c r="AC52" s="6" t="str">
        <f t="shared" si="8"/>
        <v/>
      </c>
      <c r="AD52" s="7" t="s">
        <v>296</v>
      </c>
    </row>
    <row r="53" ht="25" customHeight="1" spans="1:30">
      <c r="A53" s="6" t="s">
        <v>145</v>
      </c>
      <c r="B53" s="6" t="s">
        <v>51</v>
      </c>
      <c r="C53" s="7" t="s">
        <v>269</v>
      </c>
      <c r="D53" s="7" t="s">
        <v>297</v>
      </c>
      <c r="E53" s="7" t="s">
        <v>298</v>
      </c>
      <c r="F53" s="6" t="s">
        <v>149</v>
      </c>
      <c r="G53" s="16">
        <v>49</v>
      </c>
      <c r="H53" s="17"/>
      <c r="I53" s="18">
        <f t="shared" si="0"/>
        <v>49</v>
      </c>
      <c r="J53" s="19">
        <v>105</v>
      </c>
      <c r="K53" s="20"/>
      <c r="L53" s="20"/>
      <c r="M53" s="20"/>
      <c r="N53" s="20"/>
      <c r="O53" s="20"/>
      <c r="P53" s="20"/>
      <c r="Q53" s="21">
        <f>IF($I53="","",IFERROR(INDEX(_玩家曲线!$H$2:$H$286,MATCH($I53,_玩家曲线!$A$2:$A$286,0)),""))</f>
        <v>158783.972365237</v>
      </c>
      <c r="R53" s="21">
        <f>IF($I53="","",IFERROR(INDEX(_玩家曲线!$I$2:$I$286,MATCH($I53,_玩家曲线!$A$2:$A$286,0)),""))</f>
        <v>340049.060939818</v>
      </c>
      <c r="S53" s="21">
        <f>IF(OR($J53="",$F53="不适用"),"",IFERROR(INDEX(_怪物模型!$D$2:$D$4501,MATCH(INT($J53)&amp;"|"&amp;$F53,_怪物模型!$A$2:$A$4501,0))*IF($K53="",1,$K53),""))</f>
        <v>39306</v>
      </c>
      <c r="T53" s="21">
        <f>IF(OR($J53="",$F53="不适用"),"",IFERROR(INDEX(_怪物模型!$E$2:$E$4501,MATCH(INT($J53)&amp;"|"&amp;$F53,_怪物模型!$A$2:$A$4501,0))*IF($L53="",1,$L53),""))</f>
        <v>7228</v>
      </c>
      <c r="U53" s="21">
        <f>IF(OR($J53="",$F53="不适用"),"",IFERROR(INDEX(_怪物模型!$F$2:$F$4501,MATCH(INT($J53)&amp;"|"&amp;$F53,_怪物模型!$A$2:$A$4501,0))*IF($M53="",1,$M53),""))</f>
        <v>8452</v>
      </c>
      <c r="V53" s="22">
        <f t="shared" si="1"/>
        <v>0.260446197460865</v>
      </c>
      <c r="W53" s="23">
        <f t="shared" si="2"/>
        <v>53148.263</v>
      </c>
      <c r="X53" s="23">
        <f t="shared" si="3"/>
        <v>0.334720577954478</v>
      </c>
      <c r="Y53" s="23">
        <f t="shared" si="4"/>
        <v>47.0460792667153</v>
      </c>
      <c r="Z53" s="24" t="str">
        <f t="shared" si="5"/>
        <v/>
      </c>
      <c r="AA53" s="6" t="str">
        <f t="shared" si="6"/>
        <v>已计算</v>
      </c>
      <c r="AB53" s="6" t="str">
        <f t="shared" si="7"/>
        <v>有效</v>
      </c>
      <c r="AC53" s="6" t="str">
        <f t="shared" si="8"/>
        <v/>
      </c>
      <c r="AD53" s="7" t="s">
        <v>299</v>
      </c>
    </row>
    <row r="54" ht="25" customHeight="1" spans="1:30">
      <c r="A54" s="6" t="s">
        <v>145</v>
      </c>
      <c r="B54" s="6" t="s">
        <v>51</v>
      </c>
      <c r="C54" s="7" t="s">
        <v>269</v>
      </c>
      <c r="D54" s="7" t="s">
        <v>300</v>
      </c>
      <c r="E54" s="7" t="s">
        <v>301</v>
      </c>
      <c r="F54" s="6" t="s">
        <v>149</v>
      </c>
      <c r="G54" s="16">
        <v>50</v>
      </c>
      <c r="H54" s="17"/>
      <c r="I54" s="18">
        <f t="shared" si="0"/>
        <v>50</v>
      </c>
      <c r="J54" s="19">
        <v>107</v>
      </c>
      <c r="K54" s="20"/>
      <c r="L54" s="20"/>
      <c r="M54" s="20"/>
      <c r="N54" s="20"/>
      <c r="O54" s="20"/>
      <c r="P54" s="20"/>
      <c r="Q54" s="21">
        <f>IF($I54="","",IFERROR(INDEX(_玩家曲线!$H$2:$H$286,MATCH($I54,_玩家曲线!$A$2:$A$286,0)),""))</f>
        <v>166462.116644173</v>
      </c>
      <c r="R54" s="21">
        <f>IF($I54="","",IFERROR(INDEX(_玩家曲线!$I$2:$I$286,MATCH($I54,_玩家曲线!$A$2:$A$286,0)),""))</f>
        <v>353110.662432472</v>
      </c>
      <c r="S54" s="21">
        <f>IF(OR($J54="",$F54="不适用"),"",IFERROR(INDEX(_怪物模型!$D$2:$D$4501,MATCH(INT($J54)&amp;"|"&amp;$F54,_怪物模型!$A$2:$A$4501,0))*IF($K54="",1,$K54),""))</f>
        <v>40769</v>
      </c>
      <c r="T54" s="21">
        <f>IF(OR($J54="",$F54="不适用"),"",IFERROR(INDEX(_怪物模型!$E$2:$E$4501,MATCH(INT($J54)&amp;"|"&amp;$F54,_怪物模型!$A$2:$A$4501,0))*IF($L54="",1,$L54),""))</f>
        <v>7457</v>
      </c>
      <c r="U54" s="21">
        <f>IF(OR($J54="",$F54="不适用"),"",IFERROR(INDEX(_怪物模型!$F$2:$F$4501,MATCH(INT($J54)&amp;"|"&amp;$F54,_怪物模型!$A$2:$A$4501,0))*IF($M54="",1,$M54),""))</f>
        <v>8632</v>
      </c>
      <c r="V54" s="22">
        <f t="shared" si="1"/>
        <v>0.264525619024271</v>
      </c>
      <c r="W54" s="23">
        <f t="shared" si="2"/>
        <v>55432.2503333333</v>
      </c>
      <c r="X54" s="23">
        <f t="shared" si="3"/>
        <v>0.333002195639651</v>
      </c>
      <c r="Y54" s="23">
        <f t="shared" si="4"/>
        <v>47.352911684655</v>
      </c>
      <c r="Z54" s="24" t="str">
        <f t="shared" si="5"/>
        <v/>
      </c>
      <c r="AA54" s="6" t="str">
        <f t="shared" si="6"/>
        <v>已计算</v>
      </c>
      <c r="AB54" s="6" t="str">
        <f t="shared" si="7"/>
        <v>有效</v>
      </c>
      <c r="AC54" s="6" t="str">
        <f t="shared" si="8"/>
        <v/>
      </c>
      <c r="AD54" s="7" t="s">
        <v>302</v>
      </c>
    </row>
    <row r="55" ht="25" customHeight="1" spans="1:30">
      <c r="A55" s="6" t="s">
        <v>145</v>
      </c>
      <c r="B55" s="6" t="s">
        <v>51</v>
      </c>
      <c r="C55" s="7" t="s">
        <v>269</v>
      </c>
      <c r="D55" s="7" t="s">
        <v>303</v>
      </c>
      <c r="E55" s="7" t="s">
        <v>304</v>
      </c>
      <c r="F55" s="6" t="s">
        <v>149</v>
      </c>
      <c r="G55" s="16">
        <v>51</v>
      </c>
      <c r="H55" s="17"/>
      <c r="I55" s="18">
        <f t="shared" si="0"/>
        <v>51</v>
      </c>
      <c r="J55" s="19">
        <v>109</v>
      </c>
      <c r="K55" s="20"/>
      <c r="L55" s="20"/>
      <c r="M55" s="20"/>
      <c r="N55" s="20"/>
      <c r="O55" s="20"/>
      <c r="P55" s="20"/>
      <c r="Q55" s="21">
        <f>IF($I55="","",IFERROR(INDEX(_玩家曲线!$H$2:$H$286,MATCH($I55,_玩家曲线!$A$2:$A$286,0)),""))</f>
        <v>174255.842540171</v>
      </c>
      <c r="R55" s="21">
        <f>IF($I55="","",IFERROR(INDEX(_玩家曲线!$I$2:$I$286,MATCH($I55,_玩家曲线!$A$2:$A$286,0)),""))</f>
        <v>366226.826063466</v>
      </c>
      <c r="S55" s="21">
        <f>IF(OR($J55="",$F55="不适用"),"",IFERROR(INDEX(_怪物模型!$D$2:$D$4501,MATCH(INT($J55)&amp;"|"&amp;$F55,_怪物模型!$A$2:$A$4501,0))*IF($K55="",1,$K55),""))</f>
        <v>42269</v>
      </c>
      <c r="T55" s="21">
        <f>IF(OR($J55="",$F55="不适用"),"",IFERROR(INDEX(_怪物模型!$E$2:$E$4501,MATCH(INT($J55)&amp;"|"&amp;$F55,_怪物模型!$A$2:$A$4501,0))*IF($L55="",1,$L55),""))</f>
        <v>7690</v>
      </c>
      <c r="U55" s="21">
        <f>IF(OR($J55="",$F55="不适用"),"",IFERROR(INDEX(_怪物模型!$F$2:$F$4501,MATCH(INT($J55)&amp;"|"&amp;$F55,_怪物模型!$A$2:$A$4501,0))*IF($M55="",1,$M55),""))</f>
        <v>8814</v>
      </c>
      <c r="V55" s="22">
        <f t="shared" si="1"/>
        <v>0.268604863777656</v>
      </c>
      <c r="W55" s="23">
        <f t="shared" si="2"/>
        <v>57792.29025</v>
      </c>
      <c r="X55" s="23">
        <f t="shared" si="3"/>
        <v>0.331651951564707</v>
      </c>
      <c r="Y55" s="23">
        <f t="shared" si="4"/>
        <v>47.6237745206068</v>
      </c>
      <c r="Z55" s="24" t="str">
        <f t="shared" si="5"/>
        <v/>
      </c>
      <c r="AA55" s="6" t="str">
        <f t="shared" si="6"/>
        <v>已计算</v>
      </c>
      <c r="AB55" s="6" t="str">
        <f t="shared" si="7"/>
        <v>有效</v>
      </c>
      <c r="AC55" s="6" t="str">
        <f t="shared" si="8"/>
        <v/>
      </c>
      <c r="AD55" s="7" t="s">
        <v>305</v>
      </c>
    </row>
    <row r="56" ht="25" customHeight="1" spans="1:30">
      <c r="A56" s="6" t="s">
        <v>145</v>
      </c>
      <c r="B56" s="6" t="s">
        <v>51</v>
      </c>
      <c r="C56" s="7" t="s">
        <v>269</v>
      </c>
      <c r="D56" s="7" t="s">
        <v>306</v>
      </c>
      <c r="E56" s="7" t="s">
        <v>307</v>
      </c>
      <c r="F56" s="6" t="s">
        <v>149</v>
      </c>
      <c r="G56" s="16">
        <v>52</v>
      </c>
      <c r="H56" s="17"/>
      <c r="I56" s="18">
        <f t="shared" si="0"/>
        <v>52</v>
      </c>
      <c r="J56" s="19">
        <v>111</v>
      </c>
      <c r="K56" s="20"/>
      <c r="L56" s="20"/>
      <c r="M56" s="20"/>
      <c r="N56" s="20"/>
      <c r="O56" s="20"/>
      <c r="P56" s="20"/>
      <c r="Q56" s="21">
        <f>IF($I56="","",IFERROR(INDEX(_玩家曲线!$H$2:$H$286,MATCH($I56,_玩家曲线!$A$2:$A$286,0)),""))</f>
        <v>182160.002928018</v>
      </c>
      <c r="R56" s="21">
        <f>IF($I56="","",IFERROR(INDEX(_玩家曲线!$I$2:$I$286,MATCH($I56,_玩家曲线!$A$2:$A$286,0)),""))</f>
        <v>379389.649245442</v>
      </c>
      <c r="S56" s="21">
        <f>IF(OR($J56="",$F56="不适用"),"",IFERROR(INDEX(_怪物模型!$D$2:$D$4501,MATCH(INT($J56)&amp;"|"&amp;$F56,_怪物模型!$A$2:$A$4501,0))*IF($K56="",1,$K56),""))</f>
        <v>43804</v>
      </c>
      <c r="T56" s="21">
        <f>IF(OR($J56="",$F56="不适用"),"",IFERROR(INDEX(_怪物模型!$E$2:$E$4501,MATCH(INT($J56)&amp;"|"&amp;$F56,_怪物模型!$A$2:$A$4501,0))*IF($L56="",1,$L56),""))</f>
        <v>7927</v>
      </c>
      <c r="U56" s="21">
        <f>IF(OR($J56="",$F56="不适用"),"",IFERROR(INDEX(_怪物模型!$F$2:$F$4501,MATCH(INT($J56)&amp;"|"&amp;$F56,_怪物模型!$A$2:$A$4501,0))*IF($M56="",1,$M56),""))</f>
        <v>8996</v>
      </c>
      <c r="V56" s="22">
        <f t="shared" si="1"/>
        <v>0.272639107770639</v>
      </c>
      <c r="W56" s="23">
        <f t="shared" si="2"/>
        <v>60223.1993333333</v>
      </c>
      <c r="X56" s="23">
        <f t="shared" si="3"/>
        <v>0.330606051632152</v>
      </c>
      <c r="Y56" s="23">
        <f t="shared" si="4"/>
        <v>47.8604326031843</v>
      </c>
      <c r="Z56" s="24" t="str">
        <f t="shared" si="5"/>
        <v/>
      </c>
      <c r="AA56" s="6" t="str">
        <f t="shared" si="6"/>
        <v>已计算</v>
      </c>
      <c r="AB56" s="6" t="str">
        <f t="shared" si="7"/>
        <v>有效</v>
      </c>
      <c r="AC56" s="6" t="str">
        <f t="shared" si="8"/>
        <v/>
      </c>
      <c r="AD56" s="7" t="s">
        <v>308</v>
      </c>
    </row>
    <row r="57" ht="25" customHeight="1" spans="1:30">
      <c r="A57" s="6" t="s">
        <v>145</v>
      </c>
      <c r="B57" s="6" t="s">
        <v>51</v>
      </c>
      <c r="C57" s="7" t="s">
        <v>269</v>
      </c>
      <c r="D57" s="7" t="s">
        <v>309</v>
      </c>
      <c r="E57" s="7" t="s">
        <v>310</v>
      </c>
      <c r="F57" s="6" t="s">
        <v>149</v>
      </c>
      <c r="G57" s="16">
        <v>53</v>
      </c>
      <c r="H57" s="17"/>
      <c r="I57" s="18">
        <f t="shared" si="0"/>
        <v>53</v>
      </c>
      <c r="J57" s="19">
        <v>113</v>
      </c>
      <c r="K57" s="20"/>
      <c r="L57" s="20"/>
      <c r="M57" s="20"/>
      <c r="N57" s="20"/>
      <c r="O57" s="20"/>
      <c r="P57" s="20"/>
      <c r="Q57" s="21">
        <f>IF($I57="","",IFERROR(INDEX(_玩家曲线!$H$2:$H$286,MATCH($I57,_玩家曲线!$A$2:$A$286,0)),""))</f>
        <v>190169.40825282</v>
      </c>
      <c r="R57" s="21">
        <f>IF($I57="","",IFERROR(INDEX(_玩家曲线!$I$2:$I$286,MATCH($I57,_玩家曲线!$A$2:$A$286,0)),""))</f>
        <v>392591.438944191</v>
      </c>
      <c r="S57" s="21">
        <f>IF(OR($J57="",$F57="不适用"),"",IFERROR(INDEX(_怪物模型!$D$2:$D$4501,MATCH(INT($J57)&amp;"|"&amp;$F57,_怪物模型!$A$2:$A$4501,0))*IF($K57="",1,$K57),""))</f>
        <v>45377</v>
      </c>
      <c r="T57" s="21">
        <f>IF(OR($J57="",$F57="不适用"),"",IFERROR(INDEX(_怪物模型!$E$2:$E$4501,MATCH(INT($J57)&amp;"|"&amp;$F57,_怪物模型!$A$2:$A$4501,0))*IF($L57="",1,$L57),""))</f>
        <v>8169</v>
      </c>
      <c r="U57" s="21">
        <f>IF(OR($J57="",$F57="不适用"),"",IFERROR(INDEX(_怪物模型!$F$2:$F$4501,MATCH(INT($J57)&amp;"|"&amp;$F57,_怪物模型!$A$2:$A$4501,0))*IF($M57="",1,$M57),""))</f>
        <v>9179</v>
      </c>
      <c r="V57" s="22">
        <f t="shared" si="1"/>
        <v>0.276650893637542</v>
      </c>
      <c r="W57" s="23">
        <f t="shared" si="2"/>
        <v>62731.8117916667</v>
      </c>
      <c r="X57" s="23">
        <f t="shared" si="3"/>
        <v>0.329873308057351</v>
      </c>
      <c r="Y57" s="23">
        <f t="shared" si="4"/>
        <v>48.0586900409097</v>
      </c>
      <c r="Z57" s="24" t="str">
        <f t="shared" si="5"/>
        <v/>
      </c>
      <c r="AA57" s="6" t="str">
        <f t="shared" si="6"/>
        <v>已计算</v>
      </c>
      <c r="AB57" s="6" t="str">
        <f t="shared" si="7"/>
        <v>有效</v>
      </c>
      <c r="AC57" s="6" t="str">
        <f t="shared" si="8"/>
        <v/>
      </c>
      <c r="AD57" s="7" t="s">
        <v>311</v>
      </c>
    </row>
    <row r="58" ht="25" customHeight="1" spans="1:30">
      <c r="A58" s="6" t="s">
        <v>145</v>
      </c>
      <c r="B58" s="6" t="s">
        <v>51</v>
      </c>
      <c r="C58" s="7" t="s">
        <v>269</v>
      </c>
      <c r="D58" s="7" t="s">
        <v>312</v>
      </c>
      <c r="E58" s="7" t="s">
        <v>313</v>
      </c>
      <c r="F58" s="6" t="s">
        <v>159</v>
      </c>
      <c r="G58" s="16">
        <v>54</v>
      </c>
      <c r="H58" s="17"/>
      <c r="I58" s="18">
        <f t="shared" si="0"/>
        <v>54</v>
      </c>
      <c r="J58" s="19">
        <v>117</v>
      </c>
      <c r="K58" s="20"/>
      <c r="L58" s="20"/>
      <c r="M58" s="20"/>
      <c r="N58" s="20"/>
      <c r="O58" s="20"/>
      <c r="P58" s="20"/>
      <c r="Q58" s="21">
        <f>IF($I58="","",IFERROR(INDEX(_玩家曲线!$H$2:$H$286,MATCH($I58,_玩家曲线!$A$2:$A$286,0)),""))</f>
        <v>198278.838059359</v>
      </c>
      <c r="R58" s="21">
        <f>IF($I58="","",IFERROR(INDEX(_玩家曲线!$I$2:$I$286,MATCH($I58,_玩家曲线!$A$2:$A$286,0)),""))</f>
        <v>405824.713797907</v>
      </c>
      <c r="S58" s="21">
        <f>IF(OR($J58="",$F58="不适用"),"",IFERROR(INDEX(_怪物模型!$D$2:$D$4501,MATCH(INT($J58)&amp;"|"&amp;$F58,_怪物模型!$A$2:$A$4501,0))*IF($K58="",1,$K58),""))</f>
        <v>4579442</v>
      </c>
      <c r="T58" s="21">
        <f>IF(OR($J58="",$F58="不适用"),"",IFERROR(INDEX(_怪物模型!$E$2:$E$4501,MATCH(INT($J58)&amp;"|"&amp;$F58,_怪物模型!$A$2:$A$4501,0))*IF($L58="",1,$L58),""))</f>
        <v>8664</v>
      </c>
      <c r="U58" s="21">
        <f>IF(OR($J58="",$F58="不适用"),"",IFERROR(INDEX(_怪物模型!$F$2:$F$4501,MATCH(INT($J58)&amp;"|"&amp;$F58,_怪物模型!$A$2:$A$4501,0))*IF($M58="",1,$M58),""))</f>
        <v>9547</v>
      </c>
      <c r="V58" s="22">
        <f t="shared" si="1"/>
        <v>0.284585804990014</v>
      </c>
      <c r="W58" s="23">
        <f t="shared" si="2"/>
        <v>6401105.86558333</v>
      </c>
      <c r="X58" s="23">
        <f t="shared" si="3"/>
        <v>32.2833537266696</v>
      </c>
      <c r="Y58" s="23">
        <f t="shared" si="4"/>
        <v>46.8403409277363</v>
      </c>
      <c r="Z58" s="24" t="str">
        <f t="shared" si="5"/>
        <v/>
      </c>
      <c r="AA58" s="6" t="str">
        <f t="shared" si="6"/>
        <v>已计算</v>
      </c>
      <c r="AB58" s="6" t="str">
        <f t="shared" si="7"/>
        <v>有效</v>
      </c>
      <c r="AC58" s="6" t="str">
        <f t="shared" si="8"/>
        <v/>
      </c>
      <c r="AD58" s="7" t="s">
        <v>314</v>
      </c>
    </row>
    <row r="59" ht="25" customHeight="1" spans="1:30">
      <c r="A59" s="6" t="s">
        <v>145</v>
      </c>
      <c r="B59" s="6" t="s">
        <v>51</v>
      </c>
      <c r="C59" s="7" t="s">
        <v>315</v>
      </c>
      <c r="D59" s="7" t="s">
        <v>316</v>
      </c>
      <c r="E59" s="7" t="s">
        <v>317</v>
      </c>
      <c r="F59" s="6" t="s">
        <v>149</v>
      </c>
      <c r="G59" s="16">
        <v>55</v>
      </c>
      <c r="H59" s="17"/>
      <c r="I59" s="18">
        <f t="shared" si="0"/>
        <v>55</v>
      </c>
      <c r="J59" s="19">
        <v>117</v>
      </c>
      <c r="K59" s="20"/>
      <c r="L59" s="20"/>
      <c r="M59" s="20"/>
      <c r="N59" s="20"/>
      <c r="O59" s="20"/>
      <c r="P59" s="20"/>
      <c r="Q59" s="21">
        <f>IF($I59="","",IFERROR(INDEX(_玩家曲线!$H$2:$H$286,MATCH($I59,_玩家曲线!$A$2:$A$286,0)),""))</f>
        <v>206483.05208378</v>
      </c>
      <c r="R59" s="21">
        <f>IF($I59="","",IFERROR(INDEX(_玩家曲线!$I$2:$I$286,MATCH($I59,_玩家曲线!$A$2:$A$286,0)),""))</f>
        <v>419082.205674144</v>
      </c>
      <c r="S59" s="21">
        <f>IF(OR($J59="",$F59="不适用"),"",IFERROR(INDEX(_怪物模型!$D$2:$D$4501,MATCH(INT($J59)&amp;"|"&amp;$F59,_怪物模型!$A$2:$A$4501,0))*IF($K59="",1,$K59),""))</f>
        <v>48636</v>
      </c>
      <c r="T59" s="21">
        <f>IF(OR($J59="",$F59="不适用"),"",IFERROR(INDEX(_怪物模型!$E$2:$E$4501,MATCH(INT($J59)&amp;"|"&amp;$F59,_怪物模型!$A$2:$A$4501,0))*IF($L59="",1,$L59),""))</f>
        <v>8664</v>
      </c>
      <c r="U59" s="21">
        <f>IF(OR($J59="",$F59="不适用"),"",IFERROR(INDEX(_怪物模型!$F$2:$F$4501,MATCH(INT($J59)&amp;"|"&amp;$F59,_怪物模型!$A$2:$A$4501,0))*IF($M59="",1,$M59),""))</f>
        <v>9547</v>
      </c>
      <c r="V59" s="22">
        <f t="shared" si="1"/>
        <v>0.284585804990014</v>
      </c>
      <c r="W59" s="23">
        <f t="shared" si="2"/>
        <v>67982.9955</v>
      </c>
      <c r="X59" s="23">
        <f t="shared" si="3"/>
        <v>0.329242496243305</v>
      </c>
      <c r="Y59" s="23">
        <f t="shared" si="4"/>
        <v>48.3705223538947</v>
      </c>
      <c r="Z59" s="24" t="str">
        <f t="shared" si="5"/>
        <v/>
      </c>
      <c r="AA59" s="6" t="str">
        <f t="shared" si="6"/>
        <v>已计算</v>
      </c>
      <c r="AB59" s="6" t="str">
        <f t="shared" si="7"/>
        <v>有效</v>
      </c>
      <c r="AC59" s="6" t="str">
        <f t="shared" si="8"/>
        <v/>
      </c>
      <c r="AD59" s="7" t="s">
        <v>318</v>
      </c>
    </row>
    <row r="60" ht="25" customHeight="1" spans="1:30">
      <c r="A60" s="6" t="s">
        <v>145</v>
      </c>
      <c r="B60" s="6" t="s">
        <v>51</v>
      </c>
      <c r="C60" s="7" t="s">
        <v>315</v>
      </c>
      <c r="D60" s="7" t="s">
        <v>319</v>
      </c>
      <c r="E60" s="7" t="s">
        <v>320</v>
      </c>
      <c r="F60" s="6" t="s">
        <v>149</v>
      </c>
      <c r="G60" s="16">
        <v>56</v>
      </c>
      <c r="H60" s="17"/>
      <c r="I60" s="18">
        <f t="shared" si="0"/>
        <v>56</v>
      </c>
      <c r="J60" s="19">
        <v>119</v>
      </c>
      <c r="K60" s="20"/>
      <c r="L60" s="20"/>
      <c r="M60" s="20"/>
      <c r="N60" s="20"/>
      <c r="O60" s="20"/>
      <c r="P60" s="20"/>
      <c r="Q60" s="21">
        <f>IF($I60="","",IFERROR(INDEX(_玩家曲线!$H$2:$H$286,MATCH($I60,_玩家曲线!$A$2:$A$286,0)),""))</f>
        <v>214776.800891683</v>
      </c>
      <c r="R60" s="21">
        <f>IF($I60="","",IFERROR(INDEX(_玩家曲线!$I$2:$I$286,MATCH($I60,_玩家曲线!$A$2:$A$286,0)),""))</f>
        <v>432356.860699889</v>
      </c>
      <c r="S60" s="21">
        <f>IF(OR($J60="",$F60="不适用"),"",IFERROR(INDEX(_怪物模型!$D$2:$D$4501,MATCH(INT($J60)&amp;"|"&amp;$F60,_怪物模型!$A$2:$A$4501,0))*IF($K60="",1,$K60),""))</f>
        <v>50323</v>
      </c>
      <c r="T60" s="21">
        <f>IF(OR($J60="",$F60="不适用"),"",IFERROR(INDEX(_怪物模型!$E$2:$E$4501,MATCH(INT($J60)&amp;"|"&amp;$F60,_怪物模型!$A$2:$A$4501,0))*IF($L60="",1,$L60),""))</f>
        <v>8919</v>
      </c>
      <c r="U60" s="21">
        <f>IF(OR($J60="",$F60="不适用"),"",IFERROR(INDEX(_怪物模型!$F$2:$F$4501,MATCH(INT($J60)&amp;"|"&amp;$F60,_怪物模型!$A$2:$A$4501,0))*IF($M60="",1,$M60),""))</f>
        <v>9732</v>
      </c>
      <c r="V60" s="22">
        <f t="shared" si="1"/>
        <v>0.288509427250089</v>
      </c>
      <c r="W60" s="23">
        <f t="shared" si="2"/>
        <v>70728.9765</v>
      </c>
      <c r="X60" s="23">
        <f t="shared" si="3"/>
        <v>0.329313856088537</v>
      </c>
      <c r="Y60" s="23">
        <f t="shared" si="4"/>
        <v>48.4759346002791</v>
      </c>
      <c r="Z60" s="24" t="str">
        <f t="shared" si="5"/>
        <v/>
      </c>
      <c r="AA60" s="6" t="str">
        <f t="shared" si="6"/>
        <v>已计算</v>
      </c>
      <c r="AB60" s="6" t="str">
        <f t="shared" si="7"/>
        <v>有效</v>
      </c>
      <c r="AC60" s="6" t="str">
        <f t="shared" si="8"/>
        <v/>
      </c>
      <c r="AD60" s="7" t="s">
        <v>321</v>
      </c>
    </row>
    <row r="61" ht="25" customHeight="1" spans="1:30">
      <c r="A61" s="6" t="s">
        <v>145</v>
      </c>
      <c r="B61" s="6" t="s">
        <v>51</v>
      </c>
      <c r="C61" s="7" t="s">
        <v>315</v>
      </c>
      <c r="D61" s="7" t="s">
        <v>322</v>
      </c>
      <c r="E61" s="7" t="s">
        <v>323</v>
      </c>
      <c r="F61" s="6" t="s">
        <v>149</v>
      </c>
      <c r="G61" s="16">
        <v>57</v>
      </c>
      <c r="H61" s="17"/>
      <c r="I61" s="18">
        <f t="shared" si="0"/>
        <v>57</v>
      </c>
      <c r="J61" s="19">
        <v>120</v>
      </c>
      <c r="K61" s="20"/>
      <c r="L61" s="20"/>
      <c r="M61" s="20"/>
      <c r="N61" s="20"/>
      <c r="O61" s="20"/>
      <c r="P61" s="20"/>
      <c r="Q61" s="21">
        <f>IF($I61="","",IFERROR(INDEX(_玩家曲线!$H$2:$H$286,MATCH($I61,_玩家曲线!$A$2:$A$286,0)),""))</f>
        <v>223154.836050111</v>
      </c>
      <c r="R61" s="21">
        <f>IF($I61="","",IFERROR(INDEX(_玩家曲线!$I$2:$I$286,MATCH($I61,_玩家曲线!$A$2:$A$286,0)),""))</f>
        <v>445641.839799069</v>
      </c>
      <c r="S61" s="21">
        <f>IF(OR($J61="",$F61="不适用"),"",IFERROR(INDEX(_怪物模型!$D$2:$D$4501,MATCH(INT($J61)&amp;"|"&amp;$F61,_怪物模型!$A$2:$A$4501,0))*IF($K61="",1,$K61),""))</f>
        <v>51181</v>
      </c>
      <c r="T61" s="21">
        <f>IF(OR($J61="",$F61="不适用"),"",IFERROR(INDEX(_怪物模型!$E$2:$E$4501,MATCH(INT($J61)&amp;"|"&amp;$F61,_怪物模型!$A$2:$A$4501,0))*IF($L61="",1,$L61),""))</f>
        <v>9047</v>
      </c>
      <c r="U61" s="21">
        <f>IF(OR($J61="",$F61="不适用"),"",IFERROR(INDEX(_怪物模型!$F$2:$F$4501,MATCH(INT($J61)&amp;"|"&amp;$F61,_怪物模型!$A$2:$A$4501,0))*IF($M61="",1,$M61),""))</f>
        <v>9825</v>
      </c>
      <c r="V61" s="22">
        <f t="shared" si="1"/>
        <v>0.290465631929047</v>
      </c>
      <c r="W61" s="23">
        <f t="shared" si="2"/>
        <v>72133.221875</v>
      </c>
      <c r="X61" s="23">
        <f t="shared" si="3"/>
        <v>0.323242924741286</v>
      </c>
      <c r="Y61" s="23">
        <f t="shared" si="4"/>
        <v>49.2585210344942</v>
      </c>
      <c r="Z61" s="24" t="str">
        <f t="shared" si="5"/>
        <v/>
      </c>
      <c r="AA61" s="6" t="str">
        <f t="shared" si="6"/>
        <v>已计算</v>
      </c>
      <c r="AB61" s="6" t="str">
        <f t="shared" si="7"/>
        <v>有效</v>
      </c>
      <c r="AC61" s="6" t="str">
        <f t="shared" si="8"/>
        <v/>
      </c>
      <c r="AD61" s="7" t="s">
        <v>324</v>
      </c>
    </row>
    <row r="62" ht="25" customHeight="1" spans="1:30">
      <c r="A62" s="6" t="s">
        <v>145</v>
      </c>
      <c r="B62" s="6" t="s">
        <v>51</v>
      </c>
      <c r="C62" s="7" t="s">
        <v>315</v>
      </c>
      <c r="D62" s="7" t="s">
        <v>325</v>
      </c>
      <c r="E62" s="7" t="s">
        <v>326</v>
      </c>
      <c r="F62" s="6" t="s">
        <v>149</v>
      </c>
      <c r="G62" s="16">
        <v>58</v>
      </c>
      <c r="H62" s="17"/>
      <c r="I62" s="18">
        <f t="shared" si="0"/>
        <v>58</v>
      </c>
      <c r="J62" s="19">
        <v>122</v>
      </c>
      <c r="K62" s="20"/>
      <c r="L62" s="20"/>
      <c r="M62" s="20"/>
      <c r="N62" s="20"/>
      <c r="O62" s="20"/>
      <c r="P62" s="20"/>
      <c r="Q62" s="21">
        <f>IF($I62="","",IFERROR(INDEX(_玩家曲线!$H$2:$H$286,MATCH($I62,_玩家曲线!$A$2:$A$286,0)),""))</f>
        <v>231611.919824203</v>
      </c>
      <c r="R62" s="21">
        <f>IF($I62="","",IFERROR(INDEX(_玩家曲线!$I$2:$I$286,MATCH($I62,_玩家曲线!$A$2:$A$286,0)),""))</f>
        <v>458930.518770513</v>
      </c>
      <c r="S62" s="21">
        <f>IF(OR($J62="",$F62="不适用"),"",IFERROR(INDEX(_怪物模型!$D$2:$D$4501,MATCH(INT($J62)&amp;"|"&amp;$F62,_怪物模型!$A$2:$A$4501,0))*IF($K62="",1,$K62),""))</f>
        <v>52928</v>
      </c>
      <c r="T62" s="21">
        <f>IF(OR($J62="",$F62="不适用"),"",IFERROR(INDEX(_怪物模型!$E$2:$E$4501,MATCH(INT($J62)&amp;"|"&amp;$F62,_怪物模型!$A$2:$A$4501,0))*IF($L62="",1,$L62),""))</f>
        <v>9308</v>
      </c>
      <c r="U62" s="21">
        <f>IF(OR($J62="",$F62="不适用"),"",IFERROR(INDEX(_怪物模型!$F$2:$F$4501,MATCH(INT($J62)&amp;"|"&amp;$F62,_怪物模型!$A$2:$A$4501,0))*IF($M62="",1,$M62),""))</f>
        <v>10011</v>
      </c>
      <c r="V62" s="22">
        <f t="shared" si="1"/>
        <v>0.294345946899533</v>
      </c>
      <c r="W62" s="23">
        <f t="shared" si="2"/>
        <v>75005.592</v>
      </c>
      <c r="X62" s="23">
        <f t="shared" si="3"/>
        <v>0.32384167471575</v>
      </c>
      <c r="Y62" s="23">
        <f t="shared" si="4"/>
        <v>49.3049547454354</v>
      </c>
      <c r="Z62" s="24" t="str">
        <f t="shared" si="5"/>
        <v/>
      </c>
      <c r="AA62" s="6" t="str">
        <f t="shared" si="6"/>
        <v>已计算</v>
      </c>
      <c r="AB62" s="6" t="str">
        <f t="shared" si="7"/>
        <v>有效</v>
      </c>
      <c r="AC62" s="6" t="str">
        <f t="shared" si="8"/>
        <v/>
      </c>
      <c r="AD62" s="7" t="s">
        <v>327</v>
      </c>
    </row>
    <row r="63" ht="25" customHeight="1" spans="1:30">
      <c r="A63" s="6" t="s">
        <v>145</v>
      </c>
      <c r="B63" s="6" t="s">
        <v>51</v>
      </c>
      <c r="C63" s="7" t="s">
        <v>315</v>
      </c>
      <c r="D63" s="7" t="s">
        <v>328</v>
      </c>
      <c r="E63" s="7" t="s">
        <v>329</v>
      </c>
      <c r="F63" s="6" t="s">
        <v>149</v>
      </c>
      <c r="G63" s="16">
        <v>59</v>
      </c>
      <c r="H63" s="17"/>
      <c r="I63" s="18">
        <f t="shared" si="0"/>
        <v>59</v>
      </c>
      <c r="J63" s="19">
        <v>124</v>
      </c>
      <c r="K63" s="20"/>
      <c r="L63" s="20"/>
      <c r="M63" s="20"/>
      <c r="N63" s="20"/>
      <c r="O63" s="20"/>
      <c r="P63" s="20"/>
      <c r="Q63" s="21">
        <f>IF($I63="","",IFERROR(INDEX(_玩家曲线!$H$2:$H$286,MATCH($I63,_玩家曲线!$A$2:$A$286,0)),""))</f>
        <v>240142.834392223</v>
      </c>
      <c r="R63" s="21">
        <f>IF($I63="","",IFERROR(INDEX(_玩家曲线!$I$2:$I$286,MATCH($I63,_玩家曲线!$A$2:$A$286,0)),""))</f>
        <v>472216.487938281</v>
      </c>
      <c r="S63" s="21">
        <f>IF(OR($J63="",$F63="不适用"),"",IFERROR(INDEX(_怪物模型!$D$2:$D$4501,MATCH(INT($J63)&amp;"|"&amp;$F63,_怪物模型!$A$2:$A$4501,0))*IF($K63="",1,$K63),""))</f>
        <v>54715</v>
      </c>
      <c r="T63" s="21">
        <f>IF(OR($J63="",$F63="不适用"),"",IFERROR(INDEX(_怪物模型!$E$2:$E$4501,MATCH(INT($J63)&amp;"|"&amp;$F63,_怪物模型!$A$2:$A$4501,0))*IF($L63="",1,$L63),""))</f>
        <v>9573</v>
      </c>
      <c r="U63" s="21">
        <f>IF(OR($J63="",$F63="不适用"),"",IFERROR(INDEX(_怪物模型!$F$2:$F$4501,MATCH(INT($J63)&amp;"|"&amp;$F63,_怪物模型!$A$2:$A$4501,0))*IF($M63="",1,$M63),""))</f>
        <v>10198</v>
      </c>
      <c r="V63" s="22">
        <f t="shared" si="1"/>
        <v>0.298204573366864</v>
      </c>
      <c r="W63" s="23">
        <f t="shared" si="2"/>
        <v>77964.3154166667</v>
      </c>
      <c r="X63" s="23">
        <f t="shared" si="3"/>
        <v>0.324658096145098</v>
      </c>
      <c r="Y63" s="23">
        <f t="shared" si="4"/>
        <v>49.3279523595823</v>
      </c>
      <c r="Z63" s="24" t="str">
        <f t="shared" si="5"/>
        <v/>
      </c>
      <c r="AA63" s="6" t="str">
        <f t="shared" si="6"/>
        <v>已计算</v>
      </c>
      <c r="AB63" s="6" t="str">
        <f t="shared" si="7"/>
        <v>有效</v>
      </c>
      <c r="AC63" s="6" t="str">
        <f t="shared" si="8"/>
        <v/>
      </c>
      <c r="AD63" s="7" t="s">
        <v>330</v>
      </c>
    </row>
    <row r="64" ht="25" customHeight="1" spans="1:30">
      <c r="A64" s="6" t="s">
        <v>145</v>
      </c>
      <c r="B64" s="6" t="s">
        <v>51</v>
      </c>
      <c r="C64" s="7" t="s">
        <v>315</v>
      </c>
      <c r="D64" s="7" t="s">
        <v>331</v>
      </c>
      <c r="E64" s="7" t="s">
        <v>332</v>
      </c>
      <c r="F64" s="6" t="s">
        <v>149</v>
      </c>
      <c r="G64" s="16">
        <v>60</v>
      </c>
      <c r="H64" s="17"/>
      <c r="I64" s="18">
        <f t="shared" si="0"/>
        <v>60</v>
      </c>
      <c r="J64" s="19">
        <v>126</v>
      </c>
      <c r="K64" s="20"/>
      <c r="L64" s="20"/>
      <c r="M64" s="20"/>
      <c r="N64" s="20"/>
      <c r="O64" s="20"/>
      <c r="P64" s="20"/>
      <c r="Q64" s="21">
        <f>IF($I64="","",IFERROR(INDEX(_玩家曲线!$H$2:$H$286,MATCH($I64,_玩家曲线!$A$2:$A$286,0)),""))</f>
        <v>248742.39057542</v>
      </c>
      <c r="R64" s="21">
        <f>IF($I64="","",IFERROR(INDEX(_玩家曲线!$I$2:$I$286,MATCH($I64,_玩家曲线!$A$2:$A$286,0)),""))</f>
        <v>485493.551404958</v>
      </c>
      <c r="S64" s="21">
        <f>IF(OR($J64="",$F64="不适用"),"",IFERROR(INDEX(_怪物模型!$D$2:$D$4501,MATCH(INT($J64)&amp;"|"&amp;$F64,_怪物模型!$A$2:$A$4501,0))*IF($K64="",1,$K64),""))</f>
        <v>56543</v>
      </c>
      <c r="T64" s="21">
        <f>IF(OR($J64="",$F64="不适用"),"",IFERROR(INDEX(_怪物模型!$E$2:$E$4501,MATCH(INT($J64)&amp;"|"&amp;$F64,_怪物模型!$A$2:$A$4501,0))*IF($L64="",1,$L64),""))</f>
        <v>9843</v>
      </c>
      <c r="U64" s="21">
        <f>IF(OR($J64="",$F64="不适用"),"",IFERROR(INDEX(_怪物模型!$F$2:$F$4501,MATCH(INT($J64)&amp;"|"&amp;$F64,_怪物模型!$A$2:$A$4501,0))*IF($M64="",1,$M64),""))</f>
        <v>10386</v>
      </c>
      <c r="V64" s="22">
        <f t="shared" si="1"/>
        <v>0.302041528529053</v>
      </c>
      <c r="W64" s="23">
        <f t="shared" si="2"/>
        <v>81011.98325</v>
      </c>
      <c r="X64" s="23">
        <f t="shared" si="3"/>
        <v>0.325686277528304</v>
      </c>
      <c r="Y64" s="23">
        <f t="shared" si="4"/>
        <v>49.3237378243379</v>
      </c>
      <c r="Z64" s="24" t="str">
        <f t="shared" si="5"/>
        <v/>
      </c>
      <c r="AA64" s="6" t="str">
        <f t="shared" si="6"/>
        <v>已计算</v>
      </c>
      <c r="AB64" s="6" t="str">
        <f t="shared" si="7"/>
        <v>有效</v>
      </c>
      <c r="AC64" s="6" t="str">
        <f t="shared" si="8"/>
        <v/>
      </c>
      <c r="AD64" s="7" t="s">
        <v>333</v>
      </c>
    </row>
    <row r="65" ht="25" customHeight="1" spans="1:30">
      <c r="A65" s="6" t="s">
        <v>145</v>
      </c>
      <c r="B65" s="6" t="s">
        <v>51</v>
      </c>
      <c r="C65" s="7" t="s">
        <v>315</v>
      </c>
      <c r="D65" s="7" t="s">
        <v>334</v>
      </c>
      <c r="E65" s="7" t="s">
        <v>335</v>
      </c>
      <c r="F65" s="6" t="s">
        <v>149</v>
      </c>
      <c r="G65" s="16">
        <v>61</v>
      </c>
      <c r="H65" s="17"/>
      <c r="I65" s="18">
        <f t="shared" si="0"/>
        <v>61</v>
      </c>
      <c r="J65" s="19">
        <v>128</v>
      </c>
      <c r="K65" s="20"/>
      <c r="L65" s="20"/>
      <c r="M65" s="20"/>
      <c r="N65" s="20"/>
      <c r="O65" s="20"/>
      <c r="P65" s="20"/>
      <c r="Q65" s="21">
        <f>IF($I65="","",IFERROR(INDEX(_玩家曲线!$H$2:$H$286,MATCH($I65,_玩家曲线!$A$2:$A$286,0)),""))</f>
        <v>257405.436081673</v>
      </c>
      <c r="R65" s="21">
        <f>IF($I65="","",IFERROR(INDEX(_玩家曲线!$I$2:$I$286,MATCH($I65,_玩家曲线!$A$2:$A$286,0)),""))</f>
        <v>498755.725937324</v>
      </c>
      <c r="S65" s="21">
        <f>IF(OR($J65="",$F65="不适用"),"",IFERROR(INDEX(_怪物模型!$D$2:$D$4501,MATCH(INT($J65)&amp;"|"&amp;$F65,_怪物模型!$A$2:$A$4501,0))*IF($K65="",1,$K65),""))</f>
        <v>58413</v>
      </c>
      <c r="T65" s="21">
        <f>IF(OR($J65="",$F65="不适用"),"",IFERROR(INDEX(_怪物模型!$E$2:$E$4501,MATCH(INT($J65)&amp;"|"&amp;$F65,_怪物模型!$A$2:$A$4501,0))*IF($L65="",1,$L65),""))</f>
        <v>10116</v>
      </c>
      <c r="U65" s="21">
        <f>IF(OR($J65="",$F65="不适用"),"",IFERROR(INDEX(_怪物模型!$F$2:$F$4501,MATCH(INT($J65)&amp;"|"&amp;$F65,_怪物模型!$A$2:$A$4501,0))*IF($M65="",1,$M65),""))</f>
        <v>10574</v>
      </c>
      <c r="V65" s="22">
        <f t="shared" si="1"/>
        <v>0.305836755943773</v>
      </c>
      <c r="W65" s="23">
        <f t="shared" si="2"/>
        <v>84148.79425</v>
      </c>
      <c r="X65" s="23">
        <f t="shared" si="3"/>
        <v>0.326911488471052</v>
      </c>
      <c r="Y65" s="23">
        <f t="shared" si="4"/>
        <v>49.3036502508229</v>
      </c>
      <c r="Z65" s="24" t="str">
        <f t="shared" si="5"/>
        <v/>
      </c>
      <c r="AA65" s="6" t="str">
        <f t="shared" si="6"/>
        <v>已计算</v>
      </c>
      <c r="AB65" s="6" t="str">
        <f t="shared" si="7"/>
        <v>有效</v>
      </c>
      <c r="AC65" s="6" t="str">
        <f t="shared" si="8"/>
        <v/>
      </c>
      <c r="AD65" s="7" t="s">
        <v>336</v>
      </c>
    </row>
    <row r="66" ht="25" customHeight="1" spans="1:30">
      <c r="A66" s="6" t="s">
        <v>145</v>
      </c>
      <c r="B66" s="6" t="s">
        <v>51</v>
      </c>
      <c r="C66" s="7" t="s">
        <v>315</v>
      </c>
      <c r="D66" s="7" t="s">
        <v>337</v>
      </c>
      <c r="E66" s="7" t="s">
        <v>338</v>
      </c>
      <c r="F66" s="6" t="s">
        <v>149</v>
      </c>
      <c r="G66" s="16">
        <v>62</v>
      </c>
      <c r="H66" s="17"/>
      <c r="I66" s="18">
        <f t="shared" si="0"/>
        <v>62</v>
      </c>
      <c r="J66" s="19">
        <v>129</v>
      </c>
      <c r="K66" s="20"/>
      <c r="L66" s="20"/>
      <c r="M66" s="20"/>
      <c r="N66" s="20"/>
      <c r="O66" s="20"/>
      <c r="P66" s="20"/>
      <c r="Q66" s="21">
        <f>IF($I66="","",IFERROR(INDEX(_玩家曲线!$H$2:$H$286,MATCH($I66,_玩家曲线!$A$2:$A$286,0)),""))</f>
        <v>266126.863264163</v>
      </c>
      <c r="R66" s="21">
        <f>IF($I66="","",IFERROR(INDEX(_玩家曲线!$I$2:$I$286,MATCH($I66,_玩家曲线!$A$2:$A$286,0)),""))</f>
        <v>511997.239512576</v>
      </c>
      <c r="S66" s="21">
        <f>IF(OR($J66="",$F66="不适用"),"",IFERROR(INDEX(_怪物模型!$D$2:$D$4501,MATCH(INT($J66)&amp;"|"&amp;$F66,_怪物模型!$A$2:$A$4501,0))*IF($K66="",1,$K66),""))</f>
        <v>59364</v>
      </c>
      <c r="T66" s="21">
        <f>IF(OR($J66="",$F66="不适用"),"",IFERROR(INDEX(_怪物模型!$E$2:$E$4501,MATCH(INT($J66)&amp;"|"&amp;$F66,_怪物模型!$A$2:$A$4501,0))*IF($L66="",1,$L66),""))</f>
        <v>10255</v>
      </c>
      <c r="U66" s="21">
        <f>IF(OR($J66="",$F66="不适用"),"",IFERROR(INDEX(_怪物模型!$F$2:$F$4501,MATCH(INT($J66)&amp;"|"&amp;$F66,_怪物模型!$A$2:$A$4501,0))*IF($M66="",1,$M66),""))</f>
        <v>10669</v>
      </c>
      <c r="V66" s="22">
        <f t="shared" si="1"/>
        <v>0.307738902189276</v>
      </c>
      <c r="W66" s="23">
        <f t="shared" si="2"/>
        <v>85753.7715</v>
      </c>
      <c r="X66" s="23">
        <f t="shared" si="3"/>
        <v>0.322228919125985</v>
      </c>
      <c r="Y66" s="23">
        <f t="shared" si="4"/>
        <v>49.9265957593931</v>
      </c>
      <c r="Z66" s="24" t="str">
        <f t="shared" si="5"/>
        <v/>
      </c>
      <c r="AA66" s="6" t="str">
        <f t="shared" si="6"/>
        <v>已计算</v>
      </c>
      <c r="AB66" s="6" t="str">
        <f t="shared" si="7"/>
        <v>有效</v>
      </c>
      <c r="AC66" s="6" t="str">
        <f t="shared" si="8"/>
        <v/>
      </c>
      <c r="AD66" s="7" t="s">
        <v>339</v>
      </c>
    </row>
    <row r="67" ht="25" customHeight="1" spans="1:30">
      <c r="A67" s="6" t="s">
        <v>145</v>
      </c>
      <c r="B67" s="6" t="s">
        <v>51</v>
      </c>
      <c r="C67" s="7" t="s">
        <v>315</v>
      </c>
      <c r="D67" s="7" t="s">
        <v>340</v>
      </c>
      <c r="E67" s="7" t="s">
        <v>341</v>
      </c>
      <c r="F67" s="6" t="s">
        <v>149</v>
      </c>
      <c r="G67" s="16">
        <v>63</v>
      </c>
      <c r="H67" s="17"/>
      <c r="I67" s="18">
        <f t="shared" si="0"/>
        <v>63</v>
      </c>
      <c r="J67" s="19">
        <v>131</v>
      </c>
      <c r="K67" s="20"/>
      <c r="L67" s="20"/>
      <c r="M67" s="20"/>
      <c r="N67" s="20"/>
      <c r="O67" s="20"/>
      <c r="P67" s="20"/>
      <c r="Q67" s="21">
        <f>IF($I67="","",IFERROR(INDEX(_玩家曲线!$H$2:$H$286,MATCH($I67,_玩家曲线!$A$2:$A$286,0)),""))</f>
        <v>274901.616398354</v>
      </c>
      <c r="R67" s="21">
        <f>IF($I67="","",IFERROR(INDEX(_玩家曲线!$I$2:$I$286,MATCH($I67,_玩家曲线!$A$2:$A$286,0)),""))</f>
        <v>525212.529552026</v>
      </c>
      <c r="S67" s="21">
        <f>IF(OR($J67="",$F67="不适用"),"",IFERROR(INDEX(_怪物模型!$D$2:$D$4501,MATCH(INT($J67)&amp;"|"&amp;$F67,_怪物模型!$A$2:$A$4501,0))*IF($K67="",1,$K67),""))</f>
        <v>61297</v>
      </c>
      <c r="T67" s="21">
        <f>IF(OR($J67="",$F67="不适用"),"",IFERROR(INDEX(_怪物模型!$E$2:$E$4501,MATCH(INT($J67)&amp;"|"&amp;$F67,_怪物模型!$A$2:$A$4501,0))*IF($L67="",1,$L67),""))</f>
        <v>10536</v>
      </c>
      <c r="U67" s="21">
        <f>IF(OR($J67="",$F67="不适用"),"",IFERROR(INDEX(_怪物模型!$F$2:$F$4501,MATCH(INT($J67)&amp;"|"&amp;$F67,_怪物模型!$A$2:$A$4501,0))*IF($M67="",1,$M67),""))</f>
        <v>10858</v>
      </c>
      <c r="V67" s="22">
        <f t="shared" si="1"/>
        <v>0.311492340352286</v>
      </c>
      <c r="W67" s="23">
        <f t="shared" si="2"/>
        <v>89028.7844166667</v>
      </c>
      <c r="X67" s="23">
        <f t="shared" si="3"/>
        <v>0.323856896816703</v>
      </c>
      <c r="Y67" s="23">
        <f t="shared" si="4"/>
        <v>49.8493289248316</v>
      </c>
      <c r="Z67" s="24" t="str">
        <f t="shared" si="5"/>
        <v/>
      </c>
      <c r="AA67" s="6" t="str">
        <f t="shared" si="6"/>
        <v>已计算</v>
      </c>
      <c r="AB67" s="6" t="str">
        <f t="shared" si="7"/>
        <v>有效</v>
      </c>
      <c r="AC67" s="6" t="str">
        <f t="shared" si="8"/>
        <v/>
      </c>
      <c r="AD67" s="7" t="s">
        <v>342</v>
      </c>
    </row>
    <row r="68" ht="25" customHeight="1" spans="1:30">
      <c r="A68" s="6" t="s">
        <v>145</v>
      </c>
      <c r="B68" s="6" t="s">
        <v>51</v>
      </c>
      <c r="C68" s="7" t="s">
        <v>315</v>
      </c>
      <c r="D68" s="7" t="s">
        <v>343</v>
      </c>
      <c r="E68" s="7" t="s">
        <v>344</v>
      </c>
      <c r="F68" s="6" t="s">
        <v>149</v>
      </c>
      <c r="G68" s="16">
        <v>64</v>
      </c>
      <c r="H68" s="17"/>
      <c r="I68" s="18">
        <f t="shared" si="0"/>
        <v>64</v>
      </c>
      <c r="J68" s="19">
        <v>132</v>
      </c>
      <c r="K68" s="20"/>
      <c r="L68" s="20"/>
      <c r="M68" s="20"/>
      <c r="N68" s="20"/>
      <c r="O68" s="20"/>
      <c r="P68" s="20"/>
      <c r="Q68" s="21">
        <f>IF($I68="","",IFERROR(INDEX(_玩家曲线!$H$2:$H$286,MATCH($I68,_玩家曲线!$A$2:$A$286,0)),""))</f>
        <v>283724.698482439</v>
      </c>
      <c r="R68" s="21">
        <f>IF($I68="","",IFERROR(INDEX(_玩家曲线!$I$2:$I$286,MATCH($I68,_玩家曲线!$A$2:$A$286,0)),""))</f>
        <v>538396.240868028</v>
      </c>
      <c r="S68" s="21">
        <f>IF(OR($J68="",$F68="不适用"),"",IFERROR(INDEX(_怪物模型!$D$2:$D$4501,MATCH(INT($J68)&amp;"|"&amp;$F68,_怪物模型!$A$2:$A$4501,0))*IF($K68="",1,$K68),""))</f>
        <v>62280</v>
      </c>
      <c r="T68" s="21">
        <f>IF(OR($J68="",$F68="不适用"),"",IFERROR(INDEX(_怪物模型!$E$2:$E$4501,MATCH(INT($J68)&amp;"|"&amp;$F68,_怪物模型!$A$2:$A$4501,0))*IF($L68="",1,$L68),""))</f>
        <v>10678</v>
      </c>
      <c r="U68" s="21">
        <f>IF(OR($J68="",$F68="不适用"),"",IFERROR(INDEX(_怪物模型!$F$2:$F$4501,MATCH(INT($J68)&amp;"|"&amp;$F68,_怪物模型!$A$2:$A$4501,0))*IF($M68="",1,$M68),""))</f>
        <v>10953</v>
      </c>
      <c r="V68" s="22">
        <f t="shared" si="1"/>
        <v>0.313363659771693</v>
      </c>
      <c r="W68" s="23">
        <f t="shared" si="2"/>
        <v>90703.035</v>
      </c>
      <c r="X68" s="23">
        <f t="shared" si="3"/>
        <v>0.319686779068386</v>
      </c>
      <c r="Y68" s="23">
        <f t="shared" si="4"/>
        <v>50.4210751889893</v>
      </c>
      <c r="Z68" s="24" t="str">
        <f t="shared" si="5"/>
        <v/>
      </c>
      <c r="AA68" s="6" t="str">
        <f t="shared" si="6"/>
        <v>已计算</v>
      </c>
      <c r="AB68" s="6" t="str">
        <f t="shared" si="7"/>
        <v>有效</v>
      </c>
      <c r="AC68" s="6" t="str">
        <f t="shared" si="8"/>
        <v/>
      </c>
      <c r="AD68" s="7" t="s">
        <v>345</v>
      </c>
    </row>
    <row r="69" ht="25" customHeight="1" spans="1:30">
      <c r="A69" s="6" t="s">
        <v>145</v>
      </c>
      <c r="B69" s="6" t="s">
        <v>51</v>
      </c>
      <c r="C69" s="7" t="s">
        <v>315</v>
      </c>
      <c r="D69" s="7" t="s">
        <v>346</v>
      </c>
      <c r="E69" s="7" t="s">
        <v>347</v>
      </c>
      <c r="F69" s="6" t="s">
        <v>149</v>
      </c>
      <c r="G69" s="16">
        <v>65</v>
      </c>
      <c r="H69" s="17"/>
      <c r="I69" s="18">
        <f t="shared" ref="I69:I103" si="9">IF($H69="",$G69,$H69)</f>
        <v>65</v>
      </c>
      <c r="J69" s="19">
        <v>134</v>
      </c>
      <c r="K69" s="20"/>
      <c r="L69" s="20"/>
      <c r="M69" s="20"/>
      <c r="N69" s="20"/>
      <c r="O69" s="20"/>
      <c r="P69" s="20"/>
      <c r="Q69" s="21">
        <f>IF($I69="","",IFERROR(INDEX(_玩家曲线!$H$2:$H$286,MATCH($I69,_玩家曲线!$A$2:$A$286,0)),""))</f>
        <v>295803.386187631</v>
      </c>
      <c r="R69" s="21">
        <f>IF($I69="","",IFERROR(INDEX(_玩家曲线!$I$2:$I$286,MATCH($I69,_玩家曲线!$A$2:$A$286,0)),""))</f>
        <v>558813.590092965</v>
      </c>
      <c r="S69" s="21">
        <f>IF(OR($J69="",$F69="不适用"),"",IFERROR(INDEX(_怪物模型!$D$2:$D$4501,MATCH(INT($J69)&amp;"|"&amp;$F69,_怪物模型!$A$2:$A$4501,0))*IF($K69="",1,$K69),""))</f>
        <v>64279</v>
      </c>
      <c r="T69" s="21">
        <f>IF(OR($J69="",$F69="不适用"),"",IFERROR(INDEX(_怪物模型!$E$2:$E$4501,MATCH(INT($J69)&amp;"|"&amp;$F69,_怪物模型!$A$2:$A$4501,0))*IF($L69="",1,$L69),""))</f>
        <v>10965</v>
      </c>
      <c r="U69" s="21">
        <f>IF(OR($J69="",$F69="不适用"),"",IFERROR(INDEX(_怪物模型!$F$2:$F$4501,MATCH(INT($J69)&amp;"|"&amp;$F69,_怪物模型!$A$2:$A$4501,0))*IF($M69="",1,$M69),""))</f>
        <v>11144</v>
      </c>
      <c r="V69" s="22">
        <f t="shared" ref="V69:V103" si="10">IF($U69="","",MIN(0.75,$U69/($U69+24000)))</f>
        <v>0.317095379012065</v>
      </c>
      <c r="W69" s="23">
        <f t="shared" ref="W69:W103" si="11">IF($S69="","",$S69/(1-$V69)*IF($N69="",1,$N69))</f>
        <v>94125.8823333333</v>
      </c>
      <c r="X69" s="23">
        <f t="shared" ref="X69:X103" si="12">IF(OR($W69="",$Q69="",$Q69=0),"",$W69/$Q69)</f>
        <v>0.318204208364364</v>
      </c>
      <c r="Y69" s="23">
        <f t="shared" ref="Y69:Y103" si="13">IF(OR($R69="",$T69="",$T69=0),"",$R69/($T69*IF($O69="",1,$O69)))</f>
        <v>50.9633917093447</v>
      </c>
      <c r="Z69" s="24" t="str">
        <f t="shared" ref="Z69:Z103" si="14">IF(OR($X69="",$P69="",$P69=0),"",$X69/$P69)</f>
        <v/>
      </c>
      <c r="AA69" s="6" t="str">
        <f t="shared" ref="AA69:AA103" si="15">IF($J69="","待填怪物等级",IF(OR($I69="",$Q69=""),"待填对照关卡",IF($P69="","已计算",IF(AND($Y69&lt;&gt;"",$Y69&lt;$X69),"生存不成立",IF($Z69&lt;0.5,"碾压",IF($Z69&lt;0.8,"偏简单",IF($Z69&lt;=1.2,"适中",IF($Z69&lt;=1.5,"偏难","过难"))))))))</f>
        <v>已计算</v>
      </c>
      <c r="AB69" s="6" t="str">
        <f t="shared" ref="AB69:AB103" si="16">IF($J69="","待填",IF(AND(ISNUMBER($J69),$J69&gt;=1,$J69&lt;=500,MOD($J69,1)=0),"有效","超范围"))</f>
        <v>有效</v>
      </c>
      <c r="AC69" s="6" t="str">
        <f t="shared" ref="AC69:AC103" si="17">IF(OR($J69="",ROW()=5,$B69&lt;&gt;$B68,$J68=""),"",IF($J69&lt;$J68,"下降",""))</f>
        <v/>
      </c>
      <c r="AD69" s="7" t="s">
        <v>348</v>
      </c>
    </row>
    <row r="70" ht="25" customHeight="1" spans="1:30">
      <c r="A70" s="6" t="s">
        <v>145</v>
      </c>
      <c r="B70" s="6" t="s">
        <v>51</v>
      </c>
      <c r="C70" s="7" t="s">
        <v>315</v>
      </c>
      <c r="D70" s="7" t="s">
        <v>349</v>
      </c>
      <c r="E70" s="7" t="s">
        <v>350</v>
      </c>
      <c r="F70" s="6" t="s">
        <v>149</v>
      </c>
      <c r="G70" s="16">
        <v>66</v>
      </c>
      <c r="H70" s="17"/>
      <c r="I70" s="18">
        <f t="shared" si="9"/>
        <v>66</v>
      </c>
      <c r="J70" s="19">
        <v>136</v>
      </c>
      <c r="K70" s="20"/>
      <c r="L70" s="20"/>
      <c r="M70" s="20"/>
      <c r="N70" s="20"/>
      <c r="O70" s="20"/>
      <c r="P70" s="20"/>
      <c r="Q70" s="21">
        <f>IF($I70="","",IFERROR(INDEX(_玩家曲线!$H$2:$H$286,MATCH($I70,_玩家曲线!$A$2:$A$286,0)),""))</f>
        <v>307981.053911532</v>
      </c>
      <c r="R70" s="21">
        <f>IF($I70="","",IFERROR(INDEX(_玩家曲线!$I$2:$I$286,MATCH($I70,_玩家曲线!$A$2:$A$286,0)),""))</f>
        <v>579258.631963774</v>
      </c>
      <c r="S70" s="21">
        <f>IF(OR($J70="",$F70="不适用"),"",IFERROR(INDEX(_怪物模型!$D$2:$D$4501,MATCH(INT($J70)&amp;"|"&amp;$F70,_怪物模型!$A$2:$A$4501,0))*IF($K70="",1,$K70),""))</f>
        <v>66323</v>
      </c>
      <c r="T70" s="21">
        <f>IF(OR($J70="",$F70="不适用"),"",IFERROR(INDEX(_怪物模型!$E$2:$E$4501,MATCH(INT($J70)&amp;"|"&amp;$F70,_怪物模型!$A$2:$A$4501,0))*IF($L70="",1,$L70),""))</f>
        <v>11258</v>
      </c>
      <c r="U70" s="21">
        <f>IF(OR($J70="",$F70="不适用"),"",IFERROR(INDEX(_怪物模型!$F$2:$F$4501,MATCH(INT($J70)&amp;"|"&amp;$F70,_怪物模型!$A$2:$A$4501,0))*IF($M70="",1,$M70),""))</f>
        <v>11335</v>
      </c>
      <c r="V70" s="22">
        <f t="shared" si="10"/>
        <v>0.320786755341729</v>
      </c>
      <c r="W70" s="23">
        <f t="shared" si="11"/>
        <v>97646.8002083333</v>
      </c>
      <c r="X70" s="23">
        <f t="shared" si="12"/>
        <v>0.317054568676106</v>
      </c>
      <c r="Y70" s="23">
        <f t="shared" si="13"/>
        <v>51.4530673266809</v>
      </c>
      <c r="Z70" s="24" t="str">
        <f t="shared" si="14"/>
        <v/>
      </c>
      <c r="AA70" s="6" t="str">
        <f t="shared" si="15"/>
        <v>已计算</v>
      </c>
      <c r="AB70" s="6" t="str">
        <f t="shared" si="16"/>
        <v>有效</v>
      </c>
      <c r="AC70" s="6" t="str">
        <f t="shared" si="17"/>
        <v/>
      </c>
      <c r="AD70" s="7" t="s">
        <v>351</v>
      </c>
    </row>
    <row r="71" ht="25" customHeight="1" spans="1:30">
      <c r="A71" s="6" t="s">
        <v>145</v>
      </c>
      <c r="B71" s="6" t="s">
        <v>51</v>
      </c>
      <c r="C71" s="7" t="s">
        <v>315</v>
      </c>
      <c r="D71" s="7" t="s">
        <v>352</v>
      </c>
      <c r="E71" s="7" t="s">
        <v>353</v>
      </c>
      <c r="F71" s="6" t="s">
        <v>149</v>
      </c>
      <c r="G71" s="16">
        <v>67</v>
      </c>
      <c r="H71" s="17"/>
      <c r="I71" s="18">
        <f t="shared" si="9"/>
        <v>67</v>
      </c>
      <c r="J71" s="19">
        <v>138</v>
      </c>
      <c r="K71" s="20"/>
      <c r="L71" s="20"/>
      <c r="M71" s="20"/>
      <c r="N71" s="20"/>
      <c r="O71" s="20"/>
      <c r="P71" s="20"/>
      <c r="Q71" s="21">
        <f>IF($I71="","",IFERROR(INDEX(_玩家曲线!$H$2:$H$286,MATCH($I71,_玩家曲线!$A$2:$A$286,0)),""))</f>
        <v>320250.012831974</v>
      </c>
      <c r="R71" s="21">
        <f>IF($I71="","",IFERROR(INDEX(_玩家曲线!$I$2:$I$286,MATCH($I71,_玩家曲线!$A$2:$A$286,0)),""))</f>
        <v>599719.62744581</v>
      </c>
      <c r="S71" s="21">
        <f>IF(OR($J71="",$F71="不适用"),"",IFERROR(INDEX(_怪物模型!$D$2:$D$4501,MATCH(INT($J71)&amp;"|"&amp;$F71,_怪物模型!$A$2:$A$4501,0))*IF($K71="",1,$K71),""))</f>
        <v>68411</v>
      </c>
      <c r="T71" s="21">
        <f>IF(OR($J71="",$F71="不适用"),"",IFERROR(INDEX(_怪物模型!$E$2:$E$4501,MATCH(INT($J71)&amp;"|"&amp;$F71,_怪物模型!$A$2:$A$4501,0))*IF($L71="",1,$L71),""))</f>
        <v>11554</v>
      </c>
      <c r="U71" s="21">
        <f>IF(OR($J71="",$F71="不适用"),"",IFERROR(INDEX(_怪物模型!$F$2:$F$4501,MATCH(INT($J71)&amp;"|"&amp;$F71,_怪物模型!$A$2:$A$4501,0))*IF($M71="",1,$M71),""))</f>
        <v>11528</v>
      </c>
      <c r="V71" s="22">
        <f t="shared" si="10"/>
        <v>0.324476469263679</v>
      </c>
      <c r="W71" s="23">
        <f t="shared" si="11"/>
        <v>101271.083666667</v>
      </c>
      <c r="X71" s="23">
        <f t="shared" si="12"/>
        <v>0.3162250729395</v>
      </c>
      <c r="Y71" s="23">
        <f t="shared" si="13"/>
        <v>51.9058012329765</v>
      </c>
      <c r="Z71" s="24" t="str">
        <f t="shared" si="14"/>
        <v/>
      </c>
      <c r="AA71" s="6" t="str">
        <f t="shared" si="15"/>
        <v>已计算</v>
      </c>
      <c r="AB71" s="6" t="str">
        <f t="shared" si="16"/>
        <v>有效</v>
      </c>
      <c r="AC71" s="6" t="str">
        <f t="shared" si="17"/>
        <v/>
      </c>
      <c r="AD71" s="7" t="s">
        <v>354</v>
      </c>
    </row>
    <row r="72" ht="25" customHeight="1" spans="1:30">
      <c r="A72" s="6" t="s">
        <v>145</v>
      </c>
      <c r="B72" s="6" t="s">
        <v>51</v>
      </c>
      <c r="C72" s="7" t="s">
        <v>315</v>
      </c>
      <c r="D72" s="7" t="s">
        <v>355</v>
      </c>
      <c r="E72" s="7" t="s">
        <v>356</v>
      </c>
      <c r="F72" s="6" t="s">
        <v>149</v>
      </c>
      <c r="G72" s="16">
        <v>68</v>
      </c>
      <c r="H72" s="17"/>
      <c r="I72" s="18">
        <f t="shared" si="9"/>
        <v>68</v>
      </c>
      <c r="J72" s="19">
        <v>139</v>
      </c>
      <c r="K72" s="20"/>
      <c r="L72" s="20"/>
      <c r="M72" s="20"/>
      <c r="N72" s="20"/>
      <c r="O72" s="20"/>
      <c r="P72" s="20"/>
      <c r="Q72" s="21">
        <f>IF($I72="","",IFERROR(INDEX(_玩家曲线!$H$2:$H$286,MATCH($I72,_玩家曲线!$A$2:$A$286,0)),""))</f>
        <v>332602.655231633</v>
      </c>
      <c r="R72" s="21">
        <f>IF($I72="","",IFERROR(INDEX(_玩家曲线!$I$2:$I$286,MATCH($I72,_玩家曲线!$A$2:$A$286,0)),""))</f>
        <v>620185.254330561</v>
      </c>
      <c r="S72" s="21">
        <f>IF(OR($J72="",$F72="不适用"),"",IFERROR(INDEX(_怪物模型!$D$2:$D$4501,MATCH(INT($J72)&amp;"|"&amp;$F72,_怪物模型!$A$2:$A$4501,0))*IF($K72="",1,$K72),""))</f>
        <v>69473</v>
      </c>
      <c r="T72" s="21">
        <f>IF(OR($J72="",$F72="不适用"),"",IFERROR(INDEX(_怪物模型!$E$2:$E$4501,MATCH(INT($J72)&amp;"|"&amp;$F72,_怪物模型!$A$2:$A$4501,0))*IF($L72="",1,$L72),""))</f>
        <v>11705</v>
      </c>
      <c r="U72" s="21">
        <f>IF(OR($J72="",$F72="不适用"),"",IFERROR(INDEX(_怪物模型!$F$2:$F$4501,MATCH(INT($J72)&amp;"|"&amp;$F72,_怪物模型!$A$2:$A$4501,0))*IF($M72="",1,$M72),""))</f>
        <v>11624</v>
      </c>
      <c r="V72" s="22">
        <f t="shared" si="10"/>
        <v>0.32629687850887</v>
      </c>
      <c r="W72" s="23">
        <f t="shared" si="11"/>
        <v>103121.089666667</v>
      </c>
      <c r="X72" s="23">
        <f t="shared" si="12"/>
        <v>0.310042893658953</v>
      </c>
      <c r="Y72" s="23">
        <f t="shared" si="13"/>
        <v>52.984643684798</v>
      </c>
      <c r="Z72" s="24" t="str">
        <f t="shared" si="14"/>
        <v/>
      </c>
      <c r="AA72" s="6" t="str">
        <f t="shared" si="15"/>
        <v>已计算</v>
      </c>
      <c r="AB72" s="6" t="str">
        <f t="shared" si="16"/>
        <v>有效</v>
      </c>
      <c r="AC72" s="6" t="str">
        <f t="shared" si="17"/>
        <v/>
      </c>
      <c r="AD72" s="7" t="s">
        <v>357</v>
      </c>
    </row>
    <row r="73" ht="25" customHeight="1" spans="1:30">
      <c r="A73" s="6" t="s">
        <v>145</v>
      </c>
      <c r="B73" s="6" t="s">
        <v>51</v>
      </c>
      <c r="C73" s="7" t="s">
        <v>315</v>
      </c>
      <c r="D73" s="7" t="s">
        <v>358</v>
      </c>
      <c r="E73" s="7" t="s">
        <v>359</v>
      </c>
      <c r="F73" s="6" t="s">
        <v>159</v>
      </c>
      <c r="G73" s="16">
        <v>69</v>
      </c>
      <c r="H73" s="17"/>
      <c r="I73" s="18">
        <f t="shared" si="9"/>
        <v>69</v>
      </c>
      <c r="J73" s="19">
        <v>144</v>
      </c>
      <c r="K73" s="20"/>
      <c r="L73" s="20"/>
      <c r="M73" s="20"/>
      <c r="N73" s="20"/>
      <c r="O73" s="20"/>
      <c r="P73" s="20"/>
      <c r="Q73" s="21">
        <f>IF($I73="","",IFERROR(INDEX(_玩家曲线!$H$2:$H$286,MATCH($I73,_玩家曲线!$A$2:$A$286,0)),""))</f>
        <v>345031.464829745</v>
      </c>
      <c r="R73" s="21">
        <f>IF($I73="","",IFERROR(INDEX(_玩家曲线!$I$2:$I$286,MATCH($I73,_玩家曲线!$A$2:$A$286,0)),""))</f>
        <v>640644.603546045</v>
      </c>
      <c r="S73" s="21">
        <f>IF(OR($J73="",$F73="不适用"),"",IFERROR(INDEX(_怪物模型!$D$2:$D$4501,MATCH(INT($J73)&amp;"|"&amp;$F73,_怪物模型!$A$2:$A$4501,0))*IF($K73="",1,$K73),""))</f>
        <v>7399887</v>
      </c>
      <c r="T73" s="21">
        <f>IF(OR($J73="",$F73="不适用"),"",IFERROR(INDEX(_怪物模型!$E$2:$E$4501,MATCH(INT($J73)&amp;"|"&amp;$F73,_怪物模型!$A$2:$A$4501,0))*IF($L73="",1,$L73),""))</f>
        <v>12473</v>
      </c>
      <c r="U73" s="21">
        <f>IF(OR($J73="",$F73="不适用"),"",IFERROR(INDEX(_怪物模型!$F$2:$F$4501,MATCH(INT($J73)&amp;"|"&amp;$F73,_怪物模型!$A$2:$A$4501,0))*IF($M73="",1,$M73),""))</f>
        <v>12108</v>
      </c>
      <c r="V73" s="22">
        <f t="shared" si="10"/>
        <v>0.335327351279495</v>
      </c>
      <c r="W73" s="23">
        <f t="shared" si="11"/>
        <v>11133129.9915</v>
      </c>
      <c r="X73" s="23">
        <f t="shared" si="12"/>
        <v>32.2669991764189</v>
      </c>
      <c r="Y73" s="23">
        <f t="shared" si="13"/>
        <v>51.3625113081091</v>
      </c>
      <c r="Z73" s="24" t="str">
        <f t="shared" si="14"/>
        <v/>
      </c>
      <c r="AA73" s="6" t="str">
        <f t="shared" si="15"/>
        <v>已计算</v>
      </c>
      <c r="AB73" s="6" t="str">
        <f t="shared" si="16"/>
        <v>有效</v>
      </c>
      <c r="AC73" s="6" t="str">
        <f t="shared" si="17"/>
        <v/>
      </c>
      <c r="AD73" s="7" t="s">
        <v>360</v>
      </c>
    </row>
    <row r="74" ht="25" customHeight="1" spans="1:30">
      <c r="A74" s="6" t="s">
        <v>145</v>
      </c>
      <c r="B74" s="6" t="s">
        <v>51</v>
      </c>
      <c r="C74" s="7" t="s">
        <v>361</v>
      </c>
      <c r="D74" s="7" t="s">
        <v>362</v>
      </c>
      <c r="E74" s="7" t="s">
        <v>363</v>
      </c>
      <c r="F74" s="6" t="s">
        <v>149</v>
      </c>
      <c r="G74" s="16">
        <v>70</v>
      </c>
      <c r="H74" s="17"/>
      <c r="I74" s="18">
        <f t="shared" si="9"/>
        <v>70</v>
      </c>
      <c r="J74" s="19">
        <v>144</v>
      </c>
      <c r="K74" s="20"/>
      <c r="L74" s="20"/>
      <c r="M74" s="20"/>
      <c r="N74" s="20"/>
      <c r="O74" s="20"/>
      <c r="P74" s="20"/>
      <c r="Q74" s="21">
        <f>IF($I74="","",IFERROR(INDEX(_玩家曲线!$H$2:$H$286,MATCH($I74,_玩家曲线!$A$2:$A$286,0)),""))</f>
        <v>357529.026375211</v>
      </c>
      <c r="R74" s="21">
        <f>IF($I74="","",IFERROR(INDEX(_玩家曲线!$I$2:$I$286,MATCH($I74,_玩家曲线!$A$2:$A$286,0)),""))</f>
        <v>661087.174827875</v>
      </c>
      <c r="S74" s="21">
        <f>IF(OR($J74="",$F74="不适用"),"",IFERROR(INDEX(_怪物模型!$D$2:$D$4501,MATCH(INT($J74)&amp;"|"&amp;$F74,_怪物模型!$A$2:$A$4501,0))*IF($K74="",1,$K74),""))</f>
        <v>74954</v>
      </c>
      <c r="T74" s="21">
        <f>IF(OR($J74="",$F74="不适用"),"",IFERROR(INDEX(_怪物模型!$E$2:$E$4501,MATCH(INT($J74)&amp;"|"&amp;$F74,_怪物模型!$A$2:$A$4501,0))*IF($L74="",1,$L74),""))</f>
        <v>12473</v>
      </c>
      <c r="U74" s="21">
        <f>IF(OR($J74="",$F74="不适用"),"",IFERROR(INDEX(_怪物模型!$F$2:$F$4501,MATCH(INT($J74)&amp;"|"&amp;$F74,_怪物模型!$A$2:$A$4501,0))*IF($M74="",1,$M74),""))</f>
        <v>12108</v>
      </c>
      <c r="V74" s="22">
        <f t="shared" si="10"/>
        <v>0.335327351279495</v>
      </c>
      <c r="W74" s="23">
        <f t="shared" si="11"/>
        <v>112768.293</v>
      </c>
      <c r="X74" s="23">
        <f t="shared" si="12"/>
        <v>0.315410175624887</v>
      </c>
      <c r="Y74" s="23">
        <f t="shared" si="13"/>
        <v>53.0014571336387</v>
      </c>
      <c r="Z74" s="24" t="str">
        <f t="shared" si="14"/>
        <v/>
      </c>
      <c r="AA74" s="6" t="str">
        <f t="shared" si="15"/>
        <v>已计算</v>
      </c>
      <c r="AB74" s="6" t="str">
        <f t="shared" si="16"/>
        <v>有效</v>
      </c>
      <c r="AC74" s="6" t="str">
        <f t="shared" si="17"/>
        <v/>
      </c>
      <c r="AD74" s="7" t="s">
        <v>364</v>
      </c>
    </row>
    <row r="75" ht="25" customHeight="1" spans="1:30">
      <c r="A75" s="6" t="s">
        <v>145</v>
      </c>
      <c r="B75" s="6" t="s">
        <v>51</v>
      </c>
      <c r="C75" s="7" t="s">
        <v>361</v>
      </c>
      <c r="D75" s="7" t="s">
        <v>365</v>
      </c>
      <c r="E75" s="7" t="s">
        <v>366</v>
      </c>
      <c r="F75" s="6" t="s">
        <v>149</v>
      </c>
      <c r="G75" s="16">
        <v>71</v>
      </c>
      <c r="H75" s="17"/>
      <c r="I75" s="18">
        <f t="shared" si="9"/>
        <v>71</v>
      </c>
      <c r="J75" s="19">
        <v>145</v>
      </c>
      <c r="K75" s="20"/>
      <c r="L75" s="20"/>
      <c r="M75" s="20"/>
      <c r="N75" s="20"/>
      <c r="O75" s="20"/>
      <c r="P75" s="20"/>
      <c r="Q75" s="21">
        <f>IF($I75="","",IFERROR(INDEX(_玩家曲线!$H$2:$H$286,MATCH($I75,_玩家曲线!$A$2:$A$286,0)),""))</f>
        <v>370088.034515633</v>
      </c>
      <c r="R75" s="21">
        <f>IF($I75="","",IFERROR(INDEX(_玩家曲线!$I$2:$I$286,MATCH($I75,_玩家曲线!$A$2:$A$286,0)),""))</f>
        <v>681502.871813609</v>
      </c>
      <c r="S75" s="21">
        <f>IF(OR($J75="",$F75="不适用"),"",IFERROR(INDEX(_怪物模型!$D$2:$D$4501,MATCH(INT($J75)&amp;"|"&amp;$F75,_怪物模型!$A$2:$A$4501,0))*IF($K75="",1,$K75),""))</f>
        <v>76086</v>
      </c>
      <c r="T75" s="21">
        <f>IF(OR($J75="",$F75="不适用"),"",IFERROR(INDEX(_怪物模型!$E$2:$E$4501,MATCH(INT($J75)&amp;"|"&amp;$F75,_怪物模型!$A$2:$A$4501,0))*IF($L75="",1,$L75),""))</f>
        <v>12631</v>
      </c>
      <c r="U75" s="21">
        <f>IF(OR($J75="",$F75="不适用"),"",IFERROR(INDEX(_怪物模型!$F$2:$F$4501,MATCH(INT($J75)&amp;"|"&amp;$F75,_怪物模型!$A$2:$A$4501,0))*IF($M75="",1,$M75),""))</f>
        <v>12206</v>
      </c>
      <c r="V75" s="22">
        <f t="shared" si="10"/>
        <v>0.337126443130973</v>
      </c>
      <c r="W75" s="23">
        <f t="shared" si="11"/>
        <v>114782.0715</v>
      </c>
      <c r="X75" s="23">
        <f t="shared" si="12"/>
        <v>0.31014802099783</v>
      </c>
      <c r="Y75" s="23">
        <f t="shared" si="13"/>
        <v>53.9547836128263</v>
      </c>
      <c r="Z75" s="24" t="str">
        <f t="shared" si="14"/>
        <v/>
      </c>
      <c r="AA75" s="6" t="str">
        <f t="shared" si="15"/>
        <v>已计算</v>
      </c>
      <c r="AB75" s="6" t="str">
        <f t="shared" si="16"/>
        <v>有效</v>
      </c>
      <c r="AC75" s="6" t="str">
        <f t="shared" si="17"/>
        <v/>
      </c>
      <c r="AD75" s="7" t="s">
        <v>367</v>
      </c>
    </row>
    <row r="76" ht="25" customHeight="1" spans="1:30">
      <c r="A76" s="6" t="s">
        <v>145</v>
      </c>
      <c r="B76" s="6" t="s">
        <v>51</v>
      </c>
      <c r="C76" s="7" t="s">
        <v>361</v>
      </c>
      <c r="D76" s="7" t="s">
        <v>368</v>
      </c>
      <c r="E76" s="7" t="s">
        <v>369</v>
      </c>
      <c r="F76" s="6" t="s">
        <v>149</v>
      </c>
      <c r="G76" s="16">
        <v>72</v>
      </c>
      <c r="H76" s="17"/>
      <c r="I76" s="18">
        <f t="shared" si="9"/>
        <v>72</v>
      </c>
      <c r="J76" s="19">
        <v>147</v>
      </c>
      <c r="K76" s="20"/>
      <c r="L76" s="20"/>
      <c r="M76" s="20"/>
      <c r="N76" s="20"/>
      <c r="O76" s="20"/>
      <c r="P76" s="20"/>
      <c r="Q76" s="21">
        <f>IF($I76="","",IFERROR(INDEX(_玩家曲线!$H$2:$H$286,MATCH($I76,_玩家曲线!$A$2:$A$286,0)),""))</f>
        <v>382701.301958812</v>
      </c>
      <c r="R76" s="21">
        <f>IF($I76="","",IFERROR(INDEX(_玩家曲线!$I$2:$I$286,MATCH($I76,_玩家曲线!$A$2:$A$286,0)),""))</f>
        <v>701881.996619119</v>
      </c>
      <c r="S76" s="21">
        <f>IF(OR($J76="",$F76="不适用"),"",IFERROR(INDEX(_怪物模型!$D$2:$D$4501,MATCH(INT($J76)&amp;"|"&amp;$F76,_怪物模型!$A$2:$A$4501,0))*IF($K76="",1,$K76),""))</f>
        <v>78386</v>
      </c>
      <c r="T76" s="21">
        <f>IF(OR($J76="",$F76="不适用"),"",IFERROR(INDEX(_怪物模型!$E$2:$E$4501,MATCH(INT($J76)&amp;"|"&amp;$F76,_怪物模型!$A$2:$A$4501,0))*IF($L76="",1,$L76),""))</f>
        <v>12949</v>
      </c>
      <c r="U76" s="21">
        <f>IF(OR($J76="",$F76="不适用"),"",IFERROR(INDEX(_怪物模型!$F$2:$F$4501,MATCH(INT($J76)&amp;"|"&amp;$F76,_怪物模型!$A$2:$A$4501,0))*IF($M76="",1,$M76),""))</f>
        <v>12401</v>
      </c>
      <c r="V76" s="22">
        <f t="shared" si="10"/>
        <v>0.340677453916101</v>
      </c>
      <c r="W76" s="23">
        <f t="shared" si="11"/>
        <v>118888.699416667</v>
      </c>
      <c r="X76" s="23">
        <f t="shared" si="12"/>
        <v>0.310656636933684</v>
      </c>
      <c r="Y76" s="23">
        <f t="shared" si="13"/>
        <v>54.2035675819846</v>
      </c>
      <c r="Z76" s="24" t="str">
        <f t="shared" si="14"/>
        <v/>
      </c>
      <c r="AA76" s="6" t="str">
        <f t="shared" si="15"/>
        <v>已计算</v>
      </c>
      <c r="AB76" s="6" t="str">
        <f t="shared" si="16"/>
        <v>有效</v>
      </c>
      <c r="AC76" s="6" t="str">
        <f t="shared" si="17"/>
        <v/>
      </c>
      <c r="AD76" s="7" t="s">
        <v>370</v>
      </c>
    </row>
    <row r="77" ht="25" customHeight="1" spans="1:30">
      <c r="A77" s="6" t="s">
        <v>145</v>
      </c>
      <c r="B77" s="6" t="s">
        <v>51</v>
      </c>
      <c r="C77" s="7" t="s">
        <v>361</v>
      </c>
      <c r="D77" s="7" t="s">
        <v>371</v>
      </c>
      <c r="E77" s="7" t="s">
        <v>372</v>
      </c>
      <c r="F77" s="6" t="s">
        <v>149</v>
      </c>
      <c r="G77" s="16">
        <v>73</v>
      </c>
      <c r="H77" s="17"/>
      <c r="I77" s="18">
        <f t="shared" si="9"/>
        <v>73</v>
      </c>
      <c r="J77" s="19">
        <v>148</v>
      </c>
      <c r="K77" s="20"/>
      <c r="L77" s="20"/>
      <c r="M77" s="20"/>
      <c r="N77" s="20"/>
      <c r="O77" s="20"/>
      <c r="P77" s="20"/>
      <c r="Q77" s="21">
        <f>IF($I77="","",IFERROR(INDEX(_玩家曲线!$H$2:$H$286,MATCH($I77,_玩家曲线!$A$2:$A$286,0)),""))</f>
        <v>395361.76694498</v>
      </c>
      <c r="R77" s="21">
        <f>IF($I77="","",IFERROR(INDEX(_玩家曲线!$I$2:$I$286,MATCH($I77,_玩家曲线!$A$2:$A$286,0)),""))</f>
        <v>722215.243951944</v>
      </c>
      <c r="S77" s="21">
        <f>IF(OR($J77="",$F77="不适用"),"",IFERROR(INDEX(_怪物模型!$D$2:$D$4501,MATCH(INT($J77)&amp;"|"&amp;$F77,_怪物模型!$A$2:$A$4501,0))*IF($K77="",1,$K77),""))</f>
        <v>79554</v>
      </c>
      <c r="T77" s="21">
        <f>IF(OR($J77="",$F77="不适用"),"",IFERROR(INDEX(_怪物模型!$E$2:$E$4501,MATCH(INT($J77)&amp;"|"&amp;$F77,_怪物模型!$A$2:$A$4501,0))*IF($L77="",1,$L77),""))</f>
        <v>13110</v>
      </c>
      <c r="U77" s="21">
        <f>IF(OR($J77="",$F77="不适用"),"",IFERROR(INDEX(_怪物模型!$F$2:$F$4501,MATCH(INT($J77)&amp;"|"&amp;$F77,_怪物模型!$A$2:$A$4501,0))*IF($M77="",1,$M77),""))</f>
        <v>12499</v>
      </c>
      <c r="V77" s="22">
        <f t="shared" si="10"/>
        <v>0.3424477382942</v>
      </c>
      <c r="W77" s="23">
        <f t="shared" si="11"/>
        <v>120985.06025</v>
      </c>
      <c r="X77" s="23">
        <f t="shared" si="12"/>
        <v>0.306011026773959</v>
      </c>
      <c r="Y77" s="23">
        <f t="shared" si="13"/>
        <v>55.0888820710865</v>
      </c>
      <c r="Z77" s="24" t="str">
        <f t="shared" si="14"/>
        <v/>
      </c>
      <c r="AA77" s="6" t="str">
        <f t="shared" si="15"/>
        <v>已计算</v>
      </c>
      <c r="AB77" s="6" t="str">
        <f t="shared" si="16"/>
        <v>有效</v>
      </c>
      <c r="AC77" s="6" t="str">
        <f t="shared" si="17"/>
        <v/>
      </c>
      <c r="AD77" s="7" t="s">
        <v>373</v>
      </c>
    </row>
    <row r="78" ht="25" customHeight="1" spans="1:30">
      <c r="A78" s="6" t="s">
        <v>145</v>
      </c>
      <c r="B78" s="6" t="s">
        <v>51</v>
      </c>
      <c r="C78" s="7" t="s">
        <v>361</v>
      </c>
      <c r="D78" s="7" t="s">
        <v>374</v>
      </c>
      <c r="E78" s="7" t="s">
        <v>375</v>
      </c>
      <c r="F78" s="6" t="s">
        <v>149</v>
      </c>
      <c r="G78" s="16">
        <v>74</v>
      </c>
      <c r="H78" s="17"/>
      <c r="I78" s="18">
        <f t="shared" si="9"/>
        <v>74</v>
      </c>
      <c r="J78" s="19">
        <v>150</v>
      </c>
      <c r="K78" s="20"/>
      <c r="L78" s="20"/>
      <c r="M78" s="20"/>
      <c r="N78" s="20"/>
      <c r="O78" s="20"/>
      <c r="P78" s="20"/>
      <c r="Q78" s="21">
        <f>IF($I78="","",IFERROR(INDEX(_玩家曲线!$H$2:$H$286,MATCH($I78,_玩家曲线!$A$2:$A$286,0)),""))</f>
        <v>408062.500049468</v>
      </c>
      <c r="R78" s="21">
        <f>IF($I78="","",IFERROR(INDEX(_玩家曲线!$I$2:$I$286,MATCH($I78,_玩家曲线!$A$2:$A$286,0)),""))</f>
        <v>742493.694813082</v>
      </c>
      <c r="S78" s="21">
        <f>IF(OR($J78="",$F78="不适用"),"",IFERROR(INDEX(_怪物模型!$D$2:$D$4501,MATCH(INT($J78)&amp;"|"&amp;$F78,_怪物模型!$A$2:$A$4501,0))*IF($K78="",1,$K78),""))</f>
        <v>81928</v>
      </c>
      <c r="T78" s="21">
        <f>IF(OR($J78="",$F78="不适用"),"",IFERROR(INDEX(_怪物模型!$E$2:$E$4501,MATCH(INT($J78)&amp;"|"&amp;$F78,_怪物模型!$A$2:$A$4501,0))*IF($L78="",1,$L78),""))</f>
        <v>13436</v>
      </c>
      <c r="U78" s="21">
        <f>IF(OR($J78="",$F78="不适用"),"",IFERROR(INDEX(_怪物模型!$F$2:$F$4501,MATCH(INT($J78)&amp;"|"&amp;$F78,_怪物模型!$A$2:$A$4501,0))*IF($M78="",1,$M78),""))</f>
        <v>12696</v>
      </c>
      <c r="V78" s="22">
        <f t="shared" si="10"/>
        <v>0.34597776324395</v>
      </c>
      <c r="W78" s="23">
        <f t="shared" si="11"/>
        <v>125267.912</v>
      </c>
      <c r="X78" s="23">
        <f t="shared" si="12"/>
        <v>0.306982170586158</v>
      </c>
      <c r="Y78" s="23">
        <f t="shared" si="13"/>
        <v>55.2615134573595</v>
      </c>
      <c r="Z78" s="24" t="str">
        <f t="shared" si="14"/>
        <v/>
      </c>
      <c r="AA78" s="6" t="str">
        <f t="shared" si="15"/>
        <v>已计算</v>
      </c>
      <c r="AB78" s="6" t="str">
        <f t="shared" si="16"/>
        <v>有效</v>
      </c>
      <c r="AC78" s="6" t="str">
        <f t="shared" si="17"/>
        <v/>
      </c>
      <c r="AD78" s="7" t="s">
        <v>376</v>
      </c>
    </row>
    <row r="79" ht="25" customHeight="1" spans="1:30">
      <c r="A79" s="6" t="s">
        <v>145</v>
      </c>
      <c r="B79" s="6" t="s">
        <v>51</v>
      </c>
      <c r="C79" s="7" t="s">
        <v>361</v>
      </c>
      <c r="D79" s="7" t="s">
        <v>377</v>
      </c>
      <c r="E79" s="7" t="s">
        <v>378</v>
      </c>
      <c r="F79" s="6" t="s">
        <v>149</v>
      </c>
      <c r="G79" s="16">
        <v>75</v>
      </c>
      <c r="H79" s="17"/>
      <c r="I79" s="18">
        <f t="shared" si="9"/>
        <v>75</v>
      </c>
      <c r="J79" s="19">
        <v>153</v>
      </c>
      <c r="K79" s="20"/>
      <c r="L79" s="20"/>
      <c r="M79" s="20"/>
      <c r="N79" s="20"/>
      <c r="O79" s="20"/>
      <c r="P79" s="20"/>
      <c r="Q79" s="21">
        <f>IF($I79="","",IFERROR(INDEX(_玩家曲线!$H$2:$H$286,MATCH($I79,_玩家曲线!$A$2:$A$286,0)),""))</f>
        <v>420796.710336777</v>
      </c>
      <c r="R79" s="21">
        <f>IF($I79="","",IFERROR(INDEX(_玩家曲线!$I$2:$I$286,MATCH($I79,_玩家曲线!$A$2:$A$286,0)),""))</f>
        <v>762708.80983529</v>
      </c>
      <c r="S79" s="21">
        <f>IF(OR($J79="",$F79="不适用"),"",IFERROR(INDEX(_怪物模型!$D$2:$D$4501,MATCH(INT($J79)&amp;"|"&amp;$F79,_怪物模型!$A$2:$A$4501,0))*IF($K79="",1,$K79),""))</f>
        <v>85582</v>
      </c>
      <c r="T79" s="21">
        <f>IF(OR($J79="",$F79="不适用"),"",IFERROR(INDEX(_怪物模型!$E$2:$E$4501,MATCH(INT($J79)&amp;"|"&amp;$F79,_怪物模型!$A$2:$A$4501,0))*IF($L79="",1,$L79),""))</f>
        <v>13934</v>
      </c>
      <c r="U79" s="21">
        <f>IF(OR($J79="",$F79="不适用"),"",IFERROR(INDEX(_怪物模型!$F$2:$F$4501,MATCH(INT($J79)&amp;"|"&amp;$F79,_怪物模型!$A$2:$A$4501,0))*IF($M79="",1,$M79),""))</f>
        <v>12992</v>
      </c>
      <c r="V79" s="22">
        <f t="shared" si="10"/>
        <v>0.35121107266436</v>
      </c>
      <c r="W79" s="23">
        <f t="shared" si="11"/>
        <v>131910.389333333</v>
      </c>
      <c r="X79" s="23">
        <f t="shared" si="12"/>
        <v>0.31347771047868</v>
      </c>
      <c r="Y79" s="23">
        <f t="shared" si="13"/>
        <v>54.7372477275219</v>
      </c>
      <c r="Z79" s="24" t="str">
        <f t="shared" si="14"/>
        <v/>
      </c>
      <c r="AA79" s="6" t="str">
        <f t="shared" si="15"/>
        <v>已计算</v>
      </c>
      <c r="AB79" s="6" t="str">
        <f t="shared" si="16"/>
        <v>有效</v>
      </c>
      <c r="AC79" s="6" t="str">
        <f t="shared" si="17"/>
        <v/>
      </c>
      <c r="AD79" s="7" t="s">
        <v>379</v>
      </c>
    </row>
    <row r="80" ht="25" customHeight="1" spans="1:30">
      <c r="A80" s="6" t="s">
        <v>145</v>
      </c>
      <c r="B80" s="6" t="s">
        <v>51</v>
      </c>
      <c r="C80" s="7" t="s">
        <v>361</v>
      </c>
      <c r="D80" s="7" t="s">
        <v>380</v>
      </c>
      <c r="E80" s="7" t="s">
        <v>381</v>
      </c>
      <c r="F80" s="6" t="s">
        <v>149</v>
      </c>
      <c r="G80" s="16">
        <v>76</v>
      </c>
      <c r="H80" s="17"/>
      <c r="I80" s="18">
        <f t="shared" si="9"/>
        <v>76</v>
      </c>
      <c r="J80" s="19">
        <v>154</v>
      </c>
      <c r="K80" s="20"/>
      <c r="L80" s="20"/>
      <c r="M80" s="20"/>
      <c r="N80" s="20"/>
      <c r="O80" s="20"/>
      <c r="P80" s="20"/>
      <c r="Q80" s="21">
        <f>IF($I80="","",IFERROR(INDEX(_玩家曲线!$H$2:$H$286,MATCH($I80,_玩家曲线!$A$2:$A$286,0)),""))</f>
        <v>433557.750887974</v>
      </c>
      <c r="R80" s="21">
        <f>IF($I80="","",IFERROR(INDEX(_玩家曲线!$I$2:$I$286,MATCH($I80,_玩家曲线!$A$2:$A$286,0)),""))</f>
        <v>782852.422302741</v>
      </c>
      <c r="S80" s="21">
        <f>IF(OR($J80="",$F80="不适用"),"",IFERROR(INDEX(_怪物模型!$D$2:$D$4501,MATCH(INT($J80)&amp;"|"&amp;$F80,_怪物模型!$A$2:$A$4501,0))*IF($K80="",1,$K80),""))</f>
        <v>86825</v>
      </c>
      <c r="T80" s="21">
        <f>IF(OR($J80="",$F80="不适用"),"",IFERROR(INDEX(_怪物模型!$E$2:$E$4501,MATCH(INT($J80)&amp;"|"&amp;$F80,_怪物模型!$A$2:$A$4501,0))*IF($L80="",1,$L80),""))</f>
        <v>14102</v>
      </c>
      <c r="U80" s="21">
        <f>IF(OR($J80="",$F80="不适用"),"",IFERROR(INDEX(_怪物模型!$F$2:$F$4501,MATCH(INT($J80)&amp;"|"&amp;$F80,_怪物模型!$A$2:$A$4501,0))*IF($M80="",1,$M80),""))</f>
        <v>13091</v>
      </c>
      <c r="V80" s="22">
        <f t="shared" si="10"/>
        <v>0.35294276239519</v>
      </c>
      <c r="W80" s="23">
        <f t="shared" si="11"/>
        <v>134184.419791667</v>
      </c>
      <c r="X80" s="23">
        <f t="shared" si="12"/>
        <v>0.30949606947827</v>
      </c>
      <c r="Y80" s="23">
        <f t="shared" si="13"/>
        <v>55.5135741244321</v>
      </c>
      <c r="Z80" s="24" t="str">
        <f t="shared" si="14"/>
        <v/>
      </c>
      <c r="AA80" s="6" t="str">
        <f t="shared" si="15"/>
        <v>已计算</v>
      </c>
      <c r="AB80" s="6" t="str">
        <f t="shared" si="16"/>
        <v>有效</v>
      </c>
      <c r="AC80" s="6" t="str">
        <f t="shared" si="17"/>
        <v/>
      </c>
      <c r="AD80" s="7" t="s">
        <v>382</v>
      </c>
    </row>
    <row r="81" ht="25" customHeight="1" spans="1:30">
      <c r="A81" s="6" t="s">
        <v>145</v>
      </c>
      <c r="B81" s="6" t="s">
        <v>51</v>
      </c>
      <c r="C81" s="7" t="s">
        <v>361</v>
      </c>
      <c r="D81" s="7" t="s">
        <v>383</v>
      </c>
      <c r="E81" s="7" t="s">
        <v>384</v>
      </c>
      <c r="F81" s="6" t="s">
        <v>149</v>
      </c>
      <c r="G81" s="16">
        <v>77</v>
      </c>
      <c r="H81" s="17"/>
      <c r="I81" s="18">
        <f t="shared" si="9"/>
        <v>77</v>
      </c>
      <c r="J81" s="19">
        <v>155</v>
      </c>
      <c r="K81" s="20"/>
      <c r="L81" s="20"/>
      <c r="M81" s="20"/>
      <c r="N81" s="20"/>
      <c r="O81" s="20"/>
      <c r="P81" s="20"/>
      <c r="Q81" s="21">
        <f>IF($I81="","",IFERROR(INDEX(_玩家曲线!$H$2:$H$286,MATCH($I81,_玩家曲线!$A$2:$A$286,0)),""))</f>
        <v>446339.123724171</v>
      </c>
      <c r="R81" s="21">
        <f>IF($I81="","",IFERROR(INDEX(_玩家曲线!$I$2:$I$286,MATCH($I81,_玩家曲线!$A$2:$A$286,0)),""))</f>
        <v>802916.730893883</v>
      </c>
      <c r="S81" s="21">
        <f>IF(OR($J81="",$F81="不适用"),"",IFERROR(INDEX(_怪物模型!$D$2:$D$4501,MATCH(INT($J81)&amp;"|"&amp;$F81,_怪物模型!$A$2:$A$4501,0))*IF($K81="",1,$K81),""))</f>
        <v>88082</v>
      </c>
      <c r="T81" s="21">
        <f>IF(OR($J81="",$F81="不适用"),"",IFERROR(INDEX(_怪物模型!$E$2:$E$4501,MATCH(INT($J81)&amp;"|"&amp;$F81,_怪物模型!$A$2:$A$4501,0))*IF($L81="",1,$L81),""))</f>
        <v>14272</v>
      </c>
      <c r="U81" s="21">
        <f>IF(OR($J81="",$F81="不适用"),"",IFERROR(INDEX(_怪物模型!$F$2:$F$4501,MATCH(INT($J81)&amp;"|"&amp;$F81,_怪物模型!$A$2:$A$4501,0))*IF($M81="",1,$M81),""))</f>
        <v>13190</v>
      </c>
      <c r="V81" s="22">
        <f t="shared" si="10"/>
        <v>0.354665232589406</v>
      </c>
      <c r="W81" s="23">
        <f t="shared" si="11"/>
        <v>136490.399166667</v>
      </c>
      <c r="X81" s="23">
        <f t="shared" si="12"/>
        <v>0.30579976504819</v>
      </c>
      <c r="Y81" s="23">
        <f t="shared" si="13"/>
        <v>56.2581790144257</v>
      </c>
      <c r="Z81" s="24" t="str">
        <f t="shared" si="14"/>
        <v/>
      </c>
      <c r="AA81" s="6" t="str">
        <f t="shared" si="15"/>
        <v>已计算</v>
      </c>
      <c r="AB81" s="6" t="str">
        <f t="shared" si="16"/>
        <v>有效</v>
      </c>
      <c r="AC81" s="6" t="str">
        <f t="shared" si="17"/>
        <v/>
      </c>
      <c r="AD81" s="7" t="s">
        <v>385</v>
      </c>
    </row>
    <row r="82" ht="25" customHeight="1" spans="1:30">
      <c r="A82" s="6" t="s">
        <v>145</v>
      </c>
      <c r="B82" s="6" t="s">
        <v>51</v>
      </c>
      <c r="C82" s="7" t="s">
        <v>361</v>
      </c>
      <c r="D82" s="7" t="s">
        <v>386</v>
      </c>
      <c r="E82" s="7" t="s">
        <v>387</v>
      </c>
      <c r="F82" s="6" t="s">
        <v>149</v>
      </c>
      <c r="G82" s="16">
        <v>78</v>
      </c>
      <c r="H82" s="17"/>
      <c r="I82" s="18">
        <f t="shared" si="9"/>
        <v>78</v>
      </c>
      <c r="J82" s="19">
        <v>157</v>
      </c>
      <c r="K82" s="20"/>
      <c r="L82" s="20"/>
      <c r="M82" s="20"/>
      <c r="N82" s="20"/>
      <c r="O82" s="20"/>
      <c r="P82" s="20"/>
      <c r="Q82" s="21">
        <f>IF($I82="","",IFERROR(INDEX(_玩家曲线!$H$2:$H$286,MATCH($I82,_玩家曲线!$A$2:$A$286,0)),""))</f>
        <v>459134.484149459</v>
      </c>
      <c r="R82" s="21">
        <f>IF($I82="","",IFERROR(INDEX(_玩家曲线!$I$2:$I$286,MATCH($I82,_玩家曲线!$A$2:$A$286,0)),""))</f>
        <v>822894.292186448</v>
      </c>
      <c r="S82" s="21">
        <f>IF(OR($J82="",$F82="不适用"),"",IFERROR(INDEX(_怪物模型!$D$2:$D$4501,MATCH(INT($J82)&amp;"|"&amp;$F82,_怪物模型!$A$2:$A$4501,0))*IF($K82="",1,$K82),""))</f>
        <v>90633</v>
      </c>
      <c r="T82" s="21">
        <f>IF(OR($J82="",$F82="不适用"),"",IFERROR(INDEX(_怪物模型!$E$2:$E$4501,MATCH(INT($J82)&amp;"|"&amp;$F82,_怪物模型!$A$2:$A$4501,0))*IF($L82="",1,$L82),""))</f>
        <v>14616</v>
      </c>
      <c r="U82" s="21">
        <f>IF(OR($J82="",$F82="不适用"),"",IFERROR(INDEX(_怪物模型!$F$2:$F$4501,MATCH(INT($J82)&amp;"|"&amp;$F82,_怪物模型!$A$2:$A$4501,0))*IF($M82="",1,$M82),""))</f>
        <v>13390</v>
      </c>
      <c r="V82" s="22">
        <f t="shared" si="10"/>
        <v>0.358117143621289</v>
      </c>
      <c r="W82" s="23">
        <f t="shared" si="11"/>
        <v>141198.66125</v>
      </c>
      <c r="X82" s="23">
        <f t="shared" si="12"/>
        <v>0.307532250624931</v>
      </c>
      <c r="Y82" s="23">
        <f t="shared" si="13"/>
        <v>56.3009231107313</v>
      </c>
      <c r="Z82" s="24" t="str">
        <f t="shared" si="14"/>
        <v/>
      </c>
      <c r="AA82" s="6" t="str">
        <f t="shared" si="15"/>
        <v>已计算</v>
      </c>
      <c r="AB82" s="6" t="str">
        <f t="shared" si="16"/>
        <v>有效</v>
      </c>
      <c r="AC82" s="6" t="str">
        <f t="shared" si="17"/>
        <v/>
      </c>
      <c r="AD82" s="7" t="s">
        <v>388</v>
      </c>
    </row>
    <row r="83" ht="25" customHeight="1" spans="1:30">
      <c r="A83" s="6" t="s">
        <v>145</v>
      </c>
      <c r="B83" s="6" t="s">
        <v>51</v>
      </c>
      <c r="C83" s="7" t="s">
        <v>361</v>
      </c>
      <c r="D83" s="7" t="s">
        <v>389</v>
      </c>
      <c r="E83" s="7" t="s">
        <v>390</v>
      </c>
      <c r="F83" s="6" t="s">
        <v>149</v>
      </c>
      <c r="G83" s="16">
        <v>79</v>
      </c>
      <c r="H83" s="17"/>
      <c r="I83" s="18">
        <f t="shared" si="9"/>
        <v>79</v>
      </c>
      <c r="J83" s="19">
        <v>157</v>
      </c>
      <c r="K83" s="20"/>
      <c r="L83" s="20"/>
      <c r="M83" s="20"/>
      <c r="N83" s="20"/>
      <c r="O83" s="20"/>
      <c r="P83" s="20"/>
      <c r="Q83" s="21">
        <f>IF($I83="","",IFERROR(INDEX(_玩家曲线!$H$2:$H$286,MATCH($I83,_玩家曲线!$A$2:$A$286,0)),""))</f>
        <v>471937.644537088</v>
      </c>
      <c r="R83" s="21">
        <f>IF($I83="","",IFERROR(INDEX(_玩家曲线!$I$2:$I$286,MATCH($I83,_玩家曲线!$A$2:$A$286,0)),""))</f>
        <v>842778.012960816</v>
      </c>
      <c r="S83" s="21">
        <f>IF(OR($J83="",$F83="不适用"),"",IFERROR(INDEX(_怪物模型!$D$2:$D$4501,MATCH(INT($J83)&amp;"|"&amp;$F83,_怪物模型!$A$2:$A$4501,0))*IF($K83="",1,$K83),""))</f>
        <v>90633</v>
      </c>
      <c r="T83" s="21">
        <f>IF(OR($J83="",$F83="不适用"),"",IFERROR(INDEX(_怪物模型!$E$2:$E$4501,MATCH(INT($J83)&amp;"|"&amp;$F83,_怪物模型!$A$2:$A$4501,0))*IF($L83="",1,$L83),""))</f>
        <v>14616</v>
      </c>
      <c r="U83" s="21">
        <f>IF(OR($J83="",$F83="不适用"),"",IFERROR(INDEX(_怪物模型!$F$2:$F$4501,MATCH(INT($J83)&amp;"|"&amp;$F83,_怪物模型!$A$2:$A$4501,0))*IF($M83="",1,$M83),""))</f>
        <v>13390</v>
      </c>
      <c r="V83" s="22">
        <f t="shared" si="10"/>
        <v>0.358117143621289</v>
      </c>
      <c r="W83" s="23">
        <f t="shared" si="11"/>
        <v>141198.66125</v>
      </c>
      <c r="X83" s="23">
        <f t="shared" si="12"/>
        <v>0.29918923163779</v>
      </c>
      <c r="Y83" s="23">
        <f t="shared" si="13"/>
        <v>57.6613309360164</v>
      </c>
      <c r="Z83" s="24" t="str">
        <f t="shared" si="14"/>
        <v/>
      </c>
      <c r="AA83" s="6" t="str">
        <f t="shared" si="15"/>
        <v>已计算</v>
      </c>
      <c r="AB83" s="6" t="str">
        <f t="shared" si="16"/>
        <v>有效</v>
      </c>
      <c r="AC83" s="6" t="str">
        <f t="shared" si="17"/>
        <v/>
      </c>
      <c r="AD83" s="7" t="s">
        <v>391</v>
      </c>
    </row>
    <row r="84" ht="25" customHeight="1" spans="1:30">
      <c r="A84" s="6" t="s">
        <v>145</v>
      </c>
      <c r="B84" s="6" t="s">
        <v>51</v>
      </c>
      <c r="C84" s="7" t="s">
        <v>361</v>
      </c>
      <c r="D84" s="7" t="s">
        <v>392</v>
      </c>
      <c r="E84" s="7" t="s">
        <v>393</v>
      </c>
      <c r="F84" s="6" t="s">
        <v>149</v>
      </c>
      <c r="G84" s="16">
        <v>80</v>
      </c>
      <c r="H84" s="17"/>
      <c r="I84" s="18">
        <f t="shared" si="9"/>
        <v>80</v>
      </c>
      <c r="J84" s="19">
        <v>159</v>
      </c>
      <c r="K84" s="20"/>
      <c r="L84" s="20"/>
      <c r="M84" s="20"/>
      <c r="N84" s="20"/>
      <c r="O84" s="20"/>
      <c r="P84" s="20"/>
      <c r="Q84" s="21">
        <f>IF($I84="","",IFERROR(INDEX(_玩家曲线!$H$2:$H$286,MATCH($I84,_玩家曲线!$A$2:$A$286,0)),""))</f>
        <v>484742.577583025</v>
      </c>
      <c r="R84" s="21">
        <f>IF($I84="","",IFERROR(INDEX(_玩家曲线!$I$2:$I$286,MATCH($I84,_玩家曲线!$A$2:$A$286,0)),""))</f>
        <v>862561.142335382</v>
      </c>
      <c r="S84" s="21">
        <f>IF(OR($J84="",$F84="不适用"),"",IFERROR(INDEX(_怪物模型!$D$2:$D$4501,MATCH(INT($J84)&amp;"|"&amp;$F84,_怪物模型!$A$2:$A$4501,0))*IF($K84="",1,$K84),""))</f>
        <v>93238</v>
      </c>
      <c r="T84" s="21">
        <f>IF(OR($J84="",$F84="不适用"),"",IFERROR(INDEX(_怪物模型!$E$2:$E$4501,MATCH(INT($J84)&amp;"|"&amp;$F84,_怪物模型!$A$2:$A$4501,0))*IF($L84="",1,$L84),""))</f>
        <v>14964</v>
      </c>
      <c r="U84" s="21">
        <f>IF(OR($J84="",$F84="不适用"),"",IFERROR(INDEX(_怪物模型!$F$2:$F$4501,MATCH(INT($J84)&amp;"|"&amp;$F84,_怪物模型!$A$2:$A$4501,0))*IF($M84="",1,$M84),""))</f>
        <v>13589</v>
      </c>
      <c r="V84" s="22">
        <f t="shared" si="10"/>
        <v>0.361515336933677</v>
      </c>
      <c r="W84" s="23">
        <f t="shared" si="11"/>
        <v>146030.132583333</v>
      </c>
      <c r="X84" s="23">
        <f t="shared" si="12"/>
        <v>0.30125295226067</v>
      </c>
      <c r="Y84" s="23">
        <f t="shared" si="13"/>
        <v>57.6424179587932</v>
      </c>
      <c r="Z84" s="24" t="str">
        <f t="shared" si="14"/>
        <v/>
      </c>
      <c r="AA84" s="6" t="str">
        <f t="shared" si="15"/>
        <v>已计算</v>
      </c>
      <c r="AB84" s="6" t="str">
        <f t="shared" si="16"/>
        <v>有效</v>
      </c>
      <c r="AC84" s="6" t="str">
        <f t="shared" si="17"/>
        <v/>
      </c>
      <c r="AD84" s="7" t="s">
        <v>394</v>
      </c>
    </row>
    <row r="85" ht="25" customHeight="1" spans="1:30">
      <c r="A85" s="6" t="s">
        <v>145</v>
      </c>
      <c r="B85" s="6" t="s">
        <v>51</v>
      </c>
      <c r="C85" s="7" t="s">
        <v>361</v>
      </c>
      <c r="D85" s="7" t="s">
        <v>395</v>
      </c>
      <c r="E85" s="7" t="s">
        <v>396</v>
      </c>
      <c r="F85" s="6" t="s">
        <v>149</v>
      </c>
      <c r="G85" s="16">
        <v>81</v>
      </c>
      <c r="H85" s="17"/>
      <c r="I85" s="18">
        <f t="shared" si="9"/>
        <v>81</v>
      </c>
      <c r="J85" s="19">
        <v>161</v>
      </c>
      <c r="K85" s="20"/>
      <c r="L85" s="20"/>
      <c r="M85" s="20"/>
      <c r="N85" s="20"/>
      <c r="O85" s="20"/>
      <c r="P85" s="20"/>
      <c r="Q85" s="21">
        <f>IF($I85="","",IFERROR(INDEX(_玩家曲线!$H$2:$H$286,MATCH($I85,_玩家曲线!$A$2:$A$286,0)),""))</f>
        <v>497543.419051116</v>
      </c>
      <c r="R85" s="21">
        <f>IF($I85="","",IFERROR(INDEX(_玩家曲线!$I$2:$I$286,MATCH($I85,_玩家曲线!$A$2:$A$286,0)),""))</f>
        <v>882237.263765109</v>
      </c>
      <c r="S85" s="21">
        <f>IF(OR($J85="",$F85="不适用"),"",IFERROR(INDEX(_怪物模型!$D$2:$D$4501,MATCH(INT($J85)&amp;"|"&amp;$F85,_怪物模型!$A$2:$A$4501,0))*IF($K85="",1,$K85),""))</f>
        <v>95895</v>
      </c>
      <c r="T85" s="21">
        <f>IF(OR($J85="",$F85="不适用"),"",IFERROR(INDEX(_怪物模型!$E$2:$E$4501,MATCH(INT($J85)&amp;"|"&amp;$F85,_怪物模型!$A$2:$A$4501,0))*IF($L85="",1,$L85),""))</f>
        <v>15318</v>
      </c>
      <c r="U85" s="21">
        <f>IF(OR($J85="",$F85="不适用"),"",IFERROR(INDEX(_怪物模型!$F$2:$F$4501,MATCH(INT($J85)&amp;"|"&amp;$F85,_怪物模型!$A$2:$A$4501,0))*IF($M85="",1,$M85),""))</f>
        <v>13790</v>
      </c>
      <c r="V85" s="22">
        <f t="shared" si="10"/>
        <v>0.364911352209579</v>
      </c>
      <c r="W85" s="23">
        <f t="shared" si="11"/>
        <v>150994.66875</v>
      </c>
      <c r="X85" s="23">
        <f t="shared" si="12"/>
        <v>0.303480385768076</v>
      </c>
      <c r="Y85" s="23">
        <f t="shared" si="13"/>
        <v>57.5948076619081</v>
      </c>
      <c r="Z85" s="24" t="str">
        <f t="shared" si="14"/>
        <v/>
      </c>
      <c r="AA85" s="6" t="str">
        <f t="shared" si="15"/>
        <v>已计算</v>
      </c>
      <c r="AB85" s="6" t="str">
        <f t="shared" si="16"/>
        <v>有效</v>
      </c>
      <c r="AC85" s="6" t="str">
        <f t="shared" si="17"/>
        <v/>
      </c>
      <c r="AD85" s="7" t="s">
        <v>397</v>
      </c>
    </row>
    <row r="86" ht="25" customHeight="1" spans="1:30">
      <c r="A86" s="6" t="s">
        <v>145</v>
      </c>
      <c r="B86" s="6" t="s">
        <v>51</v>
      </c>
      <c r="C86" s="7" t="s">
        <v>361</v>
      </c>
      <c r="D86" s="7" t="s">
        <v>398</v>
      </c>
      <c r="E86" s="7" t="s">
        <v>399</v>
      </c>
      <c r="F86" s="6" t="s">
        <v>149</v>
      </c>
      <c r="G86" s="16">
        <v>82</v>
      </c>
      <c r="H86" s="17"/>
      <c r="I86" s="18">
        <f t="shared" si="9"/>
        <v>82</v>
      </c>
      <c r="J86" s="19">
        <v>163</v>
      </c>
      <c r="K86" s="20"/>
      <c r="L86" s="20"/>
      <c r="M86" s="20"/>
      <c r="N86" s="20"/>
      <c r="O86" s="20"/>
      <c r="P86" s="20"/>
      <c r="Q86" s="21">
        <f>IF($I86="","",IFERROR(INDEX(_玩家曲线!$H$2:$H$286,MATCH($I86,_玩家曲线!$A$2:$A$286,0)),""))</f>
        <v>510334.470034176</v>
      </c>
      <c r="R86" s="21">
        <f>IF($I86="","",IFERROR(INDEX(_玩家曲线!$I$2:$I$286,MATCH($I86,_玩家曲线!$A$2:$A$286,0)),""))</f>
        <v>901800.286932155</v>
      </c>
      <c r="S86" s="21">
        <f>IF(OR($J86="",$F86="不适用"),"",IFERROR(INDEX(_怪物模型!$D$2:$D$4501,MATCH(INT($J86)&amp;"|"&amp;$F86,_怪物模型!$A$2:$A$4501,0))*IF($K86="",1,$K86),""))</f>
        <v>98607</v>
      </c>
      <c r="T86" s="21">
        <f>IF(OR($J86="",$F86="不适用"),"",IFERROR(INDEX(_怪物模型!$E$2:$E$4501,MATCH(INT($J86)&amp;"|"&amp;$F86,_怪物模型!$A$2:$A$4501,0))*IF($L86="",1,$L86),""))</f>
        <v>15677</v>
      </c>
      <c r="U86" s="21">
        <f>IF(OR($J86="",$F86="不适用"),"",IFERROR(INDEX(_怪物模型!$F$2:$F$4501,MATCH(INT($J86)&amp;"|"&amp;$F86,_怪物模型!$A$2:$A$4501,0))*IF($M86="",1,$M86),""))</f>
        <v>13991</v>
      </c>
      <c r="V86" s="22">
        <f t="shared" si="10"/>
        <v>0.368271432707747</v>
      </c>
      <c r="W86" s="23">
        <f t="shared" si="11"/>
        <v>156090.772375</v>
      </c>
      <c r="X86" s="23">
        <f t="shared" si="12"/>
        <v>0.305859747950294</v>
      </c>
      <c r="Y86" s="23">
        <f t="shared" si="13"/>
        <v>57.5237792263925</v>
      </c>
      <c r="Z86" s="24" t="str">
        <f t="shared" si="14"/>
        <v/>
      </c>
      <c r="AA86" s="6" t="str">
        <f t="shared" si="15"/>
        <v>已计算</v>
      </c>
      <c r="AB86" s="6" t="str">
        <f t="shared" si="16"/>
        <v>有效</v>
      </c>
      <c r="AC86" s="6" t="str">
        <f t="shared" si="17"/>
        <v/>
      </c>
      <c r="AD86" s="7" t="s">
        <v>400</v>
      </c>
    </row>
    <row r="87" ht="25" customHeight="1" spans="1:30">
      <c r="A87" s="6" t="s">
        <v>145</v>
      </c>
      <c r="B87" s="6" t="s">
        <v>51</v>
      </c>
      <c r="C87" s="7" t="s">
        <v>361</v>
      </c>
      <c r="D87" s="7" t="s">
        <v>401</v>
      </c>
      <c r="E87" s="7" t="s">
        <v>402</v>
      </c>
      <c r="F87" s="6" t="s">
        <v>149</v>
      </c>
      <c r="G87" s="16">
        <v>83</v>
      </c>
      <c r="H87" s="17"/>
      <c r="I87" s="18">
        <f t="shared" si="9"/>
        <v>83</v>
      </c>
      <c r="J87" s="19">
        <v>164</v>
      </c>
      <c r="K87" s="20"/>
      <c r="L87" s="20"/>
      <c r="M87" s="20"/>
      <c r="N87" s="20"/>
      <c r="O87" s="20"/>
      <c r="P87" s="20"/>
      <c r="Q87" s="21">
        <f>IF($I87="","",IFERROR(INDEX(_玩家曲线!$H$2:$H$286,MATCH($I87,_玩家曲线!$A$2:$A$286,0)),""))</f>
        <v>523110.198755171</v>
      </c>
      <c r="R87" s="21">
        <f>IF($I87="","",IFERROR(INDEX(_玩家曲线!$I$2:$I$286,MATCH($I87,_玩家曲线!$A$2:$A$286,0)),""))</f>
        <v>921244.439555273</v>
      </c>
      <c r="S87" s="21">
        <f>IF(OR($J87="",$F87="不适用"),"",IFERROR(INDEX(_怪物模型!$D$2:$D$4501,MATCH(INT($J87)&amp;"|"&amp;$F87,_怪物模型!$A$2:$A$4501,0))*IF($K87="",1,$K87),""))</f>
        <v>99983</v>
      </c>
      <c r="T87" s="21">
        <f>IF(OR($J87="",$F87="不适用"),"",IFERROR(INDEX(_怪物模型!$E$2:$E$4501,MATCH(INT($J87)&amp;"|"&amp;$F87,_怪物模型!$A$2:$A$4501,0))*IF($L87="",1,$L87),""))</f>
        <v>15858</v>
      </c>
      <c r="U87" s="21">
        <f>IF(OR($J87="",$F87="不适用"),"",IFERROR(INDEX(_怪物模型!$F$2:$F$4501,MATCH(INT($J87)&amp;"|"&amp;$F87,_怪物模型!$A$2:$A$4501,0))*IF($M87="",1,$M87),""))</f>
        <v>14092</v>
      </c>
      <c r="V87" s="22">
        <f t="shared" si="10"/>
        <v>0.369946445447863</v>
      </c>
      <c r="W87" s="23">
        <f t="shared" si="11"/>
        <v>158689.684833333</v>
      </c>
      <c r="X87" s="23">
        <f t="shared" si="12"/>
        <v>0.303358040449149</v>
      </c>
      <c r="Y87" s="23">
        <f t="shared" si="13"/>
        <v>58.0933560067646</v>
      </c>
      <c r="Z87" s="24" t="str">
        <f t="shared" si="14"/>
        <v/>
      </c>
      <c r="AA87" s="6" t="str">
        <f t="shared" si="15"/>
        <v>已计算</v>
      </c>
      <c r="AB87" s="6" t="str">
        <f t="shared" si="16"/>
        <v>有效</v>
      </c>
      <c r="AC87" s="6" t="str">
        <f t="shared" si="17"/>
        <v/>
      </c>
      <c r="AD87" s="7" t="s">
        <v>403</v>
      </c>
    </row>
    <row r="88" ht="25" customHeight="1" spans="1:30">
      <c r="A88" s="6" t="s">
        <v>145</v>
      </c>
      <c r="B88" s="6" t="s">
        <v>51</v>
      </c>
      <c r="C88" s="7" t="s">
        <v>361</v>
      </c>
      <c r="D88" s="7" t="s">
        <v>404</v>
      </c>
      <c r="E88" s="7" t="s">
        <v>405</v>
      </c>
      <c r="F88" s="6" t="s">
        <v>159</v>
      </c>
      <c r="G88" s="16">
        <v>84</v>
      </c>
      <c r="H88" s="17"/>
      <c r="I88" s="18">
        <f t="shared" si="9"/>
        <v>84</v>
      </c>
      <c r="J88" s="19">
        <v>168</v>
      </c>
      <c r="K88" s="20"/>
      <c r="L88" s="20"/>
      <c r="M88" s="20"/>
      <c r="N88" s="20"/>
      <c r="O88" s="20"/>
      <c r="P88" s="20"/>
      <c r="Q88" s="21">
        <f>IF($I88="","",IFERROR(INDEX(_玩家曲线!$H$2:$H$286,MATCH($I88,_玩家曲线!$A$2:$A$286,0)),""))</f>
        <v>535865.241932534</v>
      </c>
      <c r="R88" s="21">
        <f>IF($I88="","",IFERROR(INDEX(_玩家曲线!$I$2:$I$286,MATCH($I88,_玩家曲线!$A$2:$A$286,0)),""))</f>
        <v>940564.25914262</v>
      </c>
      <c r="S88" s="21">
        <f>IF(OR($J88="",$F88="不适用"),"",IFERROR(INDEX(_怪物模型!$D$2:$D$4501,MATCH(INT($J88)&amp;"|"&amp;$F88,_怪物模型!$A$2:$A$4501,0))*IF($K88="",1,$K88),""))</f>
        <v>10776140</v>
      </c>
      <c r="T88" s="21">
        <f>IF(OR($J88="",$F88="不适用"),"",IFERROR(INDEX(_怪物模型!$E$2:$E$4501,MATCH(INT($J88)&amp;"|"&amp;$F88,_怪物模型!$A$2:$A$4501,0))*IF($L88="",1,$L88),""))</f>
        <v>16597</v>
      </c>
      <c r="U88" s="21">
        <f>IF(OR($J88="",$F88="不适用"),"",IFERROR(INDEX(_怪物模型!$F$2:$F$4501,MATCH(INT($J88)&amp;"|"&amp;$F88,_怪物模型!$A$2:$A$4501,0))*IF($M88="",1,$M88),""))</f>
        <v>14498</v>
      </c>
      <c r="V88" s="22">
        <f t="shared" si="10"/>
        <v>0.376590991739831</v>
      </c>
      <c r="W88" s="23">
        <f t="shared" si="11"/>
        <v>17285826.5716667</v>
      </c>
      <c r="X88" s="23">
        <f t="shared" si="12"/>
        <v>32.2577865086517</v>
      </c>
      <c r="Y88" s="23">
        <f t="shared" si="13"/>
        <v>56.6707392385744</v>
      </c>
      <c r="Z88" s="24" t="str">
        <f t="shared" si="14"/>
        <v/>
      </c>
      <c r="AA88" s="6" t="str">
        <f t="shared" si="15"/>
        <v>已计算</v>
      </c>
      <c r="AB88" s="6" t="str">
        <f t="shared" si="16"/>
        <v>有效</v>
      </c>
      <c r="AC88" s="6" t="str">
        <f t="shared" si="17"/>
        <v/>
      </c>
      <c r="AD88" s="7" t="s">
        <v>406</v>
      </c>
    </row>
    <row r="89" ht="25" customHeight="1" spans="1:30">
      <c r="A89" s="6" t="s">
        <v>145</v>
      </c>
      <c r="B89" s="6" t="s">
        <v>51</v>
      </c>
      <c r="C89" s="7" t="s">
        <v>407</v>
      </c>
      <c r="D89" s="7" t="s">
        <v>408</v>
      </c>
      <c r="E89" s="7" t="s">
        <v>409</v>
      </c>
      <c r="F89" s="6" t="s">
        <v>149</v>
      </c>
      <c r="G89" s="16">
        <v>85</v>
      </c>
      <c r="H89" s="17"/>
      <c r="I89" s="18">
        <f t="shared" si="9"/>
        <v>85</v>
      </c>
      <c r="J89" s="19">
        <v>168</v>
      </c>
      <c r="K89" s="20"/>
      <c r="L89" s="20"/>
      <c r="M89" s="20"/>
      <c r="N89" s="20"/>
      <c r="O89" s="20"/>
      <c r="P89" s="20"/>
      <c r="Q89" s="21">
        <f>IF($I89="","",IFERROR(INDEX(_玩家曲线!$H$2:$H$286,MATCH($I89,_玩家曲线!$A$2:$A$286,0)),""))</f>
        <v>548594.405733353</v>
      </c>
      <c r="R89" s="21">
        <f>IF($I89="","",IFERROR(INDEX(_玩家曲线!$I$2:$I$286,MATCH($I89,_玩家曲线!$A$2:$A$286,0)),""))</f>
        <v>959754.584710681</v>
      </c>
      <c r="S89" s="21">
        <f>IF(OR($J89="",$F89="不适用"),"",IFERROR(INDEX(_怪物模型!$D$2:$D$4501,MATCH(INT($J89)&amp;"|"&amp;$F89,_怪物模型!$A$2:$A$4501,0))*IF($K89="",1,$K89),""))</f>
        <v>105627</v>
      </c>
      <c r="T89" s="21">
        <f>IF(OR($J89="",$F89="不适用"),"",IFERROR(INDEX(_怪物模型!$E$2:$E$4501,MATCH(INT($J89)&amp;"|"&amp;$F89,_怪物模型!$A$2:$A$4501,0))*IF($L89="",1,$L89),""))</f>
        <v>16597</v>
      </c>
      <c r="U89" s="21">
        <f>IF(OR($J89="",$F89="不适用"),"",IFERROR(INDEX(_怪物模型!$F$2:$F$4501,MATCH(INT($J89)&amp;"|"&amp;$F89,_怪物模型!$A$2:$A$4501,0))*IF($M89="",1,$M89),""))</f>
        <v>14498</v>
      </c>
      <c r="V89" s="22">
        <f t="shared" si="10"/>
        <v>0.376590991739831</v>
      </c>
      <c r="W89" s="23">
        <f t="shared" si="11"/>
        <v>169434.51025</v>
      </c>
      <c r="X89" s="23">
        <f t="shared" si="12"/>
        <v>0.30885205623543</v>
      </c>
      <c r="Y89" s="23">
        <f t="shared" si="13"/>
        <v>57.8269919088197</v>
      </c>
      <c r="Z89" s="24" t="str">
        <f t="shared" si="14"/>
        <v/>
      </c>
      <c r="AA89" s="6" t="str">
        <f t="shared" si="15"/>
        <v>已计算</v>
      </c>
      <c r="AB89" s="6" t="str">
        <f t="shared" si="16"/>
        <v>有效</v>
      </c>
      <c r="AC89" s="6" t="str">
        <f t="shared" si="17"/>
        <v/>
      </c>
      <c r="AD89" s="7" t="s">
        <v>410</v>
      </c>
    </row>
    <row r="90" ht="25" customHeight="1" spans="1:30">
      <c r="A90" s="6" t="s">
        <v>145</v>
      </c>
      <c r="B90" s="6" t="s">
        <v>51</v>
      </c>
      <c r="C90" s="7" t="s">
        <v>407</v>
      </c>
      <c r="D90" s="7" t="s">
        <v>411</v>
      </c>
      <c r="E90" s="7" t="s">
        <v>412</v>
      </c>
      <c r="F90" s="6" t="s">
        <v>149</v>
      </c>
      <c r="G90" s="16">
        <v>86</v>
      </c>
      <c r="H90" s="17"/>
      <c r="I90" s="18">
        <f t="shared" si="9"/>
        <v>86</v>
      </c>
      <c r="J90" s="19">
        <v>168</v>
      </c>
      <c r="K90" s="20"/>
      <c r="L90" s="20"/>
      <c r="M90" s="20"/>
      <c r="N90" s="20"/>
      <c r="O90" s="20"/>
      <c r="P90" s="20"/>
      <c r="Q90" s="21">
        <f>IF($I90="","",IFERROR(INDEX(_玩家曲线!$H$2:$H$286,MATCH($I90,_玩家曲线!$A$2:$A$286,0)),""))</f>
        <v>561292.666337797</v>
      </c>
      <c r="R90" s="21">
        <f>IF($I90="","",IFERROR(INDEX(_玩家曲线!$I$2:$I$286,MATCH($I90,_玩家曲线!$A$2:$A$286,0)),""))</f>
        <v>978810.548490182</v>
      </c>
      <c r="S90" s="21">
        <f>IF(OR($J90="",$F90="不适用"),"",IFERROR(INDEX(_怪物模型!$D$2:$D$4501,MATCH(INT($J90)&amp;"|"&amp;$F90,_怪物模型!$A$2:$A$4501,0))*IF($K90="",1,$K90),""))</f>
        <v>105627</v>
      </c>
      <c r="T90" s="21">
        <f>IF(OR($J90="",$F90="不适用"),"",IFERROR(INDEX(_怪物模型!$E$2:$E$4501,MATCH(INT($J90)&amp;"|"&amp;$F90,_怪物模型!$A$2:$A$4501,0))*IF($L90="",1,$L90),""))</f>
        <v>16597</v>
      </c>
      <c r="U90" s="21">
        <f>IF(OR($J90="",$F90="不适用"),"",IFERROR(INDEX(_怪物模型!$F$2:$F$4501,MATCH(INT($J90)&amp;"|"&amp;$F90,_怪物模型!$A$2:$A$4501,0))*IF($M90="",1,$M90),""))</f>
        <v>14498</v>
      </c>
      <c r="V90" s="22">
        <f t="shared" si="10"/>
        <v>0.376590991739831</v>
      </c>
      <c r="W90" s="23">
        <f t="shared" si="11"/>
        <v>169434.51025</v>
      </c>
      <c r="X90" s="23">
        <f t="shared" si="12"/>
        <v>0.30186482099524</v>
      </c>
      <c r="Y90" s="23">
        <f t="shared" si="13"/>
        <v>58.9751490323662</v>
      </c>
      <c r="Z90" s="24" t="str">
        <f t="shared" si="14"/>
        <v/>
      </c>
      <c r="AA90" s="6" t="str">
        <f t="shared" si="15"/>
        <v>已计算</v>
      </c>
      <c r="AB90" s="6" t="str">
        <f t="shared" si="16"/>
        <v>有效</v>
      </c>
      <c r="AC90" s="6" t="str">
        <f t="shared" si="17"/>
        <v/>
      </c>
      <c r="AD90" s="7" t="s">
        <v>413</v>
      </c>
    </row>
    <row r="91" ht="25" customHeight="1" spans="1:30">
      <c r="A91" s="6" t="s">
        <v>145</v>
      </c>
      <c r="B91" s="6" t="s">
        <v>51</v>
      </c>
      <c r="C91" s="7" t="s">
        <v>407</v>
      </c>
      <c r="D91" s="7" t="s">
        <v>414</v>
      </c>
      <c r="E91" s="7" t="s">
        <v>415</v>
      </c>
      <c r="F91" s="6" t="s">
        <v>149</v>
      </c>
      <c r="G91" s="16">
        <v>87</v>
      </c>
      <c r="H91" s="17"/>
      <c r="I91" s="18">
        <f t="shared" si="9"/>
        <v>87</v>
      </c>
      <c r="J91" s="19">
        <v>170</v>
      </c>
      <c r="K91" s="20"/>
      <c r="L91" s="20"/>
      <c r="M91" s="20"/>
      <c r="N91" s="20"/>
      <c r="O91" s="20"/>
      <c r="P91" s="20"/>
      <c r="Q91" s="21">
        <f>IF($I91="","",IFERROR(INDEX(_玩家曲线!$H$2:$H$286,MATCH($I91,_玩家曲线!$A$2:$A$286,0)),""))</f>
        <v>573955.17013778</v>
      </c>
      <c r="R91" s="21">
        <f>IF($I91="","",IFERROR(INDEX(_玩家曲线!$I$2:$I$286,MATCH($I91,_玩家曲线!$A$2:$A$286,0)),""))</f>
        <v>997727.567638128</v>
      </c>
      <c r="S91" s="21">
        <f>IF(OR($J91="",$F91="不适用"),"",IFERROR(INDEX(_怪物模型!$D$2:$D$4501,MATCH(INT($J91)&amp;"|"&amp;$F91,_怪物模型!$A$2:$A$4501,0))*IF($K91="",1,$K91),""))</f>
        <v>108534</v>
      </c>
      <c r="T91" s="21">
        <f>IF(OR($J91="",$F91="不适用"),"",IFERROR(INDEX(_怪物模型!$E$2:$E$4501,MATCH(INT($J91)&amp;"|"&amp;$F91,_怪物模型!$A$2:$A$4501,0))*IF($L91="",1,$L91),""))</f>
        <v>16975</v>
      </c>
      <c r="U91" s="21">
        <f>IF(OR($J91="",$F91="不适用"),"",IFERROR(INDEX(_怪物模型!$F$2:$F$4501,MATCH(INT($J91)&amp;"|"&amp;$F91,_怪物模型!$A$2:$A$4501,0))*IF($M91="",1,$M91),""))</f>
        <v>14702</v>
      </c>
      <c r="V91" s="22">
        <f t="shared" si="10"/>
        <v>0.379877008940106</v>
      </c>
      <c r="W91" s="23">
        <f t="shared" si="11"/>
        <v>175020.1195</v>
      </c>
      <c r="X91" s="23">
        <f t="shared" si="12"/>
        <v>0.304936915992909</v>
      </c>
      <c r="Y91" s="23">
        <f t="shared" si="13"/>
        <v>58.7762926443669</v>
      </c>
      <c r="Z91" s="24" t="str">
        <f t="shared" si="14"/>
        <v/>
      </c>
      <c r="AA91" s="6" t="str">
        <f t="shared" si="15"/>
        <v>已计算</v>
      </c>
      <c r="AB91" s="6" t="str">
        <f t="shared" si="16"/>
        <v>有效</v>
      </c>
      <c r="AC91" s="6" t="str">
        <f t="shared" si="17"/>
        <v/>
      </c>
      <c r="AD91" s="7" t="s">
        <v>416</v>
      </c>
    </row>
    <row r="92" ht="25" customHeight="1" spans="1:30">
      <c r="A92" s="6" t="s">
        <v>145</v>
      </c>
      <c r="B92" s="6" t="s">
        <v>51</v>
      </c>
      <c r="C92" s="7" t="s">
        <v>407</v>
      </c>
      <c r="D92" s="7" t="s">
        <v>417</v>
      </c>
      <c r="E92" s="7" t="s">
        <v>418</v>
      </c>
      <c r="F92" s="6" t="s">
        <v>149</v>
      </c>
      <c r="G92" s="16">
        <v>88</v>
      </c>
      <c r="H92" s="17"/>
      <c r="I92" s="18">
        <f t="shared" si="9"/>
        <v>88</v>
      </c>
      <c r="J92" s="19">
        <v>170</v>
      </c>
      <c r="K92" s="20"/>
      <c r="L92" s="20"/>
      <c r="M92" s="20"/>
      <c r="N92" s="20"/>
      <c r="O92" s="20"/>
      <c r="P92" s="20"/>
      <c r="Q92" s="21">
        <f>IF($I92="","",IFERROR(INDEX(_玩家曲线!$H$2:$H$286,MATCH($I92,_玩家曲线!$A$2:$A$286,0)),""))</f>
        <v>586577.233592305</v>
      </c>
      <c r="R92" s="21">
        <f>IF($I92="","",IFERROR(INDEX(_玩家曲线!$I$2:$I$286,MATCH($I92,_玩家曲线!$A$2:$A$286,0)),""))</f>
        <v>1016501.33597352</v>
      </c>
      <c r="S92" s="21">
        <f>IF(OR($J92="",$F92="不适用"),"",IFERROR(INDEX(_怪物模型!$D$2:$D$4501,MATCH(INT($J92)&amp;"|"&amp;$F92,_怪物模型!$A$2:$A$4501,0))*IF($K92="",1,$K92),""))</f>
        <v>108534</v>
      </c>
      <c r="T92" s="21">
        <f>IF(OR($J92="",$F92="不适用"),"",IFERROR(INDEX(_怪物模型!$E$2:$E$4501,MATCH(INT($J92)&amp;"|"&amp;$F92,_怪物模型!$A$2:$A$4501,0))*IF($L92="",1,$L92),""))</f>
        <v>16975</v>
      </c>
      <c r="U92" s="21">
        <f>IF(OR($J92="",$F92="不适用"),"",IFERROR(INDEX(_怪物模型!$F$2:$F$4501,MATCH(INT($J92)&amp;"|"&amp;$F92,_怪物模型!$A$2:$A$4501,0))*IF($M92="",1,$M92),""))</f>
        <v>14702</v>
      </c>
      <c r="V92" s="22">
        <f t="shared" si="10"/>
        <v>0.379877008940106</v>
      </c>
      <c r="W92" s="23">
        <f t="shared" si="11"/>
        <v>175020.1195</v>
      </c>
      <c r="X92" s="23">
        <f t="shared" si="12"/>
        <v>0.298375234286106</v>
      </c>
      <c r="Y92" s="23">
        <f t="shared" si="13"/>
        <v>59.8822583784106</v>
      </c>
      <c r="Z92" s="24" t="str">
        <f t="shared" si="14"/>
        <v/>
      </c>
      <c r="AA92" s="6" t="str">
        <f t="shared" si="15"/>
        <v>已计算</v>
      </c>
      <c r="AB92" s="6" t="str">
        <f t="shared" si="16"/>
        <v>有效</v>
      </c>
      <c r="AC92" s="6" t="str">
        <f t="shared" si="17"/>
        <v/>
      </c>
      <c r="AD92" s="7" t="s">
        <v>419</v>
      </c>
    </row>
    <row r="93" ht="25" customHeight="1" spans="1:30">
      <c r="A93" s="6" t="s">
        <v>145</v>
      </c>
      <c r="B93" s="6" t="s">
        <v>51</v>
      </c>
      <c r="C93" s="7" t="s">
        <v>407</v>
      </c>
      <c r="D93" s="7" t="s">
        <v>420</v>
      </c>
      <c r="E93" s="7" t="s">
        <v>421</v>
      </c>
      <c r="F93" s="6" t="s">
        <v>149</v>
      </c>
      <c r="G93" s="16">
        <v>89</v>
      </c>
      <c r="H93" s="17"/>
      <c r="I93" s="18">
        <f t="shared" si="9"/>
        <v>89</v>
      </c>
      <c r="J93" s="19">
        <v>172</v>
      </c>
      <c r="K93" s="20"/>
      <c r="L93" s="20"/>
      <c r="M93" s="20"/>
      <c r="N93" s="20"/>
      <c r="O93" s="20"/>
      <c r="P93" s="20"/>
      <c r="Q93" s="21">
        <f>IF($I93="","",IFERROR(INDEX(_玩家曲线!$H$2:$H$286,MATCH($I93,_玩家曲线!$A$2:$A$286,0)),""))</f>
        <v>599154.342761463</v>
      </c>
      <c r="R93" s="21">
        <f>IF($I93="","",IFERROR(INDEX(_玩家曲线!$I$2:$I$286,MATCH($I93,_玩家曲线!$A$2:$A$286,0)),""))</f>
        <v>1035127.81575273</v>
      </c>
      <c r="S93" s="21">
        <f>IF(OR($J93="",$F93="不适用"),"",IFERROR(INDEX(_怪物模型!$D$2:$D$4501,MATCH(INT($J93)&amp;"|"&amp;$F93,_怪物模型!$A$2:$A$4501,0))*IF($K93="",1,$K93),""))</f>
        <v>111498</v>
      </c>
      <c r="T93" s="21">
        <f>IF(OR($J93="",$F93="不适用"),"",IFERROR(INDEX(_怪物模型!$E$2:$E$4501,MATCH(INT($J93)&amp;"|"&amp;$F93,_怪物模型!$A$2:$A$4501,0))*IF($L93="",1,$L93),""))</f>
        <v>17358</v>
      </c>
      <c r="U93" s="21">
        <f>IF(OR($J93="",$F93="不适用"),"",IFERROR(INDEX(_怪物模型!$F$2:$F$4501,MATCH(INT($J93)&amp;"|"&amp;$F93,_怪物模型!$A$2:$A$4501,0))*IF($M93="",1,$M93),""))</f>
        <v>14906</v>
      </c>
      <c r="V93" s="22">
        <f t="shared" si="10"/>
        <v>0.383128566287976</v>
      </c>
      <c r="W93" s="23">
        <f t="shared" si="11"/>
        <v>180747.5495</v>
      </c>
      <c r="X93" s="23">
        <f t="shared" si="12"/>
        <v>0.3016710997486</v>
      </c>
      <c r="Y93" s="23">
        <f t="shared" si="13"/>
        <v>59.634048608868</v>
      </c>
      <c r="Z93" s="24" t="str">
        <f t="shared" si="14"/>
        <v/>
      </c>
      <c r="AA93" s="6" t="str">
        <f t="shared" si="15"/>
        <v>已计算</v>
      </c>
      <c r="AB93" s="6" t="str">
        <f t="shared" si="16"/>
        <v>有效</v>
      </c>
      <c r="AC93" s="6" t="str">
        <f t="shared" si="17"/>
        <v/>
      </c>
      <c r="AD93" s="7" t="s">
        <v>422</v>
      </c>
    </row>
    <row r="94" ht="25" customHeight="1" spans="1:30">
      <c r="A94" s="6" t="s">
        <v>145</v>
      </c>
      <c r="B94" s="6" t="s">
        <v>51</v>
      </c>
      <c r="C94" s="7" t="s">
        <v>407</v>
      </c>
      <c r="D94" s="7" t="s">
        <v>423</v>
      </c>
      <c r="E94" s="7" t="s">
        <v>424</v>
      </c>
      <c r="F94" s="6" t="s">
        <v>149</v>
      </c>
      <c r="G94" s="16">
        <v>90</v>
      </c>
      <c r="H94" s="17"/>
      <c r="I94" s="18">
        <f t="shared" si="9"/>
        <v>90</v>
      </c>
      <c r="J94" s="19">
        <v>173</v>
      </c>
      <c r="K94" s="20"/>
      <c r="L94" s="20"/>
      <c r="M94" s="20"/>
      <c r="N94" s="20"/>
      <c r="O94" s="20"/>
      <c r="P94" s="20"/>
      <c r="Q94" s="21">
        <f>IF($I94="","",IFERROR(INDEX(_玩家曲线!$H$2:$H$286,MATCH($I94,_玩家曲线!$A$2:$A$286,0)),""))</f>
        <v>611682.152540438</v>
      </c>
      <c r="R94" s="21">
        <f>IF($I94="","",IFERROR(INDEX(_玩家曲线!$I$2:$I$286,MATCH($I94,_玩家曲线!$A$2:$A$286,0)),""))</f>
        <v>1053603.22949915</v>
      </c>
      <c r="S94" s="21">
        <f>IF(OR($J94="",$F94="不适用"),"",IFERROR(INDEX(_怪物模型!$D$2:$D$4501,MATCH(INT($J94)&amp;"|"&amp;$F94,_怪物模型!$A$2:$A$4501,0))*IF($K94="",1,$K94),""))</f>
        <v>113002</v>
      </c>
      <c r="T94" s="21">
        <f>IF(OR($J94="",$F94="不适用"),"",IFERROR(INDEX(_怪物模型!$E$2:$E$4501,MATCH(INT($J94)&amp;"|"&amp;$F94,_怪物模型!$A$2:$A$4501,0))*IF($L94="",1,$L94),""))</f>
        <v>17552</v>
      </c>
      <c r="U94" s="21">
        <f>IF(OR($J94="",$F94="不适用"),"",IFERROR(INDEX(_怪物模型!$F$2:$F$4501,MATCH(INT($J94)&amp;"|"&amp;$F94,_怪物模型!$A$2:$A$4501,0))*IF($M94="",1,$M94),""))</f>
        <v>15009</v>
      </c>
      <c r="V94" s="22">
        <f t="shared" si="10"/>
        <v>0.384757363685303</v>
      </c>
      <c r="W94" s="23">
        <f t="shared" si="11"/>
        <v>183670.62575</v>
      </c>
      <c r="X94" s="23">
        <f t="shared" si="12"/>
        <v>0.300271350058489</v>
      </c>
      <c r="Y94" s="23">
        <f t="shared" si="13"/>
        <v>60.0275313069251</v>
      </c>
      <c r="Z94" s="24" t="str">
        <f t="shared" si="14"/>
        <v/>
      </c>
      <c r="AA94" s="6" t="str">
        <f t="shared" si="15"/>
        <v>已计算</v>
      </c>
      <c r="AB94" s="6" t="str">
        <f t="shared" si="16"/>
        <v>有效</v>
      </c>
      <c r="AC94" s="6" t="str">
        <f t="shared" si="17"/>
        <v/>
      </c>
      <c r="AD94" s="7" t="s">
        <v>425</v>
      </c>
    </row>
    <row r="95" ht="25" customHeight="1" spans="1:30">
      <c r="A95" s="6" t="s">
        <v>145</v>
      </c>
      <c r="B95" s="6" t="s">
        <v>51</v>
      </c>
      <c r="C95" s="7" t="s">
        <v>407</v>
      </c>
      <c r="D95" s="7" t="s">
        <v>426</v>
      </c>
      <c r="E95" s="7" t="s">
        <v>427</v>
      </c>
      <c r="F95" s="6" t="s">
        <v>149</v>
      </c>
      <c r="G95" s="16">
        <v>91</v>
      </c>
      <c r="H95" s="17"/>
      <c r="I95" s="18">
        <f t="shared" si="9"/>
        <v>91</v>
      </c>
      <c r="J95" s="19">
        <v>174</v>
      </c>
      <c r="K95" s="20"/>
      <c r="L95" s="20"/>
      <c r="M95" s="20"/>
      <c r="N95" s="20"/>
      <c r="O95" s="20"/>
      <c r="P95" s="20"/>
      <c r="Q95" s="21">
        <f>IF($I95="","",IFERROR(INDEX(_玩家曲线!$H$2:$H$286,MATCH($I95,_玩家曲线!$A$2:$A$286,0)),""))</f>
        <v>624156.485614279</v>
      </c>
      <c r="R95" s="21">
        <f>IF($I95="","",IFERROR(INDEX(_玩家曲线!$I$2:$I$286,MATCH($I95,_玩家曲线!$A$2:$A$286,0)),""))</f>
        <v>1071924.05190029</v>
      </c>
      <c r="S95" s="21">
        <f>IF(OR($J95="",$F95="不适用"),"",IFERROR(INDEX(_怪物模型!$D$2:$D$4501,MATCH(INT($J95)&amp;"|"&amp;$F95,_怪物模型!$A$2:$A$4501,0))*IF($K95="",1,$K95),""))</f>
        <v>114521</v>
      </c>
      <c r="T95" s="21">
        <f>IF(OR($J95="",$F95="不适用"),"",IFERROR(INDEX(_怪物模型!$E$2:$E$4501,MATCH(INT($J95)&amp;"|"&amp;$F95,_怪物模型!$A$2:$A$4501,0))*IF($L95="",1,$L95),""))</f>
        <v>17747</v>
      </c>
      <c r="U95" s="21">
        <f>IF(OR($J95="",$F95="不适用"),"",IFERROR(INDEX(_怪物模型!$F$2:$F$4501,MATCH(INT($J95)&amp;"|"&amp;$F95,_怪物模型!$A$2:$A$4501,0))*IF($M95="",1,$M95),""))</f>
        <v>15112</v>
      </c>
      <c r="V95" s="22">
        <f t="shared" si="10"/>
        <v>0.386377582327674</v>
      </c>
      <c r="W95" s="23">
        <f t="shared" si="11"/>
        <v>186631.056333333</v>
      </c>
      <c r="X95" s="23">
        <f t="shared" si="12"/>
        <v>0.299013245291613</v>
      </c>
      <c r="Y95" s="23">
        <f t="shared" si="13"/>
        <v>60.4002959317231</v>
      </c>
      <c r="Z95" s="24" t="str">
        <f t="shared" si="14"/>
        <v/>
      </c>
      <c r="AA95" s="6" t="str">
        <f t="shared" si="15"/>
        <v>已计算</v>
      </c>
      <c r="AB95" s="6" t="str">
        <f t="shared" si="16"/>
        <v>有效</v>
      </c>
      <c r="AC95" s="6" t="str">
        <f t="shared" si="17"/>
        <v/>
      </c>
      <c r="AD95" s="7" t="s">
        <v>428</v>
      </c>
    </row>
    <row r="96" ht="25" customHeight="1" spans="1:30">
      <c r="A96" s="6" t="s">
        <v>145</v>
      </c>
      <c r="B96" s="6" t="s">
        <v>51</v>
      </c>
      <c r="C96" s="7" t="s">
        <v>407</v>
      </c>
      <c r="D96" s="7" t="s">
        <v>429</v>
      </c>
      <c r="E96" s="7" t="s">
        <v>430</v>
      </c>
      <c r="F96" s="6" t="s">
        <v>149</v>
      </c>
      <c r="G96" s="16">
        <v>92</v>
      </c>
      <c r="H96" s="17"/>
      <c r="I96" s="18">
        <f t="shared" si="9"/>
        <v>92</v>
      </c>
      <c r="J96" s="19">
        <v>175</v>
      </c>
      <c r="K96" s="20"/>
      <c r="L96" s="20"/>
      <c r="M96" s="20"/>
      <c r="N96" s="20"/>
      <c r="O96" s="20"/>
      <c r="P96" s="20"/>
      <c r="Q96" s="21">
        <f>IF($I96="","",IFERROR(INDEX(_玩家曲线!$H$2:$H$286,MATCH($I96,_玩家曲线!$A$2:$A$286,0)),""))</f>
        <v>636573.331153548</v>
      </c>
      <c r="R96" s="21">
        <f>IF($I96="","",IFERROR(INDEX(_玩家曲线!$I$2:$I$286,MATCH($I96,_玩家曲线!$A$2:$A$286,0)),""))</f>
        <v>1090087.00178438</v>
      </c>
      <c r="S96" s="21">
        <f>IF(OR($J96="",$F96="不适用"),"",IFERROR(INDEX(_怪物模型!$D$2:$D$4501,MATCH(INT($J96)&amp;"|"&amp;$F96,_怪物模型!$A$2:$A$4501,0))*IF($K96="",1,$K96),""))</f>
        <v>116054</v>
      </c>
      <c r="T96" s="21">
        <f>IF(OR($J96="",$F96="不适用"),"",IFERROR(INDEX(_怪物模型!$E$2:$E$4501,MATCH(INT($J96)&amp;"|"&amp;$F96,_怪物模型!$A$2:$A$4501,0))*IF($L96="",1,$L96),""))</f>
        <v>17943</v>
      </c>
      <c r="U96" s="21">
        <f>IF(OR($J96="",$F96="不适用"),"",IFERROR(INDEX(_怪物模型!$F$2:$F$4501,MATCH(INT($J96)&amp;"|"&amp;$F96,_怪物模型!$A$2:$A$4501,0))*IF($M96="",1,$M96),""))</f>
        <v>15215</v>
      </c>
      <c r="V96" s="22">
        <f t="shared" si="10"/>
        <v>0.387989289812572</v>
      </c>
      <c r="W96" s="23">
        <f t="shared" si="11"/>
        <v>189627.400416667</v>
      </c>
      <c r="X96" s="23">
        <f t="shared" si="12"/>
        <v>0.297887754853064</v>
      </c>
      <c r="Y96" s="23">
        <f t="shared" si="13"/>
        <v>60.7527727684546</v>
      </c>
      <c r="Z96" s="24" t="str">
        <f t="shared" si="14"/>
        <v/>
      </c>
      <c r="AA96" s="6" t="str">
        <f t="shared" si="15"/>
        <v>已计算</v>
      </c>
      <c r="AB96" s="6" t="str">
        <f t="shared" si="16"/>
        <v>有效</v>
      </c>
      <c r="AC96" s="6" t="str">
        <f t="shared" si="17"/>
        <v/>
      </c>
      <c r="AD96" s="7" t="s">
        <v>431</v>
      </c>
    </row>
    <row r="97" ht="25" customHeight="1" spans="1:30">
      <c r="A97" s="6" t="s">
        <v>145</v>
      </c>
      <c r="B97" s="6" t="s">
        <v>51</v>
      </c>
      <c r="C97" s="7" t="s">
        <v>407</v>
      </c>
      <c r="D97" s="7" t="s">
        <v>432</v>
      </c>
      <c r="E97" s="7" t="s">
        <v>433</v>
      </c>
      <c r="F97" s="6" t="s">
        <v>149</v>
      </c>
      <c r="G97" s="16">
        <v>93</v>
      </c>
      <c r="H97" s="17"/>
      <c r="I97" s="18">
        <f t="shared" si="9"/>
        <v>93</v>
      </c>
      <c r="J97" s="19">
        <v>177</v>
      </c>
      <c r="K97" s="20"/>
      <c r="L97" s="20"/>
      <c r="M97" s="20"/>
      <c r="N97" s="20"/>
      <c r="O97" s="20"/>
      <c r="P97" s="20"/>
      <c r="Q97" s="21">
        <f>IF($I97="","",IFERROR(INDEX(_玩家曲线!$H$2:$H$286,MATCH($I97,_玩家曲线!$A$2:$A$286,0)),""))</f>
        <v>648928.843270271</v>
      </c>
      <c r="R97" s="21">
        <f>IF($I97="","",IFERROR(INDEX(_玩家曲线!$I$2:$I$286,MATCH($I97,_玩家曲线!$A$2:$A$286,0)),""))</f>
        <v>1108089.03418725</v>
      </c>
      <c r="S97" s="21">
        <f>IF(OR($J97="",$F97="不适用"),"",IFERROR(INDEX(_怪物模型!$D$2:$D$4501,MATCH(INT($J97)&amp;"|"&amp;$F97,_怪物模型!$A$2:$A$4501,0))*IF($K97="",1,$K97),""))</f>
        <v>119165</v>
      </c>
      <c r="T97" s="21">
        <f>IF(OR($J97="",$F97="不适用"),"",IFERROR(INDEX(_怪物模型!$E$2:$E$4501,MATCH(INT($J97)&amp;"|"&amp;$F97,_怪物模型!$A$2:$A$4501,0))*IF($L97="",1,$L97),""))</f>
        <v>18340</v>
      </c>
      <c r="U97" s="21">
        <f>IF(OR($J97="",$F97="不适用"),"",IFERROR(INDEX(_怪物模型!$F$2:$F$4501,MATCH(INT($J97)&amp;"|"&amp;$F97,_怪物模型!$A$2:$A$4501,0))*IF($M97="",1,$M97),""))</f>
        <v>15421</v>
      </c>
      <c r="V97" s="22">
        <f t="shared" si="10"/>
        <v>0.391187438167474</v>
      </c>
      <c r="W97" s="23">
        <f t="shared" si="11"/>
        <v>195733.477708333</v>
      </c>
      <c r="X97" s="23">
        <f t="shared" si="12"/>
        <v>0.301625485965358</v>
      </c>
      <c r="Y97" s="23">
        <f t="shared" si="13"/>
        <v>60.419249410428</v>
      </c>
      <c r="Z97" s="24" t="str">
        <f t="shared" si="14"/>
        <v/>
      </c>
      <c r="AA97" s="6" t="str">
        <f t="shared" si="15"/>
        <v>已计算</v>
      </c>
      <c r="AB97" s="6" t="str">
        <f t="shared" si="16"/>
        <v>有效</v>
      </c>
      <c r="AC97" s="6" t="str">
        <f t="shared" si="17"/>
        <v/>
      </c>
      <c r="AD97" s="7" t="s">
        <v>434</v>
      </c>
    </row>
    <row r="98" ht="25" customHeight="1" spans="1:30">
      <c r="A98" s="6" t="s">
        <v>145</v>
      </c>
      <c r="B98" s="6" t="s">
        <v>51</v>
      </c>
      <c r="C98" s="7" t="s">
        <v>407</v>
      </c>
      <c r="D98" s="7" t="s">
        <v>435</v>
      </c>
      <c r="E98" s="7" t="s">
        <v>436</v>
      </c>
      <c r="F98" s="6" t="s">
        <v>149</v>
      </c>
      <c r="G98" s="16">
        <v>94</v>
      </c>
      <c r="H98" s="17"/>
      <c r="I98" s="18">
        <f t="shared" si="9"/>
        <v>94</v>
      </c>
      <c r="J98" s="19">
        <v>178</v>
      </c>
      <c r="K98" s="20"/>
      <c r="L98" s="20"/>
      <c r="M98" s="20"/>
      <c r="N98" s="20"/>
      <c r="O98" s="20"/>
      <c r="P98" s="20"/>
      <c r="Q98" s="21">
        <f>IF($I98="","",IFERROR(INDEX(_玩家曲线!$H$2:$H$286,MATCH($I98,_玩家曲线!$A$2:$A$286,0)),""))</f>
        <v>661219.339252962</v>
      </c>
      <c r="R98" s="21">
        <f>IF($I98="","",IFERROR(INDEX(_玩家曲线!$I$2:$I$286,MATCH($I98,_玩家曲线!$A$2:$A$286,0)),""))</f>
        <v>1125927.33251912</v>
      </c>
      <c r="S98" s="21">
        <f>IF(OR($J98="",$F98="不适用"),"",IFERROR(INDEX(_怪物模型!$D$2:$D$4501,MATCH(INT($J98)&amp;"|"&amp;$F98,_怪物模型!$A$2:$A$4501,0))*IF($K98="",1,$K98),""))</f>
        <v>120744</v>
      </c>
      <c r="T98" s="21">
        <f>IF(OR($J98="",$F98="不适用"),"",IFERROR(INDEX(_怪物模型!$E$2:$E$4501,MATCH(INT($J98)&amp;"|"&amp;$F98,_怪物模型!$A$2:$A$4501,0))*IF($L98="",1,$L98),""))</f>
        <v>18540</v>
      </c>
      <c r="U98" s="21">
        <f>IF(OR($J98="",$F98="不适用"),"",IFERROR(INDEX(_怪物模型!$F$2:$F$4501,MATCH(INT($J98)&amp;"|"&amp;$F98,_怪物模型!$A$2:$A$4501,0))*IF($M98="",1,$M98),""))</f>
        <v>15525</v>
      </c>
      <c r="V98" s="22">
        <f t="shared" si="10"/>
        <v>0.392789373814042</v>
      </c>
      <c r="W98" s="23">
        <f t="shared" si="11"/>
        <v>198850.275</v>
      </c>
      <c r="X98" s="23">
        <f t="shared" si="12"/>
        <v>0.300732696694351</v>
      </c>
      <c r="Y98" s="23">
        <f t="shared" si="13"/>
        <v>60.7296295857131</v>
      </c>
      <c r="Z98" s="24" t="str">
        <f t="shared" si="14"/>
        <v/>
      </c>
      <c r="AA98" s="6" t="str">
        <f t="shared" si="15"/>
        <v>已计算</v>
      </c>
      <c r="AB98" s="6" t="str">
        <f t="shared" si="16"/>
        <v>有效</v>
      </c>
      <c r="AC98" s="6" t="str">
        <f t="shared" si="17"/>
        <v/>
      </c>
      <c r="AD98" s="7" t="s">
        <v>437</v>
      </c>
    </row>
    <row r="99" ht="25" customHeight="1" spans="1:30">
      <c r="A99" s="6" t="s">
        <v>145</v>
      </c>
      <c r="B99" s="6" t="s">
        <v>51</v>
      </c>
      <c r="C99" s="7" t="s">
        <v>407</v>
      </c>
      <c r="D99" s="7" t="s">
        <v>438</v>
      </c>
      <c r="E99" s="7" t="s">
        <v>439</v>
      </c>
      <c r="F99" s="6" t="s">
        <v>149</v>
      </c>
      <c r="G99" s="16">
        <v>95</v>
      </c>
      <c r="H99" s="17"/>
      <c r="I99" s="18">
        <f t="shared" si="9"/>
        <v>95</v>
      </c>
      <c r="J99" s="19">
        <v>180</v>
      </c>
      <c r="K99" s="20"/>
      <c r="L99" s="20"/>
      <c r="M99" s="20"/>
      <c r="N99" s="20"/>
      <c r="O99" s="20"/>
      <c r="P99" s="20"/>
      <c r="Q99" s="21">
        <f>IF($I99="","",IFERROR(INDEX(_玩家曲线!$H$2:$H$286,MATCH($I99,_玩家曲线!$A$2:$A$286,0)),""))</f>
        <v>673441.29759876</v>
      </c>
      <c r="R99" s="21">
        <f>IF($I99="","",IFERROR(INDEX(_玩家曲线!$I$2:$I$286,MATCH($I99,_玩家曲线!$A$2:$A$286,0)),""))</f>
        <v>1143599.30084008</v>
      </c>
      <c r="S99" s="21">
        <f>IF(OR($J99="",$F99="不适用"),"",IFERROR(INDEX(_怪物模型!$D$2:$D$4501,MATCH(INT($J99)&amp;"|"&amp;$F99,_怪物模型!$A$2:$A$4501,0))*IF($K99="",1,$K99),""))</f>
        <v>123946</v>
      </c>
      <c r="T99" s="21">
        <f>IF(OR($J99="",$F99="不适用"),"",IFERROR(INDEX(_怪物模型!$E$2:$E$4501,MATCH(INT($J99)&amp;"|"&amp;$F99,_怪物模型!$A$2:$A$4501,0))*IF($L99="",1,$L99),""))</f>
        <v>18946</v>
      </c>
      <c r="U99" s="21">
        <f>IF(OR($J99="",$F99="不适用"),"",IFERROR(INDEX(_怪物模型!$F$2:$F$4501,MATCH(INT($J99)&amp;"|"&amp;$F99,_怪物模型!$A$2:$A$4501,0))*IF($M99="",1,$M99),""))</f>
        <v>15732</v>
      </c>
      <c r="V99" s="22">
        <f t="shared" si="10"/>
        <v>0.395952884324977</v>
      </c>
      <c r="W99" s="23">
        <f t="shared" si="11"/>
        <v>205192.603</v>
      </c>
      <c r="X99" s="23">
        <f t="shared" si="12"/>
        <v>0.304692634282513</v>
      </c>
      <c r="Y99" s="23">
        <f t="shared" si="13"/>
        <v>60.3609891713333</v>
      </c>
      <c r="Z99" s="24" t="str">
        <f t="shared" si="14"/>
        <v/>
      </c>
      <c r="AA99" s="6" t="str">
        <f t="shared" si="15"/>
        <v>已计算</v>
      </c>
      <c r="AB99" s="6" t="str">
        <f t="shared" si="16"/>
        <v>有效</v>
      </c>
      <c r="AC99" s="6" t="str">
        <f t="shared" si="17"/>
        <v/>
      </c>
      <c r="AD99" s="7" t="s">
        <v>440</v>
      </c>
    </row>
    <row r="100" ht="25" customHeight="1" spans="1:30">
      <c r="A100" s="6" t="s">
        <v>145</v>
      </c>
      <c r="B100" s="6" t="s">
        <v>51</v>
      </c>
      <c r="C100" s="7" t="s">
        <v>407</v>
      </c>
      <c r="D100" s="7" t="s">
        <v>441</v>
      </c>
      <c r="E100" s="7" t="s">
        <v>442</v>
      </c>
      <c r="F100" s="6" t="s">
        <v>149</v>
      </c>
      <c r="G100" s="16">
        <v>96</v>
      </c>
      <c r="H100" s="17"/>
      <c r="I100" s="18">
        <f t="shared" si="9"/>
        <v>96</v>
      </c>
      <c r="J100" s="19">
        <v>180</v>
      </c>
      <c r="K100" s="20"/>
      <c r="L100" s="20"/>
      <c r="M100" s="20"/>
      <c r="N100" s="20"/>
      <c r="O100" s="20"/>
      <c r="P100" s="20"/>
      <c r="Q100" s="21">
        <f>IF($I100="","",IFERROR(INDEX(_玩家曲线!$H$2:$H$286,MATCH($I100,_玩家曲线!$A$2:$A$286,0)),""))</f>
        <v>685591.355860024</v>
      </c>
      <c r="R100" s="21">
        <f>IF($I100="","",IFERROR(INDEX(_玩家曲线!$I$2:$I$286,MATCH($I100,_玩家曲线!$A$2:$A$286,0)),""))</f>
        <v>1161102.55625193</v>
      </c>
      <c r="S100" s="21">
        <f>IF(OR($J100="",$F100="不适用"),"",IFERROR(INDEX(_怪物模型!$D$2:$D$4501,MATCH(INT($J100)&amp;"|"&amp;$F100,_怪物模型!$A$2:$A$4501,0))*IF($K100="",1,$K100),""))</f>
        <v>123946</v>
      </c>
      <c r="T100" s="21">
        <f>IF(OR($J100="",$F100="不适用"),"",IFERROR(INDEX(_怪物模型!$E$2:$E$4501,MATCH(INT($J100)&amp;"|"&amp;$F100,_怪物模型!$A$2:$A$4501,0))*IF($L100="",1,$L100),""))</f>
        <v>18946</v>
      </c>
      <c r="U100" s="21">
        <f>IF(OR($J100="",$F100="不适用"),"",IFERROR(INDEX(_怪物模型!$F$2:$F$4501,MATCH(INT($J100)&amp;"|"&amp;$F100,_怪物模型!$A$2:$A$4501,0))*IF($M100="",1,$M100),""))</f>
        <v>15732</v>
      </c>
      <c r="V100" s="22">
        <f t="shared" si="10"/>
        <v>0.395952884324977</v>
      </c>
      <c r="W100" s="23">
        <f t="shared" si="11"/>
        <v>205192.603</v>
      </c>
      <c r="X100" s="23">
        <f t="shared" si="12"/>
        <v>0.299292867750062</v>
      </c>
      <c r="Y100" s="23">
        <f t="shared" si="13"/>
        <v>61.2848388183221</v>
      </c>
      <c r="Z100" s="24" t="str">
        <f t="shared" si="14"/>
        <v/>
      </c>
      <c r="AA100" s="6" t="str">
        <f t="shared" si="15"/>
        <v>已计算</v>
      </c>
      <c r="AB100" s="6" t="str">
        <f t="shared" si="16"/>
        <v>有效</v>
      </c>
      <c r="AC100" s="6" t="str">
        <f t="shared" si="17"/>
        <v/>
      </c>
      <c r="AD100" s="7" t="s">
        <v>443</v>
      </c>
    </row>
    <row r="101" ht="25" customHeight="1" spans="1:30">
      <c r="A101" s="6" t="s">
        <v>145</v>
      </c>
      <c r="B101" s="6" t="s">
        <v>51</v>
      </c>
      <c r="C101" s="7" t="s">
        <v>407</v>
      </c>
      <c r="D101" s="7" t="s">
        <v>444</v>
      </c>
      <c r="E101" s="7" t="s">
        <v>445</v>
      </c>
      <c r="F101" s="6" t="s">
        <v>149</v>
      </c>
      <c r="G101" s="16">
        <v>97</v>
      </c>
      <c r="H101" s="17"/>
      <c r="I101" s="18">
        <f t="shared" si="9"/>
        <v>97</v>
      </c>
      <c r="J101" s="19">
        <v>181</v>
      </c>
      <c r="K101" s="20"/>
      <c r="L101" s="20"/>
      <c r="M101" s="20"/>
      <c r="N101" s="20"/>
      <c r="O101" s="20"/>
      <c r="P101" s="20"/>
      <c r="Q101" s="21">
        <f>IF($I101="","",IFERROR(INDEX(_玩家曲线!$H$2:$H$286,MATCH($I101,_玩家曲线!$A$2:$A$286,0)),""))</f>
        <v>697666.308322013</v>
      </c>
      <c r="R101" s="21">
        <f>IF($I101="","",IFERROR(INDEX(_玩家曲线!$I$2:$I$286,MATCH($I101,_玩家曲线!$A$2:$A$286,0)),""))</f>
        <v>1178434.92141308</v>
      </c>
      <c r="S101" s="21">
        <f>IF(OR($J101="",$F101="不适用"),"",IFERROR(INDEX(_怪物模型!$D$2:$D$4501,MATCH(INT($J101)&amp;"|"&amp;$F101,_怪物模型!$A$2:$A$4501,0))*IF($K101="",1,$K101),""))</f>
        <v>125570</v>
      </c>
      <c r="T101" s="21">
        <f>IF(OR($J101="",$F101="不适用"),"",IFERROR(INDEX(_怪物模型!$E$2:$E$4501,MATCH(INT($J101)&amp;"|"&amp;$F101,_怪物模型!$A$2:$A$4501,0))*IF($L101="",1,$L101),""))</f>
        <v>19150</v>
      </c>
      <c r="U101" s="21">
        <f>IF(OR($J101="",$F101="不适用"),"",IFERROR(INDEX(_怪物模型!$F$2:$F$4501,MATCH(INT($J101)&amp;"|"&amp;$F101,_怪物模型!$A$2:$A$4501,0))*IF($M101="",1,$M101),""))</f>
        <v>15837</v>
      </c>
      <c r="V101" s="22">
        <f t="shared" si="10"/>
        <v>0.397544995858122</v>
      </c>
      <c r="W101" s="23">
        <f t="shared" si="11"/>
        <v>208430.50375</v>
      </c>
      <c r="X101" s="23">
        <f t="shared" si="12"/>
        <v>0.298753861643835</v>
      </c>
      <c r="Y101" s="23">
        <f t="shared" si="13"/>
        <v>61.5370716142601</v>
      </c>
      <c r="Z101" s="24" t="str">
        <f t="shared" si="14"/>
        <v/>
      </c>
      <c r="AA101" s="6" t="str">
        <f t="shared" si="15"/>
        <v>已计算</v>
      </c>
      <c r="AB101" s="6" t="str">
        <f t="shared" si="16"/>
        <v>有效</v>
      </c>
      <c r="AC101" s="6" t="str">
        <f t="shared" si="17"/>
        <v/>
      </c>
      <c r="AD101" s="7" t="s">
        <v>446</v>
      </c>
    </row>
    <row r="102" ht="25" customHeight="1" spans="1:30">
      <c r="A102" s="6" t="s">
        <v>145</v>
      </c>
      <c r="B102" s="6" t="s">
        <v>51</v>
      </c>
      <c r="C102" s="7" t="s">
        <v>407</v>
      </c>
      <c r="D102" s="7" t="s">
        <v>447</v>
      </c>
      <c r="E102" s="7" t="s">
        <v>448</v>
      </c>
      <c r="F102" s="6" t="s">
        <v>149</v>
      </c>
      <c r="G102" s="16">
        <v>98</v>
      </c>
      <c r="H102" s="17"/>
      <c r="I102" s="18">
        <f t="shared" si="9"/>
        <v>98</v>
      </c>
      <c r="J102" s="19">
        <v>183</v>
      </c>
      <c r="K102" s="20"/>
      <c r="L102" s="20"/>
      <c r="M102" s="20"/>
      <c r="N102" s="20"/>
      <c r="O102" s="20"/>
      <c r="P102" s="20"/>
      <c r="Q102" s="21">
        <f>IF($I102="","",IFERROR(INDEX(_玩家曲线!$H$2:$H$286,MATCH($I102,_玩家曲线!$A$2:$A$286,0)),""))</f>
        <v>709663.103527572</v>
      </c>
      <c r="R102" s="21">
        <f>IF($I102="","",IFERROR(INDEX(_玩家曲线!$I$2:$I$286,MATCH($I102,_玩家曲线!$A$2:$A$286,0)),""))</f>
        <v>1195594.41718271</v>
      </c>
      <c r="S102" s="21">
        <f>IF(OR($J102="",$F102="不适用"),"",IFERROR(INDEX(_怪物模型!$D$2:$D$4501,MATCH(INT($J102)&amp;"|"&amp;$F102,_怪物模型!$A$2:$A$4501,0))*IF($K102="",1,$K102),""))</f>
        <v>128864</v>
      </c>
      <c r="T102" s="21">
        <f>IF(OR($J102="",$F102="不适用"),"",IFERROR(INDEX(_怪物模型!$E$2:$E$4501,MATCH(INT($J102)&amp;"|"&amp;$F102,_怪物模型!$A$2:$A$4501,0))*IF($L102="",1,$L102),""))</f>
        <v>19564</v>
      </c>
      <c r="U102" s="21">
        <f>IF(OR($J102="",$F102="不适用"),"",IFERROR(INDEX(_怪物模型!$F$2:$F$4501,MATCH(INT($J102)&amp;"|"&amp;$F102,_怪物模型!$A$2:$A$4501,0))*IF($M102="",1,$M102),""))</f>
        <v>16045</v>
      </c>
      <c r="V102" s="22">
        <f t="shared" si="10"/>
        <v>0.400674241478337</v>
      </c>
      <c r="W102" s="23">
        <f t="shared" si="11"/>
        <v>215014.953333333</v>
      </c>
      <c r="X102" s="23">
        <f t="shared" si="12"/>
        <v>0.302981727899539</v>
      </c>
      <c r="Y102" s="23">
        <f t="shared" si="13"/>
        <v>61.1119616225061</v>
      </c>
      <c r="Z102" s="24" t="str">
        <f t="shared" si="14"/>
        <v/>
      </c>
      <c r="AA102" s="6" t="str">
        <f t="shared" si="15"/>
        <v>已计算</v>
      </c>
      <c r="AB102" s="6" t="str">
        <f t="shared" si="16"/>
        <v>有效</v>
      </c>
      <c r="AC102" s="6" t="str">
        <f t="shared" si="17"/>
        <v/>
      </c>
      <c r="AD102" s="7" t="s">
        <v>449</v>
      </c>
    </row>
    <row r="103" ht="25" customHeight="1" spans="1:30">
      <c r="A103" s="6" t="s">
        <v>145</v>
      </c>
      <c r="B103" s="6" t="s">
        <v>51</v>
      </c>
      <c r="C103" s="7" t="s">
        <v>407</v>
      </c>
      <c r="D103" s="7" t="s">
        <v>450</v>
      </c>
      <c r="E103" s="7" t="s">
        <v>451</v>
      </c>
      <c r="F103" s="6" t="s">
        <v>159</v>
      </c>
      <c r="G103" s="16">
        <v>99</v>
      </c>
      <c r="H103" s="17"/>
      <c r="I103" s="18">
        <f t="shared" si="9"/>
        <v>99</v>
      </c>
      <c r="J103" s="19">
        <v>187</v>
      </c>
      <c r="K103" s="20"/>
      <c r="L103" s="20"/>
      <c r="M103" s="20"/>
      <c r="N103" s="20"/>
      <c r="O103" s="20"/>
      <c r="P103" s="20"/>
      <c r="Q103" s="21">
        <f>IF($I103="","",IFERROR(INDEX(_玩家曲线!$H$2:$H$286,MATCH($I103,_玩家曲线!$A$2:$A$286,0)),""))</f>
        <v>721578.841664009</v>
      </c>
      <c r="R103" s="21">
        <f>IF($I103="","",IFERROR(INDEX(_玩家曲线!$I$2:$I$286,MATCH($I103,_玩家曲线!$A$2:$A$286,0)),""))</f>
        <v>1212579.25539915</v>
      </c>
      <c r="S103" s="21">
        <f>IF(OR($J103="",$F103="不适用"),"",IFERROR(INDEX(_怪物模型!$D$2:$D$4501,MATCH(INT($J103)&amp;"|"&amp;$F103,_怪物模型!$A$2:$A$4501,0))*IF($K103="",1,$K103),""))</f>
        <v>14140529</v>
      </c>
      <c r="T103" s="21">
        <f>IF(OR($J103="",$F103="不适用"),"",IFERROR(INDEX(_怪物模型!$E$2:$E$4501,MATCH(INT($J103)&amp;"|"&amp;$F103,_怪物模型!$A$2:$A$4501,0))*IF($L103="",1,$L103),""))</f>
        <v>20409</v>
      </c>
      <c r="U103" s="21">
        <f>IF(OR($J103="",$F103="不适用"),"",IFERROR(INDEX(_怪物模型!$F$2:$F$4501,MATCH(INT($J103)&amp;"|"&amp;$F103,_怪物模型!$A$2:$A$4501,0))*IF($M103="",1,$M103),""))</f>
        <v>16465</v>
      </c>
      <c r="V103" s="22">
        <f t="shared" si="10"/>
        <v>0.406894847398987</v>
      </c>
      <c r="W103" s="23">
        <f t="shared" si="11"/>
        <v>23841521.0827083</v>
      </c>
      <c r="X103" s="23">
        <f t="shared" si="12"/>
        <v>33.0407707461713</v>
      </c>
      <c r="Y103" s="23">
        <f t="shared" si="13"/>
        <v>59.4139475427091</v>
      </c>
      <c r="Z103" s="24" t="str">
        <f t="shared" si="14"/>
        <v/>
      </c>
      <c r="AA103" s="6" t="str">
        <f t="shared" si="15"/>
        <v>已计算</v>
      </c>
      <c r="AB103" s="6" t="str">
        <f t="shared" si="16"/>
        <v>有效</v>
      </c>
      <c r="AC103" s="6" t="str">
        <f t="shared" si="17"/>
        <v/>
      </c>
      <c r="AD103" s="7" t="s">
        <v>452</v>
      </c>
    </row>
    <row r="104" ht="25" customHeight="1"/>
    <row r="105" ht="25" customHeight="1"/>
    <row r="106" ht="25" customHeight="1"/>
    <row r="107" ht="25" customHeight="1"/>
    <row r="108" ht="25" customHeight="1"/>
    <row r="109" ht="25" customHeight="1"/>
  </sheetData>
  <mergeCells count="3">
    <mergeCell ref="A1:AD1"/>
    <mergeCell ref="A2:AD2"/>
    <mergeCell ref="A3:AD3"/>
  </mergeCells>
  <conditionalFormatting sqref="J5:J103">
    <cfRule type="expression" dxfId="2" priority="1">
      <formula>AND($A5&lt;&gt;"特殊：双方属性对算",$J5="")</formula>
    </cfRule>
  </conditionalFormatting>
  <conditionalFormatting sqref="AA5:AA103">
    <cfRule type="expression" dxfId="0" priority="3">
      <formula>$AA5="适中"</formula>
    </cfRule>
    <cfRule type="expression" dxfId="3" priority="4">
      <formula>$AA5="偏难"</formula>
    </cfRule>
    <cfRule type="expression" dxfId="1" priority="5">
      <formula>$AA5="过难"</formula>
    </cfRule>
    <cfRule type="expression" dxfId="1" priority="6">
      <formula>$AA5="生存不成立"</formula>
    </cfRule>
  </conditionalFormatting>
  <conditionalFormatting sqref="AB5:AB103">
    <cfRule type="expression" dxfId="4" priority="2">
      <formula>$AB5="超范围"</formula>
    </cfRule>
  </conditionalFormatting>
  <conditionalFormatting sqref="AC5:AC103">
    <cfRule type="expression" dxfId="4" priority="7">
      <formula>$AC5="下降"</formula>
    </cfRule>
  </conditionalFormatting>
  <dataValidations count="5">
    <dataValidation type="list" sqref="F5:F103">
      <formula1>_字典!$A$2:$A$11</formula1>
    </dataValidation>
    <dataValidation type="whole" operator="between" allowBlank="1" sqref="H5:H103">
      <formula1>1</formula1>
      <formula2>285</formula2>
    </dataValidation>
    <dataValidation type="whole" operator="between" allowBlank="1" sqref="J5:J103">
      <formula1>1</formula1>
      <formula2>500</formula2>
    </dataValidation>
    <dataValidation type="decimal" operator="between" allowBlank="1" sqref="P5:P103">
      <formula1>0.01</formula1>
      <formula2>3600</formula2>
    </dataValidation>
    <dataValidation type="decimal" operator="between" allowBlank="1" sqref="K5:O103">
      <formula1>0</formula1>
      <formula2>100</formula2>
    </dataValidation>
  </dataValidations>
  <hyperlinks>
    <hyperlink ref="A1" r:id="rId4" display="全玩法难度填写｜主线"/>
  </hyperlinks>
  <pageMargins left="0.75" right="0.75" top="1" bottom="1" header="0.5" footer="0.5"/>
  <pageSetup paperSize="1" orientation="landscape"/>
  <headerFooter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F5597"/>
    <pageSetUpPr fitToPage="1"/>
  </sheetPr>
  <dimension ref="A1:AD39"/>
  <sheetViews>
    <sheetView showGridLines="0" workbookViewId="0">
      <pane xSplit="6" ySplit="4" topLeftCell="G5" activePane="bottomRight" state="frozen"/>
      <selection/>
      <selection pane="topRight"/>
      <selection pane="bottomLeft"/>
      <selection pane="bottomRight" activeCell="A1" sqref="A1:AD1"/>
    </sheetView>
  </sheetViews>
  <sheetFormatPr defaultColWidth="9" defaultRowHeight="13.5"/>
  <cols>
    <col min="1" max="1" width="12" customWidth="1"/>
    <col min="2" max="2" width="13" customWidth="1"/>
    <col min="3" max="3" width="18" customWidth="1"/>
    <col min="4" max="4" width="15" customWidth="1"/>
    <col min="5" max="5" width="35" customWidth="1"/>
    <col min="6" max="9" width="14" customWidth="1"/>
    <col min="10" max="10" width="12" customWidth="1"/>
    <col min="11" max="13" width="11" customWidth="1"/>
    <col min="14" max="15" width="13" customWidth="1"/>
    <col min="16" max="16" width="12" customWidth="1"/>
    <col min="17" max="21" width="16" customWidth="1"/>
    <col min="22" max="22" width="12" customWidth="1"/>
    <col min="23" max="23" width="17" customWidth="1"/>
    <col min="24" max="25" width="14" customWidth="1"/>
    <col min="26" max="26" width="12" customWidth="1"/>
    <col min="27" max="27" width="15" customWidth="1"/>
    <col min="28" max="29" width="12" customWidth="1"/>
    <col min="30" max="30" width="46" customWidth="1"/>
  </cols>
  <sheetData>
    <row r="1" ht="34" customHeight="1" spans="1:30">
      <c r="A1" s="2" t="s">
        <v>453</v>
      </c>
    </row>
    <row r="2" ht="30" customHeight="1" spans="1:30">
      <c r="A2" s="3" t="s">
        <v>116</v>
      </c>
    </row>
    <row r="3" ht="14.25" customHeight="1" spans="1:30">
      <c r="A3" s="4" t="s">
        <v>117</v>
      </c>
    </row>
    <row r="4" ht="36" customHeight="1" spans="1:30">
      <c r="A4" s="5" t="s">
        <v>80</v>
      </c>
      <c r="B4" s="5" t="s">
        <v>79</v>
      </c>
      <c r="C4" s="5" t="s">
        <v>118</v>
      </c>
      <c r="D4" s="5" t="s">
        <v>119</v>
      </c>
      <c r="E4" s="5" t="s">
        <v>120</v>
      </c>
      <c r="F4" s="5" t="s">
        <v>121</v>
      </c>
      <c r="G4" s="5" t="s">
        <v>122</v>
      </c>
      <c r="H4" s="5" t="s">
        <v>123</v>
      </c>
      <c r="I4" s="5" t="s">
        <v>124</v>
      </c>
      <c r="J4" s="5" t="s">
        <v>125</v>
      </c>
      <c r="K4" s="5" t="s">
        <v>126</v>
      </c>
      <c r="L4" s="5" t="s">
        <v>127</v>
      </c>
      <c r="M4" s="5" t="s">
        <v>128</v>
      </c>
      <c r="N4" s="5" t="s">
        <v>129</v>
      </c>
      <c r="O4" s="5" t="s">
        <v>130</v>
      </c>
      <c r="P4" s="5" t="s">
        <v>131</v>
      </c>
      <c r="Q4" s="5" t="s">
        <v>132</v>
      </c>
      <c r="R4" s="5" t="s">
        <v>133</v>
      </c>
      <c r="S4" s="5" t="s">
        <v>134</v>
      </c>
      <c r="T4" s="5" t="s">
        <v>135</v>
      </c>
      <c r="U4" s="5" t="s">
        <v>136</v>
      </c>
      <c r="V4" s="5" t="s">
        <v>137</v>
      </c>
      <c r="W4" s="5" t="s">
        <v>138</v>
      </c>
      <c r="X4" s="5" t="s">
        <v>139</v>
      </c>
      <c r="Y4" s="5" t="s">
        <v>140</v>
      </c>
      <c r="Z4" s="5" t="s">
        <v>141</v>
      </c>
      <c r="AA4" s="5" t="s">
        <v>142</v>
      </c>
      <c r="AB4" s="5" t="s">
        <v>143</v>
      </c>
      <c r="AC4" s="5" t="s">
        <v>144</v>
      </c>
      <c r="AD4" s="5" t="s">
        <v>90</v>
      </c>
    </row>
    <row r="5" ht="25" customHeight="1" spans="1:30">
      <c r="A5" s="6" t="s">
        <v>145</v>
      </c>
      <c r="B5" s="6" t="s">
        <v>53</v>
      </c>
      <c r="C5" s="7" t="s">
        <v>454</v>
      </c>
      <c r="D5" s="7" t="s">
        <v>455</v>
      </c>
      <c r="E5" s="7" t="s">
        <v>456</v>
      </c>
      <c r="F5" s="6" t="s">
        <v>149</v>
      </c>
      <c r="G5" s="16">
        <v>71</v>
      </c>
      <c r="H5" s="17"/>
      <c r="I5" s="18">
        <f t="shared" ref="I5:I39" si="0">IF($H5="",$G5,$H5)</f>
        <v>71</v>
      </c>
      <c r="J5" s="19">
        <v>146</v>
      </c>
      <c r="K5" s="20"/>
      <c r="L5" s="20"/>
      <c r="M5" s="20"/>
      <c r="N5" s="20"/>
      <c r="O5" s="20"/>
      <c r="P5" s="20"/>
      <c r="Q5" s="21">
        <f>IF($I5="","",IFERROR(INDEX(_玩家曲线!$H$2:$H$286,MATCH($I5,_玩家曲线!$A$2:$A$286,0)),""))</f>
        <v>370088.034515633</v>
      </c>
      <c r="R5" s="21">
        <f>IF($I5="","",IFERROR(INDEX(_玩家曲线!$I$2:$I$286,MATCH($I5,_玩家曲线!$A$2:$A$286,0)),""))</f>
        <v>681502.871813609</v>
      </c>
      <c r="S5" s="21">
        <f>IF(OR($J5="",$F5="不适用"),"",IFERROR(INDEX(_怪物模型!$D$2:$D$4501,MATCH(INT($J5)&amp;"|"&amp;$F5,_怪物模型!$A$2:$A$4501,0))*IF($K5="",1,$K5),""))</f>
        <v>77230</v>
      </c>
      <c r="T5" s="21">
        <f>IF(OR($J5="",$F5="不适用"),"",IFERROR(INDEX(_怪物模型!$E$2:$E$4501,MATCH(INT($J5)&amp;"|"&amp;$F5,_怪物模型!$A$2:$A$4501,0))*IF($L5="",1,$L5),""))</f>
        <v>12789</v>
      </c>
      <c r="U5" s="21">
        <f>IF(OR($J5="",$F5="不适用"),"",IFERROR(INDEX(_怪物模型!$F$2:$F$4501,MATCH(INT($J5)&amp;"|"&amp;$F5,_怪物模型!$A$2:$A$4501,0))*IF($M5="",1,$M5),""))</f>
        <v>12303</v>
      </c>
      <c r="V5" s="22">
        <f t="shared" ref="V5:V39" si="1">IF($U5="","",MIN(0.75,$U5/($U5+24000)))</f>
        <v>0.338897611767623</v>
      </c>
      <c r="W5" s="23">
        <f t="shared" ref="W5:W39" si="2">IF($S5="","",$S5/(1-$V5)*IF($N5="",1,$N5))</f>
        <v>116820.02875</v>
      </c>
      <c r="X5" s="23">
        <f t="shared" ref="X5:X39" si="3">IF(OR($W5="",$Q5="",$Q5=0),"",$W5/$Q5)</f>
        <v>0.315654703354278</v>
      </c>
      <c r="Y5" s="23">
        <f t="shared" ref="Y5:Y39" si="4">IF(OR($R5="",$T5="",$T5=0),"",$R5/($T5*IF($O5="",1,$O5)))</f>
        <v>53.2882064128242</v>
      </c>
      <c r="Z5" s="24" t="str">
        <f t="shared" ref="Z5:Z39" si="5">IF(OR($X5="",$P5="",$P5=0),"",$X5/$P5)</f>
        <v/>
      </c>
      <c r="AA5" s="6" t="str">
        <f t="shared" ref="AA5:AA39" si="6">IF($J5="","待填怪物等级",IF(OR($I5="",$Q5=""),"待填对照关卡",IF($P5="","已计算",IF(AND($Y5&lt;&gt;"",$Y5&lt;$X5),"生存不成立",IF($Z5&lt;0.5,"碾压",IF($Z5&lt;0.8,"偏简单",IF($Z5&lt;=1.2,"适中",IF($Z5&lt;=1.5,"偏难","过难"))))))))</f>
        <v>已计算</v>
      </c>
      <c r="AB5" s="6" t="str">
        <f t="shared" ref="AB5:AB39" si="7">IF($J5="","待填",IF(AND(ISNUMBER($J5),$J5&gt;=1,$J5&lt;=500,MOD($J5,1)=0),"有效","超范围"))</f>
        <v>有效</v>
      </c>
      <c r="AC5" s="6" t="str">
        <f t="shared" ref="AC5:AC39" si="8">IF(OR($J5="",ROW()=5,$B5&lt;&gt;$B4,$J4=""),"",IF($J5&lt;$J4,"下降",""))</f>
        <v/>
      </c>
      <c r="AD5" s="7" t="s">
        <v>457</v>
      </c>
    </row>
    <row r="6" ht="25" customHeight="1" spans="1:30">
      <c r="A6" s="6" t="s">
        <v>145</v>
      </c>
      <c r="B6" s="6" t="s">
        <v>53</v>
      </c>
      <c r="C6" s="7" t="s">
        <v>454</v>
      </c>
      <c r="D6" s="7" t="s">
        <v>458</v>
      </c>
      <c r="E6" s="7" t="s">
        <v>459</v>
      </c>
      <c r="F6" s="6" t="s">
        <v>149</v>
      </c>
      <c r="G6" s="16">
        <v>72</v>
      </c>
      <c r="H6" s="17"/>
      <c r="I6" s="18">
        <f t="shared" si="0"/>
        <v>72</v>
      </c>
      <c r="J6" s="19">
        <v>147</v>
      </c>
      <c r="K6" s="20"/>
      <c r="L6" s="20"/>
      <c r="M6" s="20"/>
      <c r="N6" s="20"/>
      <c r="O6" s="20"/>
      <c r="P6" s="20"/>
      <c r="Q6" s="21">
        <f>IF($I6="","",IFERROR(INDEX(_玩家曲线!$H$2:$H$286,MATCH($I6,_玩家曲线!$A$2:$A$286,0)),""))</f>
        <v>382701.301958812</v>
      </c>
      <c r="R6" s="21">
        <f>IF($I6="","",IFERROR(INDEX(_玩家曲线!$I$2:$I$286,MATCH($I6,_玩家曲线!$A$2:$A$286,0)),""))</f>
        <v>701881.996619119</v>
      </c>
      <c r="S6" s="21">
        <f>IF(OR($J6="",$F6="不适用"),"",IFERROR(INDEX(_怪物模型!$D$2:$D$4501,MATCH(INT($J6)&amp;"|"&amp;$F6,_怪物模型!$A$2:$A$4501,0))*IF($K6="",1,$K6),""))</f>
        <v>78386</v>
      </c>
      <c r="T6" s="21">
        <f>IF(OR($J6="",$F6="不适用"),"",IFERROR(INDEX(_怪物模型!$E$2:$E$4501,MATCH(INT($J6)&amp;"|"&amp;$F6,_怪物模型!$A$2:$A$4501,0))*IF($L6="",1,$L6),""))</f>
        <v>12949</v>
      </c>
      <c r="U6" s="21">
        <f>IF(OR($J6="",$F6="不适用"),"",IFERROR(INDEX(_怪物模型!$F$2:$F$4501,MATCH(INT($J6)&amp;"|"&amp;$F6,_怪物模型!$A$2:$A$4501,0))*IF($M6="",1,$M6),""))</f>
        <v>12401</v>
      </c>
      <c r="V6" s="22">
        <f t="shared" si="1"/>
        <v>0.340677453916101</v>
      </c>
      <c r="W6" s="23">
        <f t="shared" si="2"/>
        <v>118888.699416667</v>
      </c>
      <c r="X6" s="23">
        <f t="shared" si="3"/>
        <v>0.310656636933684</v>
      </c>
      <c r="Y6" s="23">
        <f t="shared" si="4"/>
        <v>54.2035675819846</v>
      </c>
      <c r="Z6" s="24" t="str">
        <f t="shared" si="5"/>
        <v/>
      </c>
      <c r="AA6" s="6" t="str">
        <f t="shared" si="6"/>
        <v>已计算</v>
      </c>
      <c r="AB6" s="6" t="str">
        <f t="shared" si="7"/>
        <v>有效</v>
      </c>
      <c r="AC6" s="6" t="str">
        <f t="shared" si="8"/>
        <v/>
      </c>
      <c r="AD6" s="7" t="s">
        <v>460</v>
      </c>
    </row>
    <row r="7" ht="25" customHeight="1" spans="1:30">
      <c r="A7" s="6" t="s">
        <v>145</v>
      </c>
      <c r="B7" s="6" t="s">
        <v>53</v>
      </c>
      <c r="C7" s="7" t="s">
        <v>454</v>
      </c>
      <c r="D7" s="7" t="s">
        <v>461</v>
      </c>
      <c r="E7" s="7" t="s">
        <v>462</v>
      </c>
      <c r="F7" s="6" t="s">
        <v>149</v>
      </c>
      <c r="G7" s="16">
        <v>73</v>
      </c>
      <c r="H7" s="17"/>
      <c r="I7" s="18">
        <f t="shared" si="0"/>
        <v>73</v>
      </c>
      <c r="J7" s="19">
        <v>148</v>
      </c>
      <c r="K7" s="20"/>
      <c r="L7" s="20"/>
      <c r="M7" s="20"/>
      <c r="N7" s="20"/>
      <c r="O7" s="20"/>
      <c r="P7" s="20"/>
      <c r="Q7" s="21">
        <f>IF($I7="","",IFERROR(INDEX(_玩家曲线!$H$2:$H$286,MATCH($I7,_玩家曲线!$A$2:$A$286,0)),""))</f>
        <v>395361.76694498</v>
      </c>
      <c r="R7" s="21">
        <f>IF($I7="","",IFERROR(INDEX(_玩家曲线!$I$2:$I$286,MATCH($I7,_玩家曲线!$A$2:$A$286,0)),""))</f>
        <v>722215.243951944</v>
      </c>
      <c r="S7" s="21">
        <f>IF(OR($J7="",$F7="不适用"),"",IFERROR(INDEX(_怪物模型!$D$2:$D$4501,MATCH(INT($J7)&amp;"|"&amp;$F7,_怪物模型!$A$2:$A$4501,0))*IF($K7="",1,$K7),""))</f>
        <v>79554</v>
      </c>
      <c r="T7" s="21">
        <f>IF(OR($J7="",$F7="不适用"),"",IFERROR(INDEX(_怪物模型!$E$2:$E$4501,MATCH(INT($J7)&amp;"|"&amp;$F7,_怪物模型!$A$2:$A$4501,0))*IF($L7="",1,$L7),""))</f>
        <v>13110</v>
      </c>
      <c r="U7" s="21">
        <f>IF(OR($J7="",$F7="不适用"),"",IFERROR(INDEX(_怪物模型!$F$2:$F$4501,MATCH(INT($J7)&amp;"|"&amp;$F7,_怪物模型!$A$2:$A$4501,0))*IF($M7="",1,$M7),""))</f>
        <v>12499</v>
      </c>
      <c r="V7" s="22">
        <f t="shared" si="1"/>
        <v>0.3424477382942</v>
      </c>
      <c r="W7" s="23">
        <f t="shared" si="2"/>
        <v>120985.06025</v>
      </c>
      <c r="X7" s="23">
        <f t="shared" si="3"/>
        <v>0.306011026773959</v>
      </c>
      <c r="Y7" s="23">
        <f t="shared" si="4"/>
        <v>55.0888820710865</v>
      </c>
      <c r="Z7" s="24" t="str">
        <f t="shared" si="5"/>
        <v/>
      </c>
      <c r="AA7" s="6" t="str">
        <f t="shared" si="6"/>
        <v>已计算</v>
      </c>
      <c r="AB7" s="6" t="str">
        <f t="shared" si="7"/>
        <v>有效</v>
      </c>
      <c r="AC7" s="6" t="str">
        <f t="shared" si="8"/>
        <v/>
      </c>
      <c r="AD7" s="7" t="s">
        <v>463</v>
      </c>
    </row>
    <row r="8" ht="25" customHeight="1" spans="1:30">
      <c r="A8" s="6" t="s">
        <v>145</v>
      </c>
      <c r="B8" s="6" t="s">
        <v>53</v>
      </c>
      <c r="C8" s="7" t="s">
        <v>454</v>
      </c>
      <c r="D8" s="7" t="s">
        <v>464</v>
      </c>
      <c r="E8" s="7" t="s">
        <v>465</v>
      </c>
      <c r="F8" s="6" t="s">
        <v>149</v>
      </c>
      <c r="G8" s="16">
        <v>74</v>
      </c>
      <c r="H8" s="17"/>
      <c r="I8" s="18">
        <f t="shared" si="0"/>
        <v>74</v>
      </c>
      <c r="J8" s="19">
        <v>150</v>
      </c>
      <c r="K8" s="20"/>
      <c r="L8" s="20"/>
      <c r="M8" s="20"/>
      <c r="N8" s="20"/>
      <c r="O8" s="20"/>
      <c r="P8" s="20"/>
      <c r="Q8" s="21">
        <f>IF($I8="","",IFERROR(INDEX(_玩家曲线!$H$2:$H$286,MATCH($I8,_玩家曲线!$A$2:$A$286,0)),""))</f>
        <v>408062.500049468</v>
      </c>
      <c r="R8" s="21">
        <f>IF($I8="","",IFERROR(INDEX(_玩家曲线!$I$2:$I$286,MATCH($I8,_玩家曲线!$A$2:$A$286,0)),""))</f>
        <v>742493.694813082</v>
      </c>
      <c r="S8" s="21">
        <f>IF(OR($J8="",$F8="不适用"),"",IFERROR(INDEX(_怪物模型!$D$2:$D$4501,MATCH(INT($J8)&amp;"|"&amp;$F8,_怪物模型!$A$2:$A$4501,0))*IF($K8="",1,$K8),""))</f>
        <v>81928</v>
      </c>
      <c r="T8" s="21">
        <f>IF(OR($J8="",$F8="不适用"),"",IFERROR(INDEX(_怪物模型!$E$2:$E$4501,MATCH(INT($J8)&amp;"|"&amp;$F8,_怪物模型!$A$2:$A$4501,0))*IF($L8="",1,$L8),""))</f>
        <v>13436</v>
      </c>
      <c r="U8" s="21">
        <f>IF(OR($J8="",$F8="不适用"),"",IFERROR(INDEX(_怪物模型!$F$2:$F$4501,MATCH(INT($J8)&amp;"|"&amp;$F8,_怪物模型!$A$2:$A$4501,0))*IF($M8="",1,$M8),""))</f>
        <v>12696</v>
      </c>
      <c r="V8" s="22">
        <f t="shared" si="1"/>
        <v>0.34597776324395</v>
      </c>
      <c r="W8" s="23">
        <f t="shared" si="2"/>
        <v>125267.912</v>
      </c>
      <c r="X8" s="23">
        <f t="shared" si="3"/>
        <v>0.306982170586158</v>
      </c>
      <c r="Y8" s="23">
        <f t="shared" si="4"/>
        <v>55.2615134573595</v>
      </c>
      <c r="Z8" s="24" t="str">
        <f t="shared" si="5"/>
        <v/>
      </c>
      <c r="AA8" s="6" t="str">
        <f t="shared" si="6"/>
        <v>已计算</v>
      </c>
      <c r="AB8" s="6" t="str">
        <f t="shared" si="7"/>
        <v>有效</v>
      </c>
      <c r="AC8" s="6" t="str">
        <f t="shared" si="8"/>
        <v/>
      </c>
      <c r="AD8" s="7" t="s">
        <v>466</v>
      </c>
    </row>
    <row r="9" ht="25" customHeight="1" spans="1:30">
      <c r="A9" s="6" t="s">
        <v>145</v>
      </c>
      <c r="B9" s="6" t="s">
        <v>53</v>
      </c>
      <c r="C9" s="7" t="s">
        <v>454</v>
      </c>
      <c r="D9" s="7" t="s">
        <v>467</v>
      </c>
      <c r="E9" s="7" t="s">
        <v>468</v>
      </c>
      <c r="F9" s="6" t="s">
        <v>149</v>
      </c>
      <c r="G9" s="16">
        <v>75</v>
      </c>
      <c r="H9" s="17"/>
      <c r="I9" s="18">
        <f t="shared" si="0"/>
        <v>75</v>
      </c>
      <c r="J9" s="19">
        <v>153</v>
      </c>
      <c r="K9" s="20"/>
      <c r="L9" s="20"/>
      <c r="M9" s="20"/>
      <c r="N9" s="20"/>
      <c r="O9" s="20"/>
      <c r="P9" s="20"/>
      <c r="Q9" s="21">
        <f>IF($I9="","",IFERROR(INDEX(_玩家曲线!$H$2:$H$286,MATCH($I9,_玩家曲线!$A$2:$A$286,0)),""))</f>
        <v>420796.710336777</v>
      </c>
      <c r="R9" s="21">
        <f>IF($I9="","",IFERROR(INDEX(_玩家曲线!$I$2:$I$286,MATCH($I9,_玩家曲线!$A$2:$A$286,0)),""))</f>
        <v>762708.80983529</v>
      </c>
      <c r="S9" s="21">
        <f>IF(OR($J9="",$F9="不适用"),"",IFERROR(INDEX(_怪物模型!$D$2:$D$4501,MATCH(INT($J9)&amp;"|"&amp;$F9,_怪物模型!$A$2:$A$4501,0))*IF($K9="",1,$K9),""))</f>
        <v>85582</v>
      </c>
      <c r="T9" s="21">
        <f>IF(OR($J9="",$F9="不适用"),"",IFERROR(INDEX(_怪物模型!$E$2:$E$4501,MATCH(INT($J9)&amp;"|"&amp;$F9,_怪物模型!$A$2:$A$4501,0))*IF($L9="",1,$L9),""))</f>
        <v>13934</v>
      </c>
      <c r="U9" s="21">
        <f>IF(OR($J9="",$F9="不适用"),"",IFERROR(INDEX(_怪物模型!$F$2:$F$4501,MATCH(INT($J9)&amp;"|"&amp;$F9,_怪物模型!$A$2:$A$4501,0))*IF($M9="",1,$M9),""))</f>
        <v>12992</v>
      </c>
      <c r="V9" s="22">
        <f t="shared" si="1"/>
        <v>0.35121107266436</v>
      </c>
      <c r="W9" s="23">
        <f t="shared" si="2"/>
        <v>131910.389333333</v>
      </c>
      <c r="X9" s="23">
        <f t="shared" si="3"/>
        <v>0.31347771047868</v>
      </c>
      <c r="Y9" s="23">
        <f t="shared" si="4"/>
        <v>54.7372477275219</v>
      </c>
      <c r="Z9" s="24" t="str">
        <f t="shared" si="5"/>
        <v/>
      </c>
      <c r="AA9" s="6" t="str">
        <f t="shared" si="6"/>
        <v>已计算</v>
      </c>
      <c r="AB9" s="6" t="str">
        <f t="shared" si="7"/>
        <v>有效</v>
      </c>
      <c r="AC9" s="6" t="str">
        <f t="shared" si="8"/>
        <v/>
      </c>
      <c r="AD9" s="7" t="s">
        <v>469</v>
      </c>
    </row>
    <row r="10" ht="25" customHeight="1" spans="1:30">
      <c r="A10" s="6" t="s">
        <v>145</v>
      </c>
      <c r="B10" s="6" t="s">
        <v>53</v>
      </c>
      <c r="C10" s="7" t="s">
        <v>470</v>
      </c>
      <c r="D10" s="7" t="s">
        <v>471</v>
      </c>
      <c r="E10" s="7" t="s">
        <v>472</v>
      </c>
      <c r="F10" s="6" t="s">
        <v>149</v>
      </c>
      <c r="G10" s="16">
        <v>76</v>
      </c>
      <c r="H10" s="17"/>
      <c r="I10" s="18">
        <f t="shared" si="0"/>
        <v>76</v>
      </c>
      <c r="J10" s="19">
        <v>154</v>
      </c>
      <c r="K10" s="20"/>
      <c r="L10" s="20"/>
      <c r="M10" s="20"/>
      <c r="N10" s="20"/>
      <c r="O10" s="20"/>
      <c r="P10" s="20"/>
      <c r="Q10" s="21">
        <f>IF($I10="","",IFERROR(INDEX(_玩家曲线!$H$2:$H$286,MATCH($I10,_玩家曲线!$A$2:$A$286,0)),""))</f>
        <v>433557.750887974</v>
      </c>
      <c r="R10" s="21">
        <f>IF($I10="","",IFERROR(INDEX(_玩家曲线!$I$2:$I$286,MATCH($I10,_玩家曲线!$A$2:$A$286,0)),""))</f>
        <v>782852.422302741</v>
      </c>
      <c r="S10" s="21">
        <f>IF(OR($J10="",$F10="不适用"),"",IFERROR(INDEX(_怪物模型!$D$2:$D$4501,MATCH(INT($J10)&amp;"|"&amp;$F10,_怪物模型!$A$2:$A$4501,0))*IF($K10="",1,$K10),""))</f>
        <v>86825</v>
      </c>
      <c r="T10" s="21">
        <f>IF(OR($J10="",$F10="不适用"),"",IFERROR(INDEX(_怪物模型!$E$2:$E$4501,MATCH(INT($J10)&amp;"|"&amp;$F10,_怪物模型!$A$2:$A$4501,0))*IF($L10="",1,$L10),""))</f>
        <v>14102</v>
      </c>
      <c r="U10" s="21">
        <f>IF(OR($J10="",$F10="不适用"),"",IFERROR(INDEX(_怪物模型!$F$2:$F$4501,MATCH(INT($J10)&amp;"|"&amp;$F10,_怪物模型!$A$2:$A$4501,0))*IF($M10="",1,$M10),""))</f>
        <v>13091</v>
      </c>
      <c r="V10" s="22">
        <f t="shared" si="1"/>
        <v>0.35294276239519</v>
      </c>
      <c r="W10" s="23">
        <f t="shared" si="2"/>
        <v>134184.419791667</v>
      </c>
      <c r="X10" s="23">
        <f t="shared" si="3"/>
        <v>0.30949606947827</v>
      </c>
      <c r="Y10" s="23">
        <f t="shared" si="4"/>
        <v>55.5135741244321</v>
      </c>
      <c r="Z10" s="24" t="str">
        <f t="shared" si="5"/>
        <v/>
      </c>
      <c r="AA10" s="6" t="str">
        <f t="shared" si="6"/>
        <v>已计算</v>
      </c>
      <c r="AB10" s="6" t="str">
        <f t="shared" si="7"/>
        <v>有效</v>
      </c>
      <c r="AC10" s="6" t="str">
        <f t="shared" si="8"/>
        <v/>
      </c>
      <c r="AD10" s="7" t="s">
        <v>473</v>
      </c>
    </row>
    <row r="11" ht="25" customHeight="1" spans="1:30">
      <c r="A11" s="6" t="s">
        <v>145</v>
      </c>
      <c r="B11" s="6" t="s">
        <v>53</v>
      </c>
      <c r="C11" s="7" t="s">
        <v>470</v>
      </c>
      <c r="D11" s="7" t="s">
        <v>474</v>
      </c>
      <c r="E11" s="7" t="s">
        <v>475</v>
      </c>
      <c r="F11" s="6" t="s">
        <v>149</v>
      </c>
      <c r="G11" s="16">
        <v>77</v>
      </c>
      <c r="H11" s="17"/>
      <c r="I11" s="18">
        <f t="shared" si="0"/>
        <v>77</v>
      </c>
      <c r="J11" s="19">
        <v>155</v>
      </c>
      <c r="K11" s="20"/>
      <c r="L11" s="20"/>
      <c r="M11" s="20"/>
      <c r="N11" s="20"/>
      <c r="O11" s="20"/>
      <c r="P11" s="20"/>
      <c r="Q11" s="21">
        <f>IF($I11="","",IFERROR(INDEX(_玩家曲线!$H$2:$H$286,MATCH($I11,_玩家曲线!$A$2:$A$286,0)),""))</f>
        <v>446339.123724171</v>
      </c>
      <c r="R11" s="21">
        <f>IF($I11="","",IFERROR(INDEX(_玩家曲线!$I$2:$I$286,MATCH($I11,_玩家曲线!$A$2:$A$286,0)),""))</f>
        <v>802916.730893883</v>
      </c>
      <c r="S11" s="21">
        <f>IF(OR($J11="",$F11="不适用"),"",IFERROR(INDEX(_怪物模型!$D$2:$D$4501,MATCH(INT($J11)&amp;"|"&amp;$F11,_怪物模型!$A$2:$A$4501,0))*IF($K11="",1,$K11),""))</f>
        <v>88082</v>
      </c>
      <c r="T11" s="21">
        <f>IF(OR($J11="",$F11="不适用"),"",IFERROR(INDEX(_怪物模型!$E$2:$E$4501,MATCH(INT($J11)&amp;"|"&amp;$F11,_怪物模型!$A$2:$A$4501,0))*IF($L11="",1,$L11),""))</f>
        <v>14272</v>
      </c>
      <c r="U11" s="21">
        <f>IF(OR($J11="",$F11="不适用"),"",IFERROR(INDEX(_怪物模型!$F$2:$F$4501,MATCH(INT($J11)&amp;"|"&amp;$F11,_怪物模型!$A$2:$A$4501,0))*IF($M11="",1,$M11),""))</f>
        <v>13190</v>
      </c>
      <c r="V11" s="22">
        <f t="shared" si="1"/>
        <v>0.354665232589406</v>
      </c>
      <c r="W11" s="23">
        <f t="shared" si="2"/>
        <v>136490.399166667</v>
      </c>
      <c r="X11" s="23">
        <f t="shared" si="3"/>
        <v>0.30579976504819</v>
      </c>
      <c r="Y11" s="23">
        <f t="shared" si="4"/>
        <v>56.2581790144257</v>
      </c>
      <c r="Z11" s="24" t="str">
        <f t="shared" si="5"/>
        <v/>
      </c>
      <c r="AA11" s="6" t="str">
        <f t="shared" si="6"/>
        <v>已计算</v>
      </c>
      <c r="AB11" s="6" t="str">
        <f t="shared" si="7"/>
        <v>有效</v>
      </c>
      <c r="AC11" s="6" t="str">
        <f t="shared" si="8"/>
        <v/>
      </c>
      <c r="AD11" s="7" t="s">
        <v>476</v>
      </c>
    </row>
    <row r="12" ht="25" customHeight="1" spans="1:30">
      <c r="A12" s="6" t="s">
        <v>145</v>
      </c>
      <c r="B12" s="6" t="s">
        <v>53</v>
      </c>
      <c r="C12" s="7" t="s">
        <v>470</v>
      </c>
      <c r="D12" s="7" t="s">
        <v>477</v>
      </c>
      <c r="E12" s="7" t="s">
        <v>478</v>
      </c>
      <c r="F12" s="6" t="s">
        <v>149</v>
      </c>
      <c r="G12" s="16">
        <v>78</v>
      </c>
      <c r="H12" s="17"/>
      <c r="I12" s="18">
        <f t="shared" si="0"/>
        <v>78</v>
      </c>
      <c r="J12" s="19">
        <v>157</v>
      </c>
      <c r="K12" s="20"/>
      <c r="L12" s="20"/>
      <c r="M12" s="20"/>
      <c r="N12" s="20"/>
      <c r="O12" s="20"/>
      <c r="P12" s="20"/>
      <c r="Q12" s="21">
        <f>IF($I12="","",IFERROR(INDEX(_玩家曲线!$H$2:$H$286,MATCH($I12,_玩家曲线!$A$2:$A$286,0)),""))</f>
        <v>459134.484149459</v>
      </c>
      <c r="R12" s="21">
        <f>IF($I12="","",IFERROR(INDEX(_玩家曲线!$I$2:$I$286,MATCH($I12,_玩家曲线!$A$2:$A$286,0)),""))</f>
        <v>822894.292186448</v>
      </c>
      <c r="S12" s="21">
        <f>IF(OR($J12="",$F12="不适用"),"",IFERROR(INDEX(_怪物模型!$D$2:$D$4501,MATCH(INT($J12)&amp;"|"&amp;$F12,_怪物模型!$A$2:$A$4501,0))*IF($K12="",1,$K12),""))</f>
        <v>90633</v>
      </c>
      <c r="T12" s="21">
        <f>IF(OR($J12="",$F12="不适用"),"",IFERROR(INDEX(_怪物模型!$E$2:$E$4501,MATCH(INT($J12)&amp;"|"&amp;$F12,_怪物模型!$A$2:$A$4501,0))*IF($L12="",1,$L12),""))</f>
        <v>14616</v>
      </c>
      <c r="U12" s="21">
        <f>IF(OR($J12="",$F12="不适用"),"",IFERROR(INDEX(_怪物模型!$F$2:$F$4501,MATCH(INT($J12)&amp;"|"&amp;$F12,_怪物模型!$A$2:$A$4501,0))*IF($M12="",1,$M12),""))</f>
        <v>13390</v>
      </c>
      <c r="V12" s="22">
        <f t="shared" si="1"/>
        <v>0.358117143621289</v>
      </c>
      <c r="W12" s="23">
        <f t="shared" si="2"/>
        <v>141198.66125</v>
      </c>
      <c r="X12" s="23">
        <f t="shared" si="3"/>
        <v>0.307532250624931</v>
      </c>
      <c r="Y12" s="23">
        <f t="shared" si="4"/>
        <v>56.3009231107313</v>
      </c>
      <c r="Z12" s="24" t="str">
        <f t="shared" si="5"/>
        <v/>
      </c>
      <c r="AA12" s="6" t="str">
        <f t="shared" si="6"/>
        <v>已计算</v>
      </c>
      <c r="AB12" s="6" t="str">
        <f t="shared" si="7"/>
        <v>有效</v>
      </c>
      <c r="AC12" s="6" t="str">
        <f t="shared" si="8"/>
        <v/>
      </c>
      <c r="AD12" s="7" t="s">
        <v>479</v>
      </c>
    </row>
    <row r="13" ht="25" customHeight="1" spans="1:30">
      <c r="A13" s="6" t="s">
        <v>145</v>
      </c>
      <c r="B13" s="6" t="s">
        <v>53</v>
      </c>
      <c r="C13" s="7" t="s">
        <v>470</v>
      </c>
      <c r="D13" s="7" t="s">
        <v>480</v>
      </c>
      <c r="E13" s="7" t="s">
        <v>481</v>
      </c>
      <c r="F13" s="6" t="s">
        <v>149</v>
      </c>
      <c r="G13" s="16">
        <v>79</v>
      </c>
      <c r="H13" s="17"/>
      <c r="I13" s="18">
        <f t="shared" si="0"/>
        <v>79</v>
      </c>
      <c r="J13" s="19">
        <v>157</v>
      </c>
      <c r="K13" s="20"/>
      <c r="L13" s="20"/>
      <c r="M13" s="20"/>
      <c r="N13" s="20"/>
      <c r="O13" s="20"/>
      <c r="P13" s="20"/>
      <c r="Q13" s="21">
        <f>IF($I13="","",IFERROR(INDEX(_玩家曲线!$H$2:$H$286,MATCH($I13,_玩家曲线!$A$2:$A$286,0)),""))</f>
        <v>471937.644537088</v>
      </c>
      <c r="R13" s="21">
        <f>IF($I13="","",IFERROR(INDEX(_玩家曲线!$I$2:$I$286,MATCH($I13,_玩家曲线!$A$2:$A$286,0)),""))</f>
        <v>842778.012960816</v>
      </c>
      <c r="S13" s="21">
        <f>IF(OR($J13="",$F13="不适用"),"",IFERROR(INDEX(_怪物模型!$D$2:$D$4501,MATCH(INT($J13)&amp;"|"&amp;$F13,_怪物模型!$A$2:$A$4501,0))*IF($K13="",1,$K13),""))</f>
        <v>90633</v>
      </c>
      <c r="T13" s="21">
        <f>IF(OR($J13="",$F13="不适用"),"",IFERROR(INDEX(_怪物模型!$E$2:$E$4501,MATCH(INT($J13)&amp;"|"&amp;$F13,_怪物模型!$A$2:$A$4501,0))*IF($L13="",1,$L13),""))</f>
        <v>14616</v>
      </c>
      <c r="U13" s="21">
        <f>IF(OR($J13="",$F13="不适用"),"",IFERROR(INDEX(_怪物模型!$F$2:$F$4501,MATCH(INT($J13)&amp;"|"&amp;$F13,_怪物模型!$A$2:$A$4501,0))*IF($M13="",1,$M13),""))</f>
        <v>13390</v>
      </c>
      <c r="V13" s="22">
        <f t="shared" si="1"/>
        <v>0.358117143621289</v>
      </c>
      <c r="W13" s="23">
        <f t="shared" si="2"/>
        <v>141198.66125</v>
      </c>
      <c r="X13" s="23">
        <f t="shared" si="3"/>
        <v>0.29918923163779</v>
      </c>
      <c r="Y13" s="23">
        <f t="shared" si="4"/>
        <v>57.6613309360164</v>
      </c>
      <c r="Z13" s="24" t="str">
        <f t="shared" si="5"/>
        <v/>
      </c>
      <c r="AA13" s="6" t="str">
        <f t="shared" si="6"/>
        <v>已计算</v>
      </c>
      <c r="AB13" s="6" t="str">
        <f t="shared" si="7"/>
        <v>有效</v>
      </c>
      <c r="AC13" s="6" t="str">
        <f t="shared" si="8"/>
        <v/>
      </c>
      <c r="AD13" s="7" t="s">
        <v>482</v>
      </c>
    </row>
    <row r="14" ht="25" customHeight="1" spans="1:30">
      <c r="A14" s="6" t="s">
        <v>145</v>
      </c>
      <c r="B14" s="6" t="s">
        <v>53</v>
      </c>
      <c r="C14" s="7" t="s">
        <v>470</v>
      </c>
      <c r="D14" s="7" t="s">
        <v>483</v>
      </c>
      <c r="E14" s="7" t="s">
        <v>484</v>
      </c>
      <c r="F14" s="6" t="s">
        <v>149</v>
      </c>
      <c r="G14" s="16">
        <v>80</v>
      </c>
      <c r="H14" s="17"/>
      <c r="I14" s="18">
        <f t="shared" si="0"/>
        <v>80</v>
      </c>
      <c r="J14" s="19">
        <v>159</v>
      </c>
      <c r="K14" s="20"/>
      <c r="L14" s="20"/>
      <c r="M14" s="20"/>
      <c r="N14" s="20"/>
      <c r="O14" s="20"/>
      <c r="P14" s="20"/>
      <c r="Q14" s="21">
        <f>IF($I14="","",IFERROR(INDEX(_玩家曲线!$H$2:$H$286,MATCH($I14,_玩家曲线!$A$2:$A$286,0)),""))</f>
        <v>484742.577583025</v>
      </c>
      <c r="R14" s="21">
        <f>IF($I14="","",IFERROR(INDEX(_玩家曲线!$I$2:$I$286,MATCH($I14,_玩家曲线!$A$2:$A$286,0)),""))</f>
        <v>862561.142335382</v>
      </c>
      <c r="S14" s="21">
        <f>IF(OR($J14="",$F14="不适用"),"",IFERROR(INDEX(_怪物模型!$D$2:$D$4501,MATCH(INT($J14)&amp;"|"&amp;$F14,_怪物模型!$A$2:$A$4501,0))*IF($K14="",1,$K14),""))</f>
        <v>93238</v>
      </c>
      <c r="T14" s="21">
        <f>IF(OR($J14="",$F14="不适用"),"",IFERROR(INDEX(_怪物模型!$E$2:$E$4501,MATCH(INT($J14)&amp;"|"&amp;$F14,_怪物模型!$A$2:$A$4501,0))*IF($L14="",1,$L14),""))</f>
        <v>14964</v>
      </c>
      <c r="U14" s="21">
        <f>IF(OR($J14="",$F14="不适用"),"",IFERROR(INDEX(_怪物模型!$F$2:$F$4501,MATCH(INT($J14)&amp;"|"&amp;$F14,_怪物模型!$A$2:$A$4501,0))*IF($M14="",1,$M14),""))</f>
        <v>13589</v>
      </c>
      <c r="V14" s="22">
        <f t="shared" si="1"/>
        <v>0.361515336933677</v>
      </c>
      <c r="W14" s="23">
        <f t="shared" si="2"/>
        <v>146030.132583333</v>
      </c>
      <c r="X14" s="23">
        <f t="shared" si="3"/>
        <v>0.30125295226067</v>
      </c>
      <c r="Y14" s="23">
        <f t="shared" si="4"/>
        <v>57.6424179587932</v>
      </c>
      <c r="Z14" s="24" t="str">
        <f t="shared" si="5"/>
        <v/>
      </c>
      <c r="AA14" s="6" t="str">
        <f t="shared" si="6"/>
        <v>已计算</v>
      </c>
      <c r="AB14" s="6" t="str">
        <f t="shared" si="7"/>
        <v>有效</v>
      </c>
      <c r="AC14" s="6" t="str">
        <f t="shared" si="8"/>
        <v/>
      </c>
      <c r="AD14" s="7" t="s">
        <v>485</v>
      </c>
    </row>
    <row r="15" ht="25" customHeight="1" spans="1:30">
      <c r="A15" s="6" t="s">
        <v>145</v>
      </c>
      <c r="B15" s="6" t="s">
        <v>53</v>
      </c>
      <c r="C15" s="7" t="s">
        <v>486</v>
      </c>
      <c r="D15" s="7" t="s">
        <v>487</v>
      </c>
      <c r="E15" s="7" t="s">
        <v>488</v>
      </c>
      <c r="F15" s="6" t="s">
        <v>149</v>
      </c>
      <c r="G15" s="16">
        <v>81</v>
      </c>
      <c r="H15" s="17"/>
      <c r="I15" s="18">
        <f t="shared" si="0"/>
        <v>81</v>
      </c>
      <c r="J15" s="19">
        <v>161</v>
      </c>
      <c r="K15" s="20"/>
      <c r="L15" s="20"/>
      <c r="M15" s="20"/>
      <c r="N15" s="20"/>
      <c r="O15" s="20"/>
      <c r="P15" s="20"/>
      <c r="Q15" s="21">
        <f>IF($I15="","",IFERROR(INDEX(_玩家曲线!$H$2:$H$286,MATCH($I15,_玩家曲线!$A$2:$A$286,0)),""))</f>
        <v>497543.419051116</v>
      </c>
      <c r="R15" s="21">
        <f>IF($I15="","",IFERROR(INDEX(_玩家曲线!$I$2:$I$286,MATCH($I15,_玩家曲线!$A$2:$A$286,0)),""))</f>
        <v>882237.263765109</v>
      </c>
      <c r="S15" s="21">
        <f>IF(OR($J15="",$F15="不适用"),"",IFERROR(INDEX(_怪物模型!$D$2:$D$4501,MATCH(INT($J15)&amp;"|"&amp;$F15,_怪物模型!$A$2:$A$4501,0))*IF($K15="",1,$K15),""))</f>
        <v>95895</v>
      </c>
      <c r="T15" s="21">
        <f>IF(OR($J15="",$F15="不适用"),"",IFERROR(INDEX(_怪物模型!$E$2:$E$4501,MATCH(INT($J15)&amp;"|"&amp;$F15,_怪物模型!$A$2:$A$4501,0))*IF($L15="",1,$L15),""))</f>
        <v>15318</v>
      </c>
      <c r="U15" s="21">
        <f>IF(OR($J15="",$F15="不适用"),"",IFERROR(INDEX(_怪物模型!$F$2:$F$4501,MATCH(INT($J15)&amp;"|"&amp;$F15,_怪物模型!$A$2:$A$4501,0))*IF($M15="",1,$M15),""))</f>
        <v>13790</v>
      </c>
      <c r="V15" s="22">
        <f t="shared" si="1"/>
        <v>0.364911352209579</v>
      </c>
      <c r="W15" s="23">
        <f t="shared" si="2"/>
        <v>150994.66875</v>
      </c>
      <c r="X15" s="23">
        <f t="shared" si="3"/>
        <v>0.303480385768076</v>
      </c>
      <c r="Y15" s="23">
        <f t="shared" si="4"/>
        <v>57.5948076619081</v>
      </c>
      <c r="Z15" s="24" t="str">
        <f t="shared" si="5"/>
        <v/>
      </c>
      <c r="AA15" s="6" t="str">
        <f t="shared" si="6"/>
        <v>已计算</v>
      </c>
      <c r="AB15" s="6" t="str">
        <f t="shared" si="7"/>
        <v>有效</v>
      </c>
      <c r="AC15" s="6" t="str">
        <f t="shared" si="8"/>
        <v/>
      </c>
      <c r="AD15" s="7" t="s">
        <v>489</v>
      </c>
    </row>
    <row r="16" ht="25" customHeight="1" spans="1:30">
      <c r="A16" s="6" t="s">
        <v>145</v>
      </c>
      <c r="B16" s="6" t="s">
        <v>53</v>
      </c>
      <c r="C16" s="7" t="s">
        <v>486</v>
      </c>
      <c r="D16" s="7" t="s">
        <v>490</v>
      </c>
      <c r="E16" s="7" t="s">
        <v>491</v>
      </c>
      <c r="F16" s="6" t="s">
        <v>149</v>
      </c>
      <c r="G16" s="16">
        <v>82</v>
      </c>
      <c r="H16" s="17"/>
      <c r="I16" s="18">
        <f t="shared" si="0"/>
        <v>82</v>
      </c>
      <c r="J16" s="19">
        <v>163</v>
      </c>
      <c r="K16" s="20"/>
      <c r="L16" s="20"/>
      <c r="M16" s="20"/>
      <c r="N16" s="20"/>
      <c r="O16" s="20"/>
      <c r="P16" s="20"/>
      <c r="Q16" s="21">
        <f>IF($I16="","",IFERROR(INDEX(_玩家曲线!$H$2:$H$286,MATCH($I16,_玩家曲线!$A$2:$A$286,0)),""))</f>
        <v>510334.470034176</v>
      </c>
      <c r="R16" s="21">
        <f>IF($I16="","",IFERROR(INDEX(_玩家曲线!$I$2:$I$286,MATCH($I16,_玩家曲线!$A$2:$A$286,0)),""))</f>
        <v>901800.286932155</v>
      </c>
      <c r="S16" s="21">
        <f>IF(OR($J16="",$F16="不适用"),"",IFERROR(INDEX(_怪物模型!$D$2:$D$4501,MATCH(INT($J16)&amp;"|"&amp;$F16,_怪物模型!$A$2:$A$4501,0))*IF($K16="",1,$K16),""))</f>
        <v>98607</v>
      </c>
      <c r="T16" s="21">
        <f>IF(OR($J16="",$F16="不适用"),"",IFERROR(INDEX(_怪物模型!$E$2:$E$4501,MATCH(INT($J16)&amp;"|"&amp;$F16,_怪物模型!$A$2:$A$4501,0))*IF($L16="",1,$L16),""))</f>
        <v>15677</v>
      </c>
      <c r="U16" s="21">
        <f>IF(OR($J16="",$F16="不适用"),"",IFERROR(INDEX(_怪物模型!$F$2:$F$4501,MATCH(INT($J16)&amp;"|"&amp;$F16,_怪物模型!$A$2:$A$4501,0))*IF($M16="",1,$M16),""))</f>
        <v>13991</v>
      </c>
      <c r="V16" s="22">
        <f t="shared" si="1"/>
        <v>0.368271432707747</v>
      </c>
      <c r="W16" s="23">
        <f t="shared" si="2"/>
        <v>156090.772375</v>
      </c>
      <c r="X16" s="23">
        <f t="shared" si="3"/>
        <v>0.305859747950294</v>
      </c>
      <c r="Y16" s="23">
        <f t="shared" si="4"/>
        <v>57.5237792263925</v>
      </c>
      <c r="Z16" s="24" t="str">
        <f t="shared" si="5"/>
        <v/>
      </c>
      <c r="AA16" s="6" t="str">
        <f t="shared" si="6"/>
        <v>已计算</v>
      </c>
      <c r="AB16" s="6" t="str">
        <f t="shared" si="7"/>
        <v>有效</v>
      </c>
      <c r="AC16" s="6" t="str">
        <f t="shared" si="8"/>
        <v/>
      </c>
      <c r="AD16" s="7" t="s">
        <v>492</v>
      </c>
    </row>
    <row r="17" ht="25" customHeight="1" spans="1:30">
      <c r="A17" s="6" t="s">
        <v>145</v>
      </c>
      <c r="B17" s="6" t="s">
        <v>53</v>
      </c>
      <c r="C17" s="7" t="s">
        <v>486</v>
      </c>
      <c r="D17" s="7" t="s">
        <v>493</v>
      </c>
      <c r="E17" s="7" t="s">
        <v>494</v>
      </c>
      <c r="F17" s="6" t="s">
        <v>149</v>
      </c>
      <c r="G17" s="16">
        <v>83</v>
      </c>
      <c r="H17" s="17"/>
      <c r="I17" s="18">
        <f t="shared" si="0"/>
        <v>83</v>
      </c>
      <c r="J17" s="19">
        <v>164</v>
      </c>
      <c r="K17" s="20"/>
      <c r="L17" s="20"/>
      <c r="M17" s="20"/>
      <c r="N17" s="20"/>
      <c r="O17" s="20"/>
      <c r="P17" s="20"/>
      <c r="Q17" s="21">
        <f>IF($I17="","",IFERROR(INDEX(_玩家曲线!$H$2:$H$286,MATCH($I17,_玩家曲线!$A$2:$A$286,0)),""))</f>
        <v>523110.198755171</v>
      </c>
      <c r="R17" s="21">
        <f>IF($I17="","",IFERROR(INDEX(_玩家曲线!$I$2:$I$286,MATCH($I17,_玩家曲线!$A$2:$A$286,0)),""))</f>
        <v>921244.439555273</v>
      </c>
      <c r="S17" s="21">
        <f>IF(OR($J17="",$F17="不适用"),"",IFERROR(INDEX(_怪物模型!$D$2:$D$4501,MATCH(INT($J17)&amp;"|"&amp;$F17,_怪物模型!$A$2:$A$4501,0))*IF($K17="",1,$K17),""))</f>
        <v>99983</v>
      </c>
      <c r="T17" s="21">
        <f>IF(OR($J17="",$F17="不适用"),"",IFERROR(INDEX(_怪物模型!$E$2:$E$4501,MATCH(INT($J17)&amp;"|"&amp;$F17,_怪物模型!$A$2:$A$4501,0))*IF($L17="",1,$L17),""))</f>
        <v>15858</v>
      </c>
      <c r="U17" s="21">
        <f>IF(OR($J17="",$F17="不适用"),"",IFERROR(INDEX(_怪物模型!$F$2:$F$4501,MATCH(INT($J17)&amp;"|"&amp;$F17,_怪物模型!$A$2:$A$4501,0))*IF($M17="",1,$M17),""))</f>
        <v>14092</v>
      </c>
      <c r="V17" s="22">
        <f t="shared" si="1"/>
        <v>0.369946445447863</v>
      </c>
      <c r="W17" s="23">
        <f t="shared" si="2"/>
        <v>158689.684833333</v>
      </c>
      <c r="X17" s="23">
        <f t="shared" si="3"/>
        <v>0.303358040449149</v>
      </c>
      <c r="Y17" s="23">
        <f t="shared" si="4"/>
        <v>58.0933560067646</v>
      </c>
      <c r="Z17" s="24" t="str">
        <f t="shared" si="5"/>
        <v/>
      </c>
      <c r="AA17" s="6" t="str">
        <f t="shared" si="6"/>
        <v>已计算</v>
      </c>
      <c r="AB17" s="6" t="str">
        <f t="shared" si="7"/>
        <v>有效</v>
      </c>
      <c r="AC17" s="6" t="str">
        <f t="shared" si="8"/>
        <v/>
      </c>
      <c r="AD17" s="7" t="s">
        <v>495</v>
      </c>
    </row>
    <row r="18" ht="25" customHeight="1" spans="1:30">
      <c r="A18" s="6" t="s">
        <v>145</v>
      </c>
      <c r="B18" s="6" t="s">
        <v>53</v>
      </c>
      <c r="C18" s="7" t="s">
        <v>486</v>
      </c>
      <c r="D18" s="7" t="s">
        <v>496</v>
      </c>
      <c r="E18" s="7" t="s">
        <v>497</v>
      </c>
      <c r="F18" s="6" t="s">
        <v>149</v>
      </c>
      <c r="G18" s="16">
        <v>84</v>
      </c>
      <c r="H18" s="17"/>
      <c r="I18" s="18">
        <f t="shared" si="0"/>
        <v>84</v>
      </c>
      <c r="J18" s="19">
        <v>166</v>
      </c>
      <c r="K18" s="20"/>
      <c r="L18" s="20"/>
      <c r="M18" s="20"/>
      <c r="N18" s="20"/>
      <c r="O18" s="20"/>
      <c r="P18" s="20"/>
      <c r="Q18" s="21">
        <f>IF($I18="","",IFERROR(INDEX(_玩家曲线!$H$2:$H$286,MATCH($I18,_玩家曲线!$A$2:$A$286,0)),""))</f>
        <v>535865.241932534</v>
      </c>
      <c r="R18" s="21">
        <f>IF($I18="","",IFERROR(INDEX(_玩家曲线!$I$2:$I$286,MATCH($I18,_玩家曲线!$A$2:$A$286,0)),""))</f>
        <v>940564.25914262</v>
      </c>
      <c r="S18" s="21">
        <f>IF(OR($J18="",$F18="不适用"),"",IFERROR(INDEX(_怪物模型!$D$2:$D$4501,MATCH(INT($J18)&amp;"|"&amp;$F18,_怪物模型!$A$2:$A$4501,0))*IF($K18="",1,$K18),""))</f>
        <v>102777</v>
      </c>
      <c r="T18" s="21">
        <f>IF(OR($J18="",$F18="不适用"),"",IFERROR(INDEX(_怪物模型!$E$2:$E$4501,MATCH(INT($J18)&amp;"|"&amp;$F18,_怪物模型!$A$2:$A$4501,0))*IF($L18="",1,$L18),""))</f>
        <v>16225</v>
      </c>
      <c r="U18" s="21">
        <f>IF(OR($J18="",$F18="不适用"),"",IFERROR(INDEX(_怪物模型!$F$2:$F$4501,MATCH(INT($J18)&amp;"|"&amp;$F18,_怪物模型!$A$2:$A$4501,0))*IF($M18="",1,$M18),""))</f>
        <v>14295</v>
      </c>
      <c r="V18" s="22">
        <f t="shared" si="1"/>
        <v>0.373286329808069</v>
      </c>
      <c r="W18" s="23">
        <f t="shared" si="2"/>
        <v>163993.550625</v>
      </c>
      <c r="X18" s="23">
        <f t="shared" si="3"/>
        <v>0.306035058429199</v>
      </c>
      <c r="Y18" s="23">
        <f t="shared" si="4"/>
        <v>57.9700621967717</v>
      </c>
      <c r="Z18" s="24" t="str">
        <f t="shared" si="5"/>
        <v/>
      </c>
      <c r="AA18" s="6" t="str">
        <f t="shared" si="6"/>
        <v>已计算</v>
      </c>
      <c r="AB18" s="6" t="str">
        <f t="shared" si="7"/>
        <v>有效</v>
      </c>
      <c r="AC18" s="6" t="str">
        <f t="shared" si="8"/>
        <v/>
      </c>
      <c r="AD18" s="7" t="s">
        <v>498</v>
      </c>
    </row>
    <row r="19" ht="25" customHeight="1" spans="1:30">
      <c r="A19" s="6" t="s">
        <v>145</v>
      </c>
      <c r="B19" s="6" t="s">
        <v>53</v>
      </c>
      <c r="C19" s="7" t="s">
        <v>486</v>
      </c>
      <c r="D19" s="7" t="s">
        <v>499</v>
      </c>
      <c r="E19" s="7" t="s">
        <v>500</v>
      </c>
      <c r="F19" s="6" t="s">
        <v>149</v>
      </c>
      <c r="G19" s="16">
        <v>85</v>
      </c>
      <c r="H19" s="17"/>
      <c r="I19" s="18">
        <f t="shared" si="0"/>
        <v>85</v>
      </c>
      <c r="J19" s="19">
        <v>167</v>
      </c>
      <c r="K19" s="20"/>
      <c r="L19" s="20"/>
      <c r="M19" s="20"/>
      <c r="N19" s="20"/>
      <c r="O19" s="20"/>
      <c r="P19" s="20"/>
      <c r="Q19" s="21">
        <f>IF($I19="","",IFERROR(INDEX(_玩家曲线!$H$2:$H$286,MATCH($I19,_玩家曲线!$A$2:$A$286,0)),""))</f>
        <v>548594.405733353</v>
      </c>
      <c r="R19" s="21">
        <f>IF($I19="","",IFERROR(INDEX(_玩家曲线!$I$2:$I$286,MATCH($I19,_玩家曲线!$A$2:$A$286,0)),""))</f>
        <v>959754.584710681</v>
      </c>
      <c r="S19" s="21">
        <f>IF(OR($J19="",$F19="不适用"),"",IFERROR(INDEX(_怪物模型!$D$2:$D$4501,MATCH(INT($J19)&amp;"|"&amp;$F19,_怪物模型!$A$2:$A$4501,0))*IF($K19="",1,$K19),""))</f>
        <v>104195</v>
      </c>
      <c r="T19" s="21">
        <f>IF(OR($J19="",$F19="不适用"),"",IFERROR(INDEX(_怪物模型!$E$2:$E$4501,MATCH(INT($J19)&amp;"|"&amp;$F19,_怪物模型!$A$2:$A$4501,0))*IF($L19="",1,$L19),""))</f>
        <v>16411</v>
      </c>
      <c r="U19" s="21">
        <f>IF(OR($J19="",$F19="不适用"),"",IFERROR(INDEX(_怪物模型!$F$2:$F$4501,MATCH(INT($J19)&amp;"|"&amp;$F19,_怪物模型!$A$2:$A$4501,0))*IF($M19="",1,$M19),""))</f>
        <v>14396</v>
      </c>
      <c r="V19" s="22">
        <f t="shared" si="1"/>
        <v>0.374934889050943</v>
      </c>
      <c r="W19" s="23">
        <f t="shared" si="2"/>
        <v>166694.634166667</v>
      </c>
      <c r="X19" s="23">
        <f t="shared" si="3"/>
        <v>0.303857699649401</v>
      </c>
      <c r="Y19" s="23">
        <f t="shared" si="4"/>
        <v>58.4823950222827</v>
      </c>
      <c r="Z19" s="24" t="str">
        <f t="shared" si="5"/>
        <v/>
      </c>
      <c r="AA19" s="6" t="str">
        <f t="shared" si="6"/>
        <v>已计算</v>
      </c>
      <c r="AB19" s="6" t="str">
        <f t="shared" si="7"/>
        <v>有效</v>
      </c>
      <c r="AC19" s="6" t="str">
        <f t="shared" si="8"/>
        <v/>
      </c>
      <c r="AD19" s="7" t="s">
        <v>501</v>
      </c>
    </row>
    <row r="20" ht="25" customHeight="1" spans="1:30">
      <c r="A20" s="6" t="s">
        <v>145</v>
      </c>
      <c r="B20" s="6" t="s">
        <v>53</v>
      </c>
      <c r="C20" s="7" t="s">
        <v>502</v>
      </c>
      <c r="D20" s="7" t="s">
        <v>503</v>
      </c>
      <c r="E20" s="7" t="s">
        <v>504</v>
      </c>
      <c r="F20" s="6" t="s">
        <v>149</v>
      </c>
      <c r="G20" s="16">
        <v>86</v>
      </c>
      <c r="H20" s="17"/>
      <c r="I20" s="18">
        <f t="shared" si="0"/>
        <v>86</v>
      </c>
      <c r="J20" s="19">
        <v>168</v>
      </c>
      <c r="K20" s="20"/>
      <c r="L20" s="20"/>
      <c r="M20" s="20"/>
      <c r="N20" s="20"/>
      <c r="O20" s="20"/>
      <c r="P20" s="20"/>
      <c r="Q20" s="21">
        <f>IF($I20="","",IFERROR(INDEX(_玩家曲线!$H$2:$H$286,MATCH($I20,_玩家曲线!$A$2:$A$286,0)),""))</f>
        <v>561292.666337797</v>
      </c>
      <c r="R20" s="21">
        <f>IF($I20="","",IFERROR(INDEX(_玩家曲线!$I$2:$I$286,MATCH($I20,_玩家曲线!$A$2:$A$286,0)),""))</f>
        <v>978810.548490182</v>
      </c>
      <c r="S20" s="21">
        <f>IF(OR($J20="",$F20="不适用"),"",IFERROR(INDEX(_怪物模型!$D$2:$D$4501,MATCH(INT($J20)&amp;"|"&amp;$F20,_怪物模型!$A$2:$A$4501,0))*IF($K20="",1,$K20),""))</f>
        <v>105627</v>
      </c>
      <c r="T20" s="21">
        <f>IF(OR($J20="",$F20="不适用"),"",IFERROR(INDEX(_怪物模型!$E$2:$E$4501,MATCH(INT($J20)&amp;"|"&amp;$F20,_怪物模型!$A$2:$A$4501,0))*IF($L20="",1,$L20),""))</f>
        <v>16597</v>
      </c>
      <c r="U20" s="21">
        <f>IF(OR($J20="",$F20="不适用"),"",IFERROR(INDEX(_怪物模型!$F$2:$F$4501,MATCH(INT($J20)&amp;"|"&amp;$F20,_怪物模型!$A$2:$A$4501,0))*IF($M20="",1,$M20),""))</f>
        <v>14498</v>
      </c>
      <c r="V20" s="22">
        <f t="shared" si="1"/>
        <v>0.376590991739831</v>
      </c>
      <c r="W20" s="23">
        <f t="shared" si="2"/>
        <v>169434.51025</v>
      </c>
      <c r="X20" s="23">
        <f t="shared" si="3"/>
        <v>0.30186482099524</v>
      </c>
      <c r="Y20" s="23">
        <f t="shared" si="4"/>
        <v>58.9751490323662</v>
      </c>
      <c r="Z20" s="24" t="str">
        <f t="shared" si="5"/>
        <v/>
      </c>
      <c r="AA20" s="6" t="str">
        <f t="shared" si="6"/>
        <v>已计算</v>
      </c>
      <c r="AB20" s="6" t="str">
        <f t="shared" si="7"/>
        <v>有效</v>
      </c>
      <c r="AC20" s="6" t="str">
        <f t="shared" si="8"/>
        <v/>
      </c>
      <c r="AD20" s="7" t="s">
        <v>505</v>
      </c>
    </row>
    <row r="21" ht="25" customHeight="1" spans="1:30">
      <c r="A21" s="6" t="s">
        <v>145</v>
      </c>
      <c r="B21" s="6" t="s">
        <v>53</v>
      </c>
      <c r="C21" s="7" t="s">
        <v>502</v>
      </c>
      <c r="D21" s="7" t="s">
        <v>506</v>
      </c>
      <c r="E21" s="7" t="s">
        <v>507</v>
      </c>
      <c r="F21" s="6" t="s">
        <v>149</v>
      </c>
      <c r="G21" s="16">
        <v>87</v>
      </c>
      <c r="H21" s="17"/>
      <c r="I21" s="18">
        <f t="shared" si="0"/>
        <v>87</v>
      </c>
      <c r="J21" s="19">
        <v>170</v>
      </c>
      <c r="K21" s="20"/>
      <c r="L21" s="20"/>
      <c r="M21" s="20"/>
      <c r="N21" s="20"/>
      <c r="O21" s="20"/>
      <c r="P21" s="20"/>
      <c r="Q21" s="21">
        <f>IF($I21="","",IFERROR(INDEX(_玩家曲线!$H$2:$H$286,MATCH($I21,_玩家曲线!$A$2:$A$286,0)),""))</f>
        <v>573955.17013778</v>
      </c>
      <c r="R21" s="21">
        <f>IF($I21="","",IFERROR(INDEX(_玩家曲线!$I$2:$I$286,MATCH($I21,_玩家曲线!$A$2:$A$286,0)),""))</f>
        <v>997727.567638128</v>
      </c>
      <c r="S21" s="21">
        <f>IF(OR($J21="",$F21="不适用"),"",IFERROR(INDEX(_怪物模型!$D$2:$D$4501,MATCH(INT($J21)&amp;"|"&amp;$F21,_怪物模型!$A$2:$A$4501,0))*IF($K21="",1,$K21),""))</f>
        <v>108534</v>
      </c>
      <c r="T21" s="21">
        <f>IF(OR($J21="",$F21="不适用"),"",IFERROR(INDEX(_怪物模型!$E$2:$E$4501,MATCH(INT($J21)&amp;"|"&amp;$F21,_怪物模型!$A$2:$A$4501,0))*IF($L21="",1,$L21),""))</f>
        <v>16975</v>
      </c>
      <c r="U21" s="21">
        <f>IF(OR($J21="",$F21="不适用"),"",IFERROR(INDEX(_怪物模型!$F$2:$F$4501,MATCH(INT($J21)&amp;"|"&amp;$F21,_怪物模型!$A$2:$A$4501,0))*IF($M21="",1,$M21),""))</f>
        <v>14702</v>
      </c>
      <c r="V21" s="22">
        <f t="shared" si="1"/>
        <v>0.379877008940106</v>
      </c>
      <c r="W21" s="23">
        <f t="shared" si="2"/>
        <v>175020.1195</v>
      </c>
      <c r="X21" s="23">
        <f t="shared" si="3"/>
        <v>0.304936915992909</v>
      </c>
      <c r="Y21" s="23">
        <f t="shared" si="4"/>
        <v>58.7762926443669</v>
      </c>
      <c r="Z21" s="24" t="str">
        <f t="shared" si="5"/>
        <v/>
      </c>
      <c r="AA21" s="6" t="str">
        <f t="shared" si="6"/>
        <v>已计算</v>
      </c>
      <c r="AB21" s="6" t="str">
        <f t="shared" si="7"/>
        <v>有效</v>
      </c>
      <c r="AC21" s="6" t="str">
        <f t="shared" si="8"/>
        <v/>
      </c>
      <c r="AD21" s="7" t="s">
        <v>508</v>
      </c>
    </row>
    <row r="22" ht="25" customHeight="1" spans="1:30">
      <c r="A22" s="6" t="s">
        <v>145</v>
      </c>
      <c r="B22" s="6" t="s">
        <v>53</v>
      </c>
      <c r="C22" s="7" t="s">
        <v>502</v>
      </c>
      <c r="D22" s="7" t="s">
        <v>509</v>
      </c>
      <c r="E22" s="7" t="s">
        <v>510</v>
      </c>
      <c r="F22" s="6" t="s">
        <v>149</v>
      </c>
      <c r="G22" s="16">
        <v>88</v>
      </c>
      <c r="H22" s="17"/>
      <c r="I22" s="18">
        <f t="shared" si="0"/>
        <v>88</v>
      </c>
      <c r="J22" s="19">
        <v>170</v>
      </c>
      <c r="K22" s="20"/>
      <c r="L22" s="20"/>
      <c r="M22" s="20"/>
      <c r="N22" s="20"/>
      <c r="O22" s="20"/>
      <c r="P22" s="20"/>
      <c r="Q22" s="21">
        <f>IF($I22="","",IFERROR(INDEX(_玩家曲线!$H$2:$H$286,MATCH($I22,_玩家曲线!$A$2:$A$286,0)),""))</f>
        <v>586577.233592305</v>
      </c>
      <c r="R22" s="21">
        <f>IF($I22="","",IFERROR(INDEX(_玩家曲线!$I$2:$I$286,MATCH($I22,_玩家曲线!$A$2:$A$286,0)),""))</f>
        <v>1016501.33597352</v>
      </c>
      <c r="S22" s="21">
        <f>IF(OR($J22="",$F22="不适用"),"",IFERROR(INDEX(_怪物模型!$D$2:$D$4501,MATCH(INT($J22)&amp;"|"&amp;$F22,_怪物模型!$A$2:$A$4501,0))*IF($K22="",1,$K22),""))</f>
        <v>108534</v>
      </c>
      <c r="T22" s="21">
        <f>IF(OR($J22="",$F22="不适用"),"",IFERROR(INDEX(_怪物模型!$E$2:$E$4501,MATCH(INT($J22)&amp;"|"&amp;$F22,_怪物模型!$A$2:$A$4501,0))*IF($L22="",1,$L22),""))</f>
        <v>16975</v>
      </c>
      <c r="U22" s="21">
        <f>IF(OR($J22="",$F22="不适用"),"",IFERROR(INDEX(_怪物模型!$F$2:$F$4501,MATCH(INT($J22)&amp;"|"&amp;$F22,_怪物模型!$A$2:$A$4501,0))*IF($M22="",1,$M22),""))</f>
        <v>14702</v>
      </c>
      <c r="V22" s="22">
        <f t="shared" si="1"/>
        <v>0.379877008940106</v>
      </c>
      <c r="W22" s="23">
        <f t="shared" si="2"/>
        <v>175020.1195</v>
      </c>
      <c r="X22" s="23">
        <f t="shared" si="3"/>
        <v>0.298375234286106</v>
      </c>
      <c r="Y22" s="23">
        <f t="shared" si="4"/>
        <v>59.8822583784106</v>
      </c>
      <c r="Z22" s="24" t="str">
        <f t="shared" si="5"/>
        <v/>
      </c>
      <c r="AA22" s="6" t="str">
        <f t="shared" si="6"/>
        <v>已计算</v>
      </c>
      <c r="AB22" s="6" t="str">
        <f t="shared" si="7"/>
        <v>有效</v>
      </c>
      <c r="AC22" s="6" t="str">
        <f t="shared" si="8"/>
        <v/>
      </c>
      <c r="AD22" s="7" t="s">
        <v>511</v>
      </c>
    </row>
    <row r="23" ht="25" customHeight="1" spans="1:30">
      <c r="A23" s="6" t="s">
        <v>145</v>
      </c>
      <c r="B23" s="6" t="s">
        <v>53</v>
      </c>
      <c r="C23" s="7" t="s">
        <v>502</v>
      </c>
      <c r="D23" s="7" t="s">
        <v>512</v>
      </c>
      <c r="E23" s="7" t="s">
        <v>513</v>
      </c>
      <c r="F23" s="6" t="s">
        <v>149</v>
      </c>
      <c r="G23" s="16">
        <v>89</v>
      </c>
      <c r="H23" s="17"/>
      <c r="I23" s="18">
        <f t="shared" si="0"/>
        <v>89</v>
      </c>
      <c r="J23" s="19">
        <v>172</v>
      </c>
      <c r="K23" s="20"/>
      <c r="L23" s="20"/>
      <c r="M23" s="20"/>
      <c r="N23" s="20"/>
      <c r="O23" s="20"/>
      <c r="P23" s="20"/>
      <c r="Q23" s="21">
        <f>IF($I23="","",IFERROR(INDEX(_玩家曲线!$H$2:$H$286,MATCH($I23,_玩家曲线!$A$2:$A$286,0)),""))</f>
        <v>599154.342761463</v>
      </c>
      <c r="R23" s="21">
        <f>IF($I23="","",IFERROR(INDEX(_玩家曲线!$I$2:$I$286,MATCH($I23,_玩家曲线!$A$2:$A$286,0)),""))</f>
        <v>1035127.81575273</v>
      </c>
      <c r="S23" s="21">
        <f>IF(OR($J23="",$F23="不适用"),"",IFERROR(INDEX(_怪物模型!$D$2:$D$4501,MATCH(INT($J23)&amp;"|"&amp;$F23,_怪物模型!$A$2:$A$4501,0))*IF($K23="",1,$K23),""))</f>
        <v>111498</v>
      </c>
      <c r="T23" s="21">
        <f>IF(OR($J23="",$F23="不适用"),"",IFERROR(INDEX(_怪物模型!$E$2:$E$4501,MATCH(INT($J23)&amp;"|"&amp;$F23,_怪物模型!$A$2:$A$4501,0))*IF($L23="",1,$L23),""))</f>
        <v>17358</v>
      </c>
      <c r="U23" s="21">
        <f>IF(OR($J23="",$F23="不适用"),"",IFERROR(INDEX(_怪物模型!$F$2:$F$4501,MATCH(INT($J23)&amp;"|"&amp;$F23,_怪物模型!$A$2:$A$4501,0))*IF($M23="",1,$M23),""))</f>
        <v>14906</v>
      </c>
      <c r="V23" s="22">
        <f t="shared" si="1"/>
        <v>0.383128566287976</v>
      </c>
      <c r="W23" s="23">
        <f t="shared" si="2"/>
        <v>180747.5495</v>
      </c>
      <c r="X23" s="23">
        <f t="shared" si="3"/>
        <v>0.3016710997486</v>
      </c>
      <c r="Y23" s="23">
        <f t="shared" si="4"/>
        <v>59.634048608868</v>
      </c>
      <c r="Z23" s="24" t="str">
        <f t="shared" si="5"/>
        <v/>
      </c>
      <c r="AA23" s="6" t="str">
        <f t="shared" si="6"/>
        <v>已计算</v>
      </c>
      <c r="AB23" s="6" t="str">
        <f t="shared" si="7"/>
        <v>有效</v>
      </c>
      <c r="AC23" s="6" t="str">
        <f t="shared" si="8"/>
        <v/>
      </c>
      <c r="AD23" s="7" t="s">
        <v>514</v>
      </c>
    </row>
    <row r="24" ht="25" customHeight="1" spans="1:30">
      <c r="A24" s="6" t="s">
        <v>145</v>
      </c>
      <c r="B24" s="6" t="s">
        <v>53</v>
      </c>
      <c r="C24" s="7" t="s">
        <v>502</v>
      </c>
      <c r="D24" s="7" t="s">
        <v>515</v>
      </c>
      <c r="E24" s="7" t="s">
        <v>516</v>
      </c>
      <c r="F24" s="6" t="s">
        <v>149</v>
      </c>
      <c r="G24" s="16">
        <v>90</v>
      </c>
      <c r="H24" s="17"/>
      <c r="I24" s="18">
        <f t="shared" si="0"/>
        <v>90</v>
      </c>
      <c r="J24" s="19">
        <v>173</v>
      </c>
      <c r="K24" s="20"/>
      <c r="L24" s="20"/>
      <c r="M24" s="20"/>
      <c r="N24" s="20"/>
      <c r="O24" s="20"/>
      <c r="P24" s="20"/>
      <c r="Q24" s="21">
        <f>IF($I24="","",IFERROR(INDEX(_玩家曲线!$H$2:$H$286,MATCH($I24,_玩家曲线!$A$2:$A$286,0)),""))</f>
        <v>611682.152540438</v>
      </c>
      <c r="R24" s="21">
        <f>IF($I24="","",IFERROR(INDEX(_玩家曲线!$I$2:$I$286,MATCH($I24,_玩家曲线!$A$2:$A$286,0)),""))</f>
        <v>1053603.22949915</v>
      </c>
      <c r="S24" s="21">
        <f>IF(OR($J24="",$F24="不适用"),"",IFERROR(INDEX(_怪物模型!$D$2:$D$4501,MATCH(INT($J24)&amp;"|"&amp;$F24,_怪物模型!$A$2:$A$4501,0))*IF($K24="",1,$K24),""))</f>
        <v>113002</v>
      </c>
      <c r="T24" s="21">
        <f>IF(OR($J24="",$F24="不适用"),"",IFERROR(INDEX(_怪物模型!$E$2:$E$4501,MATCH(INT($J24)&amp;"|"&amp;$F24,_怪物模型!$A$2:$A$4501,0))*IF($L24="",1,$L24),""))</f>
        <v>17552</v>
      </c>
      <c r="U24" s="21">
        <f>IF(OR($J24="",$F24="不适用"),"",IFERROR(INDEX(_怪物模型!$F$2:$F$4501,MATCH(INT($J24)&amp;"|"&amp;$F24,_怪物模型!$A$2:$A$4501,0))*IF($M24="",1,$M24),""))</f>
        <v>15009</v>
      </c>
      <c r="V24" s="22">
        <f t="shared" si="1"/>
        <v>0.384757363685303</v>
      </c>
      <c r="W24" s="23">
        <f t="shared" si="2"/>
        <v>183670.62575</v>
      </c>
      <c r="X24" s="23">
        <f t="shared" si="3"/>
        <v>0.300271350058489</v>
      </c>
      <c r="Y24" s="23">
        <f t="shared" si="4"/>
        <v>60.0275313069251</v>
      </c>
      <c r="Z24" s="24" t="str">
        <f t="shared" si="5"/>
        <v/>
      </c>
      <c r="AA24" s="6" t="str">
        <f t="shared" si="6"/>
        <v>已计算</v>
      </c>
      <c r="AB24" s="6" t="str">
        <f t="shared" si="7"/>
        <v>有效</v>
      </c>
      <c r="AC24" s="6" t="str">
        <f t="shared" si="8"/>
        <v/>
      </c>
      <c r="AD24" s="7" t="s">
        <v>517</v>
      </c>
    </row>
    <row r="25" ht="25" customHeight="1" spans="1:30">
      <c r="A25" s="6" t="s">
        <v>145</v>
      </c>
      <c r="B25" s="6" t="s">
        <v>53</v>
      </c>
      <c r="C25" s="7" t="s">
        <v>518</v>
      </c>
      <c r="D25" s="7" t="s">
        <v>519</v>
      </c>
      <c r="E25" s="7" t="s">
        <v>520</v>
      </c>
      <c r="F25" s="6" t="s">
        <v>149</v>
      </c>
      <c r="G25" s="16">
        <v>91</v>
      </c>
      <c r="H25" s="17"/>
      <c r="I25" s="18">
        <f t="shared" si="0"/>
        <v>91</v>
      </c>
      <c r="J25" s="19">
        <v>174</v>
      </c>
      <c r="K25" s="20"/>
      <c r="L25" s="20"/>
      <c r="M25" s="20"/>
      <c r="N25" s="20"/>
      <c r="O25" s="20"/>
      <c r="P25" s="20"/>
      <c r="Q25" s="21">
        <f>IF($I25="","",IFERROR(INDEX(_玩家曲线!$H$2:$H$286,MATCH($I25,_玩家曲线!$A$2:$A$286,0)),""))</f>
        <v>624156.485614279</v>
      </c>
      <c r="R25" s="21">
        <f>IF($I25="","",IFERROR(INDEX(_玩家曲线!$I$2:$I$286,MATCH($I25,_玩家曲线!$A$2:$A$286,0)),""))</f>
        <v>1071924.05190029</v>
      </c>
      <c r="S25" s="21">
        <f>IF(OR($J25="",$F25="不适用"),"",IFERROR(INDEX(_怪物模型!$D$2:$D$4501,MATCH(INT($J25)&amp;"|"&amp;$F25,_怪物模型!$A$2:$A$4501,0))*IF($K25="",1,$K25),""))</f>
        <v>114521</v>
      </c>
      <c r="T25" s="21">
        <f>IF(OR($J25="",$F25="不适用"),"",IFERROR(INDEX(_怪物模型!$E$2:$E$4501,MATCH(INT($J25)&amp;"|"&amp;$F25,_怪物模型!$A$2:$A$4501,0))*IF($L25="",1,$L25),""))</f>
        <v>17747</v>
      </c>
      <c r="U25" s="21">
        <f>IF(OR($J25="",$F25="不适用"),"",IFERROR(INDEX(_怪物模型!$F$2:$F$4501,MATCH(INT($J25)&amp;"|"&amp;$F25,_怪物模型!$A$2:$A$4501,0))*IF($M25="",1,$M25),""))</f>
        <v>15112</v>
      </c>
      <c r="V25" s="22">
        <f t="shared" si="1"/>
        <v>0.386377582327674</v>
      </c>
      <c r="W25" s="23">
        <f t="shared" si="2"/>
        <v>186631.056333333</v>
      </c>
      <c r="X25" s="23">
        <f t="shared" si="3"/>
        <v>0.299013245291613</v>
      </c>
      <c r="Y25" s="23">
        <f t="shared" si="4"/>
        <v>60.4002959317231</v>
      </c>
      <c r="Z25" s="24" t="str">
        <f t="shared" si="5"/>
        <v/>
      </c>
      <c r="AA25" s="6" t="str">
        <f t="shared" si="6"/>
        <v>已计算</v>
      </c>
      <c r="AB25" s="6" t="str">
        <f t="shared" si="7"/>
        <v>有效</v>
      </c>
      <c r="AC25" s="6" t="str">
        <f t="shared" si="8"/>
        <v/>
      </c>
      <c r="AD25" s="7" t="s">
        <v>521</v>
      </c>
    </row>
    <row r="26" ht="25" customHeight="1" spans="1:30">
      <c r="A26" s="6" t="s">
        <v>145</v>
      </c>
      <c r="B26" s="6" t="s">
        <v>53</v>
      </c>
      <c r="C26" s="7" t="s">
        <v>518</v>
      </c>
      <c r="D26" s="7" t="s">
        <v>522</v>
      </c>
      <c r="E26" s="7" t="s">
        <v>523</v>
      </c>
      <c r="F26" s="6" t="s">
        <v>149</v>
      </c>
      <c r="G26" s="16">
        <v>92</v>
      </c>
      <c r="H26" s="17"/>
      <c r="I26" s="18">
        <f t="shared" si="0"/>
        <v>92</v>
      </c>
      <c r="J26" s="19">
        <v>175</v>
      </c>
      <c r="K26" s="20"/>
      <c r="L26" s="20"/>
      <c r="M26" s="20"/>
      <c r="N26" s="20"/>
      <c r="O26" s="20"/>
      <c r="P26" s="20"/>
      <c r="Q26" s="21">
        <f>IF($I26="","",IFERROR(INDEX(_玩家曲线!$H$2:$H$286,MATCH($I26,_玩家曲线!$A$2:$A$286,0)),""))</f>
        <v>636573.331153548</v>
      </c>
      <c r="R26" s="21">
        <f>IF($I26="","",IFERROR(INDEX(_玩家曲线!$I$2:$I$286,MATCH($I26,_玩家曲线!$A$2:$A$286,0)),""))</f>
        <v>1090087.00178438</v>
      </c>
      <c r="S26" s="21">
        <f>IF(OR($J26="",$F26="不适用"),"",IFERROR(INDEX(_怪物模型!$D$2:$D$4501,MATCH(INT($J26)&amp;"|"&amp;$F26,_怪物模型!$A$2:$A$4501,0))*IF($K26="",1,$K26),""))</f>
        <v>116054</v>
      </c>
      <c r="T26" s="21">
        <f>IF(OR($J26="",$F26="不适用"),"",IFERROR(INDEX(_怪物模型!$E$2:$E$4501,MATCH(INT($J26)&amp;"|"&amp;$F26,_怪物模型!$A$2:$A$4501,0))*IF($L26="",1,$L26),""))</f>
        <v>17943</v>
      </c>
      <c r="U26" s="21">
        <f>IF(OR($J26="",$F26="不适用"),"",IFERROR(INDEX(_怪物模型!$F$2:$F$4501,MATCH(INT($J26)&amp;"|"&amp;$F26,_怪物模型!$A$2:$A$4501,0))*IF($M26="",1,$M26),""))</f>
        <v>15215</v>
      </c>
      <c r="V26" s="22">
        <f t="shared" si="1"/>
        <v>0.387989289812572</v>
      </c>
      <c r="W26" s="23">
        <f t="shared" si="2"/>
        <v>189627.400416667</v>
      </c>
      <c r="X26" s="23">
        <f t="shared" si="3"/>
        <v>0.297887754853064</v>
      </c>
      <c r="Y26" s="23">
        <f t="shared" si="4"/>
        <v>60.7527727684546</v>
      </c>
      <c r="Z26" s="24" t="str">
        <f t="shared" si="5"/>
        <v/>
      </c>
      <c r="AA26" s="6" t="str">
        <f t="shared" si="6"/>
        <v>已计算</v>
      </c>
      <c r="AB26" s="6" t="str">
        <f t="shared" si="7"/>
        <v>有效</v>
      </c>
      <c r="AC26" s="6" t="str">
        <f t="shared" si="8"/>
        <v/>
      </c>
      <c r="AD26" s="7" t="s">
        <v>524</v>
      </c>
    </row>
    <row r="27" ht="25" customHeight="1" spans="1:30">
      <c r="A27" s="6" t="s">
        <v>145</v>
      </c>
      <c r="B27" s="6" t="s">
        <v>53</v>
      </c>
      <c r="C27" s="7" t="s">
        <v>518</v>
      </c>
      <c r="D27" s="7" t="s">
        <v>525</v>
      </c>
      <c r="E27" s="7" t="s">
        <v>526</v>
      </c>
      <c r="F27" s="6" t="s">
        <v>149</v>
      </c>
      <c r="G27" s="16">
        <v>93</v>
      </c>
      <c r="H27" s="17"/>
      <c r="I27" s="18">
        <f t="shared" si="0"/>
        <v>93</v>
      </c>
      <c r="J27" s="19">
        <v>177</v>
      </c>
      <c r="K27" s="20"/>
      <c r="L27" s="20"/>
      <c r="M27" s="20"/>
      <c r="N27" s="20"/>
      <c r="O27" s="20"/>
      <c r="P27" s="20"/>
      <c r="Q27" s="21">
        <f>IF($I27="","",IFERROR(INDEX(_玩家曲线!$H$2:$H$286,MATCH($I27,_玩家曲线!$A$2:$A$286,0)),""))</f>
        <v>648928.843270271</v>
      </c>
      <c r="R27" s="21">
        <f>IF($I27="","",IFERROR(INDEX(_玩家曲线!$I$2:$I$286,MATCH($I27,_玩家曲线!$A$2:$A$286,0)),""))</f>
        <v>1108089.03418725</v>
      </c>
      <c r="S27" s="21">
        <f>IF(OR($J27="",$F27="不适用"),"",IFERROR(INDEX(_怪物模型!$D$2:$D$4501,MATCH(INT($J27)&amp;"|"&amp;$F27,_怪物模型!$A$2:$A$4501,0))*IF($K27="",1,$K27),""))</f>
        <v>119165</v>
      </c>
      <c r="T27" s="21">
        <f>IF(OR($J27="",$F27="不适用"),"",IFERROR(INDEX(_怪物模型!$E$2:$E$4501,MATCH(INT($J27)&amp;"|"&amp;$F27,_怪物模型!$A$2:$A$4501,0))*IF($L27="",1,$L27),""))</f>
        <v>18340</v>
      </c>
      <c r="U27" s="21">
        <f>IF(OR($J27="",$F27="不适用"),"",IFERROR(INDEX(_怪物模型!$F$2:$F$4501,MATCH(INT($J27)&amp;"|"&amp;$F27,_怪物模型!$A$2:$A$4501,0))*IF($M27="",1,$M27),""))</f>
        <v>15421</v>
      </c>
      <c r="V27" s="22">
        <f t="shared" si="1"/>
        <v>0.391187438167474</v>
      </c>
      <c r="W27" s="23">
        <f t="shared" si="2"/>
        <v>195733.477708333</v>
      </c>
      <c r="X27" s="23">
        <f t="shared" si="3"/>
        <v>0.301625485965358</v>
      </c>
      <c r="Y27" s="23">
        <f t="shared" si="4"/>
        <v>60.419249410428</v>
      </c>
      <c r="Z27" s="24" t="str">
        <f t="shared" si="5"/>
        <v/>
      </c>
      <c r="AA27" s="6" t="str">
        <f t="shared" si="6"/>
        <v>已计算</v>
      </c>
      <c r="AB27" s="6" t="str">
        <f t="shared" si="7"/>
        <v>有效</v>
      </c>
      <c r="AC27" s="6" t="str">
        <f t="shared" si="8"/>
        <v/>
      </c>
      <c r="AD27" s="7" t="s">
        <v>527</v>
      </c>
    </row>
    <row r="28" ht="25" customHeight="1" spans="1:30">
      <c r="A28" s="6" t="s">
        <v>145</v>
      </c>
      <c r="B28" s="6" t="s">
        <v>53</v>
      </c>
      <c r="C28" s="7" t="s">
        <v>518</v>
      </c>
      <c r="D28" s="7" t="s">
        <v>528</v>
      </c>
      <c r="E28" s="7" t="s">
        <v>529</v>
      </c>
      <c r="F28" s="6" t="s">
        <v>149</v>
      </c>
      <c r="G28" s="16">
        <v>94</v>
      </c>
      <c r="H28" s="17"/>
      <c r="I28" s="18">
        <f t="shared" si="0"/>
        <v>94</v>
      </c>
      <c r="J28" s="19">
        <v>178</v>
      </c>
      <c r="K28" s="20"/>
      <c r="L28" s="20"/>
      <c r="M28" s="20"/>
      <c r="N28" s="20"/>
      <c r="O28" s="20"/>
      <c r="P28" s="20"/>
      <c r="Q28" s="21">
        <f>IF($I28="","",IFERROR(INDEX(_玩家曲线!$H$2:$H$286,MATCH($I28,_玩家曲线!$A$2:$A$286,0)),""))</f>
        <v>661219.339252962</v>
      </c>
      <c r="R28" s="21">
        <f>IF($I28="","",IFERROR(INDEX(_玩家曲线!$I$2:$I$286,MATCH($I28,_玩家曲线!$A$2:$A$286,0)),""))</f>
        <v>1125927.33251912</v>
      </c>
      <c r="S28" s="21">
        <f>IF(OR($J28="",$F28="不适用"),"",IFERROR(INDEX(_怪物模型!$D$2:$D$4501,MATCH(INT($J28)&amp;"|"&amp;$F28,_怪物模型!$A$2:$A$4501,0))*IF($K28="",1,$K28),""))</f>
        <v>120744</v>
      </c>
      <c r="T28" s="21">
        <f>IF(OR($J28="",$F28="不适用"),"",IFERROR(INDEX(_怪物模型!$E$2:$E$4501,MATCH(INT($J28)&amp;"|"&amp;$F28,_怪物模型!$A$2:$A$4501,0))*IF($L28="",1,$L28),""))</f>
        <v>18540</v>
      </c>
      <c r="U28" s="21">
        <f>IF(OR($J28="",$F28="不适用"),"",IFERROR(INDEX(_怪物模型!$F$2:$F$4501,MATCH(INT($J28)&amp;"|"&amp;$F28,_怪物模型!$A$2:$A$4501,0))*IF($M28="",1,$M28),""))</f>
        <v>15525</v>
      </c>
      <c r="V28" s="22">
        <f t="shared" si="1"/>
        <v>0.392789373814042</v>
      </c>
      <c r="W28" s="23">
        <f t="shared" si="2"/>
        <v>198850.275</v>
      </c>
      <c r="X28" s="23">
        <f t="shared" si="3"/>
        <v>0.300732696694351</v>
      </c>
      <c r="Y28" s="23">
        <f t="shared" si="4"/>
        <v>60.7296295857131</v>
      </c>
      <c r="Z28" s="24" t="str">
        <f t="shared" si="5"/>
        <v/>
      </c>
      <c r="AA28" s="6" t="str">
        <f t="shared" si="6"/>
        <v>已计算</v>
      </c>
      <c r="AB28" s="6" t="str">
        <f t="shared" si="7"/>
        <v>有效</v>
      </c>
      <c r="AC28" s="6" t="str">
        <f t="shared" si="8"/>
        <v/>
      </c>
      <c r="AD28" s="7" t="s">
        <v>530</v>
      </c>
    </row>
    <row r="29" ht="25" customHeight="1" spans="1:30">
      <c r="A29" s="6" t="s">
        <v>145</v>
      </c>
      <c r="B29" s="6" t="s">
        <v>53</v>
      </c>
      <c r="C29" s="7" t="s">
        <v>518</v>
      </c>
      <c r="D29" s="7" t="s">
        <v>531</v>
      </c>
      <c r="E29" s="7" t="s">
        <v>532</v>
      </c>
      <c r="F29" s="6" t="s">
        <v>149</v>
      </c>
      <c r="G29" s="16">
        <v>95</v>
      </c>
      <c r="H29" s="17"/>
      <c r="I29" s="18">
        <f t="shared" si="0"/>
        <v>95</v>
      </c>
      <c r="J29" s="19">
        <v>180</v>
      </c>
      <c r="K29" s="20"/>
      <c r="L29" s="20"/>
      <c r="M29" s="20"/>
      <c r="N29" s="20"/>
      <c r="O29" s="20"/>
      <c r="P29" s="20"/>
      <c r="Q29" s="21">
        <f>IF($I29="","",IFERROR(INDEX(_玩家曲线!$H$2:$H$286,MATCH($I29,_玩家曲线!$A$2:$A$286,0)),""))</f>
        <v>673441.29759876</v>
      </c>
      <c r="R29" s="21">
        <f>IF($I29="","",IFERROR(INDEX(_玩家曲线!$I$2:$I$286,MATCH($I29,_玩家曲线!$A$2:$A$286,0)),""))</f>
        <v>1143599.30084008</v>
      </c>
      <c r="S29" s="21">
        <f>IF(OR($J29="",$F29="不适用"),"",IFERROR(INDEX(_怪物模型!$D$2:$D$4501,MATCH(INT($J29)&amp;"|"&amp;$F29,_怪物模型!$A$2:$A$4501,0))*IF($K29="",1,$K29),""))</f>
        <v>123946</v>
      </c>
      <c r="T29" s="21">
        <f>IF(OR($J29="",$F29="不适用"),"",IFERROR(INDEX(_怪物模型!$E$2:$E$4501,MATCH(INT($J29)&amp;"|"&amp;$F29,_怪物模型!$A$2:$A$4501,0))*IF($L29="",1,$L29),""))</f>
        <v>18946</v>
      </c>
      <c r="U29" s="21">
        <f>IF(OR($J29="",$F29="不适用"),"",IFERROR(INDEX(_怪物模型!$F$2:$F$4501,MATCH(INT($J29)&amp;"|"&amp;$F29,_怪物模型!$A$2:$A$4501,0))*IF($M29="",1,$M29),""))</f>
        <v>15732</v>
      </c>
      <c r="V29" s="22">
        <f t="shared" si="1"/>
        <v>0.395952884324977</v>
      </c>
      <c r="W29" s="23">
        <f t="shared" si="2"/>
        <v>205192.603</v>
      </c>
      <c r="X29" s="23">
        <f t="shared" si="3"/>
        <v>0.304692634282513</v>
      </c>
      <c r="Y29" s="23">
        <f t="shared" si="4"/>
        <v>60.3609891713333</v>
      </c>
      <c r="Z29" s="24" t="str">
        <f t="shared" si="5"/>
        <v/>
      </c>
      <c r="AA29" s="6" t="str">
        <f t="shared" si="6"/>
        <v>已计算</v>
      </c>
      <c r="AB29" s="6" t="str">
        <f t="shared" si="7"/>
        <v>有效</v>
      </c>
      <c r="AC29" s="6" t="str">
        <f t="shared" si="8"/>
        <v/>
      </c>
      <c r="AD29" s="7" t="s">
        <v>533</v>
      </c>
    </row>
    <row r="30" ht="25" customHeight="1" spans="1:30">
      <c r="A30" s="6" t="s">
        <v>145</v>
      </c>
      <c r="B30" s="6" t="s">
        <v>53</v>
      </c>
      <c r="C30" s="7" t="s">
        <v>534</v>
      </c>
      <c r="D30" s="7" t="s">
        <v>535</v>
      </c>
      <c r="E30" s="7" t="s">
        <v>536</v>
      </c>
      <c r="F30" s="6" t="s">
        <v>149</v>
      </c>
      <c r="G30" s="16">
        <v>96</v>
      </c>
      <c r="H30" s="17"/>
      <c r="I30" s="18">
        <f t="shared" si="0"/>
        <v>96</v>
      </c>
      <c r="J30" s="19">
        <v>180</v>
      </c>
      <c r="K30" s="20"/>
      <c r="L30" s="20"/>
      <c r="M30" s="20"/>
      <c r="N30" s="20"/>
      <c r="O30" s="20"/>
      <c r="P30" s="20"/>
      <c r="Q30" s="21">
        <f>IF($I30="","",IFERROR(INDEX(_玩家曲线!$H$2:$H$286,MATCH($I30,_玩家曲线!$A$2:$A$286,0)),""))</f>
        <v>685591.355860024</v>
      </c>
      <c r="R30" s="21">
        <f>IF($I30="","",IFERROR(INDEX(_玩家曲线!$I$2:$I$286,MATCH($I30,_玩家曲线!$A$2:$A$286,0)),""))</f>
        <v>1161102.55625193</v>
      </c>
      <c r="S30" s="21">
        <f>IF(OR($J30="",$F30="不适用"),"",IFERROR(INDEX(_怪物模型!$D$2:$D$4501,MATCH(INT($J30)&amp;"|"&amp;$F30,_怪物模型!$A$2:$A$4501,0))*IF($K30="",1,$K30),""))</f>
        <v>123946</v>
      </c>
      <c r="T30" s="21">
        <f>IF(OR($J30="",$F30="不适用"),"",IFERROR(INDEX(_怪物模型!$E$2:$E$4501,MATCH(INT($J30)&amp;"|"&amp;$F30,_怪物模型!$A$2:$A$4501,0))*IF($L30="",1,$L30),""))</f>
        <v>18946</v>
      </c>
      <c r="U30" s="21">
        <f>IF(OR($J30="",$F30="不适用"),"",IFERROR(INDEX(_怪物模型!$F$2:$F$4501,MATCH(INT($J30)&amp;"|"&amp;$F30,_怪物模型!$A$2:$A$4501,0))*IF($M30="",1,$M30),""))</f>
        <v>15732</v>
      </c>
      <c r="V30" s="22">
        <f t="shared" si="1"/>
        <v>0.395952884324977</v>
      </c>
      <c r="W30" s="23">
        <f t="shared" si="2"/>
        <v>205192.603</v>
      </c>
      <c r="X30" s="23">
        <f t="shared" si="3"/>
        <v>0.299292867750062</v>
      </c>
      <c r="Y30" s="23">
        <f t="shared" si="4"/>
        <v>61.2848388183221</v>
      </c>
      <c r="Z30" s="24" t="str">
        <f t="shared" si="5"/>
        <v/>
      </c>
      <c r="AA30" s="6" t="str">
        <f t="shared" si="6"/>
        <v>已计算</v>
      </c>
      <c r="AB30" s="6" t="str">
        <f t="shared" si="7"/>
        <v>有效</v>
      </c>
      <c r="AC30" s="6" t="str">
        <f t="shared" si="8"/>
        <v/>
      </c>
      <c r="AD30" s="7" t="s">
        <v>537</v>
      </c>
    </row>
    <row r="31" ht="25" customHeight="1" spans="1:30">
      <c r="A31" s="6" t="s">
        <v>145</v>
      </c>
      <c r="B31" s="6" t="s">
        <v>53</v>
      </c>
      <c r="C31" s="7" t="s">
        <v>534</v>
      </c>
      <c r="D31" s="7" t="s">
        <v>538</v>
      </c>
      <c r="E31" s="7" t="s">
        <v>539</v>
      </c>
      <c r="F31" s="6" t="s">
        <v>149</v>
      </c>
      <c r="G31" s="16">
        <v>97</v>
      </c>
      <c r="H31" s="17"/>
      <c r="I31" s="18">
        <f t="shared" si="0"/>
        <v>97</v>
      </c>
      <c r="J31" s="19">
        <v>181</v>
      </c>
      <c r="K31" s="20"/>
      <c r="L31" s="20"/>
      <c r="M31" s="20"/>
      <c r="N31" s="20"/>
      <c r="O31" s="20"/>
      <c r="P31" s="20"/>
      <c r="Q31" s="21">
        <f>IF($I31="","",IFERROR(INDEX(_玩家曲线!$H$2:$H$286,MATCH($I31,_玩家曲线!$A$2:$A$286,0)),""))</f>
        <v>697666.308322013</v>
      </c>
      <c r="R31" s="21">
        <f>IF($I31="","",IFERROR(INDEX(_玩家曲线!$I$2:$I$286,MATCH($I31,_玩家曲线!$A$2:$A$286,0)),""))</f>
        <v>1178434.92141308</v>
      </c>
      <c r="S31" s="21">
        <f>IF(OR($J31="",$F31="不适用"),"",IFERROR(INDEX(_怪物模型!$D$2:$D$4501,MATCH(INT($J31)&amp;"|"&amp;$F31,_怪物模型!$A$2:$A$4501,0))*IF($K31="",1,$K31),""))</f>
        <v>125570</v>
      </c>
      <c r="T31" s="21">
        <f>IF(OR($J31="",$F31="不适用"),"",IFERROR(INDEX(_怪物模型!$E$2:$E$4501,MATCH(INT($J31)&amp;"|"&amp;$F31,_怪物模型!$A$2:$A$4501,0))*IF($L31="",1,$L31),""))</f>
        <v>19150</v>
      </c>
      <c r="U31" s="21">
        <f>IF(OR($J31="",$F31="不适用"),"",IFERROR(INDEX(_怪物模型!$F$2:$F$4501,MATCH(INT($J31)&amp;"|"&amp;$F31,_怪物模型!$A$2:$A$4501,0))*IF($M31="",1,$M31),""))</f>
        <v>15837</v>
      </c>
      <c r="V31" s="22">
        <f t="shared" si="1"/>
        <v>0.397544995858122</v>
      </c>
      <c r="W31" s="23">
        <f t="shared" si="2"/>
        <v>208430.50375</v>
      </c>
      <c r="X31" s="23">
        <f t="shared" si="3"/>
        <v>0.298753861643835</v>
      </c>
      <c r="Y31" s="23">
        <f t="shared" si="4"/>
        <v>61.5370716142601</v>
      </c>
      <c r="Z31" s="24" t="str">
        <f t="shared" si="5"/>
        <v/>
      </c>
      <c r="AA31" s="6" t="str">
        <f t="shared" si="6"/>
        <v>已计算</v>
      </c>
      <c r="AB31" s="6" t="str">
        <f t="shared" si="7"/>
        <v>有效</v>
      </c>
      <c r="AC31" s="6" t="str">
        <f t="shared" si="8"/>
        <v/>
      </c>
      <c r="AD31" s="7" t="s">
        <v>540</v>
      </c>
    </row>
    <row r="32" ht="25" customHeight="1" spans="1:30">
      <c r="A32" s="6" t="s">
        <v>145</v>
      </c>
      <c r="B32" s="6" t="s">
        <v>53</v>
      </c>
      <c r="C32" s="7" t="s">
        <v>534</v>
      </c>
      <c r="D32" s="7" t="s">
        <v>541</v>
      </c>
      <c r="E32" s="7" t="s">
        <v>542</v>
      </c>
      <c r="F32" s="6" t="s">
        <v>149</v>
      </c>
      <c r="G32" s="16">
        <v>98</v>
      </c>
      <c r="H32" s="17"/>
      <c r="I32" s="18">
        <f t="shared" si="0"/>
        <v>98</v>
      </c>
      <c r="J32" s="19">
        <v>183</v>
      </c>
      <c r="K32" s="20"/>
      <c r="L32" s="20"/>
      <c r="M32" s="20"/>
      <c r="N32" s="20"/>
      <c r="O32" s="20"/>
      <c r="P32" s="20"/>
      <c r="Q32" s="21">
        <f>IF($I32="","",IFERROR(INDEX(_玩家曲线!$H$2:$H$286,MATCH($I32,_玩家曲线!$A$2:$A$286,0)),""))</f>
        <v>709663.103527572</v>
      </c>
      <c r="R32" s="21">
        <f>IF($I32="","",IFERROR(INDEX(_玩家曲线!$I$2:$I$286,MATCH($I32,_玩家曲线!$A$2:$A$286,0)),""))</f>
        <v>1195594.41718271</v>
      </c>
      <c r="S32" s="21">
        <f>IF(OR($J32="",$F32="不适用"),"",IFERROR(INDEX(_怪物模型!$D$2:$D$4501,MATCH(INT($J32)&amp;"|"&amp;$F32,_怪物模型!$A$2:$A$4501,0))*IF($K32="",1,$K32),""))</f>
        <v>128864</v>
      </c>
      <c r="T32" s="21">
        <f>IF(OR($J32="",$F32="不适用"),"",IFERROR(INDEX(_怪物模型!$E$2:$E$4501,MATCH(INT($J32)&amp;"|"&amp;$F32,_怪物模型!$A$2:$A$4501,0))*IF($L32="",1,$L32),""))</f>
        <v>19564</v>
      </c>
      <c r="U32" s="21">
        <f>IF(OR($J32="",$F32="不适用"),"",IFERROR(INDEX(_怪物模型!$F$2:$F$4501,MATCH(INT($J32)&amp;"|"&amp;$F32,_怪物模型!$A$2:$A$4501,0))*IF($M32="",1,$M32),""))</f>
        <v>16045</v>
      </c>
      <c r="V32" s="22">
        <f t="shared" si="1"/>
        <v>0.400674241478337</v>
      </c>
      <c r="W32" s="23">
        <f t="shared" si="2"/>
        <v>215014.953333333</v>
      </c>
      <c r="X32" s="23">
        <f t="shared" si="3"/>
        <v>0.302981727899539</v>
      </c>
      <c r="Y32" s="23">
        <f t="shared" si="4"/>
        <v>61.1119616225061</v>
      </c>
      <c r="Z32" s="24" t="str">
        <f t="shared" si="5"/>
        <v/>
      </c>
      <c r="AA32" s="6" t="str">
        <f t="shared" si="6"/>
        <v>已计算</v>
      </c>
      <c r="AB32" s="6" t="str">
        <f t="shared" si="7"/>
        <v>有效</v>
      </c>
      <c r="AC32" s="6" t="str">
        <f t="shared" si="8"/>
        <v/>
      </c>
      <c r="AD32" s="7" t="s">
        <v>543</v>
      </c>
    </row>
    <row r="33" ht="25" customHeight="1" spans="1:30">
      <c r="A33" s="6" t="s">
        <v>145</v>
      </c>
      <c r="B33" s="6" t="s">
        <v>53</v>
      </c>
      <c r="C33" s="7" t="s">
        <v>534</v>
      </c>
      <c r="D33" s="7" t="s">
        <v>544</v>
      </c>
      <c r="E33" s="7" t="s">
        <v>545</v>
      </c>
      <c r="F33" s="6" t="s">
        <v>149</v>
      </c>
      <c r="G33" s="16">
        <v>99</v>
      </c>
      <c r="H33" s="17"/>
      <c r="I33" s="18">
        <f t="shared" si="0"/>
        <v>99</v>
      </c>
      <c r="J33" s="19">
        <v>184</v>
      </c>
      <c r="K33" s="20"/>
      <c r="L33" s="20"/>
      <c r="M33" s="20"/>
      <c r="N33" s="20"/>
      <c r="O33" s="20"/>
      <c r="P33" s="20"/>
      <c r="Q33" s="21">
        <f>IF($I33="","",IFERROR(INDEX(_玩家曲线!$H$2:$H$286,MATCH($I33,_玩家曲线!$A$2:$A$286,0)),""))</f>
        <v>721578.841664009</v>
      </c>
      <c r="R33" s="21">
        <f>IF($I33="","",IFERROR(INDEX(_玩家曲线!$I$2:$I$286,MATCH($I33,_玩家曲线!$A$2:$A$286,0)),""))</f>
        <v>1212579.25539915</v>
      </c>
      <c r="S33" s="21">
        <f>IF(OR($J33="",$F33="不适用"),"",IFERROR(INDEX(_怪物模型!$D$2:$D$4501,MATCH(INT($J33)&amp;"|"&amp;$F33,_怪物模型!$A$2:$A$4501,0))*IF($K33="",1,$K33),""))</f>
        <v>130535</v>
      </c>
      <c r="T33" s="21">
        <f>IF(OR($J33="",$F33="不适用"),"",IFERROR(INDEX(_怪物模型!$E$2:$E$4501,MATCH(INT($J33)&amp;"|"&amp;$F33,_怪物模型!$A$2:$A$4501,0))*IF($L33="",1,$L33),""))</f>
        <v>19773</v>
      </c>
      <c r="U33" s="21">
        <f>IF(OR($J33="",$F33="不适用"),"",IFERROR(INDEX(_怪物模型!$F$2:$F$4501,MATCH(INT($J33)&amp;"|"&amp;$F33,_怪物模型!$A$2:$A$4501,0))*IF($M33="",1,$M33),""))</f>
        <v>16150</v>
      </c>
      <c r="V33" s="22">
        <f t="shared" si="1"/>
        <v>0.402241594022416</v>
      </c>
      <c r="W33" s="23">
        <f t="shared" si="2"/>
        <v>218374.177083333</v>
      </c>
      <c r="X33" s="23">
        <f t="shared" si="3"/>
        <v>0.302633841895569</v>
      </c>
      <c r="Y33" s="23">
        <f t="shared" si="4"/>
        <v>61.3250015374071</v>
      </c>
      <c r="Z33" s="24" t="str">
        <f t="shared" si="5"/>
        <v/>
      </c>
      <c r="AA33" s="6" t="str">
        <f t="shared" si="6"/>
        <v>已计算</v>
      </c>
      <c r="AB33" s="6" t="str">
        <f t="shared" si="7"/>
        <v>有效</v>
      </c>
      <c r="AC33" s="6" t="str">
        <f t="shared" si="8"/>
        <v/>
      </c>
      <c r="AD33" s="7" t="s">
        <v>546</v>
      </c>
    </row>
    <row r="34" ht="25" customHeight="1" spans="1:30">
      <c r="A34" s="6" t="s">
        <v>145</v>
      </c>
      <c r="B34" s="6" t="s">
        <v>53</v>
      </c>
      <c r="C34" s="7" t="s">
        <v>534</v>
      </c>
      <c r="D34" s="7" t="s">
        <v>547</v>
      </c>
      <c r="E34" s="7" t="s">
        <v>548</v>
      </c>
      <c r="F34" s="6" t="s">
        <v>149</v>
      </c>
      <c r="G34" s="16">
        <v>100</v>
      </c>
      <c r="H34" s="17"/>
      <c r="I34" s="18">
        <f t="shared" si="0"/>
        <v>100</v>
      </c>
      <c r="J34" s="19">
        <v>185</v>
      </c>
      <c r="K34" s="20"/>
      <c r="L34" s="20"/>
      <c r="M34" s="20"/>
      <c r="N34" s="20"/>
      <c r="O34" s="20"/>
      <c r="P34" s="20"/>
      <c r="Q34" s="21">
        <f>IF($I34="","",IFERROR(INDEX(_玩家曲线!$H$2:$H$286,MATCH($I34,_玩家曲线!$A$2:$A$286,0)),""))</f>
        <v>733410.771826676</v>
      </c>
      <c r="R34" s="21">
        <f>IF($I34="","",IFERROR(INDEX(_玩家曲线!$I$2:$I$286,MATCH($I34,_玩家曲线!$A$2:$A$286,0)),""))</f>
        <v>1229387.83179704</v>
      </c>
      <c r="S34" s="21">
        <f>IF(OR($J34="",$F34="不适用"),"",IFERROR(INDEX(_怪物模型!$D$2:$D$4501,MATCH(INT($J34)&amp;"|"&amp;$F34,_怪物模型!$A$2:$A$4501,0))*IF($K34="",1,$K34),""))</f>
        <v>132222</v>
      </c>
      <c r="T34" s="21">
        <f>IF(OR($J34="",$F34="不适用"),"",IFERROR(INDEX(_怪物模型!$E$2:$E$4501,MATCH(INT($J34)&amp;"|"&amp;$F34,_怪物模型!$A$2:$A$4501,0))*IF($L34="",1,$L34),""))</f>
        <v>19984</v>
      </c>
      <c r="U34" s="21">
        <f>IF(OR($J34="",$F34="不适用"),"",IFERROR(INDEX(_怪物模型!$F$2:$F$4501,MATCH(INT($J34)&amp;"|"&amp;$F34,_怪物模型!$A$2:$A$4501,0))*IF($M34="",1,$M34),""))</f>
        <v>16255</v>
      </c>
      <c r="V34" s="22">
        <f t="shared" si="1"/>
        <v>0.403800770090672</v>
      </c>
      <c r="W34" s="23">
        <f t="shared" si="2"/>
        <v>221774.85875</v>
      </c>
      <c r="X34" s="23">
        <f t="shared" si="3"/>
        <v>0.3023883303454</v>
      </c>
      <c r="Y34" s="23">
        <f t="shared" si="4"/>
        <v>61.518606475032</v>
      </c>
      <c r="Z34" s="24" t="str">
        <f t="shared" si="5"/>
        <v/>
      </c>
      <c r="AA34" s="6" t="str">
        <f t="shared" si="6"/>
        <v>已计算</v>
      </c>
      <c r="AB34" s="6" t="str">
        <f t="shared" si="7"/>
        <v>有效</v>
      </c>
      <c r="AC34" s="6" t="str">
        <f t="shared" si="8"/>
        <v/>
      </c>
      <c r="AD34" s="7" t="s">
        <v>549</v>
      </c>
    </row>
    <row r="35" ht="25" customHeight="1" spans="1:30">
      <c r="A35" s="6" t="s">
        <v>145</v>
      </c>
      <c r="B35" s="6" t="s">
        <v>53</v>
      </c>
      <c r="C35" s="7" t="s">
        <v>550</v>
      </c>
      <c r="D35" s="7" t="s">
        <v>551</v>
      </c>
      <c r="E35" s="7" t="s">
        <v>552</v>
      </c>
      <c r="F35" s="6" t="s">
        <v>149</v>
      </c>
      <c r="G35" s="16">
        <v>101</v>
      </c>
      <c r="H35" s="17"/>
      <c r="I35" s="18">
        <f t="shared" si="0"/>
        <v>101</v>
      </c>
      <c r="J35" s="19">
        <v>186</v>
      </c>
      <c r="K35" s="20"/>
      <c r="L35" s="20"/>
      <c r="M35" s="20"/>
      <c r="N35" s="20"/>
      <c r="O35" s="20"/>
      <c r="P35" s="20"/>
      <c r="Q35" s="21">
        <f>IF($I35="","",IFERROR(INDEX(_玩家曲线!$H$2:$H$286,MATCH($I35,_玩家曲线!$A$2:$A$286,0)),""))</f>
        <v>754380.349405639</v>
      </c>
      <c r="R35" s="21">
        <f>IF($I35="","",IFERROR(INDEX(_玩家曲线!$I$2:$I$286,MATCH($I35,_玩家曲线!$A$2:$A$286,0)),""))</f>
        <v>1255299.61646539</v>
      </c>
      <c r="S35" s="21">
        <f>IF(OR($J35="",$F35="不适用"),"",IFERROR(INDEX(_怪物模型!$D$2:$D$4501,MATCH(INT($J35)&amp;"|"&amp;$F35,_怪物模型!$A$2:$A$4501,0))*IF($K35="",1,$K35),""))</f>
        <v>133924</v>
      </c>
      <c r="T35" s="21">
        <f>IF(OR($J35="",$F35="不适用"),"",IFERROR(INDEX(_怪物模型!$E$2:$E$4501,MATCH(INT($J35)&amp;"|"&amp;$F35,_怪物模型!$A$2:$A$4501,0))*IF($L35="",1,$L35),""))</f>
        <v>20196</v>
      </c>
      <c r="U35" s="21">
        <f>IF(OR($J35="",$F35="不适用"),"",IFERROR(INDEX(_怪物模型!$F$2:$F$4501,MATCH(INT($J35)&amp;"|"&amp;$F35,_怪物模型!$A$2:$A$4501,0))*IF($M35="",1,$M35),""))</f>
        <v>16360</v>
      </c>
      <c r="V35" s="22">
        <f t="shared" si="1"/>
        <v>0.405351833498513</v>
      </c>
      <c r="W35" s="23">
        <f t="shared" si="2"/>
        <v>225215.526666667</v>
      </c>
      <c r="X35" s="23">
        <f t="shared" si="3"/>
        <v>0.298543734396196</v>
      </c>
      <c r="Y35" s="23">
        <f t="shared" si="4"/>
        <v>62.1558534593677</v>
      </c>
      <c r="Z35" s="24" t="str">
        <f t="shared" si="5"/>
        <v/>
      </c>
      <c r="AA35" s="6" t="str">
        <f t="shared" si="6"/>
        <v>已计算</v>
      </c>
      <c r="AB35" s="6" t="str">
        <f t="shared" si="7"/>
        <v>有效</v>
      </c>
      <c r="AC35" s="6" t="str">
        <f t="shared" si="8"/>
        <v/>
      </c>
      <c r="AD35" s="7" t="s">
        <v>553</v>
      </c>
    </row>
    <row r="36" ht="25" customHeight="1" spans="1:30">
      <c r="A36" s="6" t="s">
        <v>145</v>
      </c>
      <c r="B36" s="6" t="s">
        <v>53</v>
      </c>
      <c r="C36" s="7" t="s">
        <v>550</v>
      </c>
      <c r="D36" s="7" t="s">
        <v>554</v>
      </c>
      <c r="E36" s="7" t="s">
        <v>555</v>
      </c>
      <c r="F36" s="6" t="s">
        <v>149</v>
      </c>
      <c r="G36" s="16">
        <v>102</v>
      </c>
      <c r="H36" s="17"/>
      <c r="I36" s="18">
        <f t="shared" si="0"/>
        <v>102</v>
      </c>
      <c r="J36" s="19">
        <v>188</v>
      </c>
      <c r="K36" s="20"/>
      <c r="L36" s="20"/>
      <c r="M36" s="20"/>
      <c r="N36" s="20"/>
      <c r="O36" s="20"/>
      <c r="P36" s="20"/>
      <c r="Q36" s="21">
        <f>IF($I36="","",IFERROR(INDEX(_玩家曲线!$H$2:$H$286,MATCH($I36,_玩家曲线!$A$2:$A$286,0)),""))</f>
        <v>775379.509458662</v>
      </c>
      <c r="R36" s="21">
        <f>IF($I36="","",IFERROR(INDEX(_玩家曲线!$I$2:$I$286,MATCH($I36,_玩家曲线!$A$2:$A$286,0)),""))</f>
        <v>1281018.46855859</v>
      </c>
      <c r="S36" s="21">
        <f>IF(OR($J36="",$F36="不适用"),"",IFERROR(INDEX(_怪物模型!$D$2:$D$4501,MATCH(INT($J36)&amp;"|"&amp;$F36,_怪物模型!$A$2:$A$4501,0))*IF($K36="",1,$K36),""))</f>
        <v>137377</v>
      </c>
      <c r="T36" s="21">
        <f>IF(OR($J36="",$F36="不适用"),"",IFERROR(INDEX(_怪物模型!$E$2:$E$4501,MATCH(INT($J36)&amp;"|"&amp;$F36,_怪物模型!$A$2:$A$4501,0))*IF($L36="",1,$L36),""))</f>
        <v>20624</v>
      </c>
      <c r="U36" s="21">
        <f>IF(OR($J36="",$F36="不适用"),"",IFERROR(INDEX(_怪物模型!$F$2:$F$4501,MATCH(INT($J36)&amp;"|"&amp;$F36,_怪物模型!$A$2:$A$4501,0))*IF($M36="",1,$M36),""))</f>
        <v>16570</v>
      </c>
      <c r="V36" s="22">
        <f t="shared" si="1"/>
        <v>0.408429874291348</v>
      </c>
      <c r="W36" s="23">
        <f t="shared" si="2"/>
        <v>232224.370416667</v>
      </c>
      <c r="X36" s="23">
        <f t="shared" si="3"/>
        <v>0.299497688014475</v>
      </c>
      <c r="Y36" s="23">
        <f t="shared" si="4"/>
        <v>62.1129978936477</v>
      </c>
      <c r="Z36" s="24" t="str">
        <f t="shared" si="5"/>
        <v/>
      </c>
      <c r="AA36" s="6" t="str">
        <f t="shared" si="6"/>
        <v>已计算</v>
      </c>
      <c r="AB36" s="6" t="str">
        <f t="shared" si="7"/>
        <v>有效</v>
      </c>
      <c r="AC36" s="6" t="str">
        <f t="shared" si="8"/>
        <v/>
      </c>
      <c r="AD36" s="7" t="s">
        <v>556</v>
      </c>
    </row>
    <row r="37" ht="25" customHeight="1" spans="1:30">
      <c r="A37" s="6" t="s">
        <v>145</v>
      </c>
      <c r="B37" s="6" t="s">
        <v>53</v>
      </c>
      <c r="C37" s="7" t="s">
        <v>550</v>
      </c>
      <c r="D37" s="7" t="s">
        <v>557</v>
      </c>
      <c r="E37" s="7" t="s">
        <v>558</v>
      </c>
      <c r="F37" s="6" t="s">
        <v>149</v>
      </c>
      <c r="G37" s="16">
        <v>103</v>
      </c>
      <c r="H37" s="17"/>
      <c r="I37" s="18">
        <f t="shared" si="0"/>
        <v>103</v>
      </c>
      <c r="J37" s="19">
        <v>190</v>
      </c>
      <c r="K37" s="20"/>
      <c r="L37" s="20"/>
      <c r="M37" s="20"/>
      <c r="N37" s="20"/>
      <c r="O37" s="20"/>
      <c r="P37" s="20"/>
      <c r="Q37" s="21">
        <f>IF($I37="","",IFERROR(INDEX(_玩家曲线!$H$2:$H$286,MATCH($I37,_玩家曲线!$A$2:$A$286,0)),""))</f>
        <v>796397.775622897</v>
      </c>
      <c r="R37" s="21">
        <f>IF($I37="","",IFERROR(INDEX(_玩家曲线!$I$2:$I$286,MATCH($I37,_玩家曲线!$A$2:$A$286,0)),""))</f>
        <v>1306538.20825465</v>
      </c>
      <c r="S37" s="21">
        <f>IF(OR($J37="",$F37="不适用"),"",IFERROR(INDEX(_怪物模型!$D$2:$D$4501,MATCH(INT($J37)&amp;"|"&amp;$F37,_怪物模型!$A$2:$A$4501,0))*IF($K37="",1,$K37),""))</f>
        <v>140895</v>
      </c>
      <c r="T37" s="21">
        <f>IF(OR($J37="",$F37="不适用"),"",IFERROR(INDEX(_怪物模型!$E$2:$E$4501,MATCH(INT($J37)&amp;"|"&amp;$F37,_怪物模型!$A$2:$A$4501,0))*IF($L37="",1,$L37),""))</f>
        <v>21059</v>
      </c>
      <c r="U37" s="21">
        <f>IF(OR($J37="",$F37="不适用"),"",IFERROR(INDEX(_怪物模型!$F$2:$F$4501,MATCH(INT($J37)&amp;"|"&amp;$F37,_怪物模型!$A$2:$A$4501,0))*IF($M37="",1,$M37),""))</f>
        <v>16782</v>
      </c>
      <c r="V37" s="22">
        <f t="shared" si="1"/>
        <v>0.411505075768721</v>
      </c>
      <c r="W37" s="23">
        <f t="shared" si="2"/>
        <v>239415.82875</v>
      </c>
      <c r="X37" s="23">
        <f t="shared" si="3"/>
        <v>0.300623427234892</v>
      </c>
      <c r="Y37" s="23">
        <f t="shared" si="4"/>
        <v>62.0417972484282</v>
      </c>
      <c r="Z37" s="24" t="str">
        <f t="shared" si="5"/>
        <v/>
      </c>
      <c r="AA37" s="6" t="str">
        <f t="shared" si="6"/>
        <v>已计算</v>
      </c>
      <c r="AB37" s="6" t="str">
        <f t="shared" si="7"/>
        <v>有效</v>
      </c>
      <c r="AC37" s="6" t="str">
        <f t="shared" si="8"/>
        <v/>
      </c>
      <c r="AD37" s="7" t="s">
        <v>559</v>
      </c>
    </row>
    <row r="38" ht="25" customHeight="1" spans="1:30">
      <c r="A38" s="6" t="s">
        <v>145</v>
      </c>
      <c r="B38" s="6" t="s">
        <v>53</v>
      </c>
      <c r="C38" s="7" t="s">
        <v>550</v>
      </c>
      <c r="D38" s="7" t="s">
        <v>560</v>
      </c>
      <c r="E38" s="7" t="s">
        <v>561</v>
      </c>
      <c r="F38" s="6" t="s">
        <v>149</v>
      </c>
      <c r="G38" s="16">
        <v>104</v>
      </c>
      <c r="H38" s="17"/>
      <c r="I38" s="18">
        <f t="shared" si="0"/>
        <v>104</v>
      </c>
      <c r="J38" s="19">
        <v>192</v>
      </c>
      <c r="K38" s="20"/>
      <c r="L38" s="20"/>
      <c r="M38" s="20"/>
      <c r="N38" s="20"/>
      <c r="O38" s="20"/>
      <c r="P38" s="20"/>
      <c r="Q38" s="21">
        <f>IF($I38="","",IFERROR(INDEX(_玩家曲线!$H$2:$H$286,MATCH($I38,_玩家曲线!$A$2:$A$286,0)),""))</f>
        <v>817424.93302004</v>
      </c>
      <c r="R38" s="21">
        <f>IF($I38="","",IFERROR(INDEX(_玩家曲线!$I$2:$I$286,MATCH($I38,_玩家曲线!$A$2:$A$286,0)),""))</f>
        <v>1331853.05839458</v>
      </c>
      <c r="S38" s="21">
        <f>IF(OR($J38="",$F38="不适用"),"",IFERROR(INDEX(_怪物模型!$D$2:$D$4501,MATCH(INT($J38)&amp;"|"&amp;$F38,_怪物模型!$A$2:$A$4501,0))*IF($K38="",1,$K38),""))</f>
        <v>144478</v>
      </c>
      <c r="T38" s="21">
        <f>IF(OR($J38="",$F38="不适用"),"",IFERROR(INDEX(_怪物模型!$E$2:$E$4501,MATCH(INT($J38)&amp;"|"&amp;$F38,_怪物模型!$A$2:$A$4501,0))*IF($L38="",1,$L38),""))</f>
        <v>21499</v>
      </c>
      <c r="U38" s="21">
        <f>IF(OR($J38="",$F38="不适用"),"",IFERROR(INDEX(_怪物模型!$F$2:$F$4501,MATCH(INT($J38)&amp;"|"&amp;$F38,_怪物模型!$A$2:$A$4501,0))*IF($M38="",1,$M38),""))</f>
        <v>16994</v>
      </c>
      <c r="V38" s="22">
        <f t="shared" si="1"/>
        <v>0.414548470507879</v>
      </c>
      <c r="W38" s="23">
        <f t="shared" si="2"/>
        <v>246780.463833333</v>
      </c>
      <c r="X38" s="23">
        <f t="shared" si="3"/>
        <v>0.301899848982565</v>
      </c>
      <c r="Y38" s="23">
        <f t="shared" si="4"/>
        <v>61.9495352525503</v>
      </c>
      <c r="Z38" s="24" t="str">
        <f t="shared" si="5"/>
        <v/>
      </c>
      <c r="AA38" s="6" t="str">
        <f t="shared" si="6"/>
        <v>已计算</v>
      </c>
      <c r="AB38" s="6" t="str">
        <f t="shared" si="7"/>
        <v>有效</v>
      </c>
      <c r="AC38" s="6" t="str">
        <f t="shared" si="8"/>
        <v/>
      </c>
      <c r="AD38" s="7" t="s">
        <v>562</v>
      </c>
    </row>
    <row r="39" ht="25" customHeight="1" spans="1:30">
      <c r="A39" s="6" t="s">
        <v>145</v>
      </c>
      <c r="B39" s="6" t="s">
        <v>53</v>
      </c>
      <c r="C39" s="7" t="s">
        <v>550</v>
      </c>
      <c r="D39" s="7" t="s">
        <v>563</v>
      </c>
      <c r="E39" s="7" t="s">
        <v>564</v>
      </c>
      <c r="F39" s="6" t="s">
        <v>149</v>
      </c>
      <c r="G39" s="16">
        <v>105</v>
      </c>
      <c r="H39" s="17"/>
      <c r="I39" s="18">
        <f t="shared" si="0"/>
        <v>105</v>
      </c>
      <c r="J39" s="19">
        <v>193</v>
      </c>
      <c r="K39" s="20"/>
      <c r="L39" s="20"/>
      <c r="M39" s="20"/>
      <c r="N39" s="20"/>
      <c r="O39" s="20"/>
      <c r="P39" s="20"/>
      <c r="Q39" s="21">
        <f>IF($I39="","",IFERROR(INDEX(_玩家曲线!$H$2:$H$286,MATCH($I39,_玩家曲线!$A$2:$A$286,0)),""))</f>
        <v>838451.034024109</v>
      </c>
      <c r="R39" s="21">
        <f>IF($I39="","",IFERROR(INDEX(_玩家曲线!$I$2:$I$286,MATCH($I39,_玩家曲线!$A$2:$A$286,0)),""))</f>
        <v>1356957.63097549</v>
      </c>
      <c r="S39" s="21">
        <f>IF(OR($J39="",$F39="不适用"),"",IFERROR(INDEX(_怪物模型!$D$2:$D$4501,MATCH(INT($J39)&amp;"|"&amp;$F39,_怪物模型!$A$2:$A$4501,0))*IF($K39="",1,$K39),""))</f>
        <v>146294</v>
      </c>
      <c r="T39" s="21">
        <f>IF(OR($J39="",$F39="不适用"),"",IFERROR(INDEX(_怪物模型!$E$2:$E$4501,MATCH(INT($J39)&amp;"|"&amp;$F39,_怪物模型!$A$2:$A$4501,0))*IF($L39="",1,$L39),""))</f>
        <v>21721</v>
      </c>
      <c r="U39" s="21">
        <f>IF(OR($J39="",$F39="不适用"),"",IFERROR(INDEX(_怪物模型!$F$2:$F$4501,MATCH(INT($J39)&amp;"|"&amp;$F39,_怪物模型!$A$2:$A$4501,0))*IF($M39="",1,$M39),""))</f>
        <v>17100</v>
      </c>
      <c r="V39" s="22">
        <f t="shared" si="1"/>
        <v>0.416058394160584</v>
      </c>
      <c r="W39" s="23">
        <f t="shared" si="2"/>
        <v>250528.475</v>
      </c>
      <c r="X39" s="23">
        <f t="shared" si="3"/>
        <v>0.298799172323278</v>
      </c>
      <c r="Y39" s="23">
        <f t="shared" si="4"/>
        <v>62.472152800308</v>
      </c>
      <c r="Z39" s="24" t="str">
        <f t="shared" si="5"/>
        <v/>
      </c>
      <c r="AA39" s="6" t="str">
        <f t="shared" si="6"/>
        <v>已计算</v>
      </c>
      <c r="AB39" s="6" t="str">
        <f t="shared" si="7"/>
        <v>有效</v>
      </c>
      <c r="AC39" s="6" t="str">
        <f t="shared" si="8"/>
        <v/>
      </c>
      <c r="AD39" s="7" t="s">
        <v>565</v>
      </c>
    </row>
  </sheetData>
  <mergeCells count="3">
    <mergeCell ref="A1:AD1"/>
    <mergeCell ref="A2:AD2"/>
    <mergeCell ref="A3:AD3"/>
  </mergeCells>
  <conditionalFormatting sqref="J5:J39">
    <cfRule type="expression" dxfId="2" priority="1">
      <formula>AND($A5&lt;&gt;"特殊：双方属性对算",$J5="")</formula>
    </cfRule>
  </conditionalFormatting>
  <conditionalFormatting sqref="AA5:AA39">
    <cfRule type="expression" dxfId="0" priority="3">
      <formula>$AA5="适中"</formula>
    </cfRule>
    <cfRule type="expression" dxfId="3" priority="4">
      <formula>$AA5="偏难"</formula>
    </cfRule>
    <cfRule type="expression" dxfId="1" priority="5">
      <formula>$AA5="过难"</formula>
    </cfRule>
    <cfRule type="expression" dxfId="1" priority="6">
      <formula>$AA5="生存不成立"</formula>
    </cfRule>
  </conditionalFormatting>
  <conditionalFormatting sqref="AB5:AB39">
    <cfRule type="expression" dxfId="4" priority="2">
      <formula>$AB5="超范围"</formula>
    </cfRule>
  </conditionalFormatting>
  <conditionalFormatting sqref="AC5:AC39">
    <cfRule type="expression" dxfId="4" priority="7">
      <formula>$AC5="下降"</formula>
    </cfRule>
  </conditionalFormatting>
  <dataValidations count="5">
    <dataValidation type="list" sqref="F5:F39">
      <formula1>_字典!$A$2:$A$11</formula1>
    </dataValidation>
    <dataValidation type="whole" operator="between" allowBlank="1" sqref="H5:H39">
      <formula1>1</formula1>
      <formula2>285</formula2>
    </dataValidation>
    <dataValidation type="whole" operator="between" allowBlank="1" sqref="J5:J39">
      <formula1>1</formula1>
      <formula2>500</formula2>
    </dataValidation>
    <dataValidation type="decimal" operator="between" allowBlank="1" sqref="P5:P39">
      <formula1>0.01</formula1>
      <formula2>3600</formula2>
    </dataValidation>
    <dataValidation type="decimal" operator="between" allowBlank="1" sqref="K5:O39">
      <formula1>0</formula1>
      <formula2>100</formula2>
    </dataValidation>
  </dataValidations>
  <hyperlinks>
    <hyperlink ref="A1" r:id="rId4" display="全玩法难度填写｜困难主线"/>
  </hyperlinks>
  <pageMargins left="0.75" right="0.75" top="1" bottom="1" header="0.5" footer="0.5"/>
  <pageSetup paperSize="1" orientation="landscape"/>
  <headerFooter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AD47"/>
    <pageSetUpPr fitToPage="1"/>
  </sheetPr>
  <dimension ref="A1:AD13"/>
  <sheetViews>
    <sheetView showGridLines="0" workbookViewId="0">
      <pane xSplit="6" ySplit="4" topLeftCell="G5" activePane="bottomRight" state="frozen"/>
      <selection/>
      <selection pane="topRight"/>
      <selection pane="bottomLeft"/>
      <selection pane="bottomRight" activeCell="A1" sqref="A1:AD1"/>
    </sheetView>
  </sheetViews>
  <sheetFormatPr defaultColWidth="9" defaultRowHeight="13.5"/>
  <cols>
    <col min="1" max="1" width="12" customWidth="1"/>
    <col min="2" max="2" width="13" customWidth="1"/>
    <col min="3" max="3" width="18" customWidth="1"/>
    <col min="4" max="4" width="15" customWidth="1"/>
    <col min="5" max="5" width="35" customWidth="1"/>
    <col min="6" max="9" width="14" customWidth="1"/>
    <col min="10" max="10" width="12" customWidth="1"/>
    <col min="11" max="13" width="11" customWidth="1"/>
    <col min="14" max="15" width="13" customWidth="1"/>
    <col min="16" max="16" width="12" customWidth="1"/>
    <col min="17" max="21" width="16" customWidth="1"/>
    <col min="22" max="22" width="12" customWidth="1"/>
    <col min="23" max="23" width="17" customWidth="1"/>
    <col min="24" max="25" width="14" customWidth="1"/>
    <col min="26" max="26" width="12" customWidth="1"/>
    <col min="27" max="27" width="15" customWidth="1"/>
    <col min="28" max="29" width="12" customWidth="1"/>
    <col min="30" max="30" width="46" customWidth="1"/>
  </cols>
  <sheetData>
    <row r="1" ht="34" customHeight="1" spans="1:30">
      <c r="A1" s="2" t="s">
        <v>566</v>
      </c>
    </row>
    <row r="2" ht="30" customHeight="1" spans="1:30">
      <c r="A2" s="3" t="s">
        <v>116</v>
      </c>
    </row>
    <row r="3" ht="14.25" customHeight="1" spans="1:30">
      <c r="A3" s="4" t="s">
        <v>117</v>
      </c>
    </row>
    <row r="4" ht="36" customHeight="1" spans="1:30">
      <c r="A4" s="5" t="s">
        <v>80</v>
      </c>
      <c r="B4" s="5" t="s">
        <v>79</v>
      </c>
      <c r="C4" s="5" t="s">
        <v>118</v>
      </c>
      <c r="D4" s="5" t="s">
        <v>119</v>
      </c>
      <c r="E4" s="5" t="s">
        <v>120</v>
      </c>
      <c r="F4" s="5" t="s">
        <v>121</v>
      </c>
      <c r="G4" s="5" t="s">
        <v>122</v>
      </c>
      <c r="H4" s="5" t="s">
        <v>123</v>
      </c>
      <c r="I4" s="5" t="s">
        <v>124</v>
      </c>
      <c r="J4" s="5" t="s">
        <v>125</v>
      </c>
      <c r="K4" s="5" t="s">
        <v>126</v>
      </c>
      <c r="L4" s="5" t="s">
        <v>127</v>
      </c>
      <c r="M4" s="5" t="s">
        <v>128</v>
      </c>
      <c r="N4" s="5" t="s">
        <v>129</v>
      </c>
      <c r="O4" s="5" t="s">
        <v>130</v>
      </c>
      <c r="P4" s="5" t="s">
        <v>131</v>
      </c>
      <c r="Q4" s="5" t="s">
        <v>132</v>
      </c>
      <c r="R4" s="5" t="s">
        <v>133</v>
      </c>
      <c r="S4" s="5" t="s">
        <v>134</v>
      </c>
      <c r="T4" s="5" t="s">
        <v>135</v>
      </c>
      <c r="U4" s="5" t="s">
        <v>136</v>
      </c>
      <c r="V4" s="5" t="s">
        <v>137</v>
      </c>
      <c r="W4" s="5" t="s">
        <v>138</v>
      </c>
      <c r="X4" s="5" t="s">
        <v>139</v>
      </c>
      <c r="Y4" s="5" t="s">
        <v>140</v>
      </c>
      <c r="Z4" s="5" t="s">
        <v>141</v>
      </c>
      <c r="AA4" s="5" t="s">
        <v>142</v>
      </c>
      <c r="AB4" s="5" t="s">
        <v>143</v>
      </c>
      <c r="AC4" s="5" t="s">
        <v>144</v>
      </c>
      <c r="AD4" s="5" t="s">
        <v>90</v>
      </c>
    </row>
    <row r="5" ht="25" customHeight="1" spans="1:30">
      <c r="A5" s="6" t="s">
        <v>145</v>
      </c>
      <c r="B5" s="6" t="s">
        <v>54</v>
      </c>
      <c r="C5" s="7" t="s">
        <v>567</v>
      </c>
      <c r="D5" s="7" t="s">
        <v>568</v>
      </c>
      <c r="E5" s="7" t="s">
        <v>569</v>
      </c>
      <c r="F5" s="6" t="s">
        <v>149</v>
      </c>
      <c r="G5" s="16">
        <v>16</v>
      </c>
      <c r="H5" s="17"/>
      <c r="I5" s="18">
        <f t="shared" ref="I5:I13" si="0">IF($H5="",$G5,$H5)</f>
        <v>16</v>
      </c>
      <c r="J5" s="19">
        <v>22</v>
      </c>
      <c r="K5" s="20"/>
      <c r="L5" s="20"/>
      <c r="M5" s="20"/>
      <c r="N5" s="20"/>
      <c r="O5" s="20"/>
      <c r="P5" s="20"/>
      <c r="Q5" s="21">
        <f>IF($I5="","",IFERROR(INDEX(_玩家曲线!$H$2:$H$286,MATCH($I5,_玩家曲线!$A$2:$A$286,0)),""))</f>
        <v>12775.0326599693</v>
      </c>
      <c r="R5" s="21">
        <f>IF($I5="","",IFERROR(INDEX(_玩家曲线!$I$2:$I$286,MATCH($I5,_玩家曲线!$A$2:$A$286,0)),""))</f>
        <v>43484.7798603876</v>
      </c>
      <c r="S5" s="21">
        <f>IF(OR($J5="",$F5="不适用"),"",IFERROR(INDEX(_怪物模型!$D$2:$D$4501,MATCH(INT($J5)&amp;"|"&amp;$F5,_怪物模型!$A$2:$A$4501,0))*IF($K5="",1,$K5),""))</f>
        <v>3288</v>
      </c>
      <c r="T5" s="21">
        <f>IF(OR($J5="",$F5="不适用"),"",IFERROR(INDEX(_怪物模型!$E$2:$E$4501,MATCH(INT($J5)&amp;"|"&amp;$F5,_怪物模型!$A$2:$A$4501,0))*IF($L5="",1,$L5),""))</f>
        <v>842</v>
      </c>
      <c r="U5" s="21">
        <f>IF(OR($J5="",$F5="不适用"),"",IFERROR(INDEX(_怪物模型!$F$2:$F$4501,MATCH(INT($J5)&amp;"|"&amp;$F5,_怪物模型!$A$2:$A$4501,0))*IF($M5="",1,$M5),""))</f>
        <v>1603</v>
      </c>
      <c r="V5" s="22">
        <f t="shared" ref="V5:V13" si="1">IF($U5="","",MIN(0.75,$U5/($U5+24000)))</f>
        <v>0.0626098504081553</v>
      </c>
      <c r="W5" s="23">
        <f t="shared" ref="W5:W13" si="2">IF($S5="","",$S5/(1-$V5)*IF($N5="",1,$N5))</f>
        <v>3507.611</v>
      </c>
      <c r="X5" s="23">
        <f t="shared" ref="X5:X13" si="3">IF(OR($W5="",$Q5="",$Q5=0),"",$W5/$Q5)</f>
        <v>0.274567673786944</v>
      </c>
      <c r="Y5" s="23">
        <f t="shared" ref="Y5:Y13" si="4">IF(OR($R5="",$T5="",$T5=0),"",$R5/($T5*IF($O5="",1,$O5)))</f>
        <v>51.6446316631682</v>
      </c>
      <c r="Z5" s="24" t="str">
        <f t="shared" ref="Z5:Z13" si="5">IF(OR($X5="",$P5="",$P5=0),"",$X5/$P5)</f>
        <v/>
      </c>
      <c r="AA5" s="6" t="str">
        <f t="shared" ref="AA5:AA13" si="6">IF($J5="","待填怪物等级",IF(OR($I5="",$Q5=""),"待填对照关卡",IF($P5="","已计算",IF(AND($Y5&lt;&gt;"",$Y5&lt;$X5),"生存不成立",IF($Z5&lt;0.5,"碾压",IF($Z5&lt;0.8,"偏简单",IF($Z5&lt;=1.2,"适中",IF($Z5&lt;=1.5,"偏难","过难"))))))))</f>
        <v>已计算</v>
      </c>
      <c r="AB5" s="6" t="str">
        <f t="shared" ref="AB5:AB13" si="7">IF($J5="","待填",IF(AND(ISNUMBER($J5),$J5&gt;=1,$J5&lt;=500,MOD($J5,1)=0),"有效","超范围"))</f>
        <v>有效</v>
      </c>
      <c r="AC5" s="6" t="str">
        <f t="shared" ref="AC5:AC13" si="8">IF(OR($J5="",ROW()=5,$B5&lt;&gt;$B4,$J4=""),"",IF($J5&lt;$J4,"下降",""))</f>
        <v/>
      </c>
      <c r="AD5" s="7" t="s">
        <v>570</v>
      </c>
    </row>
    <row r="6" ht="25" customHeight="1" spans="1:30">
      <c r="A6" s="6" t="s">
        <v>145</v>
      </c>
      <c r="B6" s="6" t="s">
        <v>54</v>
      </c>
      <c r="C6" s="7" t="s">
        <v>567</v>
      </c>
      <c r="D6" s="7" t="s">
        <v>571</v>
      </c>
      <c r="E6" s="7" t="s">
        <v>572</v>
      </c>
      <c r="F6" s="6" t="s">
        <v>149</v>
      </c>
      <c r="G6" s="16">
        <v>20</v>
      </c>
      <c r="H6" s="17"/>
      <c r="I6" s="18">
        <f t="shared" si="0"/>
        <v>20</v>
      </c>
      <c r="J6" s="19">
        <v>26</v>
      </c>
      <c r="K6" s="20"/>
      <c r="L6" s="20"/>
      <c r="M6" s="20"/>
      <c r="N6" s="20"/>
      <c r="O6" s="20"/>
      <c r="P6" s="20"/>
      <c r="Q6" s="21">
        <f>IF($I6="","",IFERROR(INDEX(_玩家曲线!$H$2:$H$286,MATCH($I6,_玩家曲线!$A$2:$A$286,0)),""))</f>
        <v>18422.0658556409</v>
      </c>
      <c r="R6" s="21">
        <f>IF($I6="","",IFERROR(INDEX(_玩家曲线!$I$2:$I$286,MATCH($I6,_玩家曲线!$A$2:$A$286,0)),""))</f>
        <v>58659.1211219851</v>
      </c>
      <c r="S6" s="21">
        <f>IF(OR($J6="",$F6="不适用"),"",IFERROR(INDEX(_怪物模型!$D$2:$D$4501,MATCH(INT($J6)&amp;"|"&amp;$F6,_怪物模型!$A$2:$A$4501,0))*IF($K6="",1,$K6),""))</f>
        <v>4140</v>
      </c>
      <c r="T6" s="21">
        <f>IF(OR($J6="",$F6="不适用"),"",IFERROR(INDEX(_怪物模型!$E$2:$E$4501,MATCH(INT($J6)&amp;"|"&amp;$F6,_怪物模型!$A$2:$A$4501,0))*IF($L6="",1,$L6),""))</f>
        <v>1028</v>
      </c>
      <c r="U6" s="21">
        <f>IF(OR($J6="",$F6="不适用"),"",IFERROR(INDEX(_怪物模型!$F$2:$F$4501,MATCH(INT($J6)&amp;"|"&amp;$F6,_怪物模型!$A$2:$A$4501,0))*IF($M6="",1,$M6),""))</f>
        <v>1904</v>
      </c>
      <c r="V6" s="22">
        <f t="shared" si="1"/>
        <v>0.0735021618282891</v>
      </c>
      <c r="W6" s="23">
        <f t="shared" si="2"/>
        <v>4468.44</v>
      </c>
      <c r="X6" s="23">
        <f t="shared" si="3"/>
        <v>0.242559115520247</v>
      </c>
      <c r="Y6" s="23">
        <f t="shared" si="4"/>
        <v>57.0614018696353</v>
      </c>
      <c r="Z6" s="24" t="str">
        <f t="shared" si="5"/>
        <v/>
      </c>
      <c r="AA6" s="6" t="str">
        <f t="shared" si="6"/>
        <v>已计算</v>
      </c>
      <c r="AB6" s="6" t="str">
        <f t="shared" si="7"/>
        <v>有效</v>
      </c>
      <c r="AC6" s="6" t="str">
        <f t="shared" si="8"/>
        <v/>
      </c>
      <c r="AD6" s="7" t="s">
        <v>573</v>
      </c>
    </row>
    <row r="7" ht="25" customHeight="1" spans="1:30">
      <c r="A7" s="6" t="s">
        <v>145</v>
      </c>
      <c r="B7" s="6" t="s">
        <v>54</v>
      </c>
      <c r="C7" s="7" t="s">
        <v>567</v>
      </c>
      <c r="D7" s="7" t="s">
        <v>574</v>
      </c>
      <c r="E7" s="7" t="s">
        <v>575</v>
      </c>
      <c r="F7" s="6" t="s">
        <v>149</v>
      </c>
      <c r="G7" s="16">
        <v>33</v>
      </c>
      <c r="H7" s="17"/>
      <c r="I7" s="18">
        <f t="shared" si="0"/>
        <v>33</v>
      </c>
      <c r="J7" s="19">
        <v>39</v>
      </c>
      <c r="K7" s="20"/>
      <c r="L7" s="20"/>
      <c r="M7" s="20"/>
      <c r="N7" s="20"/>
      <c r="O7" s="20"/>
      <c r="P7" s="20"/>
      <c r="Q7" s="21">
        <f>IF($I7="","",IFERROR(INDEX(_玩家曲线!$H$2:$H$286,MATCH($I7,_玩家曲线!$A$2:$A$286,0)),""))</f>
        <v>55490.6113855249</v>
      </c>
      <c r="R7" s="21">
        <f>IF($I7="","",IFERROR(INDEX(_玩家曲线!$I$2:$I$286,MATCH($I7,_玩家曲线!$A$2:$A$286,0)),""))</f>
        <v>145674.718224066</v>
      </c>
      <c r="S7" s="21">
        <f>IF(OR($J7="",$F7="不适用"),"",IFERROR(INDEX(_怪物模型!$D$2:$D$4501,MATCH(INT($J7)&amp;"|"&amp;$F7,_怪物模型!$A$2:$A$4501,0))*IF($K7="",1,$K7),""))</f>
        <v>7437</v>
      </c>
      <c r="T7" s="21">
        <f>IF(OR($J7="",$F7="不适用"),"",IFERROR(INDEX(_怪物模型!$E$2:$E$4501,MATCH(INT($J7)&amp;"|"&amp;$F7,_怪物模型!$A$2:$A$4501,0))*IF($L7="",1,$L7),""))</f>
        <v>1707</v>
      </c>
      <c r="U7" s="21">
        <f>IF(OR($J7="",$F7="不适用"),"",IFERROR(INDEX(_怪物模型!$F$2:$F$4501,MATCH(INT($J7)&amp;"|"&amp;$F7,_怪物模型!$A$2:$A$4501,0))*IF($M7="",1,$M7),""))</f>
        <v>2902</v>
      </c>
      <c r="V7" s="22">
        <f t="shared" si="1"/>
        <v>0.107873020593264</v>
      </c>
      <c r="W7" s="23">
        <f t="shared" si="2"/>
        <v>8336.25725</v>
      </c>
      <c r="X7" s="23">
        <f t="shared" si="3"/>
        <v>0.150228246578205</v>
      </c>
      <c r="Y7" s="23">
        <f t="shared" si="4"/>
        <v>85.3396123163831</v>
      </c>
      <c r="Z7" s="24" t="str">
        <f t="shared" si="5"/>
        <v/>
      </c>
      <c r="AA7" s="6" t="str">
        <f t="shared" si="6"/>
        <v>已计算</v>
      </c>
      <c r="AB7" s="6" t="str">
        <f t="shared" si="7"/>
        <v>有效</v>
      </c>
      <c r="AC7" s="6" t="str">
        <f t="shared" si="8"/>
        <v/>
      </c>
      <c r="AD7" s="7" t="s">
        <v>576</v>
      </c>
    </row>
    <row r="8" ht="25" customHeight="1" spans="1:30">
      <c r="A8" s="6" t="s">
        <v>145</v>
      </c>
      <c r="B8" s="6" t="s">
        <v>54</v>
      </c>
      <c r="C8" s="7" t="s">
        <v>567</v>
      </c>
      <c r="D8" s="7" t="s">
        <v>577</v>
      </c>
      <c r="E8" s="7" t="s">
        <v>578</v>
      </c>
      <c r="F8" s="6" t="s">
        <v>149</v>
      </c>
      <c r="G8" s="16">
        <v>48</v>
      </c>
      <c r="H8" s="17"/>
      <c r="I8" s="18">
        <f t="shared" si="0"/>
        <v>48</v>
      </c>
      <c r="J8" s="19">
        <v>49</v>
      </c>
      <c r="K8" s="20"/>
      <c r="L8" s="20"/>
      <c r="M8" s="20"/>
      <c r="N8" s="20"/>
      <c r="O8" s="20"/>
      <c r="P8" s="20"/>
      <c r="Q8" s="21">
        <f>IF($I8="","",IFERROR(INDEX(_玩家曲线!$H$2:$H$286,MATCH($I8,_玩家曲线!$A$2:$A$286,0)),""))</f>
        <v>151226.502451555</v>
      </c>
      <c r="R8" s="21">
        <f>IF($I8="","",IFERROR(INDEX(_玩家曲线!$I$2:$I$286,MATCH($I8,_玩家曲线!$A$2:$A$286,0)),""))</f>
        <v>327050.131007878</v>
      </c>
      <c r="S8" s="21">
        <f>IF(OR($J8="",$F8="不适用"),"",IFERROR(INDEX(_怪物模型!$D$2:$D$4501,MATCH(INT($J8)&amp;"|"&amp;$F8,_怪物模型!$A$2:$A$4501,0))*IF($K8="",1,$K8),""))</f>
        <v>10544</v>
      </c>
      <c r="T8" s="21">
        <f>IF(OR($J8="",$F8="不适用"),"",IFERROR(INDEX(_怪物模型!$E$2:$E$4501,MATCH(INT($J8)&amp;"|"&amp;$F8,_怪物模型!$A$2:$A$4501,0))*IF($L8="",1,$L8),""))</f>
        <v>2313</v>
      </c>
      <c r="U8" s="21">
        <f>IF(OR($J8="",$F8="不适用"),"",IFERROR(INDEX(_怪物模型!$F$2:$F$4501,MATCH(INT($J8)&amp;"|"&amp;$F8,_怪物模型!$A$2:$A$4501,0))*IF($M8="",1,$M8),""))</f>
        <v>3691</v>
      </c>
      <c r="V8" s="22">
        <f t="shared" si="1"/>
        <v>0.133292405474703</v>
      </c>
      <c r="W8" s="23">
        <f t="shared" si="2"/>
        <v>12165.5793333333</v>
      </c>
      <c r="X8" s="23">
        <f t="shared" si="3"/>
        <v>0.0804460801256086</v>
      </c>
      <c r="Y8" s="23">
        <f t="shared" si="4"/>
        <v>141.396511460388</v>
      </c>
      <c r="Z8" s="24" t="str">
        <f t="shared" si="5"/>
        <v/>
      </c>
      <c r="AA8" s="6" t="str">
        <f t="shared" si="6"/>
        <v>已计算</v>
      </c>
      <c r="AB8" s="6" t="str">
        <f t="shared" si="7"/>
        <v>有效</v>
      </c>
      <c r="AC8" s="6" t="str">
        <f t="shared" si="8"/>
        <v/>
      </c>
      <c r="AD8" s="7" t="s">
        <v>579</v>
      </c>
    </row>
    <row r="9" ht="25" customHeight="1" spans="1:30">
      <c r="A9" s="6" t="s">
        <v>145</v>
      </c>
      <c r="B9" s="6" t="s">
        <v>54</v>
      </c>
      <c r="C9" s="7" t="s">
        <v>567</v>
      </c>
      <c r="D9" s="7" t="s">
        <v>580</v>
      </c>
      <c r="E9" s="7" t="s">
        <v>581</v>
      </c>
      <c r="F9" s="6" t="s">
        <v>149</v>
      </c>
      <c r="G9" s="16">
        <v>64</v>
      </c>
      <c r="H9" s="17"/>
      <c r="I9" s="18">
        <f t="shared" si="0"/>
        <v>64</v>
      </c>
      <c r="J9" s="19">
        <v>61</v>
      </c>
      <c r="K9" s="20"/>
      <c r="L9" s="20"/>
      <c r="M9" s="20"/>
      <c r="N9" s="20"/>
      <c r="O9" s="20"/>
      <c r="P9" s="20"/>
      <c r="Q9" s="21">
        <f>IF($I9="","",IFERROR(INDEX(_玩家曲线!$H$2:$H$286,MATCH($I9,_玩家曲线!$A$2:$A$286,0)),""))</f>
        <v>283724.698482439</v>
      </c>
      <c r="R9" s="21">
        <f>IF($I9="","",IFERROR(INDEX(_玩家曲线!$I$2:$I$286,MATCH($I9,_玩家曲线!$A$2:$A$286,0)),""))</f>
        <v>538396.240868028</v>
      </c>
      <c r="S9" s="21">
        <f>IF(OR($J9="",$F9="不适用"),"",IFERROR(INDEX(_怪物模型!$D$2:$D$4501,MATCH(INT($J9)&amp;"|"&amp;$F9,_怪物模型!$A$2:$A$4501,0))*IF($K9="",1,$K9),""))</f>
        <v>14981</v>
      </c>
      <c r="T9" s="21">
        <f>IF(OR($J9="",$F9="不适用"),"",IFERROR(INDEX(_怪物模型!$E$2:$E$4501,MATCH(INT($J9)&amp;"|"&amp;$F9,_怪物模型!$A$2:$A$4501,0))*IF($L9="",1,$L9),""))</f>
        <v>3140</v>
      </c>
      <c r="U9" s="21">
        <f>IF(OR($J9="",$F9="不适用"),"",IFERROR(INDEX(_怪物模型!$F$2:$F$4501,MATCH(INT($J9)&amp;"|"&amp;$F9,_怪物模型!$A$2:$A$4501,0))*IF($M9="",1,$M9),""))</f>
        <v>4663</v>
      </c>
      <c r="V9" s="22">
        <f t="shared" si="1"/>
        <v>0.162683599064997</v>
      </c>
      <c r="W9" s="23">
        <f t="shared" si="2"/>
        <v>17891.6834583333</v>
      </c>
      <c r="X9" s="23">
        <f t="shared" si="3"/>
        <v>0.0630600139995945</v>
      </c>
      <c r="Y9" s="23">
        <f t="shared" si="4"/>
        <v>171.463770977079</v>
      </c>
      <c r="Z9" s="24" t="str">
        <f t="shared" si="5"/>
        <v/>
      </c>
      <c r="AA9" s="6" t="str">
        <f t="shared" si="6"/>
        <v>已计算</v>
      </c>
      <c r="AB9" s="6" t="str">
        <f t="shared" si="7"/>
        <v>有效</v>
      </c>
      <c r="AC9" s="6" t="str">
        <f t="shared" si="8"/>
        <v/>
      </c>
      <c r="AD9" s="7" t="s">
        <v>582</v>
      </c>
    </row>
    <row r="10" ht="25" customHeight="1" spans="1:30">
      <c r="A10" s="6" t="s">
        <v>145</v>
      </c>
      <c r="B10" s="6" t="s">
        <v>54</v>
      </c>
      <c r="C10" s="7" t="s">
        <v>567</v>
      </c>
      <c r="D10" s="7" t="s">
        <v>583</v>
      </c>
      <c r="E10" s="7" t="s">
        <v>584</v>
      </c>
      <c r="F10" s="6" t="s">
        <v>149</v>
      </c>
      <c r="G10" s="16">
        <v>85</v>
      </c>
      <c r="H10" s="17"/>
      <c r="I10" s="18">
        <f t="shared" si="0"/>
        <v>85</v>
      </c>
      <c r="J10" s="19">
        <v>74</v>
      </c>
      <c r="K10" s="20"/>
      <c r="L10" s="20"/>
      <c r="M10" s="20"/>
      <c r="N10" s="20"/>
      <c r="O10" s="20"/>
      <c r="P10" s="20"/>
      <c r="Q10" s="21">
        <f>IF($I10="","",IFERROR(INDEX(_玩家曲线!$H$2:$H$286,MATCH($I10,_玩家曲线!$A$2:$A$286,0)),""))</f>
        <v>548594.405733353</v>
      </c>
      <c r="R10" s="21">
        <f>IF($I10="","",IFERROR(INDEX(_玩家曲线!$I$2:$I$286,MATCH($I10,_玩家曲线!$A$2:$A$286,0)),""))</f>
        <v>959754.584710681</v>
      </c>
      <c r="S10" s="21">
        <f>IF(OR($J10="",$F10="不适用"),"",IFERROR(INDEX(_怪物模型!$D$2:$D$4501,MATCH(INT($J10)&amp;"|"&amp;$F10,_怪物模型!$A$2:$A$4501,0))*IF($K10="",1,$K10),""))</f>
        <v>20750</v>
      </c>
      <c r="T10" s="21">
        <f>IF(OR($J10="",$F10="不适用"),"",IFERROR(INDEX(_怪物模型!$E$2:$E$4501,MATCH(INT($J10)&amp;"|"&amp;$F10,_怪物模型!$A$2:$A$4501,0))*IF($L10="",1,$L10),""))</f>
        <v>4168</v>
      </c>
      <c r="U10" s="21">
        <f>IF(OR($J10="",$F10="不适用"),"",IFERROR(INDEX(_怪物模型!$F$2:$F$4501,MATCH(INT($J10)&amp;"|"&amp;$F10,_怪物模型!$A$2:$A$4501,0))*IF($M10="",1,$M10),""))</f>
        <v>5745</v>
      </c>
      <c r="V10" s="22">
        <f t="shared" si="1"/>
        <v>0.193141704488149</v>
      </c>
      <c r="W10" s="23">
        <f t="shared" si="2"/>
        <v>25717.03125</v>
      </c>
      <c r="X10" s="23">
        <f t="shared" si="3"/>
        <v>0.0468780413748876</v>
      </c>
      <c r="Y10" s="23">
        <f t="shared" si="4"/>
        <v>230.267414757841</v>
      </c>
      <c r="Z10" s="24" t="str">
        <f t="shared" si="5"/>
        <v/>
      </c>
      <c r="AA10" s="6" t="str">
        <f t="shared" si="6"/>
        <v>已计算</v>
      </c>
      <c r="AB10" s="6" t="str">
        <f t="shared" si="7"/>
        <v>有效</v>
      </c>
      <c r="AC10" s="6" t="str">
        <f t="shared" si="8"/>
        <v/>
      </c>
      <c r="AD10" s="7" t="s">
        <v>585</v>
      </c>
    </row>
    <row r="11" ht="25" customHeight="1" spans="1:30">
      <c r="A11" s="6" t="s">
        <v>145</v>
      </c>
      <c r="B11" s="6" t="s">
        <v>54</v>
      </c>
      <c r="C11" s="7" t="s">
        <v>567</v>
      </c>
      <c r="D11" s="7" t="s">
        <v>586</v>
      </c>
      <c r="E11" s="7" t="s">
        <v>587</v>
      </c>
      <c r="F11" s="6" t="s">
        <v>149</v>
      </c>
      <c r="G11" s="16">
        <v>108</v>
      </c>
      <c r="H11" s="17"/>
      <c r="I11" s="18">
        <f t="shared" si="0"/>
        <v>108</v>
      </c>
      <c r="J11" s="19">
        <v>90</v>
      </c>
      <c r="K11" s="20"/>
      <c r="L11" s="20"/>
      <c r="M11" s="20"/>
      <c r="N11" s="20"/>
      <c r="O11" s="20"/>
      <c r="P11" s="20"/>
      <c r="Q11" s="21">
        <f>IF($I11="","",IFERROR(INDEX(_玩家曲线!$H$2:$H$286,MATCH($I11,_玩家曲线!$A$2:$A$286,0)),""))</f>
        <v>901427.627481898</v>
      </c>
      <c r="R11" s="21">
        <f>IF($I11="","",IFERROR(INDEX(_玩家曲线!$I$2:$I$286,MATCH($I11,_玩家曲线!$A$2:$A$286,0)),""))</f>
        <v>1430961.36302879</v>
      </c>
      <c r="S11" s="21">
        <f>IF(OR($J11="",$F11="不适用"),"",IFERROR(INDEX(_怪物模型!$D$2:$D$4501,MATCH(INT($J11)&amp;"|"&amp;$F11,_怪物模型!$A$2:$A$4501,0))*IF($K11="",1,$K11),""))</f>
        <v>29406</v>
      </c>
      <c r="T11" s="21">
        <f>IF(OR($J11="",$F11="不适用"),"",IFERROR(INDEX(_怪物模型!$E$2:$E$4501,MATCH(INT($J11)&amp;"|"&amp;$F11,_怪物模型!$A$2:$A$4501,0))*IF($L11="",1,$L11),""))</f>
        <v>5635</v>
      </c>
      <c r="U11" s="21">
        <f>IF(OR($J11="",$F11="不适用"),"",IFERROR(INDEX(_怪物模型!$F$2:$F$4501,MATCH(INT($J11)&amp;"|"&amp;$F11,_怪物模型!$A$2:$A$4501,0))*IF($M11="",1,$M11),""))</f>
        <v>7120</v>
      </c>
      <c r="V11" s="22">
        <f t="shared" si="1"/>
        <v>0.22879177377892</v>
      </c>
      <c r="W11" s="23">
        <f t="shared" si="2"/>
        <v>38129.78</v>
      </c>
      <c r="X11" s="23">
        <f t="shared" si="3"/>
        <v>0.0422993248016083</v>
      </c>
      <c r="Y11" s="23">
        <f t="shared" si="4"/>
        <v>253.941679330752</v>
      </c>
      <c r="Z11" s="24" t="str">
        <f t="shared" si="5"/>
        <v/>
      </c>
      <c r="AA11" s="6" t="str">
        <f t="shared" si="6"/>
        <v>已计算</v>
      </c>
      <c r="AB11" s="6" t="str">
        <f t="shared" si="7"/>
        <v>有效</v>
      </c>
      <c r="AC11" s="6" t="str">
        <f t="shared" si="8"/>
        <v/>
      </c>
      <c r="AD11" s="7" t="s">
        <v>588</v>
      </c>
    </row>
    <row r="12" ht="25" customHeight="1" spans="1:30">
      <c r="A12" s="6" t="s">
        <v>145</v>
      </c>
      <c r="B12" s="6" t="s">
        <v>54</v>
      </c>
      <c r="C12" s="7" t="s">
        <v>567</v>
      </c>
      <c r="D12" s="7" t="s">
        <v>589</v>
      </c>
      <c r="E12" s="7" t="s">
        <v>590</v>
      </c>
      <c r="F12" s="6" t="s">
        <v>149</v>
      </c>
      <c r="G12" s="16">
        <v>124</v>
      </c>
      <c r="H12" s="17"/>
      <c r="I12" s="18">
        <f t="shared" si="0"/>
        <v>124</v>
      </c>
      <c r="J12" s="19">
        <v>107</v>
      </c>
      <c r="K12" s="20"/>
      <c r="L12" s="20"/>
      <c r="M12" s="20"/>
      <c r="N12" s="20"/>
      <c r="O12" s="20"/>
      <c r="P12" s="20"/>
      <c r="Q12" s="21">
        <f>IF($I12="","",IFERROR(INDEX(_玩家曲线!$H$2:$H$286,MATCH($I12,_玩家曲线!$A$2:$A$286,0)),""))</f>
        <v>1226558.79355257</v>
      </c>
      <c r="R12" s="21">
        <f>IF($I12="","",IFERROR(INDEX(_玩家曲线!$I$2:$I$286,MATCH($I12,_玩家曲线!$A$2:$A$286,0)),""))</f>
        <v>1789249.34234598</v>
      </c>
      <c r="S12" s="21">
        <f>IF(OR($J12="",$F12="不适用"),"",IFERROR(INDEX(_怪物模型!$D$2:$D$4501,MATCH(INT($J12)&amp;"|"&amp;$F12,_怪物模型!$A$2:$A$4501,0))*IF($K12="",1,$K12),""))</f>
        <v>40769</v>
      </c>
      <c r="T12" s="21">
        <f>IF(OR($J12="",$F12="不适用"),"",IFERROR(INDEX(_怪物模型!$E$2:$E$4501,MATCH(INT($J12)&amp;"|"&amp;$F12,_怪物模型!$A$2:$A$4501,0))*IF($L12="",1,$L12),""))</f>
        <v>7457</v>
      </c>
      <c r="U12" s="21">
        <f>IF(OR($J12="",$F12="不适用"),"",IFERROR(INDEX(_怪物模型!$F$2:$F$4501,MATCH(INT($J12)&amp;"|"&amp;$F12,_怪物模型!$A$2:$A$4501,0))*IF($M12="",1,$M12),""))</f>
        <v>8632</v>
      </c>
      <c r="V12" s="22">
        <f t="shared" si="1"/>
        <v>0.264525619024271</v>
      </c>
      <c r="W12" s="23">
        <f t="shared" si="2"/>
        <v>55432.2503333333</v>
      </c>
      <c r="X12" s="23">
        <f t="shared" si="3"/>
        <v>0.0451933088121939</v>
      </c>
      <c r="Y12" s="23">
        <f t="shared" si="4"/>
        <v>239.942247867236</v>
      </c>
      <c r="Z12" s="24" t="str">
        <f t="shared" si="5"/>
        <v/>
      </c>
      <c r="AA12" s="6" t="str">
        <f t="shared" si="6"/>
        <v>已计算</v>
      </c>
      <c r="AB12" s="6" t="str">
        <f t="shared" si="7"/>
        <v>有效</v>
      </c>
      <c r="AC12" s="6" t="str">
        <f t="shared" si="8"/>
        <v/>
      </c>
      <c r="AD12" s="7" t="s">
        <v>591</v>
      </c>
    </row>
    <row r="13" ht="25" customHeight="1" spans="1:30">
      <c r="A13" s="6" t="s">
        <v>145</v>
      </c>
      <c r="B13" s="6" t="s">
        <v>54</v>
      </c>
      <c r="C13" s="7" t="s">
        <v>567</v>
      </c>
      <c r="D13" s="7" t="s">
        <v>592</v>
      </c>
      <c r="E13" s="7" t="s">
        <v>593</v>
      </c>
      <c r="F13" s="6" t="s">
        <v>149</v>
      </c>
      <c r="G13" s="16">
        <v>146</v>
      </c>
      <c r="H13" s="17"/>
      <c r="I13" s="18">
        <f t="shared" si="0"/>
        <v>146</v>
      </c>
      <c r="J13" s="19">
        <v>126</v>
      </c>
      <c r="K13" s="20"/>
      <c r="L13" s="20"/>
      <c r="M13" s="20"/>
      <c r="N13" s="20"/>
      <c r="O13" s="20"/>
      <c r="P13" s="20"/>
      <c r="Q13" s="21">
        <f>IF($I13="","",IFERROR(INDEX(_玩家曲线!$H$2:$H$286,MATCH($I13,_玩家曲线!$A$2:$A$286,0)),""))</f>
        <v>1613925.7899855</v>
      </c>
      <c r="R13" s="21">
        <f>IF($I13="","",IFERROR(INDEX(_玩家曲线!$I$2:$I$286,MATCH($I13,_玩家曲线!$A$2:$A$286,0)),""))</f>
        <v>2177331.96410555</v>
      </c>
      <c r="S13" s="21">
        <f>IF(OR($J13="",$F13="不适用"),"",IFERROR(INDEX(_怪物模型!$D$2:$D$4501,MATCH(INT($J13)&amp;"|"&amp;$F13,_怪物模型!$A$2:$A$4501,0))*IF($K13="",1,$K13),""))</f>
        <v>56543</v>
      </c>
      <c r="T13" s="21">
        <f>IF(OR($J13="",$F13="不适用"),"",IFERROR(INDEX(_怪物模型!$E$2:$E$4501,MATCH(INT($J13)&amp;"|"&amp;$F13,_怪物模型!$A$2:$A$4501,0))*IF($L13="",1,$L13),""))</f>
        <v>9843</v>
      </c>
      <c r="U13" s="21">
        <f>IF(OR($J13="",$F13="不适用"),"",IFERROR(INDEX(_怪物模型!$F$2:$F$4501,MATCH(INT($J13)&amp;"|"&amp;$F13,_怪物模型!$A$2:$A$4501,0))*IF($M13="",1,$M13),""))</f>
        <v>10386</v>
      </c>
      <c r="V13" s="22">
        <f t="shared" si="1"/>
        <v>0.302041528529053</v>
      </c>
      <c r="W13" s="23">
        <f t="shared" si="2"/>
        <v>81011.98325</v>
      </c>
      <c r="X13" s="23">
        <f t="shared" si="3"/>
        <v>0.0501956061131707</v>
      </c>
      <c r="Y13" s="23">
        <f t="shared" si="4"/>
        <v>221.206132693848</v>
      </c>
      <c r="Z13" s="24" t="str">
        <f t="shared" si="5"/>
        <v/>
      </c>
      <c r="AA13" s="6" t="str">
        <f t="shared" si="6"/>
        <v>已计算</v>
      </c>
      <c r="AB13" s="6" t="str">
        <f t="shared" si="7"/>
        <v>有效</v>
      </c>
      <c r="AC13" s="6" t="str">
        <f t="shared" si="8"/>
        <v/>
      </c>
      <c r="AD13" s="7" t="s">
        <v>594</v>
      </c>
    </row>
  </sheetData>
  <mergeCells count="3">
    <mergeCell ref="A1:AD1"/>
    <mergeCell ref="A2:AD2"/>
    <mergeCell ref="A3:AD3"/>
  </mergeCells>
  <conditionalFormatting sqref="J5:J13">
    <cfRule type="expression" dxfId="2" priority="1">
      <formula>AND($A5&lt;&gt;"特殊：双方属性对算",$J5="")</formula>
    </cfRule>
  </conditionalFormatting>
  <conditionalFormatting sqref="AA5:AA13">
    <cfRule type="expression" dxfId="0" priority="3">
      <formula>$AA5="适中"</formula>
    </cfRule>
    <cfRule type="expression" dxfId="3" priority="4">
      <formula>$AA5="偏难"</formula>
    </cfRule>
    <cfRule type="expression" dxfId="1" priority="5">
      <formula>$AA5="过难"</formula>
    </cfRule>
    <cfRule type="expression" dxfId="1" priority="6">
      <formula>$AA5="生存不成立"</formula>
    </cfRule>
  </conditionalFormatting>
  <conditionalFormatting sqref="AB5:AB13">
    <cfRule type="expression" dxfId="4" priority="2">
      <formula>$AB5="超范围"</formula>
    </cfRule>
  </conditionalFormatting>
  <conditionalFormatting sqref="AC5:AC13">
    <cfRule type="expression" dxfId="4" priority="7">
      <formula>$AC5="下降"</formula>
    </cfRule>
  </conditionalFormatting>
  <dataValidations count="5">
    <dataValidation type="list" sqref="F5:F13">
      <formula1>_字典!$A$2:$A$11</formula1>
    </dataValidation>
    <dataValidation type="whole" operator="between" allowBlank="1" sqref="H5:H13">
      <formula1>1</formula1>
      <formula2>285</formula2>
    </dataValidation>
    <dataValidation type="whole" operator="between" allowBlank="1" sqref="J5:J13">
      <formula1>1</formula1>
      <formula2>500</formula2>
    </dataValidation>
    <dataValidation type="decimal" operator="between" allowBlank="1" sqref="P5:P13">
      <formula1>0.01</formula1>
      <formula2>3600</formula2>
    </dataValidation>
    <dataValidation type="decimal" operator="between" allowBlank="1" sqref="K5:O13">
      <formula1>0</formula1>
      <formula2>100</formula2>
    </dataValidation>
  </dataValidations>
  <hyperlinks>
    <hyperlink ref="A1" r:id="rId4" display="全玩法难度填写｜角色经验"/>
  </hyperlinks>
  <pageMargins left="0.75" right="0.75" top="1" bottom="1" header="0.5" footer="0.5"/>
  <pageSetup paperSize="1" orientation="landscape"/>
  <headerFooter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A9D18E"/>
    <pageSetUpPr fitToPage="1"/>
  </sheetPr>
  <dimension ref="A1:AD13"/>
  <sheetViews>
    <sheetView showGridLines="0" workbookViewId="0">
      <pane xSplit="6" ySplit="4" topLeftCell="G5" activePane="bottomRight" state="frozen"/>
      <selection/>
      <selection pane="topRight"/>
      <selection pane="bottomLeft"/>
      <selection pane="bottomRight" activeCell="A1" sqref="A1:AD1"/>
    </sheetView>
  </sheetViews>
  <sheetFormatPr defaultColWidth="9" defaultRowHeight="13.5"/>
  <cols>
    <col min="1" max="1" width="12" customWidth="1"/>
    <col min="2" max="2" width="13" customWidth="1"/>
    <col min="3" max="3" width="18" customWidth="1"/>
    <col min="4" max="4" width="15" customWidth="1"/>
    <col min="5" max="5" width="35" customWidth="1"/>
    <col min="6" max="9" width="14" customWidth="1"/>
    <col min="10" max="10" width="12" customWidth="1"/>
    <col min="11" max="13" width="11" customWidth="1"/>
    <col min="14" max="15" width="13" customWidth="1"/>
    <col min="16" max="16" width="12" customWidth="1"/>
    <col min="17" max="21" width="16" customWidth="1"/>
    <col min="22" max="22" width="12" customWidth="1"/>
    <col min="23" max="23" width="17" customWidth="1"/>
    <col min="24" max="25" width="14" customWidth="1"/>
    <col min="26" max="26" width="12" customWidth="1"/>
    <col min="27" max="27" width="15" customWidth="1"/>
    <col min="28" max="29" width="12" customWidth="1"/>
    <col min="30" max="30" width="46" customWidth="1"/>
  </cols>
  <sheetData>
    <row r="1" ht="34" customHeight="1" spans="1:30">
      <c r="A1" s="2" t="s">
        <v>595</v>
      </c>
    </row>
    <row r="2" ht="30" customHeight="1" spans="1:30">
      <c r="A2" s="3" t="s">
        <v>116</v>
      </c>
    </row>
    <row r="3" ht="14.25" customHeight="1" spans="1:30">
      <c r="A3" s="4" t="s">
        <v>117</v>
      </c>
    </row>
    <row r="4" ht="36" customHeight="1" spans="1:30">
      <c r="A4" s="5" t="s">
        <v>80</v>
      </c>
      <c r="B4" s="5" t="s">
        <v>79</v>
      </c>
      <c r="C4" s="5" t="s">
        <v>118</v>
      </c>
      <c r="D4" s="5" t="s">
        <v>119</v>
      </c>
      <c r="E4" s="5" t="s">
        <v>120</v>
      </c>
      <c r="F4" s="5" t="s">
        <v>121</v>
      </c>
      <c r="G4" s="5" t="s">
        <v>122</v>
      </c>
      <c r="H4" s="5" t="s">
        <v>123</v>
      </c>
      <c r="I4" s="5" t="s">
        <v>124</v>
      </c>
      <c r="J4" s="5" t="s">
        <v>125</v>
      </c>
      <c r="K4" s="5" t="s">
        <v>126</v>
      </c>
      <c r="L4" s="5" t="s">
        <v>127</v>
      </c>
      <c r="M4" s="5" t="s">
        <v>128</v>
      </c>
      <c r="N4" s="5" t="s">
        <v>129</v>
      </c>
      <c r="O4" s="5" t="s">
        <v>130</v>
      </c>
      <c r="P4" s="5" t="s">
        <v>131</v>
      </c>
      <c r="Q4" s="5" t="s">
        <v>132</v>
      </c>
      <c r="R4" s="5" t="s">
        <v>133</v>
      </c>
      <c r="S4" s="5" t="s">
        <v>134</v>
      </c>
      <c r="T4" s="5" t="s">
        <v>135</v>
      </c>
      <c r="U4" s="5" t="s">
        <v>136</v>
      </c>
      <c r="V4" s="5" t="s">
        <v>137</v>
      </c>
      <c r="W4" s="5" t="s">
        <v>138</v>
      </c>
      <c r="X4" s="5" t="s">
        <v>139</v>
      </c>
      <c r="Y4" s="5" t="s">
        <v>140</v>
      </c>
      <c r="Z4" s="5" t="s">
        <v>141</v>
      </c>
      <c r="AA4" s="5" t="s">
        <v>142</v>
      </c>
      <c r="AB4" s="5" t="s">
        <v>143</v>
      </c>
      <c r="AC4" s="5" t="s">
        <v>144</v>
      </c>
      <c r="AD4" s="5" t="s">
        <v>90</v>
      </c>
    </row>
    <row r="5" ht="25" customHeight="1" spans="1:30">
      <c r="A5" s="6" t="s">
        <v>145</v>
      </c>
      <c r="B5" s="6" t="s">
        <v>55</v>
      </c>
      <c r="C5" s="7" t="s">
        <v>567</v>
      </c>
      <c r="D5" s="7" t="s">
        <v>568</v>
      </c>
      <c r="E5" s="7" t="s">
        <v>596</v>
      </c>
      <c r="F5" s="6" t="s">
        <v>149</v>
      </c>
      <c r="G5" s="16">
        <v>16</v>
      </c>
      <c r="H5" s="17"/>
      <c r="I5" s="18">
        <f t="shared" ref="I5:I13" si="0">IF($H5="",$G5,$H5)</f>
        <v>16</v>
      </c>
      <c r="J5" s="19">
        <v>22</v>
      </c>
      <c r="K5" s="20"/>
      <c r="L5" s="20"/>
      <c r="M5" s="20"/>
      <c r="N5" s="20"/>
      <c r="O5" s="20"/>
      <c r="P5" s="20"/>
      <c r="Q5" s="21">
        <f>IF($I5="","",IFERROR(INDEX(_玩家曲线!$H$2:$H$286,MATCH($I5,_玩家曲线!$A$2:$A$286,0)),""))</f>
        <v>12775.0326599693</v>
      </c>
      <c r="R5" s="21">
        <f>IF($I5="","",IFERROR(INDEX(_玩家曲线!$I$2:$I$286,MATCH($I5,_玩家曲线!$A$2:$A$286,0)),""))</f>
        <v>43484.7798603876</v>
      </c>
      <c r="S5" s="21">
        <f>IF(OR($J5="",$F5="不适用"),"",IFERROR(INDEX(_怪物模型!$D$2:$D$4501,MATCH(INT($J5)&amp;"|"&amp;$F5,_怪物模型!$A$2:$A$4501,0))*IF($K5="",1,$K5),""))</f>
        <v>3288</v>
      </c>
      <c r="T5" s="21">
        <f>IF(OR($J5="",$F5="不适用"),"",IFERROR(INDEX(_怪物模型!$E$2:$E$4501,MATCH(INT($J5)&amp;"|"&amp;$F5,_怪物模型!$A$2:$A$4501,0))*IF($L5="",1,$L5),""))</f>
        <v>842</v>
      </c>
      <c r="U5" s="21">
        <f>IF(OR($J5="",$F5="不适用"),"",IFERROR(INDEX(_怪物模型!$F$2:$F$4501,MATCH(INT($J5)&amp;"|"&amp;$F5,_怪物模型!$A$2:$A$4501,0))*IF($M5="",1,$M5),""))</f>
        <v>1603</v>
      </c>
      <c r="V5" s="22">
        <f t="shared" ref="V5:V13" si="1">IF($U5="","",MIN(0.75,$U5/($U5+24000)))</f>
        <v>0.0626098504081553</v>
      </c>
      <c r="W5" s="23">
        <f t="shared" ref="W5:W13" si="2">IF($S5="","",$S5/(1-$V5)*IF($N5="",1,$N5))</f>
        <v>3507.611</v>
      </c>
      <c r="X5" s="23">
        <f t="shared" ref="X5:X13" si="3">IF(OR($W5="",$Q5="",$Q5=0),"",$W5/$Q5)</f>
        <v>0.274567673786944</v>
      </c>
      <c r="Y5" s="23">
        <f t="shared" ref="Y5:Y13" si="4">IF(OR($R5="",$T5="",$T5=0),"",$R5/($T5*IF($O5="",1,$O5)))</f>
        <v>51.6446316631682</v>
      </c>
      <c r="Z5" s="24" t="str">
        <f t="shared" ref="Z5:Z13" si="5">IF(OR($X5="",$P5="",$P5=0),"",$X5/$P5)</f>
        <v/>
      </c>
      <c r="AA5" s="6" t="str">
        <f t="shared" ref="AA5:AA13" si="6">IF($J5="","待填怪物等级",IF(OR($I5="",$Q5=""),"待填对照关卡",IF($P5="","已计算",IF(AND($Y5&lt;&gt;"",$Y5&lt;$X5),"生存不成立",IF($Z5&lt;0.5,"碾压",IF($Z5&lt;0.8,"偏简单",IF($Z5&lt;=1.2,"适中",IF($Z5&lt;=1.5,"偏难","过难"))))))))</f>
        <v>已计算</v>
      </c>
      <c r="AB5" s="6" t="str">
        <f t="shared" ref="AB5:AB13" si="7">IF($J5="","待填",IF(AND(ISNUMBER($J5),$J5&gt;=1,$J5&lt;=500,MOD($J5,1)=0),"有效","超范围"))</f>
        <v>有效</v>
      </c>
      <c r="AC5" s="6" t="str">
        <f t="shared" ref="AC5:AC13" si="8">IF(OR($J5="",ROW()=5,$B5&lt;&gt;$B4,$J4=""),"",IF($J5&lt;$J4,"下降",""))</f>
        <v/>
      </c>
      <c r="AD5" s="7" t="s">
        <v>570</v>
      </c>
    </row>
    <row r="6" ht="25" customHeight="1" spans="1:30">
      <c r="A6" s="6" t="s">
        <v>145</v>
      </c>
      <c r="B6" s="6" t="s">
        <v>55</v>
      </c>
      <c r="C6" s="7" t="s">
        <v>567</v>
      </c>
      <c r="D6" s="7" t="s">
        <v>571</v>
      </c>
      <c r="E6" s="7" t="s">
        <v>597</v>
      </c>
      <c r="F6" s="6" t="s">
        <v>149</v>
      </c>
      <c r="G6" s="16">
        <v>20</v>
      </c>
      <c r="H6" s="17"/>
      <c r="I6" s="18">
        <f t="shared" si="0"/>
        <v>20</v>
      </c>
      <c r="J6" s="19">
        <v>26</v>
      </c>
      <c r="K6" s="20"/>
      <c r="L6" s="20"/>
      <c r="M6" s="20"/>
      <c r="N6" s="20"/>
      <c r="O6" s="20"/>
      <c r="P6" s="20"/>
      <c r="Q6" s="21">
        <f>IF($I6="","",IFERROR(INDEX(_玩家曲线!$H$2:$H$286,MATCH($I6,_玩家曲线!$A$2:$A$286,0)),""))</f>
        <v>18422.0658556409</v>
      </c>
      <c r="R6" s="21">
        <f>IF($I6="","",IFERROR(INDEX(_玩家曲线!$I$2:$I$286,MATCH($I6,_玩家曲线!$A$2:$A$286,0)),""))</f>
        <v>58659.1211219851</v>
      </c>
      <c r="S6" s="21">
        <f>IF(OR($J6="",$F6="不适用"),"",IFERROR(INDEX(_怪物模型!$D$2:$D$4501,MATCH(INT($J6)&amp;"|"&amp;$F6,_怪物模型!$A$2:$A$4501,0))*IF($K6="",1,$K6),""))</f>
        <v>4140</v>
      </c>
      <c r="T6" s="21">
        <f>IF(OR($J6="",$F6="不适用"),"",IFERROR(INDEX(_怪物模型!$E$2:$E$4501,MATCH(INT($J6)&amp;"|"&amp;$F6,_怪物模型!$A$2:$A$4501,0))*IF($L6="",1,$L6),""))</f>
        <v>1028</v>
      </c>
      <c r="U6" s="21">
        <f>IF(OR($J6="",$F6="不适用"),"",IFERROR(INDEX(_怪物模型!$F$2:$F$4501,MATCH(INT($J6)&amp;"|"&amp;$F6,_怪物模型!$A$2:$A$4501,0))*IF($M6="",1,$M6),""))</f>
        <v>1904</v>
      </c>
      <c r="V6" s="22">
        <f t="shared" si="1"/>
        <v>0.0735021618282891</v>
      </c>
      <c r="W6" s="23">
        <f t="shared" si="2"/>
        <v>4468.44</v>
      </c>
      <c r="X6" s="23">
        <f t="shared" si="3"/>
        <v>0.242559115520247</v>
      </c>
      <c r="Y6" s="23">
        <f t="shared" si="4"/>
        <v>57.0614018696353</v>
      </c>
      <c r="Z6" s="24" t="str">
        <f t="shared" si="5"/>
        <v/>
      </c>
      <c r="AA6" s="6" t="str">
        <f t="shared" si="6"/>
        <v>已计算</v>
      </c>
      <c r="AB6" s="6" t="str">
        <f t="shared" si="7"/>
        <v>有效</v>
      </c>
      <c r="AC6" s="6" t="str">
        <f t="shared" si="8"/>
        <v/>
      </c>
      <c r="AD6" s="7" t="s">
        <v>573</v>
      </c>
    </row>
    <row r="7" ht="25" customHeight="1" spans="1:30">
      <c r="A7" s="6" t="s">
        <v>145</v>
      </c>
      <c r="B7" s="6" t="s">
        <v>55</v>
      </c>
      <c r="C7" s="7" t="s">
        <v>567</v>
      </c>
      <c r="D7" s="7" t="s">
        <v>574</v>
      </c>
      <c r="E7" s="7" t="s">
        <v>598</v>
      </c>
      <c r="F7" s="6" t="s">
        <v>149</v>
      </c>
      <c r="G7" s="16">
        <v>33</v>
      </c>
      <c r="H7" s="17"/>
      <c r="I7" s="18">
        <f t="shared" si="0"/>
        <v>33</v>
      </c>
      <c r="J7" s="19">
        <v>39</v>
      </c>
      <c r="K7" s="20"/>
      <c r="L7" s="20"/>
      <c r="M7" s="20"/>
      <c r="N7" s="20"/>
      <c r="O7" s="20"/>
      <c r="P7" s="20"/>
      <c r="Q7" s="21">
        <f>IF($I7="","",IFERROR(INDEX(_玩家曲线!$H$2:$H$286,MATCH($I7,_玩家曲线!$A$2:$A$286,0)),""))</f>
        <v>55490.6113855249</v>
      </c>
      <c r="R7" s="21">
        <f>IF($I7="","",IFERROR(INDEX(_玩家曲线!$I$2:$I$286,MATCH($I7,_玩家曲线!$A$2:$A$286,0)),""))</f>
        <v>145674.718224066</v>
      </c>
      <c r="S7" s="21">
        <f>IF(OR($J7="",$F7="不适用"),"",IFERROR(INDEX(_怪物模型!$D$2:$D$4501,MATCH(INT($J7)&amp;"|"&amp;$F7,_怪物模型!$A$2:$A$4501,0))*IF($K7="",1,$K7),""))</f>
        <v>7437</v>
      </c>
      <c r="T7" s="21">
        <f>IF(OR($J7="",$F7="不适用"),"",IFERROR(INDEX(_怪物模型!$E$2:$E$4501,MATCH(INT($J7)&amp;"|"&amp;$F7,_怪物模型!$A$2:$A$4501,0))*IF($L7="",1,$L7),""))</f>
        <v>1707</v>
      </c>
      <c r="U7" s="21">
        <f>IF(OR($J7="",$F7="不适用"),"",IFERROR(INDEX(_怪物模型!$F$2:$F$4501,MATCH(INT($J7)&amp;"|"&amp;$F7,_怪物模型!$A$2:$A$4501,0))*IF($M7="",1,$M7),""))</f>
        <v>2902</v>
      </c>
      <c r="V7" s="22">
        <f t="shared" si="1"/>
        <v>0.107873020593264</v>
      </c>
      <c r="W7" s="23">
        <f t="shared" si="2"/>
        <v>8336.25725</v>
      </c>
      <c r="X7" s="23">
        <f t="shared" si="3"/>
        <v>0.150228246578205</v>
      </c>
      <c r="Y7" s="23">
        <f t="shared" si="4"/>
        <v>85.3396123163831</v>
      </c>
      <c r="Z7" s="24" t="str">
        <f t="shared" si="5"/>
        <v/>
      </c>
      <c r="AA7" s="6" t="str">
        <f t="shared" si="6"/>
        <v>已计算</v>
      </c>
      <c r="AB7" s="6" t="str">
        <f t="shared" si="7"/>
        <v>有效</v>
      </c>
      <c r="AC7" s="6" t="str">
        <f t="shared" si="8"/>
        <v/>
      </c>
      <c r="AD7" s="7" t="s">
        <v>576</v>
      </c>
    </row>
    <row r="8" ht="25" customHeight="1" spans="1:30">
      <c r="A8" s="6" t="s">
        <v>145</v>
      </c>
      <c r="B8" s="6" t="s">
        <v>55</v>
      </c>
      <c r="C8" s="7" t="s">
        <v>567</v>
      </c>
      <c r="D8" s="7" t="s">
        <v>577</v>
      </c>
      <c r="E8" s="7" t="s">
        <v>599</v>
      </c>
      <c r="F8" s="6" t="s">
        <v>149</v>
      </c>
      <c r="G8" s="16">
        <v>48</v>
      </c>
      <c r="H8" s="17"/>
      <c r="I8" s="18">
        <f t="shared" si="0"/>
        <v>48</v>
      </c>
      <c r="J8" s="19">
        <v>49</v>
      </c>
      <c r="K8" s="20"/>
      <c r="L8" s="20"/>
      <c r="M8" s="20"/>
      <c r="N8" s="20"/>
      <c r="O8" s="20"/>
      <c r="P8" s="20"/>
      <c r="Q8" s="21">
        <f>IF($I8="","",IFERROR(INDEX(_玩家曲线!$H$2:$H$286,MATCH($I8,_玩家曲线!$A$2:$A$286,0)),""))</f>
        <v>151226.502451555</v>
      </c>
      <c r="R8" s="21">
        <f>IF($I8="","",IFERROR(INDEX(_玩家曲线!$I$2:$I$286,MATCH($I8,_玩家曲线!$A$2:$A$286,0)),""))</f>
        <v>327050.131007878</v>
      </c>
      <c r="S8" s="21">
        <f>IF(OR($J8="",$F8="不适用"),"",IFERROR(INDEX(_怪物模型!$D$2:$D$4501,MATCH(INT($J8)&amp;"|"&amp;$F8,_怪物模型!$A$2:$A$4501,0))*IF($K8="",1,$K8),""))</f>
        <v>10544</v>
      </c>
      <c r="T8" s="21">
        <f>IF(OR($J8="",$F8="不适用"),"",IFERROR(INDEX(_怪物模型!$E$2:$E$4501,MATCH(INT($J8)&amp;"|"&amp;$F8,_怪物模型!$A$2:$A$4501,0))*IF($L8="",1,$L8),""))</f>
        <v>2313</v>
      </c>
      <c r="U8" s="21">
        <f>IF(OR($J8="",$F8="不适用"),"",IFERROR(INDEX(_怪物模型!$F$2:$F$4501,MATCH(INT($J8)&amp;"|"&amp;$F8,_怪物模型!$A$2:$A$4501,0))*IF($M8="",1,$M8),""))</f>
        <v>3691</v>
      </c>
      <c r="V8" s="22">
        <f t="shared" si="1"/>
        <v>0.133292405474703</v>
      </c>
      <c r="W8" s="23">
        <f t="shared" si="2"/>
        <v>12165.5793333333</v>
      </c>
      <c r="X8" s="23">
        <f t="shared" si="3"/>
        <v>0.0804460801256086</v>
      </c>
      <c r="Y8" s="23">
        <f t="shared" si="4"/>
        <v>141.396511460388</v>
      </c>
      <c r="Z8" s="24" t="str">
        <f t="shared" si="5"/>
        <v/>
      </c>
      <c r="AA8" s="6" t="str">
        <f t="shared" si="6"/>
        <v>已计算</v>
      </c>
      <c r="AB8" s="6" t="str">
        <f t="shared" si="7"/>
        <v>有效</v>
      </c>
      <c r="AC8" s="6" t="str">
        <f t="shared" si="8"/>
        <v/>
      </c>
      <c r="AD8" s="7" t="s">
        <v>579</v>
      </c>
    </row>
    <row r="9" ht="25" customHeight="1" spans="1:30">
      <c r="A9" s="6" t="s">
        <v>145</v>
      </c>
      <c r="B9" s="6" t="s">
        <v>55</v>
      </c>
      <c r="C9" s="7" t="s">
        <v>567</v>
      </c>
      <c r="D9" s="7" t="s">
        <v>580</v>
      </c>
      <c r="E9" s="7" t="s">
        <v>600</v>
      </c>
      <c r="F9" s="6" t="s">
        <v>149</v>
      </c>
      <c r="G9" s="16">
        <v>64</v>
      </c>
      <c r="H9" s="17"/>
      <c r="I9" s="18">
        <f t="shared" si="0"/>
        <v>64</v>
      </c>
      <c r="J9" s="19">
        <v>61</v>
      </c>
      <c r="K9" s="20"/>
      <c r="L9" s="20"/>
      <c r="M9" s="20"/>
      <c r="N9" s="20"/>
      <c r="O9" s="20"/>
      <c r="P9" s="20"/>
      <c r="Q9" s="21">
        <f>IF($I9="","",IFERROR(INDEX(_玩家曲线!$H$2:$H$286,MATCH($I9,_玩家曲线!$A$2:$A$286,0)),""))</f>
        <v>283724.698482439</v>
      </c>
      <c r="R9" s="21">
        <f>IF($I9="","",IFERROR(INDEX(_玩家曲线!$I$2:$I$286,MATCH($I9,_玩家曲线!$A$2:$A$286,0)),""))</f>
        <v>538396.240868028</v>
      </c>
      <c r="S9" s="21">
        <f>IF(OR($J9="",$F9="不适用"),"",IFERROR(INDEX(_怪物模型!$D$2:$D$4501,MATCH(INT($J9)&amp;"|"&amp;$F9,_怪物模型!$A$2:$A$4501,0))*IF($K9="",1,$K9),""))</f>
        <v>14981</v>
      </c>
      <c r="T9" s="21">
        <f>IF(OR($J9="",$F9="不适用"),"",IFERROR(INDEX(_怪物模型!$E$2:$E$4501,MATCH(INT($J9)&amp;"|"&amp;$F9,_怪物模型!$A$2:$A$4501,0))*IF($L9="",1,$L9),""))</f>
        <v>3140</v>
      </c>
      <c r="U9" s="21">
        <f>IF(OR($J9="",$F9="不适用"),"",IFERROR(INDEX(_怪物模型!$F$2:$F$4501,MATCH(INT($J9)&amp;"|"&amp;$F9,_怪物模型!$A$2:$A$4501,0))*IF($M9="",1,$M9),""))</f>
        <v>4663</v>
      </c>
      <c r="V9" s="22">
        <f t="shared" si="1"/>
        <v>0.162683599064997</v>
      </c>
      <c r="W9" s="23">
        <f t="shared" si="2"/>
        <v>17891.6834583333</v>
      </c>
      <c r="X9" s="23">
        <f t="shared" si="3"/>
        <v>0.0630600139995945</v>
      </c>
      <c r="Y9" s="23">
        <f t="shared" si="4"/>
        <v>171.463770977079</v>
      </c>
      <c r="Z9" s="24" t="str">
        <f t="shared" si="5"/>
        <v/>
      </c>
      <c r="AA9" s="6" t="str">
        <f t="shared" si="6"/>
        <v>已计算</v>
      </c>
      <c r="AB9" s="6" t="str">
        <f t="shared" si="7"/>
        <v>有效</v>
      </c>
      <c r="AC9" s="6" t="str">
        <f t="shared" si="8"/>
        <v/>
      </c>
      <c r="AD9" s="7" t="s">
        <v>582</v>
      </c>
    </row>
    <row r="10" ht="25" customHeight="1" spans="1:30">
      <c r="A10" s="6" t="s">
        <v>145</v>
      </c>
      <c r="B10" s="6" t="s">
        <v>55</v>
      </c>
      <c r="C10" s="7" t="s">
        <v>567</v>
      </c>
      <c r="D10" s="7" t="s">
        <v>583</v>
      </c>
      <c r="E10" s="7" t="s">
        <v>601</v>
      </c>
      <c r="F10" s="6" t="s">
        <v>149</v>
      </c>
      <c r="G10" s="16">
        <v>85</v>
      </c>
      <c r="H10" s="17"/>
      <c r="I10" s="18">
        <f t="shared" si="0"/>
        <v>85</v>
      </c>
      <c r="J10" s="19">
        <v>74</v>
      </c>
      <c r="K10" s="20"/>
      <c r="L10" s="20"/>
      <c r="M10" s="20"/>
      <c r="N10" s="20"/>
      <c r="O10" s="20"/>
      <c r="P10" s="20"/>
      <c r="Q10" s="21">
        <f>IF($I10="","",IFERROR(INDEX(_玩家曲线!$H$2:$H$286,MATCH($I10,_玩家曲线!$A$2:$A$286,0)),""))</f>
        <v>548594.405733353</v>
      </c>
      <c r="R10" s="21">
        <f>IF($I10="","",IFERROR(INDEX(_玩家曲线!$I$2:$I$286,MATCH($I10,_玩家曲线!$A$2:$A$286,0)),""))</f>
        <v>959754.584710681</v>
      </c>
      <c r="S10" s="21">
        <f>IF(OR($J10="",$F10="不适用"),"",IFERROR(INDEX(_怪物模型!$D$2:$D$4501,MATCH(INT($J10)&amp;"|"&amp;$F10,_怪物模型!$A$2:$A$4501,0))*IF($K10="",1,$K10),""))</f>
        <v>20750</v>
      </c>
      <c r="T10" s="21">
        <f>IF(OR($J10="",$F10="不适用"),"",IFERROR(INDEX(_怪物模型!$E$2:$E$4501,MATCH(INT($J10)&amp;"|"&amp;$F10,_怪物模型!$A$2:$A$4501,0))*IF($L10="",1,$L10),""))</f>
        <v>4168</v>
      </c>
      <c r="U10" s="21">
        <f>IF(OR($J10="",$F10="不适用"),"",IFERROR(INDEX(_怪物模型!$F$2:$F$4501,MATCH(INT($J10)&amp;"|"&amp;$F10,_怪物模型!$A$2:$A$4501,0))*IF($M10="",1,$M10),""))</f>
        <v>5745</v>
      </c>
      <c r="V10" s="22">
        <f t="shared" si="1"/>
        <v>0.193141704488149</v>
      </c>
      <c r="W10" s="23">
        <f t="shared" si="2"/>
        <v>25717.03125</v>
      </c>
      <c r="X10" s="23">
        <f t="shared" si="3"/>
        <v>0.0468780413748876</v>
      </c>
      <c r="Y10" s="23">
        <f t="shared" si="4"/>
        <v>230.267414757841</v>
      </c>
      <c r="Z10" s="24" t="str">
        <f t="shared" si="5"/>
        <v/>
      </c>
      <c r="AA10" s="6" t="str">
        <f t="shared" si="6"/>
        <v>已计算</v>
      </c>
      <c r="AB10" s="6" t="str">
        <f t="shared" si="7"/>
        <v>有效</v>
      </c>
      <c r="AC10" s="6" t="str">
        <f t="shared" si="8"/>
        <v/>
      </c>
      <c r="AD10" s="7" t="s">
        <v>585</v>
      </c>
    </row>
    <row r="11" ht="25" customHeight="1" spans="1:30">
      <c r="A11" s="6" t="s">
        <v>145</v>
      </c>
      <c r="B11" s="6" t="s">
        <v>55</v>
      </c>
      <c r="C11" s="7" t="s">
        <v>567</v>
      </c>
      <c r="D11" s="7" t="s">
        <v>586</v>
      </c>
      <c r="E11" s="7" t="s">
        <v>602</v>
      </c>
      <c r="F11" s="6" t="s">
        <v>149</v>
      </c>
      <c r="G11" s="16">
        <v>108</v>
      </c>
      <c r="H11" s="17"/>
      <c r="I11" s="18">
        <f t="shared" si="0"/>
        <v>108</v>
      </c>
      <c r="J11" s="19">
        <v>90</v>
      </c>
      <c r="K11" s="20"/>
      <c r="L11" s="20"/>
      <c r="M11" s="20"/>
      <c r="N11" s="20"/>
      <c r="O11" s="20"/>
      <c r="P11" s="20"/>
      <c r="Q11" s="21">
        <f>IF($I11="","",IFERROR(INDEX(_玩家曲线!$H$2:$H$286,MATCH($I11,_玩家曲线!$A$2:$A$286,0)),""))</f>
        <v>901427.627481898</v>
      </c>
      <c r="R11" s="21">
        <f>IF($I11="","",IFERROR(INDEX(_玩家曲线!$I$2:$I$286,MATCH($I11,_玩家曲线!$A$2:$A$286,0)),""))</f>
        <v>1430961.36302879</v>
      </c>
      <c r="S11" s="21">
        <f>IF(OR($J11="",$F11="不适用"),"",IFERROR(INDEX(_怪物模型!$D$2:$D$4501,MATCH(INT($J11)&amp;"|"&amp;$F11,_怪物模型!$A$2:$A$4501,0))*IF($K11="",1,$K11),""))</f>
        <v>29406</v>
      </c>
      <c r="T11" s="21">
        <f>IF(OR($J11="",$F11="不适用"),"",IFERROR(INDEX(_怪物模型!$E$2:$E$4501,MATCH(INT($J11)&amp;"|"&amp;$F11,_怪物模型!$A$2:$A$4501,0))*IF($L11="",1,$L11),""))</f>
        <v>5635</v>
      </c>
      <c r="U11" s="21">
        <f>IF(OR($J11="",$F11="不适用"),"",IFERROR(INDEX(_怪物模型!$F$2:$F$4501,MATCH(INT($J11)&amp;"|"&amp;$F11,_怪物模型!$A$2:$A$4501,0))*IF($M11="",1,$M11),""))</f>
        <v>7120</v>
      </c>
      <c r="V11" s="22">
        <f t="shared" si="1"/>
        <v>0.22879177377892</v>
      </c>
      <c r="W11" s="23">
        <f t="shared" si="2"/>
        <v>38129.78</v>
      </c>
      <c r="X11" s="23">
        <f t="shared" si="3"/>
        <v>0.0422993248016083</v>
      </c>
      <c r="Y11" s="23">
        <f t="shared" si="4"/>
        <v>253.941679330752</v>
      </c>
      <c r="Z11" s="24" t="str">
        <f t="shared" si="5"/>
        <v/>
      </c>
      <c r="AA11" s="6" t="str">
        <f t="shared" si="6"/>
        <v>已计算</v>
      </c>
      <c r="AB11" s="6" t="str">
        <f t="shared" si="7"/>
        <v>有效</v>
      </c>
      <c r="AC11" s="6" t="str">
        <f t="shared" si="8"/>
        <v/>
      </c>
      <c r="AD11" s="7" t="s">
        <v>588</v>
      </c>
    </row>
    <row r="12" ht="25" customHeight="1" spans="1:30">
      <c r="A12" s="6" t="s">
        <v>145</v>
      </c>
      <c r="B12" s="6" t="s">
        <v>55</v>
      </c>
      <c r="C12" s="7" t="s">
        <v>567</v>
      </c>
      <c r="D12" s="7" t="s">
        <v>589</v>
      </c>
      <c r="E12" s="7" t="s">
        <v>603</v>
      </c>
      <c r="F12" s="6" t="s">
        <v>149</v>
      </c>
      <c r="G12" s="16">
        <v>124</v>
      </c>
      <c r="H12" s="17"/>
      <c r="I12" s="18">
        <f t="shared" si="0"/>
        <v>124</v>
      </c>
      <c r="J12" s="19">
        <v>107</v>
      </c>
      <c r="K12" s="20"/>
      <c r="L12" s="20"/>
      <c r="M12" s="20"/>
      <c r="N12" s="20"/>
      <c r="O12" s="20"/>
      <c r="P12" s="20"/>
      <c r="Q12" s="21">
        <f>IF($I12="","",IFERROR(INDEX(_玩家曲线!$H$2:$H$286,MATCH($I12,_玩家曲线!$A$2:$A$286,0)),""))</f>
        <v>1226558.79355257</v>
      </c>
      <c r="R12" s="21">
        <f>IF($I12="","",IFERROR(INDEX(_玩家曲线!$I$2:$I$286,MATCH($I12,_玩家曲线!$A$2:$A$286,0)),""))</f>
        <v>1789249.34234598</v>
      </c>
      <c r="S12" s="21">
        <f>IF(OR($J12="",$F12="不适用"),"",IFERROR(INDEX(_怪物模型!$D$2:$D$4501,MATCH(INT($J12)&amp;"|"&amp;$F12,_怪物模型!$A$2:$A$4501,0))*IF($K12="",1,$K12),""))</f>
        <v>40769</v>
      </c>
      <c r="T12" s="21">
        <f>IF(OR($J12="",$F12="不适用"),"",IFERROR(INDEX(_怪物模型!$E$2:$E$4501,MATCH(INT($J12)&amp;"|"&amp;$F12,_怪物模型!$A$2:$A$4501,0))*IF($L12="",1,$L12),""))</f>
        <v>7457</v>
      </c>
      <c r="U12" s="21">
        <f>IF(OR($J12="",$F12="不适用"),"",IFERROR(INDEX(_怪物模型!$F$2:$F$4501,MATCH(INT($J12)&amp;"|"&amp;$F12,_怪物模型!$A$2:$A$4501,0))*IF($M12="",1,$M12),""))</f>
        <v>8632</v>
      </c>
      <c r="V12" s="22">
        <f t="shared" si="1"/>
        <v>0.264525619024271</v>
      </c>
      <c r="W12" s="23">
        <f t="shared" si="2"/>
        <v>55432.2503333333</v>
      </c>
      <c r="X12" s="23">
        <f t="shared" si="3"/>
        <v>0.0451933088121939</v>
      </c>
      <c r="Y12" s="23">
        <f t="shared" si="4"/>
        <v>239.942247867236</v>
      </c>
      <c r="Z12" s="24" t="str">
        <f t="shared" si="5"/>
        <v/>
      </c>
      <c r="AA12" s="6" t="str">
        <f t="shared" si="6"/>
        <v>已计算</v>
      </c>
      <c r="AB12" s="6" t="str">
        <f t="shared" si="7"/>
        <v>有效</v>
      </c>
      <c r="AC12" s="6" t="str">
        <f t="shared" si="8"/>
        <v/>
      </c>
      <c r="AD12" s="7" t="s">
        <v>591</v>
      </c>
    </row>
    <row r="13" ht="25" customHeight="1" spans="1:30">
      <c r="A13" s="6" t="s">
        <v>145</v>
      </c>
      <c r="B13" s="6" t="s">
        <v>55</v>
      </c>
      <c r="C13" s="7" t="s">
        <v>567</v>
      </c>
      <c r="D13" s="7" t="s">
        <v>592</v>
      </c>
      <c r="E13" s="7" t="s">
        <v>604</v>
      </c>
      <c r="F13" s="6" t="s">
        <v>149</v>
      </c>
      <c r="G13" s="16">
        <v>146</v>
      </c>
      <c r="H13" s="17"/>
      <c r="I13" s="18">
        <f t="shared" si="0"/>
        <v>146</v>
      </c>
      <c r="J13" s="19">
        <v>126</v>
      </c>
      <c r="K13" s="20"/>
      <c r="L13" s="20"/>
      <c r="M13" s="20"/>
      <c r="N13" s="20"/>
      <c r="O13" s="20"/>
      <c r="P13" s="20"/>
      <c r="Q13" s="21">
        <f>IF($I13="","",IFERROR(INDEX(_玩家曲线!$H$2:$H$286,MATCH($I13,_玩家曲线!$A$2:$A$286,0)),""))</f>
        <v>1613925.7899855</v>
      </c>
      <c r="R13" s="21">
        <f>IF($I13="","",IFERROR(INDEX(_玩家曲线!$I$2:$I$286,MATCH($I13,_玩家曲线!$A$2:$A$286,0)),""))</f>
        <v>2177331.96410555</v>
      </c>
      <c r="S13" s="21">
        <f>IF(OR($J13="",$F13="不适用"),"",IFERROR(INDEX(_怪物模型!$D$2:$D$4501,MATCH(INT($J13)&amp;"|"&amp;$F13,_怪物模型!$A$2:$A$4501,0))*IF($K13="",1,$K13),""))</f>
        <v>56543</v>
      </c>
      <c r="T13" s="21">
        <f>IF(OR($J13="",$F13="不适用"),"",IFERROR(INDEX(_怪物模型!$E$2:$E$4501,MATCH(INT($J13)&amp;"|"&amp;$F13,_怪物模型!$A$2:$A$4501,0))*IF($L13="",1,$L13),""))</f>
        <v>9843</v>
      </c>
      <c r="U13" s="21">
        <f>IF(OR($J13="",$F13="不适用"),"",IFERROR(INDEX(_怪物模型!$F$2:$F$4501,MATCH(INT($J13)&amp;"|"&amp;$F13,_怪物模型!$A$2:$A$4501,0))*IF($M13="",1,$M13),""))</f>
        <v>10386</v>
      </c>
      <c r="V13" s="22">
        <f t="shared" si="1"/>
        <v>0.302041528529053</v>
      </c>
      <c r="W13" s="23">
        <f t="shared" si="2"/>
        <v>81011.98325</v>
      </c>
      <c r="X13" s="23">
        <f t="shared" si="3"/>
        <v>0.0501956061131707</v>
      </c>
      <c r="Y13" s="23">
        <f t="shared" si="4"/>
        <v>221.206132693848</v>
      </c>
      <c r="Z13" s="24" t="str">
        <f t="shared" si="5"/>
        <v/>
      </c>
      <c r="AA13" s="6" t="str">
        <f t="shared" si="6"/>
        <v>已计算</v>
      </c>
      <c r="AB13" s="6" t="str">
        <f t="shared" si="7"/>
        <v>有效</v>
      </c>
      <c r="AC13" s="6" t="str">
        <f t="shared" si="8"/>
        <v/>
      </c>
      <c r="AD13" s="7" t="s">
        <v>594</v>
      </c>
    </row>
  </sheetData>
  <mergeCells count="3">
    <mergeCell ref="A1:AD1"/>
    <mergeCell ref="A2:AD2"/>
    <mergeCell ref="A3:AD3"/>
  </mergeCells>
  <conditionalFormatting sqref="J5:J13">
    <cfRule type="expression" dxfId="2" priority="1">
      <formula>AND($A5&lt;&gt;"特殊：双方属性对算",$J5="")</formula>
    </cfRule>
  </conditionalFormatting>
  <conditionalFormatting sqref="AA5:AA13">
    <cfRule type="expression" dxfId="0" priority="3">
      <formula>$AA5="适中"</formula>
    </cfRule>
    <cfRule type="expression" dxfId="3" priority="4">
      <formula>$AA5="偏难"</formula>
    </cfRule>
    <cfRule type="expression" dxfId="1" priority="5">
      <formula>$AA5="过难"</formula>
    </cfRule>
    <cfRule type="expression" dxfId="1" priority="6">
      <formula>$AA5="生存不成立"</formula>
    </cfRule>
  </conditionalFormatting>
  <conditionalFormatting sqref="AB5:AB13">
    <cfRule type="expression" dxfId="4" priority="2">
      <formula>$AB5="超范围"</formula>
    </cfRule>
  </conditionalFormatting>
  <conditionalFormatting sqref="AC5:AC13">
    <cfRule type="expression" dxfId="4" priority="7">
      <formula>$AC5="下降"</formula>
    </cfRule>
  </conditionalFormatting>
  <dataValidations count="5">
    <dataValidation type="list" sqref="F5:F13">
      <formula1>_字典!$A$2:$A$11</formula1>
    </dataValidation>
    <dataValidation type="whole" operator="between" allowBlank="1" sqref="H5:H13">
      <formula1>1</formula1>
      <formula2>285</formula2>
    </dataValidation>
    <dataValidation type="whole" operator="between" allowBlank="1" sqref="J5:J13">
      <formula1>1</formula1>
      <formula2>500</formula2>
    </dataValidation>
    <dataValidation type="decimal" operator="between" allowBlank="1" sqref="P5:P13">
      <formula1>0.01</formula1>
      <formula2>3600</formula2>
    </dataValidation>
    <dataValidation type="decimal" operator="between" allowBlank="1" sqref="K5:O13">
      <formula1>0</formula1>
      <formula2>100</formula2>
    </dataValidation>
  </dataValidations>
  <hyperlinks>
    <hyperlink ref="A1" r:id="rId4" display="全玩法难度填写｜金币"/>
  </hyperlinks>
  <pageMargins left="0.75" right="0.75" top="1" bottom="1" header="0.5" footer="0.5"/>
  <pageSetup paperSize="1" orientation="landscape"/>
  <headerFooter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48235"/>
    <pageSetUpPr fitToPage="1"/>
  </sheetPr>
  <dimension ref="A1:AD13"/>
  <sheetViews>
    <sheetView showGridLines="0" workbookViewId="0">
      <pane xSplit="6" ySplit="4" topLeftCell="G5" activePane="bottomRight" state="frozen"/>
      <selection/>
      <selection pane="topRight"/>
      <selection pane="bottomLeft"/>
      <selection pane="bottomRight" activeCell="A1" sqref="A1:AD1"/>
    </sheetView>
  </sheetViews>
  <sheetFormatPr defaultColWidth="9" defaultRowHeight="13.5"/>
  <cols>
    <col min="1" max="1" width="12" customWidth="1"/>
    <col min="2" max="2" width="13" customWidth="1"/>
    <col min="3" max="3" width="18" customWidth="1"/>
    <col min="4" max="4" width="15" customWidth="1"/>
    <col min="5" max="5" width="35" customWidth="1"/>
    <col min="6" max="9" width="14" customWidth="1"/>
    <col min="10" max="10" width="12" customWidth="1"/>
    <col min="11" max="13" width="11" customWidth="1"/>
    <col min="14" max="15" width="13" customWidth="1"/>
    <col min="16" max="16" width="12" customWidth="1"/>
    <col min="17" max="21" width="16" customWidth="1"/>
    <col min="22" max="22" width="12" customWidth="1"/>
    <col min="23" max="23" width="17" customWidth="1"/>
    <col min="24" max="25" width="14" customWidth="1"/>
    <col min="26" max="26" width="12" customWidth="1"/>
    <col min="27" max="27" width="15" customWidth="1"/>
    <col min="28" max="29" width="12" customWidth="1"/>
    <col min="30" max="30" width="46" customWidth="1"/>
  </cols>
  <sheetData>
    <row r="1" ht="34" customHeight="1" spans="1:30">
      <c r="A1" s="2" t="s">
        <v>605</v>
      </c>
    </row>
    <row r="2" ht="30" customHeight="1" spans="1:30">
      <c r="A2" s="3" t="s">
        <v>116</v>
      </c>
    </row>
    <row r="3" ht="14.25" customHeight="1" spans="1:30">
      <c r="A3" s="4" t="s">
        <v>117</v>
      </c>
    </row>
    <row r="4" ht="36" customHeight="1" spans="1:30">
      <c r="A4" s="5" t="s">
        <v>80</v>
      </c>
      <c r="B4" s="5" t="s">
        <v>79</v>
      </c>
      <c r="C4" s="5" t="s">
        <v>118</v>
      </c>
      <c r="D4" s="5" t="s">
        <v>119</v>
      </c>
      <c r="E4" s="5" t="s">
        <v>120</v>
      </c>
      <c r="F4" s="5" t="s">
        <v>121</v>
      </c>
      <c r="G4" s="5" t="s">
        <v>122</v>
      </c>
      <c r="H4" s="5" t="s">
        <v>123</v>
      </c>
      <c r="I4" s="5" t="s">
        <v>124</v>
      </c>
      <c r="J4" s="5" t="s">
        <v>125</v>
      </c>
      <c r="K4" s="5" t="s">
        <v>126</v>
      </c>
      <c r="L4" s="5" t="s">
        <v>127</v>
      </c>
      <c r="M4" s="5" t="s">
        <v>128</v>
      </c>
      <c r="N4" s="5" t="s">
        <v>129</v>
      </c>
      <c r="O4" s="5" t="s">
        <v>130</v>
      </c>
      <c r="P4" s="5" t="s">
        <v>131</v>
      </c>
      <c r="Q4" s="5" t="s">
        <v>132</v>
      </c>
      <c r="R4" s="5" t="s">
        <v>133</v>
      </c>
      <c r="S4" s="5" t="s">
        <v>134</v>
      </c>
      <c r="T4" s="5" t="s">
        <v>135</v>
      </c>
      <c r="U4" s="5" t="s">
        <v>136</v>
      </c>
      <c r="V4" s="5" t="s">
        <v>137</v>
      </c>
      <c r="W4" s="5" t="s">
        <v>138</v>
      </c>
      <c r="X4" s="5" t="s">
        <v>139</v>
      </c>
      <c r="Y4" s="5" t="s">
        <v>140</v>
      </c>
      <c r="Z4" s="5" t="s">
        <v>141</v>
      </c>
      <c r="AA4" s="5" t="s">
        <v>142</v>
      </c>
      <c r="AB4" s="5" t="s">
        <v>143</v>
      </c>
      <c r="AC4" s="5" t="s">
        <v>144</v>
      </c>
      <c r="AD4" s="5" t="s">
        <v>90</v>
      </c>
    </row>
    <row r="5" ht="25" customHeight="1" spans="1:30">
      <c r="A5" s="6" t="s">
        <v>145</v>
      </c>
      <c r="B5" s="6" t="s">
        <v>56</v>
      </c>
      <c r="C5" s="7" t="s">
        <v>567</v>
      </c>
      <c r="D5" s="7" t="s">
        <v>568</v>
      </c>
      <c r="E5" s="7" t="s">
        <v>606</v>
      </c>
      <c r="F5" s="6" t="s">
        <v>149</v>
      </c>
      <c r="G5" s="16">
        <v>16</v>
      </c>
      <c r="H5" s="17"/>
      <c r="I5" s="18">
        <f t="shared" ref="I5:I13" si="0">IF($H5="",$G5,$H5)</f>
        <v>16</v>
      </c>
      <c r="J5" s="19">
        <v>22</v>
      </c>
      <c r="K5" s="20"/>
      <c r="L5" s="20"/>
      <c r="M5" s="20"/>
      <c r="N5" s="20"/>
      <c r="O5" s="20"/>
      <c r="P5" s="20"/>
      <c r="Q5" s="21">
        <f>IF($I5="","",IFERROR(INDEX(_玩家曲线!$H$2:$H$286,MATCH($I5,_玩家曲线!$A$2:$A$286,0)),""))</f>
        <v>12775.0326599693</v>
      </c>
      <c r="R5" s="21">
        <f>IF($I5="","",IFERROR(INDEX(_玩家曲线!$I$2:$I$286,MATCH($I5,_玩家曲线!$A$2:$A$286,0)),""))</f>
        <v>43484.7798603876</v>
      </c>
      <c r="S5" s="21">
        <f>IF(OR($J5="",$F5="不适用"),"",IFERROR(INDEX(_怪物模型!$D$2:$D$4501,MATCH(INT($J5)&amp;"|"&amp;$F5,_怪物模型!$A$2:$A$4501,0))*IF($K5="",1,$K5),""))</f>
        <v>3288</v>
      </c>
      <c r="T5" s="21">
        <f>IF(OR($J5="",$F5="不适用"),"",IFERROR(INDEX(_怪物模型!$E$2:$E$4501,MATCH(INT($J5)&amp;"|"&amp;$F5,_怪物模型!$A$2:$A$4501,0))*IF($L5="",1,$L5),""))</f>
        <v>842</v>
      </c>
      <c r="U5" s="21">
        <f>IF(OR($J5="",$F5="不适用"),"",IFERROR(INDEX(_怪物模型!$F$2:$F$4501,MATCH(INT($J5)&amp;"|"&amp;$F5,_怪物模型!$A$2:$A$4501,0))*IF($M5="",1,$M5),""))</f>
        <v>1603</v>
      </c>
      <c r="V5" s="22">
        <f t="shared" ref="V5:V13" si="1">IF($U5="","",MIN(0.75,$U5/($U5+24000)))</f>
        <v>0.0626098504081553</v>
      </c>
      <c r="W5" s="23">
        <f t="shared" ref="W5:W13" si="2">IF($S5="","",$S5/(1-$V5)*IF($N5="",1,$N5))</f>
        <v>3507.611</v>
      </c>
      <c r="X5" s="23">
        <f t="shared" ref="X5:X13" si="3">IF(OR($W5="",$Q5="",$Q5=0),"",$W5/$Q5)</f>
        <v>0.274567673786944</v>
      </c>
      <c r="Y5" s="23">
        <f t="shared" ref="Y5:Y13" si="4">IF(OR($R5="",$T5="",$T5=0),"",$R5/($T5*IF($O5="",1,$O5)))</f>
        <v>51.6446316631682</v>
      </c>
      <c r="Z5" s="24" t="str">
        <f t="shared" ref="Z5:Z13" si="5">IF(OR($X5="",$P5="",$P5=0),"",$X5/$P5)</f>
        <v/>
      </c>
      <c r="AA5" s="6" t="str">
        <f t="shared" ref="AA5:AA13" si="6">IF($J5="","待填怪物等级",IF(OR($I5="",$Q5=""),"待填对照关卡",IF($P5="","已计算",IF(AND($Y5&lt;&gt;"",$Y5&lt;$X5),"生存不成立",IF($Z5&lt;0.5,"碾压",IF($Z5&lt;0.8,"偏简单",IF($Z5&lt;=1.2,"适中",IF($Z5&lt;=1.5,"偏难","过难"))))))))</f>
        <v>已计算</v>
      </c>
      <c r="AB5" s="6" t="str">
        <f t="shared" ref="AB5:AB13" si="7">IF($J5="","待填",IF(AND(ISNUMBER($J5),$J5&gt;=1,$J5&lt;=500,MOD($J5,1)=0),"有效","超范围"))</f>
        <v>有效</v>
      </c>
      <c r="AC5" s="6" t="str">
        <f t="shared" ref="AC5:AC13" si="8">IF(OR($J5="",ROW()=5,$B5&lt;&gt;$B4,$J4=""),"",IF($J5&lt;$J4,"下降",""))</f>
        <v/>
      </c>
      <c r="AD5" s="7" t="s">
        <v>570</v>
      </c>
    </row>
    <row r="6" ht="25" customHeight="1" spans="1:30">
      <c r="A6" s="6" t="s">
        <v>145</v>
      </c>
      <c r="B6" s="6" t="s">
        <v>56</v>
      </c>
      <c r="C6" s="7" t="s">
        <v>567</v>
      </c>
      <c r="D6" s="7" t="s">
        <v>571</v>
      </c>
      <c r="E6" s="7" t="s">
        <v>607</v>
      </c>
      <c r="F6" s="6" t="s">
        <v>149</v>
      </c>
      <c r="G6" s="16">
        <v>20</v>
      </c>
      <c r="H6" s="17"/>
      <c r="I6" s="18">
        <f t="shared" si="0"/>
        <v>20</v>
      </c>
      <c r="J6" s="19">
        <v>26</v>
      </c>
      <c r="K6" s="20"/>
      <c r="L6" s="20"/>
      <c r="M6" s="20"/>
      <c r="N6" s="20"/>
      <c r="O6" s="20"/>
      <c r="P6" s="20"/>
      <c r="Q6" s="21">
        <f>IF($I6="","",IFERROR(INDEX(_玩家曲线!$H$2:$H$286,MATCH($I6,_玩家曲线!$A$2:$A$286,0)),""))</f>
        <v>18422.0658556409</v>
      </c>
      <c r="R6" s="21">
        <f>IF($I6="","",IFERROR(INDEX(_玩家曲线!$I$2:$I$286,MATCH($I6,_玩家曲线!$A$2:$A$286,0)),""))</f>
        <v>58659.1211219851</v>
      </c>
      <c r="S6" s="21">
        <f>IF(OR($J6="",$F6="不适用"),"",IFERROR(INDEX(_怪物模型!$D$2:$D$4501,MATCH(INT($J6)&amp;"|"&amp;$F6,_怪物模型!$A$2:$A$4501,0))*IF($K6="",1,$K6),""))</f>
        <v>4140</v>
      </c>
      <c r="T6" s="21">
        <f>IF(OR($J6="",$F6="不适用"),"",IFERROR(INDEX(_怪物模型!$E$2:$E$4501,MATCH(INT($J6)&amp;"|"&amp;$F6,_怪物模型!$A$2:$A$4501,0))*IF($L6="",1,$L6),""))</f>
        <v>1028</v>
      </c>
      <c r="U6" s="21">
        <f>IF(OR($J6="",$F6="不适用"),"",IFERROR(INDEX(_怪物模型!$F$2:$F$4501,MATCH(INT($J6)&amp;"|"&amp;$F6,_怪物模型!$A$2:$A$4501,0))*IF($M6="",1,$M6),""))</f>
        <v>1904</v>
      </c>
      <c r="V6" s="22">
        <f t="shared" si="1"/>
        <v>0.0735021618282891</v>
      </c>
      <c r="W6" s="23">
        <f t="shared" si="2"/>
        <v>4468.44</v>
      </c>
      <c r="X6" s="23">
        <f t="shared" si="3"/>
        <v>0.242559115520247</v>
      </c>
      <c r="Y6" s="23">
        <f t="shared" si="4"/>
        <v>57.0614018696353</v>
      </c>
      <c r="Z6" s="24" t="str">
        <f t="shared" si="5"/>
        <v/>
      </c>
      <c r="AA6" s="6" t="str">
        <f t="shared" si="6"/>
        <v>已计算</v>
      </c>
      <c r="AB6" s="6" t="str">
        <f t="shared" si="7"/>
        <v>有效</v>
      </c>
      <c r="AC6" s="6" t="str">
        <f t="shared" si="8"/>
        <v/>
      </c>
      <c r="AD6" s="7" t="s">
        <v>573</v>
      </c>
    </row>
    <row r="7" ht="25" customHeight="1" spans="1:30">
      <c r="A7" s="6" t="s">
        <v>145</v>
      </c>
      <c r="B7" s="6" t="s">
        <v>56</v>
      </c>
      <c r="C7" s="7" t="s">
        <v>567</v>
      </c>
      <c r="D7" s="7" t="s">
        <v>574</v>
      </c>
      <c r="E7" s="7" t="s">
        <v>608</v>
      </c>
      <c r="F7" s="6" t="s">
        <v>149</v>
      </c>
      <c r="G7" s="16">
        <v>33</v>
      </c>
      <c r="H7" s="17"/>
      <c r="I7" s="18">
        <f t="shared" si="0"/>
        <v>33</v>
      </c>
      <c r="J7" s="19">
        <v>39</v>
      </c>
      <c r="K7" s="20"/>
      <c r="L7" s="20"/>
      <c r="M7" s="20"/>
      <c r="N7" s="20"/>
      <c r="O7" s="20"/>
      <c r="P7" s="20"/>
      <c r="Q7" s="21">
        <f>IF($I7="","",IFERROR(INDEX(_玩家曲线!$H$2:$H$286,MATCH($I7,_玩家曲线!$A$2:$A$286,0)),""))</f>
        <v>55490.6113855249</v>
      </c>
      <c r="R7" s="21">
        <f>IF($I7="","",IFERROR(INDEX(_玩家曲线!$I$2:$I$286,MATCH($I7,_玩家曲线!$A$2:$A$286,0)),""))</f>
        <v>145674.718224066</v>
      </c>
      <c r="S7" s="21">
        <f>IF(OR($J7="",$F7="不适用"),"",IFERROR(INDEX(_怪物模型!$D$2:$D$4501,MATCH(INT($J7)&amp;"|"&amp;$F7,_怪物模型!$A$2:$A$4501,0))*IF($K7="",1,$K7),""))</f>
        <v>7437</v>
      </c>
      <c r="T7" s="21">
        <f>IF(OR($J7="",$F7="不适用"),"",IFERROR(INDEX(_怪物模型!$E$2:$E$4501,MATCH(INT($J7)&amp;"|"&amp;$F7,_怪物模型!$A$2:$A$4501,0))*IF($L7="",1,$L7),""))</f>
        <v>1707</v>
      </c>
      <c r="U7" s="21">
        <f>IF(OR($J7="",$F7="不适用"),"",IFERROR(INDEX(_怪物模型!$F$2:$F$4501,MATCH(INT($J7)&amp;"|"&amp;$F7,_怪物模型!$A$2:$A$4501,0))*IF($M7="",1,$M7),""))</f>
        <v>2902</v>
      </c>
      <c r="V7" s="22">
        <f t="shared" si="1"/>
        <v>0.107873020593264</v>
      </c>
      <c r="W7" s="23">
        <f t="shared" si="2"/>
        <v>8336.25725</v>
      </c>
      <c r="X7" s="23">
        <f t="shared" si="3"/>
        <v>0.150228246578205</v>
      </c>
      <c r="Y7" s="23">
        <f t="shared" si="4"/>
        <v>85.3396123163831</v>
      </c>
      <c r="Z7" s="24" t="str">
        <f t="shared" si="5"/>
        <v/>
      </c>
      <c r="AA7" s="6" t="str">
        <f t="shared" si="6"/>
        <v>已计算</v>
      </c>
      <c r="AB7" s="6" t="str">
        <f t="shared" si="7"/>
        <v>有效</v>
      </c>
      <c r="AC7" s="6" t="str">
        <f t="shared" si="8"/>
        <v/>
      </c>
      <c r="AD7" s="7" t="s">
        <v>576</v>
      </c>
    </row>
    <row r="8" ht="25" customHeight="1" spans="1:30">
      <c r="A8" s="6" t="s">
        <v>145</v>
      </c>
      <c r="B8" s="6" t="s">
        <v>56</v>
      </c>
      <c r="C8" s="7" t="s">
        <v>567</v>
      </c>
      <c r="D8" s="7" t="s">
        <v>577</v>
      </c>
      <c r="E8" s="7" t="s">
        <v>609</v>
      </c>
      <c r="F8" s="6" t="s">
        <v>149</v>
      </c>
      <c r="G8" s="16">
        <v>48</v>
      </c>
      <c r="H8" s="17"/>
      <c r="I8" s="18">
        <f t="shared" si="0"/>
        <v>48</v>
      </c>
      <c r="J8" s="19">
        <v>49</v>
      </c>
      <c r="K8" s="20"/>
      <c r="L8" s="20"/>
      <c r="M8" s="20"/>
      <c r="N8" s="20"/>
      <c r="O8" s="20"/>
      <c r="P8" s="20"/>
      <c r="Q8" s="21">
        <f>IF($I8="","",IFERROR(INDEX(_玩家曲线!$H$2:$H$286,MATCH($I8,_玩家曲线!$A$2:$A$286,0)),""))</f>
        <v>151226.502451555</v>
      </c>
      <c r="R8" s="21">
        <f>IF($I8="","",IFERROR(INDEX(_玩家曲线!$I$2:$I$286,MATCH($I8,_玩家曲线!$A$2:$A$286,0)),""))</f>
        <v>327050.131007878</v>
      </c>
      <c r="S8" s="21">
        <f>IF(OR($J8="",$F8="不适用"),"",IFERROR(INDEX(_怪物模型!$D$2:$D$4501,MATCH(INT($J8)&amp;"|"&amp;$F8,_怪物模型!$A$2:$A$4501,0))*IF($K8="",1,$K8),""))</f>
        <v>10544</v>
      </c>
      <c r="T8" s="21">
        <f>IF(OR($J8="",$F8="不适用"),"",IFERROR(INDEX(_怪物模型!$E$2:$E$4501,MATCH(INT($J8)&amp;"|"&amp;$F8,_怪物模型!$A$2:$A$4501,0))*IF($L8="",1,$L8),""))</f>
        <v>2313</v>
      </c>
      <c r="U8" s="21">
        <f>IF(OR($J8="",$F8="不适用"),"",IFERROR(INDEX(_怪物模型!$F$2:$F$4501,MATCH(INT($J8)&amp;"|"&amp;$F8,_怪物模型!$A$2:$A$4501,0))*IF($M8="",1,$M8),""))</f>
        <v>3691</v>
      </c>
      <c r="V8" s="22">
        <f t="shared" si="1"/>
        <v>0.133292405474703</v>
      </c>
      <c r="W8" s="23">
        <f t="shared" si="2"/>
        <v>12165.5793333333</v>
      </c>
      <c r="X8" s="23">
        <f t="shared" si="3"/>
        <v>0.0804460801256086</v>
      </c>
      <c r="Y8" s="23">
        <f t="shared" si="4"/>
        <v>141.396511460388</v>
      </c>
      <c r="Z8" s="24" t="str">
        <f t="shared" si="5"/>
        <v/>
      </c>
      <c r="AA8" s="6" t="str">
        <f t="shared" si="6"/>
        <v>已计算</v>
      </c>
      <c r="AB8" s="6" t="str">
        <f t="shared" si="7"/>
        <v>有效</v>
      </c>
      <c r="AC8" s="6" t="str">
        <f t="shared" si="8"/>
        <v/>
      </c>
      <c r="AD8" s="7" t="s">
        <v>579</v>
      </c>
    </row>
    <row r="9" ht="25" customHeight="1" spans="1:30">
      <c r="A9" s="6" t="s">
        <v>145</v>
      </c>
      <c r="B9" s="6" t="s">
        <v>56</v>
      </c>
      <c r="C9" s="7" t="s">
        <v>567</v>
      </c>
      <c r="D9" s="7" t="s">
        <v>580</v>
      </c>
      <c r="E9" s="7" t="s">
        <v>610</v>
      </c>
      <c r="F9" s="6" t="s">
        <v>149</v>
      </c>
      <c r="G9" s="16">
        <v>64</v>
      </c>
      <c r="H9" s="17"/>
      <c r="I9" s="18">
        <f t="shared" si="0"/>
        <v>64</v>
      </c>
      <c r="J9" s="19">
        <v>61</v>
      </c>
      <c r="K9" s="20"/>
      <c r="L9" s="20"/>
      <c r="M9" s="20"/>
      <c r="N9" s="20"/>
      <c r="O9" s="20"/>
      <c r="P9" s="20"/>
      <c r="Q9" s="21">
        <f>IF($I9="","",IFERROR(INDEX(_玩家曲线!$H$2:$H$286,MATCH($I9,_玩家曲线!$A$2:$A$286,0)),""))</f>
        <v>283724.698482439</v>
      </c>
      <c r="R9" s="21">
        <f>IF($I9="","",IFERROR(INDEX(_玩家曲线!$I$2:$I$286,MATCH($I9,_玩家曲线!$A$2:$A$286,0)),""))</f>
        <v>538396.240868028</v>
      </c>
      <c r="S9" s="21">
        <f>IF(OR($J9="",$F9="不适用"),"",IFERROR(INDEX(_怪物模型!$D$2:$D$4501,MATCH(INT($J9)&amp;"|"&amp;$F9,_怪物模型!$A$2:$A$4501,0))*IF($K9="",1,$K9),""))</f>
        <v>14981</v>
      </c>
      <c r="T9" s="21">
        <f>IF(OR($J9="",$F9="不适用"),"",IFERROR(INDEX(_怪物模型!$E$2:$E$4501,MATCH(INT($J9)&amp;"|"&amp;$F9,_怪物模型!$A$2:$A$4501,0))*IF($L9="",1,$L9),""))</f>
        <v>3140</v>
      </c>
      <c r="U9" s="21">
        <f>IF(OR($J9="",$F9="不适用"),"",IFERROR(INDEX(_怪物模型!$F$2:$F$4501,MATCH(INT($J9)&amp;"|"&amp;$F9,_怪物模型!$A$2:$A$4501,0))*IF($M9="",1,$M9),""))</f>
        <v>4663</v>
      </c>
      <c r="V9" s="22">
        <f t="shared" si="1"/>
        <v>0.162683599064997</v>
      </c>
      <c r="W9" s="23">
        <f t="shared" si="2"/>
        <v>17891.6834583333</v>
      </c>
      <c r="X9" s="23">
        <f t="shared" si="3"/>
        <v>0.0630600139995945</v>
      </c>
      <c r="Y9" s="23">
        <f t="shared" si="4"/>
        <v>171.463770977079</v>
      </c>
      <c r="Z9" s="24" t="str">
        <f t="shared" si="5"/>
        <v/>
      </c>
      <c r="AA9" s="6" t="str">
        <f t="shared" si="6"/>
        <v>已计算</v>
      </c>
      <c r="AB9" s="6" t="str">
        <f t="shared" si="7"/>
        <v>有效</v>
      </c>
      <c r="AC9" s="6" t="str">
        <f t="shared" si="8"/>
        <v/>
      </c>
      <c r="AD9" s="7" t="s">
        <v>582</v>
      </c>
    </row>
    <row r="10" ht="25" customHeight="1" spans="1:30">
      <c r="A10" s="6" t="s">
        <v>145</v>
      </c>
      <c r="B10" s="6" t="s">
        <v>56</v>
      </c>
      <c r="C10" s="7" t="s">
        <v>567</v>
      </c>
      <c r="D10" s="7" t="s">
        <v>583</v>
      </c>
      <c r="E10" s="7" t="s">
        <v>611</v>
      </c>
      <c r="F10" s="6" t="s">
        <v>149</v>
      </c>
      <c r="G10" s="16">
        <v>85</v>
      </c>
      <c r="H10" s="17"/>
      <c r="I10" s="18">
        <f t="shared" si="0"/>
        <v>85</v>
      </c>
      <c r="J10" s="19">
        <v>74</v>
      </c>
      <c r="K10" s="20"/>
      <c r="L10" s="20"/>
      <c r="M10" s="20"/>
      <c r="N10" s="20"/>
      <c r="O10" s="20"/>
      <c r="P10" s="20"/>
      <c r="Q10" s="21">
        <f>IF($I10="","",IFERROR(INDEX(_玩家曲线!$H$2:$H$286,MATCH($I10,_玩家曲线!$A$2:$A$286,0)),""))</f>
        <v>548594.405733353</v>
      </c>
      <c r="R10" s="21">
        <f>IF($I10="","",IFERROR(INDEX(_玩家曲线!$I$2:$I$286,MATCH($I10,_玩家曲线!$A$2:$A$286,0)),""))</f>
        <v>959754.584710681</v>
      </c>
      <c r="S10" s="21">
        <f>IF(OR($J10="",$F10="不适用"),"",IFERROR(INDEX(_怪物模型!$D$2:$D$4501,MATCH(INT($J10)&amp;"|"&amp;$F10,_怪物模型!$A$2:$A$4501,0))*IF($K10="",1,$K10),""))</f>
        <v>20750</v>
      </c>
      <c r="T10" s="21">
        <f>IF(OR($J10="",$F10="不适用"),"",IFERROR(INDEX(_怪物模型!$E$2:$E$4501,MATCH(INT($J10)&amp;"|"&amp;$F10,_怪物模型!$A$2:$A$4501,0))*IF($L10="",1,$L10),""))</f>
        <v>4168</v>
      </c>
      <c r="U10" s="21">
        <f>IF(OR($J10="",$F10="不适用"),"",IFERROR(INDEX(_怪物模型!$F$2:$F$4501,MATCH(INT($J10)&amp;"|"&amp;$F10,_怪物模型!$A$2:$A$4501,0))*IF($M10="",1,$M10),""))</f>
        <v>5745</v>
      </c>
      <c r="V10" s="22">
        <f t="shared" si="1"/>
        <v>0.193141704488149</v>
      </c>
      <c r="W10" s="23">
        <f t="shared" si="2"/>
        <v>25717.03125</v>
      </c>
      <c r="X10" s="23">
        <f t="shared" si="3"/>
        <v>0.0468780413748876</v>
      </c>
      <c r="Y10" s="23">
        <f t="shared" si="4"/>
        <v>230.267414757841</v>
      </c>
      <c r="Z10" s="24" t="str">
        <f t="shared" si="5"/>
        <v/>
      </c>
      <c r="AA10" s="6" t="str">
        <f t="shared" si="6"/>
        <v>已计算</v>
      </c>
      <c r="AB10" s="6" t="str">
        <f t="shared" si="7"/>
        <v>有效</v>
      </c>
      <c r="AC10" s="6" t="str">
        <f t="shared" si="8"/>
        <v/>
      </c>
      <c r="AD10" s="7" t="s">
        <v>585</v>
      </c>
    </row>
    <row r="11" ht="25" customHeight="1" spans="1:30">
      <c r="A11" s="6" t="s">
        <v>145</v>
      </c>
      <c r="B11" s="6" t="s">
        <v>56</v>
      </c>
      <c r="C11" s="7" t="s">
        <v>567</v>
      </c>
      <c r="D11" s="7" t="s">
        <v>586</v>
      </c>
      <c r="E11" s="7" t="s">
        <v>612</v>
      </c>
      <c r="F11" s="6" t="s">
        <v>149</v>
      </c>
      <c r="G11" s="16">
        <v>108</v>
      </c>
      <c r="H11" s="17"/>
      <c r="I11" s="18">
        <f t="shared" si="0"/>
        <v>108</v>
      </c>
      <c r="J11" s="19">
        <v>90</v>
      </c>
      <c r="K11" s="20"/>
      <c r="L11" s="20"/>
      <c r="M11" s="20"/>
      <c r="N11" s="20"/>
      <c r="O11" s="20"/>
      <c r="P11" s="20"/>
      <c r="Q11" s="21">
        <f>IF($I11="","",IFERROR(INDEX(_玩家曲线!$H$2:$H$286,MATCH($I11,_玩家曲线!$A$2:$A$286,0)),""))</f>
        <v>901427.627481898</v>
      </c>
      <c r="R11" s="21">
        <f>IF($I11="","",IFERROR(INDEX(_玩家曲线!$I$2:$I$286,MATCH($I11,_玩家曲线!$A$2:$A$286,0)),""))</f>
        <v>1430961.36302879</v>
      </c>
      <c r="S11" s="21">
        <f>IF(OR($J11="",$F11="不适用"),"",IFERROR(INDEX(_怪物模型!$D$2:$D$4501,MATCH(INT($J11)&amp;"|"&amp;$F11,_怪物模型!$A$2:$A$4501,0))*IF($K11="",1,$K11),""))</f>
        <v>29406</v>
      </c>
      <c r="T11" s="21">
        <f>IF(OR($J11="",$F11="不适用"),"",IFERROR(INDEX(_怪物模型!$E$2:$E$4501,MATCH(INT($J11)&amp;"|"&amp;$F11,_怪物模型!$A$2:$A$4501,0))*IF($L11="",1,$L11),""))</f>
        <v>5635</v>
      </c>
      <c r="U11" s="21">
        <f>IF(OR($J11="",$F11="不适用"),"",IFERROR(INDEX(_怪物模型!$F$2:$F$4501,MATCH(INT($J11)&amp;"|"&amp;$F11,_怪物模型!$A$2:$A$4501,0))*IF($M11="",1,$M11),""))</f>
        <v>7120</v>
      </c>
      <c r="V11" s="22">
        <f t="shared" si="1"/>
        <v>0.22879177377892</v>
      </c>
      <c r="W11" s="23">
        <f t="shared" si="2"/>
        <v>38129.78</v>
      </c>
      <c r="X11" s="23">
        <f t="shared" si="3"/>
        <v>0.0422993248016083</v>
      </c>
      <c r="Y11" s="23">
        <f t="shared" si="4"/>
        <v>253.941679330752</v>
      </c>
      <c r="Z11" s="24" t="str">
        <f t="shared" si="5"/>
        <v/>
      </c>
      <c r="AA11" s="6" t="str">
        <f t="shared" si="6"/>
        <v>已计算</v>
      </c>
      <c r="AB11" s="6" t="str">
        <f t="shared" si="7"/>
        <v>有效</v>
      </c>
      <c r="AC11" s="6" t="str">
        <f t="shared" si="8"/>
        <v/>
      </c>
      <c r="AD11" s="7" t="s">
        <v>588</v>
      </c>
    </row>
    <row r="12" ht="25" customHeight="1" spans="1:30">
      <c r="A12" s="6" t="s">
        <v>145</v>
      </c>
      <c r="B12" s="6" t="s">
        <v>56</v>
      </c>
      <c r="C12" s="7" t="s">
        <v>567</v>
      </c>
      <c r="D12" s="7" t="s">
        <v>589</v>
      </c>
      <c r="E12" s="7" t="s">
        <v>613</v>
      </c>
      <c r="F12" s="6" t="s">
        <v>149</v>
      </c>
      <c r="G12" s="16">
        <v>124</v>
      </c>
      <c r="H12" s="17"/>
      <c r="I12" s="18">
        <f t="shared" si="0"/>
        <v>124</v>
      </c>
      <c r="J12" s="19">
        <v>107</v>
      </c>
      <c r="K12" s="20"/>
      <c r="L12" s="20"/>
      <c r="M12" s="20"/>
      <c r="N12" s="20"/>
      <c r="O12" s="20"/>
      <c r="P12" s="20"/>
      <c r="Q12" s="21">
        <f>IF($I12="","",IFERROR(INDEX(_玩家曲线!$H$2:$H$286,MATCH($I12,_玩家曲线!$A$2:$A$286,0)),""))</f>
        <v>1226558.79355257</v>
      </c>
      <c r="R12" s="21">
        <f>IF($I12="","",IFERROR(INDEX(_玩家曲线!$I$2:$I$286,MATCH($I12,_玩家曲线!$A$2:$A$286,0)),""))</f>
        <v>1789249.34234598</v>
      </c>
      <c r="S12" s="21">
        <f>IF(OR($J12="",$F12="不适用"),"",IFERROR(INDEX(_怪物模型!$D$2:$D$4501,MATCH(INT($J12)&amp;"|"&amp;$F12,_怪物模型!$A$2:$A$4501,0))*IF($K12="",1,$K12),""))</f>
        <v>40769</v>
      </c>
      <c r="T12" s="21">
        <f>IF(OR($J12="",$F12="不适用"),"",IFERROR(INDEX(_怪物模型!$E$2:$E$4501,MATCH(INT($J12)&amp;"|"&amp;$F12,_怪物模型!$A$2:$A$4501,0))*IF($L12="",1,$L12),""))</f>
        <v>7457</v>
      </c>
      <c r="U12" s="21">
        <f>IF(OR($J12="",$F12="不适用"),"",IFERROR(INDEX(_怪物模型!$F$2:$F$4501,MATCH(INT($J12)&amp;"|"&amp;$F12,_怪物模型!$A$2:$A$4501,0))*IF($M12="",1,$M12),""))</f>
        <v>8632</v>
      </c>
      <c r="V12" s="22">
        <f t="shared" si="1"/>
        <v>0.264525619024271</v>
      </c>
      <c r="W12" s="23">
        <f t="shared" si="2"/>
        <v>55432.2503333333</v>
      </c>
      <c r="X12" s="23">
        <f t="shared" si="3"/>
        <v>0.0451933088121939</v>
      </c>
      <c r="Y12" s="23">
        <f t="shared" si="4"/>
        <v>239.942247867236</v>
      </c>
      <c r="Z12" s="24" t="str">
        <f t="shared" si="5"/>
        <v/>
      </c>
      <c r="AA12" s="6" t="str">
        <f t="shared" si="6"/>
        <v>已计算</v>
      </c>
      <c r="AB12" s="6" t="str">
        <f t="shared" si="7"/>
        <v>有效</v>
      </c>
      <c r="AC12" s="6" t="str">
        <f t="shared" si="8"/>
        <v/>
      </c>
      <c r="AD12" s="7" t="s">
        <v>591</v>
      </c>
    </row>
    <row r="13" ht="25" customHeight="1" spans="1:30">
      <c r="A13" s="6" t="s">
        <v>145</v>
      </c>
      <c r="B13" s="6" t="s">
        <v>56</v>
      </c>
      <c r="C13" s="7" t="s">
        <v>567</v>
      </c>
      <c r="D13" s="7" t="s">
        <v>592</v>
      </c>
      <c r="E13" s="7" t="s">
        <v>614</v>
      </c>
      <c r="F13" s="6" t="s">
        <v>149</v>
      </c>
      <c r="G13" s="16">
        <v>146</v>
      </c>
      <c r="H13" s="17"/>
      <c r="I13" s="18">
        <f t="shared" si="0"/>
        <v>146</v>
      </c>
      <c r="J13" s="19">
        <v>126</v>
      </c>
      <c r="K13" s="20"/>
      <c r="L13" s="20"/>
      <c r="M13" s="20"/>
      <c r="N13" s="20"/>
      <c r="O13" s="20"/>
      <c r="P13" s="20"/>
      <c r="Q13" s="21">
        <f>IF($I13="","",IFERROR(INDEX(_玩家曲线!$H$2:$H$286,MATCH($I13,_玩家曲线!$A$2:$A$286,0)),""))</f>
        <v>1613925.7899855</v>
      </c>
      <c r="R13" s="21">
        <f>IF($I13="","",IFERROR(INDEX(_玩家曲线!$I$2:$I$286,MATCH($I13,_玩家曲线!$A$2:$A$286,0)),""))</f>
        <v>2177331.96410555</v>
      </c>
      <c r="S13" s="21">
        <f>IF(OR($J13="",$F13="不适用"),"",IFERROR(INDEX(_怪物模型!$D$2:$D$4501,MATCH(INT($J13)&amp;"|"&amp;$F13,_怪物模型!$A$2:$A$4501,0))*IF($K13="",1,$K13),""))</f>
        <v>56543</v>
      </c>
      <c r="T13" s="21">
        <f>IF(OR($J13="",$F13="不适用"),"",IFERROR(INDEX(_怪物模型!$E$2:$E$4501,MATCH(INT($J13)&amp;"|"&amp;$F13,_怪物模型!$A$2:$A$4501,0))*IF($L13="",1,$L13),""))</f>
        <v>9843</v>
      </c>
      <c r="U13" s="21">
        <f>IF(OR($J13="",$F13="不适用"),"",IFERROR(INDEX(_怪物模型!$F$2:$F$4501,MATCH(INT($J13)&amp;"|"&amp;$F13,_怪物模型!$A$2:$A$4501,0))*IF($M13="",1,$M13),""))</f>
        <v>10386</v>
      </c>
      <c r="V13" s="22">
        <f t="shared" si="1"/>
        <v>0.302041528529053</v>
      </c>
      <c r="W13" s="23">
        <f t="shared" si="2"/>
        <v>81011.98325</v>
      </c>
      <c r="X13" s="23">
        <f t="shared" si="3"/>
        <v>0.0501956061131707</v>
      </c>
      <c r="Y13" s="23">
        <f t="shared" si="4"/>
        <v>221.206132693848</v>
      </c>
      <c r="Z13" s="24" t="str">
        <f t="shared" si="5"/>
        <v/>
      </c>
      <c r="AA13" s="6" t="str">
        <f t="shared" si="6"/>
        <v>已计算</v>
      </c>
      <c r="AB13" s="6" t="str">
        <f t="shared" si="7"/>
        <v>有效</v>
      </c>
      <c r="AC13" s="6" t="str">
        <f t="shared" si="8"/>
        <v/>
      </c>
      <c r="AD13" s="7" t="s">
        <v>594</v>
      </c>
    </row>
  </sheetData>
  <mergeCells count="3">
    <mergeCell ref="A1:AD1"/>
    <mergeCell ref="A2:AD2"/>
    <mergeCell ref="A3:AD3"/>
  </mergeCells>
  <conditionalFormatting sqref="J5:J13">
    <cfRule type="expression" dxfId="2" priority="1">
      <formula>AND($A5&lt;&gt;"特殊：双方属性对算",$J5="")</formula>
    </cfRule>
  </conditionalFormatting>
  <conditionalFormatting sqref="AA5:AA13">
    <cfRule type="expression" dxfId="0" priority="3">
      <formula>$AA5="适中"</formula>
    </cfRule>
    <cfRule type="expression" dxfId="3" priority="4">
      <formula>$AA5="偏难"</formula>
    </cfRule>
    <cfRule type="expression" dxfId="1" priority="5">
      <formula>$AA5="过难"</formula>
    </cfRule>
    <cfRule type="expression" dxfId="1" priority="6">
      <formula>$AA5="生存不成立"</formula>
    </cfRule>
  </conditionalFormatting>
  <conditionalFormatting sqref="AB5:AB13">
    <cfRule type="expression" dxfId="4" priority="2">
      <formula>$AB5="超范围"</formula>
    </cfRule>
  </conditionalFormatting>
  <conditionalFormatting sqref="AC5:AC13">
    <cfRule type="expression" dxfId="4" priority="7">
      <formula>$AC5="下降"</formula>
    </cfRule>
  </conditionalFormatting>
  <dataValidations count="5">
    <dataValidation type="list" sqref="F5:F13">
      <formula1>_字典!$A$2:$A$11</formula1>
    </dataValidation>
    <dataValidation type="whole" operator="between" allowBlank="1" sqref="H5:H13">
      <formula1>1</formula1>
      <formula2>285</formula2>
    </dataValidation>
    <dataValidation type="whole" operator="between" allowBlank="1" sqref="J5:J13">
      <formula1>1</formula1>
      <formula2>500</formula2>
    </dataValidation>
    <dataValidation type="decimal" operator="between" allowBlank="1" sqref="P5:P13">
      <formula1>0.01</formula1>
      <formula2>3600</formula2>
    </dataValidation>
    <dataValidation type="decimal" operator="between" allowBlank="1" sqref="K5:O13">
      <formula1>0</formula1>
      <formula2>100</formula2>
    </dataValidation>
  </dataValidations>
  <hyperlinks>
    <hyperlink ref="A1" r:id="rId4" display="全玩法难度填写｜收容经验"/>
  </hyperlinks>
  <pageMargins left="0.75" right="0.75" top="1" bottom="1" header="0.5" footer="0.5"/>
  <pageSetup paperSize="1" orientation="landscape"/>
  <headerFooter/>
  <legacy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D7D31"/>
    <pageSetUpPr fitToPage="1"/>
  </sheetPr>
  <dimension ref="A1:AD14"/>
  <sheetViews>
    <sheetView showGridLines="0" workbookViewId="0">
      <pane xSplit="6" ySplit="4" topLeftCell="G5" activePane="bottomRight" state="frozen"/>
      <selection/>
      <selection pane="topRight"/>
      <selection pane="bottomLeft"/>
      <selection pane="bottomRight" activeCell="A1" sqref="A1:AD1"/>
    </sheetView>
  </sheetViews>
  <sheetFormatPr defaultColWidth="9" defaultRowHeight="13.5"/>
  <cols>
    <col min="1" max="1" width="12" customWidth="1"/>
    <col min="2" max="2" width="13" customWidth="1"/>
    <col min="3" max="3" width="18" customWidth="1"/>
    <col min="4" max="4" width="15" customWidth="1"/>
    <col min="5" max="5" width="35" customWidth="1"/>
    <col min="6" max="9" width="14" customWidth="1"/>
    <col min="10" max="10" width="12" customWidth="1"/>
    <col min="11" max="13" width="11" customWidth="1"/>
    <col min="14" max="15" width="13" customWidth="1"/>
    <col min="16" max="16" width="12" customWidth="1"/>
    <col min="17" max="21" width="16" customWidth="1"/>
    <col min="22" max="22" width="12" customWidth="1"/>
    <col min="23" max="23" width="17" customWidth="1"/>
    <col min="24" max="25" width="14" customWidth="1"/>
    <col min="26" max="26" width="12" customWidth="1"/>
    <col min="27" max="27" width="15" customWidth="1"/>
    <col min="28" max="29" width="12" customWidth="1"/>
    <col min="30" max="30" width="46" customWidth="1"/>
  </cols>
  <sheetData>
    <row r="1" ht="34" customHeight="1" spans="1:30">
      <c r="A1" s="2" t="s">
        <v>615</v>
      </c>
    </row>
    <row r="2" ht="30" customHeight="1" spans="1:30">
      <c r="A2" s="3" t="s">
        <v>116</v>
      </c>
    </row>
    <row r="3" ht="14.25" customHeight="1" spans="1:30">
      <c r="A3" s="4" t="s">
        <v>117</v>
      </c>
    </row>
    <row r="4" ht="36" customHeight="1" spans="1:30">
      <c r="A4" s="5" t="s">
        <v>80</v>
      </c>
      <c r="B4" s="5" t="s">
        <v>79</v>
      </c>
      <c r="C4" s="5" t="s">
        <v>118</v>
      </c>
      <c r="D4" s="5" t="s">
        <v>119</v>
      </c>
      <c r="E4" s="5" t="s">
        <v>120</v>
      </c>
      <c r="F4" s="5" t="s">
        <v>121</v>
      </c>
      <c r="G4" s="5" t="s">
        <v>122</v>
      </c>
      <c r="H4" s="5" t="s">
        <v>123</v>
      </c>
      <c r="I4" s="5" t="s">
        <v>124</v>
      </c>
      <c r="J4" s="5" t="s">
        <v>125</v>
      </c>
      <c r="K4" s="5" t="s">
        <v>126</v>
      </c>
      <c r="L4" s="5" t="s">
        <v>127</v>
      </c>
      <c r="M4" s="5" t="s">
        <v>128</v>
      </c>
      <c r="N4" s="5" t="s">
        <v>129</v>
      </c>
      <c r="O4" s="5" t="s">
        <v>130</v>
      </c>
      <c r="P4" s="5" t="s">
        <v>131</v>
      </c>
      <c r="Q4" s="5" t="s">
        <v>132</v>
      </c>
      <c r="R4" s="5" t="s">
        <v>133</v>
      </c>
      <c r="S4" s="5" t="s">
        <v>134</v>
      </c>
      <c r="T4" s="5" t="s">
        <v>135</v>
      </c>
      <c r="U4" s="5" t="s">
        <v>136</v>
      </c>
      <c r="V4" s="5" t="s">
        <v>137</v>
      </c>
      <c r="W4" s="5" t="s">
        <v>138</v>
      </c>
      <c r="X4" s="5" t="s">
        <v>139</v>
      </c>
      <c r="Y4" s="5" t="s">
        <v>140</v>
      </c>
      <c r="Z4" s="5" t="s">
        <v>141</v>
      </c>
      <c r="AA4" s="5" t="s">
        <v>142</v>
      </c>
      <c r="AB4" s="5" t="s">
        <v>143</v>
      </c>
      <c r="AC4" s="5" t="s">
        <v>144</v>
      </c>
      <c r="AD4" s="5" t="s">
        <v>90</v>
      </c>
    </row>
    <row r="5" ht="25" customHeight="1" spans="1:30">
      <c r="A5" s="6" t="s">
        <v>145</v>
      </c>
      <c r="B5" s="6" t="s">
        <v>57</v>
      </c>
      <c r="C5" s="7" t="s">
        <v>616</v>
      </c>
      <c r="D5" s="7" t="s">
        <v>568</v>
      </c>
      <c r="E5" s="7" t="s">
        <v>617</v>
      </c>
      <c r="F5" s="6" t="s">
        <v>159</v>
      </c>
      <c r="G5" s="16">
        <v>100</v>
      </c>
      <c r="H5" s="17"/>
      <c r="I5" s="18">
        <f t="shared" ref="I5:I14" si="0">IF($H5="",$G5,$H5)</f>
        <v>100</v>
      </c>
      <c r="J5" s="19">
        <v>129</v>
      </c>
      <c r="K5" s="20"/>
      <c r="L5" s="20"/>
      <c r="M5" s="20"/>
      <c r="N5" s="20"/>
      <c r="O5" s="20"/>
      <c r="P5" s="20"/>
      <c r="Q5" s="21">
        <f>IF($I5="","",IFERROR(INDEX(_玩家曲线!$H$2:$H$286,MATCH($I5,_玩家曲线!$A$2:$A$286,0)),""))</f>
        <v>733410.771826676</v>
      </c>
      <c r="R5" s="21">
        <f>IF($I5="","",IFERROR(INDEX(_玩家曲线!$I$2:$I$286,MATCH($I5,_玩家曲线!$A$2:$A$286,0)),""))</f>
        <v>1229387.83179704</v>
      </c>
      <c r="S5" s="21">
        <f>IF(OR($J5="",$F5="不适用"),"",IFERROR(INDEX(_怪物模型!$D$2:$D$4501,MATCH(INT($J5)&amp;"|"&amp;$F5,_怪物模型!$A$2:$A$4501,0))*IF($K5="",1,$K5),""))</f>
        <v>5717583</v>
      </c>
      <c r="T5" s="21">
        <f>IF(OR($J5="",$F5="不适用"),"",IFERROR(INDEX(_怪物模型!$E$2:$E$4501,MATCH(INT($J5)&amp;"|"&amp;$F5,_怪物模型!$A$2:$A$4501,0))*IF($L5="",1,$L5),""))</f>
        <v>10255</v>
      </c>
      <c r="U5" s="21">
        <f>IF(OR($J5="",$F5="不适用"),"",IFERROR(INDEX(_怪物模型!$F$2:$F$4501,MATCH(INT($J5)&amp;"|"&amp;$F5,_怪物模型!$A$2:$A$4501,0))*IF($M5="",1,$M5),""))</f>
        <v>10669</v>
      </c>
      <c r="V5" s="22">
        <f t="shared" ref="V5:V14" si="1">IF($U5="","",MIN(0.75,$U5/($U5+24000)))</f>
        <v>0.307738902189276</v>
      </c>
      <c r="W5" s="23">
        <f t="shared" ref="W5:W14" si="2">IF($S5="","",$S5/(1-$V5)*IF($N5="",1,$N5))</f>
        <v>8259286.876125</v>
      </c>
      <c r="X5" s="23">
        <f t="shared" ref="X5:X14" si="3">IF(OR($W5="",$Q5="",$Q5=0),"",$W5/$Q5)</f>
        <v>11.2614747333939</v>
      </c>
      <c r="Y5" s="23">
        <f t="shared" ref="Y5:Y14" si="4">IF(OR($R5="",$T5="",$T5=0),"",$R5/($T5*IF($O5="",1,$O5)))</f>
        <v>119.881797347347</v>
      </c>
      <c r="Z5" s="24" t="str">
        <f t="shared" ref="Z5:Z14" si="5">IF(OR($X5="",$P5="",$P5=0),"",$X5/$P5)</f>
        <v/>
      </c>
      <c r="AA5" s="6" t="str">
        <f t="shared" ref="AA5:AA14" si="6">IF($J5="","待填怪物等级",IF(OR($I5="",$Q5=""),"待填对照关卡",IF($P5="","已计算",IF(AND($Y5&lt;&gt;"",$Y5&lt;$X5),"生存不成立",IF($Z5&lt;0.5,"碾压",IF($Z5&lt;0.8,"偏简单",IF($Z5&lt;=1.2,"适中",IF($Z5&lt;=1.5,"偏难","过难"))))))))</f>
        <v>已计算</v>
      </c>
      <c r="AB5" s="6" t="str">
        <f t="shared" ref="AB5:AB14" si="7">IF($J5="","待填",IF(AND(ISNUMBER($J5),$J5&gt;=1,$J5&lt;=500,MOD($J5,1)=0),"有效","超范围"))</f>
        <v>有效</v>
      </c>
      <c r="AC5" s="6" t="str">
        <f t="shared" ref="AC5:AC14" si="8">IF(OR($J5="",ROW()=5,$B5&lt;&gt;$B4,$J4=""),"",IF($J5&lt;$J4,"下降",""))</f>
        <v/>
      </c>
      <c r="AD5" s="7" t="s">
        <v>618</v>
      </c>
    </row>
    <row r="6" ht="25" customHeight="1" spans="1:30">
      <c r="A6" s="6" t="s">
        <v>145</v>
      </c>
      <c r="B6" s="6" t="s">
        <v>57</v>
      </c>
      <c r="C6" s="7" t="s">
        <v>616</v>
      </c>
      <c r="D6" s="7" t="s">
        <v>571</v>
      </c>
      <c r="E6" s="7" t="s">
        <v>619</v>
      </c>
      <c r="F6" s="6" t="s">
        <v>159</v>
      </c>
      <c r="G6" s="16">
        <v>112</v>
      </c>
      <c r="H6" s="17"/>
      <c r="I6" s="18">
        <f t="shared" si="0"/>
        <v>112</v>
      </c>
      <c r="J6" s="19">
        <v>166</v>
      </c>
      <c r="K6" s="20"/>
      <c r="L6" s="20"/>
      <c r="M6" s="20"/>
      <c r="N6" s="20"/>
      <c r="O6" s="20"/>
      <c r="P6" s="20"/>
      <c r="Q6" s="21">
        <f>IF($I6="","",IFERROR(INDEX(_玩家曲线!$H$2:$H$286,MATCH($I6,_玩家曲线!$A$2:$A$286,0)),""))</f>
        <v>984826.552637626</v>
      </c>
      <c r="R6" s="21">
        <f>IF($I6="","",IFERROR(INDEX(_玩家曲线!$I$2:$I$286,MATCH($I6,_玩家曲线!$A$2:$A$286,0)),""))</f>
        <v>1526424.9610805</v>
      </c>
      <c r="S6" s="21">
        <f>IF(OR($J6="",$F6="不适用"),"",IFERROR(INDEX(_怪物模型!$D$2:$D$4501,MATCH(INT($J6)&amp;"|"&amp;$F6,_怪物模型!$A$2:$A$4501,0))*IF($K6="",1,$K6),""))</f>
        <v>10459458</v>
      </c>
      <c r="T6" s="21">
        <f>IF(OR($J6="",$F6="不适用"),"",IFERROR(INDEX(_怪物模型!$E$2:$E$4501,MATCH(INT($J6)&amp;"|"&amp;$F6,_怪物模型!$A$2:$A$4501,0))*IF($L6="",1,$L6),""))</f>
        <v>16225</v>
      </c>
      <c r="U6" s="21">
        <f>IF(OR($J6="",$F6="不适用"),"",IFERROR(INDEX(_怪物模型!$F$2:$F$4501,MATCH(INT($J6)&amp;"|"&amp;$F6,_怪物模型!$A$2:$A$4501,0))*IF($M6="",1,$M6),""))</f>
        <v>14295</v>
      </c>
      <c r="V6" s="22">
        <f t="shared" si="1"/>
        <v>0.373286329808069</v>
      </c>
      <c r="W6" s="23">
        <f t="shared" si="2"/>
        <v>16689372.67125</v>
      </c>
      <c r="X6" s="23">
        <f t="shared" si="3"/>
        <v>16.9465096432986</v>
      </c>
      <c r="Y6" s="23">
        <f t="shared" si="4"/>
        <v>94.0785800357781</v>
      </c>
      <c r="Z6" s="24" t="str">
        <f t="shared" si="5"/>
        <v/>
      </c>
      <c r="AA6" s="6" t="str">
        <f t="shared" si="6"/>
        <v>已计算</v>
      </c>
      <c r="AB6" s="6" t="str">
        <f t="shared" si="7"/>
        <v>有效</v>
      </c>
      <c r="AC6" s="6" t="str">
        <f t="shared" si="8"/>
        <v/>
      </c>
      <c r="AD6" s="7" t="s">
        <v>620</v>
      </c>
    </row>
    <row r="7" ht="25" customHeight="1" spans="1:30">
      <c r="A7" s="6" t="s">
        <v>145</v>
      </c>
      <c r="B7" s="6" t="s">
        <v>57</v>
      </c>
      <c r="C7" s="7" t="s">
        <v>616</v>
      </c>
      <c r="D7" s="7" t="s">
        <v>574</v>
      </c>
      <c r="E7" s="7" t="s">
        <v>621</v>
      </c>
      <c r="F7" s="6" t="s">
        <v>159</v>
      </c>
      <c r="G7" s="16">
        <v>126</v>
      </c>
      <c r="H7" s="17"/>
      <c r="I7" s="18">
        <f t="shared" si="0"/>
        <v>126</v>
      </c>
      <c r="J7" s="19">
        <v>204</v>
      </c>
      <c r="K7" s="20"/>
      <c r="L7" s="20"/>
      <c r="M7" s="20"/>
      <c r="N7" s="20"/>
      <c r="O7" s="20"/>
      <c r="P7" s="20"/>
      <c r="Q7" s="21">
        <f>IF($I7="","",IFERROR(INDEX(_玩家曲线!$H$2:$H$286,MATCH($I7,_玩家曲线!$A$2:$A$286,0)),""))</f>
        <v>1265105.32528304</v>
      </c>
      <c r="R7" s="21">
        <f>IF($I7="","",IFERROR(INDEX(_玩家曲线!$I$2:$I$286,MATCH($I7,_玩家曲线!$A$2:$A$286,0)),""))</f>
        <v>1829509.09013156</v>
      </c>
      <c r="S7" s="21">
        <f>IF(OR($J7="",$F7="不适用"),"",IFERROR(INDEX(_怪物模型!$D$2:$D$4501,MATCH(INT($J7)&amp;"|"&amp;$F7,_怪物模型!$A$2:$A$4501,0))*IF($K7="",1,$K7),""))</f>
        <v>17750593</v>
      </c>
      <c r="T7" s="21">
        <f>IF(OR($J7="",$F7="不适用"),"",IFERROR(INDEX(_怪物模型!$E$2:$E$4501,MATCH(INT($J7)&amp;"|"&amp;$F7,_怪物模型!$A$2:$A$4501,0))*IF($L7="",1,$L7),""))</f>
        <v>24268</v>
      </c>
      <c r="U7" s="21">
        <f>IF(OR($J7="",$F7="不适用"),"",IFERROR(INDEX(_怪物模型!$F$2:$F$4501,MATCH(INT($J7)&amp;"|"&amp;$F7,_怪物模型!$A$2:$A$4501,0))*IF($M7="",1,$M7),""))</f>
        <v>18281</v>
      </c>
      <c r="V7" s="22">
        <f t="shared" si="1"/>
        <v>0.432369149263262</v>
      </c>
      <c r="W7" s="23">
        <f t="shared" si="2"/>
        <v>31271367.6097083</v>
      </c>
      <c r="X7" s="23">
        <f t="shared" si="3"/>
        <v>24.7183906230985</v>
      </c>
      <c r="Y7" s="23">
        <f t="shared" si="4"/>
        <v>75.3877159276232</v>
      </c>
      <c r="Z7" s="24" t="str">
        <f t="shared" si="5"/>
        <v/>
      </c>
      <c r="AA7" s="6" t="str">
        <f t="shared" si="6"/>
        <v>已计算</v>
      </c>
      <c r="AB7" s="6" t="str">
        <f t="shared" si="7"/>
        <v>有效</v>
      </c>
      <c r="AC7" s="6" t="str">
        <f t="shared" si="8"/>
        <v/>
      </c>
      <c r="AD7" s="7" t="s">
        <v>622</v>
      </c>
    </row>
    <row r="8" ht="25" customHeight="1" spans="1:30">
      <c r="A8" s="6" t="s">
        <v>145</v>
      </c>
      <c r="B8" s="6" t="s">
        <v>57</v>
      </c>
      <c r="C8" s="7" t="s">
        <v>616</v>
      </c>
      <c r="D8" s="7" t="s">
        <v>577</v>
      </c>
      <c r="E8" s="7" t="s">
        <v>623</v>
      </c>
      <c r="F8" s="6" t="s">
        <v>159</v>
      </c>
      <c r="G8" s="16">
        <v>142</v>
      </c>
      <c r="H8" s="17"/>
      <c r="I8" s="18">
        <f t="shared" si="0"/>
        <v>142</v>
      </c>
      <c r="J8" s="19">
        <v>230</v>
      </c>
      <c r="K8" s="20"/>
      <c r="L8" s="20"/>
      <c r="M8" s="20"/>
      <c r="N8" s="20"/>
      <c r="O8" s="20"/>
      <c r="P8" s="20"/>
      <c r="Q8" s="21">
        <f>IF($I8="","",IFERROR(INDEX(_玩家曲线!$H$2:$H$286,MATCH($I8,_玩家曲线!$A$2:$A$286,0)),""))</f>
        <v>1549901.68428811</v>
      </c>
      <c r="R8" s="21">
        <f>IF($I8="","",IFERROR(INDEX(_玩家曲线!$I$2:$I$286,MATCH($I8,_玩家曲线!$A$2:$A$286,0)),""))</f>
        <v>2115486.46706194</v>
      </c>
      <c r="S8" s="21">
        <f>IF(OR($J8="",$F8="不适用"),"",IFERROR(INDEX(_怪物模型!$D$2:$D$4501,MATCH(INT($J8)&amp;"|"&amp;$F8,_怪物模型!$A$2:$A$4501,0))*IF($K8="",1,$K8),""))</f>
        <v>24542984</v>
      </c>
      <c r="T8" s="21">
        <f>IF(OR($J8="",$F8="不适用"),"",IFERROR(INDEX(_怪物模型!$E$2:$E$4501,MATCH(INT($J8)&amp;"|"&amp;$F8,_怪物模型!$A$2:$A$4501,0))*IF($L8="",1,$L8),""))</f>
        <v>31061</v>
      </c>
      <c r="U8" s="21">
        <f>IF(OR($J8="",$F8="不适用"),"",IFERROR(INDEX(_怪物模型!$F$2:$F$4501,MATCH(INT($J8)&amp;"|"&amp;$F8,_怪物模型!$A$2:$A$4501,0))*IF($M8="",1,$M8),""))</f>
        <v>21162</v>
      </c>
      <c r="V8" s="22">
        <f t="shared" si="1"/>
        <v>0.468579779460608</v>
      </c>
      <c r="W8" s="23">
        <f t="shared" si="2"/>
        <v>46183760.142</v>
      </c>
      <c r="X8" s="23">
        <f t="shared" si="3"/>
        <v>29.797864348546</v>
      </c>
      <c r="Y8" s="23">
        <f t="shared" si="4"/>
        <v>68.1074809910157</v>
      </c>
      <c r="Z8" s="24" t="str">
        <f t="shared" si="5"/>
        <v/>
      </c>
      <c r="AA8" s="6" t="str">
        <f t="shared" si="6"/>
        <v>已计算</v>
      </c>
      <c r="AB8" s="6" t="str">
        <f t="shared" si="7"/>
        <v>有效</v>
      </c>
      <c r="AC8" s="6" t="str">
        <f t="shared" si="8"/>
        <v/>
      </c>
      <c r="AD8" s="7" t="s">
        <v>624</v>
      </c>
    </row>
    <row r="9" ht="25" customHeight="1" spans="1:30">
      <c r="A9" s="6" t="s">
        <v>145</v>
      </c>
      <c r="B9" s="6" t="s">
        <v>57</v>
      </c>
      <c r="C9" s="7" t="s">
        <v>616</v>
      </c>
      <c r="D9" s="7" t="s">
        <v>580</v>
      </c>
      <c r="E9" s="7" t="s">
        <v>625</v>
      </c>
      <c r="F9" s="6" t="s">
        <v>159</v>
      </c>
      <c r="G9" s="16">
        <v>160</v>
      </c>
      <c r="H9" s="17"/>
      <c r="I9" s="18">
        <f t="shared" si="0"/>
        <v>160</v>
      </c>
      <c r="J9" s="19">
        <v>248</v>
      </c>
      <c r="K9" s="20"/>
      <c r="L9" s="20"/>
      <c r="M9" s="20"/>
      <c r="N9" s="20"/>
      <c r="O9" s="20"/>
      <c r="P9" s="20"/>
      <c r="Q9" s="21">
        <f>IF($I9="","",IFERROR(INDEX(_玩家曲线!$H$2:$H$286,MATCH($I9,_玩家曲线!$A$2:$A$286,0)),""))</f>
        <v>1814400.71309673</v>
      </c>
      <c r="R9" s="21">
        <f>IF($I9="","",IFERROR(INDEX(_玩家曲线!$I$2:$I$286,MATCH($I9,_玩家曲线!$A$2:$A$286,0)),""))</f>
        <v>2366139.30975527</v>
      </c>
      <c r="S9" s="21">
        <f>IF(OR($J9="",$F9="不适用"),"",IFERROR(INDEX(_怪物模型!$D$2:$D$4501,MATCH(INT($J9)&amp;"|"&amp;$F9,_怪物模型!$A$2:$A$4501,0))*IF($K9="",1,$K9),""))</f>
        <v>30282830</v>
      </c>
      <c r="T9" s="21">
        <f>IF(OR($J9="",$F9="不适用"),"",IFERROR(INDEX(_怪物模型!$E$2:$E$4501,MATCH(INT($J9)&amp;"|"&amp;$F9,_怪物模型!$A$2:$A$4501,0))*IF($L9="",1,$L9),""))</f>
        <v>36454</v>
      </c>
      <c r="U9" s="21">
        <f>IF(OR($J9="",$F9="不适用"),"",IFERROR(INDEX(_怪物模型!$F$2:$F$4501,MATCH(INT($J9)&amp;"|"&amp;$F9,_怪物模型!$A$2:$A$4501,0))*IF($M9="",1,$M9),""))</f>
        <v>23230</v>
      </c>
      <c r="V9" s="22">
        <f t="shared" si="1"/>
        <v>0.491848401439763</v>
      </c>
      <c r="W9" s="23">
        <f t="shared" si="2"/>
        <v>59594085.8708333</v>
      </c>
      <c r="X9" s="23">
        <f t="shared" si="3"/>
        <v>32.8450520552988</v>
      </c>
      <c r="Y9" s="23">
        <f t="shared" si="4"/>
        <v>64.9075357918272</v>
      </c>
      <c r="Z9" s="24" t="str">
        <f t="shared" si="5"/>
        <v/>
      </c>
      <c r="AA9" s="6" t="str">
        <f t="shared" si="6"/>
        <v>已计算</v>
      </c>
      <c r="AB9" s="6" t="str">
        <f t="shared" si="7"/>
        <v>有效</v>
      </c>
      <c r="AC9" s="6" t="str">
        <f t="shared" si="8"/>
        <v/>
      </c>
      <c r="AD9" s="7" t="s">
        <v>626</v>
      </c>
    </row>
    <row r="10" ht="25" customHeight="1" spans="1:30">
      <c r="A10" s="6" t="s">
        <v>145</v>
      </c>
      <c r="B10" s="6" t="s">
        <v>57</v>
      </c>
      <c r="C10" s="7" t="s">
        <v>616</v>
      </c>
      <c r="D10" s="7" t="s">
        <v>583</v>
      </c>
      <c r="E10" s="7" t="s">
        <v>627</v>
      </c>
      <c r="F10" s="6" t="s">
        <v>159</v>
      </c>
      <c r="G10" s="16">
        <v>180</v>
      </c>
      <c r="H10" s="17"/>
      <c r="I10" s="18">
        <f t="shared" si="0"/>
        <v>180</v>
      </c>
      <c r="J10" s="19">
        <v>264</v>
      </c>
      <c r="K10" s="20"/>
      <c r="L10" s="20"/>
      <c r="M10" s="20"/>
      <c r="N10" s="20"/>
      <c r="O10" s="20"/>
      <c r="P10" s="20"/>
      <c r="Q10" s="21">
        <f>IF($I10="","",IFERROR(INDEX(_玩家曲线!$H$2:$H$286,MATCH($I10,_玩家曲线!$A$2:$A$286,0)),""))</f>
        <v>2040102.04124778</v>
      </c>
      <c r="R10" s="21">
        <f>IF($I10="","",IFERROR(INDEX(_玩家曲线!$I$2:$I$286,MATCH($I10,_玩家曲线!$A$2:$A$286,0)),""))</f>
        <v>2571225.79540005</v>
      </c>
      <c r="S10" s="21">
        <f>IF(OR($J10="",$F10="不适用"),"",IFERROR(INDEX(_怪物模型!$D$2:$D$4501,MATCH(INT($J10)&amp;"|"&amp;$F10,_怪物模型!$A$2:$A$4501,0))*IF($K10="",1,$K10),""))</f>
        <v>36200218</v>
      </c>
      <c r="T10" s="21">
        <f>IF(OR($J10="",$F10="不适用"),"",IFERROR(INDEX(_怪物模型!$E$2:$E$4501,MATCH(INT($J10)&amp;"|"&amp;$F10,_怪物模型!$A$2:$A$4501,0))*IF($L10="",1,$L10),""))</f>
        <v>41761</v>
      </c>
      <c r="U10" s="21">
        <f>IF(OR($J10="",$F10="不适用"),"",IFERROR(INDEX(_怪物模型!$F$2:$F$4501,MATCH(INT($J10)&amp;"|"&amp;$F10,_怪物模型!$A$2:$A$4501,0))*IF($M10="",1,$M10),""))</f>
        <v>25117</v>
      </c>
      <c r="V10" s="22">
        <f t="shared" si="1"/>
        <v>0.511370808477716</v>
      </c>
      <c r="W10" s="23">
        <f t="shared" si="2"/>
        <v>74085254.4794167</v>
      </c>
      <c r="X10" s="23">
        <f t="shared" si="3"/>
        <v>36.3144847569017</v>
      </c>
      <c r="Y10" s="23">
        <f t="shared" si="4"/>
        <v>61.5700245540109</v>
      </c>
      <c r="Z10" s="24" t="str">
        <f t="shared" si="5"/>
        <v/>
      </c>
      <c r="AA10" s="6" t="str">
        <f t="shared" si="6"/>
        <v>已计算</v>
      </c>
      <c r="AB10" s="6" t="str">
        <f t="shared" si="7"/>
        <v>有效</v>
      </c>
      <c r="AC10" s="6" t="str">
        <f t="shared" si="8"/>
        <v/>
      </c>
      <c r="AD10" s="7" t="s">
        <v>628</v>
      </c>
    </row>
    <row r="11" ht="25" customHeight="1" spans="1:30">
      <c r="A11" s="6" t="s">
        <v>145</v>
      </c>
      <c r="B11" s="6" t="s">
        <v>57</v>
      </c>
      <c r="C11" s="7" t="s">
        <v>616</v>
      </c>
      <c r="D11" s="7" t="s">
        <v>586</v>
      </c>
      <c r="E11" s="7" t="s">
        <v>629</v>
      </c>
      <c r="F11" s="6" t="s">
        <v>159</v>
      </c>
      <c r="G11" s="16">
        <v>202</v>
      </c>
      <c r="H11" s="17"/>
      <c r="I11" s="18">
        <f t="shared" si="0"/>
        <v>202</v>
      </c>
      <c r="J11" s="19">
        <v>275</v>
      </c>
      <c r="K11" s="20"/>
      <c r="L11" s="20"/>
      <c r="M11" s="20"/>
      <c r="N11" s="20"/>
      <c r="O11" s="20"/>
      <c r="P11" s="20"/>
      <c r="Q11" s="21">
        <f>IF($I11="","",IFERROR(INDEX(_玩家曲线!$H$2:$H$286,MATCH($I11,_玩家曲线!$A$2:$A$286,0)),""))</f>
        <v>2218261.18415459</v>
      </c>
      <c r="R11" s="21">
        <f>IF($I11="","",IFERROR(INDEX(_玩家曲线!$I$2:$I$286,MATCH($I11,_玩家曲线!$A$2:$A$286,0)),""))</f>
        <v>2728692.45849599</v>
      </c>
      <c r="S11" s="21">
        <f>IF(OR($J11="",$F11="不适用"),"",IFERROR(INDEX(_怪物模型!$D$2:$D$4501,MATCH(INT($J11)&amp;"|"&amp;$F11,_怪物模型!$A$2:$A$4501,0))*IF($K11="",1,$K11),""))</f>
        <v>40759777</v>
      </c>
      <c r="T11" s="21">
        <f>IF(OR($J11="",$F11="不适用"),"",IFERROR(INDEX(_怪物模型!$E$2:$E$4501,MATCH(INT($J11)&amp;"|"&amp;$F11,_怪物模型!$A$2:$A$4501,0))*IF($L11="",1,$L11),""))</f>
        <v>45708</v>
      </c>
      <c r="U11" s="21">
        <f>IF(OR($J11="",$F11="不适用"),"",IFERROR(INDEX(_怪物模型!$F$2:$F$4501,MATCH(INT($J11)&amp;"|"&amp;$F11,_怪物模型!$A$2:$A$4501,0))*IF($M11="",1,$M11),""))</f>
        <v>26443</v>
      </c>
      <c r="V11" s="22">
        <f t="shared" si="1"/>
        <v>0.524215451103225</v>
      </c>
      <c r="W11" s="23">
        <f t="shared" si="2"/>
        <v>85668559.6337917</v>
      </c>
      <c r="X11" s="23">
        <f t="shared" si="3"/>
        <v>38.6196901635103</v>
      </c>
      <c r="Y11" s="23">
        <f t="shared" si="4"/>
        <v>59.6983560535571</v>
      </c>
      <c r="Z11" s="24" t="str">
        <f t="shared" si="5"/>
        <v/>
      </c>
      <c r="AA11" s="6" t="str">
        <f t="shared" si="6"/>
        <v>已计算</v>
      </c>
      <c r="AB11" s="6" t="str">
        <f t="shared" si="7"/>
        <v>有效</v>
      </c>
      <c r="AC11" s="6" t="str">
        <f t="shared" si="8"/>
        <v/>
      </c>
      <c r="AD11" s="7" t="s">
        <v>630</v>
      </c>
    </row>
    <row r="12" ht="25" customHeight="1" spans="1:30">
      <c r="A12" s="6" t="s">
        <v>145</v>
      </c>
      <c r="B12" s="6" t="s">
        <v>57</v>
      </c>
      <c r="C12" s="7" t="s">
        <v>616</v>
      </c>
      <c r="D12" s="7" t="s">
        <v>589</v>
      </c>
      <c r="E12" s="7" t="s">
        <v>631</v>
      </c>
      <c r="F12" s="6" t="s">
        <v>159</v>
      </c>
      <c r="G12" s="16">
        <v>226</v>
      </c>
      <c r="H12" s="17"/>
      <c r="I12" s="18">
        <f t="shared" si="0"/>
        <v>226</v>
      </c>
      <c r="J12" s="19">
        <v>284</v>
      </c>
      <c r="K12" s="20"/>
      <c r="L12" s="20"/>
      <c r="M12" s="20"/>
      <c r="N12" s="20"/>
      <c r="O12" s="20"/>
      <c r="P12" s="20"/>
      <c r="Q12" s="21">
        <f>IF($I12="","",IFERROR(INDEX(_玩家曲线!$H$2:$H$286,MATCH($I12,_玩家曲线!$A$2:$A$286,0)),""))</f>
        <v>2349313.69470218</v>
      </c>
      <c r="R12" s="21">
        <f>IF($I12="","",IFERROR(INDEX(_玩家曲线!$I$2:$I$286,MATCH($I12,_玩家曲线!$A$2:$A$286,0)),""))</f>
        <v>2842739.22862406</v>
      </c>
      <c r="S12" s="21">
        <f>IF(OR($J12="",$F12="不适用"),"",IFERROR(INDEX(_怪物模型!$D$2:$D$4501,MATCH(INT($J12)&amp;"|"&amp;$F12,_怪物模型!$A$2:$A$4501,0))*IF($K12="",1,$K12),""))</f>
        <v>44812226</v>
      </c>
      <c r="T12" s="21">
        <f>IF(OR($J12="",$F12="不适用"),"",IFERROR(INDEX(_怪物模型!$E$2:$E$4501,MATCH(INT($J12)&amp;"|"&amp;$F12,_怪物模型!$A$2:$A$4501,0))*IF($L12="",1,$L12),""))</f>
        <v>49126</v>
      </c>
      <c r="U12" s="21">
        <f>IF(OR($J12="",$F12="不适用"),"",IFERROR(INDEX(_怪物模型!$F$2:$F$4501,MATCH(INT($J12)&amp;"|"&amp;$F12,_怪物模型!$A$2:$A$4501,0))*IF($M12="",1,$M12),""))</f>
        <v>27543</v>
      </c>
      <c r="V12" s="22">
        <f t="shared" si="1"/>
        <v>0.534369361503987</v>
      </c>
      <c r="W12" s="23">
        <f t="shared" si="2"/>
        <v>96239856.86325</v>
      </c>
      <c r="X12" s="23">
        <f t="shared" si="3"/>
        <v>40.9650942231664</v>
      </c>
      <c r="Y12" s="23">
        <f t="shared" si="4"/>
        <v>57.8662872740313</v>
      </c>
      <c r="Z12" s="24" t="str">
        <f t="shared" si="5"/>
        <v/>
      </c>
      <c r="AA12" s="6" t="str">
        <f t="shared" si="6"/>
        <v>已计算</v>
      </c>
      <c r="AB12" s="6" t="str">
        <f t="shared" si="7"/>
        <v>有效</v>
      </c>
      <c r="AC12" s="6" t="str">
        <f t="shared" si="8"/>
        <v/>
      </c>
      <c r="AD12" s="7" t="s">
        <v>632</v>
      </c>
    </row>
    <row r="13" ht="25" customHeight="1" spans="1:30">
      <c r="A13" s="6" t="s">
        <v>145</v>
      </c>
      <c r="B13" s="6" t="s">
        <v>57</v>
      </c>
      <c r="C13" s="7" t="s">
        <v>616</v>
      </c>
      <c r="D13" s="7" t="s">
        <v>592</v>
      </c>
      <c r="E13" s="7" t="s">
        <v>633</v>
      </c>
      <c r="F13" s="6" t="s">
        <v>159</v>
      </c>
      <c r="G13" s="16">
        <v>252</v>
      </c>
      <c r="H13" s="17"/>
      <c r="I13" s="18">
        <f t="shared" si="0"/>
        <v>252</v>
      </c>
      <c r="J13" s="19">
        <v>292</v>
      </c>
      <c r="K13" s="20"/>
      <c r="L13" s="20"/>
      <c r="M13" s="20"/>
      <c r="N13" s="20"/>
      <c r="O13" s="20"/>
      <c r="P13" s="20"/>
      <c r="Q13" s="21">
        <f>IF($I13="","",IFERROR(INDEX(_玩家曲线!$H$2:$H$286,MATCH($I13,_玩家曲线!$A$2:$A$286,0)),""))</f>
        <v>2439797.38446879</v>
      </c>
      <c r="R13" s="21">
        <f>IF($I13="","",IFERROR(INDEX(_玩家曲线!$I$2:$I$286,MATCH($I13,_玩家曲线!$A$2:$A$286,0)),""))</f>
        <v>2921039.11758967</v>
      </c>
      <c r="S13" s="21">
        <f>IF(OR($J13="",$F13="不适用"),"",IFERROR(INDEX(_怪物模型!$D$2:$D$4501,MATCH(INT($J13)&amp;"|"&amp;$F13,_怪物模型!$A$2:$A$4501,0))*IF($K13="",1,$K13),""))</f>
        <v>48672618</v>
      </c>
      <c r="T13" s="21">
        <f>IF(OR($J13="",$F13="不适用"),"",IFERROR(INDEX(_怪物模型!$E$2:$E$4501,MATCH(INT($J13)&amp;"|"&amp;$F13,_怪物模型!$A$2:$A$4501,0))*IF($L13="",1,$L13),""))</f>
        <v>52314</v>
      </c>
      <c r="U13" s="21">
        <f>IF(OR($J13="",$F13="不适用"),"",IFERROR(INDEX(_怪物模型!$F$2:$F$4501,MATCH(INT($J13)&amp;"|"&amp;$F13,_怪物模型!$A$2:$A$4501,0))*IF($M13="",1,$M13),""))</f>
        <v>28534</v>
      </c>
      <c r="V13" s="22">
        <f t="shared" si="1"/>
        <v>0.543153005672517</v>
      </c>
      <c r="W13" s="23">
        <f t="shared" si="2"/>
        <v>106540304.7505</v>
      </c>
      <c r="X13" s="23">
        <f t="shared" si="3"/>
        <v>43.667685451551</v>
      </c>
      <c r="Y13" s="23">
        <f t="shared" si="4"/>
        <v>55.8366616506035</v>
      </c>
      <c r="Z13" s="24" t="str">
        <f t="shared" si="5"/>
        <v/>
      </c>
      <c r="AA13" s="6" t="str">
        <f t="shared" si="6"/>
        <v>已计算</v>
      </c>
      <c r="AB13" s="6" t="str">
        <f t="shared" si="7"/>
        <v>有效</v>
      </c>
      <c r="AC13" s="6" t="str">
        <f t="shared" si="8"/>
        <v/>
      </c>
      <c r="AD13" s="7" t="s">
        <v>634</v>
      </c>
    </row>
    <row r="14" ht="25" customHeight="1" spans="1:30">
      <c r="A14" s="6" t="s">
        <v>145</v>
      </c>
      <c r="B14" s="6" t="s">
        <v>57</v>
      </c>
      <c r="C14" s="7" t="s">
        <v>616</v>
      </c>
      <c r="D14" s="7" t="s">
        <v>635</v>
      </c>
      <c r="E14" s="7" t="s">
        <v>636</v>
      </c>
      <c r="F14" s="6" t="s">
        <v>159</v>
      </c>
      <c r="G14" s="16">
        <v>279</v>
      </c>
      <c r="H14" s="17"/>
      <c r="I14" s="18">
        <f t="shared" si="0"/>
        <v>279</v>
      </c>
      <c r="J14" s="19">
        <v>303</v>
      </c>
      <c r="K14" s="20"/>
      <c r="L14" s="20"/>
      <c r="M14" s="20"/>
      <c r="N14" s="20"/>
      <c r="O14" s="20"/>
      <c r="P14" s="20"/>
      <c r="Q14" s="21">
        <f>IF($I14="","",IFERROR(INDEX(_玩家曲线!$H$2:$H$286,MATCH($I14,_玩家曲线!$A$2:$A$286,0)),""))</f>
        <v>2497204.47172539</v>
      </c>
      <c r="R14" s="21">
        <f>IF($I14="","",IFERROR(INDEX(_玩家曲线!$I$2:$I$286,MATCH($I14,_玩家曲线!$A$2:$A$286,0)),""))</f>
        <v>2970822.69299639</v>
      </c>
      <c r="S14" s="21">
        <f>IF(OR($J14="",$F14="不适用"),"",IFERROR(INDEX(_怪物模型!$D$2:$D$4501,MATCH(INT($J14)&amp;"|"&amp;$F14,_怪物模型!$A$2:$A$4501,0))*IF($K14="",1,$K14),""))</f>
        <v>54401532</v>
      </c>
      <c r="T14" s="21">
        <f>IF(OR($J14="",$F14="不适用"),"",IFERROR(INDEX(_怪物模型!$E$2:$E$4501,MATCH(INT($J14)&amp;"|"&amp;$F14,_怪物模型!$A$2:$A$4501,0))*IF($L14="",1,$L14),""))</f>
        <v>56933</v>
      </c>
      <c r="U14" s="21">
        <f>IF(OR($J14="",$F14="不适用"),"",IFERROR(INDEX(_怪物模型!$F$2:$F$4501,MATCH(INT($J14)&amp;"|"&amp;$F14,_怪物模型!$A$2:$A$4501,0))*IF($M14="",1,$M14),""))</f>
        <v>29916</v>
      </c>
      <c r="V14" s="22">
        <f t="shared" si="1"/>
        <v>0.554863120409526</v>
      </c>
      <c r="W14" s="23">
        <f t="shared" si="2"/>
        <v>122213041.638</v>
      </c>
      <c r="X14" s="23">
        <f t="shared" si="3"/>
        <v>48.9399418516817</v>
      </c>
      <c r="Y14" s="23">
        <f t="shared" si="4"/>
        <v>52.1810319673369</v>
      </c>
      <c r="Z14" s="24" t="str">
        <f t="shared" si="5"/>
        <v/>
      </c>
      <c r="AA14" s="6" t="str">
        <f t="shared" si="6"/>
        <v>已计算</v>
      </c>
      <c r="AB14" s="6" t="str">
        <f t="shared" si="7"/>
        <v>有效</v>
      </c>
      <c r="AC14" s="6" t="str">
        <f t="shared" si="8"/>
        <v/>
      </c>
      <c r="AD14" s="7" t="s">
        <v>637</v>
      </c>
    </row>
  </sheetData>
  <mergeCells count="3">
    <mergeCell ref="A1:AD1"/>
    <mergeCell ref="A2:AD2"/>
    <mergeCell ref="A3:AD3"/>
  </mergeCells>
  <conditionalFormatting sqref="J5:J14">
    <cfRule type="expression" dxfId="2" priority="1">
      <formula>AND($A5&lt;&gt;"特殊：双方属性对算",$J5="")</formula>
    </cfRule>
  </conditionalFormatting>
  <conditionalFormatting sqref="AA5:AA14">
    <cfRule type="expression" dxfId="0" priority="3">
      <formula>$AA5="适中"</formula>
    </cfRule>
    <cfRule type="expression" dxfId="3" priority="4">
      <formula>$AA5="偏难"</formula>
    </cfRule>
    <cfRule type="expression" dxfId="1" priority="5">
      <formula>$AA5="过难"</formula>
    </cfRule>
    <cfRule type="expression" dxfId="1" priority="6">
      <formula>$AA5="生存不成立"</formula>
    </cfRule>
  </conditionalFormatting>
  <conditionalFormatting sqref="AB5:AB14">
    <cfRule type="expression" dxfId="4" priority="2">
      <formula>$AB5="超范围"</formula>
    </cfRule>
  </conditionalFormatting>
  <conditionalFormatting sqref="AC5:AC14">
    <cfRule type="expression" dxfId="4" priority="7">
      <formula>$AC5="下降"</formula>
    </cfRule>
  </conditionalFormatting>
  <dataValidations count="5">
    <dataValidation type="list" sqref="F5:F14">
      <formula1>_字典!$A$2:$A$11</formula1>
    </dataValidation>
    <dataValidation type="whole" operator="between" allowBlank="1" sqref="H5:H14">
      <formula1>1</formula1>
      <formula2>285</formula2>
    </dataValidation>
    <dataValidation type="whole" operator="between" allowBlank="1" sqref="J5:J14">
      <formula1>1</formula1>
      <formula2>500</formula2>
    </dataValidation>
    <dataValidation type="decimal" operator="between" allowBlank="1" sqref="P5:P14">
      <formula1>0.01</formula1>
      <formula2>3600</formula2>
    </dataValidation>
    <dataValidation type="decimal" operator="between" allowBlank="1" sqref="K5:O14">
      <formula1>0</formula1>
      <formula2>100</formula2>
    </dataValidation>
  </dataValidations>
  <hyperlinks>
    <hyperlink ref="A1" r:id="rId4" display="全玩法难度填写｜旅券"/>
  </hyperlinks>
  <pageMargins left="0.75" right="0.75" top="1" bottom="1" header="0.5" footer="0.5"/>
  <pageSetup paperSize="1" orientation="landscape"/>
  <headerFooter/>
  <legacy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55A11"/>
    <pageSetUpPr fitToPage="1"/>
  </sheetPr>
  <dimension ref="A1:AD34"/>
  <sheetViews>
    <sheetView showGridLines="0" workbookViewId="0">
      <pane xSplit="6" ySplit="4" topLeftCell="G5" activePane="bottomRight" state="frozen"/>
      <selection/>
      <selection pane="topRight"/>
      <selection pane="bottomLeft"/>
      <selection pane="bottomRight" activeCell="A1" sqref="A1:AD1"/>
    </sheetView>
  </sheetViews>
  <sheetFormatPr defaultColWidth="9" defaultRowHeight="13.5"/>
  <cols>
    <col min="1" max="1" width="12" customWidth="1"/>
    <col min="2" max="2" width="13" customWidth="1"/>
    <col min="3" max="3" width="18" customWidth="1"/>
    <col min="4" max="4" width="15" customWidth="1"/>
    <col min="5" max="5" width="35" customWidth="1"/>
    <col min="6" max="9" width="14" customWidth="1"/>
    <col min="10" max="10" width="12" customWidth="1"/>
    <col min="11" max="13" width="11" customWidth="1"/>
    <col min="14" max="15" width="13" customWidth="1"/>
    <col min="16" max="16" width="12" customWidth="1"/>
    <col min="17" max="21" width="16" customWidth="1"/>
    <col min="22" max="22" width="12" customWidth="1"/>
    <col min="23" max="23" width="17" customWidth="1"/>
    <col min="24" max="25" width="14" customWidth="1"/>
    <col min="26" max="26" width="12" customWidth="1"/>
    <col min="27" max="27" width="15" customWidth="1"/>
    <col min="28" max="29" width="12" customWidth="1"/>
    <col min="30" max="30" width="46" customWidth="1"/>
  </cols>
  <sheetData>
    <row r="1" ht="34" customHeight="1" spans="1:30">
      <c r="A1" s="2" t="s">
        <v>638</v>
      </c>
    </row>
    <row r="2" ht="30" customHeight="1" spans="1:30">
      <c r="A2" s="3" t="s">
        <v>639</v>
      </c>
    </row>
    <row r="3" ht="14.25" customHeight="1" spans="1:30">
      <c r="A3" s="4" t="s">
        <v>117</v>
      </c>
    </row>
    <row r="4" ht="36" customHeight="1" spans="1:30">
      <c r="A4" s="5" t="s">
        <v>80</v>
      </c>
      <c r="B4" s="5" t="s">
        <v>79</v>
      </c>
      <c r="C4" s="5" t="s">
        <v>118</v>
      </c>
      <c r="D4" s="5" t="s">
        <v>119</v>
      </c>
      <c r="E4" s="5" t="s">
        <v>120</v>
      </c>
      <c r="F4" s="5" t="s">
        <v>121</v>
      </c>
      <c r="G4" s="5" t="s">
        <v>122</v>
      </c>
      <c r="H4" s="5" t="s">
        <v>123</v>
      </c>
      <c r="I4" s="5" t="s">
        <v>124</v>
      </c>
      <c r="J4" s="5" t="s">
        <v>125</v>
      </c>
      <c r="K4" s="5" t="s">
        <v>126</v>
      </c>
      <c r="L4" s="5" t="s">
        <v>127</v>
      </c>
      <c r="M4" s="5" t="s">
        <v>128</v>
      </c>
      <c r="N4" s="5" t="s">
        <v>129</v>
      </c>
      <c r="O4" s="5" t="s">
        <v>130</v>
      </c>
      <c r="P4" s="5" t="s">
        <v>131</v>
      </c>
      <c r="Q4" s="5" t="s">
        <v>132</v>
      </c>
      <c r="R4" s="5" t="s">
        <v>133</v>
      </c>
      <c r="S4" s="5" t="s">
        <v>134</v>
      </c>
      <c r="T4" s="5" t="s">
        <v>135</v>
      </c>
      <c r="U4" s="5" t="s">
        <v>136</v>
      </c>
      <c r="V4" s="5" t="s">
        <v>137</v>
      </c>
      <c r="W4" s="5" t="s">
        <v>138</v>
      </c>
      <c r="X4" s="5" t="s">
        <v>139</v>
      </c>
      <c r="Y4" s="5" t="s">
        <v>140</v>
      </c>
      <c r="Z4" s="5" t="s">
        <v>141</v>
      </c>
      <c r="AA4" s="5" t="s">
        <v>142</v>
      </c>
      <c r="AB4" s="5" t="s">
        <v>143</v>
      </c>
      <c r="AC4" s="5" t="s">
        <v>144</v>
      </c>
      <c r="AD4" s="5" t="s">
        <v>90</v>
      </c>
    </row>
    <row r="5" ht="25" customHeight="1" spans="1:30">
      <c r="A5" s="6" t="s">
        <v>145</v>
      </c>
      <c r="B5" s="6" t="s">
        <v>58</v>
      </c>
      <c r="C5" s="7" t="s">
        <v>640</v>
      </c>
      <c r="D5" s="7" t="s">
        <v>568</v>
      </c>
      <c r="E5" s="7" t="s">
        <v>641</v>
      </c>
      <c r="F5" s="6" t="s">
        <v>642</v>
      </c>
      <c r="G5" s="16">
        <v>24</v>
      </c>
      <c r="H5" s="17"/>
      <c r="I5" s="18">
        <f t="shared" ref="I5:I34" si="0">IF($H5="",$G5,$H5)</f>
        <v>24</v>
      </c>
      <c r="J5" s="19">
        <v>26</v>
      </c>
      <c r="K5" s="20"/>
      <c r="L5" s="20"/>
      <c r="M5" s="20"/>
      <c r="N5" s="20"/>
      <c r="O5" s="20"/>
      <c r="P5" s="20"/>
      <c r="Q5" s="21">
        <f>IF($I5="","",IFERROR(INDEX(_玩家曲线!$H$2:$H$286,MATCH($I5,_玩家曲线!$A$2:$A$286,0)),""))</f>
        <v>26573.2561562461</v>
      </c>
      <c r="R5" s="21">
        <f>IF($I5="","",IFERROR(INDEX(_玩家曲线!$I$2:$I$286,MATCH($I5,_玩家曲线!$A$2:$A$286,0)),""))</f>
        <v>79813.0282432992</v>
      </c>
      <c r="S5" s="21">
        <f>IF(OR($J5="",$F5="不适用"),"",IFERROR(INDEX(_怪物模型!$D$2:$D$4501,MATCH(INT($J5)&amp;"|"&amp;$F5,_怪物模型!$A$2:$A$4501,0))*IF($K5="",1,$K5),""))</f>
        <v>174345</v>
      </c>
      <c r="T5" s="21">
        <f>IF(OR($J5="",$F5="不适用"),"",IFERROR(INDEX(_怪物模型!$E$2:$E$4501,MATCH(INT($J5)&amp;"|"&amp;$F5,_怪物模型!$A$2:$A$4501,0))*IF($L5="",1,$L5),""))</f>
        <v>1028</v>
      </c>
      <c r="U5" s="21">
        <f>IF(OR($J5="",$F5="不适用"),"",IFERROR(INDEX(_怪物模型!$F$2:$F$4501,MATCH(INT($J5)&amp;"|"&amp;$F5,_怪物模型!$A$2:$A$4501,0))*IF($M5="",1,$M5),""))</f>
        <v>1904</v>
      </c>
      <c r="V5" s="22">
        <f t="shared" ref="V5:V34" si="1">IF($U5="","",MIN(0.75,$U5/($U5+24000)))</f>
        <v>0.0735021618282891</v>
      </c>
      <c r="W5" s="23">
        <f t="shared" ref="W5:W34" si="2">IF($S5="","",$S5/(1-$V5)*IF($N5="",1,$N5))</f>
        <v>188176.37</v>
      </c>
      <c r="X5" s="23">
        <f t="shared" ref="X5:X34" si="3">IF(OR($W5="",$Q5="",$Q5=0),"",$W5/$Q5)</f>
        <v>7.08141933730499</v>
      </c>
      <c r="Y5" s="23">
        <f t="shared" ref="Y5:Y34" si="4">IF(OR($R5="",$T5="",$T5=0),"",$R5/($T5*IF($O5="",1,$O5)))</f>
        <v>77.6391325323922</v>
      </c>
      <c r="Z5" s="24" t="str">
        <f t="shared" ref="Z5:Z34" si="5">IF(OR($X5="",$P5="",$P5=0),"",$X5/$P5)</f>
        <v/>
      </c>
      <c r="AA5" s="6" t="str">
        <f t="shared" ref="AA5:AA34" si="6">IF($J5="","待填怪物等级",IF(OR($I5="",$Q5=""),"待填对照关卡",IF($P5="","已计算",IF(AND($Y5&lt;&gt;"",$Y5&lt;$X5),"生存不成立",IF($Z5&lt;0.5,"碾压",IF($Z5&lt;0.8,"偏简单",IF($Z5&lt;=1.2,"适中",IF($Z5&lt;=1.5,"偏难","过难"))))))))</f>
        <v>已计算</v>
      </c>
      <c r="AB5" s="6" t="str">
        <f t="shared" ref="AB5:AB34" si="7">IF($J5="","待填",IF(AND(ISNUMBER($J5),$J5&gt;=1,$J5&lt;=500,MOD($J5,1)=0),"有效","超范围"))</f>
        <v>有效</v>
      </c>
      <c r="AC5" s="6" t="str">
        <f t="shared" ref="AC5:AC34" si="8">IF(OR($J5="",ROW()=5,$B5&lt;&gt;$B4,$J4=""),"",IF($J5&lt;$J4,"下降",""))</f>
        <v/>
      </c>
      <c r="AD5" s="7" t="s">
        <v>643</v>
      </c>
    </row>
    <row r="6" ht="25" customHeight="1" spans="1:30">
      <c r="A6" s="6" t="s">
        <v>145</v>
      </c>
      <c r="B6" s="6" t="s">
        <v>58</v>
      </c>
      <c r="C6" s="7" t="s">
        <v>640</v>
      </c>
      <c r="D6" s="7" t="s">
        <v>571</v>
      </c>
      <c r="E6" s="7" t="s">
        <v>644</v>
      </c>
      <c r="F6" s="6" t="s">
        <v>642</v>
      </c>
      <c r="G6" s="16">
        <v>29</v>
      </c>
      <c r="H6" s="17"/>
      <c r="I6" s="18">
        <f t="shared" si="0"/>
        <v>29</v>
      </c>
      <c r="J6" s="19">
        <f t="shared" ref="J6:J33" si="9">ROUND($J$5+(ROW()-ROW($J$5))*($J$34-$J$5)/(ROW($J$34)-ROW($J$5)),0)</f>
        <v>35</v>
      </c>
      <c r="K6" s="20"/>
      <c r="L6" s="20"/>
      <c r="M6" s="20"/>
      <c r="N6" s="20"/>
      <c r="O6" s="20"/>
      <c r="P6" s="20"/>
      <c r="Q6" s="21">
        <f>IF($I6="","",IFERROR(INDEX(_玩家曲线!$H$2:$H$286,MATCH($I6,_玩家曲线!$A$2:$A$286,0)),""))</f>
        <v>38996.8496015956</v>
      </c>
      <c r="R6" s="21">
        <f>IF($I6="","",IFERROR(INDEX(_玩家曲线!$I$2:$I$286,MATCH($I6,_玩家曲线!$A$2:$A$286,0)),""))</f>
        <v>109916.17634084</v>
      </c>
      <c r="S6" s="21">
        <f>IF(OR($J6="",$F6="不适用"),"",IFERROR(INDEX(_怪物模型!$D$2:$D$4501,MATCH(INT($J6)&amp;"|"&amp;$F6,_怪物模型!$A$2:$A$4501,0))*IF($K6="",1,$K6),""))</f>
        <v>258490</v>
      </c>
      <c r="T6" s="21">
        <f>IF(OR($J6="",$F6="不适用"),"",IFERROR(INDEX(_怪物模型!$E$2:$E$4501,MATCH(INT($J6)&amp;"|"&amp;$F6,_怪物模型!$A$2:$A$4501,0))*IF($L6="",1,$L6),""))</f>
        <v>1486</v>
      </c>
      <c r="U6" s="21">
        <f>IF(OR($J6="",$F6="不适用"),"",IFERROR(INDEX(_怪物模型!$F$2:$F$4501,MATCH(INT($J6)&amp;"|"&amp;$F6,_怪物模型!$A$2:$A$4501,0))*IF($M6="",1,$M6),""))</f>
        <v>2591</v>
      </c>
      <c r="V6" s="22">
        <f t="shared" si="1"/>
        <v>0.0974389831145876</v>
      </c>
      <c r="W6" s="23">
        <f t="shared" si="2"/>
        <v>286396.149583333</v>
      </c>
      <c r="X6" s="23">
        <f t="shared" si="3"/>
        <v>7.34408426601761</v>
      </c>
      <c r="Y6" s="23">
        <f t="shared" si="4"/>
        <v>73.9678171876447</v>
      </c>
      <c r="Z6" s="24" t="str">
        <f t="shared" si="5"/>
        <v/>
      </c>
      <c r="AA6" s="6" t="str">
        <f t="shared" si="6"/>
        <v>已计算</v>
      </c>
      <c r="AB6" s="6" t="str">
        <f t="shared" si="7"/>
        <v>有效</v>
      </c>
      <c r="AC6" s="6" t="str">
        <f t="shared" si="8"/>
        <v/>
      </c>
      <c r="AD6" s="7" t="s">
        <v>645</v>
      </c>
    </row>
    <row r="7" ht="25" customHeight="1" spans="1:30">
      <c r="A7" s="6" t="s">
        <v>145</v>
      </c>
      <c r="B7" s="6" t="s">
        <v>58</v>
      </c>
      <c r="C7" s="7" t="s">
        <v>640</v>
      </c>
      <c r="D7" s="7" t="s">
        <v>574</v>
      </c>
      <c r="E7" s="7" t="s">
        <v>646</v>
      </c>
      <c r="F7" s="6" t="s">
        <v>642</v>
      </c>
      <c r="G7" s="16">
        <v>36</v>
      </c>
      <c r="H7" s="17"/>
      <c r="I7" s="18">
        <f t="shared" si="0"/>
        <v>36</v>
      </c>
      <c r="J7" s="19">
        <f t="shared" si="9"/>
        <v>45</v>
      </c>
      <c r="K7" s="20"/>
      <c r="L7" s="20"/>
      <c r="M7" s="20"/>
      <c r="N7" s="20"/>
      <c r="O7" s="20"/>
      <c r="P7" s="20"/>
      <c r="Q7" s="21">
        <f>IF($I7="","",IFERROR(INDEX(_玩家曲线!$H$2:$H$286,MATCH($I7,_玩家曲线!$A$2:$A$286,0)),""))</f>
        <v>71672.5909486815</v>
      </c>
      <c r="R7" s="21">
        <f>IF($I7="","",IFERROR(INDEX(_玩家曲线!$I$2:$I$286,MATCH($I7,_玩家曲线!$A$2:$A$286,0)),""))</f>
        <v>179164.990773805</v>
      </c>
      <c r="S7" s="21">
        <f>IF(OR($J7="",$F7="不适用"),"",IFERROR(INDEX(_怪物模型!$D$2:$D$4501,MATCH(INT($J7)&amp;"|"&amp;$F7,_怪物模型!$A$2:$A$4501,0))*IF($K7="",1,$K7),""))</f>
        <v>373824</v>
      </c>
      <c r="T7" s="21">
        <f>IF(OR($J7="",$F7="不适用"),"",IFERROR(INDEX(_怪物模型!$E$2:$E$4501,MATCH(INT($J7)&amp;"|"&amp;$F7,_怪物模型!$A$2:$A$4501,0))*IF($L7="",1,$L7),""))</f>
        <v>2062</v>
      </c>
      <c r="U7" s="21">
        <f>IF(OR($J7="",$F7="不适用"),"",IFERROR(INDEX(_怪物模型!$F$2:$F$4501,MATCH(INT($J7)&amp;"|"&amp;$F7,_怪物模型!$A$2:$A$4501,0))*IF($M7="",1,$M7),""))</f>
        <v>3373</v>
      </c>
      <c r="V7" s="22">
        <f t="shared" si="1"/>
        <v>0.123223614510649</v>
      </c>
      <c r="W7" s="23">
        <f t="shared" si="2"/>
        <v>426361.848</v>
      </c>
      <c r="X7" s="23">
        <f t="shared" si="3"/>
        <v>5.94874333907198</v>
      </c>
      <c r="Y7" s="23">
        <f t="shared" si="4"/>
        <v>86.8889382996145</v>
      </c>
      <c r="Z7" s="24" t="str">
        <f t="shared" si="5"/>
        <v/>
      </c>
      <c r="AA7" s="6" t="str">
        <f t="shared" si="6"/>
        <v>已计算</v>
      </c>
      <c r="AB7" s="6" t="str">
        <f t="shared" si="7"/>
        <v>有效</v>
      </c>
      <c r="AC7" s="6" t="str">
        <f t="shared" si="8"/>
        <v/>
      </c>
      <c r="AD7" s="7" t="s">
        <v>647</v>
      </c>
    </row>
    <row r="8" ht="25" customHeight="1" spans="1:30">
      <c r="A8" s="6" t="s">
        <v>145</v>
      </c>
      <c r="B8" s="6" t="s">
        <v>58</v>
      </c>
      <c r="C8" s="7" t="s">
        <v>640</v>
      </c>
      <c r="D8" s="7" t="s">
        <v>577</v>
      </c>
      <c r="E8" s="7" t="s">
        <v>648</v>
      </c>
      <c r="F8" s="6" t="s">
        <v>642</v>
      </c>
      <c r="G8" s="16">
        <v>43</v>
      </c>
      <c r="H8" s="17"/>
      <c r="I8" s="18">
        <f t="shared" si="0"/>
        <v>43</v>
      </c>
      <c r="J8" s="19">
        <f t="shared" si="9"/>
        <v>54</v>
      </c>
      <c r="K8" s="20"/>
      <c r="L8" s="20"/>
      <c r="M8" s="20"/>
      <c r="N8" s="20"/>
      <c r="O8" s="20"/>
      <c r="P8" s="20"/>
      <c r="Q8" s="21">
        <f>IF($I8="","",IFERROR(INDEX(_玩家曲线!$H$2:$H$286,MATCH($I8,_玩家曲线!$A$2:$A$286,0)),""))</f>
        <v>115422.123537734</v>
      </c>
      <c r="R8" s="21">
        <f>IF($I8="","",IFERROR(INDEX(_玩家曲线!$I$2:$I$286,MATCH($I8,_玩家曲线!$A$2:$A$286,0)),""))</f>
        <v>263293.382159158</v>
      </c>
      <c r="S8" s="21">
        <f>IF(OR($J8="",$F8="不适用"),"",IFERROR(INDEX(_怪物模型!$D$2:$D$4501,MATCH(INT($J8)&amp;"|"&amp;$F8,_怪物模型!$A$2:$A$4501,0))*IF($K8="",1,$K8),""))</f>
        <v>501472</v>
      </c>
      <c r="T8" s="21">
        <f>IF(OR($J8="",$F8="不适用"),"",IFERROR(INDEX(_怪物模型!$E$2:$E$4501,MATCH(INT($J8)&amp;"|"&amp;$F8,_怪物模型!$A$2:$A$4501,0))*IF($L8="",1,$L8),""))</f>
        <v>2644</v>
      </c>
      <c r="U8" s="21">
        <f>IF(OR($J8="",$F8="不适用"),"",IFERROR(INDEX(_怪物模型!$F$2:$F$4501,MATCH(INT($J8)&amp;"|"&amp;$F8,_怪物模型!$A$2:$A$4501,0))*IF($M8="",1,$M8),""))</f>
        <v>4093</v>
      </c>
      <c r="V8" s="22">
        <f t="shared" si="1"/>
        <v>0.145694657032001</v>
      </c>
      <c r="W8" s="23">
        <f t="shared" si="2"/>
        <v>586993.870666667</v>
      </c>
      <c r="X8" s="23">
        <f t="shared" si="3"/>
        <v>5.0856270243093</v>
      </c>
      <c r="Y8" s="23">
        <f t="shared" si="4"/>
        <v>99.581460725854</v>
      </c>
      <c r="Z8" s="24" t="str">
        <f t="shared" si="5"/>
        <v/>
      </c>
      <c r="AA8" s="6" t="str">
        <f t="shared" si="6"/>
        <v>已计算</v>
      </c>
      <c r="AB8" s="6" t="str">
        <f t="shared" si="7"/>
        <v>有效</v>
      </c>
      <c r="AC8" s="6" t="str">
        <f t="shared" si="8"/>
        <v/>
      </c>
      <c r="AD8" s="7" t="s">
        <v>649</v>
      </c>
    </row>
    <row r="9" ht="25" customHeight="1" spans="1:30">
      <c r="A9" s="6" t="s">
        <v>145</v>
      </c>
      <c r="B9" s="6" t="s">
        <v>58</v>
      </c>
      <c r="C9" s="7" t="s">
        <v>640</v>
      </c>
      <c r="D9" s="7" t="s">
        <v>580</v>
      </c>
      <c r="E9" s="7" t="s">
        <v>650</v>
      </c>
      <c r="F9" s="6" t="s">
        <v>642</v>
      </c>
      <c r="G9" s="16">
        <v>50</v>
      </c>
      <c r="H9" s="17"/>
      <c r="I9" s="18">
        <f t="shared" si="0"/>
        <v>50</v>
      </c>
      <c r="J9" s="19">
        <f t="shared" si="9"/>
        <v>63</v>
      </c>
      <c r="K9" s="20"/>
      <c r="L9" s="20"/>
      <c r="M9" s="20"/>
      <c r="N9" s="20"/>
      <c r="O9" s="20"/>
      <c r="P9" s="20"/>
      <c r="Q9" s="21">
        <f>IF($I9="","",IFERROR(INDEX(_玩家曲线!$H$2:$H$286,MATCH($I9,_玩家曲线!$A$2:$A$286,0)),""))</f>
        <v>166462.116644173</v>
      </c>
      <c r="R9" s="21">
        <f>IF($I9="","",IFERROR(INDEX(_玩家曲线!$I$2:$I$286,MATCH($I9,_玩家曲线!$A$2:$A$286,0)),""))</f>
        <v>353110.662432472</v>
      </c>
      <c r="S9" s="21">
        <f>IF(OR($J9="",$F9="不适用"),"",IFERROR(INDEX(_怪物模型!$D$2:$D$4501,MATCH(INT($J9)&amp;"|"&amp;$F9,_怪物模型!$A$2:$A$4501,0))*IF($K9="",1,$K9),""))</f>
        <v>655157</v>
      </c>
      <c r="T9" s="21">
        <f>IF(OR($J9="",$F9="不适用"),"",IFERROR(INDEX(_怪物模型!$E$2:$E$4501,MATCH(INT($J9)&amp;"|"&amp;$F9,_怪物模型!$A$2:$A$4501,0))*IF($L9="",1,$L9),""))</f>
        <v>3289</v>
      </c>
      <c r="U9" s="21">
        <f>IF(OR($J9="",$F9="不适用"),"",IFERROR(INDEX(_怪物模型!$F$2:$F$4501,MATCH(INT($J9)&amp;"|"&amp;$F9,_怪物模型!$A$2:$A$4501,0))*IF($M9="",1,$M9),""))</f>
        <v>4827</v>
      </c>
      <c r="V9" s="22">
        <f t="shared" si="1"/>
        <v>0.167447184930794</v>
      </c>
      <c r="W9" s="23">
        <f t="shared" si="2"/>
        <v>786925.451625</v>
      </c>
      <c r="X9" s="23">
        <f t="shared" si="3"/>
        <v>4.72735459267961</v>
      </c>
      <c r="Y9" s="23">
        <f t="shared" si="4"/>
        <v>107.36110137807</v>
      </c>
      <c r="Z9" s="24" t="str">
        <f t="shared" si="5"/>
        <v/>
      </c>
      <c r="AA9" s="6" t="str">
        <f t="shared" si="6"/>
        <v>已计算</v>
      </c>
      <c r="AB9" s="6" t="str">
        <f t="shared" si="7"/>
        <v>有效</v>
      </c>
      <c r="AC9" s="6" t="str">
        <f t="shared" si="8"/>
        <v/>
      </c>
      <c r="AD9" s="7" t="s">
        <v>651</v>
      </c>
    </row>
    <row r="10" ht="25" customHeight="1" spans="1:30">
      <c r="A10" s="6" t="s">
        <v>145</v>
      </c>
      <c r="B10" s="6" t="s">
        <v>58</v>
      </c>
      <c r="C10" s="7" t="s">
        <v>640</v>
      </c>
      <c r="D10" s="7" t="s">
        <v>583</v>
      </c>
      <c r="E10" s="7" t="s">
        <v>652</v>
      </c>
      <c r="F10" s="6" t="s">
        <v>642</v>
      </c>
      <c r="G10" s="16">
        <v>58</v>
      </c>
      <c r="H10" s="17"/>
      <c r="I10" s="18">
        <f t="shared" si="0"/>
        <v>58</v>
      </c>
      <c r="J10" s="19">
        <f t="shared" si="9"/>
        <v>73</v>
      </c>
      <c r="K10" s="20"/>
      <c r="L10" s="20"/>
      <c r="M10" s="20"/>
      <c r="N10" s="20"/>
      <c r="O10" s="20"/>
      <c r="P10" s="20"/>
      <c r="Q10" s="21">
        <f>IF($I10="","",IFERROR(INDEX(_玩家曲线!$H$2:$H$286,MATCH($I10,_玩家曲线!$A$2:$A$286,0)),""))</f>
        <v>231611.919824203</v>
      </c>
      <c r="R10" s="21">
        <f>IF($I10="","",IFERROR(INDEX(_玩家曲线!$I$2:$I$286,MATCH($I10,_玩家曲线!$A$2:$A$286,0)),""))</f>
        <v>458930.518770513</v>
      </c>
      <c r="S10" s="21">
        <f>IF(OR($J10="",$F10="不适用"),"",IFERROR(INDEX(_怪物模型!$D$2:$D$4501,MATCH(INT($J10)&amp;"|"&amp;$F10,_怪物模型!$A$2:$A$4501,0))*IF($K10="",1,$K10),""))</f>
        <v>860252</v>
      </c>
      <c r="T10" s="21">
        <f>IF(OR($J10="",$F10="不适用"),"",IFERROR(INDEX(_怪物模型!$E$2:$E$4501,MATCH(INT($J10)&amp;"|"&amp;$F10,_怪物模型!$A$2:$A$4501,0))*IF($L10="",1,$L10),""))</f>
        <v>4084</v>
      </c>
      <c r="U10" s="21">
        <f>IF(OR($J10="",$F10="不适用"),"",IFERROR(INDEX(_怪物模型!$F$2:$F$4501,MATCH(INT($J10)&amp;"|"&amp;$F10,_怪物模型!$A$2:$A$4501,0))*IF($M10="",1,$M10),""))</f>
        <v>5661</v>
      </c>
      <c r="V10" s="22">
        <f t="shared" si="1"/>
        <v>0.190856680489532</v>
      </c>
      <c r="W10" s="23">
        <f t="shared" si="2"/>
        <v>1063163.9405</v>
      </c>
      <c r="X10" s="23">
        <f t="shared" si="3"/>
        <v>4.590281628454</v>
      </c>
      <c r="Y10" s="23">
        <f t="shared" si="4"/>
        <v>112.372800874269</v>
      </c>
      <c r="Z10" s="24" t="str">
        <f t="shared" si="5"/>
        <v/>
      </c>
      <c r="AA10" s="6" t="str">
        <f t="shared" si="6"/>
        <v>已计算</v>
      </c>
      <c r="AB10" s="6" t="str">
        <f t="shared" si="7"/>
        <v>有效</v>
      </c>
      <c r="AC10" s="6" t="str">
        <f t="shared" si="8"/>
        <v/>
      </c>
      <c r="AD10" s="7" t="s">
        <v>653</v>
      </c>
    </row>
    <row r="11" ht="25" customHeight="1" spans="1:30">
      <c r="A11" s="6" t="s">
        <v>145</v>
      </c>
      <c r="B11" s="6" t="s">
        <v>58</v>
      </c>
      <c r="C11" s="7" t="s">
        <v>640</v>
      </c>
      <c r="D11" s="7" t="s">
        <v>586</v>
      </c>
      <c r="E11" s="7" t="s">
        <v>654</v>
      </c>
      <c r="F11" s="6" t="s">
        <v>642</v>
      </c>
      <c r="G11" s="16">
        <v>66</v>
      </c>
      <c r="H11" s="17"/>
      <c r="I11" s="18">
        <f t="shared" si="0"/>
        <v>66</v>
      </c>
      <c r="J11" s="19">
        <f t="shared" si="9"/>
        <v>82</v>
      </c>
      <c r="K11" s="20"/>
      <c r="L11" s="20"/>
      <c r="M11" s="20"/>
      <c r="N11" s="20"/>
      <c r="O11" s="20"/>
      <c r="P11" s="20"/>
      <c r="Q11" s="21">
        <f>IF($I11="","",IFERROR(INDEX(_玩家曲线!$H$2:$H$286,MATCH($I11,_玩家曲线!$A$2:$A$286,0)),""))</f>
        <v>307981.053911532</v>
      </c>
      <c r="R11" s="21">
        <f>IF($I11="","",IFERROR(INDEX(_玩家曲线!$I$2:$I$286,MATCH($I11,_玩家曲线!$A$2:$A$286,0)),""))</f>
        <v>579258.631963774</v>
      </c>
      <c r="S11" s="21">
        <f>IF(OR($J11="",$F11="不适用"),"",IFERROR(INDEX(_怪物模型!$D$2:$D$4501,MATCH(INT($J11)&amp;"|"&amp;$F11,_怪物模型!$A$2:$A$4501,0))*IF($K11="",1,$K11),""))</f>
        <v>1078871</v>
      </c>
      <c r="T11" s="21">
        <f>IF(OR($J11="",$F11="不适用"),"",IFERROR(INDEX(_怪物模型!$E$2:$E$4501,MATCH(INT($J11)&amp;"|"&amp;$F11,_怪物模型!$A$2:$A$4501,0))*IF($L11="",1,$L11),""))</f>
        <v>4872</v>
      </c>
      <c r="U11" s="21">
        <f>IF(OR($J11="",$F11="不适用"),"",IFERROR(INDEX(_怪物模型!$F$2:$F$4501,MATCH(INT($J11)&amp;"|"&amp;$F11,_怪物模型!$A$2:$A$4501,0))*IF($M11="",1,$M11),""))</f>
        <v>6427</v>
      </c>
      <c r="V11" s="22">
        <f t="shared" si="1"/>
        <v>0.211226870871266</v>
      </c>
      <c r="W11" s="23">
        <f t="shared" si="2"/>
        <v>1367783.66320833</v>
      </c>
      <c r="X11" s="23">
        <f t="shared" si="3"/>
        <v>4.44112923777847</v>
      </c>
      <c r="Y11" s="23">
        <f t="shared" si="4"/>
        <v>118.895449910463</v>
      </c>
      <c r="Z11" s="24" t="str">
        <f t="shared" si="5"/>
        <v/>
      </c>
      <c r="AA11" s="6" t="str">
        <f t="shared" si="6"/>
        <v>已计算</v>
      </c>
      <c r="AB11" s="6" t="str">
        <f t="shared" si="7"/>
        <v>有效</v>
      </c>
      <c r="AC11" s="6" t="str">
        <f t="shared" si="8"/>
        <v/>
      </c>
      <c r="AD11" s="7" t="s">
        <v>655</v>
      </c>
    </row>
    <row r="12" ht="25" customHeight="1" spans="1:30">
      <c r="A12" s="6" t="s">
        <v>145</v>
      </c>
      <c r="B12" s="6" t="s">
        <v>58</v>
      </c>
      <c r="C12" s="7" t="s">
        <v>640</v>
      </c>
      <c r="D12" s="7" t="s">
        <v>589</v>
      </c>
      <c r="E12" s="7" t="s">
        <v>656</v>
      </c>
      <c r="F12" s="6" t="s">
        <v>642</v>
      </c>
      <c r="G12" s="16">
        <v>74</v>
      </c>
      <c r="H12" s="17"/>
      <c r="I12" s="18">
        <f t="shared" si="0"/>
        <v>74</v>
      </c>
      <c r="J12" s="19">
        <f t="shared" si="9"/>
        <v>91</v>
      </c>
      <c r="K12" s="20"/>
      <c r="L12" s="20"/>
      <c r="M12" s="20"/>
      <c r="N12" s="20"/>
      <c r="O12" s="20"/>
      <c r="P12" s="20"/>
      <c r="Q12" s="21">
        <f>IF($I12="","",IFERROR(INDEX(_玩家曲线!$H$2:$H$286,MATCH($I12,_玩家曲线!$A$2:$A$286,0)),""))</f>
        <v>408062.500049468</v>
      </c>
      <c r="R12" s="21">
        <f>IF($I12="","",IFERROR(INDEX(_玩家曲线!$I$2:$I$286,MATCH($I12,_玩家曲线!$A$2:$A$286,0)),""))</f>
        <v>742493.694813082</v>
      </c>
      <c r="S12" s="21">
        <f>IF(OR($J12="",$F12="不适用"),"",IFERROR(INDEX(_怪物模型!$D$2:$D$4501,MATCH(INT($J12)&amp;"|"&amp;$F12,_怪物模型!$A$2:$A$4501,0))*IF($K12="",1,$K12),""))</f>
        <v>1332674</v>
      </c>
      <c r="T12" s="21">
        <f>IF(OR($J12="",$F12="不适用"),"",IFERROR(INDEX(_怪物模型!$E$2:$E$4501,MATCH(INT($J12)&amp;"|"&amp;$F12,_怪物模型!$A$2:$A$4501,0))*IF($L12="",1,$L12),""))</f>
        <v>5734</v>
      </c>
      <c r="U12" s="21">
        <f>IF(OR($J12="",$F12="不适用"),"",IFERROR(INDEX(_怪物模型!$F$2:$F$4501,MATCH(INT($J12)&amp;"|"&amp;$F12,_怪物模型!$A$2:$A$4501,0))*IF($M12="",1,$M12),""))</f>
        <v>7207</v>
      </c>
      <c r="V12" s="22">
        <f t="shared" si="1"/>
        <v>0.230941775883616</v>
      </c>
      <c r="W12" s="23">
        <f t="shared" si="2"/>
        <v>1732864.89658333</v>
      </c>
      <c r="X12" s="23">
        <f t="shared" si="3"/>
        <v>4.24656736743333</v>
      </c>
      <c r="Y12" s="23">
        <f t="shared" si="4"/>
        <v>129.489657274692</v>
      </c>
      <c r="Z12" s="24" t="str">
        <f t="shared" si="5"/>
        <v/>
      </c>
      <c r="AA12" s="6" t="str">
        <f t="shared" si="6"/>
        <v>已计算</v>
      </c>
      <c r="AB12" s="6" t="str">
        <f t="shared" si="7"/>
        <v>有效</v>
      </c>
      <c r="AC12" s="6" t="str">
        <f t="shared" si="8"/>
        <v/>
      </c>
      <c r="AD12" s="7" t="s">
        <v>657</v>
      </c>
    </row>
    <row r="13" ht="25" customHeight="1" spans="1:30">
      <c r="A13" s="6" t="s">
        <v>145</v>
      </c>
      <c r="B13" s="6" t="s">
        <v>58</v>
      </c>
      <c r="C13" s="7" t="s">
        <v>640</v>
      </c>
      <c r="D13" s="7" t="s">
        <v>592</v>
      </c>
      <c r="E13" s="7" t="s">
        <v>658</v>
      </c>
      <c r="F13" s="6" t="s">
        <v>642</v>
      </c>
      <c r="G13" s="16">
        <v>82</v>
      </c>
      <c r="H13" s="17"/>
      <c r="I13" s="18">
        <f t="shared" si="0"/>
        <v>82</v>
      </c>
      <c r="J13" s="19">
        <f t="shared" si="9"/>
        <v>100</v>
      </c>
      <c r="K13" s="20"/>
      <c r="L13" s="20"/>
      <c r="M13" s="20"/>
      <c r="N13" s="20"/>
      <c r="O13" s="20"/>
      <c r="P13" s="20"/>
      <c r="Q13" s="21">
        <f>IF($I13="","",IFERROR(INDEX(_玩家曲线!$H$2:$H$286,MATCH($I13,_玩家曲线!$A$2:$A$286,0)),""))</f>
        <v>510334.470034176</v>
      </c>
      <c r="R13" s="21">
        <f>IF($I13="","",IFERROR(INDEX(_玩家曲线!$I$2:$I$286,MATCH($I13,_玩家曲线!$A$2:$A$286,0)),""))</f>
        <v>901800.286932155</v>
      </c>
      <c r="S13" s="21">
        <f>IF(OR($J13="",$F13="不适用"),"",IFERROR(INDEX(_怪物模型!$D$2:$D$4501,MATCH(INT($J13)&amp;"|"&amp;$F13,_怪物模型!$A$2:$A$4501,0))*IF($K13="",1,$K13),""))</f>
        <v>1624450</v>
      </c>
      <c r="T13" s="21">
        <f>IF(OR($J13="",$F13="不适用"),"",IFERROR(INDEX(_怪物模型!$E$2:$E$4501,MATCH(INT($J13)&amp;"|"&amp;$F13,_怪物模型!$A$2:$A$4501,0))*IF($L13="",1,$L13),""))</f>
        <v>6672</v>
      </c>
      <c r="U13" s="21">
        <f>IF(OR($J13="",$F13="不适用"),"",IFERROR(INDEX(_怪物模型!$F$2:$F$4501,MATCH(INT($J13)&amp;"|"&amp;$F13,_怪物模型!$A$2:$A$4501,0))*IF($M13="",1,$M13),""))</f>
        <v>8003</v>
      </c>
      <c r="V13" s="22">
        <f t="shared" si="1"/>
        <v>0.250070305908821</v>
      </c>
      <c r="W13" s="23">
        <f t="shared" si="2"/>
        <v>2166136.38958333</v>
      </c>
      <c r="X13" s="23">
        <f t="shared" si="3"/>
        <v>4.24454258290308</v>
      </c>
      <c r="Y13" s="23">
        <f t="shared" si="4"/>
        <v>135.161913509016</v>
      </c>
      <c r="Z13" s="24" t="str">
        <f t="shared" si="5"/>
        <v/>
      </c>
      <c r="AA13" s="6" t="str">
        <f t="shared" si="6"/>
        <v>已计算</v>
      </c>
      <c r="AB13" s="6" t="str">
        <f t="shared" si="7"/>
        <v>有效</v>
      </c>
      <c r="AC13" s="6" t="str">
        <f t="shared" si="8"/>
        <v/>
      </c>
      <c r="AD13" s="7" t="s">
        <v>659</v>
      </c>
    </row>
    <row r="14" ht="25" customHeight="1" spans="1:30">
      <c r="A14" s="6" t="s">
        <v>145</v>
      </c>
      <c r="B14" s="6" t="s">
        <v>58</v>
      </c>
      <c r="C14" s="7" t="s">
        <v>640</v>
      </c>
      <c r="D14" s="7" t="s">
        <v>635</v>
      </c>
      <c r="E14" s="7" t="s">
        <v>660</v>
      </c>
      <c r="F14" s="6" t="s">
        <v>642</v>
      </c>
      <c r="G14" s="16">
        <v>90</v>
      </c>
      <c r="H14" s="17"/>
      <c r="I14" s="18">
        <f t="shared" si="0"/>
        <v>90</v>
      </c>
      <c r="J14" s="19">
        <f t="shared" si="9"/>
        <v>110</v>
      </c>
      <c r="K14" s="20"/>
      <c r="L14" s="20"/>
      <c r="M14" s="20"/>
      <c r="N14" s="20"/>
      <c r="O14" s="20"/>
      <c r="P14" s="20"/>
      <c r="Q14" s="21">
        <f>IF($I14="","",IFERROR(INDEX(_玩家曲线!$H$2:$H$286,MATCH($I14,_玩家曲线!$A$2:$A$286,0)),""))</f>
        <v>611682.152540438</v>
      </c>
      <c r="R14" s="21">
        <f>IF($I14="","",IFERROR(INDEX(_玩家曲线!$I$2:$I$286,MATCH($I14,_玩家曲线!$A$2:$A$286,0)),""))</f>
        <v>1053603.22949915</v>
      </c>
      <c r="S14" s="21">
        <f>IF(OR($J14="",$F14="不适用"),"",IFERROR(INDEX(_怪物模型!$D$2:$D$4501,MATCH(INT($J14)&amp;"|"&amp;$F14,_怪物模型!$A$2:$A$4501,0))*IF($K14="",1,$K14),""))</f>
        <v>1996752</v>
      </c>
      <c r="T14" s="21">
        <f>IF(OR($J14="",$F14="不适用"),"",IFERROR(INDEX(_怪物模型!$E$2:$E$4501,MATCH(INT($J14)&amp;"|"&amp;$F14,_怪物模型!$A$2:$A$4501,0))*IF($L14="",1,$L14),""))</f>
        <v>7808</v>
      </c>
      <c r="U14" s="21">
        <f>IF(OR($J14="",$F14="不适用"),"",IFERROR(INDEX(_怪物模型!$F$2:$F$4501,MATCH(INT($J14)&amp;"|"&amp;$F14,_怪物模型!$A$2:$A$4501,0))*IF($M14="",1,$M14),""))</f>
        <v>8905</v>
      </c>
      <c r="V14" s="22">
        <f t="shared" si="1"/>
        <v>0.27062756419997</v>
      </c>
      <c r="W14" s="23">
        <f t="shared" si="2"/>
        <v>2737630.19</v>
      </c>
      <c r="X14" s="23">
        <f t="shared" si="3"/>
        <v>4.47557637349737</v>
      </c>
      <c r="Y14" s="23">
        <f t="shared" si="4"/>
        <v>134.938938204297</v>
      </c>
      <c r="Z14" s="24" t="str">
        <f t="shared" si="5"/>
        <v/>
      </c>
      <c r="AA14" s="6" t="str">
        <f t="shared" si="6"/>
        <v>已计算</v>
      </c>
      <c r="AB14" s="6" t="str">
        <f t="shared" si="7"/>
        <v>有效</v>
      </c>
      <c r="AC14" s="6" t="str">
        <f t="shared" si="8"/>
        <v/>
      </c>
      <c r="AD14" s="7" t="s">
        <v>661</v>
      </c>
    </row>
    <row r="15" ht="25" customHeight="1" spans="1:30">
      <c r="A15" s="6" t="s">
        <v>145</v>
      </c>
      <c r="B15" s="6" t="s">
        <v>58</v>
      </c>
      <c r="C15" s="7" t="s">
        <v>640</v>
      </c>
      <c r="D15" s="7" t="s">
        <v>662</v>
      </c>
      <c r="E15" s="7" t="s">
        <v>663</v>
      </c>
      <c r="F15" s="6" t="s">
        <v>642</v>
      </c>
      <c r="G15" s="16">
        <v>99</v>
      </c>
      <c r="H15" s="17"/>
      <c r="I15" s="18">
        <f t="shared" si="0"/>
        <v>99</v>
      </c>
      <c r="J15" s="19">
        <f t="shared" si="9"/>
        <v>119</v>
      </c>
      <c r="K15" s="20"/>
      <c r="L15" s="20"/>
      <c r="M15" s="20"/>
      <c r="N15" s="20"/>
      <c r="O15" s="20"/>
      <c r="P15" s="20"/>
      <c r="Q15" s="21">
        <f>IF($I15="","",IFERROR(INDEX(_玩家曲线!$H$2:$H$286,MATCH($I15,_玩家曲线!$A$2:$A$286,0)),""))</f>
        <v>721578.841664009</v>
      </c>
      <c r="R15" s="21">
        <f>IF($I15="","",IFERROR(INDEX(_玩家曲线!$I$2:$I$286,MATCH($I15,_玩家曲线!$A$2:$A$286,0)),""))</f>
        <v>1212579.25539915</v>
      </c>
      <c r="S15" s="21">
        <f>IF(OR($J15="",$F15="不适用"),"",IFERROR(INDEX(_怪物模型!$D$2:$D$4501,MATCH(INT($J15)&amp;"|"&amp;$F15,_怪物模型!$A$2:$A$4501,0))*IF($K15="",1,$K15),""))</f>
        <v>2378545</v>
      </c>
      <c r="T15" s="21">
        <f>IF(OR($J15="",$F15="不适用"),"",IFERROR(INDEX(_怪物模型!$E$2:$E$4501,MATCH(INT($J15)&amp;"|"&amp;$F15,_怪物模型!$A$2:$A$4501,0))*IF($L15="",1,$L15),""))</f>
        <v>8919</v>
      </c>
      <c r="U15" s="21">
        <f>IF(OR($J15="",$F15="不适用"),"",IFERROR(INDEX(_怪物模型!$F$2:$F$4501,MATCH(INT($J15)&amp;"|"&amp;$F15,_怪物模型!$A$2:$A$4501,0))*IF($M15="",1,$M15),""))</f>
        <v>9732</v>
      </c>
      <c r="V15" s="22">
        <f t="shared" si="1"/>
        <v>0.288509427250089</v>
      </c>
      <c r="W15" s="23">
        <f t="shared" si="2"/>
        <v>3343044.9975</v>
      </c>
      <c r="X15" s="23">
        <f t="shared" si="3"/>
        <v>4.63295873502986</v>
      </c>
      <c r="Y15" s="23">
        <f t="shared" si="4"/>
        <v>135.954619957299</v>
      </c>
      <c r="Z15" s="24" t="str">
        <f t="shared" si="5"/>
        <v/>
      </c>
      <c r="AA15" s="6" t="str">
        <f t="shared" si="6"/>
        <v>已计算</v>
      </c>
      <c r="AB15" s="6" t="str">
        <f t="shared" si="7"/>
        <v>有效</v>
      </c>
      <c r="AC15" s="6" t="str">
        <f t="shared" si="8"/>
        <v/>
      </c>
      <c r="AD15" s="7" t="s">
        <v>664</v>
      </c>
    </row>
    <row r="16" ht="25" customHeight="1" spans="1:30">
      <c r="A16" s="6" t="s">
        <v>145</v>
      </c>
      <c r="B16" s="6" t="s">
        <v>58</v>
      </c>
      <c r="C16" s="7" t="s">
        <v>640</v>
      </c>
      <c r="D16" s="7" t="s">
        <v>665</v>
      </c>
      <c r="E16" s="7" t="s">
        <v>666</v>
      </c>
      <c r="F16" s="6" t="s">
        <v>642</v>
      </c>
      <c r="G16" s="16">
        <v>108</v>
      </c>
      <c r="H16" s="17"/>
      <c r="I16" s="18">
        <f t="shared" si="0"/>
        <v>108</v>
      </c>
      <c r="J16" s="19">
        <f t="shared" si="9"/>
        <v>128</v>
      </c>
      <c r="K16" s="20"/>
      <c r="L16" s="20"/>
      <c r="M16" s="20"/>
      <c r="N16" s="20"/>
      <c r="O16" s="20"/>
      <c r="P16" s="20"/>
      <c r="Q16" s="21">
        <f>IF($I16="","",IFERROR(INDEX(_玩家曲线!$H$2:$H$286,MATCH($I16,_玩家曲线!$A$2:$A$286,0)),""))</f>
        <v>901427.627481898</v>
      </c>
      <c r="R16" s="21">
        <f>IF($I16="","",IFERROR(INDEX(_玩家曲线!$I$2:$I$286,MATCH($I16,_玩家曲线!$A$2:$A$286,0)),""))</f>
        <v>1430961.36302879</v>
      </c>
      <c r="S16" s="21">
        <f>IF(OR($J16="",$F16="不适用"),"",IFERROR(INDEX(_怪物模型!$D$2:$D$4501,MATCH(INT($J16)&amp;"|"&amp;$F16,_怪物模型!$A$2:$A$4501,0))*IF($K16="",1,$K16),""))</f>
        <v>2807978</v>
      </c>
      <c r="T16" s="21">
        <f>IF(OR($J16="",$F16="不适用"),"",IFERROR(INDEX(_怪物模型!$E$2:$E$4501,MATCH(INT($J16)&amp;"|"&amp;$F16,_怪物模型!$A$2:$A$4501,0))*IF($L16="",1,$L16),""))</f>
        <v>10116</v>
      </c>
      <c r="U16" s="21">
        <f>IF(OR($J16="",$F16="不适用"),"",IFERROR(INDEX(_怪物模型!$F$2:$F$4501,MATCH(INT($J16)&amp;"|"&amp;$F16,_怪物模型!$A$2:$A$4501,0))*IF($M16="",1,$M16),""))</f>
        <v>10574</v>
      </c>
      <c r="V16" s="22">
        <f t="shared" si="1"/>
        <v>0.305836755943773</v>
      </c>
      <c r="W16" s="23">
        <f t="shared" si="2"/>
        <v>4045126.30716667</v>
      </c>
      <c r="X16" s="23">
        <f t="shared" si="3"/>
        <v>4.48746652958326</v>
      </c>
      <c r="Y16" s="23">
        <f t="shared" si="4"/>
        <v>141.455255340924</v>
      </c>
      <c r="Z16" s="24" t="str">
        <f t="shared" si="5"/>
        <v/>
      </c>
      <c r="AA16" s="6" t="str">
        <f t="shared" si="6"/>
        <v>已计算</v>
      </c>
      <c r="AB16" s="6" t="str">
        <f t="shared" si="7"/>
        <v>有效</v>
      </c>
      <c r="AC16" s="6" t="str">
        <f t="shared" si="8"/>
        <v/>
      </c>
      <c r="AD16" s="7" t="s">
        <v>667</v>
      </c>
    </row>
    <row r="17" ht="25" customHeight="1" spans="1:30">
      <c r="A17" s="6" t="s">
        <v>145</v>
      </c>
      <c r="B17" s="6" t="s">
        <v>58</v>
      </c>
      <c r="C17" s="7" t="s">
        <v>640</v>
      </c>
      <c r="D17" s="7" t="s">
        <v>668</v>
      </c>
      <c r="E17" s="7" t="s">
        <v>669</v>
      </c>
      <c r="F17" s="6" t="s">
        <v>642</v>
      </c>
      <c r="G17" s="16">
        <v>116</v>
      </c>
      <c r="H17" s="17"/>
      <c r="I17" s="18">
        <f t="shared" si="0"/>
        <v>116</v>
      </c>
      <c r="J17" s="19">
        <f t="shared" si="9"/>
        <v>138</v>
      </c>
      <c r="K17" s="20"/>
      <c r="L17" s="20"/>
      <c r="M17" s="20"/>
      <c r="N17" s="20"/>
      <c r="O17" s="20"/>
      <c r="P17" s="20"/>
      <c r="Q17" s="21">
        <f>IF($I17="","",IFERROR(INDEX(_玩家曲线!$H$2:$H$286,MATCH($I17,_玩家曲线!$A$2:$A$286,0)),""))</f>
        <v>1067101.53879956</v>
      </c>
      <c r="R17" s="21">
        <f>IF($I17="","",IFERROR(INDEX(_玩家曲线!$I$2:$I$286,MATCH($I17,_玩家曲线!$A$2:$A$286,0)),""))</f>
        <v>1618039.42914508</v>
      </c>
      <c r="S17" s="21">
        <f>IF(OR($J17="",$F17="不适用"),"",IFERROR(INDEX(_怪物模型!$D$2:$D$4501,MATCH(INT($J17)&amp;"|"&amp;$F17,_怪物模型!$A$2:$A$4501,0))*IF($K17="",1,$K17),""))</f>
        <v>3345200</v>
      </c>
      <c r="T17" s="21">
        <f>IF(OR($J17="",$F17="不适用"),"",IFERROR(INDEX(_怪物模型!$E$2:$E$4501,MATCH(INT($J17)&amp;"|"&amp;$F17,_怪物模型!$A$2:$A$4501,0))*IF($L17="",1,$L17),""))</f>
        <v>11554</v>
      </c>
      <c r="U17" s="21">
        <f>IF(OR($J17="",$F17="不适用"),"",IFERROR(INDEX(_怪物模型!$F$2:$F$4501,MATCH(INT($J17)&amp;"|"&amp;$F17,_怪物模型!$A$2:$A$4501,0))*IF($M17="",1,$M17),""))</f>
        <v>11528</v>
      </c>
      <c r="V17" s="22">
        <f t="shared" si="1"/>
        <v>0.324476469263679</v>
      </c>
      <c r="W17" s="23">
        <f t="shared" si="2"/>
        <v>4952011.06666667</v>
      </c>
      <c r="X17" s="23">
        <f t="shared" si="3"/>
        <v>4.64061842909293</v>
      </c>
      <c r="Y17" s="23">
        <f t="shared" si="4"/>
        <v>140.04149464645</v>
      </c>
      <c r="Z17" s="24" t="str">
        <f t="shared" si="5"/>
        <v/>
      </c>
      <c r="AA17" s="6" t="str">
        <f t="shared" si="6"/>
        <v>已计算</v>
      </c>
      <c r="AB17" s="6" t="str">
        <f t="shared" si="7"/>
        <v>有效</v>
      </c>
      <c r="AC17" s="6" t="str">
        <f t="shared" si="8"/>
        <v/>
      </c>
      <c r="AD17" s="7" t="s">
        <v>670</v>
      </c>
    </row>
    <row r="18" ht="25" customHeight="1" spans="1:30">
      <c r="A18" s="6" t="s">
        <v>145</v>
      </c>
      <c r="B18" s="6" t="s">
        <v>58</v>
      </c>
      <c r="C18" s="7" t="s">
        <v>640</v>
      </c>
      <c r="D18" s="7" t="s">
        <v>671</v>
      </c>
      <c r="E18" s="7" t="s">
        <v>672</v>
      </c>
      <c r="F18" s="6" t="s">
        <v>642</v>
      </c>
      <c r="G18" s="16">
        <v>125</v>
      </c>
      <c r="H18" s="17"/>
      <c r="I18" s="18">
        <f t="shared" si="0"/>
        <v>125</v>
      </c>
      <c r="J18" s="19">
        <f t="shared" si="9"/>
        <v>147</v>
      </c>
      <c r="K18" s="20"/>
      <c r="L18" s="20"/>
      <c r="M18" s="20"/>
      <c r="N18" s="20"/>
      <c r="O18" s="20"/>
      <c r="P18" s="20"/>
      <c r="Q18" s="21">
        <f>IF($I18="","",IFERROR(INDEX(_玩家曲线!$H$2:$H$286,MATCH($I18,_玩家曲线!$A$2:$A$286,0)),""))</f>
        <v>1245904.94133842</v>
      </c>
      <c r="R18" s="21">
        <f>IF($I18="","",IFERROR(INDEX(_玩家曲线!$I$2:$I$286,MATCH($I18,_玩家曲线!$A$2:$A$286,0)),""))</f>
        <v>1809506.65898856</v>
      </c>
      <c r="S18" s="21">
        <f>IF(OR($J18="",$F18="不适用"),"",IFERROR(INDEX(_怪物模型!$D$2:$D$4501,MATCH(INT($J18)&amp;"|"&amp;$F18,_怪物模型!$A$2:$A$4501,0))*IF($K18="",1,$K18),""))</f>
        <v>3886868</v>
      </c>
      <c r="T18" s="21">
        <f>IF(OR($J18="",$F18="不适用"),"",IFERROR(INDEX(_怪物模型!$E$2:$E$4501,MATCH(INT($J18)&amp;"|"&amp;$F18,_怪物模型!$A$2:$A$4501,0))*IF($L18="",1,$L18),""))</f>
        <v>12949</v>
      </c>
      <c r="U18" s="21">
        <f>IF(OR($J18="",$F18="不适用"),"",IFERROR(INDEX(_怪物模型!$F$2:$F$4501,MATCH(INT($J18)&amp;"|"&amp;$F18,_怪物模型!$A$2:$A$4501,0))*IF($M18="",1,$M18),""))</f>
        <v>12401</v>
      </c>
      <c r="V18" s="22">
        <f t="shared" si="1"/>
        <v>0.340677453916101</v>
      </c>
      <c r="W18" s="23">
        <f t="shared" si="2"/>
        <v>5895245.08616667</v>
      </c>
      <c r="X18" s="23">
        <f t="shared" si="3"/>
        <v>4.73169733144622</v>
      </c>
      <c r="Y18" s="23">
        <f t="shared" si="4"/>
        <v>139.741034750835</v>
      </c>
      <c r="Z18" s="24" t="str">
        <f t="shared" si="5"/>
        <v/>
      </c>
      <c r="AA18" s="6" t="str">
        <f t="shared" si="6"/>
        <v>已计算</v>
      </c>
      <c r="AB18" s="6" t="str">
        <f t="shared" si="7"/>
        <v>有效</v>
      </c>
      <c r="AC18" s="6" t="str">
        <f t="shared" si="8"/>
        <v/>
      </c>
      <c r="AD18" s="7" t="s">
        <v>673</v>
      </c>
    </row>
    <row r="19" ht="25" customHeight="1" spans="1:30">
      <c r="A19" s="6" t="s">
        <v>145</v>
      </c>
      <c r="B19" s="6" t="s">
        <v>58</v>
      </c>
      <c r="C19" s="7" t="s">
        <v>640</v>
      </c>
      <c r="D19" s="7" t="s">
        <v>674</v>
      </c>
      <c r="E19" s="7" t="s">
        <v>675</v>
      </c>
      <c r="F19" s="6" t="s">
        <v>642</v>
      </c>
      <c r="G19" s="16">
        <v>134</v>
      </c>
      <c r="H19" s="17"/>
      <c r="I19" s="18">
        <f t="shared" si="0"/>
        <v>134</v>
      </c>
      <c r="J19" s="19">
        <f t="shared" si="9"/>
        <v>156</v>
      </c>
      <c r="K19" s="20"/>
      <c r="L19" s="20"/>
      <c r="M19" s="20"/>
      <c r="N19" s="20"/>
      <c r="O19" s="20"/>
      <c r="P19" s="20"/>
      <c r="Q19" s="21">
        <f>IF($I19="","",IFERROR(INDEX(_玩家曲线!$H$2:$H$286,MATCH($I19,_玩家曲线!$A$2:$A$286,0)),""))</f>
        <v>1413030.11117349</v>
      </c>
      <c r="R19" s="21">
        <f>IF($I19="","",IFERROR(INDEX(_玩家曲线!$I$2:$I$286,MATCH($I19,_玩家曲线!$A$2:$A$286,0)),""))</f>
        <v>1980412.6007319</v>
      </c>
      <c r="S19" s="21">
        <f>IF(OR($J19="",$F19="不适用"),"",IFERROR(INDEX(_怪物模型!$D$2:$D$4501,MATCH(INT($J19)&amp;"|"&amp;$F19,_怪物模型!$A$2:$A$4501,0))*IF($K19="",1,$K19),""))</f>
        <v>4487688</v>
      </c>
      <c r="T19" s="21">
        <f>IF(OR($J19="",$F19="不适用"),"",IFERROR(INDEX(_怪物模型!$E$2:$E$4501,MATCH(INT($J19)&amp;"|"&amp;$F19,_怪物模型!$A$2:$A$4501,0))*IF($L19="",1,$L19),""))</f>
        <v>14443</v>
      </c>
      <c r="U19" s="21">
        <f>IF(OR($J19="",$F19="不适用"),"",IFERROR(INDEX(_怪物模型!$F$2:$F$4501,MATCH(INT($J19)&amp;"|"&amp;$F19,_怪物模型!$A$2:$A$4501,0))*IF($M19="",1,$M19),""))</f>
        <v>13290</v>
      </c>
      <c r="V19" s="22">
        <f t="shared" si="1"/>
        <v>0.356395816572808</v>
      </c>
      <c r="W19" s="23">
        <f t="shared" si="2"/>
        <v>6972745.23</v>
      </c>
      <c r="X19" s="23">
        <f t="shared" si="3"/>
        <v>4.93460484306969</v>
      </c>
      <c r="Y19" s="23">
        <f t="shared" si="4"/>
        <v>137.119199662944</v>
      </c>
      <c r="Z19" s="24" t="str">
        <f t="shared" si="5"/>
        <v/>
      </c>
      <c r="AA19" s="6" t="str">
        <f t="shared" si="6"/>
        <v>已计算</v>
      </c>
      <c r="AB19" s="6" t="str">
        <f t="shared" si="7"/>
        <v>有效</v>
      </c>
      <c r="AC19" s="6" t="str">
        <f t="shared" si="8"/>
        <v/>
      </c>
      <c r="AD19" s="7" t="s">
        <v>676</v>
      </c>
    </row>
    <row r="20" ht="25" customHeight="1" spans="1:30">
      <c r="A20" s="6" t="s">
        <v>145</v>
      </c>
      <c r="B20" s="6" t="s">
        <v>58</v>
      </c>
      <c r="C20" s="7" t="s">
        <v>640</v>
      </c>
      <c r="D20" s="7" t="s">
        <v>677</v>
      </c>
      <c r="E20" s="7" t="s">
        <v>678</v>
      </c>
      <c r="F20" s="6" t="s">
        <v>642</v>
      </c>
      <c r="G20" s="16">
        <v>143</v>
      </c>
      <c r="H20" s="17"/>
      <c r="I20" s="18">
        <f t="shared" si="0"/>
        <v>143</v>
      </c>
      <c r="J20" s="19">
        <f t="shared" si="9"/>
        <v>166</v>
      </c>
      <c r="K20" s="20"/>
      <c r="L20" s="20"/>
      <c r="M20" s="20"/>
      <c r="N20" s="20"/>
      <c r="O20" s="20"/>
      <c r="P20" s="20"/>
      <c r="Q20" s="21">
        <f>IF($I20="","",IFERROR(INDEX(_玩家曲线!$H$2:$H$286,MATCH($I20,_玩家曲线!$A$2:$A$286,0)),""))</f>
        <v>1566187.77136624</v>
      </c>
      <c r="R20" s="21">
        <f>IF($I20="","",IFERROR(INDEX(_玩家曲线!$I$2:$I$286,MATCH($I20,_玩家曲线!$A$2:$A$286,0)),""))</f>
        <v>2131295.24901212</v>
      </c>
      <c r="S20" s="21">
        <f>IF(OR($J20="",$F20="不适用"),"",IFERROR(INDEX(_怪物模型!$D$2:$D$4501,MATCH(INT($J20)&amp;"|"&amp;$F20,_怪物模型!$A$2:$A$4501,0))*IF($K20="",1,$K20),""))</f>
        <v>5229729</v>
      </c>
      <c r="T20" s="21">
        <f>IF(OR($J20="",$F20="不适用"),"",IFERROR(INDEX(_怪物模型!$E$2:$E$4501,MATCH(INT($J20)&amp;"|"&amp;$F20,_怪物模型!$A$2:$A$4501,0))*IF($L20="",1,$L20),""))</f>
        <v>16225</v>
      </c>
      <c r="U20" s="21">
        <f>IF(OR($J20="",$F20="不适用"),"",IFERROR(INDEX(_怪物模型!$F$2:$F$4501,MATCH(INT($J20)&amp;"|"&amp;$F20,_怪物模型!$A$2:$A$4501,0))*IF($M20="",1,$M20),""))</f>
        <v>14295</v>
      </c>
      <c r="V20" s="22">
        <f t="shared" si="1"/>
        <v>0.373286329808069</v>
      </c>
      <c r="W20" s="23">
        <f t="shared" si="2"/>
        <v>8344686.335625</v>
      </c>
      <c r="X20" s="23">
        <f t="shared" si="3"/>
        <v>5.32802419236465</v>
      </c>
      <c r="Y20" s="23">
        <f t="shared" si="4"/>
        <v>131.358721048513</v>
      </c>
      <c r="Z20" s="24" t="str">
        <f t="shared" si="5"/>
        <v/>
      </c>
      <c r="AA20" s="6" t="str">
        <f t="shared" si="6"/>
        <v>已计算</v>
      </c>
      <c r="AB20" s="6" t="str">
        <f t="shared" si="7"/>
        <v>有效</v>
      </c>
      <c r="AC20" s="6" t="str">
        <f t="shared" si="8"/>
        <v/>
      </c>
      <c r="AD20" s="7" t="s">
        <v>679</v>
      </c>
    </row>
    <row r="21" ht="25" customHeight="1" spans="1:30">
      <c r="A21" s="6" t="s">
        <v>145</v>
      </c>
      <c r="B21" s="6" t="s">
        <v>58</v>
      </c>
      <c r="C21" s="7" t="s">
        <v>640</v>
      </c>
      <c r="D21" s="7" t="s">
        <v>680</v>
      </c>
      <c r="E21" s="7" t="s">
        <v>681</v>
      </c>
      <c r="F21" s="6" t="s">
        <v>642</v>
      </c>
      <c r="G21" s="16">
        <v>153</v>
      </c>
      <c r="H21" s="17"/>
      <c r="I21" s="18">
        <f t="shared" si="0"/>
        <v>153</v>
      </c>
      <c r="J21" s="19">
        <f t="shared" si="9"/>
        <v>175</v>
      </c>
      <c r="K21" s="20"/>
      <c r="L21" s="20"/>
      <c r="M21" s="20"/>
      <c r="N21" s="20"/>
      <c r="O21" s="20"/>
      <c r="P21" s="20"/>
      <c r="Q21" s="21">
        <f>IF($I21="","",IFERROR(INDEX(_玩家曲线!$H$2:$H$286,MATCH($I21,_玩家曲线!$A$2:$A$286,0)),""))</f>
        <v>1718739.64013432</v>
      </c>
      <c r="R21" s="21">
        <f>IF($I21="","",IFERROR(INDEX(_玩家曲线!$I$2:$I$286,MATCH($I21,_玩家曲线!$A$2:$A$286,0)),""))</f>
        <v>2276912.57018132</v>
      </c>
      <c r="S21" s="21">
        <f>IF(OR($J21="",$F21="不适用"),"",IFERROR(INDEX(_怪物模型!$D$2:$D$4501,MATCH(INT($J21)&amp;"|"&amp;$F21,_怪物模型!$A$2:$A$4501,0))*IF($K21="",1,$K21),""))</f>
        <v>5969503</v>
      </c>
      <c r="T21" s="21">
        <f>IF(OR($J21="",$F21="不适用"),"",IFERROR(INDEX(_怪物模型!$E$2:$E$4501,MATCH(INT($J21)&amp;"|"&amp;$F21,_怪物模型!$A$2:$A$4501,0))*IF($L21="",1,$L21),""))</f>
        <v>17943</v>
      </c>
      <c r="U21" s="21">
        <f>IF(OR($J21="",$F21="不适用"),"",IFERROR(INDEX(_怪物模型!$F$2:$F$4501,MATCH(INT($J21)&amp;"|"&amp;$F21,_怪物模型!$A$2:$A$4501,0))*IF($M21="",1,$M21),""))</f>
        <v>15215</v>
      </c>
      <c r="V21" s="22">
        <f t="shared" si="1"/>
        <v>0.387989289812572</v>
      </c>
      <c r="W21" s="23">
        <f t="shared" si="2"/>
        <v>9753919.17270833</v>
      </c>
      <c r="X21" s="23">
        <f t="shared" si="3"/>
        <v>5.67504172531103</v>
      </c>
      <c r="Y21" s="23">
        <f t="shared" si="4"/>
        <v>126.896983234761</v>
      </c>
      <c r="Z21" s="24" t="str">
        <f t="shared" si="5"/>
        <v/>
      </c>
      <c r="AA21" s="6" t="str">
        <f t="shared" si="6"/>
        <v>已计算</v>
      </c>
      <c r="AB21" s="6" t="str">
        <f t="shared" si="7"/>
        <v>有效</v>
      </c>
      <c r="AC21" s="6" t="str">
        <f t="shared" si="8"/>
        <v/>
      </c>
      <c r="AD21" s="7" t="s">
        <v>682</v>
      </c>
    </row>
    <row r="22" ht="25" customHeight="1" spans="1:30">
      <c r="A22" s="6" t="s">
        <v>145</v>
      </c>
      <c r="B22" s="6" t="s">
        <v>58</v>
      </c>
      <c r="C22" s="7" t="s">
        <v>640</v>
      </c>
      <c r="D22" s="7" t="s">
        <v>683</v>
      </c>
      <c r="E22" s="7" t="s">
        <v>684</v>
      </c>
      <c r="F22" s="6" t="s">
        <v>642</v>
      </c>
      <c r="G22" s="16">
        <v>162</v>
      </c>
      <c r="H22" s="17"/>
      <c r="I22" s="18">
        <f t="shared" si="0"/>
        <v>162</v>
      </c>
      <c r="J22" s="19">
        <f t="shared" si="9"/>
        <v>184</v>
      </c>
      <c r="K22" s="20"/>
      <c r="L22" s="20"/>
      <c r="M22" s="20"/>
      <c r="N22" s="20"/>
      <c r="O22" s="20"/>
      <c r="P22" s="20"/>
      <c r="Q22" s="21">
        <f>IF($I22="","",IFERROR(INDEX(_玩家曲线!$H$2:$H$286,MATCH($I22,_玩家曲线!$A$2:$A$286,0)),""))</f>
        <v>1840081.54814898</v>
      </c>
      <c r="R22" s="21">
        <f>IF($I22="","",IFERROR(INDEX(_玩家曲线!$I$2:$I$286,MATCH($I22,_玩家曲线!$A$2:$A$286,0)),""))</f>
        <v>2389842.87132859</v>
      </c>
      <c r="S22" s="21">
        <f>IF(OR($J22="",$F22="不适用"),"",IFERROR(INDEX(_怪物模型!$D$2:$D$4501,MATCH(INT($J22)&amp;"|"&amp;$F22,_怪物模型!$A$2:$A$4501,0))*IF($K22="",1,$K22),""))</f>
        <v>6782274</v>
      </c>
      <c r="T22" s="21">
        <f>IF(OR($J22="",$F22="不适用"),"",IFERROR(INDEX(_怪物模型!$E$2:$E$4501,MATCH(INT($J22)&amp;"|"&amp;$F22,_怪物模型!$A$2:$A$4501,0))*IF($L22="",1,$L22),""))</f>
        <v>19773</v>
      </c>
      <c r="U22" s="21">
        <f>IF(OR($J22="",$F22="不适用"),"",IFERROR(INDEX(_怪物模型!$F$2:$F$4501,MATCH(INT($J22)&amp;"|"&amp;$F22,_怪物模型!$A$2:$A$4501,0))*IF($M22="",1,$M22),""))</f>
        <v>16150</v>
      </c>
      <c r="V22" s="22">
        <f t="shared" si="1"/>
        <v>0.402241594022416</v>
      </c>
      <c r="W22" s="23">
        <f t="shared" si="2"/>
        <v>11346179.2125</v>
      </c>
      <c r="X22" s="23">
        <f t="shared" si="3"/>
        <v>6.166128465292</v>
      </c>
      <c r="Y22" s="23">
        <f t="shared" si="4"/>
        <v>120.863949392029</v>
      </c>
      <c r="Z22" s="24" t="str">
        <f t="shared" si="5"/>
        <v/>
      </c>
      <c r="AA22" s="6" t="str">
        <f t="shared" si="6"/>
        <v>已计算</v>
      </c>
      <c r="AB22" s="6" t="str">
        <f t="shared" si="7"/>
        <v>有效</v>
      </c>
      <c r="AC22" s="6" t="str">
        <f t="shared" si="8"/>
        <v/>
      </c>
      <c r="AD22" s="7" t="s">
        <v>685</v>
      </c>
    </row>
    <row r="23" ht="25" customHeight="1" spans="1:30">
      <c r="A23" s="6" t="s">
        <v>145</v>
      </c>
      <c r="B23" s="6" t="s">
        <v>58</v>
      </c>
      <c r="C23" s="7" t="s">
        <v>640</v>
      </c>
      <c r="D23" s="7" t="s">
        <v>686</v>
      </c>
      <c r="E23" s="7" t="s">
        <v>687</v>
      </c>
      <c r="F23" s="6" t="s">
        <v>642</v>
      </c>
      <c r="G23" s="16">
        <v>171</v>
      </c>
      <c r="H23" s="17"/>
      <c r="I23" s="18">
        <f t="shared" si="0"/>
        <v>171</v>
      </c>
      <c r="J23" s="19">
        <f t="shared" si="9"/>
        <v>194</v>
      </c>
      <c r="K23" s="20"/>
      <c r="L23" s="20"/>
      <c r="M23" s="20"/>
      <c r="N23" s="20"/>
      <c r="O23" s="20"/>
      <c r="P23" s="20"/>
      <c r="Q23" s="21">
        <f>IF($I23="","",IFERROR(INDEX(_玩家曲线!$H$2:$H$286,MATCH($I23,_玩家曲线!$A$2:$A$286,0)),""))</f>
        <v>1946883.66480611</v>
      </c>
      <c r="R23" s="21">
        <f>IF($I23="","",IFERROR(INDEX(_玩家曲线!$I$2:$I$286,MATCH($I23,_玩家曲线!$A$2:$A$286,0)),""))</f>
        <v>2487372.63206647</v>
      </c>
      <c r="S23" s="21">
        <f>IF(OR($J23="",$F23="不适用"),"",IFERROR(INDEX(_怪物模型!$D$2:$D$4501,MATCH(INT($J23)&amp;"|"&amp;$F23,_怪物模型!$A$2:$A$4501,0))*IF($K23="",1,$K23),""))</f>
        <v>7777019</v>
      </c>
      <c r="T23" s="21">
        <f>IF(OR($J23="",$F23="不适用"),"",IFERROR(INDEX(_怪物模型!$E$2:$E$4501,MATCH(INT($J23)&amp;"|"&amp;$F23,_怪物模型!$A$2:$A$4501,0))*IF($L23="",1,$L23),""))</f>
        <v>21945</v>
      </c>
      <c r="U23" s="21">
        <f>IF(OR($J23="",$F23="不适用"),"",IFERROR(INDEX(_怪物模型!$F$2:$F$4501,MATCH(INT($J23)&amp;"|"&amp;$F23,_怪物模型!$A$2:$A$4501,0))*IF($M23="",1,$M23),""))</f>
        <v>17206</v>
      </c>
      <c r="V23" s="22">
        <f t="shared" si="1"/>
        <v>0.417560549434548</v>
      </c>
      <c r="W23" s="23">
        <f t="shared" si="2"/>
        <v>13352493.5380833</v>
      </c>
      <c r="X23" s="23">
        <f t="shared" si="3"/>
        <v>6.85839312304935</v>
      </c>
      <c r="Y23" s="23">
        <f t="shared" si="4"/>
        <v>113.345756758554</v>
      </c>
      <c r="Z23" s="24" t="str">
        <f t="shared" si="5"/>
        <v/>
      </c>
      <c r="AA23" s="6" t="str">
        <f t="shared" si="6"/>
        <v>已计算</v>
      </c>
      <c r="AB23" s="6" t="str">
        <f t="shared" si="7"/>
        <v>有效</v>
      </c>
      <c r="AC23" s="6" t="str">
        <f t="shared" si="8"/>
        <v/>
      </c>
      <c r="AD23" s="7" t="s">
        <v>688</v>
      </c>
    </row>
    <row r="24" ht="25" customHeight="1" spans="1:30">
      <c r="A24" s="6" t="s">
        <v>145</v>
      </c>
      <c r="B24" s="6" t="s">
        <v>58</v>
      </c>
      <c r="C24" s="7" t="s">
        <v>640</v>
      </c>
      <c r="D24" s="7" t="s">
        <v>689</v>
      </c>
      <c r="E24" s="7" t="s">
        <v>690</v>
      </c>
      <c r="F24" s="6" t="s">
        <v>642</v>
      </c>
      <c r="G24" s="16">
        <v>181</v>
      </c>
      <c r="H24" s="17"/>
      <c r="I24" s="18">
        <f t="shared" si="0"/>
        <v>181</v>
      </c>
      <c r="J24" s="19">
        <f t="shared" si="9"/>
        <v>203</v>
      </c>
      <c r="K24" s="20"/>
      <c r="L24" s="20"/>
      <c r="M24" s="20"/>
      <c r="N24" s="20"/>
      <c r="O24" s="20"/>
      <c r="P24" s="20"/>
      <c r="Q24" s="21">
        <f>IF($I24="","",IFERROR(INDEX(_玩家曲线!$H$2:$H$286,MATCH($I24,_玩家曲线!$A$2:$A$286,0)),""))</f>
        <v>2049670.71115747</v>
      </c>
      <c r="R24" s="21">
        <f>IF($I24="","",IFERROR(INDEX(_玩家曲线!$I$2:$I$286,MATCH($I24,_玩家曲线!$A$2:$A$286,0)),""))</f>
        <v>2579771.52374254</v>
      </c>
      <c r="S24" s="21">
        <f>IF(OR($J24="",$F24="不适用"),"",IFERROR(INDEX(_怪物模型!$D$2:$D$4501,MATCH(INT($J24)&amp;"|"&amp;$F24,_怪物模型!$A$2:$A$4501,0))*IF($K24="",1,$K24),""))</f>
        <v>8760589</v>
      </c>
      <c r="T24" s="21">
        <f>IF(OR($J24="",$F24="不适用"),"",IFERROR(INDEX(_怪物模型!$E$2:$E$4501,MATCH(INT($J24)&amp;"|"&amp;$F24,_怪物模型!$A$2:$A$4501,0))*IF($L24="",1,$L24),""))</f>
        <v>24028</v>
      </c>
      <c r="U24" s="21">
        <f>IF(OR($J24="",$F24="不适用"),"",IFERROR(INDEX(_怪物模型!$F$2:$F$4501,MATCH(INT($J24)&amp;"|"&amp;$F24,_怪物模型!$A$2:$A$4501,0))*IF($M24="",1,$M24),""))</f>
        <v>18173</v>
      </c>
      <c r="V24" s="22">
        <f t="shared" si="1"/>
        <v>0.430915514665781</v>
      </c>
      <c r="W24" s="23">
        <f t="shared" si="2"/>
        <v>15394179.9957083</v>
      </c>
      <c r="X24" s="23">
        <f t="shared" si="3"/>
        <v>7.5105625073869</v>
      </c>
      <c r="Y24" s="23">
        <f t="shared" si="4"/>
        <v>107.365220731752</v>
      </c>
      <c r="Z24" s="24" t="str">
        <f t="shared" si="5"/>
        <v/>
      </c>
      <c r="AA24" s="6" t="str">
        <f t="shared" si="6"/>
        <v>已计算</v>
      </c>
      <c r="AB24" s="6" t="str">
        <f t="shared" si="7"/>
        <v>有效</v>
      </c>
      <c r="AC24" s="6" t="str">
        <f t="shared" si="8"/>
        <v/>
      </c>
      <c r="AD24" s="7" t="s">
        <v>691</v>
      </c>
    </row>
    <row r="25" ht="25" customHeight="1" spans="1:30">
      <c r="A25" s="6" t="s">
        <v>145</v>
      </c>
      <c r="B25" s="6" t="s">
        <v>58</v>
      </c>
      <c r="C25" s="7" t="s">
        <v>640</v>
      </c>
      <c r="D25" s="7" t="s">
        <v>692</v>
      </c>
      <c r="E25" s="7" t="s">
        <v>693</v>
      </c>
      <c r="F25" s="6" t="s">
        <v>642</v>
      </c>
      <c r="G25" s="16">
        <v>190</v>
      </c>
      <c r="H25" s="17"/>
      <c r="I25" s="18">
        <f t="shared" si="0"/>
        <v>190</v>
      </c>
      <c r="J25" s="19">
        <f t="shared" si="9"/>
        <v>212</v>
      </c>
      <c r="K25" s="20"/>
      <c r="L25" s="20"/>
      <c r="M25" s="20"/>
      <c r="N25" s="20"/>
      <c r="O25" s="20"/>
      <c r="P25" s="20"/>
      <c r="Q25" s="21">
        <f>IF($I25="","",IFERROR(INDEX(_玩家曲线!$H$2:$H$286,MATCH($I25,_玩家曲线!$A$2:$A$286,0)),""))</f>
        <v>2129172.68589918</v>
      </c>
      <c r="R25" s="21">
        <f>IF($I25="","",IFERROR(INDEX(_玩家曲线!$I$2:$I$286,MATCH($I25,_玩家曲线!$A$2:$A$286,0)),""))</f>
        <v>2650366.7337846</v>
      </c>
      <c r="S25" s="21">
        <f>IF(OR($J25="",$F25="不适用"),"",IFERROR(INDEX(_怪物模型!$D$2:$D$4501,MATCH(INT($J25)&amp;"|"&amp;$F25,_怪物模型!$A$2:$A$4501,0))*IF($K25="",1,$K25),""))</f>
        <v>9833595</v>
      </c>
      <c r="T25" s="21">
        <f>IF(OR($J25="",$F25="不适用"),"",IFERROR(INDEX(_怪物模型!$E$2:$E$4501,MATCH(INT($J25)&amp;"|"&amp;$F25,_怪物模型!$A$2:$A$4501,0))*IF($L25="",1,$L25),""))</f>
        <v>26239</v>
      </c>
      <c r="U25" s="21">
        <f>IF(OR($J25="",$F25="不适用"),"",IFERROR(INDEX(_怪物模型!$F$2:$F$4501,MATCH(INT($J25)&amp;"|"&amp;$F25,_怪物模型!$A$2:$A$4501,0))*IF($M25="",1,$M25),""))</f>
        <v>19154</v>
      </c>
      <c r="V25" s="22">
        <f t="shared" si="1"/>
        <v>0.443852250081105</v>
      </c>
      <c r="W25" s="23">
        <f t="shared" si="2"/>
        <v>17681623.27625</v>
      </c>
      <c r="X25" s="23">
        <f t="shared" si="3"/>
        <v>8.30445712240705</v>
      </c>
      <c r="Y25" s="23">
        <f t="shared" si="4"/>
        <v>101.008679209749</v>
      </c>
      <c r="Z25" s="24" t="str">
        <f t="shared" si="5"/>
        <v/>
      </c>
      <c r="AA25" s="6" t="str">
        <f t="shared" si="6"/>
        <v>已计算</v>
      </c>
      <c r="AB25" s="6" t="str">
        <f t="shared" si="7"/>
        <v>有效</v>
      </c>
      <c r="AC25" s="6" t="str">
        <f t="shared" si="8"/>
        <v/>
      </c>
      <c r="AD25" s="7" t="s">
        <v>694</v>
      </c>
    </row>
    <row r="26" ht="25" customHeight="1" spans="1:30">
      <c r="A26" s="6" t="s">
        <v>145</v>
      </c>
      <c r="B26" s="6" t="s">
        <v>58</v>
      </c>
      <c r="C26" s="7" t="s">
        <v>640</v>
      </c>
      <c r="D26" s="7" t="s">
        <v>695</v>
      </c>
      <c r="E26" s="7" t="s">
        <v>696</v>
      </c>
      <c r="F26" s="6" t="s">
        <v>642</v>
      </c>
      <c r="G26" s="16">
        <v>200</v>
      </c>
      <c r="H26" s="17"/>
      <c r="I26" s="18">
        <f t="shared" si="0"/>
        <v>200</v>
      </c>
      <c r="J26" s="19">
        <f t="shared" si="9"/>
        <v>222</v>
      </c>
      <c r="K26" s="20"/>
      <c r="L26" s="20"/>
      <c r="M26" s="20"/>
      <c r="N26" s="20"/>
      <c r="O26" s="20"/>
      <c r="P26" s="20"/>
      <c r="Q26" s="21">
        <f>IF($I26="","",IFERROR(INDEX(_玩家曲线!$H$2:$H$286,MATCH($I26,_玩家曲线!$A$2:$A$286,0)),""))</f>
        <v>2204645.59502853</v>
      </c>
      <c r="R26" s="21">
        <f>IF($I26="","",IFERROR(INDEX(_玩家曲线!$I$2:$I$286,MATCH($I26,_玩家曲线!$A$2:$A$286,0)),""))</f>
        <v>2716769.92465773</v>
      </c>
      <c r="S26" s="21">
        <f>IF(OR($J26="",$F26="不适用"),"",IFERROR(INDEX(_怪物模型!$D$2:$D$4501,MATCH(INT($J26)&amp;"|"&amp;$F26,_怪物模型!$A$2:$A$4501,0))*IF($K26="",1,$K26),""))</f>
        <v>11137773</v>
      </c>
      <c r="T26" s="21">
        <f>IF(OR($J26="",$F26="不适用"),"",IFERROR(INDEX(_怪物模型!$E$2:$E$4501,MATCH(INT($J26)&amp;"|"&amp;$F26,_怪物模型!$A$2:$A$4501,0))*IF($L26="",1,$L26),""))</f>
        <v>28850</v>
      </c>
      <c r="U26" s="21">
        <f>IF(OR($J26="",$F26="不适用"),"",IFERROR(INDEX(_怪物模型!$F$2:$F$4501,MATCH(INT($J26)&amp;"|"&amp;$F26,_怪物模型!$A$2:$A$4501,0))*IF($M26="",1,$M26),""))</f>
        <v>20262</v>
      </c>
      <c r="V26" s="22">
        <f t="shared" si="1"/>
        <v>0.457774162938864</v>
      </c>
      <c r="W26" s="23">
        <f t="shared" si="2"/>
        <v>20540837.85525</v>
      </c>
      <c r="X26" s="23">
        <f t="shared" si="3"/>
        <v>9.31707023639969</v>
      </c>
      <c r="Y26" s="23">
        <f t="shared" si="4"/>
        <v>94.1688015479282</v>
      </c>
      <c r="Z26" s="24" t="str">
        <f t="shared" si="5"/>
        <v/>
      </c>
      <c r="AA26" s="6" t="str">
        <f t="shared" si="6"/>
        <v>已计算</v>
      </c>
      <c r="AB26" s="6" t="str">
        <f t="shared" si="7"/>
        <v>有效</v>
      </c>
      <c r="AC26" s="6" t="str">
        <f t="shared" si="8"/>
        <v/>
      </c>
      <c r="AD26" s="7" t="s">
        <v>697</v>
      </c>
    </row>
    <row r="27" ht="25" customHeight="1" spans="1:30">
      <c r="A27" s="6" t="s">
        <v>145</v>
      </c>
      <c r="B27" s="6" t="s">
        <v>58</v>
      </c>
      <c r="C27" s="7" t="s">
        <v>640</v>
      </c>
      <c r="D27" s="7" t="s">
        <v>698</v>
      </c>
      <c r="E27" s="7" t="s">
        <v>699</v>
      </c>
      <c r="F27" s="6" t="s">
        <v>642</v>
      </c>
      <c r="G27" s="16">
        <v>210</v>
      </c>
      <c r="H27" s="17"/>
      <c r="I27" s="18">
        <f t="shared" si="0"/>
        <v>210</v>
      </c>
      <c r="J27" s="19">
        <f t="shared" si="9"/>
        <v>231</v>
      </c>
      <c r="K27" s="20"/>
      <c r="L27" s="20"/>
      <c r="M27" s="20"/>
      <c r="N27" s="20"/>
      <c r="O27" s="20"/>
      <c r="P27" s="20"/>
      <c r="Q27" s="21">
        <f>IF($I27="","",IFERROR(INDEX(_玩家曲线!$H$2:$H$286,MATCH($I27,_玩家曲线!$A$2:$A$286,0)),""))</f>
        <v>2268242.62901736</v>
      </c>
      <c r="R27" s="21">
        <f>IF($I27="","",IFERROR(INDEX(_玩家曲线!$I$2:$I$286,MATCH($I27,_玩家曲线!$A$2:$A$286,0)),""))</f>
        <v>2772327.20639026</v>
      </c>
      <c r="S27" s="21">
        <f>IF(OR($J27="",$F27="不适用"),"",IFERROR(INDEX(_怪物模型!$D$2:$D$4501,MATCH(INT($J27)&amp;"|"&amp;$F27,_怪物模型!$A$2:$A$4501,0))*IF($K27="",1,$K27),""))</f>
        <v>12419117</v>
      </c>
      <c r="T27" s="21">
        <f>IF(OR($J27="",$F27="不适用"),"",IFERROR(INDEX(_怪物模型!$E$2:$E$4501,MATCH(INT($J27)&amp;"|"&amp;$F27,_怪物模型!$A$2:$A$4501,0))*IF($L27="",1,$L27),""))</f>
        <v>31346</v>
      </c>
      <c r="U27" s="21">
        <f>IF(OR($J27="",$F27="不适用"),"",IFERROR(INDEX(_怪物模型!$F$2:$F$4501,MATCH(INT($J27)&amp;"|"&amp;$F27,_怪物模型!$A$2:$A$4501,0))*IF($M27="",1,$M27),""))</f>
        <v>21275</v>
      </c>
      <c r="V27" s="22">
        <f t="shared" si="1"/>
        <v>0.469906129210381</v>
      </c>
      <c r="W27" s="23">
        <f t="shared" si="2"/>
        <v>23428146.7572917</v>
      </c>
      <c r="X27" s="23">
        <f t="shared" si="3"/>
        <v>10.328765740304</v>
      </c>
      <c r="Y27" s="23">
        <f t="shared" si="4"/>
        <v>88.4427744015268</v>
      </c>
      <c r="Z27" s="24" t="str">
        <f t="shared" si="5"/>
        <v/>
      </c>
      <c r="AA27" s="6" t="str">
        <f t="shared" si="6"/>
        <v>已计算</v>
      </c>
      <c r="AB27" s="6" t="str">
        <f t="shared" si="7"/>
        <v>有效</v>
      </c>
      <c r="AC27" s="6" t="str">
        <f t="shared" si="8"/>
        <v/>
      </c>
      <c r="AD27" s="7" t="s">
        <v>700</v>
      </c>
    </row>
    <row r="28" ht="25" customHeight="1" spans="1:30">
      <c r="A28" s="6" t="s">
        <v>145</v>
      </c>
      <c r="B28" s="6" t="s">
        <v>58</v>
      </c>
      <c r="C28" s="7" t="s">
        <v>640</v>
      </c>
      <c r="D28" s="7" t="s">
        <v>701</v>
      </c>
      <c r="E28" s="7" t="s">
        <v>702</v>
      </c>
      <c r="F28" s="6" t="s">
        <v>642</v>
      </c>
      <c r="G28" s="16">
        <v>219</v>
      </c>
      <c r="H28" s="17"/>
      <c r="I28" s="18">
        <f t="shared" si="0"/>
        <v>219</v>
      </c>
      <c r="J28" s="19">
        <f t="shared" si="9"/>
        <v>240</v>
      </c>
      <c r="K28" s="20"/>
      <c r="L28" s="20"/>
      <c r="M28" s="20"/>
      <c r="N28" s="20"/>
      <c r="O28" s="20"/>
      <c r="P28" s="20"/>
      <c r="Q28" s="21">
        <f>IF($I28="","",IFERROR(INDEX(_玩家曲线!$H$2:$H$286,MATCH($I28,_玩家曲线!$A$2:$A$286,0)),""))</f>
        <v>2316676.23624057</v>
      </c>
      <c r="R28" s="21">
        <f>IF($I28="","",IFERROR(INDEX(_玩家曲线!$I$2:$I$286,MATCH($I28,_玩家曲线!$A$2:$A$286,0)),""))</f>
        <v>2814438.31909041</v>
      </c>
      <c r="S28" s="21">
        <f>IF(OR($J28="",$F28="不适用"),"",IFERROR(INDEX(_怪物模型!$D$2:$D$4501,MATCH(INT($J28)&amp;"|"&amp;$F28,_怪物模型!$A$2:$A$4501,0))*IF($K28="",1,$K28),""))</f>
        <v>13809105</v>
      </c>
      <c r="T28" s="21">
        <f>IF(OR($J28="",$F28="不适用"),"",IFERROR(INDEX(_怪物模型!$E$2:$E$4501,MATCH(INT($J28)&amp;"|"&amp;$F28,_怪物模型!$A$2:$A$4501,0))*IF($L28="",1,$L28),""))</f>
        <v>33984</v>
      </c>
      <c r="U28" s="21">
        <f>IF(OR($J28="",$F28="不适用"),"",IFERROR(INDEX(_怪物模型!$F$2:$F$4501,MATCH(INT($J28)&amp;"|"&amp;$F28,_怪物模型!$A$2:$A$4501,0))*IF($M28="",1,$M28),""))</f>
        <v>22303</v>
      </c>
      <c r="V28" s="22">
        <f t="shared" si="1"/>
        <v>0.48167505345226</v>
      </c>
      <c r="W28" s="23">
        <f t="shared" si="2"/>
        <v>26641791.200625</v>
      </c>
      <c r="X28" s="23">
        <f t="shared" si="3"/>
        <v>11.5000062519994</v>
      </c>
      <c r="Y28" s="23">
        <f t="shared" si="4"/>
        <v>82.8165701238939</v>
      </c>
      <c r="Z28" s="24" t="str">
        <f t="shared" si="5"/>
        <v/>
      </c>
      <c r="AA28" s="6" t="str">
        <f t="shared" si="6"/>
        <v>已计算</v>
      </c>
      <c r="AB28" s="6" t="str">
        <f t="shared" si="7"/>
        <v>有效</v>
      </c>
      <c r="AC28" s="6" t="str">
        <f t="shared" si="8"/>
        <v/>
      </c>
      <c r="AD28" s="7" t="s">
        <v>703</v>
      </c>
    </row>
    <row r="29" ht="25" customHeight="1" spans="1:30">
      <c r="A29" s="6" t="s">
        <v>145</v>
      </c>
      <c r="B29" s="6" t="s">
        <v>58</v>
      </c>
      <c r="C29" s="7" t="s">
        <v>640</v>
      </c>
      <c r="D29" s="7" t="s">
        <v>704</v>
      </c>
      <c r="E29" s="7" t="s">
        <v>705</v>
      </c>
      <c r="F29" s="6" t="s">
        <v>642</v>
      </c>
      <c r="G29" s="16">
        <v>229</v>
      </c>
      <c r="H29" s="17"/>
      <c r="I29" s="18">
        <f t="shared" si="0"/>
        <v>229</v>
      </c>
      <c r="J29" s="19">
        <f t="shared" si="9"/>
        <v>249</v>
      </c>
      <c r="K29" s="20"/>
      <c r="L29" s="20"/>
      <c r="M29" s="20"/>
      <c r="N29" s="20"/>
      <c r="O29" s="20"/>
      <c r="P29" s="20"/>
      <c r="Q29" s="21">
        <f>IF($I29="","",IFERROR(INDEX(_玩家曲线!$H$2:$H$286,MATCH($I29,_玩家曲线!$A$2:$A$286,0)),""))</f>
        <v>2362085.65763781</v>
      </c>
      <c r="R29" s="21">
        <f>IF($I29="","",IFERROR(INDEX(_玩家曲线!$I$2:$I$286,MATCH($I29,_玩家曲线!$A$2:$A$286,0)),""))</f>
        <v>2853801.31361689</v>
      </c>
      <c r="S29" s="21">
        <f>IF(OR($J29="",$F29="不适用"),"",IFERROR(INDEX(_怪物模型!$D$2:$D$4501,MATCH(INT($J29)&amp;"|"&amp;$F29,_怪物模型!$A$2:$A$4501,0))*IF($K29="",1,$K29),""))</f>
        <v>15314603</v>
      </c>
      <c r="T29" s="21">
        <f>IF(OR($J29="",$F29="不适用"),"",IFERROR(INDEX(_怪物模型!$E$2:$E$4501,MATCH(INT($J29)&amp;"|"&amp;$F29,_怪物模型!$A$2:$A$4501,0))*IF($L29="",1,$L29),""))</f>
        <v>36771</v>
      </c>
      <c r="U29" s="21">
        <f>IF(OR($J29="",$F29="不适用"),"",IFERROR(INDEX(_怪物模型!$F$2:$F$4501,MATCH(INT($J29)&amp;"|"&amp;$F29,_怪物模型!$A$2:$A$4501,0))*IF($M29="",1,$M29),""))</f>
        <v>23346</v>
      </c>
      <c r="V29" s="22">
        <f t="shared" si="1"/>
        <v>0.493093397541503</v>
      </c>
      <c r="W29" s="23">
        <f t="shared" si="2"/>
        <v>30211883.06825</v>
      </c>
      <c r="X29" s="23">
        <f t="shared" si="3"/>
        <v>12.7903418618879</v>
      </c>
      <c r="Y29" s="23">
        <f t="shared" si="4"/>
        <v>77.6101088797392</v>
      </c>
      <c r="Z29" s="24" t="str">
        <f t="shared" si="5"/>
        <v/>
      </c>
      <c r="AA29" s="6" t="str">
        <f t="shared" si="6"/>
        <v>已计算</v>
      </c>
      <c r="AB29" s="6" t="str">
        <f t="shared" si="7"/>
        <v>有效</v>
      </c>
      <c r="AC29" s="6" t="str">
        <f t="shared" si="8"/>
        <v/>
      </c>
      <c r="AD29" s="7" t="s">
        <v>706</v>
      </c>
    </row>
    <row r="30" ht="25" customHeight="1" spans="1:30">
      <c r="A30" s="6" t="s">
        <v>145</v>
      </c>
      <c r="B30" s="6" t="s">
        <v>58</v>
      </c>
      <c r="C30" s="7" t="s">
        <v>640</v>
      </c>
      <c r="D30" s="7" t="s">
        <v>707</v>
      </c>
      <c r="E30" s="7" t="s">
        <v>708</v>
      </c>
      <c r="F30" s="6" t="s">
        <v>642</v>
      </c>
      <c r="G30" s="16">
        <v>239</v>
      </c>
      <c r="H30" s="17"/>
      <c r="I30" s="18">
        <f t="shared" si="0"/>
        <v>239</v>
      </c>
      <c r="J30" s="19">
        <f t="shared" si="9"/>
        <v>259</v>
      </c>
      <c r="K30" s="20"/>
      <c r="L30" s="20"/>
      <c r="M30" s="20"/>
      <c r="N30" s="20"/>
      <c r="O30" s="20"/>
      <c r="P30" s="20"/>
      <c r="Q30" s="21">
        <f>IF($I30="","",IFERROR(INDEX(_玩家曲线!$H$2:$H$286,MATCH($I30,_玩家曲线!$A$2:$A$286,0)),""))</f>
        <v>2399944.70492432</v>
      </c>
      <c r="R30" s="21">
        <f>IF($I30="","",IFERROR(INDEX(_玩家曲线!$I$2:$I$286,MATCH($I30,_玩家曲线!$A$2:$A$286,0)),""))</f>
        <v>2886563.65497123</v>
      </c>
      <c r="S30" s="21">
        <f>IF(OR($J30="",$F30="不适用"),"",IFERROR(INDEX(_怪物模型!$D$2:$D$4501,MATCH(INT($J30)&amp;"|"&amp;$F30,_怪物模型!$A$2:$A$4501,0))*IF($K30="",1,$K30),""))</f>
        <v>17131595</v>
      </c>
      <c r="T30" s="21">
        <f>IF(OR($J30="",$F30="不适用"),"",IFERROR(INDEX(_怪物模型!$E$2:$E$4501,MATCH(INT($J30)&amp;"|"&amp;$F30,_怪物模型!$A$2:$A$4501,0))*IF($L30="",1,$L30),""))</f>
        <v>40048</v>
      </c>
      <c r="U30" s="21">
        <f>IF(OR($J30="",$F30="不适用"),"",IFERROR(INDEX(_怪物模型!$F$2:$F$4501,MATCH(INT($J30)&amp;"|"&amp;$F30,_怪物模型!$A$2:$A$4501,0))*IF($M30="",1,$M30),""))</f>
        <v>24522</v>
      </c>
      <c r="V30" s="22">
        <f t="shared" si="1"/>
        <v>0.505379003338692</v>
      </c>
      <c r="W30" s="23">
        <f t="shared" si="2"/>
        <v>34635802.19125</v>
      </c>
      <c r="X30" s="23">
        <f t="shared" si="3"/>
        <v>14.4319167521579</v>
      </c>
      <c r="Y30" s="23">
        <f t="shared" si="4"/>
        <v>72.0775982563731</v>
      </c>
      <c r="Z30" s="24" t="str">
        <f t="shared" si="5"/>
        <v/>
      </c>
      <c r="AA30" s="6" t="str">
        <f t="shared" si="6"/>
        <v>已计算</v>
      </c>
      <c r="AB30" s="6" t="str">
        <f t="shared" si="7"/>
        <v>有效</v>
      </c>
      <c r="AC30" s="6" t="str">
        <f t="shared" si="8"/>
        <v/>
      </c>
      <c r="AD30" s="7" t="s">
        <v>709</v>
      </c>
    </row>
    <row r="31" ht="25" customHeight="1" spans="1:30">
      <c r="A31" s="6" t="s">
        <v>145</v>
      </c>
      <c r="B31" s="6" t="s">
        <v>58</v>
      </c>
      <c r="C31" s="7" t="s">
        <v>640</v>
      </c>
      <c r="D31" s="7" t="s">
        <v>710</v>
      </c>
      <c r="E31" s="7" t="s">
        <v>711</v>
      </c>
      <c r="F31" s="6" t="s">
        <v>642</v>
      </c>
      <c r="G31" s="16">
        <v>249</v>
      </c>
      <c r="H31" s="17"/>
      <c r="I31" s="18">
        <f t="shared" si="0"/>
        <v>249</v>
      </c>
      <c r="J31" s="19">
        <f t="shared" si="9"/>
        <v>268</v>
      </c>
      <c r="K31" s="20"/>
      <c r="L31" s="20"/>
      <c r="M31" s="20"/>
      <c r="N31" s="20"/>
      <c r="O31" s="20"/>
      <c r="P31" s="20"/>
      <c r="Q31" s="21">
        <f>IF($I31="","",IFERROR(INDEX(_玩家曲线!$H$2:$H$286,MATCH($I31,_玩家曲线!$A$2:$A$286,0)),""))</f>
        <v>2431435.2071258</v>
      </c>
      <c r="R31" s="21">
        <f>IF($I31="","",IFERROR(INDEX(_玩家曲线!$I$2:$I$286,MATCH($I31,_玩家曲线!$A$2:$A$286,0)),""))</f>
        <v>2913803.54689852</v>
      </c>
      <c r="S31" s="21">
        <f>IF(OR($J31="",$F31="不适用"),"",IFERROR(INDEX(_怪物模型!$D$2:$D$4501,MATCH(INT($J31)&amp;"|"&amp;$F31,_怪物模型!$A$2:$A$4501,0))*IF($K31="",1,$K31),""))</f>
        <v>18904945</v>
      </c>
      <c r="T31" s="21">
        <f>IF(OR($J31="",$F31="不适用"),"",IFERROR(INDEX(_怪物模型!$E$2:$E$4501,MATCH(INT($J31)&amp;"|"&amp;$F31,_怪物模型!$A$2:$A$4501,0))*IF($L31="",1,$L31),""))</f>
        <v>43167</v>
      </c>
      <c r="U31" s="21">
        <f>IF(OR($J31="",$F31="不适用"),"",IFERROR(INDEX(_怪物模型!$F$2:$F$4501,MATCH(INT($J31)&amp;"|"&amp;$F31,_怪物模型!$A$2:$A$4501,0))*IF($M31="",1,$M31),""))</f>
        <v>25597</v>
      </c>
      <c r="V31" s="22">
        <f t="shared" si="1"/>
        <v>0.516099764098635</v>
      </c>
      <c r="W31" s="23">
        <f t="shared" si="2"/>
        <v>39067856.5485417</v>
      </c>
      <c r="X31" s="23">
        <f t="shared" si="3"/>
        <v>16.0678172439247</v>
      </c>
      <c r="Y31" s="23">
        <f t="shared" si="4"/>
        <v>67.5007192276165</v>
      </c>
      <c r="Z31" s="24" t="str">
        <f t="shared" si="5"/>
        <v/>
      </c>
      <c r="AA31" s="6" t="str">
        <f t="shared" si="6"/>
        <v>已计算</v>
      </c>
      <c r="AB31" s="6" t="str">
        <f t="shared" si="7"/>
        <v>有效</v>
      </c>
      <c r="AC31" s="6" t="str">
        <f t="shared" si="8"/>
        <v/>
      </c>
      <c r="AD31" s="7" t="s">
        <v>712</v>
      </c>
    </row>
    <row r="32" ht="25" customHeight="1" spans="1:30">
      <c r="A32" s="6" t="s">
        <v>145</v>
      </c>
      <c r="B32" s="6" t="s">
        <v>58</v>
      </c>
      <c r="C32" s="7" t="s">
        <v>640</v>
      </c>
      <c r="D32" s="7" t="s">
        <v>713</v>
      </c>
      <c r="E32" s="7" t="s">
        <v>714</v>
      </c>
      <c r="F32" s="6" t="s">
        <v>642</v>
      </c>
      <c r="G32" s="16">
        <v>259</v>
      </c>
      <c r="H32" s="17"/>
      <c r="I32" s="18">
        <f t="shared" si="0"/>
        <v>259</v>
      </c>
      <c r="J32" s="19">
        <f t="shared" si="9"/>
        <v>277</v>
      </c>
      <c r="K32" s="20"/>
      <c r="L32" s="20"/>
      <c r="M32" s="20"/>
      <c r="N32" s="20"/>
      <c r="O32" s="20"/>
      <c r="P32" s="20"/>
      <c r="Q32" s="21">
        <f>IF($I32="","",IFERROR(INDEX(_玩家曲线!$H$2:$H$286,MATCH($I32,_玩家曲线!$A$2:$A$286,0)),""))</f>
        <v>2457580.05598287</v>
      </c>
      <c r="R32" s="21">
        <f>IF($I32="","",IFERROR(INDEX(_玩家曲线!$I$2:$I$286,MATCH($I32,_玩家曲线!$A$2:$A$286,0)),""))</f>
        <v>2936434.27667212</v>
      </c>
      <c r="S32" s="21">
        <f>IF(OR($J32="",$F32="不适用"),"",IFERROR(INDEX(_怪物模型!$D$2:$D$4501,MATCH(INT($J32)&amp;"|"&amp;$F32,_怪物模型!$A$2:$A$4501,0))*IF($K32="",1,$K32),""))</f>
        <v>20817287</v>
      </c>
      <c r="T32" s="21">
        <f>IF(OR($J32="",$F32="不适用"),"",IFERROR(INDEX(_怪物模型!$E$2:$E$4501,MATCH(INT($J32)&amp;"|"&amp;$F32,_怪物模型!$A$2:$A$4501,0))*IF($L32="",1,$L32),""))</f>
        <v>46452</v>
      </c>
      <c r="U32" s="21">
        <f>IF(OR($J32="",$F32="不适用"),"",IFERROR(INDEX(_怪物模型!$F$2:$F$4501,MATCH(INT($J32)&amp;"|"&amp;$F32,_怪物模型!$A$2:$A$4501,0))*IF($M32="",1,$M32),""))</f>
        <v>26686</v>
      </c>
      <c r="V32" s="22">
        <f t="shared" si="1"/>
        <v>0.526496468452827</v>
      </c>
      <c r="W32" s="23">
        <f t="shared" si="2"/>
        <v>43964375.3700833</v>
      </c>
      <c r="X32" s="23">
        <f t="shared" si="3"/>
        <v>17.8892953102602</v>
      </c>
      <c r="Y32" s="23">
        <f t="shared" si="4"/>
        <v>63.2143777807655</v>
      </c>
      <c r="Z32" s="24" t="str">
        <f t="shared" si="5"/>
        <v/>
      </c>
      <c r="AA32" s="6" t="str">
        <f t="shared" si="6"/>
        <v>已计算</v>
      </c>
      <c r="AB32" s="6" t="str">
        <f t="shared" si="7"/>
        <v>有效</v>
      </c>
      <c r="AC32" s="6" t="str">
        <f t="shared" si="8"/>
        <v/>
      </c>
      <c r="AD32" s="7" t="s">
        <v>715</v>
      </c>
    </row>
    <row r="33" ht="25" customHeight="1" spans="1:30">
      <c r="A33" s="6" t="s">
        <v>145</v>
      </c>
      <c r="B33" s="6" t="s">
        <v>58</v>
      </c>
      <c r="C33" s="7" t="s">
        <v>640</v>
      </c>
      <c r="D33" s="7" t="s">
        <v>716</v>
      </c>
      <c r="E33" s="7" t="s">
        <v>717</v>
      </c>
      <c r="F33" s="6" t="s">
        <v>642</v>
      </c>
      <c r="G33" s="16">
        <v>269</v>
      </c>
      <c r="H33" s="17"/>
      <c r="I33" s="18">
        <f t="shared" si="0"/>
        <v>269</v>
      </c>
      <c r="J33" s="19">
        <f t="shared" si="9"/>
        <v>287</v>
      </c>
      <c r="K33" s="20"/>
      <c r="L33" s="20"/>
      <c r="M33" s="20"/>
      <c r="N33" s="20"/>
      <c r="O33" s="20"/>
      <c r="P33" s="20"/>
      <c r="Q33" s="21">
        <f>IF($I33="","",IFERROR(INDEX(_玩家曲线!$H$2:$H$286,MATCH($I33,_玩家曲线!$A$2:$A$286,0)),""))</f>
        <v>2479255.1795523</v>
      </c>
      <c r="R33" s="21">
        <f>IF($I33="","",IFERROR(INDEX(_玩家曲线!$I$2:$I$286,MATCH($I33,_玩家曲线!$A$2:$A$286,0)),""))</f>
        <v>2955225.39899877</v>
      </c>
      <c r="S33" s="21">
        <f>IF(OR($J33="",$F33="不适用"),"",IFERROR(INDEX(_怪物模型!$D$2:$D$4501,MATCH(INT($J33)&amp;"|"&amp;$F33,_怪物模型!$A$2:$A$4501,0))*IF($K33="",1,$K33),""))</f>
        <v>23115341</v>
      </c>
      <c r="T33" s="21">
        <f>IF(OR($J33="",$F33="不适用"),"",IFERROR(INDEX(_怪物模型!$E$2:$E$4501,MATCH(INT($J33)&amp;"|"&amp;$F33,_怪物模型!$A$2:$A$4501,0))*IF($L33="",1,$L33),""))</f>
        <v>50305</v>
      </c>
      <c r="U33" s="21">
        <f>IF(OR($J33="",$F33="不适用"),"",IFERROR(INDEX(_怪物模型!$F$2:$F$4501,MATCH(INT($J33)&amp;"|"&amp;$F33,_怪物模型!$A$2:$A$4501,0))*IF($M33="",1,$M33),""))</f>
        <v>27914</v>
      </c>
      <c r="V33" s="22">
        <f t="shared" si="1"/>
        <v>0.537696960357514</v>
      </c>
      <c r="W33" s="23">
        <f t="shared" si="2"/>
        <v>50000408.8614167</v>
      </c>
      <c r="X33" s="23">
        <f t="shared" si="3"/>
        <v>20.1675121116196</v>
      </c>
      <c r="Y33" s="23">
        <f t="shared" si="4"/>
        <v>58.7461564257782</v>
      </c>
      <c r="Z33" s="24" t="str">
        <f t="shared" si="5"/>
        <v/>
      </c>
      <c r="AA33" s="6" t="str">
        <f t="shared" si="6"/>
        <v>已计算</v>
      </c>
      <c r="AB33" s="6" t="str">
        <f t="shared" si="7"/>
        <v>有效</v>
      </c>
      <c r="AC33" s="6" t="str">
        <f t="shared" si="8"/>
        <v/>
      </c>
      <c r="AD33" s="7" t="s">
        <v>718</v>
      </c>
    </row>
    <row r="34" ht="25" customHeight="1" spans="1:30">
      <c r="A34" s="6" t="s">
        <v>145</v>
      </c>
      <c r="B34" s="6" t="s">
        <v>58</v>
      </c>
      <c r="C34" s="7" t="s">
        <v>640</v>
      </c>
      <c r="D34" s="7" t="s">
        <v>719</v>
      </c>
      <c r="E34" s="7" t="s">
        <v>720</v>
      </c>
      <c r="F34" s="6" t="s">
        <v>642</v>
      </c>
      <c r="G34" s="16">
        <v>279</v>
      </c>
      <c r="H34" s="17"/>
      <c r="I34" s="18">
        <f t="shared" si="0"/>
        <v>279</v>
      </c>
      <c r="J34" s="19">
        <v>296</v>
      </c>
      <c r="K34" s="20"/>
      <c r="L34" s="20"/>
      <c r="M34" s="20"/>
      <c r="N34" s="20"/>
      <c r="O34" s="20"/>
      <c r="P34" s="20"/>
      <c r="Q34" s="21">
        <f>IF($I34="","",IFERROR(INDEX(_玩家曲线!$H$2:$H$286,MATCH($I34,_玩家曲线!$A$2:$A$286,0)),""))</f>
        <v>2497204.47172539</v>
      </c>
      <c r="R34" s="21">
        <f>IF($I34="","",IFERROR(INDEX(_玩家曲线!$I$2:$I$286,MATCH($I34,_玩家曲线!$A$2:$A$286,0)),""))</f>
        <v>2970822.69299639</v>
      </c>
      <c r="S34" s="21">
        <f>IF(OR($J34="",$F34="不适用"),"",IFERROR(INDEX(_怪物模型!$D$2:$D$4501,MATCH(INT($J34)&amp;"|"&amp;$F34,_怪物模型!$A$2:$A$4501,0))*IF($K34="",1,$K34),""))</f>
        <v>25349018</v>
      </c>
      <c r="T34" s="21">
        <f>IF(OR($J34="",$F34="不适用"),"",IFERROR(INDEX(_怪物模型!$E$2:$E$4501,MATCH(INT($J34)&amp;"|"&amp;$F34,_怪物模型!$A$2:$A$4501,0))*IF($L34="",1,$L34),""))</f>
        <v>53961</v>
      </c>
      <c r="U34" s="21">
        <f>IF(OR($J34="",$F34="不适用"),"",IFERROR(INDEX(_怪物模型!$F$2:$F$4501,MATCH(INT($J34)&amp;"|"&amp;$F34,_怪物模型!$A$2:$A$4501,0))*IF($M34="",1,$M34),""))</f>
        <v>29034</v>
      </c>
      <c r="V34" s="22">
        <f t="shared" si="1"/>
        <v>0.547460119923068</v>
      </c>
      <c r="W34" s="23">
        <f t="shared" si="2"/>
        <v>56014992.5255</v>
      </c>
      <c r="X34" s="23">
        <f t="shared" si="3"/>
        <v>22.4310796972094</v>
      </c>
      <c r="Y34" s="23">
        <f t="shared" si="4"/>
        <v>55.0549969977649</v>
      </c>
      <c r="Z34" s="24" t="str">
        <f t="shared" si="5"/>
        <v/>
      </c>
      <c r="AA34" s="6" t="str">
        <f t="shared" si="6"/>
        <v>已计算</v>
      </c>
      <c r="AB34" s="6" t="str">
        <f t="shared" si="7"/>
        <v>有效</v>
      </c>
      <c r="AC34" s="6" t="str">
        <f t="shared" si="8"/>
        <v/>
      </c>
      <c r="AD34" s="7" t="s">
        <v>721</v>
      </c>
    </row>
  </sheetData>
  <mergeCells count="3">
    <mergeCell ref="A1:AD1"/>
    <mergeCell ref="A2:AD2"/>
    <mergeCell ref="A3:AD3"/>
  </mergeCells>
  <conditionalFormatting sqref="J5:J34">
    <cfRule type="expression" dxfId="2" priority="1">
      <formula>AND($A5&lt;&gt;"特殊：双方属性对算",$J5="")</formula>
    </cfRule>
  </conditionalFormatting>
  <conditionalFormatting sqref="AA5:AA34">
    <cfRule type="expression" dxfId="0" priority="3">
      <formula>$AA5="适中"</formula>
    </cfRule>
    <cfRule type="expression" dxfId="3" priority="4">
      <formula>$AA5="偏难"</formula>
    </cfRule>
    <cfRule type="expression" dxfId="1" priority="5">
      <formula>$AA5="过难"</formula>
    </cfRule>
    <cfRule type="expression" dxfId="1" priority="6">
      <formula>$AA5="生存不成立"</formula>
    </cfRule>
  </conditionalFormatting>
  <conditionalFormatting sqref="AB5:AB34">
    <cfRule type="expression" dxfId="4" priority="2">
      <formula>$AB5="超范围"</formula>
    </cfRule>
  </conditionalFormatting>
  <conditionalFormatting sqref="AC5:AC34">
    <cfRule type="expression" dxfId="4" priority="7">
      <formula>$AC5="下降"</formula>
    </cfRule>
  </conditionalFormatting>
  <dataValidations count="5">
    <dataValidation type="list" sqref="F5:F34">
      <formula1>_字典!$A$2:$A$11</formula1>
    </dataValidation>
    <dataValidation type="whole" operator="between" allowBlank="1" sqref="H5:H34">
      <formula1>1</formula1>
      <formula2>285</formula2>
    </dataValidation>
    <dataValidation type="whole" operator="between" allowBlank="1" sqref="J5:J34">
      <formula1>1</formula1>
      <formula2>500</formula2>
    </dataValidation>
    <dataValidation type="decimal" operator="between" allowBlank="1" sqref="P5:P34">
      <formula1>0.01</formula1>
      <formula2>3600</formula2>
    </dataValidation>
    <dataValidation type="decimal" operator="between" allowBlank="1" sqref="K5:O34">
      <formula1>0</formula1>
      <formula2>100</formula2>
    </dataValidation>
  </dataValidations>
  <hyperlinks>
    <hyperlink ref="A1" r:id="rId4" display="全玩法难度填写｜映射"/>
  </hyperlinks>
  <pageMargins left="0.75" right="0.75" top="1" bottom="1" header="0.5" footer="0.5"/>
  <pageSetup paperSize="1" orientation="landscape"/>
  <headerFooter/>
  <legacy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064A2"/>
    <pageSetUpPr fitToPage="1"/>
  </sheetPr>
  <dimension ref="A1:AD104"/>
  <sheetViews>
    <sheetView showGridLines="0" workbookViewId="0">
      <pane xSplit="6" ySplit="4" topLeftCell="G5" activePane="bottomRight" state="frozen"/>
      <selection/>
      <selection pane="topRight"/>
      <selection pane="bottomLeft"/>
      <selection pane="bottomRight" activeCell="A1" sqref="A1:AD1"/>
    </sheetView>
  </sheetViews>
  <sheetFormatPr defaultColWidth="9" defaultRowHeight="13.5"/>
  <cols>
    <col min="1" max="1" width="12" customWidth="1"/>
    <col min="2" max="2" width="13" customWidth="1"/>
    <col min="3" max="3" width="18" customWidth="1"/>
    <col min="4" max="4" width="15" customWidth="1"/>
    <col min="5" max="5" width="35" customWidth="1"/>
    <col min="6" max="9" width="14" customWidth="1"/>
    <col min="10" max="10" width="12" customWidth="1"/>
    <col min="11" max="13" width="11" customWidth="1"/>
    <col min="14" max="15" width="13" customWidth="1"/>
    <col min="16" max="16" width="12" customWidth="1"/>
    <col min="17" max="21" width="16" customWidth="1"/>
    <col min="22" max="22" width="12" customWidth="1"/>
    <col min="23" max="23" width="17" customWidth="1"/>
    <col min="24" max="25" width="14" customWidth="1"/>
    <col min="26" max="26" width="12" customWidth="1"/>
    <col min="27" max="27" width="15" customWidth="1"/>
    <col min="28" max="29" width="12" customWidth="1"/>
    <col min="30" max="30" width="46" customWidth="1"/>
  </cols>
  <sheetData>
    <row r="1" ht="34" customHeight="1" spans="1:30">
      <c r="A1" s="2" t="s">
        <v>722</v>
      </c>
    </row>
    <row r="2" ht="30" customHeight="1" spans="1:30">
      <c r="A2" s="3" t="s">
        <v>116</v>
      </c>
    </row>
    <row r="3" ht="14.25" customHeight="1" spans="1:30">
      <c r="A3" s="4" t="s">
        <v>117</v>
      </c>
    </row>
    <row r="4" ht="36" customHeight="1" spans="1:30">
      <c r="A4" s="5" t="s">
        <v>80</v>
      </c>
      <c r="B4" s="5" t="s">
        <v>79</v>
      </c>
      <c r="C4" s="5" t="s">
        <v>118</v>
      </c>
      <c r="D4" s="5" t="s">
        <v>119</v>
      </c>
      <c r="E4" s="5" t="s">
        <v>120</v>
      </c>
      <c r="F4" s="5" t="s">
        <v>121</v>
      </c>
      <c r="G4" s="5" t="s">
        <v>122</v>
      </c>
      <c r="H4" s="5" t="s">
        <v>123</v>
      </c>
      <c r="I4" s="5" t="s">
        <v>124</v>
      </c>
      <c r="J4" s="5" t="s">
        <v>125</v>
      </c>
      <c r="K4" s="5" t="s">
        <v>126</v>
      </c>
      <c r="L4" s="5" t="s">
        <v>127</v>
      </c>
      <c r="M4" s="5" t="s">
        <v>128</v>
      </c>
      <c r="N4" s="5" t="s">
        <v>129</v>
      </c>
      <c r="O4" s="5" t="s">
        <v>130</v>
      </c>
      <c r="P4" s="5" t="s">
        <v>131</v>
      </c>
      <c r="Q4" s="5" t="s">
        <v>132</v>
      </c>
      <c r="R4" s="5" t="s">
        <v>133</v>
      </c>
      <c r="S4" s="5" t="s">
        <v>134</v>
      </c>
      <c r="T4" s="5" t="s">
        <v>135</v>
      </c>
      <c r="U4" s="5" t="s">
        <v>136</v>
      </c>
      <c r="V4" s="5" t="s">
        <v>137</v>
      </c>
      <c r="W4" s="5" t="s">
        <v>138</v>
      </c>
      <c r="X4" s="5" t="s">
        <v>139</v>
      </c>
      <c r="Y4" s="5" t="s">
        <v>140</v>
      </c>
      <c r="Z4" s="5" t="s">
        <v>141</v>
      </c>
      <c r="AA4" s="5" t="s">
        <v>142</v>
      </c>
      <c r="AB4" s="5" t="s">
        <v>143</v>
      </c>
      <c r="AC4" s="5" t="s">
        <v>144</v>
      </c>
      <c r="AD4" s="5" t="s">
        <v>90</v>
      </c>
    </row>
    <row r="5" ht="25" customHeight="1" spans="1:30">
      <c r="A5" s="6" t="s">
        <v>145</v>
      </c>
      <c r="B5" s="6" t="s">
        <v>59</v>
      </c>
      <c r="C5" s="7" t="s">
        <v>723</v>
      </c>
      <c r="D5" s="7" t="s">
        <v>724</v>
      </c>
      <c r="E5" s="7" t="s">
        <v>725</v>
      </c>
      <c r="F5" s="6" t="s">
        <v>149</v>
      </c>
      <c r="G5" s="16">
        <v>24</v>
      </c>
      <c r="H5" s="17"/>
      <c r="I5" s="18">
        <f t="shared" ref="I5:I68" si="0">IF($H5="",$G5,$H5)</f>
        <v>24</v>
      </c>
      <c r="J5" s="19">
        <v>37</v>
      </c>
      <c r="K5" s="20"/>
      <c r="L5" s="20"/>
      <c r="M5" s="20"/>
      <c r="N5" s="20"/>
      <c r="O5" s="20"/>
      <c r="P5" s="20"/>
      <c r="Q5" s="21">
        <f>IF($I5="","",IFERROR(INDEX(_玩家曲线!$H$2:$H$286,MATCH($I5,_玩家曲线!$A$2:$A$286,0)),""))</f>
        <v>26573.2561562461</v>
      </c>
      <c r="R5" s="21">
        <f>IF($I5="","",IFERROR(INDEX(_玩家曲线!$I$2:$I$286,MATCH($I5,_玩家曲线!$A$2:$A$286,0)),""))</f>
        <v>79813.0282432992</v>
      </c>
      <c r="S5" s="21">
        <f>IF(OR($J5="",$F5="不适用"),"",IFERROR(INDEX(_怪物模型!$D$2:$D$4501,MATCH(INT($J5)&amp;"|"&amp;$F5,_怪物模型!$A$2:$A$4501,0))*IF($K5="",1,$K5),""))</f>
        <v>6876</v>
      </c>
      <c r="T5" s="21">
        <f>IF(OR($J5="",$F5="不适用"),"",IFERROR(INDEX(_怪物模型!$E$2:$E$4501,MATCH(INT($J5)&amp;"|"&amp;$F5,_怪物模型!$A$2:$A$4501,0))*IF($L5="",1,$L5),""))</f>
        <v>1595</v>
      </c>
      <c r="U5" s="21">
        <f>IF(OR($J5="",$F5="不适用"),"",IFERROR(INDEX(_怪物模型!$F$2:$F$4501,MATCH(INT($J5)&amp;"|"&amp;$F5,_怪物模型!$A$2:$A$4501,0))*IF($M5="",1,$M5),""))</f>
        <v>2746</v>
      </c>
      <c r="V5" s="22">
        <f t="shared" ref="V5:V68" si="1">IF($U5="","",MIN(0.75,$U5/($U5+24000)))</f>
        <v>0.102669558064757</v>
      </c>
      <c r="W5" s="23">
        <f t="shared" ref="W5:W68" si="2">IF($S5="","",$S5/(1-$V5)*IF($N5="",1,$N5))</f>
        <v>7662.729</v>
      </c>
      <c r="X5" s="23">
        <f t="shared" ref="X5:X68" si="3">IF(OR($W5="",$Q5="",$Q5=0),"",$W5/$Q5)</f>
        <v>0.288362440603609</v>
      </c>
      <c r="Y5" s="23">
        <f t="shared" ref="Y5:Y68" si="4">IF(OR($R5="",$T5="",$T5=0),"",$R5/($T5*IF($O5="",1,$O5)))</f>
        <v>50.0395161399995</v>
      </c>
      <c r="Z5" s="24" t="str">
        <f t="shared" ref="Z5:Z68" si="5">IF(OR($X5="",$P5="",$P5=0),"",$X5/$P5)</f>
        <v/>
      </c>
      <c r="AA5" s="6" t="str">
        <f t="shared" ref="AA5:AA68" si="6">IF($J5="","待填怪物等级",IF(OR($I5="",$Q5=""),"待填对照关卡",IF($P5="","已计算",IF(AND($Y5&lt;&gt;"",$Y5&lt;$X5),"生存不成立",IF($Z5&lt;0.5,"碾压",IF($Z5&lt;0.8,"偏简单",IF($Z5&lt;=1.2,"适中",IF($Z5&lt;=1.5,"偏难","过难"))))))))</f>
        <v>已计算</v>
      </c>
      <c r="AB5" s="6" t="str">
        <f t="shared" ref="AB5:AB68" si="7">IF($J5="","待填",IF(AND(ISNUMBER($J5),$J5&gt;=1,$J5&lt;=500,MOD($J5,1)=0),"有效","超范围"))</f>
        <v>有效</v>
      </c>
      <c r="AC5" s="6" t="str">
        <f t="shared" ref="AC5:AC68" si="8">IF(OR($J5="",ROW()=5,$B5&lt;&gt;$B4,$J4=""),"",IF($J5&lt;$J4,"下降",""))</f>
        <v/>
      </c>
      <c r="AD5" s="7" t="s">
        <v>726</v>
      </c>
    </row>
    <row r="6" ht="25" customHeight="1" spans="1:30">
      <c r="A6" s="6" t="s">
        <v>145</v>
      </c>
      <c r="B6" s="6" t="s">
        <v>59</v>
      </c>
      <c r="C6" s="7" t="s">
        <v>723</v>
      </c>
      <c r="D6" s="7" t="s">
        <v>727</v>
      </c>
      <c r="E6" s="7" t="s">
        <v>728</v>
      </c>
      <c r="F6" s="6" t="s">
        <v>149</v>
      </c>
      <c r="G6" s="16">
        <v>25</v>
      </c>
      <c r="H6" s="17"/>
      <c r="I6" s="18">
        <f t="shared" si="0"/>
        <v>25</v>
      </c>
      <c r="J6" s="19">
        <v>44</v>
      </c>
      <c r="K6" s="20"/>
      <c r="L6" s="20"/>
      <c r="M6" s="20"/>
      <c r="N6" s="20"/>
      <c r="O6" s="20"/>
      <c r="P6" s="20"/>
      <c r="Q6" s="21">
        <f>IF($I6="","",IFERROR(INDEX(_玩家曲线!$H$2:$H$286,MATCH($I6,_玩家曲线!$A$2:$A$286,0)),""))</f>
        <v>28858.159447132</v>
      </c>
      <c r="R6" s="21">
        <f>IF($I6="","",IFERROR(INDEX(_玩家曲线!$I$2:$I$286,MATCH($I6,_玩家曲线!$A$2:$A$286,0)),""))</f>
        <v>85514.3881828406</v>
      </c>
      <c r="S6" s="21">
        <f>IF(OR($J6="",$F6="不适用"),"",IFERROR(INDEX(_怪物模型!$D$2:$D$4501,MATCH(INT($J6)&amp;"|"&amp;$F6,_怪物模型!$A$2:$A$4501,0))*IF($K6="",1,$K6),""))</f>
        <v>8926</v>
      </c>
      <c r="T6" s="21">
        <f>IF(OR($J6="",$F6="不适用"),"",IFERROR(INDEX(_怪物模型!$E$2:$E$4501,MATCH(INT($J6)&amp;"|"&amp;$F6,_怪物模型!$A$2:$A$4501,0))*IF($L6="",1,$L6),""))</f>
        <v>2001</v>
      </c>
      <c r="U6" s="21">
        <f>IF(OR($J6="",$F6="不适用"),"",IFERROR(INDEX(_怪物模型!$F$2:$F$4501,MATCH(INT($J6)&amp;"|"&amp;$F6,_怪物模型!$A$2:$A$4501,0))*IF($M6="",1,$M6),""))</f>
        <v>3294</v>
      </c>
      <c r="V6" s="22">
        <f t="shared" si="1"/>
        <v>0.12068586502528</v>
      </c>
      <c r="W6" s="23">
        <f t="shared" si="2"/>
        <v>10151.0935</v>
      </c>
      <c r="X6" s="23">
        <f t="shared" si="3"/>
        <v>0.351758174965966</v>
      </c>
      <c r="Y6" s="23">
        <f t="shared" si="4"/>
        <v>42.7358261783311</v>
      </c>
      <c r="Z6" s="24" t="str">
        <f t="shared" si="5"/>
        <v/>
      </c>
      <c r="AA6" s="6" t="str">
        <f t="shared" si="6"/>
        <v>已计算</v>
      </c>
      <c r="AB6" s="6" t="str">
        <f t="shared" si="7"/>
        <v>有效</v>
      </c>
      <c r="AC6" s="6" t="str">
        <f t="shared" si="8"/>
        <v/>
      </c>
      <c r="AD6" s="7" t="s">
        <v>729</v>
      </c>
    </row>
    <row r="7" ht="25" customHeight="1" spans="1:30">
      <c r="A7" s="6" t="s">
        <v>145</v>
      </c>
      <c r="B7" s="6" t="s">
        <v>59</v>
      </c>
      <c r="C7" s="7" t="s">
        <v>723</v>
      </c>
      <c r="D7" s="7" t="s">
        <v>730</v>
      </c>
      <c r="E7" s="7" t="s">
        <v>731</v>
      </c>
      <c r="F7" s="6" t="s">
        <v>149</v>
      </c>
      <c r="G7" s="16">
        <v>27</v>
      </c>
      <c r="H7" s="17"/>
      <c r="I7" s="18">
        <f t="shared" si="0"/>
        <v>27</v>
      </c>
      <c r="J7" s="19">
        <v>51</v>
      </c>
      <c r="K7" s="20"/>
      <c r="L7" s="20"/>
      <c r="M7" s="20"/>
      <c r="N7" s="20"/>
      <c r="O7" s="20"/>
      <c r="P7" s="20"/>
      <c r="Q7" s="21">
        <f>IF($I7="","",IFERROR(INDEX(_玩家曲线!$H$2:$H$286,MATCH($I7,_玩家曲线!$A$2:$A$286,0)),""))</f>
        <v>33727.3710066178</v>
      </c>
      <c r="R7" s="21">
        <f>IF($I7="","",IFERROR(INDEX(_玩家曲线!$I$2:$I$286,MATCH($I7,_玩家曲线!$A$2:$A$286,0)),""))</f>
        <v>97399.9368272031</v>
      </c>
      <c r="S7" s="21">
        <f>IF(OR($J7="",$F7="不适用"),"",IFERROR(INDEX(_怪物模型!$D$2:$D$4501,MATCH(INT($J7)&amp;"|"&amp;$F7,_怪物模型!$A$2:$A$4501,0))*IF($K7="",1,$K7),""))</f>
        <v>11228</v>
      </c>
      <c r="T7" s="21">
        <f>IF(OR($J7="",$F7="不适用"),"",IFERROR(INDEX(_怪物模型!$E$2:$E$4501,MATCH(INT($J7)&amp;"|"&amp;$F7,_怪物模型!$A$2:$A$4501,0))*IF($L7="",1,$L7),""))</f>
        <v>2443</v>
      </c>
      <c r="U7" s="21">
        <f>IF(OR($J7="",$F7="不适用"),"",IFERROR(INDEX(_怪物模型!$F$2:$F$4501,MATCH(INT($J7)&amp;"|"&amp;$F7,_怪物模型!$A$2:$A$4501,0))*IF($M7="",1,$M7),""))</f>
        <v>3851</v>
      </c>
      <c r="V7" s="22">
        <f t="shared" si="1"/>
        <v>0.138271516283078</v>
      </c>
      <c r="W7" s="23">
        <f t="shared" si="2"/>
        <v>13029.6261666667</v>
      </c>
      <c r="X7" s="23">
        <f t="shared" si="3"/>
        <v>0.38632202207845</v>
      </c>
      <c r="Y7" s="23">
        <f t="shared" si="4"/>
        <v>39.8689876492849</v>
      </c>
      <c r="Z7" s="24" t="str">
        <f t="shared" si="5"/>
        <v/>
      </c>
      <c r="AA7" s="6" t="str">
        <f t="shared" si="6"/>
        <v>已计算</v>
      </c>
      <c r="AB7" s="6" t="str">
        <f t="shared" si="7"/>
        <v>有效</v>
      </c>
      <c r="AC7" s="6" t="str">
        <f t="shared" si="8"/>
        <v/>
      </c>
      <c r="AD7" s="7" t="s">
        <v>732</v>
      </c>
    </row>
    <row r="8" ht="25" customHeight="1" spans="1:30">
      <c r="A8" s="6" t="s">
        <v>145</v>
      </c>
      <c r="B8" s="6" t="s">
        <v>59</v>
      </c>
      <c r="C8" s="7" t="s">
        <v>723</v>
      </c>
      <c r="D8" s="7" t="s">
        <v>733</v>
      </c>
      <c r="E8" s="7" t="s">
        <v>734</v>
      </c>
      <c r="F8" s="6" t="s">
        <v>149</v>
      </c>
      <c r="G8" s="16">
        <v>29</v>
      </c>
      <c r="H8" s="17"/>
      <c r="I8" s="18">
        <f t="shared" si="0"/>
        <v>29</v>
      </c>
      <c r="J8" s="19">
        <v>59</v>
      </c>
      <c r="K8" s="20"/>
      <c r="L8" s="20"/>
      <c r="M8" s="20"/>
      <c r="N8" s="20"/>
      <c r="O8" s="20"/>
      <c r="P8" s="20"/>
      <c r="Q8" s="21">
        <f>IF($I8="","",IFERROR(INDEX(_玩家曲线!$H$2:$H$286,MATCH($I8,_玩家曲线!$A$2:$A$286,0)),""))</f>
        <v>38996.8496015956</v>
      </c>
      <c r="R8" s="21">
        <f>IF($I8="","",IFERROR(INDEX(_玩家曲线!$I$2:$I$286,MATCH($I8,_玩家曲线!$A$2:$A$286,0)),""))</f>
        <v>109916.17634084</v>
      </c>
      <c r="S8" s="21">
        <f>IF(OR($J8="",$F8="不适用"),"",IFERROR(INDEX(_怪物模型!$D$2:$D$4501,MATCH(INT($J8)&amp;"|"&amp;$F8,_怪物模型!$A$2:$A$4501,0))*IF($K8="",1,$K8),""))</f>
        <v>14185</v>
      </c>
      <c r="T8" s="21">
        <f>IF(OR($J8="",$F8="不适用"),"",IFERROR(INDEX(_怪物模型!$E$2:$E$4501,MATCH(INT($J8)&amp;"|"&amp;$F8,_怪物模型!$A$2:$A$4501,0))*IF($L8="",1,$L8),""))</f>
        <v>2994</v>
      </c>
      <c r="U8" s="21">
        <f>IF(OR($J8="",$F8="不适用"),"",IFERROR(INDEX(_怪物模型!$F$2:$F$4501,MATCH(INT($J8)&amp;"|"&amp;$F8,_怪物模型!$A$2:$A$4501,0))*IF($M8="",1,$M8),""))</f>
        <v>4499</v>
      </c>
      <c r="V8" s="22">
        <f t="shared" si="1"/>
        <v>0.157865188252219</v>
      </c>
      <c r="W8" s="23">
        <f t="shared" si="2"/>
        <v>16844.0964583333</v>
      </c>
      <c r="X8" s="23">
        <f t="shared" si="3"/>
        <v>0.431934800642053</v>
      </c>
      <c r="Y8" s="23">
        <f t="shared" si="4"/>
        <v>36.7121497464395</v>
      </c>
      <c r="Z8" s="24" t="str">
        <f t="shared" si="5"/>
        <v/>
      </c>
      <c r="AA8" s="6" t="str">
        <f t="shared" si="6"/>
        <v>已计算</v>
      </c>
      <c r="AB8" s="6" t="str">
        <f t="shared" si="7"/>
        <v>有效</v>
      </c>
      <c r="AC8" s="6" t="str">
        <f t="shared" si="8"/>
        <v/>
      </c>
      <c r="AD8" s="7" t="s">
        <v>735</v>
      </c>
    </row>
    <row r="9" ht="25" customHeight="1" spans="1:30">
      <c r="A9" s="6" t="s">
        <v>145</v>
      </c>
      <c r="B9" s="6" t="s">
        <v>59</v>
      </c>
      <c r="C9" s="7" t="s">
        <v>723</v>
      </c>
      <c r="D9" s="7" t="s">
        <v>736</v>
      </c>
      <c r="E9" s="7" t="s">
        <v>737</v>
      </c>
      <c r="F9" s="6" t="s">
        <v>738</v>
      </c>
      <c r="G9" s="16">
        <v>30</v>
      </c>
      <c r="H9" s="17"/>
      <c r="I9" s="18">
        <f t="shared" si="0"/>
        <v>30</v>
      </c>
      <c r="J9" s="19">
        <v>65</v>
      </c>
      <c r="K9" s="20"/>
      <c r="L9" s="20"/>
      <c r="M9" s="20"/>
      <c r="N9" s="20"/>
      <c r="O9" s="20"/>
      <c r="P9" s="20"/>
      <c r="Q9" s="21">
        <f>IF($I9="","",IFERROR(INDEX(_玩家曲线!$H$2:$H$286,MATCH($I9,_玩家曲线!$A$2:$A$286,0)),""))</f>
        <v>40962.4406605056</v>
      </c>
      <c r="R9" s="21">
        <f>IF($I9="","",IFERROR(INDEX(_玩家曲线!$I$2:$I$286,MATCH($I9,_玩家曲线!$A$2:$A$286,0)),""))</f>
        <v>114123.206676371</v>
      </c>
      <c r="S9" s="21">
        <f>IF(OR($J9="",$F9="不适用"),"",IFERROR(INDEX(_怪物模型!$D$2:$D$4501,MATCH(INT($J9)&amp;"|"&amp;$F9,_怪物模型!$A$2:$A$4501,0))*IF($K9="",1,$K9),""))</f>
        <v>66576</v>
      </c>
      <c r="T9" s="21">
        <f>IF(OR($J9="",$F9="不适用"),"",IFERROR(INDEX(_怪物模型!$E$2:$E$4501,MATCH(INT($J9)&amp;"|"&amp;$F9,_怪物模型!$A$2:$A$4501,0))*IF($L9="",1,$L9),""))</f>
        <v>3441</v>
      </c>
      <c r="U9" s="21">
        <f>IF(OR($J9="",$F9="不适用"),"",IFERROR(INDEX(_怪物模型!$F$2:$F$4501,MATCH(INT($J9)&amp;"|"&amp;$F9,_怪物模型!$A$2:$A$4501,0))*IF($M9="",1,$M9),""))</f>
        <v>4992</v>
      </c>
      <c r="V9" s="22">
        <f t="shared" si="1"/>
        <v>0.172185430463576</v>
      </c>
      <c r="W9" s="23">
        <f t="shared" si="2"/>
        <v>80423.808</v>
      </c>
      <c r="X9" s="23">
        <f t="shared" si="3"/>
        <v>1.96335488567559</v>
      </c>
      <c r="Y9" s="23">
        <f t="shared" si="4"/>
        <v>33.1657095833685</v>
      </c>
      <c r="Z9" s="24" t="str">
        <f t="shared" si="5"/>
        <v/>
      </c>
      <c r="AA9" s="6" t="str">
        <f t="shared" si="6"/>
        <v>已计算</v>
      </c>
      <c r="AB9" s="6" t="str">
        <f t="shared" si="7"/>
        <v>有效</v>
      </c>
      <c r="AC9" s="6" t="str">
        <f t="shared" si="8"/>
        <v/>
      </c>
      <c r="AD9" s="7" t="s">
        <v>739</v>
      </c>
    </row>
    <row r="10" ht="25" customHeight="1" spans="1:30">
      <c r="A10" s="6" t="s">
        <v>145</v>
      </c>
      <c r="B10" s="6" t="s">
        <v>59</v>
      </c>
      <c r="C10" s="7" t="s">
        <v>723</v>
      </c>
      <c r="D10" s="7" t="s">
        <v>740</v>
      </c>
      <c r="E10" s="7" t="s">
        <v>741</v>
      </c>
      <c r="F10" s="6" t="s">
        <v>149</v>
      </c>
      <c r="G10" s="16">
        <v>32</v>
      </c>
      <c r="H10" s="17"/>
      <c r="I10" s="18">
        <f t="shared" si="0"/>
        <v>32</v>
      </c>
      <c r="J10" s="19">
        <v>73</v>
      </c>
      <c r="K10" s="20"/>
      <c r="L10" s="20"/>
      <c r="M10" s="20"/>
      <c r="N10" s="20"/>
      <c r="O10" s="20"/>
      <c r="P10" s="20"/>
      <c r="Q10" s="21">
        <f>IF($I10="","",IFERROR(INDEX(_玩家曲线!$H$2:$H$286,MATCH($I10,_玩家曲线!$A$2:$A$286,0)),""))</f>
        <v>50461.2092632005</v>
      </c>
      <c r="R10" s="21">
        <f>IF($I10="","",IFERROR(INDEX(_玩家曲线!$I$2:$I$286,MATCH($I10,_玩家曲线!$A$2:$A$286,0)),""))</f>
        <v>134928.232078736</v>
      </c>
      <c r="S10" s="21">
        <f>IF(OR($J10="",$F10="不适用"),"",IFERROR(INDEX(_怪物模型!$D$2:$D$4501,MATCH(INT($J10)&amp;"|"&amp;$F10,_怪物模型!$A$2:$A$4501,0))*IF($K10="",1,$K10),""))</f>
        <v>20268</v>
      </c>
      <c r="T10" s="21">
        <f>IF(OR($J10="",$F10="不适用"),"",IFERROR(INDEX(_怪物模型!$E$2:$E$4501,MATCH(INT($J10)&amp;"|"&amp;$F10,_怪物模型!$A$2:$A$4501,0))*IF($L10="",1,$L10),""))</f>
        <v>4084</v>
      </c>
      <c r="U10" s="21">
        <f>IF(OR($J10="",$F10="不适用"),"",IFERROR(INDEX(_怪物模型!$F$2:$F$4501,MATCH(INT($J10)&amp;"|"&amp;$F10,_怪物模型!$A$2:$A$4501,0))*IF($M10="",1,$M10),""))</f>
        <v>5661</v>
      </c>
      <c r="V10" s="22">
        <f t="shared" si="1"/>
        <v>0.190856680489532</v>
      </c>
      <c r="W10" s="23">
        <f t="shared" si="2"/>
        <v>25048.7145</v>
      </c>
      <c r="X10" s="23">
        <f t="shared" si="3"/>
        <v>0.496395446437846</v>
      </c>
      <c r="Y10" s="23">
        <f t="shared" si="4"/>
        <v>33.0382546715808</v>
      </c>
      <c r="Z10" s="24" t="str">
        <f t="shared" si="5"/>
        <v/>
      </c>
      <c r="AA10" s="6" t="str">
        <f t="shared" si="6"/>
        <v>已计算</v>
      </c>
      <c r="AB10" s="6" t="str">
        <f t="shared" si="7"/>
        <v>有效</v>
      </c>
      <c r="AC10" s="6" t="str">
        <f t="shared" si="8"/>
        <v/>
      </c>
      <c r="AD10" s="7" t="s">
        <v>742</v>
      </c>
    </row>
    <row r="11" ht="25" customHeight="1" spans="1:30">
      <c r="A11" s="6" t="s">
        <v>145</v>
      </c>
      <c r="B11" s="6" t="s">
        <v>59</v>
      </c>
      <c r="C11" s="7" t="s">
        <v>723</v>
      </c>
      <c r="D11" s="7" t="s">
        <v>743</v>
      </c>
      <c r="E11" s="7" t="s">
        <v>744</v>
      </c>
      <c r="F11" s="6" t="s">
        <v>149</v>
      </c>
      <c r="G11" s="16">
        <v>34</v>
      </c>
      <c r="H11" s="17"/>
      <c r="I11" s="18">
        <f t="shared" si="0"/>
        <v>34</v>
      </c>
      <c r="J11" s="19">
        <v>79</v>
      </c>
      <c r="K11" s="20"/>
      <c r="L11" s="20"/>
      <c r="M11" s="20"/>
      <c r="N11" s="20"/>
      <c r="O11" s="20"/>
      <c r="P11" s="20"/>
      <c r="Q11" s="21">
        <f>IF($I11="","",IFERROR(INDEX(_玩家曲线!$H$2:$H$286,MATCH($I11,_玩家曲线!$A$2:$A$286,0)),""))</f>
        <v>60703.9563472719</v>
      </c>
      <c r="R11" s="21">
        <f>IF($I11="","",IFERROR(INDEX(_玩家曲线!$I$2:$I$286,MATCH($I11,_玩家曲线!$A$2:$A$286,0)),""))</f>
        <v>156636.602390652</v>
      </c>
      <c r="S11" s="21">
        <f>IF(OR($J11="",$F11="不适用"),"",IFERROR(INDEX(_怪物模型!$D$2:$D$4501,MATCH(INT($J11)&amp;"|"&amp;$F11,_怪物模型!$A$2:$A$4501,0))*IF($K11="",1,$K11),""))</f>
        <v>23260</v>
      </c>
      <c r="T11" s="21">
        <f>IF(OR($J11="",$F11="不适用"),"",IFERROR(INDEX(_怪物模型!$E$2:$E$4501,MATCH(INT($J11)&amp;"|"&amp;$F11,_怪物模型!$A$2:$A$4501,0))*IF($L11="",1,$L11),""))</f>
        <v>4602</v>
      </c>
      <c r="U11" s="21">
        <f>IF(OR($J11="",$F11="不适用"),"",IFERROR(INDEX(_怪物模型!$F$2:$F$4501,MATCH(INT($J11)&amp;"|"&amp;$F11,_怪物模型!$A$2:$A$4501,0))*IF($M11="",1,$M11),""))</f>
        <v>6170</v>
      </c>
      <c r="V11" s="22">
        <f t="shared" si="1"/>
        <v>0.204507789194564</v>
      </c>
      <c r="W11" s="23">
        <f t="shared" si="2"/>
        <v>29239.7583333333</v>
      </c>
      <c r="X11" s="23">
        <f t="shared" si="3"/>
        <v>0.481677967842164</v>
      </c>
      <c r="Y11" s="23">
        <f t="shared" si="4"/>
        <v>34.0366367645919</v>
      </c>
      <c r="Z11" s="24" t="str">
        <f t="shared" si="5"/>
        <v/>
      </c>
      <c r="AA11" s="6" t="str">
        <f t="shared" si="6"/>
        <v>已计算</v>
      </c>
      <c r="AB11" s="6" t="str">
        <f t="shared" si="7"/>
        <v>有效</v>
      </c>
      <c r="AC11" s="6" t="str">
        <f t="shared" si="8"/>
        <v/>
      </c>
      <c r="AD11" s="7" t="s">
        <v>745</v>
      </c>
    </row>
    <row r="12" ht="25" customHeight="1" spans="1:30">
      <c r="A12" s="6" t="s">
        <v>145</v>
      </c>
      <c r="B12" s="6" t="s">
        <v>59</v>
      </c>
      <c r="C12" s="7" t="s">
        <v>723</v>
      </c>
      <c r="D12" s="7" t="s">
        <v>746</v>
      </c>
      <c r="E12" s="7" t="s">
        <v>747</v>
      </c>
      <c r="F12" s="6" t="s">
        <v>149</v>
      </c>
      <c r="G12" s="16">
        <v>36</v>
      </c>
      <c r="H12" s="17"/>
      <c r="I12" s="18">
        <f t="shared" si="0"/>
        <v>36</v>
      </c>
      <c r="J12" s="19">
        <v>86</v>
      </c>
      <c r="K12" s="20"/>
      <c r="L12" s="20"/>
      <c r="M12" s="20"/>
      <c r="N12" s="20"/>
      <c r="O12" s="20"/>
      <c r="P12" s="20"/>
      <c r="Q12" s="21">
        <f>IF($I12="","",IFERROR(INDEX(_玩家曲线!$H$2:$H$286,MATCH($I12,_玩家曲线!$A$2:$A$286,0)),""))</f>
        <v>71672.5909486815</v>
      </c>
      <c r="R12" s="21">
        <f>IF($I12="","",IFERROR(INDEX(_玩家曲线!$I$2:$I$286,MATCH($I12,_玩家曲线!$A$2:$A$286,0)),""))</f>
        <v>179164.990773805</v>
      </c>
      <c r="S12" s="21">
        <f>IF(OR($J12="",$F12="不适用"),"",IFERROR(INDEX(_怪物模型!$D$2:$D$4501,MATCH(INT($J12)&amp;"|"&amp;$F12,_怪物模型!$A$2:$A$4501,0))*IF($K12="",1,$K12),""))</f>
        <v>27068</v>
      </c>
      <c r="T12" s="21">
        <f>IF(OR($J12="",$F12="不适用"),"",IFERROR(INDEX(_怪物模型!$E$2:$E$4501,MATCH(INT($J12)&amp;"|"&amp;$F12,_怪物模型!$A$2:$A$4501,0))*IF($L12="",1,$L12),""))</f>
        <v>5246</v>
      </c>
      <c r="U12" s="21">
        <f>IF(OR($J12="",$F12="不适用"),"",IFERROR(INDEX(_怪物模型!$F$2:$F$4501,MATCH(INT($J12)&amp;"|"&amp;$F12,_怪物模型!$A$2:$A$4501,0))*IF($M12="",1,$M12),""))</f>
        <v>6772</v>
      </c>
      <c r="V12" s="22">
        <f t="shared" si="1"/>
        <v>0.220070193682569</v>
      </c>
      <c r="W12" s="23">
        <f t="shared" si="2"/>
        <v>34705.6873333333</v>
      </c>
      <c r="X12" s="23">
        <f t="shared" si="3"/>
        <v>0.484225376450853</v>
      </c>
      <c r="Y12" s="23">
        <f t="shared" si="4"/>
        <v>34.152686003394</v>
      </c>
      <c r="Z12" s="24" t="str">
        <f t="shared" si="5"/>
        <v/>
      </c>
      <c r="AA12" s="6" t="str">
        <f t="shared" si="6"/>
        <v>已计算</v>
      </c>
      <c r="AB12" s="6" t="str">
        <f t="shared" si="7"/>
        <v>有效</v>
      </c>
      <c r="AC12" s="6" t="str">
        <f t="shared" si="8"/>
        <v/>
      </c>
      <c r="AD12" s="7" t="s">
        <v>748</v>
      </c>
    </row>
    <row r="13" ht="25" customHeight="1" spans="1:30">
      <c r="A13" s="6" t="s">
        <v>145</v>
      </c>
      <c r="B13" s="6" t="s">
        <v>59</v>
      </c>
      <c r="C13" s="7" t="s">
        <v>723</v>
      </c>
      <c r="D13" s="7" t="s">
        <v>749</v>
      </c>
      <c r="E13" s="7" t="s">
        <v>750</v>
      </c>
      <c r="F13" s="6" t="s">
        <v>149</v>
      </c>
      <c r="G13" s="16">
        <v>38</v>
      </c>
      <c r="H13" s="17"/>
      <c r="I13" s="18">
        <f t="shared" si="0"/>
        <v>38</v>
      </c>
      <c r="J13" s="19">
        <v>93</v>
      </c>
      <c r="K13" s="20"/>
      <c r="L13" s="20"/>
      <c r="M13" s="20"/>
      <c r="N13" s="20"/>
      <c r="O13" s="20"/>
      <c r="P13" s="20"/>
      <c r="Q13" s="21">
        <f>IF($I13="","",IFERROR(INDEX(_玩家曲线!$H$2:$H$286,MATCH($I13,_玩家曲线!$A$2:$A$286,0)),""))</f>
        <v>83344.7358859077</v>
      </c>
      <c r="R13" s="21">
        <f>IF($I13="","",IFERROR(INDEX(_玩家曲线!$I$2:$I$286,MATCH($I13,_玩家曲线!$A$2:$A$286,0)),""))</f>
        <v>202430.845734616</v>
      </c>
      <c r="S13" s="21">
        <f>IF(OR($J13="",$F13="不适用"),"",IFERROR(INDEX(_怪物模型!$D$2:$D$4501,MATCH(INT($J13)&amp;"|"&amp;$F13,_怪物模型!$A$2:$A$4501,0))*IF($K13="",1,$K13),""))</f>
        <v>31240</v>
      </c>
      <c r="T13" s="21">
        <f>IF(OR($J13="",$F13="不适用"),"",IFERROR(INDEX(_怪物模型!$E$2:$E$4501,MATCH(INT($J13)&amp;"|"&amp;$F13,_怪物模型!$A$2:$A$4501,0))*IF($L13="",1,$L13),""))</f>
        <v>5936</v>
      </c>
      <c r="U13" s="21">
        <f>IF(OR($J13="",$F13="不适用"),"",IFERROR(INDEX(_怪物模型!$F$2:$F$4501,MATCH(INT($J13)&amp;"|"&amp;$F13,_怪物模型!$A$2:$A$4501,0))*IF($M13="",1,$M13),""))</f>
        <v>7383</v>
      </c>
      <c r="V13" s="22">
        <f t="shared" si="1"/>
        <v>0.235254755759488</v>
      </c>
      <c r="W13" s="23">
        <f t="shared" si="2"/>
        <v>40850.205</v>
      </c>
      <c r="X13" s="23">
        <f t="shared" si="3"/>
        <v>0.490135394464753</v>
      </c>
      <c r="Y13" s="23">
        <f t="shared" si="4"/>
        <v>34.1022314242951</v>
      </c>
      <c r="Z13" s="24" t="str">
        <f t="shared" si="5"/>
        <v/>
      </c>
      <c r="AA13" s="6" t="str">
        <f t="shared" si="6"/>
        <v>已计算</v>
      </c>
      <c r="AB13" s="6" t="str">
        <f t="shared" si="7"/>
        <v>有效</v>
      </c>
      <c r="AC13" s="6" t="str">
        <f t="shared" si="8"/>
        <v/>
      </c>
      <c r="AD13" s="7" t="s">
        <v>751</v>
      </c>
    </row>
    <row r="14" ht="25" customHeight="1" spans="1:30">
      <c r="A14" s="6" t="s">
        <v>145</v>
      </c>
      <c r="B14" s="6" t="s">
        <v>59</v>
      </c>
      <c r="C14" s="7" t="s">
        <v>723</v>
      </c>
      <c r="D14" s="7" t="s">
        <v>752</v>
      </c>
      <c r="E14" s="7" t="s">
        <v>753</v>
      </c>
      <c r="F14" s="6" t="s">
        <v>159</v>
      </c>
      <c r="G14" s="16">
        <v>40</v>
      </c>
      <c r="H14" s="17"/>
      <c r="I14" s="18">
        <f t="shared" si="0"/>
        <v>40</v>
      </c>
      <c r="J14" s="19">
        <v>100</v>
      </c>
      <c r="K14" s="20"/>
      <c r="L14" s="20"/>
      <c r="M14" s="20"/>
      <c r="N14" s="20"/>
      <c r="O14" s="20"/>
      <c r="P14" s="20"/>
      <c r="Q14" s="21">
        <f>IF($I14="","",IFERROR(INDEX(_玩家曲线!$H$2:$H$286,MATCH($I14,_玩家曲线!$A$2:$A$286,0)),""))</f>
        <v>95694.1205345253</v>
      </c>
      <c r="R14" s="21">
        <f>IF($I14="","",IFERROR(INDEX(_玩家曲线!$I$2:$I$286,MATCH($I14,_玩家曲线!$A$2:$A$286,0)),""))</f>
        <v>226352.941478705</v>
      </c>
      <c r="S14" s="21">
        <f>IF(OR($J14="",$F14="不适用"),"",IFERROR(INDEX(_怪物模型!$D$2:$D$4501,MATCH(INT($J14)&amp;"|"&amp;$F14,_怪物模型!$A$2:$A$4501,0))*IF($K14="",1,$K14),""))</f>
        <v>3248899</v>
      </c>
      <c r="T14" s="21">
        <f>IF(OR($J14="",$F14="不适用"),"",IFERROR(INDEX(_怪物模型!$E$2:$E$4501,MATCH(INT($J14)&amp;"|"&amp;$F14,_怪物模型!$A$2:$A$4501,0))*IF($L14="",1,$L14),""))</f>
        <v>6672</v>
      </c>
      <c r="U14" s="21">
        <f>IF(OR($J14="",$F14="不适用"),"",IFERROR(INDEX(_怪物模型!$F$2:$F$4501,MATCH(INT($J14)&amp;"|"&amp;$F14,_怪物模型!$A$2:$A$4501,0))*IF($M14="",1,$M14),""))</f>
        <v>8003</v>
      </c>
      <c r="V14" s="22">
        <f t="shared" si="1"/>
        <v>0.250070305908821</v>
      </c>
      <c r="W14" s="23">
        <f t="shared" si="2"/>
        <v>4332271.44570833</v>
      </c>
      <c r="X14" s="23">
        <f t="shared" si="3"/>
        <v>45.2720754578156</v>
      </c>
      <c r="Y14" s="23">
        <f t="shared" si="4"/>
        <v>33.9258005813407</v>
      </c>
      <c r="Z14" s="24" t="str">
        <f t="shared" si="5"/>
        <v/>
      </c>
      <c r="AA14" s="6" t="str">
        <f t="shared" si="6"/>
        <v>已计算</v>
      </c>
      <c r="AB14" s="6" t="str">
        <f t="shared" si="7"/>
        <v>有效</v>
      </c>
      <c r="AC14" s="6" t="str">
        <f t="shared" si="8"/>
        <v/>
      </c>
      <c r="AD14" s="7" t="s">
        <v>754</v>
      </c>
    </row>
    <row r="15" ht="25" customHeight="1" spans="1:30">
      <c r="A15" s="6" t="s">
        <v>145</v>
      </c>
      <c r="B15" s="6" t="s">
        <v>59</v>
      </c>
      <c r="C15" s="7" t="s">
        <v>723</v>
      </c>
      <c r="D15" s="7" t="s">
        <v>755</v>
      </c>
      <c r="E15" s="7" t="s">
        <v>756</v>
      </c>
      <c r="F15" s="6" t="s">
        <v>149</v>
      </c>
      <c r="G15" s="16">
        <v>42</v>
      </c>
      <c r="H15" s="17"/>
      <c r="I15" s="18">
        <f t="shared" si="0"/>
        <v>42</v>
      </c>
      <c r="J15" s="19">
        <v>106</v>
      </c>
      <c r="K15" s="20"/>
      <c r="L15" s="20"/>
      <c r="M15" s="20"/>
      <c r="N15" s="20"/>
      <c r="O15" s="20"/>
      <c r="P15" s="20"/>
      <c r="Q15" s="21">
        <f>IF($I15="","",IFERROR(INDEX(_玩家曲线!$H$2:$H$286,MATCH($I15,_玩家曲线!$A$2:$A$286,0)),""))</f>
        <v>108691.004089477</v>
      </c>
      <c r="R15" s="21">
        <f>IF($I15="","",IFERROR(INDEX(_玩家曲线!$I$2:$I$286,MATCH($I15,_玩家曲线!$A$2:$A$286,0)),""))</f>
        <v>250851.85110839</v>
      </c>
      <c r="S15" s="21">
        <f>IF(OR($J15="",$F15="不适用"),"",IFERROR(INDEX(_怪物模型!$D$2:$D$4501,MATCH(INT($J15)&amp;"|"&amp;$F15,_怪物模型!$A$2:$A$4501,0))*IF($K15="",1,$K15),""))</f>
        <v>40033</v>
      </c>
      <c r="T15" s="21">
        <f>IF(OR($J15="",$F15="不适用"),"",IFERROR(INDEX(_怪物模型!$E$2:$E$4501,MATCH(INT($J15)&amp;"|"&amp;$F15,_怪物模型!$A$2:$A$4501,0))*IF($L15="",1,$L15),""))</f>
        <v>7342</v>
      </c>
      <c r="U15" s="21">
        <f>IF(OR($J15="",$F15="不适用"),"",IFERROR(INDEX(_怪物模型!$F$2:$F$4501,MATCH(INT($J15)&amp;"|"&amp;$F15,_怪物模型!$A$2:$A$4501,0))*IF($M15="",1,$M15),""))</f>
        <v>8542</v>
      </c>
      <c r="V15" s="22">
        <f t="shared" si="1"/>
        <v>0.262491549382337</v>
      </c>
      <c r="W15" s="23">
        <f t="shared" si="2"/>
        <v>54281.4119166667</v>
      </c>
      <c r="X15" s="23">
        <f t="shared" si="3"/>
        <v>0.499410345606716</v>
      </c>
      <c r="Y15" s="23">
        <f t="shared" si="4"/>
        <v>34.1666917881218</v>
      </c>
      <c r="Z15" s="24" t="str">
        <f t="shared" si="5"/>
        <v/>
      </c>
      <c r="AA15" s="6" t="str">
        <f t="shared" si="6"/>
        <v>已计算</v>
      </c>
      <c r="AB15" s="6" t="str">
        <f t="shared" si="7"/>
        <v>有效</v>
      </c>
      <c r="AC15" s="6" t="str">
        <f t="shared" si="8"/>
        <v/>
      </c>
      <c r="AD15" s="7" t="s">
        <v>757</v>
      </c>
    </row>
    <row r="16" ht="25" customHeight="1" spans="1:30">
      <c r="A16" s="6" t="s">
        <v>145</v>
      </c>
      <c r="B16" s="6" t="s">
        <v>59</v>
      </c>
      <c r="C16" s="7" t="s">
        <v>723</v>
      </c>
      <c r="D16" s="7" t="s">
        <v>758</v>
      </c>
      <c r="E16" s="7" t="s">
        <v>759</v>
      </c>
      <c r="F16" s="6" t="s">
        <v>149</v>
      </c>
      <c r="G16" s="16">
        <v>44</v>
      </c>
      <c r="H16" s="17"/>
      <c r="I16" s="18">
        <f t="shared" si="0"/>
        <v>44</v>
      </c>
      <c r="J16" s="19">
        <v>113</v>
      </c>
      <c r="K16" s="20"/>
      <c r="L16" s="20"/>
      <c r="M16" s="20"/>
      <c r="N16" s="20"/>
      <c r="O16" s="20"/>
      <c r="P16" s="20"/>
      <c r="Q16" s="21">
        <f>IF($I16="","",IFERROR(INDEX(_玩家曲线!$H$2:$H$286,MATCH($I16,_玩家曲线!$A$2:$A$286,0)),""))</f>
        <v>122302.617088683</v>
      </c>
      <c r="R16" s="21">
        <f>IF($I16="","",IFERROR(INDEX(_玩家曲线!$I$2:$I$286,MATCH($I16,_玩家曲线!$A$2:$A$286,0)),""))</f>
        <v>275850.347477235</v>
      </c>
      <c r="S16" s="21">
        <f>IF(OR($J16="",$F16="不适用"),"",IFERROR(INDEX(_怪物模型!$D$2:$D$4501,MATCH(INT($J16)&amp;"|"&amp;$F16,_怪物模型!$A$2:$A$4501,0))*IF($K16="",1,$K16),""))</f>
        <v>45377</v>
      </c>
      <c r="T16" s="21">
        <f>IF(OR($J16="",$F16="不适用"),"",IFERROR(INDEX(_怪物模型!$E$2:$E$4501,MATCH(INT($J16)&amp;"|"&amp;$F16,_怪物模型!$A$2:$A$4501,0))*IF($L16="",1,$L16),""))</f>
        <v>8169</v>
      </c>
      <c r="U16" s="21">
        <f>IF(OR($J16="",$F16="不适用"),"",IFERROR(INDEX(_怪物模型!$F$2:$F$4501,MATCH(INT($J16)&amp;"|"&amp;$F16,_怪物模型!$A$2:$A$4501,0))*IF($M16="",1,$M16),""))</f>
        <v>9179</v>
      </c>
      <c r="V16" s="22">
        <f t="shared" si="1"/>
        <v>0.276650893637542</v>
      </c>
      <c r="W16" s="23">
        <f t="shared" si="2"/>
        <v>62731.8117916667</v>
      </c>
      <c r="X16" s="23">
        <f t="shared" si="3"/>
        <v>0.512922889836275</v>
      </c>
      <c r="Y16" s="23">
        <f t="shared" si="4"/>
        <v>33.7679455841884</v>
      </c>
      <c r="Z16" s="24" t="str">
        <f t="shared" si="5"/>
        <v/>
      </c>
      <c r="AA16" s="6" t="str">
        <f t="shared" si="6"/>
        <v>已计算</v>
      </c>
      <c r="AB16" s="6" t="str">
        <f t="shared" si="7"/>
        <v>有效</v>
      </c>
      <c r="AC16" s="6" t="str">
        <f t="shared" si="8"/>
        <v/>
      </c>
      <c r="AD16" s="7" t="s">
        <v>760</v>
      </c>
    </row>
    <row r="17" ht="25" customHeight="1" spans="1:30">
      <c r="A17" s="6" t="s">
        <v>145</v>
      </c>
      <c r="B17" s="6" t="s">
        <v>59</v>
      </c>
      <c r="C17" s="7" t="s">
        <v>723</v>
      </c>
      <c r="D17" s="7" t="s">
        <v>761</v>
      </c>
      <c r="E17" s="7" t="s">
        <v>762</v>
      </c>
      <c r="F17" s="6" t="s">
        <v>149</v>
      </c>
      <c r="G17" s="16">
        <v>47</v>
      </c>
      <c r="H17" s="17"/>
      <c r="I17" s="18">
        <f t="shared" si="0"/>
        <v>47</v>
      </c>
      <c r="J17" s="19">
        <v>120</v>
      </c>
      <c r="K17" s="20"/>
      <c r="L17" s="20"/>
      <c r="M17" s="20"/>
      <c r="N17" s="20"/>
      <c r="O17" s="20"/>
      <c r="P17" s="20"/>
      <c r="Q17" s="21">
        <f>IF($I17="","",IFERROR(INDEX(_玩家曲线!$H$2:$H$286,MATCH($I17,_玩家曲线!$A$2:$A$286,0)),""))</f>
        <v>143794.73293264</v>
      </c>
      <c r="R17" s="21">
        <f>IF($I17="","",IFERROR(INDEX(_玩家曲线!$I$2:$I$286,MATCH($I17,_玩家曲线!$A$2:$A$286,0)),""))</f>
        <v>314122.185539391</v>
      </c>
      <c r="S17" s="21">
        <f>IF(OR($J17="",$F17="不适用"),"",IFERROR(INDEX(_怪物模型!$D$2:$D$4501,MATCH(INT($J17)&amp;"|"&amp;$F17,_怪物模型!$A$2:$A$4501,0))*IF($K17="",1,$K17),""))</f>
        <v>51181</v>
      </c>
      <c r="T17" s="21">
        <f>IF(OR($J17="",$F17="不适用"),"",IFERROR(INDEX(_怪物模型!$E$2:$E$4501,MATCH(INT($J17)&amp;"|"&amp;$F17,_怪物模型!$A$2:$A$4501,0))*IF($L17="",1,$L17),""))</f>
        <v>9047</v>
      </c>
      <c r="U17" s="21">
        <f>IF(OR($J17="",$F17="不适用"),"",IFERROR(INDEX(_怪物模型!$F$2:$F$4501,MATCH(INT($J17)&amp;"|"&amp;$F17,_怪物模型!$A$2:$A$4501,0))*IF($M17="",1,$M17),""))</f>
        <v>9825</v>
      </c>
      <c r="V17" s="22">
        <f t="shared" si="1"/>
        <v>0.290465631929047</v>
      </c>
      <c r="W17" s="23">
        <f t="shared" si="2"/>
        <v>72133.221875</v>
      </c>
      <c r="X17" s="23">
        <f t="shared" si="3"/>
        <v>0.501640222864008</v>
      </c>
      <c r="Y17" s="23">
        <f t="shared" si="4"/>
        <v>34.7211435325954</v>
      </c>
      <c r="Z17" s="24" t="str">
        <f t="shared" si="5"/>
        <v/>
      </c>
      <c r="AA17" s="6" t="str">
        <f t="shared" si="6"/>
        <v>已计算</v>
      </c>
      <c r="AB17" s="6" t="str">
        <f t="shared" si="7"/>
        <v>有效</v>
      </c>
      <c r="AC17" s="6" t="str">
        <f t="shared" si="8"/>
        <v/>
      </c>
      <c r="AD17" s="7" t="s">
        <v>763</v>
      </c>
    </row>
    <row r="18" ht="25" customHeight="1" spans="1:30">
      <c r="A18" s="6" t="s">
        <v>145</v>
      </c>
      <c r="B18" s="6" t="s">
        <v>59</v>
      </c>
      <c r="C18" s="7" t="s">
        <v>723</v>
      </c>
      <c r="D18" s="7" t="s">
        <v>764</v>
      </c>
      <c r="E18" s="7" t="s">
        <v>765</v>
      </c>
      <c r="F18" s="6" t="s">
        <v>149</v>
      </c>
      <c r="G18" s="16">
        <v>49</v>
      </c>
      <c r="H18" s="17"/>
      <c r="I18" s="18">
        <f t="shared" si="0"/>
        <v>49</v>
      </c>
      <c r="J18" s="19">
        <v>126</v>
      </c>
      <c r="K18" s="20"/>
      <c r="L18" s="20"/>
      <c r="M18" s="20"/>
      <c r="N18" s="20"/>
      <c r="O18" s="20"/>
      <c r="P18" s="20"/>
      <c r="Q18" s="21">
        <f>IF($I18="","",IFERROR(INDEX(_玩家曲线!$H$2:$H$286,MATCH($I18,_玩家曲线!$A$2:$A$286,0)),""))</f>
        <v>158783.972365237</v>
      </c>
      <c r="R18" s="21">
        <f>IF($I18="","",IFERROR(INDEX(_玩家曲线!$I$2:$I$286,MATCH($I18,_玩家曲线!$A$2:$A$286,0)),""))</f>
        <v>340049.060939818</v>
      </c>
      <c r="S18" s="21">
        <f>IF(OR($J18="",$F18="不适用"),"",IFERROR(INDEX(_怪物模型!$D$2:$D$4501,MATCH(INT($J18)&amp;"|"&amp;$F18,_怪物模型!$A$2:$A$4501,0))*IF($K18="",1,$K18),""))</f>
        <v>56543</v>
      </c>
      <c r="T18" s="21">
        <f>IF(OR($J18="",$F18="不适用"),"",IFERROR(INDEX(_怪物模型!$E$2:$E$4501,MATCH(INT($J18)&amp;"|"&amp;$F18,_怪物模型!$A$2:$A$4501,0))*IF($L18="",1,$L18),""))</f>
        <v>9843</v>
      </c>
      <c r="U18" s="21">
        <f>IF(OR($J18="",$F18="不适用"),"",IFERROR(INDEX(_怪物模型!$F$2:$F$4501,MATCH(INT($J18)&amp;"|"&amp;$F18,_怪物模型!$A$2:$A$4501,0))*IF($M18="",1,$M18),""))</f>
        <v>10386</v>
      </c>
      <c r="V18" s="22">
        <f t="shared" si="1"/>
        <v>0.302041528529053</v>
      </c>
      <c r="W18" s="23">
        <f t="shared" si="2"/>
        <v>81011.98325</v>
      </c>
      <c r="X18" s="23">
        <f t="shared" si="3"/>
        <v>0.510202522605085</v>
      </c>
      <c r="Y18" s="23">
        <f t="shared" si="4"/>
        <v>34.5472986833098</v>
      </c>
      <c r="Z18" s="24" t="str">
        <f t="shared" si="5"/>
        <v/>
      </c>
      <c r="AA18" s="6" t="str">
        <f t="shared" si="6"/>
        <v>已计算</v>
      </c>
      <c r="AB18" s="6" t="str">
        <f t="shared" si="7"/>
        <v>有效</v>
      </c>
      <c r="AC18" s="6" t="str">
        <f t="shared" si="8"/>
        <v/>
      </c>
      <c r="AD18" s="7" t="s">
        <v>766</v>
      </c>
    </row>
    <row r="19" ht="25" customHeight="1" spans="1:30">
      <c r="A19" s="6" t="s">
        <v>145</v>
      </c>
      <c r="B19" s="6" t="s">
        <v>59</v>
      </c>
      <c r="C19" s="7" t="s">
        <v>723</v>
      </c>
      <c r="D19" s="7" t="s">
        <v>767</v>
      </c>
      <c r="E19" s="7" t="s">
        <v>768</v>
      </c>
      <c r="F19" s="6" t="s">
        <v>738</v>
      </c>
      <c r="G19" s="16">
        <v>51</v>
      </c>
      <c r="H19" s="17"/>
      <c r="I19" s="18">
        <f t="shared" si="0"/>
        <v>51</v>
      </c>
      <c r="J19" s="19">
        <v>133</v>
      </c>
      <c r="K19" s="20"/>
      <c r="L19" s="20"/>
      <c r="M19" s="20"/>
      <c r="N19" s="20"/>
      <c r="O19" s="20"/>
      <c r="P19" s="20"/>
      <c r="Q19" s="21">
        <f>IF($I19="","",IFERROR(INDEX(_玩家曲线!$H$2:$H$286,MATCH($I19,_玩家曲线!$A$2:$A$286,0)),""))</f>
        <v>174255.842540171</v>
      </c>
      <c r="R19" s="21">
        <f>IF($I19="","",IFERROR(INDEX(_玩家曲线!$I$2:$I$286,MATCH($I19,_玩家曲线!$A$2:$A$286,0)),""))</f>
        <v>366226.826063466</v>
      </c>
      <c r="S19" s="21">
        <f>IF(OR($J19="",$F19="不适用"),"",IFERROR(INDEX(_怪物模型!$D$2:$D$4501,MATCH(INT($J19)&amp;"|"&amp;$F19,_怪物模型!$A$2:$A$4501,0))*IF($K19="",1,$K19),""))</f>
        <v>253096</v>
      </c>
      <c r="T19" s="21">
        <f>IF(OR($J19="",$F19="不适用"),"",IFERROR(INDEX(_怪物模型!$E$2:$E$4501,MATCH(INT($J19)&amp;"|"&amp;$F19,_怪物模型!$A$2:$A$4501,0))*IF($L19="",1,$L19),""))</f>
        <v>10821</v>
      </c>
      <c r="U19" s="21">
        <f>IF(OR($J19="",$F19="不适用"),"",IFERROR(INDEX(_怪物模型!$F$2:$F$4501,MATCH(INT($J19)&amp;"|"&amp;$F19,_怪物模型!$A$2:$A$4501,0))*IF($M19="",1,$M19),""))</f>
        <v>11049</v>
      </c>
      <c r="V19" s="22">
        <f t="shared" si="1"/>
        <v>0.315244372164684</v>
      </c>
      <c r="W19" s="23">
        <f t="shared" si="2"/>
        <v>369615.071</v>
      </c>
      <c r="X19" s="23">
        <f t="shared" si="3"/>
        <v>2.12110575813143</v>
      </c>
      <c r="Y19" s="23">
        <f t="shared" si="4"/>
        <v>33.8440833623016</v>
      </c>
      <c r="Z19" s="24" t="str">
        <f t="shared" si="5"/>
        <v/>
      </c>
      <c r="AA19" s="6" t="str">
        <f t="shared" si="6"/>
        <v>已计算</v>
      </c>
      <c r="AB19" s="6" t="str">
        <f t="shared" si="7"/>
        <v>有效</v>
      </c>
      <c r="AC19" s="6" t="str">
        <f t="shared" si="8"/>
        <v/>
      </c>
      <c r="AD19" s="7" t="s">
        <v>769</v>
      </c>
    </row>
    <row r="20" ht="25" customHeight="1" spans="1:30">
      <c r="A20" s="6" t="s">
        <v>145</v>
      </c>
      <c r="B20" s="6" t="s">
        <v>59</v>
      </c>
      <c r="C20" s="7" t="s">
        <v>723</v>
      </c>
      <c r="D20" s="7" t="s">
        <v>770</v>
      </c>
      <c r="E20" s="7" t="s">
        <v>771</v>
      </c>
      <c r="F20" s="6" t="s">
        <v>149</v>
      </c>
      <c r="G20" s="16">
        <v>53</v>
      </c>
      <c r="H20" s="17"/>
      <c r="I20" s="18">
        <f t="shared" si="0"/>
        <v>53</v>
      </c>
      <c r="J20" s="19">
        <v>141</v>
      </c>
      <c r="K20" s="20"/>
      <c r="L20" s="20"/>
      <c r="M20" s="20"/>
      <c r="N20" s="20"/>
      <c r="O20" s="20"/>
      <c r="P20" s="20"/>
      <c r="Q20" s="21">
        <f>IF($I20="","",IFERROR(INDEX(_玩家曲线!$H$2:$H$286,MATCH($I20,_玩家曲线!$A$2:$A$286,0)),""))</f>
        <v>190169.40825282</v>
      </c>
      <c r="R20" s="21">
        <f>IF($I20="","",IFERROR(INDEX(_玩家曲线!$I$2:$I$286,MATCH($I20,_玩家曲线!$A$2:$A$286,0)),""))</f>
        <v>392591.438944191</v>
      </c>
      <c r="S20" s="21">
        <f>IF(OR($J20="",$F20="不适用"),"",IFERROR(INDEX(_怪物模型!$D$2:$D$4501,MATCH(INT($J20)&amp;"|"&amp;$F20,_怪物模型!$A$2:$A$4501,0))*IF($K20="",1,$K20),""))</f>
        <v>71630</v>
      </c>
      <c r="T20" s="21">
        <f>IF(OR($J20="",$F20="不适用"),"",IFERROR(INDEX(_怪物模型!$E$2:$E$4501,MATCH(INT($J20)&amp;"|"&amp;$F20,_怪物模型!$A$2:$A$4501,0))*IF($L20="",1,$L20),""))</f>
        <v>12009</v>
      </c>
      <c r="U20" s="21">
        <f>IF(OR($J20="",$F20="不适用"),"",IFERROR(INDEX(_怪物模型!$F$2:$F$4501,MATCH(INT($J20)&amp;"|"&amp;$F20,_怪物模型!$A$2:$A$4501,0))*IF($M20="",1,$M20),""))</f>
        <v>11817</v>
      </c>
      <c r="V20" s="22">
        <f t="shared" si="1"/>
        <v>0.329927129575341</v>
      </c>
      <c r="W20" s="23">
        <f t="shared" si="2"/>
        <v>106898.82125</v>
      </c>
      <c r="X20" s="23">
        <f t="shared" si="3"/>
        <v>0.562124172505621</v>
      </c>
      <c r="Y20" s="23">
        <f t="shared" si="4"/>
        <v>32.6914346693472</v>
      </c>
      <c r="Z20" s="24" t="str">
        <f t="shared" si="5"/>
        <v/>
      </c>
      <c r="AA20" s="6" t="str">
        <f t="shared" si="6"/>
        <v>已计算</v>
      </c>
      <c r="AB20" s="6" t="str">
        <f t="shared" si="7"/>
        <v>有效</v>
      </c>
      <c r="AC20" s="6" t="str">
        <f t="shared" si="8"/>
        <v/>
      </c>
      <c r="AD20" s="7" t="s">
        <v>772</v>
      </c>
    </row>
    <row r="21" ht="25" customHeight="1" spans="1:30">
      <c r="A21" s="6" t="s">
        <v>145</v>
      </c>
      <c r="B21" s="6" t="s">
        <v>59</v>
      </c>
      <c r="C21" s="7" t="s">
        <v>723</v>
      </c>
      <c r="D21" s="7" t="s">
        <v>773</v>
      </c>
      <c r="E21" s="7" t="s">
        <v>774</v>
      </c>
      <c r="F21" s="6" t="s">
        <v>149</v>
      </c>
      <c r="G21" s="16">
        <v>55</v>
      </c>
      <c r="H21" s="17"/>
      <c r="I21" s="18">
        <f t="shared" si="0"/>
        <v>55</v>
      </c>
      <c r="J21" s="19">
        <v>148</v>
      </c>
      <c r="K21" s="20"/>
      <c r="L21" s="20"/>
      <c r="M21" s="20"/>
      <c r="N21" s="20"/>
      <c r="O21" s="20"/>
      <c r="P21" s="20"/>
      <c r="Q21" s="21">
        <f>IF($I21="","",IFERROR(INDEX(_玩家曲线!$H$2:$H$286,MATCH($I21,_玩家曲线!$A$2:$A$286,0)),""))</f>
        <v>206483.05208378</v>
      </c>
      <c r="R21" s="21">
        <f>IF($I21="","",IFERROR(INDEX(_玩家曲线!$I$2:$I$286,MATCH($I21,_玩家曲线!$A$2:$A$286,0)),""))</f>
        <v>419082.205674144</v>
      </c>
      <c r="S21" s="21">
        <f>IF(OR($J21="",$F21="不适用"),"",IFERROR(INDEX(_怪物模型!$D$2:$D$4501,MATCH(INT($J21)&amp;"|"&amp;$F21,_怪物模型!$A$2:$A$4501,0))*IF($K21="",1,$K21),""))</f>
        <v>79554</v>
      </c>
      <c r="T21" s="21">
        <f>IF(OR($J21="",$F21="不适用"),"",IFERROR(INDEX(_怪物模型!$E$2:$E$4501,MATCH(INT($J21)&amp;"|"&amp;$F21,_怪物模型!$A$2:$A$4501,0))*IF($L21="",1,$L21),""))</f>
        <v>13110</v>
      </c>
      <c r="U21" s="21">
        <f>IF(OR($J21="",$F21="不适用"),"",IFERROR(INDEX(_怪物模型!$F$2:$F$4501,MATCH(INT($J21)&amp;"|"&amp;$F21,_怪物模型!$A$2:$A$4501,0))*IF($M21="",1,$M21),""))</f>
        <v>12499</v>
      </c>
      <c r="V21" s="22">
        <f t="shared" si="1"/>
        <v>0.3424477382942</v>
      </c>
      <c r="W21" s="23">
        <f t="shared" si="2"/>
        <v>120985.06025</v>
      </c>
      <c r="X21" s="23">
        <f t="shared" si="3"/>
        <v>0.585932157768138</v>
      </c>
      <c r="Y21" s="23">
        <f t="shared" si="4"/>
        <v>31.9666060773565</v>
      </c>
      <c r="Z21" s="24" t="str">
        <f t="shared" si="5"/>
        <v/>
      </c>
      <c r="AA21" s="6" t="str">
        <f t="shared" si="6"/>
        <v>已计算</v>
      </c>
      <c r="AB21" s="6" t="str">
        <f t="shared" si="7"/>
        <v>有效</v>
      </c>
      <c r="AC21" s="6" t="str">
        <f t="shared" si="8"/>
        <v/>
      </c>
      <c r="AD21" s="7" t="s">
        <v>775</v>
      </c>
    </row>
    <row r="22" ht="25" customHeight="1" spans="1:30">
      <c r="A22" s="6" t="s">
        <v>145</v>
      </c>
      <c r="B22" s="6" t="s">
        <v>59</v>
      </c>
      <c r="C22" s="7" t="s">
        <v>723</v>
      </c>
      <c r="D22" s="7" t="s">
        <v>776</v>
      </c>
      <c r="E22" s="7" t="s">
        <v>777</v>
      </c>
      <c r="F22" s="6" t="s">
        <v>149</v>
      </c>
      <c r="G22" s="16">
        <v>58</v>
      </c>
      <c r="H22" s="17"/>
      <c r="I22" s="18">
        <f t="shared" si="0"/>
        <v>58</v>
      </c>
      <c r="J22" s="19">
        <v>155</v>
      </c>
      <c r="K22" s="20"/>
      <c r="L22" s="20"/>
      <c r="M22" s="20"/>
      <c r="N22" s="20"/>
      <c r="O22" s="20"/>
      <c r="P22" s="20"/>
      <c r="Q22" s="21">
        <f>IF($I22="","",IFERROR(INDEX(_玩家曲线!$H$2:$H$286,MATCH($I22,_玩家曲线!$A$2:$A$286,0)),""))</f>
        <v>231611.919824203</v>
      </c>
      <c r="R22" s="21">
        <f>IF($I22="","",IFERROR(INDEX(_玩家曲线!$I$2:$I$286,MATCH($I22,_玩家曲线!$A$2:$A$286,0)),""))</f>
        <v>458930.518770513</v>
      </c>
      <c r="S22" s="21">
        <f>IF(OR($J22="",$F22="不适用"),"",IFERROR(INDEX(_怪物模型!$D$2:$D$4501,MATCH(INT($J22)&amp;"|"&amp;$F22,_怪物模型!$A$2:$A$4501,0))*IF($K22="",1,$K22),""))</f>
        <v>88082</v>
      </c>
      <c r="T22" s="21">
        <f>IF(OR($J22="",$F22="不适用"),"",IFERROR(INDEX(_怪物模型!$E$2:$E$4501,MATCH(INT($J22)&amp;"|"&amp;$F22,_怪物模型!$A$2:$A$4501,0))*IF($L22="",1,$L22),""))</f>
        <v>14272</v>
      </c>
      <c r="U22" s="21">
        <f>IF(OR($J22="",$F22="不适用"),"",IFERROR(INDEX(_怪物模型!$F$2:$F$4501,MATCH(INT($J22)&amp;"|"&amp;$F22,_怪物模型!$A$2:$A$4501,0))*IF($M22="",1,$M22),""))</f>
        <v>13190</v>
      </c>
      <c r="V22" s="22">
        <f t="shared" si="1"/>
        <v>0.354665232589406</v>
      </c>
      <c r="W22" s="23">
        <f t="shared" si="2"/>
        <v>136490.399166667</v>
      </c>
      <c r="X22" s="23">
        <f t="shared" si="3"/>
        <v>0.589306453960854</v>
      </c>
      <c r="Y22" s="23">
        <f t="shared" si="4"/>
        <v>32.1560060797725</v>
      </c>
      <c r="Z22" s="24" t="str">
        <f t="shared" si="5"/>
        <v/>
      </c>
      <c r="AA22" s="6" t="str">
        <f t="shared" si="6"/>
        <v>已计算</v>
      </c>
      <c r="AB22" s="6" t="str">
        <f t="shared" si="7"/>
        <v>有效</v>
      </c>
      <c r="AC22" s="6" t="str">
        <f t="shared" si="8"/>
        <v/>
      </c>
      <c r="AD22" s="7" t="s">
        <v>778</v>
      </c>
    </row>
    <row r="23" ht="25" customHeight="1" spans="1:30">
      <c r="A23" s="6" t="s">
        <v>145</v>
      </c>
      <c r="B23" s="6" t="s">
        <v>59</v>
      </c>
      <c r="C23" s="7" t="s">
        <v>723</v>
      </c>
      <c r="D23" s="7" t="s">
        <v>779</v>
      </c>
      <c r="E23" s="7" t="s">
        <v>780</v>
      </c>
      <c r="F23" s="6" t="s">
        <v>149</v>
      </c>
      <c r="G23" s="16">
        <v>60</v>
      </c>
      <c r="H23" s="17"/>
      <c r="I23" s="18">
        <f t="shared" si="0"/>
        <v>60</v>
      </c>
      <c r="J23" s="19">
        <v>162</v>
      </c>
      <c r="K23" s="20"/>
      <c r="L23" s="20"/>
      <c r="M23" s="20"/>
      <c r="N23" s="20"/>
      <c r="O23" s="20"/>
      <c r="P23" s="20"/>
      <c r="Q23" s="21">
        <f>IF($I23="","",IFERROR(INDEX(_玩家曲线!$H$2:$H$286,MATCH($I23,_玩家曲线!$A$2:$A$286,0)),""))</f>
        <v>248742.39057542</v>
      </c>
      <c r="R23" s="21">
        <f>IF($I23="","",IFERROR(INDEX(_玩家曲线!$I$2:$I$286,MATCH($I23,_玩家曲线!$A$2:$A$286,0)),""))</f>
        <v>485493.551404958</v>
      </c>
      <c r="S23" s="21">
        <f>IF(OR($J23="",$F23="不适用"),"",IFERROR(INDEX(_怪物模型!$D$2:$D$4501,MATCH(INT($J23)&amp;"|"&amp;$F23,_怪物模型!$A$2:$A$4501,0))*IF($K23="",1,$K23),""))</f>
        <v>97244</v>
      </c>
      <c r="T23" s="21">
        <f>IF(OR($J23="",$F23="不适用"),"",IFERROR(INDEX(_怪物模型!$E$2:$E$4501,MATCH(INT($J23)&amp;"|"&amp;$F23,_怪物模型!$A$2:$A$4501,0))*IF($L23="",1,$L23),""))</f>
        <v>15497</v>
      </c>
      <c r="U23" s="21">
        <f>IF(OR($J23="",$F23="不适用"),"",IFERROR(INDEX(_怪物模型!$F$2:$F$4501,MATCH(INT($J23)&amp;"|"&amp;$F23,_怪物模型!$A$2:$A$4501,0))*IF($M23="",1,$M23),""))</f>
        <v>13891</v>
      </c>
      <c r="V23" s="22">
        <f t="shared" si="1"/>
        <v>0.366604206803726</v>
      </c>
      <c r="W23" s="23">
        <f t="shared" si="2"/>
        <v>153528.016833333</v>
      </c>
      <c r="X23" s="23">
        <f t="shared" si="3"/>
        <v>0.61721693868976</v>
      </c>
      <c r="Y23" s="23">
        <f t="shared" si="4"/>
        <v>31.3282281347976</v>
      </c>
      <c r="Z23" s="24" t="str">
        <f t="shared" si="5"/>
        <v/>
      </c>
      <c r="AA23" s="6" t="str">
        <f t="shared" si="6"/>
        <v>已计算</v>
      </c>
      <c r="AB23" s="6" t="str">
        <f t="shared" si="7"/>
        <v>有效</v>
      </c>
      <c r="AC23" s="6" t="str">
        <f t="shared" si="8"/>
        <v/>
      </c>
      <c r="AD23" s="7" t="s">
        <v>781</v>
      </c>
    </row>
    <row r="24" ht="25" customHeight="1" spans="1:30">
      <c r="A24" s="6" t="s">
        <v>145</v>
      </c>
      <c r="B24" s="6" t="s">
        <v>59</v>
      </c>
      <c r="C24" s="7" t="s">
        <v>723</v>
      </c>
      <c r="D24" s="7" t="s">
        <v>782</v>
      </c>
      <c r="E24" s="7" t="s">
        <v>783</v>
      </c>
      <c r="F24" s="6" t="s">
        <v>159</v>
      </c>
      <c r="G24" s="16">
        <v>62</v>
      </c>
      <c r="H24" s="17"/>
      <c r="I24" s="18">
        <f t="shared" si="0"/>
        <v>62</v>
      </c>
      <c r="J24" s="19">
        <v>169</v>
      </c>
      <c r="K24" s="20"/>
      <c r="L24" s="20"/>
      <c r="M24" s="20"/>
      <c r="N24" s="20"/>
      <c r="O24" s="20"/>
      <c r="P24" s="20"/>
      <c r="Q24" s="21">
        <f>IF($I24="","",IFERROR(INDEX(_玩家曲线!$H$2:$H$286,MATCH($I24,_玩家曲线!$A$2:$A$286,0)),""))</f>
        <v>266126.863264163</v>
      </c>
      <c r="R24" s="21">
        <f>IF($I24="","",IFERROR(INDEX(_玩家曲线!$I$2:$I$286,MATCH($I24,_玩家曲线!$A$2:$A$286,0)),""))</f>
        <v>511997.239512576</v>
      </c>
      <c r="S24" s="21">
        <f>IF(OR($J24="",$F24="不适用"),"",IFERROR(INDEX(_怪物模型!$D$2:$D$4501,MATCH(INT($J24)&amp;"|"&amp;$F24,_怪物模型!$A$2:$A$4501,0))*IF($K24="",1,$K24),""))</f>
        <v>10937035</v>
      </c>
      <c r="T24" s="21">
        <f>IF(OR($J24="",$F24="不适用"),"",IFERROR(INDEX(_怪物模型!$E$2:$E$4501,MATCH(INT($J24)&amp;"|"&amp;$F24,_怪物模型!$A$2:$A$4501,0))*IF($L24="",1,$L24),""))</f>
        <v>16786</v>
      </c>
      <c r="U24" s="21">
        <f>IF(OR($J24="",$F24="不适用"),"",IFERROR(INDEX(_怪物模型!$F$2:$F$4501,MATCH(INT($J24)&amp;"|"&amp;$F24,_怪物模型!$A$2:$A$4501,0))*IF($M24="",1,$M24),""))</f>
        <v>14600</v>
      </c>
      <c r="V24" s="22">
        <f t="shared" si="1"/>
        <v>0.378238341968912</v>
      </c>
      <c r="W24" s="23">
        <f t="shared" si="2"/>
        <v>17590397.9583333</v>
      </c>
      <c r="X24" s="23">
        <f t="shared" si="3"/>
        <v>66.0977916418484</v>
      </c>
      <c r="Y24" s="23">
        <f t="shared" si="4"/>
        <v>30.5014440314891</v>
      </c>
      <c r="Z24" s="24" t="str">
        <f t="shared" si="5"/>
        <v/>
      </c>
      <c r="AA24" s="6" t="str">
        <f t="shared" si="6"/>
        <v>已计算</v>
      </c>
      <c r="AB24" s="6" t="str">
        <f t="shared" si="7"/>
        <v>有效</v>
      </c>
      <c r="AC24" s="6" t="str">
        <f t="shared" si="8"/>
        <v/>
      </c>
      <c r="AD24" s="7" t="s">
        <v>784</v>
      </c>
    </row>
    <row r="25" ht="25" customHeight="1" spans="1:30">
      <c r="A25" s="6" t="s">
        <v>145</v>
      </c>
      <c r="B25" s="6" t="s">
        <v>59</v>
      </c>
      <c r="C25" s="7" t="s">
        <v>723</v>
      </c>
      <c r="D25" s="7" t="s">
        <v>785</v>
      </c>
      <c r="E25" s="7" t="s">
        <v>786</v>
      </c>
      <c r="F25" s="6" t="s">
        <v>149</v>
      </c>
      <c r="G25" s="16">
        <v>65</v>
      </c>
      <c r="H25" s="17"/>
      <c r="I25" s="18">
        <f t="shared" si="0"/>
        <v>65</v>
      </c>
      <c r="J25" s="19">
        <v>176</v>
      </c>
      <c r="K25" s="20"/>
      <c r="L25" s="20"/>
      <c r="M25" s="20"/>
      <c r="N25" s="20"/>
      <c r="O25" s="20"/>
      <c r="P25" s="20"/>
      <c r="Q25" s="21">
        <f>IF($I25="","",IFERROR(INDEX(_玩家曲线!$H$2:$H$286,MATCH($I25,_玩家曲线!$A$2:$A$286,0)),""))</f>
        <v>295803.386187631</v>
      </c>
      <c r="R25" s="21">
        <f>IF($I25="","",IFERROR(INDEX(_玩家曲线!$I$2:$I$286,MATCH($I25,_玩家曲线!$A$2:$A$286,0)),""))</f>
        <v>558813.590092965</v>
      </c>
      <c r="S25" s="21">
        <f>IF(OR($J25="",$F25="不适用"),"",IFERROR(INDEX(_怪物模型!$D$2:$D$4501,MATCH(INT($J25)&amp;"|"&amp;$F25,_怪物模型!$A$2:$A$4501,0))*IF($K25="",1,$K25),""))</f>
        <v>117602</v>
      </c>
      <c r="T25" s="21">
        <f>IF(OR($J25="",$F25="不适用"),"",IFERROR(INDEX(_怪物模型!$E$2:$E$4501,MATCH(INT($J25)&amp;"|"&amp;$F25,_怪物模型!$A$2:$A$4501,0))*IF($L25="",1,$L25),""))</f>
        <v>18141</v>
      </c>
      <c r="U25" s="21">
        <f>IF(OR($J25="",$F25="不适用"),"",IFERROR(INDEX(_怪物模型!$F$2:$F$4501,MATCH(INT($J25)&amp;"|"&amp;$F25,_怪物模型!$A$2:$A$4501,0))*IF($M25="",1,$M25),""))</f>
        <v>15318</v>
      </c>
      <c r="V25" s="22">
        <f t="shared" si="1"/>
        <v>0.389592553029147</v>
      </c>
      <c r="W25" s="23">
        <f t="shared" si="2"/>
        <v>192661.4765</v>
      </c>
      <c r="X25" s="23">
        <f t="shared" si="3"/>
        <v>0.651315993988632</v>
      </c>
      <c r="Y25" s="23">
        <f t="shared" si="4"/>
        <v>30.8039022155871</v>
      </c>
      <c r="Z25" s="24" t="str">
        <f t="shared" si="5"/>
        <v/>
      </c>
      <c r="AA25" s="6" t="str">
        <f t="shared" si="6"/>
        <v>已计算</v>
      </c>
      <c r="AB25" s="6" t="str">
        <f t="shared" si="7"/>
        <v>有效</v>
      </c>
      <c r="AC25" s="6" t="str">
        <f t="shared" si="8"/>
        <v/>
      </c>
      <c r="AD25" s="7" t="s">
        <v>787</v>
      </c>
    </row>
    <row r="26" ht="25" customHeight="1" spans="1:30">
      <c r="A26" s="6" t="s">
        <v>145</v>
      </c>
      <c r="B26" s="6" t="s">
        <v>59</v>
      </c>
      <c r="C26" s="7" t="s">
        <v>723</v>
      </c>
      <c r="D26" s="7" t="s">
        <v>788</v>
      </c>
      <c r="E26" s="7" t="s">
        <v>789</v>
      </c>
      <c r="F26" s="6" t="s">
        <v>149</v>
      </c>
      <c r="G26" s="16">
        <v>67</v>
      </c>
      <c r="H26" s="17"/>
      <c r="I26" s="18">
        <f t="shared" si="0"/>
        <v>67</v>
      </c>
      <c r="J26" s="19">
        <v>182</v>
      </c>
      <c r="K26" s="20"/>
      <c r="L26" s="20"/>
      <c r="M26" s="20"/>
      <c r="N26" s="20"/>
      <c r="O26" s="20"/>
      <c r="P26" s="20"/>
      <c r="Q26" s="21">
        <f>IF($I26="","",IFERROR(INDEX(_玩家曲线!$H$2:$H$286,MATCH($I26,_玩家曲线!$A$2:$A$286,0)),""))</f>
        <v>320250.012831974</v>
      </c>
      <c r="R26" s="21">
        <f>IF($I26="","",IFERROR(INDEX(_玩家曲线!$I$2:$I$286,MATCH($I26,_玩家曲线!$A$2:$A$286,0)),""))</f>
        <v>599719.62744581</v>
      </c>
      <c r="S26" s="21">
        <f>IF(OR($J26="",$F26="不适用"),"",IFERROR(INDEX(_怪物模型!$D$2:$D$4501,MATCH(INT($J26)&amp;"|"&amp;$F26,_怪物模型!$A$2:$A$4501,0))*IF($K26="",1,$K26),""))</f>
        <v>127209</v>
      </c>
      <c r="T26" s="21">
        <f>IF(OR($J26="",$F26="不适用"),"",IFERROR(INDEX(_怪物模型!$E$2:$E$4501,MATCH(INT($J26)&amp;"|"&amp;$F26,_怪物模型!$A$2:$A$4501,0))*IF($L26="",1,$L26),""))</f>
        <v>19357</v>
      </c>
      <c r="U26" s="21">
        <f>IF(OR($J26="",$F26="不适用"),"",IFERROR(INDEX(_怪物模型!$F$2:$F$4501,MATCH(INT($J26)&amp;"|"&amp;$F26,_怪物模型!$A$2:$A$4501,0))*IF($M26="",1,$M26),""))</f>
        <v>15941</v>
      </c>
      <c r="V26" s="22">
        <f t="shared" si="1"/>
        <v>0.399113692696728</v>
      </c>
      <c r="W26" s="23">
        <f t="shared" si="2"/>
        <v>211702.277875</v>
      </c>
      <c r="X26" s="23">
        <f t="shared" si="3"/>
        <v>0.661053144082383</v>
      </c>
      <c r="Y26" s="23">
        <f t="shared" si="4"/>
        <v>30.9820544219564</v>
      </c>
      <c r="Z26" s="24" t="str">
        <f t="shared" si="5"/>
        <v/>
      </c>
      <c r="AA26" s="6" t="str">
        <f t="shared" si="6"/>
        <v>已计算</v>
      </c>
      <c r="AB26" s="6" t="str">
        <f t="shared" si="7"/>
        <v>有效</v>
      </c>
      <c r="AC26" s="6" t="str">
        <f t="shared" si="8"/>
        <v/>
      </c>
      <c r="AD26" s="7" t="s">
        <v>790</v>
      </c>
    </row>
    <row r="27" ht="25" customHeight="1" spans="1:30">
      <c r="A27" s="6" t="s">
        <v>145</v>
      </c>
      <c r="B27" s="6" t="s">
        <v>59</v>
      </c>
      <c r="C27" s="7" t="s">
        <v>723</v>
      </c>
      <c r="D27" s="7" t="s">
        <v>791</v>
      </c>
      <c r="E27" s="7" t="s">
        <v>792</v>
      </c>
      <c r="F27" s="6" t="s">
        <v>149</v>
      </c>
      <c r="G27" s="16">
        <v>69</v>
      </c>
      <c r="H27" s="17"/>
      <c r="I27" s="18">
        <f t="shared" si="0"/>
        <v>69</v>
      </c>
      <c r="J27" s="19">
        <v>186</v>
      </c>
      <c r="K27" s="20"/>
      <c r="L27" s="20"/>
      <c r="M27" s="20"/>
      <c r="N27" s="20"/>
      <c r="O27" s="20"/>
      <c r="P27" s="20"/>
      <c r="Q27" s="21">
        <f>IF($I27="","",IFERROR(INDEX(_玩家曲线!$H$2:$H$286,MATCH($I27,_玩家曲线!$A$2:$A$286,0)),""))</f>
        <v>345031.464829745</v>
      </c>
      <c r="R27" s="21">
        <f>IF($I27="","",IFERROR(INDEX(_玩家曲线!$I$2:$I$286,MATCH($I27,_玩家曲线!$A$2:$A$286,0)),""))</f>
        <v>640644.603546045</v>
      </c>
      <c r="S27" s="21">
        <f>IF(OR($J27="",$F27="不适用"),"",IFERROR(INDEX(_怪物模型!$D$2:$D$4501,MATCH(INT($J27)&amp;"|"&amp;$F27,_怪物模型!$A$2:$A$4501,0))*IF($K27="",1,$K27),""))</f>
        <v>133924</v>
      </c>
      <c r="T27" s="21">
        <f>IF(OR($J27="",$F27="不适用"),"",IFERROR(INDEX(_怪物模型!$E$2:$E$4501,MATCH(INT($J27)&amp;"|"&amp;$F27,_怪物模型!$A$2:$A$4501,0))*IF($L27="",1,$L27),""))</f>
        <v>20196</v>
      </c>
      <c r="U27" s="21">
        <f>IF(OR($J27="",$F27="不适用"),"",IFERROR(INDEX(_怪物模型!$F$2:$F$4501,MATCH(INT($J27)&amp;"|"&amp;$F27,_怪物模型!$A$2:$A$4501,0))*IF($M27="",1,$M27),""))</f>
        <v>16360</v>
      </c>
      <c r="V27" s="22">
        <f t="shared" si="1"/>
        <v>0.405351833498513</v>
      </c>
      <c r="W27" s="23">
        <f t="shared" si="2"/>
        <v>225215.526666667</v>
      </c>
      <c r="X27" s="23">
        <f t="shared" si="3"/>
        <v>0.652739096643834</v>
      </c>
      <c r="Y27" s="23">
        <f t="shared" si="4"/>
        <v>31.7213608410599</v>
      </c>
      <c r="Z27" s="24" t="str">
        <f t="shared" si="5"/>
        <v/>
      </c>
      <c r="AA27" s="6" t="str">
        <f t="shared" si="6"/>
        <v>已计算</v>
      </c>
      <c r="AB27" s="6" t="str">
        <f t="shared" si="7"/>
        <v>有效</v>
      </c>
      <c r="AC27" s="6" t="str">
        <f t="shared" si="8"/>
        <v/>
      </c>
      <c r="AD27" s="7" t="s">
        <v>793</v>
      </c>
    </row>
    <row r="28" ht="25" customHeight="1" spans="1:30">
      <c r="A28" s="6" t="s">
        <v>145</v>
      </c>
      <c r="B28" s="6" t="s">
        <v>59</v>
      </c>
      <c r="C28" s="7" t="s">
        <v>723</v>
      </c>
      <c r="D28" s="7" t="s">
        <v>794</v>
      </c>
      <c r="E28" s="7" t="s">
        <v>795</v>
      </c>
      <c r="F28" s="6" t="s">
        <v>149</v>
      </c>
      <c r="G28" s="16">
        <v>72</v>
      </c>
      <c r="H28" s="17"/>
      <c r="I28" s="18">
        <f t="shared" si="0"/>
        <v>72</v>
      </c>
      <c r="J28" s="19">
        <v>193</v>
      </c>
      <c r="K28" s="20"/>
      <c r="L28" s="20"/>
      <c r="M28" s="20"/>
      <c r="N28" s="20"/>
      <c r="O28" s="20"/>
      <c r="P28" s="20"/>
      <c r="Q28" s="21">
        <f>IF($I28="","",IFERROR(INDEX(_玩家曲线!$H$2:$H$286,MATCH($I28,_玩家曲线!$A$2:$A$286,0)),""))</f>
        <v>382701.301958812</v>
      </c>
      <c r="R28" s="21">
        <f>IF($I28="","",IFERROR(INDEX(_玩家曲线!$I$2:$I$286,MATCH($I28,_玩家曲线!$A$2:$A$286,0)),""))</f>
        <v>701881.996619119</v>
      </c>
      <c r="S28" s="21">
        <f>IF(OR($J28="",$F28="不适用"),"",IFERROR(INDEX(_怪物模型!$D$2:$D$4501,MATCH(INT($J28)&amp;"|"&amp;$F28,_怪物模型!$A$2:$A$4501,0))*IF($K28="",1,$K28),""))</f>
        <v>146294</v>
      </c>
      <c r="T28" s="21">
        <f>IF(OR($J28="",$F28="不适用"),"",IFERROR(INDEX(_怪物模型!$E$2:$E$4501,MATCH(INT($J28)&amp;"|"&amp;$F28,_怪物模型!$A$2:$A$4501,0))*IF($L28="",1,$L28),""))</f>
        <v>21721</v>
      </c>
      <c r="U28" s="21">
        <f>IF(OR($J28="",$F28="不适用"),"",IFERROR(INDEX(_怪物模型!$F$2:$F$4501,MATCH(INT($J28)&amp;"|"&amp;$F28,_怪物模型!$A$2:$A$4501,0))*IF($M28="",1,$M28),""))</f>
        <v>17100</v>
      </c>
      <c r="V28" s="22">
        <f t="shared" si="1"/>
        <v>0.416058394160584</v>
      </c>
      <c r="W28" s="23">
        <f t="shared" si="2"/>
        <v>250528.475</v>
      </c>
      <c r="X28" s="23">
        <f t="shared" si="3"/>
        <v>0.654631885801536</v>
      </c>
      <c r="Y28" s="23">
        <f t="shared" si="4"/>
        <v>32.3135213212614</v>
      </c>
      <c r="Z28" s="24" t="str">
        <f t="shared" si="5"/>
        <v/>
      </c>
      <c r="AA28" s="6" t="str">
        <f t="shared" si="6"/>
        <v>已计算</v>
      </c>
      <c r="AB28" s="6" t="str">
        <f t="shared" si="7"/>
        <v>有效</v>
      </c>
      <c r="AC28" s="6" t="str">
        <f t="shared" si="8"/>
        <v/>
      </c>
      <c r="AD28" s="7" t="s">
        <v>796</v>
      </c>
    </row>
    <row r="29" ht="25" customHeight="1" spans="1:30">
      <c r="A29" s="6" t="s">
        <v>145</v>
      </c>
      <c r="B29" s="6" t="s">
        <v>59</v>
      </c>
      <c r="C29" s="7" t="s">
        <v>723</v>
      </c>
      <c r="D29" s="7" t="s">
        <v>797</v>
      </c>
      <c r="E29" s="7" t="s">
        <v>798</v>
      </c>
      <c r="F29" s="6" t="s">
        <v>738</v>
      </c>
      <c r="G29" s="16">
        <v>74</v>
      </c>
      <c r="H29" s="17"/>
      <c r="I29" s="18">
        <f t="shared" si="0"/>
        <v>74</v>
      </c>
      <c r="J29" s="19">
        <v>198</v>
      </c>
      <c r="K29" s="20"/>
      <c r="L29" s="20"/>
      <c r="M29" s="20"/>
      <c r="N29" s="20"/>
      <c r="O29" s="20"/>
      <c r="P29" s="20"/>
      <c r="Q29" s="21">
        <f>IF($I29="","",IFERROR(INDEX(_玩家曲线!$H$2:$H$286,MATCH($I29,_玩家曲线!$A$2:$A$286,0)),""))</f>
        <v>408062.500049468</v>
      </c>
      <c r="R29" s="21">
        <f>IF($I29="","",IFERROR(INDEX(_玩家曲线!$I$2:$I$286,MATCH($I29,_玩家曲线!$A$2:$A$286,0)),""))</f>
        <v>742493.694813082</v>
      </c>
      <c r="S29" s="21">
        <f>IF(OR($J29="",$F29="不适用"),"",IFERROR(INDEX(_怪物模型!$D$2:$D$4501,MATCH(INT($J29)&amp;"|"&amp;$F29,_怪物模型!$A$2:$A$4501,0))*IF($K29="",1,$K29),""))</f>
        <v>622520</v>
      </c>
      <c r="T29" s="21">
        <f>IF(OR($J29="",$F29="不适用"),"",IFERROR(INDEX(_怪物模型!$E$2:$E$4501,MATCH(INT($J29)&amp;"|"&amp;$F29,_怪物模型!$A$2:$A$4501,0))*IF($L29="",1,$L29),""))</f>
        <v>22855</v>
      </c>
      <c r="U29" s="21">
        <f>IF(OR($J29="",$F29="不适用"),"",IFERROR(INDEX(_怪物模型!$F$2:$F$4501,MATCH(INT($J29)&amp;"|"&amp;$F29,_怪物模型!$A$2:$A$4501,0))*IF($M29="",1,$M29),""))</f>
        <v>17634</v>
      </c>
      <c r="V29" s="22">
        <f t="shared" si="1"/>
        <v>0.423548061680357</v>
      </c>
      <c r="W29" s="23">
        <f t="shared" si="2"/>
        <v>1079916.57</v>
      </c>
      <c r="X29" s="23">
        <f t="shared" si="3"/>
        <v>2.64644893826089</v>
      </c>
      <c r="Y29" s="23">
        <f t="shared" si="4"/>
        <v>32.487144817899</v>
      </c>
      <c r="Z29" s="24" t="str">
        <f t="shared" si="5"/>
        <v/>
      </c>
      <c r="AA29" s="6" t="str">
        <f t="shared" si="6"/>
        <v>已计算</v>
      </c>
      <c r="AB29" s="6" t="str">
        <f t="shared" si="7"/>
        <v>有效</v>
      </c>
      <c r="AC29" s="6" t="str">
        <f t="shared" si="8"/>
        <v/>
      </c>
      <c r="AD29" s="7" t="s">
        <v>799</v>
      </c>
    </row>
    <row r="30" ht="25" customHeight="1" spans="1:30">
      <c r="A30" s="6" t="s">
        <v>145</v>
      </c>
      <c r="B30" s="6" t="s">
        <v>59</v>
      </c>
      <c r="C30" s="7" t="s">
        <v>723</v>
      </c>
      <c r="D30" s="7" t="s">
        <v>800</v>
      </c>
      <c r="E30" s="7" t="s">
        <v>801</v>
      </c>
      <c r="F30" s="6" t="s">
        <v>149</v>
      </c>
      <c r="G30" s="16">
        <v>76</v>
      </c>
      <c r="H30" s="17"/>
      <c r="I30" s="18">
        <f t="shared" si="0"/>
        <v>76</v>
      </c>
      <c r="J30" s="19">
        <v>201</v>
      </c>
      <c r="K30" s="20"/>
      <c r="L30" s="20"/>
      <c r="M30" s="20"/>
      <c r="N30" s="20"/>
      <c r="O30" s="20"/>
      <c r="P30" s="20"/>
      <c r="Q30" s="21">
        <f>IF($I30="","",IFERROR(INDEX(_玩家曲线!$H$2:$H$286,MATCH($I30,_玩家曲线!$A$2:$A$286,0)),""))</f>
        <v>433557.750887974</v>
      </c>
      <c r="R30" s="21">
        <f>IF($I30="","",IFERROR(INDEX(_玩家曲线!$I$2:$I$286,MATCH($I30,_玩家曲线!$A$2:$A$286,0)),""))</f>
        <v>782852.422302741</v>
      </c>
      <c r="S30" s="21">
        <f>IF(OR($J30="",$F30="不适用"),"",IFERROR(INDEX(_怪物模型!$D$2:$D$4501,MATCH(INT($J30)&amp;"|"&amp;$F30,_怪物模型!$A$2:$A$4501,0))*IF($K30="",1,$K30),""))</f>
        <v>161437</v>
      </c>
      <c r="T30" s="21">
        <f>IF(OR($J30="",$F30="不适用"),"",IFERROR(INDEX(_怪物模型!$E$2:$E$4501,MATCH(INT($J30)&amp;"|"&amp;$F30,_怪物模型!$A$2:$A$4501,0))*IF($L30="",1,$L30),""))</f>
        <v>23555</v>
      </c>
      <c r="U30" s="21">
        <f>IF(OR($J30="",$F30="不适用"),"",IFERROR(INDEX(_怪物模型!$F$2:$F$4501,MATCH(INT($J30)&amp;"|"&amp;$F30,_怪物模型!$A$2:$A$4501,0))*IF($M30="",1,$M30),""))</f>
        <v>17957</v>
      </c>
      <c r="V30" s="22">
        <f t="shared" si="1"/>
        <v>0.427985794980575</v>
      </c>
      <c r="W30" s="23">
        <f t="shared" si="2"/>
        <v>282225.508708333</v>
      </c>
      <c r="X30" s="23">
        <f t="shared" si="3"/>
        <v>0.65095251585355</v>
      </c>
      <c r="Y30" s="23">
        <f t="shared" si="4"/>
        <v>33.2350847931539</v>
      </c>
      <c r="Z30" s="24" t="str">
        <f t="shared" si="5"/>
        <v/>
      </c>
      <c r="AA30" s="6" t="str">
        <f t="shared" si="6"/>
        <v>已计算</v>
      </c>
      <c r="AB30" s="6" t="str">
        <f t="shared" si="7"/>
        <v>有效</v>
      </c>
      <c r="AC30" s="6" t="str">
        <f t="shared" si="8"/>
        <v/>
      </c>
      <c r="AD30" s="7" t="s">
        <v>802</v>
      </c>
    </row>
    <row r="31" ht="25" customHeight="1" spans="1:30">
      <c r="A31" s="6" t="s">
        <v>145</v>
      </c>
      <c r="B31" s="6" t="s">
        <v>59</v>
      </c>
      <c r="C31" s="7" t="s">
        <v>723</v>
      </c>
      <c r="D31" s="7" t="s">
        <v>803</v>
      </c>
      <c r="E31" s="7" t="s">
        <v>804</v>
      </c>
      <c r="F31" s="6" t="s">
        <v>149</v>
      </c>
      <c r="G31" s="16">
        <v>79</v>
      </c>
      <c r="H31" s="17"/>
      <c r="I31" s="18">
        <f t="shared" si="0"/>
        <v>79</v>
      </c>
      <c r="J31" s="19">
        <v>207</v>
      </c>
      <c r="K31" s="20"/>
      <c r="L31" s="20"/>
      <c r="M31" s="20"/>
      <c r="N31" s="20"/>
      <c r="O31" s="20"/>
      <c r="P31" s="20"/>
      <c r="Q31" s="21">
        <f>IF($I31="","",IFERROR(INDEX(_玩家曲线!$H$2:$H$286,MATCH($I31,_玩家曲线!$A$2:$A$286,0)),""))</f>
        <v>471937.644537088</v>
      </c>
      <c r="R31" s="21">
        <f>IF($I31="","",IFERROR(INDEX(_玩家曲线!$I$2:$I$286,MATCH($I31,_玩家曲线!$A$2:$A$286,0)),""))</f>
        <v>842778.012960816</v>
      </c>
      <c r="S31" s="21">
        <f>IF(OR($J31="",$F31="不适用"),"",IFERROR(INDEX(_怪物模型!$D$2:$D$4501,MATCH(INT($J31)&amp;"|"&amp;$F31,_怪物模型!$A$2:$A$4501,0))*IF($K31="",1,$K31),""))</f>
        <v>173530</v>
      </c>
      <c r="T31" s="21">
        <f>IF(OR($J31="",$F31="不适用"),"",IFERROR(INDEX(_怪物模型!$E$2:$E$4501,MATCH(INT($J31)&amp;"|"&amp;$F31,_怪物模型!$A$2:$A$4501,0))*IF($L31="",1,$L31),""))</f>
        <v>24995</v>
      </c>
      <c r="U31" s="21">
        <f>IF(OR($J31="",$F31="不适用"),"",IFERROR(INDEX(_怪物模型!$F$2:$F$4501,MATCH(INT($J31)&amp;"|"&amp;$F31,_怪物模型!$A$2:$A$4501,0))*IF($M31="",1,$M31),""))</f>
        <v>18607</v>
      </c>
      <c r="V31" s="22">
        <f t="shared" si="1"/>
        <v>0.436712277325322</v>
      </c>
      <c r="W31" s="23">
        <f t="shared" si="2"/>
        <v>308066.362916667</v>
      </c>
      <c r="X31" s="23">
        <f t="shared" si="3"/>
        <v>0.652769208989127</v>
      </c>
      <c r="Y31" s="23">
        <f t="shared" si="4"/>
        <v>33.7178640912509</v>
      </c>
      <c r="Z31" s="24" t="str">
        <f t="shared" si="5"/>
        <v/>
      </c>
      <c r="AA31" s="6" t="str">
        <f t="shared" si="6"/>
        <v>已计算</v>
      </c>
      <c r="AB31" s="6" t="str">
        <f t="shared" si="7"/>
        <v>有效</v>
      </c>
      <c r="AC31" s="6" t="str">
        <f t="shared" si="8"/>
        <v/>
      </c>
      <c r="AD31" s="7" t="s">
        <v>805</v>
      </c>
    </row>
    <row r="32" ht="25" customHeight="1" spans="1:30">
      <c r="A32" s="6" t="s">
        <v>145</v>
      </c>
      <c r="B32" s="6" t="s">
        <v>59</v>
      </c>
      <c r="C32" s="7" t="s">
        <v>723</v>
      </c>
      <c r="D32" s="7" t="s">
        <v>806</v>
      </c>
      <c r="E32" s="7" t="s">
        <v>807</v>
      </c>
      <c r="F32" s="6" t="s">
        <v>149</v>
      </c>
      <c r="G32" s="16">
        <v>81</v>
      </c>
      <c r="H32" s="17"/>
      <c r="I32" s="18">
        <f t="shared" si="0"/>
        <v>81</v>
      </c>
      <c r="J32" s="19">
        <v>211</v>
      </c>
      <c r="K32" s="20"/>
      <c r="L32" s="20"/>
      <c r="M32" s="20"/>
      <c r="N32" s="20"/>
      <c r="O32" s="20"/>
      <c r="P32" s="20"/>
      <c r="Q32" s="21">
        <f>IF($I32="","",IFERROR(INDEX(_玩家曲线!$H$2:$H$286,MATCH($I32,_玩家曲线!$A$2:$A$286,0)),""))</f>
        <v>497543.419051116</v>
      </c>
      <c r="R32" s="21">
        <f>IF($I32="","",IFERROR(INDEX(_玩家曲线!$I$2:$I$286,MATCH($I32,_玩家曲线!$A$2:$A$286,0)),""))</f>
        <v>882237.263765109</v>
      </c>
      <c r="S32" s="21">
        <f>IF(OR($J32="",$F32="不适用"),"",IFERROR(INDEX(_怪物模型!$D$2:$D$4501,MATCH(INT($J32)&amp;"|"&amp;$F32,_怪物模型!$A$2:$A$4501,0))*IF($K32="",1,$K32),""))</f>
        <v>181956</v>
      </c>
      <c r="T32" s="21">
        <f>IF(OR($J32="",$F32="不适用"),"",IFERROR(INDEX(_怪物模型!$E$2:$E$4501,MATCH(INT($J32)&amp;"|"&amp;$F32,_怪物模型!$A$2:$A$4501,0))*IF($L32="",1,$L32),""))</f>
        <v>25987</v>
      </c>
      <c r="U32" s="21">
        <f>IF(OR($J32="",$F32="不适用"),"",IFERROR(INDEX(_怪物模型!$F$2:$F$4501,MATCH(INT($J32)&amp;"|"&amp;$F32,_怪物模型!$A$2:$A$4501,0))*IF($M32="",1,$M32),""))</f>
        <v>19045</v>
      </c>
      <c r="V32" s="22">
        <f t="shared" si="1"/>
        <v>0.442443954001626</v>
      </c>
      <c r="W32" s="23">
        <f t="shared" si="2"/>
        <v>326345.6675</v>
      </c>
      <c r="X32" s="23">
        <f t="shared" si="3"/>
        <v>0.655913946409715</v>
      </c>
      <c r="Y32" s="23">
        <f t="shared" si="4"/>
        <v>33.9491770410247</v>
      </c>
      <c r="Z32" s="24" t="str">
        <f t="shared" si="5"/>
        <v/>
      </c>
      <c r="AA32" s="6" t="str">
        <f t="shared" si="6"/>
        <v>已计算</v>
      </c>
      <c r="AB32" s="6" t="str">
        <f t="shared" si="7"/>
        <v>有效</v>
      </c>
      <c r="AC32" s="6" t="str">
        <f t="shared" si="8"/>
        <v/>
      </c>
      <c r="AD32" s="7" t="s">
        <v>808</v>
      </c>
    </row>
    <row r="33" ht="25" customHeight="1" spans="1:30">
      <c r="A33" s="6" t="s">
        <v>145</v>
      </c>
      <c r="B33" s="6" t="s">
        <v>59</v>
      </c>
      <c r="C33" s="7" t="s">
        <v>723</v>
      </c>
      <c r="D33" s="7" t="s">
        <v>809</v>
      </c>
      <c r="E33" s="7" t="s">
        <v>810</v>
      </c>
      <c r="F33" s="6" t="s">
        <v>149</v>
      </c>
      <c r="G33" s="16">
        <v>84</v>
      </c>
      <c r="H33" s="17"/>
      <c r="I33" s="18">
        <f t="shared" si="0"/>
        <v>84</v>
      </c>
      <c r="J33" s="19">
        <v>216</v>
      </c>
      <c r="K33" s="20"/>
      <c r="L33" s="20"/>
      <c r="M33" s="20"/>
      <c r="N33" s="20"/>
      <c r="O33" s="20"/>
      <c r="P33" s="20"/>
      <c r="Q33" s="21">
        <f>IF($I33="","",IFERROR(INDEX(_玩家曲线!$H$2:$H$286,MATCH($I33,_玩家曲线!$A$2:$A$286,0)),""))</f>
        <v>535865.241932534</v>
      </c>
      <c r="R33" s="21">
        <f>IF($I33="","",IFERROR(INDEX(_玩家曲线!$I$2:$I$286,MATCH($I33,_玩家曲线!$A$2:$A$286,0)),""))</f>
        <v>940564.25914262</v>
      </c>
      <c r="S33" s="21">
        <f>IF(OR($J33="",$F33="不适用"),"",IFERROR(INDEX(_怪物模型!$D$2:$D$4501,MATCH(INT($J33)&amp;"|"&amp;$F33,_怪物模型!$A$2:$A$4501,0))*IF($K33="",1,$K33),""))</f>
        <v>192910</v>
      </c>
      <c r="T33" s="21">
        <f>IF(OR($J33="",$F33="不适用"),"",IFERROR(INDEX(_怪物模型!$E$2:$E$4501,MATCH(INT($J33)&amp;"|"&amp;$F33,_怪物模型!$A$2:$A$4501,0))*IF($L33="",1,$L33),""))</f>
        <v>27263</v>
      </c>
      <c r="U33" s="21">
        <f>IF(OR($J33="",$F33="不适用"),"",IFERROR(INDEX(_怪物模型!$F$2:$F$4501,MATCH(INT($J33)&amp;"|"&amp;$F33,_怪物模型!$A$2:$A$4501,0))*IF($M33="",1,$M33),""))</f>
        <v>19595</v>
      </c>
      <c r="V33" s="22">
        <f t="shared" si="1"/>
        <v>0.449478151164124</v>
      </c>
      <c r="W33" s="23">
        <f t="shared" si="2"/>
        <v>350412.977083333</v>
      </c>
      <c r="X33" s="23">
        <f t="shared" si="3"/>
        <v>0.653919959091974</v>
      </c>
      <c r="Y33" s="23">
        <f t="shared" si="4"/>
        <v>34.4996610476697</v>
      </c>
      <c r="Z33" s="24" t="str">
        <f t="shared" si="5"/>
        <v/>
      </c>
      <c r="AA33" s="6" t="str">
        <f t="shared" si="6"/>
        <v>已计算</v>
      </c>
      <c r="AB33" s="6" t="str">
        <f t="shared" si="7"/>
        <v>有效</v>
      </c>
      <c r="AC33" s="6" t="str">
        <f t="shared" si="8"/>
        <v/>
      </c>
      <c r="AD33" s="7" t="s">
        <v>811</v>
      </c>
    </row>
    <row r="34" ht="25" customHeight="1" spans="1:30">
      <c r="A34" s="6" t="s">
        <v>145</v>
      </c>
      <c r="B34" s="6" t="s">
        <v>59</v>
      </c>
      <c r="C34" s="7" t="s">
        <v>723</v>
      </c>
      <c r="D34" s="7" t="s">
        <v>812</v>
      </c>
      <c r="E34" s="7" t="s">
        <v>813</v>
      </c>
      <c r="F34" s="6" t="s">
        <v>159</v>
      </c>
      <c r="G34" s="16">
        <v>86</v>
      </c>
      <c r="H34" s="17"/>
      <c r="I34" s="18">
        <f t="shared" si="0"/>
        <v>86</v>
      </c>
      <c r="J34" s="19">
        <v>220</v>
      </c>
      <c r="K34" s="20"/>
      <c r="L34" s="20"/>
      <c r="M34" s="20"/>
      <c r="N34" s="20"/>
      <c r="O34" s="20"/>
      <c r="P34" s="20"/>
      <c r="Q34" s="21">
        <f>IF($I34="","",IFERROR(INDEX(_玩家曲线!$H$2:$H$286,MATCH($I34,_玩家曲线!$A$2:$A$286,0)),""))</f>
        <v>561292.666337797</v>
      </c>
      <c r="R34" s="21">
        <f>IF($I34="","",IFERROR(INDEX(_玩家曲线!$I$2:$I$286,MATCH($I34,_玩家曲线!$A$2:$A$286,0)),""))</f>
        <v>978810.548490182</v>
      </c>
      <c r="S34" s="21">
        <f>IF(OR($J34="",$F34="不适用"),"",IFERROR(INDEX(_怪物模型!$D$2:$D$4501,MATCH(INT($J34)&amp;"|"&amp;$F34,_怪物模型!$A$2:$A$4501,0))*IF($K34="",1,$K34),""))</f>
        <v>21734251</v>
      </c>
      <c r="T34" s="21">
        <f>IF(OR($J34="",$F34="不适用"),"",IFERROR(INDEX(_怪物模型!$E$2:$E$4501,MATCH(INT($J34)&amp;"|"&amp;$F34,_怪物模型!$A$2:$A$4501,0))*IF($L34="",1,$L34),""))</f>
        <v>28315</v>
      </c>
      <c r="U34" s="21">
        <f>IF(OR($J34="",$F34="不适用"),"",IFERROR(INDEX(_怪物模型!$F$2:$F$4501,MATCH(INT($J34)&amp;"|"&amp;$F34,_怪物模型!$A$2:$A$4501,0))*IF($M34="",1,$M34),""))</f>
        <v>20039</v>
      </c>
      <c r="V34" s="22">
        <f t="shared" si="1"/>
        <v>0.455028497468153</v>
      </c>
      <c r="W34" s="23">
        <f t="shared" si="2"/>
        <v>39881444.9912083</v>
      </c>
      <c r="X34" s="23">
        <f t="shared" si="3"/>
        <v>71.0528524297641</v>
      </c>
      <c r="Y34" s="23">
        <f t="shared" si="4"/>
        <v>34.5686225848554</v>
      </c>
      <c r="Z34" s="24" t="str">
        <f t="shared" si="5"/>
        <v/>
      </c>
      <c r="AA34" s="6" t="str">
        <f t="shared" si="6"/>
        <v>已计算</v>
      </c>
      <c r="AB34" s="6" t="str">
        <f t="shared" si="7"/>
        <v>有效</v>
      </c>
      <c r="AC34" s="6" t="str">
        <f t="shared" si="8"/>
        <v/>
      </c>
      <c r="AD34" s="7" t="s">
        <v>814</v>
      </c>
    </row>
    <row r="35" ht="25" customHeight="1" spans="1:30">
      <c r="A35" s="6" t="s">
        <v>145</v>
      </c>
      <c r="B35" s="6" t="s">
        <v>59</v>
      </c>
      <c r="C35" s="7" t="s">
        <v>723</v>
      </c>
      <c r="D35" s="7" t="s">
        <v>815</v>
      </c>
      <c r="E35" s="7" t="s">
        <v>816</v>
      </c>
      <c r="F35" s="6" t="s">
        <v>149</v>
      </c>
      <c r="G35" s="16">
        <v>89</v>
      </c>
      <c r="H35" s="17"/>
      <c r="I35" s="18">
        <f t="shared" si="0"/>
        <v>89</v>
      </c>
      <c r="J35" s="19">
        <v>224</v>
      </c>
      <c r="K35" s="20"/>
      <c r="L35" s="20"/>
      <c r="M35" s="20"/>
      <c r="N35" s="20"/>
      <c r="O35" s="20"/>
      <c r="P35" s="20"/>
      <c r="Q35" s="21">
        <f>IF($I35="","",IFERROR(INDEX(_玩家曲线!$H$2:$H$286,MATCH($I35,_玩家曲线!$A$2:$A$286,0)),""))</f>
        <v>599154.342761463</v>
      </c>
      <c r="R35" s="21">
        <f>IF($I35="","",IFERROR(INDEX(_玩家曲线!$I$2:$I$286,MATCH($I35,_玩家曲线!$A$2:$A$286,0)),""))</f>
        <v>1035127.81575273</v>
      </c>
      <c r="S35" s="21">
        <f>IF(OR($J35="",$F35="不适用"),"",IFERROR(INDEX(_怪物模型!$D$2:$D$4501,MATCH(INT($J35)&amp;"|"&amp;$F35,_怪物模型!$A$2:$A$4501,0))*IF($K35="",1,$K35),""))</f>
        <v>211447</v>
      </c>
      <c r="T35" s="21">
        <f>IF(OR($J35="",$F35="不适用"),"",IFERROR(INDEX(_怪物模型!$E$2:$E$4501,MATCH(INT($J35)&amp;"|"&amp;$F35,_怪物模型!$A$2:$A$4501,0))*IF($L35="",1,$L35),""))</f>
        <v>29393</v>
      </c>
      <c r="U35" s="21">
        <f>IF(OR($J35="",$F35="不适用"),"",IFERROR(INDEX(_怪物模型!$F$2:$F$4501,MATCH(INT($J35)&amp;"|"&amp;$F35,_怪物模型!$A$2:$A$4501,0))*IF($M35="",1,$M35),""))</f>
        <v>20486</v>
      </c>
      <c r="V35" s="22">
        <f t="shared" si="1"/>
        <v>0.460504428359484</v>
      </c>
      <c r="W35" s="23">
        <f t="shared" si="2"/>
        <v>391934.635083333</v>
      </c>
      <c r="X35" s="23">
        <f t="shared" si="3"/>
        <v>0.654146364485872</v>
      </c>
      <c r="Y35" s="23">
        <f t="shared" si="4"/>
        <v>35.216814062965</v>
      </c>
      <c r="Z35" s="24" t="str">
        <f t="shared" si="5"/>
        <v/>
      </c>
      <c r="AA35" s="6" t="str">
        <f t="shared" si="6"/>
        <v>已计算</v>
      </c>
      <c r="AB35" s="6" t="str">
        <f t="shared" si="7"/>
        <v>有效</v>
      </c>
      <c r="AC35" s="6" t="str">
        <f t="shared" si="8"/>
        <v/>
      </c>
      <c r="AD35" s="7" t="s">
        <v>817</v>
      </c>
    </row>
    <row r="36" ht="25" customHeight="1" spans="1:30">
      <c r="A36" s="6" t="s">
        <v>145</v>
      </c>
      <c r="B36" s="6" t="s">
        <v>59</v>
      </c>
      <c r="C36" s="7" t="s">
        <v>723</v>
      </c>
      <c r="D36" s="7" t="s">
        <v>818</v>
      </c>
      <c r="E36" s="7" t="s">
        <v>819</v>
      </c>
      <c r="F36" s="6" t="s">
        <v>149</v>
      </c>
      <c r="G36" s="16">
        <v>91</v>
      </c>
      <c r="H36" s="17"/>
      <c r="I36" s="18">
        <f t="shared" si="0"/>
        <v>91</v>
      </c>
      <c r="J36" s="19">
        <v>227</v>
      </c>
      <c r="K36" s="20"/>
      <c r="L36" s="20"/>
      <c r="M36" s="20"/>
      <c r="N36" s="20"/>
      <c r="O36" s="20"/>
      <c r="P36" s="20"/>
      <c r="Q36" s="21">
        <f>IF($I36="","",IFERROR(INDEX(_玩家曲线!$H$2:$H$286,MATCH($I36,_玩家曲线!$A$2:$A$286,0)),""))</f>
        <v>624156.485614279</v>
      </c>
      <c r="R36" s="21">
        <f>IF($I36="","",IFERROR(INDEX(_玩家曲线!$I$2:$I$286,MATCH($I36,_玩家曲线!$A$2:$A$286,0)),""))</f>
        <v>1071924.05190029</v>
      </c>
      <c r="S36" s="21">
        <f>IF(OR($J36="",$F36="不适用"),"",IFERROR(INDEX(_怪物模型!$D$2:$D$4501,MATCH(INT($J36)&amp;"|"&amp;$F36,_怪物模型!$A$2:$A$4501,0))*IF($K36="",1,$K36),""))</f>
        <v>218729</v>
      </c>
      <c r="T36" s="21">
        <f>IF(OR($J36="",$F36="不适用"),"",IFERROR(INDEX(_怪物模型!$E$2:$E$4501,MATCH(INT($J36)&amp;"|"&amp;$F36,_怪物模型!$A$2:$A$4501,0))*IF($L36="",1,$L36),""))</f>
        <v>30219</v>
      </c>
      <c r="U36" s="21">
        <f>IF(OR($J36="",$F36="不适用"),"",IFERROR(INDEX(_怪物模型!$F$2:$F$4501,MATCH(INT($J36)&amp;"|"&amp;$F36,_怪物模型!$A$2:$A$4501,0))*IF($M36="",1,$M36),""))</f>
        <v>20823</v>
      </c>
      <c r="V36" s="22">
        <f t="shared" si="1"/>
        <v>0.464560605046516</v>
      </c>
      <c r="W36" s="23">
        <f t="shared" si="2"/>
        <v>408503.748625</v>
      </c>
      <c r="X36" s="23">
        <f t="shared" si="3"/>
        <v>0.65448931163947</v>
      </c>
      <c r="Y36" s="23">
        <f t="shared" si="4"/>
        <v>35.4718571726493</v>
      </c>
      <c r="Z36" s="24" t="str">
        <f t="shared" si="5"/>
        <v/>
      </c>
      <c r="AA36" s="6" t="str">
        <f t="shared" si="6"/>
        <v>已计算</v>
      </c>
      <c r="AB36" s="6" t="str">
        <f t="shared" si="7"/>
        <v>有效</v>
      </c>
      <c r="AC36" s="6" t="str">
        <f t="shared" si="8"/>
        <v/>
      </c>
      <c r="AD36" s="7" t="s">
        <v>820</v>
      </c>
    </row>
    <row r="37" ht="25" customHeight="1" spans="1:30">
      <c r="A37" s="6" t="s">
        <v>145</v>
      </c>
      <c r="B37" s="6" t="s">
        <v>59</v>
      </c>
      <c r="C37" s="7" t="s">
        <v>723</v>
      </c>
      <c r="D37" s="7" t="s">
        <v>821</v>
      </c>
      <c r="E37" s="7" t="s">
        <v>822</v>
      </c>
      <c r="F37" s="6" t="s">
        <v>149</v>
      </c>
      <c r="G37" s="16">
        <v>94</v>
      </c>
      <c r="H37" s="17"/>
      <c r="I37" s="18">
        <f t="shared" si="0"/>
        <v>94</v>
      </c>
      <c r="J37" s="19">
        <v>231</v>
      </c>
      <c r="K37" s="20"/>
      <c r="L37" s="20"/>
      <c r="M37" s="20"/>
      <c r="N37" s="20"/>
      <c r="O37" s="20"/>
      <c r="P37" s="20"/>
      <c r="Q37" s="21">
        <f>IF($I37="","",IFERROR(INDEX(_玩家曲线!$H$2:$H$286,MATCH($I37,_玩家曲线!$A$2:$A$286,0)),""))</f>
        <v>661219.339252962</v>
      </c>
      <c r="R37" s="21">
        <f>IF($I37="","",IFERROR(INDEX(_玩家曲线!$I$2:$I$286,MATCH($I37,_玩家曲线!$A$2:$A$286,0)),""))</f>
        <v>1125927.33251912</v>
      </c>
      <c r="S37" s="21">
        <f>IF(OR($J37="",$F37="不适用"),"",IFERROR(INDEX(_怪物模型!$D$2:$D$4501,MATCH(INT($J37)&amp;"|"&amp;$F37,_怪物模型!$A$2:$A$4501,0))*IF($K37="",1,$K37),""))</f>
        <v>228729</v>
      </c>
      <c r="T37" s="21">
        <f>IF(OR($J37="",$F37="不适用"),"",IFERROR(INDEX(_怪物模型!$E$2:$E$4501,MATCH(INT($J37)&amp;"|"&amp;$F37,_怪物模型!$A$2:$A$4501,0))*IF($L37="",1,$L37),""))</f>
        <v>31346</v>
      </c>
      <c r="U37" s="21">
        <f>IF(OR($J37="",$F37="不适用"),"",IFERROR(INDEX(_怪物模型!$F$2:$F$4501,MATCH(INT($J37)&amp;"|"&amp;$F37,_怪物模型!$A$2:$A$4501,0))*IF($M37="",1,$M37),""))</f>
        <v>21275</v>
      </c>
      <c r="V37" s="22">
        <f t="shared" si="1"/>
        <v>0.469906129210381</v>
      </c>
      <c r="W37" s="23">
        <f t="shared" si="2"/>
        <v>431487.728125</v>
      </c>
      <c r="X37" s="23">
        <f t="shared" si="3"/>
        <v>0.652563684257163</v>
      </c>
      <c r="Y37" s="23">
        <f t="shared" si="4"/>
        <v>35.9193304574466</v>
      </c>
      <c r="Z37" s="24" t="str">
        <f t="shared" si="5"/>
        <v/>
      </c>
      <c r="AA37" s="6" t="str">
        <f t="shared" si="6"/>
        <v>已计算</v>
      </c>
      <c r="AB37" s="6" t="str">
        <f t="shared" si="7"/>
        <v>有效</v>
      </c>
      <c r="AC37" s="6" t="str">
        <f t="shared" si="8"/>
        <v/>
      </c>
      <c r="AD37" s="7" t="s">
        <v>823</v>
      </c>
    </row>
    <row r="38" ht="25" customHeight="1" spans="1:30">
      <c r="A38" s="6" t="s">
        <v>145</v>
      </c>
      <c r="B38" s="6" t="s">
        <v>59</v>
      </c>
      <c r="C38" s="7" t="s">
        <v>723</v>
      </c>
      <c r="D38" s="7" t="s">
        <v>824</v>
      </c>
      <c r="E38" s="7" t="s">
        <v>825</v>
      </c>
      <c r="F38" s="6" t="s">
        <v>149</v>
      </c>
      <c r="G38" s="16">
        <v>96</v>
      </c>
      <c r="H38" s="17"/>
      <c r="I38" s="18">
        <f t="shared" si="0"/>
        <v>96</v>
      </c>
      <c r="J38" s="19">
        <v>234</v>
      </c>
      <c r="K38" s="20"/>
      <c r="L38" s="20"/>
      <c r="M38" s="20"/>
      <c r="N38" s="20"/>
      <c r="O38" s="20"/>
      <c r="P38" s="20"/>
      <c r="Q38" s="21">
        <f>IF($I38="","",IFERROR(INDEX(_玩家曲线!$H$2:$H$286,MATCH($I38,_玩家曲线!$A$2:$A$286,0)),""))</f>
        <v>685591.355860024</v>
      </c>
      <c r="R38" s="21">
        <f>IF($I38="","",IFERROR(INDEX(_玩家曲线!$I$2:$I$286,MATCH($I38,_玩家曲线!$A$2:$A$286,0)),""))</f>
        <v>1161102.55625193</v>
      </c>
      <c r="S38" s="21">
        <f>IF(OR($J38="",$F38="不适用"),"",IFERROR(INDEX(_怪物模型!$D$2:$D$4501,MATCH(INT($J38)&amp;"|"&amp;$F38,_怪物模型!$A$2:$A$4501,0))*IF($K38="",1,$K38),""))</f>
        <v>236450</v>
      </c>
      <c r="T38" s="21">
        <f>IF(OR($J38="",$F38="不适用"),"",IFERROR(INDEX(_怪物模型!$E$2:$E$4501,MATCH(INT($J38)&amp;"|"&amp;$F38,_怪物模型!$A$2:$A$4501,0))*IF($L38="",1,$L38),""))</f>
        <v>32209</v>
      </c>
      <c r="U38" s="21">
        <f>IF(OR($J38="",$F38="不适用"),"",IFERROR(INDEX(_怪物模型!$F$2:$F$4501,MATCH(INT($J38)&amp;"|"&amp;$F38,_怪物模型!$A$2:$A$4501,0))*IF($M38="",1,$M38),""))</f>
        <v>21616</v>
      </c>
      <c r="V38" s="22">
        <f t="shared" si="1"/>
        <v>0.473868817958611</v>
      </c>
      <c r="W38" s="23">
        <f t="shared" si="2"/>
        <v>449412.633333333</v>
      </c>
      <c r="X38" s="23">
        <f t="shared" si="3"/>
        <v>0.655510938829703</v>
      </c>
      <c r="Y38" s="23">
        <f t="shared" si="4"/>
        <v>36.0490097876969</v>
      </c>
      <c r="Z38" s="24" t="str">
        <f t="shared" si="5"/>
        <v/>
      </c>
      <c r="AA38" s="6" t="str">
        <f t="shared" si="6"/>
        <v>已计算</v>
      </c>
      <c r="AB38" s="6" t="str">
        <f t="shared" si="7"/>
        <v>有效</v>
      </c>
      <c r="AC38" s="6" t="str">
        <f t="shared" si="8"/>
        <v/>
      </c>
      <c r="AD38" s="7" t="s">
        <v>826</v>
      </c>
    </row>
    <row r="39" ht="25" customHeight="1" spans="1:30">
      <c r="A39" s="6" t="s">
        <v>145</v>
      </c>
      <c r="B39" s="6" t="s">
        <v>59</v>
      </c>
      <c r="C39" s="7" t="s">
        <v>723</v>
      </c>
      <c r="D39" s="7" t="s">
        <v>827</v>
      </c>
      <c r="E39" s="7" t="s">
        <v>828</v>
      </c>
      <c r="F39" s="6" t="s">
        <v>738</v>
      </c>
      <c r="G39" s="16">
        <v>99</v>
      </c>
      <c r="H39" s="17"/>
      <c r="I39" s="18">
        <f t="shared" si="0"/>
        <v>99</v>
      </c>
      <c r="J39" s="19">
        <v>238</v>
      </c>
      <c r="K39" s="20"/>
      <c r="L39" s="20"/>
      <c r="M39" s="20"/>
      <c r="N39" s="20"/>
      <c r="O39" s="20"/>
      <c r="P39" s="20"/>
      <c r="Q39" s="21">
        <f>IF($I39="","",IFERROR(INDEX(_玩家曲线!$H$2:$H$286,MATCH($I39,_玩家曲线!$A$2:$A$286,0)),""))</f>
        <v>721578.841664009</v>
      </c>
      <c r="R39" s="21">
        <f>IF($I39="","",IFERROR(INDEX(_玩家曲线!$I$2:$I$286,MATCH($I39,_玩家曲线!$A$2:$A$286,0)),""))</f>
        <v>1212579.25539915</v>
      </c>
      <c r="S39" s="21">
        <f>IF(OR($J39="",$F39="不适用"),"",IFERROR(INDEX(_怪物模型!$D$2:$D$4501,MATCH(INT($J39)&amp;"|"&amp;$F39,_怪物模型!$A$2:$A$4501,0))*IF($K39="",1,$K39),""))</f>
        <v>988184</v>
      </c>
      <c r="T39" s="21">
        <f>IF(OR($J39="",$F39="不适用"),"",IFERROR(INDEX(_怪物模型!$E$2:$E$4501,MATCH(INT($J39)&amp;"|"&amp;$F39,_怪物模型!$A$2:$A$4501,0))*IF($L39="",1,$L39),""))</f>
        <v>33385</v>
      </c>
      <c r="U39" s="21">
        <f>IF(OR($J39="",$F39="不适用"),"",IFERROR(INDEX(_怪物模型!$F$2:$F$4501,MATCH(INT($J39)&amp;"|"&amp;$F39,_怪物模型!$A$2:$A$4501,0))*IF($M39="",1,$M39),""))</f>
        <v>22074</v>
      </c>
      <c r="V39" s="22">
        <f t="shared" si="1"/>
        <v>0.479098840994921</v>
      </c>
      <c r="W39" s="23">
        <f t="shared" si="2"/>
        <v>1897066.234</v>
      </c>
      <c r="X39" s="23">
        <f t="shared" si="3"/>
        <v>2.62904914122099</v>
      </c>
      <c r="Y39" s="23">
        <f t="shared" si="4"/>
        <v>36.3210799879931</v>
      </c>
      <c r="Z39" s="24" t="str">
        <f t="shared" si="5"/>
        <v/>
      </c>
      <c r="AA39" s="6" t="str">
        <f t="shared" si="6"/>
        <v>已计算</v>
      </c>
      <c r="AB39" s="6" t="str">
        <f t="shared" si="7"/>
        <v>有效</v>
      </c>
      <c r="AC39" s="6" t="str">
        <f t="shared" si="8"/>
        <v/>
      </c>
      <c r="AD39" s="7" t="s">
        <v>829</v>
      </c>
    </row>
    <row r="40" ht="25" customHeight="1" spans="1:30">
      <c r="A40" s="6" t="s">
        <v>145</v>
      </c>
      <c r="B40" s="6" t="s">
        <v>59</v>
      </c>
      <c r="C40" s="7" t="s">
        <v>723</v>
      </c>
      <c r="D40" s="7" t="s">
        <v>830</v>
      </c>
      <c r="E40" s="7" t="s">
        <v>831</v>
      </c>
      <c r="F40" s="6" t="s">
        <v>149</v>
      </c>
      <c r="G40" s="16">
        <v>101</v>
      </c>
      <c r="H40" s="17"/>
      <c r="I40" s="18">
        <f t="shared" si="0"/>
        <v>101</v>
      </c>
      <c r="J40" s="19">
        <v>243</v>
      </c>
      <c r="K40" s="20"/>
      <c r="L40" s="20"/>
      <c r="M40" s="20"/>
      <c r="N40" s="20"/>
      <c r="O40" s="20"/>
      <c r="P40" s="20"/>
      <c r="Q40" s="21">
        <f>IF($I40="","",IFERROR(INDEX(_玩家曲线!$H$2:$H$286,MATCH($I40,_玩家曲线!$A$2:$A$286,0)),""))</f>
        <v>754380.349405639</v>
      </c>
      <c r="R40" s="21">
        <f>IF($I40="","",IFERROR(INDEX(_玩家曲线!$I$2:$I$286,MATCH($I40,_玩家曲线!$A$2:$A$286,0)),""))</f>
        <v>1255299.61646539</v>
      </c>
      <c r="S40" s="21">
        <f>IF(OR($J40="",$F40="不适用"),"",IFERROR(INDEX(_怪物模型!$D$2:$D$4501,MATCH(INT($J40)&amp;"|"&amp;$F40,_怪物模型!$A$2:$A$4501,0))*IF($K40="",1,$K40),""))</f>
        <v>260788</v>
      </c>
      <c r="T40" s="21">
        <f>IF(OR($J40="",$F40="不适用"),"",IFERROR(INDEX(_怪物模型!$E$2:$E$4501,MATCH(INT($J40)&amp;"|"&amp;$F40,_怪物模型!$A$2:$A$4501,0))*IF($L40="",1,$L40),""))</f>
        <v>34896</v>
      </c>
      <c r="U40" s="21">
        <f>IF(OR($J40="",$F40="不适用"),"",IFERROR(INDEX(_怪物模型!$F$2:$F$4501,MATCH(INT($J40)&amp;"|"&amp;$F40,_怪物模型!$A$2:$A$4501,0))*IF($M40="",1,$M40),""))</f>
        <v>22649</v>
      </c>
      <c r="V40" s="22">
        <f t="shared" si="1"/>
        <v>0.485519518103282</v>
      </c>
      <c r="W40" s="23">
        <f t="shared" si="2"/>
        <v>506895.808833333</v>
      </c>
      <c r="X40" s="23">
        <f t="shared" si="3"/>
        <v>0.671936655339321</v>
      </c>
      <c r="Y40" s="23">
        <f t="shared" si="4"/>
        <v>35.9725933191595</v>
      </c>
      <c r="Z40" s="24" t="str">
        <f t="shared" si="5"/>
        <v/>
      </c>
      <c r="AA40" s="6" t="str">
        <f t="shared" si="6"/>
        <v>已计算</v>
      </c>
      <c r="AB40" s="6" t="str">
        <f t="shared" si="7"/>
        <v>有效</v>
      </c>
      <c r="AC40" s="6" t="str">
        <f t="shared" si="8"/>
        <v/>
      </c>
      <c r="AD40" s="7" t="s">
        <v>832</v>
      </c>
    </row>
    <row r="41" ht="25" customHeight="1" spans="1:30">
      <c r="A41" s="6" t="s">
        <v>145</v>
      </c>
      <c r="B41" s="6" t="s">
        <v>59</v>
      </c>
      <c r="C41" s="7" t="s">
        <v>723</v>
      </c>
      <c r="D41" s="7" t="s">
        <v>833</v>
      </c>
      <c r="E41" s="7" t="s">
        <v>834</v>
      </c>
      <c r="F41" s="6" t="s">
        <v>149</v>
      </c>
      <c r="G41" s="16">
        <v>104</v>
      </c>
      <c r="H41" s="17"/>
      <c r="I41" s="18">
        <f t="shared" si="0"/>
        <v>104</v>
      </c>
      <c r="J41" s="19">
        <v>249</v>
      </c>
      <c r="K41" s="20"/>
      <c r="L41" s="20"/>
      <c r="M41" s="20"/>
      <c r="N41" s="20"/>
      <c r="O41" s="20"/>
      <c r="P41" s="20"/>
      <c r="Q41" s="21">
        <f>IF($I41="","",IFERROR(INDEX(_玩家曲线!$H$2:$H$286,MATCH($I41,_玩家曲线!$A$2:$A$286,0)),""))</f>
        <v>817424.93302004</v>
      </c>
      <c r="R41" s="21">
        <f>IF($I41="","",IFERROR(INDEX(_玩家曲线!$I$2:$I$286,MATCH($I41,_玩家曲线!$A$2:$A$286,0)),""))</f>
        <v>1331853.05839458</v>
      </c>
      <c r="S41" s="21">
        <f>IF(OR($J41="",$F41="不适用"),"",IFERROR(INDEX(_怪物模型!$D$2:$D$4501,MATCH(INT($J41)&amp;"|"&amp;$F41,_怪物模型!$A$2:$A$4501,0))*IF($K41="",1,$K41),""))</f>
        <v>278028</v>
      </c>
      <c r="T41" s="21">
        <f>IF(OR($J41="",$F41="不适用"),"",IFERROR(INDEX(_怪物模型!$E$2:$E$4501,MATCH(INT($J41)&amp;"|"&amp;$F41,_怪物模型!$A$2:$A$4501,0))*IF($L41="",1,$L41),""))</f>
        <v>36771</v>
      </c>
      <c r="U41" s="21">
        <f>IF(OR($J41="",$F41="不适用"),"",IFERROR(INDEX(_怪物模型!$F$2:$F$4501,MATCH(INT($J41)&amp;"|"&amp;$F41,_怪物模型!$A$2:$A$4501,0))*IF($M41="",1,$M41),""))</f>
        <v>23346</v>
      </c>
      <c r="V41" s="22">
        <f t="shared" si="1"/>
        <v>0.493093397541503</v>
      </c>
      <c r="W41" s="23">
        <f t="shared" si="2"/>
        <v>548479.737</v>
      </c>
      <c r="X41" s="23">
        <f t="shared" si="3"/>
        <v>0.670984838905756</v>
      </c>
      <c r="Y41" s="23">
        <f t="shared" si="4"/>
        <v>36.2202022897006</v>
      </c>
      <c r="Z41" s="24" t="str">
        <f t="shared" si="5"/>
        <v/>
      </c>
      <c r="AA41" s="6" t="str">
        <f t="shared" si="6"/>
        <v>已计算</v>
      </c>
      <c r="AB41" s="6" t="str">
        <f t="shared" si="7"/>
        <v>有效</v>
      </c>
      <c r="AC41" s="6" t="str">
        <f t="shared" si="8"/>
        <v/>
      </c>
      <c r="AD41" s="7" t="s">
        <v>835</v>
      </c>
    </row>
    <row r="42" ht="25" customHeight="1" spans="1:30">
      <c r="A42" s="6" t="s">
        <v>145</v>
      </c>
      <c r="B42" s="6" t="s">
        <v>59</v>
      </c>
      <c r="C42" s="7" t="s">
        <v>723</v>
      </c>
      <c r="D42" s="7" t="s">
        <v>836</v>
      </c>
      <c r="E42" s="7" t="s">
        <v>837</v>
      </c>
      <c r="F42" s="6" t="s">
        <v>149</v>
      </c>
      <c r="G42" s="16">
        <v>106</v>
      </c>
      <c r="H42" s="17"/>
      <c r="I42" s="18">
        <f t="shared" si="0"/>
        <v>106</v>
      </c>
      <c r="J42" s="19">
        <v>253</v>
      </c>
      <c r="K42" s="20"/>
      <c r="L42" s="20"/>
      <c r="M42" s="20"/>
      <c r="N42" s="20"/>
      <c r="O42" s="20"/>
      <c r="P42" s="20"/>
      <c r="Q42" s="21">
        <f>IF($I42="","",IFERROR(INDEX(_玩家曲线!$H$2:$H$286,MATCH($I42,_玩家曲线!$A$2:$A$286,0)),""))</f>
        <v>859466.403129217</v>
      </c>
      <c r="R42" s="21">
        <f>IF($I42="","",IFERROR(INDEX(_玩家曲线!$I$2:$I$286,MATCH($I42,_玩家曲线!$A$2:$A$286,0)),""))</f>
        <v>1381846.91385462</v>
      </c>
      <c r="S42" s="21">
        <f>IF(OR($J42="",$F42="不适用"),"",IFERROR(INDEX(_怪物模型!$D$2:$D$4501,MATCH(INT($J42)&amp;"|"&amp;$F42,_怪物模型!$A$2:$A$4501,0))*IF($K42="",1,$K42),""))</f>
        <v>289989</v>
      </c>
      <c r="T42" s="21">
        <f>IF(OR($J42="",$F42="不适用"),"",IFERROR(INDEX(_怪物模型!$E$2:$E$4501,MATCH(INT($J42)&amp;"|"&amp;$F42,_怪物模型!$A$2:$A$4501,0))*IF($L42="",1,$L42),""))</f>
        <v>38059</v>
      </c>
      <c r="U42" s="21">
        <f>IF(OR($J42="",$F42="不适用"),"",IFERROR(INDEX(_怪物模型!$F$2:$F$4501,MATCH(INT($J42)&amp;"|"&amp;$F42,_怪物模型!$A$2:$A$4501,0))*IF($M42="",1,$M42),""))</f>
        <v>23814</v>
      </c>
      <c r="V42" s="22">
        <f t="shared" si="1"/>
        <v>0.498054962981553</v>
      </c>
      <c r="W42" s="23">
        <f t="shared" si="2"/>
        <v>577730.58525</v>
      </c>
      <c r="X42" s="23">
        <f t="shared" si="3"/>
        <v>0.672196822524476</v>
      </c>
      <c r="Y42" s="23">
        <f t="shared" si="4"/>
        <v>36.3080194922258</v>
      </c>
      <c r="Z42" s="24" t="str">
        <f t="shared" si="5"/>
        <v/>
      </c>
      <c r="AA42" s="6" t="str">
        <f t="shared" si="6"/>
        <v>已计算</v>
      </c>
      <c r="AB42" s="6" t="str">
        <f t="shared" si="7"/>
        <v>有效</v>
      </c>
      <c r="AC42" s="6" t="str">
        <f t="shared" si="8"/>
        <v/>
      </c>
      <c r="AD42" s="7" t="s">
        <v>838</v>
      </c>
    </row>
    <row r="43" ht="25" customHeight="1" spans="1:30">
      <c r="A43" s="6" t="s">
        <v>145</v>
      </c>
      <c r="B43" s="6" t="s">
        <v>59</v>
      </c>
      <c r="C43" s="7" t="s">
        <v>723</v>
      </c>
      <c r="D43" s="7" t="s">
        <v>839</v>
      </c>
      <c r="E43" s="7" t="s">
        <v>840</v>
      </c>
      <c r="F43" s="6" t="s">
        <v>149</v>
      </c>
      <c r="G43" s="16">
        <v>109</v>
      </c>
      <c r="H43" s="17"/>
      <c r="I43" s="18">
        <f t="shared" si="0"/>
        <v>109</v>
      </c>
      <c r="J43" s="19">
        <v>258</v>
      </c>
      <c r="K43" s="20"/>
      <c r="L43" s="20"/>
      <c r="M43" s="20"/>
      <c r="N43" s="20"/>
      <c r="O43" s="20"/>
      <c r="P43" s="20"/>
      <c r="Q43" s="21">
        <f>IF($I43="","",IFERROR(INDEX(_玩家曲线!$H$2:$H$286,MATCH($I43,_玩家曲线!$A$2:$A$286,0)),""))</f>
        <v>922355.524416171</v>
      </c>
      <c r="R43" s="21">
        <f>IF($I43="","",IFERROR(INDEX(_玩家曲线!$I$2:$I$286,MATCH($I43,_玩家曲线!$A$2:$A$286,0)),""))</f>
        <v>1455178.26784897</v>
      </c>
      <c r="S43" s="21">
        <f>IF(OR($J43="",$F43="不适用"),"",IFERROR(INDEX(_怪物模型!$D$2:$D$4501,MATCH(INT($J43)&amp;"|"&amp;$F43,_怪物模型!$A$2:$A$4501,0))*IF($K43="",1,$K43),""))</f>
        <v>305482</v>
      </c>
      <c r="T43" s="21">
        <f>IF(OR($J43="",$F43="不适用"),"",IFERROR(INDEX(_怪物模型!$E$2:$E$4501,MATCH(INT($J43)&amp;"|"&amp;$F43,_怪物模型!$A$2:$A$4501,0))*IF($L43="",1,$L43),""))</f>
        <v>39712</v>
      </c>
      <c r="U43" s="21">
        <f>IF(OR($J43="",$F43="不适用"),"",IFERROR(INDEX(_怪物模型!$F$2:$F$4501,MATCH(INT($J43)&amp;"|"&amp;$F43,_怪物模型!$A$2:$A$4501,0))*IF($M43="",1,$M43),""))</f>
        <v>24404</v>
      </c>
      <c r="V43" s="22">
        <f t="shared" si="1"/>
        <v>0.504173208825717</v>
      </c>
      <c r="W43" s="23">
        <f t="shared" si="2"/>
        <v>616106.280333333</v>
      </c>
      <c r="X43" s="23">
        <f t="shared" si="3"/>
        <v>0.667970499470163</v>
      </c>
      <c r="Y43" s="23">
        <f t="shared" si="4"/>
        <v>36.6432883725063</v>
      </c>
      <c r="Z43" s="24" t="str">
        <f t="shared" si="5"/>
        <v/>
      </c>
      <c r="AA43" s="6" t="str">
        <f t="shared" si="6"/>
        <v>已计算</v>
      </c>
      <c r="AB43" s="6" t="str">
        <f t="shared" si="7"/>
        <v>有效</v>
      </c>
      <c r="AC43" s="6" t="str">
        <f t="shared" si="8"/>
        <v/>
      </c>
      <c r="AD43" s="7" t="s">
        <v>841</v>
      </c>
    </row>
    <row r="44" ht="25" customHeight="1" spans="1:30">
      <c r="A44" s="6" t="s">
        <v>145</v>
      </c>
      <c r="B44" s="6" t="s">
        <v>59</v>
      </c>
      <c r="C44" s="7" t="s">
        <v>723</v>
      </c>
      <c r="D44" s="7" t="s">
        <v>842</v>
      </c>
      <c r="E44" s="7" t="s">
        <v>843</v>
      </c>
      <c r="F44" s="6" t="s">
        <v>159</v>
      </c>
      <c r="G44" s="16">
        <v>111</v>
      </c>
      <c r="H44" s="17"/>
      <c r="I44" s="18">
        <f t="shared" si="0"/>
        <v>111</v>
      </c>
      <c r="J44" s="19">
        <v>263</v>
      </c>
      <c r="K44" s="20"/>
      <c r="L44" s="20"/>
      <c r="M44" s="20"/>
      <c r="N44" s="20"/>
      <c r="O44" s="20"/>
      <c r="P44" s="20"/>
      <c r="Q44" s="21">
        <f>IF($I44="","",IFERROR(INDEX(_玩家曲线!$H$2:$H$286,MATCH($I44,_玩家曲线!$A$2:$A$286,0)),""))</f>
        <v>964063.114842558</v>
      </c>
      <c r="R44" s="21">
        <f>IF($I44="","",IFERROR(INDEX(_玩家曲线!$I$2:$I$286,MATCH($I44,_玩家曲线!$A$2:$A$286,0)),""))</f>
        <v>1502913.24051322</v>
      </c>
      <c r="S44" s="21">
        <f>IF(OR($J44="",$F44="不适用"),"",IFERROR(INDEX(_怪物模型!$D$2:$D$4501,MATCH(INT($J44)&amp;"|"&amp;$F44,_怪物模型!$A$2:$A$4501,0))*IF($K44="",1,$K44),""))</f>
        <v>35806200</v>
      </c>
      <c r="T44" s="21">
        <f>IF(OR($J44="",$F44="不适用"),"",IFERROR(INDEX(_怪物模型!$E$2:$E$4501,MATCH(INT($J44)&amp;"|"&amp;$F44,_怪物模型!$A$2:$A$4501,0))*IF($L44="",1,$L44),""))</f>
        <v>41414</v>
      </c>
      <c r="U44" s="21">
        <f>IF(OR($J44="",$F44="不适用"),"",IFERROR(INDEX(_怪物模型!$F$2:$F$4501,MATCH(INT($J44)&amp;"|"&amp;$F44,_怪物模型!$A$2:$A$4501,0))*IF($M44="",1,$M44),""))</f>
        <v>24998</v>
      </c>
      <c r="V44" s="22">
        <f t="shared" si="1"/>
        <v>0.510184089146496</v>
      </c>
      <c r="W44" s="23">
        <f t="shared" si="2"/>
        <v>73101341.15</v>
      </c>
      <c r="X44" s="23">
        <f t="shared" si="3"/>
        <v>75.8263022664634</v>
      </c>
      <c r="Y44" s="23">
        <f t="shared" si="4"/>
        <v>36.2899802123248</v>
      </c>
      <c r="Z44" s="24" t="str">
        <f t="shared" si="5"/>
        <v/>
      </c>
      <c r="AA44" s="6" t="str">
        <f t="shared" si="6"/>
        <v>已计算</v>
      </c>
      <c r="AB44" s="6" t="str">
        <f t="shared" si="7"/>
        <v>有效</v>
      </c>
      <c r="AC44" s="6" t="str">
        <f t="shared" si="8"/>
        <v/>
      </c>
      <c r="AD44" s="7" t="s">
        <v>844</v>
      </c>
    </row>
    <row r="45" ht="25" customHeight="1" spans="1:30">
      <c r="A45" s="6" t="s">
        <v>145</v>
      </c>
      <c r="B45" s="6" t="s">
        <v>59</v>
      </c>
      <c r="C45" s="7" t="s">
        <v>723</v>
      </c>
      <c r="D45" s="7" t="s">
        <v>845</v>
      </c>
      <c r="E45" s="7" t="s">
        <v>846</v>
      </c>
      <c r="F45" s="6" t="s">
        <v>149</v>
      </c>
      <c r="G45" s="16">
        <v>114</v>
      </c>
      <c r="H45" s="17"/>
      <c r="I45" s="18">
        <f t="shared" si="0"/>
        <v>114</v>
      </c>
      <c r="J45" s="19">
        <v>266</v>
      </c>
      <c r="K45" s="20"/>
      <c r="L45" s="20"/>
      <c r="M45" s="20"/>
      <c r="N45" s="20"/>
      <c r="O45" s="20"/>
      <c r="P45" s="20"/>
      <c r="Q45" s="21">
        <f>IF($I45="","",IFERROR(INDEX(_玩家曲线!$H$2:$H$286,MATCH($I45,_玩家曲线!$A$2:$A$286,0)),""))</f>
        <v>1026134.2089877</v>
      </c>
      <c r="R45" s="21">
        <f>IF($I45="","",IFERROR(INDEX(_玩家曲线!$I$2:$I$286,MATCH($I45,_玩家曲线!$A$2:$A$286,0)),""))</f>
        <v>1572723.19130688</v>
      </c>
      <c r="S45" s="21">
        <f>IF(OR($J45="",$F45="不适用"),"",IFERROR(INDEX(_怪物模型!$D$2:$D$4501,MATCH(INT($J45)&amp;"|"&amp;$F45,_怪物模型!$A$2:$A$4501,0))*IF($K45="",1,$K45),""))</f>
        <v>331565</v>
      </c>
      <c r="T45" s="21">
        <f>IF(OR($J45="",$F45="不适用"),"",IFERROR(INDEX(_怪物模型!$E$2:$E$4501,MATCH(INT($J45)&amp;"|"&amp;$F45,_怪物模型!$A$2:$A$4501,0))*IF($L45="",1,$L45),""))</f>
        <v>42460</v>
      </c>
      <c r="U45" s="21">
        <f>IF(OR($J45="",$F45="不适用"),"",IFERROR(INDEX(_怪物模型!$F$2:$F$4501,MATCH(INT($J45)&amp;"|"&amp;$F45,_怪物模型!$A$2:$A$4501,0))*IF($M45="",1,$M45),""))</f>
        <v>25357</v>
      </c>
      <c r="V45" s="22">
        <f t="shared" si="1"/>
        <v>0.513746783637579</v>
      </c>
      <c r="W45" s="23">
        <f t="shared" si="2"/>
        <v>681877.237708333</v>
      </c>
      <c r="X45" s="23">
        <f t="shared" si="3"/>
        <v>0.664510774259263</v>
      </c>
      <c r="Y45" s="23">
        <f t="shared" si="4"/>
        <v>37.0401128428375</v>
      </c>
      <c r="Z45" s="24" t="str">
        <f t="shared" si="5"/>
        <v/>
      </c>
      <c r="AA45" s="6" t="str">
        <f t="shared" si="6"/>
        <v>已计算</v>
      </c>
      <c r="AB45" s="6" t="str">
        <f t="shared" si="7"/>
        <v>有效</v>
      </c>
      <c r="AC45" s="6" t="str">
        <f t="shared" si="8"/>
        <v/>
      </c>
      <c r="AD45" s="7" t="s">
        <v>847</v>
      </c>
    </row>
    <row r="46" ht="25" customHeight="1" spans="1:30">
      <c r="A46" s="6" t="s">
        <v>145</v>
      </c>
      <c r="B46" s="6" t="s">
        <v>59</v>
      </c>
      <c r="C46" s="7" t="s">
        <v>723</v>
      </c>
      <c r="D46" s="7" t="s">
        <v>848</v>
      </c>
      <c r="E46" s="7" t="s">
        <v>849</v>
      </c>
      <c r="F46" s="6" t="s">
        <v>149</v>
      </c>
      <c r="G46" s="16">
        <v>117</v>
      </c>
      <c r="H46" s="17"/>
      <c r="I46" s="18">
        <f t="shared" si="0"/>
        <v>117</v>
      </c>
      <c r="J46" s="19">
        <v>272</v>
      </c>
      <c r="K46" s="20"/>
      <c r="L46" s="20"/>
      <c r="M46" s="20"/>
      <c r="N46" s="20"/>
      <c r="O46" s="20"/>
      <c r="P46" s="20"/>
      <c r="Q46" s="21">
        <f>IF($I46="","",IFERROR(INDEX(_玩家曲线!$H$2:$H$286,MATCH($I46,_玩家曲线!$A$2:$A$286,0)),""))</f>
        <v>1087440.62107936</v>
      </c>
      <c r="R46" s="21">
        <f>IF($I46="","",IFERROR(INDEX(_玩家曲线!$I$2:$I$286,MATCH($I46,_玩家曲线!$A$2:$A$286,0)),""))</f>
        <v>1640324.62096307</v>
      </c>
      <c r="S46" s="21">
        <f>IF(OR($J46="",$F46="不适用"),"",IFERROR(INDEX(_怪物模型!$D$2:$D$4501,MATCH(INT($J46)&amp;"|"&amp;$F46,_怪物模型!$A$2:$A$4501,0))*IF($K46="",1,$K46),""))</f>
        <v>352211</v>
      </c>
      <c r="T46" s="21">
        <f>IF(OR($J46="",$F46="不适用"),"",IFERROR(INDEX(_怪物模型!$E$2:$E$4501,MATCH(INT($J46)&amp;"|"&amp;$F46,_怪物模型!$A$2:$A$4501,0))*IF($L46="",1,$L46),""))</f>
        <v>44606</v>
      </c>
      <c r="U46" s="21">
        <f>IF(OR($J46="",$F46="不适用"),"",IFERROR(INDEX(_怪物模型!$F$2:$F$4501,MATCH(INT($J46)&amp;"|"&amp;$F46,_怪物模型!$A$2:$A$4501,0))*IF($M46="",1,$M46),""))</f>
        <v>26079</v>
      </c>
      <c r="V46" s="22">
        <f t="shared" si="1"/>
        <v>0.520757203618283</v>
      </c>
      <c r="W46" s="23">
        <f t="shared" si="2"/>
        <v>734932.277875</v>
      </c>
      <c r="X46" s="23">
        <f t="shared" si="3"/>
        <v>0.675836697313669</v>
      </c>
      <c r="Y46" s="23">
        <f t="shared" si="4"/>
        <v>36.7736318200034</v>
      </c>
      <c r="Z46" s="24" t="str">
        <f t="shared" si="5"/>
        <v/>
      </c>
      <c r="AA46" s="6" t="str">
        <f t="shared" si="6"/>
        <v>已计算</v>
      </c>
      <c r="AB46" s="6" t="str">
        <f t="shared" si="7"/>
        <v>有效</v>
      </c>
      <c r="AC46" s="6" t="str">
        <f t="shared" si="8"/>
        <v/>
      </c>
      <c r="AD46" s="7" t="s">
        <v>850</v>
      </c>
    </row>
    <row r="47" ht="25" customHeight="1" spans="1:30">
      <c r="A47" s="6" t="s">
        <v>145</v>
      </c>
      <c r="B47" s="6" t="s">
        <v>59</v>
      </c>
      <c r="C47" s="7" t="s">
        <v>723</v>
      </c>
      <c r="D47" s="7" t="s">
        <v>851</v>
      </c>
      <c r="E47" s="7" t="s">
        <v>852</v>
      </c>
      <c r="F47" s="6" t="s">
        <v>149</v>
      </c>
      <c r="G47" s="16">
        <v>119</v>
      </c>
      <c r="H47" s="17"/>
      <c r="I47" s="18">
        <f t="shared" si="0"/>
        <v>119</v>
      </c>
      <c r="J47" s="19">
        <v>275</v>
      </c>
      <c r="K47" s="20"/>
      <c r="L47" s="20"/>
      <c r="M47" s="20"/>
      <c r="N47" s="20"/>
      <c r="O47" s="20"/>
      <c r="P47" s="20"/>
      <c r="Q47" s="21">
        <f>IF($I47="","",IFERROR(INDEX(_玩家曲线!$H$2:$H$286,MATCH($I47,_玩家曲线!$A$2:$A$286,0)),""))</f>
        <v>1127798.12321149</v>
      </c>
      <c r="R47" s="21">
        <f>IF($I47="","",IFERROR(INDEX(_玩家曲线!$I$2:$I$286,MATCH($I47,_玩家曲线!$A$2:$A$286,0)),""))</f>
        <v>1684141.88893427</v>
      </c>
      <c r="S47" s="21">
        <f>IF(OR($J47="",$F47="不适用"),"",IFERROR(INDEX(_怪物模型!$D$2:$D$4501,MATCH(INT($J47)&amp;"|"&amp;$F47,_怪物模型!$A$2:$A$4501,0))*IF($K47="",1,$K47),""))</f>
        <v>362893</v>
      </c>
      <c r="T47" s="21">
        <f>IF(OR($J47="",$F47="不适用"),"",IFERROR(INDEX(_怪物模型!$E$2:$E$4501,MATCH(INT($J47)&amp;"|"&amp;$F47,_怪物模型!$A$2:$A$4501,0))*IF($L47="",1,$L47),""))</f>
        <v>45708</v>
      </c>
      <c r="U47" s="21">
        <f>IF(OR($J47="",$F47="不适用"),"",IFERROR(INDEX(_怪物模型!$F$2:$F$4501,MATCH(INT($J47)&amp;"|"&amp;$F47,_怪物模型!$A$2:$A$4501,0))*IF($M47="",1,$M47),""))</f>
        <v>26443</v>
      </c>
      <c r="V47" s="22">
        <f t="shared" si="1"/>
        <v>0.524215451103225</v>
      </c>
      <c r="W47" s="23">
        <f t="shared" si="2"/>
        <v>762725.483291667</v>
      </c>
      <c r="X47" s="23">
        <f t="shared" si="3"/>
        <v>0.676296109732608</v>
      </c>
      <c r="Y47" s="23">
        <f t="shared" si="4"/>
        <v>36.8456701000759</v>
      </c>
      <c r="Z47" s="24" t="str">
        <f t="shared" si="5"/>
        <v/>
      </c>
      <c r="AA47" s="6" t="str">
        <f t="shared" si="6"/>
        <v>已计算</v>
      </c>
      <c r="AB47" s="6" t="str">
        <f t="shared" si="7"/>
        <v>有效</v>
      </c>
      <c r="AC47" s="6" t="str">
        <f t="shared" si="8"/>
        <v/>
      </c>
      <c r="AD47" s="7" t="s">
        <v>853</v>
      </c>
    </row>
    <row r="48" ht="25" customHeight="1" spans="1:30">
      <c r="A48" s="6" t="s">
        <v>145</v>
      </c>
      <c r="B48" s="6" t="s">
        <v>59</v>
      </c>
      <c r="C48" s="7" t="s">
        <v>723</v>
      </c>
      <c r="D48" s="7" t="s">
        <v>854</v>
      </c>
      <c r="E48" s="7" t="s">
        <v>855</v>
      </c>
      <c r="F48" s="6" t="s">
        <v>149</v>
      </c>
      <c r="G48" s="16">
        <v>122</v>
      </c>
      <c r="H48" s="17"/>
      <c r="I48" s="18">
        <f t="shared" si="0"/>
        <v>122</v>
      </c>
      <c r="J48" s="19">
        <v>279</v>
      </c>
      <c r="K48" s="20"/>
      <c r="L48" s="20"/>
      <c r="M48" s="20"/>
      <c r="N48" s="20"/>
      <c r="O48" s="20"/>
      <c r="P48" s="20"/>
      <c r="Q48" s="21">
        <f>IF($I48="","",IFERROR(INDEX(_玩家曲线!$H$2:$H$286,MATCH($I48,_玩家曲线!$A$2:$A$286,0)),""))</f>
        <v>1187446.35278777</v>
      </c>
      <c r="R48" s="21">
        <f>IF($I48="","",IFERROR(INDEX(_玩家曲线!$I$2:$I$286,MATCH($I48,_玩家曲线!$A$2:$A$286,0)),""))</f>
        <v>1747969.81789031</v>
      </c>
      <c r="S48" s="21">
        <f>IF(OR($J48="",$F48="不适用"),"",IFERROR(INDEX(_怪物模型!$D$2:$D$4501,MATCH(INT($J48)&amp;"|"&amp;$F48,_怪物模型!$A$2:$A$4501,0))*IF($K48="",1,$K48),""))</f>
        <v>377517</v>
      </c>
      <c r="T48" s="21">
        <f>IF(OR($J48="",$F48="不适用"),"",IFERROR(INDEX(_怪物模型!$E$2:$E$4501,MATCH(INT($J48)&amp;"|"&amp;$F48,_怪物模型!$A$2:$A$4501,0))*IF($L48="",1,$L48),""))</f>
        <v>47206</v>
      </c>
      <c r="U48" s="21">
        <f>IF(OR($J48="",$F48="不适用"),"",IFERROR(INDEX(_怪物模型!$F$2:$F$4501,MATCH(INT($J48)&amp;"|"&amp;$F48,_怪物模型!$A$2:$A$4501,0))*IF($M48="",1,$M48),""))</f>
        <v>26930</v>
      </c>
      <c r="V48" s="22">
        <f t="shared" si="1"/>
        <v>0.52876497152955</v>
      </c>
      <c r="W48" s="23">
        <f t="shared" si="2"/>
        <v>801122.53375</v>
      </c>
      <c r="X48" s="23">
        <f t="shared" si="3"/>
        <v>0.674659980949205</v>
      </c>
      <c r="Y48" s="23">
        <f t="shared" si="4"/>
        <v>37.0285518343073</v>
      </c>
      <c r="Z48" s="24" t="str">
        <f t="shared" si="5"/>
        <v/>
      </c>
      <c r="AA48" s="6" t="str">
        <f t="shared" si="6"/>
        <v>已计算</v>
      </c>
      <c r="AB48" s="6" t="str">
        <f t="shared" si="7"/>
        <v>有效</v>
      </c>
      <c r="AC48" s="6" t="str">
        <f t="shared" si="8"/>
        <v/>
      </c>
      <c r="AD48" s="7" t="s">
        <v>856</v>
      </c>
    </row>
    <row r="49" ht="25" customHeight="1" spans="1:30">
      <c r="A49" s="6" t="s">
        <v>145</v>
      </c>
      <c r="B49" s="6" t="s">
        <v>59</v>
      </c>
      <c r="C49" s="7" t="s">
        <v>723</v>
      </c>
      <c r="D49" s="7" t="s">
        <v>857</v>
      </c>
      <c r="E49" s="7" t="s">
        <v>858</v>
      </c>
      <c r="F49" s="6" t="s">
        <v>738</v>
      </c>
      <c r="G49" s="16">
        <v>124</v>
      </c>
      <c r="H49" s="17"/>
      <c r="I49" s="18">
        <f t="shared" si="0"/>
        <v>124</v>
      </c>
      <c r="J49" s="19">
        <v>282</v>
      </c>
      <c r="K49" s="20"/>
      <c r="L49" s="20"/>
      <c r="M49" s="20"/>
      <c r="N49" s="20"/>
      <c r="O49" s="20"/>
      <c r="P49" s="20"/>
      <c r="Q49" s="21">
        <f>IF($I49="","",IFERROR(INDEX(_玩家曲线!$H$2:$H$286,MATCH($I49,_玩家曲线!$A$2:$A$286,0)),""))</f>
        <v>1226558.79355257</v>
      </c>
      <c r="R49" s="21">
        <f>IF($I49="","",IFERROR(INDEX(_玩家曲线!$I$2:$I$286,MATCH($I49,_玩家曲线!$A$2:$A$286,0)),""))</f>
        <v>1789249.34234598</v>
      </c>
      <c r="S49" s="21">
        <f>IF(OR($J49="",$F49="不适用"),"",IFERROR(INDEX(_怪物模型!$D$2:$D$4501,MATCH(INT($J49)&amp;"|"&amp;$F49,_怪物模型!$A$2:$A$4501,0))*IF($K49="",1,$K49),""))</f>
        <v>1555108</v>
      </c>
      <c r="T49" s="21">
        <f>IF(OR($J49="",$F49="不适用"),"",IFERROR(INDEX(_怪物模型!$E$2:$E$4501,MATCH(INT($J49)&amp;"|"&amp;$F49,_怪物模型!$A$2:$A$4501,0))*IF($L49="",1,$L49),""))</f>
        <v>48351</v>
      </c>
      <c r="U49" s="21">
        <f>IF(OR($J49="",$F49="不适用"),"",IFERROR(INDEX(_怪物模型!$F$2:$F$4501,MATCH(INT($J49)&amp;"|"&amp;$F49,_怪物模型!$A$2:$A$4501,0))*IF($M49="",1,$M49),""))</f>
        <v>27297</v>
      </c>
      <c r="V49" s="22">
        <f t="shared" si="1"/>
        <v>0.532136382244576</v>
      </c>
      <c r="W49" s="23">
        <f t="shared" si="2"/>
        <v>3323848.9615</v>
      </c>
      <c r="X49" s="23">
        <f t="shared" si="3"/>
        <v>2.70989778799995</v>
      </c>
      <c r="Y49" s="23">
        <f t="shared" si="4"/>
        <v>37.0054257894559</v>
      </c>
      <c r="Z49" s="24" t="str">
        <f t="shared" si="5"/>
        <v/>
      </c>
      <c r="AA49" s="6" t="str">
        <f t="shared" si="6"/>
        <v>已计算</v>
      </c>
      <c r="AB49" s="6" t="str">
        <f t="shared" si="7"/>
        <v>有效</v>
      </c>
      <c r="AC49" s="6" t="str">
        <f t="shared" si="8"/>
        <v/>
      </c>
      <c r="AD49" s="7" t="s">
        <v>859</v>
      </c>
    </row>
    <row r="50" ht="25" customHeight="1" spans="1:30">
      <c r="A50" s="6" t="s">
        <v>145</v>
      </c>
      <c r="B50" s="6" t="s">
        <v>59</v>
      </c>
      <c r="C50" s="7" t="s">
        <v>723</v>
      </c>
      <c r="D50" s="7" t="s">
        <v>860</v>
      </c>
      <c r="E50" s="7" t="s">
        <v>861</v>
      </c>
      <c r="F50" s="6" t="s">
        <v>149</v>
      </c>
      <c r="G50" s="16">
        <v>127</v>
      </c>
      <c r="H50" s="17"/>
      <c r="I50" s="18">
        <f t="shared" si="0"/>
        <v>127</v>
      </c>
      <c r="J50" s="19">
        <v>286</v>
      </c>
      <c r="K50" s="20"/>
      <c r="L50" s="20"/>
      <c r="M50" s="20"/>
      <c r="N50" s="20"/>
      <c r="O50" s="20"/>
      <c r="P50" s="20"/>
      <c r="Q50" s="21">
        <f>IF($I50="","",IFERROR(INDEX(_玩家曲线!$H$2:$H$286,MATCH($I50,_玩家曲线!$A$2:$A$286,0)),""))</f>
        <v>1284155.95829055</v>
      </c>
      <c r="R50" s="21">
        <f>IF($I50="","",IFERROR(INDEX(_玩家曲线!$I$2:$I$286,MATCH($I50,_玩家曲线!$A$2:$A$286,0)),""))</f>
        <v>1849256.89106573</v>
      </c>
      <c r="S50" s="21">
        <f>IF(OR($J50="",$F50="不适用"),"",IFERROR(INDEX(_怪物模型!$D$2:$D$4501,MATCH(INT($J50)&amp;"|"&amp;$F50,_怪物模型!$A$2:$A$4501,0))*IF($K50="",1,$K50),""))</f>
        <v>404188</v>
      </c>
      <c r="T50" s="21">
        <f>IF(OR($J50="",$F50="不适用"),"",IFERROR(INDEX(_怪物模型!$E$2:$E$4501,MATCH(INT($J50)&amp;"|"&amp;$F50,_怪物模型!$A$2:$A$4501,0))*IF($L50="",1,$L50),""))</f>
        <v>49910</v>
      </c>
      <c r="U50" s="21">
        <f>IF(OR($J50="",$F50="不适用"),"",IFERROR(INDEX(_怪物模型!$F$2:$F$4501,MATCH(INT($J50)&amp;"|"&amp;$F50,_怪物模型!$A$2:$A$4501,0))*IF($M50="",1,$M50),""))</f>
        <v>27790</v>
      </c>
      <c r="V50" s="22">
        <f t="shared" si="1"/>
        <v>0.536590075304113</v>
      </c>
      <c r="W50" s="23">
        <f t="shared" si="2"/>
        <v>872204.021666667</v>
      </c>
      <c r="X50" s="23">
        <f t="shared" si="3"/>
        <v>0.679204123171871</v>
      </c>
      <c r="Y50" s="23">
        <f t="shared" si="4"/>
        <v>37.0518311173258</v>
      </c>
      <c r="Z50" s="24" t="str">
        <f t="shared" si="5"/>
        <v/>
      </c>
      <c r="AA50" s="6" t="str">
        <f t="shared" si="6"/>
        <v>已计算</v>
      </c>
      <c r="AB50" s="6" t="str">
        <f t="shared" si="7"/>
        <v>有效</v>
      </c>
      <c r="AC50" s="6" t="str">
        <f t="shared" si="8"/>
        <v/>
      </c>
      <c r="AD50" s="7" t="s">
        <v>862</v>
      </c>
    </row>
    <row r="51" ht="25" customHeight="1" spans="1:30">
      <c r="A51" s="6" t="s">
        <v>145</v>
      </c>
      <c r="B51" s="6" t="s">
        <v>59</v>
      </c>
      <c r="C51" s="7" t="s">
        <v>723</v>
      </c>
      <c r="D51" s="7" t="s">
        <v>863</v>
      </c>
      <c r="E51" s="7" t="s">
        <v>864</v>
      </c>
      <c r="F51" s="6" t="s">
        <v>149</v>
      </c>
      <c r="G51" s="16">
        <v>130</v>
      </c>
      <c r="H51" s="17"/>
      <c r="I51" s="18">
        <f t="shared" si="0"/>
        <v>130</v>
      </c>
      <c r="J51" s="19">
        <v>289</v>
      </c>
      <c r="K51" s="20"/>
      <c r="L51" s="20"/>
      <c r="M51" s="20"/>
      <c r="N51" s="20"/>
      <c r="O51" s="20"/>
      <c r="P51" s="20"/>
      <c r="Q51" s="21">
        <f>IF($I51="","",IFERROR(INDEX(_玩家曲线!$H$2:$H$286,MATCH($I51,_玩家曲线!$A$2:$A$286,0)),""))</f>
        <v>1340372.9500617</v>
      </c>
      <c r="R51" s="21">
        <f>IF($I51="","",IFERROR(INDEX(_玩家曲线!$I$2:$I$286,MATCH($I51,_玩家曲线!$A$2:$A$286,0)),""))</f>
        <v>1906977.24362305</v>
      </c>
      <c r="S51" s="21">
        <f>IF(OR($J51="",$F51="不适用"),"",IFERROR(INDEX(_怪物模型!$D$2:$D$4501,MATCH(INT($J51)&amp;"|"&amp;$F51,_怪物模型!$A$2:$A$4501,0))*IF($K51="",1,$K51),""))</f>
        <v>416049</v>
      </c>
      <c r="T51" s="21">
        <f>IF(OR($J51="",$F51="不适用"),"",IFERROR(INDEX(_怪物模型!$E$2:$E$4501,MATCH(INT($J51)&amp;"|"&amp;$F51,_怪物模型!$A$2:$A$4501,0))*IF($L51="",1,$L51),""))</f>
        <v>51102</v>
      </c>
      <c r="U51" s="21">
        <f>IF(OR($J51="",$F51="不适用"),"",IFERROR(INDEX(_怪物模型!$F$2:$F$4501,MATCH(INT($J51)&amp;"|"&amp;$F51,_怪物模型!$A$2:$A$4501,0))*IF($M51="",1,$M51),""))</f>
        <v>28161</v>
      </c>
      <c r="V51" s="22">
        <f t="shared" si="1"/>
        <v>0.539886121815149</v>
      </c>
      <c r="W51" s="23">
        <f t="shared" si="2"/>
        <v>904230.495375</v>
      </c>
      <c r="X51" s="23">
        <f t="shared" si="3"/>
        <v>0.674611118743762</v>
      </c>
      <c r="Y51" s="23">
        <f t="shared" si="4"/>
        <v>37.317076506263</v>
      </c>
      <c r="Z51" s="24" t="str">
        <f t="shared" si="5"/>
        <v/>
      </c>
      <c r="AA51" s="6" t="str">
        <f t="shared" si="6"/>
        <v>已计算</v>
      </c>
      <c r="AB51" s="6" t="str">
        <f t="shared" si="7"/>
        <v>有效</v>
      </c>
      <c r="AC51" s="6" t="str">
        <f t="shared" si="8"/>
        <v/>
      </c>
      <c r="AD51" s="7" t="s">
        <v>865</v>
      </c>
    </row>
    <row r="52" ht="25" customHeight="1" spans="1:30">
      <c r="A52" s="6" t="s">
        <v>145</v>
      </c>
      <c r="B52" s="6" t="s">
        <v>59</v>
      </c>
      <c r="C52" s="7" t="s">
        <v>723</v>
      </c>
      <c r="D52" s="7" t="s">
        <v>866</v>
      </c>
      <c r="E52" s="7" t="s">
        <v>867</v>
      </c>
      <c r="F52" s="6" t="s">
        <v>149</v>
      </c>
      <c r="G52" s="16">
        <v>132</v>
      </c>
      <c r="H52" s="17"/>
      <c r="I52" s="18">
        <f t="shared" si="0"/>
        <v>132</v>
      </c>
      <c r="J52" s="19">
        <v>291</v>
      </c>
      <c r="K52" s="20"/>
      <c r="L52" s="20"/>
      <c r="M52" s="20"/>
      <c r="N52" s="20"/>
      <c r="O52" s="20"/>
      <c r="P52" s="20"/>
      <c r="Q52" s="21">
        <f>IF($I52="","",IFERROR(INDEX(_玩家曲线!$H$2:$H$286,MATCH($I52,_玩家曲线!$A$2:$A$286,0)),""))</f>
        <v>1377039.3507681</v>
      </c>
      <c r="R52" s="21">
        <f>IF($I52="","",IFERROR(INDEX(_玩家曲线!$I$2:$I$286,MATCH($I52,_玩家曲线!$A$2:$A$286,0)),""))</f>
        <v>1944195.3419215</v>
      </c>
      <c r="S52" s="21">
        <f>IF(OR($J52="",$F52="不适用"),"",IFERROR(INDEX(_怪物模型!$D$2:$D$4501,MATCH(INT($J52)&amp;"|"&amp;$F52,_怪物模型!$A$2:$A$4501,0))*IF($K52="",1,$K52),""))</f>
        <v>424104</v>
      </c>
      <c r="T52" s="21">
        <f>IF(OR($J52="",$F52="不适用"),"",IFERROR(INDEX(_怪物模型!$E$2:$E$4501,MATCH(INT($J52)&amp;"|"&amp;$F52,_怪物模型!$A$2:$A$4501,0))*IF($L52="",1,$L52),""))</f>
        <v>51907</v>
      </c>
      <c r="U52" s="21">
        <f>IF(OR($J52="",$F52="不适用"),"",IFERROR(INDEX(_怪物模型!$F$2:$F$4501,MATCH(INT($J52)&amp;"|"&amp;$F52,_怪物模型!$A$2:$A$4501,0))*IF($M52="",1,$M52),""))</f>
        <v>28410</v>
      </c>
      <c r="V52" s="22">
        <f t="shared" si="1"/>
        <v>0.542072123640527</v>
      </c>
      <c r="W52" s="23">
        <f t="shared" si="2"/>
        <v>926137.11</v>
      </c>
      <c r="X52" s="23">
        <f t="shared" si="3"/>
        <v>0.672556749727892</v>
      </c>
      <c r="Y52" s="23">
        <f t="shared" si="4"/>
        <v>37.4553594297783</v>
      </c>
      <c r="Z52" s="24" t="str">
        <f t="shared" si="5"/>
        <v/>
      </c>
      <c r="AA52" s="6" t="str">
        <f t="shared" si="6"/>
        <v>已计算</v>
      </c>
      <c r="AB52" s="6" t="str">
        <f t="shared" si="7"/>
        <v>有效</v>
      </c>
      <c r="AC52" s="6" t="str">
        <f t="shared" si="8"/>
        <v/>
      </c>
      <c r="AD52" s="7" t="s">
        <v>868</v>
      </c>
    </row>
    <row r="53" ht="25" customHeight="1" spans="1:30">
      <c r="A53" s="6" t="s">
        <v>145</v>
      </c>
      <c r="B53" s="6" t="s">
        <v>59</v>
      </c>
      <c r="C53" s="7" t="s">
        <v>723</v>
      </c>
      <c r="D53" s="7" t="s">
        <v>869</v>
      </c>
      <c r="E53" s="7" t="s">
        <v>870</v>
      </c>
      <c r="F53" s="6" t="s">
        <v>149</v>
      </c>
      <c r="G53" s="16">
        <v>135</v>
      </c>
      <c r="H53" s="17"/>
      <c r="I53" s="18">
        <f t="shared" si="0"/>
        <v>135</v>
      </c>
      <c r="J53" s="19">
        <v>295</v>
      </c>
      <c r="K53" s="20"/>
      <c r="L53" s="20"/>
      <c r="M53" s="20"/>
      <c r="N53" s="20"/>
      <c r="O53" s="20"/>
      <c r="P53" s="20"/>
      <c r="Q53" s="21">
        <f>IF($I53="","",IFERROR(INDEX(_玩家曲线!$H$2:$H$286,MATCH($I53,_玩家曲线!$A$2:$A$286,0)),""))</f>
        <v>1430766.07784334</v>
      </c>
      <c r="R53" s="21">
        <f>IF($I53="","",IFERROR(INDEX(_玩家曲线!$I$2:$I$286,MATCH($I53,_玩家曲线!$A$2:$A$286,0)),""))</f>
        <v>1998148.84163684</v>
      </c>
      <c r="S53" s="21">
        <f>IF(OR($J53="",$F53="不适用"),"",IFERROR(INDEX(_怪物模型!$D$2:$D$4501,MATCH(INT($J53)&amp;"|"&amp;$F53,_怪物模型!$A$2:$A$4501,0))*IF($K53="",1,$K53),""))</f>
        <v>440571</v>
      </c>
      <c r="T53" s="21">
        <f>IF(OR($J53="",$F53="不适用"),"",IFERROR(INDEX(_怪物模型!$E$2:$E$4501,MATCH(INT($J53)&amp;"|"&amp;$F53,_怪物模型!$A$2:$A$4501,0))*IF($L53="",1,$L53),""))</f>
        <v>53546</v>
      </c>
      <c r="U53" s="21">
        <f>IF(OR($J53="",$F53="不适用"),"",IFERROR(INDEX(_怪物模型!$F$2:$F$4501,MATCH(INT($J53)&amp;"|"&amp;$F53,_怪物模型!$A$2:$A$4501,0))*IF($M53="",1,$M53),""))</f>
        <v>28909</v>
      </c>
      <c r="V53" s="22">
        <f t="shared" si="1"/>
        <v>0.546390973180366</v>
      </c>
      <c r="W53" s="23">
        <f t="shared" si="2"/>
        <v>971257.126625</v>
      </c>
      <c r="X53" s="23">
        <f t="shared" si="3"/>
        <v>0.678837122060526</v>
      </c>
      <c r="Y53" s="23">
        <f t="shared" si="4"/>
        <v>37.3164912717447</v>
      </c>
      <c r="Z53" s="24" t="str">
        <f t="shared" si="5"/>
        <v/>
      </c>
      <c r="AA53" s="6" t="str">
        <f t="shared" si="6"/>
        <v>已计算</v>
      </c>
      <c r="AB53" s="6" t="str">
        <f t="shared" si="7"/>
        <v>有效</v>
      </c>
      <c r="AC53" s="6" t="str">
        <f t="shared" si="8"/>
        <v/>
      </c>
      <c r="AD53" s="7" t="s">
        <v>871</v>
      </c>
    </row>
    <row r="54" ht="25" customHeight="1" spans="1:30">
      <c r="A54" s="6" t="s">
        <v>145</v>
      </c>
      <c r="B54" s="6" t="s">
        <v>59</v>
      </c>
      <c r="C54" s="7" t="s">
        <v>723</v>
      </c>
      <c r="D54" s="7" t="s">
        <v>872</v>
      </c>
      <c r="E54" s="7" t="s">
        <v>873</v>
      </c>
      <c r="F54" s="6" t="s">
        <v>159</v>
      </c>
      <c r="G54" s="16">
        <v>138</v>
      </c>
      <c r="H54" s="17"/>
      <c r="I54" s="18">
        <f t="shared" si="0"/>
        <v>138</v>
      </c>
      <c r="J54" s="19">
        <v>299</v>
      </c>
      <c r="K54" s="20"/>
      <c r="L54" s="20"/>
      <c r="M54" s="20"/>
      <c r="N54" s="20"/>
      <c r="O54" s="20"/>
      <c r="P54" s="20"/>
      <c r="Q54" s="21">
        <f>IF($I54="","",IFERROR(INDEX(_玩家曲线!$H$2:$H$286,MATCH($I54,_玩家曲线!$A$2:$A$286,0)),""))</f>
        <v>1482911.85939852</v>
      </c>
      <c r="R54" s="21">
        <f>IF($I54="","",IFERROR(INDEX(_玩家曲线!$I$2:$I$286,MATCH($I54,_玩家曲线!$A$2:$A$286,0)),""))</f>
        <v>2049884.38456706</v>
      </c>
      <c r="S54" s="21">
        <f>IF(OR($J54="",$F54="不适用"),"",IFERROR(INDEX(_怪物模型!$D$2:$D$4501,MATCH(INT($J54)&amp;"|"&amp;$F54,_怪物模型!$A$2:$A$4501,0))*IF($K54="",1,$K54),""))</f>
        <v>52260074</v>
      </c>
      <c r="T54" s="21">
        <f>IF(OR($J54="",$F54="不适用"),"",IFERROR(INDEX(_怪物模型!$E$2:$E$4501,MATCH(INT($J54)&amp;"|"&amp;$F54,_怪物模型!$A$2:$A$4501,0))*IF($L54="",1,$L54),""))</f>
        <v>55221</v>
      </c>
      <c r="U54" s="21">
        <f>IF(OR($J54="",$F54="不适用"),"",IFERROR(INDEX(_怪物模型!$F$2:$F$4501,MATCH(INT($J54)&amp;"|"&amp;$F54,_怪物模型!$A$2:$A$4501,0))*IF($M54="",1,$M54),""))</f>
        <v>29411</v>
      </c>
      <c r="V54" s="22">
        <f t="shared" si="1"/>
        <v>0.550654359588849</v>
      </c>
      <c r="W54" s="23">
        <f t="shared" si="2"/>
        <v>116302617.183917</v>
      </c>
      <c r="X54" s="23">
        <f t="shared" si="3"/>
        <v>78.4285434409365</v>
      </c>
      <c r="Y54" s="23">
        <f t="shared" si="4"/>
        <v>37.1214643807077</v>
      </c>
      <c r="Z54" s="24" t="str">
        <f t="shared" si="5"/>
        <v/>
      </c>
      <c r="AA54" s="6" t="str">
        <f t="shared" si="6"/>
        <v>已计算</v>
      </c>
      <c r="AB54" s="6" t="str">
        <f t="shared" si="7"/>
        <v>有效</v>
      </c>
      <c r="AC54" s="6" t="str">
        <f t="shared" si="8"/>
        <v/>
      </c>
      <c r="AD54" s="7" t="s">
        <v>874</v>
      </c>
    </row>
    <row r="55" ht="25" customHeight="1" spans="1:30">
      <c r="A55" s="6" t="s">
        <v>145</v>
      </c>
      <c r="B55" s="6" t="s">
        <v>59</v>
      </c>
      <c r="C55" s="7" t="s">
        <v>723</v>
      </c>
      <c r="D55" s="7" t="s">
        <v>875</v>
      </c>
      <c r="E55" s="7" t="s">
        <v>876</v>
      </c>
      <c r="F55" s="6" t="s">
        <v>149</v>
      </c>
      <c r="G55" s="16">
        <v>140</v>
      </c>
      <c r="H55" s="17"/>
      <c r="I55" s="18">
        <f t="shared" si="0"/>
        <v>140</v>
      </c>
      <c r="J55" s="19">
        <v>301</v>
      </c>
      <c r="K55" s="20"/>
      <c r="L55" s="20"/>
      <c r="M55" s="20"/>
      <c r="N55" s="20"/>
      <c r="O55" s="20"/>
      <c r="P55" s="20"/>
      <c r="Q55" s="21">
        <f>IF($I55="","",IFERROR(INDEX(_玩家曲线!$H$2:$H$286,MATCH($I55,_玩家曲线!$A$2:$A$286,0)),""))</f>
        <v>1516773.80936486</v>
      </c>
      <c r="R55" s="21">
        <f>IF($I55="","",IFERROR(INDEX(_玩家曲线!$I$2:$I$286,MATCH($I55,_玩家曲线!$A$2:$A$286,0)),""))</f>
        <v>2083162.46186865</v>
      </c>
      <c r="S55" s="21">
        <f>IF(OR($J55="",$F55="不适用"),"",IFERROR(INDEX(_怪物模型!$D$2:$D$4501,MATCH(INT($J55)&amp;"|"&amp;$F55,_怪物模型!$A$2:$A$4501,0))*IF($K55="",1,$K55),""))</f>
        <v>466186</v>
      </c>
      <c r="T55" s="21">
        <f>IF(OR($J55="",$F55="不适用"),"",IFERROR(INDEX(_怪物模型!$E$2:$E$4501,MATCH(INT($J55)&amp;"|"&amp;$F55,_怪物模型!$A$2:$A$4501,0))*IF($L55="",1,$L55),""))</f>
        <v>56072</v>
      </c>
      <c r="U55" s="21">
        <f>IF(OR($J55="",$F55="不适用"),"",IFERROR(INDEX(_怪物模型!$F$2:$F$4501,MATCH(INT($J55)&amp;"|"&amp;$F55,_怪物模型!$A$2:$A$4501,0))*IF($M55="",1,$M55),""))</f>
        <v>29664</v>
      </c>
      <c r="V55" s="22">
        <f t="shared" si="1"/>
        <v>0.552772808586762</v>
      </c>
      <c r="W55" s="23">
        <f t="shared" si="2"/>
        <v>1042391.896</v>
      </c>
      <c r="X55" s="23">
        <f t="shared" si="3"/>
        <v>0.687242810736886</v>
      </c>
      <c r="Y55" s="23">
        <f t="shared" si="4"/>
        <v>37.151563380451</v>
      </c>
      <c r="Z55" s="24" t="str">
        <f t="shared" si="5"/>
        <v/>
      </c>
      <c r="AA55" s="6" t="str">
        <f t="shared" si="6"/>
        <v>已计算</v>
      </c>
      <c r="AB55" s="6" t="str">
        <f t="shared" si="7"/>
        <v>有效</v>
      </c>
      <c r="AC55" s="6" t="str">
        <f t="shared" si="8"/>
        <v/>
      </c>
      <c r="AD55" s="7" t="s">
        <v>877</v>
      </c>
    </row>
    <row r="56" ht="25" customHeight="1" spans="1:30">
      <c r="A56" s="6" t="s">
        <v>145</v>
      </c>
      <c r="B56" s="6" t="s">
        <v>59</v>
      </c>
      <c r="C56" s="7" t="s">
        <v>723</v>
      </c>
      <c r="D56" s="7" t="s">
        <v>878</v>
      </c>
      <c r="E56" s="7" t="s">
        <v>879</v>
      </c>
      <c r="F56" s="6" t="s">
        <v>149</v>
      </c>
      <c r="G56" s="16">
        <v>143</v>
      </c>
      <c r="H56" s="17"/>
      <c r="I56" s="18">
        <f t="shared" si="0"/>
        <v>143</v>
      </c>
      <c r="J56" s="19">
        <v>303</v>
      </c>
      <c r="K56" s="20"/>
      <c r="L56" s="20"/>
      <c r="M56" s="20"/>
      <c r="N56" s="20"/>
      <c r="O56" s="20"/>
      <c r="P56" s="20"/>
      <c r="Q56" s="21">
        <f>IF($I56="","",IFERROR(INDEX(_玩家曲线!$H$2:$H$286,MATCH($I56,_玩家曲线!$A$2:$A$286,0)),""))</f>
        <v>1566187.77136624</v>
      </c>
      <c r="R56" s="21">
        <f>IF($I56="","",IFERROR(INDEX(_玩家曲线!$I$2:$I$286,MATCH($I56,_玩家曲线!$A$2:$A$286,0)),""))</f>
        <v>2131295.24901212</v>
      </c>
      <c r="S56" s="21">
        <f>IF(OR($J56="",$F56="不适用"),"",IFERROR(INDEX(_怪物模型!$D$2:$D$4501,MATCH(INT($J56)&amp;"|"&amp;$F56,_怪物模型!$A$2:$A$4501,0))*IF($K56="",1,$K56),""))</f>
        <v>474974</v>
      </c>
      <c r="T56" s="21">
        <f>IF(OR($J56="",$F56="不适用"),"",IFERROR(INDEX(_怪物模型!$E$2:$E$4501,MATCH(INT($J56)&amp;"|"&amp;$F56,_怪物模型!$A$2:$A$4501,0))*IF($L56="",1,$L56),""))</f>
        <v>56933</v>
      </c>
      <c r="U56" s="21">
        <f>IF(OR($J56="",$F56="不适用"),"",IFERROR(INDEX(_怪物模型!$F$2:$F$4501,MATCH(INT($J56)&amp;"|"&amp;$F56,_怪物模型!$A$2:$A$4501,0))*IF($M56="",1,$M56),""))</f>
        <v>29916</v>
      </c>
      <c r="V56" s="22">
        <f t="shared" si="1"/>
        <v>0.554863120409526</v>
      </c>
      <c r="W56" s="23">
        <f t="shared" si="2"/>
        <v>1067029.091</v>
      </c>
      <c r="X56" s="23">
        <f t="shared" si="3"/>
        <v>0.68129065397388</v>
      </c>
      <c r="Y56" s="23">
        <f t="shared" si="4"/>
        <v>37.4351474366733</v>
      </c>
      <c r="Z56" s="24" t="str">
        <f t="shared" si="5"/>
        <v/>
      </c>
      <c r="AA56" s="6" t="str">
        <f t="shared" si="6"/>
        <v>已计算</v>
      </c>
      <c r="AB56" s="6" t="str">
        <f t="shared" si="7"/>
        <v>有效</v>
      </c>
      <c r="AC56" s="6" t="str">
        <f t="shared" si="8"/>
        <v/>
      </c>
      <c r="AD56" s="7" t="s">
        <v>880</v>
      </c>
    </row>
    <row r="57" ht="25" customHeight="1" spans="1:30">
      <c r="A57" s="6" t="s">
        <v>145</v>
      </c>
      <c r="B57" s="6" t="s">
        <v>59</v>
      </c>
      <c r="C57" s="7" t="s">
        <v>723</v>
      </c>
      <c r="D57" s="7" t="s">
        <v>881</v>
      </c>
      <c r="E57" s="7" t="s">
        <v>882</v>
      </c>
      <c r="F57" s="6" t="s">
        <v>149</v>
      </c>
      <c r="G57" s="16">
        <v>146</v>
      </c>
      <c r="H57" s="17"/>
      <c r="I57" s="18">
        <f t="shared" si="0"/>
        <v>146</v>
      </c>
      <c r="J57" s="19">
        <v>306</v>
      </c>
      <c r="K57" s="20"/>
      <c r="L57" s="20"/>
      <c r="M57" s="20"/>
      <c r="N57" s="20"/>
      <c r="O57" s="20"/>
      <c r="P57" s="20"/>
      <c r="Q57" s="21">
        <f>IF($I57="","",IFERROR(INDEX(_玩家曲线!$H$2:$H$286,MATCH($I57,_玩家曲线!$A$2:$A$286,0)),""))</f>
        <v>1613925.7899855</v>
      </c>
      <c r="R57" s="21">
        <f>IF($I57="","",IFERROR(INDEX(_玩家曲线!$I$2:$I$286,MATCH($I57,_玩家曲线!$A$2:$A$286,0)),""))</f>
        <v>2177331.96410555</v>
      </c>
      <c r="S57" s="21">
        <f>IF(OR($J57="",$F57="不适用"),"",IFERROR(INDEX(_怪物模型!$D$2:$D$4501,MATCH(INT($J57)&amp;"|"&amp;$F57,_怪物模型!$A$2:$A$4501,0))*IF($K57="",1,$K57),""))</f>
        <v>488395</v>
      </c>
      <c r="T57" s="21">
        <f>IF(OR($J57="",$F57="不适用"),"",IFERROR(INDEX(_怪物模型!$E$2:$E$4501,MATCH(INT($J57)&amp;"|"&amp;$F57,_怪物模型!$A$2:$A$4501,0))*IF($L57="",1,$L57),""))</f>
        <v>58242</v>
      </c>
      <c r="U57" s="21">
        <f>IF(OR($J57="",$F57="不适用"),"",IFERROR(INDEX(_怪物模型!$F$2:$F$4501,MATCH(INT($J57)&amp;"|"&amp;$F57,_怪物模型!$A$2:$A$4501,0))*IF($M57="",1,$M57),""))</f>
        <v>30297</v>
      </c>
      <c r="V57" s="22">
        <f t="shared" si="1"/>
        <v>0.55798662909553</v>
      </c>
      <c r="W57" s="23">
        <f t="shared" si="2"/>
        <v>1104932.638125</v>
      </c>
      <c r="X57" s="23">
        <f t="shared" si="3"/>
        <v>0.684624190889797</v>
      </c>
      <c r="Y57" s="23">
        <f t="shared" si="4"/>
        <v>37.3842238265436</v>
      </c>
      <c r="Z57" s="24" t="str">
        <f t="shared" si="5"/>
        <v/>
      </c>
      <c r="AA57" s="6" t="str">
        <f t="shared" si="6"/>
        <v>已计算</v>
      </c>
      <c r="AB57" s="6" t="str">
        <f t="shared" si="7"/>
        <v>有效</v>
      </c>
      <c r="AC57" s="6" t="str">
        <f t="shared" si="8"/>
        <v/>
      </c>
      <c r="AD57" s="7" t="s">
        <v>883</v>
      </c>
    </row>
    <row r="58" ht="25" customHeight="1" spans="1:30">
      <c r="A58" s="6" t="s">
        <v>145</v>
      </c>
      <c r="B58" s="6" t="s">
        <v>59</v>
      </c>
      <c r="C58" s="7" t="s">
        <v>723</v>
      </c>
      <c r="D58" s="7" t="s">
        <v>884</v>
      </c>
      <c r="E58" s="7" t="s">
        <v>885</v>
      </c>
      <c r="F58" s="6" t="s">
        <v>149</v>
      </c>
      <c r="G58" s="16">
        <v>148</v>
      </c>
      <c r="H58" s="17"/>
      <c r="I58" s="18">
        <f t="shared" si="0"/>
        <v>148</v>
      </c>
      <c r="J58" s="19">
        <v>308</v>
      </c>
      <c r="K58" s="20"/>
      <c r="L58" s="20"/>
      <c r="M58" s="20"/>
      <c r="N58" s="20"/>
      <c r="O58" s="20"/>
      <c r="P58" s="20"/>
      <c r="Q58" s="21">
        <f>IF($I58="","",IFERROR(INDEX(_玩家曲线!$H$2:$H$286,MATCH($I58,_玩家曲线!$A$2:$A$286,0)),""))</f>
        <v>1644812.94400631</v>
      </c>
      <c r="R58" s="21">
        <f>IF($I58="","",IFERROR(INDEX(_玩家曲线!$I$2:$I$286,MATCH($I58,_玩家曲线!$A$2:$A$286,0)),""))</f>
        <v>2206885.44798275</v>
      </c>
      <c r="S58" s="21">
        <f>IF(OR($J58="",$F58="不适用"),"",IFERROR(INDEX(_怪物模型!$D$2:$D$4501,MATCH(INT($J58)&amp;"|"&amp;$F58,_怪物模型!$A$2:$A$4501,0))*IF($K58="",1,$K58),""))</f>
        <v>497503</v>
      </c>
      <c r="T58" s="21">
        <f>IF(OR($J58="",$F58="不适用"),"",IFERROR(INDEX(_怪物模型!$E$2:$E$4501,MATCH(INT($J58)&amp;"|"&amp;$F58,_怪物模型!$A$2:$A$4501,0))*IF($L58="",1,$L58),""))</f>
        <v>59126</v>
      </c>
      <c r="U58" s="21">
        <f>IF(OR($J58="",$F58="不适用"),"",IFERROR(INDEX(_怪物模型!$F$2:$F$4501,MATCH(INT($J58)&amp;"|"&amp;$F58,_怪物模型!$A$2:$A$4501,0))*IF($M58="",1,$M58),""))</f>
        <v>30552</v>
      </c>
      <c r="V58" s="22">
        <f t="shared" si="1"/>
        <v>0.56005279366476</v>
      </c>
      <c r="W58" s="23">
        <f t="shared" si="2"/>
        <v>1130824.319</v>
      </c>
      <c r="X58" s="23">
        <f t="shared" si="3"/>
        <v>0.687509374923585</v>
      </c>
      <c r="Y58" s="23">
        <f t="shared" si="4"/>
        <v>37.3251268136311</v>
      </c>
      <c r="Z58" s="24" t="str">
        <f t="shared" si="5"/>
        <v/>
      </c>
      <c r="AA58" s="6" t="str">
        <f t="shared" si="6"/>
        <v>已计算</v>
      </c>
      <c r="AB58" s="6" t="str">
        <f t="shared" si="7"/>
        <v>有效</v>
      </c>
      <c r="AC58" s="6" t="str">
        <f t="shared" si="8"/>
        <v/>
      </c>
      <c r="AD58" s="7" t="s">
        <v>886</v>
      </c>
    </row>
    <row r="59" ht="25" customHeight="1" spans="1:30">
      <c r="A59" s="6" t="s">
        <v>145</v>
      </c>
      <c r="B59" s="6" t="s">
        <v>59</v>
      </c>
      <c r="C59" s="7" t="s">
        <v>723</v>
      </c>
      <c r="D59" s="7" t="s">
        <v>887</v>
      </c>
      <c r="E59" s="7" t="s">
        <v>888</v>
      </c>
      <c r="F59" s="6" t="s">
        <v>738</v>
      </c>
      <c r="G59" s="16">
        <v>151</v>
      </c>
      <c r="H59" s="17"/>
      <c r="I59" s="18">
        <f t="shared" si="0"/>
        <v>151</v>
      </c>
      <c r="J59" s="19">
        <v>310</v>
      </c>
      <c r="K59" s="20"/>
      <c r="L59" s="20"/>
      <c r="M59" s="20"/>
      <c r="N59" s="20"/>
      <c r="O59" s="20"/>
      <c r="P59" s="20"/>
      <c r="Q59" s="21">
        <f>IF($I59="","",IFERROR(INDEX(_玩家曲线!$H$2:$H$286,MATCH($I59,_玩家曲线!$A$2:$A$286,0)),""))</f>
        <v>1689732.67319412</v>
      </c>
      <c r="R59" s="21">
        <f>IF($I59="","",IFERROR(INDEX(_玩家曲线!$I$2:$I$286,MATCH($I59,_玩家曲线!$A$2:$A$286,0)),""))</f>
        <v>2249551.77790876</v>
      </c>
      <c r="S59" s="21">
        <f>IF(OR($J59="",$F59="不适用"),"",IFERROR(INDEX(_怪物模型!$D$2:$D$4501,MATCH(INT($J59)&amp;"|"&amp;$F59,_怪物模型!$A$2:$A$4501,0))*IF($K59="",1,$K59),""))</f>
        <v>2026968</v>
      </c>
      <c r="T59" s="21">
        <f>IF(OR($J59="",$F59="不适用"),"",IFERROR(INDEX(_怪物模型!$E$2:$E$4501,MATCH(INT($J59)&amp;"|"&amp;$F59,_怪物模型!$A$2:$A$4501,0))*IF($L59="",1,$L59),""))</f>
        <v>60020</v>
      </c>
      <c r="U59" s="21">
        <f>IF(OR($J59="",$F59="不适用"),"",IFERROR(INDEX(_怪物模型!$F$2:$F$4501,MATCH(INT($J59)&amp;"|"&amp;$F59,_怪物模型!$A$2:$A$4501,0))*IF($M59="",1,$M59),""))</f>
        <v>30807</v>
      </c>
      <c r="V59" s="22">
        <f t="shared" si="1"/>
        <v>0.562099731786086</v>
      </c>
      <c r="W59" s="23">
        <f t="shared" si="2"/>
        <v>4628834.799</v>
      </c>
      <c r="X59" s="23">
        <f t="shared" si="3"/>
        <v>2.73938882311488</v>
      </c>
      <c r="Y59" s="23">
        <f t="shared" si="4"/>
        <v>37.4800362863839</v>
      </c>
      <c r="Z59" s="24" t="str">
        <f t="shared" si="5"/>
        <v/>
      </c>
      <c r="AA59" s="6" t="str">
        <f t="shared" si="6"/>
        <v>已计算</v>
      </c>
      <c r="AB59" s="6" t="str">
        <f t="shared" si="7"/>
        <v>有效</v>
      </c>
      <c r="AC59" s="6" t="str">
        <f t="shared" si="8"/>
        <v/>
      </c>
      <c r="AD59" s="7" t="s">
        <v>889</v>
      </c>
    </row>
    <row r="60" ht="25" customHeight="1" spans="1:30">
      <c r="A60" s="6" t="s">
        <v>145</v>
      </c>
      <c r="B60" s="6" t="s">
        <v>59</v>
      </c>
      <c r="C60" s="7" t="s">
        <v>723</v>
      </c>
      <c r="D60" s="7" t="s">
        <v>890</v>
      </c>
      <c r="E60" s="7" t="s">
        <v>891</v>
      </c>
      <c r="F60" s="6" t="s">
        <v>149</v>
      </c>
      <c r="G60" s="16">
        <v>154</v>
      </c>
      <c r="H60" s="17"/>
      <c r="I60" s="18">
        <f t="shared" si="0"/>
        <v>154</v>
      </c>
      <c r="J60" s="19">
        <v>312</v>
      </c>
      <c r="K60" s="20"/>
      <c r="L60" s="20"/>
      <c r="M60" s="20"/>
      <c r="N60" s="20"/>
      <c r="O60" s="20"/>
      <c r="P60" s="20"/>
      <c r="Q60" s="21">
        <f>IF($I60="","",IFERROR(INDEX(_玩家曲线!$H$2:$H$286,MATCH($I60,_玩家曲线!$A$2:$A$286,0)),""))</f>
        <v>1732962.18338482</v>
      </c>
      <c r="R60" s="21">
        <f>IF($I60="","",IFERROR(INDEX(_玩家曲线!$I$2:$I$286,MATCH($I60,_玩家曲线!$A$2:$A$286,0)),""))</f>
        <v>2290274.74450716</v>
      </c>
      <c r="S60" s="21">
        <f>IF(OR($J60="",$F60="不适用"),"",IFERROR(INDEX(_怪物模型!$D$2:$D$4501,MATCH(INT($J60)&amp;"|"&amp;$F60,_怪物模型!$A$2:$A$4501,0))*IF($K60="",1,$K60),""))</f>
        <v>516112</v>
      </c>
      <c r="T60" s="21">
        <f>IF(OR($J60="",$F60="不适用"),"",IFERROR(INDEX(_怪物模型!$E$2:$E$4501,MATCH(INT($J60)&amp;"|"&amp;$F60,_怪物模型!$A$2:$A$4501,0))*IF($L60="",1,$L60),""))</f>
        <v>60924</v>
      </c>
      <c r="U60" s="21">
        <f>IF(OR($J60="",$F60="不适用"),"",IFERROR(INDEX(_怪物模型!$F$2:$F$4501,MATCH(INT($J60)&amp;"|"&amp;$F60,_怪物模型!$A$2:$A$4501,0))*IF($M60="",1,$M60),""))</f>
        <v>31064</v>
      </c>
      <c r="V60" s="22">
        <f t="shared" si="1"/>
        <v>0.564143542060148</v>
      </c>
      <c r="W60" s="23">
        <f t="shared" si="2"/>
        <v>1184132.96533333</v>
      </c>
      <c r="X60" s="23">
        <f t="shared" si="3"/>
        <v>0.683299945426672</v>
      </c>
      <c r="Y60" s="23">
        <f t="shared" si="4"/>
        <v>37.5923239529112</v>
      </c>
      <c r="Z60" s="24" t="str">
        <f t="shared" si="5"/>
        <v/>
      </c>
      <c r="AA60" s="6" t="str">
        <f t="shared" si="6"/>
        <v>已计算</v>
      </c>
      <c r="AB60" s="6" t="str">
        <f t="shared" si="7"/>
        <v>有效</v>
      </c>
      <c r="AC60" s="6" t="str">
        <f t="shared" si="8"/>
        <v/>
      </c>
      <c r="AD60" s="7" t="s">
        <v>892</v>
      </c>
    </row>
    <row r="61" ht="25" customHeight="1" spans="1:30">
      <c r="A61" s="6" t="s">
        <v>145</v>
      </c>
      <c r="B61" s="6" t="s">
        <v>59</v>
      </c>
      <c r="C61" s="7" t="s">
        <v>723</v>
      </c>
      <c r="D61" s="7" t="s">
        <v>893</v>
      </c>
      <c r="E61" s="7" t="s">
        <v>894</v>
      </c>
      <c r="F61" s="6" t="s">
        <v>149</v>
      </c>
      <c r="G61" s="16">
        <v>156</v>
      </c>
      <c r="H61" s="17"/>
      <c r="I61" s="18">
        <f t="shared" si="0"/>
        <v>156</v>
      </c>
      <c r="J61" s="19">
        <v>314</v>
      </c>
      <c r="K61" s="20"/>
      <c r="L61" s="20"/>
      <c r="M61" s="20"/>
      <c r="N61" s="20"/>
      <c r="O61" s="20"/>
      <c r="P61" s="20"/>
      <c r="Q61" s="21">
        <f>IF($I61="","",IFERROR(INDEX(_玩家曲线!$H$2:$H$286,MATCH($I61,_玩家曲线!$A$2:$A$286,0)),""))</f>
        <v>1760847.85956354</v>
      </c>
      <c r="R61" s="21">
        <f>IF($I61="","",IFERROR(INDEX(_玩家曲线!$I$2:$I$286,MATCH($I61,_玩家曲线!$A$2:$A$286,0)),""))</f>
        <v>2316374.20903647</v>
      </c>
      <c r="S61" s="21">
        <f>IF(OR($J61="",$F61="不适用"),"",IFERROR(INDEX(_怪物模型!$D$2:$D$4501,MATCH(INT($J61)&amp;"|"&amp;$F61,_怪物模型!$A$2:$A$4501,0))*IF($K61="",1,$K61),""))</f>
        <v>525616</v>
      </c>
      <c r="T61" s="21">
        <f>IF(OR($J61="",$F61="不适用"),"",IFERROR(INDEX(_怪物模型!$E$2:$E$4501,MATCH(INT($J61)&amp;"|"&amp;$F61,_怪物模型!$A$2:$A$4501,0))*IF($L61="",1,$L61),""))</f>
        <v>61838</v>
      </c>
      <c r="U61" s="21">
        <f>IF(OR($J61="",$F61="不适用"),"",IFERROR(INDEX(_怪物模型!$F$2:$F$4501,MATCH(INT($J61)&amp;"|"&amp;$F61,_怪物模型!$A$2:$A$4501,0))*IF($M61="",1,$M61),""))</f>
        <v>31321</v>
      </c>
      <c r="V61" s="22">
        <f t="shared" si="1"/>
        <v>0.566168362827859</v>
      </c>
      <c r="W61" s="23">
        <f t="shared" si="2"/>
        <v>1211566.78066667</v>
      </c>
      <c r="X61" s="23">
        <f t="shared" si="3"/>
        <v>0.688058751973596</v>
      </c>
      <c r="Y61" s="23">
        <f t="shared" si="4"/>
        <v>37.4587504291288</v>
      </c>
      <c r="Z61" s="24" t="str">
        <f t="shared" si="5"/>
        <v/>
      </c>
      <c r="AA61" s="6" t="str">
        <f t="shared" si="6"/>
        <v>已计算</v>
      </c>
      <c r="AB61" s="6" t="str">
        <f t="shared" si="7"/>
        <v>有效</v>
      </c>
      <c r="AC61" s="6" t="str">
        <f t="shared" si="8"/>
        <v/>
      </c>
      <c r="AD61" s="7" t="s">
        <v>895</v>
      </c>
    </row>
    <row r="62" ht="25" customHeight="1" spans="1:30">
      <c r="A62" s="6" t="s">
        <v>145</v>
      </c>
      <c r="B62" s="6" t="s">
        <v>59</v>
      </c>
      <c r="C62" s="7" t="s">
        <v>723</v>
      </c>
      <c r="D62" s="7" t="s">
        <v>896</v>
      </c>
      <c r="E62" s="7" t="s">
        <v>897</v>
      </c>
      <c r="F62" s="6" t="s">
        <v>149</v>
      </c>
      <c r="G62" s="16">
        <v>159</v>
      </c>
      <c r="H62" s="17"/>
      <c r="I62" s="18">
        <f t="shared" si="0"/>
        <v>159</v>
      </c>
      <c r="J62" s="19">
        <v>316</v>
      </c>
      <c r="K62" s="20"/>
      <c r="L62" s="20"/>
      <c r="M62" s="20"/>
      <c r="N62" s="20"/>
      <c r="O62" s="20"/>
      <c r="P62" s="20"/>
      <c r="Q62" s="21">
        <f>IF($I62="","",IFERROR(INDEX(_玩家曲线!$H$2:$H$286,MATCH($I62,_玩家曲线!$A$2:$A$286,0)),""))</f>
        <v>1801287.81104281</v>
      </c>
      <c r="R62" s="21">
        <f>IF($I62="","",IFERROR(INDEX(_玩家曲线!$I$2:$I$286,MATCH($I62,_玩家曲线!$A$2:$A$286,0)),""))</f>
        <v>2353996.35218337</v>
      </c>
      <c r="S62" s="21">
        <f>IF(OR($J62="",$F62="不适用"),"",IFERROR(INDEX(_怪物模型!$D$2:$D$4501,MATCH(INT($J62)&amp;"|"&amp;$F62,_怪物模型!$A$2:$A$4501,0))*IF($K62="",1,$K62),""))</f>
        <v>535254</v>
      </c>
      <c r="T62" s="21">
        <f>IF(OR($J62="",$F62="不适用"),"",IFERROR(INDEX(_怪物模型!$E$2:$E$4501,MATCH(INT($J62)&amp;"|"&amp;$F62,_怪物模型!$A$2:$A$4501,0))*IF($L62="",1,$L62),""))</f>
        <v>62761</v>
      </c>
      <c r="U62" s="21">
        <f>IF(OR($J62="",$F62="不适用"),"",IFERROR(INDEX(_怪物模型!$F$2:$F$4501,MATCH(INT($J62)&amp;"|"&amp;$F62,_怪物模型!$A$2:$A$4501,0))*IF($M62="",1,$M62),""))</f>
        <v>31578</v>
      </c>
      <c r="V62" s="22">
        <f t="shared" si="1"/>
        <v>0.568174457519162</v>
      </c>
      <c r="W62" s="23">
        <f t="shared" si="2"/>
        <v>1239514.4505</v>
      </c>
      <c r="X62" s="23">
        <f t="shared" si="3"/>
        <v>0.688126818435758</v>
      </c>
      <c r="Y62" s="23">
        <f t="shared" si="4"/>
        <v>37.5073111037646</v>
      </c>
      <c r="Z62" s="24" t="str">
        <f t="shared" si="5"/>
        <v/>
      </c>
      <c r="AA62" s="6" t="str">
        <f t="shared" si="6"/>
        <v>已计算</v>
      </c>
      <c r="AB62" s="6" t="str">
        <f t="shared" si="7"/>
        <v>有效</v>
      </c>
      <c r="AC62" s="6" t="str">
        <f t="shared" si="8"/>
        <v/>
      </c>
      <c r="AD62" s="7" t="s">
        <v>898</v>
      </c>
    </row>
    <row r="63" ht="25" customHeight="1" spans="1:30">
      <c r="A63" s="6" t="s">
        <v>145</v>
      </c>
      <c r="B63" s="6" t="s">
        <v>59</v>
      </c>
      <c r="C63" s="7" t="s">
        <v>723</v>
      </c>
      <c r="D63" s="7" t="s">
        <v>899</v>
      </c>
      <c r="E63" s="7" t="s">
        <v>900</v>
      </c>
      <c r="F63" s="6" t="s">
        <v>149</v>
      </c>
      <c r="G63" s="16">
        <v>162</v>
      </c>
      <c r="H63" s="17"/>
      <c r="I63" s="18">
        <f t="shared" si="0"/>
        <v>162</v>
      </c>
      <c r="J63" s="19">
        <v>318</v>
      </c>
      <c r="K63" s="20"/>
      <c r="L63" s="20"/>
      <c r="M63" s="20"/>
      <c r="N63" s="20"/>
      <c r="O63" s="20"/>
      <c r="P63" s="20"/>
      <c r="Q63" s="21">
        <f>IF($I63="","",IFERROR(INDEX(_玩家曲线!$H$2:$H$286,MATCH($I63,_玩家曲线!$A$2:$A$286,0)),""))</f>
        <v>1840081.54814898</v>
      </c>
      <c r="R63" s="21">
        <f>IF($I63="","",IFERROR(INDEX(_玩家曲线!$I$2:$I$286,MATCH($I63,_玩家曲线!$A$2:$A$286,0)),""))</f>
        <v>2389842.87132859</v>
      </c>
      <c r="S63" s="21">
        <f>IF(OR($J63="",$F63="不适用"),"",IFERROR(INDEX(_怪物模型!$D$2:$D$4501,MATCH(INT($J63)&amp;"|"&amp;$F63,_怪物模型!$A$2:$A$4501,0))*IF($K63="",1,$K63),""))</f>
        <v>545029</v>
      </c>
      <c r="T63" s="21">
        <f>IF(OR($J63="",$F63="不适用"),"",IFERROR(INDEX(_怪物模型!$E$2:$E$4501,MATCH(INT($J63)&amp;"|"&amp;$F63,_怪物模型!$A$2:$A$4501,0))*IF($L63="",1,$L63),""))</f>
        <v>63694</v>
      </c>
      <c r="U63" s="21">
        <f>IF(OR($J63="",$F63="不适用"),"",IFERROR(INDEX(_怪物模型!$F$2:$F$4501,MATCH(INT($J63)&amp;"|"&amp;$F63,_怪物模型!$A$2:$A$4501,0))*IF($M63="",1,$M63),""))</f>
        <v>31837</v>
      </c>
      <c r="V63" s="22">
        <f t="shared" si="1"/>
        <v>0.570177480881852</v>
      </c>
      <c r="W63" s="23">
        <f t="shared" si="2"/>
        <v>1268032.67804167</v>
      </c>
      <c r="X63" s="23">
        <f t="shared" si="3"/>
        <v>0.689117653137296</v>
      </c>
      <c r="Y63" s="23">
        <f t="shared" si="4"/>
        <v>37.5206906667597</v>
      </c>
      <c r="Z63" s="24" t="str">
        <f t="shared" si="5"/>
        <v/>
      </c>
      <c r="AA63" s="6" t="str">
        <f t="shared" si="6"/>
        <v>已计算</v>
      </c>
      <c r="AB63" s="6" t="str">
        <f t="shared" si="7"/>
        <v>有效</v>
      </c>
      <c r="AC63" s="6" t="str">
        <f t="shared" si="8"/>
        <v/>
      </c>
      <c r="AD63" s="7" t="s">
        <v>901</v>
      </c>
    </row>
    <row r="64" ht="25" customHeight="1" spans="1:30">
      <c r="A64" s="6" t="s">
        <v>145</v>
      </c>
      <c r="B64" s="6" t="s">
        <v>59</v>
      </c>
      <c r="C64" s="7" t="s">
        <v>723</v>
      </c>
      <c r="D64" s="7" t="s">
        <v>902</v>
      </c>
      <c r="E64" s="7" t="s">
        <v>903</v>
      </c>
      <c r="F64" s="6" t="s">
        <v>159</v>
      </c>
      <c r="G64" s="16">
        <v>165</v>
      </c>
      <c r="H64" s="17"/>
      <c r="I64" s="18">
        <f t="shared" si="0"/>
        <v>165</v>
      </c>
      <c r="J64" s="19">
        <v>321</v>
      </c>
      <c r="K64" s="20"/>
      <c r="L64" s="20"/>
      <c r="M64" s="20"/>
      <c r="N64" s="20"/>
      <c r="O64" s="20"/>
      <c r="P64" s="20"/>
      <c r="Q64" s="21">
        <f>IF($I64="","",IFERROR(INDEX(_玩家曲线!$H$2:$H$286,MATCH($I64,_玩家曲线!$A$2:$A$286,0)),""))</f>
        <v>1877256.63687321</v>
      </c>
      <c r="R64" s="21">
        <f>IF($I64="","",IFERROR(INDEX(_玩家曲线!$I$2:$I$286,MATCH($I64,_玩家曲线!$A$2:$A$286,0)),""))</f>
        <v>2423978.15932742</v>
      </c>
      <c r="S64" s="21">
        <f>IF(OR($J64="",$F64="不适用"),"",IFERROR(INDEX(_怪物模型!$D$2:$D$4501,MATCH(INT($J64)&amp;"|"&amp;$F64,_怪物模型!$A$2:$A$4501,0))*IF($K64="",1,$K64),""))</f>
        <v>64911966</v>
      </c>
      <c r="T64" s="21">
        <f>IF(OR($J64="",$F64="不适用"),"",IFERROR(INDEX(_怪物模型!$E$2:$E$4501,MATCH(INT($J64)&amp;"|"&amp;$F64,_怪物模型!$A$2:$A$4501,0))*IF($L64="",1,$L64),""))</f>
        <v>65113</v>
      </c>
      <c r="U64" s="21">
        <f>IF(OR($J64="",$F64="不适用"),"",IFERROR(INDEX(_怪物模型!$F$2:$F$4501,MATCH(INT($J64)&amp;"|"&amp;$F64,_怪物模型!$A$2:$A$4501,0))*IF($M64="",1,$M64),""))</f>
        <v>32226</v>
      </c>
      <c r="V64" s="22">
        <f t="shared" si="1"/>
        <v>0.573151211183438</v>
      </c>
      <c r="W64" s="23">
        <f t="shared" si="2"/>
        <v>152072508.3465</v>
      </c>
      <c r="X64" s="23">
        <f t="shared" si="3"/>
        <v>81.0078416341596</v>
      </c>
      <c r="Y64" s="23">
        <f t="shared" si="4"/>
        <v>37.2272535335097</v>
      </c>
      <c r="Z64" s="24" t="str">
        <f t="shared" si="5"/>
        <v/>
      </c>
      <c r="AA64" s="6" t="str">
        <f t="shared" si="6"/>
        <v>已计算</v>
      </c>
      <c r="AB64" s="6" t="str">
        <f t="shared" si="7"/>
        <v>有效</v>
      </c>
      <c r="AC64" s="6" t="str">
        <f t="shared" si="8"/>
        <v/>
      </c>
      <c r="AD64" s="7" t="s">
        <v>904</v>
      </c>
    </row>
    <row r="65" ht="25" customHeight="1" spans="1:30">
      <c r="A65" s="6" t="s">
        <v>145</v>
      </c>
      <c r="B65" s="6" t="s">
        <v>59</v>
      </c>
      <c r="C65" s="7" t="s">
        <v>723</v>
      </c>
      <c r="D65" s="7" t="s">
        <v>905</v>
      </c>
      <c r="E65" s="7" t="s">
        <v>906</v>
      </c>
      <c r="F65" s="6" t="s">
        <v>149</v>
      </c>
      <c r="G65" s="16">
        <v>167</v>
      </c>
      <c r="H65" s="17"/>
      <c r="I65" s="18">
        <f t="shared" si="0"/>
        <v>167</v>
      </c>
      <c r="J65" s="19">
        <v>322</v>
      </c>
      <c r="K65" s="20"/>
      <c r="L65" s="20"/>
      <c r="M65" s="20"/>
      <c r="N65" s="20"/>
      <c r="O65" s="20"/>
      <c r="P65" s="20"/>
      <c r="Q65" s="21">
        <f>IF($I65="","",IFERROR(INDEX(_玩家曲线!$H$2:$H$286,MATCH($I65,_玩家曲线!$A$2:$A$286,0)),""))</f>
        <v>1901156.52712058</v>
      </c>
      <c r="R65" s="21">
        <f>IF($I65="","",IFERROR(INDEX(_玩家曲线!$I$2:$I$286,MATCH($I65,_玩家曲线!$A$2:$A$286,0)),""))</f>
        <v>2445816.18072346</v>
      </c>
      <c r="S65" s="21">
        <f>IF(OR($J65="",$F65="不适用"),"",IFERROR(INDEX(_怪物模型!$D$2:$D$4501,MATCH(INT($J65)&amp;"|"&amp;$F65,_怪物模型!$A$2:$A$4501,0))*IF($K65="",1,$K65),""))</f>
        <v>564993</v>
      </c>
      <c r="T65" s="21">
        <f>IF(OR($J65="",$F65="不适用"),"",IFERROR(INDEX(_怪物模型!$E$2:$E$4501,MATCH(INT($J65)&amp;"|"&amp;$F65,_怪物模型!$A$2:$A$4501,0))*IF($L65="",1,$L65),""))</f>
        <v>65591</v>
      </c>
      <c r="U65" s="21">
        <f>IF(OR($J65="",$F65="不适用"),"",IFERROR(INDEX(_怪物模型!$F$2:$F$4501,MATCH(INT($J65)&amp;"|"&amp;$F65,_怪物模型!$A$2:$A$4501,0))*IF($M65="",1,$M65),""))</f>
        <v>32356</v>
      </c>
      <c r="V65" s="22">
        <f t="shared" si="1"/>
        <v>0.574135850663638</v>
      </c>
      <c r="W65" s="23">
        <f t="shared" si="2"/>
        <v>1326697.7295</v>
      </c>
      <c r="X65" s="23">
        <f t="shared" si="3"/>
        <v>0.697837190454468</v>
      </c>
      <c r="Y65" s="23">
        <f t="shared" si="4"/>
        <v>37.2888990977948</v>
      </c>
      <c r="Z65" s="24" t="str">
        <f t="shared" si="5"/>
        <v/>
      </c>
      <c r="AA65" s="6" t="str">
        <f t="shared" si="6"/>
        <v>已计算</v>
      </c>
      <c r="AB65" s="6" t="str">
        <f t="shared" si="7"/>
        <v>有效</v>
      </c>
      <c r="AC65" s="6" t="str">
        <f t="shared" si="8"/>
        <v/>
      </c>
      <c r="AD65" s="7" t="s">
        <v>907</v>
      </c>
    </row>
    <row r="66" ht="25" customHeight="1" spans="1:30">
      <c r="A66" s="6" t="s">
        <v>145</v>
      </c>
      <c r="B66" s="6" t="s">
        <v>59</v>
      </c>
      <c r="C66" s="7" t="s">
        <v>723</v>
      </c>
      <c r="D66" s="7" t="s">
        <v>908</v>
      </c>
      <c r="E66" s="7" t="s">
        <v>909</v>
      </c>
      <c r="F66" s="6" t="s">
        <v>149</v>
      </c>
      <c r="G66" s="16">
        <v>170</v>
      </c>
      <c r="H66" s="17"/>
      <c r="I66" s="18">
        <f t="shared" si="0"/>
        <v>170</v>
      </c>
      <c r="J66" s="19">
        <v>324</v>
      </c>
      <c r="K66" s="20"/>
      <c r="L66" s="20"/>
      <c r="M66" s="20"/>
      <c r="N66" s="20"/>
      <c r="O66" s="20"/>
      <c r="P66" s="20"/>
      <c r="Q66" s="21">
        <f>IF($I66="","",IFERROR(INDEX(_玩家曲线!$H$2:$H$286,MATCH($I66,_玩家曲线!$A$2:$A$286,0)),""))</f>
        <v>1935707.43373094</v>
      </c>
      <c r="R66" s="21">
        <f>IF($I66="","",IFERROR(INDEX(_玩家曲线!$I$2:$I$286,MATCH($I66,_玩家曲线!$A$2:$A$286,0)),""))</f>
        <v>2477242.55473141</v>
      </c>
      <c r="S66" s="21">
        <f>IF(OR($J66="",$F66="不适用"),"",IFERROR(INDEX(_怪物模型!$D$2:$D$4501,MATCH(INT($J66)&amp;"|"&amp;$F66,_怪物模型!$A$2:$A$4501,0))*IF($K66="",1,$K66),""))</f>
        <v>575185</v>
      </c>
      <c r="T66" s="21">
        <f>IF(OR($J66="",$F66="不适用"),"",IFERROR(INDEX(_怪物模型!$E$2:$E$4501,MATCH(INT($J66)&amp;"|"&amp;$F66,_怪物模型!$A$2:$A$4501,0))*IF($L66="",1,$L66),""))</f>
        <v>66554</v>
      </c>
      <c r="U66" s="21">
        <f>IF(OR($J66="",$F66="不适用"),"",IFERROR(INDEX(_怪物模型!$F$2:$F$4501,MATCH(INT($J66)&amp;"|"&amp;$F66,_怪物模型!$A$2:$A$4501,0))*IF($M66="",1,$M66),""))</f>
        <v>32617</v>
      </c>
      <c r="V66" s="22">
        <f t="shared" si="1"/>
        <v>0.576099051521628</v>
      </c>
      <c r="W66" s="23">
        <f t="shared" si="2"/>
        <v>1356885.38104167</v>
      </c>
      <c r="X66" s="23">
        <f t="shared" si="3"/>
        <v>0.700976478881607</v>
      </c>
      <c r="Y66" s="23">
        <f t="shared" si="4"/>
        <v>37.2215427281818</v>
      </c>
      <c r="Z66" s="24" t="str">
        <f t="shared" si="5"/>
        <v/>
      </c>
      <c r="AA66" s="6" t="str">
        <f t="shared" si="6"/>
        <v>已计算</v>
      </c>
      <c r="AB66" s="6" t="str">
        <f t="shared" si="7"/>
        <v>有效</v>
      </c>
      <c r="AC66" s="6" t="str">
        <f t="shared" si="8"/>
        <v/>
      </c>
      <c r="AD66" s="7" t="s">
        <v>910</v>
      </c>
    </row>
    <row r="67" ht="25" customHeight="1" spans="1:30">
      <c r="A67" s="6" t="s">
        <v>145</v>
      </c>
      <c r="B67" s="6" t="s">
        <v>59</v>
      </c>
      <c r="C67" s="7" t="s">
        <v>723</v>
      </c>
      <c r="D67" s="7" t="s">
        <v>911</v>
      </c>
      <c r="E67" s="7" t="s">
        <v>912</v>
      </c>
      <c r="F67" s="6" t="s">
        <v>149</v>
      </c>
      <c r="G67" s="16">
        <v>173</v>
      </c>
      <c r="H67" s="17"/>
      <c r="I67" s="18">
        <f t="shared" si="0"/>
        <v>173</v>
      </c>
      <c r="J67" s="19">
        <v>326</v>
      </c>
      <c r="K67" s="20"/>
      <c r="L67" s="20"/>
      <c r="M67" s="20"/>
      <c r="N67" s="20"/>
      <c r="O67" s="20"/>
      <c r="P67" s="20"/>
      <c r="Q67" s="21">
        <f>IF($I67="","",IFERROR(INDEX(_玩家曲线!$H$2:$H$286,MATCH($I67,_玩家曲线!$A$2:$A$286,0)),""))</f>
        <v>1968733.91695975</v>
      </c>
      <c r="R67" s="21">
        <f>IF($I67="","",IFERROR(INDEX(_玩家曲线!$I$2:$I$286,MATCH($I67,_玩家曲线!$A$2:$A$286,0)),""))</f>
        <v>2507128.79848646</v>
      </c>
      <c r="S67" s="21">
        <f>IF(OR($J67="",$F67="不适用"),"",IFERROR(INDEX(_怪物模型!$D$2:$D$4501,MATCH(INT($J67)&amp;"|"&amp;$F67,_怪物模型!$A$2:$A$4501,0))*IF($K67="",1,$K67),""))</f>
        <v>585519</v>
      </c>
      <c r="T67" s="21">
        <f>IF(OR($J67="",$F67="不适用"),"",IFERROR(INDEX(_怪物模型!$E$2:$E$4501,MATCH(INT($J67)&amp;"|"&amp;$F67,_怪物模型!$A$2:$A$4501,0))*IF($L67="",1,$L67),""))</f>
        <v>67528</v>
      </c>
      <c r="U67" s="21">
        <f>IF(OR($J67="",$F67="不适用"),"",IFERROR(INDEX(_怪物模型!$F$2:$F$4501,MATCH(INT($J67)&amp;"|"&amp;$F67,_怪物模型!$A$2:$A$4501,0))*IF($M67="",1,$M67),""))</f>
        <v>32878</v>
      </c>
      <c r="V67" s="22">
        <f t="shared" si="1"/>
        <v>0.578044235029361</v>
      </c>
      <c r="W67" s="23">
        <f t="shared" si="2"/>
        <v>1387631.23675</v>
      </c>
      <c r="X67" s="23">
        <f t="shared" si="3"/>
        <v>0.704834322605095</v>
      </c>
      <c r="Y67" s="23">
        <f t="shared" si="4"/>
        <v>37.1272479339898</v>
      </c>
      <c r="Z67" s="24" t="str">
        <f t="shared" si="5"/>
        <v/>
      </c>
      <c r="AA67" s="6" t="str">
        <f t="shared" si="6"/>
        <v>已计算</v>
      </c>
      <c r="AB67" s="6" t="str">
        <f t="shared" si="7"/>
        <v>有效</v>
      </c>
      <c r="AC67" s="6" t="str">
        <f t="shared" si="8"/>
        <v/>
      </c>
      <c r="AD67" s="7" t="s">
        <v>913</v>
      </c>
    </row>
    <row r="68" ht="25" customHeight="1" spans="1:30">
      <c r="A68" s="6" t="s">
        <v>145</v>
      </c>
      <c r="B68" s="6" t="s">
        <v>59</v>
      </c>
      <c r="C68" s="7" t="s">
        <v>723</v>
      </c>
      <c r="D68" s="7" t="s">
        <v>914</v>
      </c>
      <c r="E68" s="7" t="s">
        <v>915</v>
      </c>
      <c r="F68" s="6" t="s">
        <v>149</v>
      </c>
      <c r="G68" s="16">
        <v>176</v>
      </c>
      <c r="H68" s="17"/>
      <c r="I68" s="18">
        <f t="shared" si="0"/>
        <v>176</v>
      </c>
      <c r="J68" s="19">
        <v>328</v>
      </c>
      <c r="K68" s="20"/>
      <c r="L68" s="20"/>
      <c r="M68" s="20"/>
      <c r="N68" s="20"/>
      <c r="O68" s="20"/>
      <c r="P68" s="20"/>
      <c r="Q68" s="21">
        <f>IF($I68="","",IFERROR(INDEX(_玩家曲线!$H$2:$H$286,MATCH($I68,_玩家曲线!$A$2:$A$286,0)),""))</f>
        <v>2000277.0389132</v>
      </c>
      <c r="R68" s="21">
        <f>IF($I68="","",IFERROR(INDEX(_玩家曲线!$I$2:$I$286,MATCH($I68,_玩家曲线!$A$2:$A$286,0)),""))</f>
        <v>2535537.89779388</v>
      </c>
      <c r="S68" s="21">
        <f>IF(OR($J68="",$F68="不适用"),"",IFERROR(INDEX(_怪物模型!$D$2:$D$4501,MATCH(INT($J68)&amp;"|"&amp;$F68,_怪物模型!$A$2:$A$4501,0))*IF($K68="",1,$K68),""))</f>
        <v>595996</v>
      </c>
      <c r="T68" s="21">
        <f>IF(OR($J68="",$F68="不适用"),"",IFERROR(INDEX(_怪物模型!$E$2:$E$4501,MATCH(INT($J68)&amp;"|"&amp;$F68,_怪物模型!$A$2:$A$4501,0))*IF($L68="",1,$L68),""))</f>
        <v>68512</v>
      </c>
      <c r="U68" s="21">
        <f>IF(OR($J68="",$F68="不适用"),"",IFERROR(INDEX(_怪物模型!$F$2:$F$4501,MATCH(INT($J68)&amp;"|"&amp;$F68,_怪物模型!$A$2:$A$4501,0))*IF($M68="",1,$M68),""))</f>
        <v>33140</v>
      </c>
      <c r="V68" s="22">
        <f t="shared" si="1"/>
        <v>0.579978998949948</v>
      </c>
      <c r="W68" s="23">
        <f t="shared" si="2"/>
        <v>1418967.14333333</v>
      </c>
      <c r="X68" s="23">
        <f t="shared" si="3"/>
        <v>0.709385307999283</v>
      </c>
      <c r="Y68" s="23">
        <f t="shared" si="4"/>
        <v>37.0086685222133</v>
      </c>
      <c r="Z68" s="24" t="str">
        <f t="shared" si="5"/>
        <v/>
      </c>
      <c r="AA68" s="6" t="str">
        <f t="shared" si="6"/>
        <v>已计算</v>
      </c>
      <c r="AB68" s="6" t="str">
        <f t="shared" si="7"/>
        <v>有效</v>
      </c>
      <c r="AC68" s="6" t="str">
        <f t="shared" si="8"/>
        <v/>
      </c>
      <c r="AD68" s="7" t="s">
        <v>916</v>
      </c>
    </row>
    <row r="69" ht="25" customHeight="1" spans="1:30">
      <c r="A69" s="6" t="s">
        <v>145</v>
      </c>
      <c r="B69" s="6" t="s">
        <v>59</v>
      </c>
      <c r="C69" s="7" t="s">
        <v>723</v>
      </c>
      <c r="D69" s="7" t="s">
        <v>917</v>
      </c>
      <c r="E69" s="7" t="s">
        <v>918</v>
      </c>
      <c r="F69" s="6" t="s">
        <v>738</v>
      </c>
      <c r="G69" s="16">
        <v>178</v>
      </c>
      <c r="H69" s="17"/>
      <c r="I69" s="18">
        <f t="shared" ref="I69:I104" si="9">IF($H69="",$G69,$H69)</f>
        <v>178</v>
      </c>
      <c r="J69" s="19">
        <v>329</v>
      </c>
      <c r="K69" s="20"/>
      <c r="L69" s="20"/>
      <c r="M69" s="20"/>
      <c r="N69" s="20"/>
      <c r="O69" s="20"/>
      <c r="P69" s="20"/>
      <c r="Q69" s="21">
        <f>IF($I69="","",IFERROR(INDEX(_玩家曲线!$H$2:$H$286,MATCH($I69,_玩家曲线!$A$2:$A$286,0)),""))</f>
        <v>2020502.97079453</v>
      </c>
      <c r="R69" s="21">
        <f>IF($I69="","",IFERROR(INDEX(_玩家曲线!$I$2:$I$286,MATCH($I69,_玩家曲线!$A$2:$A$286,0)),""))</f>
        <v>2553687.2979948</v>
      </c>
      <c r="S69" s="21">
        <f>IF(OR($J69="",$F69="不适用"),"",IFERROR(INDEX(_怪物模型!$D$2:$D$4501,MATCH(INT($J69)&amp;"|"&amp;$F69,_怪物模型!$A$2:$A$4501,0))*IF($K69="",1,$K69),""))</f>
        <v>2405156</v>
      </c>
      <c r="T69" s="21">
        <f>IF(OR($J69="",$F69="不适用"),"",IFERROR(INDEX(_怪物模型!$E$2:$E$4501,MATCH(INT($J69)&amp;"|"&amp;$F69,_怪物模型!$A$2:$A$4501,0))*IF($L69="",1,$L69),""))</f>
        <v>69008</v>
      </c>
      <c r="U69" s="21">
        <f>IF(OR($J69="",$F69="不适用"),"",IFERROR(INDEX(_怪物模型!$F$2:$F$4501,MATCH(INT($J69)&amp;"|"&amp;$F69,_怪物模型!$A$2:$A$4501,0))*IF($M69="",1,$M69),""))</f>
        <v>33272</v>
      </c>
      <c r="V69" s="22">
        <f t="shared" ref="V69:V104" si="10">IF($U69="","",MIN(0.75,$U69/($U69+24000)))</f>
        <v>0.580947059645202</v>
      </c>
      <c r="W69" s="23">
        <f t="shared" ref="W69:W104" si="11">IF($S69="","",$S69/(1-$V69)*IF($N69="",1,$N69))</f>
        <v>5739503.93466667</v>
      </c>
      <c r="X69" s="23">
        <f t="shared" ref="X69:X104" si="12">IF(OR($W69="",$Q69="",$Q69=0),"",$W69/$Q69)</f>
        <v>2.84063127727533</v>
      </c>
      <c r="Y69" s="23">
        <f t="shared" ref="Y69:Y104" si="13">IF(OR($R69="",$T69="",$T69=0),"",$R69/($T69*IF($O69="",1,$O69)))</f>
        <v>37.0056703280026</v>
      </c>
      <c r="Z69" s="24" t="str">
        <f t="shared" ref="Z69:Z104" si="14">IF(OR($X69="",$P69="",$P69=0),"",$X69/$P69)</f>
        <v/>
      </c>
      <c r="AA69" s="6" t="str">
        <f t="shared" ref="AA69:AA104" si="15">IF($J69="","待填怪物等级",IF(OR($I69="",$Q69=""),"待填对照关卡",IF($P69="","已计算",IF(AND($Y69&lt;&gt;"",$Y69&lt;$X69),"生存不成立",IF($Z69&lt;0.5,"碾压",IF($Z69&lt;0.8,"偏简单",IF($Z69&lt;=1.2,"适中",IF($Z69&lt;=1.5,"偏难","过难"))))))))</f>
        <v>已计算</v>
      </c>
      <c r="AB69" s="6" t="str">
        <f t="shared" ref="AB69:AB104" si="16">IF($J69="","待填",IF(AND(ISNUMBER($J69),$J69&gt;=1,$J69&lt;=500,MOD($J69,1)=0),"有效","超范围"))</f>
        <v>有效</v>
      </c>
      <c r="AC69" s="6" t="str">
        <f t="shared" ref="AC69:AC104" si="17">IF(OR($J69="",ROW()=5,$B69&lt;&gt;$B68,$J68=""),"",IF($J69&lt;$J68,"下降",""))</f>
        <v/>
      </c>
      <c r="AD69" s="7" t="s">
        <v>919</v>
      </c>
    </row>
    <row r="70" ht="25" customHeight="1" spans="1:30">
      <c r="A70" s="6" t="s">
        <v>145</v>
      </c>
      <c r="B70" s="6" t="s">
        <v>59</v>
      </c>
      <c r="C70" s="7" t="s">
        <v>723</v>
      </c>
      <c r="D70" s="7" t="s">
        <v>920</v>
      </c>
      <c r="E70" s="7" t="s">
        <v>921</v>
      </c>
      <c r="F70" s="6" t="s">
        <v>149</v>
      </c>
      <c r="G70" s="16">
        <v>181</v>
      </c>
      <c r="H70" s="17"/>
      <c r="I70" s="18">
        <f t="shared" si="9"/>
        <v>181</v>
      </c>
      <c r="J70" s="19">
        <v>330</v>
      </c>
      <c r="K70" s="20"/>
      <c r="L70" s="20"/>
      <c r="M70" s="20"/>
      <c r="N70" s="20"/>
      <c r="O70" s="20"/>
      <c r="P70" s="20"/>
      <c r="Q70" s="21">
        <f>IF($I70="","",IFERROR(INDEX(_玩家曲线!$H$2:$H$286,MATCH($I70,_玩家曲线!$A$2:$A$286,0)),""))</f>
        <v>2049670.71115747</v>
      </c>
      <c r="R70" s="21">
        <f>IF($I70="","",IFERROR(INDEX(_玩家曲线!$I$2:$I$286,MATCH($I70,_玩家曲线!$A$2:$A$286,0)),""))</f>
        <v>2579771.52374254</v>
      </c>
      <c r="S70" s="21">
        <f>IF(OR($J70="",$F70="不适用"),"",IFERROR(INDEX(_怪物模型!$D$2:$D$4501,MATCH(INT($J70)&amp;"|"&amp;$F70,_怪物模型!$A$2:$A$4501,0))*IF($K70="",1,$K70),""))</f>
        <v>606619</v>
      </c>
      <c r="T70" s="21">
        <f>IF(OR($J70="",$F70="不适用"),"",IFERROR(INDEX(_怪物模型!$E$2:$E$4501,MATCH(INT($J70)&amp;"|"&amp;$F70,_怪物模型!$A$2:$A$4501,0))*IF($L70="",1,$L70),""))</f>
        <v>69506</v>
      </c>
      <c r="U70" s="21">
        <f>IF(OR($J70="",$F70="不适用"),"",IFERROR(INDEX(_怪物模型!$F$2:$F$4501,MATCH(INT($J70)&amp;"|"&amp;$F70,_怪物模型!$A$2:$A$4501,0))*IF($M70="",1,$M70),""))</f>
        <v>33403</v>
      </c>
      <c r="V70" s="22">
        <f t="shared" si="10"/>
        <v>0.581903384840514</v>
      </c>
      <c r="W70" s="23">
        <f t="shared" si="11"/>
        <v>1450906.26904167</v>
      </c>
      <c r="X70" s="23">
        <f t="shared" si="12"/>
        <v>0.707872860330001</v>
      </c>
      <c r="Y70" s="23">
        <f t="shared" si="13"/>
        <v>37.1158104874765</v>
      </c>
      <c r="Z70" s="24" t="str">
        <f t="shared" si="14"/>
        <v/>
      </c>
      <c r="AA70" s="6" t="str">
        <f t="shared" si="15"/>
        <v>已计算</v>
      </c>
      <c r="AB70" s="6" t="str">
        <f t="shared" si="16"/>
        <v>有效</v>
      </c>
      <c r="AC70" s="6" t="str">
        <f t="shared" si="17"/>
        <v/>
      </c>
      <c r="AD70" s="7" t="s">
        <v>922</v>
      </c>
    </row>
    <row r="71" ht="25" customHeight="1" spans="1:30">
      <c r="A71" s="6" t="s">
        <v>145</v>
      </c>
      <c r="B71" s="6" t="s">
        <v>59</v>
      </c>
      <c r="C71" s="7" t="s">
        <v>723</v>
      </c>
      <c r="D71" s="7" t="s">
        <v>923</v>
      </c>
      <c r="E71" s="7" t="s">
        <v>924</v>
      </c>
      <c r="F71" s="6" t="s">
        <v>149</v>
      </c>
      <c r="G71" s="16">
        <v>184</v>
      </c>
      <c r="H71" s="17"/>
      <c r="I71" s="18">
        <f t="shared" si="9"/>
        <v>184</v>
      </c>
      <c r="J71" s="19">
        <v>332</v>
      </c>
      <c r="K71" s="20"/>
      <c r="L71" s="20"/>
      <c r="M71" s="20"/>
      <c r="N71" s="20"/>
      <c r="O71" s="20"/>
      <c r="P71" s="20"/>
      <c r="Q71" s="21">
        <f>IF($I71="","",IFERROR(INDEX(_玩家曲线!$H$2:$H$286,MATCH($I71,_玩家曲线!$A$2:$A$286,0)),""))</f>
        <v>2077473.76814632</v>
      </c>
      <c r="R71" s="21">
        <f>IF($I71="","",IFERROR(INDEX(_玩家曲线!$I$2:$I$286,MATCH($I71,_玩家曲线!$A$2:$A$286,0)),""))</f>
        <v>2604540.9252916</v>
      </c>
      <c r="S71" s="21">
        <f>IF(OR($J71="",$F71="不适用"),"",IFERROR(INDEX(_怪物模型!$D$2:$D$4501,MATCH(INT($J71)&amp;"|"&amp;$F71,_怪物模型!$A$2:$A$4501,0))*IF($K71="",1,$K71),""))</f>
        <v>617388</v>
      </c>
      <c r="T71" s="21">
        <f>IF(OR($J71="",$F71="不适用"),"",IFERROR(INDEX(_怪物模型!$E$2:$E$4501,MATCH(INT($J71)&amp;"|"&amp;$F71,_怪物模型!$A$2:$A$4501,0))*IF($L71="",1,$L71),""))</f>
        <v>70511</v>
      </c>
      <c r="U71" s="21">
        <f>IF(OR($J71="",$F71="不适用"),"",IFERROR(INDEX(_怪物模型!$F$2:$F$4501,MATCH(INT($J71)&amp;"|"&amp;$F71,_怪物模型!$A$2:$A$4501,0))*IF($M71="",1,$M71),""))</f>
        <v>33667</v>
      </c>
      <c r="V71" s="22">
        <f t="shared" si="10"/>
        <v>0.583817434581303</v>
      </c>
      <c r="W71" s="23">
        <f t="shared" si="11"/>
        <v>1483454.7415</v>
      </c>
      <c r="X71" s="23">
        <f t="shared" si="12"/>
        <v>0.714066653570144</v>
      </c>
      <c r="Y71" s="23">
        <f t="shared" si="13"/>
        <v>36.9380795236431</v>
      </c>
      <c r="Z71" s="24" t="str">
        <f t="shared" si="14"/>
        <v/>
      </c>
      <c r="AA71" s="6" t="str">
        <f t="shared" si="15"/>
        <v>已计算</v>
      </c>
      <c r="AB71" s="6" t="str">
        <f t="shared" si="16"/>
        <v>有效</v>
      </c>
      <c r="AC71" s="6" t="str">
        <f t="shared" si="17"/>
        <v/>
      </c>
      <c r="AD71" s="7" t="s">
        <v>925</v>
      </c>
    </row>
    <row r="72" ht="25" customHeight="1" spans="1:30">
      <c r="A72" s="6" t="s">
        <v>145</v>
      </c>
      <c r="B72" s="6" t="s">
        <v>59</v>
      </c>
      <c r="C72" s="7" t="s">
        <v>723</v>
      </c>
      <c r="D72" s="7" t="s">
        <v>926</v>
      </c>
      <c r="E72" s="7" t="s">
        <v>927</v>
      </c>
      <c r="F72" s="6" t="s">
        <v>149</v>
      </c>
      <c r="G72" s="16">
        <v>187</v>
      </c>
      <c r="H72" s="17"/>
      <c r="I72" s="18">
        <f t="shared" si="9"/>
        <v>187</v>
      </c>
      <c r="J72" s="19">
        <v>333</v>
      </c>
      <c r="K72" s="20"/>
      <c r="L72" s="20"/>
      <c r="M72" s="20"/>
      <c r="N72" s="20"/>
      <c r="O72" s="20"/>
      <c r="P72" s="20"/>
      <c r="Q72" s="21">
        <f>IF($I72="","",IFERROR(INDEX(_玩家曲线!$H$2:$H$286,MATCH($I72,_玩家曲线!$A$2:$A$286,0)),""))</f>
        <v>2103958.72688207</v>
      </c>
      <c r="R72" s="21">
        <f>IF($I72="","",IFERROR(INDEX(_玩家曲线!$I$2:$I$286,MATCH($I72,_玩家曲线!$A$2:$A$286,0)),""))</f>
        <v>2628053.77443296</v>
      </c>
      <c r="S72" s="21">
        <f>IF(OR($J72="",$F72="不适用"),"",IFERROR(INDEX(_怪物模型!$D$2:$D$4501,MATCH(INT($J72)&amp;"|"&amp;$F72,_怪物模型!$A$2:$A$4501,0))*IF($K72="",1,$K72),""))</f>
        <v>622828</v>
      </c>
      <c r="T72" s="21">
        <f>IF(OR($J72="",$F72="不适用"),"",IFERROR(INDEX(_怪物模型!$E$2:$E$4501,MATCH(INT($J72)&amp;"|"&amp;$F72,_怪物模型!$A$2:$A$4501,0))*IF($L72="",1,$L72),""))</f>
        <v>71018</v>
      </c>
      <c r="U72" s="21">
        <f>IF(OR($J72="",$F72="不适用"),"",IFERROR(INDEX(_怪物模型!$F$2:$F$4501,MATCH(INT($J72)&amp;"|"&amp;$F72,_怪物模型!$A$2:$A$4501,0))*IF($M72="",1,$M72),""))</f>
        <v>33799</v>
      </c>
      <c r="V72" s="22">
        <f t="shared" si="10"/>
        <v>0.584767902558868</v>
      </c>
      <c r="W72" s="23">
        <f t="shared" si="11"/>
        <v>1499951.48216667</v>
      </c>
      <c r="X72" s="23">
        <f t="shared" si="12"/>
        <v>0.712918681817251</v>
      </c>
      <c r="Y72" s="23">
        <f t="shared" si="13"/>
        <v>37.0054602274488</v>
      </c>
      <c r="Z72" s="24" t="str">
        <f t="shared" si="14"/>
        <v/>
      </c>
      <c r="AA72" s="6" t="str">
        <f t="shared" si="15"/>
        <v>已计算</v>
      </c>
      <c r="AB72" s="6" t="str">
        <f t="shared" si="16"/>
        <v>有效</v>
      </c>
      <c r="AC72" s="6" t="str">
        <f t="shared" si="17"/>
        <v/>
      </c>
      <c r="AD72" s="7" t="s">
        <v>928</v>
      </c>
    </row>
    <row r="73" ht="25" customHeight="1" spans="1:30">
      <c r="A73" s="6" t="s">
        <v>145</v>
      </c>
      <c r="B73" s="6" t="s">
        <v>59</v>
      </c>
      <c r="C73" s="7" t="s">
        <v>723</v>
      </c>
      <c r="D73" s="7" t="s">
        <v>929</v>
      </c>
      <c r="E73" s="7" t="s">
        <v>930</v>
      </c>
      <c r="F73" s="6" t="s">
        <v>149</v>
      </c>
      <c r="G73" s="16">
        <v>190</v>
      </c>
      <c r="H73" s="17"/>
      <c r="I73" s="18">
        <f t="shared" si="9"/>
        <v>190</v>
      </c>
      <c r="J73" s="19">
        <v>335</v>
      </c>
      <c r="K73" s="20"/>
      <c r="L73" s="20"/>
      <c r="M73" s="20"/>
      <c r="N73" s="20"/>
      <c r="O73" s="20"/>
      <c r="P73" s="20"/>
      <c r="Q73" s="21">
        <f>IF($I73="","",IFERROR(INDEX(_玩家曲线!$H$2:$H$286,MATCH($I73,_玩家曲线!$A$2:$A$286,0)),""))</f>
        <v>2129172.68589918</v>
      </c>
      <c r="R73" s="21">
        <f>IF($I73="","",IFERROR(INDEX(_玩家曲线!$I$2:$I$286,MATCH($I73,_玩家曲线!$A$2:$A$286,0)),""))</f>
        <v>2650366.7337846</v>
      </c>
      <c r="S73" s="21">
        <f>IF(OR($J73="",$F73="不适用"),"",IFERROR(INDEX(_怪物模型!$D$2:$D$4501,MATCH(INT($J73)&amp;"|"&amp;$F73,_怪物模型!$A$2:$A$4501,0))*IF($K73="",1,$K73),""))</f>
        <v>633820</v>
      </c>
      <c r="T73" s="21">
        <f>IF(OR($J73="",$F73="不适用"),"",IFERROR(INDEX(_怪物模型!$E$2:$E$4501,MATCH(INT($J73)&amp;"|"&amp;$F73,_怪物模型!$A$2:$A$4501,0))*IF($L73="",1,$L73),""))</f>
        <v>72038</v>
      </c>
      <c r="U73" s="21">
        <f>IF(OR($J73="",$F73="不适用"),"",IFERROR(INDEX(_怪物模型!$F$2:$F$4501,MATCH(INT($J73)&amp;"|"&amp;$F73,_怪物模型!$A$2:$A$4501,0))*IF($M73="",1,$M73),""))</f>
        <v>34063</v>
      </c>
      <c r="V73" s="22">
        <f t="shared" si="10"/>
        <v>0.58665587379226</v>
      </c>
      <c r="W73" s="23">
        <f t="shared" si="11"/>
        <v>1533395.44416667</v>
      </c>
      <c r="X73" s="23">
        <f t="shared" si="12"/>
        <v>0.72018369121577</v>
      </c>
      <c r="Y73" s="23">
        <f t="shared" si="13"/>
        <v>36.7912314859463</v>
      </c>
      <c r="Z73" s="24" t="str">
        <f t="shared" si="14"/>
        <v/>
      </c>
      <c r="AA73" s="6" t="str">
        <f t="shared" si="15"/>
        <v>已计算</v>
      </c>
      <c r="AB73" s="6" t="str">
        <f t="shared" si="16"/>
        <v>有效</v>
      </c>
      <c r="AC73" s="6" t="str">
        <f t="shared" si="17"/>
        <v/>
      </c>
      <c r="AD73" s="7" t="s">
        <v>931</v>
      </c>
    </row>
    <row r="74" ht="25" customHeight="1" spans="1:30">
      <c r="A74" s="6" t="s">
        <v>145</v>
      </c>
      <c r="B74" s="6" t="s">
        <v>59</v>
      </c>
      <c r="C74" s="7" t="s">
        <v>723</v>
      </c>
      <c r="D74" s="7" t="s">
        <v>932</v>
      </c>
      <c r="E74" s="7" t="s">
        <v>933</v>
      </c>
      <c r="F74" s="6" t="s">
        <v>159</v>
      </c>
      <c r="G74" s="16">
        <v>192</v>
      </c>
      <c r="H74" s="17"/>
      <c r="I74" s="18">
        <f t="shared" si="9"/>
        <v>192</v>
      </c>
      <c r="J74" s="19">
        <v>337</v>
      </c>
      <c r="K74" s="20"/>
      <c r="L74" s="20"/>
      <c r="M74" s="20"/>
      <c r="N74" s="20"/>
      <c r="O74" s="20"/>
      <c r="P74" s="20"/>
      <c r="Q74" s="21">
        <f>IF($I74="","",IFERROR(INDEX(_玩家曲线!$H$2:$H$286,MATCH($I74,_玩家曲线!$A$2:$A$286,0)),""))</f>
        <v>2145299.23147808</v>
      </c>
      <c r="R74" s="21">
        <f>IF($I74="","",IFERROR(INDEX(_玩家曲线!$I$2:$I$286,MATCH($I74,_玩家曲线!$A$2:$A$286,0)),""))</f>
        <v>2664602.6512679</v>
      </c>
      <c r="S74" s="21">
        <f>IF(OR($J74="",$F74="不适用"),"",IFERROR(INDEX(_怪物模型!$D$2:$D$4501,MATCH(INT($J74)&amp;"|"&amp;$F74,_怪物模型!$A$2:$A$4501,0))*IF($K74="",1,$K74),""))</f>
        <v>75552843</v>
      </c>
      <c r="T74" s="21">
        <f>IF(OR($J74="",$F74="不适用"),"",IFERROR(INDEX(_怪物模型!$E$2:$E$4501,MATCH(INT($J74)&amp;"|"&amp;$F74,_怪物模型!$A$2:$A$4501,0))*IF($L74="",1,$L74),""))</f>
        <v>73070</v>
      </c>
      <c r="U74" s="21">
        <f>IF(OR($J74="",$F74="不适用"),"",IFERROR(INDEX(_怪物模型!$F$2:$F$4501,MATCH(INT($J74)&amp;"|"&amp;$F74,_怪物模型!$A$2:$A$4501,0))*IF($M74="",1,$M74),""))</f>
        <v>34329</v>
      </c>
      <c r="V74" s="22">
        <f t="shared" si="10"/>
        <v>0.58854086303554</v>
      </c>
      <c r="W74" s="23">
        <f t="shared" si="11"/>
        <v>183621740.806125</v>
      </c>
      <c r="X74" s="23">
        <f t="shared" si="12"/>
        <v>85.5926008418006</v>
      </c>
      <c r="Y74" s="23">
        <f t="shared" si="13"/>
        <v>36.4664383641426</v>
      </c>
      <c r="Z74" s="24" t="str">
        <f t="shared" si="14"/>
        <v/>
      </c>
      <c r="AA74" s="6" t="str">
        <f t="shared" si="15"/>
        <v>已计算</v>
      </c>
      <c r="AB74" s="6" t="str">
        <f t="shared" si="16"/>
        <v>有效</v>
      </c>
      <c r="AC74" s="6" t="str">
        <f t="shared" si="17"/>
        <v/>
      </c>
      <c r="AD74" s="7" t="s">
        <v>934</v>
      </c>
    </row>
    <row r="75" ht="25" customHeight="1" spans="1:30">
      <c r="A75" s="6" t="s">
        <v>145</v>
      </c>
      <c r="B75" s="6" t="s">
        <v>59</v>
      </c>
      <c r="C75" s="7" t="s">
        <v>723</v>
      </c>
      <c r="D75" s="7" t="s">
        <v>935</v>
      </c>
      <c r="E75" s="7" t="s">
        <v>936</v>
      </c>
      <c r="F75" s="6" t="s">
        <v>149</v>
      </c>
      <c r="G75" s="16">
        <v>195</v>
      </c>
      <c r="H75" s="17"/>
      <c r="I75" s="18">
        <f t="shared" si="9"/>
        <v>195</v>
      </c>
      <c r="J75" s="19">
        <v>337</v>
      </c>
      <c r="K75" s="20"/>
      <c r="L75" s="20"/>
      <c r="M75" s="20"/>
      <c r="N75" s="20"/>
      <c r="O75" s="20"/>
      <c r="P75" s="20"/>
      <c r="Q75" s="21">
        <f>IF($I75="","",IFERROR(INDEX(_玩家曲线!$H$2:$H$286,MATCH($I75,_玩家曲线!$A$2:$A$286,0)),""))</f>
        <v>2168499.88872852</v>
      </c>
      <c r="R75" s="21">
        <f>IF($I75="","",IFERROR(INDEX(_玩家曲线!$I$2:$I$286,MATCH($I75,_玩家曲线!$A$2:$A$286,0)),""))</f>
        <v>2685037.08118555</v>
      </c>
      <c r="S75" s="21">
        <f>IF(OR($J75="",$F75="不适用"),"",IFERROR(INDEX(_怪物模型!$D$2:$D$4501,MATCH(INT($J75)&amp;"|"&amp;$F75,_怪物模型!$A$2:$A$4501,0))*IF($K75="",1,$K75),""))</f>
        <v>644963</v>
      </c>
      <c r="T75" s="21">
        <f>IF(OR($J75="",$F75="不适用"),"",IFERROR(INDEX(_怪物模型!$E$2:$E$4501,MATCH(INT($J75)&amp;"|"&amp;$F75,_怪物模型!$A$2:$A$4501,0))*IF($L75="",1,$L75),""))</f>
        <v>73070</v>
      </c>
      <c r="U75" s="21">
        <f>IF(OR($J75="",$F75="不适用"),"",IFERROR(INDEX(_怪物模型!$F$2:$F$4501,MATCH(INT($J75)&amp;"|"&amp;$F75,_怪物模型!$A$2:$A$4501,0))*IF($M75="",1,$M75),""))</f>
        <v>34329</v>
      </c>
      <c r="V75" s="22">
        <f t="shared" si="10"/>
        <v>0.58854086303554</v>
      </c>
      <c r="W75" s="23">
        <f t="shared" si="11"/>
        <v>1567501.951125</v>
      </c>
      <c r="X75" s="23">
        <f t="shared" si="12"/>
        <v>0.72285083309093</v>
      </c>
      <c r="Y75" s="23">
        <f t="shared" si="13"/>
        <v>36.7460938988032</v>
      </c>
      <c r="Z75" s="24" t="str">
        <f t="shared" si="14"/>
        <v/>
      </c>
      <c r="AA75" s="6" t="str">
        <f t="shared" si="15"/>
        <v>已计算</v>
      </c>
      <c r="AB75" s="6" t="str">
        <f t="shared" si="16"/>
        <v>有效</v>
      </c>
      <c r="AC75" s="6" t="str">
        <f t="shared" si="17"/>
        <v/>
      </c>
      <c r="AD75" s="7" t="s">
        <v>937</v>
      </c>
    </row>
    <row r="76" ht="25" customHeight="1" spans="1:30">
      <c r="A76" s="6" t="s">
        <v>145</v>
      </c>
      <c r="B76" s="6" t="s">
        <v>59</v>
      </c>
      <c r="C76" s="7" t="s">
        <v>723</v>
      </c>
      <c r="D76" s="7" t="s">
        <v>938</v>
      </c>
      <c r="E76" s="7" t="s">
        <v>939</v>
      </c>
      <c r="F76" s="6" t="s">
        <v>149</v>
      </c>
      <c r="G76" s="16">
        <v>198</v>
      </c>
      <c r="H76" s="17"/>
      <c r="I76" s="18">
        <f t="shared" si="9"/>
        <v>198</v>
      </c>
      <c r="J76" s="19">
        <v>338</v>
      </c>
      <c r="K76" s="20"/>
      <c r="L76" s="20"/>
      <c r="M76" s="20"/>
      <c r="N76" s="20"/>
      <c r="O76" s="20"/>
      <c r="P76" s="20"/>
      <c r="Q76" s="21">
        <f>IF($I76="","",IFERROR(INDEX(_玩家曲线!$H$2:$H$286,MATCH($I76,_玩家曲线!$A$2:$A$286,0)),""))</f>
        <v>2190555.28046801</v>
      </c>
      <c r="R76" s="21">
        <f>IF($I76="","",IFERROR(INDEX(_玩家曲线!$I$2:$I$286,MATCH($I76,_玩家曲线!$A$2:$A$286,0)),""))</f>
        <v>2704414.2791163</v>
      </c>
      <c r="S76" s="21">
        <f>IF(OR($J76="",$F76="不适用"),"",IFERROR(INDEX(_怪物模型!$D$2:$D$4501,MATCH(INT($J76)&amp;"|"&amp;$F76,_怪物模型!$A$2:$A$4501,0))*IF($K76="",1,$K76),""))</f>
        <v>650591</v>
      </c>
      <c r="T76" s="21">
        <f>IF(OR($J76="",$F76="不适用"),"",IFERROR(INDEX(_怪物模型!$E$2:$E$4501,MATCH(INT($J76)&amp;"|"&amp;$F76,_怪物模型!$A$2:$A$4501,0))*IF($L76="",1,$L76),""))</f>
        <v>73589</v>
      </c>
      <c r="U76" s="21">
        <f>IF(OR($J76="",$F76="不适用"),"",IFERROR(INDEX(_怪物模型!$F$2:$F$4501,MATCH(INT($J76)&amp;"|"&amp;$F76,_怪物模型!$A$2:$A$4501,0))*IF($M76="",1,$M76),""))</f>
        <v>34462</v>
      </c>
      <c r="V76" s="22">
        <f t="shared" si="10"/>
        <v>0.58947692518217</v>
      </c>
      <c r="W76" s="23">
        <f t="shared" si="11"/>
        <v>1584785.46008333</v>
      </c>
      <c r="X76" s="23">
        <f t="shared" si="12"/>
        <v>0.723462892817179</v>
      </c>
      <c r="Y76" s="23">
        <f t="shared" si="13"/>
        <v>36.7502517919295</v>
      </c>
      <c r="Z76" s="24" t="str">
        <f t="shared" si="14"/>
        <v/>
      </c>
      <c r="AA76" s="6" t="str">
        <f t="shared" si="15"/>
        <v>已计算</v>
      </c>
      <c r="AB76" s="6" t="str">
        <f t="shared" si="16"/>
        <v>有效</v>
      </c>
      <c r="AC76" s="6" t="str">
        <f t="shared" si="17"/>
        <v/>
      </c>
      <c r="AD76" s="7" t="s">
        <v>940</v>
      </c>
    </row>
    <row r="77" ht="25" customHeight="1" spans="1:30">
      <c r="A77" s="6" t="s">
        <v>145</v>
      </c>
      <c r="B77" s="6" t="s">
        <v>59</v>
      </c>
      <c r="C77" s="7" t="s">
        <v>723</v>
      </c>
      <c r="D77" s="7" t="s">
        <v>941</v>
      </c>
      <c r="E77" s="7" t="s">
        <v>942</v>
      </c>
      <c r="F77" s="6" t="s">
        <v>149</v>
      </c>
      <c r="G77" s="16">
        <v>201</v>
      </c>
      <c r="H77" s="17"/>
      <c r="I77" s="18">
        <f t="shared" si="9"/>
        <v>201</v>
      </c>
      <c r="J77" s="19">
        <v>340</v>
      </c>
      <c r="K77" s="20"/>
      <c r="L77" s="20"/>
      <c r="M77" s="20"/>
      <c r="N77" s="20"/>
      <c r="O77" s="20"/>
      <c r="P77" s="20"/>
      <c r="Q77" s="21">
        <f>IF($I77="","",IFERROR(INDEX(_玩家曲线!$H$2:$H$286,MATCH($I77,_玩家曲线!$A$2:$A$286,0)),""))</f>
        <v>2211511.88551925</v>
      </c>
      <c r="R77" s="21">
        <f>IF($I77="","",IFERROR(INDEX(_玩家曲线!$I$2:$I$286,MATCH($I77,_玩家曲线!$A$2:$A$286,0)),""))</f>
        <v>2722784.44340719</v>
      </c>
      <c r="S77" s="21">
        <f>IF(OR($J77="",$F77="不适用"),"",IFERROR(INDEX(_怪物模型!$D$2:$D$4501,MATCH(INT($J77)&amp;"|"&amp;$F77,_怪物模型!$A$2:$A$4501,0))*IF($K77="",1,$K77),""))</f>
        <v>661962</v>
      </c>
      <c r="T77" s="21">
        <f>IF(OR($J77="",$F77="不适用"),"",IFERROR(INDEX(_怪物模型!$E$2:$E$4501,MATCH(INT($J77)&amp;"|"&amp;$F77,_怪物模型!$A$2:$A$4501,0))*IF($L77="",1,$L77),""))</f>
        <v>74637</v>
      </c>
      <c r="U77" s="21">
        <f>IF(OR($J77="",$F77="不适用"),"",IFERROR(INDEX(_怪物模型!$F$2:$F$4501,MATCH(INT($J77)&amp;"|"&amp;$F77,_怪物模型!$A$2:$A$4501,0))*IF($M77="",1,$M77),""))</f>
        <v>34728</v>
      </c>
      <c r="V77" s="22">
        <f t="shared" si="10"/>
        <v>0.591336330200245</v>
      </c>
      <c r="W77" s="23">
        <f t="shared" si="11"/>
        <v>1619821.014</v>
      </c>
      <c r="X77" s="23">
        <f t="shared" si="12"/>
        <v>0.732449608164632</v>
      </c>
      <c r="Y77" s="23">
        <f t="shared" si="13"/>
        <v>36.4803575091066</v>
      </c>
      <c r="Z77" s="24" t="str">
        <f t="shared" si="14"/>
        <v/>
      </c>
      <c r="AA77" s="6" t="str">
        <f t="shared" si="15"/>
        <v>已计算</v>
      </c>
      <c r="AB77" s="6" t="str">
        <f t="shared" si="16"/>
        <v>有效</v>
      </c>
      <c r="AC77" s="6" t="str">
        <f t="shared" si="17"/>
        <v/>
      </c>
      <c r="AD77" s="7" t="s">
        <v>943</v>
      </c>
    </row>
    <row r="78" ht="25" customHeight="1" spans="1:30">
      <c r="A78" s="6" t="s">
        <v>145</v>
      </c>
      <c r="B78" s="6" t="s">
        <v>59</v>
      </c>
      <c r="C78" s="7" t="s">
        <v>723</v>
      </c>
      <c r="D78" s="7" t="s">
        <v>944</v>
      </c>
      <c r="E78" s="7" t="s">
        <v>945</v>
      </c>
      <c r="F78" s="6" t="s">
        <v>149</v>
      </c>
      <c r="G78" s="16">
        <v>204</v>
      </c>
      <c r="H78" s="17"/>
      <c r="I78" s="18">
        <f t="shared" si="9"/>
        <v>204</v>
      </c>
      <c r="J78" s="19">
        <v>341</v>
      </c>
      <c r="K78" s="20"/>
      <c r="L78" s="20"/>
      <c r="M78" s="20"/>
      <c r="N78" s="20"/>
      <c r="O78" s="20"/>
      <c r="P78" s="20"/>
      <c r="Q78" s="21">
        <f>IF($I78="","",IFERROR(INDEX(_玩家曲线!$H$2:$H$286,MATCH($I78,_玩家曲线!$A$2:$A$286,0)),""))</f>
        <v>2231415.5014453</v>
      </c>
      <c r="R78" s="21">
        <f>IF($I78="","",IFERROR(INDEX(_玩家曲线!$I$2:$I$286,MATCH($I78,_玩家曲线!$A$2:$A$286,0)),""))</f>
        <v>2740195.93861316</v>
      </c>
      <c r="S78" s="21">
        <f>IF(OR($J78="",$F78="不适用"),"",IFERROR(INDEX(_怪物模型!$D$2:$D$4501,MATCH(INT($J78)&amp;"|"&amp;$F78,_怪物模型!$A$2:$A$4501,0))*IF($K78="",1,$K78),""))</f>
        <v>667706</v>
      </c>
      <c r="T78" s="21">
        <f>IF(OR($J78="",$F78="不适用"),"",IFERROR(INDEX(_怪物模型!$E$2:$E$4501,MATCH(INT($J78)&amp;"|"&amp;$F78,_怪物模型!$A$2:$A$4501,0))*IF($L78="",1,$L78),""))</f>
        <v>75165</v>
      </c>
      <c r="U78" s="21">
        <f>IF(OR($J78="",$F78="不适用"),"",IFERROR(INDEX(_怪物模型!$F$2:$F$4501,MATCH(INT($J78)&amp;"|"&amp;$F78,_怪物模型!$A$2:$A$4501,0))*IF($M78="",1,$M78),""))</f>
        <v>34862</v>
      </c>
      <c r="V78" s="22">
        <f t="shared" si="10"/>
        <v>0.592266657605926</v>
      </c>
      <c r="W78" s="23">
        <f t="shared" si="11"/>
        <v>1637604.60716667</v>
      </c>
      <c r="X78" s="23">
        <f t="shared" si="12"/>
        <v>0.733886004693425</v>
      </c>
      <c r="Y78" s="23">
        <f t="shared" si="13"/>
        <v>36.4557432131066</v>
      </c>
      <c r="Z78" s="24" t="str">
        <f t="shared" si="14"/>
        <v/>
      </c>
      <c r="AA78" s="6" t="str">
        <f t="shared" si="15"/>
        <v>已计算</v>
      </c>
      <c r="AB78" s="6" t="str">
        <f t="shared" si="16"/>
        <v>有效</v>
      </c>
      <c r="AC78" s="6" t="str">
        <f t="shared" si="17"/>
        <v/>
      </c>
      <c r="AD78" s="7" t="s">
        <v>946</v>
      </c>
    </row>
    <row r="79" ht="25" customHeight="1" spans="1:30">
      <c r="A79" s="6" t="s">
        <v>145</v>
      </c>
      <c r="B79" s="6" t="s">
        <v>59</v>
      </c>
      <c r="C79" s="7" t="s">
        <v>723</v>
      </c>
      <c r="D79" s="7" t="s">
        <v>947</v>
      </c>
      <c r="E79" s="7" t="s">
        <v>948</v>
      </c>
      <c r="F79" s="6" t="s">
        <v>738</v>
      </c>
      <c r="G79" s="16">
        <v>206</v>
      </c>
      <c r="H79" s="17"/>
      <c r="I79" s="18">
        <f t="shared" si="9"/>
        <v>206</v>
      </c>
      <c r="J79" s="19">
        <v>342</v>
      </c>
      <c r="K79" s="20"/>
      <c r="L79" s="20"/>
      <c r="M79" s="20"/>
      <c r="N79" s="20"/>
      <c r="O79" s="20"/>
      <c r="P79" s="20"/>
      <c r="Q79" s="21">
        <f>IF($I79="","",IFERROR(INDEX(_玩家曲线!$H$2:$H$286,MATCH($I79,_玩家曲线!$A$2:$A$286,0)),""))</f>
        <v>2244121.82506112</v>
      </c>
      <c r="R79" s="21">
        <f>IF($I79="","",IFERROR(INDEX(_玩家曲线!$I$2:$I$286,MATCH($I79,_玩家曲线!$A$2:$A$286,0)),""))</f>
        <v>2751294.06038187</v>
      </c>
      <c r="S79" s="21">
        <f>IF(OR($J79="",$F79="不适用"),"",IFERROR(INDEX(_怪物模型!$D$2:$D$4501,MATCH(INT($J79)&amp;"|"&amp;$F79,_怪物模型!$A$2:$A$4501,0))*IF($K79="",1,$K79),""))</f>
        <v>2693952</v>
      </c>
      <c r="T79" s="21">
        <f>IF(OR($J79="",$F79="不适用"),"",IFERROR(INDEX(_怪物模型!$E$2:$E$4501,MATCH(INT($J79)&amp;"|"&amp;$F79,_怪物模型!$A$2:$A$4501,0))*IF($L79="",1,$L79),""))</f>
        <v>75695</v>
      </c>
      <c r="U79" s="21">
        <f>IF(OR($J79="",$F79="不适用"),"",IFERROR(INDEX(_怪物模型!$F$2:$F$4501,MATCH(INT($J79)&amp;"|"&amp;$F79,_怪物模型!$A$2:$A$4501,0))*IF($M79="",1,$M79),""))</f>
        <v>34996</v>
      </c>
      <c r="V79" s="22">
        <f t="shared" si="10"/>
        <v>0.593192758831107</v>
      </c>
      <c r="W79" s="23">
        <f t="shared" si="11"/>
        <v>6622183.008</v>
      </c>
      <c r="X79" s="23">
        <f t="shared" si="12"/>
        <v>2.95090174430242</v>
      </c>
      <c r="Y79" s="23">
        <f t="shared" si="13"/>
        <v>36.3471043051968</v>
      </c>
      <c r="Z79" s="24" t="str">
        <f t="shared" si="14"/>
        <v/>
      </c>
      <c r="AA79" s="6" t="str">
        <f t="shared" si="15"/>
        <v>已计算</v>
      </c>
      <c r="AB79" s="6" t="str">
        <f t="shared" si="16"/>
        <v>有效</v>
      </c>
      <c r="AC79" s="6" t="str">
        <f t="shared" si="17"/>
        <v/>
      </c>
      <c r="AD79" s="7" t="s">
        <v>949</v>
      </c>
    </row>
    <row r="80" ht="25" customHeight="1" spans="1:30">
      <c r="A80" s="6" t="s">
        <v>145</v>
      </c>
      <c r="B80" s="6" t="s">
        <v>59</v>
      </c>
      <c r="C80" s="7" t="s">
        <v>723</v>
      </c>
      <c r="D80" s="7" t="s">
        <v>950</v>
      </c>
      <c r="E80" s="7" t="s">
        <v>951</v>
      </c>
      <c r="F80" s="6" t="s">
        <v>149</v>
      </c>
      <c r="G80" s="16">
        <v>209</v>
      </c>
      <c r="H80" s="17"/>
      <c r="I80" s="18">
        <f t="shared" si="9"/>
        <v>209</v>
      </c>
      <c r="J80" s="19">
        <v>343</v>
      </c>
      <c r="K80" s="20"/>
      <c r="L80" s="20"/>
      <c r="M80" s="20"/>
      <c r="N80" s="20"/>
      <c r="O80" s="20"/>
      <c r="P80" s="20"/>
      <c r="Q80" s="21">
        <f>IF($I80="","",IFERROR(INDEX(_玩家曲线!$H$2:$H$286,MATCH($I80,_玩家曲线!$A$2:$A$286,0)),""))</f>
        <v>2262369.89202246</v>
      </c>
      <c r="R80" s="21">
        <f>IF($I80="","",IFERROR(INDEX(_玩家曲线!$I$2:$I$286,MATCH($I80,_玩家曲线!$A$2:$A$286,0)),""))</f>
        <v>2767210.26630832</v>
      </c>
      <c r="S80" s="21">
        <f>IF(OR($J80="",$F80="不适用"),"",IFERROR(INDEX(_怪物模型!$D$2:$D$4501,MATCH(INT($J80)&amp;"|"&amp;$F80,_怪物模型!$A$2:$A$4501,0))*IF($K80="",1,$K80),""))</f>
        <v>679309</v>
      </c>
      <c r="T80" s="21">
        <f>IF(OR($J80="",$F80="不适用"),"",IFERROR(INDEX(_怪物模型!$E$2:$E$4501,MATCH(INT($J80)&amp;"|"&amp;$F80,_怪物模型!$A$2:$A$4501,0))*IF($L80="",1,$L80),""))</f>
        <v>76228</v>
      </c>
      <c r="U80" s="21">
        <f>IF(OR($J80="",$F80="不适用"),"",IFERROR(INDEX(_怪物模型!$F$2:$F$4501,MATCH(INT($J80)&amp;"|"&amp;$F80,_怪物模型!$A$2:$A$4501,0))*IF($M80="",1,$M80),""))</f>
        <v>35130</v>
      </c>
      <c r="V80" s="22">
        <f t="shared" si="10"/>
        <v>0.594114662607813</v>
      </c>
      <c r="W80" s="23">
        <f t="shared" si="11"/>
        <v>1673647.54875</v>
      </c>
      <c r="X80" s="23">
        <f t="shared" si="12"/>
        <v>0.739776264991677</v>
      </c>
      <c r="Y80" s="23">
        <f t="shared" si="13"/>
        <v>36.3017561304025</v>
      </c>
      <c r="Z80" s="24" t="str">
        <f t="shared" si="14"/>
        <v/>
      </c>
      <c r="AA80" s="6" t="str">
        <f t="shared" si="15"/>
        <v>已计算</v>
      </c>
      <c r="AB80" s="6" t="str">
        <f t="shared" si="16"/>
        <v>有效</v>
      </c>
      <c r="AC80" s="6" t="str">
        <f t="shared" si="17"/>
        <v/>
      </c>
      <c r="AD80" s="7" t="s">
        <v>952</v>
      </c>
    </row>
    <row r="81" ht="25" customHeight="1" spans="1:30">
      <c r="A81" s="6" t="s">
        <v>145</v>
      </c>
      <c r="B81" s="6" t="s">
        <v>59</v>
      </c>
      <c r="C81" s="7" t="s">
        <v>723</v>
      </c>
      <c r="D81" s="7" t="s">
        <v>953</v>
      </c>
      <c r="E81" s="7" t="s">
        <v>954</v>
      </c>
      <c r="F81" s="6" t="s">
        <v>149</v>
      </c>
      <c r="G81" s="16">
        <v>212</v>
      </c>
      <c r="H81" s="17"/>
      <c r="I81" s="18">
        <f t="shared" si="9"/>
        <v>212</v>
      </c>
      <c r="J81" s="19">
        <v>345</v>
      </c>
      <c r="K81" s="20"/>
      <c r="L81" s="20"/>
      <c r="M81" s="20"/>
      <c r="N81" s="20"/>
      <c r="O81" s="20"/>
      <c r="P81" s="20"/>
      <c r="Q81" s="21">
        <f>IF($I81="","",IFERROR(INDEX(_玩家曲线!$H$2:$H$286,MATCH($I81,_玩家曲线!$A$2:$A$286,0)),""))</f>
        <v>2279682.64918956</v>
      </c>
      <c r="R81" s="21">
        <f>IF($I81="","",IFERROR(INDEX(_玩家曲线!$I$2:$I$286,MATCH($I81,_玩家曲线!$A$2:$A$286,0)),""))</f>
        <v>2782287.82474268</v>
      </c>
      <c r="S81" s="21">
        <f>IF(OR($J81="",$F81="不适用"),"",IFERROR(INDEX(_怪物模型!$D$2:$D$4501,MATCH(INT($J81)&amp;"|"&amp;$F81,_怪物模型!$A$2:$A$4501,0))*IF($K81="",1,$K81),""))</f>
        <v>691070</v>
      </c>
      <c r="T81" s="21">
        <f>IF(OR($J81="",$F81="不适用"),"",IFERROR(INDEX(_怪物模型!$E$2:$E$4501,MATCH(INT($J81)&amp;"|"&amp;$F81,_怪物模型!$A$2:$A$4501,0))*IF($L81="",1,$L81),""))</f>
        <v>77303</v>
      </c>
      <c r="U81" s="21">
        <f>IF(OR($J81="",$F81="不适用"),"",IFERROR(INDEX(_怪物模型!$F$2:$F$4501,MATCH(INT($J81)&amp;"|"&amp;$F81,_怪物模型!$A$2:$A$4501,0))*IF($M81="",1,$M81),""))</f>
        <v>35398</v>
      </c>
      <c r="V81" s="22">
        <f t="shared" si="10"/>
        <v>0.595945991447523</v>
      </c>
      <c r="W81" s="23">
        <f t="shared" si="11"/>
        <v>1710340.66083333</v>
      </c>
      <c r="X81" s="23">
        <f t="shared" si="12"/>
        <v>0.75025383969184</v>
      </c>
      <c r="Y81" s="23">
        <f t="shared" si="13"/>
        <v>35.9919773455452</v>
      </c>
      <c r="Z81" s="24" t="str">
        <f t="shared" si="14"/>
        <v/>
      </c>
      <c r="AA81" s="6" t="str">
        <f t="shared" si="15"/>
        <v>已计算</v>
      </c>
      <c r="AB81" s="6" t="str">
        <f t="shared" si="16"/>
        <v>有效</v>
      </c>
      <c r="AC81" s="6" t="str">
        <f t="shared" si="17"/>
        <v/>
      </c>
      <c r="AD81" s="7" t="s">
        <v>955</v>
      </c>
    </row>
    <row r="82" ht="25" customHeight="1" spans="1:30">
      <c r="A82" s="6" t="s">
        <v>145</v>
      </c>
      <c r="B82" s="6" t="s">
        <v>59</v>
      </c>
      <c r="C82" s="7" t="s">
        <v>723</v>
      </c>
      <c r="D82" s="7" t="s">
        <v>956</v>
      </c>
      <c r="E82" s="7" t="s">
        <v>957</v>
      </c>
      <c r="F82" s="6" t="s">
        <v>149</v>
      </c>
      <c r="G82" s="16">
        <v>215</v>
      </c>
      <c r="H82" s="17"/>
      <c r="I82" s="18">
        <f t="shared" si="9"/>
        <v>215</v>
      </c>
      <c r="J82" s="19">
        <v>346</v>
      </c>
      <c r="K82" s="20"/>
      <c r="L82" s="20"/>
      <c r="M82" s="20"/>
      <c r="N82" s="20"/>
      <c r="O82" s="20"/>
      <c r="P82" s="20"/>
      <c r="Q82" s="21">
        <f>IF($I82="","",IFERROR(INDEX(_玩家曲线!$H$2:$H$286,MATCH($I82,_玩家曲线!$A$2:$A$286,0)),""))</f>
        <v>2296102.2413329</v>
      </c>
      <c r="R82" s="21">
        <f>IF($I82="","",IFERROR(INDEX(_玩家曲线!$I$2:$I$286,MATCH($I82,_玩家曲线!$A$2:$A$286,0)),""))</f>
        <v>2796568.43343827</v>
      </c>
      <c r="S82" s="21">
        <f>IF(OR($J82="",$F82="不适用"),"",IFERROR(INDEX(_怪物模型!$D$2:$D$4501,MATCH(INT($J82)&amp;"|"&amp;$F82,_怪物模型!$A$2:$A$4501,0))*IF($K82="",1,$K82),""))</f>
        <v>697009</v>
      </c>
      <c r="T82" s="21">
        <f>IF(OR($J82="",$F82="不适用"),"",IFERROR(INDEX(_怪物模型!$E$2:$E$4501,MATCH(INT($J82)&amp;"|"&amp;$F82,_怪物模型!$A$2:$A$4501,0))*IF($L82="",1,$L82),""))</f>
        <v>77845</v>
      </c>
      <c r="U82" s="21">
        <f>IF(OR($J82="",$F82="不适用"),"",IFERROR(INDEX(_怪物模型!$F$2:$F$4501,MATCH(INT($J82)&amp;"|"&amp;$F82,_怪物模型!$A$2:$A$4501,0))*IF($M82="",1,$M82),""))</f>
        <v>35533</v>
      </c>
      <c r="V82" s="22">
        <f t="shared" si="10"/>
        <v>0.596862244469454</v>
      </c>
      <c r="W82" s="23">
        <f t="shared" si="11"/>
        <v>1728959.86654167</v>
      </c>
      <c r="X82" s="23">
        <f t="shared" si="12"/>
        <v>0.752997769619351</v>
      </c>
      <c r="Y82" s="23">
        <f t="shared" si="13"/>
        <v>35.9248305406676</v>
      </c>
      <c r="Z82" s="24" t="str">
        <f t="shared" si="14"/>
        <v/>
      </c>
      <c r="AA82" s="6" t="str">
        <f t="shared" si="15"/>
        <v>已计算</v>
      </c>
      <c r="AB82" s="6" t="str">
        <f t="shared" si="16"/>
        <v>有效</v>
      </c>
      <c r="AC82" s="6" t="str">
        <f t="shared" si="17"/>
        <v/>
      </c>
      <c r="AD82" s="7" t="s">
        <v>958</v>
      </c>
    </row>
    <row r="83" ht="25" customHeight="1" spans="1:30">
      <c r="A83" s="6" t="s">
        <v>145</v>
      </c>
      <c r="B83" s="6" t="s">
        <v>59</v>
      </c>
      <c r="C83" s="7" t="s">
        <v>723</v>
      </c>
      <c r="D83" s="7" t="s">
        <v>959</v>
      </c>
      <c r="E83" s="7" t="s">
        <v>960</v>
      </c>
      <c r="F83" s="6" t="s">
        <v>149</v>
      </c>
      <c r="G83" s="16">
        <v>218</v>
      </c>
      <c r="H83" s="17"/>
      <c r="I83" s="18">
        <f t="shared" si="9"/>
        <v>218</v>
      </c>
      <c r="J83" s="19">
        <v>347</v>
      </c>
      <c r="K83" s="20"/>
      <c r="L83" s="20"/>
      <c r="M83" s="20"/>
      <c r="N83" s="20"/>
      <c r="O83" s="20"/>
      <c r="P83" s="20"/>
      <c r="Q83" s="21">
        <f>IF($I83="","",IFERROR(INDEX(_玩家曲线!$H$2:$H$286,MATCH($I83,_玩家曲线!$A$2:$A$286,0)),""))</f>
        <v>2311669.60488019</v>
      </c>
      <c r="R83" s="21">
        <f>IF($I83="","",IFERROR(INDEX(_玩家曲线!$I$2:$I$286,MATCH($I83,_玩家曲线!$A$2:$A$286,0)),""))</f>
        <v>2810092.02720214</v>
      </c>
      <c r="S83" s="21">
        <f>IF(OR($J83="",$F83="不适用"),"",IFERROR(INDEX(_怪物模型!$D$2:$D$4501,MATCH(INT($J83)&amp;"|"&amp;$F83,_怪物模型!$A$2:$A$4501,0))*IF($K83="",1,$K83),""))</f>
        <v>702989</v>
      </c>
      <c r="T83" s="21">
        <f>IF(OR($J83="",$F83="不适用"),"",IFERROR(INDEX(_怪物模型!$E$2:$E$4501,MATCH(INT($J83)&amp;"|"&amp;$F83,_怪物模型!$A$2:$A$4501,0))*IF($L83="",1,$L83),""))</f>
        <v>78389</v>
      </c>
      <c r="U83" s="21">
        <f>IF(OR($J83="",$F83="不适用"),"",IFERROR(INDEX(_怪物模型!$F$2:$F$4501,MATCH(INT($J83)&amp;"|"&amp;$F83,_怪物模型!$A$2:$A$4501,0))*IF($M83="",1,$M83),""))</f>
        <v>35667</v>
      </c>
      <c r="V83" s="22">
        <f t="shared" si="10"/>
        <v>0.597767610236814</v>
      </c>
      <c r="W83" s="23">
        <f t="shared" si="11"/>
        <v>1747718.527625</v>
      </c>
      <c r="X83" s="23">
        <f t="shared" si="12"/>
        <v>0.756041660942971</v>
      </c>
      <c r="Y83" s="23">
        <f t="shared" si="13"/>
        <v>35.8480402505727</v>
      </c>
      <c r="Z83" s="24" t="str">
        <f t="shared" si="14"/>
        <v/>
      </c>
      <c r="AA83" s="6" t="str">
        <f t="shared" si="15"/>
        <v>已计算</v>
      </c>
      <c r="AB83" s="6" t="str">
        <f t="shared" si="16"/>
        <v>有效</v>
      </c>
      <c r="AC83" s="6" t="str">
        <f t="shared" si="17"/>
        <v/>
      </c>
      <c r="AD83" s="7" t="s">
        <v>961</v>
      </c>
    </row>
    <row r="84" ht="25" customHeight="1" spans="1:30">
      <c r="A84" s="6" t="s">
        <v>145</v>
      </c>
      <c r="B84" s="6" t="s">
        <v>59</v>
      </c>
      <c r="C84" s="7" t="s">
        <v>723</v>
      </c>
      <c r="D84" s="7" t="s">
        <v>962</v>
      </c>
      <c r="E84" s="7" t="s">
        <v>963</v>
      </c>
      <c r="F84" s="6" t="s">
        <v>159</v>
      </c>
      <c r="G84" s="16">
        <v>221</v>
      </c>
      <c r="H84" s="17"/>
      <c r="I84" s="18">
        <f t="shared" si="9"/>
        <v>221</v>
      </c>
      <c r="J84" s="19">
        <v>349</v>
      </c>
      <c r="K84" s="20"/>
      <c r="L84" s="20"/>
      <c r="M84" s="20"/>
      <c r="N84" s="20"/>
      <c r="O84" s="20"/>
      <c r="P84" s="20"/>
      <c r="Q84" s="21">
        <f>IF($I84="","",IFERROR(INDEX(_玩家曲线!$H$2:$H$286,MATCH($I84,_玩家曲线!$A$2:$A$286,0)),""))</f>
        <v>2326424.41294534</v>
      </c>
      <c r="R84" s="21">
        <f>IF($I84="","",IFERROR(INDEX(_玩家曲线!$I$2:$I$286,MATCH($I84,_玩家曲线!$A$2:$A$286,0)),""))</f>
        <v>2822896.81409415</v>
      </c>
      <c r="S84" s="21">
        <f>IF(OR($J84="",$F84="不适用"),"",IFERROR(INDEX(_怪物模型!$D$2:$D$4501,MATCH(INT($J84)&amp;"|"&amp;$F84,_怪物模型!$A$2:$A$4501,0))*IF($K84="",1,$K84),""))</f>
        <v>84412862</v>
      </c>
      <c r="T84" s="21">
        <f>IF(OR($J84="",$F84="不适用"),"",IFERROR(INDEX(_怪物模型!$E$2:$E$4501,MATCH(INT($J84)&amp;"|"&amp;$F84,_怪物模型!$A$2:$A$4501,0))*IF($L84="",1,$L84),""))</f>
        <v>79486</v>
      </c>
      <c r="U84" s="21">
        <f>IF(OR($J84="",$F84="不适用"),"",IFERROR(INDEX(_怪物模型!$F$2:$F$4501,MATCH(INT($J84)&amp;"|"&amp;$F84,_怪物模型!$A$2:$A$4501,0))*IF($M84="",1,$M84),""))</f>
        <v>35937</v>
      </c>
      <c r="V84" s="22">
        <f t="shared" si="10"/>
        <v>0.599579558536463</v>
      </c>
      <c r="W84" s="23">
        <f t="shared" si="11"/>
        <v>210810571.23725</v>
      </c>
      <c r="X84" s="23">
        <f t="shared" si="12"/>
        <v>90.6156976621286</v>
      </c>
      <c r="Y84" s="23">
        <f t="shared" si="13"/>
        <v>35.51439013278</v>
      </c>
      <c r="Z84" s="24" t="str">
        <f t="shared" si="14"/>
        <v/>
      </c>
      <c r="AA84" s="6" t="str">
        <f t="shared" si="15"/>
        <v>已计算</v>
      </c>
      <c r="AB84" s="6" t="str">
        <f t="shared" si="16"/>
        <v>有效</v>
      </c>
      <c r="AC84" s="6" t="str">
        <f t="shared" si="17"/>
        <v/>
      </c>
      <c r="AD84" s="7" t="s">
        <v>964</v>
      </c>
    </row>
    <row r="85" ht="25" customHeight="1" spans="1:30">
      <c r="A85" s="6" t="s">
        <v>145</v>
      </c>
      <c r="B85" s="6" t="s">
        <v>59</v>
      </c>
      <c r="C85" s="7" t="s">
        <v>723</v>
      </c>
      <c r="D85" s="7" t="s">
        <v>965</v>
      </c>
      <c r="E85" s="7" t="s">
        <v>966</v>
      </c>
      <c r="F85" s="6" t="s">
        <v>149</v>
      </c>
      <c r="G85" s="16">
        <v>224</v>
      </c>
      <c r="H85" s="17"/>
      <c r="I85" s="18">
        <f t="shared" si="9"/>
        <v>224</v>
      </c>
      <c r="J85" s="19">
        <v>350</v>
      </c>
      <c r="K85" s="20"/>
      <c r="L85" s="20"/>
      <c r="M85" s="20"/>
      <c r="N85" s="20"/>
      <c r="O85" s="20"/>
      <c r="P85" s="20"/>
      <c r="Q85" s="21">
        <f>IF($I85="","",IFERROR(INDEX(_玩家曲线!$H$2:$H$286,MATCH($I85,_玩家曲线!$A$2:$A$286,0)),""))</f>
        <v>2340405.03563019</v>
      </c>
      <c r="R85" s="21">
        <f>IF($I85="","",IFERROR(INDEX(_玩家曲线!$I$2:$I$286,MATCH($I85,_玩家曲线!$A$2:$A$286,0)),""))</f>
        <v>2835019.31629278</v>
      </c>
      <c r="S85" s="21">
        <f>IF(OR($J85="",$F85="不适用"),"",IFERROR(INDEX(_怪物模型!$D$2:$D$4501,MATCH(INT($J85)&amp;"|"&amp;$F85,_怪物模型!$A$2:$A$4501,0))*IF($K85="",1,$K85),""))</f>
        <v>721168</v>
      </c>
      <c r="T85" s="21">
        <f>IF(OR($J85="",$F85="不适用"),"",IFERROR(INDEX(_怪物模型!$E$2:$E$4501,MATCH(INT($J85)&amp;"|"&amp;$F85,_怪物模型!$A$2:$A$4501,0))*IF($L85="",1,$L85),""))</f>
        <v>80039</v>
      </c>
      <c r="U85" s="21">
        <f>IF(OR($J85="",$F85="不适用"),"",IFERROR(INDEX(_怪物模型!$F$2:$F$4501,MATCH(INT($J85)&amp;"|"&amp;$F85,_怪物模型!$A$2:$A$4501,0))*IF($M85="",1,$M85),""))</f>
        <v>36072</v>
      </c>
      <c r="V85" s="22">
        <f t="shared" si="10"/>
        <v>0.600479424690372</v>
      </c>
      <c r="W85" s="23">
        <f t="shared" si="11"/>
        <v>1805083.504</v>
      </c>
      <c r="X85" s="23">
        <f t="shared" si="12"/>
        <v>0.771269706106214</v>
      </c>
      <c r="Y85" s="23">
        <f t="shared" si="13"/>
        <v>35.4204739725981</v>
      </c>
      <c r="Z85" s="24" t="str">
        <f t="shared" si="14"/>
        <v/>
      </c>
      <c r="AA85" s="6" t="str">
        <f t="shared" si="15"/>
        <v>已计算</v>
      </c>
      <c r="AB85" s="6" t="str">
        <f t="shared" si="16"/>
        <v>有效</v>
      </c>
      <c r="AC85" s="6" t="str">
        <f t="shared" si="17"/>
        <v/>
      </c>
      <c r="AD85" s="7" t="s">
        <v>967</v>
      </c>
    </row>
    <row r="86" ht="25" customHeight="1" spans="1:30">
      <c r="A86" s="6" t="s">
        <v>145</v>
      </c>
      <c r="B86" s="6" t="s">
        <v>59</v>
      </c>
      <c r="C86" s="7" t="s">
        <v>723</v>
      </c>
      <c r="D86" s="7" t="s">
        <v>968</v>
      </c>
      <c r="E86" s="7" t="s">
        <v>969</v>
      </c>
      <c r="F86" s="6" t="s">
        <v>149</v>
      </c>
      <c r="G86" s="16">
        <v>226</v>
      </c>
      <c r="H86" s="17"/>
      <c r="I86" s="18">
        <f t="shared" si="9"/>
        <v>226</v>
      </c>
      <c r="J86" s="19">
        <v>351</v>
      </c>
      <c r="K86" s="20"/>
      <c r="L86" s="20"/>
      <c r="M86" s="20"/>
      <c r="N86" s="20"/>
      <c r="O86" s="20"/>
      <c r="P86" s="20"/>
      <c r="Q86" s="21">
        <f>IF($I86="","",IFERROR(INDEX(_玩家曲线!$H$2:$H$286,MATCH($I86,_玩家曲线!$A$2:$A$286,0)),""))</f>
        <v>2349313.69470218</v>
      </c>
      <c r="R86" s="21">
        <f>IF($I86="","",IFERROR(INDEX(_玩家曲线!$I$2:$I$286,MATCH($I86,_玩家曲线!$A$2:$A$286,0)),""))</f>
        <v>2842739.22862406</v>
      </c>
      <c r="S86" s="21">
        <f>IF(OR($J86="",$F86="不适用"),"",IFERROR(INDEX(_怪物模型!$D$2:$D$4501,MATCH(INT($J86)&amp;"|"&amp;$F86,_怪物模型!$A$2:$A$4501,0))*IF($K86="",1,$K86),""))</f>
        <v>727309</v>
      </c>
      <c r="T86" s="21">
        <f>IF(OR($J86="",$F86="不适用"),"",IFERROR(INDEX(_怪物模型!$E$2:$E$4501,MATCH(INT($J86)&amp;"|"&amp;$F86,_怪物模型!$A$2:$A$4501,0))*IF($L86="",1,$L86),""))</f>
        <v>80594</v>
      </c>
      <c r="U86" s="21">
        <f>IF(OR($J86="",$F86="不适用"),"",IFERROR(INDEX(_怪物模型!$F$2:$F$4501,MATCH(INT($J86)&amp;"|"&amp;$F86,_怪物模型!$A$2:$A$4501,0))*IF($M86="",1,$M86),""))</f>
        <v>36208</v>
      </c>
      <c r="V86" s="22">
        <f t="shared" si="10"/>
        <v>0.601381876162636</v>
      </c>
      <c r="W86" s="23">
        <f t="shared" si="11"/>
        <v>1824575.84466667</v>
      </c>
      <c r="X86" s="23">
        <f t="shared" si="12"/>
        <v>0.77664206733276</v>
      </c>
      <c r="Y86" s="23">
        <f t="shared" si="13"/>
        <v>35.2723432094704</v>
      </c>
      <c r="Z86" s="24" t="str">
        <f t="shared" si="14"/>
        <v/>
      </c>
      <c r="AA86" s="6" t="str">
        <f t="shared" si="15"/>
        <v>已计算</v>
      </c>
      <c r="AB86" s="6" t="str">
        <f t="shared" si="16"/>
        <v>有效</v>
      </c>
      <c r="AC86" s="6" t="str">
        <f t="shared" si="17"/>
        <v/>
      </c>
      <c r="AD86" s="7" t="s">
        <v>970</v>
      </c>
    </row>
    <row r="87" ht="25" customHeight="1" spans="1:30">
      <c r="A87" s="6" t="s">
        <v>145</v>
      </c>
      <c r="B87" s="6" t="s">
        <v>59</v>
      </c>
      <c r="C87" s="7" t="s">
        <v>723</v>
      </c>
      <c r="D87" s="7" t="s">
        <v>971</v>
      </c>
      <c r="E87" s="7" t="s">
        <v>972</v>
      </c>
      <c r="F87" s="6" t="s">
        <v>149</v>
      </c>
      <c r="G87" s="16">
        <v>229</v>
      </c>
      <c r="H87" s="17"/>
      <c r="I87" s="18">
        <f t="shared" si="9"/>
        <v>229</v>
      </c>
      <c r="J87" s="19">
        <v>352</v>
      </c>
      <c r="K87" s="20"/>
      <c r="L87" s="20"/>
      <c r="M87" s="20"/>
      <c r="N87" s="20"/>
      <c r="O87" s="20"/>
      <c r="P87" s="20"/>
      <c r="Q87" s="21">
        <f>IF($I87="","",IFERROR(INDEX(_玩家曲线!$H$2:$H$286,MATCH($I87,_玩家曲线!$A$2:$A$286,0)),""))</f>
        <v>2362085.65763781</v>
      </c>
      <c r="R87" s="21">
        <f>IF($I87="","",IFERROR(INDEX(_玩家曲线!$I$2:$I$286,MATCH($I87,_玩家曲线!$A$2:$A$286,0)),""))</f>
        <v>2853801.31361689</v>
      </c>
      <c r="S87" s="21">
        <f>IF(OR($J87="",$F87="不适用"),"",IFERROR(INDEX(_怪物模型!$D$2:$D$4501,MATCH(INT($J87)&amp;"|"&amp;$F87,_怪物模型!$A$2:$A$4501,0))*IF($K87="",1,$K87),""))</f>
        <v>733491</v>
      </c>
      <c r="T87" s="21">
        <f>IF(OR($J87="",$F87="不适用"),"",IFERROR(INDEX(_怪物模型!$E$2:$E$4501,MATCH(INT($J87)&amp;"|"&amp;$F87,_怪物模型!$A$2:$A$4501,0))*IF($L87="",1,$L87),""))</f>
        <v>81153</v>
      </c>
      <c r="U87" s="21">
        <f>IF(OR($J87="",$F87="不适用"),"",IFERROR(INDEX(_怪物模型!$F$2:$F$4501,MATCH(INT($J87)&amp;"|"&amp;$F87,_怪物模型!$A$2:$A$4501,0))*IF($M87="",1,$M87),""))</f>
        <v>36343</v>
      </c>
      <c r="V87" s="22">
        <f t="shared" si="10"/>
        <v>0.602273668859685</v>
      </c>
      <c r="W87" s="23">
        <f t="shared" si="11"/>
        <v>1844210.308875</v>
      </c>
      <c r="X87" s="23">
        <f t="shared" si="12"/>
        <v>0.780755051330057</v>
      </c>
      <c r="Y87" s="23">
        <f t="shared" si="13"/>
        <v>35.1656909001132</v>
      </c>
      <c r="Z87" s="24" t="str">
        <f t="shared" si="14"/>
        <v/>
      </c>
      <c r="AA87" s="6" t="str">
        <f t="shared" si="15"/>
        <v>已计算</v>
      </c>
      <c r="AB87" s="6" t="str">
        <f t="shared" si="16"/>
        <v>有效</v>
      </c>
      <c r="AC87" s="6" t="str">
        <f t="shared" si="17"/>
        <v/>
      </c>
      <c r="AD87" s="7" t="s">
        <v>973</v>
      </c>
    </row>
    <row r="88" ht="25" customHeight="1" spans="1:30">
      <c r="A88" s="6" t="s">
        <v>145</v>
      </c>
      <c r="B88" s="6" t="s">
        <v>59</v>
      </c>
      <c r="C88" s="7" t="s">
        <v>723</v>
      </c>
      <c r="D88" s="7" t="s">
        <v>974</v>
      </c>
      <c r="E88" s="7" t="s">
        <v>975</v>
      </c>
      <c r="F88" s="6" t="s">
        <v>149</v>
      </c>
      <c r="G88" s="16">
        <v>232</v>
      </c>
      <c r="H88" s="17"/>
      <c r="I88" s="18">
        <f t="shared" si="9"/>
        <v>232</v>
      </c>
      <c r="J88" s="19">
        <v>353</v>
      </c>
      <c r="K88" s="20"/>
      <c r="L88" s="20"/>
      <c r="M88" s="20"/>
      <c r="N88" s="20"/>
      <c r="O88" s="20"/>
      <c r="P88" s="20"/>
      <c r="Q88" s="21">
        <f>IF($I88="","",IFERROR(INDEX(_玩家曲线!$H$2:$H$286,MATCH($I88,_玩家曲线!$A$2:$A$286,0)),""))</f>
        <v>2374179.22063998</v>
      </c>
      <c r="R88" s="21">
        <f>IF($I88="","",IFERROR(INDEX(_玩家曲线!$I$2:$I$286,MATCH($I88,_玩家曲线!$A$2:$A$286,0)),""))</f>
        <v>2864270.6121366</v>
      </c>
      <c r="S88" s="21">
        <f>IF(OR($J88="",$F88="不适用"),"",IFERROR(INDEX(_怪物模型!$D$2:$D$4501,MATCH(INT($J88)&amp;"|"&amp;$F88,_怪物模型!$A$2:$A$4501,0))*IF($K88="",1,$K88),""))</f>
        <v>739713</v>
      </c>
      <c r="T88" s="21">
        <f>IF(OR($J88="",$F88="不适用"),"",IFERROR(INDEX(_怪物模型!$E$2:$E$4501,MATCH(INT($J88)&amp;"|"&amp;$F88,_怪物模型!$A$2:$A$4501,0))*IF($L88="",1,$L88),""))</f>
        <v>81714</v>
      </c>
      <c r="U88" s="21">
        <f>IF(OR($J88="",$F88="不适用"),"",IFERROR(INDEX(_怪物模型!$F$2:$F$4501,MATCH(INT($J88)&amp;"|"&amp;$F88,_怪物模型!$A$2:$A$4501,0))*IF($M88="",1,$M88),""))</f>
        <v>36479</v>
      </c>
      <c r="V88" s="22">
        <f t="shared" si="10"/>
        <v>0.603168041799633</v>
      </c>
      <c r="W88" s="23">
        <f t="shared" si="11"/>
        <v>1864045.938625</v>
      </c>
      <c r="X88" s="23">
        <f t="shared" si="12"/>
        <v>0.785132782908668</v>
      </c>
      <c r="Y88" s="23">
        <f t="shared" si="13"/>
        <v>35.0523852967252</v>
      </c>
      <c r="Z88" s="24" t="str">
        <f t="shared" si="14"/>
        <v/>
      </c>
      <c r="AA88" s="6" t="str">
        <f t="shared" si="15"/>
        <v>已计算</v>
      </c>
      <c r="AB88" s="6" t="str">
        <f t="shared" si="16"/>
        <v>有效</v>
      </c>
      <c r="AC88" s="6" t="str">
        <f t="shared" si="17"/>
        <v/>
      </c>
      <c r="AD88" s="7" t="s">
        <v>976</v>
      </c>
    </row>
    <row r="89" ht="25" customHeight="1" spans="1:30">
      <c r="A89" s="6" t="s">
        <v>145</v>
      </c>
      <c r="B89" s="6" t="s">
        <v>59</v>
      </c>
      <c r="C89" s="7" t="s">
        <v>723</v>
      </c>
      <c r="D89" s="7" t="s">
        <v>977</v>
      </c>
      <c r="E89" s="7" t="s">
        <v>978</v>
      </c>
      <c r="F89" s="6" t="s">
        <v>738</v>
      </c>
      <c r="G89" s="16">
        <v>235</v>
      </c>
      <c r="H89" s="17"/>
      <c r="I89" s="18">
        <f t="shared" si="9"/>
        <v>235</v>
      </c>
      <c r="J89" s="19">
        <v>354</v>
      </c>
      <c r="K89" s="20"/>
      <c r="L89" s="20"/>
      <c r="M89" s="20"/>
      <c r="N89" s="20"/>
      <c r="O89" s="20"/>
      <c r="P89" s="20"/>
      <c r="Q89" s="21">
        <f>IF($I89="","",IFERROR(INDEX(_玩家曲线!$H$2:$H$286,MATCH($I89,_玩家曲线!$A$2:$A$286,0)),""))</f>
        <v>2385627.83354173</v>
      </c>
      <c r="R89" s="21">
        <f>IF($I89="","",IFERROR(INDEX(_玩家曲线!$I$2:$I$286,MATCH($I89,_玩家曲线!$A$2:$A$286,0)),""))</f>
        <v>2874177.86583375</v>
      </c>
      <c r="S89" s="21">
        <f>IF(OR($J89="",$F89="不适用"),"",IFERROR(INDEX(_怪物模型!$D$2:$D$4501,MATCH(INT($J89)&amp;"|"&amp;$F89,_怪物模型!$A$2:$A$4501,0))*IF($K89="",1,$K89),""))</f>
        <v>2983908</v>
      </c>
      <c r="T89" s="21">
        <f>IF(OR($J89="",$F89="不适用"),"",IFERROR(INDEX(_怪物模型!$E$2:$E$4501,MATCH(INT($J89)&amp;"|"&amp;$F89,_怪物模型!$A$2:$A$4501,0))*IF($L89="",1,$L89),""))</f>
        <v>82278</v>
      </c>
      <c r="U89" s="21">
        <f>IF(OR($J89="",$F89="不适用"),"",IFERROR(INDEX(_怪物模型!$F$2:$F$4501,MATCH(INT($J89)&amp;"|"&amp;$F89,_怪物模型!$A$2:$A$4501,0))*IF($M89="",1,$M89),""))</f>
        <v>36615</v>
      </c>
      <c r="V89" s="22">
        <f t="shared" si="10"/>
        <v>0.604058401385796</v>
      </c>
      <c r="W89" s="23">
        <f t="shared" si="11"/>
        <v>7536232.6425</v>
      </c>
      <c r="X89" s="23">
        <f t="shared" si="12"/>
        <v>3.15901438461657</v>
      </c>
      <c r="Y89" s="23">
        <f t="shared" si="13"/>
        <v>34.9325198210184</v>
      </c>
      <c r="Z89" s="24" t="str">
        <f t="shared" si="14"/>
        <v/>
      </c>
      <c r="AA89" s="6" t="str">
        <f t="shared" si="15"/>
        <v>已计算</v>
      </c>
      <c r="AB89" s="6" t="str">
        <f t="shared" si="16"/>
        <v>有效</v>
      </c>
      <c r="AC89" s="6" t="str">
        <f t="shared" si="17"/>
        <v/>
      </c>
      <c r="AD89" s="7" t="s">
        <v>979</v>
      </c>
    </row>
    <row r="90" ht="25" customHeight="1" spans="1:30">
      <c r="A90" s="6" t="s">
        <v>145</v>
      </c>
      <c r="B90" s="6" t="s">
        <v>59</v>
      </c>
      <c r="C90" s="7" t="s">
        <v>723</v>
      </c>
      <c r="D90" s="7" t="s">
        <v>980</v>
      </c>
      <c r="E90" s="7" t="s">
        <v>981</v>
      </c>
      <c r="F90" s="6" t="s">
        <v>149</v>
      </c>
      <c r="G90" s="16">
        <v>238</v>
      </c>
      <c r="H90" s="17"/>
      <c r="I90" s="18">
        <f t="shared" si="9"/>
        <v>238</v>
      </c>
      <c r="J90" s="19">
        <v>355</v>
      </c>
      <c r="K90" s="20"/>
      <c r="L90" s="20"/>
      <c r="M90" s="20"/>
      <c r="N90" s="20"/>
      <c r="O90" s="20"/>
      <c r="P90" s="20"/>
      <c r="Q90" s="21">
        <f>IF($I90="","",IFERROR(INDEX(_玩家曲线!$H$2:$H$286,MATCH($I90,_玩家曲线!$A$2:$A$286,0)),""))</f>
        <v>2396463.60756103</v>
      </c>
      <c r="R90" s="21">
        <f>IF($I90="","",IFERROR(INDEX(_玩家曲线!$I$2:$I$286,MATCH($I90,_玩家曲线!$A$2:$A$286,0)),""))</f>
        <v>2883552.35794155</v>
      </c>
      <c r="S90" s="21">
        <f>IF(OR($J90="",$F90="不适用"),"",IFERROR(INDEX(_怪物模型!$D$2:$D$4501,MATCH(INT($J90)&amp;"|"&amp;$F90,_怪物模型!$A$2:$A$4501,0))*IF($K90="",1,$K90),""))</f>
        <v>752283</v>
      </c>
      <c r="T90" s="21">
        <f>IF(OR($J90="",$F90="不适用"),"",IFERROR(INDEX(_怪物模型!$E$2:$E$4501,MATCH(INT($J90)&amp;"|"&amp;$F90,_怪物模型!$A$2:$A$4501,0))*IF($L90="",1,$L90),""))</f>
        <v>82845</v>
      </c>
      <c r="U90" s="21">
        <f>IF(OR($J90="",$F90="不适用"),"",IFERROR(INDEX(_怪物模型!$F$2:$F$4501,MATCH(INT($J90)&amp;"|"&amp;$F90,_怪物模型!$A$2:$A$4501,0))*IF($M90="",1,$M90),""))</f>
        <v>36751</v>
      </c>
      <c r="V90" s="22">
        <f t="shared" si="10"/>
        <v>0.604944774571612</v>
      </c>
      <c r="W90" s="23">
        <f t="shared" si="11"/>
        <v>1904247.688875</v>
      </c>
      <c r="X90" s="23">
        <f t="shared" si="12"/>
        <v>0.794607388514872</v>
      </c>
      <c r="Y90" s="23">
        <f t="shared" si="13"/>
        <v>34.8065949416567</v>
      </c>
      <c r="Z90" s="24" t="str">
        <f t="shared" si="14"/>
        <v/>
      </c>
      <c r="AA90" s="6" t="str">
        <f t="shared" si="15"/>
        <v>已计算</v>
      </c>
      <c r="AB90" s="6" t="str">
        <f t="shared" si="16"/>
        <v>有效</v>
      </c>
      <c r="AC90" s="6" t="str">
        <f t="shared" si="17"/>
        <v/>
      </c>
      <c r="AD90" s="7" t="s">
        <v>982</v>
      </c>
    </row>
    <row r="91" ht="25" customHeight="1" spans="1:30">
      <c r="A91" s="6" t="s">
        <v>145</v>
      </c>
      <c r="B91" s="6" t="s">
        <v>59</v>
      </c>
      <c r="C91" s="7" t="s">
        <v>723</v>
      </c>
      <c r="D91" s="7" t="s">
        <v>983</v>
      </c>
      <c r="E91" s="7" t="s">
        <v>984</v>
      </c>
      <c r="F91" s="6" t="s">
        <v>149</v>
      </c>
      <c r="G91" s="16">
        <v>241</v>
      </c>
      <c r="H91" s="17"/>
      <c r="I91" s="18">
        <f t="shared" si="9"/>
        <v>241</v>
      </c>
      <c r="J91" s="19">
        <v>356</v>
      </c>
      <c r="K91" s="20"/>
      <c r="L91" s="20"/>
      <c r="M91" s="20"/>
      <c r="N91" s="20"/>
      <c r="O91" s="20"/>
      <c r="P91" s="20"/>
      <c r="Q91" s="21">
        <f>IF($I91="","",IFERROR(INDEX(_玩家曲线!$H$2:$H$286,MATCH($I91,_玩家曲线!$A$2:$A$286,0)),""))</f>
        <v>2406717.33056261</v>
      </c>
      <c r="R91" s="21">
        <f>IF($I91="","",IFERROR(INDEX(_玩家曲线!$I$2:$I$286,MATCH($I91,_玩家曲线!$A$2:$A$286,0)),""))</f>
        <v>2892421.96580114</v>
      </c>
      <c r="S91" s="21">
        <f>IF(OR($J91="",$F91="不适用"),"",IFERROR(INDEX(_怪物模型!$D$2:$D$4501,MATCH(INT($J91)&amp;"|"&amp;$F91,_怪物模型!$A$2:$A$4501,0))*IF($K91="",1,$K91),""))</f>
        <v>758630</v>
      </c>
      <c r="T91" s="21">
        <f>IF(OR($J91="",$F91="不适用"),"",IFERROR(INDEX(_怪物模型!$E$2:$E$4501,MATCH(INT($J91)&amp;"|"&amp;$F91,_怪物模型!$A$2:$A$4501,0))*IF($L91="",1,$L91),""))</f>
        <v>83415</v>
      </c>
      <c r="U91" s="21">
        <f>IF(OR($J91="",$F91="不适用"),"",IFERROR(INDEX(_怪物模型!$F$2:$F$4501,MATCH(INT($J91)&amp;"|"&amp;$F91,_怪物模型!$A$2:$A$4501,0))*IF($M91="",1,$M91),""))</f>
        <v>36887</v>
      </c>
      <c r="V91" s="22">
        <f t="shared" si="10"/>
        <v>0.605827188069703</v>
      </c>
      <c r="W91" s="23">
        <f t="shared" si="11"/>
        <v>1924612.70041667</v>
      </c>
      <c r="X91" s="23">
        <f t="shared" si="12"/>
        <v>0.799683733513797</v>
      </c>
      <c r="Y91" s="23">
        <f t="shared" si="13"/>
        <v>34.6750820092446</v>
      </c>
      <c r="Z91" s="24" t="str">
        <f t="shared" si="14"/>
        <v/>
      </c>
      <c r="AA91" s="6" t="str">
        <f t="shared" si="15"/>
        <v>已计算</v>
      </c>
      <c r="AB91" s="6" t="str">
        <f t="shared" si="16"/>
        <v>有效</v>
      </c>
      <c r="AC91" s="6" t="str">
        <f t="shared" si="17"/>
        <v/>
      </c>
      <c r="AD91" s="7" t="s">
        <v>985</v>
      </c>
    </row>
    <row r="92" ht="25" customHeight="1" spans="1:30">
      <c r="A92" s="6" t="s">
        <v>145</v>
      </c>
      <c r="B92" s="6" t="s">
        <v>59</v>
      </c>
      <c r="C92" s="7" t="s">
        <v>723</v>
      </c>
      <c r="D92" s="7" t="s">
        <v>986</v>
      </c>
      <c r="E92" s="7" t="s">
        <v>987</v>
      </c>
      <c r="F92" s="6" t="s">
        <v>149</v>
      </c>
      <c r="G92" s="16">
        <v>244</v>
      </c>
      <c r="H92" s="17"/>
      <c r="I92" s="18">
        <f t="shared" si="9"/>
        <v>244</v>
      </c>
      <c r="J92" s="19">
        <v>357</v>
      </c>
      <c r="K92" s="20"/>
      <c r="L92" s="20"/>
      <c r="M92" s="20"/>
      <c r="N92" s="20"/>
      <c r="O92" s="20"/>
      <c r="P92" s="20"/>
      <c r="Q92" s="21">
        <f>IF($I92="","",IFERROR(INDEX(_玩家曲线!$H$2:$H$286,MATCH($I92,_玩家曲线!$A$2:$A$286,0)),""))</f>
        <v>2416418.48778584</v>
      </c>
      <c r="R92" s="21">
        <f>IF($I92="","",IFERROR(INDEX(_玩家曲线!$I$2:$I$286,MATCH($I92,_玩家曲线!$A$2:$A$286,0)),""))</f>
        <v>2900813.21363885</v>
      </c>
      <c r="S92" s="21">
        <f>IF(OR($J92="",$F92="不适用"),"",IFERROR(INDEX(_怪物模型!$D$2:$D$4501,MATCH(INT($J92)&amp;"|"&amp;$F92,_怪物模型!$A$2:$A$4501,0))*IF($K92="",1,$K92),""))</f>
        <v>765019</v>
      </c>
      <c r="T92" s="21">
        <f>IF(OR($J92="",$F92="不适用"),"",IFERROR(INDEX(_怪物模型!$E$2:$E$4501,MATCH(INT($J92)&amp;"|"&amp;$F92,_怪物模型!$A$2:$A$4501,0))*IF($L92="",1,$L92),""))</f>
        <v>83987</v>
      </c>
      <c r="U92" s="21">
        <f>IF(OR($J92="",$F92="不适用"),"",IFERROR(INDEX(_怪物模型!$F$2:$F$4501,MATCH(INT($J92)&amp;"|"&amp;$F92,_怪物模型!$A$2:$A$4501,0))*IF($M92="",1,$M92),""))</f>
        <v>37024</v>
      </c>
      <c r="V92" s="22">
        <f t="shared" si="10"/>
        <v>0.606712113266911</v>
      </c>
      <c r="W92" s="23">
        <f t="shared" si="11"/>
        <v>1945188.31066667</v>
      </c>
      <c r="X92" s="23">
        <f t="shared" si="12"/>
        <v>0.804988175888788</v>
      </c>
      <c r="Y92" s="23">
        <f t="shared" si="13"/>
        <v>34.5388359345952</v>
      </c>
      <c r="Z92" s="24" t="str">
        <f t="shared" si="14"/>
        <v/>
      </c>
      <c r="AA92" s="6" t="str">
        <f t="shared" si="15"/>
        <v>已计算</v>
      </c>
      <c r="AB92" s="6" t="str">
        <f t="shared" si="16"/>
        <v>有效</v>
      </c>
      <c r="AC92" s="6" t="str">
        <f t="shared" si="17"/>
        <v/>
      </c>
      <c r="AD92" s="7" t="s">
        <v>988</v>
      </c>
    </row>
    <row r="93" ht="25" customHeight="1" spans="1:30">
      <c r="A93" s="6" t="s">
        <v>145</v>
      </c>
      <c r="B93" s="6" t="s">
        <v>59</v>
      </c>
      <c r="C93" s="7" t="s">
        <v>723</v>
      </c>
      <c r="D93" s="7" t="s">
        <v>989</v>
      </c>
      <c r="E93" s="7" t="s">
        <v>990</v>
      </c>
      <c r="F93" s="6" t="s">
        <v>149</v>
      </c>
      <c r="G93" s="16">
        <v>247</v>
      </c>
      <c r="H93" s="17"/>
      <c r="I93" s="18">
        <f t="shared" si="9"/>
        <v>247</v>
      </c>
      <c r="J93" s="19">
        <v>358</v>
      </c>
      <c r="K93" s="20"/>
      <c r="L93" s="20"/>
      <c r="M93" s="20"/>
      <c r="N93" s="20"/>
      <c r="O93" s="20"/>
      <c r="P93" s="20"/>
      <c r="Q93" s="21">
        <f>IF($I93="","",IFERROR(INDEX(_玩家曲线!$H$2:$H$286,MATCH($I93,_玩家曲线!$A$2:$A$286,0)),""))</f>
        <v>2425595.2871064</v>
      </c>
      <c r="R93" s="21">
        <f>IF($I93="","",IFERROR(INDEX(_玩家曲线!$I$2:$I$286,MATCH($I93,_玩家曲线!$A$2:$A$286,0)),""))</f>
        <v>2908751.32523996</v>
      </c>
      <c r="S93" s="21">
        <f>IF(OR($J93="",$F93="不适用"),"",IFERROR(INDEX(_怪物模型!$D$2:$D$4501,MATCH(INT($J93)&amp;"|"&amp;$F93,_怪物模型!$A$2:$A$4501,0))*IF($K93="",1,$K93),""))</f>
        <v>771451</v>
      </c>
      <c r="T93" s="21">
        <f>IF(OR($J93="",$F93="不适用"),"",IFERROR(INDEX(_怪物模型!$E$2:$E$4501,MATCH(INT($J93)&amp;"|"&amp;$F93,_怪物模型!$A$2:$A$4501,0))*IF($L93="",1,$L93),""))</f>
        <v>84563</v>
      </c>
      <c r="U93" s="21">
        <f>IF(OR($J93="",$F93="不适用"),"",IFERROR(INDEX(_怪物模型!$F$2:$F$4501,MATCH(INT($J93)&amp;"|"&amp;$F93,_怪物模型!$A$2:$A$4501,0))*IF($M93="",1,$M93),""))</f>
        <v>37161</v>
      </c>
      <c r="V93" s="22">
        <f t="shared" si="10"/>
        <v>0.607593074017756</v>
      </c>
      <c r="W93" s="23">
        <f t="shared" si="11"/>
        <v>1965946.442125</v>
      </c>
      <c r="X93" s="23">
        <f t="shared" si="12"/>
        <v>0.810500602707826</v>
      </c>
      <c r="Y93" s="23">
        <f t="shared" si="13"/>
        <v>34.3974471724035</v>
      </c>
      <c r="Z93" s="24" t="str">
        <f t="shared" si="14"/>
        <v/>
      </c>
      <c r="AA93" s="6" t="str">
        <f t="shared" si="15"/>
        <v>已计算</v>
      </c>
      <c r="AB93" s="6" t="str">
        <f t="shared" si="16"/>
        <v>有效</v>
      </c>
      <c r="AC93" s="6" t="str">
        <f t="shared" si="17"/>
        <v/>
      </c>
      <c r="AD93" s="7" t="s">
        <v>991</v>
      </c>
    </row>
    <row r="94" ht="25" customHeight="1" spans="1:30">
      <c r="A94" s="6" t="s">
        <v>145</v>
      </c>
      <c r="B94" s="6" t="s">
        <v>59</v>
      </c>
      <c r="C94" s="7" t="s">
        <v>723</v>
      </c>
      <c r="D94" s="7" t="s">
        <v>992</v>
      </c>
      <c r="E94" s="7" t="s">
        <v>993</v>
      </c>
      <c r="F94" s="6" t="s">
        <v>159</v>
      </c>
      <c r="G94" s="16">
        <v>250</v>
      </c>
      <c r="H94" s="17"/>
      <c r="I94" s="18">
        <f t="shared" si="9"/>
        <v>250</v>
      </c>
      <c r="J94" s="19">
        <v>360</v>
      </c>
      <c r="K94" s="20"/>
      <c r="L94" s="20"/>
      <c r="M94" s="20"/>
      <c r="N94" s="20"/>
      <c r="O94" s="20"/>
      <c r="P94" s="20"/>
      <c r="Q94" s="21">
        <f>IF($I94="","",IFERROR(INDEX(_玩家曲线!$H$2:$H$286,MATCH($I94,_玩家曲线!$A$2:$A$286,0)),""))</f>
        <v>2434274.68800673</v>
      </c>
      <c r="R94" s="21">
        <f>IF($I94="","",IFERROR(INDEX(_玩家曲线!$I$2:$I$286,MATCH($I94,_玩家曲线!$A$2:$A$286,0)),""))</f>
        <v>2916260.27621858</v>
      </c>
      <c r="S94" s="21">
        <f>IF(OR($J94="",$F94="不适用"),"",IFERROR(INDEX(_怪物模型!$D$2:$D$4501,MATCH(INT($J94)&amp;"|"&amp;$F94,_怪物模型!$A$2:$A$4501,0))*IF($K94="",1,$K94),""))</f>
        <v>93249781</v>
      </c>
      <c r="T94" s="21">
        <f>IF(OR($J94="",$F94="不适用"),"",IFERROR(INDEX(_怪物模型!$E$2:$E$4501,MATCH(INT($J94)&amp;"|"&amp;$F94,_怪物模型!$A$2:$A$4501,0))*IF($L94="",1,$L94),""))</f>
        <v>85723</v>
      </c>
      <c r="U94" s="21">
        <f>IF(OR($J94="",$F94="不适用"),"",IFERROR(INDEX(_怪物模型!$F$2:$F$4501,MATCH(INT($J94)&amp;"|"&amp;$F94,_怪物模型!$A$2:$A$4501,0))*IF($M94="",1,$M94),""))</f>
        <v>37435</v>
      </c>
      <c r="V94" s="22">
        <f t="shared" si="10"/>
        <v>0.609343208268902</v>
      </c>
      <c r="W94" s="23">
        <f t="shared" si="11"/>
        <v>238700012.322292</v>
      </c>
      <c r="X94" s="23">
        <f t="shared" si="12"/>
        <v>98.0579609599226</v>
      </c>
      <c r="Y94" s="23">
        <f t="shared" si="13"/>
        <v>34.0195778987971</v>
      </c>
      <c r="Z94" s="24" t="str">
        <f t="shared" si="14"/>
        <v/>
      </c>
      <c r="AA94" s="6" t="str">
        <f t="shared" si="15"/>
        <v>已计算</v>
      </c>
      <c r="AB94" s="6" t="str">
        <f t="shared" si="16"/>
        <v>有效</v>
      </c>
      <c r="AC94" s="6" t="str">
        <f t="shared" si="17"/>
        <v/>
      </c>
      <c r="AD94" s="7" t="s">
        <v>994</v>
      </c>
    </row>
    <row r="95" ht="25" customHeight="1" spans="1:30">
      <c r="A95" s="6" t="s">
        <v>145</v>
      </c>
      <c r="B95" s="6" t="s">
        <v>59</v>
      </c>
      <c r="C95" s="7" t="s">
        <v>723</v>
      </c>
      <c r="D95" s="7" t="s">
        <v>995</v>
      </c>
      <c r="E95" s="7" t="s">
        <v>996</v>
      </c>
      <c r="F95" s="6" t="s">
        <v>149</v>
      </c>
      <c r="G95" s="16">
        <v>253</v>
      </c>
      <c r="H95" s="17"/>
      <c r="I95" s="18">
        <f t="shared" si="9"/>
        <v>253</v>
      </c>
      <c r="J95" s="19">
        <v>361</v>
      </c>
      <c r="K95" s="20"/>
      <c r="L95" s="20"/>
      <c r="M95" s="20"/>
      <c r="N95" s="20"/>
      <c r="O95" s="20"/>
      <c r="P95" s="20"/>
      <c r="Q95" s="21">
        <f>IF($I95="","",IFERROR(INDEX(_玩家曲线!$H$2:$H$286,MATCH($I95,_玩家曲线!$A$2:$A$286,0)),""))</f>
        <v>2442482.43352917</v>
      </c>
      <c r="R95" s="21">
        <f>IF($I95="","",IFERROR(INDEX(_玩家曲线!$I$2:$I$286,MATCH($I95,_玩家曲线!$A$2:$A$286,0)),""))</f>
        <v>2923362.84563203</v>
      </c>
      <c r="S95" s="21">
        <f>IF(OR($J95="",$F95="不适用"),"",IFERROR(INDEX(_怪物模型!$D$2:$D$4501,MATCH(INT($J95)&amp;"|"&amp;$F95,_怪物模型!$A$2:$A$4501,0))*IF($K95="",1,$K95),""))</f>
        <v>790999</v>
      </c>
      <c r="T95" s="21">
        <f>IF(OR($J95="",$F95="不适用"),"",IFERROR(INDEX(_怪物模型!$E$2:$E$4501,MATCH(INT($J95)&amp;"|"&amp;$F95,_怪物模型!$A$2:$A$4501,0))*IF($L95="",1,$L95),""))</f>
        <v>86307</v>
      </c>
      <c r="U95" s="21">
        <f>IF(OR($J95="",$F95="不适用"),"",IFERROR(INDEX(_怪物模型!$F$2:$F$4501,MATCH(INT($J95)&amp;"|"&amp;$F95,_怪物模型!$A$2:$A$4501,0))*IF($M95="",1,$M95),""))</f>
        <v>37572</v>
      </c>
      <c r="V95" s="22">
        <f t="shared" si="10"/>
        <v>0.610212434223348</v>
      </c>
      <c r="W95" s="23">
        <f t="shared" si="11"/>
        <v>2029307.9345</v>
      </c>
      <c r="X95" s="23">
        <f t="shared" si="12"/>
        <v>0.830838292485826</v>
      </c>
      <c r="Y95" s="23">
        <f t="shared" si="13"/>
        <v>33.8716772177463</v>
      </c>
      <c r="Z95" s="24" t="str">
        <f t="shared" si="14"/>
        <v/>
      </c>
      <c r="AA95" s="6" t="str">
        <f t="shared" si="15"/>
        <v>已计算</v>
      </c>
      <c r="AB95" s="6" t="str">
        <f t="shared" si="16"/>
        <v>有效</v>
      </c>
      <c r="AC95" s="6" t="str">
        <f t="shared" si="17"/>
        <v/>
      </c>
      <c r="AD95" s="7" t="s">
        <v>997</v>
      </c>
    </row>
    <row r="96" ht="25" customHeight="1" spans="1:30">
      <c r="A96" s="6" t="s">
        <v>145</v>
      </c>
      <c r="B96" s="6" t="s">
        <v>59</v>
      </c>
      <c r="C96" s="7" t="s">
        <v>723</v>
      </c>
      <c r="D96" s="7" t="s">
        <v>998</v>
      </c>
      <c r="E96" s="7" t="s">
        <v>999</v>
      </c>
      <c r="F96" s="6" t="s">
        <v>149</v>
      </c>
      <c r="G96" s="16">
        <v>255</v>
      </c>
      <c r="H96" s="17"/>
      <c r="I96" s="18">
        <f t="shared" si="9"/>
        <v>255</v>
      </c>
      <c r="J96" s="19">
        <v>361</v>
      </c>
      <c r="K96" s="20"/>
      <c r="L96" s="20"/>
      <c r="M96" s="20"/>
      <c r="N96" s="20"/>
      <c r="O96" s="20"/>
      <c r="P96" s="20"/>
      <c r="Q96" s="21">
        <f>IF($I96="","",IFERROR(INDEX(_玩家曲线!$H$2:$H$286,MATCH($I96,_玩家曲线!$A$2:$A$286,0)),""))</f>
        <v>2447704.40952005</v>
      </c>
      <c r="R96" s="21">
        <f>IF($I96="","",IFERROR(INDEX(_玩家曲线!$I$2:$I$286,MATCH($I96,_玩家曲线!$A$2:$A$286,0)),""))</f>
        <v>2927882.85310272</v>
      </c>
      <c r="S96" s="21">
        <f>IF(OR($J96="",$F96="不适用"),"",IFERROR(INDEX(_怪物模型!$D$2:$D$4501,MATCH(INT($J96)&amp;"|"&amp;$F96,_怪物模型!$A$2:$A$4501,0))*IF($K96="",1,$K96),""))</f>
        <v>790999</v>
      </c>
      <c r="T96" s="21">
        <f>IF(OR($J96="",$F96="不适用"),"",IFERROR(INDEX(_怪物模型!$E$2:$E$4501,MATCH(INT($J96)&amp;"|"&amp;$F96,_怪物模型!$A$2:$A$4501,0))*IF($L96="",1,$L96),""))</f>
        <v>86307</v>
      </c>
      <c r="U96" s="21">
        <f>IF(OR($J96="",$F96="不适用"),"",IFERROR(INDEX(_怪物模型!$F$2:$F$4501,MATCH(INT($J96)&amp;"|"&amp;$F96,_怪物模型!$A$2:$A$4501,0))*IF($M96="",1,$M96),""))</f>
        <v>37572</v>
      </c>
      <c r="V96" s="22">
        <f t="shared" si="10"/>
        <v>0.610212434223348</v>
      </c>
      <c r="W96" s="23">
        <f t="shared" si="11"/>
        <v>2029307.9345</v>
      </c>
      <c r="X96" s="23">
        <f t="shared" si="12"/>
        <v>0.829065767339901</v>
      </c>
      <c r="Y96" s="23">
        <f t="shared" si="13"/>
        <v>33.9240484908839</v>
      </c>
      <c r="Z96" s="24" t="str">
        <f t="shared" si="14"/>
        <v/>
      </c>
      <c r="AA96" s="6" t="str">
        <f t="shared" si="15"/>
        <v>已计算</v>
      </c>
      <c r="AB96" s="6" t="str">
        <f t="shared" si="16"/>
        <v>有效</v>
      </c>
      <c r="AC96" s="6" t="str">
        <f t="shared" si="17"/>
        <v/>
      </c>
      <c r="AD96" s="7" t="s">
        <v>1000</v>
      </c>
    </row>
    <row r="97" ht="25" customHeight="1" spans="1:30">
      <c r="A97" s="6" t="s">
        <v>145</v>
      </c>
      <c r="B97" s="6" t="s">
        <v>59</v>
      </c>
      <c r="C97" s="7" t="s">
        <v>723</v>
      </c>
      <c r="D97" s="7" t="s">
        <v>1001</v>
      </c>
      <c r="E97" s="7" t="s">
        <v>1002</v>
      </c>
      <c r="F97" s="6" t="s">
        <v>149</v>
      </c>
      <c r="G97" s="16">
        <v>258</v>
      </c>
      <c r="H97" s="17"/>
      <c r="I97" s="18">
        <f t="shared" si="9"/>
        <v>258</v>
      </c>
      <c r="J97" s="19">
        <v>363</v>
      </c>
      <c r="K97" s="20"/>
      <c r="L97" s="20"/>
      <c r="M97" s="20"/>
      <c r="N97" s="20"/>
      <c r="O97" s="20"/>
      <c r="P97" s="20"/>
      <c r="Q97" s="21">
        <f>IF($I97="","",IFERROR(INDEX(_玩家曲线!$H$2:$H$286,MATCH($I97,_玩家曲线!$A$2:$A$286,0)),""))</f>
        <v>2455180.07504225</v>
      </c>
      <c r="R97" s="21">
        <f>IF($I97="","",IFERROR(INDEX(_玩家曲线!$I$2:$I$286,MATCH($I97,_玩家曲线!$A$2:$A$286,0)),""))</f>
        <v>2934355.65050569</v>
      </c>
      <c r="S97" s="21">
        <f>IF(OR($J97="",$F97="不适用"),"",IFERROR(INDEX(_怪物模型!$D$2:$D$4501,MATCH(INT($J97)&amp;"|"&amp;$F97,_怪物模型!$A$2:$A$4501,0))*IF($K97="",1,$K97),""))</f>
        <v>804247</v>
      </c>
      <c r="T97" s="21">
        <f>IF(OR($J97="",$F97="不适用"),"",IFERROR(INDEX(_怪物模型!$E$2:$E$4501,MATCH(INT($J97)&amp;"|"&amp;$F97,_怪物模型!$A$2:$A$4501,0))*IF($L97="",1,$L97),""))</f>
        <v>87485</v>
      </c>
      <c r="U97" s="21">
        <f>IF(OR($J97="",$F97="不适用"),"",IFERROR(INDEX(_怪物模型!$F$2:$F$4501,MATCH(INT($J97)&amp;"|"&amp;$F97,_怪物模型!$A$2:$A$4501,0))*IF($M97="",1,$M97),""))</f>
        <v>37847</v>
      </c>
      <c r="V97" s="22">
        <f t="shared" si="10"/>
        <v>0.611945607709347</v>
      </c>
      <c r="W97" s="23">
        <f t="shared" si="11"/>
        <v>2072511.00870833</v>
      </c>
      <c r="X97" s="23">
        <f t="shared" si="12"/>
        <v>0.844138085746182</v>
      </c>
      <c r="Y97" s="23">
        <f t="shared" si="13"/>
        <v>33.5412430760209</v>
      </c>
      <c r="Z97" s="24" t="str">
        <f t="shared" si="14"/>
        <v/>
      </c>
      <c r="AA97" s="6" t="str">
        <f t="shared" si="15"/>
        <v>已计算</v>
      </c>
      <c r="AB97" s="6" t="str">
        <f t="shared" si="16"/>
        <v>有效</v>
      </c>
      <c r="AC97" s="6" t="str">
        <f t="shared" si="17"/>
        <v/>
      </c>
      <c r="AD97" s="7" t="s">
        <v>1003</v>
      </c>
    </row>
    <row r="98" ht="25" customHeight="1" spans="1:30">
      <c r="A98" s="6" t="s">
        <v>145</v>
      </c>
      <c r="B98" s="6" t="s">
        <v>59</v>
      </c>
      <c r="C98" s="7" t="s">
        <v>723</v>
      </c>
      <c r="D98" s="7" t="s">
        <v>1004</v>
      </c>
      <c r="E98" s="7" t="s">
        <v>1005</v>
      </c>
      <c r="F98" s="6" t="s">
        <v>149</v>
      </c>
      <c r="G98" s="16">
        <v>261</v>
      </c>
      <c r="H98" s="17"/>
      <c r="I98" s="18">
        <f t="shared" si="9"/>
        <v>261</v>
      </c>
      <c r="J98" s="19">
        <v>364</v>
      </c>
      <c r="K98" s="20"/>
      <c r="L98" s="20"/>
      <c r="M98" s="20"/>
      <c r="N98" s="20"/>
      <c r="O98" s="20"/>
      <c r="P98" s="20"/>
      <c r="Q98" s="21">
        <f>IF($I98="","",IFERROR(INDEX(_玩家曲线!$H$2:$H$286,MATCH($I98,_玩家曲线!$A$2:$A$286,0)),""))</f>
        <v>2462247.05254735</v>
      </c>
      <c r="R98" s="21">
        <f>IF($I98="","",IFERROR(INDEX(_玩家曲线!$I$2:$I$286,MATCH($I98,_玩家曲线!$A$2:$A$286,0)),""))</f>
        <v>2940477.3432713</v>
      </c>
      <c r="S98" s="21">
        <f>IF(OR($J98="",$F98="不适用"),"",IFERROR(INDEX(_怪物模型!$D$2:$D$4501,MATCH(INT($J98)&amp;"|"&amp;$F98,_怪物模型!$A$2:$A$4501,0))*IF($K98="",1,$K98),""))</f>
        <v>810935</v>
      </c>
      <c r="T98" s="21">
        <f>IF(OR($J98="",$F98="不适用"),"",IFERROR(INDEX(_怪物模型!$E$2:$E$4501,MATCH(INT($J98)&amp;"|"&amp;$F98,_怪物模型!$A$2:$A$4501,0))*IF($L98="",1,$L98),""))</f>
        <v>88078</v>
      </c>
      <c r="U98" s="21">
        <f>IF(OR($J98="",$F98="不适用"),"",IFERROR(INDEX(_怪物模型!$F$2:$F$4501,MATCH(INT($J98)&amp;"|"&amp;$F98,_怪物模型!$A$2:$A$4501,0))*IF($M98="",1,$M98),""))</f>
        <v>37985</v>
      </c>
      <c r="V98" s="22">
        <f t="shared" si="10"/>
        <v>0.612809550697749</v>
      </c>
      <c r="W98" s="23">
        <f t="shared" si="11"/>
        <v>2094408.58229167</v>
      </c>
      <c r="X98" s="23">
        <f t="shared" si="12"/>
        <v>0.850608626021044</v>
      </c>
      <c r="Y98" s="23">
        <f t="shared" si="13"/>
        <v>33.3849240817378</v>
      </c>
      <c r="Z98" s="24" t="str">
        <f t="shared" si="14"/>
        <v/>
      </c>
      <c r="AA98" s="6" t="str">
        <f t="shared" si="15"/>
        <v>已计算</v>
      </c>
      <c r="AB98" s="6" t="str">
        <f t="shared" si="16"/>
        <v>有效</v>
      </c>
      <c r="AC98" s="6" t="str">
        <f t="shared" si="17"/>
        <v/>
      </c>
      <c r="AD98" s="7" t="s">
        <v>1006</v>
      </c>
    </row>
    <row r="99" ht="25" customHeight="1" spans="1:30">
      <c r="A99" s="6" t="s">
        <v>145</v>
      </c>
      <c r="B99" s="6" t="s">
        <v>59</v>
      </c>
      <c r="C99" s="7" t="s">
        <v>723</v>
      </c>
      <c r="D99" s="7" t="s">
        <v>1007</v>
      </c>
      <c r="E99" s="7" t="s">
        <v>1008</v>
      </c>
      <c r="F99" s="6" t="s">
        <v>738</v>
      </c>
      <c r="G99" s="16">
        <v>264</v>
      </c>
      <c r="H99" s="17"/>
      <c r="I99" s="18">
        <f t="shared" si="9"/>
        <v>264</v>
      </c>
      <c r="J99" s="19">
        <v>365</v>
      </c>
      <c r="K99" s="20"/>
      <c r="L99" s="20"/>
      <c r="M99" s="20"/>
      <c r="N99" s="20"/>
      <c r="O99" s="20"/>
      <c r="P99" s="20"/>
      <c r="Q99" s="21">
        <f>IF($I99="","",IFERROR(INDEX(_玩家曲线!$H$2:$H$286,MATCH($I99,_玩家曲线!$A$2:$A$286,0)),""))</f>
        <v>2468926.93031262</v>
      </c>
      <c r="R99" s="21">
        <f>IF($I99="","",IFERROR(INDEX(_玩家曲线!$I$2:$I$286,MATCH($I99,_玩家曲线!$A$2:$A$286,0)),""))</f>
        <v>2946266.74897081</v>
      </c>
      <c r="S99" s="21">
        <f>IF(OR($J99="",$F99="不适用"),"",IFERROR(INDEX(_怪物模型!$D$2:$D$4501,MATCH(INT($J99)&amp;"|"&amp;$F99,_怪物模型!$A$2:$A$4501,0))*IF($K99="",1,$K99),""))</f>
        <v>3270672</v>
      </c>
      <c r="T99" s="21">
        <f>IF(OR($J99="",$F99="不适用"),"",IFERROR(INDEX(_怪物模型!$E$2:$E$4501,MATCH(INT($J99)&amp;"|"&amp;$F99,_怪物模型!$A$2:$A$4501,0))*IF($L99="",1,$L99),""))</f>
        <v>88674</v>
      </c>
      <c r="U99" s="21">
        <f>IF(OR($J99="",$F99="不适用"),"",IFERROR(INDEX(_怪物模型!$F$2:$F$4501,MATCH(INT($J99)&amp;"|"&amp;$F99,_怪物模型!$A$2:$A$4501,0))*IF($M99="",1,$M99),""))</f>
        <v>38123</v>
      </c>
      <c r="V99" s="22">
        <f t="shared" si="10"/>
        <v>0.613669655361138</v>
      </c>
      <c r="W99" s="23">
        <f t="shared" si="11"/>
        <v>8465998.194</v>
      </c>
      <c r="X99" s="23">
        <f t="shared" si="12"/>
        <v>3.42901934036906</v>
      </c>
      <c r="Y99" s="23">
        <f t="shared" si="13"/>
        <v>33.225824356303</v>
      </c>
      <c r="Z99" s="24" t="str">
        <f t="shared" si="14"/>
        <v/>
      </c>
      <c r="AA99" s="6" t="str">
        <f t="shared" si="15"/>
        <v>已计算</v>
      </c>
      <c r="AB99" s="6" t="str">
        <f t="shared" si="16"/>
        <v>有效</v>
      </c>
      <c r="AC99" s="6" t="str">
        <f t="shared" si="17"/>
        <v/>
      </c>
      <c r="AD99" s="7" t="s">
        <v>1009</v>
      </c>
    </row>
    <row r="100" ht="25" customHeight="1" spans="1:30">
      <c r="A100" s="6" t="s">
        <v>145</v>
      </c>
      <c r="B100" s="6" t="s">
        <v>59</v>
      </c>
      <c r="C100" s="7" t="s">
        <v>723</v>
      </c>
      <c r="D100" s="7" t="s">
        <v>1010</v>
      </c>
      <c r="E100" s="7" t="s">
        <v>1011</v>
      </c>
      <c r="F100" s="6" t="s">
        <v>149</v>
      </c>
      <c r="G100" s="16">
        <v>267</v>
      </c>
      <c r="H100" s="17"/>
      <c r="I100" s="18">
        <f t="shared" si="9"/>
        <v>267</v>
      </c>
      <c r="J100" s="19">
        <v>366</v>
      </c>
      <c r="K100" s="20"/>
      <c r="L100" s="20"/>
      <c r="M100" s="20"/>
      <c r="N100" s="20"/>
      <c r="O100" s="20"/>
      <c r="P100" s="20"/>
      <c r="Q100" s="21">
        <f>IF($I100="","",IFERROR(INDEX(_玩家曲线!$H$2:$H$286,MATCH($I100,_玩家曲线!$A$2:$A$286,0)),""))</f>
        <v>2475240.25202858</v>
      </c>
      <c r="R100" s="21">
        <f>IF($I100="","",IFERROR(INDEX(_玩家曲线!$I$2:$I$286,MATCH($I100,_玩家曲线!$A$2:$A$286,0)),""))</f>
        <v>2951741.7156241</v>
      </c>
      <c r="S100" s="21">
        <f>IF(OR($J100="",$F100="不适用"),"",IFERROR(INDEX(_怪物模型!$D$2:$D$4501,MATCH(INT($J100)&amp;"|"&amp;$F100,_怪物模型!$A$2:$A$4501,0))*IF($K100="",1,$K100),""))</f>
        <v>824444</v>
      </c>
      <c r="T100" s="21">
        <f>IF(OR($J100="",$F100="不适用"),"",IFERROR(INDEX(_怪物模型!$E$2:$E$4501,MATCH(INT($J100)&amp;"|"&amp;$F100,_怪物模型!$A$2:$A$4501,0))*IF($L100="",1,$L100),""))</f>
        <v>89273</v>
      </c>
      <c r="U100" s="21">
        <f>IF(OR($J100="",$F100="不适用"),"",IFERROR(INDEX(_怪物模型!$F$2:$F$4501,MATCH(INT($J100)&amp;"|"&amp;$F100,_怪物模型!$A$2:$A$4501,0))*IF($M100="",1,$M100),""))</f>
        <v>38261</v>
      </c>
      <c r="V100" s="22">
        <f t="shared" si="10"/>
        <v>0.614525947222178</v>
      </c>
      <c r="W100" s="23">
        <f t="shared" si="11"/>
        <v>2138779.49516667</v>
      </c>
      <c r="X100" s="23">
        <f t="shared" si="12"/>
        <v>0.864069454839316</v>
      </c>
      <c r="Y100" s="23">
        <f t="shared" si="13"/>
        <v>33.0642155592856</v>
      </c>
      <c r="Z100" s="24" t="str">
        <f t="shared" si="14"/>
        <v/>
      </c>
      <c r="AA100" s="6" t="str">
        <f t="shared" si="15"/>
        <v>已计算</v>
      </c>
      <c r="AB100" s="6" t="str">
        <f t="shared" si="16"/>
        <v>有效</v>
      </c>
      <c r="AC100" s="6" t="str">
        <f t="shared" si="17"/>
        <v/>
      </c>
      <c r="AD100" s="7" t="s">
        <v>1012</v>
      </c>
    </row>
    <row r="101" ht="25" customHeight="1" spans="1:30">
      <c r="A101" s="6" t="s">
        <v>145</v>
      </c>
      <c r="B101" s="6" t="s">
        <v>59</v>
      </c>
      <c r="C101" s="7" t="s">
        <v>723</v>
      </c>
      <c r="D101" s="7" t="s">
        <v>1013</v>
      </c>
      <c r="E101" s="7" t="s">
        <v>1014</v>
      </c>
      <c r="F101" s="6" t="s">
        <v>149</v>
      </c>
      <c r="G101" s="16">
        <v>270</v>
      </c>
      <c r="H101" s="17"/>
      <c r="I101" s="18">
        <f t="shared" si="9"/>
        <v>270</v>
      </c>
      <c r="J101" s="19">
        <v>367</v>
      </c>
      <c r="K101" s="20"/>
      <c r="L101" s="20"/>
      <c r="M101" s="20"/>
      <c r="N101" s="20"/>
      <c r="O101" s="20"/>
      <c r="P101" s="20"/>
      <c r="Q101" s="21">
        <f>IF($I101="","",IFERROR(INDEX(_玩家曲线!$H$2:$H$286,MATCH($I101,_玩家曲线!$A$2:$A$286,0)),""))</f>
        <v>2481206.55575047</v>
      </c>
      <c r="R101" s="21">
        <f>IF($I101="","",IFERROR(INDEX(_玩家曲线!$I$2:$I$286,MATCH($I101,_玩家曲线!$A$2:$A$286,0)),""))</f>
        <v>2956919.16663543</v>
      </c>
      <c r="S101" s="21">
        <f>IF(OR($J101="",$F101="不适用"),"",IFERROR(INDEX(_怪物模型!$D$2:$D$4501,MATCH(INT($J101)&amp;"|"&amp;$F101,_怪物模型!$A$2:$A$4501,0))*IF($K101="",1,$K101),""))</f>
        <v>831264</v>
      </c>
      <c r="T101" s="21">
        <f>IF(OR($J101="",$F101="不适用"),"",IFERROR(INDEX(_怪物模型!$E$2:$E$4501,MATCH(INT($J101)&amp;"|"&amp;$F101,_怪物模型!$A$2:$A$4501,0))*IF($L101="",1,$L101),""))</f>
        <v>89876</v>
      </c>
      <c r="U101" s="21">
        <f>IF(OR($J101="",$F101="不适用"),"",IFERROR(INDEX(_怪物模型!$F$2:$F$4501,MATCH(INT($J101)&amp;"|"&amp;$F101,_怪物模型!$A$2:$A$4501,0))*IF($M101="",1,$M101),""))</f>
        <v>38399</v>
      </c>
      <c r="V101" s="22">
        <f t="shared" si="10"/>
        <v>0.61537845157775</v>
      </c>
      <c r="W101" s="23">
        <f t="shared" si="11"/>
        <v>2161251.764</v>
      </c>
      <c r="X101" s="23">
        <f t="shared" si="12"/>
        <v>0.871048707730947</v>
      </c>
      <c r="Y101" s="23">
        <f t="shared" si="13"/>
        <v>32.899986277042</v>
      </c>
      <c r="Z101" s="24" t="str">
        <f t="shared" si="14"/>
        <v/>
      </c>
      <c r="AA101" s="6" t="str">
        <f t="shared" si="15"/>
        <v>已计算</v>
      </c>
      <c r="AB101" s="6" t="str">
        <f t="shared" si="16"/>
        <v>有效</v>
      </c>
      <c r="AC101" s="6" t="str">
        <f t="shared" si="17"/>
        <v/>
      </c>
      <c r="AD101" s="7" t="s">
        <v>1015</v>
      </c>
    </row>
    <row r="102" ht="25" customHeight="1" spans="1:30">
      <c r="A102" s="6" t="s">
        <v>145</v>
      </c>
      <c r="B102" s="6" t="s">
        <v>59</v>
      </c>
      <c r="C102" s="7" t="s">
        <v>723</v>
      </c>
      <c r="D102" s="7" t="s">
        <v>1016</v>
      </c>
      <c r="E102" s="7" t="s">
        <v>1017</v>
      </c>
      <c r="F102" s="6" t="s">
        <v>149</v>
      </c>
      <c r="G102" s="16">
        <v>273</v>
      </c>
      <c r="H102" s="17"/>
      <c r="I102" s="18">
        <f t="shared" si="9"/>
        <v>273</v>
      </c>
      <c r="J102" s="19">
        <v>368</v>
      </c>
      <c r="K102" s="20"/>
      <c r="L102" s="20"/>
      <c r="M102" s="20"/>
      <c r="N102" s="20"/>
      <c r="O102" s="20"/>
      <c r="P102" s="20"/>
      <c r="Q102" s="21">
        <f>IF($I102="","",IFERROR(INDEX(_玩家曲线!$H$2:$H$286,MATCH($I102,_玩家曲线!$A$2:$A$286,0)),""))</f>
        <v>2486844.41287251</v>
      </c>
      <c r="R102" s="21">
        <f>IF($I102="","",IFERROR(INDEX(_玩家曲线!$I$2:$I$286,MATCH($I102,_玩家曲线!$A$2:$A$286,0)),""))</f>
        <v>2961815.14426414</v>
      </c>
      <c r="S102" s="21">
        <f>IF(OR($J102="",$F102="不适用"),"",IFERROR(INDEX(_怪物模型!$D$2:$D$4501,MATCH(INT($J102)&amp;"|"&amp;$F102,_怪物模型!$A$2:$A$4501,0))*IF($K102="",1,$K102),""))</f>
        <v>838129</v>
      </c>
      <c r="T102" s="21">
        <f>IF(OR($J102="",$F102="不适用"),"",IFERROR(INDEX(_怪物模型!$E$2:$E$4501,MATCH(INT($J102)&amp;"|"&amp;$F102,_怪物模型!$A$2:$A$4501,0))*IF($L102="",1,$L102),""))</f>
        <v>90481</v>
      </c>
      <c r="U102" s="21">
        <f>IF(OR($J102="",$F102="不适用"),"",IFERROR(INDEX(_怪物模型!$F$2:$F$4501,MATCH(INT($J102)&amp;"|"&amp;$F102,_怪物模型!$A$2:$A$4501,0))*IF($M102="",1,$M102),""))</f>
        <v>38538</v>
      </c>
      <c r="V102" s="22">
        <f t="shared" si="10"/>
        <v>0.616233330135278</v>
      </c>
      <c r="W102" s="23">
        <f t="shared" si="11"/>
        <v>2183954.64175</v>
      </c>
      <c r="X102" s="23">
        <f t="shared" si="12"/>
        <v>0.878203168016994</v>
      </c>
      <c r="Y102" s="23">
        <f t="shared" si="13"/>
        <v>32.734111518044</v>
      </c>
      <c r="Z102" s="24" t="str">
        <f t="shared" si="14"/>
        <v/>
      </c>
      <c r="AA102" s="6" t="str">
        <f t="shared" si="15"/>
        <v>已计算</v>
      </c>
      <c r="AB102" s="6" t="str">
        <f t="shared" si="16"/>
        <v>有效</v>
      </c>
      <c r="AC102" s="6" t="str">
        <f t="shared" si="17"/>
        <v/>
      </c>
      <c r="AD102" s="7" t="s">
        <v>1018</v>
      </c>
    </row>
    <row r="103" ht="25" customHeight="1" spans="1:30">
      <c r="A103" s="6" t="s">
        <v>145</v>
      </c>
      <c r="B103" s="6" t="s">
        <v>59</v>
      </c>
      <c r="C103" s="7" t="s">
        <v>723</v>
      </c>
      <c r="D103" s="7" t="s">
        <v>1019</v>
      </c>
      <c r="E103" s="7" t="s">
        <v>1020</v>
      </c>
      <c r="F103" s="6" t="s">
        <v>149</v>
      </c>
      <c r="G103" s="16">
        <v>276</v>
      </c>
      <c r="H103" s="17"/>
      <c r="I103" s="18">
        <f t="shared" si="9"/>
        <v>276</v>
      </c>
      <c r="J103" s="19">
        <v>370</v>
      </c>
      <c r="K103" s="20"/>
      <c r="L103" s="20"/>
      <c r="M103" s="20"/>
      <c r="N103" s="20"/>
      <c r="O103" s="20"/>
      <c r="P103" s="20"/>
      <c r="Q103" s="21">
        <f>IF($I103="","",IFERROR(INDEX(_玩家曲线!$H$2:$H$286,MATCH($I103,_玩家曲线!$A$2:$A$286,0)),""))</f>
        <v>2492171.46688672</v>
      </c>
      <c r="R103" s="21">
        <f>IF($I103="","",IFERROR(INDEX(_玩家曲线!$I$2:$I$286,MATCH($I103,_玩家曲线!$A$2:$A$286,0)),""))</f>
        <v>2966444.85159611</v>
      </c>
      <c r="S103" s="21">
        <f>IF(OR($J103="",$F103="不适用"),"",IFERROR(INDEX(_怪物模型!$D$2:$D$4501,MATCH(INT($J103)&amp;"|"&amp;$F103,_怪物模型!$A$2:$A$4501,0))*IF($K103="",1,$K103),""))</f>
        <v>851992</v>
      </c>
      <c r="T103" s="21">
        <f>IF(OR($J103="",$F103="不适用"),"",IFERROR(INDEX(_怪物模型!$E$2:$E$4501,MATCH(INT($J103)&amp;"|"&amp;$F103,_怪物模型!$A$2:$A$4501,0))*IF($L103="",1,$L103),""))</f>
        <v>91700</v>
      </c>
      <c r="U103" s="21">
        <f>IF(OR($J103="",$F103="不适用"),"",IFERROR(INDEX(_怪物模型!$F$2:$F$4501,MATCH(INT($J103)&amp;"|"&amp;$F103,_怪物模型!$A$2:$A$4501,0))*IF($M103="",1,$M103),""))</f>
        <v>38815</v>
      </c>
      <c r="V103" s="22">
        <f t="shared" si="10"/>
        <v>0.61792565470031</v>
      </c>
      <c r="W103" s="23">
        <f t="shared" si="11"/>
        <v>2229911.56166667</v>
      </c>
      <c r="X103" s="23">
        <f t="shared" si="12"/>
        <v>0.894766508362414</v>
      </c>
      <c r="Y103" s="23">
        <f t="shared" si="13"/>
        <v>32.3494531253665</v>
      </c>
      <c r="Z103" s="24" t="str">
        <f t="shared" si="14"/>
        <v/>
      </c>
      <c r="AA103" s="6" t="str">
        <f t="shared" si="15"/>
        <v>已计算</v>
      </c>
      <c r="AB103" s="6" t="str">
        <f t="shared" si="16"/>
        <v>有效</v>
      </c>
      <c r="AC103" s="6" t="str">
        <f t="shared" si="17"/>
        <v/>
      </c>
      <c r="AD103" s="7" t="s">
        <v>1021</v>
      </c>
    </row>
    <row r="104" ht="25" customHeight="1" spans="1:30">
      <c r="A104" s="6" t="s">
        <v>145</v>
      </c>
      <c r="B104" s="6" t="s">
        <v>59</v>
      </c>
      <c r="C104" s="7" t="s">
        <v>723</v>
      </c>
      <c r="D104" s="7" t="s">
        <v>1022</v>
      </c>
      <c r="E104" s="7" t="s">
        <v>1023</v>
      </c>
      <c r="F104" s="6" t="s">
        <v>159</v>
      </c>
      <c r="G104" s="16">
        <v>279</v>
      </c>
      <c r="H104" s="17"/>
      <c r="I104" s="18">
        <f t="shared" si="9"/>
        <v>279</v>
      </c>
      <c r="J104" s="19">
        <v>370</v>
      </c>
      <c r="K104" s="20"/>
      <c r="L104" s="20"/>
      <c r="M104" s="20"/>
      <c r="N104" s="20"/>
      <c r="O104" s="20"/>
      <c r="P104" s="20"/>
      <c r="Q104" s="21">
        <f>IF($I104="","",IFERROR(INDEX(_玩家曲线!$H$2:$H$286,MATCH($I104,_玩家曲线!$A$2:$A$286,0)),""))</f>
        <v>2497204.47172539</v>
      </c>
      <c r="R104" s="21">
        <f>IF($I104="","",IFERROR(INDEX(_玩家曲线!$I$2:$I$286,MATCH($I104,_玩家曲线!$A$2:$A$286,0)),""))</f>
        <v>2970822.69299639</v>
      </c>
      <c r="S104" s="21">
        <f>IF(OR($J104="",$F104="不适用"),"",IFERROR(INDEX(_怪物模型!$D$2:$D$4501,MATCH(INT($J104)&amp;"|"&amp;$F104,_怪物模型!$A$2:$A$4501,0))*IF($K104="",1,$K104),""))</f>
        <v>101916421</v>
      </c>
      <c r="T104" s="21">
        <f>IF(OR($J104="",$F104="不适用"),"",IFERROR(INDEX(_怪物模型!$E$2:$E$4501,MATCH(INT($J104)&amp;"|"&amp;$F104,_怪物模型!$A$2:$A$4501,0))*IF($L104="",1,$L104),""))</f>
        <v>91700</v>
      </c>
      <c r="U104" s="21">
        <f>IF(OR($J104="",$F104="不适用"),"",IFERROR(INDEX(_怪物模型!$F$2:$F$4501,MATCH(INT($J104)&amp;"|"&amp;$F104,_怪物模型!$A$2:$A$4501,0))*IF($M104="",1,$M104),""))</f>
        <v>38815</v>
      </c>
      <c r="V104" s="22">
        <f t="shared" si="10"/>
        <v>0.61792565470031</v>
      </c>
      <c r="W104" s="23">
        <f t="shared" si="11"/>
        <v>266744999.379792</v>
      </c>
      <c r="X104" s="23">
        <f t="shared" si="12"/>
        <v>106.817444226139</v>
      </c>
      <c r="Y104" s="23">
        <f t="shared" si="13"/>
        <v>32.397194034857</v>
      </c>
      <c r="Z104" s="24" t="str">
        <f t="shared" si="14"/>
        <v/>
      </c>
      <c r="AA104" s="6" t="str">
        <f t="shared" si="15"/>
        <v>已计算</v>
      </c>
      <c r="AB104" s="6" t="str">
        <f t="shared" si="16"/>
        <v>有效</v>
      </c>
      <c r="AC104" s="6" t="str">
        <f t="shared" si="17"/>
        <v/>
      </c>
      <c r="AD104" s="7" t="s">
        <v>1024</v>
      </c>
    </row>
  </sheetData>
  <mergeCells count="3">
    <mergeCell ref="A1:AD1"/>
    <mergeCell ref="A2:AD2"/>
    <mergeCell ref="A3:AD3"/>
  </mergeCells>
  <conditionalFormatting sqref="J5:J104">
    <cfRule type="expression" dxfId="2" priority="1">
      <formula>AND($A5&lt;&gt;"特殊：双方属性对算",$J5="")</formula>
    </cfRule>
  </conditionalFormatting>
  <conditionalFormatting sqref="AA5:AA104">
    <cfRule type="expression" dxfId="0" priority="3">
      <formula>$AA5="适中"</formula>
    </cfRule>
    <cfRule type="expression" dxfId="3" priority="4">
      <formula>$AA5="偏难"</formula>
    </cfRule>
    <cfRule type="expression" dxfId="1" priority="5">
      <formula>$AA5="过难"</formula>
    </cfRule>
    <cfRule type="expression" dxfId="1" priority="6">
      <formula>$AA5="生存不成立"</formula>
    </cfRule>
  </conditionalFormatting>
  <conditionalFormatting sqref="AB5:AB104">
    <cfRule type="expression" dxfId="4" priority="2">
      <formula>$AB5="超范围"</formula>
    </cfRule>
  </conditionalFormatting>
  <conditionalFormatting sqref="AC5:AC104">
    <cfRule type="expression" dxfId="4" priority="7">
      <formula>$AC5="下降"</formula>
    </cfRule>
  </conditionalFormatting>
  <dataValidations count="5">
    <dataValidation type="list" sqref="F5:F104">
      <formula1>_字典!$A$2:$A$11</formula1>
    </dataValidation>
    <dataValidation type="whole" operator="between" allowBlank="1" sqref="H5:H104">
      <formula1>1</formula1>
      <formula2>285</formula2>
    </dataValidation>
    <dataValidation type="whole" operator="between" allowBlank="1" sqref="J5:J104">
      <formula1>1</formula1>
      <formula2>500</formula2>
    </dataValidation>
    <dataValidation type="decimal" operator="between" allowBlank="1" sqref="P5:P104">
      <formula1>0.01</formula1>
      <formula2>3600</formula2>
    </dataValidation>
    <dataValidation type="decimal" operator="between" allowBlank="1" sqref="K5:O104">
      <formula1>0</formula1>
      <formula2>100</formula2>
    </dataValidation>
  </dataValidations>
  <hyperlinks>
    <hyperlink ref="A1" r:id="rId4" display="全玩法难度填写｜爬塔"/>
  </hyperlinks>
  <pageMargins left="0.75" right="0.75" top="1" bottom="1" header="0.5" footer="0.5"/>
  <pageSetup paperSize="1" orientation="landscape"/>
  <headerFooter/>
  <legacy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  <pageSetUpPr fitToPage="1"/>
  </sheetPr>
  <dimension ref="A1:AD14"/>
  <sheetViews>
    <sheetView showGridLines="0" workbookViewId="0">
      <pane xSplit="6" ySplit="4" topLeftCell="G5" activePane="bottomRight" state="frozen"/>
      <selection/>
      <selection pane="topRight"/>
      <selection pane="bottomLeft"/>
      <selection pane="bottomRight" activeCell="A1" sqref="A1:AD1"/>
    </sheetView>
  </sheetViews>
  <sheetFormatPr defaultColWidth="9" defaultRowHeight="13.5"/>
  <cols>
    <col min="1" max="1" width="12" customWidth="1"/>
    <col min="2" max="2" width="13" customWidth="1"/>
    <col min="3" max="3" width="18" customWidth="1"/>
    <col min="4" max="4" width="15" customWidth="1"/>
    <col min="5" max="5" width="35" customWidth="1"/>
    <col min="6" max="9" width="14" customWidth="1"/>
    <col min="10" max="10" width="12" customWidth="1"/>
    <col min="11" max="13" width="11" customWidth="1"/>
    <col min="14" max="15" width="13" customWidth="1"/>
    <col min="16" max="16" width="12" customWidth="1"/>
    <col min="17" max="21" width="16" customWidth="1"/>
    <col min="22" max="22" width="12" customWidth="1"/>
    <col min="23" max="23" width="17" customWidth="1"/>
    <col min="24" max="25" width="14" customWidth="1"/>
    <col min="26" max="26" width="12" customWidth="1"/>
    <col min="27" max="27" width="15" customWidth="1"/>
    <col min="28" max="29" width="12" customWidth="1"/>
    <col min="30" max="30" width="46" customWidth="1"/>
  </cols>
  <sheetData>
    <row r="1" ht="34" customHeight="1" spans="1:30">
      <c r="A1" s="2" t="s">
        <v>1025</v>
      </c>
    </row>
    <row r="2" ht="30" customHeight="1" spans="1:30">
      <c r="A2" s="3" t="s">
        <v>116</v>
      </c>
    </row>
    <row r="3" ht="14.25" customHeight="1" spans="1:30">
      <c r="A3" s="4" t="s">
        <v>117</v>
      </c>
    </row>
    <row r="4" ht="36" customHeight="1" spans="1:30">
      <c r="A4" s="5" t="s">
        <v>80</v>
      </c>
      <c r="B4" s="5" t="s">
        <v>79</v>
      </c>
      <c r="C4" s="5" t="s">
        <v>118</v>
      </c>
      <c r="D4" s="5" t="s">
        <v>119</v>
      </c>
      <c r="E4" s="5" t="s">
        <v>120</v>
      </c>
      <c r="F4" s="5" t="s">
        <v>121</v>
      </c>
      <c r="G4" s="5" t="s">
        <v>122</v>
      </c>
      <c r="H4" s="5" t="s">
        <v>123</v>
      </c>
      <c r="I4" s="5" t="s">
        <v>124</v>
      </c>
      <c r="J4" s="5" t="s">
        <v>125</v>
      </c>
      <c r="K4" s="5" t="s">
        <v>126</v>
      </c>
      <c r="L4" s="5" t="s">
        <v>127</v>
      </c>
      <c r="M4" s="5" t="s">
        <v>128</v>
      </c>
      <c r="N4" s="5" t="s">
        <v>129</v>
      </c>
      <c r="O4" s="5" t="s">
        <v>130</v>
      </c>
      <c r="P4" s="5" t="s">
        <v>131</v>
      </c>
      <c r="Q4" s="5" t="s">
        <v>132</v>
      </c>
      <c r="R4" s="5" t="s">
        <v>133</v>
      </c>
      <c r="S4" s="5" t="s">
        <v>134</v>
      </c>
      <c r="T4" s="5" t="s">
        <v>135</v>
      </c>
      <c r="U4" s="5" t="s">
        <v>136</v>
      </c>
      <c r="V4" s="5" t="s">
        <v>137</v>
      </c>
      <c r="W4" s="5" t="s">
        <v>138</v>
      </c>
      <c r="X4" s="5" t="s">
        <v>139</v>
      </c>
      <c r="Y4" s="5" t="s">
        <v>140</v>
      </c>
      <c r="Z4" s="5" t="s">
        <v>141</v>
      </c>
      <c r="AA4" s="5" t="s">
        <v>142</v>
      </c>
      <c r="AB4" s="5" t="s">
        <v>143</v>
      </c>
      <c r="AC4" s="5" t="s">
        <v>144</v>
      </c>
      <c r="AD4" s="5" t="s">
        <v>90</v>
      </c>
    </row>
    <row r="5" ht="25" customHeight="1" spans="1:30">
      <c r="A5" s="6" t="s">
        <v>145</v>
      </c>
      <c r="B5" s="6" t="s">
        <v>60</v>
      </c>
      <c r="C5" s="7" t="s">
        <v>1026</v>
      </c>
      <c r="D5" s="7" t="s">
        <v>568</v>
      </c>
      <c r="E5" s="7" t="s">
        <v>1027</v>
      </c>
      <c r="F5" s="6" t="s">
        <v>159</v>
      </c>
      <c r="G5" s="16">
        <v>54</v>
      </c>
      <c r="H5" s="17"/>
      <c r="I5" s="18">
        <f t="shared" ref="I5:I14" si="0">IF($H5="",$G5,$H5)</f>
        <v>54</v>
      </c>
      <c r="J5" s="19">
        <v>87</v>
      </c>
      <c r="K5" s="20"/>
      <c r="L5" s="20"/>
      <c r="M5" s="20"/>
      <c r="N5" s="20"/>
      <c r="O5" s="20"/>
      <c r="P5" s="20"/>
      <c r="Q5" s="21">
        <f>IF($I5="","",IFERROR(INDEX(_玩家曲线!$H$2:$H$286,MATCH($I5,_玩家曲线!$A$2:$A$286,0)),""))</f>
        <v>198278.838059359</v>
      </c>
      <c r="R5" s="21">
        <f>IF($I5="","",IFERROR(INDEX(_玩家曲线!$I$2:$I$286,MATCH($I5,_玩家曲线!$A$2:$A$286,0)),""))</f>
        <v>405824.713797907</v>
      </c>
      <c r="S5" s="21">
        <f>IF(OR($J5="",$F5="不适用"),"",IFERROR(INDEX(_怪物模型!$D$2:$D$4501,MATCH(INT($J5)&amp;"|"&amp;$F5,_怪物模型!$A$2:$A$4501,0))*IF($K5="",1,$K5),""))</f>
        <v>2430709</v>
      </c>
      <c r="T5" s="21">
        <f>IF(OR($J5="",$F5="不适用"),"",IFERROR(INDEX(_怪物模型!$E$2:$E$4501,MATCH(INT($J5)&amp;"|"&amp;$F5,_怪物模型!$A$2:$A$4501,0))*IF($L5="",1,$L5),""))</f>
        <v>5342</v>
      </c>
      <c r="U5" s="21">
        <f>IF(OR($J5="",$F5="不适用"),"",IFERROR(INDEX(_怪物模型!$F$2:$F$4501,MATCH(INT($J5)&amp;"|"&amp;$F5,_怪物模型!$A$2:$A$4501,0))*IF($M5="",1,$M5),""))</f>
        <v>6859</v>
      </c>
      <c r="V5" s="22">
        <f t="shared" ref="V5:V14" si="1">IF($U5="","",MIN(0.75,$U5/($U5+24000)))</f>
        <v>0.22226903010467</v>
      </c>
      <c r="W5" s="23">
        <f t="shared" ref="W5:W14" si="2">IF($S5="","",$S5/(1-$V5)*IF($N5="",1,$N5))</f>
        <v>3125385.37629167</v>
      </c>
      <c r="X5" s="23">
        <f t="shared" ref="X5:X14" si="3">IF(OR($W5="",$Q5="",$Q5=0),"",$W5/$Q5)</f>
        <v>15.76257661625</v>
      </c>
      <c r="Y5" s="23">
        <f t="shared" ref="Y5:Y14" si="4">IF(OR($R5="",$T5="",$T5=0),"",$R5/($T5*IF($O5="",1,$O5)))</f>
        <v>75.9686847244304</v>
      </c>
      <c r="Z5" s="24" t="str">
        <f t="shared" ref="Z5:Z14" si="5">IF(OR($X5="",$P5="",$P5=0),"",$X5/$P5)</f>
        <v/>
      </c>
      <c r="AA5" s="6" t="str">
        <f t="shared" ref="AA5:AA14" si="6">IF($J5="","待填怪物等级",IF(OR($I5="",$Q5=""),"待填对照关卡",IF($P5="","已计算",IF(AND($Y5&lt;&gt;"",$Y5&lt;$X5),"生存不成立",IF($Z5&lt;0.5,"碾压",IF($Z5&lt;0.8,"偏简单",IF($Z5&lt;=1.2,"适中",IF($Z5&lt;=1.5,"偏难","过难"))))))))</f>
        <v>已计算</v>
      </c>
      <c r="AB5" s="6" t="str">
        <f t="shared" ref="AB5:AB14" si="7">IF($J5="","待填",IF(AND(ISNUMBER($J5),$J5&gt;=1,$J5&lt;=500,MOD($J5,1)=0),"有效","超范围"))</f>
        <v>有效</v>
      </c>
      <c r="AC5" s="6" t="str">
        <f t="shared" ref="AC5:AC14" si="8">IF(OR($J5="",ROW()=5,$B5&lt;&gt;$B4,$J4=""),"",IF($J5&lt;$J4,"下降",""))</f>
        <v/>
      </c>
      <c r="AD5" s="7" t="s">
        <v>1028</v>
      </c>
    </row>
    <row r="6" ht="25" customHeight="1" spans="1:30">
      <c r="A6" s="6" t="s">
        <v>145</v>
      </c>
      <c r="B6" s="6" t="s">
        <v>60</v>
      </c>
      <c r="C6" s="7" t="s">
        <v>1026</v>
      </c>
      <c r="D6" s="7" t="s">
        <v>571</v>
      </c>
      <c r="E6" s="7" t="s">
        <v>1029</v>
      </c>
      <c r="F6" s="6" t="s">
        <v>159</v>
      </c>
      <c r="G6" s="16">
        <v>64</v>
      </c>
      <c r="H6" s="17"/>
      <c r="I6" s="18">
        <f t="shared" si="0"/>
        <v>64</v>
      </c>
      <c r="J6" s="19">
        <v>118</v>
      </c>
      <c r="K6" s="20"/>
      <c r="L6" s="20"/>
      <c r="M6" s="20"/>
      <c r="N6" s="20"/>
      <c r="O6" s="20"/>
      <c r="P6" s="20"/>
      <c r="Q6" s="21">
        <f>IF($I6="","",IFERROR(INDEX(_玩家曲线!$H$2:$H$286,MATCH($I6,_玩家曲线!$A$2:$A$286,0)),""))</f>
        <v>283724.698482439</v>
      </c>
      <c r="R6" s="21">
        <f>IF($I6="","",IFERROR(INDEX(_玩家曲线!$I$2:$I$286,MATCH($I6,_玩家曲线!$A$2:$A$286,0)),""))</f>
        <v>538396.240868028</v>
      </c>
      <c r="S6" s="21">
        <f>IF(OR($J6="",$F6="不适用"),"",IFERROR(INDEX(_怪物模型!$D$2:$D$4501,MATCH(INT($J6)&amp;"|"&amp;$F6,_怪物模型!$A$2:$A$4501,0))*IF($K6="",1,$K6),""))</f>
        <v>4667690</v>
      </c>
      <c r="T6" s="21">
        <f>IF(OR($J6="",$F6="不适用"),"",IFERROR(INDEX(_怪物模型!$E$2:$E$4501,MATCH(INT($J6)&amp;"|"&amp;$F6,_怪物模型!$A$2:$A$4501,0))*IF($L6="",1,$L6),""))</f>
        <v>8791</v>
      </c>
      <c r="U6" s="21">
        <f>IF(OR($J6="",$F6="不适用"),"",IFERROR(INDEX(_怪物模型!$F$2:$F$4501,MATCH(INT($J6)&amp;"|"&amp;$F6,_怪物模型!$A$2:$A$4501,0))*IF($M6="",1,$M6),""))</f>
        <v>9639</v>
      </c>
      <c r="V6" s="22">
        <f t="shared" si="1"/>
        <v>0.286542406135735</v>
      </c>
      <c r="W6" s="23">
        <f t="shared" si="2"/>
        <v>6542350.99625</v>
      </c>
      <c r="X6" s="23">
        <f t="shared" si="3"/>
        <v>23.0587997141001</v>
      </c>
      <c r="Y6" s="23">
        <f t="shared" si="4"/>
        <v>61.2440269443781</v>
      </c>
      <c r="Z6" s="24" t="str">
        <f t="shared" si="5"/>
        <v/>
      </c>
      <c r="AA6" s="6" t="str">
        <f t="shared" si="6"/>
        <v>已计算</v>
      </c>
      <c r="AB6" s="6" t="str">
        <f t="shared" si="7"/>
        <v>有效</v>
      </c>
      <c r="AC6" s="6" t="str">
        <f t="shared" si="8"/>
        <v/>
      </c>
      <c r="AD6" s="7" t="s">
        <v>1030</v>
      </c>
    </row>
    <row r="7" ht="25" customHeight="1" spans="1:30">
      <c r="A7" s="6" t="s">
        <v>145</v>
      </c>
      <c r="B7" s="6" t="s">
        <v>60</v>
      </c>
      <c r="C7" s="7" t="s">
        <v>1026</v>
      </c>
      <c r="D7" s="7" t="s">
        <v>574</v>
      </c>
      <c r="E7" s="7" t="s">
        <v>1031</v>
      </c>
      <c r="F7" s="6" t="s">
        <v>159</v>
      </c>
      <c r="G7" s="16">
        <v>76</v>
      </c>
      <c r="H7" s="17"/>
      <c r="I7" s="18">
        <f t="shared" si="0"/>
        <v>76</v>
      </c>
      <c r="J7" s="19">
        <v>148</v>
      </c>
      <c r="K7" s="20"/>
      <c r="L7" s="20"/>
      <c r="M7" s="20"/>
      <c r="N7" s="20"/>
      <c r="O7" s="20"/>
      <c r="P7" s="20"/>
      <c r="Q7" s="21">
        <f>IF($I7="","",IFERROR(INDEX(_玩家曲线!$H$2:$H$286,MATCH($I7,_玩家曲线!$A$2:$A$286,0)),""))</f>
        <v>433557.750887974</v>
      </c>
      <c r="R7" s="21">
        <f>IF($I7="","",IFERROR(INDEX(_玩家曲线!$I$2:$I$286,MATCH($I7,_玩家曲线!$A$2:$A$286,0)),""))</f>
        <v>782852.422302741</v>
      </c>
      <c r="S7" s="21">
        <f>IF(OR($J7="",$F7="不适用"),"",IFERROR(INDEX(_怪物模型!$D$2:$D$4501,MATCH(INT($J7)&amp;"|"&amp;$F7,_怪物模型!$A$2:$A$4501,0))*IF($K7="",1,$K7),""))</f>
        <v>7901245</v>
      </c>
      <c r="T7" s="21">
        <f>IF(OR($J7="",$F7="不适用"),"",IFERROR(INDEX(_怪物模型!$E$2:$E$4501,MATCH(INT($J7)&amp;"|"&amp;$F7,_怪物模型!$A$2:$A$4501,0))*IF($L7="",1,$L7),""))</f>
        <v>13110</v>
      </c>
      <c r="U7" s="21">
        <f>IF(OR($J7="",$F7="不适用"),"",IFERROR(INDEX(_怪物模型!$F$2:$F$4501,MATCH(INT($J7)&amp;"|"&amp;$F7,_怪物模型!$A$2:$A$4501,0))*IF($M7="",1,$M7),""))</f>
        <v>12499</v>
      </c>
      <c r="V7" s="22">
        <f t="shared" si="1"/>
        <v>0.3424477382942</v>
      </c>
      <c r="W7" s="23">
        <f t="shared" si="2"/>
        <v>12016147.5522917</v>
      </c>
      <c r="X7" s="23">
        <f t="shared" si="3"/>
        <v>27.7152179327466</v>
      </c>
      <c r="Y7" s="23">
        <f t="shared" si="4"/>
        <v>59.7141435776309</v>
      </c>
      <c r="Z7" s="24" t="str">
        <f t="shared" si="5"/>
        <v/>
      </c>
      <c r="AA7" s="6" t="str">
        <f t="shared" si="6"/>
        <v>已计算</v>
      </c>
      <c r="AB7" s="6" t="str">
        <f t="shared" si="7"/>
        <v>有效</v>
      </c>
      <c r="AC7" s="6" t="str">
        <f t="shared" si="8"/>
        <v/>
      </c>
      <c r="AD7" s="7" t="s">
        <v>1032</v>
      </c>
    </row>
    <row r="8" ht="25" customHeight="1" spans="1:30">
      <c r="A8" s="6" t="s">
        <v>145</v>
      </c>
      <c r="B8" s="6" t="s">
        <v>60</v>
      </c>
      <c r="C8" s="7" t="s">
        <v>1026</v>
      </c>
      <c r="D8" s="7" t="s">
        <v>577</v>
      </c>
      <c r="E8" s="7" t="s">
        <v>1033</v>
      </c>
      <c r="F8" s="6" t="s">
        <v>159</v>
      </c>
      <c r="G8" s="16">
        <v>89</v>
      </c>
      <c r="H8" s="17"/>
      <c r="I8" s="18">
        <f t="shared" si="0"/>
        <v>89</v>
      </c>
      <c r="J8" s="19">
        <v>172</v>
      </c>
      <c r="K8" s="20"/>
      <c r="L8" s="20"/>
      <c r="M8" s="20"/>
      <c r="N8" s="20"/>
      <c r="O8" s="20"/>
      <c r="P8" s="20"/>
      <c r="Q8" s="21">
        <f>IF($I8="","",IFERROR(INDEX(_玩家曲线!$H$2:$H$286,MATCH($I8,_玩家曲线!$A$2:$A$286,0)),""))</f>
        <v>599154.342761463</v>
      </c>
      <c r="R8" s="21">
        <f>IF($I8="","",IFERROR(INDEX(_玩家曲线!$I$2:$I$286,MATCH($I8,_玩家曲线!$A$2:$A$286,0)),""))</f>
        <v>1035127.81575273</v>
      </c>
      <c r="S8" s="21">
        <f>IF(OR($J8="",$F8="不适用"),"",IFERROR(INDEX(_怪物模型!$D$2:$D$4501,MATCH(INT($J8)&amp;"|"&amp;$F8,_怪物模型!$A$2:$A$4501,0))*IF($K8="",1,$K8),""))</f>
        <v>11430059</v>
      </c>
      <c r="T8" s="21">
        <f>IF(OR($J8="",$F8="不适用"),"",IFERROR(INDEX(_怪物模型!$E$2:$E$4501,MATCH(INT($J8)&amp;"|"&amp;$F8,_怪物模型!$A$2:$A$4501,0))*IF($L8="",1,$L8),""))</f>
        <v>17358</v>
      </c>
      <c r="U8" s="21">
        <f>IF(OR($J8="",$F8="不适用"),"",IFERROR(INDEX(_怪物模型!$F$2:$F$4501,MATCH(INT($J8)&amp;"|"&amp;$F8,_怪物模型!$A$2:$A$4501,0))*IF($M8="",1,$M8),""))</f>
        <v>14906</v>
      </c>
      <c r="V8" s="22">
        <f t="shared" si="1"/>
        <v>0.383128566287976</v>
      </c>
      <c r="W8" s="23">
        <f t="shared" si="2"/>
        <v>18529078.1439167</v>
      </c>
      <c r="X8" s="23">
        <f t="shared" si="3"/>
        <v>30.9253840312954</v>
      </c>
      <c r="Y8" s="23">
        <f t="shared" si="4"/>
        <v>59.634048608868</v>
      </c>
      <c r="Z8" s="24" t="str">
        <f t="shared" si="5"/>
        <v/>
      </c>
      <c r="AA8" s="6" t="str">
        <f t="shared" si="6"/>
        <v>已计算</v>
      </c>
      <c r="AB8" s="6" t="str">
        <f t="shared" si="7"/>
        <v>有效</v>
      </c>
      <c r="AC8" s="6" t="str">
        <f t="shared" si="8"/>
        <v/>
      </c>
      <c r="AD8" s="7" t="s">
        <v>1034</v>
      </c>
    </row>
    <row r="9" ht="25" customHeight="1" spans="1:30">
      <c r="A9" s="6" t="s">
        <v>145</v>
      </c>
      <c r="B9" s="6" t="s">
        <v>60</v>
      </c>
      <c r="C9" s="7" t="s">
        <v>1026</v>
      </c>
      <c r="D9" s="7" t="s">
        <v>580</v>
      </c>
      <c r="E9" s="7" t="s">
        <v>1035</v>
      </c>
      <c r="F9" s="6" t="s">
        <v>159</v>
      </c>
      <c r="G9" s="16">
        <v>104</v>
      </c>
      <c r="H9" s="17"/>
      <c r="I9" s="18">
        <f t="shared" si="0"/>
        <v>104</v>
      </c>
      <c r="J9" s="19">
        <v>196</v>
      </c>
      <c r="K9" s="20"/>
      <c r="L9" s="20"/>
      <c r="M9" s="20"/>
      <c r="N9" s="20"/>
      <c r="O9" s="20"/>
      <c r="P9" s="20"/>
      <c r="Q9" s="21">
        <f>IF($I9="","",IFERROR(INDEX(_玩家曲线!$H$2:$H$286,MATCH($I9,_玩家曲线!$A$2:$A$286,0)),""))</f>
        <v>817424.93302004</v>
      </c>
      <c r="R9" s="21">
        <f>IF($I9="","",IFERROR(INDEX(_玩家曲线!$I$2:$I$286,MATCH($I9,_玩家曲线!$A$2:$A$286,0)),""))</f>
        <v>1331853.05839458</v>
      </c>
      <c r="S9" s="21">
        <f>IF(OR($J9="",$F9="不适用"),"",IFERROR(INDEX(_怪物模型!$D$2:$D$4501,MATCH(INT($J9)&amp;"|"&amp;$F9,_怪物模型!$A$2:$A$4501,0))*IF($K9="",1,$K9),""))</f>
        <v>15976312</v>
      </c>
      <c r="T9" s="21">
        <f>IF(OR($J9="",$F9="不适用"),"",IFERROR(INDEX(_怪物模型!$E$2:$E$4501,MATCH(INT($J9)&amp;"|"&amp;$F9,_怪物模型!$A$2:$A$4501,0))*IF($L9="",1,$L9),""))</f>
        <v>22397</v>
      </c>
      <c r="U9" s="21">
        <f>IF(OR($J9="",$F9="不适用"),"",IFERROR(INDEX(_怪物模型!$F$2:$F$4501,MATCH(INT($J9)&amp;"|"&amp;$F9,_怪物模型!$A$2:$A$4501,0))*IF($M9="",1,$M9),""))</f>
        <v>17420</v>
      </c>
      <c r="V9" s="22">
        <f t="shared" si="1"/>
        <v>0.420569773056494</v>
      </c>
      <c r="W9" s="23">
        <f t="shared" si="2"/>
        <v>27572451.7933333</v>
      </c>
      <c r="X9" s="23">
        <f t="shared" si="3"/>
        <v>33.7308671164027</v>
      </c>
      <c r="Y9" s="23">
        <f t="shared" si="4"/>
        <v>59.4656899760941</v>
      </c>
      <c r="Z9" s="24" t="str">
        <f t="shared" si="5"/>
        <v/>
      </c>
      <c r="AA9" s="6" t="str">
        <f t="shared" si="6"/>
        <v>已计算</v>
      </c>
      <c r="AB9" s="6" t="str">
        <f t="shared" si="7"/>
        <v>有效</v>
      </c>
      <c r="AC9" s="6" t="str">
        <f t="shared" si="8"/>
        <v/>
      </c>
      <c r="AD9" s="7" t="s">
        <v>1036</v>
      </c>
    </row>
    <row r="10" ht="25" customHeight="1" spans="1:30">
      <c r="A10" s="6" t="s">
        <v>145</v>
      </c>
      <c r="B10" s="6" t="s">
        <v>60</v>
      </c>
      <c r="C10" s="7" t="s">
        <v>1026</v>
      </c>
      <c r="D10" s="7" t="s">
        <v>583</v>
      </c>
      <c r="E10" s="7" t="s">
        <v>1037</v>
      </c>
      <c r="F10" s="6" t="s">
        <v>159</v>
      </c>
      <c r="G10" s="16">
        <v>122</v>
      </c>
      <c r="H10" s="17"/>
      <c r="I10" s="18">
        <f t="shared" si="0"/>
        <v>122</v>
      </c>
      <c r="J10" s="19">
        <v>224</v>
      </c>
      <c r="K10" s="20"/>
      <c r="L10" s="20"/>
      <c r="M10" s="20"/>
      <c r="N10" s="20"/>
      <c r="O10" s="20"/>
      <c r="P10" s="20"/>
      <c r="Q10" s="21">
        <f>IF($I10="","",IFERROR(INDEX(_玩家曲线!$H$2:$H$286,MATCH($I10,_玩家曲线!$A$2:$A$286,0)),""))</f>
        <v>1187446.35278777</v>
      </c>
      <c r="R10" s="21">
        <f>IF($I10="","",IFERROR(INDEX(_玩家曲线!$I$2:$I$286,MATCH($I10,_玩家曲线!$A$2:$A$286,0)),""))</f>
        <v>1747969.81789031</v>
      </c>
      <c r="S10" s="21">
        <f>IF(OR($J10="",$F10="不适用"),"",IFERROR(INDEX(_怪物模型!$D$2:$D$4501,MATCH(INT($J10)&amp;"|"&amp;$F10,_怪物模型!$A$2:$A$4501,0))*IF($K10="",1,$K10),""))</f>
        <v>22826923</v>
      </c>
      <c r="T10" s="21">
        <f>IF(OR($J10="",$F10="不适用"),"",IFERROR(INDEX(_怪物模型!$E$2:$E$4501,MATCH(INT($J10)&amp;"|"&amp;$F10,_怪物模型!$A$2:$A$4501,0))*IF($L10="",1,$L10),""))</f>
        <v>29393</v>
      </c>
      <c r="U10" s="21">
        <f>IF(OR($J10="",$F10="不适用"),"",IFERROR(INDEX(_怪物模型!$F$2:$F$4501,MATCH(INT($J10)&amp;"|"&amp;$F10,_怪物模型!$A$2:$A$4501,0))*IF($M10="",1,$M10),""))</f>
        <v>20486</v>
      </c>
      <c r="V10" s="22">
        <f t="shared" si="1"/>
        <v>0.460504428359484</v>
      </c>
      <c r="W10" s="23">
        <f t="shared" si="2"/>
        <v>42311604.0240833</v>
      </c>
      <c r="X10" s="23">
        <f t="shared" si="3"/>
        <v>35.6324341935518</v>
      </c>
      <c r="Y10" s="23">
        <f t="shared" si="4"/>
        <v>59.4689149760252</v>
      </c>
      <c r="Z10" s="24" t="str">
        <f t="shared" si="5"/>
        <v/>
      </c>
      <c r="AA10" s="6" t="str">
        <f t="shared" si="6"/>
        <v>已计算</v>
      </c>
      <c r="AB10" s="6" t="str">
        <f t="shared" si="7"/>
        <v>有效</v>
      </c>
      <c r="AC10" s="6" t="str">
        <f t="shared" si="8"/>
        <v/>
      </c>
      <c r="AD10" s="7" t="s">
        <v>1038</v>
      </c>
    </row>
    <row r="11" ht="25" customHeight="1" spans="1:30">
      <c r="A11" s="6" t="s">
        <v>145</v>
      </c>
      <c r="B11" s="6" t="s">
        <v>60</v>
      </c>
      <c r="C11" s="7" t="s">
        <v>1026</v>
      </c>
      <c r="D11" s="7" t="s">
        <v>586</v>
      </c>
      <c r="E11" s="7" t="s">
        <v>1039</v>
      </c>
      <c r="F11" s="6" t="s">
        <v>159</v>
      </c>
      <c r="G11" s="16">
        <v>144</v>
      </c>
      <c r="H11" s="17"/>
      <c r="I11" s="18">
        <f t="shared" si="0"/>
        <v>144</v>
      </c>
      <c r="J11" s="19">
        <v>244</v>
      </c>
      <c r="K11" s="20"/>
      <c r="L11" s="20"/>
      <c r="M11" s="20"/>
      <c r="N11" s="20"/>
      <c r="O11" s="20"/>
      <c r="P11" s="20"/>
      <c r="Q11" s="21">
        <f>IF($I11="","",IFERROR(INDEX(_玩家曲线!$H$2:$H$286,MATCH($I11,_玩家曲线!$A$2:$A$286,0)),""))</f>
        <v>1582287.54937495</v>
      </c>
      <c r="R11" s="21">
        <f>IF($I11="","",IFERROR(INDEX(_玩家曲线!$I$2:$I$286,MATCH($I11,_玩家曲线!$A$2:$A$286,0)),""))</f>
        <v>2146871.09901702</v>
      </c>
      <c r="S11" s="21">
        <f>IF(OR($J11="",$F11="不适用"),"",IFERROR(INDEX(_怪物模型!$D$2:$D$4501,MATCH(INT($J11)&amp;"|"&amp;$F11,_怪物模型!$A$2:$A$4501,0))*IF($K11="",1,$K11),""))</f>
        <v>28927088</v>
      </c>
      <c r="T11" s="21">
        <f>IF(OR($J11="",$F11="不适用"),"",IFERROR(INDEX(_怪物模型!$E$2:$E$4501,MATCH(INT($J11)&amp;"|"&amp;$F11,_怪物模型!$A$2:$A$4501,0))*IF($L11="",1,$L11),""))</f>
        <v>35204</v>
      </c>
      <c r="U11" s="21">
        <f>IF(OR($J11="",$F11="不适用"),"",IFERROR(INDEX(_怪物模型!$F$2:$F$4501,MATCH(INT($J11)&amp;"|"&amp;$F11,_怪物模型!$A$2:$A$4501,0))*IF($M11="",1,$M11),""))</f>
        <v>22765</v>
      </c>
      <c r="V11" s="22">
        <f t="shared" si="1"/>
        <v>0.486795680530311</v>
      </c>
      <c r="W11" s="23">
        <f t="shared" si="2"/>
        <v>56365636.2633333</v>
      </c>
      <c r="X11" s="23">
        <f t="shared" si="3"/>
        <v>35.6228779564115</v>
      </c>
      <c r="Y11" s="23">
        <f t="shared" si="4"/>
        <v>60.983726253182</v>
      </c>
      <c r="Z11" s="24" t="str">
        <f t="shared" si="5"/>
        <v/>
      </c>
      <c r="AA11" s="6" t="str">
        <f t="shared" si="6"/>
        <v>已计算</v>
      </c>
      <c r="AB11" s="6" t="str">
        <f t="shared" si="7"/>
        <v>有效</v>
      </c>
      <c r="AC11" s="6" t="str">
        <f t="shared" si="8"/>
        <v/>
      </c>
      <c r="AD11" s="7" t="s">
        <v>1040</v>
      </c>
    </row>
    <row r="12" ht="25" customHeight="1" spans="1:30">
      <c r="A12" s="6" t="s">
        <v>145</v>
      </c>
      <c r="B12" s="6" t="s">
        <v>60</v>
      </c>
      <c r="C12" s="7" t="s">
        <v>1026</v>
      </c>
      <c r="D12" s="7" t="s">
        <v>589</v>
      </c>
      <c r="E12" s="7" t="s">
        <v>1041</v>
      </c>
      <c r="F12" s="6" t="s">
        <v>159</v>
      </c>
      <c r="G12" s="16">
        <v>172</v>
      </c>
      <c r="H12" s="17"/>
      <c r="I12" s="18">
        <f t="shared" si="0"/>
        <v>172</v>
      </c>
      <c r="J12" s="19">
        <v>263</v>
      </c>
      <c r="K12" s="20"/>
      <c r="L12" s="20"/>
      <c r="M12" s="20"/>
      <c r="N12" s="20"/>
      <c r="O12" s="20"/>
      <c r="P12" s="20"/>
      <c r="Q12" s="21">
        <f>IF($I12="","",IFERROR(INDEX(_玩家曲线!$H$2:$H$286,MATCH($I12,_玩家曲线!$A$2:$A$286,0)),""))</f>
        <v>1957891.98480228</v>
      </c>
      <c r="R12" s="21">
        <f>IF($I12="","",IFERROR(INDEX(_玩家曲线!$I$2:$I$286,MATCH($I12,_玩家曲线!$A$2:$A$286,0)),""))</f>
        <v>2497333.93538684</v>
      </c>
      <c r="S12" s="21">
        <f>IF(OR($J12="",$F12="不适用"),"",IFERROR(INDEX(_怪物模型!$D$2:$D$4501,MATCH(INT($J12)&amp;"|"&amp;$F12,_怪物模型!$A$2:$A$4501,0))*IF($K12="",1,$K12),""))</f>
        <v>35806200</v>
      </c>
      <c r="T12" s="21">
        <f>IF(OR($J12="",$F12="不适用"),"",IFERROR(INDEX(_怪物模型!$E$2:$E$4501,MATCH(INT($J12)&amp;"|"&amp;$F12,_怪物模型!$A$2:$A$4501,0))*IF($L12="",1,$L12),""))</f>
        <v>41414</v>
      </c>
      <c r="U12" s="21">
        <f>IF(OR($J12="",$F12="不适用"),"",IFERROR(INDEX(_怪物模型!$F$2:$F$4501,MATCH(INT($J12)&amp;"|"&amp;$F12,_怪物模型!$A$2:$A$4501,0))*IF($M12="",1,$M12),""))</f>
        <v>24998</v>
      </c>
      <c r="V12" s="22">
        <f t="shared" si="1"/>
        <v>0.510184089146496</v>
      </c>
      <c r="W12" s="23">
        <f t="shared" si="2"/>
        <v>73101341.15</v>
      </c>
      <c r="X12" s="23">
        <f t="shared" si="3"/>
        <v>37.3367589823308</v>
      </c>
      <c r="Y12" s="23">
        <f t="shared" si="4"/>
        <v>60.3016838602125</v>
      </c>
      <c r="Z12" s="24" t="str">
        <f t="shared" si="5"/>
        <v/>
      </c>
      <c r="AA12" s="6" t="str">
        <f t="shared" si="6"/>
        <v>已计算</v>
      </c>
      <c r="AB12" s="6" t="str">
        <f t="shared" si="7"/>
        <v>有效</v>
      </c>
      <c r="AC12" s="6" t="str">
        <f t="shared" si="8"/>
        <v/>
      </c>
      <c r="AD12" s="7" t="s">
        <v>1042</v>
      </c>
    </row>
    <row r="13" ht="25" customHeight="1" spans="1:30">
      <c r="A13" s="6" t="s">
        <v>145</v>
      </c>
      <c r="B13" s="6" t="s">
        <v>60</v>
      </c>
      <c r="C13" s="7" t="s">
        <v>1026</v>
      </c>
      <c r="D13" s="7" t="s">
        <v>592</v>
      </c>
      <c r="E13" s="7" t="s">
        <v>1043</v>
      </c>
      <c r="F13" s="6" t="s">
        <v>159</v>
      </c>
      <c r="G13" s="16">
        <v>209</v>
      </c>
      <c r="H13" s="17"/>
      <c r="I13" s="18">
        <f t="shared" si="0"/>
        <v>209</v>
      </c>
      <c r="J13" s="19">
        <v>279</v>
      </c>
      <c r="K13" s="20"/>
      <c r="L13" s="20"/>
      <c r="M13" s="20"/>
      <c r="N13" s="20"/>
      <c r="O13" s="20"/>
      <c r="P13" s="20"/>
      <c r="Q13" s="21">
        <f>IF($I13="","",IFERROR(INDEX(_玩家曲线!$H$2:$H$286,MATCH($I13,_玩家曲线!$A$2:$A$286,0)),""))</f>
        <v>2262369.89202246</v>
      </c>
      <c r="R13" s="21">
        <f>IF($I13="","",IFERROR(INDEX(_玩家曲线!$I$2:$I$286,MATCH($I13,_玩家曲线!$A$2:$A$286,0)),""))</f>
        <v>2767210.26630832</v>
      </c>
      <c r="S13" s="21">
        <f>IF(OR($J13="",$F13="不适用"),"",IFERROR(INDEX(_怪物模型!$D$2:$D$4501,MATCH(INT($J13)&amp;"|"&amp;$F13,_怪物模型!$A$2:$A$4501,0))*IF($K13="",1,$K13),""))</f>
        <v>42523951</v>
      </c>
      <c r="T13" s="21">
        <f>IF(OR($J13="",$F13="不适用"),"",IFERROR(INDEX(_怪物模型!$E$2:$E$4501,MATCH(INT($J13)&amp;"|"&amp;$F13,_怪物模型!$A$2:$A$4501,0))*IF($L13="",1,$L13),""))</f>
        <v>47206</v>
      </c>
      <c r="U13" s="21">
        <f>IF(OR($J13="",$F13="不适用"),"",IFERROR(INDEX(_怪物模型!$F$2:$F$4501,MATCH(INT($J13)&amp;"|"&amp;$F13,_怪物模型!$A$2:$A$4501,0))*IF($M13="",1,$M13),""))</f>
        <v>26930</v>
      </c>
      <c r="V13" s="22">
        <f t="shared" si="1"/>
        <v>0.52876497152955</v>
      </c>
      <c r="W13" s="23">
        <f t="shared" si="2"/>
        <v>90239367.6845833</v>
      </c>
      <c r="X13" s="23">
        <f t="shared" si="3"/>
        <v>39.887097155414</v>
      </c>
      <c r="Y13" s="23">
        <f t="shared" si="4"/>
        <v>58.6198844703707</v>
      </c>
      <c r="Z13" s="24" t="str">
        <f t="shared" si="5"/>
        <v/>
      </c>
      <c r="AA13" s="6" t="str">
        <f t="shared" si="6"/>
        <v>已计算</v>
      </c>
      <c r="AB13" s="6" t="str">
        <f t="shared" si="7"/>
        <v>有效</v>
      </c>
      <c r="AC13" s="6" t="str">
        <f t="shared" si="8"/>
        <v/>
      </c>
      <c r="AD13" s="7" t="s">
        <v>1044</v>
      </c>
    </row>
    <row r="14" ht="25" customHeight="1" spans="1:30">
      <c r="A14" s="6" t="s">
        <v>145</v>
      </c>
      <c r="B14" s="6" t="s">
        <v>60</v>
      </c>
      <c r="C14" s="7" t="s">
        <v>1026</v>
      </c>
      <c r="D14" s="7" t="s">
        <v>635</v>
      </c>
      <c r="E14" s="7" t="s">
        <v>1045</v>
      </c>
      <c r="F14" s="6" t="s">
        <v>159</v>
      </c>
      <c r="G14" s="16">
        <v>254</v>
      </c>
      <c r="H14" s="17"/>
      <c r="I14" s="18">
        <f t="shared" si="0"/>
        <v>254</v>
      </c>
      <c r="J14" s="19">
        <v>295</v>
      </c>
      <c r="K14" s="20"/>
      <c r="L14" s="20"/>
      <c r="M14" s="20"/>
      <c r="N14" s="20"/>
      <c r="O14" s="20"/>
      <c r="P14" s="20"/>
      <c r="Q14" s="21">
        <f>IF($I14="","",IFERROR(INDEX(_玩家曲线!$H$2:$H$286,MATCH($I14,_玩家曲线!$A$2:$A$286,0)),""))</f>
        <v>2445117.8148593</v>
      </c>
      <c r="R14" s="21">
        <f>IF($I14="","",IFERROR(INDEX(_玩家曲线!$I$2:$I$286,MATCH($I14,_玩家曲线!$A$2:$A$286,0)),""))</f>
        <v>2925643.83288171</v>
      </c>
      <c r="S14" s="21">
        <f>IF(OR($J14="",$F14="不适用"),"",IFERROR(INDEX(_怪物模型!$D$2:$D$4501,MATCH(INT($J14)&amp;"|"&amp;$F14,_怪物模型!$A$2:$A$4501,0))*IF($K14="",1,$K14),""))</f>
        <v>50185576</v>
      </c>
      <c r="T14" s="21">
        <f>IF(OR($J14="",$F14="不适用"),"",IFERROR(INDEX(_怪物模型!$E$2:$E$4501,MATCH(INT($J14)&amp;"|"&amp;$F14,_怪物模型!$A$2:$A$4501,0))*IF($L14="",1,$L14),""))</f>
        <v>53546</v>
      </c>
      <c r="U14" s="21">
        <f>IF(OR($J14="",$F14="不适用"),"",IFERROR(INDEX(_怪物模型!$F$2:$F$4501,MATCH(INT($J14)&amp;"|"&amp;$F14,_怪物模型!$A$2:$A$4501,0))*IF($M14="",1,$M14),""))</f>
        <v>28909</v>
      </c>
      <c r="V14" s="22">
        <f t="shared" si="1"/>
        <v>0.546390973180366</v>
      </c>
      <c r="W14" s="23">
        <f t="shared" si="2"/>
        <v>110636193.357667</v>
      </c>
      <c r="X14" s="23">
        <f t="shared" si="3"/>
        <v>45.2477965214257</v>
      </c>
      <c r="Y14" s="23">
        <f t="shared" si="4"/>
        <v>54.6379530288296</v>
      </c>
      <c r="Z14" s="24" t="str">
        <f t="shared" si="5"/>
        <v/>
      </c>
      <c r="AA14" s="6" t="str">
        <f t="shared" si="6"/>
        <v>已计算</v>
      </c>
      <c r="AB14" s="6" t="str">
        <f t="shared" si="7"/>
        <v>有效</v>
      </c>
      <c r="AC14" s="6" t="str">
        <f t="shared" si="8"/>
        <v/>
      </c>
      <c r="AD14" s="7" t="s">
        <v>1046</v>
      </c>
    </row>
  </sheetData>
  <mergeCells count="3">
    <mergeCell ref="A1:AD1"/>
    <mergeCell ref="A2:AD2"/>
    <mergeCell ref="A3:AD3"/>
  </mergeCells>
  <conditionalFormatting sqref="J5:J14">
    <cfRule type="expression" dxfId="2" priority="1">
      <formula>AND($A5&lt;&gt;"特殊：双方属性对算",$J5="")</formula>
    </cfRule>
  </conditionalFormatting>
  <conditionalFormatting sqref="AA5:AA14">
    <cfRule type="expression" dxfId="0" priority="3">
      <formula>$AA5="适中"</formula>
    </cfRule>
    <cfRule type="expression" dxfId="3" priority="4">
      <formula>$AA5="偏难"</formula>
    </cfRule>
    <cfRule type="expression" dxfId="1" priority="5">
      <formula>$AA5="过难"</formula>
    </cfRule>
    <cfRule type="expression" dxfId="1" priority="6">
      <formula>$AA5="生存不成立"</formula>
    </cfRule>
  </conditionalFormatting>
  <conditionalFormatting sqref="AB5:AB14">
    <cfRule type="expression" dxfId="4" priority="2">
      <formula>$AB5="超范围"</formula>
    </cfRule>
  </conditionalFormatting>
  <conditionalFormatting sqref="AC5:AC14">
    <cfRule type="expression" dxfId="4" priority="7">
      <formula>$AC5="下降"</formula>
    </cfRule>
  </conditionalFormatting>
  <dataValidations count="5">
    <dataValidation type="list" sqref="F5:F14">
      <formula1>_字典!$A$2:$A$11</formula1>
    </dataValidation>
    <dataValidation type="whole" operator="between" allowBlank="1" sqref="H5:H14">
      <formula1>1</formula1>
      <formula2>285</formula2>
    </dataValidation>
    <dataValidation type="whole" operator="between" allowBlank="1" sqref="J5:J14">
      <formula1>1</formula1>
      <formula2>500</formula2>
    </dataValidation>
    <dataValidation type="decimal" operator="between" allowBlank="1" sqref="P5:P14">
      <formula1>0.01</formula1>
      <formula2>3600</formula2>
    </dataValidation>
    <dataValidation type="decimal" operator="between" allowBlank="1" sqref="K5:O14">
      <formula1>0</formula1>
      <formula2>100</formula2>
    </dataValidation>
  </dataValidations>
  <hyperlinks>
    <hyperlink ref="A1" r:id="rId4" display="全玩法难度填写｜Boss挑战"/>
  </hyperlinks>
  <pageMargins left="0.75" right="0.75" top="1" bottom="1" header="0.5" footer="0.5"/>
  <pageSetup paperSize="1" orientation="landscape"/>
  <headerFooter/>
  <legacy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  <pageSetUpPr fitToPage="1"/>
  </sheetPr>
  <dimension ref="A1:AD9"/>
  <sheetViews>
    <sheetView showGridLines="0" workbookViewId="0">
      <pane xSplit="6" ySplit="4" topLeftCell="G5" activePane="bottomRight" state="frozen"/>
      <selection/>
      <selection pane="topRight"/>
      <selection pane="bottomLeft"/>
      <selection pane="bottomRight" activeCell="A1" sqref="A1:AD1"/>
    </sheetView>
  </sheetViews>
  <sheetFormatPr defaultColWidth="9" defaultRowHeight="13.5"/>
  <cols>
    <col min="1" max="1" width="12" customWidth="1"/>
    <col min="2" max="2" width="13" customWidth="1"/>
    <col min="3" max="3" width="18" customWidth="1"/>
    <col min="4" max="4" width="15" customWidth="1"/>
    <col min="5" max="5" width="35" customWidth="1"/>
    <col min="6" max="9" width="14" customWidth="1"/>
    <col min="10" max="10" width="12" customWidth="1"/>
    <col min="11" max="13" width="11" customWidth="1"/>
    <col min="14" max="15" width="13" customWidth="1"/>
    <col min="16" max="16" width="12" customWidth="1"/>
    <col min="17" max="21" width="16" customWidth="1"/>
    <col min="22" max="22" width="12" customWidth="1"/>
    <col min="23" max="23" width="17" customWidth="1"/>
    <col min="24" max="25" width="14" customWidth="1"/>
    <col min="26" max="26" width="12" customWidth="1"/>
    <col min="27" max="27" width="15" customWidth="1"/>
    <col min="28" max="29" width="12" customWidth="1"/>
    <col min="30" max="30" width="46" customWidth="1"/>
  </cols>
  <sheetData>
    <row r="1" ht="34" customHeight="1" spans="1:30">
      <c r="A1" s="2" t="s">
        <v>1047</v>
      </c>
    </row>
    <row r="2" ht="30" customHeight="1" spans="1:30">
      <c r="A2" s="3" t="s">
        <v>116</v>
      </c>
    </row>
    <row r="3" ht="14.25" customHeight="1" spans="1:30">
      <c r="A3" s="4" t="s">
        <v>117</v>
      </c>
    </row>
    <row r="4" ht="36" customHeight="1" spans="1:30">
      <c r="A4" s="5" t="s">
        <v>80</v>
      </c>
      <c r="B4" s="5" t="s">
        <v>79</v>
      </c>
      <c r="C4" s="5" t="s">
        <v>118</v>
      </c>
      <c r="D4" s="5" t="s">
        <v>119</v>
      </c>
      <c r="E4" s="5" t="s">
        <v>120</v>
      </c>
      <c r="F4" s="5" t="s">
        <v>121</v>
      </c>
      <c r="G4" s="5" t="s">
        <v>122</v>
      </c>
      <c r="H4" s="5" t="s">
        <v>123</v>
      </c>
      <c r="I4" s="5" t="s">
        <v>124</v>
      </c>
      <c r="J4" s="5" t="s">
        <v>125</v>
      </c>
      <c r="K4" s="5" t="s">
        <v>126</v>
      </c>
      <c r="L4" s="5" t="s">
        <v>127</v>
      </c>
      <c r="M4" s="5" t="s">
        <v>128</v>
      </c>
      <c r="N4" s="5" t="s">
        <v>129</v>
      </c>
      <c r="O4" s="5" t="s">
        <v>130</v>
      </c>
      <c r="P4" s="5" t="s">
        <v>131</v>
      </c>
      <c r="Q4" s="5" t="s">
        <v>132</v>
      </c>
      <c r="R4" s="5" t="s">
        <v>133</v>
      </c>
      <c r="S4" s="5" t="s">
        <v>134</v>
      </c>
      <c r="T4" s="5" t="s">
        <v>135</v>
      </c>
      <c r="U4" s="5" t="s">
        <v>136</v>
      </c>
      <c r="V4" s="5" t="s">
        <v>137</v>
      </c>
      <c r="W4" s="5" t="s">
        <v>138</v>
      </c>
      <c r="X4" s="5" t="s">
        <v>139</v>
      </c>
      <c r="Y4" s="5" t="s">
        <v>140</v>
      </c>
      <c r="Z4" s="5" t="s">
        <v>141</v>
      </c>
      <c r="AA4" s="5" t="s">
        <v>142</v>
      </c>
      <c r="AB4" s="5" t="s">
        <v>143</v>
      </c>
      <c r="AC4" s="5" t="s">
        <v>144</v>
      </c>
      <c r="AD4" s="5" t="s">
        <v>90</v>
      </c>
    </row>
    <row r="5" ht="25" customHeight="1" spans="1:30">
      <c r="A5" s="6" t="s">
        <v>145</v>
      </c>
      <c r="B5" s="6" t="s">
        <v>61</v>
      </c>
      <c r="C5" s="7" t="s">
        <v>1048</v>
      </c>
      <c r="D5" s="7" t="s">
        <v>568</v>
      </c>
      <c r="E5" s="7">
        <v>1000001</v>
      </c>
      <c r="F5" s="6" t="s">
        <v>159</v>
      </c>
      <c r="G5" s="16">
        <v>85</v>
      </c>
      <c r="H5" s="17"/>
      <c r="I5" s="18">
        <f>IF($H5="",$G5,$H5)</f>
        <v>85</v>
      </c>
      <c r="J5" s="19">
        <v>106</v>
      </c>
      <c r="K5" s="20"/>
      <c r="L5" s="20"/>
      <c r="M5" s="20"/>
      <c r="N5" s="20"/>
      <c r="O5" s="20"/>
      <c r="P5" s="20"/>
      <c r="Q5" s="21">
        <f>IF($I5="","",IFERROR(INDEX(_玩家曲线!$H$2:$H$286,MATCH($I5,_玩家曲线!$A$2:$A$286,0)),""))</f>
        <v>548594.405733353</v>
      </c>
      <c r="R5" s="21">
        <f>IF($I5="","",IFERROR(INDEX(_玩家曲线!$I$2:$I$286,MATCH($I5,_玩家曲线!$A$2:$A$286,0)),""))</f>
        <v>959754.584710681</v>
      </c>
      <c r="S5" s="21">
        <f>IF(OR($J5="",$F5="不适用"),"",IFERROR(INDEX(_怪物模型!$D$2:$D$4501,MATCH(INT($J5)&amp;"|"&amp;$F5,_怪物模型!$A$2:$A$4501,0))*IF($K5="",1,$K5),""))</f>
        <v>3683022</v>
      </c>
      <c r="T5" s="21">
        <f>IF(OR($J5="",$F5="不适用"),"",IFERROR(INDEX(_怪物模型!$E$2:$E$4501,MATCH(INT($J5)&amp;"|"&amp;$F5,_怪物模型!$A$2:$A$4501,0))*IF($L5="",1,$L5),""))</f>
        <v>7342</v>
      </c>
      <c r="U5" s="21">
        <f>IF(OR($J5="",$F5="不适用"),"",IFERROR(INDEX(_怪物模型!$F$2:$F$4501,MATCH(INT($J5)&amp;"|"&amp;$F5,_怪物模型!$A$2:$A$4501,0))*IF($M5="",1,$M5),""))</f>
        <v>8542</v>
      </c>
      <c r="V5" s="22">
        <f>IF($U5="","",MIN(0.75,$U5/($U5+24000)))</f>
        <v>0.262491549382337</v>
      </c>
      <c r="W5" s="23">
        <f>IF($S5="","",$S5/(1-$V5)*IF($N5="",1,$N5))</f>
        <v>4993870.9135</v>
      </c>
      <c r="X5" s="23">
        <f>IF(OR($W5="",$Q5="",$Q5=0),"",$W5/$Q5)</f>
        <v>9.1030292349122</v>
      </c>
      <c r="Y5" s="23">
        <f>IF(OR($R5="",$T5="",$T5=0),"",$R5/($T5*IF($O5="",1,$O5)))</f>
        <v>130.721136571872</v>
      </c>
      <c r="Z5" s="24" t="str">
        <f>IF(OR($X5="",$P5="",$P5=0),"",$X5/$P5)</f>
        <v/>
      </c>
      <c r="AA5" s="6" t="str">
        <f>IF($J5="","待填怪物等级",IF(OR($I5="",$Q5=""),"待填对照关卡",IF($P5="","已计算",IF(AND($Y5&lt;&gt;"",$Y5&lt;$X5),"生存不成立",IF($Z5&lt;0.5,"碾压",IF($Z5&lt;0.8,"偏简单",IF($Z5&lt;=1.2,"适中",IF($Z5&lt;=1.5,"偏难","过难"))))))))</f>
        <v>已计算</v>
      </c>
      <c r="AB5" s="6" t="str">
        <f>IF($J5="","待填",IF(AND(ISNUMBER($J5),$J5&gt;=1,$J5&lt;=500,MOD($J5,1)=0),"有效","超范围"))</f>
        <v>有效</v>
      </c>
      <c r="AC5" s="6" t="str">
        <f>IF(OR($J5="",ROW()=5,$B5&lt;&gt;$B4,$J4=""),"",IF($J5&lt;$J4,"下降",""))</f>
        <v/>
      </c>
      <c r="AD5" s="7" t="s">
        <v>1049</v>
      </c>
    </row>
    <row r="6" ht="25" customHeight="1" spans="1:30">
      <c r="A6" s="6" t="s">
        <v>145</v>
      </c>
      <c r="B6" s="6" t="s">
        <v>61</v>
      </c>
      <c r="C6" s="7" t="s">
        <v>1048</v>
      </c>
      <c r="D6" s="7" t="s">
        <v>571</v>
      </c>
      <c r="E6" s="7">
        <v>1000002</v>
      </c>
      <c r="F6" s="6" t="s">
        <v>159</v>
      </c>
      <c r="G6" s="16">
        <v>110</v>
      </c>
      <c r="H6" s="17"/>
      <c r="I6" s="18">
        <f>IF($H6="",$G6,$H6)</f>
        <v>110</v>
      </c>
      <c r="J6" s="19">
        <v>154</v>
      </c>
      <c r="K6" s="20"/>
      <c r="L6" s="20"/>
      <c r="M6" s="20"/>
      <c r="N6" s="20"/>
      <c r="O6" s="20"/>
      <c r="P6" s="20"/>
      <c r="Q6" s="21">
        <f>IF($I6="","",IFERROR(INDEX(_玩家曲线!$H$2:$H$286,MATCH($I6,_玩家曲线!$A$2:$A$286,0)),""))</f>
        <v>943236.776967611</v>
      </c>
      <c r="R6" s="21">
        <f>IF($I6="","",IFERROR(INDEX(_玩家曲线!$I$2:$I$286,MATCH($I6,_玩家曲线!$A$2:$A$286,0)),""))</f>
        <v>1479163.33506714</v>
      </c>
      <c r="S6" s="21">
        <f>IF(OR($J6="",$F6="不适用"),"",IFERROR(INDEX(_怪物模型!$D$2:$D$4501,MATCH(INT($J6)&amp;"|"&amp;$F6,_怪物模型!$A$2:$A$4501,0))*IF($K6="",1,$K6),""))</f>
        <v>8697665</v>
      </c>
      <c r="T6" s="21">
        <f>IF(OR($J6="",$F6="不适用"),"",IFERROR(INDEX(_怪物模型!$E$2:$E$4501,MATCH(INT($J6)&amp;"|"&amp;$F6,_怪物模型!$A$2:$A$4501,0))*IF($L6="",1,$L6),""))</f>
        <v>14102</v>
      </c>
      <c r="U6" s="21">
        <f>IF(OR($J6="",$F6="不适用"),"",IFERROR(INDEX(_怪物模型!$F$2:$F$4501,MATCH(INT($J6)&amp;"|"&amp;$F6,_怪物模型!$A$2:$A$4501,0))*IF($M6="",1,$M6),""))</f>
        <v>13091</v>
      </c>
      <c r="V6" s="22">
        <f>IF($U6="","",MIN(0.75,$U6/($U6+24000)))</f>
        <v>0.35294276239519</v>
      </c>
      <c r="W6" s="23">
        <f>IF($S6="","",$S6/(1-$V6)*IF($N6="",1,$N6))</f>
        <v>13441878.8547917</v>
      </c>
      <c r="X6" s="23">
        <f>IF(OR($W6="",$Q6="",$Q6=0),"",$W6/$Q6)</f>
        <v>14.2508002052312</v>
      </c>
      <c r="Y6" s="23">
        <f>IF(OR($R6="",$T6="",$T6=0),"",$R6/($T6*IF($O6="",1,$O6)))</f>
        <v>104.89032300859</v>
      </c>
      <c r="Z6" s="24" t="str">
        <f>IF(OR($X6="",$P6="",$P6=0),"",$X6/$P6)</f>
        <v/>
      </c>
      <c r="AA6" s="6" t="str">
        <f>IF($J6="","待填怪物等级",IF(OR($I6="",$Q6=""),"待填对照关卡",IF($P6="","已计算",IF(AND($Y6&lt;&gt;"",$Y6&lt;$X6),"生存不成立",IF($Z6&lt;0.5,"碾压",IF($Z6&lt;0.8,"偏简单",IF($Z6&lt;=1.2,"适中",IF($Z6&lt;=1.5,"偏难","过难"))))))))</f>
        <v>已计算</v>
      </c>
      <c r="AB6" s="6" t="str">
        <f>IF($J6="","待填",IF(AND(ISNUMBER($J6),$J6&gt;=1,$J6&lt;=500,MOD($J6,1)=0),"有效","超范围"))</f>
        <v>有效</v>
      </c>
      <c r="AC6" s="6" t="str">
        <f>IF(OR($J6="",ROW()=5,$B6&lt;&gt;$B5,$J5=""),"",IF($J6&lt;$J5,"下降",""))</f>
        <v/>
      </c>
      <c r="AD6" s="7" t="s">
        <v>1050</v>
      </c>
    </row>
    <row r="7" ht="25" customHeight="1" spans="1:30">
      <c r="A7" s="6" t="s">
        <v>145</v>
      </c>
      <c r="B7" s="6" t="s">
        <v>61</v>
      </c>
      <c r="C7" s="7" t="s">
        <v>1048</v>
      </c>
      <c r="D7" s="7" t="s">
        <v>574</v>
      </c>
      <c r="E7" s="7">
        <v>1000003</v>
      </c>
      <c r="F7" s="6" t="s">
        <v>159</v>
      </c>
      <c r="G7" s="16">
        <v>145</v>
      </c>
      <c r="H7" s="17"/>
      <c r="I7" s="18">
        <f>IF($H7="",$G7,$H7)</f>
        <v>145</v>
      </c>
      <c r="J7" s="19">
        <v>218</v>
      </c>
      <c r="K7" s="20"/>
      <c r="L7" s="20"/>
      <c r="M7" s="20"/>
      <c r="N7" s="20"/>
      <c r="O7" s="20"/>
      <c r="P7" s="20"/>
      <c r="Q7" s="21">
        <f>IF($I7="","",IFERROR(INDEX(_玩家曲线!$H$2:$H$286,MATCH($I7,_玩家曲线!$A$2:$A$286,0)),""))</f>
        <v>1598200.3876416</v>
      </c>
      <c r="R7" s="21">
        <f>IF($I7="","",IFERROR(INDEX(_玩家曲线!$I$2:$I$286,MATCH($I7,_玩家曲线!$A$2:$A$286,0)),""))</f>
        <v>2162215.99514876</v>
      </c>
      <c r="S7" s="21">
        <f>IF(OR($J7="",$F7="不适用"),"",IFERROR(INDEX(_怪物模型!$D$2:$D$4501,MATCH(INT($J7)&amp;"|"&amp;$F7,_怪物模型!$A$2:$A$4501,0))*IF($K7="",1,$K7),""))</f>
        <v>21202917</v>
      </c>
      <c r="T7" s="21">
        <f>IF(OR($J7="",$F7="不适用"),"",IFERROR(INDEX(_怪物模型!$E$2:$E$4501,MATCH(INT($J7)&amp;"|"&amp;$F7,_怪物模型!$A$2:$A$4501,0))*IF($L7="",1,$L7),""))</f>
        <v>27786</v>
      </c>
      <c r="U7" s="21">
        <f>IF(OR($J7="",$F7="不适用"),"",IFERROR(INDEX(_怪物模型!$F$2:$F$4501,MATCH(INT($J7)&amp;"|"&amp;$F7,_怪物模型!$A$2:$A$4501,0))*IF($M7="",1,$M7),""))</f>
        <v>19817</v>
      </c>
      <c r="V7" s="22">
        <f>IF($U7="","",MIN(0.75,$U7/($U7+24000)))</f>
        <v>0.452267384804984</v>
      </c>
      <c r="W7" s="23">
        <f>IF($S7="","",$S7/(1-$V7)*IF($N7="",1,$N7))</f>
        <v>38710342.257875</v>
      </c>
      <c r="X7" s="23">
        <f>IF(OR($W7="",$Q7="",$Q7=0),"",$W7/$Q7)</f>
        <v>24.2212069007181</v>
      </c>
      <c r="Y7" s="23">
        <f>IF(OR($R7="",$T7="",$T7=0),"",$R7/($T7*IF($O7="",1,$O7)))</f>
        <v>77.8167420697027</v>
      </c>
      <c r="Z7" s="24" t="str">
        <f>IF(OR($X7="",$P7="",$P7=0),"",$X7/$P7)</f>
        <v/>
      </c>
      <c r="AA7" s="6" t="str">
        <f>IF($J7="","待填怪物等级",IF(OR($I7="",$Q7=""),"待填对照关卡",IF($P7="","已计算",IF(AND($Y7&lt;&gt;"",$Y7&lt;$X7),"生存不成立",IF($Z7&lt;0.5,"碾压",IF($Z7&lt;0.8,"偏简单",IF($Z7&lt;=1.2,"适中",IF($Z7&lt;=1.5,"偏难","过难"))))))))</f>
        <v>已计算</v>
      </c>
      <c r="AB7" s="6" t="str">
        <f>IF($J7="","待填",IF(AND(ISNUMBER($J7),$J7&gt;=1,$J7&lt;=500,MOD($J7,1)=0),"有效","超范围"))</f>
        <v>有效</v>
      </c>
      <c r="AC7" s="6" t="str">
        <f>IF(OR($J7="",ROW()=5,$B7&lt;&gt;$B6,$J6=""),"",IF($J7&lt;$J6,"下降",""))</f>
        <v/>
      </c>
      <c r="AD7" s="7" t="s">
        <v>1051</v>
      </c>
    </row>
    <row r="8" ht="25" customHeight="1" spans="1:30">
      <c r="A8" s="6" t="s">
        <v>145</v>
      </c>
      <c r="B8" s="6" t="s">
        <v>61</v>
      </c>
      <c r="C8" s="7" t="s">
        <v>1048</v>
      </c>
      <c r="D8" s="7" t="s">
        <v>577</v>
      </c>
      <c r="E8" s="7">
        <v>1000004</v>
      </c>
      <c r="F8" s="6" t="s">
        <v>159</v>
      </c>
      <c r="G8" s="16">
        <v>190</v>
      </c>
      <c r="H8" s="17"/>
      <c r="I8" s="18">
        <f>IF($H8="",$G8,$H8)</f>
        <v>190</v>
      </c>
      <c r="J8" s="19">
        <v>267</v>
      </c>
      <c r="K8" s="20"/>
      <c r="L8" s="20"/>
      <c r="M8" s="20"/>
      <c r="N8" s="20"/>
      <c r="O8" s="20"/>
      <c r="P8" s="20"/>
      <c r="Q8" s="21">
        <f>IF($I8="","",IFERROR(INDEX(_玩家曲线!$H$2:$H$286,MATCH($I8,_玩家曲线!$A$2:$A$286,0)),""))</f>
        <v>2129172.68589918</v>
      </c>
      <c r="R8" s="21">
        <f>IF($I8="","",IFERROR(INDEX(_玩家曲线!$I$2:$I$286,MATCH($I8,_玩家曲线!$A$2:$A$286,0)),""))</f>
        <v>2650366.7337846</v>
      </c>
      <c r="S8" s="21">
        <f>IF(OR($J8="",$F8="不适用"),"",IFERROR(INDEX(_怪物模型!$D$2:$D$4501,MATCH(INT($J8)&amp;"|"&amp;$F8,_怪物模型!$A$2:$A$4501,0))*IF($K8="",1,$K8),""))</f>
        <v>37402371</v>
      </c>
      <c r="T8" s="21">
        <f>IF(OR($J8="",$F8="不适用"),"",IFERROR(INDEX(_怪物模型!$E$2:$E$4501,MATCH(INT($J8)&amp;"|"&amp;$F8,_怪物模型!$A$2:$A$4501,0))*IF($L8="",1,$L8),""))</f>
        <v>42813</v>
      </c>
      <c r="U8" s="21">
        <f>IF(OR($J8="",$F8="不适用"),"",IFERROR(INDEX(_怪物模型!$F$2:$F$4501,MATCH(INT($J8)&amp;"|"&amp;$F8,_怪物模型!$A$2:$A$4501,0))*IF($M8="",1,$M8),""))</f>
        <v>25477</v>
      </c>
      <c r="V8" s="22">
        <f>IF($U8="","",MIN(0.75,$U8/($U8+24000)))</f>
        <v>0.514926127291469</v>
      </c>
      <c r="W8" s="23">
        <f>IF($S8="","",$S8/(1-$V8)*IF($N8="",1,$N8))</f>
        <v>77106546.248625</v>
      </c>
      <c r="X8" s="23">
        <f>IF(OR($W8="",$Q8="",$Q8=0),"",$W8/$Q8)</f>
        <v>36.214322473361</v>
      </c>
      <c r="Y8" s="23">
        <f>IF(OR($R8="",$T8="",$T8=0),"",$R8/($T8*IF($O8="",1,$O8)))</f>
        <v>61.9056532778502</v>
      </c>
      <c r="Z8" s="24" t="str">
        <f>IF(OR($X8="",$P8="",$P8=0),"",$X8/$P8)</f>
        <v/>
      </c>
      <c r="AA8" s="6" t="str">
        <f>IF($J8="","待填怪物等级",IF(OR($I8="",$Q8=""),"待填对照关卡",IF($P8="","已计算",IF(AND($Y8&lt;&gt;"",$Y8&lt;$X8),"生存不成立",IF($Z8&lt;0.5,"碾压",IF($Z8&lt;0.8,"偏简单",IF($Z8&lt;=1.2,"适中",IF($Z8&lt;=1.5,"偏难","过难"))))))))</f>
        <v>已计算</v>
      </c>
      <c r="AB8" s="6" t="str">
        <f>IF($J8="","待填",IF(AND(ISNUMBER($J8),$J8&gt;=1,$J8&lt;=500,MOD($J8,1)=0),"有效","超范围"))</f>
        <v>有效</v>
      </c>
      <c r="AC8" s="6" t="str">
        <f>IF(OR($J8="",ROW()=5,$B8&lt;&gt;$B7,$J7=""),"",IF($J8&lt;$J7,"下降",""))</f>
        <v/>
      </c>
      <c r="AD8" s="7" t="s">
        <v>1052</v>
      </c>
    </row>
    <row r="9" ht="25" customHeight="1" spans="1:30">
      <c r="A9" s="6" t="s">
        <v>145</v>
      </c>
      <c r="B9" s="6" t="s">
        <v>61</v>
      </c>
      <c r="C9" s="7" t="s">
        <v>1048</v>
      </c>
      <c r="D9" s="7" t="s">
        <v>580</v>
      </c>
      <c r="E9" s="7">
        <v>1000005</v>
      </c>
      <c r="F9" s="6" t="s">
        <v>159</v>
      </c>
      <c r="G9" s="16">
        <v>240</v>
      </c>
      <c r="H9" s="17"/>
      <c r="I9" s="18">
        <f>IF($H9="",$G9,$H9)</f>
        <v>240</v>
      </c>
      <c r="J9" s="19">
        <v>286</v>
      </c>
      <c r="K9" s="20"/>
      <c r="L9" s="20"/>
      <c r="M9" s="20"/>
      <c r="N9" s="20"/>
      <c r="O9" s="20"/>
      <c r="P9" s="20"/>
      <c r="Q9" s="21">
        <f>IF($I9="","",IFERROR(INDEX(_玩家曲线!$H$2:$H$286,MATCH($I9,_玩家曲线!$A$2:$A$286,0)),""))</f>
        <v>2403362.24861103</v>
      </c>
      <c r="R9" s="21">
        <f>IF($I9="","",IFERROR(INDEX(_玩家曲线!$I$2:$I$286,MATCH($I9,_玩家曲线!$A$2:$A$286,0)),""))</f>
        <v>2889519.86353716</v>
      </c>
      <c r="S9" s="21">
        <f>IF(OR($J9="",$F9="不适用"),"",IFERROR(INDEX(_怪物模型!$D$2:$D$4501,MATCH(INT($J9)&amp;"|"&amp;$F9,_怪物模型!$A$2:$A$4501,0))*IF($K9="",1,$K9),""))</f>
        <v>45754044</v>
      </c>
      <c r="T9" s="21">
        <f>IF(OR($J9="",$F9="不适用"),"",IFERROR(INDEX(_怪物模型!$E$2:$E$4501,MATCH(INT($J9)&amp;"|"&amp;$F9,_怪物模型!$A$2:$A$4501,0))*IF($L9="",1,$L9),""))</f>
        <v>49910</v>
      </c>
      <c r="U9" s="21">
        <f>IF(OR($J9="",$F9="不适用"),"",IFERROR(INDEX(_怪物模型!$F$2:$F$4501,MATCH(INT($J9)&amp;"|"&amp;$F9,_怪物模型!$A$2:$A$4501,0))*IF($M9="",1,$M9),""))</f>
        <v>27790</v>
      </c>
      <c r="V9" s="22">
        <f>IF($U9="","",MIN(0.75,$U9/($U9+24000)))</f>
        <v>0.536590075304113</v>
      </c>
      <c r="W9" s="23">
        <f>IF($S9="","",$S9/(1-$V9)*IF($N9="",1,$N9))</f>
        <v>98733414.115</v>
      </c>
      <c r="X9" s="23">
        <f>IF(OR($W9="",$Q9="",$Q9=0),"",$W9/$Q9)</f>
        <v>41.0813701397119</v>
      </c>
      <c r="Y9" s="23">
        <f>IF(OR($R9="",$T9="",$T9=0),"",$R9/($T9*IF($O9="",1,$O9)))</f>
        <v>57.894607564359</v>
      </c>
      <c r="Z9" s="24" t="str">
        <f>IF(OR($X9="",$P9="",$P9=0),"",$X9/$P9)</f>
        <v/>
      </c>
      <c r="AA9" s="6" t="str">
        <f>IF($J9="","待填怪物等级",IF(OR($I9="",$Q9=""),"待填对照关卡",IF($P9="","已计算",IF(AND($Y9&lt;&gt;"",$Y9&lt;$X9),"生存不成立",IF($Z9&lt;0.5,"碾压",IF($Z9&lt;0.8,"偏简单",IF($Z9&lt;=1.2,"适中",IF($Z9&lt;=1.5,"偏难","过难"))))))))</f>
        <v>已计算</v>
      </c>
      <c r="AB9" s="6" t="str">
        <f>IF($J9="","待填",IF(AND(ISNUMBER($J9),$J9&gt;=1,$J9&lt;=500,MOD($J9,1)=0),"有效","超范围"))</f>
        <v>有效</v>
      </c>
      <c r="AC9" s="6" t="str">
        <f>IF(OR($J9="",ROW()=5,$B9&lt;&gt;$B8,$J8=""),"",IF($J9&lt;$J8,"下降",""))</f>
        <v/>
      </c>
      <c r="AD9" s="7" t="s">
        <v>1053</v>
      </c>
    </row>
  </sheetData>
  <mergeCells count="3">
    <mergeCell ref="A1:AD1"/>
    <mergeCell ref="A2:AD2"/>
    <mergeCell ref="A3:AD3"/>
  </mergeCells>
  <conditionalFormatting sqref="J5:J9">
    <cfRule type="expression" dxfId="2" priority="1">
      <formula>AND($A5&lt;&gt;"特殊：双方属性对算",$J5="")</formula>
    </cfRule>
  </conditionalFormatting>
  <conditionalFormatting sqref="AA5:AA9">
    <cfRule type="expression" dxfId="0" priority="3">
      <formula>$AA5="适中"</formula>
    </cfRule>
    <cfRule type="expression" dxfId="3" priority="4">
      <formula>$AA5="偏难"</formula>
    </cfRule>
    <cfRule type="expression" dxfId="1" priority="5">
      <formula>$AA5="过难"</formula>
    </cfRule>
    <cfRule type="expression" dxfId="1" priority="6">
      <formula>$AA5="生存不成立"</formula>
    </cfRule>
  </conditionalFormatting>
  <conditionalFormatting sqref="AB5:AB9">
    <cfRule type="expression" dxfId="4" priority="2">
      <formula>$AB5="超范围"</formula>
    </cfRule>
  </conditionalFormatting>
  <conditionalFormatting sqref="AC5:AC9">
    <cfRule type="expression" dxfId="4" priority="7">
      <formula>$AC5="下降"</formula>
    </cfRule>
  </conditionalFormatting>
  <dataValidations count="5">
    <dataValidation type="list" sqref="F5:F9">
      <formula1>_字典!$A$2:$A$11</formula1>
    </dataValidation>
    <dataValidation type="whole" operator="between" allowBlank="1" sqref="H5:H9">
      <formula1>1</formula1>
      <formula2>285</formula2>
    </dataValidation>
    <dataValidation type="whole" operator="between" allowBlank="1" sqref="J5:J9">
      <formula1>1</formula1>
      <formula2>500</formula2>
    </dataValidation>
    <dataValidation type="decimal" operator="between" allowBlank="1" sqref="P5:P9">
      <formula1>0.01</formula1>
      <formula2>3600</formula2>
    </dataValidation>
    <dataValidation type="decimal" operator="between" allowBlank="1" sqref="K5:O9">
      <formula1>0</formula1>
      <formula2>100</formula2>
    </dataValidation>
  </dataValidations>
  <hyperlinks>
    <hyperlink ref="A1" r:id="rId4" display="全玩法难度填写｜肉鸽"/>
  </hyperlinks>
  <pageMargins left="0.75" right="0.75" top="1" bottom="1" header="0.5" footer="0.5"/>
  <pageSetup paperSize="1" orientation="landscape"/>
  <headerFooter/>
  <legacy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B9BD5"/>
    <pageSetUpPr fitToPage="1"/>
  </sheetPr>
  <dimension ref="A1:AD29"/>
  <sheetViews>
    <sheetView showGridLines="0" workbookViewId="0">
      <pane xSplit="6" ySplit="4" topLeftCell="G5" activePane="bottomRight" state="frozen"/>
      <selection/>
      <selection pane="topRight"/>
      <selection pane="bottomLeft"/>
      <selection pane="bottomRight" activeCell="A1" sqref="A1:AD1"/>
    </sheetView>
  </sheetViews>
  <sheetFormatPr defaultColWidth="9" defaultRowHeight="13.5"/>
  <cols>
    <col min="1" max="1" width="12" customWidth="1"/>
    <col min="2" max="2" width="13" customWidth="1"/>
    <col min="3" max="3" width="18" customWidth="1"/>
    <col min="4" max="4" width="15" customWidth="1"/>
    <col min="5" max="5" width="35" customWidth="1"/>
    <col min="6" max="9" width="14" customWidth="1"/>
    <col min="10" max="10" width="12" customWidth="1"/>
    <col min="11" max="13" width="11" customWidth="1"/>
    <col min="14" max="15" width="13" customWidth="1"/>
    <col min="16" max="16" width="12" customWidth="1"/>
    <col min="17" max="21" width="16" customWidth="1"/>
    <col min="22" max="22" width="12" customWidth="1"/>
    <col min="23" max="23" width="17" customWidth="1"/>
    <col min="24" max="25" width="14" customWidth="1"/>
    <col min="26" max="26" width="12" customWidth="1"/>
    <col min="27" max="27" width="15" customWidth="1"/>
    <col min="28" max="29" width="12" customWidth="1"/>
    <col min="30" max="30" width="46" customWidth="1"/>
  </cols>
  <sheetData>
    <row r="1" ht="34" customHeight="1" spans="1:30">
      <c r="A1" s="2" t="s">
        <v>1054</v>
      </c>
    </row>
    <row r="2" ht="30" customHeight="1" spans="1:30">
      <c r="A2" s="3" t="s">
        <v>116</v>
      </c>
    </row>
    <row r="3" ht="14.25" customHeight="1" spans="1:30">
      <c r="A3" s="4" t="s">
        <v>117</v>
      </c>
    </row>
    <row r="4" ht="36" customHeight="1" spans="1:30">
      <c r="A4" s="5" t="s">
        <v>80</v>
      </c>
      <c r="B4" s="5" t="s">
        <v>79</v>
      </c>
      <c r="C4" s="5" t="s">
        <v>118</v>
      </c>
      <c r="D4" s="5" t="s">
        <v>119</v>
      </c>
      <c r="E4" s="5" t="s">
        <v>120</v>
      </c>
      <c r="F4" s="5" t="s">
        <v>121</v>
      </c>
      <c r="G4" s="5" t="s">
        <v>122</v>
      </c>
      <c r="H4" s="5" t="s">
        <v>123</v>
      </c>
      <c r="I4" s="5" t="s">
        <v>124</v>
      </c>
      <c r="J4" s="5" t="s">
        <v>125</v>
      </c>
      <c r="K4" s="5" t="s">
        <v>126</v>
      </c>
      <c r="L4" s="5" t="s">
        <v>127</v>
      </c>
      <c r="M4" s="5" t="s">
        <v>128</v>
      </c>
      <c r="N4" s="5" t="s">
        <v>129</v>
      </c>
      <c r="O4" s="5" t="s">
        <v>130</v>
      </c>
      <c r="P4" s="5" t="s">
        <v>131</v>
      </c>
      <c r="Q4" s="5" t="s">
        <v>132</v>
      </c>
      <c r="R4" s="5" t="s">
        <v>133</v>
      </c>
      <c r="S4" s="5" t="s">
        <v>134</v>
      </c>
      <c r="T4" s="5" t="s">
        <v>135</v>
      </c>
      <c r="U4" s="5" t="s">
        <v>136</v>
      </c>
      <c r="V4" s="5" t="s">
        <v>137</v>
      </c>
      <c r="W4" s="5" t="s">
        <v>138</v>
      </c>
      <c r="X4" s="5" t="s">
        <v>139</v>
      </c>
      <c r="Y4" s="5" t="s">
        <v>140</v>
      </c>
      <c r="Z4" s="5" t="s">
        <v>141</v>
      </c>
      <c r="AA4" s="5" t="s">
        <v>142</v>
      </c>
      <c r="AB4" s="5" t="s">
        <v>143</v>
      </c>
      <c r="AC4" s="5" t="s">
        <v>144</v>
      </c>
      <c r="AD4" s="5" t="s">
        <v>90</v>
      </c>
    </row>
    <row r="5" ht="25" customHeight="1" spans="1:30">
      <c r="A5" s="6" t="s">
        <v>1055</v>
      </c>
      <c r="B5" s="6" t="s">
        <v>62</v>
      </c>
      <c r="C5" s="7" t="s">
        <v>1056</v>
      </c>
      <c r="D5" s="7" t="s">
        <v>724</v>
      </c>
      <c r="E5" s="7" t="s">
        <v>1057</v>
      </c>
      <c r="F5" s="6" t="s">
        <v>149</v>
      </c>
      <c r="G5" s="16">
        <v>95</v>
      </c>
      <c r="H5" s="17"/>
      <c r="I5" s="18">
        <f t="shared" ref="I5:I29" si="0">IF($H5="",$G5,$H5)</f>
        <v>95</v>
      </c>
      <c r="J5" s="19">
        <v>183</v>
      </c>
      <c r="K5" s="20"/>
      <c r="L5" s="20"/>
      <c r="M5" s="20"/>
      <c r="N5" s="20"/>
      <c r="O5" s="20"/>
      <c r="P5" s="20"/>
      <c r="Q5" s="21">
        <f>IF($I5="","",IFERROR(INDEX(_玩家曲线!$H$2:$H$286,MATCH($I5,_玩家曲线!$A$2:$A$286,0)),""))</f>
        <v>673441.29759876</v>
      </c>
      <c r="R5" s="21">
        <f>IF($I5="","",IFERROR(INDEX(_玩家曲线!$I$2:$I$286,MATCH($I5,_玩家曲线!$A$2:$A$286,0)),""))</f>
        <v>1143599.30084008</v>
      </c>
      <c r="S5" s="21">
        <f>IF(OR($J5="",$F5="不适用"),"",IFERROR(INDEX(_怪物模型!$D$2:$D$4501,MATCH(INT($J5)&amp;"|"&amp;$F5,_怪物模型!$A$2:$A$4501,0))*IF($K5="",1,$K5),""))</f>
        <v>128864</v>
      </c>
      <c r="T5" s="21">
        <f>IF(OR($J5="",$F5="不适用"),"",IFERROR(INDEX(_怪物模型!$E$2:$E$4501,MATCH(INT($J5)&amp;"|"&amp;$F5,_怪物模型!$A$2:$A$4501,0))*IF($L5="",1,$L5),""))</f>
        <v>19564</v>
      </c>
      <c r="U5" s="21">
        <f>IF(OR($J5="",$F5="不适用"),"",IFERROR(INDEX(_怪物模型!$F$2:$F$4501,MATCH(INT($J5)&amp;"|"&amp;$F5,_怪物模型!$A$2:$A$4501,0))*IF($M5="",1,$M5),""))</f>
        <v>16045</v>
      </c>
      <c r="V5" s="22">
        <f t="shared" ref="V5:V29" si="1">IF($U5="","",MIN(0.75,$U5/($U5+24000)))</f>
        <v>0.400674241478337</v>
      </c>
      <c r="W5" s="23">
        <f t="shared" ref="W5:W29" si="2">IF($S5="","",$S5/(1-$V5)*IF($N5="",1,$N5))</f>
        <v>215014.953333333</v>
      </c>
      <c r="X5" s="23">
        <f t="shared" ref="X5:X29" si="3">IF(OR($W5="",$Q5="",$Q5=0),"",$W5/$Q5)</f>
        <v>0.319277944640455</v>
      </c>
      <c r="Y5" s="23">
        <f t="shared" ref="Y5:Y29" si="4">IF(OR($R5="",$T5="",$T5=0),"",$R5/($T5*IF($O5="",1,$O5)))</f>
        <v>58.454268086285</v>
      </c>
      <c r="Z5" s="24" t="str">
        <f t="shared" ref="Z5:Z29" si="5">IF(OR($X5="",$P5="",$P5=0),"",$X5/$P5)</f>
        <v/>
      </c>
      <c r="AA5" s="6" t="str">
        <f t="shared" ref="AA5:AA29" si="6">IF($J5="","待填怪物等级",IF(OR($I5="",$Q5=""),"待填对照关卡",IF($P5="","已计算",IF(AND($Y5&lt;&gt;"",$Y5&lt;$X5),"生存不成立",IF($Z5&lt;0.5,"碾压",IF($Z5&lt;0.8,"偏简单",IF($Z5&lt;=1.2,"适中",IF($Z5&lt;=1.5,"偏难","过难"))))))))</f>
        <v>已计算</v>
      </c>
      <c r="AB5" s="6" t="str">
        <f t="shared" ref="AB5:AB29" si="7">IF($J5="","待填",IF(AND(ISNUMBER($J5),$J5&gt;=1,$J5&lt;=500,MOD($J5,1)=0),"有效","超范围"))</f>
        <v>有效</v>
      </c>
      <c r="AC5" s="6" t="str">
        <f t="shared" ref="AC5:AC29" si="8">IF(OR($J5="",ROW()=5,$B5&lt;&gt;$B4,$J4=""),"",IF($J5&lt;$J4,"下降",""))</f>
        <v/>
      </c>
      <c r="AD5" s="7" t="s">
        <v>1058</v>
      </c>
    </row>
    <row r="6" ht="25" customHeight="1" spans="1:30">
      <c r="A6" s="6" t="s">
        <v>1055</v>
      </c>
      <c r="B6" s="6" t="s">
        <v>62</v>
      </c>
      <c r="C6" s="7" t="s">
        <v>1056</v>
      </c>
      <c r="D6" s="7" t="s">
        <v>727</v>
      </c>
      <c r="E6" s="7" t="s">
        <v>1059</v>
      </c>
      <c r="F6" s="6" t="s">
        <v>149</v>
      </c>
      <c r="G6" s="16">
        <v>101</v>
      </c>
      <c r="H6" s="17"/>
      <c r="I6" s="18">
        <f t="shared" si="0"/>
        <v>101</v>
      </c>
      <c r="J6" s="19">
        <v>192</v>
      </c>
      <c r="K6" s="20"/>
      <c r="L6" s="20"/>
      <c r="M6" s="20"/>
      <c r="N6" s="20"/>
      <c r="O6" s="20"/>
      <c r="P6" s="20"/>
      <c r="Q6" s="21">
        <f>IF($I6="","",IFERROR(INDEX(_玩家曲线!$H$2:$H$286,MATCH($I6,_玩家曲线!$A$2:$A$286,0)),""))</f>
        <v>754380.349405639</v>
      </c>
      <c r="R6" s="21">
        <f>IF($I6="","",IFERROR(INDEX(_玩家曲线!$I$2:$I$286,MATCH($I6,_玩家曲线!$A$2:$A$286,0)),""))</f>
        <v>1255299.61646539</v>
      </c>
      <c r="S6" s="21">
        <f>IF(OR($J6="",$F6="不适用"),"",IFERROR(INDEX(_怪物模型!$D$2:$D$4501,MATCH(INT($J6)&amp;"|"&amp;$F6,_怪物模型!$A$2:$A$4501,0))*IF($K6="",1,$K6),""))</f>
        <v>144478</v>
      </c>
      <c r="T6" s="21">
        <f>IF(OR($J6="",$F6="不适用"),"",IFERROR(INDEX(_怪物模型!$E$2:$E$4501,MATCH(INT($J6)&amp;"|"&amp;$F6,_怪物模型!$A$2:$A$4501,0))*IF($L6="",1,$L6),""))</f>
        <v>21499</v>
      </c>
      <c r="U6" s="21">
        <f>IF(OR($J6="",$F6="不适用"),"",IFERROR(INDEX(_怪物模型!$F$2:$F$4501,MATCH(INT($J6)&amp;"|"&amp;$F6,_怪物模型!$A$2:$A$4501,0))*IF($M6="",1,$M6),""))</f>
        <v>16994</v>
      </c>
      <c r="V6" s="22">
        <f t="shared" si="1"/>
        <v>0.414548470507879</v>
      </c>
      <c r="W6" s="23">
        <f t="shared" si="2"/>
        <v>246780.463833333</v>
      </c>
      <c r="X6" s="23">
        <f t="shared" si="3"/>
        <v>0.327130026687157</v>
      </c>
      <c r="Y6" s="23">
        <f t="shared" si="4"/>
        <v>58.3887444283636</v>
      </c>
      <c r="Z6" s="24" t="str">
        <f t="shared" si="5"/>
        <v/>
      </c>
      <c r="AA6" s="6" t="str">
        <f t="shared" si="6"/>
        <v>已计算</v>
      </c>
      <c r="AB6" s="6" t="str">
        <f t="shared" si="7"/>
        <v>有效</v>
      </c>
      <c r="AC6" s="6" t="str">
        <f t="shared" si="8"/>
        <v/>
      </c>
      <c r="AD6" s="7" t="s">
        <v>1060</v>
      </c>
    </row>
    <row r="7" ht="25" customHeight="1" spans="1:30">
      <c r="A7" s="6" t="s">
        <v>1055</v>
      </c>
      <c r="B7" s="6" t="s">
        <v>62</v>
      </c>
      <c r="C7" s="7" t="s">
        <v>1056</v>
      </c>
      <c r="D7" s="7" t="s">
        <v>730</v>
      </c>
      <c r="E7" s="7" t="s">
        <v>1061</v>
      </c>
      <c r="F7" s="6" t="s">
        <v>149</v>
      </c>
      <c r="G7" s="16">
        <v>107</v>
      </c>
      <c r="H7" s="17"/>
      <c r="I7" s="18">
        <f t="shared" si="0"/>
        <v>107</v>
      </c>
      <c r="J7" s="19">
        <v>201</v>
      </c>
      <c r="K7" s="20"/>
      <c r="L7" s="20"/>
      <c r="M7" s="20"/>
      <c r="N7" s="20"/>
      <c r="O7" s="20"/>
      <c r="P7" s="20"/>
      <c r="Q7" s="21">
        <f>IF($I7="","",IFERROR(INDEX(_玩家曲线!$H$2:$H$286,MATCH($I7,_玩家曲线!$A$2:$A$286,0)),""))</f>
        <v>880461.640961851</v>
      </c>
      <c r="R7" s="21">
        <f>IF($I7="","",IFERROR(INDEX(_玩家曲线!$I$2:$I$286,MATCH($I7,_玩家曲线!$A$2:$A$286,0)),""))</f>
        <v>1406516.25767587</v>
      </c>
      <c r="S7" s="21">
        <f>IF(OR($J7="",$F7="不适用"),"",IFERROR(INDEX(_怪物模型!$D$2:$D$4501,MATCH(INT($J7)&amp;"|"&amp;$F7,_怪物模型!$A$2:$A$4501,0))*IF($K7="",1,$K7),""))</f>
        <v>161437</v>
      </c>
      <c r="T7" s="21">
        <f>IF(OR($J7="",$F7="不适用"),"",IFERROR(INDEX(_怪物模型!$E$2:$E$4501,MATCH(INT($J7)&amp;"|"&amp;$F7,_怪物模型!$A$2:$A$4501,0))*IF($L7="",1,$L7),""))</f>
        <v>23555</v>
      </c>
      <c r="U7" s="21">
        <f>IF(OR($J7="",$F7="不适用"),"",IFERROR(INDEX(_怪物模型!$F$2:$F$4501,MATCH(INT($J7)&amp;"|"&amp;$F7,_怪物模型!$A$2:$A$4501,0))*IF($M7="",1,$M7),""))</f>
        <v>17957</v>
      </c>
      <c r="V7" s="22">
        <f t="shared" si="1"/>
        <v>0.427985794980575</v>
      </c>
      <c r="W7" s="23">
        <f t="shared" si="2"/>
        <v>282225.508708333</v>
      </c>
      <c r="X7" s="23">
        <f t="shared" si="3"/>
        <v>0.320542651239206</v>
      </c>
      <c r="Y7" s="23">
        <f t="shared" si="4"/>
        <v>59.7120041467149</v>
      </c>
      <c r="Z7" s="24" t="str">
        <f t="shared" si="5"/>
        <v/>
      </c>
      <c r="AA7" s="6" t="str">
        <f t="shared" si="6"/>
        <v>已计算</v>
      </c>
      <c r="AB7" s="6" t="str">
        <f t="shared" si="7"/>
        <v>有效</v>
      </c>
      <c r="AC7" s="6" t="str">
        <f t="shared" si="8"/>
        <v/>
      </c>
      <c r="AD7" s="7" t="s">
        <v>1062</v>
      </c>
    </row>
    <row r="8" ht="25" customHeight="1" spans="1:30">
      <c r="A8" s="6" t="s">
        <v>1055</v>
      </c>
      <c r="B8" s="6" t="s">
        <v>62</v>
      </c>
      <c r="C8" s="7" t="s">
        <v>1056</v>
      </c>
      <c r="D8" s="7" t="s">
        <v>733</v>
      </c>
      <c r="E8" s="7" t="s">
        <v>1063</v>
      </c>
      <c r="F8" s="6" t="s">
        <v>149</v>
      </c>
      <c r="G8" s="16">
        <v>114</v>
      </c>
      <c r="H8" s="17"/>
      <c r="I8" s="18">
        <f t="shared" si="0"/>
        <v>114</v>
      </c>
      <c r="J8" s="19">
        <v>210</v>
      </c>
      <c r="K8" s="20"/>
      <c r="L8" s="20"/>
      <c r="M8" s="20"/>
      <c r="N8" s="20"/>
      <c r="O8" s="20"/>
      <c r="P8" s="20"/>
      <c r="Q8" s="21">
        <f>IF($I8="","",IFERROR(INDEX(_玩家曲线!$H$2:$H$286,MATCH($I8,_玩家曲线!$A$2:$A$286,0)),""))</f>
        <v>1026134.2089877</v>
      </c>
      <c r="R8" s="21">
        <f>IF($I8="","",IFERROR(INDEX(_玩家曲线!$I$2:$I$286,MATCH($I8,_玩家曲线!$A$2:$A$286,0)),""))</f>
        <v>1572723.19130688</v>
      </c>
      <c r="S8" s="21">
        <f>IF(OR($J8="",$F8="不适用"),"",IFERROR(INDEX(_怪物模型!$D$2:$D$4501,MATCH(INT($J8)&amp;"|"&amp;$F8,_怪物模型!$A$2:$A$4501,0))*IF($K8="",1,$K8),""))</f>
        <v>179822</v>
      </c>
      <c r="T8" s="21">
        <f>IF(OR($J8="",$F8="不适用"),"",IFERROR(INDEX(_怪物模型!$E$2:$E$4501,MATCH(INT($J8)&amp;"|"&amp;$F8,_怪物模型!$A$2:$A$4501,0))*IF($L8="",1,$L8),""))</f>
        <v>25736</v>
      </c>
      <c r="U8" s="21">
        <f>IF(OR($J8="",$F8="不适用"),"",IFERROR(INDEX(_怪物模型!$F$2:$F$4501,MATCH(INT($J8)&amp;"|"&amp;$F8,_怪物模型!$A$2:$A$4501,0))*IF($M8="",1,$M8),""))</f>
        <v>18935</v>
      </c>
      <c r="V8" s="22">
        <f t="shared" si="1"/>
        <v>0.441015488529172</v>
      </c>
      <c r="W8" s="23">
        <f t="shared" si="2"/>
        <v>321694.065416667</v>
      </c>
      <c r="X8" s="23">
        <f t="shared" si="3"/>
        <v>0.313500965662205</v>
      </c>
      <c r="Y8" s="23">
        <f t="shared" si="4"/>
        <v>61.1098535633696</v>
      </c>
      <c r="Z8" s="24" t="str">
        <f t="shared" si="5"/>
        <v/>
      </c>
      <c r="AA8" s="6" t="str">
        <f t="shared" si="6"/>
        <v>已计算</v>
      </c>
      <c r="AB8" s="6" t="str">
        <f t="shared" si="7"/>
        <v>有效</v>
      </c>
      <c r="AC8" s="6" t="str">
        <f t="shared" si="8"/>
        <v/>
      </c>
      <c r="AD8" s="7" t="s">
        <v>1064</v>
      </c>
    </row>
    <row r="9" ht="25" customHeight="1" spans="1:30">
      <c r="A9" s="6" t="s">
        <v>1055</v>
      </c>
      <c r="B9" s="6" t="s">
        <v>62</v>
      </c>
      <c r="C9" s="7" t="s">
        <v>1056</v>
      </c>
      <c r="D9" s="7" t="s">
        <v>736</v>
      </c>
      <c r="E9" s="7" t="s">
        <v>1065</v>
      </c>
      <c r="F9" s="6" t="s">
        <v>149</v>
      </c>
      <c r="G9" s="16">
        <v>121</v>
      </c>
      <c r="H9" s="17"/>
      <c r="I9" s="18">
        <f t="shared" si="0"/>
        <v>121</v>
      </c>
      <c r="J9" s="19">
        <v>220</v>
      </c>
      <c r="K9" s="20"/>
      <c r="L9" s="20"/>
      <c r="M9" s="20"/>
      <c r="N9" s="20"/>
      <c r="O9" s="20"/>
      <c r="P9" s="20"/>
      <c r="Q9" s="21">
        <f>IF($I9="","",IFERROR(INDEX(_玩家曲线!$H$2:$H$286,MATCH($I9,_玩家曲线!$A$2:$A$286,0)),""))</f>
        <v>1167689.24687919</v>
      </c>
      <c r="R9" s="21">
        <f>IF($I9="","",IFERROR(INDEX(_玩家曲线!$I$2:$I$286,MATCH($I9,_玩家曲线!$A$2:$A$286,0)),""))</f>
        <v>1726947.90977525</v>
      </c>
      <c r="S9" s="21">
        <f>IF(OR($J9="",$F9="不适用"),"",IFERROR(INDEX(_怪物模型!$D$2:$D$4501,MATCH(INT($J9)&amp;"|"&amp;$F9,_怪物模型!$A$2:$A$4501,0))*IF($K9="",1,$K9),""))</f>
        <v>202020</v>
      </c>
      <c r="T9" s="21">
        <f>IF(OR($J9="",$F9="不适用"),"",IFERROR(INDEX(_怪物模型!$E$2:$E$4501,MATCH(INT($J9)&amp;"|"&amp;$F9,_怪物模型!$A$2:$A$4501,0))*IF($L9="",1,$L9),""))</f>
        <v>28315</v>
      </c>
      <c r="U9" s="21">
        <f>IF(OR($J9="",$F9="不适用"),"",IFERROR(INDEX(_怪物模型!$F$2:$F$4501,MATCH(INT($J9)&amp;"|"&amp;$F9,_怪物模型!$A$2:$A$4501,0))*IF($M9="",1,$M9),""))</f>
        <v>20039</v>
      </c>
      <c r="V9" s="22">
        <f t="shared" si="1"/>
        <v>0.455028497468153</v>
      </c>
      <c r="W9" s="23">
        <f t="shared" si="2"/>
        <v>370698.2825</v>
      </c>
      <c r="X9" s="23">
        <f t="shared" si="3"/>
        <v>0.317463129416274</v>
      </c>
      <c r="Y9" s="23">
        <f t="shared" si="4"/>
        <v>60.9905671825976</v>
      </c>
      <c r="Z9" s="24" t="str">
        <f t="shared" si="5"/>
        <v/>
      </c>
      <c r="AA9" s="6" t="str">
        <f t="shared" si="6"/>
        <v>已计算</v>
      </c>
      <c r="AB9" s="6" t="str">
        <f t="shared" si="7"/>
        <v>有效</v>
      </c>
      <c r="AC9" s="6" t="str">
        <f t="shared" si="8"/>
        <v/>
      </c>
      <c r="AD9" s="7" t="s">
        <v>1066</v>
      </c>
    </row>
    <row r="10" ht="25" customHeight="1" spans="1:30">
      <c r="A10" s="6" t="s">
        <v>1055</v>
      </c>
      <c r="B10" s="6" t="s">
        <v>62</v>
      </c>
      <c r="C10" s="7" t="s">
        <v>1056</v>
      </c>
      <c r="D10" s="7" t="s">
        <v>740</v>
      </c>
      <c r="E10" s="7" t="s">
        <v>1067</v>
      </c>
      <c r="F10" s="6" t="s">
        <v>149</v>
      </c>
      <c r="G10" s="16">
        <v>128</v>
      </c>
      <c r="H10" s="17"/>
      <c r="I10" s="18">
        <f t="shared" si="0"/>
        <v>128</v>
      </c>
      <c r="J10" s="19">
        <v>227</v>
      </c>
      <c r="K10" s="20"/>
      <c r="L10" s="20"/>
      <c r="M10" s="20"/>
      <c r="N10" s="20"/>
      <c r="O10" s="20"/>
      <c r="P10" s="20"/>
      <c r="Q10" s="21">
        <f>IF($I10="","",IFERROR(INDEX(_玩家曲线!$H$2:$H$286,MATCH($I10,_玩家曲线!$A$2:$A$286,0)),""))</f>
        <v>1303053.0866769</v>
      </c>
      <c r="R10" s="21">
        <f>IF($I10="","",IFERROR(INDEX(_玩家曲线!$I$2:$I$286,MATCH($I10,_玩家曲线!$A$2:$A$286,0)),""))</f>
        <v>1868750.46521378</v>
      </c>
      <c r="S10" s="21">
        <f>IF(OR($J10="",$F10="不适用"),"",IFERROR(INDEX(_怪物模型!$D$2:$D$4501,MATCH(INT($J10)&amp;"|"&amp;$F10,_怪物模型!$A$2:$A$4501,0))*IF($K10="",1,$K10),""))</f>
        <v>218729</v>
      </c>
      <c r="T10" s="21">
        <f>IF(OR($J10="",$F10="不适用"),"",IFERROR(INDEX(_怪物模型!$E$2:$E$4501,MATCH(INT($J10)&amp;"|"&amp;$F10,_怪物模型!$A$2:$A$4501,0))*IF($L10="",1,$L10),""))</f>
        <v>30219</v>
      </c>
      <c r="U10" s="21">
        <f>IF(OR($J10="",$F10="不适用"),"",IFERROR(INDEX(_怪物模型!$F$2:$F$4501,MATCH(INT($J10)&amp;"|"&amp;$F10,_怪物模型!$A$2:$A$4501,0))*IF($M10="",1,$M10),""))</f>
        <v>20823</v>
      </c>
      <c r="V10" s="22">
        <f t="shared" si="1"/>
        <v>0.464560605046516</v>
      </c>
      <c r="W10" s="23">
        <f t="shared" si="2"/>
        <v>408503.748625</v>
      </c>
      <c r="X10" s="23">
        <f t="shared" si="3"/>
        <v>0.313497395310872</v>
      </c>
      <c r="Y10" s="23">
        <f t="shared" si="4"/>
        <v>61.8402483607591</v>
      </c>
      <c r="Z10" s="24" t="str">
        <f t="shared" si="5"/>
        <v/>
      </c>
      <c r="AA10" s="6" t="str">
        <f t="shared" si="6"/>
        <v>已计算</v>
      </c>
      <c r="AB10" s="6" t="str">
        <f t="shared" si="7"/>
        <v>有效</v>
      </c>
      <c r="AC10" s="6" t="str">
        <f t="shared" si="8"/>
        <v/>
      </c>
      <c r="AD10" s="7" t="s">
        <v>1068</v>
      </c>
    </row>
    <row r="11" ht="25" customHeight="1" spans="1:30">
      <c r="A11" s="6" t="s">
        <v>1055</v>
      </c>
      <c r="B11" s="6" t="s">
        <v>62</v>
      </c>
      <c r="C11" s="7" t="s">
        <v>1056</v>
      </c>
      <c r="D11" s="7" t="s">
        <v>743</v>
      </c>
      <c r="E11" s="7" t="s">
        <v>1069</v>
      </c>
      <c r="F11" s="6" t="s">
        <v>149</v>
      </c>
      <c r="G11" s="16">
        <v>135</v>
      </c>
      <c r="H11" s="17"/>
      <c r="I11" s="18">
        <f t="shared" si="0"/>
        <v>135</v>
      </c>
      <c r="J11" s="19">
        <v>234</v>
      </c>
      <c r="K11" s="20"/>
      <c r="L11" s="20"/>
      <c r="M11" s="20"/>
      <c r="N11" s="20"/>
      <c r="O11" s="20"/>
      <c r="P11" s="20"/>
      <c r="Q11" s="21">
        <f>IF($I11="","",IFERROR(INDEX(_玩家曲线!$H$2:$H$286,MATCH($I11,_玩家曲线!$A$2:$A$286,0)),""))</f>
        <v>1430766.07784334</v>
      </c>
      <c r="R11" s="21">
        <f>IF($I11="","",IFERROR(INDEX(_玩家曲线!$I$2:$I$286,MATCH($I11,_玩家曲线!$A$2:$A$286,0)),""))</f>
        <v>1998148.84163684</v>
      </c>
      <c r="S11" s="21">
        <f>IF(OR($J11="",$F11="不适用"),"",IFERROR(INDEX(_怪物模型!$D$2:$D$4501,MATCH(INT($J11)&amp;"|"&amp;$F11,_怪物模型!$A$2:$A$4501,0))*IF($K11="",1,$K11),""))</f>
        <v>236450</v>
      </c>
      <c r="T11" s="21">
        <f>IF(OR($J11="",$F11="不适用"),"",IFERROR(INDEX(_怪物模型!$E$2:$E$4501,MATCH(INT($J11)&amp;"|"&amp;$F11,_怪物模型!$A$2:$A$4501,0))*IF($L11="",1,$L11),""))</f>
        <v>32209</v>
      </c>
      <c r="U11" s="21">
        <f>IF(OR($J11="",$F11="不适用"),"",IFERROR(INDEX(_怪物模型!$F$2:$F$4501,MATCH(INT($J11)&amp;"|"&amp;$F11,_怪物模型!$A$2:$A$4501,0))*IF($M11="",1,$M11),""))</f>
        <v>21616</v>
      </c>
      <c r="V11" s="22">
        <f t="shared" si="1"/>
        <v>0.473868817958611</v>
      </c>
      <c r="W11" s="23">
        <f t="shared" si="2"/>
        <v>449412.633333333</v>
      </c>
      <c r="X11" s="23">
        <f t="shared" si="3"/>
        <v>0.314106296125467</v>
      </c>
      <c r="Y11" s="23">
        <f t="shared" si="4"/>
        <v>62.0369723256494</v>
      </c>
      <c r="Z11" s="24" t="str">
        <f t="shared" si="5"/>
        <v/>
      </c>
      <c r="AA11" s="6" t="str">
        <f t="shared" si="6"/>
        <v>已计算</v>
      </c>
      <c r="AB11" s="6" t="str">
        <f t="shared" si="7"/>
        <v>有效</v>
      </c>
      <c r="AC11" s="6" t="str">
        <f t="shared" si="8"/>
        <v/>
      </c>
      <c r="AD11" s="7" t="s">
        <v>1070</v>
      </c>
    </row>
    <row r="12" ht="25" customHeight="1" spans="1:30">
      <c r="A12" s="6" t="s">
        <v>1055</v>
      </c>
      <c r="B12" s="6" t="s">
        <v>62</v>
      </c>
      <c r="C12" s="7" t="s">
        <v>1056</v>
      </c>
      <c r="D12" s="7" t="s">
        <v>746</v>
      </c>
      <c r="E12" s="7" t="s">
        <v>1071</v>
      </c>
      <c r="F12" s="6" t="s">
        <v>149</v>
      </c>
      <c r="G12" s="16">
        <v>142</v>
      </c>
      <c r="H12" s="17"/>
      <c r="I12" s="18">
        <f t="shared" si="0"/>
        <v>142</v>
      </c>
      <c r="J12" s="19">
        <v>240</v>
      </c>
      <c r="K12" s="20"/>
      <c r="L12" s="20"/>
      <c r="M12" s="20"/>
      <c r="N12" s="20"/>
      <c r="O12" s="20"/>
      <c r="P12" s="20"/>
      <c r="Q12" s="21">
        <f>IF($I12="","",IFERROR(INDEX(_玩家曲线!$H$2:$H$286,MATCH($I12,_玩家曲线!$A$2:$A$286,0)),""))</f>
        <v>1549901.68428811</v>
      </c>
      <c r="R12" s="21">
        <f>IF($I12="","",IFERROR(INDEX(_玩家曲线!$I$2:$I$286,MATCH($I12,_玩家曲线!$A$2:$A$286,0)),""))</f>
        <v>2115486.46706194</v>
      </c>
      <c r="S12" s="21">
        <f>IF(OR($J12="",$F12="不适用"),"",IFERROR(INDEX(_怪物模型!$D$2:$D$4501,MATCH(INT($J12)&amp;"|"&amp;$F12,_怪物模型!$A$2:$A$4501,0))*IF($K12="",1,$K12),""))</f>
        <v>252476</v>
      </c>
      <c r="T12" s="21">
        <f>IF(OR($J12="",$F12="不适用"),"",IFERROR(INDEX(_怪物模型!$E$2:$E$4501,MATCH(INT($J12)&amp;"|"&amp;$F12,_怪物模型!$A$2:$A$4501,0))*IF($L12="",1,$L12),""))</f>
        <v>33984</v>
      </c>
      <c r="U12" s="21">
        <f>IF(OR($J12="",$F12="不适用"),"",IFERROR(INDEX(_怪物模型!$F$2:$F$4501,MATCH(INT($J12)&amp;"|"&amp;$F12,_怪物模型!$A$2:$A$4501,0))*IF($M12="",1,$M12),""))</f>
        <v>22303</v>
      </c>
      <c r="V12" s="22">
        <f t="shared" si="1"/>
        <v>0.48167505345226</v>
      </c>
      <c r="W12" s="23">
        <f t="shared" si="2"/>
        <v>487099.842833333</v>
      </c>
      <c r="X12" s="23">
        <f t="shared" si="3"/>
        <v>0.314277897605528</v>
      </c>
      <c r="Y12" s="23">
        <f t="shared" si="4"/>
        <v>62.2494840825665</v>
      </c>
      <c r="Z12" s="24" t="str">
        <f t="shared" si="5"/>
        <v/>
      </c>
      <c r="AA12" s="6" t="str">
        <f t="shared" si="6"/>
        <v>已计算</v>
      </c>
      <c r="AB12" s="6" t="str">
        <f t="shared" si="7"/>
        <v>有效</v>
      </c>
      <c r="AC12" s="6" t="str">
        <f t="shared" si="8"/>
        <v/>
      </c>
      <c r="AD12" s="7" t="s">
        <v>1072</v>
      </c>
    </row>
    <row r="13" ht="25" customHeight="1" spans="1:30">
      <c r="A13" s="6" t="s">
        <v>1055</v>
      </c>
      <c r="B13" s="6" t="s">
        <v>62</v>
      </c>
      <c r="C13" s="7" t="s">
        <v>1056</v>
      </c>
      <c r="D13" s="7" t="s">
        <v>749</v>
      </c>
      <c r="E13" s="7" t="s">
        <v>1073</v>
      </c>
      <c r="F13" s="6" t="s">
        <v>149</v>
      </c>
      <c r="G13" s="16">
        <v>150</v>
      </c>
      <c r="H13" s="17"/>
      <c r="I13" s="18">
        <f t="shared" si="0"/>
        <v>150</v>
      </c>
      <c r="J13" s="19">
        <v>246</v>
      </c>
      <c r="K13" s="20"/>
      <c r="L13" s="20"/>
      <c r="M13" s="20"/>
      <c r="N13" s="20"/>
      <c r="O13" s="20"/>
      <c r="P13" s="20"/>
      <c r="Q13" s="21">
        <f>IF($I13="","",IFERROR(INDEX(_玩家曲线!$H$2:$H$286,MATCH($I13,_玩家曲线!$A$2:$A$286,0)),""))</f>
        <v>1674947.53944502</v>
      </c>
      <c r="R13" s="21">
        <f>IF($I13="","",IFERROR(INDEX(_玩家曲线!$I$2:$I$286,MATCH($I13,_玩家曲线!$A$2:$A$286,0)),""))</f>
        <v>2235548.59749904</v>
      </c>
      <c r="S13" s="21">
        <f>IF(OR($J13="",$F13="不适用"),"",IFERROR(INDEX(_怪物模型!$D$2:$D$4501,MATCH(INT($J13)&amp;"|"&amp;$F13,_怪物模型!$A$2:$A$4501,0))*IF($K13="",1,$K13),""))</f>
        <v>269304</v>
      </c>
      <c r="T13" s="21">
        <f>IF(OR($J13="",$F13="不适用"),"",IFERROR(INDEX(_怪物模型!$E$2:$E$4501,MATCH(INT($J13)&amp;"|"&amp;$F13,_怪物模型!$A$2:$A$4501,0))*IF($L13="",1,$L13),""))</f>
        <v>35825</v>
      </c>
      <c r="U13" s="21">
        <f>IF(OR($J13="",$F13="不适用"),"",IFERROR(INDEX(_怪物模型!$F$2:$F$4501,MATCH(INT($J13)&amp;"|"&amp;$F13,_怪物模型!$A$2:$A$4501,0))*IF($M13="",1,$M13),""))</f>
        <v>22997</v>
      </c>
      <c r="V13" s="22">
        <f t="shared" si="1"/>
        <v>0.489329106113156</v>
      </c>
      <c r="W13" s="23">
        <f t="shared" si="2"/>
        <v>527353.337</v>
      </c>
      <c r="X13" s="23">
        <f t="shared" si="3"/>
        <v>0.314847674079831</v>
      </c>
      <c r="Y13" s="23">
        <f t="shared" si="4"/>
        <v>62.4019147941114</v>
      </c>
      <c r="Z13" s="24" t="str">
        <f t="shared" si="5"/>
        <v/>
      </c>
      <c r="AA13" s="6" t="str">
        <f t="shared" si="6"/>
        <v>已计算</v>
      </c>
      <c r="AB13" s="6" t="str">
        <f t="shared" si="7"/>
        <v>有效</v>
      </c>
      <c r="AC13" s="6" t="str">
        <f t="shared" si="8"/>
        <v/>
      </c>
      <c r="AD13" s="7" t="s">
        <v>1074</v>
      </c>
    </row>
    <row r="14" ht="25" customHeight="1" spans="1:30">
      <c r="A14" s="6" t="s">
        <v>1055</v>
      </c>
      <c r="B14" s="6" t="s">
        <v>62</v>
      </c>
      <c r="C14" s="7" t="s">
        <v>1056</v>
      </c>
      <c r="D14" s="7" t="s">
        <v>752</v>
      </c>
      <c r="E14" s="7" t="s">
        <v>1075</v>
      </c>
      <c r="F14" s="6" t="s">
        <v>149</v>
      </c>
      <c r="G14" s="16">
        <v>158</v>
      </c>
      <c r="H14" s="17"/>
      <c r="I14" s="18">
        <f t="shared" si="0"/>
        <v>158</v>
      </c>
      <c r="J14" s="19">
        <v>251</v>
      </c>
      <c r="K14" s="20"/>
      <c r="L14" s="20"/>
      <c r="M14" s="20"/>
      <c r="N14" s="20"/>
      <c r="O14" s="20"/>
      <c r="P14" s="20"/>
      <c r="Q14" s="21">
        <f>IF($I14="","",IFERROR(INDEX(_玩家曲线!$H$2:$H$286,MATCH($I14,_玩家曲线!$A$2:$A$286,0)),""))</f>
        <v>1787991.95099335</v>
      </c>
      <c r="R14" s="21">
        <f>IF($I14="","",IFERROR(INDEX(_玩家曲线!$I$2:$I$286,MATCH($I14,_玩家曲线!$A$2:$A$286,0)),""))</f>
        <v>2341656.09884178</v>
      </c>
      <c r="S14" s="21">
        <f>IF(OR($J14="",$F14="不适用"),"",IFERROR(INDEX(_怪物模型!$D$2:$D$4501,MATCH(INT($J14)&amp;"|"&amp;$F14,_怪物模型!$A$2:$A$4501,0))*IF($K14="",1,$K14),""))</f>
        <v>283961</v>
      </c>
      <c r="T14" s="21">
        <f>IF(OR($J14="",$F14="不适用"),"",IFERROR(INDEX(_怪物模型!$E$2:$E$4501,MATCH(INT($J14)&amp;"|"&amp;$F14,_怪物模型!$A$2:$A$4501,0))*IF($L14="",1,$L14),""))</f>
        <v>37411</v>
      </c>
      <c r="U14" s="21">
        <f>IF(OR($J14="",$F14="不适用"),"",IFERROR(INDEX(_怪物模型!$F$2:$F$4501,MATCH(INT($J14)&amp;"|"&amp;$F14,_怪物模型!$A$2:$A$4501,0))*IF($M14="",1,$M14),""))</f>
        <v>23580</v>
      </c>
      <c r="V14" s="22">
        <f t="shared" si="1"/>
        <v>0.495586380832282</v>
      </c>
      <c r="W14" s="23">
        <f t="shared" si="2"/>
        <v>562952.6825</v>
      </c>
      <c r="X14" s="23">
        <f t="shared" si="3"/>
        <v>0.314851910931278</v>
      </c>
      <c r="Y14" s="23">
        <f t="shared" si="4"/>
        <v>62.5927160151234</v>
      </c>
      <c r="Z14" s="24" t="str">
        <f t="shared" si="5"/>
        <v/>
      </c>
      <c r="AA14" s="6" t="str">
        <f t="shared" si="6"/>
        <v>已计算</v>
      </c>
      <c r="AB14" s="6" t="str">
        <f t="shared" si="7"/>
        <v>有效</v>
      </c>
      <c r="AC14" s="6" t="str">
        <f t="shared" si="8"/>
        <v/>
      </c>
      <c r="AD14" s="7" t="s">
        <v>1076</v>
      </c>
    </row>
    <row r="15" ht="25" customHeight="1" spans="1:30">
      <c r="A15" s="6" t="s">
        <v>1055</v>
      </c>
      <c r="B15" s="6" t="s">
        <v>62</v>
      </c>
      <c r="C15" s="7" t="s">
        <v>1056</v>
      </c>
      <c r="D15" s="7" t="s">
        <v>755</v>
      </c>
      <c r="E15" s="7" t="s">
        <v>1077</v>
      </c>
      <c r="F15" s="6" t="s">
        <v>149</v>
      </c>
      <c r="G15" s="16">
        <v>165</v>
      </c>
      <c r="H15" s="17"/>
      <c r="I15" s="18">
        <f t="shared" si="0"/>
        <v>165</v>
      </c>
      <c r="J15" s="19">
        <v>256</v>
      </c>
      <c r="K15" s="20"/>
      <c r="L15" s="20"/>
      <c r="M15" s="20"/>
      <c r="N15" s="20"/>
      <c r="O15" s="20"/>
      <c r="P15" s="20"/>
      <c r="Q15" s="21">
        <f>IF($I15="","",IFERROR(INDEX(_玩家曲线!$H$2:$H$286,MATCH($I15,_玩家曲线!$A$2:$A$286,0)),""))</f>
        <v>1877256.63687321</v>
      </c>
      <c r="R15" s="21">
        <f>IF($I15="","",IFERROR(INDEX(_玩家曲线!$I$2:$I$286,MATCH($I15,_玩家曲线!$A$2:$A$286,0)),""))</f>
        <v>2423978.15932742</v>
      </c>
      <c r="S15" s="21">
        <f>IF(OR($J15="",$F15="不适用"),"",IFERROR(INDEX(_怪物模型!$D$2:$D$4501,MATCH(INT($J15)&amp;"|"&amp;$F15,_怪物模型!$A$2:$A$4501,0))*IF($K15="",1,$K15),""))</f>
        <v>299212</v>
      </c>
      <c r="T15" s="21">
        <f>IF(OR($J15="",$F15="不适用"),"",IFERROR(INDEX(_怪物模型!$E$2:$E$4501,MATCH(INT($J15)&amp;"|"&amp;$F15,_怪物模型!$A$2:$A$4501,0))*IF($L15="",1,$L15),""))</f>
        <v>39045</v>
      </c>
      <c r="U15" s="21">
        <f>IF(OR($J15="",$F15="不适用"),"",IFERROR(INDEX(_怪物模型!$F$2:$F$4501,MATCH(INT($J15)&amp;"|"&amp;$F15,_怪物模型!$A$2:$A$4501,0))*IF($M15="",1,$M15),""))</f>
        <v>24168</v>
      </c>
      <c r="V15" s="22">
        <f t="shared" si="1"/>
        <v>0.50174389636273</v>
      </c>
      <c r="W15" s="23">
        <f t="shared" si="2"/>
        <v>600518.484</v>
      </c>
      <c r="X15" s="23">
        <f t="shared" si="3"/>
        <v>0.319891522663749</v>
      </c>
      <c r="Y15" s="23">
        <f t="shared" si="4"/>
        <v>62.0816534595318</v>
      </c>
      <c r="Z15" s="24" t="str">
        <f t="shared" si="5"/>
        <v/>
      </c>
      <c r="AA15" s="6" t="str">
        <f t="shared" si="6"/>
        <v>已计算</v>
      </c>
      <c r="AB15" s="6" t="str">
        <f t="shared" si="7"/>
        <v>有效</v>
      </c>
      <c r="AC15" s="6" t="str">
        <f t="shared" si="8"/>
        <v/>
      </c>
      <c r="AD15" s="7" t="s">
        <v>1078</v>
      </c>
    </row>
    <row r="16" ht="25" customHeight="1" spans="1:30">
      <c r="A16" s="6" t="s">
        <v>1055</v>
      </c>
      <c r="B16" s="6" t="s">
        <v>62</v>
      </c>
      <c r="C16" s="7" t="s">
        <v>1056</v>
      </c>
      <c r="D16" s="7" t="s">
        <v>758</v>
      </c>
      <c r="E16" s="7" t="s">
        <v>1079</v>
      </c>
      <c r="F16" s="6" t="s">
        <v>149</v>
      </c>
      <c r="G16" s="16">
        <v>173</v>
      </c>
      <c r="H16" s="17"/>
      <c r="I16" s="18">
        <f t="shared" si="0"/>
        <v>173</v>
      </c>
      <c r="J16" s="19">
        <v>260</v>
      </c>
      <c r="K16" s="20"/>
      <c r="L16" s="20"/>
      <c r="M16" s="20"/>
      <c r="N16" s="20"/>
      <c r="O16" s="20"/>
      <c r="P16" s="20"/>
      <c r="Q16" s="21">
        <f>IF($I16="","",IFERROR(INDEX(_玩家曲线!$H$2:$H$286,MATCH($I16,_玩家曲线!$A$2:$A$286,0)),""))</f>
        <v>1968733.91695975</v>
      </c>
      <c r="R16" s="21">
        <f>IF($I16="","",IFERROR(INDEX(_玩家曲线!$I$2:$I$286,MATCH($I16,_玩家曲线!$A$2:$A$286,0)),""))</f>
        <v>2507128.79848646</v>
      </c>
      <c r="S16" s="21">
        <f>IF(OR($J16="",$F16="不适用"),"",IFERROR(INDEX(_怪物模型!$D$2:$D$4501,MATCH(INT($J16)&amp;"|"&amp;$F16,_怪物模型!$A$2:$A$4501,0))*IF($K16="",1,$K16),""))</f>
        <v>311852</v>
      </c>
      <c r="T16" s="21">
        <f>IF(OR($J16="",$F16="不适用"),"",IFERROR(INDEX(_怪物模型!$E$2:$E$4501,MATCH(INT($J16)&amp;"|"&amp;$F16,_怪物模型!$A$2:$A$4501,0))*IF($L16="",1,$L16),""))</f>
        <v>40387</v>
      </c>
      <c r="U16" s="21">
        <f>IF(OR($J16="",$F16="不适用"),"",IFERROR(INDEX(_怪物模型!$F$2:$F$4501,MATCH(INT($J16)&amp;"|"&amp;$F16,_怪物模型!$A$2:$A$4501,0))*IF($M16="",1,$M16),""))</f>
        <v>24641</v>
      </c>
      <c r="V16" s="22">
        <f t="shared" si="1"/>
        <v>0.506589091507165</v>
      </c>
      <c r="W16" s="23">
        <f t="shared" si="2"/>
        <v>632033.047166667</v>
      </c>
      <c r="X16" s="23">
        <f t="shared" si="3"/>
        <v>0.321035281467947</v>
      </c>
      <c r="Y16" s="23">
        <f t="shared" si="4"/>
        <v>62.0776189983524</v>
      </c>
      <c r="Z16" s="24" t="str">
        <f t="shared" si="5"/>
        <v/>
      </c>
      <c r="AA16" s="6" t="str">
        <f t="shared" si="6"/>
        <v>已计算</v>
      </c>
      <c r="AB16" s="6" t="str">
        <f t="shared" si="7"/>
        <v>有效</v>
      </c>
      <c r="AC16" s="6" t="str">
        <f t="shared" si="8"/>
        <v/>
      </c>
      <c r="AD16" s="7" t="s">
        <v>1080</v>
      </c>
    </row>
    <row r="17" ht="25" customHeight="1" spans="1:30">
      <c r="A17" s="6" t="s">
        <v>1055</v>
      </c>
      <c r="B17" s="6" t="s">
        <v>62</v>
      </c>
      <c r="C17" s="7" t="s">
        <v>1056</v>
      </c>
      <c r="D17" s="7" t="s">
        <v>761</v>
      </c>
      <c r="E17" s="7" t="s">
        <v>1081</v>
      </c>
      <c r="F17" s="6" t="s">
        <v>149</v>
      </c>
      <c r="G17" s="16">
        <v>181</v>
      </c>
      <c r="H17" s="17"/>
      <c r="I17" s="18">
        <f t="shared" si="0"/>
        <v>181</v>
      </c>
      <c r="J17" s="19">
        <v>264</v>
      </c>
      <c r="K17" s="20"/>
      <c r="L17" s="20"/>
      <c r="M17" s="20"/>
      <c r="N17" s="20"/>
      <c r="O17" s="20"/>
      <c r="P17" s="20"/>
      <c r="Q17" s="21">
        <f>IF($I17="","",IFERROR(INDEX(_玩家曲线!$H$2:$H$286,MATCH($I17,_玩家曲线!$A$2:$A$286,0)),""))</f>
        <v>2049670.71115747</v>
      </c>
      <c r="R17" s="21">
        <f>IF($I17="","",IFERROR(INDEX(_玩家曲线!$I$2:$I$286,MATCH($I17,_玩家曲线!$A$2:$A$286,0)),""))</f>
        <v>2579771.52374254</v>
      </c>
      <c r="S17" s="21">
        <f>IF(OR($J17="",$F17="不适用"),"",IFERROR(INDEX(_怪物模型!$D$2:$D$4501,MATCH(INT($J17)&amp;"|"&amp;$F17,_怪物模型!$A$2:$A$4501,0))*IF($K17="",1,$K17),""))</f>
        <v>324892</v>
      </c>
      <c r="T17" s="21">
        <f>IF(OR($J17="",$F17="不适用"),"",IFERROR(INDEX(_怪物模型!$E$2:$E$4501,MATCH(INT($J17)&amp;"|"&amp;$F17,_怪物模型!$A$2:$A$4501,0))*IF($L17="",1,$L17),""))</f>
        <v>41761</v>
      </c>
      <c r="U17" s="21">
        <f>IF(OR($J17="",$F17="不适用"),"",IFERROR(INDEX(_怪物模型!$F$2:$F$4501,MATCH(INT($J17)&amp;"|"&amp;$F17,_怪物模型!$A$2:$A$4501,0))*IF($M17="",1,$M17),""))</f>
        <v>25117</v>
      </c>
      <c r="V17" s="22">
        <f t="shared" si="1"/>
        <v>0.511370808477716</v>
      </c>
      <c r="W17" s="23">
        <f t="shared" si="2"/>
        <v>664905.015166667</v>
      </c>
      <c r="X17" s="23">
        <f t="shared" si="3"/>
        <v>0.32439601714911</v>
      </c>
      <c r="Y17" s="23">
        <f t="shared" si="4"/>
        <v>61.7746587424281</v>
      </c>
      <c r="Z17" s="24" t="str">
        <f t="shared" si="5"/>
        <v/>
      </c>
      <c r="AA17" s="6" t="str">
        <f t="shared" si="6"/>
        <v>已计算</v>
      </c>
      <c r="AB17" s="6" t="str">
        <f t="shared" si="7"/>
        <v>有效</v>
      </c>
      <c r="AC17" s="6" t="str">
        <f t="shared" si="8"/>
        <v/>
      </c>
      <c r="AD17" s="7" t="s">
        <v>1082</v>
      </c>
    </row>
    <row r="18" ht="25" customHeight="1" spans="1:30">
      <c r="A18" s="6" t="s">
        <v>1055</v>
      </c>
      <c r="B18" s="6" t="s">
        <v>62</v>
      </c>
      <c r="C18" s="7" t="s">
        <v>1056</v>
      </c>
      <c r="D18" s="7" t="s">
        <v>764</v>
      </c>
      <c r="E18" s="7" t="s">
        <v>1083</v>
      </c>
      <c r="F18" s="6" t="s">
        <v>149</v>
      </c>
      <c r="G18" s="16">
        <v>189</v>
      </c>
      <c r="H18" s="17"/>
      <c r="I18" s="18">
        <f t="shared" si="0"/>
        <v>189</v>
      </c>
      <c r="J18" s="19">
        <v>268</v>
      </c>
      <c r="K18" s="20"/>
      <c r="L18" s="20"/>
      <c r="M18" s="20"/>
      <c r="N18" s="20"/>
      <c r="O18" s="20"/>
      <c r="P18" s="20"/>
      <c r="Q18" s="21">
        <f>IF($I18="","",IFERROR(INDEX(_玩家曲线!$H$2:$H$286,MATCH($I18,_玩家曲线!$A$2:$A$286,0)),""))</f>
        <v>2120906.3368972</v>
      </c>
      <c r="R18" s="21">
        <f>IF($I18="","",IFERROR(INDEX(_玩家曲线!$I$2:$I$286,MATCH($I18,_玩家曲线!$A$2:$A$286,0)),""))</f>
        <v>2643058.9730048</v>
      </c>
      <c r="S18" s="21">
        <f>IF(OR($J18="",$F18="不适用"),"",IFERROR(INDEX(_怪物模型!$D$2:$D$4501,MATCH(INT($J18)&amp;"|"&amp;$F18,_怪物模型!$A$2:$A$4501,0))*IF($K18="",1,$K18),""))</f>
        <v>338342</v>
      </c>
      <c r="T18" s="21">
        <f>IF(OR($J18="",$F18="不适用"),"",IFERROR(INDEX(_怪物模型!$E$2:$E$4501,MATCH(INT($J18)&amp;"|"&amp;$F18,_怪物模型!$A$2:$A$4501,0))*IF($L18="",1,$L18),""))</f>
        <v>43167</v>
      </c>
      <c r="U18" s="21">
        <f>IF(OR($J18="",$F18="不适用"),"",IFERROR(INDEX(_怪物模型!$F$2:$F$4501,MATCH(INT($J18)&amp;"|"&amp;$F18,_怪物模型!$A$2:$A$4501,0))*IF($M18="",1,$M18),""))</f>
        <v>25597</v>
      </c>
      <c r="V18" s="22">
        <f t="shared" si="1"/>
        <v>0.516099764098635</v>
      </c>
      <c r="W18" s="23">
        <f t="shared" si="2"/>
        <v>699197.840583333</v>
      </c>
      <c r="X18" s="23">
        <f t="shared" si="3"/>
        <v>0.329669362771687</v>
      </c>
      <c r="Y18" s="23">
        <f t="shared" si="4"/>
        <v>61.2286925893576</v>
      </c>
      <c r="Z18" s="24" t="str">
        <f t="shared" si="5"/>
        <v/>
      </c>
      <c r="AA18" s="6" t="str">
        <f t="shared" si="6"/>
        <v>已计算</v>
      </c>
      <c r="AB18" s="6" t="str">
        <f t="shared" si="7"/>
        <v>有效</v>
      </c>
      <c r="AC18" s="6" t="str">
        <f t="shared" si="8"/>
        <v/>
      </c>
      <c r="AD18" s="7" t="s">
        <v>1084</v>
      </c>
    </row>
    <row r="19" ht="25" customHeight="1" spans="1:30">
      <c r="A19" s="6" t="s">
        <v>1055</v>
      </c>
      <c r="B19" s="6" t="s">
        <v>62</v>
      </c>
      <c r="C19" s="7" t="s">
        <v>1056</v>
      </c>
      <c r="D19" s="7" t="s">
        <v>767</v>
      </c>
      <c r="E19" s="7" t="s">
        <v>1085</v>
      </c>
      <c r="F19" s="6" t="s">
        <v>149</v>
      </c>
      <c r="G19" s="16">
        <v>197</v>
      </c>
      <c r="H19" s="17"/>
      <c r="I19" s="18">
        <f t="shared" si="0"/>
        <v>197</v>
      </c>
      <c r="J19" s="19">
        <v>271</v>
      </c>
      <c r="K19" s="20"/>
      <c r="L19" s="20"/>
      <c r="M19" s="20"/>
      <c r="N19" s="20"/>
      <c r="O19" s="20"/>
      <c r="P19" s="20"/>
      <c r="Q19" s="21">
        <f>IF($I19="","",IFERROR(INDEX(_玩家曲线!$H$2:$H$286,MATCH($I19,_玩家曲线!$A$2:$A$286,0)),""))</f>
        <v>2183327.853536</v>
      </c>
      <c r="R19" s="21">
        <f>IF($I19="","",IFERROR(INDEX(_玩家曲线!$I$2:$I$286,MATCH($I19,_玩家曲线!$A$2:$A$286,0)),""))</f>
        <v>2698069.54705561</v>
      </c>
      <c r="S19" s="21">
        <f>IF(OR($J19="",$F19="不适用"),"",IFERROR(INDEX(_怪物模型!$D$2:$D$4501,MATCH(INT($J19)&amp;"|"&amp;$F19,_怪物模型!$A$2:$A$4501,0))*IF($K19="",1,$K19),""))</f>
        <v>348704</v>
      </c>
      <c r="T19" s="21">
        <f>IF(OR($J19="",$F19="不适用"),"",IFERROR(INDEX(_怪物模型!$E$2:$E$4501,MATCH(INT($J19)&amp;"|"&amp;$F19,_怪物模型!$A$2:$A$4501,0))*IF($L19="",1,$L19),""))</f>
        <v>44243</v>
      </c>
      <c r="U19" s="21">
        <f>IF(OR($J19="",$F19="不适用"),"",IFERROR(INDEX(_怪物模型!$F$2:$F$4501,MATCH(INT($J19)&amp;"|"&amp;$F19,_怪物模型!$A$2:$A$4501,0))*IF($M19="",1,$M19),""))</f>
        <v>25958</v>
      </c>
      <c r="V19" s="22">
        <f t="shared" si="1"/>
        <v>0.519596461027263</v>
      </c>
      <c r="W19" s="23">
        <f t="shared" si="2"/>
        <v>725856.434666667</v>
      </c>
      <c r="X19" s="23">
        <f t="shared" si="3"/>
        <v>0.332454163258674</v>
      </c>
      <c r="Y19" s="23">
        <f t="shared" si="4"/>
        <v>60.9829701208239</v>
      </c>
      <c r="Z19" s="24" t="str">
        <f t="shared" si="5"/>
        <v/>
      </c>
      <c r="AA19" s="6" t="str">
        <f t="shared" si="6"/>
        <v>已计算</v>
      </c>
      <c r="AB19" s="6" t="str">
        <f t="shared" si="7"/>
        <v>有效</v>
      </c>
      <c r="AC19" s="6" t="str">
        <f t="shared" si="8"/>
        <v/>
      </c>
      <c r="AD19" s="7" t="s">
        <v>1086</v>
      </c>
    </row>
    <row r="20" ht="25" customHeight="1" spans="1:30">
      <c r="A20" s="6" t="s">
        <v>1055</v>
      </c>
      <c r="B20" s="6" t="s">
        <v>62</v>
      </c>
      <c r="C20" s="7" t="s">
        <v>1056</v>
      </c>
      <c r="D20" s="7" t="s">
        <v>770</v>
      </c>
      <c r="E20" s="7" t="s">
        <v>1087</v>
      </c>
      <c r="F20" s="6" t="s">
        <v>149</v>
      </c>
      <c r="G20" s="16">
        <v>205</v>
      </c>
      <c r="H20" s="17"/>
      <c r="I20" s="18">
        <f t="shared" si="0"/>
        <v>205</v>
      </c>
      <c r="J20" s="19">
        <v>274</v>
      </c>
      <c r="K20" s="20"/>
      <c r="L20" s="20"/>
      <c r="M20" s="20"/>
      <c r="N20" s="20"/>
      <c r="O20" s="20"/>
      <c r="P20" s="20"/>
      <c r="Q20" s="21">
        <f>IF($I20="","",IFERROR(INDEX(_玩家曲线!$H$2:$H$286,MATCH($I20,_玩家曲线!$A$2:$A$286,0)),""))</f>
        <v>2237823.8399004</v>
      </c>
      <c r="R20" s="21">
        <f>IF($I20="","",IFERROR(INDEX(_玩家曲线!$I$2:$I$286,MATCH($I20,_玩家曲线!$A$2:$A$286,0)),""))</f>
        <v>2745794.82746303</v>
      </c>
      <c r="S20" s="21">
        <f>IF(OR($J20="",$F20="不适用"),"",IFERROR(INDEX(_怪物模型!$D$2:$D$4501,MATCH(INT($J20)&amp;"|"&amp;$F20,_怪物模型!$A$2:$A$4501,0))*IF($K20="",1,$K20),""))</f>
        <v>359305</v>
      </c>
      <c r="T20" s="21">
        <f>IF(OR($J20="",$F20="不适用"),"",IFERROR(INDEX(_怪物模型!$E$2:$E$4501,MATCH(INT($J20)&amp;"|"&amp;$F20,_怪物模型!$A$2:$A$4501,0))*IF($L20="",1,$L20),""))</f>
        <v>45338</v>
      </c>
      <c r="U20" s="21">
        <f>IF(OR($J20="",$F20="不适用"),"",IFERROR(INDEX(_怪物模型!$F$2:$F$4501,MATCH(INT($J20)&amp;"|"&amp;$F20,_怪物模型!$A$2:$A$4501,0))*IF($M20="",1,$M20),""))</f>
        <v>26321</v>
      </c>
      <c r="V20" s="22">
        <f t="shared" si="1"/>
        <v>0.52306194233024</v>
      </c>
      <c r="W20" s="23">
        <f t="shared" si="2"/>
        <v>753357.787708333</v>
      </c>
      <c r="X20" s="23">
        <f t="shared" si="3"/>
        <v>0.336647493996607</v>
      </c>
      <c r="Y20" s="23">
        <f t="shared" si="4"/>
        <v>60.5627691442726</v>
      </c>
      <c r="Z20" s="24" t="str">
        <f t="shared" si="5"/>
        <v/>
      </c>
      <c r="AA20" s="6" t="str">
        <f t="shared" si="6"/>
        <v>已计算</v>
      </c>
      <c r="AB20" s="6" t="str">
        <f t="shared" si="7"/>
        <v>有效</v>
      </c>
      <c r="AC20" s="6" t="str">
        <f t="shared" si="8"/>
        <v/>
      </c>
      <c r="AD20" s="7" t="s">
        <v>1088</v>
      </c>
    </row>
    <row r="21" ht="25" customHeight="1" spans="1:30">
      <c r="A21" s="6" t="s">
        <v>1055</v>
      </c>
      <c r="B21" s="6" t="s">
        <v>62</v>
      </c>
      <c r="C21" s="7" t="s">
        <v>1056</v>
      </c>
      <c r="D21" s="7" t="s">
        <v>773</v>
      </c>
      <c r="E21" s="7" t="s">
        <v>1089</v>
      </c>
      <c r="F21" s="6" t="s">
        <v>149</v>
      </c>
      <c r="G21" s="16">
        <v>213</v>
      </c>
      <c r="H21" s="17"/>
      <c r="I21" s="18">
        <f t="shared" si="0"/>
        <v>213</v>
      </c>
      <c r="J21" s="19">
        <v>278</v>
      </c>
      <c r="K21" s="20"/>
      <c r="L21" s="20"/>
      <c r="M21" s="20"/>
      <c r="N21" s="20"/>
      <c r="O21" s="20"/>
      <c r="P21" s="20"/>
      <c r="Q21" s="21">
        <f>IF($I21="","",IFERROR(INDEX(_玩家曲线!$H$2:$H$286,MATCH($I21,_玩家曲线!$A$2:$A$286,0)),""))</f>
        <v>2285253.04011625</v>
      </c>
      <c r="R21" s="21">
        <f>IF($I21="","",IFERROR(INDEX(_玩家曲线!$I$2:$I$286,MATCH($I21,_玩家曲线!$A$2:$A$286,0)),""))</f>
        <v>2787134.5695737</v>
      </c>
      <c r="S21" s="21">
        <f>IF(OR($J21="",$F21="不适用"),"",IFERROR(INDEX(_怪物模型!$D$2:$D$4501,MATCH(INT($J21)&amp;"|"&amp;$F21,_怪物模型!$A$2:$A$4501,0))*IF($K21="",1,$K21),""))</f>
        <v>373820</v>
      </c>
      <c r="T21" s="21">
        <f>IF(OR($J21="",$F21="不适用"),"",IFERROR(INDEX(_怪物模型!$E$2:$E$4501,MATCH(INT($J21)&amp;"|"&amp;$F21,_怪物模型!$A$2:$A$4501,0))*IF($L21="",1,$L21),""))</f>
        <v>46828</v>
      </c>
      <c r="U21" s="21">
        <f>IF(OR($J21="",$F21="不适用"),"",IFERROR(INDEX(_怪物模型!$F$2:$F$4501,MATCH(INT($J21)&amp;"|"&amp;$F21,_怪物模型!$A$2:$A$4501,0))*IF($M21="",1,$M21),""))</f>
        <v>26808</v>
      </c>
      <c r="V21" s="22">
        <f t="shared" si="1"/>
        <v>0.527633443552197</v>
      </c>
      <c r="W21" s="23">
        <f t="shared" si="2"/>
        <v>791376.94</v>
      </c>
      <c r="X21" s="23">
        <f t="shared" si="3"/>
        <v>0.346297292294486</v>
      </c>
      <c r="Y21" s="23">
        <f t="shared" si="4"/>
        <v>59.5185480817823</v>
      </c>
      <c r="Z21" s="24" t="str">
        <f t="shared" si="5"/>
        <v/>
      </c>
      <c r="AA21" s="6" t="str">
        <f t="shared" si="6"/>
        <v>已计算</v>
      </c>
      <c r="AB21" s="6" t="str">
        <f t="shared" si="7"/>
        <v>有效</v>
      </c>
      <c r="AC21" s="6" t="str">
        <f t="shared" si="8"/>
        <v/>
      </c>
      <c r="AD21" s="7" t="s">
        <v>1090</v>
      </c>
    </row>
    <row r="22" ht="25" customHeight="1" spans="1:30">
      <c r="A22" s="6" t="s">
        <v>1055</v>
      </c>
      <c r="B22" s="6" t="s">
        <v>62</v>
      </c>
      <c r="C22" s="7" t="s">
        <v>1056</v>
      </c>
      <c r="D22" s="7" t="s">
        <v>776</v>
      </c>
      <c r="E22" s="7" t="s">
        <v>1091</v>
      </c>
      <c r="F22" s="6" t="s">
        <v>149</v>
      </c>
      <c r="G22" s="16">
        <v>221</v>
      </c>
      <c r="H22" s="17"/>
      <c r="I22" s="18">
        <f t="shared" si="0"/>
        <v>221</v>
      </c>
      <c r="J22" s="19">
        <v>281</v>
      </c>
      <c r="K22" s="20"/>
      <c r="L22" s="20"/>
      <c r="M22" s="20"/>
      <c r="N22" s="20"/>
      <c r="O22" s="20"/>
      <c r="P22" s="20"/>
      <c r="Q22" s="21">
        <f>IF($I22="","",IFERROR(INDEX(_玩家曲线!$H$2:$H$286,MATCH($I22,_玩家曲线!$A$2:$A$286,0)),""))</f>
        <v>2326424.41294534</v>
      </c>
      <c r="R22" s="21">
        <f>IF($I22="","",IFERROR(INDEX(_玩家曲线!$I$2:$I$286,MATCH($I22,_玩家曲线!$A$2:$A$286,0)),""))</f>
        <v>2822896.81409415</v>
      </c>
      <c r="S22" s="21">
        <f>IF(OR($J22="",$F22="不适用"),"",IFERROR(INDEX(_怪物模型!$D$2:$D$4501,MATCH(INT($J22)&amp;"|"&amp;$F22,_怪物模型!$A$2:$A$4501,0))*IF($K22="",1,$K22),""))</f>
        <v>384996</v>
      </c>
      <c r="T22" s="21">
        <f>IF(OR($J22="",$F22="不适用"),"",IFERROR(INDEX(_怪物模型!$E$2:$E$4501,MATCH(INT($J22)&amp;"|"&amp;$F22,_怪物模型!$A$2:$A$4501,0))*IF($L22="",1,$L22),""))</f>
        <v>47967</v>
      </c>
      <c r="U22" s="21">
        <f>IF(OR($J22="",$F22="不适用"),"",IFERROR(INDEX(_怪物模型!$F$2:$F$4501,MATCH(INT($J22)&amp;"|"&amp;$F22,_怪物模型!$A$2:$A$4501,0))*IF($M22="",1,$M22),""))</f>
        <v>27175</v>
      </c>
      <c r="V22" s="22">
        <f t="shared" si="1"/>
        <v>0.531021006350757</v>
      </c>
      <c r="W22" s="23">
        <f t="shared" si="2"/>
        <v>820923.7625</v>
      </c>
      <c r="X22" s="23">
        <f t="shared" si="3"/>
        <v>0.35286930361115</v>
      </c>
      <c r="Y22" s="23">
        <f t="shared" si="4"/>
        <v>58.8508102256583</v>
      </c>
      <c r="Z22" s="24" t="str">
        <f t="shared" si="5"/>
        <v/>
      </c>
      <c r="AA22" s="6" t="str">
        <f t="shared" si="6"/>
        <v>已计算</v>
      </c>
      <c r="AB22" s="6" t="str">
        <f t="shared" si="7"/>
        <v>有效</v>
      </c>
      <c r="AC22" s="6" t="str">
        <f t="shared" si="8"/>
        <v/>
      </c>
      <c r="AD22" s="7" t="s">
        <v>1092</v>
      </c>
    </row>
    <row r="23" ht="25" customHeight="1" spans="1:30">
      <c r="A23" s="6" t="s">
        <v>1055</v>
      </c>
      <c r="B23" s="6" t="s">
        <v>62</v>
      </c>
      <c r="C23" s="7" t="s">
        <v>1056</v>
      </c>
      <c r="D23" s="7" t="s">
        <v>779</v>
      </c>
      <c r="E23" s="7" t="s">
        <v>1093</v>
      </c>
      <c r="F23" s="6" t="s">
        <v>149</v>
      </c>
      <c r="G23" s="16">
        <v>229</v>
      </c>
      <c r="H23" s="17"/>
      <c r="I23" s="18">
        <f t="shared" si="0"/>
        <v>229</v>
      </c>
      <c r="J23" s="19">
        <v>284</v>
      </c>
      <c r="K23" s="20"/>
      <c r="L23" s="20"/>
      <c r="M23" s="20"/>
      <c r="N23" s="20"/>
      <c r="O23" s="20"/>
      <c r="P23" s="20"/>
      <c r="Q23" s="21">
        <f>IF($I23="","",IFERROR(INDEX(_玩家曲线!$H$2:$H$286,MATCH($I23,_玩家曲线!$A$2:$A$286,0)),""))</f>
        <v>2362085.65763781</v>
      </c>
      <c r="R23" s="21">
        <f>IF($I23="","",IFERROR(INDEX(_玩家曲线!$I$2:$I$286,MATCH($I23,_玩家曲线!$A$2:$A$286,0)),""))</f>
        <v>2853801.31361689</v>
      </c>
      <c r="S23" s="21">
        <f>IF(OR($J23="",$F23="不适用"),"",IFERROR(INDEX(_怪物模型!$D$2:$D$4501,MATCH(INT($J23)&amp;"|"&amp;$F23,_怪物模型!$A$2:$A$4501,0))*IF($K23="",1,$K23),""))</f>
        <v>396425</v>
      </c>
      <c r="T23" s="21">
        <f>IF(OR($J23="",$F23="不适用"),"",IFERROR(INDEX(_怪物模型!$E$2:$E$4501,MATCH(INT($J23)&amp;"|"&amp;$F23,_怪物模型!$A$2:$A$4501,0))*IF($L23="",1,$L23),""))</f>
        <v>49126</v>
      </c>
      <c r="U23" s="21">
        <f>IF(OR($J23="",$F23="不适用"),"",IFERROR(INDEX(_怪物模型!$F$2:$F$4501,MATCH(INT($J23)&amp;"|"&amp;$F23,_怪物模型!$A$2:$A$4501,0))*IF($M23="",1,$M23),""))</f>
        <v>27543</v>
      </c>
      <c r="V23" s="22">
        <f t="shared" si="1"/>
        <v>0.534369361503987</v>
      </c>
      <c r="W23" s="23">
        <f t="shared" si="2"/>
        <v>851372.240625</v>
      </c>
      <c r="X23" s="23">
        <f t="shared" si="3"/>
        <v>0.360432416103153</v>
      </c>
      <c r="Y23" s="23">
        <f t="shared" si="4"/>
        <v>58.0914650819706</v>
      </c>
      <c r="Z23" s="24" t="str">
        <f t="shared" si="5"/>
        <v/>
      </c>
      <c r="AA23" s="6" t="str">
        <f t="shared" si="6"/>
        <v>已计算</v>
      </c>
      <c r="AB23" s="6" t="str">
        <f t="shared" si="7"/>
        <v>有效</v>
      </c>
      <c r="AC23" s="6" t="str">
        <f t="shared" si="8"/>
        <v/>
      </c>
      <c r="AD23" s="7" t="s">
        <v>1094</v>
      </c>
    </row>
    <row r="24" ht="25" customHeight="1" spans="1:30">
      <c r="A24" s="6" t="s">
        <v>1055</v>
      </c>
      <c r="B24" s="6" t="s">
        <v>62</v>
      </c>
      <c r="C24" s="7" t="s">
        <v>1056</v>
      </c>
      <c r="D24" s="7" t="s">
        <v>782</v>
      </c>
      <c r="E24" s="7" t="s">
        <v>1095</v>
      </c>
      <c r="F24" s="6" t="s">
        <v>149</v>
      </c>
      <c r="G24" s="16">
        <v>237</v>
      </c>
      <c r="H24" s="17"/>
      <c r="I24" s="18">
        <f t="shared" si="0"/>
        <v>237</v>
      </c>
      <c r="J24" s="19">
        <v>287</v>
      </c>
      <c r="K24" s="20"/>
      <c r="L24" s="20"/>
      <c r="M24" s="20"/>
      <c r="N24" s="20"/>
      <c r="O24" s="20"/>
      <c r="P24" s="20"/>
      <c r="Q24" s="21">
        <f>IF($I24="","",IFERROR(INDEX(_玩家曲线!$H$2:$H$286,MATCH($I24,_玩家曲线!$A$2:$A$286,0)),""))</f>
        <v>2392917.84858846</v>
      </c>
      <c r="R24" s="21">
        <f>IF($I24="","",IFERROR(INDEX(_玩家曲线!$I$2:$I$286,MATCH($I24,_玩家曲线!$A$2:$A$286,0)),""))</f>
        <v>2880484.9737987</v>
      </c>
      <c r="S24" s="21">
        <f>IF(OR($J24="",$F24="不适用"),"",IFERROR(INDEX(_怪物模型!$D$2:$D$4501,MATCH(INT($J24)&amp;"|"&amp;$F24,_怪物模型!$A$2:$A$4501,0))*IF($K24="",1,$K24),""))</f>
        <v>408113</v>
      </c>
      <c r="T24" s="21">
        <f>IF(OR($J24="",$F24="不适用"),"",IFERROR(INDEX(_怪物模型!$E$2:$E$4501,MATCH(INT($J24)&amp;"|"&amp;$F24,_怪物模型!$A$2:$A$4501,0))*IF($L24="",1,$L24),""))</f>
        <v>50305</v>
      </c>
      <c r="U24" s="21">
        <f>IF(OR($J24="",$F24="不适用"),"",IFERROR(INDEX(_怪物模型!$F$2:$F$4501,MATCH(INT($J24)&amp;"|"&amp;$F24,_怪物模型!$A$2:$A$4501,0))*IF($M24="",1,$M24),""))</f>
        <v>27914</v>
      </c>
      <c r="V24" s="22">
        <f t="shared" si="1"/>
        <v>0.537696960357514</v>
      </c>
      <c r="W24" s="23">
        <f t="shared" si="2"/>
        <v>882782.428416667</v>
      </c>
      <c r="X24" s="23">
        <f t="shared" si="3"/>
        <v>0.368914640733448</v>
      </c>
      <c r="Y24" s="23">
        <f t="shared" si="4"/>
        <v>57.2604109690627</v>
      </c>
      <c r="Z24" s="24" t="str">
        <f t="shared" si="5"/>
        <v/>
      </c>
      <c r="AA24" s="6" t="str">
        <f t="shared" si="6"/>
        <v>已计算</v>
      </c>
      <c r="AB24" s="6" t="str">
        <f t="shared" si="7"/>
        <v>有效</v>
      </c>
      <c r="AC24" s="6" t="str">
        <f t="shared" si="8"/>
        <v/>
      </c>
      <c r="AD24" s="7" t="s">
        <v>1096</v>
      </c>
    </row>
    <row r="25" ht="25" customHeight="1" spans="1:30">
      <c r="A25" s="6" t="s">
        <v>1055</v>
      </c>
      <c r="B25" s="6" t="s">
        <v>62</v>
      </c>
      <c r="C25" s="7" t="s">
        <v>1056</v>
      </c>
      <c r="D25" s="7" t="s">
        <v>785</v>
      </c>
      <c r="E25" s="7" t="s">
        <v>1097</v>
      </c>
      <c r="F25" s="6" t="s">
        <v>149</v>
      </c>
      <c r="G25" s="16">
        <v>246</v>
      </c>
      <c r="H25" s="17"/>
      <c r="I25" s="18">
        <f t="shared" si="0"/>
        <v>246</v>
      </c>
      <c r="J25" s="19">
        <v>289</v>
      </c>
      <c r="K25" s="20"/>
      <c r="L25" s="20"/>
      <c r="M25" s="20"/>
      <c r="N25" s="20"/>
      <c r="O25" s="20"/>
      <c r="P25" s="20"/>
      <c r="Q25" s="21">
        <f>IF($I25="","",IFERROR(INDEX(_玩家曲线!$H$2:$H$286,MATCH($I25,_玩家曲线!$A$2:$A$286,0)),""))</f>
        <v>2422592.92647547</v>
      </c>
      <c r="R25" s="21">
        <f>IF($I25="","",IFERROR(INDEX(_玩家曲线!$I$2:$I$286,MATCH($I25,_玩家曲线!$A$2:$A$286,0)),""))</f>
        <v>2906154.13142132</v>
      </c>
      <c r="S25" s="21">
        <f>IF(OR($J25="",$F25="不适用"),"",IFERROR(INDEX(_怪物模型!$D$2:$D$4501,MATCH(INT($J25)&amp;"|"&amp;$F25,_怪物模型!$A$2:$A$4501,0))*IF($K25="",1,$K25),""))</f>
        <v>416049</v>
      </c>
      <c r="T25" s="21">
        <f>IF(OR($J25="",$F25="不适用"),"",IFERROR(INDEX(_怪物模型!$E$2:$E$4501,MATCH(INT($J25)&amp;"|"&amp;$F25,_怪物模型!$A$2:$A$4501,0))*IF($L25="",1,$L25),""))</f>
        <v>51102</v>
      </c>
      <c r="U25" s="21">
        <f>IF(OR($J25="",$F25="不适用"),"",IFERROR(INDEX(_怪物模型!$F$2:$F$4501,MATCH(INT($J25)&amp;"|"&amp;$F25,_怪物模型!$A$2:$A$4501,0))*IF($M25="",1,$M25),""))</f>
        <v>28161</v>
      </c>
      <c r="V25" s="22">
        <f t="shared" si="1"/>
        <v>0.539886121815149</v>
      </c>
      <c r="W25" s="23">
        <f t="shared" si="2"/>
        <v>904230.495375</v>
      </c>
      <c r="X25" s="23">
        <f t="shared" si="3"/>
        <v>0.373249044646773</v>
      </c>
      <c r="Y25" s="23">
        <f t="shared" si="4"/>
        <v>56.8696749916113</v>
      </c>
      <c r="Z25" s="24" t="str">
        <f t="shared" si="5"/>
        <v/>
      </c>
      <c r="AA25" s="6" t="str">
        <f t="shared" si="6"/>
        <v>已计算</v>
      </c>
      <c r="AB25" s="6" t="str">
        <f t="shared" si="7"/>
        <v>有效</v>
      </c>
      <c r="AC25" s="6" t="str">
        <f t="shared" si="8"/>
        <v/>
      </c>
      <c r="AD25" s="7" t="s">
        <v>1098</v>
      </c>
    </row>
    <row r="26" ht="25" customHeight="1" spans="1:30">
      <c r="A26" s="6" t="s">
        <v>1055</v>
      </c>
      <c r="B26" s="6" t="s">
        <v>62</v>
      </c>
      <c r="C26" s="7" t="s">
        <v>1056</v>
      </c>
      <c r="D26" s="7" t="s">
        <v>788</v>
      </c>
      <c r="E26" s="7" t="s">
        <v>1099</v>
      </c>
      <c r="F26" s="6" t="s">
        <v>149</v>
      </c>
      <c r="G26" s="16">
        <v>254</v>
      </c>
      <c r="H26" s="17"/>
      <c r="I26" s="18">
        <f t="shared" si="0"/>
        <v>254</v>
      </c>
      <c r="J26" s="19">
        <v>292</v>
      </c>
      <c r="K26" s="20"/>
      <c r="L26" s="20"/>
      <c r="M26" s="20"/>
      <c r="N26" s="20"/>
      <c r="O26" s="20"/>
      <c r="P26" s="20"/>
      <c r="Q26" s="21">
        <f>IF($I26="","",IFERROR(INDEX(_玩家曲线!$H$2:$H$286,MATCH($I26,_玩家曲线!$A$2:$A$286,0)),""))</f>
        <v>2445117.8148593</v>
      </c>
      <c r="R26" s="21">
        <f>IF($I26="","",IFERROR(INDEX(_玩家曲线!$I$2:$I$286,MATCH($I26,_玩家曲线!$A$2:$A$286,0)),""))</f>
        <v>2925643.83288171</v>
      </c>
      <c r="S26" s="21">
        <f>IF(OR($J26="",$F26="不适用"),"",IFERROR(INDEX(_怪物模型!$D$2:$D$4501,MATCH(INT($J26)&amp;"|"&amp;$F26,_怪物模型!$A$2:$A$4501,0))*IF($K26="",1,$K26),""))</f>
        <v>428175</v>
      </c>
      <c r="T26" s="21">
        <f>IF(OR($J26="",$F26="不适用"),"",IFERROR(INDEX(_怪物模型!$E$2:$E$4501,MATCH(INT($J26)&amp;"|"&amp;$F26,_怪物模型!$A$2:$A$4501,0))*IF($L26="",1,$L26),""))</f>
        <v>52314</v>
      </c>
      <c r="U26" s="21">
        <f>IF(OR($J26="",$F26="不适用"),"",IFERROR(INDEX(_怪物模型!$F$2:$F$4501,MATCH(INT($J26)&amp;"|"&amp;$F26,_怪物模型!$A$2:$A$4501,0))*IF($M26="",1,$M26),""))</f>
        <v>28534</v>
      </c>
      <c r="V26" s="22">
        <f t="shared" si="1"/>
        <v>0.543153005672517</v>
      </c>
      <c r="W26" s="23">
        <f t="shared" si="2"/>
        <v>937239.39375</v>
      </c>
      <c r="X26" s="23">
        <f t="shared" si="3"/>
        <v>0.383310525183807</v>
      </c>
      <c r="Y26" s="23">
        <f t="shared" si="4"/>
        <v>55.9246823581013</v>
      </c>
      <c r="Z26" s="24" t="str">
        <f t="shared" si="5"/>
        <v/>
      </c>
      <c r="AA26" s="6" t="str">
        <f t="shared" si="6"/>
        <v>已计算</v>
      </c>
      <c r="AB26" s="6" t="str">
        <f t="shared" si="7"/>
        <v>有效</v>
      </c>
      <c r="AC26" s="6" t="str">
        <f t="shared" si="8"/>
        <v/>
      </c>
      <c r="AD26" s="7" t="s">
        <v>1100</v>
      </c>
    </row>
    <row r="27" ht="25" customHeight="1" spans="1:30">
      <c r="A27" s="6" t="s">
        <v>1055</v>
      </c>
      <c r="B27" s="6" t="s">
        <v>62</v>
      </c>
      <c r="C27" s="7" t="s">
        <v>1056</v>
      </c>
      <c r="D27" s="7" t="s">
        <v>791</v>
      </c>
      <c r="E27" s="7" t="s">
        <v>1101</v>
      </c>
      <c r="F27" s="6" t="s">
        <v>149</v>
      </c>
      <c r="G27" s="16">
        <v>262</v>
      </c>
      <c r="H27" s="17"/>
      <c r="I27" s="18">
        <f t="shared" si="0"/>
        <v>262</v>
      </c>
      <c r="J27" s="19">
        <v>296</v>
      </c>
      <c r="K27" s="20"/>
      <c r="L27" s="20"/>
      <c r="M27" s="20"/>
      <c r="N27" s="20"/>
      <c r="O27" s="20"/>
      <c r="P27" s="20"/>
      <c r="Q27" s="21">
        <f>IF($I27="","",IFERROR(INDEX(_玩家曲线!$H$2:$H$286,MATCH($I27,_玩家曲线!$A$2:$A$286,0)),""))</f>
        <v>2464515.65392785</v>
      </c>
      <c r="R27" s="21">
        <f>IF($I27="","",IFERROR(INDEX(_玩家曲线!$I$2:$I$286,MATCH($I27,_玩家曲线!$A$2:$A$286,0)),""))</f>
        <v>2942443.16506058</v>
      </c>
      <c r="S27" s="21">
        <f>IF(OR($J27="",$F27="不适用"),"",IFERROR(INDEX(_怪物模型!$D$2:$D$4501,MATCH(INT($J27)&amp;"|"&amp;$F27,_怪物模型!$A$2:$A$4501,0))*IF($K27="",1,$K27),""))</f>
        <v>444763</v>
      </c>
      <c r="T27" s="21">
        <f>IF(OR($J27="",$F27="不适用"),"",IFERROR(INDEX(_怪物模型!$E$2:$E$4501,MATCH(INT($J27)&amp;"|"&amp;$F27,_怪物模型!$A$2:$A$4501,0))*IF($L27="",1,$L27),""))</f>
        <v>53961</v>
      </c>
      <c r="U27" s="21">
        <f>IF(OR($J27="",$F27="不适用"),"",IFERROR(INDEX(_怪物模型!$F$2:$F$4501,MATCH(INT($J27)&amp;"|"&amp;$F27,_怪物模型!$A$2:$A$4501,0))*IF($M27="",1,$M27),""))</f>
        <v>29034</v>
      </c>
      <c r="V27" s="22">
        <f t="shared" si="1"/>
        <v>0.547460119923068</v>
      </c>
      <c r="W27" s="23">
        <f t="shared" si="2"/>
        <v>982815.03925</v>
      </c>
      <c r="X27" s="23">
        <f t="shared" si="3"/>
        <v>0.398786283902732</v>
      </c>
      <c r="Y27" s="23">
        <f t="shared" si="4"/>
        <v>54.5290703482252</v>
      </c>
      <c r="Z27" s="24" t="str">
        <f t="shared" si="5"/>
        <v/>
      </c>
      <c r="AA27" s="6" t="str">
        <f t="shared" si="6"/>
        <v>已计算</v>
      </c>
      <c r="AB27" s="6" t="str">
        <f t="shared" si="7"/>
        <v>有效</v>
      </c>
      <c r="AC27" s="6" t="str">
        <f t="shared" si="8"/>
        <v/>
      </c>
      <c r="AD27" s="7" t="s">
        <v>1102</v>
      </c>
    </row>
    <row r="28" ht="25" customHeight="1" spans="1:30">
      <c r="A28" s="6" t="s">
        <v>1055</v>
      </c>
      <c r="B28" s="6" t="s">
        <v>62</v>
      </c>
      <c r="C28" s="7" t="s">
        <v>1056</v>
      </c>
      <c r="D28" s="7" t="s">
        <v>794</v>
      </c>
      <c r="E28" s="7" t="s">
        <v>1103</v>
      </c>
      <c r="F28" s="6" t="s">
        <v>149</v>
      </c>
      <c r="G28" s="16">
        <v>271</v>
      </c>
      <c r="H28" s="17"/>
      <c r="I28" s="18">
        <f t="shared" si="0"/>
        <v>271</v>
      </c>
      <c r="J28" s="19">
        <v>299</v>
      </c>
      <c r="K28" s="20"/>
      <c r="L28" s="20"/>
      <c r="M28" s="20"/>
      <c r="N28" s="20"/>
      <c r="O28" s="20"/>
      <c r="P28" s="20"/>
      <c r="Q28" s="21">
        <f>IF($I28="","",IFERROR(INDEX(_玩家曲线!$H$2:$H$286,MATCH($I28,_玩家曲线!$A$2:$A$286,0)),""))</f>
        <v>2483121.44551859</v>
      </c>
      <c r="R28" s="21">
        <f>IF($I28="","",IFERROR(INDEX(_玩家曲线!$I$2:$I$286,MATCH($I28,_玩家曲线!$A$2:$A$286,0)),""))</f>
        <v>2958581.66635695</v>
      </c>
      <c r="S28" s="21">
        <f>IF(OR($J28="",$F28="不适用"),"",IFERROR(INDEX(_怪物模型!$D$2:$D$4501,MATCH(INT($J28)&amp;"|"&amp;$F28,_怪物模型!$A$2:$A$4501,0))*IF($K28="",1,$K28),""))</f>
        <v>457524</v>
      </c>
      <c r="T28" s="21">
        <f>IF(OR($J28="",$F28="不适用"),"",IFERROR(INDEX(_怪物模型!$E$2:$E$4501,MATCH(INT($J28)&amp;"|"&amp;$F28,_怪物模型!$A$2:$A$4501,0))*IF($L28="",1,$L28),""))</f>
        <v>55221</v>
      </c>
      <c r="U28" s="21">
        <f>IF(OR($J28="",$F28="不适用"),"",IFERROR(INDEX(_怪物模型!$F$2:$F$4501,MATCH(INT($J28)&amp;"|"&amp;$F28,_怪物模型!$A$2:$A$4501,0))*IF($M28="",1,$M28),""))</f>
        <v>29411</v>
      </c>
      <c r="V28" s="22">
        <f t="shared" si="1"/>
        <v>0.550654359588849</v>
      </c>
      <c r="W28" s="23">
        <f t="shared" si="2"/>
        <v>1018200.5985</v>
      </c>
      <c r="X28" s="23">
        <f t="shared" si="3"/>
        <v>0.410048650797002</v>
      </c>
      <c r="Y28" s="23">
        <f t="shared" si="4"/>
        <v>53.5771113590292</v>
      </c>
      <c r="Z28" s="24" t="str">
        <f t="shared" si="5"/>
        <v/>
      </c>
      <c r="AA28" s="6" t="str">
        <f t="shared" si="6"/>
        <v>已计算</v>
      </c>
      <c r="AB28" s="6" t="str">
        <f t="shared" si="7"/>
        <v>有效</v>
      </c>
      <c r="AC28" s="6" t="str">
        <f t="shared" si="8"/>
        <v/>
      </c>
      <c r="AD28" s="7" t="s">
        <v>1104</v>
      </c>
    </row>
    <row r="29" ht="25" customHeight="1" spans="1:30">
      <c r="A29" s="6" t="s">
        <v>1055</v>
      </c>
      <c r="B29" s="6" t="s">
        <v>62</v>
      </c>
      <c r="C29" s="7" t="s">
        <v>1056</v>
      </c>
      <c r="D29" s="7" t="s">
        <v>797</v>
      </c>
      <c r="E29" s="7" t="s">
        <v>1105</v>
      </c>
      <c r="F29" s="6" t="s">
        <v>149</v>
      </c>
      <c r="G29" s="16">
        <v>279</v>
      </c>
      <c r="H29" s="17"/>
      <c r="I29" s="18">
        <f t="shared" si="0"/>
        <v>279</v>
      </c>
      <c r="J29" s="19">
        <v>301</v>
      </c>
      <c r="K29" s="20"/>
      <c r="L29" s="20"/>
      <c r="M29" s="20"/>
      <c r="N29" s="20"/>
      <c r="O29" s="20"/>
      <c r="P29" s="20"/>
      <c r="Q29" s="21">
        <f>IF($I29="","",IFERROR(INDEX(_玩家曲线!$H$2:$H$286,MATCH($I29,_玩家曲线!$A$2:$A$286,0)),""))</f>
        <v>2497204.47172539</v>
      </c>
      <c r="R29" s="21">
        <f>IF($I29="","",IFERROR(INDEX(_玩家曲线!$I$2:$I$286,MATCH($I29,_玩家曲线!$A$2:$A$286,0)),""))</f>
        <v>2970822.69299639</v>
      </c>
      <c r="S29" s="21">
        <f>IF(OR($J29="",$F29="不适用"),"",IFERROR(INDEX(_怪物模型!$D$2:$D$4501,MATCH(INT($J29)&amp;"|"&amp;$F29,_怪物模型!$A$2:$A$4501,0))*IF($K29="",1,$K29),""))</f>
        <v>466186</v>
      </c>
      <c r="T29" s="21">
        <f>IF(OR($J29="",$F29="不适用"),"",IFERROR(INDEX(_怪物模型!$E$2:$E$4501,MATCH(INT($J29)&amp;"|"&amp;$F29,_怪物模型!$A$2:$A$4501,0))*IF($L29="",1,$L29),""))</f>
        <v>56072</v>
      </c>
      <c r="U29" s="21">
        <f>IF(OR($J29="",$F29="不适用"),"",IFERROR(INDEX(_怪物模型!$F$2:$F$4501,MATCH(INT($J29)&amp;"|"&amp;$F29,_怪物模型!$A$2:$A$4501,0))*IF($M29="",1,$M29),""))</f>
        <v>29664</v>
      </c>
      <c r="V29" s="22">
        <f t="shared" si="1"/>
        <v>0.552772808586762</v>
      </c>
      <c r="W29" s="23">
        <f t="shared" si="2"/>
        <v>1042391.896</v>
      </c>
      <c r="X29" s="23">
        <f t="shared" si="3"/>
        <v>0.417423526107889</v>
      </c>
      <c r="Y29" s="23">
        <f t="shared" si="4"/>
        <v>52.9822851511697</v>
      </c>
      <c r="Z29" s="24" t="str">
        <f t="shared" si="5"/>
        <v/>
      </c>
      <c r="AA29" s="6" t="str">
        <f t="shared" si="6"/>
        <v>已计算</v>
      </c>
      <c r="AB29" s="6" t="str">
        <f t="shared" si="7"/>
        <v>有效</v>
      </c>
      <c r="AC29" s="6" t="str">
        <f t="shared" si="8"/>
        <v/>
      </c>
      <c r="AD29" s="7" t="s">
        <v>1106</v>
      </c>
    </row>
  </sheetData>
  <mergeCells count="3">
    <mergeCell ref="A1:AD1"/>
    <mergeCell ref="A2:AD2"/>
    <mergeCell ref="A3:AD3"/>
  </mergeCells>
  <conditionalFormatting sqref="J5:J29">
    <cfRule type="expression" dxfId="2" priority="1">
      <formula>AND($A5&lt;&gt;"特殊：双方属性对算",$J5="")</formula>
    </cfRule>
  </conditionalFormatting>
  <conditionalFormatting sqref="AA5:AA29">
    <cfRule type="expression" dxfId="0" priority="3">
      <formula>$AA5="适中"</formula>
    </cfRule>
    <cfRule type="expression" dxfId="3" priority="4">
      <formula>$AA5="偏难"</formula>
    </cfRule>
    <cfRule type="expression" dxfId="1" priority="5">
      <formula>$AA5="过难"</formula>
    </cfRule>
    <cfRule type="expression" dxfId="1" priority="6">
      <formula>$AA5="生存不成立"</formula>
    </cfRule>
  </conditionalFormatting>
  <conditionalFormatting sqref="AB5:AB29">
    <cfRule type="expression" dxfId="4" priority="2">
      <formula>$AB5="超范围"</formula>
    </cfRule>
  </conditionalFormatting>
  <conditionalFormatting sqref="AC5:AC29">
    <cfRule type="expression" dxfId="4" priority="7">
      <formula>$AC5="下降"</formula>
    </cfRule>
  </conditionalFormatting>
  <dataValidations count="5">
    <dataValidation type="list" sqref="F5:F29">
      <formula1>_字典!$A$2:$A$11</formula1>
    </dataValidation>
    <dataValidation type="whole" operator="between" allowBlank="1" sqref="H5:H29">
      <formula1>1</formula1>
      <formula2>285</formula2>
    </dataValidation>
    <dataValidation type="whole" operator="between" allowBlank="1" sqref="J5:J29">
      <formula1>1</formula1>
      <formula2>500</formula2>
    </dataValidation>
    <dataValidation type="decimal" operator="between" allowBlank="1" sqref="P5:P29">
      <formula1>0.01</formula1>
      <formula2>3600</formula2>
    </dataValidation>
    <dataValidation type="decimal" operator="between" allowBlank="1" sqref="K5:O29">
      <formula1>0</formula1>
      <formula2>100</formula2>
    </dataValidation>
  </dataValidations>
  <hyperlinks>
    <hyperlink ref="A1" r:id="rId4" display="全玩法难度填写｜大秘境"/>
  </hyperlinks>
  <pageMargins left="0.75" right="0.75" top="1" bottom="1" header="0.5" footer="0.5"/>
  <pageSetup paperSize="1" orientation="landscape"/>
  <headerFooter/>
  <legacyDrawing r:id="rId2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F7F7F"/>
    <pageSetUpPr fitToPage="1"/>
  </sheetPr>
  <dimension ref="A1:AD6"/>
  <sheetViews>
    <sheetView showGridLines="0" workbookViewId="0">
      <pane xSplit="6" ySplit="4" topLeftCell="G5" activePane="bottomRight" state="frozen"/>
      <selection/>
      <selection pane="topRight"/>
      <selection pane="bottomLeft"/>
      <selection pane="bottomRight" activeCell="A1" sqref="A1:AD1"/>
    </sheetView>
  </sheetViews>
  <sheetFormatPr defaultColWidth="9" defaultRowHeight="13.5" outlineLevelRow="5"/>
  <cols>
    <col min="1" max="1" width="12" customWidth="1"/>
    <col min="2" max="2" width="13" customWidth="1"/>
    <col min="3" max="3" width="18" customWidth="1"/>
    <col min="4" max="4" width="15" customWidth="1"/>
    <col min="5" max="5" width="35" customWidth="1"/>
    <col min="6" max="9" width="14" customWidth="1"/>
    <col min="10" max="10" width="12" customWidth="1"/>
    <col min="11" max="13" width="11" customWidth="1"/>
    <col min="14" max="15" width="13" customWidth="1"/>
    <col min="16" max="16" width="12" customWidth="1"/>
    <col min="17" max="21" width="16" customWidth="1"/>
    <col min="22" max="22" width="12" customWidth="1"/>
    <col min="23" max="23" width="17" customWidth="1"/>
    <col min="24" max="25" width="14" customWidth="1"/>
    <col min="26" max="26" width="12" customWidth="1"/>
    <col min="27" max="27" width="15" customWidth="1"/>
    <col min="28" max="29" width="12" customWidth="1"/>
    <col min="30" max="30" width="46" customWidth="1"/>
  </cols>
  <sheetData>
    <row r="1" ht="34" customHeight="1" spans="1:30">
      <c r="A1" s="2" t="s">
        <v>1107</v>
      </c>
    </row>
    <row r="2" ht="30" customHeight="1" spans="1:30">
      <c r="A2" s="3" t="s">
        <v>1108</v>
      </c>
    </row>
    <row r="3" ht="14.25" customHeight="1" spans="1:30">
      <c r="A3" s="4" t="s">
        <v>117</v>
      </c>
    </row>
    <row r="4" ht="36" customHeight="1" spans="1:30">
      <c r="A4" s="5" t="s">
        <v>80</v>
      </c>
      <c r="B4" s="5" t="s">
        <v>79</v>
      </c>
      <c r="C4" s="5" t="s">
        <v>118</v>
      </c>
      <c r="D4" s="5" t="s">
        <v>119</v>
      </c>
      <c r="E4" s="5" t="s">
        <v>120</v>
      </c>
      <c r="F4" s="5" t="s">
        <v>121</v>
      </c>
      <c r="G4" s="5" t="s">
        <v>122</v>
      </c>
      <c r="H4" s="5" t="s">
        <v>123</v>
      </c>
      <c r="I4" s="5" t="s">
        <v>124</v>
      </c>
      <c r="J4" s="5" t="s">
        <v>125</v>
      </c>
      <c r="K4" s="5" t="s">
        <v>126</v>
      </c>
      <c r="L4" s="5" t="s">
        <v>127</v>
      </c>
      <c r="M4" s="5" t="s">
        <v>128</v>
      </c>
      <c r="N4" s="5" t="s">
        <v>129</v>
      </c>
      <c r="O4" s="5" t="s">
        <v>130</v>
      </c>
      <c r="P4" s="5" t="s">
        <v>131</v>
      </c>
      <c r="Q4" s="5" t="s">
        <v>132</v>
      </c>
      <c r="R4" s="5" t="s">
        <v>133</v>
      </c>
      <c r="S4" s="5" t="s">
        <v>134</v>
      </c>
      <c r="T4" s="5" t="s">
        <v>135</v>
      </c>
      <c r="U4" s="5" t="s">
        <v>136</v>
      </c>
      <c r="V4" s="5" t="s">
        <v>137</v>
      </c>
      <c r="W4" s="5" t="s">
        <v>138</v>
      </c>
      <c r="X4" s="5" t="s">
        <v>139</v>
      </c>
      <c r="Y4" s="5" t="s">
        <v>140</v>
      </c>
      <c r="Z4" s="5" t="s">
        <v>141</v>
      </c>
      <c r="AA4" s="5" t="s">
        <v>142</v>
      </c>
      <c r="AB4" s="5" t="s">
        <v>143</v>
      </c>
      <c r="AC4" s="5" t="s">
        <v>144</v>
      </c>
      <c r="AD4" s="5" t="s">
        <v>90</v>
      </c>
    </row>
    <row r="5" ht="25" customHeight="1" spans="1:30">
      <c r="A5" s="6" t="s">
        <v>1109</v>
      </c>
      <c r="B5" s="6" t="s">
        <v>63</v>
      </c>
      <c r="C5" s="7" t="s">
        <v>1110</v>
      </c>
      <c r="D5" s="7" t="s">
        <v>1111</v>
      </c>
      <c r="E5" s="7" t="s">
        <v>1112</v>
      </c>
      <c r="F5" s="6" t="s">
        <v>1113</v>
      </c>
      <c r="G5" s="8"/>
      <c r="H5" s="8"/>
      <c r="I5" s="9"/>
      <c r="J5" s="8"/>
      <c r="K5" s="10"/>
      <c r="L5" s="10"/>
      <c r="M5" s="10"/>
      <c r="N5" s="10"/>
      <c r="O5" s="10"/>
      <c r="P5" s="10"/>
      <c r="Q5" s="11"/>
      <c r="R5" s="11"/>
      <c r="S5" s="11"/>
      <c r="T5" s="11"/>
      <c r="U5" s="11"/>
      <c r="V5" s="12"/>
      <c r="W5" s="13"/>
      <c r="X5" s="13"/>
      <c r="Y5" s="13"/>
      <c r="Z5" s="14"/>
      <c r="AA5" s="15"/>
      <c r="AB5" s="15"/>
      <c r="AC5" s="15"/>
      <c r="AD5" s="7" t="s">
        <v>1114</v>
      </c>
    </row>
    <row r="6" ht="25" customHeight="1" spans="1:30">
      <c r="A6" s="6" t="s">
        <v>1109</v>
      </c>
      <c r="B6" s="6" t="s">
        <v>63</v>
      </c>
      <c r="C6" s="7" t="s">
        <v>1110</v>
      </c>
      <c r="D6" s="7" t="s">
        <v>1115</v>
      </c>
      <c r="E6" s="7" t="s">
        <v>1116</v>
      </c>
      <c r="F6" s="6" t="s">
        <v>1113</v>
      </c>
      <c r="G6" s="8"/>
      <c r="H6" s="8"/>
      <c r="I6" s="9"/>
      <c r="J6" s="8"/>
      <c r="K6" s="10"/>
      <c r="L6" s="10"/>
      <c r="M6" s="10"/>
      <c r="N6" s="10"/>
      <c r="O6" s="10"/>
      <c r="P6" s="10"/>
      <c r="Q6" s="11"/>
      <c r="R6" s="11"/>
      <c r="S6" s="11"/>
      <c r="T6" s="11"/>
      <c r="U6" s="11"/>
      <c r="V6" s="12"/>
      <c r="W6" s="13"/>
      <c r="X6" s="13"/>
      <c r="Y6" s="13"/>
      <c r="Z6" s="14"/>
      <c r="AA6" s="15"/>
      <c r="AB6" s="15"/>
      <c r="AC6" s="15"/>
      <c r="AD6" s="7" t="s">
        <v>1114</v>
      </c>
    </row>
  </sheetData>
  <mergeCells count="3">
    <mergeCell ref="A1:AD1"/>
    <mergeCell ref="A2:AD2"/>
    <mergeCell ref="A3:AD3"/>
  </mergeCells>
  <conditionalFormatting sqref="J5:J6">
    <cfRule type="expression" dxfId="2" priority="1">
      <formula>AND($A5&lt;&gt;"特殊：双方属性对算",$J5="")</formula>
    </cfRule>
  </conditionalFormatting>
  <conditionalFormatting sqref="AA5:AA6">
    <cfRule type="expression" dxfId="0" priority="3">
      <formula>$AA5="适中"</formula>
    </cfRule>
    <cfRule type="expression" dxfId="3" priority="4">
      <formula>$AA5="偏难"</formula>
    </cfRule>
    <cfRule type="expression" dxfId="1" priority="5">
      <formula>$AA5="过难"</formula>
    </cfRule>
    <cfRule type="expression" dxfId="1" priority="6">
      <formula>$AA5="生存不成立"</formula>
    </cfRule>
  </conditionalFormatting>
  <conditionalFormatting sqref="AB5:AB6">
    <cfRule type="expression" dxfId="4" priority="2">
      <formula>$AB5="超范围"</formula>
    </cfRule>
  </conditionalFormatting>
  <conditionalFormatting sqref="AC5:AC6">
    <cfRule type="expression" dxfId="4" priority="7">
      <formula>$AC5="下降"</formula>
    </cfRule>
  </conditionalFormatting>
  <dataValidations count="5">
    <dataValidation type="list" sqref="F5:F6">
      <formula1>_字典!$A$2:$A$11</formula1>
    </dataValidation>
    <dataValidation type="whole" operator="between" allowBlank="1" sqref="H5:H6">
      <formula1>1</formula1>
      <formula2>285</formula2>
    </dataValidation>
    <dataValidation type="whole" operator="between" allowBlank="1" sqref="J5:J6">
      <formula1>1</formula1>
      <formula2>500</formula2>
    </dataValidation>
    <dataValidation type="decimal" operator="between" allowBlank="1" sqref="P5:P6">
      <formula1>0.01</formula1>
      <formula2>3600</formula2>
    </dataValidation>
    <dataValidation type="decimal" operator="between" allowBlank="1" sqref="K5:O6">
      <formula1>0</formula1>
      <formula2>100</formula2>
    </dataValidation>
  </dataValidations>
  <hyperlinks>
    <hyperlink ref="A1" r:id="rId4" display="全玩法难度填写｜PVPVE"/>
  </hyperlinks>
  <pageMargins left="0.75" right="0.75" top="1" bottom="1" header="0.5" footer="0.5"/>
  <pageSetup paperSize="1" orientation="landscape"/>
  <headerFooter/>
  <legacyDrawing r:id="rId2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sheetData>
    <row r="1" ht="15" customHeight="1" spans="1:11">
      <c r="A1" s="1" t="s">
        <v>1117</v>
      </c>
      <c r="B1" s="1" t="s">
        <v>1118</v>
      </c>
      <c r="C1" s="1" t="s">
        <v>1119</v>
      </c>
      <c r="D1" s="1" t="s">
        <v>1120</v>
      </c>
      <c r="E1" s="1" t="s">
        <v>1121</v>
      </c>
      <c r="F1" s="1" t="s">
        <v>1122</v>
      </c>
      <c r="G1" s="1" t="s">
        <v>1123</v>
      </c>
      <c r="H1" s="1" t="s">
        <v>132</v>
      </c>
      <c r="I1" s="1" t="s">
        <v>133</v>
      </c>
      <c r="J1" s="1" t="s">
        <v>1124</v>
      </c>
      <c r="K1" s="1" t="s">
        <v>1125</v>
      </c>
    </row>
    <row r="2" spans="1:11">
      <c r="A2">
        <v>1</v>
      </c>
      <c r="B2">
        <v>1</v>
      </c>
      <c r="C2">
        <v>0</v>
      </c>
      <c r="D2">
        <v>1</v>
      </c>
      <c r="E2">
        <v>1</v>
      </c>
      <c r="F2">
        <v>1500</v>
      </c>
      <c r="G2">
        <v>1000</v>
      </c>
      <c r="H2">
        <v>1535.625</v>
      </c>
      <c r="I2">
        <v>5208.33333333333</v>
      </c>
      <c r="J2">
        <v>35</v>
      </c>
      <c r="K2">
        <v>5</v>
      </c>
    </row>
    <row r="3" spans="1:11">
      <c r="A3">
        <v>2</v>
      </c>
      <c r="B3">
        <v>2</v>
      </c>
      <c r="C3">
        <v>0</v>
      </c>
      <c r="D3">
        <v>2</v>
      </c>
      <c r="E3">
        <v>1</v>
      </c>
      <c r="F3">
        <v>1598.67737127237</v>
      </c>
      <c r="G3">
        <v>1065.78491418158</v>
      </c>
      <c r="H3">
        <v>1636.64595884009</v>
      </c>
      <c r="I3">
        <v>5565.56987992812</v>
      </c>
      <c r="J3">
        <v>35.0134246399219</v>
      </c>
      <c r="K3">
        <v>6</v>
      </c>
    </row>
    <row r="4" spans="1:11">
      <c r="A4">
        <v>3</v>
      </c>
      <c r="B4">
        <v>3</v>
      </c>
      <c r="C4">
        <v>0</v>
      </c>
      <c r="D4">
        <v>3</v>
      </c>
      <c r="E4">
        <v>2</v>
      </c>
      <c r="F4">
        <v>1695.87458197565</v>
      </c>
      <c r="G4">
        <v>1130.58305465044</v>
      </c>
      <c r="H4">
        <v>2170.18950412197</v>
      </c>
      <c r="I4">
        <v>7399.01337371698</v>
      </c>
      <c r="J4">
        <v>35.026983526243</v>
      </c>
      <c r="K4">
        <v>8</v>
      </c>
    </row>
    <row r="5" spans="1:11">
      <c r="A5">
        <v>4</v>
      </c>
      <c r="B5">
        <v>4</v>
      </c>
      <c r="C5">
        <v>0</v>
      </c>
      <c r="D5">
        <v>4</v>
      </c>
      <c r="E5">
        <v>2</v>
      </c>
      <c r="F5">
        <v>1791.61383451839</v>
      </c>
      <c r="G5">
        <v>1194.40922301226</v>
      </c>
      <c r="H5">
        <v>2751.2469946323</v>
      </c>
      <c r="I5">
        <v>9403.88585759719</v>
      </c>
      <c r="J5">
        <v>35.0406780014273</v>
      </c>
      <c r="K5">
        <v>10</v>
      </c>
    </row>
    <row r="6" spans="1:11">
      <c r="A6">
        <v>5</v>
      </c>
      <c r="B6">
        <v>5</v>
      </c>
      <c r="C6">
        <v>1</v>
      </c>
      <c r="D6">
        <v>1</v>
      </c>
      <c r="E6">
        <v>2</v>
      </c>
      <c r="F6">
        <v>1885.91699827298</v>
      </c>
      <c r="G6">
        <v>1257.27799884866</v>
      </c>
      <c r="H6">
        <v>3378.73817221844</v>
      </c>
      <c r="I6">
        <v>11577.4968526717</v>
      </c>
      <c r="J6">
        <v>35.0545094213634</v>
      </c>
      <c r="K6">
        <v>12</v>
      </c>
    </row>
    <row r="7" spans="1:11">
      <c r="A7">
        <v>6</v>
      </c>
      <c r="B7">
        <v>6</v>
      </c>
      <c r="C7">
        <v>1</v>
      </c>
      <c r="D7">
        <v>2</v>
      </c>
      <c r="E7">
        <v>2</v>
      </c>
      <c r="F7">
        <v>1978.80561457126</v>
      </c>
      <c r="G7">
        <v>1319.20374304751</v>
      </c>
      <c r="H7">
        <v>4051.60449583465</v>
      </c>
      <c r="I7">
        <v>13917.1618120045</v>
      </c>
      <c r="J7">
        <v>35.0684791554989</v>
      </c>
      <c r="K7">
        <v>14</v>
      </c>
    </row>
    <row r="8" spans="1:11">
      <c r="A8">
        <v>7</v>
      </c>
      <c r="B8">
        <v>6</v>
      </c>
      <c r="C8">
        <v>1</v>
      </c>
      <c r="D8">
        <v>3</v>
      </c>
      <c r="E8">
        <v>3</v>
      </c>
      <c r="F8">
        <v>2070.30090162506</v>
      </c>
      <c r="G8">
        <v>1380.20060108337</v>
      </c>
      <c r="H8">
        <v>4945.43127875686</v>
      </c>
      <c r="I8">
        <v>17028.359505321</v>
      </c>
      <c r="J8">
        <v>35.0825885869758</v>
      </c>
      <c r="K8">
        <v>16</v>
      </c>
    </row>
    <row r="9" spans="1:11">
      <c r="A9">
        <v>8</v>
      </c>
      <c r="B9">
        <v>7</v>
      </c>
      <c r="C9">
        <v>1</v>
      </c>
      <c r="D9">
        <v>4</v>
      </c>
      <c r="E9">
        <v>3</v>
      </c>
      <c r="F9">
        <v>2160.42375937306</v>
      </c>
      <c r="G9">
        <v>1440.2825062487</v>
      </c>
      <c r="H9">
        <v>5897.95686308845</v>
      </c>
      <c r="I9">
        <v>20356.2188043194</v>
      </c>
      <c r="J9">
        <v>35.0968391127674</v>
      </c>
      <c r="K9">
        <v>19</v>
      </c>
    </row>
    <row r="10" spans="1:11">
      <c r="A10">
        <v>9</v>
      </c>
      <c r="B10">
        <v>8</v>
      </c>
      <c r="C10">
        <v>1</v>
      </c>
      <c r="D10">
        <v>5</v>
      </c>
      <c r="E10">
        <v>3</v>
      </c>
      <c r="F10">
        <v>2249.19477425483</v>
      </c>
      <c r="G10">
        <v>1499.46318283655</v>
      </c>
      <c r="H10">
        <v>6907.83945043015</v>
      </c>
      <c r="I10">
        <v>23897.1913904748</v>
      </c>
      <c r="J10">
        <v>35.1112321438169</v>
      </c>
      <c r="K10">
        <v>22</v>
      </c>
    </row>
    <row r="11" spans="1:11">
      <c r="A11">
        <v>10</v>
      </c>
      <c r="B11">
        <v>9</v>
      </c>
      <c r="C11">
        <v>1</v>
      </c>
      <c r="D11">
        <v>6</v>
      </c>
      <c r="E11">
        <v>4</v>
      </c>
      <c r="F11">
        <v>2336.63422391338</v>
      </c>
      <c r="G11">
        <v>1557.75614927558</v>
      </c>
      <c r="H11">
        <v>7654.81371754022</v>
      </c>
      <c r="I11">
        <v>26541.83453548</v>
      </c>
      <c r="J11">
        <v>35.125769105177</v>
      </c>
      <c r="K11">
        <v>24</v>
      </c>
    </row>
    <row r="12" spans="1:11">
      <c r="A12">
        <v>11</v>
      </c>
      <c r="B12">
        <v>10</v>
      </c>
      <c r="C12">
        <v>1</v>
      </c>
      <c r="D12">
        <v>7</v>
      </c>
      <c r="E12">
        <v>4</v>
      </c>
      <c r="F12">
        <v>2422.76208182705</v>
      </c>
      <c r="G12">
        <v>1615.17472121803</v>
      </c>
      <c r="H12">
        <v>8433.02911631949</v>
      </c>
      <c r="I12">
        <v>29305.8627382503</v>
      </c>
      <c r="J12">
        <v>35.1404514361506</v>
      </c>
      <c r="K12">
        <v>26</v>
      </c>
    </row>
    <row r="13" spans="1:11">
      <c r="A13">
        <v>12</v>
      </c>
      <c r="B13">
        <v>10</v>
      </c>
      <c r="C13">
        <v>1</v>
      </c>
      <c r="D13">
        <v>8</v>
      </c>
      <c r="E13">
        <v>4</v>
      </c>
      <c r="F13">
        <v>2507.59802187201</v>
      </c>
      <c r="G13">
        <v>1671.73201458134</v>
      </c>
      <c r="H13">
        <v>9241.7525096093</v>
      </c>
      <c r="I13">
        <v>32187.1922088963</v>
      </c>
      <c r="J13">
        <v>35.155280590434</v>
      </c>
      <c r="K13">
        <v>28</v>
      </c>
    </row>
    <row r="14" spans="1:11">
      <c r="A14">
        <v>13</v>
      </c>
      <c r="B14">
        <v>11</v>
      </c>
      <c r="C14">
        <v>2</v>
      </c>
      <c r="D14">
        <v>1</v>
      </c>
      <c r="E14">
        <v>4</v>
      </c>
      <c r="F14">
        <v>2591.1614228163</v>
      </c>
      <c r="G14">
        <v>1727.4409485442</v>
      </c>
      <c r="H14">
        <v>10080.2657251111</v>
      </c>
      <c r="I14">
        <v>35183.7527049831</v>
      </c>
      <c r="J14">
        <v>35.1702580362602</v>
      </c>
      <c r="K14">
        <v>30</v>
      </c>
    </row>
    <row r="15" spans="1:11">
      <c r="A15">
        <v>14</v>
      </c>
      <c r="B15">
        <v>12</v>
      </c>
      <c r="C15">
        <v>2</v>
      </c>
      <c r="D15">
        <v>2</v>
      </c>
      <c r="E15">
        <v>4</v>
      </c>
      <c r="F15">
        <v>2673.47137274643</v>
      </c>
      <c r="G15">
        <v>1782.31424849762</v>
      </c>
      <c r="H15">
        <v>10947.8652713966</v>
      </c>
      <c r="I15">
        <v>38293.4883702837</v>
      </c>
      <c r="J15">
        <v>35.1853852565447</v>
      </c>
      <c r="K15">
        <v>31</v>
      </c>
    </row>
    <row r="16" spans="1:11">
      <c r="A16">
        <v>15</v>
      </c>
      <c r="B16">
        <v>13</v>
      </c>
      <c r="C16">
        <v>2</v>
      </c>
      <c r="D16">
        <v>3</v>
      </c>
      <c r="E16">
        <v>4</v>
      </c>
      <c r="F16">
        <v>2770.75640543898</v>
      </c>
      <c r="G16">
        <v>1847.17093695932</v>
      </c>
      <c r="H16">
        <v>11554.7916589384</v>
      </c>
      <c r="I16">
        <v>40054.7709950847</v>
      </c>
      <c r="J16">
        <v>35.200663749032</v>
      </c>
      <c r="K16">
        <v>33</v>
      </c>
    </row>
    <row r="17" spans="1:11">
      <c r="A17">
        <v>16</v>
      </c>
      <c r="B17">
        <v>13</v>
      </c>
      <c r="C17">
        <v>2</v>
      </c>
      <c r="D17">
        <v>4</v>
      </c>
      <c r="E17">
        <v>4</v>
      </c>
      <c r="F17">
        <v>2993.79253730486</v>
      </c>
      <c r="G17">
        <v>1995.86169153658</v>
      </c>
      <c r="H17">
        <v>12775.0326599693</v>
      </c>
      <c r="I17">
        <v>43484.7798603876</v>
      </c>
      <c r="J17">
        <v>35.2160950264442</v>
      </c>
      <c r="K17">
        <v>36</v>
      </c>
    </row>
    <row r="18" spans="1:11">
      <c r="A18">
        <v>17</v>
      </c>
      <c r="B18">
        <v>13</v>
      </c>
      <c r="C18">
        <v>2</v>
      </c>
      <c r="D18">
        <v>5</v>
      </c>
      <c r="E18">
        <v>4</v>
      </c>
      <c r="F18">
        <v>3214.8135898057</v>
      </c>
      <c r="G18">
        <v>2143.20905987046</v>
      </c>
      <c r="H18">
        <v>14028.1105049217</v>
      </c>
      <c r="I18">
        <v>46918.5616999096</v>
      </c>
      <c r="J18">
        <v>35.2316806166305</v>
      </c>
      <c r="K18">
        <v>38</v>
      </c>
    </row>
    <row r="19" spans="1:11">
      <c r="A19">
        <v>18</v>
      </c>
      <c r="B19">
        <v>14</v>
      </c>
      <c r="C19">
        <v>2</v>
      </c>
      <c r="D19">
        <v>6</v>
      </c>
      <c r="E19">
        <v>4</v>
      </c>
      <c r="F19">
        <v>3433.78807473583</v>
      </c>
      <c r="G19">
        <v>2289.19204982389</v>
      </c>
      <c r="H19">
        <v>15312.8699828075</v>
      </c>
      <c r="I19">
        <v>50354.6857712343</v>
      </c>
      <c r="J19">
        <v>35.2474220627186</v>
      </c>
      <c r="K19">
        <v>41</v>
      </c>
    </row>
    <row r="20" spans="1:11">
      <c r="A20">
        <v>19</v>
      </c>
      <c r="B20">
        <v>14</v>
      </c>
      <c r="C20">
        <v>2</v>
      </c>
      <c r="D20">
        <v>7</v>
      </c>
      <c r="E20">
        <v>4</v>
      </c>
      <c r="F20">
        <v>3650.68742864911</v>
      </c>
      <c r="G20">
        <v>2433.79161909941</v>
      </c>
      <c r="H20">
        <v>16628.1421390327</v>
      </c>
      <c r="I20">
        <v>53791.7558511785</v>
      </c>
      <c r="J20">
        <v>35.2633209232677</v>
      </c>
      <c r="K20">
        <v>43</v>
      </c>
    </row>
    <row r="21" spans="1:11">
      <c r="A21">
        <v>20</v>
      </c>
      <c r="B21">
        <v>15</v>
      </c>
      <c r="C21">
        <v>2</v>
      </c>
      <c r="D21">
        <v>8</v>
      </c>
      <c r="E21">
        <v>5</v>
      </c>
      <c r="F21">
        <v>3865.48587766902</v>
      </c>
      <c r="G21">
        <v>2576.99058511268</v>
      </c>
      <c r="H21">
        <v>18422.0658556409</v>
      </c>
      <c r="I21">
        <v>58659.1211219851</v>
      </c>
      <c r="J21">
        <v>35.2793787724222</v>
      </c>
      <c r="K21">
        <v>46</v>
      </c>
    </row>
    <row r="22" spans="1:11">
      <c r="A22">
        <v>21</v>
      </c>
      <c r="B22">
        <v>15</v>
      </c>
      <c r="C22">
        <v>2</v>
      </c>
      <c r="D22">
        <v>9</v>
      </c>
      <c r="E22">
        <v>5</v>
      </c>
      <c r="F22">
        <v>4078.16030761976</v>
      </c>
      <c r="G22">
        <v>2718.77353841318</v>
      </c>
      <c r="H22">
        <v>20312.7720853607</v>
      </c>
      <c r="I22">
        <v>63696.4915940233</v>
      </c>
      <c r="J22">
        <v>35.2955972000683</v>
      </c>
      <c r="K22">
        <v>49</v>
      </c>
    </row>
    <row r="23" spans="1:11">
      <c r="A23">
        <v>22</v>
      </c>
      <c r="B23">
        <v>15</v>
      </c>
      <c r="C23">
        <v>2</v>
      </c>
      <c r="D23">
        <v>10</v>
      </c>
      <c r="E23">
        <v>5</v>
      </c>
      <c r="F23">
        <v>4288.69013928178</v>
      </c>
      <c r="G23">
        <v>2859.12675952119</v>
      </c>
      <c r="H23">
        <v>22301.0889018727</v>
      </c>
      <c r="I23">
        <v>68902.350644876</v>
      </c>
      <c r="J23">
        <v>35.3119778119909</v>
      </c>
      <c r="K23">
        <v>52</v>
      </c>
    </row>
    <row r="24" spans="1:11">
      <c r="A24">
        <v>23</v>
      </c>
      <c r="B24">
        <v>16</v>
      </c>
      <c r="C24">
        <v>2</v>
      </c>
      <c r="D24">
        <v>11</v>
      </c>
      <c r="E24">
        <v>5</v>
      </c>
      <c r="F24">
        <v>4497.05720858215</v>
      </c>
      <c r="G24">
        <v>2998.03813905477</v>
      </c>
      <c r="H24">
        <v>24387.7218300813</v>
      </c>
      <c r="I24">
        <v>74275.0927390987</v>
      </c>
      <c r="J24">
        <v>35.3285222300327</v>
      </c>
      <c r="K24">
        <v>55</v>
      </c>
    </row>
    <row r="25" spans="1:11">
      <c r="A25">
        <v>24</v>
      </c>
      <c r="B25">
        <v>16</v>
      </c>
      <c r="C25">
        <v>2</v>
      </c>
      <c r="D25">
        <v>12</v>
      </c>
      <c r="E25">
        <v>5</v>
      </c>
      <c r="F25">
        <v>4703.24565153712</v>
      </c>
      <c r="G25">
        <v>3135.49710102475</v>
      </c>
      <c r="H25">
        <v>26573.2561562461</v>
      </c>
      <c r="I25">
        <v>79813.0282432992</v>
      </c>
      <c r="J25">
        <v>35.3452320922549</v>
      </c>
      <c r="K25">
        <v>58</v>
      </c>
    </row>
    <row r="26" spans="1:11">
      <c r="A26">
        <v>25</v>
      </c>
      <c r="B26">
        <v>17</v>
      </c>
      <c r="C26">
        <v>3</v>
      </c>
      <c r="D26">
        <v>1</v>
      </c>
      <c r="E26">
        <v>5</v>
      </c>
      <c r="F26">
        <v>4907.24179377067</v>
      </c>
      <c r="G26">
        <v>3271.49452918044</v>
      </c>
      <c r="H26">
        <v>28858.159447132</v>
      </c>
      <c r="I26">
        <v>85514.3881828406</v>
      </c>
      <c r="J26">
        <v>35.3621090530993</v>
      </c>
      <c r="K26">
        <v>61</v>
      </c>
    </row>
    <row r="27" spans="1:11">
      <c r="A27">
        <v>26</v>
      </c>
      <c r="B27">
        <v>17</v>
      </c>
      <c r="C27">
        <v>3</v>
      </c>
      <c r="D27">
        <v>2</v>
      </c>
      <c r="E27">
        <v>5</v>
      </c>
      <c r="F27">
        <v>5109.03404443916</v>
      </c>
      <c r="G27">
        <v>3406.02269629277</v>
      </c>
      <c r="H27">
        <v>31242.7842575802</v>
      </c>
      <c r="I27">
        <v>91377.328931621</v>
      </c>
      <c r="J27">
        <v>35.3791547835521</v>
      </c>
      <c r="K27">
        <v>64</v>
      </c>
    </row>
    <row r="28" spans="1:11">
      <c r="A28">
        <v>27</v>
      </c>
      <c r="B28">
        <v>17</v>
      </c>
      <c r="C28">
        <v>3</v>
      </c>
      <c r="D28">
        <v>3</v>
      </c>
      <c r="E28">
        <v>5</v>
      </c>
      <c r="F28">
        <v>5308.61279439854</v>
      </c>
      <c r="G28">
        <v>3539.07519626569</v>
      </c>
      <c r="H28">
        <v>33727.3710066178</v>
      </c>
      <c r="I28">
        <v>97399.9368272031</v>
      </c>
      <c r="J28">
        <v>35.3963709713095</v>
      </c>
      <c r="K28">
        <v>66</v>
      </c>
    </row>
    <row r="29" spans="1:11">
      <c r="A29">
        <v>28</v>
      </c>
      <c r="B29">
        <v>18</v>
      </c>
      <c r="C29">
        <v>3</v>
      </c>
      <c r="D29">
        <v>4</v>
      </c>
      <c r="E29">
        <v>5</v>
      </c>
      <c r="F29">
        <v>5505.97031845602</v>
      </c>
      <c r="G29">
        <v>3670.64687897068</v>
      </c>
      <c r="H29">
        <v>36312.0510029681</v>
      </c>
      <c r="I29">
        <v>103580.232704358</v>
      </c>
      <c r="J29">
        <v>35.4137593209445</v>
      </c>
      <c r="K29">
        <v>69</v>
      </c>
    </row>
    <row r="30" spans="1:11">
      <c r="A30">
        <v>29</v>
      </c>
      <c r="B30">
        <v>18</v>
      </c>
      <c r="C30">
        <v>3</v>
      </c>
      <c r="D30">
        <v>5</v>
      </c>
      <c r="E30">
        <v>5</v>
      </c>
      <c r="F30">
        <v>5701.10068155425</v>
      </c>
      <c r="G30">
        <v>3800.73378770284</v>
      </c>
      <c r="H30">
        <v>38996.8496015956</v>
      </c>
      <c r="I30">
        <v>109916.17634084</v>
      </c>
      <c r="J30">
        <v>35.4313215540758</v>
      </c>
      <c r="K30">
        <v>71</v>
      </c>
    </row>
    <row r="31" spans="1:11">
      <c r="A31">
        <v>30</v>
      </c>
      <c r="B31">
        <v>19</v>
      </c>
      <c r="C31">
        <v>3</v>
      </c>
      <c r="D31">
        <v>6</v>
      </c>
      <c r="E31">
        <v>5</v>
      </c>
      <c r="F31">
        <v>5893.99964874121</v>
      </c>
      <c r="G31">
        <v>3929.33309916081</v>
      </c>
      <c r="H31">
        <v>40962.4406605056</v>
      </c>
      <c r="I31">
        <v>114123.206676371</v>
      </c>
      <c r="J31">
        <v>35.4490594095384</v>
      </c>
      <c r="K31">
        <v>73</v>
      </c>
    </row>
    <row r="32" spans="1:11">
      <c r="A32">
        <v>31</v>
      </c>
      <c r="B32">
        <v>19</v>
      </c>
      <c r="C32">
        <v>3</v>
      </c>
      <c r="D32">
        <v>7</v>
      </c>
      <c r="E32">
        <v>5</v>
      </c>
      <c r="F32">
        <v>6356.13171574702</v>
      </c>
      <c r="G32">
        <v>4237.42114383135</v>
      </c>
      <c r="H32">
        <v>45617.8742969053</v>
      </c>
      <c r="I32">
        <v>124407.579750946</v>
      </c>
      <c r="J32">
        <v>35.4669746435557</v>
      </c>
      <c r="K32">
        <v>77</v>
      </c>
    </row>
    <row r="33" spans="1:11">
      <c r="A33">
        <v>32</v>
      </c>
      <c r="B33">
        <v>19</v>
      </c>
      <c r="C33">
        <v>3</v>
      </c>
      <c r="D33">
        <v>8</v>
      </c>
      <c r="E33">
        <v>5</v>
      </c>
      <c r="F33">
        <v>6813.47486650443</v>
      </c>
      <c r="G33">
        <v>4542.31657766962</v>
      </c>
      <c r="H33">
        <v>50461.2092632005</v>
      </c>
      <c r="I33">
        <v>134928.232078736</v>
      </c>
      <c r="J33">
        <v>35.4850690299131</v>
      </c>
      <c r="K33">
        <v>81</v>
      </c>
    </row>
    <row r="34" spans="1:11">
      <c r="A34">
        <v>33</v>
      </c>
      <c r="B34">
        <v>20</v>
      </c>
      <c r="C34">
        <v>3</v>
      </c>
      <c r="D34">
        <v>9</v>
      </c>
      <c r="E34">
        <v>5</v>
      </c>
      <c r="F34">
        <v>7265.98801856993</v>
      </c>
      <c r="G34">
        <v>4843.99201237995</v>
      </c>
      <c r="H34">
        <v>55490.6113855249</v>
      </c>
      <c r="I34">
        <v>145674.718224066</v>
      </c>
      <c r="J34">
        <v>35.5033443601341</v>
      </c>
      <c r="K34">
        <v>85</v>
      </c>
    </row>
    <row r="35" spans="1:11">
      <c r="A35">
        <v>34</v>
      </c>
      <c r="B35">
        <v>20</v>
      </c>
      <c r="C35">
        <v>3</v>
      </c>
      <c r="D35">
        <v>10</v>
      </c>
      <c r="E35">
        <v>5</v>
      </c>
      <c r="F35">
        <v>7713.63539496517</v>
      </c>
      <c r="G35">
        <v>5142.42359664345</v>
      </c>
      <c r="H35">
        <v>60703.9563472719</v>
      </c>
      <c r="I35">
        <v>156636.602390652</v>
      </c>
      <c r="J35">
        <v>35.5218024436573</v>
      </c>
      <c r="K35">
        <v>89</v>
      </c>
    </row>
    <row r="36" spans="1:11">
      <c r="A36">
        <v>35</v>
      </c>
      <c r="B36">
        <v>20</v>
      </c>
      <c r="C36">
        <v>3</v>
      </c>
      <c r="D36">
        <v>11</v>
      </c>
      <c r="E36">
        <v>5</v>
      </c>
      <c r="F36">
        <v>8156.38626645799</v>
      </c>
      <c r="G36">
        <v>5437.59084430533</v>
      </c>
      <c r="H36">
        <v>66098.8402461491</v>
      </c>
      <c r="I36">
        <v>167803.47880109</v>
      </c>
      <c r="J36">
        <v>35.5404451080158</v>
      </c>
      <c r="K36">
        <v>93</v>
      </c>
    </row>
    <row r="37" spans="1:11">
      <c r="A37">
        <v>36</v>
      </c>
      <c r="B37">
        <v>21</v>
      </c>
      <c r="C37">
        <v>3</v>
      </c>
      <c r="D37">
        <v>12</v>
      </c>
      <c r="E37">
        <v>5</v>
      </c>
      <c r="F37">
        <v>8594.21470419908</v>
      </c>
      <c r="G37">
        <v>5729.47646946606</v>
      </c>
      <c r="H37">
        <v>71672.5909486815</v>
      </c>
      <c r="I37">
        <v>179164.990773805</v>
      </c>
      <c r="J37">
        <v>35.5592741990178</v>
      </c>
      <c r="K37">
        <v>96</v>
      </c>
    </row>
    <row r="38" spans="1:11">
      <c r="A38">
        <v>37</v>
      </c>
      <c r="B38">
        <v>21</v>
      </c>
      <c r="C38">
        <v>3</v>
      </c>
      <c r="D38">
        <v>13</v>
      </c>
      <c r="E38">
        <v>5</v>
      </c>
      <c r="F38">
        <v>9027.09934232739</v>
      </c>
      <c r="G38">
        <v>6018.06622821826</v>
      </c>
      <c r="H38">
        <v>77422.2801293547</v>
      </c>
      <c r="I38">
        <v>190710.848526007</v>
      </c>
      <c r="J38">
        <v>35.5782915809298</v>
      </c>
      <c r="K38">
        <v>100</v>
      </c>
    </row>
    <row r="39" spans="1:11">
      <c r="A39">
        <v>38</v>
      </c>
      <c r="B39">
        <v>21</v>
      </c>
      <c r="C39">
        <v>3</v>
      </c>
      <c r="D39">
        <v>14</v>
      </c>
      <c r="E39">
        <v>5</v>
      </c>
      <c r="F39">
        <v>9455.02315017174</v>
      </c>
      <c r="G39">
        <v>6303.34876678116</v>
      </c>
      <c r="H39">
        <v>83344.7358859077</v>
      </c>
      <c r="I39">
        <v>202430.845734616</v>
      </c>
      <c r="J39">
        <v>35.597499136661</v>
      </c>
      <c r="K39">
        <v>103</v>
      </c>
    </row>
    <row r="40" spans="1:11">
      <c r="A40">
        <v>39</v>
      </c>
      <c r="B40">
        <v>22</v>
      </c>
      <c r="C40">
        <v>3</v>
      </c>
      <c r="D40">
        <v>15</v>
      </c>
      <c r="E40">
        <v>5</v>
      </c>
      <c r="F40">
        <v>9877.97321368921</v>
      </c>
      <c r="G40">
        <v>6585.3154757928</v>
      </c>
      <c r="H40">
        <v>89436.5558271038</v>
      </c>
      <c r="I40">
        <v>214314.874889878</v>
      </c>
      <c r="J40">
        <v>35.6168987679495</v>
      </c>
      <c r="K40">
        <v>106</v>
      </c>
    </row>
    <row r="41" spans="1:11">
      <c r="A41">
        <v>40</v>
      </c>
      <c r="B41">
        <v>22</v>
      </c>
      <c r="C41">
        <v>4</v>
      </c>
      <c r="D41">
        <v>1</v>
      </c>
      <c r="E41">
        <v>5</v>
      </c>
      <c r="F41">
        <v>10295.940525794</v>
      </c>
      <c r="G41">
        <v>6863.96035052936</v>
      </c>
      <c r="H41">
        <v>95694.1205345253</v>
      </c>
      <c r="I41">
        <v>226352.941478705</v>
      </c>
      <c r="J41">
        <v>35.6364923955508</v>
      </c>
      <c r="K41">
        <v>110</v>
      </c>
    </row>
    <row r="42" spans="1:11">
      <c r="A42">
        <v>41</v>
      </c>
      <c r="B42">
        <v>22</v>
      </c>
      <c r="C42">
        <v>4</v>
      </c>
      <c r="D42">
        <v>2</v>
      </c>
      <c r="E42">
        <v>5</v>
      </c>
      <c r="F42">
        <v>10708.9197852433</v>
      </c>
      <c r="G42">
        <v>7139.27985682887</v>
      </c>
      <c r="H42">
        <v>102113.607305438</v>
      </c>
      <c r="I42">
        <v>238535.177036596</v>
      </c>
      <c r="J42">
        <v>35.6562819594282</v>
      </c>
      <c r="K42">
        <v>113</v>
      </c>
    </row>
    <row r="43" spans="1:11">
      <c r="A43">
        <v>42</v>
      </c>
      <c r="B43">
        <v>23</v>
      </c>
      <c r="C43">
        <v>4</v>
      </c>
      <c r="D43">
        <v>3</v>
      </c>
      <c r="E43">
        <v>5</v>
      </c>
      <c r="F43">
        <v>11116.9092037576</v>
      </c>
      <c r="G43">
        <v>7411.27280250504</v>
      </c>
      <c r="H43">
        <v>108691.004089477</v>
      </c>
      <c r="I43">
        <v>250851.85110839</v>
      </c>
      <c r="J43">
        <v>35.6762694189444</v>
      </c>
      <c r="K43">
        <v>116</v>
      </c>
    </row>
    <row r="44" spans="1:11">
      <c r="A44">
        <v>43</v>
      </c>
      <c r="B44">
        <v>23</v>
      </c>
      <c r="C44">
        <v>4</v>
      </c>
      <c r="D44">
        <v>4</v>
      </c>
      <c r="E44">
        <v>5</v>
      </c>
      <c r="F44">
        <v>11519.9103210665</v>
      </c>
      <c r="G44">
        <v>7679.94021404431</v>
      </c>
      <c r="H44">
        <v>115422.123537734</v>
      </c>
      <c r="I44">
        <v>263293.382159158</v>
      </c>
      <c r="J44">
        <v>35.6964567530557</v>
      </c>
      <c r="K44">
        <v>119</v>
      </c>
    </row>
    <row r="45" spans="1:11">
      <c r="A45">
        <v>44</v>
      </c>
      <c r="B45">
        <v>23</v>
      </c>
      <c r="C45">
        <v>4</v>
      </c>
      <c r="D45">
        <v>5</v>
      </c>
      <c r="E45">
        <v>5</v>
      </c>
      <c r="F45">
        <v>11917.9278275805</v>
      </c>
      <c r="G45">
        <v>7945.28521838702</v>
      </c>
      <c r="H45">
        <v>122302.617088683</v>
      </c>
      <c r="I45">
        <v>275850.347477235</v>
      </c>
      <c r="J45">
        <v>35.7168459605081</v>
      </c>
      <c r="K45">
        <v>122</v>
      </c>
    </row>
    <row r="46" spans="1:11">
      <c r="A46">
        <v>45</v>
      </c>
      <c r="B46">
        <v>24</v>
      </c>
      <c r="C46">
        <v>4</v>
      </c>
      <c r="D46">
        <v>6</v>
      </c>
      <c r="E46">
        <v>5</v>
      </c>
      <c r="F46">
        <v>12310.969394401</v>
      </c>
      <c r="G46">
        <v>8207.31292960065</v>
      </c>
      <c r="H46">
        <v>129327.989021266</v>
      </c>
      <c r="I46">
        <v>288513.492111806</v>
      </c>
      <c r="J46">
        <v>35.7374390600351</v>
      </c>
      <c r="K46">
        <v>125</v>
      </c>
    </row>
    <row r="47" spans="1:11">
      <c r="A47">
        <v>46</v>
      </c>
      <c r="B47">
        <v>24</v>
      </c>
      <c r="C47">
        <v>4</v>
      </c>
      <c r="D47">
        <v>7</v>
      </c>
      <c r="E47">
        <v>5</v>
      </c>
      <c r="F47">
        <v>12699.0455103902</v>
      </c>
      <c r="G47">
        <v>8466.03034026013</v>
      </c>
      <c r="H47">
        <v>136493.610411249</v>
      </c>
      <c r="I47">
        <v>301273.736887632</v>
      </c>
      <c r="J47">
        <v>35.7582380905573</v>
      </c>
      <c r="K47">
        <v>127</v>
      </c>
    </row>
    <row r="48" spans="1:11">
      <c r="A48">
        <v>47</v>
      </c>
      <c r="B48">
        <v>24</v>
      </c>
      <c r="C48">
        <v>4</v>
      </c>
      <c r="D48">
        <v>8</v>
      </c>
      <c r="E48">
        <v>5</v>
      </c>
      <c r="F48">
        <v>13082.1693260353</v>
      </c>
      <c r="G48">
        <v>8721.44621735686</v>
      </c>
      <c r="H48">
        <v>143794.73293264</v>
      </c>
      <c r="I48">
        <v>314122.185539391</v>
      </c>
      <c r="J48">
        <v>35.7792451113847</v>
      </c>
      <c r="K48">
        <v>130</v>
      </c>
    </row>
    <row r="49" spans="1:11">
      <c r="A49">
        <v>48</v>
      </c>
      <c r="B49">
        <v>25</v>
      </c>
      <c r="C49">
        <v>4</v>
      </c>
      <c r="D49">
        <v>9</v>
      </c>
      <c r="E49">
        <v>5</v>
      </c>
      <c r="F49">
        <v>13460.356503847</v>
      </c>
      <c r="G49">
        <v>8973.57100256466</v>
      </c>
      <c r="H49">
        <v>151226.502451555</v>
      </c>
      <c r="I49">
        <v>327050.131007878</v>
      </c>
      <c r="J49">
        <v>35.8004622024204</v>
      </c>
      <c r="K49">
        <v>133</v>
      </c>
    </row>
    <row r="50" spans="1:11">
      <c r="A50">
        <v>49</v>
      </c>
      <c r="B50">
        <v>25</v>
      </c>
      <c r="C50">
        <v>4</v>
      </c>
      <c r="D50">
        <v>10</v>
      </c>
      <c r="E50">
        <v>5</v>
      </c>
      <c r="F50">
        <v>13833.6250750455</v>
      </c>
      <c r="G50">
        <v>9222.41671669701</v>
      </c>
      <c r="H50">
        <v>158783.972365237</v>
      </c>
      <c r="I50">
        <v>340049.060939818</v>
      </c>
      <c r="J50">
        <v>35.8218914643665</v>
      </c>
      <c r="K50">
        <v>136</v>
      </c>
    </row>
    <row r="51" spans="1:11">
      <c r="A51">
        <v>50</v>
      </c>
      <c r="B51">
        <v>25</v>
      </c>
      <c r="C51">
        <v>4</v>
      </c>
      <c r="D51">
        <v>11</v>
      </c>
      <c r="E51">
        <v>5</v>
      </c>
      <c r="F51">
        <v>14201.9953022941</v>
      </c>
      <c r="G51">
        <v>9467.99686819608</v>
      </c>
      <c r="H51">
        <v>166462.116644173</v>
      </c>
      <c r="I51">
        <v>353110.662432472</v>
      </c>
      <c r="J51">
        <v>35.843535018932</v>
      </c>
      <c r="K51">
        <v>138</v>
      </c>
    </row>
    <row r="52" spans="1:11">
      <c r="A52">
        <v>51</v>
      </c>
      <c r="B52">
        <v>26</v>
      </c>
      <c r="C52">
        <v>4</v>
      </c>
      <c r="D52">
        <v>12</v>
      </c>
      <c r="E52">
        <v>5</v>
      </c>
      <c r="F52">
        <v>14565.4895482496</v>
      </c>
      <c r="G52">
        <v>9710.32636549976</v>
      </c>
      <c r="H52">
        <v>174255.842540171</v>
      </c>
      <c r="I52">
        <v>366226.826063466</v>
      </c>
      <c r="J52">
        <v>35.8653950090432</v>
      </c>
      <c r="K52">
        <v>141</v>
      </c>
    </row>
    <row r="53" spans="1:11">
      <c r="A53">
        <v>52</v>
      </c>
      <c r="B53">
        <v>26</v>
      </c>
      <c r="C53">
        <v>4</v>
      </c>
      <c r="D53">
        <v>13</v>
      </c>
      <c r="E53">
        <v>5</v>
      </c>
      <c r="F53">
        <v>14924.1321497078</v>
      </c>
      <c r="G53">
        <v>9949.42143313853</v>
      </c>
      <c r="H53">
        <v>182160.002928018</v>
      </c>
      <c r="I53">
        <v>379389.649245442</v>
      </c>
      <c r="J53">
        <v>35.8874735990555</v>
      </c>
      <c r="K53">
        <v>143</v>
      </c>
    </row>
    <row r="54" spans="1:11">
      <c r="A54">
        <v>53</v>
      </c>
      <c r="B54">
        <v>26</v>
      </c>
      <c r="C54">
        <v>4</v>
      </c>
      <c r="D54">
        <v>14</v>
      </c>
      <c r="E54">
        <v>5</v>
      </c>
      <c r="F54">
        <v>15277.9492971293</v>
      </c>
      <c r="G54">
        <v>10185.2995314195</v>
      </c>
      <c r="H54">
        <v>190169.40825282</v>
      </c>
      <c r="I54">
        <v>392591.438944191</v>
      </c>
      <c r="J54">
        <v>35.909772974968</v>
      </c>
      <c r="K54">
        <v>146</v>
      </c>
    </row>
    <row r="55" spans="1:11">
      <c r="A55">
        <v>54</v>
      </c>
      <c r="B55">
        <v>27</v>
      </c>
      <c r="C55">
        <v>4</v>
      </c>
      <c r="D55">
        <v>15</v>
      </c>
      <c r="E55">
        <v>5</v>
      </c>
      <c r="F55">
        <v>15626.9689193401</v>
      </c>
      <c r="G55">
        <v>10417.9792795601</v>
      </c>
      <c r="H55">
        <v>198278.838059359</v>
      </c>
      <c r="I55">
        <v>405824.713797907</v>
      </c>
      <c r="J55">
        <v>35.9322953446395</v>
      </c>
      <c r="K55">
        <v>148</v>
      </c>
    </row>
    <row r="56" spans="1:11">
      <c r="A56">
        <v>55</v>
      </c>
      <c r="B56">
        <v>27</v>
      </c>
      <c r="C56">
        <v>5</v>
      </c>
      <c r="D56">
        <v>1</v>
      </c>
      <c r="E56">
        <v>5</v>
      </c>
      <c r="F56">
        <v>15971.2205732078</v>
      </c>
      <c r="G56">
        <v>10647.4803821385</v>
      </c>
      <c r="H56">
        <v>206483.05208378</v>
      </c>
      <c r="I56">
        <v>419082.205674144</v>
      </c>
      <c r="J56">
        <v>35.9550429380078</v>
      </c>
      <c r="K56">
        <v>150</v>
      </c>
    </row>
    <row r="57" spans="1:11">
      <c r="A57">
        <v>56</v>
      </c>
      <c r="B57">
        <v>27</v>
      </c>
      <c r="C57">
        <v>5</v>
      </c>
      <c r="D57">
        <v>2</v>
      </c>
      <c r="E57">
        <v>5</v>
      </c>
      <c r="F57">
        <v>16310.7353381017</v>
      </c>
      <c r="G57">
        <v>10873.8235587345</v>
      </c>
      <c r="H57">
        <v>214776.800891683</v>
      </c>
      <c r="I57">
        <v>432356.860699889</v>
      </c>
      <c r="J57">
        <v>35.9780180073097</v>
      </c>
      <c r="K57">
        <v>153</v>
      </c>
    </row>
    <row r="58" spans="1:11">
      <c r="A58">
        <v>57</v>
      </c>
      <c r="B58">
        <v>28</v>
      </c>
      <c r="C58">
        <v>5</v>
      </c>
      <c r="D58">
        <v>3</v>
      </c>
      <c r="E58">
        <v>5</v>
      </c>
      <c r="F58">
        <v>16645.5457149528</v>
      </c>
      <c r="G58">
        <v>11097.0304766352</v>
      </c>
      <c r="H58">
        <v>223154.836050111</v>
      </c>
      <c r="I58">
        <v>445641.839799069</v>
      </c>
      <c r="J58">
        <v>36.0012228273047</v>
      </c>
      <c r="K58">
        <v>155</v>
      </c>
    </row>
    <row r="59" spans="1:11">
      <c r="A59">
        <v>58</v>
      </c>
      <c r="B59">
        <v>28</v>
      </c>
      <c r="C59">
        <v>5</v>
      </c>
      <c r="D59">
        <v>4</v>
      </c>
      <c r="E59">
        <v>5</v>
      </c>
      <c r="F59">
        <v>16975.685529736</v>
      </c>
      <c r="G59">
        <v>11317.1236864907</v>
      </c>
      <c r="H59">
        <v>231611.919824203</v>
      </c>
      <c r="I59">
        <v>458930.518770513</v>
      </c>
      <c r="J59">
        <v>36.0246596954996</v>
      </c>
      <c r="K59">
        <v>157</v>
      </c>
    </row>
    <row r="60" spans="1:11">
      <c r="A60">
        <v>59</v>
      </c>
      <c r="B60">
        <v>28</v>
      </c>
      <c r="C60">
        <v>5</v>
      </c>
      <c r="D60">
        <v>5</v>
      </c>
      <c r="E60">
        <v>5</v>
      </c>
      <c r="F60">
        <v>17301.1898412025</v>
      </c>
      <c r="G60">
        <v>11534.1265608017</v>
      </c>
      <c r="H60">
        <v>240142.834392223</v>
      </c>
      <c r="I60">
        <v>472216.487938281</v>
      </c>
      <c r="J60">
        <v>36.0483309323765</v>
      </c>
      <c r="K60">
        <v>159</v>
      </c>
    </row>
    <row r="61" spans="1:11">
      <c r="A61">
        <v>60</v>
      </c>
      <c r="B61">
        <v>29</v>
      </c>
      <c r="C61">
        <v>5</v>
      </c>
      <c r="D61">
        <v>6</v>
      </c>
      <c r="E61">
        <v>5</v>
      </c>
      <c r="F61">
        <v>17622.0948526989</v>
      </c>
      <c r="G61">
        <v>11748.0632351326</v>
      </c>
      <c r="H61">
        <v>248742.39057542</v>
      </c>
      <c r="I61">
        <v>485493.551404958</v>
      </c>
      <c r="J61">
        <v>36.0722388816221</v>
      </c>
      <c r="K61">
        <v>162</v>
      </c>
    </row>
    <row r="62" spans="1:11">
      <c r="A62">
        <v>61</v>
      </c>
      <c r="B62">
        <v>29</v>
      </c>
      <c r="C62">
        <v>5</v>
      </c>
      <c r="D62">
        <v>7</v>
      </c>
      <c r="E62">
        <v>5</v>
      </c>
      <c r="F62">
        <v>17938.4378279129</v>
      </c>
      <c r="G62">
        <v>11958.9585519419</v>
      </c>
      <c r="H62">
        <v>257405.436081673</v>
      </c>
      <c r="I62">
        <v>498755.725937324</v>
      </c>
      <c r="J62">
        <v>36.0963859103602</v>
      </c>
      <c r="K62">
        <v>164</v>
      </c>
    </row>
    <row r="63" spans="1:11">
      <c r="A63">
        <v>62</v>
      </c>
      <c r="B63">
        <v>29</v>
      </c>
      <c r="C63">
        <v>5</v>
      </c>
      <c r="D63">
        <v>8</v>
      </c>
      <c r="E63">
        <v>5</v>
      </c>
      <c r="F63">
        <v>18250.2570103929</v>
      </c>
      <c r="G63">
        <v>12166.8380069286</v>
      </c>
      <c r="H63">
        <v>266126.863264163</v>
      </c>
      <c r="I63">
        <v>511997.239512576</v>
      </c>
      <c r="J63">
        <v>36.1207744093856</v>
      </c>
      <c r="K63">
        <v>166</v>
      </c>
    </row>
    <row r="64" spans="1:11">
      <c r="A64">
        <v>63</v>
      </c>
      <c r="B64">
        <v>29</v>
      </c>
      <c r="C64">
        <v>5</v>
      </c>
      <c r="D64">
        <v>9</v>
      </c>
      <c r="E64">
        <v>5</v>
      </c>
      <c r="F64">
        <v>18557.5915466951</v>
      </c>
      <c r="G64">
        <v>12371.7276977967</v>
      </c>
      <c r="H64">
        <v>274901.616398354</v>
      </c>
      <c r="I64">
        <v>525212.529552026</v>
      </c>
      <c r="J64">
        <v>36.1454067934014</v>
      </c>
      <c r="K64">
        <v>168</v>
      </c>
    </row>
    <row r="65" spans="1:11">
      <c r="A65">
        <v>64</v>
      </c>
      <c r="B65">
        <v>30</v>
      </c>
      <c r="C65">
        <v>5</v>
      </c>
      <c r="D65">
        <v>10</v>
      </c>
      <c r="E65">
        <v>5</v>
      </c>
      <c r="F65">
        <v>18860.481413014</v>
      </c>
      <c r="G65">
        <v>12573.6542753427</v>
      </c>
      <c r="H65">
        <v>283724.698482439</v>
      </c>
      <c r="I65">
        <v>538396.240868028</v>
      </c>
      <c r="J65">
        <v>36.1702855012573</v>
      </c>
      <c r="K65">
        <v>170</v>
      </c>
    </row>
    <row r="66" spans="1:11">
      <c r="A66">
        <v>65</v>
      </c>
      <c r="B66">
        <v>30</v>
      </c>
      <c r="C66">
        <v>5</v>
      </c>
      <c r="D66">
        <v>11</v>
      </c>
      <c r="E66">
        <v>5</v>
      </c>
      <c r="F66">
        <v>19332.3878198847</v>
      </c>
      <c r="G66">
        <v>12888.2585465898</v>
      </c>
      <c r="H66">
        <v>295803.386187631</v>
      </c>
      <c r="I66">
        <v>558813.590092965</v>
      </c>
      <c r="J66">
        <v>36.1954129961917</v>
      </c>
      <c r="K66">
        <v>172</v>
      </c>
    </row>
    <row r="67" spans="1:11">
      <c r="A67">
        <v>66</v>
      </c>
      <c r="B67">
        <v>30</v>
      </c>
      <c r="C67">
        <v>5</v>
      </c>
      <c r="D67">
        <v>12</v>
      </c>
      <c r="E67">
        <v>5</v>
      </c>
      <c r="F67">
        <v>19796.6679239644</v>
      </c>
      <c r="G67">
        <v>13197.7786159762</v>
      </c>
      <c r="H67">
        <v>307981.053911532</v>
      </c>
      <c r="I67">
        <v>579258.631963774</v>
      </c>
      <c r="J67">
        <v>36.2207917660755</v>
      </c>
      <c r="K67">
        <v>175</v>
      </c>
    </row>
    <row r="68" spans="1:11">
      <c r="A68">
        <v>67</v>
      </c>
      <c r="B68">
        <v>30</v>
      </c>
      <c r="C68">
        <v>5</v>
      </c>
      <c r="D68">
        <v>13</v>
      </c>
      <c r="E68">
        <v>5</v>
      </c>
      <c r="F68">
        <v>20253.4224755771</v>
      </c>
      <c r="G68">
        <v>13502.2816503847</v>
      </c>
      <c r="H68">
        <v>320250.012831974</v>
      </c>
      <c r="I68">
        <v>599719.62744581</v>
      </c>
      <c r="J68">
        <v>36.2464243236581</v>
      </c>
      <c r="K68">
        <v>178</v>
      </c>
    </row>
    <row r="69" spans="1:11">
      <c r="A69">
        <v>68</v>
      </c>
      <c r="B69">
        <v>31</v>
      </c>
      <c r="C69">
        <v>5</v>
      </c>
      <c r="D69">
        <v>14</v>
      </c>
      <c r="E69">
        <v>5</v>
      </c>
      <c r="F69">
        <v>20702.7518402392</v>
      </c>
      <c r="G69">
        <v>13801.8345601595</v>
      </c>
      <c r="H69">
        <v>332602.655231633</v>
      </c>
      <c r="I69">
        <v>620185.254330561</v>
      </c>
      <c r="J69">
        <v>36.2723132068165</v>
      </c>
      <c r="K69">
        <v>180</v>
      </c>
    </row>
    <row r="70" spans="1:11">
      <c r="A70">
        <v>69</v>
      </c>
      <c r="B70">
        <v>31</v>
      </c>
      <c r="C70">
        <v>5</v>
      </c>
      <c r="D70">
        <v>15</v>
      </c>
      <c r="E70">
        <v>5</v>
      </c>
      <c r="F70">
        <v>21144.7559522838</v>
      </c>
      <c r="G70">
        <v>14096.5039681892</v>
      </c>
      <c r="H70">
        <v>345031.464829745</v>
      </c>
      <c r="I70">
        <v>640644.603546045</v>
      </c>
      <c r="J70">
        <v>36.2984609788066</v>
      </c>
      <c r="K70">
        <v>183</v>
      </c>
    </row>
    <row r="71" spans="1:11">
      <c r="A71">
        <v>70</v>
      </c>
      <c r="B71">
        <v>31</v>
      </c>
      <c r="C71">
        <v>6</v>
      </c>
      <c r="D71">
        <v>1</v>
      </c>
      <c r="E71">
        <v>5</v>
      </c>
      <c r="F71">
        <v>21579.5342712518</v>
      </c>
      <c r="G71">
        <v>14386.3561808345</v>
      </c>
      <c r="H71">
        <v>357529.026375211</v>
      </c>
      <c r="I71">
        <v>661087.174827875</v>
      </c>
      <c r="J71">
        <v>36.3248702285165</v>
      </c>
      <c r="K71">
        <v>185</v>
      </c>
    </row>
    <row r="72" spans="1:11">
      <c r="A72">
        <v>71</v>
      </c>
      <c r="B72">
        <v>32</v>
      </c>
      <c r="C72">
        <v>6</v>
      </c>
      <c r="D72">
        <v>2</v>
      </c>
      <c r="E72">
        <v>5</v>
      </c>
      <c r="F72">
        <v>22007.1857409304</v>
      </c>
      <c r="G72">
        <v>14671.4571606203</v>
      </c>
      <c r="H72">
        <v>370088.034515633</v>
      </c>
      <c r="I72">
        <v>681502.871813609</v>
      </c>
      <c r="J72">
        <v>36.3515435707235</v>
      </c>
      <c r="K72">
        <v>188</v>
      </c>
    </row>
    <row r="73" spans="1:11">
      <c r="A73">
        <v>72</v>
      </c>
      <c r="B73">
        <v>32</v>
      </c>
      <c r="C73">
        <v>6</v>
      </c>
      <c r="D73">
        <v>3</v>
      </c>
      <c r="E73">
        <v>5</v>
      </c>
      <c r="F73">
        <v>22427.8087509258</v>
      </c>
      <c r="G73">
        <v>14951.8725006172</v>
      </c>
      <c r="H73">
        <v>382701.301958812</v>
      </c>
      <c r="I73">
        <v>701881.996619119</v>
      </c>
      <c r="J73">
        <v>36.3784836463527</v>
      </c>
      <c r="K73">
        <v>190</v>
      </c>
    </row>
    <row r="74" spans="1:11">
      <c r="A74">
        <v>73</v>
      </c>
      <c r="B74">
        <v>32</v>
      </c>
      <c r="C74">
        <v>6</v>
      </c>
      <c r="D74">
        <v>4</v>
      </c>
      <c r="E74">
        <v>5</v>
      </c>
      <c r="F74">
        <v>22841.5011006595</v>
      </c>
      <c r="G74">
        <v>15227.6674004397</v>
      </c>
      <c r="H74">
        <v>395361.76694498</v>
      </c>
      <c r="I74">
        <v>722215.243951944</v>
      </c>
      <c r="J74">
        <v>36.4056931227381</v>
      </c>
      <c r="K74">
        <v>192</v>
      </c>
    </row>
    <row r="75" spans="1:11">
      <c r="A75">
        <v>74</v>
      </c>
      <c r="B75">
        <v>32</v>
      </c>
      <c r="C75">
        <v>6</v>
      </c>
      <c r="D75">
        <v>5</v>
      </c>
      <c r="E75">
        <v>5</v>
      </c>
      <c r="F75">
        <v>23248.3599656837</v>
      </c>
      <c r="G75">
        <v>15498.9066437891</v>
      </c>
      <c r="H75">
        <v>408062.500049468</v>
      </c>
      <c r="I75">
        <v>742493.694813082</v>
      </c>
      <c r="J75">
        <v>36.4331746938873</v>
      </c>
      <c r="K75">
        <v>195</v>
      </c>
    </row>
    <row r="76" spans="1:11">
      <c r="A76">
        <v>75</v>
      </c>
      <c r="B76">
        <v>33</v>
      </c>
      <c r="C76">
        <v>6</v>
      </c>
      <c r="D76">
        <v>6</v>
      </c>
      <c r="E76">
        <v>5</v>
      </c>
      <c r="F76">
        <v>23648.4818662141</v>
      </c>
      <c r="G76">
        <v>15765.654577476</v>
      </c>
      <c r="H76">
        <v>420796.710336777</v>
      </c>
      <c r="I76">
        <v>762708.80983529</v>
      </c>
      <c r="J76">
        <v>36.460931080748</v>
      </c>
      <c r="K76">
        <v>197</v>
      </c>
    </row>
    <row r="77" spans="1:11">
      <c r="A77">
        <v>76</v>
      </c>
      <c r="B77">
        <v>33</v>
      </c>
      <c r="C77">
        <v>6</v>
      </c>
      <c r="D77">
        <v>7</v>
      </c>
      <c r="E77">
        <v>5</v>
      </c>
      <c r="F77">
        <v>24041.9626377825</v>
      </c>
      <c r="G77">
        <v>16027.975091855</v>
      </c>
      <c r="H77">
        <v>433557.750887974</v>
      </c>
      <c r="I77">
        <v>782852.422302741</v>
      </c>
      <c r="J77">
        <v>36.4889650314774</v>
      </c>
      <c r="K77">
        <v>199</v>
      </c>
    </row>
    <row r="78" spans="1:11">
      <c r="A78">
        <v>77</v>
      </c>
      <c r="B78">
        <v>33</v>
      </c>
      <c r="C78">
        <v>6</v>
      </c>
      <c r="D78">
        <v>8</v>
      </c>
      <c r="E78">
        <v>5</v>
      </c>
      <c r="F78">
        <v>24428.8974039162</v>
      </c>
      <c r="G78">
        <v>16285.9316026108</v>
      </c>
      <c r="H78">
        <v>446339.123724171</v>
      </c>
      <c r="I78">
        <v>802916.730893883</v>
      </c>
      <c r="J78">
        <v>36.517279321714</v>
      </c>
      <c r="K78">
        <v>201</v>
      </c>
    </row>
    <row r="79" spans="1:11">
      <c r="A79">
        <v>78</v>
      </c>
      <c r="B79">
        <v>33</v>
      </c>
      <c r="C79">
        <v>6</v>
      </c>
      <c r="D79">
        <v>9</v>
      </c>
      <c r="E79">
        <v>5</v>
      </c>
      <c r="F79">
        <v>24809.3805507534</v>
      </c>
      <c r="G79">
        <v>16539.5870338356</v>
      </c>
      <c r="H79">
        <v>459134.484149459</v>
      </c>
      <c r="I79">
        <v>822894.292186448</v>
      </c>
      <c r="J79">
        <v>36.545876754853</v>
      </c>
      <c r="K79">
        <v>203</v>
      </c>
    </row>
    <row r="80" spans="1:11">
      <c r="A80">
        <v>79</v>
      </c>
      <c r="B80">
        <v>33</v>
      </c>
      <c r="C80">
        <v>6</v>
      </c>
      <c r="D80">
        <v>10</v>
      </c>
      <c r="E80">
        <v>5</v>
      </c>
      <c r="F80">
        <v>25183.505703509</v>
      </c>
      <c r="G80">
        <v>16789.0038023393</v>
      </c>
      <c r="H80">
        <v>471937.644537088</v>
      </c>
      <c r="I80">
        <v>842778.012960816</v>
      </c>
      <c r="J80">
        <v>36.5747601623234</v>
      </c>
      <c r="K80">
        <v>205</v>
      </c>
    </row>
    <row r="81" spans="1:11">
      <c r="A81">
        <v>80</v>
      </c>
      <c r="B81">
        <v>34</v>
      </c>
      <c r="C81">
        <v>6</v>
      </c>
      <c r="D81">
        <v>11</v>
      </c>
      <c r="E81">
        <v>5</v>
      </c>
      <c r="F81">
        <v>25551.3657047066</v>
      </c>
      <c r="G81">
        <v>17034.2438031377</v>
      </c>
      <c r="H81">
        <v>484742.577583025</v>
      </c>
      <c r="I81">
        <v>862561.142335382</v>
      </c>
      <c r="J81">
        <v>36.6039324038685</v>
      </c>
      <c r="K81">
        <v>207</v>
      </c>
    </row>
    <row r="82" spans="1:11">
      <c r="A82">
        <v>81</v>
      </c>
      <c r="B82">
        <v>34</v>
      </c>
      <c r="C82">
        <v>6</v>
      </c>
      <c r="D82">
        <v>12</v>
      </c>
      <c r="E82">
        <v>5</v>
      </c>
      <c r="F82">
        <v>25913.0525940988</v>
      </c>
      <c r="G82">
        <v>17275.3683960659</v>
      </c>
      <c r="H82">
        <v>497543.419051116</v>
      </c>
      <c r="I82">
        <v>882237.263765109</v>
      </c>
      <c r="J82">
        <v>36.6333963678291</v>
      </c>
      <c r="K82">
        <v>209</v>
      </c>
    </row>
    <row r="83" spans="1:11">
      <c r="A83">
        <v>82</v>
      </c>
      <c r="B83">
        <v>34</v>
      </c>
      <c r="C83">
        <v>6</v>
      </c>
      <c r="D83">
        <v>13</v>
      </c>
      <c r="E83">
        <v>5</v>
      </c>
      <c r="F83">
        <v>26268.6575901963</v>
      </c>
      <c r="G83">
        <v>17512.4383934642</v>
      </c>
      <c r="H83">
        <v>510334.470034176</v>
      </c>
      <c r="I83">
        <v>901800.286932155</v>
      </c>
      <c r="J83">
        <v>36.6631549714293</v>
      </c>
      <c r="K83">
        <v>211</v>
      </c>
    </row>
    <row r="84" spans="1:11">
      <c r="A84">
        <v>83</v>
      </c>
      <c r="B84">
        <v>34</v>
      </c>
      <c r="C84">
        <v>6</v>
      </c>
      <c r="D84">
        <v>14</v>
      </c>
      <c r="E84">
        <v>5</v>
      </c>
      <c r="F84">
        <v>26618.271073335</v>
      </c>
      <c r="G84">
        <v>17745.51404889</v>
      </c>
      <c r="H84">
        <v>523110.198755171</v>
      </c>
      <c r="I84">
        <v>921244.439555273</v>
      </c>
      <c r="J84">
        <v>36.6932111610654</v>
      </c>
      <c r="K84">
        <v>213</v>
      </c>
    </row>
    <row r="85" spans="1:11">
      <c r="A85">
        <v>84</v>
      </c>
      <c r="B85">
        <v>34</v>
      </c>
      <c r="C85">
        <v>6</v>
      </c>
      <c r="D85">
        <v>15</v>
      </c>
      <c r="E85">
        <v>5</v>
      </c>
      <c r="F85">
        <v>26961.9825702083</v>
      </c>
      <c r="G85">
        <v>17974.6550468055</v>
      </c>
      <c r="H85">
        <v>535865.241932534</v>
      </c>
      <c r="I85">
        <v>940564.25914262</v>
      </c>
      <c r="J85">
        <v>36.7235679125979</v>
      </c>
      <c r="K85">
        <v>214</v>
      </c>
    </row>
    <row r="86" spans="1:11">
      <c r="A86">
        <v>85</v>
      </c>
      <c r="B86">
        <v>35</v>
      </c>
      <c r="C86">
        <v>7</v>
      </c>
      <c r="D86">
        <v>1</v>
      </c>
      <c r="E86">
        <v>5</v>
      </c>
      <c r="F86">
        <v>27299.8807397972</v>
      </c>
      <c r="G86">
        <v>18199.9204931982</v>
      </c>
      <c r="H86">
        <v>548594.405733353</v>
      </c>
      <c r="I86">
        <v>959754.584710681</v>
      </c>
      <c r="J86">
        <v>36.7542282316458</v>
      </c>
      <c r="K86">
        <v>216</v>
      </c>
    </row>
    <row r="87" spans="1:11">
      <c r="A87">
        <v>86</v>
      </c>
      <c r="B87">
        <v>35</v>
      </c>
      <c r="C87">
        <v>7</v>
      </c>
      <c r="D87">
        <v>2</v>
      </c>
      <c r="E87">
        <v>5</v>
      </c>
      <c r="F87">
        <v>27632.0533606339</v>
      </c>
      <c r="G87">
        <v>18421.3689070893</v>
      </c>
      <c r="H87">
        <v>561292.666337797</v>
      </c>
      <c r="I87">
        <v>978810.548490182</v>
      </c>
      <c r="J87">
        <v>36.7851951538841</v>
      </c>
      <c r="K87">
        <v>218</v>
      </c>
    </row>
    <row r="88" spans="1:11">
      <c r="A88">
        <v>87</v>
      </c>
      <c r="B88">
        <v>35</v>
      </c>
      <c r="C88">
        <v>7</v>
      </c>
      <c r="D88">
        <v>3</v>
      </c>
      <c r="E88">
        <v>5</v>
      </c>
      <c r="F88">
        <v>27958.5873193341</v>
      </c>
      <c r="G88">
        <v>18639.0582128894</v>
      </c>
      <c r="H88">
        <v>573955.17013778</v>
      </c>
      <c r="I88">
        <v>997727.567638128</v>
      </c>
      <c r="J88">
        <v>36.8164717453448</v>
      </c>
      <c r="K88">
        <v>219</v>
      </c>
    </row>
    <row r="89" spans="1:11">
      <c r="A89">
        <v>88</v>
      </c>
      <c r="B89">
        <v>35</v>
      </c>
      <c r="C89">
        <v>7</v>
      </c>
      <c r="D89">
        <v>4</v>
      </c>
      <c r="E89">
        <v>5</v>
      </c>
      <c r="F89">
        <v>28279.5686003402</v>
      </c>
      <c r="G89">
        <v>18853.0457335601</v>
      </c>
      <c r="H89">
        <v>586577.233592305</v>
      </c>
      <c r="I89">
        <v>1016501.33597352</v>
      </c>
      <c r="J89">
        <v>36.8480611027201</v>
      </c>
      <c r="K89">
        <v>221</v>
      </c>
    </row>
    <row r="90" spans="1:11">
      <c r="A90">
        <v>89</v>
      </c>
      <c r="B90">
        <v>35</v>
      </c>
      <c r="C90">
        <v>7</v>
      </c>
      <c r="D90">
        <v>5</v>
      </c>
      <c r="E90">
        <v>5</v>
      </c>
      <c r="F90">
        <v>28595.0822768156</v>
      </c>
      <c r="G90">
        <v>19063.3881845438</v>
      </c>
      <c r="H90">
        <v>599154.342761463</v>
      </c>
      <c r="I90">
        <v>1035127.81575273</v>
      </c>
      <c r="J90">
        <v>36.8799663536692</v>
      </c>
      <c r="K90">
        <v>223</v>
      </c>
    </row>
    <row r="91" spans="1:11">
      <c r="A91">
        <v>90</v>
      </c>
      <c r="B91">
        <v>36</v>
      </c>
      <c r="C91">
        <v>7</v>
      </c>
      <c r="D91">
        <v>6</v>
      </c>
      <c r="E91">
        <v>5</v>
      </c>
      <c r="F91">
        <v>28905.2125026364</v>
      </c>
      <c r="G91">
        <v>19270.1416684243</v>
      </c>
      <c r="H91">
        <v>611682.152540438</v>
      </c>
      <c r="I91">
        <v>1053603.22949915</v>
      </c>
      <c r="J91">
        <v>36.9121906571278</v>
      </c>
      <c r="K91">
        <v>224</v>
      </c>
    </row>
    <row r="92" spans="1:11">
      <c r="A92">
        <v>91</v>
      </c>
      <c r="B92">
        <v>36</v>
      </c>
      <c r="C92">
        <v>7</v>
      </c>
      <c r="D92">
        <v>7</v>
      </c>
      <c r="E92">
        <v>5</v>
      </c>
      <c r="F92">
        <v>29210.0425054252</v>
      </c>
      <c r="G92">
        <v>19473.3616702835</v>
      </c>
      <c r="H92">
        <v>624156.485614279</v>
      </c>
      <c r="I92">
        <v>1071924.05190029</v>
      </c>
      <c r="J92">
        <v>36.9447372036209</v>
      </c>
      <c r="K92">
        <v>226</v>
      </c>
    </row>
    <row r="93" spans="1:11">
      <c r="A93">
        <v>92</v>
      </c>
      <c r="B93">
        <v>36</v>
      </c>
      <c r="C93">
        <v>7</v>
      </c>
      <c r="D93">
        <v>8</v>
      </c>
      <c r="E93">
        <v>5</v>
      </c>
      <c r="F93">
        <v>29509.6545805779</v>
      </c>
      <c r="G93">
        <v>19673.1030537186</v>
      </c>
      <c r="H93">
        <v>636573.331153548</v>
      </c>
      <c r="I93">
        <v>1090087.00178438</v>
      </c>
      <c r="J93">
        <v>36.977609215579</v>
      </c>
      <c r="K93">
        <v>227</v>
      </c>
    </row>
    <row r="94" spans="1:11">
      <c r="A94">
        <v>93</v>
      </c>
      <c r="B94">
        <v>36</v>
      </c>
      <c r="C94">
        <v>7</v>
      </c>
      <c r="D94">
        <v>9</v>
      </c>
      <c r="E94">
        <v>5</v>
      </c>
      <c r="F94">
        <v>29804.1300862337</v>
      </c>
      <c r="G94">
        <v>19869.4200574891</v>
      </c>
      <c r="H94">
        <v>648928.843270271</v>
      </c>
      <c r="I94">
        <v>1108089.03418725</v>
      </c>
      <c r="J94">
        <v>37.0108099476567</v>
      </c>
      <c r="K94">
        <v>229</v>
      </c>
    </row>
    <row r="95" spans="1:11">
      <c r="A95">
        <v>94</v>
      </c>
      <c r="B95">
        <v>36</v>
      </c>
      <c r="C95">
        <v>7</v>
      </c>
      <c r="D95">
        <v>10</v>
      </c>
      <c r="E95">
        <v>5</v>
      </c>
      <c r="F95">
        <v>30093.5494391403</v>
      </c>
      <c r="G95">
        <v>20062.3662927602</v>
      </c>
      <c r="H95">
        <v>661219.339252962</v>
      </c>
      <c r="I95">
        <v>1125927.33251912</v>
      </c>
      <c r="J95">
        <v>37.0443426870551</v>
      </c>
      <c r="K95">
        <v>230</v>
      </c>
    </row>
    <row r="96" spans="1:11">
      <c r="A96">
        <v>95</v>
      </c>
      <c r="B96">
        <v>37</v>
      </c>
      <c r="C96">
        <v>7</v>
      </c>
      <c r="D96">
        <v>11</v>
      </c>
      <c r="E96">
        <v>5</v>
      </c>
      <c r="F96">
        <v>30377.9921113711</v>
      </c>
      <c r="G96">
        <v>20251.9947409141</v>
      </c>
      <c r="H96">
        <v>673441.29759876</v>
      </c>
      <c r="I96">
        <v>1143599.30084008</v>
      </c>
      <c r="J96">
        <v>37.0782107538475</v>
      </c>
      <c r="K96">
        <v>231</v>
      </c>
    </row>
    <row r="97" spans="1:11">
      <c r="A97">
        <v>96</v>
      </c>
      <c r="B97">
        <v>37</v>
      </c>
      <c r="C97">
        <v>7</v>
      </c>
      <c r="D97">
        <v>12</v>
      </c>
      <c r="E97">
        <v>5</v>
      </c>
      <c r="F97">
        <v>30657.5366278491</v>
      </c>
      <c r="G97">
        <v>20438.3577518994</v>
      </c>
      <c r="H97">
        <v>685591.355860024</v>
      </c>
      <c r="I97">
        <v>1161102.55625193</v>
      </c>
      <c r="J97">
        <v>37.1124175013079</v>
      </c>
      <c r="K97">
        <v>233</v>
      </c>
    </row>
    <row r="98" spans="1:11">
      <c r="A98">
        <v>97</v>
      </c>
      <c r="B98">
        <v>37</v>
      </c>
      <c r="C98">
        <v>7</v>
      </c>
      <c r="D98">
        <v>13</v>
      </c>
      <c r="E98">
        <v>5</v>
      </c>
      <c r="F98">
        <v>30932.2605646379</v>
      </c>
      <c r="G98">
        <v>20621.5070430919</v>
      </c>
      <c r="H98">
        <v>697666.308322013</v>
      </c>
      <c r="I98">
        <v>1178434.92141308</v>
      </c>
      <c r="J98">
        <v>37.1469663162428</v>
      </c>
      <c r="K98">
        <v>234</v>
      </c>
    </row>
    <row r="99" spans="1:11">
      <c r="A99">
        <v>98</v>
      </c>
      <c r="B99">
        <v>37</v>
      </c>
      <c r="C99">
        <v>7</v>
      </c>
      <c r="D99">
        <v>14</v>
      </c>
      <c r="E99">
        <v>5</v>
      </c>
      <c r="F99">
        <v>31202.2405479577</v>
      </c>
      <c r="G99">
        <v>20801.4936986385</v>
      </c>
      <c r="H99">
        <v>709663.103527572</v>
      </c>
      <c r="I99">
        <v>1195594.41718271</v>
      </c>
      <c r="J99">
        <v>37.1818606193271</v>
      </c>
      <c r="K99">
        <v>235</v>
      </c>
    </row>
    <row r="100" spans="1:11">
      <c r="A100">
        <v>99</v>
      </c>
      <c r="B100">
        <v>37</v>
      </c>
      <c r="C100">
        <v>7</v>
      </c>
      <c r="D100">
        <v>15</v>
      </c>
      <c r="E100">
        <v>5</v>
      </c>
      <c r="F100">
        <v>31467.5522538911</v>
      </c>
      <c r="G100">
        <v>20978.3681692607</v>
      </c>
      <c r="H100">
        <v>721578.841664009</v>
      </c>
      <c r="I100">
        <v>1212579.25539915</v>
      </c>
      <c r="J100">
        <v>37.2171038654422</v>
      </c>
      <c r="K100">
        <v>237</v>
      </c>
    </row>
    <row r="101" spans="1:11">
      <c r="A101">
        <v>100</v>
      </c>
      <c r="B101">
        <v>38</v>
      </c>
      <c r="C101">
        <v>8</v>
      </c>
      <c r="D101">
        <v>1</v>
      </c>
      <c r="E101">
        <v>5</v>
      </c>
      <c r="F101">
        <v>31728.2704087388</v>
      </c>
      <c r="G101">
        <v>21152.1802724926</v>
      </c>
      <c r="H101">
        <v>733410.771826676</v>
      </c>
      <c r="I101">
        <v>1229387.83179704</v>
      </c>
      <c r="J101">
        <v>37.2526995440185</v>
      </c>
      <c r="K101">
        <v>238</v>
      </c>
    </row>
    <row r="102" spans="1:11">
      <c r="A102">
        <v>101</v>
      </c>
      <c r="B102">
        <v>38</v>
      </c>
      <c r="C102">
        <v>8</v>
      </c>
      <c r="D102">
        <v>2</v>
      </c>
      <c r="E102">
        <v>5</v>
      </c>
      <c r="F102">
        <v>32169.5174232065</v>
      </c>
      <c r="G102">
        <v>21446.3449488043</v>
      </c>
      <c r="H102">
        <v>754380.349405639</v>
      </c>
      <c r="I102">
        <v>1255299.61646539</v>
      </c>
      <c r="J102">
        <v>37.2886511793806</v>
      </c>
      <c r="K102">
        <v>240</v>
      </c>
    </row>
    <row r="103" spans="1:11">
      <c r="A103">
        <v>102</v>
      </c>
      <c r="B103">
        <v>38</v>
      </c>
      <c r="C103">
        <v>8</v>
      </c>
      <c r="D103">
        <v>3</v>
      </c>
      <c r="E103">
        <v>5</v>
      </c>
      <c r="F103">
        <v>32603.0380824519</v>
      </c>
      <c r="G103">
        <v>21735.3587216346</v>
      </c>
      <c r="H103">
        <v>775379.509458662</v>
      </c>
      <c r="I103">
        <v>1281018.46855859</v>
      </c>
      <c r="J103">
        <v>37.3249623310963</v>
      </c>
      <c r="K103">
        <v>242</v>
      </c>
    </row>
    <row r="104" spans="1:11">
      <c r="A104">
        <v>103</v>
      </c>
      <c r="B104">
        <v>38</v>
      </c>
      <c r="C104">
        <v>8</v>
      </c>
      <c r="D104">
        <v>4</v>
      </c>
      <c r="E104">
        <v>5</v>
      </c>
      <c r="F104">
        <v>33028.956296193</v>
      </c>
      <c r="G104">
        <v>22019.304197462</v>
      </c>
      <c r="H104">
        <v>796397.775622897</v>
      </c>
      <c r="I104">
        <v>1306538.20825465</v>
      </c>
      <c r="J104">
        <v>37.3616365943291</v>
      </c>
      <c r="K104">
        <v>245</v>
      </c>
    </row>
    <row r="105" spans="1:11">
      <c r="A105">
        <v>104</v>
      </c>
      <c r="B105">
        <v>38</v>
      </c>
      <c r="C105">
        <v>8</v>
      </c>
      <c r="D105">
        <v>5</v>
      </c>
      <c r="E105">
        <v>5</v>
      </c>
      <c r="F105">
        <v>33447.3944458238</v>
      </c>
      <c r="G105">
        <v>22298.2629638825</v>
      </c>
      <c r="H105">
        <v>817424.93302004</v>
      </c>
      <c r="I105">
        <v>1331853.05839458</v>
      </c>
      <c r="J105">
        <v>37.3986776001942</v>
      </c>
      <c r="K105">
        <v>247</v>
      </c>
    </row>
    <row r="106" spans="1:11">
      <c r="A106">
        <v>105</v>
      </c>
      <c r="B106">
        <v>39</v>
      </c>
      <c r="C106">
        <v>8</v>
      </c>
      <c r="D106">
        <v>6</v>
      </c>
      <c r="E106">
        <v>5</v>
      </c>
      <c r="F106">
        <v>33858.4733837088</v>
      </c>
      <c r="G106">
        <v>22572.3155891392</v>
      </c>
      <c r="H106">
        <v>838451.034024109</v>
      </c>
      <c r="I106">
        <v>1356957.63097549</v>
      </c>
      <c r="J106">
        <v>37.4360890161181</v>
      </c>
      <c r="K106">
        <v>249</v>
      </c>
    </row>
    <row r="107" spans="1:11">
      <c r="A107">
        <v>106</v>
      </c>
      <c r="C107">
        <v>8</v>
      </c>
      <c r="D107">
        <v>7</v>
      </c>
      <c r="E107">
        <v>5</v>
      </c>
      <c r="F107">
        <v>34262.3124335512</v>
      </c>
      <c r="G107">
        <v>22841.5416223675</v>
      </c>
      <c r="H107">
        <v>859466.403129217</v>
      </c>
      <c r="I107">
        <v>1381846.91385462</v>
      </c>
      <c r="J107">
        <v>37.4738745462011</v>
      </c>
      <c r="K107">
        <v>251</v>
      </c>
    </row>
    <row r="108" spans="1:11">
      <c r="A108">
        <v>107</v>
      </c>
      <c r="C108">
        <v>8</v>
      </c>
      <c r="D108">
        <v>8</v>
      </c>
      <c r="E108">
        <v>5</v>
      </c>
      <c r="F108">
        <v>34659.0293917773</v>
      </c>
      <c r="G108">
        <v>23106.0195945182</v>
      </c>
      <c r="H108">
        <v>880461.640961851</v>
      </c>
      <c r="I108">
        <v>1406516.25767587</v>
      </c>
      <c r="J108">
        <v>37.512037931585</v>
      </c>
      <c r="K108">
        <v>253</v>
      </c>
    </row>
    <row r="109" spans="1:11">
      <c r="A109">
        <v>108</v>
      </c>
      <c r="C109">
        <v>8</v>
      </c>
      <c r="D109">
        <v>9</v>
      </c>
      <c r="E109">
        <v>5</v>
      </c>
      <c r="F109">
        <v>35048.7405298808</v>
      </c>
      <c r="G109">
        <v>23365.8270199205</v>
      </c>
      <c r="H109">
        <v>901427.627481898</v>
      </c>
      <c r="I109">
        <v>1430961.36302879</v>
      </c>
      <c r="J109">
        <v>37.5505829508227</v>
      </c>
      <c r="K109">
        <v>255</v>
      </c>
    </row>
    <row r="110" spans="1:11">
      <c r="A110">
        <v>109</v>
      </c>
      <c r="C110">
        <v>8</v>
      </c>
      <c r="D110">
        <v>10</v>
      </c>
      <c r="E110">
        <v>5</v>
      </c>
      <c r="F110">
        <v>35431.5605976759</v>
      </c>
      <c r="G110">
        <v>23621.0403984506</v>
      </c>
      <c r="H110">
        <v>922355.524416171</v>
      </c>
      <c r="I110">
        <v>1455178.26784897</v>
      </c>
      <c r="J110">
        <v>37.5895134202528</v>
      </c>
      <c r="K110">
        <v>257</v>
      </c>
    </row>
    <row r="111" spans="1:11">
      <c r="A111">
        <v>110</v>
      </c>
      <c r="C111">
        <v>8</v>
      </c>
      <c r="D111">
        <v>11</v>
      </c>
      <c r="E111">
        <v>5</v>
      </c>
      <c r="F111">
        <v>35807.6028274056</v>
      </c>
      <c r="G111">
        <v>23871.7352182704</v>
      </c>
      <c r="H111">
        <v>943236.776967611</v>
      </c>
      <c r="I111">
        <v>1479163.33506714</v>
      </c>
      <c r="J111">
        <v>37.6288331943772</v>
      </c>
      <c r="K111">
        <v>258</v>
      </c>
    </row>
    <row r="112" spans="1:11">
      <c r="A112">
        <v>111</v>
      </c>
      <c r="C112">
        <v>8</v>
      </c>
      <c r="D112">
        <v>12</v>
      </c>
      <c r="E112">
        <v>5</v>
      </c>
      <c r="F112">
        <v>36176.9789386587</v>
      </c>
      <c r="G112">
        <v>24117.9859591058</v>
      </c>
      <c r="H112">
        <v>964063.114842558</v>
      </c>
      <c r="I112">
        <v>1502913.24051322</v>
      </c>
      <c r="J112">
        <v>37.6685461662428</v>
      </c>
      <c r="K112">
        <v>260</v>
      </c>
    </row>
    <row r="113" spans="1:11">
      <c r="A113">
        <v>112</v>
      </c>
      <c r="C113">
        <v>8</v>
      </c>
      <c r="D113">
        <v>13</v>
      </c>
      <c r="E113">
        <v>5</v>
      </c>
      <c r="F113">
        <v>36539.7991440475</v>
      </c>
      <c r="G113">
        <v>24359.8660960316</v>
      </c>
      <c r="H113">
        <v>984826.552637626</v>
      </c>
      <c r="I113">
        <v>1526424.9610805</v>
      </c>
      <c r="J113">
        <v>37.7086562678271</v>
      </c>
      <c r="K113">
        <v>262</v>
      </c>
    </row>
    <row r="114" spans="1:11">
      <c r="A114">
        <v>113</v>
      </c>
      <c r="C114">
        <v>8</v>
      </c>
      <c r="D114">
        <v>14</v>
      </c>
      <c r="E114">
        <v>5</v>
      </c>
      <c r="F114">
        <v>36896.1721556019</v>
      </c>
      <c r="G114">
        <v>24597.4481037346</v>
      </c>
      <c r="H114">
        <v>1005519.38962672</v>
      </c>
      <c r="I114">
        <v>1549695.76315411</v>
      </c>
      <c r="J114">
        <v>37.7491674704273</v>
      </c>
      <c r="K114">
        <v>264</v>
      </c>
    </row>
    <row r="115" spans="1:11">
      <c r="A115">
        <v>114</v>
      </c>
      <c r="C115">
        <v>8</v>
      </c>
      <c r="D115">
        <v>15</v>
      </c>
      <c r="E115">
        <v>5</v>
      </c>
      <c r="F115">
        <v>37246.2051918376</v>
      </c>
      <c r="G115">
        <v>24830.8034612251</v>
      </c>
      <c r="H115">
        <v>1026134.2089877</v>
      </c>
      <c r="I115">
        <v>1572723.19130688</v>
      </c>
      <c r="J115">
        <v>37.7900837850534</v>
      </c>
      <c r="K115">
        <v>265</v>
      </c>
    </row>
    <row r="116" spans="1:11">
      <c r="A116">
        <v>115</v>
      </c>
      <c r="C116">
        <v>9</v>
      </c>
      <c r="D116">
        <v>1</v>
      </c>
      <c r="E116">
        <v>5</v>
      </c>
      <c r="F116">
        <v>37590.0039854564</v>
      </c>
      <c r="G116">
        <v>25060.0026569709</v>
      </c>
      <c r="H116">
        <v>1046663.87650703</v>
      </c>
      <c r="I116">
        <v>1595505.05726502</v>
      </c>
      <c r="J116">
        <v>37.8314092628258</v>
      </c>
      <c r="K116">
        <v>267</v>
      </c>
    </row>
    <row r="117" spans="1:11">
      <c r="A117">
        <v>116</v>
      </c>
      <c r="C117">
        <v>9</v>
      </c>
      <c r="D117">
        <v>2</v>
      </c>
      <c r="E117">
        <v>5</v>
      </c>
      <c r="F117">
        <v>37927.6727916404</v>
      </c>
      <c r="G117">
        <v>25285.1151944269</v>
      </c>
      <c r="H117">
        <v>1067101.53879956</v>
      </c>
      <c r="I117">
        <v>1618039.42914508</v>
      </c>
      <c r="J117">
        <v>37.8731479953759</v>
      </c>
      <c r="K117">
        <v>269</v>
      </c>
    </row>
    <row r="118" spans="1:11">
      <c r="A118">
        <v>117</v>
      </c>
      <c r="C118">
        <v>9</v>
      </c>
      <c r="D118">
        <v>3</v>
      </c>
      <c r="E118">
        <v>5</v>
      </c>
      <c r="F118">
        <v>38259.314396902</v>
      </c>
      <c r="G118">
        <v>25506.2095979346</v>
      </c>
      <c r="H118">
        <v>1087440.62107936</v>
      </c>
      <c r="I118">
        <v>1640324.62096307</v>
      </c>
      <c r="J118">
        <v>37.9153041152516</v>
      </c>
      <c r="K118">
        <v>270</v>
      </c>
    </row>
    <row r="119" spans="1:11">
      <c r="A119">
        <v>118</v>
      </c>
      <c r="C119">
        <v>9</v>
      </c>
      <c r="D119">
        <v>4</v>
      </c>
      <c r="E119">
        <v>5</v>
      </c>
      <c r="F119">
        <v>38585.0301284541</v>
      </c>
      <c r="G119">
        <v>25723.3534189694</v>
      </c>
      <c r="H119">
        <v>1107674.82451628</v>
      </c>
      <c r="I119">
        <v>1662359.18241583</v>
      </c>
      <c r="J119">
        <v>37.957881796326</v>
      </c>
      <c r="K119">
        <v>272</v>
      </c>
    </row>
    <row r="120" spans="1:11">
      <c r="A120">
        <v>119</v>
      </c>
      <c r="C120">
        <v>9</v>
      </c>
      <c r="D120">
        <v>5</v>
      </c>
      <c r="E120">
        <v>5</v>
      </c>
      <c r="F120">
        <v>38904.9198640667</v>
      </c>
      <c r="G120">
        <v>25936.6132427112</v>
      </c>
      <c r="H120">
        <v>1127798.12321149</v>
      </c>
      <c r="I120">
        <v>1684141.88893427</v>
      </c>
      <c r="J120">
        <v>38.0008852542111</v>
      </c>
      <c r="K120">
        <v>273</v>
      </c>
    </row>
    <row r="121" spans="1:11">
      <c r="A121">
        <v>120</v>
      </c>
      <c r="C121">
        <v>9</v>
      </c>
      <c r="D121">
        <v>6</v>
      </c>
      <c r="E121">
        <v>5</v>
      </c>
      <c r="F121">
        <v>39219.0820423756</v>
      </c>
      <c r="G121">
        <v>26146.0546949171</v>
      </c>
      <c r="H121">
        <v>1147804.76082404</v>
      </c>
      <c r="I121">
        <v>1705671.73200731</v>
      </c>
      <c r="J121">
        <v>38.0443187466751</v>
      </c>
      <c r="K121">
        <v>275</v>
      </c>
    </row>
    <row r="122" spans="1:11">
      <c r="A122">
        <v>121</v>
      </c>
      <c r="C122">
        <v>9</v>
      </c>
      <c r="D122">
        <v>7</v>
      </c>
      <c r="E122">
        <v>5</v>
      </c>
      <c r="F122">
        <v>39527.6136736138</v>
      </c>
      <c r="G122">
        <v>26351.7424490759</v>
      </c>
      <c r="H122">
        <v>1167689.24687919</v>
      </c>
      <c r="I122">
        <v>1726947.90977525</v>
      </c>
      <c r="J122">
        <v>38.0881865740637</v>
      </c>
      <c r="K122">
        <v>276</v>
      </c>
    </row>
    <row r="123" spans="1:11">
      <c r="A123">
        <v>122</v>
      </c>
      <c r="C123">
        <v>9</v>
      </c>
      <c r="D123">
        <v>8</v>
      </c>
      <c r="E123">
        <v>5</v>
      </c>
      <c r="F123">
        <v>39830.6103507345</v>
      </c>
      <c r="G123">
        <v>26553.740233823</v>
      </c>
      <c r="H123">
        <v>1187446.35278777</v>
      </c>
      <c r="I123">
        <v>1747969.81789031</v>
      </c>
      <c r="J123">
        <v>38.1324930797262</v>
      </c>
      <c r="K123">
        <v>278</v>
      </c>
    </row>
    <row r="124" spans="1:11">
      <c r="A124">
        <v>123</v>
      </c>
      <c r="C124">
        <v>9</v>
      </c>
      <c r="D124">
        <v>9</v>
      </c>
      <c r="E124">
        <v>5</v>
      </c>
      <c r="F124">
        <v>40128.1662608973</v>
      </c>
      <c r="G124">
        <v>26752.1108405982</v>
      </c>
      <c r="H124">
        <v>1207071.10760456</v>
      </c>
      <c r="I124">
        <v>1768737.04064223</v>
      </c>
      <c r="J124">
        <v>38.1772426504453</v>
      </c>
      <c r="K124">
        <v>279</v>
      </c>
    </row>
    <row r="125" spans="1:11">
      <c r="A125">
        <v>124</v>
      </c>
      <c r="C125">
        <v>9</v>
      </c>
      <c r="D125">
        <v>10</v>
      </c>
      <c r="E125">
        <v>5</v>
      </c>
      <c r="F125">
        <v>40420.3741972905</v>
      </c>
      <c r="G125">
        <v>26946.916131527</v>
      </c>
      <c r="H125">
        <v>1226558.79355257</v>
      </c>
      <c r="I125">
        <v>1789249.34234598</v>
      </c>
      <c r="J125">
        <v>38.2224397168716</v>
      </c>
      <c r="K125">
        <v>281</v>
      </c>
    </row>
    <row r="126" spans="1:11">
      <c r="A126">
        <v>125</v>
      </c>
      <c r="C126">
        <v>9</v>
      </c>
      <c r="D126">
        <v>11</v>
      </c>
      <c r="E126">
        <v>5</v>
      </c>
      <c r="F126">
        <v>40707.3255712633</v>
      </c>
      <c r="G126">
        <v>27138.2170475089</v>
      </c>
      <c r="H126">
        <v>1245904.94133842</v>
      </c>
      <c r="I126">
        <v>1809506.65898856</v>
      </c>
      <c r="J126">
        <v>38.2680887539622</v>
      </c>
      <c r="K126">
        <v>282</v>
      </c>
    </row>
    <row r="127" spans="1:11">
      <c r="A127">
        <v>126</v>
      </c>
      <c r="C127">
        <v>9</v>
      </c>
      <c r="D127">
        <v>12</v>
      </c>
      <c r="E127">
        <v>5</v>
      </c>
      <c r="F127">
        <v>40989.1104247433</v>
      </c>
      <c r="G127">
        <v>27326.0736164955</v>
      </c>
      <c r="H127">
        <v>1265105.32528304</v>
      </c>
      <c r="I127">
        <v>1829509.09013156</v>
      </c>
      <c r="J127">
        <v>38.3141942814237</v>
      </c>
      <c r="K127">
        <v>283</v>
      </c>
    </row>
    <row r="128" spans="1:11">
      <c r="A128">
        <v>127</v>
      </c>
      <c r="C128">
        <v>9</v>
      </c>
      <c r="D128">
        <v>13</v>
      </c>
      <c r="E128">
        <v>5</v>
      </c>
      <c r="F128">
        <v>41265.8174429146</v>
      </c>
      <c r="G128">
        <v>27510.5449619431</v>
      </c>
      <c r="H128">
        <v>1284155.95829055</v>
      </c>
      <c r="I128">
        <v>1849256.89106573</v>
      </c>
      <c r="J128">
        <v>38.3607608641598</v>
      </c>
      <c r="K128">
        <v>285</v>
      </c>
    </row>
    <row r="129" spans="1:11">
      <c r="A129">
        <v>128</v>
      </c>
      <c r="C129">
        <v>9</v>
      </c>
      <c r="D129">
        <v>14</v>
      </c>
      <c r="E129">
        <v>5</v>
      </c>
      <c r="F129">
        <v>41537.5339671358</v>
      </c>
      <c r="G129">
        <v>27691.6893114238</v>
      </c>
      <c r="H129">
        <v>1303053.0866769</v>
      </c>
      <c r="I129">
        <v>1868750.46521378</v>
      </c>
      <c r="J129">
        <v>38.4077931127233</v>
      </c>
      <c r="K129">
        <v>286</v>
      </c>
    </row>
    <row r="130" spans="1:11">
      <c r="A130">
        <v>129</v>
      </c>
      <c r="C130">
        <v>9</v>
      </c>
      <c r="D130">
        <v>15</v>
      </c>
      <c r="E130">
        <v>5</v>
      </c>
      <c r="F130">
        <v>41804.3460080736</v>
      </c>
      <c r="G130">
        <v>27869.5640053824</v>
      </c>
      <c r="H130">
        <v>1321793.18487874</v>
      </c>
      <c r="I130">
        <v>1887990.3567772</v>
      </c>
      <c r="J130">
        <v>38.4552956837724</v>
      </c>
      <c r="K130">
        <v>287</v>
      </c>
    </row>
    <row r="131" spans="1:11">
      <c r="A131">
        <v>130</v>
      </c>
      <c r="C131">
        <v>10</v>
      </c>
      <c r="D131">
        <v>1</v>
      </c>
      <c r="E131">
        <v>5</v>
      </c>
      <c r="F131">
        <v>42066.3382590347</v>
      </c>
      <c r="G131">
        <v>28044.2255060232</v>
      </c>
      <c r="H131">
        <v>1340372.9500617</v>
      </c>
      <c r="I131">
        <v>1906977.24362305</v>
      </c>
      <c r="J131">
        <v>38.503273280532</v>
      </c>
      <c r="K131">
        <v>289</v>
      </c>
    </row>
    <row r="132" spans="1:11">
      <c r="A132">
        <v>131</v>
      </c>
      <c r="C132">
        <v>10</v>
      </c>
      <c r="D132">
        <v>2</v>
      </c>
      <c r="E132">
        <v>5</v>
      </c>
      <c r="F132">
        <v>42323.5941094731</v>
      </c>
      <c r="G132">
        <v>28215.7294063154</v>
      </c>
      <c r="H132">
        <v>1358789.29664624</v>
      </c>
      <c r="I132">
        <v>1925711.93040602</v>
      </c>
      <c r="J132">
        <v>38.5517306532592</v>
      </c>
      <c r="K132">
        <v>290</v>
      </c>
    </row>
    <row r="133" spans="1:11">
      <c r="A133">
        <v>132</v>
      </c>
      <c r="C133">
        <v>10</v>
      </c>
      <c r="D133">
        <v>3</v>
      </c>
      <c r="E133">
        <v>5</v>
      </c>
      <c r="F133">
        <v>42576.1956586563</v>
      </c>
      <c r="G133">
        <v>28384.1304391042</v>
      </c>
      <c r="H133">
        <v>1377039.3507681</v>
      </c>
      <c r="I133">
        <v>1944195.3419215</v>
      </c>
      <c r="J133">
        <v>38.6006725997136</v>
      </c>
      <c r="K133">
        <v>291</v>
      </c>
    </row>
    <row r="134" spans="1:11">
      <c r="A134">
        <v>133</v>
      </c>
      <c r="C134">
        <v>10</v>
      </c>
      <c r="D134">
        <v>4</v>
      </c>
      <c r="E134">
        <v>5</v>
      </c>
      <c r="F134">
        <v>42824.2237294723</v>
      </c>
      <c r="G134">
        <v>28549.4824863148</v>
      </c>
      <c r="H134">
        <v>1395120.44468911</v>
      </c>
      <c r="I134">
        <v>1962428.5166848</v>
      </c>
      <c r="J134">
        <v>38.6501039656326</v>
      </c>
      <c r="K134">
        <v>292</v>
      </c>
    </row>
    <row r="135" spans="1:11">
      <c r="A135">
        <v>134</v>
      </c>
      <c r="C135">
        <v>10</v>
      </c>
      <c r="D135">
        <v>5</v>
      </c>
      <c r="E135">
        <v>5</v>
      </c>
      <c r="F135">
        <v>43067.7578823594</v>
      </c>
      <c r="G135">
        <v>28711.8385882396</v>
      </c>
      <c r="H135">
        <v>1413030.11117349</v>
      </c>
      <c r="I135">
        <v>1980412.6007319</v>
      </c>
      <c r="J135">
        <v>38.7000296452108</v>
      </c>
      <c r="K135">
        <v>293</v>
      </c>
    </row>
    <row r="136" spans="1:11">
      <c r="A136">
        <v>135</v>
      </c>
      <c r="C136">
        <v>10</v>
      </c>
      <c r="D136">
        <v>6</v>
      </c>
      <c r="E136">
        <v>5</v>
      </c>
      <c r="F136">
        <v>43306.8764293446</v>
      </c>
      <c r="G136">
        <v>28871.2509528964</v>
      </c>
      <c r="H136">
        <v>1430766.07784334</v>
      </c>
      <c r="I136">
        <v>1998148.84163684</v>
      </c>
      <c r="J136">
        <v>38.7504545815848</v>
      </c>
      <c r="K136">
        <v>295</v>
      </c>
    </row>
    <row r="137" spans="1:11">
      <c r="A137">
        <v>136</v>
      </c>
      <c r="C137">
        <v>10</v>
      </c>
      <c r="D137">
        <v>7</v>
      </c>
      <c r="E137">
        <v>5</v>
      </c>
      <c r="F137">
        <v>43541.6564481727</v>
      </c>
      <c r="G137">
        <v>29027.7709654485</v>
      </c>
      <c r="H137">
        <v>1448326.26152642</v>
      </c>
      <c r="I137">
        <v>2015638.58274095</v>
      </c>
      <c r="J137">
        <v>38.8013837673225</v>
      </c>
      <c r="K137">
        <v>296</v>
      </c>
    </row>
    <row r="138" spans="1:11">
      <c r="A138">
        <v>137</v>
      </c>
      <c r="C138">
        <v>10</v>
      </c>
      <c r="D138">
        <v>8</v>
      </c>
      <c r="E138">
        <v>5</v>
      </c>
      <c r="F138">
        <v>43772.1737965146</v>
      </c>
      <c r="G138">
        <v>29181.4491976764</v>
      </c>
      <c r="H138">
        <v>1465708.76260805</v>
      </c>
      <c r="I138">
        <v>2032883.25758895</v>
      </c>
      <c r="J138">
        <v>38.8528222449176</v>
      </c>
      <c r="K138">
        <v>297</v>
      </c>
    </row>
    <row r="139" spans="1:11">
      <c r="A139">
        <v>138</v>
      </c>
      <c r="C139">
        <v>10</v>
      </c>
      <c r="D139">
        <v>9</v>
      </c>
      <c r="E139">
        <v>5</v>
      </c>
      <c r="F139">
        <v>43998.5031262381</v>
      </c>
      <c r="G139">
        <v>29332.3354174921</v>
      </c>
      <c r="H139">
        <v>1482911.85939852</v>
      </c>
      <c r="I139">
        <v>2049884.38456706</v>
      </c>
      <c r="J139">
        <v>38.9047751072887</v>
      </c>
      <c r="K139">
        <v>298</v>
      </c>
    </row>
    <row r="140" spans="1:11">
      <c r="A140">
        <v>139</v>
      </c>
      <c r="C140">
        <v>10</v>
      </c>
      <c r="D140">
        <v>10</v>
      </c>
      <c r="E140">
        <v>5</v>
      </c>
      <c r="F140">
        <v>44220.7178977305</v>
      </c>
      <c r="G140">
        <v>29480.478598487</v>
      </c>
      <c r="H140">
        <v>1499934.00252603</v>
      </c>
      <c r="I140">
        <v>2066643.56173809</v>
      </c>
      <c r="J140">
        <v>38.9572474982834</v>
      </c>
      <c r="K140">
        <v>299</v>
      </c>
    </row>
    <row r="141" spans="1:11">
      <c r="A141">
        <v>140</v>
      </c>
      <c r="C141">
        <v>10</v>
      </c>
      <c r="D141">
        <v>11</v>
      </c>
      <c r="E141">
        <v>5</v>
      </c>
      <c r="F141">
        <v>44438.8903942586</v>
      </c>
      <c r="G141">
        <v>29625.9269295057</v>
      </c>
      <c r="H141">
        <v>1516773.80936486</v>
      </c>
      <c r="I141">
        <v>2083162.46186865</v>
      </c>
      <c r="J141">
        <v>39.0102446131881</v>
      </c>
      <c r="K141">
        <v>300</v>
      </c>
    </row>
    <row r="142" spans="1:11">
      <c r="A142">
        <v>141</v>
      </c>
      <c r="C142">
        <v>10</v>
      </c>
      <c r="D142">
        <v>12</v>
      </c>
      <c r="E142">
        <v>5</v>
      </c>
      <c r="F142">
        <v>44653.0917363556</v>
      </c>
      <c r="G142">
        <v>29768.7278242371</v>
      </c>
      <c r="H142">
        <v>1533430.05850743</v>
      </c>
      <c r="I142">
        <v>2099442.82764346</v>
      </c>
      <c r="J142">
        <v>39.0637716992419</v>
      </c>
      <c r="K142">
        <v>301</v>
      </c>
    </row>
    <row r="143" spans="1:11">
      <c r="A143">
        <v>142</v>
      </c>
      <c r="C143">
        <v>10</v>
      </c>
      <c r="D143">
        <v>13</v>
      </c>
      <c r="E143">
        <v>5</v>
      </c>
      <c r="F143">
        <v>44863.3918962232</v>
      </c>
      <c r="G143">
        <v>29908.9279308155</v>
      </c>
      <c r="H143">
        <v>1549901.68428811</v>
      </c>
      <c r="I143">
        <v>2115486.46706194</v>
      </c>
      <c r="J143">
        <v>39.1178340561562</v>
      </c>
      <c r="K143">
        <v>302</v>
      </c>
    </row>
    <row r="144" spans="1:11">
      <c r="A144">
        <v>143</v>
      </c>
      <c r="C144">
        <v>10</v>
      </c>
      <c r="D144">
        <v>14</v>
      </c>
      <c r="E144">
        <v>5</v>
      </c>
      <c r="F144">
        <v>45069.8597121385</v>
      </c>
      <c r="G144">
        <v>30046.5731414257</v>
      </c>
      <c r="H144">
        <v>1566187.77136624</v>
      </c>
      <c r="I144">
        <v>2131295.24901212</v>
      </c>
      <c r="J144">
        <v>39.1724370366396</v>
      </c>
      <c r="K144">
        <v>303</v>
      </c>
    </row>
    <row r="145" spans="1:11">
      <c r="A145">
        <v>144</v>
      </c>
      <c r="C145">
        <v>10</v>
      </c>
      <c r="D145">
        <v>15</v>
      </c>
      <c r="E145">
        <v>5</v>
      </c>
      <c r="F145">
        <v>45272.562902855</v>
      </c>
      <c r="G145">
        <v>30181.7086019033</v>
      </c>
      <c r="H145">
        <v>1582287.54937495</v>
      </c>
      <c r="I145">
        <v>2146871.09901702</v>
      </c>
      <c r="J145">
        <v>39.2275860469279</v>
      </c>
      <c r="K145">
        <v>304</v>
      </c>
    </row>
    <row r="146" spans="1:11">
      <c r="A146">
        <v>145</v>
      </c>
      <c r="C146">
        <v>11</v>
      </c>
      <c r="D146">
        <v>1</v>
      </c>
      <c r="E146">
        <v>5</v>
      </c>
      <c r="F146">
        <v>45471.5680819893</v>
      </c>
      <c r="G146">
        <v>30314.3787213262</v>
      </c>
      <c r="H146">
        <v>1598200.3876416</v>
      </c>
      <c r="I146">
        <v>2162215.99514876</v>
      </c>
      <c r="J146">
        <v>39.283286547319</v>
      </c>
      <c r="K146">
        <v>305</v>
      </c>
    </row>
    <row r="147" spans="1:11">
      <c r="A147">
        <v>146</v>
      </c>
      <c r="C147">
        <v>11</v>
      </c>
      <c r="D147">
        <v>2</v>
      </c>
      <c r="E147">
        <v>5</v>
      </c>
      <c r="F147">
        <v>45666.940772384</v>
      </c>
      <c r="G147">
        <v>30444.6271815893</v>
      </c>
      <c r="H147">
        <v>1613925.7899855</v>
      </c>
      <c r="I147">
        <v>2177331.96410555</v>
      </c>
      <c r="J147">
        <v>39.3395440527141</v>
      </c>
      <c r="K147">
        <v>306</v>
      </c>
    </row>
    <row r="148" spans="1:11">
      <c r="A148">
        <v>147</v>
      </c>
      <c r="C148">
        <v>11</v>
      </c>
      <c r="D148">
        <v>3</v>
      </c>
      <c r="E148">
        <v>5</v>
      </c>
      <c r="F148">
        <v>45858.7454204379</v>
      </c>
      <c r="G148">
        <v>30572.4969469586</v>
      </c>
      <c r="H148">
        <v>1629463.38959758</v>
      </c>
      <c r="I148">
        <v>2192221.07744696</v>
      </c>
      <c r="J148">
        <v>39.3963641331631</v>
      </c>
      <c r="K148">
        <v>307</v>
      </c>
    </row>
    <row r="149" spans="1:11">
      <c r="A149">
        <v>148</v>
      </c>
      <c r="C149">
        <v>11</v>
      </c>
      <c r="D149">
        <v>4</v>
      </c>
      <c r="E149">
        <v>5</v>
      </c>
      <c r="F149">
        <v>46047.0454103959</v>
      </c>
      <c r="G149">
        <v>30698.0302735972</v>
      </c>
      <c r="H149">
        <v>1644812.94400631</v>
      </c>
      <c r="I149">
        <v>2206885.44798275</v>
      </c>
      <c r="J149">
        <v>39.4537524144166</v>
      </c>
      <c r="K149">
        <v>308</v>
      </c>
    </row>
    <row r="150" spans="1:11">
      <c r="A150">
        <v>149</v>
      </c>
      <c r="C150">
        <v>11</v>
      </c>
      <c r="D150">
        <v>5</v>
      </c>
      <c r="E150">
        <v>5</v>
      </c>
      <c r="F150">
        <v>46231.9030785916</v>
      </c>
      <c r="G150">
        <v>30821.268719061</v>
      </c>
      <c r="H150">
        <v>1659974.33013374</v>
      </c>
      <c r="I150">
        <v>2221327.22631072</v>
      </c>
      <c r="J150">
        <v>39.5117145784826</v>
      </c>
      <c r="K150">
        <v>308</v>
      </c>
    </row>
    <row r="151" spans="1:11">
      <c r="A151">
        <v>150</v>
      </c>
      <c r="C151">
        <v>11</v>
      </c>
      <c r="D151">
        <v>6</v>
      </c>
      <c r="E151">
        <v>5</v>
      </c>
      <c r="F151">
        <v>46413.3797276343</v>
      </c>
      <c r="G151">
        <v>30942.2531517562</v>
      </c>
      <c r="H151">
        <v>1674947.53944502</v>
      </c>
      <c r="I151">
        <v>2235548.59749904</v>
      </c>
      <c r="J151">
        <v>39.5702563641893</v>
      </c>
      <c r="K151">
        <v>309</v>
      </c>
    </row>
    <row r="152" spans="1:11">
      <c r="A152">
        <v>151</v>
      </c>
      <c r="C152">
        <v>11</v>
      </c>
      <c r="D152">
        <v>7</v>
      </c>
      <c r="E152">
        <v>5</v>
      </c>
      <c r="F152">
        <v>46591.5356405351</v>
      </c>
      <c r="G152">
        <v>31061.0237603568</v>
      </c>
      <c r="H152">
        <v>1689732.67319412</v>
      </c>
      <c r="I152">
        <v>2249551.77790876</v>
      </c>
      <c r="J152">
        <v>39.6293835677531</v>
      </c>
      <c r="K152">
        <v>310</v>
      </c>
    </row>
    <row r="153" spans="1:11">
      <c r="A153">
        <v>152</v>
      </c>
      <c r="C153">
        <v>11</v>
      </c>
      <c r="D153">
        <v>8</v>
      </c>
      <c r="E153">
        <v>5</v>
      </c>
      <c r="F153">
        <v>46766.4300947642</v>
      </c>
      <c r="G153">
        <v>31177.6200631762</v>
      </c>
      <c r="H153">
        <v>1704329.93776846</v>
      </c>
      <c r="I153">
        <v>2263339.01215195</v>
      </c>
      <c r="J153">
        <v>39.6891020433525</v>
      </c>
      <c r="K153">
        <v>311</v>
      </c>
    </row>
    <row r="154" spans="1:11">
      <c r="A154">
        <v>153</v>
      </c>
      <c r="C154">
        <v>11</v>
      </c>
      <c r="D154">
        <v>9</v>
      </c>
      <c r="E154">
        <v>5</v>
      </c>
      <c r="F154">
        <v>46938.1213762352</v>
      </c>
      <c r="G154">
        <v>31292.0809174901</v>
      </c>
      <c r="H154">
        <v>1718739.64013432</v>
      </c>
      <c r="I154">
        <v>2276912.57018132</v>
      </c>
      <c r="J154">
        <v>39.7494177037079</v>
      </c>
      <c r="K154">
        <v>312</v>
      </c>
    </row>
    <row r="155" spans="1:11">
      <c r="A155">
        <v>154</v>
      </c>
      <c r="C155">
        <v>11</v>
      </c>
      <c r="D155">
        <v>10</v>
      </c>
      <c r="E155">
        <v>5</v>
      </c>
      <c r="F155">
        <v>47106.6667932095</v>
      </c>
      <c r="G155">
        <v>31404.4445288063</v>
      </c>
      <c r="H155">
        <v>1732962.18338482</v>
      </c>
      <c r="I155">
        <v>2290274.74450716</v>
      </c>
      <c r="J155">
        <v>39.8103365206668</v>
      </c>
      <c r="K155">
        <v>313</v>
      </c>
    </row>
    <row r="156" spans="1:11">
      <c r="A156">
        <v>155</v>
      </c>
      <c r="C156">
        <v>11</v>
      </c>
      <c r="D156">
        <v>11</v>
      </c>
      <c r="E156">
        <v>5</v>
      </c>
      <c r="F156">
        <v>47272.1226901166</v>
      </c>
      <c r="G156">
        <v>31514.7484600778</v>
      </c>
      <c r="H156">
        <v>1746998.06239195</v>
      </c>
      <c r="I156">
        <v>2303427.84753732</v>
      </c>
      <c r="J156">
        <v>39.8718645257953</v>
      </c>
      <c r="K156">
        <v>313</v>
      </c>
    </row>
    <row r="157" spans="1:11">
      <c r="A157">
        <v>156</v>
      </c>
      <c r="C157">
        <v>11</v>
      </c>
      <c r="D157">
        <v>12</v>
      </c>
      <c r="E157">
        <v>5</v>
      </c>
      <c r="F157">
        <v>47434.544461285</v>
      </c>
      <c r="G157">
        <v>31623.0296408567</v>
      </c>
      <c r="H157">
        <v>1760847.85956354</v>
      </c>
      <c r="I157">
        <v>2316374.20903647</v>
      </c>
      <c r="J157">
        <v>39.9340078109752</v>
      </c>
      <c r="K157">
        <v>314</v>
      </c>
    </row>
    <row r="158" spans="1:11">
      <c r="A158">
        <v>157</v>
      </c>
      <c r="C158">
        <v>11</v>
      </c>
      <c r="D158">
        <v>13</v>
      </c>
      <c r="E158">
        <v>5</v>
      </c>
      <c r="F158">
        <v>47593.9865645786</v>
      </c>
      <c r="G158">
        <v>31729.3243763857</v>
      </c>
      <c r="H158">
        <v>1774512.24070599</v>
      </c>
      <c r="I158">
        <v>2329116.17370041</v>
      </c>
      <c r="J158">
        <v>39.9967725290068</v>
      </c>
      <c r="K158">
        <v>315</v>
      </c>
    </row>
    <row r="159" spans="1:11">
      <c r="A159">
        <v>158</v>
      </c>
      <c r="C159">
        <v>11</v>
      </c>
      <c r="D159">
        <v>14</v>
      </c>
      <c r="E159">
        <v>5</v>
      </c>
      <c r="F159">
        <v>47750.5025349357</v>
      </c>
      <c r="G159">
        <v>31833.6683566238</v>
      </c>
      <c r="H159">
        <v>1787991.95099335</v>
      </c>
      <c r="I159">
        <v>2341656.09884178</v>
      </c>
      <c r="J159">
        <v>40.0601648942187</v>
      </c>
      <c r="K159">
        <v>316</v>
      </c>
    </row>
    <row r="160" spans="1:11">
      <c r="A160">
        <v>159</v>
      </c>
      <c r="C160">
        <v>11</v>
      </c>
      <c r="D160">
        <v>15</v>
      </c>
      <c r="E160">
        <v>5</v>
      </c>
      <c r="F160">
        <v>47904.1449978061</v>
      </c>
      <c r="G160">
        <v>31936.0966652041</v>
      </c>
      <c r="H160">
        <v>1801287.81104281</v>
      </c>
      <c r="I160">
        <v>2353996.35218337</v>
      </c>
      <c r="J160">
        <v>40.1241911830828</v>
      </c>
      <c r="K160">
        <v>317</v>
      </c>
    </row>
    <row r="161" spans="1:11">
      <c r="A161">
        <v>160</v>
      </c>
      <c r="C161">
        <v>12</v>
      </c>
      <c r="D161">
        <v>1</v>
      </c>
      <c r="E161">
        <v>5</v>
      </c>
      <c r="F161">
        <v>48054.9656824814</v>
      </c>
      <c r="G161">
        <v>32036.6437883209</v>
      </c>
      <c r="H161">
        <v>1814400.71309673</v>
      </c>
      <c r="I161">
        <v>2366139.30975527</v>
      </c>
      <c r="J161">
        <v>40.1888577348355</v>
      </c>
      <c r="K161">
        <v>317</v>
      </c>
    </row>
    <row r="162" spans="1:11">
      <c r="A162">
        <v>161</v>
      </c>
      <c r="C162">
        <v>12</v>
      </c>
      <c r="D162">
        <v>2</v>
      </c>
      <c r="E162">
        <v>5</v>
      </c>
      <c r="F162">
        <v>48203.0154353177</v>
      </c>
      <c r="G162">
        <v>32135.3436235451</v>
      </c>
      <c r="H162">
        <v>1827331.61731096</v>
      </c>
      <c r="I162">
        <v>2378087.35389235</v>
      </c>
      <c r="J162">
        <v>40.2541709521057</v>
      </c>
      <c r="K162">
        <v>318</v>
      </c>
    </row>
    <row r="163" spans="1:11">
      <c r="A163">
        <v>162</v>
      </c>
      <c r="C163">
        <v>12</v>
      </c>
      <c r="D163">
        <v>3</v>
      </c>
      <c r="E163">
        <v>5</v>
      </c>
      <c r="F163">
        <v>48348.344232845</v>
      </c>
      <c r="G163">
        <v>32232.2294885633</v>
      </c>
      <c r="H163">
        <v>1840081.54814898</v>
      </c>
      <c r="I163">
        <v>2389842.87132859</v>
      </c>
      <c r="J163">
        <v>40.3201373015486</v>
      </c>
      <c r="K163">
        <v>319</v>
      </c>
    </row>
    <row r="164" spans="1:11">
      <c r="A164">
        <v>163</v>
      </c>
      <c r="C164">
        <v>12</v>
      </c>
      <c r="D164">
        <v>4</v>
      </c>
      <c r="E164">
        <v>5</v>
      </c>
      <c r="F164">
        <v>48491.0011947619</v>
      </c>
      <c r="G164">
        <v>32327.3341298413</v>
      </c>
      <c r="H164">
        <v>1852651.5908813</v>
      </c>
      <c r="I164">
        <v>2401408.25138477</v>
      </c>
      <c r="J164">
        <v>40.386763314486</v>
      </c>
      <c r="K164">
        <v>319</v>
      </c>
    </row>
    <row r="165" spans="1:11">
      <c r="A165">
        <v>164</v>
      </c>
      <c r="C165">
        <v>12</v>
      </c>
      <c r="D165">
        <v>5</v>
      </c>
      <c r="E165">
        <v>5</v>
      </c>
      <c r="F165">
        <v>48631.0345968134</v>
      </c>
      <c r="G165">
        <v>32420.6897312089</v>
      </c>
      <c r="H165">
        <v>1865042.88818942</v>
      </c>
      <c r="I165">
        <v>2412785.88424621</v>
      </c>
      <c r="J165">
        <v>40.4540555875527</v>
      </c>
      <c r="K165">
        <v>320</v>
      </c>
    </row>
    <row r="166" spans="1:11">
      <c r="A166">
        <v>165</v>
      </c>
      <c r="C166">
        <v>12</v>
      </c>
      <c r="D166">
        <v>6</v>
      </c>
      <c r="E166">
        <v>5</v>
      </c>
      <c r="F166">
        <v>48768.4918835468</v>
      </c>
      <c r="G166">
        <v>32512.3279223645</v>
      </c>
      <c r="H166">
        <v>1877256.63687321</v>
      </c>
      <c r="I166">
        <v>2423978.15932742</v>
      </c>
      <c r="J166">
        <v>40.5220207833501</v>
      </c>
      <c r="K166">
        <v>321</v>
      </c>
    </row>
    <row r="167" spans="1:11">
      <c r="A167">
        <v>166</v>
      </c>
      <c r="C167">
        <v>12</v>
      </c>
      <c r="D167">
        <v>7</v>
      </c>
      <c r="E167">
        <v>5</v>
      </c>
      <c r="F167">
        <v>48903.4196809472</v>
      </c>
      <c r="G167">
        <v>32602.2797872981</v>
      </c>
      <c r="H167">
        <v>1889294.08466095</v>
      </c>
      <c r="I167">
        <v>2434987.46372038</v>
      </c>
      <c r="J167">
        <v>40.5906656311055</v>
      </c>
      <c r="K167">
        <v>321</v>
      </c>
    </row>
    <row r="168" spans="1:11">
      <c r="A168">
        <v>167</v>
      </c>
      <c r="C168">
        <v>12</v>
      </c>
      <c r="D168">
        <v>8</v>
      </c>
      <c r="E168">
        <v>5</v>
      </c>
      <c r="F168">
        <v>49035.8638089473</v>
      </c>
      <c r="G168">
        <v>32690.5758726316</v>
      </c>
      <c r="H168">
        <v>1901156.52712058</v>
      </c>
      <c r="I168">
        <v>2445816.18072346</v>
      </c>
      <c r="J168">
        <v>40.6599969273384</v>
      </c>
      <c r="K168">
        <v>322</v>
      </c>
    </row>
    <row r="169" spans="1:11">
      <c r="A169">
        <v>168</v>
      </c>
      <c r="C169">
        <v>12</v>
      </c>
      <c r="D169">
        <v>9</v>
      </c>
      <c r="E169">
        <v>5</v>
      </c>
      <c r="F169">
        <v>49165.869293812</v>
      </c>
      <c r="G169">
        <v>32777.2461958747</v>
      </c>
      <c r="H169">
        <v>1912845.30467098</v>
      </c>
      <c r="I169">
        <v>2456466.688448</v>
      </c>
      <c r="J169">
        <v>40.7300215365336</v>
      </c>
      <c r="K169">
        <v>323</v>
      </c>
    </row>
    <row r="170" spans="1:11">
      <c r="A170">
        <v>169</v>
      </c>
      <c r="C170">
        <v>12</v>
      </c>
      <c r="D170">
        <v>10</v>
      </c>
      <c r="E170">
        <v>5</v>
      </c>
      <c r="F170">
        <v>49293.4803803941</v>
      </c>
      <c r="G170">
        <v>32862.3202535961</v>
      </c>
      <c r="H170">
        <v>1924361.7996919</v>
      </c>
      <c r="I170">
        <v>2466941.35849962</v>
      </c>
      <c r="J170">
        <v>40.8007463918208</v>
      </c>
      <c r="K170">
        <v>323</v>
      </c>
    </row>
    <row r="171" spans="1:11">
      <c r="A171">
        <v>170</v>
      </c>
      <c r="C171">
        <v>12</v>
      </c>
      <c r="D171">
        <v>11</v>
      </c>
      <c r="E171">
        <v>5</v>
      </c>
      <c r="F171">
        <v>49418.7405442621</v>
      </c>
      <c r="G171">
        <v>32945.8270295081</v>
      </c>
      <c r="H171">
        <v>1935707.43373094</v>
      </c>
      <c r="I171">
        <v>2477242.55473141</v>
      </c>
      <c r="J171">
        <v>40.8721784956609</v>
      </c>
      <c r="K171">
        <v>324</v>
      </c>
    </row>
    <row r="172" spans="1:11">
      <c r="A172">
        <v>171</v>
      </c>
      <c r="C172">
        <v>12</v>
      </c>
      <c r="D172">
        <v>12</v>
      </c>
      <c r="E172">
        <v>5</v>
      </c>
      <c r="F172">
        <v>49541.6925036964</v>
      </c>
      <c r="G172">
        <v>33027.7950024643</v>
      </c>
      <c r="H172">
        <v>1946883.66480611</v>
      </c>
      <c r="I172">
        <v>2487372.63206647</v>
      </c>
      <c r="J172">
        <v>40.9443249205394</v>
      </c>
      <c r="K172">
        <v>325</v>
      </c>
    </row>
    <row r="173" spans="1:11">
      <c r="A173">
        <v>172</v>
      </c>
      <c r="C173">
        <v>12</v>
      </c>
      <c r="D173">
        <v>13</v>
      </c>
      <c r="E173">
        <v>5</v>
      </c>
      <c r="F173">
        <v>49662.3782315543</v>
      </c>
      <c r="G173">
        <v>33108.2521543695</v>
      </c>
      <c r="H173">
        <v>1957891.98480228</v>
      </c>
      <c r="I173">
        <v>2497333.93538684</v>
      </c>
      <c r="J173">
        <v>41.0171928096667</v>
      </c>
      <c r="K173">
        <v>325</v>
      </c>
    </row>
    <row r="174" spans="1:11">
      <c r="A174">
        <v>173</v>
      </c>
      <c r="C174">
        <v>12</v>
      </c>
      <c r="D174">
        <v>14</v>
      </c>
      <c r="E174">
        <v>5</v>
      </c>
      <c r="F174">
        <v>49780.8389670021</v>
      </c>
      <c r="G174">
        <v>33187.2259780014</v>
      </c>
      <c r="H174">
        <v>1968733.91695975</v>
      </c>
      <c r="I174">
        <v>2507128.79848646</v>
      </c>
      <c r="J174">
        <v>41.0907893776852</v>
      </c>
      <c r="K174">
        <v>326</v>
      </c>
    </row>
    <row r="175" spans="1:11">
      <c r="A175">
        <v>174</v>
      </c>
      <c r="C175">
        <v>12</v>
      </c>
      <c r="D175">
        <v>15</v>
      </c>
      <c r="E175">
        <v>5</v>
      </c>
      <c r="F175">
        <v>49897.1152271143</v>
      </c>
      <c r="G175">
        <v>33264.7434847429</v>
      </c>
      <c r="H175">
        <v>1979411.01345334</v>
      </c>
      <c r="I175">
        <v>2516759.54308568</v>
      </c>
      <c r="J175">
        <v>41.1651219113839</v>
      </c>
      <c r="K175">
        <v>327</v>
      </c>
    </row>
    <row r="176" spans="1:11">
      <c r="A176">
        <v>175</v>
      </c>
      <c r="C176">
        <v>13</v>
      </c>
      <c r="D176">
        <v>1</v>
      </c>
      <c r="E176">
        <v>5</v>
      </c>
      <c r="F176">
        <v>50011.2468183377</v>
      </c>
      <c r="G176">
        <v>33340.8312122251</v>
      </c>
      <c r="H176">
        <v>1989924.85306</v>
      </c>
      <c r="I176">
        <v>2526228.47790471</v>
      </c>
      <c r="J176">
        <v>41.2401977704196</v>
      </c>
      <c r="K176">
        <v>327</v>
      </c>
    </row>
    <row r="177" spans="1:11">
      <c r="A177">
        <v>176</v>
      </c>
      <c r="C177">
        <v>13</v>
      </c>
      <c r="D177">
        <v>2</v>
      </c>
      <c r="E177">
        <v>5</v>
      </c>
      <c r="F177">
        <v>50123.2728478215</v>
      </c>
      <c r="G177">
        <v>33415.515231881</v>
      </c>
      <c r="H177">
        <v>2000277.0389132</v>
      </c>
      <c r="I177">
        <v>2535537.89779388</v>
      </c>
      <c r="J177">
        <v>41.3160243880457</v>
      </c>
      <c r="K177">
        <v>328</v>
      </c>
    </row>
    <row r="178" spans="1:11">
      <c r="A178">
        <v>177</v>
      </c>
      <c r="C178">
        <v>13</v>
      </c>
      <c r="D178">
        <v>3</v>
      </c>
      <c r="E178">
        <v>5</v>
      </c>
      <c r="F178">
        <v>50233.2317346116</v>
      </c>
      <c r="G178">
        <v>33488.8211564077</v>
      </c>
      <c r="H178">
        <v>2010469.19634225</v>
      </c>
      <c r="I178">
        <v>2544690.0829183</v>
      </c>
      <c r="J178">
        <v>41.392609271848</v>
      </c>
      <c r="K178">
        <v>328</v>
      </c>
    </row>
    <row r="179" spans="1:11">
      <c r="A179">
        <v>178</v>
      </c>
      <c r="C179">
        <v>13</v>
      </c>
      <c r="D179">
        <v>4</v>
      </c>
      <c r="E179">
        <v>5</v>
      </c>
      <c r="F179">
        <v>50341.16122071</v>
      </c>
      <c r="G179">
        <v>33560.77414714</v>
      </c>
      <c r="H179">
        <v>2020502.97079453</v>
      </c>
      <c r="I179">
        <v>2553687.2979948</v>
      </c>
      <c r="J179">
        <v>41.4699600044884</v>
      </c>
      <c r="K179">
        <v>329</v>
      </c>
    </row>
    <row r="180" spans="1:11">
      <c r="A180">
        <v>179</v>
      </c>
      <c r="C180">
        <v>13</v>
      </c>
      <c r="D180">
        <v>5</v>
      </c>
      <c r="E180">
        <v>5</v>
      </c>
      <c r="F180">
        <v>50447.0983819977</v>
      </c>
      <c r="G180">
        <v>33631.3989213318</v>
      </c>
      <c r="H180">
        <v>2030380.02583883</v>
      </c>
      <c r="I180">
        <v>2562531.79157892</v>
      </c>
      <c r="J180">
        <v>41.5480842444551</v>
      </c>
      <c r="K180">
        <v>329</v>
      </c>
    </row>
    <row r="181" spans="1:11">
      <c r="A181">
        <v>180</v>
      </c>
      <c r="C181">
        <v>13</v>
      </c>
      <c r="D181">
        <v>6</v>
      </c>
      <c r="E181">
        <v>5</v>
      </c>
      <c r="F181">
        <v>50551.0796390222</v>
      </c>
      <c r="G181">
        <v>33700.7197593481</v>
      </c>
      <c r="H181">
        <v>2040102.04124778</v>
      </c>
      <c r="I181">
        <v>2571225.79540005</v>
      </c>
      <c r="J181">
        <v>41.6269897268215</v>
      </c>
      <c r="K181">
        <v>330</v>
      </c>
    </row>
    <row r="182" spans="1:11">
      <c r="A182">
        <v>181</v>
      </c>
      <c r="C182">
        <v>13</v>
      </c>
      <c r="D182">
        <v>7</v>
      </c>
      <c r="E182">
        <v>5</v>
      </c>
      <c r="F182">
        <v>50653.1407676486</v>
      </c>
      <c r="G182">
        <v>33768.7605117658</v>
      </c>
      <c r="H182">
        <v>2049670.71115747</v>
      </c>
      <c r="I182">
        <v>2579771.52374254</v>
      </c>
      <c r="J182">
        <v>41.7066842640116</v>
      </c>
      <c r="K182">
        <v>331</v>
      </c>
    </row>
    <row r="183" spans="1:11">
      <c r="A183">
        <v>182</v>
      </c>
      <c r="C183">
        <v>13</v>
      </c>
      <c r="D183">
        <v>8</v>
      </c>
      <c r="E183">
        <v>5</v>
      </c>
      <c r="F183">
        <v>50753.3169095757</v>
      </c>
      <c r="G183">
        <v>33835.5446063838</v>
      </c>
      <c r="H183">
        <v>2059087.74230229</v>
      </c>
      <c r="I183">
        <v>2588171.17287103</v>
      </c>
      <c r="J183">
        <v>41.7871757465736</v>
      </c>
      <c r="K183">
        <v>331</v>
      </c>
    </row>
    <row r="184" spans="1:11">
      <c r="A184">
        <v>183</v>
      </c>
      <c r="C184">
        <v>13</v>
      </c>
      <c r="D184">
        <v>9</v>
      </c>
      <c r="E184">
        <v>5</v>
      </c>
      <c r="F184">
        <v>50851.6425827152</v>
      </c>
      <c r="G184">
        <v>33901.0950551434</v>
      </c>
      <c r="H184">
        <v>2068354.85232302</v>
      </c>
      <c r="I184">
        <v>2596426.92049795</v>
      </c>
      <c r="J184">
        <v>41.8684721439612</v>
      </c>
      <c r="K184">
        <v>332</v>
      </c>
    </row>
    <row r="185" spans="1:11">
      <c r="A185">
        <v>184</v>
      </c>
      <c r="C185">
        <v>13</v>
      </c>
      <c r="D185">
        <v>10</v>
      </c>
      <c r="E185">
        <v>5</v>
      </c>
      <c r="F185">
        <v>50948.1516914364</v>
      </c>
      <c r="G185">
        <v>33965.4344609576</v>
      </c>
      <c r="H185">
        <v>2077473.76814632</v>
      </c>
      <c r="I185">
        <v>2604540.9252916</v>
      </c>
      <c r="J185">
        <v>41.9505815053227</v>
      </c>
      <c r="K185">
        <v>332</v>
      </c>
    </row>
    <row r="186" spans="1:11">
      <c r="A186">
        <v>185</v>
      </c>
      <c r="C186">
        <v>13</v>
      </c>
      <c r="D186">
        <v>11</v>
      </c>
      <c r="E186">
        <v>5</v>
      </c>
      <c r="F186">
        <v>51042.8775366754</v>
      </c>
      <c r="G186">
        <v>34028.5850244503</v>
      </c>
      <c r="H186">
        <v>2086446.22443353</v>
      </c>
      <c r="I186">
        <v>2612515.32642286</v>
      </c>
      <c r="J186">
        <v>42.0335119602978</v>
      </c>
      <c r="K186">
        <v>333</v>
      </c>
    </row>
    <row r="187" spans="1:11">
      <c r="A187">
        <v>186</v>
      </c>
      <c r="C187">
        <v>13</v>
      </c>
      <c r="D187">
        <v>12</v>
      </c>
      <c r="E187">
        <v>5</v>
      </c>
      <c r="F187">
        <v>51135.8528259098</v>
      </c>
      <c r="G187">
        <v>34090.5685506065</v>
      </c>
      <c r="H187">
        <v>2095273.96209703</v>
      </c>
      <c r="I187">
        <v>2620352.24314901</v>
      </c>
      <c r="J187">
        <v>42.1172717198226</v>
      </c>
      <c r="K187">
        <v>333</v>
      </c>
    </row>
    <row r="188" spans="1:11">
      <c r="A188">
        <v>187</v>
      </c>
      <c r="C188">
        <v>13</v>
      </c>
      <c r="D188">
        <v>13</v>
      </c>
      <c r="E188">
        <v>5</v>
      </c>
      <c r="F188">
        <v>51227.1096829986</v>
      </c>
      <c r="G188">
        <v>34151.4064553324</v>
      </c>
      <c r="H188">
        <v>2103958.72688207</v>
      </c>
      <c r="I188">
        <v>2628053.77443296</v>
      </c>
      <c r="J188">
        <v>42.2018690769427</v>
      </c>
      <c r="K188">
        <v>334</v>
      </c>
    </row>
    <row r="189" spans="1:11">
      <c r="A189">
        <v>188</v>
      </c>
      <c r="C189">
        <v>13</v>
      </c>
      <c r="D189">
        <v>14</v>
      </c>
      <c r="E189">
        <v>5</v>
      </c>
      <c r="F189">
        <v>51316.6796578887</v>
      </c>
      <c r="G189">
        <v>34211.1197719258</v>
      </c>
      <c r="H189">
        <v>2112502.26801231</v>
      </c>
      <c r="I189">
        <v>2635621.99859631</v>
      </c>
      <c r="J189">
        <v>42.287312407634</v>
      </c>
      <c r="K189">
        <v>334</v>
      </c>
    </row>
    <row r="190" spans="1:11">
      <c r="A190">
        <v>189</v>
      </c>
      <c r="C190">
        <v>13</v>
      </c>
      <c r="D190">
        <v>15</v>
      </c>
      <c r="E190">
        <v>5</v>
      </c>
      <c r="F190">
        <v>51404.5937361886</v>
      </c>
      <c r="G190">
        <v>34269.729157459</v>
      </c>
      <c r="H190">
        <v>2120906.3368972</v>
      </c>
      <c r="I190">
        <v>2643058.9730048</v>
      </c>
      <c r="J190">
        <v>42.3736101716322</v>
      </c>
      <c r="K190">
        <v>335</v>
      </c>
    </row>
    <row r="191" spans="1:11">
      <c r="A191">
        <v>190</v>
      </c>
      <c r="C191">
        <v>14</v>
      </c>
      <c r="D191">
        <v>1</v>
      </c>
      <c r="E191">
        <v>5</v>
      </c>
      <c r="F191">
        <v>51490.882348609</v>
      </c>
      <c r="G191">
        <v>34327.2548990727</v>
      </c>
      <c r="H191">
        <v>2129172.68589918</v>
      </c>
      <c r="I191">
        <v>2650366.7337846</v>
      </c>
      <c r="J191">
        <v>42.4607709132704</v>
      </c>
      <c r="K191">
        <v>335</v>
      </c>
    </row>
    <row r="192" spans="1:11">
      <c r="A192">
        <v>191</v>
      </c>
      <c r="C192">
        <v>14</v>
      </c>
      <c r="D192">
        <v>2</v>
      </c>
      <c r="E192">
        <v>5</v>
      </c>
      <c r="F192">
        <v>51575.5753802723</v>
      </c>
      <c r="G192">
        <v>34383.7169201815</v>
      </c>
      <c r="H192">
        <v>2137303.06715915</v>
      </c>
      <c r="I192">
        <v>2657547.29556812</v>
      </c>
      <c r="J192">
        <v>42.548803262325</v>
      </c>
      <c r="K192">
        <v>336</v>
      </c>
    </row>
    <row r="193" spans="1:11">
      <c r="A193">
        <v>192</v>
      </c>
      <c r="C193">
        <v>14</v>
      </c>
      <c r="D193">
        <v>3</v>
      </c>
      <c r="E193">
        <v>5</v>
      </c>
      <c r="F193">
        <v>51658.7021798899</v>
      </c>
      <c r="G193">
        <v>34439.1347865933</v>
      </c>
      <c r="H193">
        <v>2145299.23147808</v>
      </c>
      <c r="I193">
        <v>2664602.6512679</v>
      </c>
      <c r="J193">
        <v>42.6377159348701</v>
      </c>
      <c r="K193">
        <v>336</v>
      </c>
    </row>
    <row r="194" spans="1:11">
      <c r="A194">
        <v>193</v>
      </c>
      <c r="C194">
        <v>14</v>
      </c>
      <c r="D194">
        <v>4</v>
      </c>
      <c r="E194">
        <v>5</v>
      </c>
      <c r="F194">
        <v>51740.2915688109</v>
      </c>
      <c r="G194">
        <v>34493.5277125406</v>
      </c>
      <c r="H194">
        <v>2153162.92725327</v>
      </c>
      <c r="I194">
        <v>2671534.77187738</v>
      </c>
      <c r="J194">
        <v>42.7275177341407</v>
      </c>
      <c r="K194">
        <v>337</v>
      </c>
    </row>
    <row r="195" spans="1:11">
      <c r="A195">
        <v>194</v>
      </c>
      <c r="C195">
        <v>14</v>
      </c>
      <c r="D195">
        <v>5</v>
      </c>
      <c r="E195">
        <v>5</v>
      </c>
      <c r="F195">
        <v>51820.3718499405</v>
      </c>
      <c r="G195">
        <v>34546.914566627</v>
      </c>
      <c r="H195">
        <v>2160895.89946738</v>
      </c>
      <c r="I195">
        <v>2678345.60629714</v>
      </c>
      <c r="J195">
        <v>42.818217551404</v>
      </c>
      <c r="K195">
        <v>337</v>
      </c>
    </row>
    <row r="196" spans="1:11">
      <c r="A196">
        <v>195</v>
      </c>
      <c r="C196">
        <v>14</v>
      </c>
      <c r="D196">
        <v>6</v>
      </c>
      <c r="E196">
        <v>5</v>
      </c>
      <c r="F196">
        <v>51898.9708165295</v>
      </c>
      <c r="G196">
        <v>34599.3138776864</v>
      </c>
      <c r="H196">
        <v>2168499.88872852</v>
      </c>
      <c r="I196">
        <v>2685037.08118555</v>
      </c>
      <c r="J196">
        <v>42.9098243668399</v>
      </c>
      <c r="K196">
        <v>338</v>
      </c>
    </row>
    <row r="197" spans="1:11">
      <c r="A197">
        <v>196</v>
      </c>
      <c r="C197">
        <v>14</v>
      </c>
      <c r="D197">
        <v>7</v>
      </c>
      <c r="E197">
        <v>5</v>
      </c>
      <c r="F197">
        <v>51976.1157608378</v>
      </c>
      <c r="G197">
        <v>34650.7438405585</v>
      </c>
      <c r="H197">
        <v>2175976.63035969</v>
      </c>
      <c r="I197">
        <v>2691611.10083258</v>
      </c>
      <c r="J197">
        <v>43.0023472504301</v>
      </c>
      <c r="K197">
        <v>338</v>
      </c>
    </row>
    <row r="198" spans="1:11">
      <c r="A198">
        <v>197</v>
      </c>
      <c r="C198">
        <v>14</v>
      </c>
      <c r="D198">
        <v>8</v>
      </c>
      <c r="E198">
        <v>5</v>
      </c>
      <c r="F198">
        <v>52051.8334826695</v>
      </c>
      <c r="G198">
        <v>34701.2223217797</v>
      </c>
      <c r="H198">
        <v>2183327.853536</v>
      </c>
      <c r="I198">
        <v>2698069.54705561</v>
      </c>
      <c r="J198">
        <v>43.0957953628563</v>
      </c>
      <c r="K198">
        <v>339</v>
      </c>
    </row>
    <row r="199" spans="1:11">
      <c r="A199">
        <v>198</v>
      </c>
      <c r="C199">
        <v>14</v>
      </c>
      <c r="D199">
        <v>9</v>
      </c>
      <c r="E199">
        <v>5</v>
      </c>
      <c r="F199">
        <v>52126.1502977841</v>
      </c>
      <c r="G199">
        <v>34750.7668651894</v>
      </c>
      <c r="H199">
        <v>2190555.28046801</v>
      </c>
      <c r="I199">
        <v>2704414.2791163</v>
      </c>
      <c r="J199">
        <v>43.1901779564067</v>
      </c>
      <c r="K199">
        <v>339</v>
      </c>
    </row>
    <row r="200" spans="1:11">
      <c r="A200">
        <v>199</v>
      </c>
      <c r="C200">
        <v>14</v>
      </c>
      <c r="D200">
        <v>10</v>
      </c>
      <c r="E200">
        <v>5</v>
      </c>
      <c r="F200">
        <v>52199.0920461823</v>
      </c>
      <c r="G200">
        <v>34799.3946974549</v>
      </c>
      <c r="H200">
        <v>2197660.62562954</v>
      </c>
      <c r="I200">
        <v>2710647.13365726</v>
      </c>
      <c r="J200">
        <v>43.2855043758927</v>
      </c>
      <c r="K200">
        <v>339</v>
      </c>
    </row>
    <row r="201" spans="1:11">
      <c r="A201">
        <v>200</v>
      </c>
      <c r="C201">
        <v>14</v>
      </c>
      <c r="D201">
        <v>11</v>
      </c>
      <c r="E201">
        <v>5</v>
      </c>
      <c r="F201">
        <v>52270.6841002682</v>
      </c>
      <c r="G201">
        <v>34847.1227335121</v>
      </c>
      <c r="H201">
        <v>2204645.59502853</v>
      </c>
      <c r="I201">
        <v>2716769.92465773</v>
      </c>
      <c r="J201">
        <v>43.3817840595735</v>
      </c>
      <c r="K201">
        <v>340</v>
      </c>
    </row>
    <row r="202" spans="1:11">
      <c r="A202">
        <v>201</v>
      </c>
      <c r="C202">
        <v>14</v>
      </c>
      <c r="D202">
        <v>12</v>
      </c>
      <c r="E202">
        <v>5</v>
      </c>
      <c r="F202">
        <v>52340.9513728901</v>
      </c>
      <c r="G202">
        <v>34893.9675819268</v>
      </c>
      <c r="H202">
        <v>2211511.88551925</v>
      </c>
      <c r="I202">
        <v>2722784.44340719</v>
      </c>
      <c r="J202">
        <v>43.4790265400911</v>
      </c>
      <c r="K202">
        <v>340</v>
      </c>
    </row>
    <row r="203" spans="1:11">
      <c r="A203">
        <v>202</v>
      </c>
      <c r="C203">
        <v>14</v>
      </c>
      <c r="D203">
        <v>13</v>
      </c>
      <c r="E203">
        <v>5</v>
      </c>
      <c r="F203">
        <v>52409.9183252592</v>
      </c>
      <c r="G203">
        <v>34939.9455501728</v>
      </c>
      <c r="H203">
        <v>2218261.18415459</v>
      </c>
      <c r="I203">
        <v>2728692.45849599</v>
      </c>
      <c r="J203">
        <v>43.5772414454138</v>
      </c>
      <c r="K203">
        <v>341</v>
      </c>
    </row>
    <row r="204" spans="1:11">
      <c r="A204">
        <v>203</v>
      </c>
      <c r="C204">
        <v>14</v>
      </c>
      <c r="D204">
        <v>14</v>
      </c>
      <c r="E204">
        <v>5</v>
      </c>
      <c r="F204">
        <v>52477.6089747483</v>
      </c>
      <c r="G204">
        <v>34985.0726498322</v>
      </c>
      <c r="H204">
        <v>2224895.16757679</v>
      </c>
      <c r="I204">
        <v>2734495.71582209</v>
      </c>
      <c r="J204">
        <v>43.6764384997899</v>
      </c>
      <c r="K204">
        <v>341</v>
      </c>
    </row>
    <row r="205" spans="1:11">
      <c r="A205">
        <v>204</v>
      </c>
      <c r="C205">
        <v>14</v>
      </c>
      <c r="D205">
        <v>15</v>
      </c>
      <c r="E205">
        <v>5</v>
      </c>
      <c r="F205">
        <v>52544.0469025722</v>
      </c>
      <c r="G205">
        <v>35029.3646017148</v>
      </c>
      <c r="H205">
        <v>2231415.5014453</v>
      </c>
      <c r="I205">
        <v>2740195.93861316</v>
      </c>
      <c r="J205">
        <v>43.7766275247096</v>
      </c>
      <c r="K205">
        <v>342</v>
      </c>
    </row>
    <row r="206" spans="1:11">
      <c r="A206">
        <v>205</v>
      </c>
      <c r="C206">
        <v>15</v>
      </c>
      <c r="D206">
        <v>1</v>
      </c>
      <c r="E206">
        <v>5</v>
      </c>
      <c r="F206">
        <v>52609.2552613498</v>
      </c>
      <c r="G206">
        <v>35072.8368408999</v>
      </c>
      <c r="H206">
        <v>2237823.8399004</v>
      </c>
      <c r="I206">
        <v>2745794.82746303</v>
      </c>
      <c r="J206">
        <v>43.8778184398786</v>
      </c>
      <c r="K206">
        <v>342</v>
      </c>
    </row>
    <row r="207" spans="1:11">
      <c r="A207">
        <v>206</v>
      </c>
      <c r="C207">
        <v>15</v>
      </c>
      <c r="D207">
        <v>2</v>
      </c>
      <c r="E207">
        <v>5</v>
      </c>
      <c r="F207">
        <v>52673.2567825496</v>
      </c>
      <c r="G207">
        <v>35115.5045216997</v>
      </c>
      <c r="H207">
        <v>2244121.82506112</v>
      </c>
      <c r="I207">
        <v>2751294.06038187</v>
      </c>
      <c r="J207">
        <v>43.9800212641992</v>
      </c>
      <c r="K207">
        <v>343</v>
      </c>
    </row>
    <row r="208" spans="1:11">
      <c r="A208">
        <v>207</v>
      </c>
      <c r="C208">
        <v>15</v>
      </c>
      <c r="D208">
        <v>3</v>
      </c>
      <c r="E208">
        <v>5</v>
      </c>
      <c r="F208">
        <v>52736.0737838204</v>
      </c>
      <c r="G208">
        <v>35157.3825225469</v>
      </c>
      <c r="H208">
        <v>2250311.08655635</v>
      </c>
      <c r="I208">
        <v>2756695.29285928</v>
      </c>
      <c r="J208">
        <v>44.0832461167631</v>
      </c>
      <c r="K208">
        <v>343</v>
      </c>
    </row>
    <row r="209" spans="1:11">
      <c r="A209">
        <v>208</v>
      </c>
      <c r="C209">
        <v>15</v>
      </c>
      <c r="D209">
        <v>4</v>
      </c>
      <c r="E209">
        <v>5</v>
      </c>
      <c r="F209">
        <v>52797.7281762073</v>
      </c>
      <c r="G209">
        <v>35198.4854508049</v>
      </c>
      <c r="H209">
        <v>2256393.24108759</v>
      </c>
      <c r="I209">
        <v>2762000.15793953</v>
      </c>
      <c r="J209">
        <v>44.1875032178526</v>
      </c>
      <c r="K209">
        <v>343</v>
      </c>
    </row>
    <row r="210" spans="1:11">
      <c r="A210">
        <v>209</v>
      </c>
      <c r="C210">
        <v>15</v>
      </c>
      <c r="D210">
        <v>5</v>
      </c>
      <c r="E210">
        <v>5</v>
      </c>
      <c r="F210">
        <v>52858.2414712552</v>
      </c>
      <c r="G210">
        <v>35238.8276475035</v>
      </c>
      <c r="H210">
        <v>2262369.89202246</v>
      </c>
      <c r="I210">
        <v>2767210.26630832</v>
      </c>
      <c r="J210">
        <v>44.292802889953</v>
      </c>
      <c r="K210">
        <v>344</v>
      </c>
    </row>
    <row r="211" spans="1:11">
      <c r="A211">
        <v>210</v>
      </c>
      <c r="C211">
        <v>15</v>
      </c>
      <c r="D211">
        <v>6</v>
      </c>
      <c r="E211">
        <v>5</v>
      </c>
      <c r="F211">
        <v>52917.6347880005</v>
      </c>
      <c r="G211">
        <v>35278.4231920003</v>
      </c>
      <c r="H211">
        <v>2268242.62901736</v>
      </c>
      <c r="I211">
        <v>2772327.20639026</v>
      </c>
      <c r="J211">
        <v>44.3991555587744</v>
      </c>
      <c r="K211">
        <v>344</v>
      </c>
    </row>
    <row r="212" spans="1:11">
      <c r="A212">
        <v>211</v>
      </c>
      <c r="C212">
        <v>15</v>
      </c>
      <c r="D212">
        <v>7</v>
      </c>
      <c r="E212">
        <v>5</v>
      </c>
      <c r="F212">
        <v>52975.9288598522</v>
      </c>
      <c r="G212">
        <v>35317.2859065681</v>
      </c>
      <c r="H212">
        <v>2274013.02766843</v>
      </c>
      <c r="I212">
        <v>2777352.54445664</v>
      </c>
      <c r="J212">
        <v>44.506571754284</v>
      </c>
      <c r="K212">
        <v>345</v>
      </c>
    </row>
    <row r="213" spans="1:11">
      <c r="A213">
        <v>212</v>
      </c>
      <c r="C213">
        <v>15</v>
      </c>
      <c r="D213">
        <v>8</v>
      </c>
      <c r="E213">
        <v>5</v>
      </c>
      <c r="F213">
        <v>53033.1440413649</v>
      </c>
      <c r="G213">
        <v>35355.4293609099</v>
      </c>
      <c r="H213">
        <v>2279682.64918956</v>
      </c>
      <c r="I213">
        <v>2782287.82474268</v>
      </c>
      <c r="J213">
        <v>44.6150621117487</v>
      </c>
      <c r="K213">
        <v>345</v>
      </c>
    </row>
    <row r="214" spans="1:11">
      <c r="A214">
        <v>213</v>
      </c>
      <c r="C214">
        <v>15</v>
      </c>
      <c r="D214">
        <v>9</v>
      </c>
      <c r="E214">
        <v>5</v>
      </c>
      <c r="F214">
        <v>53089.3003149023</v>
      </c>
      <c r="G214">
        <v>35392.8668766015</v>
      </c>
      <c r="H214">
        <v>2285253.04011625</v>
      </c>
      <c r="I214">
        <v>2787134.5695737</v>
      </c>
      <c r="J214">
        <v>44.7246373727881</v>
      </c>
      <c r="K214">
        <v>346</v>
      </c>
    </row>
    <row r="215" spans="1:11">
      <c r="A215">
        <v>214</v>
      </c>
      <c r="C215">
        <v>15</v>
      </c>
      <c r="D215">
        <v>10</v>
      </c>
      <c r="E215">
        <v>5</v>
      </c>
      <c r="F215">
        <v>53144.4172971957</v>
      </c>
      <c r="G215">
        <v>35429.6115314638</v>
      </c>
      <c r="H215">
        <v>2290725.73203439</v>
      </c>
      <c r="I215">
        <v>2791894.2794998</v>
      </c>
      <c r="J215">
        <v>44.8353083864378</v>
      </c>
      <c r="K215">
        <v>346</v>
      </c>
    </row>
    <row r="216" spans="1:11">
      <c r="A216">
        <v>215</v>
      </c>
      <c r="C216">
        <v>15</v>
      </c>
      <c r="D216">
        <v>11</v>
      </c>
      <c r="E216">
        <v>5</v>
      </c>
      <c r="F216">
        <v>53198.5142457962</v>
      </c>
      <c r="G216">
        <v>35465.6761638641</v>
      </c>
      <c r="H216">
        <v>2296102.2413329</v>
      </c>
      <c r="I216">
        <v>2796568.43343827</v>
      </c>
      <c r="J216">
        <v>44.9470861102241</v>
      </c>
      <c r="K216">
        <v>346</v>
      </c>
    </row>
    <row r="217" spans="1:11">
      <c r="A217">
        <v>216</v>
      </c>
      <c r="C217">
        <v>15</v>
      </c>
      <c r="D217">
        <v>12</v>
      </c>
      <c r="E217">
        <v>5</v>
      </c>
      <c r="F217">
        <v>53251.6100654234</v>
      </c>
      <c r="G217">
        <v>35501.073376949</v>
      </c>
      <c r="H217">
        <v>2301384.06897909</v>
      </c>
      <c r="I217">
        <v>2801158.48882341</v>
      </c>
      <c r="J217">
        <v>45.0599816112482</v>
      </c>
      <c r="K217">
        <v>347</v>
      </c>
    </row>
    <row r="218" spans="1:11">
      <c r="A218">
        <v>217</v>
      </c>
      <c r="C218">
        <v>15</v>
      </c>
      <c r="D218">
        <v>13</v>
      </c>
      <c r="E218">
        <v>5</v>
      </c>
      <c r="F218">
        <v>53303.7233142114</v>
      </c>
      <c r="G218">
        <v>35535.8155428076</v>
      </c>
      <c r="H218">
        <v>2306572.70031593</v>
      </c>
      <c r="I218">
        <v>2805665.88176318</v>
      </c>
      <c r="J218">
        <v>45.1740060672825</v>
      </c>
      <c r="K218">
        <v>347</v>
      </c>
    </row>
    <row r="219" spans="1:11">
      <c r="A219">
        <v>218</v>
      </c>
      <c r="C219">
        <v>15</v>
      </c>
      <c r="D219">
        <v>14</v>
      </c>
      <c r="E219">
        <v>5</v>
      </c>
      <c r="F219">
        <v>53354.8722098525</v>
      </c>
      <c r="G219">
        <v>35569.9148065683</v>
      </c>
      <c r="H219">
        <v>2311669.60488019</v>
      </c>
      <c r="I219">
        <v>2810092.02720214</v>
      </c>
      <c r="J219">
        <v>45.2891707678772</v>
      </c>
      <c r="K219">
        <v>348</v>
      </c>
    </row>
    <row r="220" spans="1:11">
      <c r="A220">
        <v>219</v>
      </c>
      <c r="C220">
        <v>15</v>
      </c>
      <c r="D220">
        <v>15</v>
      </c>
      <c r="E220">
        <v>5</v>
      </c>
      <c r="F220">
        <v>53405.0746356423</v>
      </c>
      <c r="G220">
        <v>35603.3830904282</v>
      </c>
      <c r="H220">
        <v>2316676.23624057</v>
      </c>
      <c r="I220">
        <v>2814438.31909041</v>
      </c>
      <c r="J220">
        <v>45.4054871154779</v>
      </c>
      <c r="K220">
        <v>348</v>
      </c>
    </row>
    <row r="221" spans="1:11">
      <c r="A221">
        <v>220</v>
      </c>
      <c r="C221">
        <v>16</v>
      </c>
      <c r="D221">
        <v>1</v>
      </c>
      <c r="E221">
        <v>5</v>
      </c>
      <c r="F221">
        <v>53454.3481464245</v>
      </c>
      <c r="G221">
        <v>35636.2320976163</v>
      </c>
      <c r="H221">
        <v>2321594.03185484</v>
      </c>
      <c r="I221">
        <v>2818706.13055797</v>
      </c>
      <c r="J221">
        <v>45.5229666265545</v>
      </c>
      <c r="K221">
        <v>348</v>
      </c>
    </row>
    <row r="222" spans="1:11">
      <c r="A222">
        <v>221</v>
      </c>
      <c r="C222">
        <v>16</v>
      </c>
      <c r="D222">
        <v>2</v>
      </c>
      <c r="E222">
        <v>5</v>
      </c>
      <c r="F222">
        <v>53502.7099744387</v>
      </c>
      <c r="G222">
        <v>35668.4733162925</v>
      </c>
      <c r="H222">
        <v>2326424.41294534</v>
      </c>
      <c r="I222">
        <v>2822896.81409415</v>
      </c>
      <c r="J222">
        <v>45.6416209327419</v>
      </c>
      <c r="K222">
        <v>349</v>
      </c>
    </row>
    <row r="223" spans="1:11">
      <c r="A223">
        <v>222</v>
      </c>
      <c r="C223">
        <v>16</v>
      </c>
      <c r="D223">
        <v>3</v>
      </c>
      <c r="E223">
        <v>5</v>
      </c>
      <c r="F223">
        <v>53550.177035072</v>
      </c>
      <c r="G223">
        <v>35700.1180233813</v>
      </c>
      <c r="H223">
        <v>2331168.78439176</v>
      </c>
      <c r="I223">
        <v>2827011.70173168</v>
      </c>
      <c r="J223">
        <v>45.7614617819912</v>
      </c>
      <c r="K223">
        <v>349</v>
      </c>
    </row>
    <row r="224" spans="1:11">
      <c r="A224">
        <v>223</v>
      </c>
      <c r="C224">
        <v>16</v>
      </c>
      <c r="D224">
        <v>4</v>
      </c>
      <c r="E224">
        <v>5</v>
      </c>
      <c r="F224">
        <v>53596.7659325152</v>
      </c>
      <c r="G224">
        <v>35731.1772883435</v>
      </c>
      <c r="H224">
        <v>2335828.53464055</v>
      </c>
      <c r="I224">
        <v>2831052.10523504</v>
      </c>
      <c r="J224">
        <v>45.882501039733</v>
      </c>
      <c r="K224">
        <v>350</v>
      </c>
    </row>
    <row r="225" spans="1:11">
      <c r="A225">
        <v>224</v>
      </c>
      <c r="C225">
        <v>16</v>
      </c>
      <c r="D225">
        <v>5</v>
      </c>
      <c r="E225">
        <v>5</v>
      </c>
      <c r="F225">
        <v>53642.4929653258</v>
      </c>
      <c r="G225">
        <v>35761.6619768839</v>
      </c>
      <c r="H225">
        <v>2340405.03563019</v>
      </c>
      <c r="I225">
        <v>2835019.31629278</v>
      </c>
      <c r="J225">
        <v>46.0047506900522</v>
      </c>
      <c r="K225">
        <v>350</v>
      </c>
    </row>
    <row r="226" spans="1:11">
      <c r="A226">
        <v>225</v>
      </c>
      <c r="C226">
        <v>16</v>
      </c>
      <c r="D226">
        <v>6</v>
      </c>
      <c r="E226">
        <v>5</v>
      </c>
      <c r="F226">
        <v>53687.3741318978</v>
      </c>
      <c r="G226">
        <v>35791.5827545985</v>
      </c>
      <c r="H226">
        <v>2344899.64273148</v>
      </c>
      <c r="I226">
        <v>2838914.60671332</v>
      </c>
      <c r="J226">
        <v>46.1282228368746</v>
      </c>
      <c r="K226">
        <v>350</v>
      </c>
    </row>
    <row r="227" spans="1:11">
      <c r="A227">
        <v>226</v>
      </c>
      <c r="C227">
        <v>16</v>
      </c>
      <c r="D227">
        <v>7</v>
      </c>
      <c r="E227">
        <v>5</v>
      </c>
      <c r="F227">
        <v>53731.4251358406</v>
      </c>
      <c r="G227">
        <v>35820.9500905604</v>
      </c>
      <c r="H227">
        <v>2349313.69470218</v>
      </c>
      <c r="I227">
        <v>2842739.22862406</v>
      </c>
      <c r="J227">
        <v>46.2529297051652</v>
      </c>
      <c r="K227">
        <v>351</v>
      </c>
    </row>
    <row r="228" spans="1:11">
      <c r="A228">
        <v>227</v>
      </c>
      <c r="C228">
        <v>16</v>
      </c>
      <c r="D228">
        <v>8</v>
      </c>
      <c r="E228">
        <v>5</v>
      </c>
      <c r="F228">
        <v>53774.661391268</v>
      </c>
      <c r="G228">
        <v>35849.7742608454</v>
      </c>
      <c r="H228">
        <v>2353648.51365536</v>
      </c>
      <c r="I228">
        <v>2846494.41467343</v>
      </c>
      <c r="J228">
        <v>46.3788836421387</v>
      </c>
      <c r="K228">
        <v>351</v>
      </c>
    </row>
    <row r="229" spans="1:11">
      <c r="A229">
        <v>228</v>
      </c>
      <c r="C229">
        <v>16</v>
      </c>
      <c r="D229">
        <v>9</v>
      </c>
      <c r="E229">
        <v>5</v>
      </c>
      <c r="F229">
        <v>53817.0980279988</v>
      </c>
      <c r="G229">
        <v>35878.0653519992</v>
      </c>
      <c r="H229">
        <v>2357905.40504064</v>
      </c>
      <c r="I229">
        <v>2850181.37823547</v>
      </c>
      <c r="J229">
        <v>46.506097118482</v>
      </c>
      <c r="K229">
        <v>352</v>
      </c>
    </row>
    <row r="230" spans="1:11">
      <c r="A230">
        <v>229</v>
      </c>
      <c r="C230">
        <v>16</v>
      </c>
      <c r="D230">
        <v>10</v>
      </c>
      <c r="E230">
        <v>5</v>
      </c>
      <c r="F230">
        <v>53858.7498966686</v>
      </c>
      <c r="G230">
        <v>35905.8332644457</v>
      </c>
      <c r="H230">
        <v>2362085.65763781</v>
      </c>
      <c r="I230">
        <v>2853801.31361689</v>
      </c>
      <c r="J230">
        <v>46.6345827295887</v>
      </c>
      <c r="K230">
        <v>352</v>
      </c>
    </row>
    <row r="231" spans="1:11">
      <c r="A231">
        <v>230</v>
      </c>
      <c r="C231">
        <v>16</v>
      </c>
      <c r="D231">
        <v>11</v>
      </c>
      <c r="E231">
        <v>5</v>
      </c>
      <c r="F231">
        <v>53899.631573757</v>
      </c>
      <c r="G231">
        <v>35933.087715838</v>
      </c>
      <c r="H231">
        <v>2366190.54356217</v>
      </c>
      <c r="I231">
        <v>2857355.39626608</v>
      </c>
      <c r="J231">
        <v>46.7643531968064</v>
      </c>
      <c r="K231">
        <v>352</v>
      </c>
    </row>
    <row r="232" spans="1:11">
      <c r="A232">
        <v>231</v>
      </c>
      <c r="C232">
        <v>16</v>
      </c>
      <c r="D232">
        <v>12</v>
      </c>
      <c r="E232">
        <v>5</v>
      </c>
      <c r="F232">
        <v>53939.7573665291</v>
      </c>
      <c r="G232">
        <v>35959.8382443527</v>
      </c>
      <c r="H232">
        <v>2370221.31828089</v>
      </c>
      <c r="I232">
        <v>2860844.782984</v>
      </c>
      <c r="J232">
        <v>46.8954213686964</v>
      </c>
      <c r="K232">
        <v>353</v>
      </c>
    </row>
    <row r="233" spans="1:11">
      <c r="A233">
        <v>232</v>
      </c>
      <c r="C233">
        <v>16</v>
      </c>
      <c r="D233">
        <v>13</v>
      </c>
      <c r="E233">
        <v>5</v>
      </c>
      <c r="F233">
        <v>53979.1413178923</v>
      </c>
      <c r="G233">
        <v>35986.0942119282</v>
      </c>
      <c r="H233">
        <v>2374179.22063998</v>
      </c>
      <c r="I233">
        <v>2864270.6121366</v>
      </c>
      <c r="J233">
        <v>47.0278002223052</v>
      </c>
      <c r="K233">
        <v>353</v>
      </c>
    </row>
    <row r="234" spans="1:11">
      <c r="A234">
        <v>233</v>
      </c>
      <c r="C234">
        <v>16</v>
      </c>
      <c r="D234">
        <v>14</v>
      </c>
      <c r="E234">
        <v>5</v>
      </c>
      <c r="F234">
        <v>54017.7972111723</v>
      </c>
      <c r="G234">
        <v>36011.8648074482</v>
      </c>
      <c r="H234">
        <v>2378065.47290114</v>
      </c>
      <c r="I234">
        <v>2867634.00386861</v>
      </c>
      <c r="J234">
        <v>47.1615028644501</v>
      </c>
      <c r="K234">
        <v>353</v>
      </c>
    </row>
    <row r="235" spans="1:11">
      <c r="A235">
        <v>234</v>
      </c>
      <c r="C235">
        <v>16</v>
      </c>
      <c r="D235">
        <v>15</v>
      </c>
      <c r="E235">
        <v>5</v>
      </c>
      <c r="F235">
        <v>54055.738574806</v>
      </c>
      <c r="G235">
        <v>36037.1590498707</v>
      </c>
      <c r="H235">
        <v>2381881.28078808</v>
      </c>
      <c r="I235">
        <v>2870936.0603184</v>
      </c>
      <c r="J235">
        <v>47.2965425330165</v>
      </c>
      <c r="K235">
        <v>354</v>
      </c>
    </row>
    <row r="236" spans="1:11">
      <c r="A236">
        <v>235</v>
      </c>
      <c r="C236">
        <v>17</v>
      </c>
      <c r="D236">
        <v>1</v>
      </c>
      <c r="E236">
        <v>5</v>
      </c>
      <c r="F236">
        <v>54092.9786869557</v>
      </c>
      <c r="G236">
        <v>36061.9857913038</v>
      </c>
      <c r="H236">
        <v>2385627.83354173</v>
      </c>
      <c r="I236">
        <v>2874177.86583375</v>
      </c>
      <c r="J236">
        <v>47.4329325982685</v>
      </c>
      <c r="K236">
        <v>354</v>
      </c>
    </row>
    <row r="237" spans="1:11">
      <c r="A237">
        <v>236</v>
      </c>
      <c r="C237">
        <v>17</v>
      </c>
      <c r="D237">
        <v>2</v>
      </c>
      <c r="E237">
        <v>5</v>
      </c>
      <c r="F237">
        <v>54129.5305800426</v>
      </c>
      <c r="G237">
        <v>36086.3537200284</v>
      </c>
      <c r="H237">
        <v>2389306.30398383</v>
      </c>
      <c r="I237">
        <v>2877360.48718834</v>
      </c>
      <c r="J237">
        <v>47.5706865641731</v>
      </c>
      <c r="K237">
        <v>355</v>
      </c>
    </row>
    <row r="238" spans="1:11">
      <c r="A238">
        <v>237</v>
      </c>
      <c r="C238">
        <v>17</v>
      </c>
      <c r="D238">
        <v>3</v>
      </c>
      <c r="E238">
        <v>5</v>
      </c>
      <c r="F238">
        <v>54165.4070452043</v>
      </c>
      <c r="G238">
        <v>36110.2713634695</v>
      </c>
      <c r="H238">
        <v>2392917.84858846</v>
      </c>
      <c r="I238">
        <v>2880484.9737987</v>
      </c>
      <c r="J238">
        <v>47.7098180697367</v>
      </c>
      <c r="K238">
        <v>355</v>
      </c>
    </row>
    <row r="239" spans="1:11">
      <c r="A239">
        <v>238</v>
      </c>
      <c r="C239">
        <v>17</v>
      </c>
      <c r="D239">
        <v>4</v>
      </c>
      <c r="E239">
        <v>5</v>
      </c>
      <c r="F239">
        <v>54200.6206366741</v>
      </c>
      <c r="G239">
        <v>36133.747091116</v>
      </c>
      <c r="H239">
        <v>2396463.60756103</v>
      </c>
      <c r="I239">
        <v>2883552.35794155</v>
      </c>
      <c r="J239">
        <v>47.8503408903559</v>
      </c>
      <c r="K239">
        <v>355</v>
      </c>
    </row>
    <row r="240" spans="1:11">
      <c r="A240">
        <v>239</v>
      </c>
      <c r="C240">
        <v>17</v>
      </c>
      <c r="D240">
        <v>5</v>
      </c>
      <c r="E240">
        <v>5</v>
      </c>
      <c r="F240">
        <v>54235.1836760856</v>
      </c>
      <c r="G240">
        <v>36156.7891173904</v>
      </c>
      <c r="H240">
        <v>2399944.70492432</v>
      </c>
      <c r="I240">
        <v>2886563.65497123</v>
      </c>
      <c r="J240">
        <v>47.9922689391813</v>
      </c>
      <c r="K240">
        <v>356</v>
      </c>
    </row>
    <row r="241" spans="1:11">
      <c r="A241">
        <v>240</v>
      </c>
      <c r="C241">
        <v>17</v>
      </c>
      <c r="D241">
        <v>6</v>
      </c>
      <c r="E241">
        <v>5</v>
      </c>
      <c r="F241">
        <v>54269.108256703</v>
      </c>
      <c r="G241">
        <v>36179.4055044687</v>
      </c>
      <c r="H241">
        <v>2403362.24861103</v>
      </c>
      <c r="I241">
        <v>2889519.86353716</v>
      </c>
      <c r="J241">
        <v>48.135616268495</v>
      </c>
      <c r="K241">
        <v>356</v>
      </c>
    </row>
    <row r="242" spans="1:11">
      <c r="A242">
        <v>241</v>
      </c>
      <c r="C242">
        <v>17</v>
      </c>
      <c r="D242">
        <v>7</v>
      </c>
      <c r="E242">
        <v>5</v>
      </c>
      <c r="F242">
        <v>54302.4062475774</v>
      </c>
      <c r="G242">
        <v>36201.6041650516</v>
      </c>
      <c r="H242">
        <v>2406717.33056261</v>
      </c>
      <c r="I242">
        <v>2892421.96580114</v>
      </c>
      <c r="J242">
        <v>48.2803970711018</v>
      </c>
      <c r="K242">
        <v>356</v>
      </c>
    </row>
    <row r="243" spans="1:11">
      <c r="A243">
        <v>242</v>
      </c>
      <c r="C243">
        <v>17</v>
      </c>
      <c r="D243">
        <v>8</v>
      </c>
      <c r="E243">
        <v>5</v>
      </c>
      <c r="F243">
        <v>54335.0892976315</v>
      </c>
      <c r="G243">
        <v>36223.3928650877</v>
      </c>
      <c r="H243">
        <v>2410011.02683381</v>
      </c>
      <c r="I243">
        <v>2895270.92765436</v>
      </c>
      <c r="J243">
        <v>48.4266256817347</v>
      </c>
      <c r="K243">
        <v>357</v>
      </c>
    </row>
    <row r="244" spans="1:11">
      <c r="A244">
        <v>243</v>
      </c>
      <c r="C244">
        <v>17</v>
      </c>
      <c r="D244">
        <v>9</v>
      </c>
      <c r="E244">
        <v>5</v>
      </c>
      <c r="F244">
        <v>54367.1688396737</v>
      </c>
      <c r="G244">
        <v>36244.7792264491</v>
      </c>
      <c r="H244">
        <v>2413244.39770273</v>
      </c>
      <c r="I244">
        <v>2898067.69893393</v>
      </c>
      <c r="J244">
        <v>48.5743165784739</v>
      </c>
      <c r="K244">
        <v>357</v>
      </c>
    </row>
    <row r="245" spans="1:11">
      <c r="A245">
        <v>244</v>
      </c>
      <c r="C245">
        <v>17</v>
      </c>
      <c r="D245">
        <v>10</v>
      </c>
      <c r="E245">
        <v>5</v>
      </c>
      <c r="F245">
        <v>54398.6560943412</v>
      </c>
      <c r="G245">
        <v>36265.7707295608</v>
      </c>
      <c r="H245">
        <v>2416418.48778584</v>
      </c>
      <c r="I245">
        <v>2900813.21363885</v>
      </c>
      <c r="J245">
        <v>48.7234843841805</v>
      </c>
      <c r="K245">
        <v>358</v>
      </c>
    </row>
    <row r="246" spans="1:11">
      <c r="A246">
        <v>245</v>
      </c>
      <c r="C246">
        <v>17</v>
      </c>
      <c r="D246">
        <v>11</v>
      </c>
      <c r="E246">
        <v>5</v>
      </c>
      <c r="F246">
        <v>54429.5620739752</v>
      </c>
      <c r="G246">
        <v>36286.3747159835</v>
      </c>
      <c r="H246">
        <v>2419534.32615777</v>
      </c>
      <c r="I246">
        <v>2903508.39014534</v>
      </c>
      <c r="J246">
        <v>48.8741438679442</v>
      </c>
      <c r="K246">
        <v>358</v>
      </c>
    </row>
    <row r="247" spans="1:11">
      <c r="A247">
        <v>246</v>
      </c>
      <c r="C247">
        <v>17</v>
      </c>
      <c r="D247">
        <v>12</v>
      </c>
      <c r="E247">
        <v>5</v>
      </c>
      <c r="F247">
        <v>54459.8975864279</v>
      </c>
      <c r="G247">
        <v>36306.5983909519</v>
      </c>
      <c r="H247">
        <v>2422592.92647547</v>
      </c>
      <c r="I247">
        <v>2906154.13142132</v>
      </c>
      <c r="J247">
        <v>49.0263099465455</v>
      </c>
      <c r="K247">
        <v>358</v>
      </c>
    </row>
    <row r="248" spans="1:11">
      <c r="A248">
        <v>247</v>
      </c>
      <c r="C248">
        <v>17</v>
      </c>
      <c r="D248">
        <v>13</v>
      </c>
      <c r="E248">
        <v>5</v>
      </c>
      <c r="F248">
        <v>54489.673238803</v>
      </c>
      <c r="G248">
        <v>36326.4488258686</v>
      </c>
      <c r="H248">
        <v>2425595.2871064</v>
      </c>
      <c r="I248">
        <v>2908751.32523996</v>
      </c>
      <c r="J248">
        <v>49.1799976859328</v>
      </c>
      <c r="K248">
        <v>359</v>
      </c>
    </row>
    <row r="249" spans="1:11">
      <c r="A249">
        <v>248</v>
      </c>
      <c r="C249">
        <v>17</v>
      </c>
      <c r="D249">
        <v>14</v>
      </c>
      <c r="E249">
        <v>5</v>
      </c>
      <c r="F249">
        <v>54518.8994411302</v>
      </c>
      <c r="G249">
        <v>36345.9329607535</v>
      </c>
      <c r="H249">
        <v>2428542.39126053</v>
      </c>
      <c r="I249">
        <v>2911300.84439226</v>
      </c>
      <c r="J249">
        <v>49.335222302714</v>
      </c>
      <c r="K249">
        <v>359</v>
      </c>
    </row>
    <row r="250" spans="1:11">
      <c r="A250">
        <v>249</v>
      </c>
      <c r="C250">
        <v>17</v>
      </c>
      <c r="D250">
        <v>15</v>
      </c>
      <c r="E250">
        <v>5</v>
      </c>
      <c r="F250">
        <v>54547.5864099757</v>
      </c>
      <c r="G250">
        <v>36365.0576066505</v>
      </c>
      <c r="H250">
        <v>2431435.2071258</v>
      </c>
      <c r="I250">
        <v>2913803.54689852</v>
      </c>
      <c r="J250">
        <v>49.491999165663</v>
      </c>
      <c r="K250">
        <v>359</v>
      </c>
    </row>
    <row r="251" spans="1:11">
      <c r="A251">
        <v>250</v>
      </c>
      <c r="C251">
        <v>18</v>
      </c>
      <c r="D251">
        <v>1</v>
      </c>
      <c r="E251">
        <v>5</v>
      </c>
      <c r="F251">
        <v>54575.7441719884</v>
      </c>
      <c r="G251">
        <v>36383.8294479923</v>
      </c>
      <c r="H251">
        <v>2434274.68800673</v>
      </c>
      <c r="I251">
        <v>2916260.27621858</v>
      </c>
      <c r="J251">
        <v>49.6503437972415</v>
      </c>
      <c r="K251">
        <v>360</v>
      </c>
    </row>
    <row r="252" spans="1:11">
      <c r="A252">
        <v>251</v>
      </c>
      <c r="C252">
        <v>18</v>
      </c>
      <c r="D252">
        <v>2</v>
      </c>
      <c r="E252">
        <v>5</v>
      </c>
      <c r="F252">
        <v>54603.3825673844</v>
      </c>
      <c r="G252">
        <v>36402.255044923</v>
      </c>
      <c r="H252">
        <v>2437061.77246603</v>
      </c>
      <c r="I252">
        <v>2918671.8614608</v>
      </c>
      <c r="J252">
        <v>49.8102718751358</v>
      </c>
      <c r="K252">
        <v>360</v>
      </c>
    </row>
    <row r="253" spans="1:11">
      <c r="A253">
        <v>252</v>
      </c>
      <c r="C253">
        <v>18</v>
      </c>
      <c r="D253">
        <v>3</v>
      </c>
      <c r="E253">
        <v>5</v>
      </c>
      <c r="F253">
        <v>54630.5112533689</v>
      </c>
      <c r="G253">
        <v>36420.3408355793</v>
      </c>
      <c r="H253">
        <v>2439797.38446879</v>
      </c>
      <c r="I253">
        <v>2921039.11758967</v>
      </c>
      <c r="J253">
        <v>49.9717992338091</v>
      </c>
      <c r="K253">
        <v>361</v>
      </c>
    </row>
    <row r="254" spans="1:11">
      <c r="A254">
        <v>253</v>
      </c>
      <c r="C254">
        <v>18</v>
      </c>
      <c r="D254">
        <v>4</v>
      </c>
      <c r="E254">
        <v>5</v>
      </c>
      <c r="F254">
        <v>54657.1397074985</v>
      </c>
      <c r="G254">
        <v>36438.0931383323</v>
      </c>
      <c r="H254">
        <v>2442482.43352917</v>
      </c>
      <c r="I254">
        <v>2923362.84563203</v>
      </c>
      <c r="J254">
        <v>50.134941866069</v>
      </c>
      <c r="K254">
        <v>361</v>
      </c>
    </row>
    <row r="255" spans="1:11">
      <c r="A255">
        <v>254</v>
      </c>
      <c r="C255">
        <v>18</v>
      </c>
      <c r="D255">
        <v>5</v>
      </c>
      <c r="E255">
        <v>5</v>
      </c>
      <c r="F255">
        <v>54683.277230983</v>
      </c>
      <c r="G255">
        <v>36455.5181539887</v>
      </c>
      <c r="H255">
        <v>2445117.8148593</v>
      </c>
      <c r="I255">
        <v>2925643.83288171</v>
      </c>
      <c r="J255">
        <v>50.2997159246516</v>
      </c>
      <c r="K255">
        <v>361</v>
      </c>
    </row>
    <row r="256" spans="1:11">
      <c r="A256">
        <v>255</v>
      </c>
      <c r="C256">
        <v>18</v>
      </c>
      <c r="D256">
        <v>6</v>
      </c>
      <c r="E256">
        <v>5</v>
      </c>
      <c r="F256">
        <v>54708.9329519299</v>
      </c>
      <c r="G256">
        <v>36472.6219679533</v>
      </c>
      <c r="H256">
        <v>2447704.40952005</v>
      </c>
      <c r="I256">
        <v>2927882.85310272</v>
      </c>
      <c r="J256">
        <v>50.46613772382</v>
      </c>
      <c r="K256">
        <v>362</v>
      </c>
    </row>
    <row r="257" spans="1:11">
      <c r="A257">
        <v>256</v>
      </c>
      <c r="C257">
        <v>18</v>
      </c>
      <c r="D257">
        <v>7</v>
      </c>
      <c r="E257">
        <v>5</v>
      </c>
      <c r="F257">
        <v>54734.1158285294</v>
      </c>
      <c r="G257">
        <v>36489.4105523529</v>
      </c>
      <c r="H257">
        <v>2450243.08457371</v>
      </c>
      <c r="I257">
        <v>2930080.66673069</v>
      </c>
      <c r="J257">
        <v>50.63422374098</v>
      </c>
      <c r="K257">
        <v>362</v>
      </c>
    </row>
    <row r="258" spans="1:11">
      <c r="A258">
        <v>257</v>
      </c>
      <c r="C258">
        <v>18</v>
      </c>
      <c r="D258">
        <v>8</v>
      </c>
      <c r="E258">
        <v>5</v>
      </c>
      <c r="F258">
        <v>54758.8346521844</v>
      </c>
      <c r="G258">
        <v>36505.8897681229</v>
      </c>
      <c r="H258">
        <v>2452734.69323813</v>
      </c>
      <c r="I258">
        <v>2932238.02107277</v>
      </c>
      <c r="J258">
        <v>50.8039906183117</v>
      </c>
      <c r="K258">
        <v>363</v>
      </c>
    </row>
    <row r="259" spans="1:11">
      <c r="A259">
        <v>258</v>
      </c>
      <c r="C259">
        <v>18</v>
      </c>
      <c r="D259">
        <v>9</v>
      </c>
      <c r="E259">
        <v>5</v>
      </c>
      <c r="F259">
        <v>54783.0980505837</v>
      </c>
      <c r="G259">
        <v>36522.0653670558</v>
      </c>
      <c r="H259">
        <v>2455180.07504225</v>
      </c>
      <c r="I259">
        <v>2934355.65050569</v>
      </c>
      <c r="J259">
        <v>50.9754551644167</v>
      </c>
      <c r="K259">
        <v>363</v>
      </c>
    </row>
    <row r="260" spans="1:11">
      <c r="A260">
        <v>259</v>
      </c>
      <c r="C260">
        <v>18</v>
      </c>
      <c r="D260">
        <v>10</v>
      </c>
      <c r="E260">
        <v>5</v>
      </c>
      <c r="F260">
        <v>54806.9144907206</v>
      </c>
      <c r="G260">
        <v>36537.9429938137</v>
      </c>
      <c r="H260">
        <v>2457580.05598287</v>
      </c>
      <c r="I260">
        <v>2936434.27667212</v>
      </c>
      <c r="J260">
        <v>51.1486343559827</v>
      </c>
      <c r="K260">
        <v>363</v>
      </c>
    </row>
    <row r="261" spans="1:11">
      <c r="A261">
        <v>260</v>
      </c>
      <c r="C261">
        <v>18</v>
      </c>
      <c r="D261">
        <v>11</v>
      </c>
      <c r="E261">
        <v>5</v>
      </c>
      <c r="F261">
        <v>54830.2922818576</v>
      </c>
      <c r="G261">
        <v>36553.5281879051</v>
      </c>
      <c r="H261">
        <v>2459935.44868238</v>
      </c>
      <c r="I261">
        <v>2938474.60867523</v>
      </c>
      <c r="J261">
        <v>51.3235453394644</v>
      </c>
      <c r="K261">
        <v>364</v>
      </c>
    </row>
    <row r="262" spans="1:11">
      <c r="A262">
        <v>261</v>
      </c>
      <c r="C262">
        <v>18</v>
      </c>
      <c r="D262">
        <v>12</v>
      </c>
      <c r="E262">
        <v>5</v>
      </c>
      <c r="F262">
        <v>54853.2395784378</v>
      </c>
      <c r="G262">
        <v>36568.8263856252</v>
      </c>
      <c r="H262">
        <v>2462247.05254735</v>
      </c>
      <c r="I262">
        <v>2940477.3432713</v>
      </c>
      <c r="J262">
        <v>51.5002054327809</v>
      </c>
      <c r="K262">
        <v>364</v>
      </c>
    </row>
    <row r="263" spans="1:11">
      <c r="A263">
        <v>262</v>
      </c>
      <c r="C263">
        <v>18</v>
      </c>
      <c r="D263">
        <v>13</v>
      </c>
      <c r="E263">
        <v>5</v>
      </c>
      <c r="F263">
        <v>54875.7643829446</v>
      </c>
      <c r="G263">
        <v>36583.8429219631</v>
      </c>
      <c r="H263">
        <v>2464515.65392785</v>
      </c>
      <c r="I263">
        <v>2942443.16506058</v>
      </c>
      <c r="J263">
        <v>51.6786321270306</v>
      </c>
      <c r="K263">
        <v>364</v>
      </c>
    </row>
    <row r="264" spans="1:11">
      <c r="A264">
        <v>263</v>
      </c>
      <c r="C264">
        <v>18</v>
      </c>
      <c r="D264">
        <v>14</v>
      </c>
      <c r="E264">
        <v>5</v>
      </c>
      <c r="F264">
        <v>54897.8745487093</v>
      </c>
      <c r="G264">
        <v>36598.5830324729</v>
      </c>
      <c r="H264">
        <v>2466742.02627729</v>
      </c>
      <c r="I264">
        <v>2944372.74667614</v>
      </c>
      <c r="J264">
        <v>51.8588430882228</v>
      </c>
      <c r="K264">
        <v>365</v>
      </c>
    </row>
    <row r="265" spans="1:11">
      <c r="A265">
        <v>264</v>
      </c>
      <c r="C265">
        <v>18</v>
      </c>
      <c r="D265">
        <v>15</v>
      </c>
      <c r="E265">
        <v>5</v>
      </c>
      <c r="F265">
        <v>54919.577782669</v>
      </c>
      <c r="G265">
        <v>36613.0518551127</v>
      </c>
      <c r="H265">
        <v>2468926.93031262</v>
      </c>
      <c r="I265">
        <v>2946266.74897081</v>
      </c>
      <c r="J265">
        <v>52.0408561590269</v>
      </c>
      <c r="K265">
        <v>365</v>
      </c>
    </row>
    <row r="266" spans="1:11">
      <c r="A266">
        <v>265</v>
      </c>
      <c r="C266">
        <v>19</v>
      </c>
      <c r="D266">
        <v>1</v>
      </c>
      <c r="E266">
        <v>5</v>
      </c>
      <c r="F266">
        <v>54940.8816480744</v>
      </c>
      <c r="G266">
        <v>36627.2544320496</v>
      </c>
      <c r="H266">
        <v>2471071.11417487</v>
      </c>
      <c r="I266">
        <v>2948125.82120211</v>
      </c>
      <c r="J266">
        <v>52.224689360539</v>
      </c>
      <c r="K266">
        <v>366</v>
      </c>
    </row>
    <row r="267" spans="1:11">
      <c r="A267">
        <v>266</v>
      </c>
      <c r="C267">
        <v>19</v>
      </c>
      <c r="D267">
        <v>2</v>
      </c>
      <c r="E267">
        <v>5</v>
      </c>
      <c r="F267">
        <v>54961.793567149</v>
      </c>
      <c r="G267">
        <v>36641.1957114327</v>
      </c>
      <c r="H267">
        <v>2473175.31358981</v>
      </c>
      <c r="I267">
        <v>2949950.60121526</v>
      </c>
      <c r="J267">
        <v>52.4103608940663</v>
      </c>
      <c r="K267">
        <v>366</v>
      </c>
    </row>
    <row r="268" spans="1:11">
      <c r="A268">
        <v>267</v>
      </c>
      <c r="C268">
        <v>19</v>
      </c>
      <c r="D268">
        <v>3</v>
      </c>
      <c r="E268">
        <v>5</v>
      </c>
      <c r="F268">
        <v>54982.3208237005</v>
      </c>
      <c r="G268">
        <v>36654.8805491337</v>
      </c>
      <c r="H268">
        <v>2475240.25202858</v>
      </c>
      <c r="I268">
        <v>2951741.7156241</v>
      </c>
      <c r="J268">
        <v>52.5978891429288</v>
      </c>
      <c r="K268">
        <v>366</v>
      </c>
    </row>
    <row r="269" spans="1:11">
      <c r="A269">
        <v>268</v>
      </c>
      <c r="C269">
        <v>19</v>
      </c>
      <c r="D269">
        <v>4</v>
      </c>
      <c r="E269">
        <v>5</v>
      </c>
      <c r="F269">
        <v>55002.4705656844</v>
      </c>
      <c r="G269">
        <v>36668.3137104563</v>
      </c>
      <c r="H269">
        <v>2477266.64086827</v>
      </c>
      <c r="I269">
        <v>2953499.77999</v>
      </c>
      <c r="J269">
        <v>52.78729267428</v>
      </c>
      <c r="K269">
        <v>367</v>
      </c>
    </row>
    <row r="270" spans="1:11">
      <c r="A270">
        <v>269</v>
      </c>
      <c r="C270">
        <v>19</v>
      </c>
      <c r="D270">
        <v>5</v>
      </c>
      <c r="E270">
        <v>5</v>
      </c>
      <c r="F270">
        <v>55022.2498077223</v>
      </c>
      <c r="G270">
        <v>36681.4998718149</v>
      </c>
      <c r="H270">
        <v>2479255.1795523</v>
      </c>
      <c r="I270">
        <v>2955225.39899877</v>
      </c>
      <c r="J270">
        <v>52.9785902409446</v>
      </c>
      <c r="K270">
        <v>367</v>
      </c>
    </row>
    <row r="271" spans="1:11">
      <c r="A271">
        <v>270</v>
      </c>
      <c r="C271">
        <v>19</v>
      </c>
      <c r="D271">
        <v>6</v>
      </c>
      <c r="E271">
        <v>5</v>
      </c>
      <c r="F271">
        <v>55041.6654335736</v>
      </c>
      <c r="G271">
        <v>36694.4436223824</v>
      </c>
      <c r="H271">
        <v>2481206.55575047</v>
      </c>
      <c r="I271">
        <v>2956919.16663543</v>
      </c>
      <c r="J271">
        <v>53.1718007832759</v>
      </c>
      <c r="K271">
        <v>368</v>
      </c>
    </row>
    <row r="272" spans="1:11">
      <c r="A272">
        <v>271</v>
      </c>
      <c r="C272">
        <v>19</v>
      </c>
      <c r="D272">
        <v>7</v>
      </c>
      <c r="E272">
        <v>5</v>
      </c>
      <c r="F272">
        <v>55060.7241985629</v>
      </c>
      <c r="G272">
        <v>36707.1494657086</v>
      </c>
      <c r="H272">
        <v>2483121.44551859</v>
      </c>
      <c r="I272">
        <v>2958581.66635695</v>
      </c>
      <c r="J272">
        <v>53.3669434310306</v>
      </c>
      <c r="K272">
        <v>368</v>
      </c>
    </row>
    <row r="273" spans="1:11">
      <c r="A273">
        <v>272</v>
      </c>
      <c r="C273">
        <v>19</v>
      </c>
      <c r="D273">
        <v>8</v>
      </c>
      <c r="E273">
        <v>5</v>
      </c>
      <c r="F273">
        <v>55079.4327319638</v>
      </c>
      <c r="G273">
        <v>36719.6218213092</v>
      </c>
      <c r="H273">
        <v>2485000.51345767</v>
      </c>
      <c r="I273">
        <v>2960213.47126293</v>
      </c>
      <c r="J273">
        <v>53.5640375052627</v>
      </c>
      <c r="K273">
        <v>368</v>
      </c>
    </row>
    <row r="274" spans="1:11">
      <c r="A274">
        <v>273</v>
      </c>
      <c r="C274">
        <v>19</v>
      </c>
      <c r="D274">
        <v>9</v>
      </c>
      <c r="E274">
        <v>5</v>
      </c>
      <c r="F274">
        <v>55097.7975393383</v>
      </c>
      <c r="G274">
        <v>36731.8650262256</v>
      </c>
      <c r="H274">
        <v>2486844.41287251</v>
      </c>
      <c r="I274">
        <v>2961815.14426414</v>
      </c>
      <c r="J274">
        <v>53.7631025202372</v>
      </c>
      <c r="K274">
        <v>369</v>
      </c>
    </row>
    <row r="275" spans="1:11">
      <c r="A275">
        <v>274</v>
      </c>
      <c r="C275">
        <v>19</v>
      </c>
      <c r="D275">
        <v>10</v>
      </c>
      <c r="E275">
        <v>5</v>
      </c>
      <c r="F275">
        <v>55115.8250048351</v>
      </c>
      <c r="G275">
        <v>36743.8833365567</v>
      </c>
      <c r="H275">
        <v>2488653.78592954</v>
      </c>
      <c r="I275">
        <v>2963387.23824904</v>
      </c>
      <c r="J275">
        <v>53.9641581853615</v>
      </c>
      <c r="K275">
        <v>369</v>
      </c>
    </row>
    <row r="276" spans="1:11">
      <c r="A276">
        <v>275</v>
      </c>
      <c r="C276">
        <v>19</v>
      </c>
      <c r="D276">
        <v>11</v>
      </c>
      <c r="E276">
        <v>5</v>
      </c>
      <c r="F276">
        <v>55133.5213934445</v>
      </c>
      <c r="G276">
        <v>36755.680928963</v>
      </c>
      <c r="H276">
        <v>2490429.2638141</v>
      </c>
      <c r="I276">
        <v>2964930.29624809</v>
      </c>
      <c r="J276">
        <v>54.167224407137</v>
      </c>
      <c r="K276">
        <v>370</v>
      </c>
    </row>
    <row r="277" spans="1:11">
      <c r="A277">
        <v>276</v>
      </c>
      <c r="C277">
        <v>19</v>
      </c>
      <c r="D277">
        <v>12</v>
      </c>
      <c r="E277">
        <v>5</v>
      </c>
      <c r="F277">
        <v>55150.892853214</v>
      </c>
      <c r="G277">
        <v>36767.2619021427</v>
      </c>
      <c r="H277">
        <v>2492171.46688672</v>
      </c>
      <c r="I277">
        <v>2966444.85159611</v>
      </c>
      <c r="J277">
        <v>54.3723212911302</v>
      </c>
      <c r="K277">
        <v>370</v>
      </c>
    </row>
    <row r="278" spans="1:11">
      <c r="A278">
        <v>277</v>
      </c>
      <c r="C278">
        <v>19</v>
      </c>
      <c r="D278">
        <v>13</v>
      </c>
      <c r="E278">
        <v>5</v>
      </c>
      <c r="F278">
        <v>55167.9454174221</v>
      </c>
      <c r="G278">
        <v>36778.6302782814</v>
      </c>
      <c r="H278">
        <v>2493881.00483866</v>
      </c>
      <c r="I278">
        <v>2967931.42809244</v>
      </c>
      <c r="J278">
        <v>54.5794691439634</v>
      </c>
      <c r="K278">
        <v>370</v>
      </c>
    </row>
    <row r="279" spans="1:11">
      <c r="A279">
        <v>278</v>
      </c>
      <c r="C279">
        <v>19</v>
      </c>
      <c r="D279">
        <v>14</v>
      </c>
      <c r="E279">
        <v>5</v>
      </c>
      <c r="F279">
        <v>55184.685006713</v>
      </c>
      <c r="G279">
        <v>36789.7900044754</v>
      </c>
      <c r="H279">
        <v>2495558.47684643</v>
      </c>
      <c r="I279">
        <v>2969390.54015901</v>
      </c>
      <c r="J279">
        <v>54.7886884753249</v>
      </c>
      <c r="K279">
        <v>371</v>
      </c>
    </row>
    <row r="280" spans="1:11">
      <c r="A280">
        <v>279</v>
      </c>
      <c r="C280">
        <v>19</v>
      </c>
      <c r="D280">
        <v>15</v>
      </c>
      <c r="E280">
        <v>5</v>
      </c>
      <c r="F280">
        <v>55201.1174311927</v>
      </c>
      <c r="G280">
        <v>36800.7449541284</v>
      </c>
      <c r="H280">
        <v>2497204.47172539</v>
      </c>
      <c r="I280">
        <v>2970822.69299639</v>
      </c>
      <c r="J280">
        <v>55</v>
      </c>
      <c r="K280">
        <v>371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50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5"/>
  <sheetData>
    <row r="1" ht="15" customHeight="1" spans="1:6">
      <c r="A1" s="1" t="s">
        <v>1126</v>
      </c>
      <c r="B1" s="1" t="s">
        <v>125</v>
      </c>
      <c r="C1" s="1" t="s">
        <v>121</v>
      </c>
      <c r="D1" s="1" t="s">
        <v>1127</v>
      </c>
      <c r="E1" s="1" t="s">
        <v>1128</v>
      </c>
      <c r="F1" s="1" t="s">
        <v>1129</v>
      </c>
    </row>
    <row r="2" spans="1:6">
      <c r="A2" t="s">
        <v>1130</v>
      </c>
      <c r="B2">
        <v>1</v>
      </c>
      <c r="C2" t="s">
        <v>149</v>
      </c>
      <c r="D2">
        <v>95</v>
      </c>
      <c r="E2">
        <v>32</v>
      </c>
      <c r="F2">
        <v>71</v>
      </c>
    </row>
    <row r="3" spans="1:6">
      <c r="A3" t="s">
        <v>1131</v>
      </c>
      <c r="B3">
        <v>1</v>
      </c>
      <c r="C3" t="s">
        <v>1132</v>
      </c>
      <c r="D3">
        <v>285</v>
      </c>
      <c r="E3">
        <v>32</v>
      </c>
      <c r="F3">
        <v>71</v>
      </c>
    </row>
    <row r="4" spans="1:6">
      <c r="A4" t="s">
        <v>1133</v>
      </c>
      <c r="B4">
        <v>1</v>
      </c>
      <c r="C4" t="s">
        <v>1134</v>
      </c>
      <c r="D4">
        <v>171</v>
      </c>
      <c r="E4">
        <v>32</v>
      </c>
      <c r="F4">
        <v>71</v>
      </c>
    </row>
    <row r="5" spans="1:6">
      <c r="A5" t="s">
        <v>1135</v>
      </c>
      <c r="B5">
        <v>1</v>
      </c>
      <c r="C5" t="s">
        <v>1136</v>
      </c>
      <c r="D5">
        <v>48</v>
      </c>
      <c r="E5">
        <v>32</v>
      </c>
      <c r="F5">
        <v>71</v>
      </c>
    </row>
    <row r="6" spans="1:6">
      <c r="A6" t="s">
        <v>1137</v>
      </c>
      <c r="B6">
        <v>1</v>
      </c>
      <c r="C6" t="s">
        <v>1138</v>
      </c>
      <c r="D6">
        <v>15</v>
      </c>
      <c r="E6">
        <v>32</v>
      </c>
      <c r="F6">
        <v>71</v>
      </c>
    </row>
    <row r="7" spans="1:6">
      <c r="A7" t="s">
        <v>1139</v>
      </c>
      <c r="B7">
        <v>1</v>
      </c>
      <c r="C7" t="s">
        <v>738</v>
      </c>
      <c r="D7">
        <v>380</v>
      </c>
      <c r="E7">
        <v>32</v>
      </c>
      <c r="F7">
        <v>71</v>
      </c>
    </row>
    <row r="8" spans="1:6">
      <c r="A8" t="s">
        <v>1140</v>
      </c>
      <c r="B8">
        <v>1</v>
      </c>
      <c r="C8" t="s">
        <v>1141</v>
      </c>
      <c r="D8">
        <v>855</v>
      </c>
      <c r="E8">
        <v>32</v>
      </c>
      <c r="F8">
        <v>71</v>
      </c>
    </row>
    <row r="9" spans="1:6">
      <c r="A9" t="s">
        <v>1142</v>
      </c>
      <c r="B9">
        <v>1</v>
      </c>
      <c r="C9" t="s">
        <v>159</v>
      </c>
      <c r="D9">
        <v>10578</v>
      </c>
      <c r="E9">
        <v>32</v>
      </c>
      <c r="F9">
        <v>71</v>
      </c>
    </row>
    <row r="10" spans="1:6">
      <c r="A10" t="s">
        <v>1143</v>
      </c>
      <c r="B10">
        <v>1</v>
      </c>
      <c r="C10" t="s">
        <v>642</v>
      </c>
      <c r="D10">
        <v>5289</v>
      </c>
      <c r="E10">
        <v>32</v>
      </c>
      <c r="F10">
        <v>71</v>
      </c>
    </row>
    <row r="11" spans="1:6">
      <c r="A11" t="s">
        <v>1144</v>
      </c>
      <c r="B11">
        <v>2</v>
      </c>
      <c r="C11" t="s">
        <v>149</v>
      </c>
      <c r="D11">
        <v>196</v>
      </c>
      <c r="E11">
        <v>64</v>
      </c>
      <c r="F11">
        <v>142</v>
      </c>
    </row>
    <row r="12" spans="1:6">
      <c r="A12" t="s">
        <v>1145</v>
      </c>
      <c r="B12">
        <v>2</v>
      </c>
      <c r="C12" t="s">
        <v>1132</v>
      </c>
      <c r="D12">
        <v>588</v>
      </c>
      <c r="E12">
        <v>64</v>
      </c>
      <c r="F12">
        <v>142</v>
      </c>
    </row>
    <row r="13" spans="1:6">
      <c r="A13" t="s">
        <v>1146</v>
      </c>
      <c r="B13">
        <v>2</v>
      </c>
      <c r="C13" t="s">
        <v>1134</v>
      </c>
      <c r="D13">
        <v>353</v>
      </c>
      <c r="E13">
        <v>64</v>
      </c>
      <c r="F13">
        <v>142</v>
      </c>
    </row>
    <row r="14" spans="1:6">
      <c r="A14" t="s">
        <v>1147</v>
      </c>
      <c r="B14">
        <v>2</v>
      </c>
      <c r="C14" t="s">
        <v>1136</v>
      </c>
      <c r="D14">
        <v>98</v>
      </c>
      <c r="E14">
        <v>64</v>
      </c>
      <c r="F14">
        <v>142</v>
      </c>
    </row>
    <row r="15" spans="1:6">
      <c r="A15" t="s">
        <v>1148</v>
      </c>
      <c r="B15">
        <v>2</v>
      </c>
      <c r="C15" t="s">
        <v>1138</v>
      </c>
      <c r="D15">
        <v>30</v>
      </c>
      <c r="E15">
        <v>64</v>
      </c>
      <c r="F15">
        <v>142</v>
      </c>
    </row>
    <row r="16" spans="1:6">
      <c r="A16" t="s">
        <v>1149</v>
      </c>
      <c r="B16">
        <v>2</v>
      </c>
      <c r="C16" t="s">
        <v>738</v>
      </c>
      <c r="D16">
        <v>784</v>
      </c>
      <c r="E16">
        <v>64</v>
      </c>
      <c r="F16">
        <v>142</v>
      </c>
    </row>
    <row r="17" spans="1:6">
      <c r="A17" t="s">
        <v>1150</v>
      </c>
      <c r="B17">
        <v>2</v>
      </c>
      <c r="C17" t="s">
        <v>1141</v>
      </c>
      <c r="D17">
        <v>1764</v>
      </c>
      <c r="E17">
        <v>64</v>
      </c>
      <c r="F17">
        <v>142</v>
      </c>
    </row>
    <row r="18" spans="1:6">
      <c r="A18" t="s">
        <v>1151</v>
      </c>
      <c r="B18">
        <v>2</v>
      </c>
      <c r="C18" t="s">
        <v>159</v>
      </c>
      <c r="D18">
        <v>21469</v>
      </c>
      <c r="E18">
        <v>64</v>
      </c>
      <c r="F18">
        <v>142</v>
      </c>
    </row>
    <row r="19" spans="1:6">
      <c r="A19" t="s">
        <v>1152</v>
      </c>
      <c r="B19">
        <v>2</v>
      </c>
      <c r="C19" t="s">
        <v>642</v>
      </c>
      <c r="D19">
        <v>10735</v>
      </c>
      <c r="E19">
        <v>64</v>
      </c>
      <c r="F19">
        <v>142</v>
      </c>
    </row>
    <row r="20" spans="1:6">
      <c r="A20" t="s">
        <v>1153</v>
      </c>
      <c r="B20">
        <v>3</v>
      </c>
      <c r="C20" t="s">
        <v>149</v>
      </c>
      <c r="D20">
        <v>303</v>
      </c>
      <c r="E20">
        <v>97</v>
      </c>
      <c r="F20">
        <v>213</v>
      </c>
    </row>
    <row r="21" spans="1:6">
      <c r="A21" t="s">
        <v>1154</v>
      </c>
      <c r="B21">
        <v>3</v>
      </c>
      <c r="C21" t="s">
        <v>1132</v>
      </c>
      <c r="D21">
        <v>909</v>
      </c>
      <c r="E21">
        <v>97</v>
      </c>
      <c r="F21">
        <v>213</v>
      </c>
    </row>
    <row r="22" spans="1:6">
      <c r="A22" t="s">
        <v>1155</v>
      </c>
      <c r="B22">
        <v>3</v>
      </c>
      <c r="C22" t="s">
        <v>1134</v>
      </c>
      <c r="D22">
        <v>546</v>
      </c>
      <c r="E22">
        <v>97</v>
      </c>
      <c r="F22">
        <v>213</v>
      </c>
    </row>
    <row r="23" spans="1:6">
      <c r="A23" t="s">
        <v>1156</v>
      </c>
      <c r="B23">
        <v>3</v>
      </c>
      <c r="C23" t="s">
        <v>1136</v>
      </c>
      <c r="D23">
        <v>152</v>
      </c>
      <c r="E23">
        <v>97</v>
      </c>
      <c r="F23">
        <v>213</v>
      </c>
    </row>
    <row r="24" spans="1:6">
      <c r="A24" t="s">
        <v>1157</v>
      </c>
      <c r="B24">
        <v>3</v>
      </c>
      <c r="C24" t="s">
        <v>1138</v>
      </c>
      <c r="D24">
        <v>46</v>
      </c>
      <c r="E24">
        <v>97</v>
      </c>
      <c r="F24">
        <v>213</v>
      </c>
    </row>
    <row r="25" spans="1:6">
      <c r="A25" t="s">
        <v>1158</v>
      </c>
      <c r="B25">
        <v>3</v>
      </c>
      <c r="C25" t="s">
        <v>738</v>
      </c>
      <c r="D25">
        <v>1212</v>
      </c>
      <c r="E25">
        <v>97</v>
      </c>
      <c r="F25">
        <v>213</v>
      </c>
    </row>
    <row r="26" spans="1:6">
      <c r="A26" t="s">
        <v>1159</v>
      </c>
      <c r="B26">
        <v>3</v>
      </c>
      <c r="C26" t="s">
        <v>1141</v>
      </c>
      <c r="D26">
        <v>2727</v>
      </c>
      <c r="E26">
        <v>97</v>
      </c>
      <c r="F26">
        <v>213</v>
      </c>
    </row>
    <row r="27" spans="1:6">
      <c r="A27" t="s">
        <v>1160</v>
      </c>
      <c r="B27">
        <v>3</v>
      </c>
      <c r="C27" t="s">
        <v>159</v>
      </c>
      <c r="D27">
        <v>32524</v>
      </c>
      <c r="E27">
        <v>97</v>
      </c>
      <c r="F27">
        <v>213</v>
      </c>
    </row>
    <row r="28" spans="1:6">
      <c r="A28" t="s">
        <v>1161</v>
      </c>
      <c r="B28">
        <v>3</v>
      </c>
      <c r="C28" t="s">
        <v>642</v>
      </c>
      <c r="D28">
        <v>16262</v>
      </c>
      <c r="E28">
        <v>97</v>
      </c>
      <c r="F28">
        <v>213</v>
      </c>
    </row>
    <row r="29" spans="1:6">
      <c r="A29" t="s">
        <v>1162</v>
      </c>
      <c r="B29">
        <v>4</v>
      </c>
      <c r="C29" t="s">
        <v>149</v>
      </c>
      <c r="D29">
        <v>414</v>
      </c>
      <c r="E29">
        <v>131</v>
      </c>
      <c r="F29">
        <v>285</v>
      </c>
    </row>
    <row r="30" spans="1:6">
      <c r="A30" t="s">
        <v>1163</v>
      </c>
      <c r="B30">
        <v>4</v>
      </c>
      <c r="C30" t="s">
        <v>1132</v>
      </c>
      <c r="D30">
        <v>1242</v>
      </c>
      <c r="E30">
        <v>131</v>
      </c>
      <c r="F30">
        <v>285</v>
      </c>
    </row>
    <row r="31" spans="1:6">
      <c r="A31" t="s">
        <v>1164</v>
      </c>
      <c r="B31">
        <v>4</v>
      </c>
      <c r="C31" t="s">
        <v>1134</v>
      </c>
      <c r="D31">
        <v>746</v>
      </c>
      <c r="E31">
        <v>131</v>
      </c>
      <c r="F31">
        <v>285</v>
      </c>
    </row>
    <row r="32" spans="1:6">
      <c r="A32" t="s">
        <v>1165</v>
      </c>
      <c r="B32">
        <v>4</v>
      </c>
      <c r="C32" t="s">
        <v>1136</v>
      </c>
      <c r="D32">
        <v>207</v>
      </c>
      <c r="E32">
        <v>131</v>
      </c>
      <c r="F32">
        <v>285</v>
      </c>
    </row>
    <row r="33" spans="1:6">
      <c r="A33" t="s">
        <v>1166</v>
      </c>
      <c r="B33">
        <v>4</v>
      </c>
      <c r="C33" t="s">
        <v>1138</v>
      </c>
      <c r="D33">
        <v>63</v>
      </c>
      <c r="E33">
        <v>131</v>
      </c>
      <c r="F33">
        <v>285</v>
      </c>
    </row>
    <row r="34" spans="1:6">
      <c r="A34" t="s">
        <v>1167</v>
      </c>
      <c r="B34">
        <v>4</v>
      </c>
      <c r="C34" t="s">
        <v>738</v>
      </c>
      <c r="D34">
        <v>1656</v>
      </c>
      <c r="E34">
        <v>131</v>
      </c>
      <c r="F34">
        <v>285</v>
      </c>
    </row>
    <row r="35" spans="1:6">
      <c r="A35" t="s">
        <v>1168</v>
      </c>
      <c r="B35">
        <v>4</v>
      </c>
      <c r="C35" t="s">
        <v>1141</v>
      </c>
      <c r="D35">
        <v>3726</v>
      </c>
      <c r="E35">
        <v>131</v>
      </c>
      <c r="F35">
        <v>285</v>
      </c>
    </row>
    <row r="36" spans="1:6">
      <c r="A36" t="s">
        <v>1169</v>
      </c>
      <c r="B36">
        <v>4</v>
      </c>
      <c r="C36" t="s">
        <v>159</v>
      </c>
      <c r="D36">
        <v>43731</v>
      </c>
      <c r="E36">
        <v>131</v>
      </c>
      <c r="F36">
        <v>285</v>
      </c>
    </row>
    <row r="37" spans="1:6">
      <c r="A37" t="s">
        <v>1170</v>
      </c>
      <c r="B37">
        <v>4</v>
      </c>
      <c r="C37" t="s">
        <v>642</v>
      </c>
      <c r="D37">
        <v>21866</v>
      </c>
      <c r="E37">
        <v>131</v>
      </c>
      <c r="F37">
        <v>285</v>
      </c>
    </row>
    <row r="38" spans="1:6">
      <c r="A38" t="s">
        <v>1171</v>
      </c>
      <c r="B38">
        <v>5</v>
      </c>
      <c r="C38" t="s">
        <v>149</v>
      </c>
      <c r="D38">
        <v>531</v>
      </c>
      <c r="E38">
        <v>165</v>
      </c>
      <c r="F38">
        <v>356</v>
      </c>
    </row>
    <row r="39" spans="1:6">
      <c r="A39" t="s">
        <v>1172</v>
      </c>
      <c r="B39">
        <v>5</v>
      </c>
      <c r="C39" t="s">
        <v>1132</v>
      </c>
      <c r="D39">
        <v>1593</v>
      </c>
      <c r="E39">
        <v>165</v>
      </c>
      <c r="F39">
        <v>356</v>
      </c>
    </row>
    <row r="40" spans="1:6">
      <c r="A40" t="s">
        <v>1173</v>
      </c>
      <c r="B40">
        <v>5</v>
      </c>
      <c r="C40" t="s">
        <v>1134</v>
      </c>
      <c r="D40">
        <v>956</v>
      </c>
      <c r="E40">
        <v>165</v>
      </c>
      <c r="F40">
        <v>356</v>
      </c>
    </row>
    <row r="41" spans="1:6">
      <c r="A41" t="s">
        <v>1174</v>
      </c>
      <c r="B41">
        <v>5</v>
      </c>
      <c r="C41" t="s">
        <v>1136</v>
      </c>
      <c r="D41">
        <v>266</v>
      </c>
      <c r="E41">
        <v>165</v>
      </c>
      <c r="F41">
        <v>356</v>
      </c>
    </row>
    <row r="42" spans="1:6">
      <c r="A42" t="s">
        <v>1175</v>
      </c>
      <c r="B42">
        <v>5</v>
      </c>
      <c r="C42" t="s">
        <v>1138</v>
      </c>
      <c r="D42">
        <v>80</v>
      </c>
      <c r="E42">
        <v>165</v>
      </c>
      <c r="F42">
        <v>356</v>
      </c>
    </row>
    <row r="43" spans="1:6">
      <c r="A43" t="s">
        <v>1176</v>
      </c>
      <c r="B43">
        <v>5</v>
      </c>
      <c r="C43" t="s">
        <v>738</v>
      </c>
      <c r="D43">
        <v>2124</v>
      </c>
      <c r="E43">
        <v>165</v>
      </c>
      <c r="F43">
        <v>356</v>
      </c>
    </row>
    <row r="44" spans="1:6">
      <c r="A44" t="s">
        <v>1177</v>
      </c>
      <c r="B44">
        <v>5</v>
      </c>
      <c r="C44" t="s">
        <v>1141</v>
      </c>
      <c r="D44">
        <v>4779</v>
      </c>
      <c r="E44">
        <v>165</v>
      </c>
      <c r="F44">
        <v>356</v>
      </c>
    </row>
    <row r="45" spans="1:6">
      <c r="A45" t="s">
        <v>1178</v>
      </c>
      <c r="B45">
        <v>5</v>
      </c>
      <c r="C45" t="s">
        <v>159</v>
      </c>
      <c r="D45">
        <v>55195</v>
      </c>
      <c r="E45">
        <v>165</v>
      </c>
      <c r="F45">
        <v>356</v>
      </c>
    </row>
    <row r="46" spans="1:6">
      <c r="A46" t="s">
        <v>1179</v>
      </c>
      <c r="B46">
        <v>5</v>
      </c>
      <c r="C46" t="s">
        <v>642</v>
      </c>
      <c r="D46">
        <v>27598</v>
      </c>
      <c r="E46">
        <v>165</v>
      </c>
      <c r="F46">
        <v>356</v>
      </c>
    </row>
    <row r="47" spans="1:6">
      <c r="A47" t="s">
        <v>1180</v>
      </c>
      <c r="B47">
        <v>6</v>
      </c>
      <c r="C47" t="s">
        <v>149</v>
      </c>
      <c r="D47">
        <v>654</v>
      </c>
      <c r="E47">
        <v>200</v>
      </c>
      <c r="F47">
        <v>428</v>
      </c>
    </row>
    <row r="48" spans="1:6">
      <c r="A48" t="s">
        <v>1181</v>
      </c>
      <c r="B48">
        <v>6</v>
      </c>
      <c r="C48" t="s">
        <v>1132</v>
      </c>
      <c r="D48">
        <v>1962</v>
      </c>
      <c r="E48">
        <v>200</v>
      </c>
      <c r="F48">
        <v>428</v>
      </c>
    </row>
    <row r="49" spans="1:6">
      <c r="A49" t="s">
        <v>1182</v>
      </c>
      <c r="B49">
        <v>6</v>
      </c>
      <c r="C49" t="s">
        <v>1134</v>
      </c>
      <c r="D49">
        <v>1178</v>
      </c>
      <c r="E49">
        <v>200</v>
      </c>
      <c r="F49">
        <v>428</v>
      </c>
    </row>
    <row r="50" spans="1:6">
      <c r="A50" t="s">
        <v>1183</v>
      </c>
      <c r="B50">
        <v>6</v>
      </c>
      <c r="C50" t="s">
        <v>1136</v>
      </c>
      <c r="D50">
        <v>327</v>
      </c>
      <c r="E50">
        <v>200</v>
      </c>
      <c r="F50">
        <v>428</v>
      </c>
    </row>
    <row r="51" spans="1:6">
      <c r="A51" t="s">
        <v>1184</v>
      </c>
      <c r="B51">
        <v>6</v>
      </c>
      <c r="C51" t="s">
        <v>1138</v>
      </c>
      <c r="D51">
        <v>99</v>
      </c>
      <c r="E51">
        <v>200</v>
      </c>
      <c r="F51">
        <v>428</v>
      </c>
    </row>
    <row r="52" spans="1:6">
      <c r="A52" t="s">
        <v>1185</v>
      </c>
      <c r="B52">
        <v>6</v>
      </c>
      <c r="C52" t="s">
        <v>738</v>
      </c>
      <c r="D52">
        <v>2616</v>
      </c>
      <c r="E52">
        <v>200</v>
      </c>
      <c r="F52">
        <v>428</v>
      </c>
    </row>
    <row r="53" spans="1:6">
      <c r="A53" t="s">
        <v>1186</v>
      </c>
      <c r="B53">
        <v>6</v>
      </c>
      <c r="C53" t="s">
        <v>1141</v>
      </c>
      <c r="D53">
        <v>5886</v>
      </c>
      <c r="E53">
        <v>200</v>
      </c>
      <c r="F53">
        <v>428</v>
      </c>
    </row>
    <row r="54" spans="1:6">
      <c r="A54" t="s">
        <v>1187</v>
      </c>
      <c r="B54">
        <v>6</v>
      </c>
      <c r="C54" t="s">
        <v>159</v>
      </c>
      <c r="D54">
        <v>66901</v>
      </c>
      <c r="E54">
        <v>200</v>
      </c>
      <c r="F54">
        <v>428</v>
      </c>
    </row>
    <row r="55" spans="1:6">
      <c r="A55" t="s">
        <v>1188</v>
      </c>
      <c r="B55">
        <v>6</v>
      </c>
      <c r="C55" t="s">
        <v>642</v>
      </c>
      <c r="D55">
        <v>33450</v>
      </c>
      <c r="E55">
        <v>200</v>
      </c>
      <c r="F55">
        <v>428</v>
      </c>
    </row>
    <row r="56" spans="1:6">
      <c r="A56" t="s">
        <v>1189</v>
      </c>
      <c r="B56">
        <v>7</v>
      </c>
      <c r="C56" t="s">
        <v>149</v>
      </c>
      <c r="D56">
        <v>781</v>
      </c>
      <c r="E56">
        <v>236</v>
      </c>
      <c r="F56">
        <v>500</v>
      </c>
    </row>
    <row r="57" spans="1:6">
      <c r="A57" t="s">
        <v>1190</v>
      </c>
      <c r="B57">
        <v>7</v>
      </c>
      <c r="C57" t="s">
        <v>1132</v>
      </c>
      <c r="D57">
        <v>2343</v>
      </c>
      <c r="E57">
        <v>236</v>
      </c>
      <c r="F57">
        <v>500</v>
      </c>
    </row>
    <row r="58" spans="1:6">
      <c r="A58" t="s">
        <v>1191</v>
      </c>
      <c r="B58">
        <v>7</v>
      </c>
      <c r="C58" t="s">
        <v>1134</v>
      </c>
      <c r="D58">
        <v>1406</v>
      </c>
      <c r="E58">
        <v>236</v>
      </c>
      <c r="F58">
        <v>500</v>
      </c>
    </row>
    <row r="59" spans="1:6">
      <c r="A59" t="s">
        <v>1192</v>
      </c>
      <c r="B59">
        <v>7</v>
      </c>
      <c r="C59" t="s">
        <v>1136</v>
      </c>
      <c r="D59">
        <v>391</v>
      </c>
      <c r="E59">
        <v>236</v>
      </c>
      <c r="F59">
        <v>500</v>
      </c>
    </row>
    <row r="60" spans="1:6">
      <c r="A60" t="s">
        <v>1193</v>
      </c>
      <c r="B60">
        <v>7</v>
      </c>
      <c r="C60" t="s">
        <v>1138</v>
      </c>
      <c r="D60">
        <v>118</v>
      </c>
      <c r="E60">
        <v>236</v>
      </c>
      <c r="F60">
        <v>500</v>
      </c>
    </row>
    <row r="61" spans="1:6">
      <c r="A61" t="s">
        <v>1194</v>
      </c>
      <c r="B61">
        <v>7</v>
      </c>
      <c r="C61" t="s">
        <v>738</v>
      </c>
      <c r="D61">
        <v>3124</v>
      </c>
      <c r="E61">
        <v>236</v>
      </c>
      <c r="F61">
        <v>500</v>
      </c>
    </row>
    <row r="62" spans="1:6">
      <c r="A62" t="s">
        <v>1195</v>
      </c>
      <c r="B62">
        <v>7</v>
      </c>
      <c r="C62" t="s">
        <v>1141</v>
      </c>
      <c r="D62">
        <v>7029</v>
      </c>
      <c r="E62">
        <v>236</v>
      </c>
      <c r="F62">
        <v>500</v>
      </c>
    </row>
    <row r="63" spans="1:6">
      <c r="A63" t="s">
        <v>1196</v>
      </c>
      <c r="B63">
        <v>7</v>
      </c>
      <c r="C63" t="s">
        <v>159</v>
      </c>
      <c r="D63">
        <v>78834</v>
      </c>
      <c r="E63">
        <v>236</v>
      </c>
      <c r="F63">
        <v>500</v>
      </c>
    </row>
    <row r="64" spans="1:6">
      <c r="A64" t="s">
        <v>1197</v>
      </c>
      <c r="B64">
        <v>7</v>
      </c>
      <c r="C64" t="s">
        <v>642</v>
      </c>
      <c r="D64">
        <v>39417</v>
      </c>
      <c r="E64">
        <v>236</v>
      </c>
      <c r="F64">
        <v>500</v>
      </c>
    </row>
    <row r="65" spans="1:6">
      <c r="A65" t="s">
        <v>1198</v>
      </c>
      <c r="B65">
        <v>8</v>
      </c>
      <c r="C65" t="s">
        <v>149</v>
      </c>
      <c r="D65">
        <v>914</v>
      </c>
      <c r="E65">
        <v>272</v>
      </c>
      <c r="F65">
        <v>572</v>
      </c>
    </row>
    <row r="66" spans="1:6">
      <c r="A66" t="s">
        <v>1199</v>
      </c>
      <c r="B66">
        <v>8</v>
      </c>
      <c r="C66" t="s">
        <v>1132</v>
      </c>
      <c r="D66">
        <v>2742</v>
      </c>
      <c r="E66">
        <v>272</v>
      </c>
      <c r="F66">
        <v>572</v>
      </c>
    </row>
    <row r="67" spans="1:6">
      <c r="A67" t="s">
        <v>1200</v>
      </c>
      <c r="B67">
        <v>8</v>
      </c>
      <c r="C67" t="s">
        <v>1134</v>
      </c>
      <c r="D67">
        <v>1646</v>
      </c>
      <c r="E67">
        <v>272</v>
      </c>
      <c r="F67">
        <v>572</v>
      </c>
    </row>
    <row r="68" spans="1:6">
      <c r="A68" t="s">
        <v>1201</v>
      </c>
      <c r="B68">
        <v>8</v>
      </c>
      <c r="C68" t="s">
        <v>1136</v>
      </c>
      <c r="D68">
        <v>457</v>
      </c>
      <c r="E68">
        <v>272</v>
      </c>
      <c r="F68">
        <v>572</v>
      </c>
    </row>
    <row r="69" spans="1:6">
      <c r="A69" t="s">
        <v>1202</v>
      </c>
      <c r="B69">
        <v>8</v>
      </c>
      <c r="C69" t="s">
        <v>1138</v>
      </c>
      <c r="D69">
        <v>138</v>
      </c>
      <c r="E69">
        <v>272</v>
      </c>
      <c r="F69">
        <v>572</v>
      </c>
    </row>
    <row r="70" spans="1:6">
      <c r="A70" t="s">
        <v>1203</v>
      </c>
      <c r="B70">
        <v>8</v>
      </c>
      <c r="C70" t="s">
        <v>738</v>
      </c>
      <c r="D70">
        <v>3656</v>
      </c>
      <c r="E70">
        <v>272</v>
      </c>
      <c r="F70">
        <v>572</v>
      </c>
    </row>
    <row r="71" spans="1:6">
      <c r="A71" t="s">
        <v>1204</v>
      </c>
      <c r="B71">
        <v>8</v>
      </c>
      <c r="C71" t="s">
        <v>1141</v>
      </c>
      <c r="D71">
        <v>8226</v>
      </c>
      <c r="E71">
        <v>272</v>
      </c>
      <c r="F71">
        <v>572</v>
      </c>
    </row>
    <row r="72" spans="1:6">
      <c r="A72" t="s">
        <v>1205</v>
      </c>
      <c r="B72">
        <v>8</v>
      </c>
      <c r="C72" t="s">
        <v>159</v>
      </c>
      <c r="D72">
        <v>90876</v>
      </c>
      <c r="E72">
        <v>272</v>
      </c>
      <c r="F72">
        <v>572</v>
      </c>
    </row>
    <row r="73" spans="1:6">
      <c r="A73" t="s">
        <v>1206</v>
      </c>
      <c r="B73">
        <v>8</v>
      </c>
      <c r="C73" t="s">
        <v>642</v>
      </c>
      <c r="D73">
        <v>45438</v>
      </c>
      <c r="E73">
        <v>272</v>
      </c>
      <c r="F73">
        <v>572</v>
      </c>
    </row>
    <row r="74" spans="1:6">
      <c r="A74" t="s">
        <v>1207</v>
      </c>
      <c r="B74">
        <v>9</v>
      </c>
      <c r="C74" t="s">
        <v>149</v>
      </c>
      <c r="D74">
        <v>1051</v>
      </c>
      <c r="E74">
        <v>308</v>
      </c>
      <c r="F74">
        <v>645</v>
      </c>
    </row>
    <row r="75" spans="1:6">
      <c r="A75" t="s">
        <v>1208</v>
      </c>
      <c r="B75">
        <v>9</v>
      </c>
      <c r="C75" t="s">
        <v>1132</v>
      </c>
      <c r="D75">
        <v>3153</v>
      </c>
      <c r="E75">
        <v>308</v>
      </c>
      <c r="F75">
        <v>645</v>
      </c>
    </row>
    <row r="76" spans="1:6">
      <c r="A76" t="s">
        <v>1209</v>
      </c>
      <c r="B76">
        <v>9</v>
      </c>
      <c r="C76" t="s">
        <v>1134</v>
      </c>
      <c r="D76">
        <v>1892</v>
      </c>
      <c r="E76">
        <v>308</v>
      </c>
      <c r="F76">
        <v>645</v>
      </c>
    </row>
    <row r="77" spans="1:6">
      <c r="A77" t="s">
        <v>1210</v>
      </c>
      <c r="B77">
        <v>9</v>
      </c>
      <c r="C77" t="s">
        <v>1136</v>
      </c>
      <c r="D77">
        <v>526</v>
      </c>
      <c r="E77">
        <v>308</v>
      </c>
      <c r="F77">
        <v>645</v>
      </c>
    </row>
    <row r="78" spans="1:6">
      <c r="A78" t="s">
        <v>1211</v>
      </c>
      <c r="B78">
        <v>9</v>
      </c>
      <c r="C78" t="s">
        <v>1138</v>
      </c>
      <c r="D78">
        <v>158</v>
      </c>
      <c r="E78">
        <v>308</v>
      </c>
      <c r="F78">
        <v>645</v>
      </c>
    </row>
    <row r="79" spans="1:6">
      <c r="A79" t="s">
        <v>1212</v>
      </c>
      <c r="B79">
        <v>9</v>
      </c>
      <c r="C79" t="s">
        <v>738</v>
      </c>
      <c r="D79">
        <v>4204</v>
      </c>
      <c r="E79">
        <v>308</v>
      </c>
      <c r="F79">
        <v>645</v>
      </c>
    </row>
    <row r="80" spans="1:6">
      <c r="A80" t="s">
        <v>1213</v>
      </c>
      <c r="B80">
        <v>9</v>
      </c>
      <c r="C80" t="s">
        <v>1141</v>
      </c>
      <c r="D80">
        <v>9459</v>
      </c>
      <c r="E80">
        <v>308</v>
      </c>
      <c r="F80">
        <v>645</v>
      </c>
    </row>
    <row r="81" spans="1:6">
      <c r="A81" t="s">
        <v>1214</v>
      </c>
      <c r="B81">
        <v>9</v>
      </c>
      <c r="C81" t="s">
        <v>159</v>
      </c>
      <c r="D81">
        <v>103132</v>
      </c>
      <c r="E81">
        <v>308</v>
      </c>
      <c r="F81">
        <v>645</v>
      </c>
    </row>
    <row r="82" spans="1:6">
      <c r="A82" t="s">
        <v>1215</v>
      </c>
      <c r="B82">
        <v>9</v>
      </c>
      <c r="C82" t="s">
        <v>642</v>
      </c>
      <c r="D82">
        <v>51566</v>
      </c>
      <c r="E82">
        <v>308</v>
      </c>
      <c r="F82">
        <v>645</v>
      </c>
    </row>
    <row r="83" spans="1:6">
      <c r="A83" t="s">
        <v>1216</v>
      </c>
      <c r="B83">
        <v>10</v>
      </c>
      <c r="C83" t="s">
        <v>149</v>
      </c>
      <c r="D83">
        <v>1194</v>
      </c>
      <c r="E83">
        <v>346</v>
      </c>
      <c r="F83">
        <v>717</v>
      </c>
    </row>
    <row r="84" spans="1:6">
      <c r="A84" t="s">
        <v>1217</v>
      </c>
      <c r="B84">
        <v>10</v>
      </c>
      <c r="C84" t="s">
        <v>1132</v>
      </c>
      <c r="D84">
        <v>3582</v>
      </c>
      <c r="E84">
        <v>346</v>
      </c>
      <c r="F84">
        <v>717</v>
      </c>
    </row>
    <row r="85" spans="1:6">
      <c r="A85" t="s">
        <v>1218</v>
      </c>
      <c r="B85">
        <v>10</v>
      </c>
      <c r="C85" t="s">
        <v>1134</v>
      </c>
      <c r="D85">
        <v>2150</v>
      </c>
      <c r="E85">
        <v>346</v>
      </c>
      <c r="F85">
        <v>717</v>
      </c>
    </row>
    <row r="86" spans="1:6">
      <c r="A86" t="s">
        <v>1219</v>
      </c>
      <c r="B86">
        <v>10</v>
      </c>
      <c r="C86" t="s">
        <v>1136</v>
      </c>
      <c r="D86">
        <v>597</v>
      </c>
      <c r="E86">
        <v>346</v>
      </c>
      <c r="F86">
        <v>717</v>
      </c>
    </row>
    <row r="87" spans="1:6">
      <c r="A87" t="s">
        <v>1220</v>
      </c>
      <c r="B87">
        <v>10</v>
      </c>
      <c r="C87" t="s">
        <v>1138</v>
      </c>
      <c r="D87">
        <v>180</v>
      </c>
      <c r="E87">
        <v>346</v>
      </c>
      <c r="F87">
        <v>717</v>
      </c>
    </row>
    <row r="88" spans="1:6">
      <c r="A88" t="s">
        <v>1221</v>
      </c>
      <c r="B88">
        <v>10</v>
      </c>
      <c r="C88" t="s">
        <v>738</v>
      </c>
      <c r="D88">
        <v>4776</v>
      </c>
      <c r="E88">
        <v>346</v>
      </c>
      <c r="F88">
        <v>717</v>
      </c>
    </row>
    <row r="89" spans="1:6">
      <c r="A89" t="s">
        <v>1222</v>
      </c>
      <c r="B89">
        <v>10</v>
      </c>
      <c r="C89" t="s">
        <v>1141</v>
      </c>
      <c r="D89">
        <v>10746</v>
      </c>
      <c r="E89">
        <v>346</v>
      </c>
      <c r="F89">
        <v>717</v>
      </c>
    </row>
    <row r="90" spans="1:6">
      <c r="A90" t="s">
        <v>1223</v>
      </c>
      <c r="B90">
        <v>10</v>
      </c>
      <c r="C90" t="s">
        <v>159</v>
      </c>
      <c r="D90">
        <v>115595</v>
      </c>
      <c r="E90">
        <v>346</v>
      </c>
      <c r="F90">
        <v>717</v>
      </c>
    </row>
    <row r="91" spans="1:6">
      <c r="A91" t="s">
        <v>1224</v>
      </c>
      <c r="B91">
        <v>10</v>
      </c>
      <c r="C91" t="s">
        <v>642</v>
      </c>
      <c r="D91">
        <v>57798</v>
      </c>
      <c r="E91">
        <v>346</v>
      </c>
      <c r="F91">
        <v>717</v>
      </c>
    </row>
    <row r="92" spans="1:6">
      <c r="A92" t="s">
        <v>1225</v>
      </c>
      <c r="B92">
        <v>11</v>
      </c>
      <c r="C92" t="s">
        <v>149</v>
      </c>
      <c r="D92">
        <v>1342</v>
      </c>
      <c r="E92">
        <v>384</v>
      </c>
      <c r="F92">
        <v>790</v>
      </c>
    </row>
    <row r="93" spans="1:6">
      <c r="A93" t="s">
        <v>1226</v>
      </c>
      <c r="B93">
        <v>11</v>
      </c>
      <c r="C93" t="s">
        <v>1132</v>
      </c>
      <c r="D93">
        <v>4026</v>
      </c>
      <c r="E93">
        <v>384</v>
      </c>
      <c r="F93">
        <v>790</v>
      </c>
    </row>
    <row r="94" spans="1:6">
      <c r="A94" t="s">
        <v>1227</v>
      </c>
      <c r="B94">
        <v>11</v>
      </c>
      <c r="C94" t="s">
        <v>1134</v>
      </c>
      <c r="D94">
        <v>2416</v>
      </c>
      <c r="E94">
        <v>384</v>
      </c>
      <c r="F94">
        <v>790</v>
      </c>
    </row>
    <row r="95" spans="1:6">
      <c r="A95" t="s">
        <v>1228</v>
      </c>
      <c r="B95">
        <v>11</v>
      </c>
      <c r="C95" t="s">
        <v>1136</v>
      </c>
      <c r="D95">
        <v>671</v>
      </c>
      <c r="E95">
        <v>384</v>
      </c>
      <c r="F95">
        <v>790</v>
      </c>
    </row>
    <row r="96" spans="1:6">
      <c r="A96" t="s">
        <v>1229</v>
      </c>
      <c r="B96">
        <v>11</v>
      </c>
      <c r="C96" t="s">
        <v>1138</v>
      </c>
      <c r="D96">
        <v>202</v>
      </c>
      <c r="E96">
        <v>384</v>
      </c>
      <c r="F96">
        <v>790</v>
      </c>
    </row>
    <row r="97" spans="1:6">
      <c r="A97" t="s">
        <v>1230</v>
      </c>
      <c r="B97">
        <v>11</v>
      </c>
      <c r="C97" t="s">
        <v>738</v>
      </c>
      <c r="D97">
        <v>5368</v>
      </c>
      <c r="E97">
        <v>384</v>
      </c>
      <c r="F97">
        <v>790</v>
      </c>
    </row>
    <row r="98" spans="1:6">
      <c r="A98" t="s">
        <v>1231</v>
      </c>
      <c r="B98">
        <v>11</v>
      </c>
      <c r="C98" t="s">
        <v>1141</v>
      </c>
      <c r="D98">
        <v>12078</v>
      </c>
      <c r="E98">
        <v>384</v>
      </c>
      <c r="F98">
        <v>790</v>
      </c>
    </row>
    <row r="99" spans="1:6">
      <c r="A99" t="s">
        <v>1232</v>
      </c>
      <c r="B99">
        <v>11</v>
      </c>
      <c r="C99" t="s">
        <v>159</v>
      </c>
      <c r="D99">
        <v>128363</v>
      </c>
      <c r="E99">
        <v>384</v>
      </c>
      <c r="F99">
        <v>790</v>
      </c>
    </row>
    <row r="100" spans="1:6">
      <c r="A100" t="s">
        <v>1233</v>
      </c>
      <c r="B100">
        <v>11</v>
      </c>
      <c r="C100" t="s">
        <v>642</v>
      </c>
      <c r="D100">
        <v>64182</v>
      </c>
      <c r="E100">
        <v>384</v>
      </c>
      <c r="F100">
        <v>790</v>
      </c>
    </row>
    <row r="101" spans="1:6">
      <c r="A101" t="s">
        <v>1234</v>
      </c>
      <c r="B101">
        <v>12</v>
      </c>
      <c r="C101" t="s">
        <v>149</v>
      </c>
      <c r="D101">
        <v>1495</v>
      </c>
      <c r="E101">
        <v>422</v>
      </c>
      <c r="F101">
        <v>863</v>
      </c>
    </row>
    <row r="102" spans="1:6">
      <c r="A102" t="s">
        <v>1235</v>
      </c>
      <c r="B102">
        <v>12</v>
      </c>
      <c r="C102" t="s">
        <v>1132</v>
      </c>
      <c r="D102">
        <v>4485</v>
      </c>
      <c r="E102">
        <v>422</v>
      </c>
      <c r="F102">
        <v>863</v>
      </c>
    </row>
    <row r="103" spans="1:6">
      <c r="A103" t="s">
        <v>1236</v>
      </c>
      <c r="B103">
        <v>12</v>
      </c>
      <c r="C103" t="s">
        <v>1134</v>
      </c>
      <c r="D103">
        <v>2691</v>
      </c>
      <c r="E103">
        <v>422</v>
      </c>
      <c r="F103">
        <v>863</v>
      </c>
    </row>
    <row r="104" spans="1:6">
      <c r="A104" t="s">
        <v>1237</v>
      </c>
      <c r="B104">
        <v>12</v>
      </c>
      <c r="C104" t="s">
        <v>1136</v>
      </c>
      <c r="D104">
        <v>748</v>
      </c>
      <c r="E104">
        <v>422</v>
      </c>
      <c r="F104">
        <v>863</v>
      </c>
    </row>
    <row r="105" spans="1:6">
      <c r="A105" t="s">
        <v>1238</v>
      </c>
      <c r="B105">
        <v>12</v>
      </c>
      <c r="C105" t="s">
        <v>1138</v>
      </c>
      <c r="D105">
        <v>225</v>
      </c>
      <c r="E105">
        <v>422</v>
      </c>
      <c r="F105">
        <v>863</v>
      </c>
    </row>
    <row r="106" spans="1:6">
      <c r="A106" t="s">
        <v>1239</v>
      </c>
      <c r="B106">
        <v>12</v>
      </c>
      <c r="C106" t="s">
        <v>738</v>
      </c>
      <c r="D106">
        <v>5980</v>
      </c>
      <c r="E106">
        <v>422</v>
      </c>
      <c r="F106">
        <v>863</v>
      </c>
    </row>
    <row r="107" spans="1:6">
      <c r="A107" t="s">
        <v>1240</v>
      </c>
      <c r="B107">
        <v>12</v>
      </c>
      <c r="C107" t="s">
        <v>1141</v>
      </c>
      <c r="D107">
        <v>13455</v>
      </c>
      <c r="E107">
        <v>422</v>
      </c>
      <c r="F107">
        <v>863</v>
      </c>
    </row>
    <row r="108" spans="1:6">
      <c r="A108" t="s">
        <v>1241</v>
      </c>
      <c r="B108">
        <v>12</v>
      </c>
      <c r="C108" t="s">
        <v>159</v>
      </c>
      <c r="D108">
        <v>141229</v>
      </c>
      <c r="E108">
        <v>422</v>
      </c>
      <c r="F108">
        <v>863</v>
      </c>
    </row>
    <row r="109" spans="1:6">
      <c r="A109" t="s">
        <v>1242</v>
      </c>
      <c r="B109">
        <v>12</v>
      </c>
      <c r="C109" t="s">
        <v>642</v>
      </c>
      <c r="D109">
        <v>70614</v>
      </c>
      <c r="E109">
        <v>422</v>
      </c>
      <c r="F109">
        <v>863</v>
      </c>
    </row>
    <row r="110" spans="1:6">
      <c r="A110" t="s">
        <v>1243</v>
      </c>
      <c r="B110">
        <v>13</v>
      </c>
      <c r="C110" t="s">
        <v>149</v>
      </c>
      <c r="D110">
        <v>1652</v>
      </c>
      <c r="E110">
        <v>461</v>
      </c>
      <c r="F110">
        <v>936</v>
      </c>
    </row>
    <row r="111" spans="1:6">
      <c r="A111" t="s">
        <v>1244</v>
      </c>
      <c r="B111">
        <v>13</v>
      </c>
      <c r="C111" t="s">
        <v>1132</v>
      </c>
      <c r="D111">
        <v>4956</v>
      </c>
      <c r="E111">
        <v>461</v>
      </c>
      <c r="F111">
        <v>936</v>
      </c>
    </row>
    <row r="112" spans="1:6">
      <c r="A112" t="s">
        <v>1245</v>
      </c>
      <c r="B112">
        <v>13</v>
      </c>
      <c r="C112" t="s">
        <v>1134</v>
      </c>
      <c r="D112">
        <v>2974</v>
      </c>
      <c r="E112">
        <v>461</v>
      </c>
      <c r="F112">
        <v>936</v>
      </c>
    </row>
    <row r="113" spans="1:6">
      <c r="A113" t="s">
        <v>1246</v>
      </c>
      <c r="B113">
        <v>13</v>
      </c>
      <c r="C113" t="s">
        <v>1136</v>
      </c>
      <c r="D113">
        <v>826</v>
      </c>
      <c r="E113">
        <v>461</v>
      </c>
      <c r="F113">
        <v>936</v>
      </c>
    </row>
    <row r="114" spans="1:6">
      <c r="A114" t="s">
        <v>1247</v>
      </c>
      <c r="B114">
        <v>13</v>
      </c>
      <c r="C114" t="s">
        <v>1138</v>
      </c>
      <c r="D114">
        <v>248</v>
      </c>
      <c r="E114">
        <v>461</v>
      </c>
      <c r="F114">
        <v>936</v>
      </c>
    </row>
    <row r="115" spans="1:6">
      <c r="A115" t="s">
        <v>1248</v>
      </c>
      <c r="B115">
        <v>13</v>
      </c>
      <c r="C115" t="s">
        <v>738</v>
      </c>
      <c r="D115">
        <v>6608</v>
      </c>
      <c r="E115">
        <v>461</v>
      </c>
      <c r="F115">
        <v>936</v>
      </c>
    </row>
    <row r="116" spans="1:6">
      <c r="A116" t="s">
        <v>1249</v>
      </c>
      <c r="B116">
        <v>13</v>
      </c>
      <c r="C116" t="s">
        <v>1141</v>
      </c>
      <c r="D116">
        <v>14868</v>
      </c>
      <c r="E116">
        <v>461</v>
      </c>
      <c r="F116">
        <v>936</v>
      </c>
    </row>
    <row r="117" spans="1:6">
      <c r="A117" t="s">
        <v>1250</v>
      </c>
      <c r="B117">
        <v>13</v>
      </c>
      <c r="C117" t="s">
        <v>159</v>
      </c>
      <c r="D117">
        <v>154391</v>
      </c>
      <c r="E117">
        <v>461</v>
      </c>
      <c r="F117">
        <v>936</v>
      </c>
    </row>
    <row r="118" spans="1:6">
      <c r="A118" t="s">
        <v>1251</v>
      </c>
      <c r="B118">
        <v>13</v>
      </c>
      <c r="C118" t="s">
        <v>642</v>
      </c>
      <c r="D118">
        <v>77196</v>
      </c>
      <c r="E118">
        <v>461</v>
      </c>
      <c r="F118">
        <v>936</v>
      </c>
    </row>
    <row r="119" spans="1:6">
      <c r="A119" t="s">
        <v>1252</v>
      </c>
      <c r="B119">
        <v>14</v>
      </c>
      <c r="C119" t="s">
        <v>149</v>
      </c>
      <c r="D119">
        <v>1815</v>
      </c>
      <c r="E119">
        <v>501</v>
      </c>
      <c r="F119">
        <v>1009</v>
      </c>
    </row>
    <row r="120" spans="1:6">
      <c r="A120" t="s">
        <v>1253</v>
      </c>
      <c r="B120">
        <v>14</v>
      </c>
      <c r="C120" t="s">
        <v>1132</v>
      </c>
      <c r="D120">
        <v>5445</v>
      </c>
      <c r="E120">
        <v>501</v>
      </c>
      <c r="F120">
        <v>1009</v>
      </c>
    </row>
    <row r="121" spans="1:6">
      <c r="A121" t="s">
        <v>1254</v>
      </c>
      <c r="B121">
        <v>14</v>
      </c>
      <c r="C121" t="s">
        <v>1134</v>
      </c>
      <c r="D121">
        <v>3267</v>
      </c>
      <c r="E121">
        <v>501</v>
      </c>
      <c r="F121">
        <v>1009</v>
      </c>
    </row>
    <row r="122" spans="1:6">
      <c r="A122" t="s">
        <v>1255</v>
      </c>
      <c r="B122">
        <v>14</v>
      </c>
      <c r="C122" t="s">
        <v>1136</v>
      </c>
      <c r="D122">
        <v>908</v>
      </c>
      <c r="E122">
        <v>501</v>
      </c>
      <c r="F122">
        <v>1009</v>
      </c>
    </row>
    <row r="123" spans="1:6">
      <c r="A123" t="s">
        <v>1256</v>
      </c>
      <c r="B123">
        <v>14</v>
      </c>
      <c r="C123" t="s">
        <v>1138</v>
      </c>
      <c r="D123">
        <v>273</v>
      </c>
      <c r="E123">
        <v>501</v>
      </c>
      <c r="F123">
        <v>1009</v>
      </c>
    </row>
    <row r="124" spans="1:6">
      <c r="A124" t="s">
        <v>1257</v>
      </c>
      <c r="B124">
        <v>14</v>
      </c>
      <c r="C124" t="s">
        <v>738</v>
      </c>
      <c r="D124">
        <v>7260</v>
      </c>
      <c r="E124">
        <v>501</v>
      </c>
      <c r="F124">
        <v>1009</v>
      </c>
    </row>
    <row r="125" spans="1:6">
      <c r="A125" t="s">
        <v>1258</v>
      </c>
      <c r="B125">
        <v>14</v>
      </c>
      <c r="C125" t="s">
        <v>1141</v>
      </c>
      <c r="D125">
        <v>16335</v>
      </c>
      <c r="E125">
        <v>501</v>
      </c>
      <c r="F125">
        <v>1009</v>
      </c>
    </row>
    <row r="126" spans="1:6">
      <c r="A126" t="s">
        <v>1259</v>
      </c>
      <c r="B126">
        <v>14</v>
      </c>
      <c r="C126" t="s">
        <v>159</v>
      </c>
      <c r="D126">
        <v>167749</v>
      </c>
      <c r="E126">
        <v>501</v>
      </c>
      <c r="F126">
        <v>1009</v>
      </c>
    </row>
    <row r="127" spans="1:6">
      <c r="A127" t="s">
        <v>1260</v>
      </c>
      <c r="B127">
        <v>14</v>
      </c>
      <c r="C127" t="s">
        <v>642</v>
      </c>
      <c r="D127">
        <v>83875</v>
      </c>
      <c r="E127">
        <v>501</v>
      </c>
      <c r="F127">
        <v>1009</v>
      </c>
    </row>
    <row r="128" spans="1:6">
      <c r="A128" t="s">
        <v>1261</v>
      </c>
      <c r="B128">
        <v>15</v>
      </c>
      <c r="C128" t="s">
        <v>149</v>
      </c>
      <c r="D128">
        <v>1982</v>
      </c>
      <c r="E128">
        <v>541</v>
      </c>
      <c r="F128">
        <v>1083</v>
      </c>
    </row>
    <row r="129" spans="1:6">
      <c r="A129" t="s">
        <v>1262</v>
      </c>
      <c r="B129">
        <v>15</v>
      </c>
      <c r="C129" t="s">
        <v>1132</v>
      </c>
      <c r="D129">
        <v>5946</v>
      </c>
      <c r="E129">
        <v>541</v>
      </c>
      <c r="F129">
        <v>1083</v>
      </c>
    </row>
    <row r="130" spans="1:6">
      <c r="A130" t="s">
        <v>1263</v>
      </c>
      <c r="B130">
        <v>15</v>
      </c>
      <c r="C130" t="s">
        <v>1134</v>
      </c>
      <c r="D130">
        <v>3568</v>
      </c>
      <c r="E130">
        <v>541</v>
      </c>
      <c r="F130">
        <v>1083</v>
      </c>
    </row>
    <row r="131" spans="1:6">
      <c r="A131" t="s">
        <v>1264</v>
      </c>
      <c r="B131">
        <v>15</v>
      </c>
      <c r="C131" t="s">
        <v>1136</v>
      </c>
      <c r="D131">
        <v>991</v>
      </c>
      <c r="E131">
        <v>541</v>
      </c>
      <c r="F131">
        <v>1083</v>
      </c>
    </row>
    <row r="132" spans="1:6">
      <c r="A132" t="s">
        <v>1265</v>
      </c>
      <c r="B132">
        <v>15</v>
      </c>
      <c r="C132" t="s">
        <v>1138</v>
      </c>
      <c r="D132">
        <v>298</v>
      </c>
      <c r="E132">
        <v>541</v>
      </c>
      <c r="F132">
        <v>1083</v>
      </c>
    </row>
    <row r="133" spans="1:6">
      <c r="A133" t="s">
        <v>1266</v>
      </c>
      <c r="B133">
        <v>15</v>
      </c>
      <c r="C133" t="s">
        <v>738</v>
      </c>
      <c r="D133">
        <v>7928</v>
      </c>
      <c r="E133">
        <v>541</v>
      </c>
      <c r="F133">
        <v>1083</v>
      </c>
    </row>
    <row r="134" spans="1:6">
      <c r="A134" t="s">
        <v>1267</v>
      </c>
      <c r="B134">
        <v>15</v>
      </c>
      <c r="C134" t="s">
        <v>1141</v>
      </c>
      <c r="D134">
        <v>17838</v>
      </c>
      <c r="E134">
        <v>541</v>
      </c>
      <c r="F134">
        <v>1083</v>
      </c>
    </row>
    <row r="135" spans="1:6">
      <c r="A135" t="s">
        <v>1268</v>
      </c>
      <c r="B135">
        <v>15</v>
      </c>
      <c r="C135" t="s">
        <v>159</v>
      </c>
      <c r="D135">
        <v>181306</v>
      </c>
      <c r="E135">
        <v>541</v>
      </c>
      <c r="F135">
        <v>1083</v>
      </c>
    </row>
    <row r="136" spans="1:6">
      <c r="A136" t="s">
        <v>1269</v>
      </c>
      <c r="B136">
        <v>15</v>
      </c>
      <c r="C136" t="s">
        <v>642</v>
      </c>
      <c r="D136">
        <v>90653</v>
      </c>
      <c r="E136">
        <v>541</v>
      </c>
      <c r="F136">
        <v>1083</v>
      </c>
    </row>
    <row r="137" spans="1:6">
      <c r="A137" t="s">
        <v>1270</v>
      </c>
      <c r="B137">
        <v>16</v>
      </c>
      <c r="C137" t="s">
        <v>149</v>
      </c>
      <c r="D137">
        <v>2154</v>
      </c>
      <c r="E137">
        <v>582</v>
      </c>
      <c r="F137">
        <v>1157</v>
      </c>
    </row>
    <row r="138" spans="1:6">
      <c r="A138" t="s">
        <v>1271</v>
      </c>
      <c r="B138">
        <v>16</v>
      </c>
      <c r="C138" t="s">
        <v>1132</v>
      </c>
      <c r="D138">
        <v>6462</v>
      </c>
      <c r="E138">
        <v>582</v>
      </c>
      <c r="F138">
        <v>1157</v>
      </c>
    </row>
    <row r="139" spans="1:6">
      <c r="A139" t="s">
        <v>1272</v>
      </c>
      <c r="B139">
        <v>16</v>
      </c>
      <c r="C139" t="s">
        <v>1134</v>
      </c>
      <c r="D139">
        <v>3878</v>
      </c>
      <c r="E139">
        <v>582</v>
      </c>
      <c r="F139">
        <v>1157</v>
      </c>
    </row>
    <row r="140" spans="1:6">
      <c r="A140" t="s">
        <v>1273</v>
      </c>
      <c r="B140">
        <v>16</v>
      </c>
      <c r="C140" t="s">
        <v>1136</v>
      </c>
      <c r="D140">
        <v>1077</v>
      </c>
      <c r="E140">
        <v>582</v>
      </c>
      <c r="F140">
        <v>1157</v>
      </c>
    </row>
    <row r="141" spans="1:6">
      <c r="A141" t="s">
        <v>1274</v>
      </c>
      <c r="B141">
        <v>16</v>
      </c>
      <c r="C141" t="s">
        <v>1138</v>
      </c>
      <c r="D141">
        <v>324</v>
      </c>
      <c r="E141">
        <v>582</v>
      </c>
      <c r="F141">
        <v>1157</v>
      </c>
    </row>
    <row r="142" spans="1:6">
      <c r="A142" t="s">
        <v>1275</v>
      </c>
      <c r="B142">
        <v>16</v>
      </c>
      <c r="C142" t="s">
        <v>738</v>
      </c>
      <c r="D142">
        <v>8616</v>
      </c>
      <c r="E142">
        <v>582</v>
      </c>
      <c r="F142">
        <v>1157</v>
      </c>
    </row>
    <row r="143" spans="1:6">
      <c r="A143" t="s">
        <v>1276</v>
      </c>
      <c r="B143">
        <v>16</v>
      </c>
      <c r="C143" t="s">
        <v>1141</v>
      </c>
      <c r="D143">
        <v>19386</v>
      </c>
      <c r="E143">
        <v>582</v>
      </c>
      <c r="F143">
        <v>1157</v>
      </c>
    </row>
    <row r="144" spans="1:6">
      <c r="A144" t="s">
        <v>1277</v>
      </c>
      <c r="B144">
        <v>16</v>
      </c>
      <c r="C144" t="s">
        <v>159</v>
      </c>
      <c r="D144">
        <v>195154</v>
      </c>
      <c r="E144">
        <v>582</v>
      </c>
      <c r="F144">
        <v>1157</v>
      </c>
    </row>
    <row r="145" spans="1:6">
      <c r="A145" t="s">
        <v>1278</v>
      </c>
      <c r="B145">
        <v>16</v>
      </c>
      <c r="C145" t="s">
        <v>642</v>
      </c>
      <c r="D145">
        <v>97577</v>
      </c>
      <c r="E145">
        <v>582</v>
      </c>
      <c r="F145">
        <v>1157</v>
      </c>
    </row>
    <row r="146" spans="1:6">
      <c r="A146" t="s">
        <v>1279</v>
      </c>
      <c r="B146">
        <v>17</v>
      </c>
      <c r="C146" t="s">
        <v>149</v>
      </c>
      <c r="D146">
        <v>2331</v>
      </c>
      <c r="E146">
        <v>624</v>
      </c>
      <c r="F146">
        <v>1231</v>
      </c>
    </row>
    <row r="147" spans="1:6">
      <c r="A147" t="s">
        <v>1280</v>
      </c>
      <c r="B147">
        <v>17</v>
      </c>
      <c r="C147" t="s">
        <v>1132</v>
      </c>
      <c r="D147">
        <v>6993</v>
      </c>
      <c r="E147">
        <v>624</v>
      </c>
      <c r="F147">
        <v>1231</v>
      </c>
    </row>
    <row r="148" spans="1:6">
      <c r="A148" t="s">
        <v>1281</v>
      </c>
      <c r="B148">
        <v>17</v>
      </c>
      <c r="C148" t="s">
        <v>1134</v>
      </c>
      <c r="D148">
        <v>4196</v>
      </c>
      <c r="E148">
        <v>624</v>
      </c>
      <c r="F148">
        <v>1231</v>
      </c>
    </row>
    <row r="149" spans="1:6">
      <c r="A149" t="s">
        <v>1282</v>
      </c>
      <c r="B149">
        <v>17</v>
      </c>
      <c r="C149" t="s">
        <v>1136</v>
      </c>
      <c r="D149">
        <v>1166</v>
      </c>
      <c r="E149">
        <v>624</v>
      </c>
      <c r="F149">
        <v>1231</v>
      </c>
    </row>
    <row r="150" spans="1:6">
      <c r="A150" t="s">
        <v>1283</v>
      </c>
      <c r="B150">
        <v>17</v>
      </c>
      <c r="C150" t="s">
        <v>1138</v>
      </c>
      <c r="D150">
        <v>350</v>
      </c>
      <c r="E150">
        <v>624</v>
      </c>
      <c r="F150">
        <v>1231</v>
      </c>
    </row>
    <row r="151" spans="1:6">
      <c r="A151" t="s">
        <v>1284</v>
      </c>
      <c r="B151">
        <v>17</v>
      </c>
      <c r="C151" t="s">
        <v>738</v>
      </c>
      <c r="D151">
        <v>9324</v>
      </c>
      <c r="E151">
        <v>624</v>
      </c>
      <c r="F151">
        <v>1231</v>
      </c>
    </row>
    <row r="152" spans="1:6">
      <c r="A152" t="s">
        <v>1285</v>
      </c>
      <c r="B152">
        <v>17</v>
      </c>
      <c r="C152" t="s">
        <v>1141</v>
      </c>
      <c r="D152">
        <v>20979</v>
      </c>
      <c r="E152">
        <v>624</v>
      </c>
      <c r="F152">
        <v>1231</v>
      </c>
    </row>
    <row r="153" spans="1:6">
      <c r="A153" t="s">
        <v>1286</v>
      </c>
      <c r="B153">
        <v>17</v>
      </c>
      <c r="C153" t="s">
        <v>159</v>
      </c>
      <c r="D153">
        <v>209204</v>
      </c>
      <c r="E153">
        <v>624</v>
      </c>
      <c r="F153">
        <v>1231</v>
      </c>
    </row>
    <row r="154" spans="1:6">
      <c r="A154" t="s">
        <v>1287</v>
      </c>
      <c r="B154">
        <v>17</v>
      </c>
      <c r="C154" t="s">
        <v>642</v>
      </c>
      <c r="D154">
        <v>104602</v>
      </c>
      <c r="E154">
        <v>624</v>
      </c>
      <c r="F154">
        <v>1231</v>
      </c>
    </row>
    <row r="155" spans="1:6">
      <c r="A155" t="s">
        <v>1288</v>
      </c>
      <c r="B155">
        <v>18</v>
      </c>
      <c r="C155" t="s">
        <v>149</v>
      </c>
      <c r="D155">
        <v>2513</v>
      </c>
      <c r="E155">
        <v>666</v>
      </c>
      <c r="F155">
        <v>1305</v>
      </c>
    </row>
    <row r="156" spans="1:6">
      <c r="A156" t="s">
        <v>1289</v>
      </c>
      <c r="B156">
        <v>18</v>
      </c>
      <c r="C156" t="s">
        <v>1132</v>
      </c>
      <c r="D156">
        <v>7539</v>
      </c>
      <c r="E156">
        <v>666</v>
      </c>
      <c r="F156">
        <v>1305</v>
      </c>
    </row>
    <row r="157" spans="1:6">
      <c r="A157" t="s">
        <v>1290</v>
      </c>
      <c r="B157">
        <v>18</v>
      </c>
      <c r="C157" t="s">
        <v>1134</v>
      </c>
      <c r="D157">
        <v>4524</v>
      </c>
      <c r="E157">
        <v>666</v>
      </c>
      <c r="F157">
        <v>1305</v>
      </c>
    </row>
    <row r="158" spans="1:6">
      <c r="A158" t="s">
        <v>1291</v>
      </c>
      <c r="B158">
        <v>18</v>
      </c>
      <c r="C158" t="s">
        <v>1136</v>
      </c>
      <c r="D158">
        <v>1257</v>
      </c>
      <c r="E158">
        <v>666</v>
      </c>
      <c r="F158">
        <v>1305</v>
      </c>
    </row>
    <row r="159" spans="1:6">
      <c r="A159" t="s">
        <v>1292</v>
      </c>
      <c r="B159">
        <v>18</v>
      </c>
      <c r="C159" t="s">
        <v>1138</v>
      </c>
      <c r="D159">
        <v>377</v>
      </c>
      <c r="E159">
        <v>666</v>
      </c>
      <c r="F159">
        <v>1305</v>
      </c>
    </row>
    <row r="160" spans="1:6">
      <c r="A160" t="s">
        <v>1293</v>
      </c>
      <c r="B160">
        <v>18</v>
      </c>
      <c r="C160" t="s">
        <v>738</v>
      </c>
      <c r="D160">
        <v>10052</v>
      </c>
      <c r="E160">
        <v>666</v>
      </c>
      <c r="F160">
        <v>1305</v>
      </c>
    </row>
    <row r="161" spans="1:6">
      <c r="A161" t="s">
        <v>1294</v>
      </c>
      <c r="B161">
        <v>18</v>
      </c>
      <c r="C161" t="s">
        <v>1141</v>
      </c>
      <c r="D161">
        <v>22617</v>
      </c>
      <c r="E161">
        <v>666</v>
      </c>
      <c r="F161">
        <v>1305</v>
      </c>
    </row>
    <row r="162" spans="1:6">
      <c r="A162" t="s">
        <v>1295</v>
      </c>
      <c r="B162">
        <v>18</v>
      </c>
      <c r="C162" t="s">
        <v>159</v>
      </c>
      <c r="D162">
        <v>223547</v>
      </c>
      <c r="E162">
        <v>666</v>
      </c>
      <c r="F162">
        <v>1305</v>
      </c>
    </row>
    <row r="163" spans="1:6">
      <c r="A163" t="s">
        <v>1296</v>
      </c>
      <c r="B163">
        <v>18</v>
      </c>
      <c r="C163" t="s">
        <v>642</v>
      </c>
      <c r="D163">
        <v>111774</v>
      </c>
      <c r="E163">
        <v>666</v>
      </c>
      <c r="F163">
        <v>1305</v>
      </c>
    </row>
    <row r="164" spans="1:6">
      <c r="A164" t="s">
        <v>1297</v>
      </c>
      <c r="B164">
        <v>19</v>
      </c>
      <c r="C164" t="s">
        <v>149</v>
      </c>
      <c r="D164">
        <v>2700</v>
      </c>
      <c r="E164">
        <v>709</v>
      </c>
      <c r="F164">
        <v>1379</v>
      </c>
    </row>
    <row r="165" spans="1:6">
      <c r="A165" t="s">
        <v>1298</v>
      </c>
      <c r="B165">
        <v>19</v>
      </c>
      <c r="C165" t="s">
        <v>1132</v>
      </c>
      <c r="D165">
        <v>8100</v>
      </c>
      <c r="E165">
        <v>709</v>
      </c>
      <c r="F165">
        <v>1379</v>
      </c>
    </row>
    <row r="166" spans="1:6">
      <c r="A166" t="s">
        <v>1299</v>
      </c>
      <c r="B166">
        <v>19</v>
      </c>
      <c r="C166" t="s">
        <v>1134</v>
      </c>
      <c r="D166">
        <v>4860</v>
      </c>
      <c r="E166">
        <v>709</v>
      </c>
      <c r="F166">
        <v>1379</v>
      </c>
    </row>
    <row r="167" spans="1:6">
      <c r="A167" t="s">
        <v>1300</v>
      </c>
      <c r="B167">
        <v>19</v>
      </c>
      <c r="C167" t="s">
        <v>1136</v>
      </c>
      <c r="D167">
        <v>1350</v>
      </c>
      <c r="E167">
        <v>709</v>
      </c>
      <c r="F167">
        <v>1379</v>
      </c>
    </row>
    <row r="168" spans="1:6">
      <c r="A168" t="s">
        <v>1301</v>
      </c>
      <c r="B168">
        <v>19</v>
      </c>
      <c r="C168" t="s">
        <v>1138</v>
      </c>
      <c r="D168">
        <v>405</v>
      </c>
      <c r="E168">
        <v>709</v>
      </c>
      <c r="F168">
        <v>1379</v>
      </c>
    </row>
    <row r="169" spans="1:6">
      <c r="A169" t="s">
        <v>1302</v>
      </c>
      <c r="B169">
        <v>19</v>
      </c>
      <c r="C169" t="s">
        <v>738</v>
      </c>
      <c r="D169">
        <v>10800</v>
      </c>
      <c r="E169">
        <v>709</v>
      </c>
      <c r="F169">
        <v>1379</v>
      </c>
    </row>
    <row r="170" spans="1:6">
      <c r="A170" t="s">
        <v>1303</v>
      </c>
      <c r="B170">
        <v>19</v>
      </c>
      <c r="C170" t="s">
        <v>1141</v>
      </c>
      <c r="D170">
        <v>24300</v>
      </c>
      <c r="E170">
        <v>709</v>
      </c>
      <c r="F170">
        <v>1379</v>
      </c>
    </row>
    <row r="171" spans="1:6">
      <c r="A171" t="s">
        <v>1304</v>
      </c>
      <c r="B171">
        <v>19</v>
      </c>
      <c r="C171" t="s">
        <v>159</v>
      </c>
      <c r="D171">
        <v>238099</v>
      </c>
      <c r="E171">
        <v>709</v>
      </c>
      <c r="F171">
        <v>1379</v>
      </c>
    </row>
    <row r="172" spans="1:6">
      <c r="A172" t="s">
        <v>1305</v>
      </c>
      <c r="B172">
        <v>19</v>
      </c>
      <c r="C172" t="s">
        <v>642</v>
      </c>
      <c r="D172">
        <v>119049</v>
      </c>
      <c r="E172">
        <v>709</v>
      </c>
      <c r="F172">
        <v>1379</v>
      </c>
    </row>
    <row r="173" spans="1:6">
      <c r="A173" t="s">
        <v>1306</v>
      </c>
      <c r="B173">
        <v>20</v>
      </c>
      <c r="C173" t="s">
        <v>149</v>
      </c>
      <c r="D173">
        <v>2891</v>
      </c>
      <c r="E173">
        <v>753</v>
      </c>
      <c r="F173">
        <v>1453</v>
      </c>
    </row>
    <row r="174" spans="1:6">
      <c r="A174" t="s">
        <v>1307</v>
      </c>
      <c r="B174">
        <v>20</v>
      </c>
      <c r="C174" t="s">
        <v>1132</v>
      </c>
      <c r="D174">
        <v>8673</v>
      </c>
      <c r="E174">
        <v>753</v>
      </c>
      <c r="F174">
        <v>1453</v>
      </c>
    </row>
    <row r="175" spans="1:6">
      <c r="A175" t="s">
        <v>1308</v>
      </c>
      <c r="B175">
        <v>20</v>
      </c>
      <c r="C175" t="s">
        <v>1134</v>
      </c>
      <c r="D175">
        <v>5204</v>
      </c>
      <c r="E175">
        <v>753</v>
      </c>
      <c r="F175">
        <v>1453</v>
      </c>
    </row>
    <row r="176" spans="1:6">
      <c r="A176" t="s">
        <v>1309</v>
      </c>
      <c r="B176">
        <v>20</v>
      </c>
      <c r="C176" t="s">
        <v>1136</v>
      </c>
      <c r="D176">
        <v>1446</v>
      </c>
      <c r="E176">
        <v>753</v>
      </c>
      <c r="F176">
        <v>1453</v>
      </c>
    </row>
    <row r="177" spans="1:6">
      <c r="A177" t="s">
        <v>1310</v>
      </c>
      <c r="B177">
        <v>20</v>
      </c>
      <c r="C177" t="s">
        <v>1138</v>
      </c>
      <c r="D177">
        <v>434</v>
      </c>
      <c r="E177">
        <v>753</v>
      </c>
      <c r="F177">
        <v>1453</v>
      </c>
    </row>
    <row r="178" spans="1:6">
      <c r="A178" t="s">
        <v>1311</v>
      </c>
      <c r="B178">
        <v>20</v>
      </c>
      <c r="C178" t="s">
        <v>738</v>
      </c>
      <c r="D178">
        <v>11564</v>
      </c>
      <c r="E178">
        <v>753</v>
      </c>
      <c r="F178">
        <v>1453</v>
      </c>
    </row>
    <row r="179" spans="1:6">
      <c r="A179" t="s">
        <v>1312</v>
      </c>
      <c r="B179">
        <v>20</v>
      </c>
      <c r="C179" t="s">
        <v>1141</v>
      </c>
      <c r="D179">
        <v>26019</v>
      </c>
      <c r="E179">
        <v>753</v>
      </c>
      <c r="F179">
        <v>1453</v>
      </c>
    </row>
    <row r="180" spans="1:6">
      <c r="A180" t="s">
        <v>1313</v>
      </c>
      <c r="B180">
        <v>20</v>
      </c>
      <c r="C180" t="s">
        <v>159</v>
      </c>
      <c r="D180">
        <v>252950</v>
      </c>
      <c r="E180">
        <v>753</v>
      </c>
      <c r="F180">
        <v>1453</v>
      </c>
    </row>
    <row r="181" spans="1:6">
      <c r="A181" t="s">
        <v>1314</v>
      </c>
      <c r="B181">
        <v>20</v>
      </c>
      <c r="C181" t="s">
        <v>642</v>
      </c>
      <c r="D181">
        <v>126475</v>
      </c>
      <c r="E181">
        <v>753</v>
      </c>
      <c r="F181">
        <v>1453</v>
      </c>
    </row>
    <row r="182" spans="1:6">
      <c r="A182" t="s">
        <v>1315</v>
      </c>
      <c r="B182">
        <v>21</v>
      </c>
      <c r="C182" t="s">
        <v>149</v>
      </c>
      <c r="D182">
        <v>3088</v>
      </c>
      <c r="E182">
        <v>797</v>
      </c>
      <c r="F182">
        <v>1528</v>
      </c>
    </row>
    <row r="183" spans="1:6">
      <c r="A183" t="s">
        <v>1316</v>
      </c>
      <c r="B183">
        <v>21</v>
      </c>
      <c r="C183" t="s">
        <v>1132</v>
      </c>
      <c r="D183">
        <v>9264</v>
      </c>
      <c r="E183">
        <v>797</v>
      </c>
      <c r="F183">
        <v>1528</v>
      </c>
    </row>
    <row r="184" spans="1:6">
      <c r="A184" t="s">
        <v>1317</v>
      </c>
      <c r="B184">
        <v>21</v>
      </c>
      <c r="C184" t="s">
        <v>1134</v>
      </c>
      <c r="D184">
        <v>5559</v>
      </c>
      <c r="E184">
        <v>797</v>
      </c>
      <c r="F184">
        <v>1528</v>
      </c>
    </row>
    <row r="185" spans="1:6">
      <c r="A185" t="s">
        <v>1318</v>
      </c>
      <c r="B185">
        <v>21</v>
      </c>
      <c r="C185" t="s">
        <v>1136</v>
      </c>
      <c r="D185">
        <v>1544</v>
      </c>
      <c r="E185">
        <v>797</v>
      </c>
      <c r="F185">
        <v>1528</v>
      </c>
    </row>
    <row r="186" spans="1:6">
      <c r="A186" t="s">
        <v>1319</v>
      </c>
      <c r="B186">
        <v>21</v>
      </c>
      <c r="C186" t="s">
        <v>1138</v>
      </c>
      <c r="D186">
        <v>464</v>
      </c>
      <c r="E186">
        <v>797</v>
      </c>
      <c r="F186">
        <v>1528</v>
      </c>
    </row>
    <row r="187" spans="1:6">
      <c r="A187" t="s">
        <v>1320</v>
      </c>
      <c r="B187">
        <v>21</v>
      </c>
      <c r="C187" t="s">
        <v>738</v>
      </c>
      <c r="D187">
        <v>12352</v>
      </c>
      <c r="E187">
        <v>797</v>
      </c>
      <c r="F187">
        <v>1528</v>
      </c>
    </row>
    <row r="188" spans="1:6">
      <c r="A188" t="s">
        <v>1321</v>
      </c>
      <c r="B188">
        <v>21</v>
      </c>
      <c r="C188" t="s">
        <v>1141</v>
      </c>
      <c r="D188">
        <v>27792</v>
      </c>
      <c r="E188">
        <v>797</v>
      </c>
      <c r="F188">
        <v>1528</v>
      </c>
    </row>
    <row r="189" spans="1:6">
      <c r="A189" t="s">
        <v>1322</v>
      </c>
      <c r="B189">
        <v>21</v>
      </c>
      <c r="C189" t="s">
        <v>159</v>
      </c>
      <c r="D189">
        <v>268103</v>
      </c>
      <c r="E189">
        <v>797</v>
      </c>
      <c r="F189">
        <v>1528</v>
      </c>
    </row>
    <row r="190" spans="1:6">
      <c r="A190" t="s">
        <v>1323</v>
      </c>
      <c r="B190">
        <v>21</v>
      </c>
      <c r="C190" t="s">
        <v>642</v>
      </c>
      <c r="D190">
        <v>134052</v>
      </c>
      <c r="E190">
        <v>797</v>
      </c>
      <c r="F190">
        <v>1528</v>
      </c>
    </row>
    <row r="191" spans="1:6">
      <c r="A191" t="s">
        <v>1324</v>
      </c>
      <c r="B191">
        <v>22</v>
      </c>
      <c r="C191" t="s">
        <v>149</v>
      </c>
      <c r="D191">
        <v>3288</v>
      </c>
      <c r="E191">
        <v>842</v>
      </c>
      <c r="F191">
        <v>1603</v>
      </c>
    </row>
    <row r="192" spans="1:6">
      <c r="A192" t="s">
        <v>1325</v>
      </c>
      <c r="B192">
        <v>22</v>
      </c>
      <c r="C192" t="s">
        <v>1132</v>
      </c>
      <c r="D192">
        <v>9864</v>
      </c>
      <c r="E192">
        <v>842</v>
      </c>
      <c r="F192">
        <v>1603</v>
      </c>
    </row>
    <row r="193" spans="1:6">
      <c r="A193" t="s">
        <v>1326</v>
      </c>
      <c r="B193">
        <v>22</v>
      </c>
      <c r="C193" t="s">
        <v>1134</v>
      </c>
      <c r="D193">
        <v>5919</v>
      </c>
      <c r="E193">
        <v>842</v>
      </c>
      <c r="F193">
        <v>1603</v>
      </c>
    </row>
    <row r="194" spans="1:6">
      <c r="A194" t="s">
        <v>1327</v>
      </c>
      <c r="B194">
        <v>22</v>
      </c>
      <c r="C194" t="s">
        <v>1136</v>
      </c>
      <c r="D194">
        <v>1644</v>
      </c>
      <c r="E194">
        <v>842</v>
      </c>
      <c r="F194">
        <v>1603</v>
      </c>
    </row>
    <row r="195" spans="1:6">
      <c r="A195" t="s">
        <v>1328</v>
      </c>
      <c r="B195">
        <v>22</v>
      </c>
      <c r="C195" t="s">
        <v>1138</v>
      </c>
      <c r="D195">
        <v>494</v>
      </c>
      <c r="E195">
        <v>842</v>
      </c>
      <c r="F195">
        <v>1603</v>
      </c>
    </row>
    <row r="196" spans="1:6">
      <c r="A196" t="s">
        <v>1329</v>
      </c>
      <c r="B196">
        <v>22</v>
      </c>
      <c r="C196" t="s">
        <v>738</v>
      </c>
      <c r="D196">
        <v>13152</v>
      </c>
      <c r="E196">
        <v>842</v>
      </c>
      <c r="F196">
        <v>1603</v>
      </c>
    </row>
    <row r="197" spans="1:6">
      <c r="A197" t="s">
        <v>1330</v>
      </c>
      <c r="B197">
        <v>22</v>
      </c>
      <c r="C197" t="s">
        <v>1141</v>
      </c>
      <c r="D197">
        <v>29592</v>
      </c>
      <c r="E197">
        <v>842</v>
      </c>
      <c r="F197">
        <v>1603</v>
      </c>
    </row>
    <row r="198" spans="1:6">
      <c r="A198" t="s">
        <v>1331</v>
      </c>
      <c r="B198">
        <v>22</v>
      </c>
      <c r="C198" t="s">
        <v>159</v>
      </c>
      <c r="D198">
        <v>283645</v>
      </c>
      <c r="E198">
        <v>842</v>
      </c>
      <c r="F198">
        <v>1603</v>
      </c>
    </row>
    <row r="199" spans="1:6">
      <c r="A199" t="s">
        <v>1332</v>
      </c>
      <c r="B199">
        <v>22</v>
      </c>
      <c r="C199" t="s">
        <v>642</v>
      </c>
      <c r="D199">
        <v>141823</v>
      </c>
      <c r="E199">
        <v>842</v>
      </c>
      <c r="F199">
        <v>1603</v>
      </c>
    </row>
    <row r="200" spans="1:6">
      <c r="A200" t="s">
        <v>1333</v>
      </c>
      <c r="B200">
        <v>23</v>
      </c>
      <c r="C200" t="s">
        <v>149</v>
      </c>
      <c r="D200">
        <v>3494</v>
      </c>
      <c r="E200">
        <v>887</v>
      </c>
      <c r="F200">
        <v>1678</v>
      </c>
    </row>
    <row r="201" spans="1:6">
      <c r="A201" t="s">
        <v>1334</v>
      </c>
      <c r="B201">
        <v>23</v>
      </c>
      <c r="C201" t="s">
        <v>1132</v>
      </c>
      <c r="D201">
        <v>10482</v>
      </c>
      <c r="E201">
        <v>887</v>
      </c>
      <c r="F201">
        <v>1678</v>
      </c>
    </row>
    <row r="202" spans="1:6">
      <c r="A202" t="s">
        <v>1335</v>
      </c>
      <c r="B202">
        <v>23</v>
      </c>
      <c r="C202" t="s">
        <v>1134</v>
      </c>
      <c r="D202">
        <v>6290</v>
      </c>
      <c r="E202">
        <v>887</v>
      </c>
      <c r="F202">
        <v>1678</v>
      </c>
    </row>
    <row r="203" spans="1:6">
      <c r="A203" t="s">
        <v>1336</v>
      </c>
      <c r="B203">
        <v>23</v>
      </c>
      <c r="C203" t="s">
        <v>1136</v>
      </c>
      <c r="D203">
        <v>1747</v>
      </c>
      <c r="E203">
        <v>887</v>
      </c>
      <c r="F203">
        <v>1678</v>
      </c>
    </row>
    <row r="204" spans="1:6">
      <c r="A204" t="s">
        <v>1337</v>
      </c>
      <c r="B204">
        <v>23</v>
      </c>
      <c r="C204" t="s">
        <v>1138</v>
      </c>
      <c r="D204">
        <v>525</v>
      </c>
      <c r="E204">
        <v>887</v>
      </c>
      <c r="F204">
        <v>1678</v>
      </c>
    </row>
    <row r="205" spans="1:6">
      <c r="A205" t="s">
        <v>1338</v>
      </c>
      <c r="B205">
        <v>23</v>
      </c>
      <c r="C205" t="s">
        <v>738</v>
      </c>
      <c r="D205">
        <v>13976</v>
      </c>
      <c r="E205">
        <v>887</v>
      </c>
      <c r="F205">
        <v>1678</v>
      </c>
    </row>
    <row r="206" spans="1:6">
      <c r="A206" t="s">
        <v>1339</v>
      </c>
      <c r="B206">
        <v>23</v>
      </c>
      <c r="C206" t="s">
        <v>1141</v>
      </c>
      <c r="D206">
        <v>31446</v>
      </c>
      <c r="E206">
        <v>887</v>
      </c>
      <c r="F206">
        <v>1678</v>
      </c>
    </row>
    <row r="207" spans="1:6">
      <c r="A207" t="s">
        <v>1340</v>
      </c>
      <c r="B207">
        <v>23</v>
      </c>
      <c r="C207" t="s">
        <v>159</v>
      </c>
      <c r="D207">
        <v>299412</v>
      </c>
      <c r="E207">
        <v>887</v>
      </c>
      <c r="F207">
        <v>1678</v>
      </c>
    </row>
    <row r="208" spans="1:6">
      <c r="A208" t="s">
        <v>1341</v>
      </c>
      <c r="B208">
        <v>23</v>
      </c>
      <c r="C208" t="s">
        <v>642</v>
      </c>
      <c r="D208">
        <v>149706</v>
      </c>
      <c r="E208">
        <v>887</v>
      </c>
      <c r="F208">
        <v>1678</v>
      </c>
    </row>
    <row r="209" spans="1:6">
      <c r="A209" t="s">
        <v>1342</v>
      </c>
      <c r="B209">
        <v>24</v>
      </c>
      <c r="C209" t="s">
        <v>149</v>
      </c>
      <c r="D209">
        <v>3705</v>
      </c>
      <c r="E209">
        <v>933</v>
      </c>
      <c r="F209">
        <v>1753</v>
      </c>
    </row>
    <row r="210" spans="1:6">
      <c r="A210" t="s">
        <v>1343</v>
      </c>
      <c r="B210">
        <v>24</v>
      </c>
      <c r="C210" t="s">
        <v>1132</v>
      </c>
      <c r="D210">
        <v>11115</v>
      </c>
      <c r="E210">
        <v>933</v>
      </c>
      <c r="F210">
        <v>1753</v>
      </c>
    </row>
    <row r="211" spans="1:6">
      <c r="A211" t="s">
        <v>1344</v>
      </c>
      <c r="B211">
        <v>24</v>
      </c>
      <c r="C211" t="s">
        <v>1134</v>
      </c>
      <c r="D211">
        <v>6669</v>
      </c>
      <c r="E211">
        <v>933</v>
      </c>
      <c r="F211">
        <v>1753</v>
      </c>
    </row>
    <row r="212" spans="1:6">
      <c r="A212" t="s">
        <v>1345</v>
      </c>
      <c r="B212">
        <v>24</v>
      </c>
      <c r="C212" t="s">
        <v>1136</v>
      </c>
      <c r="D212">
        <v>1853</v>
      </c>
      <c r="E212">
        <v>933</v>
      </c>
      <c r="F212">
        <v>1753</v>
      </c>
    </row>
    <row r="213" spans="1:6">
      <c r="A213" t="s">
        <v>1346</v>
      </c>
      <c r="B213">
        <v>24</v>
      </c>
      <c r="C213" t="s">
        <v>1138</v>
      </c>
      <c r="D213">
        <v>556</v>
      </c>
      <c r="E213">
        <v>933</v>
      </c>
      <c r="F213">
        <v>1753</v>
      </c>
    </row>
    <row r="214" spans="1:6">
      <c r="A214" t="s">
        <v>1347</v>
      </c>
      <c r="B214">
        <v>24</v>
      </c>
      <c r="C214" t="s">
        <v>738</v>
      </c>
      <c r="D214">
        <v>14820</v>
      </c>
      <c r="E214">
        <v>933</v>
      </c>
      <c r="F214">
        <v>1753</v>
      </c>
    </row>
    <row r="215" spans="1:6">
      <c r="A215" t="s">
        <v>1348</v>
      </c>
      <c r="B215">
        <v>24</v>
      </c>
      <c r="C215" t="s">
        <v>1141</v>
      </c>
      <c r="D215">
        <v>33345</v>
      </c>
      <c r="E215">
        <v>933</v>
      </c>
      <c r="F215">
        <v>1753</v>
      </c>
    </row>
    <row r="216" spans="1:6">
      <c r="A216" t="s">
        <v>1349</v>
      </c>
      <c r="B216">
        <v>24</v>
      </c>
      <c r="C216" t="s">
        <v>159</v>
      </c>
      <c r="D216">
        <v>315492</v>
      </c>
      <c r="E216">
        <v>933</v>
      </c>
      <c r="F216">
        <v>1753</v>
      </c>
    </row>
    <row r="217" spans="1:6">
      <c r="A217" t="s">
        <v>1350</v>
      </c>
      <c r="B217">
        <v>24</v>
      </c>
      <c r="C217" t="s">
        <v>642</v>
      </c>
      <c r="D217">
        <v>157746</v>
      </c>
      <c r="E217">
        <v>933</v>
      </c>
      <c r="F217">
        <v>1753</v>
      </c>
    </row>
    <row r="218" spans="1:6">
      <c r="A218" t="s">
        <v>1351</v>
      </c>
      <c r="B218">
        <v>25</v>
      </c>
      <c r="C218" t="s">
        <v>149</v>
      </c>
      <c r="D218">
        <v>3920</v>
      </c>
      <c r="E218">
        <v>980</v>
      </c>
      <c r="F218">
        <v>1828</v>
      </c>
    </row>
    <row r="219" spans="1:6">
      <c r="A219" t="s">
        <v>1352</v>
      </c>
      <c r="B219">
        <v>25</v>
      </c>
      <c r="C219" t="s">
        <v>1132</v>
      </c>
      <c r="D219">
        <v>11760</v>
      </c>
      <c r="E219">
        <v>980</v>
      </c>
      <c r="F219">
        <v>1828</v>
      </c>
    </row>
    <row r="220" spans="1:6">
      <c r="A220" t="s">
        <v>1353</v>
      </c>
      <c r="B220">
        <v>25</v>
      </c>
      <c r="C220" t="s">
        <v>1134</v>
      </c>
      <c r="D220">
        <v>7056</v>
      </c>
      <c r="E220">
        <v>980</v>
      </c>
      <c r="F220">
        <v>1828</v>
      </c>
    </row>
    <row r="221" spans="1:6">
      <c r="A221" t="s">
        <v>1354</v>
      </c>
      <c r="B221">
        <v>25</v>
      </c>
      <c r="C221" t="s">
        <v>1136</v>
      </c>
      <c r="D221">
        <v>1960</v>
      </c>
      <c r="E221">
        <v>980</v>
      </c>
      <c r="F221">
        <v>1828</v>
      </c>
    </row>
    <row r="222" spans="1:6">
      <c r="A222" t="s">
        <v>1355</v>
      </c>
      <c r="B222">
        <v>25</v>
      </c>
      <c r="C222" t="s">
        <v>1138</v>
      </c>
      <c r="D222">
        <v>588</v>
      </c>
      <c r="E222">
        <v>980</v>
      </c>
      <c r="F222">
        <v>1828</v>
      </c>
    </row>
    <row r="223" spans="1:6">
      <c r="A223" t="s">
        <v>1356</v>
      </c>
      <c r="B223">
        <v>25</v>
      </c>
      <c r="C223" t="s">
        <v>738</v>
      </c>
      <c r="D223">
        <v>15680</v>
      </c>
      <c r="E223">
        <v>980</v>
      </c>
      <c r="F223">
        <v>1828</v>
      </c>
    </row>
    <row r="224" spans="1:6">
      <c r="A224" t="s">
        <v>1357</v>
      </c>
      <c r="B224">
        <v>25</v>
      </c>
      <c r="C224" t="s">
        <v>1141</v>
      </c>
      <c r="D224">
        <v>35280</v>
      </c>
      <c r="E224">
        <v>980</v>
      </c>
      <c r="F224">
        <v>1828</v>
      </c>
    </row>
    <row r="225" spans="1:6">
      <c r="A225" t="s">
        <v>1358</v>
      </c>
      <c r="B225">
        <v>25</v>
      </c>
      <c r="C225" t="s">
        <v>159</v>
      </c>
      <c r="D225">
        <v>331890</v>
      </c>
      <c r="E225">
        <v>980</v>
      </c>
      <c r="F225">
        <v>1828</v>
      </c>
    </row>
    <row r="226" spans="1:6">
      <c r="A226" t="s">
        <v>1359</v>
      </c>
      <c r="B226">
        <v>25</v>
      </c>
      <c r="C226" t="s">
        <v>642</v>
      </c>
      <c r="D226">
        <v>165945</v>
      </c>
      <c r="E226">
        <v>980</v>
      </c>
      <c r="F226">
        <v>1828</v>
      </c>
    </row>
    <row r="227" spans="1:6">
      <c r="A227" t="s">
        <v>1360</v>
      </c>
      <c r="B227">
        <v>26</v>
      </c>
      <c r="C227" t="s">
        <v>149</v>
      </c>
      <c r="D227">
        <v>4140</v>
      </c>
      <c r="E227">
        <v>1028</v>
      </c>
      <c r="F227">
        <v>1904</v>
      </c>
    </row>
    <row r="228" spans="1:6">
      <c r="A228" t="s">
        <v>1361</v>
      </c>
      <c r="B228">
        <v>26</v>
      </c>
      <c r="C228" t="s">
        <v>1132</v>
      </c>
      <c r="D228">
        <v>12420</v>
      </c>
      <c r="E228">
        <v>1028</v>
      </c>
      <c r="F228">
        <v>1904</v>
      </c>
    </row>
    <row r="229" spans="1:6">
      <c r="A229" t="s">
        <v>1362</v>
      </c>
      <c r="B229">
        <v>26</v>
      </c>
      <c r="C229" t="s">
        <v>1134</v>
      </c>
      <c r="D229">
        <v>7452</v>
      </c>
      <c r="E229">
        <v>1028</v>
      </c>
      <c r="F229">
        <v>1904</v>
      </c>
    </row>
    <row r="230" spans="1:6">
      <c r="A230" t="s">
        <v>1363</v>
      </c>
      <c r="B230">
        <v>26</v>
      </c>
      <c r="C230" t="s">
        <v>1136</v>
      </c>
      <c r="D230">
        <v>2070</v>
      </c>
      <c r="E230">
        <v>1028</v>
      </c>
      <c r="F230">
        <v>1904</v>
      </c>
    </row>
    <row r="231" spans="1:6">
      <c r="A231" t="s">
        <v>1364</v>
      </c>
      <c r="B231">
        <v>26</v>
      </c>
      <c r="C231" t="s">
        <v>1138</v>
      </c>
      <c r="D231">
        <v>621</v>
      </c>
      <c r="E231">
        <v>1028</v>
      </c>
      <c r="F231">
        <v>1904</v>
      </c>
    </row>
    <row r="232" spans="1:6">
      <c r="A232" t="s">
        <v>1365</v>
      </c>
      <c r="B232">
        <v>26</v>
      </c>
      <c r="C232" t="s">
        <v>738</v>
      </c>
      <c r="D232">
        <v>16560</v>
      </c>
      <c r="E232">
        <v>1028</v>
      </c>
      <c r="F232">
        <v>1904</v>
      </c>
    </row>
    <row r="233" spans="1:6">
      <c r="A233" t="s">
        <v>1366</v>
      </c>
      <c r="B233">
        <v>26</v>
      </c>
      <c r="C233" t="s">
        <v>1141</v>
      </c>
      <c r="D233">
        <v>37260</v>
      </c>
      <c r="E233">
        <v>1028</v>
      </c>
      <c r="F233">
        <v>1904</v>
      </c>
    </row>
    <row r="234" spans="1:6">
      <c r="A234" t="s">
        <v>1367</v>
      </c>
      <c r="B234">
        <v>26</v>
      </c>
      <c r="C234" t="s">
        <v>159</v>
      </c>
      <c r="D234">
        <v>348690</v>
      </c>
      <c r="E234">
        <v>1028</v>
      </c>
      <c r="F234">
        <v>1904</v>
      </c>
    </row>
    <row r="235" spans="1:6">
      <c r="A235" t="s">
        <v>1368</v>
      </c>
      <c r="B235">
        <v>26</v>
      </c>
      <c r="C235" t="s">
        <v>642</v>
      </c>
      <c r="D235">
        <v>174345</v>
      </c>
      <c r="E235">
        <v>1028</v>
      </c>
      <c r="F235">
        <v>1904</v>
      </c>
    </row>
    <row r="236" spans="1:6">
      <c r="A236" t="s">
        <v>1369</v>
      </c>
      <c r="B236">
        <v>27</v>
      </c>
      <c r="C236" t="s">
        <v>149</v>
      </c>
      <c r="D236">
        <v>4365</v>
      </c>
      <c r="E236">
        <v>1076</v>
      </c>
      <c r="F236">
        <v>1979</v>
      </c>
    </row>
    <row r="237" spans="1:6">
      <c r="A237" t="s">
        <v>1370</v>
      </c>
      <c r="B237">
        <v>27</v>
      </c>
      <c r="C237" t="s">
        <v>1132</v>
      </c>
      <c r="D237">
        <v>13095</v>
      </c>
      <c r="E237">
        <v>1076</v>
      </c>
      <c r="F237">
        <v>1979</v>
      </c>
    </row>
    <row r="238" spans="1:6">
      <c r="A238" t="s">
        <v>1371</v>
      </c>
      <c r="B238">
        <v>27</v>
      </c>
      <c r="C238" t="s">
        <v>1134</v>
      </c>
      <c r="D238">
        <v>7857</v>
      </c>
      <c r="E238">
        <v>1076</v>
      </c>
      <c r="F238">
        <v>1979</v>
      </c>
    </row>
    <row r="239" spans="1:6">
      <c r="A239" t="s">
        <v>1372</v>
      </c>
      <c r="B239">
        <v>27</v>
      </c>
      <c r="C239" t="s">
        <v>1136</v>
      </c>
      <c r="D239">
        <v>2183</v>
      </c>
      <c r="E239">
        <v>1076</v>
      </c>
      <c r="F239">
        <v>1979</v>
      </c>
    </row>
    <row r="240" spans="1:6">
      <c r="A240" t="s">
        <v>1373</v>
      </c>
      <c r="B240">
        <v>27</v>
      </c>
      <c r="C240" t="s">
        <v>1138</v>
      </c>
      <c r="D240">
        <v>655</v>
      </c>
      <c r="E240">
        <v>1076</v>
      </c>
      <c r="F240">
        <v>1979</v>
      </c>
    </row>
    <row r="241" spans="1:6">
      <c r="A241" t="s">
        <v>1374</v>
      </c>
      <c r="B241">
        <v>27</v>
      </c>
      <c r="C241" t="s">
        <v>738</v>
      </c>
      <c r="D241">
        <v>17460</v>
      </c>
      <c r="E241">
        <v>1076</v>
      </c>
      <c r="F241">
        <v>1979</v>
      </c>
    </row>
    <row r="242" spans="1:6">
      <c r="A242" t="s">
        <v>1375</v>
      </c>
      <c r="B242">
        <v>27</v>
      </c>
      <c r="C242" t="s">
        <v>1141</v>
      </c>
      <c r="D242">
        <v>39285</v>
      </c>
      <c r="E242">
        <v>1076</v>
      </c>
      <c r="F242">
        <v>1979</v>
      </c>
    </row>
    <row r="243" spans="1:6">
      <c r="A243" t="s">
        <v>1376</v>
      </c>
      <c r="B243">
        <v>27</v>
      </c>
      <c r="C243" t="s">
        <v>159</v>
      </c>
      <c r="D243">
        <v>365818</v>
      </c>
      <c r="E243">
        <v>1076</v>
      </c>
      <c r="F243">
        <v>1979</v>
      </c>
    </row>
    <row r="244" spans="1:6">
      <c r="A244" t="s">
        <v>1377</v>
      </c>
      <c r="B244">
        <v>27</v>
      </c>
      <c r="C244" t="s">
        <v>642</v>
      </c>
      <c r="D244">
        <v>182909</v>
      </c>
      <c r="E244">
        <v>1076</v>
      </c>
      <c r="F244">
        <v>1979</v>
      </c>
    </row>
    <row r="245" spans="1:6">
      <c r="A245" t="s">
        <v>1378</v>
      </c>
      <c r="B245">
        <v>28</v>
      </c>
      <c r="C245" t="s">
        <v>149</v>
      </c>
      <c r="D245">
        <v>4594</v>
      </c>
      <c r="E245">
        <v>1125</v>
      </c>
      <c r="F245">
        <v>2055</v>
      </c>
    </row>
    <row r="246" spans="1:6">
      <c r="A246" t="s">
        <v>1379</v>
      </c>
      <c r="B246">
        <v>28</v>
      </c>
      <c r="C246" t="s">
        <v>1132</v>
      </c>
      <c r="D246">
        <v>13782</v>
      </c>
      <c r="E246">
        <v>1125</v>
      </c>
      <c r="F246">
        <v>2055</v>
      </c>
    </row>
    <row r="247" spans="1:6">
      <c r="A247" t="s">
        <v>1380</v>
      </c>
      <c r="B247">
        <v>28</v>
      </c>
      <c r="C247" t="s">
        <v>1134</v>
      </c>
      <c r="D247">
        <v>8270</v>
      </c>
      <c r="E247">
        <v>1125</v>
      </c>
      <c r="F247">
        <v>2055</v>
      </c>
    </row>
    <row r="248" spans="1:6">
      <c r="A248" t="s">
        <v>1381</v>
      </c>
      <c r="B248">
        <v>28</v>
      </c>
      <c r="C248" t="s">
        <v>1136</v>
      </c>
      <c r="D248">
        <v>2297</v>
      </c>
      <c r="E248">
        <v>1125</v>
      </c>
      <c r="F248">
        <v>2055</v>
      </c>
    </row>
    <row r="249" spans="1:6">
      <c r="A249" t="s">
        <v>1382</v>
      </c>
      <c r="B249">
        <v>28</v>
      </c>
      <c r="C249" t="s">
        <v>1138</v>
      </c>
      <c r="D249">
        <v>690</v>
      </c>
      <c r="E249">
        <v>1125</v>
      </c>
      <c r="F249">
        <v>2055</v>
      </c>
    </row>
    <row r="250" spans="1:6">
      <c r="A250" t="s">
        <v>1383</v>
      </c>
      <c r="B250">
        <v>28</v>
      </c>
      <c r="C250" t="s">
        <v>738</v>
      </c>
      <c r="D250">
        <v>18376</v>
      </c>
      <c r="E250">
        <v>1125</v>
      </c>
      <c r="F250">
        <v>2055</v>
      </c>
    </row>
    <row r="251" spans="1:6">
      <c r="A251" t="s">
        <v>1384</v>
      </c>
      <c r="B251">
        <v>28</v>
      </c>
      <c r="C251" t="s">
        <v>1141</v>
      </c>
      <c r="D251">
        <v>41346</v>
      </c>
      <c r="E251">
        <v>1125</v>
      </c>
      <c r="F251">
        <v>2055</v>
      </c>
    </row>
    <row r="252" spans="1:6">
      <c r="A252" t="s">
        <v>1385</v>
      </c>
      <c r="B252">
        <v>28</v>
      </c>
      <c r="C252" t="s">
        <v>159</v>
      </c>
      <c r="D252">
        <v>383278</v>
      </c>
      <c r="E252">
        <v>1125</v>
      </c>
      <c r="F252">
        <v>2055</v>
      </c>
    </row>
    <row r="253" spans="1:6">
      <c r="A253" t="s">
        <v>1386</v>
      </c>
      <c r="B253">
        <v>28</v>
      </c>
      <c r="C253" t="s">
        <v>642</v>
      </c>
      <c r="D253">
        <v>191639</v>
      </c>
      <c r="E253">
        <v>1125</v>
      </c>
      <c r="F253">
        <v>2055</v>
      </c>
    </row>
    <row r="254" spans="1:6">
      <c r="A254" t="s">
        <v>1387</v>
      </c>
      <c r="B254">
        <v>29</v>
      </c>
      <c r="C254" t="s">
        <v>149</v>
      </c>
      <c r="D254">
        <v>4828</v>
      </c>
      <c r="E254">
        <v>1174</v>
      </c>
      <c r="F254">
        <v>2131</v>
      </c>
    </row>
    <row r="255" spans="1:6">
      <c r="A255" t="s">
        <v>1388</v>
      </c>
      <c r="B255">
        <v>29</v>
      </c>
      <c r="C255" t="s">
        <v>1132</v>
      </c>
      <c r="D255">
        <v>14484</v>
      </c>
      <c r="E255">
        <v>1174</v>
      </c>
      <c r="F255">
        <v>2131</v>
      </c>
    </row>
    <row r="256" spans="1:6">
      <c r="A256" t="s">
        <v>1389</v>
      </c>
      <c r="B256">
        <v>29</v>
      </c>
      <c r="C256" t="s">
        <v>1134</v>
      </c>
      <c r="D256">
        <v>8691</v>
      </c>
      <c r="E256">
        <v>1174</v>
      </c>
      <c r="F256">
        <v>2131</v>
      </c>
    </row>
    <row r="257" spans="1:6">
      <c r="A257" t="s">
        <v>1390</v>
      </c>
      <c r="B257">
        <v>29</v>
      </c>
      <c r="C257" t="s">
        <v>1136</v>
      </c>
      <c r="D257">
        <v>2414</v>
      </c>
      <c r="E257">
        <v>1174</v>
      </c>
      <c r="F257">
        <v>2131</v>
      </c>
    </row>
    <row r="258" spans="1:6">
      <c r="A258" t="s">
        <v>1391</v>
      </c>
      <c r="B258">
        <v>29</v>
      </c>
      <c r="C258" t="s">
        <v>1138</v>
      </c>
      <c r="D258">
        <v>725</v>
      </c>
      <c r="E258">
        <v>1174</v>
      </c>
      <c r="F258">
        <v>2131</v>
      </c>
    </row>
    <row r="259" spans="1:6">
      <c r="A259" t="s">
        <v>1392</v>
      </c>
      <c r="B259">
        <v>29</v>
      </c>
      <c r="C259" t="s">
        <v>738</v>
      </c>
      <c r="D259">
        <v>19312</v>
      </c>
      <c r="E259">
        <v>1174</v>
      </c>
      <c r="F259">
        <v>2131</v>
      </c>
    </row>
    <row r="260" spans="1:6">
      <c r="A260" t="s">
        <v>1393</v>
      </c>
      <c r="B260">
        <v>29</v>
      </c>
      <c r="C260" t="s">
        <v>1141</v>
      </c>
      <c r="D260">
        <v>43452</v>
      </c>
      <c r="E260">
        <v>1174</v>
      </c>
      <c r="F260">
        <v>2131</v>
      </c>
    </row>
    <row r="261" spans="1:6">
      <c r="A261" t="s">
        <v>1394</v>
      </c>
      <c r="B261">
        <v>29</v>
      </c>
      <c r="C261" t="s">
        <v>159</v>
      </c>
      <c r="D261">
        <v>401153</v>
      </c>
      <c r="E261">
        <v>1174</v>
      </c>
      <c r="F261">
        <v>2131</v>
      </c>
    </row>
    <row r="262" spans="1:6">
      <c r="A262" t="s">
        <v>1395</v>
      </c>
      <c r="B262">
        <v>29</v>
      </c>
      <c r="C262" t="s">
        <v>642</v>
      </c>
      <c r="D262">
        <v>200576</v>
      </c>
      <c r="E262">
        <v>1174</v>
      </c>
      <c r="F262">
        <v>2131</v>
      </c>
    </row>
    <row r="263" spans="1:6">
      <c r="A263" t="s">
        <v>1396</v>
      </c>
      <c r="B263">
        <v>30</v>
      </c>
      <c r="C263" t="s">
        <v>149</v>
      </c>
      <c r="D263">
        <v>5068</v>
      </c>
      <c r="E263">
        <v>1224</v>
      </c>
      <c r="F263">
        <v>2207</v>
      </c>
    </row>
    <row r="264" spans="1:6">
      <c r="A264" t="s">
        <v>1397</v>
      </c>
      <c r="B264">
        <v>30</v>
      </c>
      <c r="C264" t="s">
        <v>1132</v>
      </c>
      <c r="D264">
        <v>15204</v>
      </c>
      <c r="E264">
        <v>1224</v>
      </c>
      <c r="F264">
        <v>2207</v>
      </c>
    </row>
    <row r="265" spans="1:6">
      <c r="A265" t="s">
        <v>1398</v>
      </c>
      <c r="B265">
        <v>30</v>
      </c>
      <c r="C265" t="s">
        <v>1134</v>
      </c>
      <c r="D265">
        <v>9123</v>
      </c>
      <c r="E265">
        <v>1224</v>
      </c>
      <c r="F265">
        <v>2207</v>
      </c>
    </row>
    <row r="266" spans="1:6">
      <c r="A266" t="s">
        <v>1399</v>
      </c>
      <c r="B266">
        <v>30</v>
      </c>
      <c r="C266" t="s">
        <v>1136</v>
      </c>
      <c r="D266">
        <v>2534</v>
      </c>
      <c r="E266">
        <v>1224</v>
      </c>
      <c r="F266">
        <v>2207</v>
      </c>
    </row>
    <row r="267" spans="1:6">
      <c r="A267" t="s">
        <v>1400</v>
      </c>
      <c r="B267">
        <v>30</v>
      </c>
      <c r="C267" t="s">
        <v>1138</v>
      </c>
      <c r="D267">
        <v>761</v>
      </c>
      <c r="E267">
        <v>1224</v>
      </c>
      <c r="F267">
        <v>2207</v>
      </c>
    </row>
    <row r="268" spans="1:6">
      <c r="A268" t="s">
        <v>1401</v>
      </c>
      <c r="B268">
        <v>30</v>
      </c>
      <c r="C268" t="s">
        <v>738</v>
      </c>
      <c r="D268">
        <v>20272</v>
      </c>
      <c r="E268">
        <v>1224</v>
      </c>
      <c r="F268">
        <v>2207</v>
      </c>
    </row>
    <row r="269" spans="1:6">
      <c r="A269" t="s">
        <v>1402</v>
      </c>
      <c r="B269">
        <v>30</v>
      </c>
      <c r="C269" t="s">
        <v>1141</v>
      </c>
      <c r="D269">
        <v>45612</v>
      </c>
      <c r="E269">
        <v>1224</v>
      </c>
      <c r="F269">
        <v>2207</v>
      </c>
    </row>
    <row r="270" spans="1:6">
      <c r="A270" t="s">
        <v>1403</v>
      </c>
      <c r="B270">
        <v>30</v>
      </c>
      <c r="C270" t="s">
        <v>159</v>
      </c>
      <c r="D270">
        <v>419446</v>
      </c>
      <c r="E270">
        <v>1224</v>
      </c>
      <c r="F270">
        <v>2207</v>
      </c>
    </row>
    <row r="271" spans="1:6">
      <c r="A271" t="s">
        <v>1404</v>
      </c>
      <c r="B271">
        <v>30</v>
      </c>
      <c r="C271" t="s">
        <v>642</v>
      </c>
      <c r="D271">
        <v>209723</v>
      </c>
      <c r="E271">
        <v>1224</v>
      </c>
      <c r="F271">
        <v>2207</v>
      </c>
    </row>
    <row r="272" spans="1:6">
      <c r="A272" t="s">
        <v>1405</v>
      </c>
      <c r="B272">
        <v>31</v>
      </c>
      <c r="C272" t="s">
        <v>149</v>
      </c>
      <c r="D272">
        <v>5311</v>
      </c>
      <c r="E272">
        <v>1275</v>
      </c>
      <c r="F272">
        <v>2284</v>
      </c>
    </row>
    <row r="273" spans="1:6">
      <c r="A273" t="s">
        <v>1406</v>
      </c>
      <c r="B273">
        <v>31</v>
      </c>
      <c r="C273" t="s">
        <v>1132</v>
      </c>
      <c r="D273">
        <v>15933</v>
      </c>
      <c r="E273">
        <v>1275</v>
      </c>
      <c r="F273">
        <v>2284</v>
      </c>
    </row>
    <row r="274" spans="1:6">
      <c r="A274" t="s">
        <v>1407</v>
      </c>
      <c r="B274">
        <v>31</v>
      </c>
      <c r="C274" t="s">
        <v>1134</v>
      </c>
      <c r="D274">
        <v>9560</v>
      </c>
      <c r="E274">
        <v>1275</v>
      </c>
      <c r="F274">
        <v>2284</v>
      </c>
    </row>
    <row r="275" spans="1:6">
      <c r="A275" t="s">
        <v>1408</v>
      </c>
      <c r="B275">
        <v>31</v>
      </c>
      <c r="C275" t="s">
        <v>1136</v>
      </c>
      <c r="D275">
        <v>2656</v>
      </c>
      <c r="E275">
        <v>1275</v>
      </c>
      <c r="F275">
        <v>2284</v>
      </c>
    </row>
    <row r="276" spans="1:6">
      <c r="A276" t="s">
        <v>1409</v>
      </c>
      <c r="B276">
        <v>31</v>
      </c>
      <c r="C276" t="s">
        <v>1138</v>
      </c>
      <c r="D276">
        <v>797</v>
      </c>
      <c r="E276">
        <v>1275</v>
      </c>
      <c r="F276">
        <v>2284</v>
      </c>
    </row>
    <row r="277" spans="1:6">
      <c r="A277" t="s">
        <v>1410</v>
      </c>
      <c r="B277">
        <v>31</v>
      </c>
      <c r="C277" t="s">
        <v>738</v>
      </c>
      <c r="D277">
        <v>21244</v>
      </c>
      <c r="E277">
        <v>1275</v>
      </c>
      <c r="F277">
        <v>2284</v>
      </c>
    </row>
    <row r="278" spans="1:6">
      <c r="A278" t="s">
        <v>1411</v>
      </c>
      <c r="B278">
        <v>31</v>
      </c>
      <c r="C278" t="s">
        <v>1141</v>
      </c>
      <c r="D278">
        <v>47799</v>
      </c>
      <c r="E278">
        <v>1275</v>
      </c>
      <c r="F278">
        <v>2284</v>
      </c>
    </row>
    <row r="279" spans="1:6">
      <c r="A279" t="s">
        <v>1412</v>
      </c>
      <c r="B279">
        <v>31</v>
      </c>
      <c r="C279" t="s">
        <v>159</v>
      </c>
      <c r="D279">
        <v>438088</v>
      </c>
      <c r="E279">
        <v>1275</v>
      </c>
      <c r="F279">
        <v>2284</v>
      </c>
    </row>
    <row r="280" spans="1:6">
      <c r="A280" t="s">
        <v>1413</v>
      </c>
      <c r="B280">
        <v>31</v>
      </c>
      <c r="C280" t="s">
        <v>642</v>
      </c>
      <c r="D280">
        <v>219044</v>
      </c>
      <c r="E280">
        <v>1275</v>
      </c>
      <c r="F280">
        <v>2284</v>
      </c>
    </row>
    <row r="281" spans="1:6">
      <c r="A281" t="s">
        <v>1414</v>
      </c>
      <c r="B281">
        <v>32</v>
      </c>
      <c r="C281" t="s">
        <v>149</v>
      </c>
      <c r="D281">
        <v>5560</v>
      </c>
      <c r="E281">
        <v>1327</v>
      </c>
      <c r="F281">
        <v>2361</v>
      </c>
    </row>
    <row r="282" spans="1:6">
      <c r="A282" t="s">
        <v>1415</v>
      </c>
      <c r="B282">
        <v>32</v>
      </c>
      <c r="C282" t="s">
        <v>1132</v>
      </c>
      <c r="D282">
        <v>16680</v>
      </c>
      <c r="E282">
        <v>1327</v>
      </c>
      <c r="F282">
        <v>2361</v>
      </c>
    </row>
    <row r="283" spans="1:6">
      <c r="A283" t="s">
        <v>1416</v>
      </c>
      <c r="B283">
        <v>32</v>
      </c>
      <c r="C283" t="s">
        <v>1134</v>
      </c>
      <c r="D283">
        <v>10008</v>
      </c>
      <c r="E283">
        <v>1327</v>
      </c>
      <c r="F283">
        <v>2361</v>
      </c>
    </row>
    <row r="284" spans="1:6">
      <c r="A284" t="s">
        <v>1417</v>
      </c>
      <c r="B284">
        <v>32</v>
      </c>
      <c r="C284" t="s">
        <v>1136</v>
      </c>
      <c r="D284">
        <v>2780</v>
      </c>
      <c r="E284">
        <v>1327</v>
      </c>
      <c r="F284">
        <v>2361</v>
      </c>
    </row>
    <row r="285" spans="1:6">
      <c r="A285" t="s">
        <v>1418</v>
      </c>
      <c r="B285">
        <v>32</v>
      </c>
      <c r="C285" t="s">
        <v>1138</v>
      </c>
      <c r="D285">
        <v>834</v>
      </c>
      <c r="E285">
        <v>1327</v>
      </c>
      <c r="F285">
        <v>2361</v>
      </c>
    </row>
    <row r="286" spans="1:6">
      <c r="A286" t="s">
        <v>1419</v>
      </c>
      <c r="B286">
        <v>32</v>
      </c>
      <c r="C286" t="s">
        <v>738</v>
      </c>
      <c r="D286">
        <v>22240</v>
      </c>
      <c r="E286">
        <v>1327</v>
      </c>
      <c r="F286">
        <v>2361</v>
      </c>
    </row>
    <row r="287" spans="1:6">
      <c r="A287" t="s">
        <v>1420</v>
      </c>
      <c r="B287">
        <v>32</v>
      </c>
      <c r="C287" t="s">
        <v>1141</v>
      </c>
      <c r="D287">
        <v>50040</v>
      </c>
      <c r="E287">
        <v>1327</v>
      </c>
      <c r="F287">
        <v>2361</v>
      </c>
    </row>
    <row r="288" spans="1:6">
      <c r="A288" t="s">
        <v>1421</v>
      </c>
      <c r="B288">
        <v>32</v>
      </c>
      <c r="C288" t="s">
        <v>159</v>
      </c>
      <c r="D288">
        <v>457157</v>
      </c>
      <c r="E288">
        <v>1327</v>
      </c>
      <c r="F288">
        <v>2361</v>
      </c>
    </row>
    <row r="289" spans="1:6">
      <c r="A289" t="s">
        <v>1422</v>
      </c>
      <c r="B289">
        <v>32</v>
      </c>
      <c r="C289" t="s">
        <v>642</v>
      </c>
      <c r="D289">
        <v>228579</v>
      </c>
      <c r="E289">
        <v>1327</v>
      </c>
      <c r="F289">
        <v>2361</v>
      </c>
    </row>
    <row r="290" spans="1:6">
      <c r="A290" t="s">
        <v>1423</v>
      </c>
      <c r="B290">
        <v>33</v>
      </c>
      <c r="C290" t="s">
        <v>149</v>
      </c>
      <c r="D290">
        <v>5814</v>
      </c>
      <c r="E290">
        <v>1379</v>
      </c>
      <c r="F290">
        <v>2437</v>
      </c>
    </row>
    <row r="291" spans="1:6">
      <c r="A291" t="s">
        <v>1424</v>
      </c>
      <c r="B291">
        <v>33</v>
      </c>
      <c r="C291" t="s">
        <v>1132</v>
      </c>
      <c r="D291">
        <v>17442</v>
      </c>
      <c r="E291">
        <v>1379</v>
      </c>
      <c r="F291">
        <v>2437</v>
      </c>
    </row>
    <row r="292" spans="1:6">
      <c r="A292" t="s">
        <v>1425</v>
      </c>
      <c r="B292">
        <v>33</v>
      </c>
      <c r="C292" t="s">
        <v>1134</v>
      </c>
      <c r="D292">
        <v>10466</v>
      </c>
      <c r="E292">
        <v>1379</v>
      </c>
      <c r="F292">
        <v>2437</v>
      </c>
    </row>
    <row r="293" spans="1:6">
      <c r="A293" t="s">
        <v>1426</v>
      </c>
      <c r="B293">
        <v>33</v>
      </c>
      <c r="C293" t="s">
        <v>1136</v>
      </c>
      <c r="D293">
        <v>2907</v>
      </c>
      <c r="E293">
        <v>1379</v>
      </c>
      <c r="F293">
        <v>2437</v>
      </c>
    </row>
    <row r="294" spans="1:6">
      <c r="A294" t="s">
        <v>1427</v>
      </c>
      <c r="B294">
        <v>33</v>
      </c>
      <c r="C294" t="s">
        <v>1138</v>
      </c>
      <c r="D294">
        <v>873</v>
      </c>
      <c r="E294">
        <v>1379</v>
      </c>
      <c r="F294">
        <v>2437</v>
      </c>
    </row>
    <row r="295" spans="1:6">
      <c r="A295" t="s">
        <v>1428</v>
      </c>
      <c r="B295">
        <v>33</v>
      </c>
      <c r="C295" t="s">
        <v>738</v>
      </c>
      <c r="D295">
        <v>23256</v>
      </c>
      <c r="E295">
        <v>1379</v>
      </c>
      <c r="F295">
        <v>2437</v>
      </c>
    </row>
    <row r="296" spans="1:6">
      <c r="A296" t="s">
        <v>1429</v>
      </c>
      <c r="B296">
        <v>33</v>
      </c>
      <c r="C296" t="s">
        <v>1141</v>
      </c>
      <c r="D296">
        <v>52326</v>
      </c>
      <c r="E296">
        <v>1379</v>
      </c>
      <c r="F296">
        <v>2437</v>
      </c>
    </row>
    <row r="297" spans="1:6">
      <c r="A297" t="s">
        <v>1430</v>
      </c>
      <c r="B297">
        <v>33</v>
      </c>
      <c r="C297" t="s">
        <v>159</v>
      </c>
      <c r="D297">
        <v>476660</v>
      </c>
      <c r="E297">
        <v>1379</v>
      </c>
      <c r="F297">
        <v>2437</v>
      </c>
    </row>
    <row r="298" spans="1:6">
      <c r="A298" t="s">
        <v>1431</v>
      </c>
      <c r="B298">
        <v>33</v>
      </c>
      <c r="C298" t="s">
        <v>642</v>
      </c>
      <c r="D298">
        <v>238330</v>
      </c>
      <c r="E298">
        <v>1379</v>
      </c>
      <c r="F298">
        <v>2437</v>
      </c>
    </row>
    <row r="299" spans="1:6">
      <c r="A299" t="s">
        <v>1432</v>
      </c>
      <c r="B299">
        <v>34</v>
      </c>
      <c r="C299" t="s">
        <v>149</v>
      </c>
      <c r="D299">
        <v>6072</v>
      </c>
      <c r="E299">
        <v>1432</v>
      </c>
      <c r="F299">
        <v>2514</v>
      </c>
    </row>
    <row r="300" spans="1:6">
      <c r="A300" t="s">
        <v>1433</v>
      </c>
      <c r="B300">
        <v>34</v>
      </c>
      <c r="C300" t="s">
        <v>1132</v>
      </c>
      <c r="D300">
        <v>18216</v>
      </c>
      <c r="E300">
        <v>1432</v>
      </c>
      <c r="F300">
        <v>2514</v>
      </c>
    </row>
    <row r="301" spans="1:6">
      <c r="A301" t="s">
        <v>1434</v>
      </c>
      <c r="B301">
        <v>34</v>
      </c>
      <c r="C301" t="s">
        <v>1134</v>
      </c>
      <c r="D301">
        <v>10930</v>
      </c>
      <c r="E301">
        <v>1432</v>
      </c>
      <c r="F301">
        <v>2514</v>
      </c>
    </row>
    <row r="302" spans="1:6">
      <c r="A302" t="s">
        <v>1435</v>
      </c>
      <c r="B302">
        <v>34</v>
      </c>
      <c r="C302" t="s">
        <v>1136</v>
      </c>
      <c r="D302">
        <v>3036</v>
      </c>
      <c r="E302">
        <v>1432</v>
      </c>
      <c r="F302">
        <v>2514</v>
      </c>
    </row>
    <row r="303" spans="1:6">
      <c r="A303" t="s">
        <v>1436</v>
      </c>
      <c r="B303">
        <v>34</v>
      </c>
      <c r="C303" t="s">
        <v>1138</v>
      </c>
      <c r="D303">
        <v>911</v>
      </c>
      <c r="E303">
        <v>1432</v>
      </c>
      <c r="F303">
        <v>2514</v>
      </c>
    </row>
    <row r="304" spans="1:6">
      <c r="A304" t="s">
        <v>1437</v>
      </c>
      <c r="B304">
        <v>34</v>
      </c>
      <c r="C304" t="s">
        <v>738</v>
      </c>
      <c r="D304">
        <v>24288</v>
      </c>
      <c r="E304">
        <v>1432</v>
      </c>
      <c r="F304">
        <v>2514</v>
      </c>
    </row>
    <row r="305" spans="1:6">
      <c r="A305" t="s">
        <v>1438</v>
      </c>
      <c r="B305">
        <v>34</v>
      </c>
      <c r="C305" t="s">
        <v>1141</v>
      </c>
      <c r="D305">
        <v>54648</v>
      </c>
      <c r="E305">
        <v>1432</v>
      </c>
      <c r="F305">
        <v>2514</v>
      </c>
    </row>
    <row r="306" spans="1:6">
      <c r="A306" t="s">
        <v>1439</v>
      </c>
      <c r="B306">
        <v>34</v>
      </c>
      <c r="C306" t="s">
        <v>159</v>
      </c>
      <c r="D306">
        <v>496599</v>
      </c>
      <c r="E306">
        <v>1432</v>
      </c>
      <c r="F306">
        <v>2514</v>
      </c>
    </row>
    <row r="307" spans="1:6">
      <c r="A307" t="s">
        <v>1440</v>
      </c>
      <c r="B307">
        <v>34</v>
      </c>
      <c r="C307" t="s">
        <v>642</v>
      </c>
      <c r="D307">
        <v>248299</v>
      </c>
      <c r="E307">
        <v>1432</v>
      </c>
      <c r="F307">
        <v>2514</v>
      </c>
    </row>
    <row r="308" spans="1:6">
      <c r="A308" t="s">
        <v>1441</v>
      </c>
      <c r="B308">
        <v>35</v>
      </c>
      <c r="C308" t="s">
        <v>149</v>
      </c>
      <c r="D308">
        <v>6335</v>
      </c>
      <c r="E308">
        <v>1486</v>
      </c>
      <c r="F308">
        <v>2591</v>
      </c>
    </row>
    <row r="309" spans="1:6">
      <c r="A309" t="s">
        <v>1442</v>
      </c>
      <c r="B309">
        <v>35</v>
      </c>
      <c r="C309" t="s">
        <v>1132</v>
      </c>
      <c r="D309">
        <v>19005</v>
      </c>
      <c r="E309">
        <v>1486</v>
      </c>
      <c r="F309">
        <v>2591</v>
      </c>
    </row>
    <row r="310" spans="1:6">
      <c r="A310" t="s">
        <v>1443</v>
      </c>
      <c r="B310">
        <v>35</v>
      </c>
      <c r="C310" t="s">
        <v>1134</v>
      </c>
      <c r="D310">
        <v>11403</v>
      </c>
      <c r="E310">
        <v>1486</v>
      </c>
      <c r="F310">
        <v>2591</v>
      </c>
    </row>
    <row r="311" spans="1:6">
      <c r="A311" t="s">
        <v>1444</v>
      </c>
      <c r="B311">
        <v>35</v>
      </c>
      <c r="C311" t="s">
        <v>1136</v>
      </c>
      <c r="D311">
        <v>3168</v>
      </c>
      <c r="E311">
        <v>1486</v>
      </c>
      <c r="F311">
        <v>2591</v>
      </c>
    </row>
    <row r="312" spans="1:6">
      <c r="A312" t="s">
        <v>1445</v>
      </c>
      <c r="B312">
        <v>35</v>
      </c>
      <c r="C312" t="s">
        <v>1138</v>
      </c>
      <c r="D312">
        <v>951</v>
      </c>
      <c r="E312">
        <v>1486</v>
      </c>
      <c r="F312">
        <v>2591</v>
      </c>
    </row>
    <row r="313" spans="1:6">
      <c r="A313" t="s">
        <v>1446</v>
      </c>
      <c r="B313">
        <v>35</v>
      </c>
      <c r="C313" t="s">
        <v>738</v>
      </c>
      <c r="D313">
        <v>25340</v>
      </c>
      <c r="E313">
        <v>1486</v>
      </c>
      <c r="F313">
        <v>2591</v>
      </c>
    </row>
    <row r="314" spans="1:6">
      <c r="A314" t="s">
        <v>1447</v>
      </c>
      <c r="B314">
        <v>35</v>
      </c>
      <c r="C314" t="s">
        <v>1141</v>
      </c>
      <c r="D314">
        <v>57015</v>
      </c>
      <c r="E314">
        <v>1486</v>
      </c>
      <c r="F314">
        <v>2591</v>
      </c>
    </row>
    <row r="315" spans="1:6">
      <c r="A315" t="s">
        <v>1448</v>
      </c>
      <c r="B315">
        <v>35</v>
      </c>
      <c r="C315" t="s">
        <v>159</v>
      </c>
      <c r="D315">
        <v>516979</v>
      </c>
      <c r="E315">
        <v>1486</v>
      </c>
      <c r="F315">
        <v>2591</v>
      </c>
    </row>
    <row r="316" spans="1:6">
      <c r="A316" t="s">
        <v>1449</v>
      </c>
      <c r="B316">
        <v>35</v>
      </c>
      <c r="C316" t="s">
        <v>642</v>
      </c>
      <c r="D316">
        <v>258490</v>
      </c>
      <c r="E316">
        <v>1486</v>
      </c>
      <c r="F316">
        <v>2591</v>
      </c>
    </row>
    <row r="317" spans="1:6">
      <c r="A317" t="s">
        <v>1450</v>
      </c>
      <c r="B317">
        <v>36</v>
      </c>
      <c r="C317" t="s">
        <v>149</v>
      </c>
      <c r="D317">
        <v>6603</v>
      </c>
      <c r="E317">
        <v>1540</v>
      </c>
      <c r="F317">
        <v>2669</v>
      </c>
    </row>
    <row r="318" spans="1:6">
      <c r="A318" t="s">
        <v>1451</v>
      </c>
      <c r="B318">
        <v>36</v>
      </c>
      <c r="C318" t="s">
        <v>1132</v>
      </c>
      <c r="D318">
        <v>19809</v>
      </c>
      <c r="E318">
        <v>1540</v>
      </c>
      <c r="F318">
        <v>2669</v>
      </c>
    </row>
    <row r="319" spans="1:6">
      <c r="A319" t="s">
        <v>1452</v>
      </c>
      <c r="B319">
        <v>36</v>
      </c>
      <c r="C319" t="s">
        <v>1134</v>
      </c>
      <c r="D319">
        <v>11886</v>
      </c>
      <c r="E319">
        <v>1540</v>
      </c>
      <c r="F319">
        <v>2669</v>
      </c>
    </row>
    <row r="320" spans="1:6">
      <c r="A320" t="s">
        <v>1453</v>
      </c>
      <c r="B320">
        <v>36</v>
      </c>
      <c r="C320" t="s">
        <v>1136</v>
      </c>
      <c r="D320">
        <v>3302</v>
      </c>
      <c r="E320">
        <v>1540</v>
      </c>
      <c r="F320">
        <v>2669</v>
      </c>
    </row>
    <row r="321" spans="1:6">
      <c r="A321" t="s">
        <v>1454</v>
      </c>
      <c r="B321">
        <v>36</v>
      </c>
      <c r="C321" t="s">
        <v>1138</v>
      </c>
      <c r="D321">
        <v>991</v>
      </c>
      <c r="E321">
        <v>1540</v>
      </c>
      <c r="F321">
        <v>2669</v>
      </c>
    </row>
    <row r="322" spans="1:6">
      <c r="A322" t="s">
        <v>1455</v>
      </c>
      <c r="B322">
        <v>36</v>
      </c>
      <c r="C322" t="s">
        <v>738</v>
      </c>
      <c r="D322">
        <v>26412</v>
      </c>
      <c r="E322">
        <v>1540</v>
      </c>
      <c r="F322">
        <v>2669</v>
      </c>
    </row>
    <row r="323" spans="1:6">
      <c r="A323" t="s">
        <v>1456</v>
      </c>
      <c r="B323">
        <v>36</v>
      </c>
      <c r="C323" t="s">
        <v>1141</v>
      </c>
      <c r="D323">
        <v>59427</v>
      </c>
      <c r="E323">
        <v>1540</v>
      </c>
      <c r="F323">
        <v>2669</v>
      </c>
    </row>
    <row r="324" spans="1:6">
      <c r="A324" t="s">
        <v>1457</v>
      </c>
      <c r="B324">
        <v>36</v>
      </c>
      <c r="C324" t="s">
        <v>159</v>
      </c>
      <c r="D324">
        <v>537806</v>
      </c>
      <c r="E324">
        <v>1540</v>
      </c>
      <c r="F324">
        <v>2669</v>
      </c>
    </row>
    <row r="325" spans="1:6">
      <c r="A325" t="s">
        <v>1458</v>
      </c>
      <c r="B325">
        <v>36</v>
      </c>
      <c r="C325" t="s">
        <v>642</v>
      </c>
      <c r="D325">
        <v>268903</v>
      </c>
      <c r="E325">
        <v>1540</v>
      </c>
      <c r="F325">
        <v>2669</v>
      </c>
    </row>
    <row r="326" spans="1:6">
      <c r="A326" t="s">
        <v>1459</v>
      </c>
      <c r="B326">
        <v>37</v>
      </c>
      <c r="C326" t="s">
        <v>149</v>
      </c>
      <c r="D326">
        <v>6876</v>
      </c>
      <c r="E326">
        <v>1595</v>
      </c>
      <c r="F326">
        <v>2746</v>
      </c>
    </row>
    <row r="327" spans="1:6">
      <c r="A327" t="s">
        <v>1460</v>
      </c>
      <c r="B327">
        <v>37</v>
      </c>
      <c r="C327" t="s">
        <v>1132</v>
      </c>
      <c r="D327">
        <v>20628</v>
      </c>
      <c r="E327">
        <v>1595</v>
      </c>
      <c r="F327">
        <v>2746</v>
      </c>
    </row>
    <row r="328" spans="1:6">
      <c r="A328" t="s">
        <v>1461</v>
      </c>
      <c r="B328">
        <v>37</v>
      </c>
      <c r="C328" t="s">
        <v>1134</v>
      </c>
      <c r="D328">
        <v>12377</v>
      </c>
      <c r="E328">
        <v>1595</v>
      </c>
      <c r="F328">
        <v>2746</v>
      </c>
    </row>
    <row r="329" spans="1:6">
      <c r="A329" t="s">
        <v>1462</v>
      </c>
      <c r="B329">
        <v>37</v>
      </c>
      <c r="C329" t="s">
        <v>1136</v>
      </c>
      <c r="D329">
        <v>3438</v>
      </c>
      <c r="E329">
        <v>1595</v>
      </c>
      <c r="F329">
        <v>2746</v>
      </c>
    </row>
    <row r="330" spans="1:6">
      <c r="A330" t="s">
        <v>1463</v>
      </c>
      <c r="B330">
        <v>37</v>
      </c>
      <c r="C330" t="s">
        <v>1138</v>
      </c>
      <c r="D330">
        <v>1032</v>
      </c>
      <c r="E330">
        <v>1595</v>
      </c>
      <c r="F330">
        <v>2746</v>
      </c>
    </row>
    <row r="331" spans="1:6">
      <c r="A331" t="s">
        <v>1464</v>
      </c>
      <c r="B331">
        <v>37</v>
      </c>
      <c r="C331" t="s">
        <v>738</v>
      </c>
      <c r="D331">
        <v>27504</v>
      </c>
      <c r="E331">
        <v>1595</v>
      </c>
      <c r="F331">
        <v>2746</v>
      </c>
    </row>
    <row r="332" spans="1:6">
      <c r="A332" t="s">
        <v>1465</v>
      </c>
      <c r="B332">
        <v>37</v>
      </c>
      <c r="C332" t="s">
        <v>1141</v>
      </c>
      <c r="D332">
        <v>61884</v>
      </c>
      <c r="E332">
        <v>1595</v>
      </c>
      <c r="F332">
        <v>2746</v>
      </c>
    </row>
    <row r="333" spans="1:6">
      <c r="A333" t="s">
        <v>1466</v>
      </c>
      <c r="B333">
        <v>37</v>
      </c>
      <c r="C333" t="s">
        <v>159</v>
      </c>
      <c r="D333">
        <v>559084</v>
      </c>
      <c r="E333">
        <v>1595</v>
      </c>
      <c r="F333">
        <v>2746</v>
      </c>
    </row>
    <row r="334" spans="1:6">
      <c r="A334" t="s">
        <v>1467</v>
      </c>
      <c r="B334">
        <v>37</v>
      </c>
      <c r="C334" t="s">
        <v>642</v>
      </c>
      <c r="D334">
        <v>279542</v>
      </c>
      <c r="E334">
        <v>1595</v>
      </c>
      <c r="F334">
        <v>2746</v>
      </c>
    </row>
    <row r="335" spans="1:6">
      <c r="A335" t="s">
        <v>1468</v>
      </c>
      <c r="B335">
        <v>38</v>
      </c>
      <c r="C335" t="s">
        <v>149</v>
      </c>
      <c r="D335">
        <v>7154</v>
      </c>
      <c r="E335">
        <v>1651</v>
      </c>
      <c r="F335">
        <v>2824</v>
      </c>
    </row>
    <row r="336" spans="1:6">
      <c r="A336" t="s">
        <v>1469</v>
      </c>
      <c r="B336">
        <v>38</v>
      </c>
      <c r="C336" t="s">
        <v>1132</v>
      </c>
      <c r="D336">
        <v>21462</v>
      </c>
      <c r="E336">
        <v>1651</v>
      </c>
      <c r="F336">
        <v>2824</v>
      </c>
    </row>
    <row r="337" spans="1:6">
      <c r="A337" t="s">
        <v>1470</v>
      </c>
      <c r="B337">
        <v>38</v>
      </c>
      <c r="C337" t="s">
        <v>1134</v>
      </c>
      <c r="D337">
        <v>12878</v>
      </c>
      <c r="E337">
        <v>1651</v>
      </c>
      <c r="F337">
        <v>2824</v>
      </c>
    </row>
    <row r="338" spans="1:6">
      <c r="A338" t="s">
        <v>1471</v>
      </c>
      <c r="B338">
        <v>38</v>
      </c>
      <c r="C338" t="s">
        <v>1136</v>
      </c>
      <c r="D338">
        <v>3577</v>
      </c>
      <c r="E338">
        <v>1651</v>
      </c>
      <c r="F338">
        <v>2824</v>
      </c>
    </row>
    <row r="339" spans="1:6">
      <c r="A339" t="s">
        <v>1472</v>
      </c>
      <c r="B339">
        <v>38</v>
      </c>
      <c r="C339" t="s">
        <v>1138</v>
      </c>
      <c r="D339">
        <v>1074</v>
      </c>
      <c r="E339">
        <v>1651</v>
      </c>
      <c r="F339">
        <v>2824</v>
      </c>
    </row>
    <row r="340" spans="1:6">
      <c r="A340" t="s">
        <v>1473</v>
      </c>
      <c r="B340">
        <v>38</v>
      </c>
      <c r="C340" t="s">
        <v>738</v>
      </c>
      <c r="D340">
        <v>28616</v>
      </c>
      <c r="E340">
        <v>1651</v>
      </c>
      <c r="F340">
        <v>2824</v>
      </c>
    </row>
    <row r="341" spans="1:6">
      <c r="A341" t="s">
        <v>1474</v>
      </c>
      <c r="B341">
        <v>38</v>
      </c>
      <c r="C341" t="s">
        <v>1141</v>
      </c>
      <c r="D341">
        <v>64386</v>
      </c>
      <c r="E341">
        <v>1651</v>
      </c>
      <c r="F341">
        <v>2824</v>
      </c>
    </row>
    <row r="342" spans="1:6">
      <c r="A342" t="s">
        <v>1475</v>
      </c>
      <c r="B342">
        <v>38</v>
      </c>
      <c r="C342" t="s">
        <v>159</v>
      </c>
      <c r="D342">
        <v>580888</v>
      </c>
      <c r="E342">
        <v>1651</v>
      </c>
      <c r="F342">
        <v>2824</v>
      </c>
    </row>
    <row r="343" spans="1:6">
      <c r="A343" t="s">
        <v>1476</v>
      </c>
      <c r="B343">
        <v>38</v>
      </c>
      <c r="C343" t="s">
        <v>642</v>
      </c>
      <c r="D343">
        <v>290444</v>
      </c>
      <c r="E343">
        <v>1651</v>
      </c>
      <c r="F343">
        <v>2824</v>
      </c>
    </row>
    <row r="344" spans="1:6">
      <c r="A344" t="s">
        <v>1477</v>
      </c>
      <c r="B344">
        <v>39</v>
      </c>
      <c r="C344" t="s">
        <v>149</v>
      </c>
      <c r="D344">
        <v>7437</v>
      </c>
      <c r="E344">
        <v>1707</v>
      </c>
      <c r="F344">
        <v>2902</v>
      </c>
    </row>
    <row r="345" spans="1:6">
      <c r="A345" t="s">
        <v>1478</v>
      </c>
      <c r="B345">
        <v>39</v>
      </c>
      <c r="C345" t="s">
        <v>1132</v>
      </c>
      <c r="D345">
        <v>22311</v>
      </c>
      <c r="E345">
        <v>1707</v>
      </c>
      <c r="F345">
        <v>2902</v>
      </c>
    </row>
    <row r="346" spans="1:6">
      <c r="A346" t="s">
        <v>1479</v>
      </c>
      <c r="B346">
        <v>39</v>
      </c>
      <c r="C346" t="s">
        <v>1134</v>
      </c>
      <c r="D346">
        <v>13387</v>
      </c>
      <c r="E346">
        <v>1707</v>
      </c>
      <c r="F346">
        <v>2902</v>
      </c>
    </row>
    <row r="347" spans="1:6">
      <c r="A347" t="s">
        <v>1480</v>
      </c>
      <c r="B347">
        <v>39</v>
      </c>
      <c r="C347" t="s">
        <v>1136</v>
      </c>
      <c r="D347">
        <v>3719</v>
      </c>
      <c r="E347">
        <v>1707</v>
      </c>
      <c r="F347">
        <v>2902</v>
      </c>
    </row>
    <row r="348" spans="1:6">
      <c r="A348" t="s">
        <v>1481</v>
      </c>
      <c r="B348">
        <v>39</v>
      </c>
      <c r="C348" t="s">
        <v>1138</v>
      </c>
      <c r="D348">
        <v>1116</v>
      </c>
      <c r="E348">
        <v>1707</v>
      </c>
      <c r="F348">
        <v>2902</v>
      </c>
    </row>
    <row r="349" spans="1:6">
      <c r="A349" t="s">
        <v>1482</v>
      </c>
      <c r="B349">
        <v>39</v>
      </c>
      <c r="C349" t="s">
        <v>738</v>
      </c>
      <c r="D349">
        <v>29748</v>
      </c>
      <c r="E349">
        <v>1707</v>
      </c>
      <c r="F349">
        <v>2902</v>
      </c>
    </row>
    <row r="350" spans="1:6">
      <c r="A350" t="s">
        <v>1483</v>
      </c>
      <c r="B350">
        <v>39</v>
      </c>
      <c r="C350" t="s">
        <v>1141</v>
      </c>
      <c r="D350">
        <v>66933</v>
      </c>
      <c r="E350">
        <v>1707</v>
      </c>
      <c r="F350">
        <v>2902</v>
      </c>
    </row>
    <row r="351" spans="1:6">
      <c r="A351" t="s">
        <v>1484</v>
      </c>
      <c r="B351">
        <v>39</v>
      </c>
      <c r="C351" t="s">
        <v>159</v>
      </c>
      <c r="D351">
        <v>603151</v>
      </c>
      <c r="E351">
        <v>1707</v>
      </c>
      <c r="F351">
        <v>2902</v>
      </c>
    </row>
    <row r="352" spans="1:6">
      <c r="A352" t="s">
        <v>1485</v>
      </c>
      <c r="B352">
        <v>39</v>
      </c>
      <c r="C352" t="s">
        <v>642</v>
      </c>
      <c r="D352">
        <v>301575</v>
      </c>
      <c r="E352">
        <v>1707</v>
      </c>
      <c r="F352">
        <v>2902</v>
      </c>
    </row>
    <row r="353" spans="1:6">
      <c r="A353" t="s">
        <v>1486</v>
      </c>
      <c r="B353">
        <v>40</v>
      </c>
      <c r="C353" t="s">
        <v>149</v>
      </c>
      <c r="D353">
        <v>7725</v>
      </c>
      <c r="E353">
        <v>1765</v>
      </c>
      <c r="F353">
        <v>2980</v>
      </c>
    </row>
    <row r="354" spans="1:6">
      <c r="A354" t="s">
        <v>1487</v>
      </c>
      <c r="B354">
        <v>40</v>
      </c>
      <c r="C354" t="s">
        <v>1132</v>
      </c>
      <c r="D354">
        <v>23175</v>
      </c>
      <c r="E354">
        <v>1765</v>
      </c>
      <c r="F354">
        <v>2980</v>
      </c>
    </row>
    <row r="355" spans="1:6">
      <c r="A355" t="s">
        <v>1488</v>
      </c>
      <c r="B355">
        <v>40</v>
      </c>
      <c r="C355" t="s">
        <v>1134</v>
      </c>
      <c r="D355">
        <v>13905</v>
      </c>
      <c r="E355">
        <v>1765</v>
      </c>
      <c r="F355">
        <v>2980</v>
      </c>
    </row>
    <row r="356" spans="1:6">
      <c r="A356" t="s">
        <v>1489</v>
      </c>
      <c r="B356">
        <v>40</v>
      </c>
      <c r="C356" t="s">
        <v>1136</v>
      </c>
      <c r="D356">
        <v>3863</v>
      </c>
      <c r="E356">
        <v>1765</v>
      </c>
      <c r="F356">
        <v>2980</v>
      </c>
    </row>
    <row r="357" spans="1:6">
      <c r="A357" t="s">
        <v>1490</v>
      </c>
      <c r="B357">
        <v>40</v>
      </c>
      <c r="C357" t="s">
        <v>1138</v>
      </c>
      <c r="D357">
        <v>1159</v>
      </c>
      <c r="E357">
        <v>1765</v>
      </c>
      <c r="F357">
        <v>2980</v>
      </c>
    </row>
    <row r="358" spans="1:6">
      <c r="A358" t="s">
        <v>1491</v>
      </c>
      <c r="B358">
        <v>40</v>
      </c>
      <c r="C358" t="s">
        <v>738</v>
      </c>
      <c r="D358">
        <v>30900</v>
      </c>
      <c r="E358">
        <v>1765</v>
      </c>
      <c r="F358">
        <v>2980</v>
      </c>
    </row>
    <row r="359" spans="1:6">
      <c r="A359" t="s">
        <v>1492</v>
      </c>
      <c r="B359">
        <v>40</v>
      </c>
      <c r="C359" t="s">
        <v>1141</v>
      </c>
      <c r="D359">
        <v>69525</v>
      </c>
      <c r="E359">
        <v>1765</v>
      </c>
      <c r="F359">
        <v>2980</v>
      </c>
    </row>
    <row r="360" spans="1:6">
      <c r="A360" t="s">
        <v>1493</v>
      </c>
      <c r="B360">
        <v>40</v>
      </c>
      <c r="C360" t="s">
        <v>159</v>
      </c>
      <c r="D360">
        <v>625948</v>
      </c>
      <c r="E360">
        <v>1765</v>
      </c>
      <c r="F360">
        <v>2980</v>
      </c>
    </row>
    <row r="361" spans="1:6">
      <c r="A361" t="s">
        <v>1494</v>
      </c>
      <c r="B361">
        <v>40</v>
      </c>
      <c r="C361" t="s">
        <v>642</v>
      </c>
      <c r="D361">
        <v>312974</v>
      </c>
      <c r="E361">
        <v>1765</v>
      </c>
      <c r="F361">
        <v>2980</v>
      </c>
    </row>
    <row r="362" spans="1:6">
      <c r="A362" t="s">
        <v>1495</v>
      </c>
      <c r="B362">
        <v>41</v>
      </c>
      <c r="C362" t="s">
        <v>149</v>
      </c>
      <c r="D362">
        <v>8017</v>
      </c>
      <c r="E362">
        <v>1823</v>
      </c>
      <c r="F362">
        <v>3058</v>
      </c>
    </row>
    <row r="363" spans="1:6">
      <c r="A363" t="s">
        <v>1496</v>
      </c>
      <c r="B363">
        <v>41</v>
      </c>
      <c r="C363" t="s">
        <v>1132</v>
      </c>
      <c r="D363">
        <v>24051</v>
      </c>
      <c r="E363">
        <v>1823</v>
      </c>
      <c r="F363">
        <v>3058</v>
      </c>
    </row>
    <row r="364" spans="1:6">
      <c r="A364" t="s">
        <v>1497</v>
      </c>
      <c r="B364">
        <v>41</v>
      </c>
      <c r="C364" t="s">
        <v>1134</v>
      </c>
      <c r="D364">
        <v>14431</v>
      </c>
      <c r="E364">
        <v>1823</v>
      </c>
      <c r="F364">
        <v>3058</v>
      </c>
    </row>
    <row r="365" spans="1:6">
      <c r="A365" t="s">
        <v>1498</v>
      </c>
      <c r="B365">
        <v>41</v>
      </c>
      <c r="C365" t="s">
        <v>1136</v>
      </c>
      <c r="D365">
        <v>4009</v>
      </c>
      <c r="E365">
        <v>1823</v>
      </c>
      <c r="F365">
        <v>3058</v>
      </c>
    </row>
    <row r="366" spans="1:6">
      <c r="A366" t="s">
        <v>1499</v>
      </c>
      <c r="B366">
        <v>41</v>
      </c>
      <c r="C366" t="s">
        <v>1138</v>
      </c>
      <c r="D366">
        <v>1203</v>
      </c>
      <c r="E366">
        <v>1823</v>
      </c>
      <c r="F366">
        <v>3058</v>
      </c>
    </row>
    <row r="367" spans="1:6">
      <c r="A367" t="s">
        <v>1500</v>
      </c>
      <c r="B367">
        <v>41</v>
      </c>
      <c r="C367" t="s">
        <v>738</v>
      </c>
      <c r="D367">
        <v>32068</v>
      </c>
      <c r="E367">
        <v>1823</v>
      </c>
      <c r="F367">
        <v>3058</v>
      </c>
    </row>
    <row r="368" spans="1:6">
      <c r="A368" t="s">
        <v>1501</v>
      </c>
      <c r="B368">
        <v>41</v>
      </c>
      <c r="C368" t="s">
        <v>1141</v>
      </c>
      <c r="D368">
        <v>72153</v>
      </c>
      <c r="E368">
        <v>1823</v>
      </c>
      <c r="F368">
        <v>3058</v>
      </c>
    </row>
    <row r="369" spans="1:6">
      <c r="A369" t="s">
        <v>1502</v>
      </c>
      <c r="B369">
        <v>41</v>
      </c>
      <c r="C369" t="s">
        <v>159</v>
      </c>
      <c r="D369">
        <v>649212</v>
      </c>
      <c r="E369">
        <v>1823</v>
      </c>
      <c r="F369">
        <v>3058</v>
      </c>
    </row>
    <row r="370" spans="1:6">
      <c r="A370" t="s">
        <v>1503</v>
      </c>
      <c r="B370">
        <v>41</v>
      </c>
      <c r="C370" t="s">
        <v>642</v>
      </c>
      <c r="D370">
        <v>324606</v>
      </c>
      <c r="E370">
        <v>1823</v>
      </c>
      <c r="F370">
        <v>3058</v>
      </c>
    </row>
    <row r="371" spans="1:6">
      <c r="A371" t="s">
        <v>1504</v>
      </c>
      <c r="B371">
        <v>42</v>
      </c>
      <c r="C371" t="s">
        <v>149</v>
      </c>
      <c r="D371">
        <v>8315</v>
      </c>
      <c r="E371">
        <v>1881</v>
      </c>
      <c r="F371">
        <v>3137</v>
      </c>
    </row>
    <row r="372" spans="1:6">
      <c r="A372" t="s">
        <v>1505</v>
      </c>
      <c r="B372">
        <v>42</v>
      </c>
      <c r="C372" t="s">
        <v>1132</v>
      </c>
      <c r="D372">
        <v>24945</v>
      </c>
      <c r="E372">
        <v>1881</v>
      </c>
      <c r="F372">
        <v>3137</v>
      </c>
    </row>
    <row r="373" spans="1:6">
      <c r="A373" t="s">
        <v>1506</v>
      </c>
      <c r="B373">
        <v>42</v>
      </c>
      <c r="C373" t="s">
        <v>1134</v>
      </c>
      <c r="D373">
        <v>14967</v>
      </c>
      <c r="E373">
        <v>1881</v>
      </c>
      <c r="F373">
        <v>3137</v>
      </c>
    </row>
    <row r="374" spans="1:6">
      <c r="A374" t="s">
        <v>1507</v>
      </c>
      <c r="B374">
        <v>42</v>
      </c>
      <c r="C374" t="s">
        <v>1136</v>
      </c>
      <c r="D374">
        <v>4158</v>
      </c>
      <c r="E374">
        <v>1881</v>
      </c>
      <c r="F374">
        <v>3137</v>
      </c>
    </row>
    <row r="375" spans="1:6">
      <c r="A375" t="s">
        <v>1508</v>
      </c>
      <c r="B375">
        <v>42</v>
      </c>
      <c r="C375" t="s">
        <v>1138</v>
      </c>
      <c r="D375">
        <v>1248</v>
      </c>
      <c r="E375">
        <v>1881</v>
      </c>
      <c r="F375">
        <v>3137</v>
      </c>
    </row>
    <row r="376" spans="1:6">
      <c r="A376" t="s">
        <v>1509</v>
      </c>
      <c r="B376">
        <v>42</v>
      </c>
      <c r="C376" t="s">
        <v>738</v>
      </c>
      <c r="D376">
        <v>33260</v>
      </c>
      <c r="E376">
        <v>1881</v>
      </c>
      <c r="F376">
        <v>3137</v>
      </c>
    </row>
    <row r="377" spans="1:6">
      <c r="A377" t="s">
        <v>1510</v>
      </c>
      <c r="B377">
        <v>42</v>
      </c>
      <c r="C377" t="s">
        <v>1141</v>
      </c>
      <c r="D377">
        <v>74835</v>
      </c>
      <c r="E377">
        <v>1881</v>
      </c>
      <c r="F377">
        <v>3137</v>
      </c>
    </row>
    <row r="378" spans="1:6">
      <c r="A378" t="s">
        <v>1511</v>
      </c>
      <c r="B378">
        <v>42</v>
      </c>
      <c r="C378" t="s">
        <v>159</v>
      </c>
      <c r="D378">
        <v>673018</v>
      </c>
      <c r="E378">
        <v>1881</v>
      </c>
      <c r="F378">
        <v>3137</v>
      </c>
    </row>
    <row r="379" spans="1:6">
      <c r="A379" t="s">
        <v>1512</v>
      </c>
      <c r="B379">
        <v>42</v>
      </c>
      <c r="C379" t="s">
        <v>642</v>
      </c>
      <c r="D379">
        <v>336509</v>
      </c>
      <c r="E379">
        <v>1881</v>
      </c>
      <c r="F379">
        <v>3137</v>
      </c>
    </row>
    <row r="380" spans="1:6">
      <c r="A380" t="s">
        <v>1513</v>
      </c>
      <c r="B380">
        <v>43</v>
      </c>
      <c r="C380" t="s">
        <v>149</v>
      </c>
      <c r="D380">
        <v>8618</v>
      </c>
      <c r="E380">
        <v>1941</v>
      </c>
      <c r="F380">
        <v>3216</v>
      </c>
    </row>
    <row r="381" spans="1:6">
      <c r="A381" t="s">
        <v>1514</v>
      </c>
      <c r="B381">
        <v>43</v>
      </c>
      <c r="C381" t="s">
        <v>1132</v>
      </c>
      <c r="D381">
        <v>25854</v>
      </c>
      <c r="E381">
        <v>1941</v>
      </c>
      <c r="F381">
        <v>3216</v>
      </c>
    </row>
    <row r="382" spans="1:6">
      <c r="A382" t="s">
        <v>1515</v>
      </c>
      <c r="B382">
        <v>43</v>
      </c>
      <c r="C382" t="s">
        <v>1134</v>
      </c>
      <c r="D382">
        <v>15513</v>
      </c>
      <c r="E382">
        <v>1941</v>
      </c>
      <c r="F382">
        <v>3216</v>
      </c>
    </row>
    <row r="383" spans="1:6">
      <c r="A383" t="s">
        <v>1516</v>
      </c>
      <c r="B383">
        <v>43</v>
      </c>
      <c r="C383" t="s">
        <v>1136</v>
      </c>
      <c r="D383">
        <v>4309</v>
      </c>
      <c r="E383">
        <v>1941</v>
      </c>
      <c r="F383">
        <v>3216</v>
      </c>
    </row>
    <row r="384" spans="1:6">
      <c r="A384" t="s">
        <v>1517</v>
      </c>
      <c r="B384">
        <v>43</v>
      </c>
      <c r="C384" t="s">
        <v>1138</v>
      </c>
      <c r="D384">
        <v>1293</v>
      </c>
      <c r="E384">
        <v>1941</v>
      </c>
      <c r="F384">
        <v>3216</v>
      </c>
    </row>
    <row r="385" spans="1:6">
      <c r="A385" t="s">
        <v>1518</v>
      </c>
      <c r="B385">
        <v>43</v>
      </c>
      <c r="C385" t="s">
        <v>738</v>
      </c>
      <c r="D385">
        <v>34472</v>
      </c>
      <c r="E385">
        <v>1941</v>
      </c>
      <c r="F385">
        <v>3216</v>
      </c>
    </row>
    <row r="386" spans="1:6">
      <c r="A386" t="s">
        <v>1519</v>
      </c>
      <c r="B386">
        <v>43</v>
      </c>
      <c r="C386" t="s">
        <v>1141</v>
      </c>
      <c r="D386">
        <v>77562</v>
      </c>
      <c r="E386">
        <v>1941</v>
      </c>
      <c r="F386">
        <v>3216</v>
      </c>
    </row>
    <row r="387" spans="1:6">
      <c r="A387" t="s">
        <v>1520</v>
      </c>
      <c r="B387">
        <v>43</v>
      </c>
      <c r="C387" t="s">
        <v>159</v>
      </c>
      <c r="D387">
        <v>697368</v>
      </c>
      <c r="E387">
        <v>1941</v>
      </c>
      <c r="F387">
        <v>3216</v>
      </c>
    </row>
    <row r="388" spans="1:6">
      <c r="A388" t="s">
        <v>1521</v>
      </c>
      <c r="B388">
        <v>43</v>
      </c>
      <c r="C388" t="s">
        <v>642</v>
      </c>
      <c r="D388">
        <v>348684</v>
      </c>
      <c r="E388">
        <v>1941</v>
      </c>
      <c r="F388">
        <v>3216</v>
      </c>
    </row>
    <row r="389" spans="1:6">
      <c r="A389" t="s">
        <v>1522</v>
      </c>
      <c r="B389">
        <v>44</v>
      </c>
      <c r="C389" t="s">
        <v>149</v>
      </c>
      <c r="D389">
        <v>8926</v>
      </c>
      <c r="E389">
        <v>2001</v>
      </c>
      <c r="F389">
        <v>3294</v>
      </c>
    </row>
    <row r="390" spans="1:6">
      <c r="A390" t="s">
        <v>1523</v>
      </c>
      <c r="B390">
        <v>44</v>
      </c>
      <c r="C390" t="s">
        <v>1132</v>
      </c>
      <c r="D390">
        <v>26778</v>
      </c>
      <c r="E390">
        <v>2001</v>
      </c>
      <c r="F390">
        <v>3294</v>
      </c>
    </row>
    <row r="391" spans="1:6">
      <c r="A391" t="s">
        <v>1524</v>
      </c>
      <c r="B391">
        <v>44</v>
      </c>
      <c r="C391" t="s">
        <v>1134</v>
      </c>
      <c r="D391">
        <v>16067</v>
      </c>
      <c r="E391">
        <v>2001</v>
      </c>
      <c r="F391">
        <v>3294</v>
      </c>
    </row>
    <row r="392" spans="1:6">
      <c r="A392" t="s">
        <v>1525</v>
      </c>
      <c r="B392">
        <v>44</v>
      </c>
      <c r="C392" t="s">
        <v>1136</v>
      </c>
      <c r="D392">
        <v>4463</v>
      </c>
      <c r="E392">
        <v>2001</v>
      </c>
      <c r="F392">
        <v>3294</v>
      </c>
    </row>
    <row r="393" spans="1:6">
      <c r="A393" t="s">
        <v>1526</v>
      </c>
      <c r="B393">
        <v>44</v>
      </c>
      <c r="C393" t="s">
        <v>1138</v>
      </c>
      <c r="D393">
        <v>1339</v>
      </c>
      <c r="E393">
        <v>2001</v>
      </c>
      <c r="F393">
        <v>3294</v>
      </c>
    </row>
    <row r="394" spans="1:6">
      <c r="A394" t="s">
        <v>1527</v>
      </c>
      <c r="B394">
        <v>44</v>
      </c>
      <c r="C394" t="s">
        <v>738</v>
      </c>
      <c r="D394">
        <v>35704</v>
      </c>
      <c r="E394">
        <v>2001</v>
      </c>
      <c r="F394">
        <v>3294</v>
      </c>
    </row>
    <row r="395" spans="1:6">
      <c r="A395" t="s">
        <v>1528</v>
      </c>
      <c r="B395">
        <v>44</v>
      </c>
      <c r="C395" t="s">
        <v>1141</v>
      </c>
      <c r="D395">
        <v>80334</v>
      </c>
      <c r="E395">
        <v>2001</v>
      </c>
      <c r="F395">
        <v>3294</v>
      </c>
    </row>
    <row r="396" spans="1:6">
      <c r="A396" t="s">
        <v>1529</v>
      </c>
      <c r="B396">
        <v>44</v>
      </c>
      <c r="C396" t="s">
        <v>159</v>
      </c>
      <c r="D396">
        <v>722267</v>
      </c>
      <c r="E396">
        <v>2001</v>
      </c>
      <c r="F396">
        <v>3294</v>
      </c>
    </row>
    <row r="397" spans="1:6">
      <c r="A397" t="s">
        <v>1530</v>
      </c>
      <c r="B397">
        <v>44</v>
      </c>
      <c r="C397" t="s">
        <v>642</v>
      </c>
      <c r="D397">
        <v>361133</v>
      </c>
      <c r="E397">
        <v>2001</v>
      </c>
      <c r="F397">
        <v>3294</v>
      </c>
    </row>
    <row r="398" spans="1:6">
      <c r="A398" t="s">
        <v>1531</v>
      </c>
      <c r="B398">
        <v>45</v>
      </c>
      <c r="C398" t="s">
        <v>149</v>
      </c>
      <c r="D398">
        <v>9239</v>
      </c>
      <c r="E398">
        <v>2062</v>
      </c>
      <c r="F398">
        <v>3373</v>
      </c>
    </row>
    <row r="399" spans="1:6">
      <c r="A399" t="s">
        <v>1532</v>
      </c>
      <c r="B399">
        <v>45</v>
      </c>
      <c r="C399" t="s">
        <v>1132</v>
      </c>
      <c r="D399">
        <v>27717</v>
      </c>
      <c r="E399">
        <v>2062</v>
      </c>
      <c r="F399">
        <v>3373</v>
      </c>
    </row>
    <row r="400" spans="1:6">
      <c r="A400" t="s">
        <v>1533</v>
      </c>
      <c r="B400">
        <v>45</v>
      </c>
      <c r="C400" t="s">
        <v>1134</v>
      </c>
      <c r="D400">
        <v>16631</v>
      </c>
      <c r="E400">
        <v>2062</v>
      </c>
      <c r="F400">
        <v>3373</v>
      </c>
    </row>
    <row r="401" spans="1:6">
      <c r="A401" t="s">
        <v>1534</v>
      </c>
      <c r="B401">
        <v>45</v>
      </c>
      <c r="C401" t="s">
        <v>1136</v>
      </c>
      <c r="D401">
        <v>4620</v>
      </c>
      <c r="E401">
        <v>2062</v>
      </c>
      <c r="F401">
        <v>3373</v>
      </c>
    </row>
    <row r="402" spans="1:6">
      <c r="A402" t="s">
        <v>1535</v>
      </c>
      <c r="B402">
        <v>45</v>
      </c>
      <c r="C402" t="s">
        <v>1138</v>
      </c>
      <c r="D402">
        <v>1386</v>
      </c>
      <c r="E402">
        <v>2062</v>
      </c>
      <c r="F402">
        <v>3373</v>
      </c>
    </row>
    <row r="403" spans="1:6">
      <c r="A403" t="s">
        <v>1536</v>
      </c>
      <c r="B403">
        <v>45</v>
      </c>
      <c r="C403" t="s">
        <v>738</v>
      </c>
      <c r="D403">
        <v>36956</v>
      </c>
      <c r="E403">
        <v>2062</v>
      </c>
      <c r="F403">
        <v>3373</v>
      </c>
    </row>
    <row r="404" spans="1:6">
      <c r="A404" t="s">
        <v>1537</v>
      </c>
      <c r="B404">
        <v>45</v>
      </c>
      <c r="C404" t="s">
        <v>1141</v>
      </c>
      <c r="D404">
        <v>83151</v>
      </c>
      <c r="E404">
        <v>2062</v>
      </c>
      <c r="F404">
        <v>3373</v>
      </c>
    </row>
    <row r="405" spans="1:6">
      <c r="A405" t="s">
        <v>1538</v>
      </c>
      <c r="B405">
        <v>45</v>
      </c>
      <c r="C405" t="s">
        <v>159</v>
      </c>
      <c r="D405">
        <v>747649</v>
      </c>
      <c r="E405">
        <v>2062</v>
      </c>
      <c r="F405">
        <v>3373</v>
      </c>
    </row>
    <row r="406" spans="1:6">
      <c r="A406" t="s">
        <v>1539</v>
      </c>
      <c r="B406">
        <v>45</v>
      </c>
      <c r="C406" t="s">
        <v>642</v>
      </c>
      <c r="D406">
        <v>373824</v>
      </c>
      <c r="E406">
        <v>2062</v>
      </c>
      <c r="F406">
        <v>3373</v>
      </c>
    </row>
    <row r="407" spans="1:6">
      <c r="A407" t="s">
        <v>1540</v>
      </c>
      <c r="B407">
        <v>46</v>
      </c>
      <c r="C407" t="s">
        <v>149</v>
      </c>
      <c r="D407">
        <v>9558</v>
      </c>
      <c r="E407">
        <v>2123</v>
      </c>
      <c r="F407">
        <v>3453</v>
      </c>
    </row>
    <row r="408" spans="1:6">
      <c r="A408" t="s">
        <v>1541</v>
      </c>
      <c r="B408">
        <v>46</v>
      </c>
      <c r="C408" t="s">
        <v>1132</v>
      </c>
      <c r="D408">
        <v>28674</v>
      </c>
      <c r="E408">
        <v>2123</v>
      </c>
      <c r="F408">
        <v>3453</v>
      </c>
    </row>
    <row r="409" spans="1:6">
      <c r="A409" t="s">
        <v>1542</v>
      </c>
      <c r="B409">
        <v>46</v>
      </c>
      <c r="C409" t="s">
        <v>1134</v>
      </c>
      <c r="D409">
        <v>17205</v>
      </c>
      <c r="E409">
        <v>2123</v>
      </c>
      <c r="F409">
        <v>3453</v>
      </c>
    </row>
    <row r="410" spans="1:6">
      <c r="A410" t="s">
        <v>1543</v>
      </c>
      <c r="B410">
        <v>46</v>
      </c>
      <c r="C410" t="s">
        <v>1136</v>
      </c>
      <c r="D410">
        <v>4779</v>
      </c>
      <c r="E410">
        <v>2123</v>
      </c>
      <c r="F410">
        <v>3453</v>
      </c>
    </row>
    <row r="411" spans="1:6">
      <c r="A411" t="s">
        <v>1544</v>
      </c>
      <c r="B411">
        <v>46</v>
      </c>
      <c r="C411" t="s">
        <v>1138</v>
      </c>
      <c r="D411">
        <v>1434</v>
      </c>
      <c r="E411">
        <v>2123</v>
      </c>
      <c r="F411">
        <v>3453</v>
      </c>
    </row>
    <row r="412" spans="1:6">
      <c r="A412" t="s">
        <v>1545</v>
      </c>
      <c r="B412">
        <v>46</v>
      </c>
      <c r="C412" t="s">
        <v>738</v>
      </c>
      <c r="D412">
        <v>38232</v>
      </c>
      <c r="E412">
        <v>2123</v>
      </c>
      <c r="F412">
        <v>3453</v>
      </c>
    </row>
    <row r="413" spans="1:6">
      <c r="A413" t="s">
        <v>1546</v>
      </c>
      <c r="B413">
        <v>46</v>
      </c>
      <c r="C413" t="s">
        <v>1141</v>
      </c>
      <c r="D413">
        <v>86022</v>
      </c>
      <c r="E413">
        <v>2123</v>
      </c>
      <c r="F413">
        <v>3453</v>
      </c>
    </row>
    <row r="414" spans="1:6">
      <c r="A414" t="s">
        <v>1547</v>
      </c>
      <c r="B414">
        <v>46</v>
      </c>
      <c r="C414" t="s">
        <v>159</v>
      </c>
      <c r="D414">
        <v>773653</v>
      </c>
      <c r="E414">
        <v>2123</v>
      </c>
      <c r="F414">
        <v>3453</v>
      </c>
    </row>
    <row r="415" spans="1:6">
      <c r="A415" t="s">
        <v>1548</v>
      </c>
      <c r="B415">
        <v>46</v>
      </c>
      <c r="C415" t="s">
        <v>642</v>
      </c>
      <c r="D415">
        <v>386827</v>
      </c>
      <c r="E415">
        <v>2123</v>
      </c>
      <c r="F415">
        <v>3453</v>
      </c>
    </row>
    <row r="416" spans="1:6">
      <c r="A416" t="s">
        <v>1549</v>
      </c>
      <c r="B416">
        <v>47</v>
      </c>
      <c r="C416" t="s">
        <v>149</v>
      </c>
      <c r="D416">
        <v>9881</v>
      </c>
      <c r="E416">
        <v>2186</v>
      </c>
      <c r="F416">
        <v>3532</v>
      </c>
    </row>
    <row r="417" spans="1:6">
      <c r="A417" t="s">
        <v>1550</v>
      </c>
      <c r="B417">
        <v>47</v>
      </c>
      <c r="C417" t="s">
        <v>1132</v>
      </c>
      <c r="D417">
        <v>29643</v>
      </c>
      <c r="E417">
        <v>2186</v>
      </c>
      <c r="F417">
        <v>3532</v>
      </c>
    </row>
    <row r="418" spans="1:6">
      <c r="A418" t="s">
        <v>1551</v>
      </c>
      <c r="B418">
        <v>47</v>
      </c>
      <c r="C418" t="s">
        <v>1134</v>
      </c>
      <c r="D418">
        <v>17786</v>
      </c>
      <c r="E418">
        <v>2186</v>
      </c>
      <c r="F418">
        <v>3532</v>
      </c>
    </row>
    <row r="419" spans="1:6">
      <c r="A419" t="s">
        <v>1552</v>
      </c>
      <c r="B419">
        <v>47</v>
      </c>
      <c r="C419" t="s">
        <v>1136</v>
      </c>
      <c r="D419">
        <v>4941</v>
      </c>
      <c r="E419">
        <v>2186</v>
      </c>
      <c r="F419">
        <v>3532</v>
      </c>
    </row>
    <row r="420" spans="1:6">
      <c r="A420" t="s">
        <v>1553</v>
      </c>
      <c r="B420">
        <v>47</v>
      </c>
      <c r="C420" t="s">
        <v>1138</v>
      </c>
      <c r="D420">
        <v>1483</v>
      </c>
      <c r="E420">
        <v>2186</v>
      </c>
      <c r="F420">
        <v>3532</v>
      </c>
    </row>
    <row r="421" spans="1:6">
      <c r="A421" t="s">
        <v>1554</v>
      </c>
      <c r="B421">
        <v>47</v>
      </c>
      <c r="C421" t="s">
        <v>738</v>
      </c>
      <c r="D421">
        <v>39524</v>
      </c>
      <c r="E421">
        <v>2186</v>
      </c>
      <c r="F421">
        <v>3532</v>
      </c>
    </row>
    <row r="422" spans="1:6">
      <c r="A422" t="s">
        <v>1555</v>
      </c>
      <c r="B422">
        <v>47</v>
      </c>
      <c r="C422" t="s">
        <v>1141</v>
      </c>
      <c r="D422">
        <v>88929</v>
      </c>
      <c r="E422">
        <v>2186</v>
      </c>
      <c r="F422">
        <v>3532</v>
      </c>
    </row>
    <row r="423" spans="1:6">
      <c r="A423" t="s">
        <v>1556</v>
      </c>
      <c r="B423">
        <v>47</v>
      </c>
      <c r="C423" t="s">
        <v>159</v>
      </c>
      <c r="D423">
        <v>800215</v>
      </c>
      <c r="E423">
        <v>2186</v>
      </c>
      <c r="F423">
        <v>3532</v>
      </c>
    </row>
    <row r="424" spans="1:6">
      <c r="A424" t="s">
        <v>1557</v>
      </c>
      <c r="B424">
        <v>47</v>
      </c>
      <c r="C424" t="s">
        <v>642</v>
      </c>
      <c r="D424">
        <v>400108</v>
      </c>
      <c r="E424">
        <v>2186</v>
      </c>
      <c r="F424">
        <v>3532</v>
      </c>
    </row>
    <row r="425" spans="1:6">
      <c r="A425" t="s">
        <v>1558</v>
      </c>
      <c r="B425">
        <v>48</v>
      </c>
      <c r="C425" t="s">
        <v>149</v>
      </c>
      <c r="D425">
        <v>10210</v>
      </c>
      <c r="E425">
        <v>2249</v>
      </c>
      <c r="F425">
        <v>3612</v>
      </c>
    </row>
    <row r="426" spans="1:6">
      <c r="A426" t="s">
        <v>1559</v>
      </c>
      <c r="B426">
        <v>48</v>
      </c>
      <c r="C426" t="s">
        <v>1132</v>
      </c>
      <c r="D426">
        <v>30630</v>
      </c>
      <c r="E426">
        <v>2249</v>
      </c>
      <c r="F426">
        <v>3612</v>
      </c>
    </row>
    <row r="427" spans="1:6">
      <c r="A427" t="s">
        <v>1560</v>
      </c>
      <c r="B427">
        <v>48</v>
      </c>
      <c r="C427" t="s">
        <v>1134</v>
      </c>
      <c r="D427">
        <v>18378</v>
      </c>
      <c r="E427">
        <v>2249</v>
      </c>
      <c r="F427">
        <v>3612</v>
      </c>
    </row>
    <row r="428" spans="1:6">
      <c r="A428" t="s">
        <v>1561</v>
      </c>
      <c r="B428">
        <v>48</v>
      </c>
      <c r="C428" t="s">
        <v>1136</v>
      </c>
      <c r="D428">
        <v>5105</v>
      </c>
      <c r="E428">
        <v>2249</v>
      </c>
      <c r="F428">
        <v>3612</v>
      </c>
    </row>
    <row r="429" spans="1:6">
      <c r="A429" t="s">
        <v>1562</v>
      </c>
      <c r="B429">
        <v>48</v>
      </c>
      <c r="C429" t="s">
        <v>1138</v>
      </c>
      <c r="D429">
        <v>1532</v>
      </c>
      <c r="E429">
        <v>2249</v>
      </c>
      <c r="F429">
        <v>3612</v>
      </c>
    </row>
    <row r="430" spans="1:6">
      <c r="A430" t="s">
        <v>1563</v>
      </c>
      <c r="B430">
        <v>48</v>
      </c>
      <c r="C430" t="s">
        <v>738</v>
      </c>
      <c r="D430">
        <v>40840</v>
      </c>
      <c r="E430">
        <v>2249</v>
      </c>
      <c r="F430">
        <v>3612</v>
      </c>
    </row>
    <row r="431" spans="1:6">
      <c r="A431" t="s">
        <v>1564</v>
      </c>
      <c r="B431">
        <v>48</v>
      </c>
      <c r="C431" t="s">
        <v>1141</v>
      </c>
      <c r="D431">
        <v>91890</v>
      </c>
      <c r="E431">
        <v>2249</v>
      </c>
      <c r="F431">
        <v>3612</v>
      </c>
    </row>
    <row r="432" spans="1:6">
      <c r="A432" t="s">
        <v>1565</v>
      </c>
      <c r="B432">
        <v>48</v>
      </c>
      <c r="C432" t="s">
        <v>159</v>
      </c>
      <c r="D432">
        <v>827339</v>
      </c>
      <c r="E432">
        <v>2249</v>
      </c>
      <c r="F432">
        <v>3612</v>
      </c>
    </row>
    <row r="433" spans="1:6">
      <c r="A433" t="s">
        <v>1566</v>
      </c>
      <c r="B433">
        <v>48</v>
      </c>
      <c r="C433" t="s">
        <v>642</v>
      </c>
      <c r="D433">
        <v>413669</v>
      </c>
      <c r="E433">
        <v>2249</v>
      </c>
      <c r="F433">
        <v>3612</v>
      </c>
    </row>
    <row r="434" spans="1:6">
      <c r="A434" t="s">
        <v>1567</v>
      </c>
      <c r="B434">
        <v>49</v>
      </c>
      <c r="C434" t="s">
        <v>149</v>
      </c>
      <c r="D434">
        <v>10544</v>
      </c>
      <c r="E434">
        <v>2313</v>
      </c>
      <c r="F434">
        <v>3691</v>
      </c>
    </row>
    <row r="435" spans="1:6">
      <c r="A435" t="s">
        <v>1568</v>
      </c>
      <c r="B435">
        <v>49</v>
      </c>
      <c r="C435" t="s">
        <v>1132</v>
      </c>
      <c r="D435">
        <v>31632</v>
      </c>
      <c r="E435">
        <v>2313</v>
      </c>
      <c r="F435">
        <v>3691</v>
      </c>
    </row>
    <row r="436" spans="1:6">
      <c r="A436" t="s">
        <v>1569</v>
      </c>
      <c r="B436">
        <v>49</v>
      </c>
      <c r="C436" t="s">
        <v>1134</v>
      </c>
      <c r="D436">
        <v>18980</v>
      </c>
      <c r="E436">
        <v>2313</v>
      </c>
      <c r="F436">
        <v>3691</v>
      </c>
    </row>
    <row r="437" spans="1:6">
      <c r="A437" t="s">
        <v>1570</v>
      </c>
      <c r="B437">
        <v>49</v>
      </c>
      <c r="C437" t="s">
        <v>1136</v>
      </c>
      <c r="D437">
        <v>5272</v>
      </c>
      <c r="E437">
        <v>2313</v>
      </c>
      <c r="F437">
        <v>3691</v>
      </c>
    </row>
    <row r="438" spans="1:6">
      <c r="A438" t="s">
        <v>1571</v>
      </c>
      <c r="B438">
        <v>49</v>
      </c>
      <c r="C438" t="s">
        <v>1138</v>
      </c>
      <c r="D438">
        <v>1582</v>
      </c>
      <c r="E438">
        <v>2313</v>
      </c>
      <c r="F438">
        <v>3691</v>
      </c>
    </row>
    <row r="439" spans="1:6">
      <c r="A439" t="s">
        <v>1572</v>
      </c>
      <c r="B439">
        <v>49</v>
      </c>
      <c r="C439" t="s">
        <v>738</v>
      </c>
      <c r="D439">
        <v>42176</v>
      </c>
      <c r="E439">
        <v>2313</v>
      </c>
      <c r="F439">
        <v>3691</v>
      </c>
    </row>
    <row r="440" spans="1:6">
      <c r="A440" t="s">
        <v>1573</v>
      </c>
      <c r="B440">
        <v>49</v>
      </c>
      <c r="C440" t="s">
        <v>1141</v>
      </c>
      <c r="D440">
        <v>94896</v>
      </c>
      <c r="E440">
        <v>2313</v>
      </c>
      <c r="F440">
        <v>3691</v>
      </c>
    </row>
    <row r="441" spans="1:6">
      <c r="A441" t="s">
        <v>1574</v>
      </c>
      <c r="B441">
        <v>49</v>
      </c>
      <c r="C441" t="s">
        <v>159</v>
      </c>
      <c r="D441">
        <v>855093</v>
      </c>
      <c r="E441">
        <v>2313</v>
      </c>
      <c r="F441">
        <v>3691</v>
      </c>
    </row>
    <row r="442" spans="1:6">
      <c r="A442" t="s">
        <v>1575</v>
      </c>
      <c r="B442">
        <v>49</v>
      </c>
      <c r="C442" t="s">
        <v>642</v>
      </c>
      <c r="D442">
        <v>427546</v>
      </c>
      <c r="E442">
        <v>2313</v>
      </c>
      <c r="F442">
        <v>3691</v>
      </c>
    </row>
    <row r="443" spans="1:6">
      <c r="A443" t="s">
        <v>1576</v>
      </c>
      <c r="B443">
        <v>50</v>
      </c>
      <c r="C443" t="s">
        <v>149</v>
      </c>
      <c r="D443">
        <v>10883</v>
      </c>
      <c r="E443">
        <v>2378</v>
      </c>
      <c r="F443">
        <v>3771</v>
      </c>
    </row>
    <row r="444" spans="1:6">
      <c r="A444" t="s">
        <v>1577</v>
      </c>
      <c r="B444">
        <v>50</v>
      </c>
      <c r="C444" t="s">
        <v>1132</v>
      </c>
      <c r="D444">
        <v>32649</v>
      </c>
      <c r="E444">
        <v>2378</v>
      </c>
      <c r="F444">
        <v>3771</v>
      </c>
    </row>
    <row r="445" spans="1:6">
      <c r="A445" t="s">
        <v>1578</v>
      </c>
      <c r="B445">
        <v>50</v>
      </c>
      <c r="C445" t="s">
        <v>1134</v>
      </c>
      <c r="D445">
        <v>19590</v>
      </c>
      <c r="E445">
        <v>2378</v>
      </c>
      <c r="F445">
        <v>3771</v>
      </c>
    </row>
    <row r="446" spans="1:6">
      <c r="A446" t="s">
        <v>1579</v>
      </c>
      <c r="B446">
        <v>50</v>
      </c>
      <c r="C446" t="s">
        <v>1136</v>
      </c>
      <c r="D446">
        <v>5442</v>
      </c>
      <c r="E446">
        <v>2378</v>
      </c>
      <c r="F446">
        <v>3771</v>
      </c>
    </row>
    <row r="447" spans="1:6">
      <c r="A447" t="s">
        <v>1580</v>
      </c>
      <c r="B447">
        <v>50</v>
      </c>
      <c r="C447" t="s">
        <v>1138</v>
      </c>
      <c r="D447">
        <v>1633</v>
      </c>
      <c r="E447">
        <v>2378</v>
      </c>
      <c r="F447">
        <v>3771</v>
      </c>
    </row>
    <row r="448" spans="1:6">
      <c r="A448" t="s">
        <v>1581</v>
      </c>
      <c r="B448">
        <v>50</v>
      </c>
      <c r="C448" t="s">
        <v>738</v>
      </c>
      <c r="D448">
        <v>43532</v>
      </c>
      <c r="E448">
        <v>2378</v>
      </c>
      <c r="F448">
        <v>3771</v>
      </c>
    </row>
    <row r="449" spans="1:6">
      <c r="A449" t="s">
        <v>1582</v>
      </c>
      <c r="B449">
        <v>50</v>
      </c>
      <c r="C449" t="s">
        <v>1141</v>
      </c>
      <c r="D449">
        <v>97947</v>
      </c>
      <c r="E449">
        <v>2378</v>
      </c>
      <c r="F449">
        <v>3771</v>
      </c>
    </row>
    <row r="450" spans="1:6">
      <c r="A450" t="s">
        <v>1583</v>
      </c>
      <c r="B450">
        <v>50</v>
      </c>
      <c r="C450" t="s">
        <v>159</v>
      </c>
      <c r="D450">
        <v>883413</v>
      </c>
      <c r="E450">
        <v>2378</v>
      </c>
      <c r="F450">
        <v>3771</v>
      </c>
    </row>
    <row r="451" spans="1:6">
      <c r="A451" t="s">
        <v>1584</v>
      </c>
      <c r="B451">
        <v>50</v>
      </c>
      <c r="C451" t="s">
        <v>642</v>
      </c>
      <c r="D451">
        <v>441707</v>
      </c>
      <c r="E451">
        <v>2378</v>
      </c>
      <c r="F451">
        <v>3771</v>
      </c>
    </row>
    <row r="452" spans="1:6">
      <c r="A452" t="s">
        <v>1585</v>
      </c>
      <c r="B452">
        <v>51</v>
      </c>
      <c r="C452" t="s">
        <v>149</v>
      </c>
      <c r="D452">
        <v>11228</v>
      </c>
      <c r="E452">
        <v>2443</v>
      </c>
      <c r="F452">
        <v>3851</v>
      </c>
    </row>
    <row r="453" spans="1:6">
      <c r="A453" t="s">
        <v>1586</v>
      </c>
      <c r="B453">
        <v>51</v>
      </c>
      <c r="C453" t="s">
        <v>1132</v>
      </c>
      <c r="D453">
        <v>33684</v>
      </c>
      <c r="E453">
        <v>2443</v>
      </c>
      <c r="F453">
        <v>3851</v>
      </c>
    </row>
    <row r="454" spans="1:6">
      <c r="A454" t="s">
        <v>1587</v>
      </c>
      <c r="B454">
        <v>51</v>
      </c>
      <c r="C454" t="s">
        <v>1134</v>
      </c>
      <c r="D454">
        <v>20211</v>
      </c>
      <c r="E454">
        <v>2443</v>
      </c>
      <c r="F454">
        <v>3851</v>
      </c>
    </row>
    <row r="455" spans="1:6">
      <c r="A455" t="s">
        <v>1588</v>
      </c>
      <c r="B455">
        <v>51</v>
      </c>
      <c r="C455" t="s">
        <v>1136</v>
      </c>
      <c r="D455">
        <v>5614</v>
      </c>
      <c r="E455">
        <v>2443</v>
      </c>
      <c r="F455">
        <v>3851</v>
      </c>
    </row>
    <row r="456" spans="1:6">
      <c r="A456" t="s">
        <v>1589</v>
      </c>
      <c r="B456">
        <v>51</v>
      </c>
      <c r="C456" t="s">
        <v>1138</v>
      </c>
      <c r="D456">
        <v>1685</v>
      </c>
      <c r="E456">
        <v>2443</v>
      </c>
      <c r="F456">
        <v>3851</v>
      </c>
    </row>
    <row r="457" spans="1:6">
      <c r="A457" t="s">
        <v>1590</v>
      </c>
      <c r="B457">
        <v>51</v>
      </c>
      <c r="C457" t="s">
        <v>738</v>
      </c>
      <c r="D457">
        <v>44912</v>
      </c>
      <c r="E457">
        <v>2443</v>
      </c>
      <c r="F457">
        <v>3851</v>
      </c>
    </row>
    <row r="458" spans="1:6">
      <c r="A458" t="s">
        <v>1591</v>
      </c>
      <c r="B458">
        <v>51</v>
      </c>
      <c r="C458" t="s">
        <v>1141</v>
      </c>
      <c r="D458">
        <v>101052</v>
      </c>
      <c r="E458">
        <v>2443</v>
      </c>
      <c r="F458">
        <v>3851</v>
      </c>
    </row>
    <row r="459" spans="1:6">
      <c r="A459" t="s">
        <v>1592</v>
      </c>
      <c r="B459">
        <v>51</v>
      </c>
      <c r="C459" t="s">
        <v>159</v>
      </c>
      <c r="D459">
        <v>912370</v>
      </c>
      <c r="E459">
        <v>2443</v>
      </c>
      <c r="F459">
        <v>3851</v>
      </c>
    </row>
    <row r="460" spans="1:6">
      <c r="A460" t="s">
        <v>1593</v>
      </c>
      <c r="B460">
        <v>51</v>
      </c>
      <c r="C460" t="s">
        <v>642</v>
      </c>
      <c r="D460">
        <v>456185</v>
      </c>
      <c r="E460">
        <v>2443</v>
      </c>
      <c r="F460">
        <v>3851</v>
      </c>
    </row>
    <row r="461" spans="1:6">
      <c r="A461" t="s">
        <v>1594</v>
      </c>
      <c r="B461">
        <v>52</v>
      </c>
      <c r="C461" t="s">
        <v>149</v>
      </c>
      <c r="D461">
        <v>11578</v>
      </c>
      <c r="E461">
        <v>2509</v>
      </c>
      <c r="F461">
        <v>3932</v>
      </c>
    </row>
    <row r="462" spans="1:6">
      <c r="A462" t="s">
        <v>1595</v>
      </c>
      <c r="B462">
        <v>52</v>
      </c>
      <c r="C462" t="s">
        <v>1132</v>
      </c>
      <c r="D462">
        <v>34734</v>
      </c>
      <c r="E462">
        <v>2509</v>
      </c>
      <c r="F462">
        <v>3932</v>
      </c>
    </row>
    <row r="463" spans="1:6">
      <c r="A463" t="s">
        <v>1596</v>
      </c>
      <c r="B463">
        <v>52</v>
      </c>
      <c r="C463" t="s">
        <v>1134</v>
      </c>
      <c r="D463">
        <v>20841</v>
      </c>
      <c r="E463">
        <v>2509</v>
      </c>
      <c r="F463">
        <v>3932</v>
      </c>
    </row>
    <row r="464" spans="1:6">
      <c r="A464" t="s">
        <v>1597</v>
      </c>
      <c r="B464">
        <v>52</v>
      </c>
      <c r="C464" t="s">
        <v>1136</v>
      </c>
      <c r="D464">
        <v>5789</v>
      </c>
      <c r="E464">
        <v>2509</v>
      </c>
      <c r="F464">
        <v>3932</v>
      </c>
    </row>
    <row r="465" spans="1:6">
      <c r="A465" t="s">
        <v>1598</v>
      </c>
      <c r="B465">
        <v>52</v>
      </c>
      <c r="C465" t="s">
        <v>1138</v>
      </c>
      <c r="D465">
        <v>1737</v>
      </c>
      <c r="E465">
        <v>2509</v>
      </c>
      <c r="F465">
        <v>3932</v>
      </c>
    </row>
    <row r="466" spans="1:6">
      <c r="A466" t="s">
        <v>1599</v>
      </c>
      <c r="B466">
        <v>52</v>
      </c>
      <c r="C466" t="s">
        <v>738</v>
      </c>
      <c r="D466">
        <v>46312</v>
      </c>
      <c r="E466">
        <v>2509</v>
      </c>
      <c r="F466">
        <v>3932</v>
      </c>
    </row>
    <row r="467" spans="1:6">
      <c r="A467" t="s">
        <v>1600</v>
      </c>
      <c r="B467">
        <v>52</v>
      </c>
      <c r="C467" t="s">
        <v>1141</v>
      </c>
      <c r="D467">
        <v>104202</v>
      </c>
      <c r="E467">
        <v>2509</v>
      </c>
      <c r="F467">
        <v>3932</v>
      </c>
    </row>
    <row r="468" spans="1:6">
      <c r="A468" t="s">
        <v>1601</v>
      </c>
      <c r="B468">
        <v>52</v>
      </c>
      <c r="C468" t="s">
        <v>159</v>
      </c>
      <c r="D468">
        <v>941898</v>
      </c>
      <c r="E468">
        <v>2509</v>
      </c>
      <c r="F468">
        <v>3932</v>
      </c>
    </row>
    <row r="469" spans="1:6">
      <c r="A469" t="s">
        <v>1602</v>
      </c>
      <c r="B469">
        <v>52</v>
      </c>
      <c r="C469" t="s">
        <v>642</v>
      </c>
      <c r="D469">
        <v>470949</v>
      </c>
      <c r="E469">
        <v>2509</v>
      </c>
      <c r="F469">
        <v>3932</v>
      </c>
    </row>
    <row r="470" spans="1:6">
      <c r="A470" t="s">
        <v>1603</v>
      </c>
      <c r="B470">
        <v>53</v>
      </c>
      <c r="C470" t="s">
        <v>149</v>
      </c>
      <c r="D470">
        <v>11934</v>
      </c>
      <c r="E470">
        <v>2576</v>
      </c>
      <c r="F470">
        <v>4012</v>
      </c>
    </row>
    <row r="471" spans="1:6">
      <c r="A471" t="s">
        <v>1604</v>
      </c>
      <c r="B471">
        <v>53</v>
      </c>
      <c r="C471" t="s">
        <v>1132</v>
      </c>
      <c r="D471">
        <v>35802</v>
      </c>
      <c r="E471">
        <v>2576</v>
      </c>
      <c r="F471">
        <v>4012</v>
      </c>
    </row>
    <row r="472" spans="1:6">
      <c r="A472" t="s">
        <v>1605</v>
      </c>
      <c r="B472">
        <v>53</v>
      </c>
      <c r="C472" t="s">
        <v>1134</v>
      </c>
      <c r="D472">
        <v>21482</v>
      </c>
      <c r="E472">
        <v>2576</v>
      </c>
      <c r="F472">
        <v>4012</v>
      </c>
    </row>
    <row r="473" spans="1:6">
      <c r="A473" t="s">
        <v>1606</v>
      </c>
      <c r="B473">
        <v>53</v>
      </c>
      <c r="C473" t="s">
        <v>1136</v>
      </c>
      <c r="D473">
        <v>5967</v>
      </c>
      <c r="E473">
        <v>2576</v>
      </c>
      <c r="F473">
        <v>4012</v>
      </c>
    </row>
    <row r="474" spans="1:6">
      <c r="A474" t="s">
        <v>1607</v>
      </c>
      <c r="B474">
        <v>53</v>
      </c>
      <c r="C474" t="s">
        <v>1138</v>
      </c>
      <c r="D474">
        <v>1791</v>
      </c>
      <c r="E474">
        <v>2576</v>
      </c>
      <c r="F474">
        <v>4012</v>
      </c>
    </row>
    <row r="475" spans="1:6">
      <c r="A475" t="s">
        <v>1608</v>
      </c>
      <c r="B475">
        <v>53</v>
      </c>
      <c r="C475" t="s">
        <v>738</v>
      </c>
      <c r="D475">
        <v>47736</v>
      </c>
      <c r="E475">
        <v>2576</v>
      </c>
      <c r="F475">
        <v>4012</v>
      </c>
    </row>
    <row r="476" spans="1:6">
      <c r="A476" t="s">
        <v>1609</v>
      </c>
      <c r="B476">
        <v>53</v>
      </c>
      <c r="C476" t="s">
        <v>1141</v>
      </c>
      <c r="D476">
        <v>107406</v>
      </c>
      <c r="E476">
        <v>2576</v>
      </c>
      <c r="F476">
        <v>4012</v>
      </c>
    </row>
    <row r="477" spans="1:6">
      <c r="A477" t="s">
        <v>1610</v>
      </c>
      <c r="B477">
        <v>53</v>
      </c>
      <c r="C477" t="s">
        <v>159</v>
      </c>
      <c r="D477">
        <v>972133</v>
      </c>
      <c r="E477">
        <v>2576</v>
      </c>
      <c r="F477">
        <v>4012</v>
      </c>
    </row>
    <row r="478" spans="1:6">
      <c r="A478" t="s">
        <v>1611</v>
      </c>
      <c r="B478">
        <v>53</v>
      </c>
      <c r="C478" t="s">
        <v>642</v>
      </c>
      <c r="D478">
        <v>486066</v>
      </c>
      <c r="E478">
        <v>2576</v>
      </c>
      <c r="F478">
        <v>4012</v>
      </c>
    </row>
    <row r="479" spans="1:6">
      <c r="A479" t="s">
        <v>1612</v>
      </c>
      <c r="B479">
        <v>54</v>
      </c>
      <c r="C479" t="s">
        <v>149</v>
      </c>
      <c r="D479">
        <v>12295</v>
      </c>
      <c r="E479">
        <v>2644</v>
      </c>
      <c r="F479">
        <v>4093</v>
      </c>
    </row>
    <row r="480" spans="1:6">
      <c r="A480" t="s">
        <v>1613</v>
      </c>
      <c r="B480">
        <v>54</v>
      </c>
      <c r="C480" t="s">
        <v>1132</v>
      </c>
      <c r="D480">
        <v>36885</v>
      </c>
      <c r="E480">
        <v>2644</v>
      </c>
      <c r="F480">
        <v>4093</v>
      </c>
    </row>
    <row r="481" spans="1:6">
      <c r="A481" t="s">
        <v>1614</v>
      </c>
      <c r="B481">
        <v>54</v>
      </c>
      <c r="C481" t="s">
        <v>1134</v>
      </c>
      <c r="D481">
        <v>22131</v>
      </c>
      <c r="E481">
        <v>2644</v>
      </c>
      <c r="F481">
        <v>4093</v>
      </c>
    </row>
    <row r="482" spans="1:6">
      <c r="A482" t="s">
        <v>1615</v>
      </c>
      <c r="B482">
        <v>54</v>
      </c>
      <c r="C482" t="s">
        <v>1136</v>
      </c>
      <c r="D482">
        <v>6148</v>
      </c>
      <c r="E482">
        <v>2644</v>
      </c>
      <c r="F482">
        <v>4093</v>
      </c>
    </row>
    <row r="483" spans="1:6">
      <c r="A483" t="s">
        <v>1616</v>
      </c>
      <c r="B483">
        <v>54</v>
      </c>
      <c r="C483" t="s">
        <v>1138</v>
      </c>
      <c r="D483">
        <v>1845</v>
      </c>
      <c r="E483">
        <v>2644</v>
      </c>
      <c r="F483">
        <v>4093</v>
      </c>
    </row>
    <row r="484" spans="1:6">
      <c r="A484" t="s">
        <v>1617</v>
      </c>
      <c r="B484">
        <v>54</v>
      </c>
      <c r="C484" t="s">
        <v>738</v>
      </c>
      <c r="D484">
        <v>49180</v>
      </c>
      <c r="E484">
        <v>2644</v>
      </c>
      <c r="F484">
        <v>4093</v>
      </c>
    </row>
    <row r="485" spans="1:6">
      <c r="A485" t="s">
        <v>1618</v>
      </c>
      <c r="B485">
        <v>54</v>
      </c>
      <c r="C485" t="s">
        <v>1141</v>
      </c>
      <c r="D485">
        <v>110655</v>
      </c>
      <c r="E485">
        <v>2644</v>
      </c>
      <c r="F485">
        <v>4093</v>
      </c>
    </row>
    <row r="486" spans="1:6">
      <c r="A486" t="s">
        <v>1619</v>
      </c>
      <c r="B486">
        <v>54</v>
      </c>
      <c r="C486" t="s">
        <v>159</v>
      </c>
      <c r="D486">
        <v>1002944</v>
      </c>
      <c r="E486">
        <v>2644</v>
      </c>
      <c r="F486">
        <v>4093</v>
      </c>
    </row>
    <row r="487" spans="1:6">
      <c r="A487" t="s">
        <v>1620</v>
      </c>
      <c r="B487">
        <v>54</v>
      </c>
      <c r="C487" t="s">
        <v>642</v>
      </c>
      <c r="D487">
        <v>501472</v>
      </c>
      <c r="E487">
        <v>2644</v>
      </c>
      <c r="F487">
        <v>4093</v>
      </c>
    </row>
    <row r="488" spans="1:6">
      <c r="A488" t="s">
        <v>1621</v>
      </c>
      <c r="B488">
        <v>55</v>
      </c>
      <c r="C488" t="s">
        <v>149</v>
      </c>
      <c r="D488">
        <v>12662</v>
      </c>
      <c r="E488">
        <v>2712</v>
      </c>
      <c r="F488">
        <v>4174</v>
      </c>
    </row>
    <row r="489" spans="1:6">
      <c r="A489" t="s">
        <v>1622</v>
      </c>
      <c r="B489">
        <v>55</v>
      </c>
      <c r="C489" t="s">
        <v>1132</v>
      </c>
      <c r="D489">
        <v>37986</v>
      </c>
      <c r="E489">
        <v>2712</v>
      </c>
      <c r="F489">
        <v>4174</v>
      </c>
    </row>
    <row r="490" spans="1:6">
      <c r="A490" t="s">
        <v>1623</v>
      </c>
      <c r="B490">
        <v>55</v>
      </c>
      <c r="C490" t="s">
        <v>1134</v>
      </c>
      <c r="D490">
        <v>22792</v>
      </c>
      <c r="E490">
        <v>2712</v>
      </c>
      <c r="F490">
        <v>4174</v>
      </c>
    </row>
    <row r="491" spans="1:6">
      <c r="A491" t="s">
        <v>1624</v>
      </c>
      <c r="B491">
        <v>55</v>
      </c>
      <c r="C491" t="s">
        <v>1136</v>
      </c>
      <c r="D491">
        <v>6331</v>
      </c>
      <c r="E491">
        <v>2712</v>
      </c>
      <c r="F491">
        <v>4174</v>
      </c>
    </row>
    <row r="492" spans="1:6">
      <c r="A492" t="s">
        <v>1625</v>
      </c>
      <c r="B492">
        <v>55</v>
      </c>
      <c r="C492" t="s">
        <v>1138</v>
      </c>
      <c r="D492">
        <v>1900</v>
      </c>
      <c r="E492">
        <v>2712</v>
      </c>
      <c r="F492">
        <v>4174</v>
      </c>
    </row>
    <row r="493" spans="1:6">
      <c r="A493" t="s">
        <v>1626</v>
      </c>
      <c r="B493">
        <v>55</v>
      </c>
      <c r="C493" t="s">
        <v>738</v>
      </c>
      <c r="D493">
        <v>50648</v>
      </c>
      <c r="E493">
        <v>2712</v>
      </c>
      <c r="F493">
        <v>4174</v>
      </c>
    </row>
    <row r="494" spans="1:6">
      <c r="A494" t="s">
        <v>1627</v>
      </c>
      <c r="B494">
        <v>55</v>
      </c>
      <c r="C494" t="s">
        <v>1141</v>
      </c>
      <c r="D494">
        <v>113958</v>
      </c>
      <c r="E494">
        <v>2712</v>
      </c>
      <c r="F494">
        <v>4174</v>
      </c>
    </row>
    <row r="495" spans="1:6">
      <c r="A495" t="s">
        <v>1628</v>
      </c>
      <c r="B495">
        <v>55</v>
      </c>
      <c r="C495" t="s">
        <v>159</v>
      </c>
      <c r="D495">
        <v>1034400</v>
      </c>
      <c r="E495">
        <v>2712</v>
      </c>
      <c r="F495">
        <v>4174</v>
      </c>
    </row>
    <row r="496" spans="1:6">
      <c r="A496" t="s">
        <v>1629</v>
      </c>
      <c r="B496">
        <v>55</v>
      </c>
      <c r="C496" t="s">
        <v>642</v>
      </c>
      <c r="D496">
        <v>517200</v>
      </c>
      <c r="E496">
        <v>2712</v>
      </c>
      <c r="F496">
        <v>4174</v>
      </c>
    </row>
    <row r="497" spans="1:6">
      <c r="A497" t="s">
        <v>1630</v>
      </c>
      <c r="B497">
        <v>56</v>
      </c>
      <c r="C497" t="s">
        <v>149</v>
      </c>
      <c r="D497">
        <v>13034</v>
      </c>
      <c r="E497">
        <v>2782</v>
      </c>
      <c r="F497">
        <v>4255</v>
      </c>
    </row>
    <row r="498" spans="1:6">
      <c r="A498" t="s">
        <v>1631</v>
      </c>
      <c r="B498">
        <v>56</v>
      </c>
      <c r="C498" t="s">
        <v>1132</v>
      </c>
      <c r="D498">
        <v>39102</v>
      </c>
      <c r="E498">
        <v>2782</v>
      </c>
      <c r="F498">
        <v>4255</v>
      </c>
    </row>
    <row r="499" spans="1:6">
      <c r="A499" t="s">
        <v>1632</v>
      </c>
      <c r="B499">
        <v>56</v>
      </c>
      <c r="C499" t="s">
        <v>1134</v>
      </c>
      <c r="D499">
        <v>23462</v>
      </c>
      <c r="E499">
        <v>2782</v>
      </c>
      <c r="F499">
        <v>4255</v>
      </c>
    </row>
    <row r="500" spans="1:6">
      <c r="A500" t="s">
        <v>1633</v>
      </c>
      <c r="B500">
        <v>56</v>
      </c>
      <c r="C500" t="s">
        <v>1136</v>
      </c>
      <c r="D500">
        <v>6517</v>
      </c>
      <c r="E500">
        <v>2782</v>
      </c>
      <c r="F500">
        <v>4255</v>
      </c>
    </row>
    <row r="501" spans="1:6">
      <c r="A501" t="s">
        <v>1634</v>
      </c>
      <c r="B501">
        <v>56</v>
      </c>
      <c r="C501" t="s">
        <v>1138</v>
      </c>
      <c r="D501">
        <v>1956</v>
      </c>
      <c r="E501">
        <v>2782</v>
      </c>
      <c r="F501">
        <v>4255</v>
      </c>
    </row>
    <row r="502" spans="1:6">
      <c r="A502" t="s">
        <v>1635</v>
      </c>
      <c r="B502">
        <v>56</v>
      </c>
      <c r="C502" t="s">
        <v>738</v>
      </c>
      <c r="D502">
        <v>52136</v>
      </c>
      <c r="E502">
        <v>2782</v>
      </c>
      <c r="F502">
        <v>4255</v>
      </c>
    </row>
    <row r="503" spans="1:6">
      <c r="A503" t="s">
        <v>1636</v>
      </c>
      <c r="B503">
        <v>56</v>
      </c>
      <c r="C503" t="s">
        <v>1141</v>
      </c>
      <c r="D503">
        <v>117306</v>
      </c>
      <c r="E503">
        <v>2782</v>
      </c>
      <c r="F503">
        <v>4255</v>
      </c>
    </row>
    <row r="504" spans="1:6">
      <c r="A504" t="s">
        <v>1637</v>
      </c>
      <c r="B504">
        <v>56</v>
      </c>
      <c r="C504" t="s">
        <v>159</v>
      </c>
      <c r="D504">
        <v>1066503</v>
      </c>
      <c r="E504">
        <v>2782</v>
      </c>
      <c r="F504">
        <v>4255</v>
      </c>
    </row>
    <row r="505" spans="1:6">
      <c r="A505" t="s">
        <v>1638</v>
      </c>
      <c r="B505">
        <v>56</v>
      </c>
      <c r="C505" t="s">
        <v>642</v>
      </c>
      <c r="D505">
        <v>533252</v>
      </c>
      <c r="E505">
        <v>2782</v>
      </c>
      <c r="F505">
        <v>4255</v>
      </c>
    </row>
    <row r="506" spans="1:6">
      <c r="A506" t="s">
        <v>1639</v>
      </c>
      <c r="B506">
        <v>57</v>
      </c>
      <c r="C506" t="s">
        <v>149</v>
      </c>
      <c r="D506">
        <v>13412</v>
      </c>
      <c r="E506">
        <v>2852</v>
      </c>
      <c r="F506">
        <v>4336</v>
      </c>
    </row>
    <row r="507" spans="1:6">
      <c r="A507" t="s">
        <v>1640</v>
      </c>
      <c r="B507">
        <v>57</v>
      </c>
      <c r="C507" t="s">
        <v>1132</v>
      </c>
      <c r="D507">
        <v>40236</v>
      </c>
      <c r="E507">
        <v>2852</v>
      </c>
      <c r="F507">
        <v>4336</v>
      </c>
    </row>
    <row r="508" spans="1:6">
      <c r="A508" t="s">
        <v>1641</v>
      </c>
      <c r="B508">
        <v>57</v>
      </c>
      <c r="C508" t="s">
        <v>1134</v>
      </c>
      <c r="D508">
        <v>24142</v>
      </c>
      <c r="E508">
        <v>2852</v>
      </c>
      <c r="F508">
        <v>4336</v>
      </c>
    </row>
    <row r="509" spans="1:6">
      <c r="A509" t="s">
        <v>1642</v>
      </c>
      <c r="B509">
        <v>57</v>
      </c>
      <c r="C509" t="s">
        <v>1136</v>
      </c>
      <c r="D509">
        <v>6706</v>
      </c>
      <c r="E509">
        <v>2852</v>
      </c>
      <c r="F509">
        <v>4336</v>
      </c>
    </row>
    <row r="510" spans="1:6">
      <c r="A510" t="s">
        <v>1643</v>
      </c>
      <c r="B510">
        <v>57</v>
      </c>
      <c r="C510" t="s">
        <v>1138</v>
      </c>
      <c r="D510">
        <v>2012</v>
      </c>
      <c r="E510">
        <v>2852</v>
      </c>
      <c r="F510">
        <v>4336</v>
      </c>
    </row>
    <row r="511" spans="1:6">
      <c r="A511" t="s">
        <v>1644</v>
      </c>
      <c r="B511">
        <v>57</v>
      </c>
      <c r="C511" t="s">
        <v>738</v>
      </c>
      <c r="D511">
        <v>53648</v>
      </c>
      <c r="E511">
        <v>2852</v>
      </c>
      <c r="F511">
        <v>4336</v>
      </c>
    </row>
    <row r="512" spans="1:6">
      <c r="A512" t="s">
        <v>1645</v>
      </c>
      <c r="B512">
        <v>57</v>
      </c>
      <c r="C512" t="s">
        <v>1141</v>
      </c>
      <c r="D512">
        <v>120708</v>
      </c>
      <c r="E512">
        <v>2852</v>
      </c>
      <c r="F512">
        <v>4336</v>
      </c>
    </row>
    <row r="513" spans="1:6">
      <c r="A513" t="s">
        <v>1646</v>
      </c>
      <c r="B513">
        <v>57</v>
      </c>
      <c r="C513" t="s">
        <v>159</v>
      </c>
      <c r="D513">
        <v>1099319</v>
      </c>
      <c r="E513">
        <v>2852</v>
      </c>
      <c r="F513">
        <v>4336</v>
      </c>
    </row>
    <row r="514" spans="1:6">
      <c r="A514" t="s">
        <v>1647</v>
      </c>
      <c r="B514">
        <v>57</v>
      </c>
      <c r="C514" t="s">
        <v>642</v>
      </c>
      <c r="D514">
        <v>549660</v>
      </c>
      <c r="E514">
        <v>2852</v>
      </c>
      <c r="F514">
        <v>4336</v>
      </c>
    </row>
    <row r="515" spans="1:6">
      <c r="A515" t="s">
        <v>1648</v>
      </c>
      <c r="B515">
        <v>58</v>
      </c>
      <c r="C515" t="s">
        <v>149</v>
      </c>
      <c r="D515">
        <v>13796</v>
      </c>
      <c r="E515">
        <v>2923</v>
      </c>
      <c r="F515">
        <v>4417</v>
      </c>
    </row>
    <row r="516" spans="1:6">
      <c r="A516" t="s">
        <v>1649</v>
      </c>
      <c r="B516">
        <v>58</v>
      </c>
      <c r="C516" t="s">
        <v>1132</v>
      </c>
      <c r="D516">
        <v>41388</v>
      </c>
      <c r="E516">
        <v>2923</v>
      </c>
      <c r="F516">
        <v>4417</v>
      </c>
    </row>
    <row r="517" spans="1:6">
      <c r="A517" t="s">
        <v>1650</v>
      </c>
      <c r="B517">
        <v>58</v>
      </c>
      <c r="C517" t="s">
        <v>1134</v>
      </c>
      <c r="D517">
        <v>24833</v>
      </c>
      <c r="E517">
        <v>2923</v>
      </c>
      <c r="F517">
        <v>4417</v>
      </c>
    </row>
    <row r="518" spans="1:6">
      <c r="A518" t="s">
        <v>1651</v>
      </c>
      <c r="B518">
        <v>58</v>
      </c>
      <c r="C518" t="s">
        <v>1136</v>
      </c>
      <c r="D518">
        <v>6898</v>
      </c>
      <c r="E518">
        <v>2923</v>
      </c>
      <c r="F518">
        <v>4417</v>
      </c>
    </row>
    <row r="519" spans="1:6">
      <c r="A519" t="s">
        <v>1652</v>
      </c>
      <c r="B519">
        <v>58</v>
      </c>
      <c r="C519" t="s">
        <v>1138</v>
      </c>
      <c r="D519">
        <v>2070</v>
      </c>
      <c r="E519">
        <v>2923</v>
      </c>
      <c r="F519">
        <v>4417</v>
      </c>
    </row>
    <row r="520" spans="1:6">
      <c r="A520" t="s">
        <v>1653</v>
      </c>
      <c r="B520">
        <v>58</v>
      </c>
      <c r="C520" t="s">
        <v>738</v>
      </c>
      <c r="D520">
        <v>55184</v>
      </c>
      <c r="E520">
        <v>2923</v>
      </c>
      <c r="F520">
        <v>4417</v>
      </c>
    </row>
    <row r="521" spans="1:6">
      <c r="A521" t="s">
        <v>1654</v>
      </c>
      <c r="B521">
        <v>58</v>
      </c>
      <c r="C521" t="s">
        <v>1141</v>
      </c>
      <c r="D521">
        <v>124164</v>
      </c>
      <c r="E521">
        <v>2923</v>
      </c>
      <c r="F521">
        <v>4417</v>
      </c>
    </row>
    <row r="522" spans="1:6">
      <c r="A522" t="s">
        <v>1655</v>
      </c>
      <c r="B522">
        <v>58</v>
      </c>
      <c r="C522" t="s">
        <v>159</v>
      </c>
      <c r="D522">
        <v>1132721</v>
      </c>
      <c r="E522">
        <v>2923</v>
      </c>
      <c r="F522">
        <v>4417</v>
      </c>
    </row>
    <row r="523" spans="1:6">
      <c r="A523" t="s">
        <v>1656</v>
      </c>
      <c r="B523">
        <v>58</v>
      </c>
      <c r="C523" t="s">
        <v>642</v>
      </c>
      <c r="D523">
        <v>566361</v>
      </c>
      <c r="E523">
        <v>2923</v>
      </c>
      <c r="F523">
        <v>4417</v>
      </c>
    </row>
    <row r="524" spans="1:6">
      <c r="A524" t="s">
        <v>1657</v>
      </c>
      <c r="B524">
        <v>59</v>
      </c>
      <c r="C524" t="s">
        <v>149</v>
      </c>
      <c r="D524">
        <v>14185</v>
      </c>
      <c r="E524">
        <v>2994</v>
      </c>
      <c r="F524">
        <v>4499</v>
      </c>
    </row>
    <row r="525" spans="1:6">
      <c r="A525" t="s">
        <v>1658</v>
      </c>
      <c r="B525">
        <v>59</v>
      </c>
      <c r="C525" t="s">
        <v>1132</v>
      </c>
      <c r="D525">
        <v>42555</v>
      </c>
      <c r="E525">
        <v>2994</v>
      </c>
      <c r="F525">
        <v>4499</v>
      </c>
    </row>
    <row r="526" spans="1:6">
      <c r="A526" t="s">
        <v>1659</v>
      </c>
      <c r="B526">
        <v>59</v>
      </c>
      <c r="C526" t="s">
        <v>1134</v>
      </c>
      <c r="D526">
        <v>25533</v>
      </c>
      <c r="E526">
        <v>2994</v>
      </c>
      <c r="F526">
        <v>4499</v>
      </c>
    </row>
    <row r="527" spans="1:6">
      <c r="A527" t="s">
        <v>1660</v>
      </c>
      <c r="B527">
        <v>59</v>
      </c>
      <c r="C527" t="s">
        <v>1136</v>
      </c>
      <c r="D527">
        <v>7093</v>
      </c>
      <c r="E527">
        <v>2994</v>
      </c>
      <c r="F527">
        <v>4499</v>
      </c>
    </row>
    <row r="528" spans="1:6">
      <c r="A528" t="s">
        <v>1661</v>
      </c>
      <c r="B528">
        <v>59</v>
      </c>
      <c r="C528" t="s">
        <v>1138</v>
      </c>
      <c r="D528">
        <v>2128</v>
      </c>
      <c r="E528">
        <v>2994</v>
      </c>
      <c r="F528">
        <v>4499</v>
      </c>
    </row>
    <row r="529" spans="1:6">
      <c r="A529" t="s">
        <v>1662</v>
      </c>
      <c r="B529">
        <v>59</v>
      </c>
      <c r="C529" t="s">
        <v>738</v>
      </c>
      <c r="D529">
        <v>56740</v>
      </c>
      <c r="E529">
        <v>2994</v>
      </c>
      <c r="F529">
        <v>4499</v>
      </c>
    </row>
    <row r="530" spans="1:6">
      <c r="A530" t="s">
        <v>1663</v>
      </c>
      <c r="B530">
        <v>59</v>
      </c>
      <c r="C530" t="s">
        <v>1141</v>
      </c>
      <c r="D530">
        <v>127665</v>
      </c>
      <c r="E530">
        <v>2994</v>
      </c>
      <c r="F530">
        <v>4499</v>
      </c>
    </row>
    <row r="531" spans="1:6">
      <c r="A531" t="s">
        <v>1664</v>
      </c>
      <c r="B531">
        <v>59</v>
      </c>
      <c r="C531" t="s">
        <v>159</v>
      </c>
      <c r="D531">
        <v>1166840</v>
      </c>
      <c r="E531">
        <v>2994</v>
      </c>
      <c r="F531">
        <v>4499</v>
      </c>
    </row>
    <row r="532" spans="1:6">
      <c r="A532" t="s">
        <v>1665</v>
      </c>
      <c r="B532">
        <v>59</v>
      </c>
      <c r="C532" t="s">
        <v>642</v>
      </c>
      <c r="D532">
        <v>583420</v>
      </c>
      <c r="E532">
        <v>2994</v>
      </c>
      <c r="F532">
        <v>4499</v>
      </c>
    </row>
    <row r="533" spans="1:6">
      <c r="A533" t="s">
        <v>1666</v>
      </c>
      <c r="B533">
        <v>60</v>
      </c>
      <c r="C533" t="s">
        <v>149</v>
      </c>
      <c r="D533">
        <v>14580</v>
      </c>
      <c r="E533">
        <v>3067</v>
      </c>
      <c r="F533">
        <v>4581</v>
      </c>
    </row>
    <row r="534" spans="1:6">
      <c r="A534" t="s">
        <v>1667</v>
      </c>
      <c r="B534">
        <v>60</v>
      </c>
      <c r="C534" t="s">
        <v>1132</v>
      </c>
      <c r="D534">
        <v>43740</v>
      </c>
      <c r="E534">
        <v>3067</v>
      </c>
      <c r="F534">
        <v>4581</v>
      </c>
    </row>
    <row r="535" spans="1:6">
      <c r="A535" t="s">
        <v>1668</v>
      </c>
      <c r="B535">
        <v>60</v>
      </c>
      <c r="C535" t="s">
        <v>1134</v>
      </c>
      <c r="D535">
        <v>26244</v>
      </c>
      <c r="E535">
        <v>3067</v>
      </c>
      <c r="F535">
        <v>4581</v>
      </c>
    </row>
    <row r="536" spans="1:6">
      <c r="A536" t="s">
        <v>1669</v>
      </c>
      <c r="B536">
        <v>60</v>
      </c>
      <c r="C536" t="s">
        <v>1136</v>
      </c>
      <c r="D536">
        <v>7290</v>
      </c>
      <c r="E536">
        <v>3067</v>
      </c>
      <c r="F536">
        <v>4581</v>
      </c>
    </row>
    <row r="537" spans="1:6">
      <c r="A537" t="s">
        <v>1670</v>
      </c>
      <c r="B537">
        <v>60</v>
      </c>
      <c r="C537" t="s">
        <v>1138</v>
      </c>
      <c r="D537">
        <v>2187</v>
      </c>
      <c r="E537">
        <v>3067</v>
      </c>
      <c r="F537">
        <v>4581</v>
      </c>
    </row>
    <row r="538" spans="1:6">
      <c r="A538" t="s">
        <v>1671</v>
      </c>
      <c r="B538">
        <v>60</v>
      </c>
      <c r="C538" t="s">
        <v>738</v>
      </c>
      <c r="D538">
        <v>58320</v>
      </c>
      <c r="E538">
        <v>3067</v>
      </c>
      <c r="F538">
        <v>4581</v>
      </c>
    </row>
    <row r="539" spans="1:6">
      <c r="A539" t="s">
        <v>1672</v>
      </c>
      <c r="B539">
        <v>60</v>
      </c>
      <c r="C539" t="s">
        <v>1141</v>
      </c>
      <c r="D539">
        <v>131220</v>
      </c>
      <c r="E539">
        <v>3067</v>
      </c>
      <c r="F539">
        <v>4581</v>
      </c>
    </row>
    <row r="540" spans="1:6">
      <c r="A540" t="s">
        <v>1673</v>
      </c>
      <c r="B540">
        <v>60</v>
      </c>
      <c r="C540" t="s">
        <v>159</v>
      </c>
      <c r="D540">
        <v>1201676</v>
      </c>
      <c r="E540">
        <v>3067</v>
      </c>
      <c r="F540">
        <v>4581</v>
      </c>
    </row>
    <row r="541" spans="1:6">
      <c r="A541" t="s">
        <v>1674</v>
      </c>
      <c r="B541">
        <v>60</v>
      </c>
      <c r="C541" t="s">
        <v>642</v>
      </c>
      <c r="D541">
        <v>600838</v>
      </c>
      <c r="E541">
        <v>3067</v>
      </c>
      <c r="F541">
        <v>4581</v>
      </c>
    </row>
    <row r="542" spans="1:6">
      <c r="A542" t="s">
        <v>1675</v>
      </c>
      <c r="B542">
        <v>61</v>
      </c>
      <c r="C542" t="s">
        <v>149</v>
      </c>
      <c r="D542">
        <v>14981</v>
      </c>
      <c r="E542">
        <v>3140</v>
      </c>
      <c r="F542">
        <v>4663</v>
      </c>
    </row>
    <row r="543" spans="1:6">
      <c r="A543" t="s">
        <v>1676</v>
      </c>
      <c r="B543">
        <v>61</v>
      </c>
      <c r="C543" t="s">
        <v>1132</v>
      </c>
      <c r="D543">
        <v>44943</v>
      </c>
      <c r="E543">
        <v>3140</v>
      </c>
      <c r="F543">
        <v>4663</v>
      </c>
    </row>
    <row r="544" spans="1:6">
      <c r="A544" t="s">
        <v>1677</v>
      </c>
      <c r="B544">
        <v>61</v>
      </c>
      <c r="C544" t="s">
        <v>1134</v>
      </c>
      <c r="D544">
        <v>26966</v>
      </c>
      <c r="E544">
        <v>3140</v>
      </c>
      <c r="F544">
        <v>4663</v>
      </c>
    </row>
    <row r="545" spans="1:6">
      <c r="A545" t="s">
        <v>1678</v>
      </c>
      <c r="B545">
        <v>61</v>
      </c>
      <c r="C545" t="s">
        <v>1136</v>
      </c>
      <c r="D545">
        <v>7491</v>
      </c>
      <c r="E545">
        <v>3140</v>
      </c>
      <c r="F545">
        <v>4663</v>
      </c>
    </row>
    <row r="546" spans="1:6">
      <c r="A546" t="s">
        <v>1679</v>
      </c>
      <c r="B546">
        <v>61</v>
      </c>
      <c r="C546" t="s">
        <v>1138</v>
      </c>
      <c r="D546">
        <v>2248</v>
      </c>
      <c r="E546">
        <v>3140</v>
      </c>
      <c r="F546">
        <v>4663</v>
      </c>
    </row>
    <row r="547" spans="1:6">
      <c r="A547" t="s">
        <v>1680</v>
      </c>
      <c r="B547">
        <v>61</v>
      </c>
      <c r="C547" t="s">
        <v>738</v>
      </c>
      <c r="D547">
        <v>59924</v>
      </c>
      <c r="E547">
        <v>3140</v>
      </c>
      <c r="F547">
        <v>4663</v>
      </c>
    </row>
    <row r="548" spans="1:6">
      <c r="A548" t="s">
        <v>1681</v>
      </c>
      <c r="B548">
        <v>61</v>
      </c>
      <c r="C548" t="s">
        <v>1141</v>
      </c>
      <c r="D548">
        <v>134829</v>
      </c>
      <c r="E548">
        <v>3140</v>
      </c>
      <c r="F548">
        <v>4663</v>
      </c>
    </row>
    <row r="549" spans="1:6">
      <c r="A549" t="s">
        <v>1682</v>
      </c>
      <c r="B549">
        <v>61</v>
      </c>
      <c r="C549" t="s">
        <v>159</v>
      </c>
      <c r="D549">
        <v>1237168</v>
      </c>
      <c r="E549">
        <v>3140</v>
      </c>
      <c r="F549">
        <v>4663</v>
      </c>
    </row>
    <row r="550" spans="1:6">
      <c r="A550" t="s">
        <v>1683</v>
      </c>
      <c r="B550">
        <v>61</v>
      </c>
      <c r="C550" t="s">
        <v>642</v>
      </c>
      <c r="D550">
        <v>618584</v>
      </c>
      <c r="E550">
        <v>3140</v>
      </c>
      <c r="F550">
        <v>4663</v>
      </c>
    </row>
    <row r="551" spans="1:6">
      <c r="A551" t="s">
        <v>1684</v>
      </c>
      <c r="B551">
        <v>62</v>
      </c>
      <c r="C551" t="s">
        <v>149</v>
      </c>
      <c r="D551">
        <v>15388</v>
      </c>
      <c r="E551">
        <v>3214</v>
      </c>
      <c r="F551">
        <v>4745</v>
      </c>
    </row>
    <row r="552" spans="1:6">
      <c r="A552" t="s">
        <v>1685</v>
      </c>
      <c r="B552">
        <v>62</v>
      </c>
      <c r="C552" t="s">
        <v>1132</v>
      </c>
      <c r="D552">
        <v>46164</v>
      </c>
      <c r="E552">
        <v>3214</v>
      </c>
      <c r="F552">
        <v>4745</v>
      </c>
    </row>
    <row r="553" spans="1:6">
      <c r="A553" t="s">
        <v>1686</v>
      </c>
      <c r="B553">
        <v>62</v>
      </c>
      <c r="C553" t="s">
        <v>1134</v>
      </c>
      <c r="D553">
        <v>27699</v>
      </c>
      <c r="E553">
        <v>3214</v>
      </c>
      <c r="F553">
        <v>4745</v>
      </c>
    </row>
    <row r="554" spans="1:6">
      <c r="A554" t="s">
        <v>1687</v>
      </c>
      <c r="B554">
        <v>62</v>
      </c>
      <c r="C554" t="s">
        <v>1136</v>
      </c>
      <c r="D554">
        <v>7694</v>
      </c>
      <c r="E554">
        <v>3214</v>
      </c>
      <c r="F554">
        <v>4745</v>
      </c>
    </row>
    <row r="555" spans="1:6">
      <c r="A555" t="s">
        <v>1688</v>
      </c>
      <c r="B555">
        <v>62</v>
      </c>
      <c r="C555" t="s">
        <v>1138</v>
      </c>
      <c r="D555">
        <v>2309</v>
      </c>
      <c r="E555">
        <v>3214</v>
      </c>
      <c r="F555">
        <v>4745</v>
      </c>
    </row>
    <row r="556" spans="1:6">
      <c r="A556" t="s">
        <v>1689</v>
      </c>
      <c r="B556">
        <v>62</v>
      </c>
      <c r="C556" t="s">
        <v>738</v>
      </c>
      <c r="D556">
        <v>61552</v>
      </c>
      <c r="E556">
        <v>3214</v>
      </c>
      <c r="F556">
        <v>4745</v>
      </c>
    </row>
    <row r="557" spans="1:6">
      <c r="A557" t="s">
        <v>1690</v>
      </c>
      <c r="B557">
        <v>62</v>
      </c>
      <c r="C557" t="s">
        <v>1141</v>
      </c>
      <c r="D557">
        <v>138492</v>
      </c>
      <c r="E557">
        <v>3214</v>
      </c>
      <c r="F557">
        <v>4745</v>
      </c>
    </row>
    <row r="558" spans="1:6">
      <c r="A558" t="s">
        <v>1691</v>
      </c>
      <c r="B558">
        <v>62</v>
      </c>
      <c r="C558" t="s">
        <v>159</v>
      </c>
      <c r="D558">
        <v>1273380</v>
      </c>
      <c r="E558">
        <v>3214</v>
      </c>
      <c r="F558">
        <v>4745</v>
      </c>
    </row>
    <row r="559" spans="1:6">
      <c r="A559" t="s">
        <v>1692</v>
      </c>
      <c r="B559">
        <v>62</v>
      </c>
      <c r="C559" t="s">
        <v>642</v>
      </c>
      <c r="D559">
        <v>636690</v>
      </c>
      <c r="E559">
        <v>3214</v>
      </c>
      <c r="F559">
        <v>4745</v>
      </c>
    </row>
    <row r="560" spans="1:6">
      <c r="A560" t="s">
        <v>1693</v>
      </c>
      <c r="B560">
        <v>63</v>
      </c>
      <c r="C560" t="s">
        <v>149</v>
      </c>
      <c r="D560">
        <v>15801</v>
      </c>
      <c r="E560">
        <v>3289</v>
      </c>
      <c r="F560">
        <v>4827</v>
      </c>
    </row>
    <row r="561" spans="1:6">
      <c r="A561" t="s">
        <v>1694</v>
      </c>
      <c r="B561">
        <v>63</v>
      </c>
      <c r="C561" t="s">
        <v>1132</v>
      </c>
      <c r="D561">
        <v>47403</v>
      </c>
      <c r="E561">
        <v>3289</v>
      </c>
      <c r="F561">
        <v>4827</v>
      </c>
    </row>
    <row r="562" spans="1:6">
      <c r="A562" t="s">
        <v>1695</v>
      </c>
      <c r="B562">
        <v>63</v>
      </c>
      <c r="C562" t="s">
        <v>1134</v>
      </c>
      <c r="D562">
        <v>28442</v>
      </c>
      <c r="E562">
        <v>3289</v>
      </c>
      <c r="F562">
        <v>4827</v>
      </c>
    </row>
    <row r="563" spans="1:6">
      <c r="A563" t="s">
        <v>1696</v>
      </c>
      <c r="B563">
        <v>63</v>
      </c>
      <c r="C563" t="s">
        <v>1136</v>
      </c>
      <c r="D563">
        <v>7901</v>
      </c>
      <c r="E563">
        <v>3289</v>
      </c>
      <c r="F563">
        <v>4827</v>
      </c>
    </row>
    <row r="564" spans="1:6">
      <c r="A564" t="s">
        <v>1697</v>
      </c>
      <c r="B564">
        <v>63</v>
      </c>
      <c r="C564" t="s">
        <v>1138</v>
      </c>
      <c r="D564">
        <v>2371</v>
      </c>
      <c r="E564">
        <v>3289</v>
      </c>
      <c r="F564">
        <v>4827</v>
      </c>
    </row>
    <row r="565" spans="1:6">
      <c r="A565" t="s">
        <v>1698</v>
      </c>
      <c r="B565">
        <v>63</v>
      </c>
      <c r="C565" t="s">
        <v>738</v>
      </c>
      <c r="D565">
        <v>63204</v>
      </c>
      <c r="E565">
        <v>3289</v>
      </c>
      <c r="F565">
        <v>4827</v>
      </c>
    </row>
    <row r="566" spans="1:6">
      <c r="A566" t="s">
        <v>1699</v>
      </c>
      <c r="B566">
        <v>63</v>
      </c>
      <c r="C566" t="s">
        <v>1141</v>
      </c>
      <c r="D566">
        <v>142209</v>
      </c>
      <c r="E566">
        <v>3289</v>
      </c>
      <c r="F566">
        <v>4827</v>
      </c>
    </row>
    <row r="567" spans="1:6">
      <c r="A567" t="s">
        <v>1700</v>
      </c>
      <c r="B567">
        <v>63</v>
      </c>
      <c r="C567" t="s">
        <v>159</v>
      </c>
      <c r="D567">
        <v>1310313</v>
      </c>
      <c r="E567">
        <v>3289</v>
      </c>
      <c r="F567">
        <v>4827</v>
      </c>
    </row>
    <row r="568" spans="1:6">
      <c r="A568" t="s">
        <v>1701</v>
      </c>
      <c r="B568">
        <v>63</v>
      </c>
      <c r="C568" t="s">
        <v>642</v>
      </c>
      <c r="D568">
        <v>655157</v>
      </c>
      <c r="E568">
        <v>3289</v>
      </c>
      <c r="F568">
        <v>4827</v>
      </c>
    </row>
    <row r="569" spans="1:6">
      <c r="A569" t="s">
        <v>1702</v>
      </c>
      <c r="B569">
        <v>64</v>
      </c>
      <c r="C569" t="s">
        <v>149</v>
      </c>
      <c r="D569">
        <v>16219</v>
      </c>
      <c r="E569">
        <v>3365</v>
      </c>
      <c r="F569">
        <v>4910</v>
      </c>
    </row>
    <row r="570" spans="1:6">
      <c r="A570" t="s">
        <v>1703</v>
      </c>
      <c r="B570">
        <v>64</v>
      </c>
      <c r="C570" t="s">
        <v>1132</v>
      </c>
      <c r="D570">
        <v>48657</v>
      </c>
      <c r="E570">
        <v>3365</v>
      </c>
      <c r="F570">
        <v>4910</v>
      </c>
    </row>
    <row r="571" spans="1:6">
      <c r="A571" t="s">
        <v>1704</v>
      </c>
      <c r="B571">
        <v>64</v>
      </c>
      <c r="C571" t="s">
        <v>1134</v>
      </c>
      <c r="D571">
        <v>29195</v>
      </c>
      <c r="E571">
        <v>3365</v>
      </c>
      <c r="F571">
        <v>4910</v>
      </c>
    </row>
    <row r="572" spans="1:6">
      <c r="A572" t="s">
        <v>1705</v>
      </c>
      <c r="B572">
        <v>64</v>
      </c>
      <c r="C572" t="s">
        <v>1136</v>
      </c>
      <c r="D572">
        <v>8110</v>
      </c>
      <c r="E572">
        <v>3365</v>
      </c>
      <c r="F572">
        <v>4910</v>
      </c>
    </row>
    <row r="573" spans="1:6">
      <c r="A573" t="s">
        <v>1706</v>
      </c>
      <c r="B573">
        <v>64</v>
      </c>
      <c r="C573" t="s">
        <v>1138</v>
      </c>
      <c r="D573">
        <v>2433</v>
      </c>
      <c r="E573">
        <v>3365</v>
      </c>
      <c r="F573">
        <v>4910</v>
      </c>
    </row>
    <row r="574" spans="1:6">
      <c r="A574" t="s">
        <v>1707</v>
      </c>
      <c r="B574">
        <v>64</v>
      </c>
      <c r="C574" t="s">
        <v>738</v>
      </c>
      <c r="D574">
        <v>64876</v>
      </c>
      <c r="E574">
        <v>3365</v>
      </c>
      <c r="F574">
        <v>4910</v>
      </c>
    </row>
    <row r="575" spans="1:6">
      <c r="A575" t="s">
        <v>1708</v>
      </c>
      <c r="B575">
        <v>64</v>
      </c>
      <c r="C575" t="s">
        <v>1141</v>
      </c>
      <c r="D575">
        <v>145971</v>
      </c>
      <c r="E575">
        <v>3365</v>
      </c>
      <c r="F575">
        <v>4910</v>
      </c>
    </row>
    <row r="576" spans="1:6">
      <c r="A576" t="s">
        <v>1709</v>
      </c>
      <c r="B576">
        <v>64</v>
      </c>
      <c r="C576" t="s">
        <v>159</v>
      </c>
      <c r="D576">
        <v>1347970</v>
      </c>
      <c r="E576">
        <v>3365</v>
      </c>
      <c r="F576">
        <v>4910</v>
      </c>
    </row>
    <row r="577" spans="1:6">
      <c r="A577" t="s">
        <v>1710</v>
      </c>
      <c r="B577">
        <v>64</v>
      </c>
      <c r="C577" t="s">
        <v>642</v>
      </c>
      <c r="D577">
        <v>673985</v>
      </c>
      <c r="E577">
        <v>3365</v>
      </c>
      <c r="F577">
        <v>4910</v>
      </c>
    </row>
    <row r="578" spans="1:6">
      <c r="A578" t="s">
        <v>1711</v>
      </c>
      <c r="B578">
        <v>65</v>
      </c>
      <c r="C578" t="s">
        <v>149</v>
      </c>
      <c r="D578">
        <v>16644</v>
      </c>
      <c r="E578">
        <v>3441</v>
      </c>
      <c r="F578">
        <v>4992</v>
      </c>
    </row>
    <row r="579" spans="1:6">
      <c r="A579" t="s">
        <v>1712</v>
      </c>
      <c r="B579">
        <v>65</v>
      </c>
      <c r="C579" t="s">
        <v>1132</v>
      </c>
      <c r="D579">
        <v>49932</v>
      </c>
      <c r="E579">
        <v>3441</v>
      </c>
      <c r="F579">
        <v>4992</v>
      </c>
    </row>
    <row r="580" spans="1:6">
      <c r="A580" t="s">
        <v>1713</v>
      </c>
      <c r="B580">
        <v>65</v>
      </c>
      <c r="C580" t="s">
        <v>1134</v>
      </c>
      <c r="D580">
        <v>29960</v>
      </c>
      <c r="E580">
        <v>3441</v>
      </c>
      <c r="F580">
        <v>4992</v>
      </c>
    </row>
    <row r="581" spans="1:6">
      <c r="A581" t="s">
        <v>1714</v>
      </c>
      <c r="B581">
        <v>65</v>
      </c>
      <c r="C581" t="s">
        <v>1136</v>
      </c>
      <c r="D581">
        <v>8322</v>
      </c>
      <c r="E581">
        <v>3441</v>
      </c>
      <c r="F581">
        <v>4992</v>
      </c>
    </row>
    <row r="582" spans="1:6">
      <c r="A582" t="s">
        <v>1715</v>
      </c>
      <c r="B582">
        <v>65</v>
      </c>
      <c r="C582" t="s">
        <v>1138</v>
      </c>
      <c r="D582">
        <v>2497</v>
      </c>
      <c r="E582">
        <v>3441</v>
      </c>
      <c r="F582">
        <v>4992</v>
      </c>
    </row>
    <row r="583" spans="1:6">
      <c r="A583" t="s">
        <v>1716</v>
      </c>
      <c r="B583">
        <v>65</v>
      </c>
      <c r="C583" t="s">
        <v>738</v>
      </c>
      <c r="D583">
        <v>66576</v>
      </c>
      <c r="E583">
        <v>3441</v>
      </c>
      <c r="F583">
        <v>4992</v>
      </c>
    </row>
    <row r="584" spans="1:6">
      <c r="A584" t="s">
        <v>1717</v>
      </c>
      <c r="B584">
        <v>65</v>
      </c>
      <c r="C584" t="s">
        <v>1141</v>
      </c>
      <c r="D584">
        <v>149796</v>
      </c>
      <c r="E584">
        <v>3441</v>
      </c>
      <c r="F584">
        <v>4992</v>
      </c>
    </row>
    <row r="585" spans="1:6">
      <c r="A585" t="s">
        <v>1718</v>
      </c>
      <c r="B585">
        <v>65</v>
      </c>
      <c r="C585" t="s">
        <v>159</v>
      </c>
      <c r="D585">
        <v>1386350</v>
      </c>
      <c r="E585">
        <v>3441</v>
      </c>
      <c r="F585">
        <v>4992</v>
      </c>
    </row>
    <row r="586" spans="1:6">
      <c r="A586" t="s">
        <v>1719</v>
      </c>
      <c r="B586">
        <v>65</v>
      </c>
      <c r="C586" t="s">
        <v>642</v>
      </c>
      <c r="D586">
        <v>693175</v>
      </c>
      <c r="E586">
        <v>3441</v>
      </c>
      <c r="F586">
        <v>4992</v>
      </c>
    </row>
    <row r="587" spans="1:6">
      <c r="A587" t="s">
        <v>1720</v>
      </c>
      <c r="B587">
        <v>66</v>
      </c>
      <c r="C587" t="s">
        <v>149</v>
      </c>
      <c r="D587">
        <v>17075</v>
      </c>
      <c r="E587">
        <v>3519</v>
      </c>
      <c r="F587">
        <v>5075</v>
      </c>
    </row>
    <row r="588" spans="1:6">
      <c r="A588" t="s">
        <v>1721</v>
      </c>
      <c r="B588">
        <v>66</v>
      </c>
      <c r="C588" t="s">
        <v>1132</v>
      </c>
      <c r="D588">
        <v>51225</v>
      </c>
      <c r="E588">
        <v>3519</v>
      </c>
      <c r="F588">
        <v>5075</v>
      </c>
    </row>
    <row r="589" spans="1:6">
      <c r="A589" t="s">
        <v>1722</v>
      </c>
      <c r="B589">
        <v>66</v>
      </c>
      <c r="C589" t="s">
        <v>1134</v>
      </c>
      <c r="D589">
        <v>30735</v>
      </c>
      <c r="E589">
        <v>3519</v>
      </c>
      <c r="F589">
        <v>5075</v>
      </c>
    </row>
    <row r="590" spans="1:6">
      <c r="A590" t="s">
        <v>1723</v>
      </c>
      <c r="B590">
        <v>66</v>
      </c>
      <c r="C590" t="s">
        <v>1136</v>
      </c>
      <c r="D590">
        <v>8538</v>
      </c>
      <c r="E590">
        <v>3519</v>
      </c>
      <c r="F590">
        <v>5075</v>
      </c>
    </row>
    <row r="591" spans="1:6">
      <c r="A591" t="s">
        <v>1724</v>
      </c>
      <c r="B591">
        <v>66</v>
      </c>
      <c r="C591" t="s">
        <v>1138</v>
      </c>
      <c r="D591">
        <v>2562</v>
      </c>
      <c r="E591">
        <v>3519</v>
      </c>
      <c r="F591">
        <v>5075</v>
      </c>
    </row>
    <row r="592" spans="1:6">
      <c r="A592" t="s">
        <v>1725</v>
      </c>
      <c r="B592">
        <v>66</v>
      </c>
      <c r="C592" t="s">
        <v>738</v>
      </c>
      <c r="D592">
        <v>68300</v>
      </c>
      <c r="E592">
        <v>3519</v>
      </c>
      <c r="F592">
        <v>5075</v>
      </c>
    </row>
    <row r="593" spans="1:6">
      <c r="A593" t="s">
        <v>1726</v>
      </c>
      <c r="B593">
        <v>66</v>
      </c>
      <c r="C593" t="s">
        <v>1141</v>
      </c>
      <c r="D593">
        <v>153675</v>
      </c>
      <c r="E593">
        <v>3519</v>
      </c>
      <c r="F593">
        <v>5075</v>
      </c>
    </row>
    <row r="594" spans="1:6">
      <c r="A594" t="s">
        <v>1727</v>
      </c>
      <c r="B594">
        <v>66</v>
      </c>
      <c r="C594" t="s">
        <v>159</v>
      </c>
      <c r="D594">
        <v>1425455</v>
      </c>
      <c r="E594">
        <v>3519</v>
      </c>
      <c r="F594">
        <v>5075</v>
      </c>
    </row>
    <row r="595" spans="1:6">
      <c r="A595" t="s">
        <v>1728</v>
      </c>
      <c r="B595">
        <v>66</v>
      </c>
      <c r="C595" t="s">
        <v>642</v>
      </c>
      <c r="D595">
        <v>712728</v>
      </c>
      <c r="E595">
        <v>3519</v>
      </c>
      <c r="F595">
        <v>5075</v>
      </c>
    </row>
    <row r="596" spans="1:6">
      <c r="A596" t="s">
        <v>1729</v>
      </c>
      <c r="B596">
        <v>67</v>
      </c>
      <c r="C596" t="s">
        <v>149</v>
      </c>
      <c r="D596">
        <v>17512</v>
      </c>
      <c r="E596">
        <v>3597</v>
      </c>
      <c r="F596">
        <v>5158</v>
      </c>
    </row>
    <row r="597" spans="1:6">
      <c r="A597" t="s">
        <v>1730</v>
      </c>
      <c r="B597">
        <v>67</v>
      </c>
      <c r="C597" t="s">
        <v>1132</v>
      </c>
      <c r="D597">
        <v>52536</v>
      </c>
      <c r="E597">
        <v>3597</v>
      </c>
      <c r="F597">
        <v>5158</v>
      </c>
    </row>
    <row r="598" spans="1:6">
      <c r="A598" t="s">
        <v>1731</v>
      </c>
      <c r="B598">
        <v>67</v>
      </c>
      <c r="C598" t="s">
        <v>1134</v>
      </c>
      <c r="D598">
        <v>31522</v>
      </c>
      <c r="E598">
        <v>3597</v>
      </c>
      <c r="F598">
        <v>5158</v>
      </c>
    </row>
    <row r="599" spans="1:6">
      <c r="A599" t="s">
        <v>1732</v>
      </c>
      <c r="B599">
        <v>67</v>
      </c>
      <c r="C599" t="s">
        <v>1136</v>
      </c>
      <c r="D599">
        <v>8756</v>
      </c>
      <c r="E599">
        <v>3597</v>
      </c>
      <c r="F599">
        <v>5158</v>
      </c>
    </row>
    <row r="600" spans="1:6">
      <c r="A600" t="s">
        <v>1733</v>
      </c>
      <c r="B600">
        <v>67</v>
      </c>
      <c r="C600" t="s">
        <v>1138</v>
      </c>
      <c r="D600">
        <v>2627</v>
      </c>
      <c r="E600">
        <v>3597</v>
      </c>
      <c r="F600">
        <v>5158</v>
      </c>
    </row>
    <row r="601" spans="1:6">
      <c r="A601" t="s">
        <v>1734</v>
      </c>
      <c r="B601">
        <v>67</v>
      </c>
      <c r="C601" t="s">
        <v>738</v>
      </c>
      <c r="D601">
        <v>70048</v>
      </c>
      <c r="E601">
        <v>3597</v>
      </c>
      <c r="F601">
        <v>5158</v>
      </c>
    </row>
    <row r="602" spans="1:6">
      <c r="A602" t="s">
        <v>1735</v>
      </c>
      <c r="B602">
        <v>67</v>
      </c>
      <c r="C602" t="s">
        <v>1141</v>
      </c>
      <c r="D602">
        <v>157608</v>
      </c>
      <c r="E602">
        <v>3597</v>
      </c>
      <c r="F602">
        <v>5158</v>
      </c>
    </row>
    <row r="603" spans="1:6">
      <c r="A603" t="s">
        <v>1736</v>
      </c>
      <c r="B603">
        <v>67</v>
      </c>
      <c r="C603" t="s">
        <v>159</v>
      </c>
      <c r="D603">
        <v>1465349</v>
      </c>
      <c r="E603">
        <v>3597</v>
      </c>
      <c r="F603">
        <v>5158</v>
      </c>
    </row>
    <row r="604" spans="1:6">
      <c r="A604" t="s">
        <v>1737</v>
      </c>
      <c r="B604">
        <v>67</v>
      </c>
      <c r="C604" t="s">
        <v>642</v>
      </c>
      <c r="D604">
        <v>732675</v>
      </c>
      <c r="E604">
        <v>3597</v>
      </c>
      <c r="F604">
        <v>5158</v>
      </c>
    </row>
    <row r="605" spans="1:6">
      <c r="A605" t="s">
        <v>1738</v>
      </c>
      <c r="B605">
        <v>68</v>
      </c>
      <c r="C605" t="s">
        <v>149</v>
      </c>
      <c r="D605">
        <v>17956</v>
      </c>
      <c r="E605">
        <v>3676</v>
      </c>
      <c r="F605">
        <v>5242</v>
      </c>
    </row>
    <row r="606" spans="1:6">
      <c r="A606" t="s">
        <v>1739</v>
      </c>
      <c r="B606">
        <v>68</v>
      </c>
      <c r="C606" t="s">
        <v>1132</v>
      </c>
      <c r="D606">
        <v>53868</v>
      </c>
      <c r="E606">
        <v>3676</v>
      </c>
      <c r="F606">
        <v>5242</v>
      </c>
    </row>
    <row r="607" spans="1:6">
      <c r="A607" t="s">
        <v>1740</v>
      </c>
      <c r="B607">
        <v>68</v>
      </c>
      <c r="C607" t="s">
        <v>1134</v>
      </c>
      <c r="D607">
        <v>32321</v>
      </c>
      <c r="E607">
        <v>3676</v>
      </c>
      <c r="F607">
        <v>5242</v>
      </c>
    </row>
    <row r="608" spans="1:6">
      <c r="A608" t="s">
        <v>1741</v>
      </c>
      <c r="B608">
        <v>68</v>
      </c>
      <c r="C608" t="s">
        <v>1136</v>
      </c>
      <c r="D608">
        <v>8978</v>
      </c>
      <c r="E608">
        <v>3676</v>
      </c>
      <c r="F608">
        <v>5242</v>
      </c>
    </row>
    <row r="609" spans="1:6">
      <c r="A609" t="s">
        <v>1742</v>
      </c>
      <c r="B609">
        <v>68</v>
      </c>
      <c r="C609" t="s">
        <v>1138</v>
      </c>
      <c r="D609">
        <v>2694</v>
      </c>
      <c r="E609">
        <v>3676</v>
      </c>
      <c r="F609">
        <v>5242</v>
      </c>
    </row>
    <row r="610" spans="1:6">
      <c r="A610" t="s">
        <v>1743</v>
      </c>
      <c r="B610">
        <v>68</v>
      </c>
      <c r="C610" t="s">
        <v>738</v>
      </c>
      <c r="D610">
        <v>71824</v>
      </c>
      <c r="E610">
        <v>3676</v>
      </c>
      <c r="F610">
        <v>5242</v>
      </c>
    </row>
    <row r="611" spans="1:6">
      <c r="A611" t="s">
        <v>1744</v>
      </c>
      <c r="B611">
        <v>68</v>
      </c>
      <c r="C611" t="s">
        <v>1141</v>
      </c>
      <c r="D611">
        <v>161604</v>
      </c>
      <c r="E611">
        <v>3676</v>
      </c>
      <c r="F611">
        <v>5242</v>
      </c>
    </row>
    <row r="612" spans="1:6">
      <c r="A612" t="s">
        <v>1745</v>
      </c>
      <c r="B612">
        <v>68</v>
      </c>
      <c r="C612" t="s">
        <v>159</v>
      </c>
      <c r="D612">
        <v>1505908</v>
      </c>
      <c r="E612">
        <v>3676</v>
      </c>
      <c r="F612">
        <v>5242</v>
      </c>
    </row>
    <row r="613" spans="1:6">
      <c r="A613" t="s">
        <v>1746</v>
      </c>
      <c r="B613">
        <v>68</v>
      </c>
      <c r="C613" t="s">
        <v>642</v>
      </c>
      <c r="D613">
        <v>752954</v>
      </c>
      <c r="E613">
        <v>3676</v>
      </c>
      <c r="F613">
        <v>5242</v>
      </c>
    </row>
    <row r="614" spans="1:6">
      <c r="A614" t="s">
        <v>1747</v>
      </c>
      <c r="B614">
        <v>69</v>
      </c>
      <c r="C614" t="s">
        <v>149</v>
      </c>
      <c r="D614">
        <v>18405</v>
      </c>
      <c r="E614">
        <v>3756</v>
      </c>
      <c r="F614">
        <v>5325</v>
      </c>
    </row>
    <row r="615" spans="1:6">
      <c r="A615" t="s">
        <v>1748</v>
      </c>
      <c r="B615">
        <v>69</v>
      </c>
      <c r="C615" t="s">
        <v>1132</v>
      </c>
      <c r="D615">
        <v>55215</v>
      </c>
      <c r="E615">
        <v>3756</v>
      </c>
      <c r="F615">
        <v>5325</v>
      </c>
    </row>
    <row r="616" spans="1:6">
      <c r="A616" t="s">
        <v>1749</v>
      </c>
      <c r="B616">
        <v>69</v>
      </c>
      <c r="C616" t="s">
        <v>1134</v>
      </c>
      <c r="D616">
        <v>33129</v>
      </c>
      <c r="E616">
        <v>3756</v>
      </c>
      <c r="F616">
        <v>5325</v>
      </c>
    </row>
    <row r="617" spans="1:6">
      <c r="A617" t="s">
        <v>1750</v>
      </c>
      <c r="B617">
        <v>69</v>
      </c>
      <c r="C617" t="s">
        <v>1136</v>
      </c>
      <c r="D617">
        <v>9203</v>
      </c>
      <c r="E617">
        <v>3756</v>
      </c>
      <c r="F617">
        <v>5325</v>
      </c>
    </row>
    <row r="618" spans="1:6">
      <c r="A618" t="s">
        <v>1751</v>
      </c>
      <c r="B618">
        <v>69</v>
      </c>
      <c r="C618" t="s">
        <v>1138</v>
      </c>
      <c r="D618">
        <v>2761</v>
      </c>
      <c r="E618">
        <v>3756</v>
      </c>
      <c r="F618">
        <v>5325</v>
      </c>
    </row>
    <row r="619" spans="1:6">
      <c r="A619" t="s">
        <v>1752</v>
      </c>
      <c r="B619">
        <v>69</v>
      </c>
      <c r="C619" t="s">
        <v>738</v>
      </c>
      <c r="D619">
        <v>73620</v>
      </c>
      <c r="E619">
        <v>3756</v>
      </c>
      <c r="F619">
        <v>5325</v>
      </c>
    </row>
    <row r="620" spans="1:6">
      <c r="A620" t="s">
        <v>1753</v>
      </c>
      <c r="B620">
        <v>69</v>
      </c>
      <c r="C620" t="s">
        <v>1141</v>
      </c>
      <c r="D620">
        <v>165645</v>
      </c>
      <c r="E620">
        <v>3756</v>
      </c>
      <c r="F620">
        <v>5325</v>
      </c>
    </row>
    <row r="621" spans="1:6">
      <c r="A621" t="s">
        <v>1754</v>
      </c>
      <c r="B621">
        <v>69</v>
      </c>
      <c r="C621" t="s">
        <v>159</v>
      </c>
      <c r="D621">
        <v>1547319</v>
      </c>
      <c r="E621">
        <v>3756</v>
      </c>
      <c r="F621">
        <v>5325</v>
      </c>
    </row>
    <row r="622" spans="1:6">
      <c r="A622" t="s">
        <v>1755</v>
      </c>
      <c r="B622">
        <v>69</v>
      </c>
      <c r="C622" t="s">
        <v>642</v>
      </c>
      <c r="D622">
        <v>773659</v>
      </c>
      <c r="E622">
        <v>3756</v>
      </c>
      <c r="F622">
        <v>5325</v>
      </c>
    </row>
    <row r="623" spans="1:6">
      <c r="A623" t="s">
        <v>1756</v>
      </c>
      <c r="B623">
        <v>70</v>
      </c>
      <c r="C623" t="s">
        <v>149</v>
      </c>
      <c r="D623">
        <v>18861</v>
      </c>
      <c r="E623">
        <v>3836</v>
      </c>
      <c r="F623">
        <v>5409</v>
      </c>
    </row>
    <row r="624" spans="1:6">
      <c r="A624" t="s">
        <v>1757</v>
      </c>
      <c r="B624">
        <v>70</v>
      </c>
      <c r="C624" t="s">
        <v>1132</v>
      </c>
      <c r="D624">
        <v>56583</v>
      </c>
      <c r="E624">
        <v>3836</v>
      </c>
      <c r="F624">
        <v>5409</v>
      </c>
    </row>
    <row r="625" spans="1:6">
      <c r="A625" t="s">
        <v>1758</v>
      </c>
      <c r="B625">
        <v>70</v>
      </c>
      <c r="C625" t="s">
        <v>1134</v>
      </c>
      <c r="D625">
        <v>33950</v>
      </c>
      <c r="E625">
        <v>3836</v>
      </c>
      <c r="F625">
        <v>5409</v>
      </c>
    </row>
    <row r="626" spans="1:6">
      <c r="A626" t="s">
        <v>1759</v>
      </c>
      <c r="B626">
        <v>70</v>
      </c>
      <c r="C626" t="s">
        <v>1136</v>
      </c>
      <c r="D626">
        <v>9431</v>
      </c>
      <c r="E626">
        <v>3836</v>
      </c>
      <c r="F626">
        <v>5409</v>
      </c>
    </row>
    <row r="627" spans="1:6">
      <c r="A627" t="s">
        <v>1760</v>
      </c>
      <c r="B627">
        <v>70</v>
      </c>
      <c r="C627" t="s">
        <v>1138</v>
      </c>
      <c r="D627">
        <v>2830</v>
      </c>
      <c r="E627">
        <v>3836</v>
      </c>
      <c r="F627">
        <v>5409</v>
      </c>
    </row>
    <row r="628" spans="1:6">
      <c r="A628" t="s">
        <v>1761</v>
      </c>
      <c r="B628">
        <v>70</v>
      </c>
      <c r="C628" t="s">
        <v>738</v>
      </c>
      <c r="D628">
        <v>75444</v>
      </c>
      <c r="E628">
        <v>3836</v>
      </c>
      <c r="F628">
        <v>5409</v>
      </c>
    </row>
    <row r="629" spans="1:6">
      <c r="A629" t="s">
        <v>1762</v>
      </c>
      <c r="B629">
        <v>70</v>
      </c>
      <c r="C629" t="s">
        <v>1141</v>
      </c>
      <c r="D629">
        <v>169749</v>
      </c>
      <c r="E629">
        <v>3836</v>
      </c>
      <c r="F629">
        <v>5409</v>
      </c>
    </row>
    <row r="630" spans="1:6">
      <c r="A630" t="s">
        <v>1763</v>
      </c>
      <c r="B630">
        <v>70</v>
      </c>
      <c r="C630" t="s">
        <v>159</v>
      </c>
      <c r="D630">
        <v>1589458</v>
      </c>
      <c r="E630">
        <v>3836</v>
      </c>
      <c r="F630">
        <v>5409</v>
      </c>
    </row>
    <row r="631" spans="1:6">
      <c r="A631" t="s">
        <v>1764</v>
      </c>
      <c r="B631">
        <v>70</v>
      </c>
      <c r="C631" t="s">
        <v>642</v>
      </c>
      <c r="D631">
        <v>794729</v>
      </c>
      <c r="E631">
        <v>3836</v>
      </c>
      <c r="F631">
        <v>5409</v>
      </c>
    </row>
    <row r="632" spans="1:6">
      <c r="A632" t="s">
        <v>1765</v>
      </c>
      <c r="B632">
        <v>71</v>
      </c>
      <c r="C632" t="s">
        <v>149</v>
      </c>
      <c r="D632">
        <v>19324</v>
      </c>
      <c r="E632">
        <v>3918</v>
      </c>
      <c r="F632">
        <v>5493</v>
      </c>
    </row>
    <row r="633" spans="1:6">
      <c r="A633" t="s">
        <v>1766</v>
      </c>
      <c r="B633">
        <v>71</v>
      </c>
      <c r="C633" t="s">
        <v>1132</v>
      </c>
      <c r="D633">
        <v>57972</v>
      </c>
      <c r="E633">
        <v>3918</v>
      </c>
      <c r="F633">
        <v>5493</v>
      </c>
    </row>
    <row r="634" spans="1:6">
      <c r="A634" t="s">
        <v>1767</v>
      </c>
      <c r="B634">
        <v>71</v>
      </c>
      <c r="C634" t="s">
        <v>1134</v>
      </c>
      <c r="D634">
        <v>34784</v>
      </c>
      <c r="E634">
        <v>3918</v>
      </c>
      <c r="F634">
        <v>5493</v>
      </c>
    </row>
    <row r="635" spans="1:6">
      <c r="A635" t="s">
        <v>1768</v>
      </c>
      <c r="B635">
        <v>71</v>
      </c>
      <c r="C635" t="s">
        <v>1136</v>
      </c>
      <c r="D635">
        <v>9662</v>
      </c>
      <c r="E635">
        <v>3918</v>
      </c>
      <c r="F635">
        <v>5493</v>
      </c>
    </row>
    <row r="636" spans="1:6">
      <c r="A636" t="s">
        <v>1769</v>
      </c>
      <c r="B636">
        <v>71</v>
      </c>
      <c r="C636" t="s">
        <v>1138</v>
      </c>
      <c r="D636">
        <v>2899</v>
      </c>
      <c r="E636">
        <v>3918</v>
      </c>
      <c r="F636">
        <v>5493</v>
      </c>
    </row>
    <row r="637" spans="1:6">
      <c r="A637" t="s">
        <v>1770</v>
      </c>
      <c r="B637">
        <v>71</v>
      </c>
      <c r="C637" t="s">
        <v>738</v>
      </c>
      <c r="D637">
        <v>77296</v>
      </c>
      <c r="E637">
        <v>3918</v>
      </c>
      <c r="F637">
        <v>5493</v>
      </c>
    </row>
    <row r="638" spans="1:6">
      <c r="A638" t="s">
        <v>1771</v>
      </c>
      <c r="B638">
        <v>71</v>
      </c>
      <c r="C638" t="s">
        <v>1141</v>
      </c>
      <c r="D638">
        <v>173916</v>
      </c>
      <c r="E638">
        <v>3918</v>
      </c>
      <c r="F638">
        <v>5493</v>
      </c>
    </row>
    <row r="639" spans="1:6">
      <c r="A639" t="s">
        <v>1772</v>
      </c>
      <c r="B639">
        <v>71</v>
      </c>
      <c r="C639" t="s">
        <v>159</v>
      </c>
      <c r="D639">
        <v>1632327</v>
      </c>
      <c r="E639">
        <v>3918</v>
      </c>
      <c r="F639">
        <v>5493</v>
      </c>
    </row>
    <row r="640" spans="1:6">
      <c r="A640" t="s">
        <v>1773</v>
      </c>
      <c r="B640">
        <v>71</v>
      </c>
      <c r="C640" t="s">
        <v>642</v>
      </c>
      <c r="D640">
        <v>816164</v>
      </c>
      <c r="E640">
        <v>3918</v>
      </c>
      <c r="F640">
        <v>5493</v>
      </c>
    </row>
    <row r="641" spans="1:6">
      <c r="A641" t="s">
        <v>1774</v>
      </c>
      <c r="B641">
        <v>72</v>
      </c>
      <c r="C641" t="s">
        <v>149</v>
      </c>
      <c r="D641">
        <v>19793</v>
      </c>
      <c r="E641">
        <v>4000</v>
      </c>
      <c r="F641">
        <v>5577</v>
      </c>
    </row>
    <row r="642" spans="1:6">
      <c r="A642" t="s">
        <v>1775</v>
      </c>
      <c r="B642">
        <v>72</v>
      </c>
      <c r="C642" t="s">
        <v>1132</v>
      </c>
      <c r="D642">
        <v>59379</v>
      </c>
      <c r="E642">
        <v>4000</v>
      </c>
      <c r="F642">
        <v>5577</v>
      </c>
    </row>
    <row r="643" spans="1:6">
      <c r="A643" t="s">
        <v>1776</v>
      </c>
      <c r="B643">
        <v>72</v>
      </c>
      <c r="C643" t="s">
        <v>1134</v>
      </c>
      <c r="D643">
        <v>35628</v>
      </c>
      <c r="E643">
        <v>4000</v>
      </c>
      <c r="F643">
        <v>5577</v>
      </c>
    </row>
    <row r="644" spans="1:6">
      <c r="A644" t="s">
        <v>1777</v>
      </c>
      <c r="B644">
        <v>72</v>
      </c>
      <c r="C644" t="s">
        <v>1136</v>
      </c>
      <c r="D644">
        <v>9897</v>
      </c>
      <c r="E644">
        <v>4000</v>
      </c>
      <c r="F644">
        <v>5577</v>
      </c>
    </row>
    <row r="645" spans="1:6">
      <c r="A645" t="s">
        <v>1778</v>
      </c>
      <c r="B645">
        <v>72</v>
      </c>
      <c r="C645" t="s">
        <v>1138</v>
      </c>
      <c r="D645">
        <v>2969</v>
      </c>
      <c r="E645">
        <v>4000</v>
      </c>
      <c r="F645">
        <v>5577</v>
      </c>
    </row>
    <row r="646" spans="1:6">
      <c r="A646" t="s">
        <v>1779</v>
      </c>
      <c r="B646">
        <v>72</v>
      </c>
      <c r="C646" t="s">
        <v>738</v>
      </c>
      <c r="D646">
        <v>79172</v>
      </c>
      <c r="E646">
        <v>4000</v>
      </c>
      <c r="F646">
        <v>5577</v>
      </c>
    </row>
    <row r="647" spans="1:6">
      <c r="A647" t="s">
        <v>1780</v>
      </c>
      <c r="B647">
        <v>72</v>
      </c>
      <c r="C647" t="s">
        <v>1141</v>
      </c>
      <c r="D647">
        <v>178137</v>
      </c>
      <c r="E647">
        <v>4000</v>
      </c>
      <c r="F647">
        <v>5577</v>
      </c>
    </row>
    <row r="648" spans="1:6">
      <c r="A648" t="s">
        <v>1781</v>
      </c>
      <c r="B648">
        <v>72</v>
      </c>
      <c r="C648" t="s">
        <v>159</v>
      </c>
      <c r="D648">
        <v>1676051</v>
      </c>
      <c r="E648">
        <v>4000</v>
      </c>
      <c r="F648">
        <v>5577</v>
      </c>
    </row>
    <row r="649" spans="1:6">
      <c r="A649" t="s">
        <v>1782</v>
      </c>
      <c r="B649">
        <v>72</v>
      </c>
      <c r="C649" t="s">
        <v>642</v>
      </c>
      <c r="D649">
        <v>838025</v>
      </c>
      <c r="E649">
        <v>4000</v>
      </c>
      <c r="F649">
        <v>5577</v>
      </c>
    </row>
    <row r="650" spans="1:6">
      <c r="A650" t="s">
        <v>1783</v>
      </c>
      <c r="B650">
        <v>73</v>
      </c>
      <c r="C650" t="s">
        <v>149</v>
      </c>
      <c r="D650">
        <v>20268</v>
      </c>
      <c r="E650">
        <v>4084</v>
      </c>
      <c r="F650">
        <v>5661</v>
      </c>
    </row>
    <row r="651" spans="1:6">
      <c r="A651" t="s">
        <v>1784</v>
      </c>
      <c r="B651">
        <v>73</v>
      </c>
      <c r="C651" t="s">
        <v>1132</v>
      </c>
      <c r="D651">
        <v>60804</v>
      </c>
      <c r="E651">
        <v>4084</v>
      </c>
      <c r="F651">
        <v>5661</v>
      </c>
    </row>
    <row r="652" spans="1:6">
      <c r="A652" t="s">
        <v>1785</v>
      </c>
      <c r="B652">
        <v>73</v>
      </c>
      <c r="C652" t="s">
        <v>1134</v>
      </c>
      <c r="D652">
        <v>36483</v>
      </c>
      <c r="E652">
        <v>4084</v>
      </c>
      <c r="F652">
        <v>5661</v>
      </c>
    </row>
    <row r="653" spans="1:6">
      <c r="A653" t="s">
        <v>1786</v>
      </c>
      <c r="B653">
        <v>73</v>
      </c>
      <c r="C653" t="s">
        <v>1136</v>
      </c>
      <c r="D653">
        <v>10134</v>
      </c>
      <c r="E653">
        <v>4084</v>
      </c>
      <c r="F653">
        <v>5661</v>
      </c>
    </row>
    <row r="654" spans="1:6">
      <c r="A654" t="s">
        <v>1787</v>
      </c>
      <c r="B654">
        <v>73</v>
      </c>
      <c r="C654" t="s">
        <v>1138</v>
      </c>
      <c r="D654">
        <v>3041</v>
      </c>
      <c r="E654">
        <v>4084</v>
      </c>
      <c r="F654">
        <v>5661</v>
      </c>
    </row>
    <row r="655" spans="1:6">
      <c r="A655" t="s">
        <v>1788</v>
      </c>
      <c r="B655">
        <v>73</v>
      </c>
      <c r="C655" t="s">
        <v>738</v>
      </c>
      <c r="D655">
        <v>81072</v>
      </c>
      <c r="E655">
        <v>4084</v>
      </c>
      <c r="F655">
        <v>5661</v>
      </c>
    </row>
    <row r="656" spans="1:6">
      <c r="A656" t="s">
        <v>1789</v>
      </c>
      <c r="B656">
        <v>73</v>
      </c>
      <c r="C656" t="s">
        <v>1141</v>
      </c>
      <c r="D656">
        <v>182412</v>
      </c>
      <c r="E656">
        <v>4084</v>
      </c>
      <c r="F656">
        <v>5661</v>
      </c>
    </row>
    <row r="657" spans="1:6">
      <c r="A657" t="s">
        <v>1790</v>
      </c>
      <c r="B657">
        <v>73</v>
      </c>
      <c r="C657" t="s">
        <v>159</v>
      </c>
      <c r="D657">
        <v>1720504</v>
      </c>
      <c r="E657">
        <v>4084</v>
      </c>
      <c r="F657">
        <v>5661</v>
      </c>
    </row>
    <row r="658" spans="1:6">
      <c r="A658" t="s">
        <v>1791</v>
      </c>
      <c r="B658">
        <v>73</v>
      </c>
      <c r="C658" t="s">
        <v>642</v>
      </c>
      <c r="D658">
        <v>860252</v>
      </c>
      <c r="E658">
        <v>4084</v>
      </c>
      <c r="F658">
        <v>5661</v>
      </c>
    </row>
    <row r="659" spans="1:6">
      <c r="A659" t="s">
        <v>1792</v>
      </c>
      <c r="B659">
        <v>74</v>
      </c>
      <c r="C659" t="s">
        <v>149</v>
      </c>
      <c r="D659">
        <v>20750</v>
      </c>
      <c r="E659">
        <v>4168</v>
      </c>
      <c r="F659">
        <v>5745</v>
      </c>
    </row>
    <row r="660" spans="1:6">
      <c r="A660" t="s">
        <v>1793</v>
      </c>
      <c r="B660">
        <v>74</v>
      </c>
      <c r="C660" t="s">
        <v>1132</v>
      </c>
      <c r="D660">
        <v>62250</v>
      </c>
      <c r="E660">
        <v>4168</v>
      </c>
      <c r="F660">
        <v>5745</v>
      </c>
    </row>
    <row r="661" spans="1:6">
      <c r="A661" t="s">
        <v>1794</v>
      </c>
      <c r="B661">
        <v>74</v>
      </c>
      <c r="C661" t="s">
        <v>1134</v>
      </c>
      <c r="D661">
        <v>37350</v>
      </c>
      <c r="E661">
        <v>4168</v>
      </c>
      <c r="F661">
        <v>5745</v>
      </c>
    </row>
    <row r="662" spans="1:6">
      <c r="A662" t="s">
        <v>1795</v>
      </c>
      <c r="B662">
        <v>74</v>
      </c>
      <c r="C662" t="s">
        <v>1136</v>
      </c>
      <c r="D662">
        <v>10375</v>
      </c>
      <c r="E662">
        <v>4168</v>
      </c>
      <c r="F662">
        <v>5745</v>
      </c>
    </row>
    <row r="663" spans="1:6">
      <c r="A663" t="s">
        <v>1796</v>
      </c>
      <c r="B663">
        <v>74</v>
      </c>
      <c r="C663" t="s">
        <v>1138</v>
      </c>
      <c r="D663">
        <v>3113</v>
      </c>
      <c r="E663">
        <v>4168</v>
      </c>
      <c r="F663">
        <v>5745</v>
      </c>
    </row>
    <row r="664" spans="1:6">
      <c r="A664" t="s">
        <v>1797</v>
      </c>
      <c r="B664">
        <v>74</v>
      </c>
      <c r="C664" t="s">
        <v>738</v>
      </c>
      <c r="D664">
        <v>83000</v>
      </c>
      <c r="E664">
        <v>4168</v>
      </c>
      <c r="F664">
        <v>5745</v>
      </c>
    </row>
    <row r="665" spans="1:6">
      <c r="A665" t="s">
        <v>1798</v>
      </c>
      <c r="B665">
        <v>74</v>
      </c>
      <c r="C665" t="s">
        <v>1141</v>
      </c>
      <c r="D665">
        <v>186750</v>
      </c>
      <c r="E665">
        <v>4168</v>
      </c>
      <c r="F665">
        <v>5745</v>
      </c>
    </row>
    <row r="666" spans="1:6">
      <c r="A666" t="s">
        <v>1799</v>
      </c>
      <c r="B666">
        <v>74</v>
      </c>
      <c r="C666" t="s">
        <v>159</v>
      </c>
      <c r="D666">
        <v>1765813</v>
      </c>
      <c r="E666">
        <v>4168</v>
      </c>
      <c r="F666">
        <v>5745</v>
      </c>
    </row>
    <row r="667" spans="1:6">
      <c r="A667" t="s">
        <v>1800</v>
      </c>
      <c r="B667">
        <v>74</v>
      </c>
      <c r="C667" t="s">
        <v>642</v>
      </c>
      <c r="D667">
        <v>882907</v>
      </c>
      <c r="E667">
        <v>4168</v>
      </c>
      <c r="F667">
        <v>5745</v>
      </c>
    </row>
    <row r="668" spans="1:6">
      <c r="A668" t="s">
        <v>1801</v>
      </c>
      <c r="B668">
        <v>75</v>
      </c>
      <c r="C668" t="s">
        <v>149</v>
      </c>
      <c r="D668">
        <v>21238</v>
      </c>
      <c r="E668">
        <v>4253</v>
      </c>
      <c r="F668">
        <v>5830</v>
      </c>
    </row>
    <row r="669" spans="1:6">
      <c r="A669" t="s">
        <v>1802</v>
      </c>
      <c r="B669">
        <v>75</v>
      </c>
      <c r="C669" t="s">
        <v>1132</v>
      </c>
      <c r="D669">
        <v>63714</v>
      </c>
      <c r="E669">
        <v>4253</v>
      </c>
      <c r="F669">
        <v>5830</v>
      </c>
    </row>
    <row r="670" spans="1:6">
      <c r="A670" t="s">
        <v>1803</v>
      </c>
      <c r="B670">
        <v>75</v>
      </c>
      <c r="C670" t="s">
        <v>1134</v>
      </c>
      <c r="D670">
        <v>38229</v>
      </c>
      <c r="E670">
        <v>4253</v>
      </c>
      <c r="F670">
        <v>5830</v>
      </c>
    </row>
    <row r="671" spans="1:6">
      <c r="A671" t="s">
        <v>1804</v>
      </c>
      <c r="B671">
        <v>75</v>
      </c>
      <c r="C671" t="s">
        <v>1136</v>
      </c>
      <c r="D671">
        <v>10619</v>
      </c>
      <c r="E671">
        <v>4253</v>
      </c>
      <c r="F671">
        <v>5830</v>
      </c>
    </row>
    <row r="672" spans="1:6">
      <c r="A672" t="s">
        <v>1805</v>
      </c>
      <c r="B672">
        <v>75</v>
      </c>
      <c r="C672" t="s">
        <v>1138</v>
      </c>
      <c r="D672">
        <v>3186</v>
      </c>
      <c r="E672">
        <v>4253</v>
      </c>
      <c r="F672">
        <v>5830</v>
      </c>
    </row>
    <row r="673" spans="1:6">
      <c r="A673" t="s">
        <v>1806</v>
      </c>
      <c r="B673">
        <v>75</v>
      </c>
      <c r="C673" t="s">
        <v>738</v>
      </c>
      <c r="D673">
        <v>84952</v>
      </c>
      <c r="E673">
        <v>4253</v>
      </c>
      <c r="F673">
        <v>5830</v>
      </c>
    </row>
    <row r="674" spans="1:6">
      <c r="A674" t="s">
        <v>1807</v>
      </c>
      <c r="B674">
        <v>75</v>
      </c>
      <c r="C674" t="s">
        <v>1141</v>
      </c>
      <c r="D674">
        <v>191142</v>
      </c>
      <c r="E674">
        <v>4253</v>
      </c>
      <c r="F674">
        <v>5830</v>
      </c>
    </row>
    <row r="675" spans="1:6">
      <c r="A675" t="s">
        <v>1808</v>
      </c>
      <c r="B675">
        <v>75</v>
      </c>
      <c r="C675" t="s">
        <v>159</v>
      </c>
      <c r="D675">
        <v>1811916</v>
      </c>
      <c r="E675">
        <v>4253</v>
      </c>
      <c r="F675">
        <v>5830</v>
      </c>
    </row>
    <row r="676" spans="1:6">
      <c r="A676" t="s">
        <v>1809</v>
      </c>
      <c r="B676">
        <v>75</v>
      </c>
      <c r="C676" t="s">
        <v>642</v>
      </c>
      <c r="D676">
        <v>905958</v>
      </c>
      <c r="E676">
        <v>4253</v>
      </c>
      <c r="F676">
        <v>5830</v>
      </c>
    </row>
    <row r="677" spans="1:6">
      <c r="A677" t="s">
        <v>1810</v>
      </c>
      <c r="B677">
        <v>76</v>
      </c>
      <c r="C677" t="s">
        <v>149</v>
      </c>
      <c r="D677">
        <v>21734</v>
      </c>
      <c r="E677">
        <v>4339</v>
      </c>
      <c r="F677">
        <v>5914</v>
      </c>
    </row>
    <row r="678" spans="1:6">
      <c r="A678" t="s">
        <v>1811</v>
      </c>
      <c r="B678">
        <v>76</v>
      </c>
      <c r="C678" t="s">
        <v>1132</v>
      </c>
      <c r="D678">
        <v>65202</v>
      </c>
      <c r="E678">
        <v>4339</v>
      </c>
      <c r="F678">
        <v>5914</v>
      </c>
    </row>
    <row r="679" spans="1:6">
      <c r="A679" t="s">
        <v>1812</v>
      </c>
      <c r="B679">
        <v>76</v>
      </c>
      <c r="C679" t="s">
        <v>1134</v>
      </c>
      <c r="D679">
        <v>39122</v>
      </c>
      <c r="E679">
        <v>4339</v>
      </c>
      <c r="F679">
        <v>5914</v>
      </c>
    </row>
    <row r="680" spans="1:6">
      <c r="A680" t="s">
        <v>1813</v>
      </c>
      <c r="B680">
        <v>76</v>
      </c>
      <c r="C680" t="s">
        <v>1136</v>
      </c>
      <c r="D680">
        <v>10867</v>
      </c>
      <c r="E680">
        <v>4339</v>
      </c>
      <c r="F680">
        <v>5914</v>
      </c>
    </row>
    <row r="681" spans="1:6">
      <c r="A681" t="s">
        <v>1814</v>
      </c>
      <c r="B681">
        <v>76</v>
      </c>
      <c r="C681" t="s">
        <v>1138</v>
      </c>
      <c r="D681">
        <v>3261</v>
      </c>
      <c r="E681">
        <v>4339</v>
      </c>
      <c r="F681">
        <v>5914</v>
      </c>
    </row>
    <row r="682" spans="1:6">
      <c r="A682" t="s">
        <v>1815</v>
      </c>
      <c r="B682">
        <v>76</v>
      </c>
      <c r="C682" t="s">
        <v>738</v>
      </c>
      <c r="D682">
        <v>86936</v>
      </c>
      <c r="E682">
        <v>4339</v>
      </c>
      <c r="F682">
        <v>5914</v>
      </c>
    </row>
    <row r="683" spans="1:6">
      <c r="A683" t="s">
        <v>1816</v>
      </c>
      <c r="B683">
        <v>76</v>
      </c>
      <c r="C683" t="s">
        <v>1141</v>
      </c>
      <c r="D683">
        <v>195606</v>
      </c>
      <c r="E683">
        <v>4339</v>
      </c>
      <c r="F683">
        <v>5914</v>
      </c>
    </row>
    <row r="684" spans="1:6">
      <c r="A684" t="s">
        <v>1817</v>
      </c>
      <c r="B684">
        <v>76</v>
      </c>
      <c r="C684" t="s">
        <v>159</v>
      </c>
      <c r="D684">
        <v>1858812</v>
      </c>
      <c r="E684">
        <v>4339</v>
      </c>
      <c r="F684">
        <v>5914</v>
      </c>
    </row>
    <row r="685" spans="1:6">
      <c r="A685" t="s">
        <v>1818</v>
      </c>
      <c r="B685">
        <v>76</v>
      </c>
      <c r="C685" t="s">
        <v>642</v>
      </c>
      <c r="D685">
        <v>929406</v>
      </c>
      <c r="E685">
        <v>4339</v>
      </c>
      <c r="F685">
        <v>5914</v>
      </c>
    </row>
    <row r="686" spans="1:6">
      <c r="A686" t="s">
        <v>1819</v>
      </c>
      <c r="B686">
        <v>77</v>
      </c>
      <c r="C686" t="s">
        <v>149</v>
      </c>
      <c r="D686">
        <v>22236</v>
      </c>
      <c r="E686">
        <v>4425</v>
      </c>
      <c r="F686">
        <v>5999</v>
      </c>
    </row>
    <row r="687" spans="1:6">
      <c r="A687" t="s">
        <v>1820</v>
      </c>
      <c r="B687">
        <v>77</v>
      </c>
      <c r="C687" t="s">
        <v>1132</v>
      </c>
      <c r="D687">
        <v>66708</v>
      </c>
      <c r="E687">
        <v>4425</v>
      </c>
      <c r="F687">
        <v>5999</v>
      </c>
    </row>
    <row r="688" spans="1:6">
      <c r="A688" t="s">
        <v>1821</v>
      </c>
      <c r="B688">
        <v>77</v>
      </c>
      <c r="C688" t="s">
        <v>1134</v>
      </c>
      <c r="D688">
        <v>40025</v>
      </c>
      <c r="E688">
        <v>4425</v>
      </c>
      <c r="F688">
        <v>5999</v>
      </c>
    </row>
    <row r="689" spans="1:6">
      <c r="A689" t="s">
        <v>1822</v>
      </c>
      <c r="B689">
        <v>77</v>
      </c>
      <c r="C689" t="s">
        <v>1136</v>
      </c>
      <c r="D689">
        <v>11118</v>
      </c>
      <c r="E689">
        <v>4425</v>
      </c>
      <c r="F689">
        <v>5999</v>
      </c>
    </row>
    <row r="690" spans="1:6">
      <c r="A690" t="s">
        <v>1823</v>
      </c>
      <c r="B690">
        <v>77</v>
      </c>
      <c r="C690" t="s">
        <v>1138</v>
      </c>
      <c r="D690">
        <v>3336</v>
      </c>
      <c r="E690">
        <v>4425</v>
      </c>
      <c r="F690">
        <v>5999</v>
      </c>
    </row>
    <row r="691" spans="1:6">
      <c r="A691" t="s">
        <v>1824</v>
      </c>
      <c r="B691">
        <v>77</v>
      </c>
      <c r="C691" t="s">
        <v>738</v>
      </c>
      <c r="D691">
        <v>88944</v>
      </c>
      <c r="E691">
        <v>4425</v>
      </c>
      <c r="F691">
        <v>5999</v>
      </c>
    </row>
    <row r="692" spans="1:6">
      <c r="A692" t="s">
        <v>1825</v>
      </c>
      <c r="B692">
        <v>77</v>
      </c>
      <c r="C692" t="s">
        <v>1141</v>
      </c>
      <c r="D692">
        <v>200124</v>
      </c>
      <c r="E692">
        <v>4425</v>
      </c>
      <c r="F692">
        <v>5999</v>
      </c>
    </row>
    <row r="693" spans="1:6">
      <c r="A693" t="s">
        <v>1826</v>
      </c>
      <c r="B693">
        <v>77</v>
      </c>
      <c r="C693" t="s">
        <v>159</v>
      </c>
      <c r="D693">
        <v>1906503</v>
      </c>
      <c r="E693">
        <v>4425</v>
      </c>
      <c r="F693">
        <v>5999</v>
      </c>
    </row>
    <row r="694" spans="1:6">
      <c r="A694" t="s">
        <v>1827</v>
      </c>
      <c r="B694">
        <v>77</v>
      </c>
      <c r="C694" t="s">
        <v>642</v>
      </c>
      <c r="D694">
        <v>953251</v>
      </c>
      <c r="E694">
        <v>4425</v>
      </c>
      <c r="F694">
        <v>5999</v>
      </c>
    </row>
    <row r="695" spans="1:6">
      <c r="A695" t="s">
        <v>1828</v>
      </c>
      <c r="B695">
        <v>78</v>
      </c>
      <c r="C695" t="s">
        <v>149</v>
      </c>
      <c r="D695">
        <v>22744</v>
      </c>
      <c r="E695">
        <v>4513</v>
      </c>
      <c r="F695">
        <v>6084</v>
      </c>
    </row>
    <row r="696" spans="1:6">
      <c r="A696" t="s">
        <v>1829</v>
      </c>
      <c r="B696">
        <v>78</v>
      </c>
      <c r="C696" t="s">
        <v>1132</v>
      </c>
      <c r="D696">
        <v>68232</v>
      </c>
      <c r="E696">
        <v>4513</v>
      </c>
      <c r="F696">
        <v>6084</v>
      </c>
    </row>
    <row r="697" spans="1:6">
      <c r="A697" t="s">
        <v>1830</v>
      </c>
      <c r="B697">
        <v>78</v>
      </c>
      <c r="C697" t="s">
        <v>1134</v>
      </c>
      <c r="D697">
        <v>40940</v>
      </c>
      <c r="E697">
        <v>4513</v>
      </c>
      <c r="F697">
        <v>6084</v>
      </c>
    </row>
    <row r="698" spans="1:6">
      <c r="A698" t="s">
        <v>1831</v>
      </c>
      <c r="B698">
        <v>78</v>
      </c>
      <c r="C698" t="s">
        <v>1136</v>
      </c>
      <c r="D698">
        <v>11372</v>
      </c>
      <c r="E698">
        <v>4513</v>
      </c>
      <c r="F698">
        <v>6084</v>
      </c>
    </row>
    <row r="699" spans="1:6">
      <c r="A699" t="s">
        <v>1832</v>
      </c>
      <c r="B699">
        <v>78</v>
      </c>
      <c r="C699" t="s">
        <v>1138</v>
      </c>
      <c r="D699">
        <v>3412</v>
      </c>
      <c r="E699">
        <v>4513</v>
      </c>
      <c r="F699">
        <v>6084</v>
      </c>
    </row>
    <row r="700" spans="1:6">
      <c r="A700" t="s">
        <v>1833</v>
      </c>
      <c r="B700">
        <v>78</v>
      </c>
      <c r="C700" t="s">
        <v>738</v>
      </c>
      <c r="D700">
        <v>90976</v>
      </c>
      <c r="E700">
        <v>4513</v>
      </c>
      <c r="F700">
        <v>6084</v>
      </c>
    </row>
    <row r="701" spans="1:6">
      <c r="A701" t="s">
        <v>1834</v>
      </c>
      <c r="B701">
        <v>78</v>
      </c>
      <c r="C701" t="s">
        <v>1141</v>
      </c>
      <c r="D701">
        <v>204696</v>
      </c>
      <c r="E701">
        <v>4513</v>
      </c>
      <c r="F701">
        <v>6084</v>
      </c>
    </row>
    <row r="702" spans="1:6">
      <c r="A702" t="s">
        <v>1835</v>
      </c>
      <c r="B702">
        <v>78</v>
      </c>
      <c r="C702" t="s">
        <v>159</v>
      </c>
      <c r="D702">
        <v>1955111</v>
      </c>
      <c r="E702">
        <v>4513</v>
      </c>
      <c r="F702">
        <v>6084</v>
      </c>
    </row>
    <row r="703" spans="1:6">
      <c r="A703" t="s">
        <v>1836</v>
      </c>
      <c r="B703">
        <v>78</v>
      </c>
      <c r="C703" t="s">
        <v>642</v>
      </c>
      <c r="D703">
        <v>977556</v>
      </c>
      <c r="E703">
        <v>4513</v>
      </c>
      <c r="F703">
        <v>6084</v>
      </c>
    </row>
    <row r="704" spans="1:6">
      <c r="A704" t="s">
        <v>1837</v>
      </c>
      <c r="B704">
        <v>79</v>
      </c>
      <c r="C704" t="s">
        <v>149</v>
      </c>
      <c r="D704">
        <v>23260</v>
      </c>
      <c r="E704">
        <v>4602</v>
      </c>
      <c r="F704">
        <v>6170</v>
      </c>
    </row>
    <row r="705" spans="1:6">
      <c r="A705" t="s">
        <v>1838</v>
      </c>
      <c r="B705">
        <v>79</v>
      </c>
      <c r="C705" t="s">
        <v>1132</v>
      </c>
      <c r="D705">
        <v>69780</v>
      </c>
      <c r="E705">
        <v>4602</v>
      </c>
      <c r="F705">
        <v>6170</v>
      </c>
    </row>
    <row r="706" spans="1:6">
      <c r="A706" t="s">
        <v>1839</v>
      </c>
      <c r="B706">
        <v>79</v>
      </c>
      <c r="C706" t="s">
        <v>1134</v>
      </c>
      <c r="D706">
        <v>41868</v>
      </c>
      <c r="E706">
        <v>4602</v>
      </c>
      <c r="F706">
        <v>6170</v>
      </c>
    </row>
    <row r="707" spans="1:6">
      <c r="A707" t="s">
        <v>1840</v>
      </c>
      <c r="B707">
        <v>79</v>
      </c>
      <c r="C707" t="s">
        <v>1136</v>
      </c>
      <c r="D707">
        <v>11630</v>
      </c>
      <c r="E707">
        <v>4602</v>
      </c>
      <c r="F707">
        <v>6170</v>
      </c>
    </row>
    <row r="708" spans="1:6">
      <c r="A708" t="s">
        <v>1841</v>
      </c>
      <c r="B708">
        <v>79</v>
      </c>
      <c r="C708" t="s">
        <v>1138</v>
      </c>
      <c r="D708">
        <v>3489</v>
      </c>
      <c r="E708">
        <v>4602</v>
      </c>
      <c r="F708">
        <v>6170</v>
      </c>
    </row>
    <row r="709" spans="1:6">
      <c r="A709" t="s">
        <v>1842</v>
      </c>
      <c r="B709">
        <v>79</v>
      </c>
      <c r="C709" t="s">
        <v>738</v>
      </c>
      <c r="D709">
        <v>93040</v>
      </c>
      <c r="E709">
        <v>4602</v>
      </c>
      <c r="F709">
        <v>6170</v>
      </c>
    </row>
    <row r="710" spans="1:6">
      <c r="A710" t="s">
        <v>1843</v>
      </c>
      <c r="B710">
        <v>79</v>
      </c>
      <c r="C710" t="s">
        <v>1141</v>
      </c>
      <c r="D710">
        <v>209340</v>
      </c>
      <c r="E710">
        <v>4602</v>
      </c>
      <c r="F710">
        <v>6170</v>
      </c>
    </row>
    <row r="711" spans="1:6">
      <c r="A711" t="s">
        <v>1844</v>
      </c>
      <c r="B711">
        <v>79</v>
      </c>
      <c r="C711" t="s">
        <v>159</v>
      </c>
      <c r="D711">
        <v>2004453</v>
      </c>
      <c r="E711">
        <v>4602</v>
      </c>
      <c r="F711">
        <v>6170</v>
      </c>
    </row>
    <row r="712" spans="1:6">
      <c r="A712" t="s">
        <v>1845</v>
      </c>
      <c r="B712">
        <v>79</v>
      </c>
      <c r="C712" t="s">
        <v>642</v>
      </c>
      <c r="D712">
        <v>1002227</v>
      </c>
      <c r="E712">
        <v>4602</v>
      </c>
      <c r="F712">
        <v>6170</v>
      </c>
    </row>
    <row r="713" spans="1:6">
      <c r="A713" t="s">
        <v>1846</v>
      </c>
      <c r="B713">
        <v>80</v>
      </c>
      <c r="C713" t="s">
        <v>149</v>
      </c>
      <c r="D713">
        <v>23783</v>
      </c>
      <c r="E713">
        <v>4691</v>
      </c>
      <c r="F713">
        <v>6255</v>
      </c>
    </row>
    <row r="714" spans="1:6">
      <c r="A714" t="s">
        <v>1847</v>
      </c>
      <c r="B714">
        <v>80</v>
      </c>
      <c r="C714" t="s">
        <v>1132</v>
      </c>
      <c r="D714">
        <v>71349</v>
      </c>
      <c r="E714">
        <v>4691</v>
      </c>
      <c r="F714">
        <v>6255</v>
      </c>
    </row>
    <row r="715" spans="1:6">
      <c r="A715" t="s">
        <v>1848</v>
      </c>
      <c r="B715">
        <v>80</v>
      </c>
      <c r="C715" t="s">
        <v>1134</v>
      </c>
      <c r="D715">
        <v>42810</v>
      </c>
      <c r="E715">
        <v>4691</v>
      </c>
      <c r="F715">
        <v>6255</v>
      </c>
    </row>
    <row r="716" spans="1:6">
      <c r="A716" t="s">
        <v>1849</v>
      </c>
      <c r="B716">
        <v>80</v>
      </c>
      <c r="C716" t="s">
        <v>1136</v>
      </c>
      <c r="D716">
        <v>11892</v>
      </c>
      <c r="E716">
        <v>4691</v>
      </c>
      <c r="F716">
        <v>6255</v>
      </c>
    </row>
    <row r="717" spans="1:6">
      <c r="A717" t="s">
        <v>1850</v>
      </c>
      <c r="B717">
        <v>80</v>
      </c>
      <c r="C717" t="s">
        <v>1138</v>
      </c>
      <c r="D717">
        <v>3568</v>
      </c>
      <c r="E717">
        <v>4691</v>
      </c>
      <c r="F717">
        <v>6255</v>
      </c>
    </row>
    <row r="718" spans="1:6">
      <c r="A718" t="s">
        <v>1851</v>
      </c>
      <c r="B718">
        <v>80</v>
      </c>
      <c r="C718" t="s">
        <v>738</v>
      </c>
      <c r="D718">
        <v>95132</v>
      </c>
      <c r="E718">
        <v>4691</v>
      </c>
      <c r="F718">
        <v>6255</v>
      </c>
    </row>
    <row r="719" spans="1:6">
      <c r="A719" t="s">
        <v>1852</v>
      </c>
      <c r="B719">
        <v>80</v>
      </c>
      <c r="C719" t="s">
        <v>1141</v>
      </c>
      <c r="D719">
        <v>214047</v>
      </c>
      <c r="E719">
        <v>4691</v>
      </c>
      <c r="F719">
        <v>6255</v>
      </c>
    </row>
    <row r="720" spans="1:6">
      <c r="A720" t="s">
        <v>1853</v>
      </c>
      <c r="B720">
        <v>80</v>
      </c>
      <c r="C720" t="s">
        <v>159</v>
      </c>
      <c r="D720">
        <v>2054713</v>
      </c>
      <c r="E720">
        <v>4691</v>
      </c>
      <c r="F720">
        <v>6255</v>
      </c>
    </row>
    <row r="721" spans="1:6">
      <c r="A721" t="s">
        <v>1854</v>
      </c>
      <c r="B721">
        <v>80</v>
      </c>
      <c r="C721" t="s">
        <v>642</v>
      </c>
      <c r="D721">
        <v>1027357</v>
      </c>
      <c r="E721">
        <v>4691</v>
      </c>
      <c r="F721">
        <v>6255</v>
      </c>
    </row>
    <row r="722" spans="1:6">
      <c r="A722" t="s">
        <v>1855</v>
      </c>
      <c r="B722">
        <v>81</v>
      </c>
      <c r="C722" t="s">
        <v>149</v>
      </c>
      <c r="D722">
        <v>24312</v>
      </c>
      <c r="E722">
        <v>4781</v>
      </c>
      <c r="F722">
        <v>6341</v>
      </c>
    </row>
    <row r="723" spans="1:6">
      <c r="A723" t="s">
        <v>1856</v>
      </c>
      <c r="B723">
        <v>81</v>
      </c>
      <c r="C723" t="s">
        <v>1132</v>
      </c>
      <c r="D723">
        <v>72936</v>
      </c>
      <c r="E723">
        <v>4781</v>
      </c>
      <c r="F723">
        <v>6341</v>
      </c>
    </row>
    <row r="724" spans="1:6">
      <c r="A724" t="s">
        <v>1857</v>
      </c>
      <c r="B724">
        <v>81</v>
      </c>
      <c r="C724" t="s">
        <v>1134</v>
      </c>
      <c r="D724">
        <v>43762</v>
      </c>
      <c r="E724">
        <v>4781</v>
      </c>
      <c r="F724">
        <v>6341</v>
      </c>
    </row>
    <row r="725" spans="1:6">
      <c r="A725" t="s">
        <v>1858</v>
      </c>
      <c r="B725">
        <v>81</v>
      </c>
      <c r="C725" t="s">
        <v>1136</v>
      </c>
      <c r="D725">
        <v>12156</v>
      </c>
      <c r="E725">
        <v>4781</v>
      </c>
      <c r="F725">
        <v>6341</v>
      </c>
    </row>
    <row r="726" spans="1:6">
      <c r="A726" t="s">
        <v>1859</v>
      </c>
      <c r="B726">
        <v>81</v>
      </c>
      <c r="C726" t="s">
        <v>1138</v>
      </c>
      <c r="D726">
        <v>3647</v>
      </c>
      <c r="E726">
        <v>4781</v>
      </c>
      <c r="F726">
        <v>6341</v>
      </c>
    </row>
    <row r="727" spans="1:6">
      <c r="A727" t="s">
        <v>1860</v>
      </c>
      <c r="B727">
        <v>81</v>
      </c>
      <c r="C727" t="s">
        <v>738</v>
      </c>
      <c r="D727">
        <v>97248</v>
      </c>
      <c r="E727">
        <v>4781</v>
      </c>
      <c r="F727">
        <v>6341</v>
      </c>
    </row>
    <row r="728" spans="1:6">
      <c r="A728" t="s">
        <v>1861</v>
      </c>
      <c r="B728">
        <v>81</v>
      </c>
      <c r="C728" t="s">
        <v>1141</v>
      </c>
      <c r="D728">
        <v>218808</v>
      </c>
      <c r="E728">
        <v>4781</v>
      </c>
      <c r="F728">
        <v>6341</v>
      </c>
    </row>
    <row r="729" spans="1:6">
      <c r="A729" t="s">
        <v>1862</v>
      </c>
      <c r="B729">
        <v>81</v>
      </c>
      <c r="C729" t="s">
        <v>159</v>
      </c>
      <c r="D729">
        <v>2105830</v>
      </c>
      <c r="E729">
        <v>4781</v>
      </c>
      <c r="F729">
        <v>6341</v>
      </c>
    </row>
    <row r="730" spans="1:6">
      <c r="A730" t="s">
        <v>1863</v>
      </c>
      <c r="B730">
        <v>81</v>
      </c>
      <c r="C730" t="s">
        <v>642</v>
      </c>
      <c r="D730">
        <v>1052915</v>
      </c>
      <c r="E730">
        <v>4781</v>
      </c>
      <c r="F730">
        <v>6341</v>
      </c>
    </row>
    <row r="731" spans="1:6">
      <c r="A731" t="s">
        <v>1864</v>
      </c>
      <c r="B731">
        <v>82</v>
      </c>
      <c r="C731" t="s">
        <v>149</v>
      </c>
      <c r="D731">
        <v>24849</v>
      </c>
      <c r="E731">
        <v>4872</v>
      </c>
      <c r="F731">
        <v>6427</v>
      </c>
    </row>
    <row r="732" spans="1:6">
      <c r="A732" t="s">
        <v>1865</v>
      </c>
      <c r="B732">
        <v>82</v>
      </c>
      <c r="C732" t="s">
        <v>1132</v>
      </c>
      <c r="D732">
        <v>74547</v>
      </c>
      <c r="E732">
        <v>4872</v>
      </c>
      <c r="F732">
        <v>6427</v>
      </c>
    </row>
    <row r="733" spans="1:6">
      <c r="A733" t="s">
        <v>1866</v>
      </c>
      <c r="B733">
        <v>82</v>
      </c>
      <c r="C733" t="s">
        <v>1134</v>
      </c>
      <c r="D733">
        <v>44729</v>
      </c>
      <c r="E733">
        <v>4872</v>
      </c>
      <c r="F733">
        <v>6427</v>
      </c>
    </row>
    <row r="734" spans="1:6">
      <c r="A734" t="s">
        <v>1867</v>
      </c>
      <c r="B734">
        <v>82</v>
      </c>
      <c r="C734" t="s">
        <v>1136</v>
      </c>
      <c r="D734">
        <v>12425</v>
      </c>
      <c r="E734">
        <v>4872</v>
      </c>
      <c r="F734">
        <v>6427</v>
      </c>
    </row>
    <row r="735" spans="1:6">
      <c r="A735" t="s">
        <v>1868</v>
      </c>
      <c r="B735">
        <v>82</v>
      </c>
      <c r="C735" t="s">
        <v>1138</v>
      </c>
      <c r="D735">
        <v>3728</v>
      </c>
      <c r="E735">
        <v>4872</v>
      </c>
      <c r="F735">
        <v>6427</v>
      </c>
    </row>
    <row r="736" spans="1:6">
      <c r="A736" t="s">
        <v>1869</v>
      </c>
      <c r="B736">
        <v>82</v>
      </c>
      <c r="C736" t="s">
        <v>738</v>
      </c>
      <c r="D736">
        <v>99396</v>
      </c>
      <c r="E736">
        <v>4872</v>
      </c>
      <c r="F736">
        <v>6427</v>
      </c>
    </row>
    <row r="737" spans="1:6">
      <c r="A737" t="s">
        <v>1870</v>
      </c>
      <c r="B737">
        <v>82</v>
      </c>
      <c r="C737" t="s">
        <v>1141</v>
      </c>
      <c r="D737">
        <v>223641</v>
      </c>
      <c r="E737">
        <v>4872</v>
      </c>
      <c r="F737">
        <v>6427</v>
      </c>
    </row>
    <row r="738" spans="1:6">
      <c r="A738" t="s">
        <v>1871</v>
      </c>
      <c r="B738">
        <v>82</v>
      </c>
      <c r="C738" t="s">
        <v>159</v>
      </c>
      <c r="D738">
        <v>2157742</v>
      </c>
      <c r="E738">
        <v>4872</v>
      </c>
      <c r="F738">
        <v>6427</v>
      </c>
    </row>
    <row r="739" spans="1:6">
      <c r="A739" t="s">
        <v>1872</v>
      </c>
      <c r="B739">
        <v>82</v>
      </c>
      <c r="C739" t="s">
        <v>642</v>
      </c>
      <c r="D739">
        <v>1078871</v>
      </c>
      <c r="E739">
        <v>4872</v>
      </c>
      <c r="F739">
        <v>6427</v>
      </c>
    </row>
    <row r="740" spans="1:6">
      <c r="A740" t="s">
        <v>1873</v>
      </c>
      <c r="B740">
        <v>83</v>
      </c>
      <c r="C740" t="s">
        <v>149</v>
      </c>
      <c r="D740">
        <v>25393</v>
      </c>
      <c r="E740">
        <v>4965</v>
      </c>
      <c r="F740">
        <v>6513</v>
      </c>
    </row>
    <row r="741" spans="1:6">
      <c r="A741" t="s">
        <v>1874</v>
      </c>
      <c r="B741">
        <v>83</v>
      </c>
      <c r="C741" t="s">
        <v>1132</v>
      </c>
      <c r="D741">
        <v>76179</v>
      </c>
      <c r="E741">
        <v>4965</v>
      </c>
      <c r="F741">
        <v>6513</v>
      </c>
    </row>
    <row r="742" spans="1:6">
      <c r="A742" t="s">
        <v>1875</v>
      </c>
      <c r="B742">
        <v>83</v>
      </c>
      <c r="C742" t="s">
        <v>1134</v>
      </c>
      <c r="D742">
        <v>45708</v>
      </c>
      <c r="E742">
        <v>4965</v>
      </c>
      <c r="F742">
        <v>6513</v>
      </c>
    </row>
    <row r="743" spans="1:6">
      <c r="A743" t="s">
        <v>1876</v>
      </c>
      <c r="B743">
        <v>83</v>
      </c>
      <c r="C743" t="s">
        <v>1136</v>
      </c>
      <c r="D743">
        <v>12697</v>
      </c>
      <c r="E743">
        <v>4965</v>
      </c>
      <c r="F743">
        <v>6513</v>
      </c>
    </row>
    <row r="744" spans="1:6">
      <c r="A744" t="s">
        <v>1877</v>
      </c>
      <c r="B744">
        <v>83</v>
      </c>
      <c r="C744" t="s">
        <v>1138</v>
      </c>
      <c r="D744">
        <v>3809</v>
      </c>
      <c r="E744">
        <v>4965</v>
      </c>
      <c r="F744">
        <v>6513</v>
      </c>
    </row>
    <row r="745" spans="1:6">
      <c r="A745" t="s">
        <v>1878</v>
      </c>
      <c r="B745">
        <v>83</v>
      </c>
      <c r="C745" t="s">
        <v>738</v>
      </c>
      <c r="D745">
        <v>101572</v>
      </c>
      <c r="E745">
        <v>4965</v>
      </c>
      <c r="F745">
        <v>6513</v>
      </c>
    </row>
    <row r="746" spans="1:6">
      <c r="A746" t="s">
        <v>1879</v>
      </c>
      <c r="B746">
        <v>83</v>
      </c>
      <c r="C746" t="s">
        <v>1141</v>
      </c>
      <c r="D746">
        <v>228537</v>
      </c>
      <c r="E746">
        <v>4965</v>
      </c>
      <c r="F746">
        <v>6513</v>
      </c>
    </row>
    <row r="747" spans="1:6">
      <c r="A747" t="s">
        <v>1880</v>
      </c>
      <c r="B747">
        <v>83</v>
      </c>
      <c r="C747" t="s">
        <v>159</v>
      </c>
      <c r="D747">
        <v>2210573</v>
      </c>
      <c r="E747">
        <v>4965</v>
      </c>
      <c r="F747">
        <v>6513</v>
      </c>
    </row>
    <row r="748" spans="1:6">
      <c r="A748" t="s">
        <v>1881</v>
      </c>
      <c r="B748">
        <v>83</v>
      </c>
      <c r="C748" t="s">
        <v>642</v>
      </c>
      <c r="D748">
        <v>1105286</v>
      </c>
      <c r="E748">
        <v>4965</v>
      </c>
      <c r="F748">
        <v>6513</v>
      </c>
    </row>
    <row r="749" spans="1:6">
      <c r="A749" t="s">
        <v>1882</v>
      </c>
      <c r="B749">
        <v>84</v>
      </c>
      <c r="C749" t="s">
        <v>149</v>
      </c>
      <c r="D749">
        <v>25944</v>
      </c>
      <c r="E749">
        <v>5058</v>
      </c>
      <c r="F749">
        <v>6599</v>
      </c>
    </row>
    <row r="750" spans="1:6">
      <c r="A750" t="s">
        <v>1883</v>
      </c>
      <c r="B750">
        <v>84</v>
      </c>
      <c r="C750" t="s">
        <v>1132</v>
      </c>
      <c r="D750">
        <v>77832</v>
      </c>
      <c r="E750">
        <v>5058</v>
      </c>
      <c r="F750">
        <v>6599</v>
      </c>
    </row>
    <row r="751" spans="1:6">
      <c r="A751" t="s">
        <v>1884</v>
      </c>
      <c r="B751">
        <v>84</v>
      </c>
      <c r="C751" t="s">
        <v>1134</v>
      </c>
      <c r="D751">
        <v>46700</v>
      </c>
      <c r="E751">
        <v>5058</v>
      </c>
      <c r="F751">
        <v>6599</v>
      </c>
    </row>
    <row r="752" spans="1:6">
      <c r="A752" t="s">
        <v>1885</v>
      </c>
      <c r="B752">
        <v>84</v>
      </c>
      <c r="C752" t="s">
        <v>1136</v>
      </c>
      <c r="D752">
        <v>12972</v>
      </c>
      <c r="E752">
        <v>5058</v>
      </c>
      <c r="F752">
        <v>6599</v>
      </c>
    </row>
    <row r="753" spans="1:6">
      <c r="A753" t="s">
        <v>1886</v>
      </c>
      <c r="B753">
        <v>84</v>
      </c>
      <c r="C753" t="s">
        <v>1138</v>
      </c>
      <c r="D753">
        <v>3892</v>
      </c>
      <c r="E753">
        <v>5058</v>
      </c>
      <c r="F753">
        <v>6599</v>
      </c>
    </row>
    <row r="754" spans="1:6">
      <c r="A754" t="s">
        <v>1887</v>
      </c>
      <c r="B754">
        <v>84</v>
      </c>
      <c r="C754" t="s">
        <v>738</v>
      </c>
      <c r="D754">
        <v>103776</v>
      </c>
      <c r="E754">
        <v>5058</v>
      </c>
      <c r="F754">
        <v>6599</v>
      </c>
    </row>
    <row r="755" spans="1:6">
      <c r="A755" t="s">
        <v>1888</v>
      </c>
      <c r="B755">
        <v>84</v>
      </c>
      <c r="C755" t="s">
        <v>1141</v>
      </c>
      <c r="D755">
        <v>233496</v>
      </c>
      <c r="E755">
        <v>5058</v>
      </c>
      <c r="F755">
        <v>6599</v>
      </c>
    </row>
    <row r="756" spans="1:6">
      <c r="A756" t="s">
        <v>1889</v>
      </c>
      <c r="B756">
        <v>84</v>
      </c>
      <c r="C756" t="s">
        <v>159</v>
      </c>
      <c r="D756">
        <v>2264260</v>
      </c>
      <c r="E756">
        <v>5058</v>
      </c>
      <c r="F756">
        <v>6599</v>
      </c>
    </row>
    <row r="757" spans="1:6">
      <c r="A757" t="s">
        <v>1890</v>
      </c>
      <c r="B757">
        <v>84</v>
      </c>
      <c r="C757" t="s">
        <v>642</v>
      </c>
      <c r="D757">
        <v>1132130</v>
      </c>
      <c r="E757">
        <v>5058</v>
      </c>
      <c r="F757">
        <v>6599</v>
      </c>
    </row>
    <row r="758" spans="1:6">
      <c r="A758" t="s">
        <v>1891</v>
      </c>
      <c r="B758">
        <v>85</v>
      </c>
      <c r="C758" t="s">
        <v>149</v>
      </c>
      <c r="D758">
        <v>26503</v>
      </c>
      <c r="E758">
        <v>5151</v>
      </c>
      <c r="F758">
        <v>6685</v>
      </c>
    </row>
    <row r="759" spans="1:6">
      <c r="A759" t="s">
        <v>1892</v>
      </c>
      <c r="B759">
        <v>85</v>
      </c>
      <c r="C759" t="s">
        <v>1132</v>
      </c>
      <c r="D759">
        <v>79509</v>
      </c>
      <c r="E759">
        <v>5151</v>
      </c>
      <c r="F759">
        <v>6685</v>
      </c>
    </row>
    <row r="760" spans="1:6">
      <c r="A760" t="s">
        <v>1893</v>
      </c>
      <c r="B760">
        <v>85</v>
      </c>
      <c r="C760" t="s">
        <v>1134</v>
      </c>
      <c r="D760">
        <v>47706</v>
      </c>
      <c r="E760">
        <v>5151</v>
      </c>
      <c r="F760">
        <v>6685</v>
      </c>
    </row>
    <row r="761" spans="1:6">
      <c r="A761" t="s">
        <v>1894</v>
      </c>
      <c r="B761">
        <v>85</v>
      </c>
      <c r="C761" t="s">
        <v>1136</v>
      </c>
      <c r="D761">
        <v>13252</v>
      </c>
      <c r="E761">
        <v>5151</v>
      </c>
      <c r="F761">
        <v>6685</v>
      </c>
    </row>
    <row r="762" spans="1:6">
      <c r="A762" t="s">
        <v>1895</v>
      </c>
      <c r="B762">
        <v>85</v>
      </c>
      <c r="C762" t="s">
        <v>1138</v>
      </c>
      <c r="D762">
        <v>3976</v>
      </c>
      <c r="E762">
        <v>5151</v>
      </c>
      <c r="F762">
        <v>6685</v>
      </c>
    </row>
    <row r="763" spans="1:6">
      <c r="A763" t="s">
        <v>1896</v>
      </c>
      <c r="B763">
        <v>85</v>
      </c>
      <c r="C763" t="s">
        <v>738</v>
      </c>
      <c r="D763">
        <v>106012</v>
      </c>
      <c r="E763">
        <v>5151</v>
      </c>
      <c r="F763">
        <v>6685</v>
      </c>
    </row>
    <row r="764" spans="1:6">
      <c r="A764" t="s">
        <v>1897</v>
      </c>
      <c r="B764">
        <v>85</v>
      </c>
      <c r="C764" t="s">
        <v>1141</v>
      </c>
      <c r="D764">
        <v>238527</v>
      </c>
      <c r="E764">
        <v>5151</v>
      </c>
      <c r="F764">
        <v>6685</v>
      </c>
    </row>
    <row r="765" spans="1:6">
      <c r="A765" t="s">
        <v>1898</v>
      </c>
      <c r="B765">
        <v>85</v>
      </c>
      <c r="C765" t="s">
        <v>159</v>
      </c>
      <c r="D765">
        <v>2318866</v>
      </c>
      <c r="E765">
        <v>5151</v>
      </c>
      <c r="F765">
        <v>6685</v>
      </c>
    </row>
    <row r="766" spans="1:6">
      <c r="A766" t="s">
        <v>1899</v>
      </c>
      <c r="B766">
        <v>85</v>
      </c>
      <c r="C766" t="s">
        <v>642</v>
      </c>
      <c r="D766">
        <v>1159433</v>
      </c>
      <c r="E766">
        <v>5151</v>
      </c>
      <c r="F766">
        <v>6685</v>
      </c>
    </row>
    <row r="767" spans="1:6">
      <c r="A767" t="s">
        <v>1900</v>
      </c>
      <c r="B767">
        <v>86</v>
      </c>
      <c r="C767" t="s">
        <v>149</v>
      </c>
      <c r="D767">
        <v>27068</v>
      </c>
      <c r="E767">
        <v>5246</v>
      </c>
      <c r="F767">
        <v>6772</v>
      </c>
    </row>
    <row r="768" spans="1:6">
      <c r="A768" t="s">
        <v>1901</v>
      </c>
      <c r="B768">
        <v>86</v>
      </c>
      <c r="C768" t="s">
        <v>1132</v>
      </c>
      <c r="D768">
        <v>81204</v>
      </c>
      <c r="E768">
        <v>5246</v>
      </c>
      <c r="F768">
        <v>6772</v>
      </c>
    </row>
    <row r="769" spans="1:6">
      <c r="A769" t="s">
        <v>1902</v>
      </c>
      <c r="B769">
        <v>86</v>
      </c>
      <c r="C769" t="s">
        <v>1134</v>
      </c>
      <c r="D769">
        <v>48723</v>
      </c>
      <c r="E769">
        <v>5246</v>
      </c>
      <c r="F769">
        <v>6772</v>
      </c>
    </row>
    <row r="770" spans="1:6">
      <c r="A770" t="s">
        <v>1903</v>
      </c>
      <c r="B770">
        <v>86</v>
      </c>
      <c r="C770" t="s">
        <v>1136</v>
      </c>
      <c r="D770">
        <v>13534</v>
      </c>
      <c r="E770">
        <v>5246</v>
      </c>
      <c r="F770">
        <v>6772</v>
      </c>
    </row>
    <row r="771" spans="1:6">
      <c r="A771" t="s">
        <v>1904</v>
      </c>
      <c r="B771">
        <v>86</v>
      </c>
      <c r="C771" t="s">
        <v>1138</v>
      </c>
      <c r="D771">
        <v>4061</v>
      </c>
      <c r="E771">
        <v>5246</v>
      </c>
      <c r="F771">
        <v>6772</v>
      </c>
    </row>
    <row r="772" spans="1:6">
      <c r="A772" t="s">
        <v>1905</v>
      </c>
      <c r="B772">
        <v>86</v>
      </c>
      <c r="C772" t="s">
        <v>738</v>
      </c>
      <c r="D772">
        <v>108272</v>
      </c>
      <c r="E772">
        <v>5246</v>
      </c>
      <c r="F772">
        <v>6772</v>
      </c>
    </row>
    <row r="773" spans="1:6">
      <c r="A773" t="s">
        <v>1906</v>
      </c>
      <c r="B773">
        <v>86</v>
      </c>
      <c r="C773" t="s">
        <v>1141</v>
      </c>
      <c r="D773">
        <v>243612</v>
      </c>
      <c r="E773">
        <v>5246</v>
      </c>
      <c r="F773">
        <v>6772</v>
      </c>
    </row>
    <row r="774" spans="1:6">
      <c r="A774" t="s">
        <v>1907</v>
      </c>
      <c r="B774">
        <v>86</v>
      </c>
      <c r="C774" t="s">
        <v>159</v>
      </c>
      <c r="D774">
        <v>2374328</v>
      </c>
      <c r="E774">
        <v>5246</v>
      </c>
      <c r="F774">
        <v>6772</v>
      </c>
    </row>
    <row r="775" spans="1:6">
      <c r="A775" t="s">
        <v>1908</v>
      </c>
      <c r="B775">
        <v>86</v>
      </c>
      <c r="C775" t="s">
        <v>642</v>
      </c>
      <c r="D775">
        <v>1187164</v>
      </c>
      <c r="E775">
        <v>5246</v>
      </c>
      <c r="F775">
        <v>6772</v>
      </c>
    </row>
    <row r="776" spans="1:6">
      <c r="A776" t="s">
        <v>1909</v>
      </c>
      <c r="B776">
        <v>87</v>
      </c>
      <c r="C776" t="s">
        <v>149</v>
      </c>
      <c r="D776">
        <v>27641</v>
      </c>
      <c r="E776">
        <v>5342</v>
      </c>
      <c r="F776">
        <v>6859</v>
      </c>
    </row>
    <row r="777" spans="1:6">
      <c r="A777" t="s">
        <v>1910</v>
      </c>
      <c r="B777">
        <v>87</v>
      </c>
      <c r="C777" t="s">
        <v>1132</v>
      </c>
      <c r="D777">
        <v>82923</v>
      </c>
      <c r="E777">
        <v>5342</v>
      </c>
      <c r="F777">
        <v>6859</v>
      </c>
    </row>
    <row r="778" spans="1:6">
      <c r="A778" t="s">
        <v>1911</v>
      </c>
      <c r="B778">
        <v>87</v>
      </c>
      <c r="C778" t="s">
        <v>1134</v>
      </c>
      <c r="D778">
        <v>49754</v>
      </c>
      <c r="E778">
        <v>5342</v>
      </c>
      <c r="F778">
        <v>6859</v>
      </c>
    </row>
    <row r="779" spans="1:6">
      <c r="A779" t="s">
        <v>1912</v>
      </c>
      <c r="B779">
        <v>87</v>
      </c>
      <c r="C779" t="s">
        <v>1136</v>
      </c>
      <c r="D779">
        <v>13821</v>
      </c>
      <c r="E779">
        <v>5342</v>
      </c>
      <c r="F779">
        <v>6859</v>
      </c>
    </row>
    <row r="780" spans="1:6">
      <c r="A780" t="s">
        <v>1913</v>
      </c>
      <c r="B780">
        <v>87</v>
      </c>
      <c r="C780" t="s">
        <v>1138</v>
      </c>
      <c r="D780">
        <v>4147</v>
      </c>
      <c r="E780">
        <v>5342</v>
      </c>
      <c r="F780">
        <v>6859</v>
      </c>
    </row>
    <row r="781" spans="1:6">
      <c r="A781" t="s">
        <v>1914</v>
      </c>
      <c r="B781">
        <v>87</v>
      </c>
      <c r="C781" t="s">
        <v>738</v>
      </c>
      <c r="D781">
        <v>110564</v>
      </c>
      <c r="E781">
        <v>5342</v>
      </c>
      <c r="F781">
        <v>6859</v>
      </c>
    </row>
    <row r="782" spans="1:6">
      <c r="A782" t="s">
        <v>1915</v>
      </c>
      <c r="B782">
        <v>87</v>
      </c>
      <c r="C782" t="s">
        <v>1141</v>
      </c>
      <c r="D782">
        <v>248769</v>
      </c>
      <c r="E782">
        <v>5342</v>
      </c>
      <c r="F782">
        <v>6859</v>
      </c>
    </row>
    <row r="783" spans="1:6">
      <c r="A783" t="s">
        <v>1916</v>
      </c>
      <c r="B783">
        <v>87</v>
      </c>
      <c r="C783" t="s">
        <v>159</v>
      </c>
      <c r="D783">
        <v>2430709</v>
      </c>
      <c r="E783">
        <v>5342</v>
      </c>
      <c r="F783">
        <v>6859</v>
      </c>
    </row>
    <row r="784" spans="1:6">
      <c r="A784" t="s">
        <v>1917</v>
      </c>
      <c r="B784">
        <v>87</v>
      </c>
      <c r="C784" t="s">
        <v>642</v>
      </c>
      <c r="D784">
        <v>1215354</v>
      </c>
      <c r="E784">
        <v>5342</v>
      </c>
      <c r="F784">
        <v>6859</v>
      </c>
    </row>
    <row r="785" spans="1:6">
      <c r="A785" t="s">
        <v>1918</v>
      </c>
      <c r="B785">
        <v>88</v>
      </c>
      <c r="C785" t="s">
        <v>149</v>
      </c>
      <c r="D785">
        <v>28222</v>
      </c>
      <c r="E785">
        <v>5439</v>
      </c>
      <c r="F785">
        <v>6946</v>
      </c>
    </row>
    <row r="786" spans="1:6">
      <c r="A786" t="s">
        <v>1919</v>
      </c>
      <c r="B786">
        <v>88</v>
      </c>
      <c r="C786" t="s">
        <v>1132</v>
      </c>
      <c r="D786">
        <v>84666</v>
      </c>
      <c r="E786">
        <v>5439</v>
      </c>
      <c r="F786">
        <v>6946</v>
      </c>
    </row>
    <row r="787" spans="1:6">
      <c r="A787" t="s">
        <v>1920</v>
      </c>
      <c r="B787">
        <v>88</v>
      </c>
      <c r="C787" t="s">
        <v>1134</v>
      </c>
      <c r="D787">
        <v>50800</v>
      </c>
      <c r="E787">
        <v>5439</v>
      </c>
      <c r="F787">
        <v>6946</v>
      </c>
    </row>
    <row r="788" spans="1:6">
      <c r="A788" t="s">
        <v>1921</v>
      </c>
      <c r="B788">
        <v>88</v>
      </c>
      <c r="C788" t="s">
        <v>1136</v>
      </c>
      <c r="D788">
        <v>14111</v>
      </c>
      <c r="E788">
        <v>5439</v>
      </c>
      <c r="F788">
        <v>6946</v>
      </c>
    </row>
    <row r="789" spans="1:6">
      <c r="A789" t="s">
        <v>1922</v>
      </c>
      <c r="B789">
        <v>88</v>
      </c>
      <c r="C789" t="s">
        <v>1138</v>
      </c>
      <c r="D789">
        <v>4234</v>
      </c>
      <c r="E789">
        <v>5439</v>
      </c>
      <c r="F789">
        <v>6946</v>
      </c>
    </row>
    <row r="790" spans="1:6">
      <c r="A790" t="s">
        <v>1923</v>
      </c>
      <c r="B790">
        <v>88</v>
      </c>
      <c r="C790" t="s">
        <v>738</v>
      </c>
      <c r="D790">
        <v>112888</v>
      </c>
      <c r="E790">
        <v>5439</v>
      </c>
      <c r="F790">
        <v>6946</v>
      </c>
    </row>
    <row r="791" spans="1:6">
      <c r="A791" t="s">
        <v>1924</v>
      </c>
      <c r="B791">
        <v>88</v>
      </c>
      <c r="C791" t="s">
        <v>1141</v>
      </c>
      <c r="D791">
        <v>253998</v>
      </c>
      <c r="E791">
        <v>5439</v>
      </c>
      <c r="F791">
        <v>6946</v>
      </c>
    </row>
    <row r="792" spans="1:6">
      <c r="A792" t="s">
        <v>1925</v>
      </c>
      <c r="B792">
        <v>88</v>
      </c>
      <c r="C792" t="s">
        <v>159</v>
      </c>
      <c r="D792">
        <v>2488007</v>
      </c>
      <c r="E792">
        <v>5439</v>
      </c>
      <c r="F792">
        <v>6946</v>
      </c>
    </row>
    <row r="793" spans="1:6">
      <c r="A793" t="s">
        <v>1926</v>
      </c>
      <c r="B793">
        <v>88</v>
      </c>
      <c r="C793" t="s">
        <v>642</v>
      </c>
      <c r="D793">
        <v>1244004</v>
      </c>
      <c r="E793">
        <v>5439</v>
      </c>
      <c r="F793">
        <v>6946</v>
      </c>
    </row>
    <row r="794" spans="1:6">
      <c r="A794" t="s">
        <v>1927</v>
      </c>
      <c r="B794">
        <v>89</v>
      </c>
      <c r="C794" t="s">
        <v>149</v>
      </c>
      <c r="D794">
        <v>28810</v>
      </c>
      <c r="E794">
        <v>5536</v>
      </c>
      <c r="F794">
        <v>7033</v>
      </c>
    </row>
    <row r="795" spans="1:6">
      <c r="A795" t="s">
        <v>1928</v>
      </c>
      <c r="B795">
        <v>89</v>
      </c>
      <c r="C795" t="s">
        <v>1132</v>
      </c>
      <c r="D795">
        <v>86430</v>
      </c>
      <c r="E795">
        <v>5536</v>
      </c>
      <c r="F795">
        <v>7033</v>
      </c>
    </row>
    <row r="796" spans="1:6">
      <c r="A796" t="s">
        <v>1929</v>
      </c>
      <c r="B796">
        <v>89</v>
      </c>
      <c r="C796" t="s">
        <v>1134</v>
      </c>
      <c r="D796">
        <v>51858</v>
      </c>
      <c r="E796">
        <v>5536</v>
      </c>
      <c r="F796">
        <v>7033</v>
      </c>
    </row>
    <row r="797" spans="1:6">
      <c r="A797" t="s">
        <v>1930</v>
      </c>
      <c r="B797">
        <v>89</v>
      </c>
      <c r="C797" t="s">
        <v>1136</v>
      </c>
      <c r="D797">
        <v>14405</v>
      </c>
      <c r="E797">
        <v>5536</v>
      </c>
      <c r="F797">
        <v>7033</v>
      </c>
    </row>
    <row r="798" spans="1:6">
      <c r="A798" t="s">
        <v>1931</v>
      </c>
      <c r="B798">
        <v>89</v>
      </c>
      <c r="C798" t="s">
        <v>1138</v>
      </c>
      <c r="D798">
        <v>4322</v>
      </c>
      <c r="E798">
        <v>5536</v>
      </c>
      <c r="F798">
        <v>7033</v>
      </c>
    </row>
    <row r="799" spans="1:6">
      <c r="A799" t="s">
        <v>1932</v>
      </c>
      <c r="B799">
        <v>89</v>
      </c>
      <c r="C799" t="s">
        <v>738</v>
      </c>
      <c r="D799">
        <v>115240</v>
      </c>
      <c r="E799">
        <v>5536</v>
      </c>
      <c r="F799">
        <v>7033</v>
      </c>
    </row>
    <row r="800" spans="1:6">
      <c r="A800" t="s">
        <v>1933</v>
      </c>
      <c r="B800">
        <v>89</v>
      </c>
      <c r="C800" t="s">
        <v>1141</v>
      </c>
      <c r="D800">
        <v>259290</v>
      </c>
      <c r="E800">
        <v>5536</v>
      </c>
      <c r="F800">
        <v>7033</v>
      </c>
    </row>
    <row r="801" spans="1:6">
      <c r="A801" t="s">
        <v>1934</v>
      </c>
      <c r="B801">
        <v>89</v>
      </c>
      <c r="C801" t="s">
        <v>159</v>
      </c>
      <c r="D801">
        <v>2546163</v>
      </c>
      <c r="E801">
        <v>5536</v>
      </c>
      <c r="F801">
        <v>7033</v>
      </c>
    </row>
    <row r="802" spans="1:6">
      <c r="A802" t="s">
        <v>1935</v>
      </c>
      <c r="B802">
        <v>89</v>
      </c>
      <c r="C802" t="s">
        <v>642</v>
      </c>
      <c r="D802">
        <v>1273081</v>
      </c>
      <c r="E802">
        <v>5536</v>
      </c>
      <c r="F802">
        <v>7033</v>
      </c>
    </row>
    <row r="803" spans="1:6">
      <c r="A803" t="s">
        <v>1936</v>
      </c>
      <c r="B803">
        <v>90</v>
      </c>
      <c r="C803" t="s">
        <v>149</v>
      </c>
      <c r="D803">
        <v>29406</v>
      </c>
      <c r="E803">
        <v>5635</v>
      </c>
      <c r="F803">
        <v>7120</v>
      </c>
    </row>
    <row r="804" spans="1:6">
      <c r="A804" t="s">
        <v>1937</v>
      </c>
      <c r="B804">
        <v>90</v>
      </c>
      <c r="C804" t="s">
        <v>1132</v>
      </c>
      <c r="D804">
        <v>88218</v>
      </c>
      <c r="E804">
        <v>5635</v>
      </c>
      <c r="F804">
        <v>7120</v>
      </c>
    </row>
    <row r="805" spans="1:6">
      <c r="A805" t="s">
        <v>1938</v>
      </c>
      <c r="B805">
        <v>90</v>
      </c>
      <c r="C805" t="s">
        <v>1134</v>
      </c>
      <c r="D805">
        <v>52931</v>
      </c>
      <c r="E805">
        <v>5635</v>
      </c>
      <c r="F805">
        <v>7120</v>
      </c>
    </row>
    <row r="806" spans="1:6">
      <c r="A806" t="s">
        <v>1939</v>
      </c>
      <c r="B806">
        <v>90</v>
      </c>
      <c r="C806" t="s">
        <v>1136</v>
      </c>
      <c r="D806">
        <v>14703</v>
      </c>
      <c r="E806">
        <v>5635</v>
      </c>
      <c r="F806">
        <v>7120</v>
      </c>
    </row>
    <row r="807" spans="1:6">
      <c r="A807" t="s">
        <v>1940</v>
      </c>
      <c r="B807">
        <v>90</v>
      </c>
      <c r="C807" t="s">
        <v>1138</v>
      </c>
      <c r="D807">
        <v>4411</v>
      </c>
      <c r="E807">
        <v>5635</v>
      </c>
      <c r="F807">
        <v>7120</v>
      </c>
    </row>
    <row r="808" spans="1:6">
      <c r="A808" t="s">
        <v>1941</v>
      </c>
      <c r="B808">
        <v>90</v>
      </c>
      <c r="C808" t="s">
        <v>738</v>
      </c>
      <c r="D808">
        <v>117624</v>
      </c>
      <c r="E808">
        <v>5635</v>
      </c>
      <c r="F808">
        <v>7120</v>
      </c>
    </row>
    <row r="809" spans="1:6">
      <c r="A809" t="s">
        <v>1942</v>
      </c>
      <c r="B809">
        <v>90</v>
      </c>
      <c r="C809" t="s">
        <v>1141</v>
      </c>
      <c r="D809">
        <v>264654</v>
      </c>
      <c r="E809">
        <v>5635</v>
      </c>
      <c r="F809">
        <v>7120</v>
      </c>
    </row>
    <row r="810" spans="1:6">
      <c r="A810" t="s">
        <v>1943</v>
      </c>
      <c r="B810">
        <v>90</v>
      </c>
      <c r="C810" t="s">
        <v>159</v>
      </c>
      <c r="D810">
        <v>2605297</v>
      </c>
      <c r="E810">
        <v>5635</v>
      </c>
      <c r="F810">
        <v>7120</v>
      </c>
    </row>
    <row r="811" spans="1:6">
      <c r="A811" t="s">
        <v>1944</v>
      </c>
      <c r="B811">
        <v>90</v>
      </c>
      <c r="C811" t="s">
        <v>642</v>
      </c>
      <c r="D811">
        <v>1302648</v>
      </c>
      <c r="E811">
        <v>5635</v>
      </c>
      <c r="F811">
        <v>7120</v>
      </c>
    </row>
    <row r="812" spans="1:6">
      <c r="A812" t="s">
        <v>1945</v>
      </c>
      <c r="B812">
        <v>91</v>
      </c>
      <c r="C812" t="s">
        <v>149</v>
      </c>
      <c r="D812">
        <v>30010</v>
      </c>
      <c r="E812">
        <v>5734</v>
      </c>
      <c r="F812">
        <v>7207</v>
      </c>
    </row>
    <row r="813" spans="1:6">
      <c r="A813" t="s">
        <v>1946</v>
      </c>
      <c r="B813">
        <v>91</v>
      </c>
      <c r="C813" t="s">
        <v>1132</v>
      </c>
      <c r="D813">
        <v>90030</v>
      </c>
      <c r="E813">
        <v>5734</v>
      </c>
      <c r="F813">
        <v>7207</v>
      </c>
    </row>
    <row r="814" spans="1:6">
      <c r="A814" t="s">
        <v>1947</v>
      </c>
      <c r="B814">
        <v>91</v>
      </c>
      <c r="C814" t="s">
        <v>1134</v>
      </c>
      <c r="D814">
        <v>54018</v>
      </c>
      <c r="E814">
        <v>5734</v>
      </c>
      <c r="F814">
        <v>7207</v>
      </c>
    </row>
    <row r="815" spans="1:6">
      <c r="A815" t="s">
        <v>1948</v>
      </c>
      <c r="B815">
        <v>91</v>
      </c>
      <c r="C815" t="s">
        <v>1136</v>
      </c>
      <c r="D815">
        <v>15005</v>
      </c>
      <c r="E815">
        <v>5734</v>
      </c>
      <c r="F815">
        <v>7207</v>
      </c>
    </row>
    <row r="816" spans="1:6">
      <c r="A816" t="s">
        <v>1949</v>
      </c>
      <c r="B816">
        <v>91</v>
      </c>
      <c r="C816" t="s">
        <v>1138</v>
      </c>
      <c r="D816">
        <v>4502</v>
      </c>
      <c r="E816">
        <v>5734</v>
      </c>
      <c r="F816">
        <v>7207</v>
      </c>
    </row>
    <row r="817" spans="1:6">
      <c r="A817" t="s">
        <v>1950</v>
      </c>
      <c r="B817">
        <v>91</v>
      </c>
      <c r="C817" t="s">
        <v>738</v>
      </c>
      <c r="D817">
        <v>120040</v>
      </c>
      <c r="E817">
        <v>5734</v>
      </c>
      <c r="F817">
        <v>7207</v>
      </c>
    </row>
    <row r="818" spans="1:6">
      <c r="A818" t="s">
        <v>1951</v>
      </c>
      <c r="B818">
        <v>91</v>
      </c>
      <c r="C818" t="s">
        <v>1141</v>
      </c>
      <c r="D818">
        <v>270090</v>
      </c>
      <c r="E818">
        <v>5734</v>
      </c>
      <c r="F818">
        <v>7207</v>
      </c>
    </row>
    <row r="819" spans="1:6">
      <c r="A819" t="s">
        <v>1952</v>
      </c>
      <c r="B819">
        <v>91</v>
      </c>
      <c r="C819" t="s">
        <v>159</v>
      </c>
      <c r="D819">
        <v>2665349</v>
      </c>
      <c r="E819">
        <v>5734</v>
      </c>
      <c r="F819">
        <v>7207</v>
      </c>
    </row>
    <row r="820" spans="1:6">
      <c r="A820" t="s">
        <v>1953</v>
      </c>
      <c r="B820">
        <v>91</v>
      </c>
      <c r="C820" t="s">
        <v>642</v>
      </c>
      <c r="D820">
        <v>1332674</v>
      </c>
      <c r="E820">
        <v>5734</v>
      </c>
      <c r="F820">
        <v>7207</v>
      </c>
    </row>
    <row r="821" spans="1:6">
      <c r="A821" t="s">
        <v>1954</v>
      </c>
      <c r="B821">
        <v>92</v>
      </c>
      <c r="C821" t="s">
        <v>149</v>
      </c>
      <c r="D821">
        <v>30621</v>
      </c>
      <c r="E821">
        <v>5835</v>
      </c>
      <c r="F821">
        <v>7295</v>
      </c>
    </row>
    <row r="822" spans="1:6">
      <c r="A822" t="s">
        <v>1955</v>
      </c>
      <c r="B822">
        <v>92</v>
      </c>
      <c r="C822" t="s">
        <v>1132</v>
      </c>
      <c r="D822">
        <v>91863</v>
      </c>
      <c r="E822">
        <v>5835</v>
      </c>
      <c r="F822">
        <v>7295</v>
      </c>
    </row>
    <row r="823" spans="1:6">
      <c r="A823" t="s">
        <v>1956</v>
      </c>
      <c r="B823">
        <v>92</v>
      </c>
      <c r="C823" t="s">
        <v>1134</v>
      </c>
      <c r="D823">
        <v>55118</v>
      </c>
      <c r="E823">
        <v>5835</v>
      </c>
      <c r="F823">
        <v>7295</v>
      </c>
    </row>
    <row r="824" spans="1:6">
      <c r="A824" t="s">
        <v>1957</v>
      </c>
      <c r="B824">
        <v>92</v>
      </c>
      <c r="C824" t="s">
        <v>1136</v>
      </c>
      <c r="D824">
        <v>15311</v>
      </c>
      <c r="E824">
        <v>5835</v>
      </c>
      <c r="F824">
        <v>7295</v>
      </c>
    </row>
    <row r="825" spans="1:6">
      <c r="A825" t="s">
        <v>1958</v>
      </c>
      <c r="B825">
        <v>92</v>
      </c>
      <c r="C825" t="s">
        <v>1138</v>
      </c>
      <c r="D825">
        <v>4594</v>
      </c>
      <c r="E825">
        <v>5835</v>
      </c>
      <c r="F825">
        <v>7295</v>
      </c>
    </row>
    <row r="826" spans="1:6">
      <c r="A826" t="s">
        <v>1959</v>
      </c>
      <c r="B826">
        <v>92</v>
      </c>
      <c r="C826" t="s">
        <v>738</v>
      </c>
      <c r="D826">
        <v>122484</v>
      </c>
      <c r="E826">
        <v>5835</v>
      </c>
      <c r="F826">
        <v>7295</v>
      </c>
    </row>
    <row r="827" spans="1:6">
      <c r="A827" t="s">
        <v>1960</v>
      </c>
      <c r="B827">
        <v>92</v>
      </c>
      <c r="C827" t="s">
        <v>1141</v>
      </c>
      <c r="D827">
        <v>275589</v>
      </c>
      <c r="E827">
        <v>5835</v>
      </c>
      <c r="F827">
        <v>7295</v>
      </c>
    </row>
    <row r="828" spans="1:6">
      <c r="A828" t="s">
        <v>1961</v>
      </c>
      <c r="B828">
        <v>92</v>
      </c>
      <c r="C828" t="s">
        <v>159</v>
      </c>
      <c r="D828">
        <v>2726318</v>
      </c>
      <c r="E828">
        <v>5835</v>
      </c>
      <c r="F828">
        <v>7295</v>
      </c>
    </row>
    <row r="829" spans="1:6">
      <c r="A829" t="s">
        <v>1962</v>
      </c>
      <c r="B829">
        <v>92</v>
      </c>
      <c r="C829" t="s">
        <v>642</v>
      </c>
      <c r="D829">
        <v>1363159</v>
      </c>
      <c r="E829">
        <v>5835</v>
      </c>
      <c r="F829">
        <v>7295</v>
      </c>
    </row>
    <row r="830" spans="1:6">
      <c r="A830" t="s">
        <v>1963</v>
      </c>
      <c r="B830">
        <v>93</v>
      </c>
      <c r="C830" t="s">
        <v>149</v>
      </c>
      <c r="D830">
        <v>31240</v>
      </c>
      <c r="E830">
        <v>5936</v>
      </c>
      <c r="F830">
        <v>7383</v>
      </c>
    </row>
    <row r="831" spans="1:6">
      <c r="A831" t="s">
        <v>1964</v>
      </c>
      <c r="B831">
        <v>93</v>
      </c>
      <c r="C831" t="s">
        <v>1132</v>
      </c>
      <c r="D831">
        <v>93720</v>
      </c>
      <c r="E831">
        <v>5936</v>
      </c>
      <c r="F831">
        <v>7383</v>
      </c>
    </row>
    <row r="832" spans="1:6">
      <c r="A832" t="s">
        <v>1965</v>
      </c>
      <c r="B832">
        <v>93</v>
      </c>
      <c r="C832" t="s">
        <v>1134</v>
      </c>
      <c r="D832">
        <v>56232</v>
      </c>
      <c r="E832">
        <v>5936</v>
      </c>
      <c r="F832">
        <v>7383</v>
      </c>
    </row>
    <row r="833" spans="1:6">
      <c r="A833" t="s">
        <v>1966</v>
      </c>
      <c r="B833">
        <v>93</v>
      </c>
      <c r="C833" t="s">
        <v>1136</v>
      </c>
      <c r="D833">
        <v>15620</v>
      </c>
      <c r="E833">
        <v>5936</v>
      </c>
      <c r="F833">
        <v>7383</v>
      </c>
    </row>
    <row r="834" spans="1:6">
      <c r="A834" t="s">
        <v>1967</v>
      </c>
      <c r="B834">
        <v>93</v>
      </c>
      <c r="C834" t="s">
        <v>1138</v>
      </c>
      <c r="D834">
        <v>4686</v>
      </c>
      <c r="E834">
        <v>5936</v>
      </c>
      <c r="F834">
        <v>7383</v>
      </c>
    </row>
    <row r="835" spans="1:6">
      <c r="A835" t="s">
        <v>1968</v>
      </c>
      <c r="B835">
        <v>93</v>
      </c>
      <c r="C835" t="s">
        <v>738</v>
      </c>
      <c r="D835">
        <v>124960</v>
      </c>
      <c r="E835">
        <v>5936</v>
      </c>
      <c r="F835">
        <v>7383</v>
      </c>
    </row>
    <row r="836" spans="1:6">
      <c r="A836" t="s">
        <v>1969</v>
      </c>
      <c r="B836">
        <v>93</v>
      </c>
      <c r="C836" t="s">
        <v>1141</v>
      </c>
      <c r="D836">
        <v>281160</v>
      </c>
      <c r="E836">
        <v>5936</v>
      </c>
      <c r="F836">
        <v>7383</v>
      </c>
    </row>
    <row r="837" spans="1:6">
      <c r="A837" t="s">
        <v>1970</v>
      </c>
      <c r="B837">
        <v>93</v>
      </c>
      <c r="C837" t="s">
        <v>159</v>
      </c>
      <c r="D837">
        <v>2788204</v>
      </c>
      <c r="E837">
        <v>5936</v>
      </c>
      <c r="F837">
        <v>7383</v>
      </c>
    </row>
    <row r="838" spans="1:6">
      <c r="A838" t="s">
        <v>1971</v>
      </c>
      <c r="B838">
        <v>93</v>
      </c>
      <c r="C838" t="s">
        <v>642</v>
      </c>
      <c r="D838">
        <v>1394102</v>
      </c>
      <c r="E838">
        <v>5936</v>
      </c>
      <c r="F838">
        <v>7383</v>
      </c>
    </row>
    <row r="839" spans="1:6">
      <c r="A839" t="s">
        <v>1972</v>
      </c>
      <c r="B839">
        <v>94</v>
      </c>
      <c r="C839" t="s">
        <v>149</v>
      </c>
      <c r="D839">
        <v>31867</v>
      </c>
      <c r="E839">
        <v>6038</v>
      </c>
      <c r="F839">
        <v>7471</v>
      </c>
    </row>
    <row r="840" spans="1:6">
      <c r="A840" t="s">
        <v>1973</v>
      </c>
      <c r="B840">
        <v>94</v>
      </c>
      <c r="C840" t="s">
        <v>1132</v>
      </c>
      <c r="D840">
        <v>95601</v>
      </c>
      <c r="E840">
        <v>6038</v>
      </c>
      <c r="F840">
        <v>7471</v>
      </c>
    </row>
    <row r="841" spans="1:6">
      <c r="A841" t="s">
        <v>1974</v>
      </c>
      <c r="B841">
        <v>94</v>
      </c>
      <c r="C841" t="s">
        <v>1134</v>
      </c>
      <c r="D841">
        <v>57361</v>
      </c>
      <c r="E841">
        <v>6038</v>
      </c>
      <c r="F841">
        <v>7471</v>
      </c>
    </row>
    <row r="842" spans="1:6">
      <c r="A842" t="s">
        <v>1975</v>
      </c>
      <c r="B842">
        <v>94</v>
      </c>
      <c r="C842" t="s">
        <v>1136</v>
      </c>
      <c r="D842">
        <v>15934</v>
      </c>
      <c r="E842">
        <v>6038</v>
      </c>
      <c r="F842">
        <v>7471</v>
      </c>
    </row>
    <row r="843" spans="1:6">
      <c r="A843" t="s">
        <v>1976</v>
      </c>
      <c r="B843">
        <v>94</v>
      </c>
      <c r="C843" t="s">
        <v>1138</v>
      </c>
      <c r="D843">
        <v>4781</v>
      </c>
      <c r="E843">
        <v>6038</v>
      </c>
      <c r="F843">
        <v>7471</v>
      </c>
    </row>
    <row r="844" spans="1:6">
      <c r="A844" t="s">
        <v>1977</v>
      </c>
      <c r="B844">
        <v>94</v>
      </c>
      <c r="C844" t="s">
        <v>738</v>
      </c>
      <c r="D844">
        <v>127468</v>
      </c>
      <c r="E844">
        <v>6038</v>
      </c>
      <c r="F844">
        <v>7471</v>
      </c>
    </row>
    <row r="845" spans="1:6">
      <c r="A845" t="s">
        <v>1978</v>
      </c>
      <c r="B845">
        <v>94</v>
      </c>
      <c r="C845" t="s">
        <v>1141</v>
      </c>
      <c r="D845">
        <v>286803</v>
      </c>
      <c r="E845">
        <v>6038</v>
      </c>
      <c r="F845">
        <v>7471</v>
      </c>
    </row>
    <row r="846" spans="1:6">
      <c r="A846" t="s">
        <v>1979</v>
      </c>
      <c r="B846">
        <v>94</v>
      </c>
      <c r="C846" t="s">
        <v>159</v>
      </c>
      <c r="D846">
        <v>2851129</v>
      </c>
      <c r="E846">
        <v>6038</v>
      </c>
      <c r="F846">
        <v>7471</v>
      </c>
    </row>
    <row r="847" spans="1:6">
      <c r="A847" t="s">
        <v>1980</v>
      </c>
      <c r="B847">
        <v>94</v>
      </c>
      <c r="C847" t="s">
        <v>642</v>
      </c>
      <c r="D847">
        <v>1425565</v>
      </c>
      <c r="E847">
        <v>6038</v>
      </c>
      <c r="F847">
        <v>7471</v>
      </c>
    </row>
    <row r="848" spans="1:6">
      <c r="A848" t="s">
        <v>1981</v>
      </c>
      <c r="B848">
        <v>95</v>
      </c>
      <c r="C848" t="s">
        <v>149</v>
      </c>
      <c r="D848">
        <v>32502</v>
      </c>
      <c r="E848">
        <v>6141</v>
      </c>
      <c r="F848">
        <v>7559</v>
      </c>
    </row>
    <row r="849" spans="1:6">
      <c r="A849" t="s">
        <v>1982</v>
      </c>
      <c r="B849">
        <v>95</v>
      </c>
      <c r="C849" t="s">
        <v>1132</v>
      </c>
      <c r="D849">
        <v>97506</v>
      </c>
      <c r="E849">
        <v>6141</v>
      </c>
      <c r="F849">
        <v>7559</v>
      </c>
    </row>
    <row r="850" spans="1:6">
      <c r="A850" t="s">
        <v>1983</v>
      </c>
      <c r="B850">
        <v>95</v>
      </c>
      <c r="C850" t="s">
        <v>1134</v>
      </c>
      <c r="D850">
        <v>58504</v>
      </c>
      <c r="E850">
        <v>6141</v>
      </c>
      <c r="F850">
        <v>7559</v>
      </c>
    </row>
    <row r="851" spans="1:6">
      <c r="A851" t="s">
        <v>1984</v>
      </c>
      <c r="B851">
        <v>95</v>
      </c>
      <c r="C851" t="s">
        <v>1136</v>
      </c>
      <c r="D851">
        <v>16251</v>
      </c>
      <c r="E851">
        <v>6141</v>
      </c>
      <c r="F851">
        <v>7559</v>
      </c>
    </row>
    <row r="852" spans="1:6">
      <c r="A852" t="s">
        <v>1985</v>
      </c>
      <c r="B852">
        <v>95</v>
      </c>
      <c r="C852" t="s">
        <v>1138</v>
      </c>
      <c r="D852">
        <v>4876</v>
      </c>
      <c r="E852">
        <v>6141</v>
      </c>
      <c r="F852">
        <v>7559</v>
      </c>
    </row>
    <row r="853" spans="1:6">
      <c r="A853" t="s">
        <v>1986</v>
      </c>
      <c r="B853">
        <v>95</v>
      </c>
      <c r="C853" t="s">
        <v>738</v>
      </c>
      <c r="D853">
        <v>130008</v>
      </c>
      <c r="E853">
        <v>6141</v>
      </c>
      <c r="F853">
        <v>7559</v>
      </c>
    </row>
    <row r="854" spans="1:6">
      <c r="A854" t="s">
        <v>1987</v>
      </c>
      <c r="B854">
        <v>95</v>
      </c>
      <c r="C854" t="s">
        <v>1141</v>
      </c>
      <c r="D854">
        <v>292518</v>
      </c>
      <c r="E854">
        <v>6141</v>
      </c>
      <c r="F854">
        <v>7559</v>
      </c>
    </row>
    <row r="855" spans="1:6">
      <c r="A855" t="s">
        <v>1988</v>
      </c>
      <c r="B855">
        <v>95</v>
      </c>
      <c r="C855" t="s">
        <v>159</v>
      </c>
      <c r="D855">
        <v>2914971</v>
      </c>
      <c r="E855">
        <v>6141</v>
      </c>
      <c r="F855">
        <v>7559</v>
      </c>
    </row>
    <row r="856" spans="1:6">
      <c r="A856" t="s">
        <v>1989</v>
      </c>
      <c r="B856">
        <v>95</v>
      </c>
      <c r="C856" t="s">
        <v>642</v>
      </c>
      <c r="D856">
        <v>1457486</v>
      </c>
      <c r="E856">
        <v>6141</v>
      </c>
      <c r="F856">
        <v>7559</v>
      </c>
    </row>
    <row r="857" spans="1:6">
      <c r="A857" t="s">
        <v>1990</v>
      </c>
      <c r="B857">
        <v>96</v>
      </c>
      <c r="C857" t="s">
        <v>149</v>
      </c>
      <c r="D857">
        <v>33145</v>
      </c>
      <c r="E857">
        <v>6246</v>
      </c>
      <c r="F857">
        <v>7648</v>
      </c>
    </row>
    <row r="858" spans="1:6">
      <c r="A858" t="s">
        <v>1991</v>
      </c>
      <c r="B858">
        <v>96</v>
      </c>
      <c r="C858" t="s">
        <v>1132</v>
      </c>
      <c r="D858">
        <v>99435</v>
      </c>
      <c r="E858">
        <v>6246</v>
      </c>
      <c r="F858">
        <v>7648</v>
      </c>
    </row>
    <row r="859" spans="1:6">
      <c r="A859" t="s">
        <v>1992</v>
      </c>
      <c r="B859">
        <v>96</v>
      </c>
      <c r="C859" t="s">
        <v>1134</v>
      </c>
      <c r="D859">
        <v>59661</v>
      </c>
      <c r="E859">
        <v>6246</v>
      </c>
      <c r="F859">
        <v>7648</v>
      </c>
    </row>
    <row r="860" spans="1:6">
      <c r="A860" t="s">
        <v>1993</v>
      </c>
      <c r="B860">
        <v>96</v>
      </c>
      <c r="C860" t="s">
        <v>1136</v>
      </c>
      <c r="D860">
        <v>16573</v>
      </c>
      <c r="E860">
        <v>6246</v>
      </c>
      <c r="F860">
        <v>7648</v>
      </c>
    </row>
    <row r="861" spans="1:6">
      <c r="A861" t="s">
        <v>1994</v>
      </c>
      <c r="B861">
        <v>96</v>
      </c>
      <c r="C861" t="s">
        <v>1138</v>
      </c>
      <c r="D861">
        <v>4972</v>
      </c>
      <c r="E861">
        <v>6246</v>
      </c>
      <c r="F861">
        <v>7648</v>
      </c>
    </row>
    <row r="862" spans="1:6">
      <c r="A862" t="s">
        <v>1995</v>
      </c>
      <c r="B862">
        <v>96</v>
      </c>
      <c r="C862" t="s">
        <v>738</v>
      </c>
      <c r="D862">
        <v>132580</v>
      </c>
      <c r="E862">
        <v>6246</v>
      </c>
      <c r="F862">
        <v>7648</v>
      </c>
    </row>
    <row r="863" spans="1:6">
      <c r="A863" t="s">
        <v>1996</v>
      </c>
      <c r="B863">
        <v>96</v>
      </c>
      <c r="C863" t="s">
        <v>1141</v>
      </c>
      <c r="D863">
        <v>298305</v>
      </c>
      <c r="E863">
        <v>6246</v>
      </c>
      <c r="F863">
        <v>7648</v>
      </c>
    </row>
    <row r="864" spans="1:6">
      <c r="A864" t="s">
        <v>1997</v>
      </c>
      <c r="B864">
        <v>96</v>
      </c>
      <c r="C864" t="s">
        <v>159</v>
      </c>
      <c r="D864">
        <v>2979791</v>
      </c>
      <c r="E864">
        <v>6246</v>
      </c>
      <c r="F864">
        <v>7648</v>
      </c>
    </row>
    <row r="865" spans="1:6">
      <c r="A865" t="s">
        <v>1998</v>
      </c>
      <c r="B865">
        <v>96</v>
      </c>
      <c r="C865" t="s">
        <v>642</v>
      </c>
      <c r="D865">
        <v>1489895</v>
      </c>
      <c r="E865">
        <v>6246</v>
      </c>
      <c r="F865">
        <v>7648</v>
      </c>
    </row>
    <row r="866" spans="1:6">
      <c r="A866" t="s">
        <v>1999</v>
      </c>
      <c r="B866">
        <v>97</v>
      </c>
      <c r="C866" t="s">
        <v>149</v>
      </c>
      <c r="D866">
        <v>33796</v>
      </c>
      <c r="E866">
        <v>6351</v>
      </c>
      <c r="F866">
        <v>7736</v>
      </c>
    </row>
    <row r="867" spans="1:6">
      <c r="A867" t="s">
        <v>2000</v>
      </c>
      <c r="B867">
        <v>97</v>
      </c>
      <c r="C867" t="s">
        <v>1132</v>
      </c>
      <c r="D867">
        <v>101388</v>
      </c>
      <c r="E867">
        <v>6351</v>
      </c>
      <c r="F867">
        <v>7736</v>
      </c>
    </row>
    <row r="868" spans="1:6">
      <c r="A868" t="s">
        <v>2001</v>
      </c>
      <c r="B868">
        <v>97</v>
      </c>
      <c r="C868" t="s">
        <v>1134</v>
      </c>
      <c r="D868">
        <v>60833</v>
      </c>
      <c r="E868">
        <v>6351</v>
      </c>
      <c r="F868">
        <v>7736</v>
      </c>
    </row>
    <row r="869" spans="1:6">
      <c r="A869" t="s">
        <v>2002</v>
      </c>
      <c r="B869">
        <v>97</v>
      </c>
      <c r="C869" t="s">
        <v>1136</v>
      </c>
      <c r="D869">
        <v>16898</v>
      </c>
      <c r="E869">
        <v>6351</v>
      </c>
      <c r="F869">
        <v>7736</v>
      </c>
    </row>
    <row r="870" spans="1:6">
      <c r="A870" t="s">
        <v>2003</v>
      </c>
      <c r="B870">
        <v>97</v>
      </c>
      <c r="C870" t="s">
        <v>1138</v>
      </c>
      <c r="D870">
        <v>5070</v>
      </c>
      <c r="E870">
        <v>6351</v>
      </c>
      <c r="F870">
        <v>7736</v>
      </c>
    </row>
    <row r="871" spans="1:6">
      <c r="A871" t="s">
        <v>2004</v>
      </c>
      <c r="B871">
        <v>97</v>
      </c>
      <c r="C871" t="s">
        <v>738</v>
      </c>
      <c r="D871">
        <v>135184</v>
      </c>
      <c r="E871">
        <v>6351</v>
      </c>
      <c r="F871">
        <v>7736</v>
      </c>
    </row>
    <row r="872" spans="1:6">
      <c r="A872" t="s">
        <v>2005</v>
      </c>
      <c r="B872">
        <v>97</v>
      </c>
      <c r="C872" t="s">
        <v>1141</v>
      </c>
      <c r="D872">
        <v>304164</v>
      </c>
      <c r="E872">
        <v>6351</v>
      </c>
      <c r="F872">
        <v>7736</v>
      </c>
    </row>
    <row r="873" spans="1:6">
      <c r="A873" t="s">
        <v>2006</v>
      </c>
      <c r="B873">
        <v>97</v>
      </c>
      <c r="C873" t="s">
        <v>159</v>
      </c>
      <c r="D873">
        <v>3045527</v>
      </c>
      <c r="E873">
        <v>6351</v>
      </c>
      <c r="F873">
        <v>7736</v>
      </c>
    </row>
    <row r="874" spans="1:6">
      <c r="A874" t="s">
        <v>2007</v>
      </c>
      <c r="B874">
        <v>97</v>
      </c>
      <c r="C874" t="s">
        <v>642</v>
      </c>
      <c r="D874">
        <v>1522764</v>
      </c>
      <c r="E874">
        <v>6351</v>
      </c>
      <c r="F874">
        <v>7736</v>
      </c>
    </row>
    <row r="875" spans="1:6">
      <c r="A875" t="s">
        <v>2008</v>
      </c>
      <c r="B875">
        <v>98</v>
      </c>
      <c r="C875" t="s">
        <v>149</v>
      </c>
      <c r="D875">
        <v>34455</v>
      </c>
      <c r="E875">
        <v>6457</v>
      </c>
      <c r="F875">
        <v>7825</v>
      </c>
    </row>
    <row r="876" spans="1:6">
      <c r="A876" t="s">
        <v>2009</v>
      </c>
      <c r="B876">
        <v>98</v>
      </c>
      <c r="C876" t="s">
        <v>1132</v>
      </c>
      <c r="D876">
        <v>103365</v>
      </c>
      <c r="E876">
        <v>6457</v>
      </c>
      <c r="F876">
        <v>7825</v>
      </c>
    </row>
    <row r="877" spans="1:6">
      <c r="A877" t="s">
        <v>2010</v>
      </c>
      <c r="B877">
        <v>98</v>
      </c>
      <c r="C877" t="s">
        <v>1134</v>
      </c>
      <c r="D877">
        <v>62019</v>
      </c>
      <c r="E877">
        <v>6457</v>
      </c>
      <c r="F877">
        <v>7825</v>
      </c>
    </row>
    <row r="878" spans="1:6">
      <c r="A878" t="s">
        <v>2011</v>
      </c>
      <c r="B878">
        <v>98</v>
      </c>
      <c r="C878" t="s">
        <v>1136</v>
      </c>
      <c r="D878">
        <v>17228</v>
      </c>
      <c r="E878">
        <v>6457</v>
      </c>
      <c r="F878">
        <v>7825</v>
      </c>
    </row>
    <row r="879" spans="1:6">
      <c r="A879" t="s">
        <v>2012</v>
      </c>
      <c r="B879">
        <v>98</v>
      </c>
      <c r="C879" t="s">
        <v>1138</v>
      </c>
      <c r="D879">
        <v>5169</v>
      </c>
      <c r="E879">
        <v>6457</v>
      </c>
      <c r="F879">
        <v>7825</v>
      </c>
    </row>
    <row r="880" spans="1:6">
      <c r="A880" t="s">
        <v>2013</v>
      </c>
      <c r="B880">
        <v>98</v>
      </c>
      <c r="C880" t="s">
        <v>738</v>
      </c>
      <c r="D880">
        <v>137820</v>
      </c>
      <c r="E880">
        <v>6457</v>
      </c>
      <c r="F880">
        <v>7825</v>
      </c>
    </row>
    <row r="881" spans="1:6">
      <c r="A881" t="s">
        <v>2014</v>
      </c>
      <c r="B881">
        <v>98</v>
      </c>
      <c r="C881" t="s">
        <v>1141</v>
      </c>
      <c r="D881">
        <v>310095</v>
      </c>
      <c r="E881">
        <v>6457</v>
      </c>
      <c r="F881">
        <v>7825</v>
      </c>
    </row>
    <row r="882" spans="1:6">
      <c r="A882" t="s">
        <v>2015</v>
      </c>
      <c r="B882">
        <v>98</v>
      </c>
      <c r="C882" t="s">
        <v>159</v>
      </c>
      <c r="D882">
        <v>3112361</v>
      </c>
      <c r="E882">
        <v>6457</v>
      </c>
      <c r="F882">
        <v>7825</v>
      </c>
    </row>
    <row r="883" spans="1:6">
      <c r="A883" t="s">
        <v>2016</v>
      </c>
      <c r="B883">
        <v>98</v>
      </c>
      <c r="C883" t="s">
        <v>642</v>
      </c>
      <c r="D883">
        <v>1556181</v>
      </c>
      <c r="E883">
        <v>6457</v>
      </c>
      <c r="F883">
        <v>7825</v>
      </c>
    </row>
    <row r="884" spans="1:6">
      <c r="A884" t="s">
        <v>2017</v>
      </c>
      <c r="B884">
        <v>99</v>
      </c>
      <c r="C884" t="s">
        <v>149</v>
      </c>
      <c r="D884">
        <v>35123</v>
      </c>
      <c r="E884">
        <v>6564</v>
      </c>
      <c r="F884">
        <v>7914</v>
      </c>
    </row>
    <row r="885" spans="1:6">
      <c r="A885" t="s">
        <v>2018</v>
      </c>
      <c r="B885">
        <v>99</v>
      </c>
      <c r="C885" t="s">
        <v>1132</v>
      </c>
      <c r="D885">
        <v>105369</v>
      </c>
      <c r="E885">
        <v>6564</v>
      </c>
      <c r="F885">
        <v>7914</v>
      </c>
    </row>
    <row r="886" spans="1:6">
      <c r="A886" t="s">
        <v>2019</v>
      </c>
      <c r="B886">
        <v>99</v>
      </c>
      <c r="C886" t="s">
        <v>1134</v>
      </c>
      <c r="D886">
        <v>63222</v>
      </c>
      <c r="E886">
        <v>6564</v>
      </c>
      <c r="F886">
        <v>7914</v>
      </c>
    </row>
    <row r="887" spans="1:6">
      <c r="A887" t="s">
        <v>2020</v>
      </c>
      <c r="B887">
        <v>99</v>
      </c>
      <c r="C887" t="s">
        <v>1136</v>
      </c>
      <c r="D887">
        <v>17562</v>
      </c>
      <c r="E887">
        <v>6564</v>
      </c>
      <c r="F887">
        <v>7914</v>
      </c>
    </row>
    <row r="888" spans="1:6">
      <c r="A888" t="s">
        <v>2021</v>
      </c>
      <c r="B888">
        <v>99</v>
      </c>
      <c r="C888" t="s">
        <v>1138</v>
      </c>
      <c r="D888">
        <v>5269</v>
      </c>
      <c r="E888">
        <v>6564</v>
      </c>
      <c r="F888">
        <v>7914</v>
      </c>
    </row>
    <row r="889" spans="1:6">
      <c r="A889" t="s">
        <v>2022</v>
      </c>
      <c r="B889">
        <v>99</v>
      </c>
      <c r="C889" t="s">
        <v>738</v>
      </c>
      <c r="D889">
        <v>140492</v>
      </c>
      <c r="E889">
        <v>6564</v>
      </c>
      <c r="F889">
        <v>7914</v>
      </c>
    </row>
    <row r="890" spans="1:6">
      <c r="A890" t="s">
        <v>2023</v>
      </c>
      <c r="B890">
        <v>99</v>
      </c>
      <c r="C890" t="s">
        <v>1141</v>
      </c>
      <c r="D890">
        <v>316107</v>
      </c>
      <c r="E890">
        <v>6564</v>
      </c>
      <c r="F890">
        <v>7914</v>
      </c>
    </row>
    <row r="891" spans="1:6">
      <c r="A891" t="s">
        <v>2024</v>
      </c>
      <c r="B891">
        <v>99</v>
      </c>
      <c r="C891" t="s">
        <v>159</v>
      </c>
      <c r="D891">
        <v>3180112</v>
      </c>
      <c r="E891">
        <v>6564</v>
      </c>
      <c r="F891">
        <v>7914</v>
      </c>
    </row>
    <row r="892" spans="1:6">
      <c r="A892" t="s">
        <v>2025</v>
      </c>
      <c r="B892">
        <v>99</v>
      </c>
      <c r="C892" t="s">
        <v>642</v>
      </c>
      <c r="D892">
        <v>1590056</v>
      </c>
      <c r="E892">
        <v>6564</v>
      </c>
      <c r="F892">
        <v>7914</v>
      </c>
    </row>
    <row r="893" spans="1:6">
      <c r="A893" t="s">
        <v>2026</v>
      </c>
      <c r="B893">
        <v>100</v>
      </c>
      <c r="C893" t="s">
        <v>149</v>
      </c>
      <c r="D893">
        <v>35799</v>
      </c>
      <c r="E893">
        <v>6672</v>
      </c>
      <c r="F893">
        <v>8003</v>
      </c>
    </row>
    <row r="894" spans="1:6">
      <c r="A894" t="s">
        <v>2027</v>
      </c>
      <c r="B894">
        <v>100</v>
      </c>
      <c r="C894" t="s">
        <v>1132</v>
      </c>
      <c r="D894">
        <v>107397</v>
      </c>
      <c r="E894">
        <v>6672</v>
      </c>
      <c r="F894">
        <v>8003</v>
      </c>
    </row>
    <row r="895" spans="1:6">
      <c r="A895" t="s">
        <v>2028</v>
      </c>
      <c r="B895">
        <v>100</v>
      </c>
      <c r="C895" t="s">
        <v>1134</v>
      </c>
      <c r="D895">
        <v>64439</v>
      </c>
      <c r="E895">
        <v>6672</v>
      </c>
      <c r="F895">
        <v>8003</v>
      </c>
    </row>
    <row r="896" spans="1:6">
      <c r="A896" t="s">
        <v>2029</v>
      </c>
      <c r="B896">
        <v>100</v>
      </c>
      <c r="C896" t="s">
        <v>1136</v>
      </c>
      <c r="D896">
        <v>17900</v>
      </c>
      <c r="E896">
        <v>6672</v>
      </c>
      <c r="F896">
        <v>8003</v>
      </c>
    </row>
    <row r="897" spans="1:6">
      <c r="A897" t="s">
        <v>2030</v>
      </c>
      <c r="B897">
        <v>100</v>
      </c>
      <c r="C897" t="s">
        <v>1138</v>
      </c>
      <c r="D897">
        <v>5370</v>
      </c>
      <c r="E897">
        <v>6672</v>
      </c>
      <c r="F897">
        <v>8003</v>
      </c>
    </row>
    <row r="898" spans="1:6">
      <c r="A898" t="s">
        <v>2031</v>
      </c>
      <c r="B898">
        <v>100</v>
      </c>
      <c r="C898" t="s">
        <v>738</v>
      </c>
      <c r="D898">
        <v>143196</v>
      </c>
      <c r="E898">
        <v>6672</v>
      </c>
      <c r="F898">
        <v>8003</v>
      </c>
    </row>
    <row r="899" spans="1:6">
      <c r="A899" t="s">
        <v>2032</v>
      </c>
      <c r="B899">
        <v>100</v>
      </c>
      <c r="C899" t="s">
        <v>1141</v>
      </c>
      <c r="D899">
        <v>322191</v>
      </c>
      <c r="E899">
        <v>6672</v>
      </c>
      <c r="F899">
        <v>8003</v>
      </c>
    </row>
    <row r="900" spans="1:6">
      <c r="A900" t="s">
        <v>2033</v>
      </c>
      <c r="B900">
        <v>100</v>
      </c>
      <c r="C900" t="s">
        <v>159</v>
      </c>
      <c r="D900">
        <v>3248899</v>
      </c>
      <c r="E900">
        <v>6672</v>
      </c>
      <c r="F900">
        <v>8003</v>
      </c>
    </row>
    <row r="901" spans="1:6">
      <c r="A901" t="s">
        <v>2034</v>
      </c>
      <c r="B901">
        <v>100</v>
      </c>
      <c r="C901" t="s">
        <v>642</v>
      </c>
      <c r="D901">
        <v>1624450</v>
      </c>
      <c r="E901">
        <v>6672</v>
      </c>
      <c r="F901">
        <v>8003</v>
      </c>
    </row>
    <row r="902" spans="1:6">
      <c r="A902" t="s">
        <v>2035</v>
      </c>
      <c r="B902">
        <v>101</v>
      </c>
      <c r="C902" t="s">
        <v>149</v>
      </c>
      <c r="D902">
        <v>36483</v>
      </c>
      <c r="E902">
        <v>6781</v>
      </c>
      <c r="F902">
        <v>8093</v>
      </c>
    </row>
    <row r="903" spans="1:6">
      <c r="A903" t="s">
        <v>2036</v>
      </c>
      <c r="B903">
        <v>101</v>
      </c>
      <c r="C903" t="s">
        <v>1132</v>
      </c>
      <c r="D903">
        <v>109449</v>
      </c>
      <c r="E903">
        <v>6781</v>
      </c>
      <c r="F903">
        <v>8093</v>
      </c>
    </row>
    <row r="904" spans="1:6">
      <c r="A904" t="s">
        <v>2037</v>
      </c>
      <c r="B904">
        <v>101</v>
      </c>
      <c r="C904" t="s">
        <v>1134</v>
      </c>
      <c r="D904">
        <v>65670</v>
      </c>
      <c r="E904">
        <v>6781</v>
      </c>
      <c r="F904">
        <v>8093</v>
      </c>
    </row>
    <row r="905" spans="1:6">
      <c r="A905" t="s">
        <v>2038</v>
      </c>
      <c r="B905">
        <v>101</v>
      </c>
      <c r="C905" t="s">
        <v>1136</v>
      </c>
      <c r="D905">
        <v>18242</v>
      </c>
      <c r="E905">
        <v>6781</v>
      </c>
      <c r="F905">
        <v>8093</v>
      </c>
    </row>
    <row r="906" spans="1:6">
      <c r="A906" t="s">
        <v>2039</v>
      </c>
      <c r="B906">
        <v>101</v>
      </c>
      <c r="C906" t="s">
        <v>1138</v>
      </c>
      <c r="D906">
        <v>5473</v>
      </c>
      <c r="E906">
        <v>6781</v>
      </c>
      <c r="F906">
        <v>8093</v>
      </c>
    </row>
    <row r="907" spans="1:6">
      <c r="A907" t="s">
        <v>2040</v>
      </c>
      <c r="B907">
        <v>101</v>
      </c>
      <c r="C907" t="s">
        <v>738</v>
      </c>
      <c r="D907">
        <v>145932</v>
      </c>
      <c r="E907">
        <v>6781</v>
      </c>
      <c r="F907">
        <v>8093</v>
      </c>
    </row>
    <row r="908" spans="1:6">
      <c r="A908" t="s">
        <v>2041</v>
      </c>
      <c r="B908">
        <v>101</v>
      </c>
      <c r="C908" t="s">
        <v>1141</v>
      </c>
      <c r="D908">
        <v>328347</v>
      </c>
      <c r="E908">
        <v>6781</v>
      </c>
      <c r="F908">
        <v>8093</v>
      </c>
    </row>
    <row r="909" spans="1:6">
      <c r="A909" t="s">
        <v>2042</v>
      </c>
      <c r="B909">
        <v>101</v>
      </c>
      <c r="C909" t="s">
        <v>159</v>
      </c>
      <c r="D909">
        <v>3318663</v>
      </c>
      <c r="E909">
        <v>6781</v>
      </c>
      <c r="F909">
        <v>8093</v>
      </c>
    </row>
    <row r="910" spans="1:6">
      <c r="A910" t="s">
        <v>2043</v>
      </c>
      <c r="B910">
        <v>101</v>
      </c>
      <c r="C910" t="s">
        <v>642</v>
      </c>
      <c r="D910">
        <v>1659331</v>
      </c>
      <c r="E910">
        <v>6781</v>
      </c>
      <c r="F910">
        <v>8093</v>
      </c>
    </row>
    <row r="911" spans="1:6">
      <c r="A911" t="s">
        <v>2044</v>
      </c>
      <c r="B911">
        <v>102</v>
      </c>
      <c r="C911" t="s">
        <v>149</v>
      </c>
      <c r="D911">
        <v>37176</v>
      </c>
      <c r="E911">
        <v>6891</v>
      </c>
      <c r="F911">
        <v>8182</v>
      </c>
    </row>
    <row r="912" spans="1:6">
      <c r="A912" t="s">
        <v>2045</v>
      </c>
      <c r="B912">
        <v>102</v>
      </c>
      <c r="C912" t="s">
        <v>1132</v>
      </c>
      <c r="D912">
        <v>111528</v>
      </c>
      <c r="E912">
        <v>6891</v>
      </c>
      <c r="F912">
        <v>8182</v>
      </c>
    </row>
    <row r="913" spans="1:6">
      <c r="A913" t="s">
        <v>2046</v>
      </c>
      <c r="B913">
        <v>102</v>
      </c>
      <c r="C913" t="s">
        <v>1134</v>
      </c>
      <c r="D913">
        <v>66917</v>
      </c>
      <c r="E913">
        <v>6891</v>
      </c>
      <c r="F913">
        <v>8182</v>
      </c>
    </row>
    <row r="914" spans="1:6">
      <c r="A914" t="s">
        <v>2047</v>
      </c>
      <c r="B914">
        <v>102</v>
      </c>
      <c r="C914" t="s">
        <v>1136</v>
      </c>
      <c r="D914">
        <v>18588</v>
      </c>
      <c r="E914">
        <v>6891</v>
      </c>
      <c r="F914">
        <v>8182</v>
      </c>
    </row>
    <row r="915" spans="1:6">
      <c r="A915" t="s">
        <v>2048</v>
      </c>
      <c r="B915">
        <v>102</v>
      </c>
      <c r="C915" t="s">
        <v>1138</v>
      </c>
      <c r="D915">
        <v>5577</v>
      </c>
      <c r="E915">
        <v>6891</v>
      </c>
      <c r="F915">
        <v>8182</v>
      </c>
    </row>
    <row r="916" spans="1:6">
      <c r="A916" t="s">
        <v>2049</v>
      </c>
      <c r="B916">
        <v>102</v>
      </c>
      <c r="C916" t="s">
        <v>738</v>
      </c>
      <c r="D916">
        <v>148704</v>
      </c>
      <c r="E916">
        <v>6891</v>
      </c>
      <c r="F916">
        <v>8182</v>
      </c>
    </row>
    <row r="917" spans="1:6">
      <c r="A917" t="s">
        <v>2050</v>
      </c>
      <c r="B917">
        <v>102</v>
      </c>
      <c r="C917" t="s">
        <v>1141</v>
      </c>
      <c r="D917">
        <v>334584</v>
      </c>
      <c r="E917">
        <v>6891</v>
      </c>
      <c r="F917">
        <v>8182</v>
      </c>
    </row>
    <row r="918" spans="1:6">
      <c r="A918" t="s">
        <v>2051</v>
      </c>
      <c r="B918">
        <v>102</v>
      </c>
      <c r="C918" t="s">
        <v>159</v>
      </c>
      <c r="D918">
        <v>3389463</v>
      </c>
      <c r="E918">
        <v>6891</v>
      </c>
      <c r="F918">
        <v>8182</v>
      </c>
    </row>
    <row r="919" spans="1:6">
      <c r="A919" t="s">
        <v>2052</v>
      </c>
      <c r="B919">
        <v>102</v>
      </c>
      <c r="C919" t="s">
        <v>642</v>
      </c>
      <c r="D919">
        <v>1694731</v>
      </c>
      <c r="E919">
        <v>6891</v>
      </c>
      <c r="F919">
        <v>8182</v>
      </c>
    </row>
    <row r="920" spans="1:6">
      <c r="A920" t="s">
        <v>2053</v>
      </c>
      <c r="B920">
        <v>103</v>
      </c>
      <c r="C920" t="s">
        <v>149</v>
      </c>
      <c r="D920">
        <v>37877</v>
      </c>
      <c r="E920">
        <v>7002</v>
      </c>
      <c r="F920">
        <v>8272</v>
      </c>
    </row>
    <row r="921" spans="1:6">
      <c r="A921" t="s">
        <v>2054</v>
      </c>
      <c r="B921">
        <v>103</v>
      </c>
      <c r="C921" t="s">
        <v>1132</v>
      </c>
      <c r="D921">
        <v>113631</v>
      </c>
      <c r="E921">
        <v>7002</v>
      </c>
      <c r="F921">
        <v>8272</v>
      </c>
    </row>
    <row r="922" spans="1:6">
      <c r="A922" t="s">
        <v>2055</v>
      </c>
      <c r="B922">
        <v>103</v>
      </c>
      <c r="C922" t="s">
        <v>1134</v>
      </c>
      <c r="D922">
        <v>68179</v>
      </c>
      <c r="E922">
        <v>7002</v>
      </c>
      <c r="F922">
        <v>8272</v>
      </c>
    </row>
    <row r="923" spans="1:6">
      <c r="A923" t="s">
        <v>2056</v>
      </c>
      <c r="B923">
        <v>103</v>
      </c>
      <c r="C923" t="s">
        <v>1136</v>
      </c>
      <c r="D923">
        <v>18939</v>
      </c>
      <c r="E923">
        <v>7002</v>
      </c>
      <c r="F923">
        <v>8272</v>
      </c>
    </row>
    <row r="924" spans="1:6">
      <c r="A924" t="s">
        <v>2057</v>
      </c>
      <c r="B924">
        <v>103</v>
      </c>
      <c r="C924" t="s">
        <v>1138</v>
      </c>
      <c r="D924">
        <v>5682</v>
      </c>
      <c r="E924">
        <v>7002</v>
      </c>
      <c r="F924">
        <v>8272</v>
      </c>
    </row>
    <row r="925" spans="1:6">
      <c r="A925" t="s">
        <v>2058</v>
      </c>
      <c r="B925">
        <v>103</v>
      </c>
      <c r="C925" t="s">
        <v>738</v>
      </c>
      <c r="D925">
        <v>151508</v>
      </c>
      <c r="E925">
        <v>7002</v>
      </c>
      <c r="F925">
        <v>8272</v>
      </c>
    </row>
    <row r="926" spans="1:6">
      <c r="A926" t="s">
        <v>2059</v>
      </c>
      <c r="B926">
        <v>103</v>
      </c>
      <c r="C926" t="s">
        <v>1141</v>
      </c>
      <c r="D926">
        <v>340893</v>
      </c>
      <c r="E926">
        <v>7002</v>
      </c>
      <c r="F926">
        <v>8272</v>
      </c>
    </row>
    <row r="927" spans="1:6">
      <c r="A927" t="s">
        <v>2060</v>
      </c>
      <c r="B927">
        <v>103</v>
      </c>
      <c r="C927" t="s">
        <v>159</v>
      </c>
      <c r="D927">
        <v>3461299</v>
      </c>
      <c r="E927">
        <v>7002</v>
      </c>
      <c r="F927">
        <v>8272</v>
      </c>
    </row>
    <row r="928" spans="1:6">
      <c r="A928" t="s">
        <v>2061</v>
      </c>
      <c r="B928">
        <v>103</v>
      </c>
      <c r="C928" t="s">
        <v>642</v>
      </c>
      <c r="D928">
        <v>1730649</v>
      </c>
      <c r="E928">
        <v>7002</v>
      </c>
      <c r="F928">
        <v>8272</v>
      </c>
    </row>
    <row r="929" spans="1:6">
      <c r="A929" t="s">
        <v>2062</v>
      </c>
      <c r="B929">
        <v>104</v>
      </c>
      <c r="C929" t="s">
        <v>149</v>
      </c>
      <c r="D929">
        <v>38587</v>
      </c>
      <c r="E929">
        <v>7114</v>
      </c>
      <c r="F929">
        <v>8362</v>
      </c>
    </row>
    <row r="930" spans="1:6">
      <c r="A930" t="s">
        <v>2063</v>
      </c>
      <c r="B930">
        <v>104</v>
      </c>
      <c r="C930" t="s">
        <v>1132</v>
      </c>
      <c r="D930">
        <v>115761</v>
      </c>
      <c r="E930">
        <v>7114</v>
      </c>
      <c r="F930">
        <v>8362</v>
      </c>
    </row>
    <row r="931" spans="1:6">
      <c r="A931" t="s">
        <v>2064</v>
      </c>
      <c r="B931">
        <v>104</v>
      </c>
      <c r="C931" t="s">
        <v>1134</v>
      </c>
      <c r="D931">
        <v>69457</v>
      </c>
      <c r="E931">
        <v>7114</v>
      </c>
      <c r="F931">
        <v>8362</v>
      </c>
    </row>
    <row r="932" spans="1:6">
      <c r="A932" t="s">
        <v>2065</v>
      </c>
      <c r="B932">
        <v>104</v>
      </c>
      <c r="C932" t="s">
        <v>1136</v>
      </c>
      <c r="D932">
        <v>19294</v>
      </c>
      <c r="E932">
        <v>7114</v>
      </c>
      <c r="F932">
        <v>8362</v>
      </c>
    </row>
    <row r="933" spans="1:6">
      <c r="A933" t="s">
        <v>2066</v>
      </c>
      <c r="B933">
        <v>104</v>
      </c>
      <c r="C933" t="s">
        <v>1138</v>
      </c>
      <c r="D933">
        <v>5789</v>
      </c>
      <c r="E933">
        <v>7114</v>
      </c>
      <c r="F933">
        <v>8362</v>
      </c>
    </row>
    <row r="934" spans="1:6">
      <c r="A934" t="s">
        <v>2067</v>
      </c>
      <c r="B934">
        <v>104</v>
      </c>
      <c r="C934" t="s">
        <v>738</v>
      </c>
      <c r="D934">
        <v>154348</v>
      </c>
      <c r="E934">
        <v>7114</v>
      </c>
      <c r="F934">
        <v>8362</v>
      </c>
    </row>
    <row r="935" spans="1:6">
      <c r="A935" t="s">
        <v>2068</v>
      </c>
      <c r="B935">
        <v>104</v>
      </c>
      <c r="C935" t="s">
        <v>1141</v>
      </c>
      <c r="D935">
        <v>347283</v>
      </c>
      <c r="E935">
        <v>7114</v>
      </c>
      <c r="F935">
        <v>8362</v>
      </c>
    </row>
    <row r="936" spans="1:6">
      <c r="A936" t="s">
        <v>2069</v>
      </c>
      <c r="B936">
        <v>104</v>
      </c>
      <c r="C936" t="s">
        <v>159</v>
      </c>
      <c r="D936">
        <v>3534171</v>
      </c>
      <c r="E936">
        <v>7114</v>
      </c>
      <c r="F936">
        <v>8362</v>
      </c>
    </row>
    <row r="937" spans="1:6">
      <c r="A937" t="s">
        <v>2070</v>
      </c>
      <c r="B937">
        <v>104</v>
      </c>
      <c r="C937" t="s">
        <v>642</v>
      </c>
      <c r="D937">
        <v>1767086</v>
      </c>
      <c r="E937">
        <v>7114</v>
      </c>
      <c r="F937">
        <v>8362</v>
      </c>
    </row>
    <row r="938" spans="1:6">
      <c r="A938" t="s">
        <v>2071</v>
      </c>
      <c r="B938">
        <v>105</v>
      </c>
      <c r="C938" t="s">
        <v>149</v>
      </c>
      <c r="D938">
        <v>39306</v>
      </c>
      <c r="E938">
        <v>7228</v>
      </c>
      <c r="F938">
        <v>8452</v>
      </c>
    </row>
    <row r="939" spans="1:6">
      <c r="A939" t="s">
        <v>2072</v>
      </c>
      <c r="B939">
        <v>105</v>
      </c>
      <c r="C939" t="s">
        <v>1132</v>
      </c>
      <c r="D939">
        <v>117918</v>
      </c>
      <c r="E939">
        <v>7228</v>
      </c>
      <c r="F939">
        <v>8452</v>
      </c>
    </row>
    <row r="940" spans="1:6">
      <c r="A940" t="s">
        <v>2073</v>
      </c>
      <c r="B940">
        <v>105</v>
      </c>
      <c r="C940" t="s">
        <v>1134</v>
      </c>
      <c r="D940">
        <v>70751</v>
      </c>
      <c r="E940">
        <v>7228</v>
      </c>
      <c r="F940">
        <v>8452</v>
      </c>
    </row>
    <row r="941" spans="1:6">
      <c r="A941" t="s">
        <v>2074</v>
      </c>
      <c r="B941">
        <v>105</v>
      </c>
      <c r="C941" t="s">
        <v>1136</v>
      </c>
      <c r="D941">
        <v>19653</v>
      </c>
      <c r="E941">
        <v>7228</v>
      </c>
      <c r="F941">
        <v>8452</v>
      </c>
    </row>
    <row r="942" spans="1:6">
      <c r="A942" t="s">
        <v>2075</v>
      </c>
      <c r="B942">
        <v>105</v>
      </c>
      <c r="C942" t="s">
        <v>1138</v>
      </c>
      <c r="D942">
        <v>5896</v>
      </c>
      <c r="E942">
        <v>7228</v>
      </c>
      <c r="F942">
        <v>8452</v>
      </c>
    </row>
    <row r="943" spans="1:6">
      <c r="A943" t="s">
        <v>2076</v>
      </c>
      <c r="B943">
        <v>105</v>
      </c>
      <c r="C943" t="s">
        <v>738</v>
      </c>
      <c r="D943">
        <v>157224</v>
      </c>
      <c r="E943">
        <v>7228</v>
      </c>
      <c r="F943">
        <v>8452</v>
      </c>
    </row>
    <row r="944" spans="1:6">
      <c r="A944" t="s">
        <v>2077</v>
      </c>
      <c r="B944">
        <v>105</v>
      </c>
      <c r="C944" t="s">
        <v>1141</v>
      </c>
      <c r="D944">
        <v>353754</v>
      </c>
      <c r="E944">
        <v>7228</v>
      </c>
      <c r="F944">
        <v>8452</v>
      </c>
    </row>
    <row r="945" spans="1:6">
      <c r="A945" t="s">
        <v>2078</v>
      </c>
      <c r="B945">
        <v>105</v>
      </c>
      <c r="C945" t="s">
        <v>159</v>
      </c>
      <c r="D945">
        <v>3608079</v>
      </c>
      <c r="E945">
        <v>7228</v>
      </c>
      <c r="F945">
        <v>8452</v>
      </c>
    </row>
    <row r="946" spans="1:6">
      <c r="A946" t="s">
        <v>2079</v>
      </c>
      <c r="B946">
        <v>105</v>
      </c>
      <c r="C946" t="s">
        <v>642</v>
      </c>
      <c r="D946">
        <v>1804039</v>
      </c>
      <c r="E946">
        <v>7228</v>
      </c>
      <c r="F946">
        <v>8452</v>
      </c>
    </row>
    <row r="947" spans="1:6">
      <c r="A947" t="s">
        <v>2080</v>
      </c>
      <c r="B947">
        <v>106</v>
      </c>
      <c r="C947" t="s">
        <v>149</v>
      </c>
      <c r="D947">
        <v>40033</v>
      </c>
      <c r="E947">
        <v>7342</v>
      </c>
      <c r="F947">
        <v>8542</v>
      </c>
    </row>
    <row r="948" spans="1:6">
      <c r="A948" t="s">
        <v>2081</v>
      </c>
      <c r="B948">
        <v>106</v>
      </c>
      <c r="C948" t="s">
        <v>1132</v>
      </c>
      <c r="D948">
        <v>120099</v>
      </c>
      <c r="E948">
        <v>7342</v>
      </c>
      <c r="F948">
        <v>8542</v>
      </c>
    </row>
    <row r="949" spans="1:6">
      <c r="A949" t="s">
        <v>2082</v>
      </c>
      <c r="B949">
        <v>106</v>
      </c>
      <c r="C949" t="s">
        <v>1134</v>
      </c>
      <c r="D949">
        <v>72060</v>
      </c>
      <c r="E949">
        <v>7342</v>
      </c>
      <c r="F949">
        <v>8542</v>
      </c>
    </row>
    <row r="950" spans="1:6">
      <c r="A950" t="s">
        <v>2083</v>
      </c>
      <c r="B950">
        <v>106</v>
      </c>
      <c r="C950" t="s">
        <v>1136</v>
      </c>
      <c r="D950">
        <v>20017</v>
      </c>
      <c r="E950">
        <v>7342</v>
      </c>
      <c r="F950">
        <v>8542</v>
      </c>
    </row>
    <row r="951" spans="1:6">
      <c r="A951" t="s">
        <v>2084</v>
      </c>
      <c r="B951">
        <v>106</v>
      </c>
      <c r="C951" t="s">
        <v>1138</v>
      </c>
      <c r="D951">
        <v>6005</v>
      </c>
      <c r="E951">
        <v>7342</v>
      </c>
      <c r="F951">
        <v>8542</v>
      </c>
    </row>
    <row r="952" spans="1:6">
      <c r="A952" t="s">
        <v>2085</v>
      </c>
      <c r="B952">
        <v>106</v>
      </c>
      <c r="C952" t="s">
        <v>738</v>
      </c>
      <c r="D952">
        <v>160132</v>
      </c>
      <c r="E952">
        <v>7342</v>
      </c>
      <c r="F952">
        <v>8542</v>
      </c>
    </row>
    <row r="953" spans="1:6">
      <c r="A953" t="s">
        <v>2086</v>
      </c>
      <c r="B953">
        <v>106</v>
      </c>
      <c r="C953" t="s">
        <v>1141</v>
      </c>
      <c r="D953">
        <v>360297</v>
      </c>
      <c r="E953">
        <v>7342</v>
      </c>
      <c r="F953">
        <v>8542</v>
      </c>
    </row>
    <row r="954" spans="1:6">
      <c r="A954" t="s">
        <v>2087</v>
      </c>
      <c r="B954">
        <v>106</v>
      </c>
      <c r="C954" t="s">
        <v>159</v>
      </c>
      <c r="D954">
        <v>3683022</v>
      </c>
      <c r="E954">
        <v>7342</v>
      </c>
      <c r="F954">
        <v>8542</v>
      </c>
    </row>
    <row r="955" spans="1:6">
      <c r="A955" t="s">
        <v>2088</v>
      </c>
      <c r="B955">
        <v>106</v>
      </c>
      <c r="C955" t="s">
        <v>642</v>
      </c>
      <c r="D955">
        <v>1841511</v>
      </c>
      <c r="E955">
        <v>7342</v>
      </c>
      <c r="F955">
        <v>8542</v>
      </c>
    </row>
    <row r="956" spans="1:6">
      <c r="A956" t="s">
        <v>2089</v>
      </c>
      <c r="B956">
        <v>107</v>
      </c>
      <c r="C956" t="s">
        <v>149</v>
      </c>
      <c r="D956">
        <v>40769</v>
      </c>
      <c r="E956">
        <v>7457</v>
      </c>
      <c r="F956">
        <v>8632</v>
      </c>
    </row>
    <row r="957" spans="1:6">
      <c r="A957" t="s">
        <v>2090</v>
      </c>
      <c r="B957">
        <v>107</v>
      </c>
      <c r="C957" t="s">
        <v>1132</v>
      </c>
      <c r="D957">
        <v>122307</v>
      </c>
      <c r="E957">
        <v>7457</v>
      </c>
      <c r="F957">
        <v>8632</v>
      </c>
    </row>
    <row r="958" spans="1:6">
      <c r="A958" t="s">
        <v>2091</v>
      </c>
      <c r="B958">
        <v>107</v>
      </c>
      <c r="C958" t="s">
        <v>1134</v>
      </c>
      <c r="D958">
        <v>73385</v>
      </c>
      <c r="E958">
        <v>7457</v>
      </c>
      <c r="F958">
        <v>8632</v>
      </c>
    </row>
    <row r="959" spans="1:6">
      <c r="A959" t="s">
        <v>2092</v>
      </c>
      <c r="B959">
        <v>107</v>
      </c>
      <c r="C959" t="s">
        <v>1136</v>
      </c>
      <c r="D959">
        <v>20385</v>
      </c>
      <c r="E959">
        <v>7457</v>
      </c>
      <c r="F959">
        <v>8632</v>
      </c>
    </row>
    <row r="960" spans="1:6">
      <c r="A960" t="s">
        <v>2093</v>
      </c>
      <c r="B960">
        <v>107</v>
      </c>
      <c r="C960" t="s">
        <v>1138</v>
      </c>
      <c r="D960">
        <v>6116</v>
      </c>
      <c r="E960">
        <v>7457</v>
      </c>
      <c r="F960">
        <v>8632</v>
      </c>
    </row>
    <row r="961" spans="1:6">
      <c r="A961" t="s">
        <v>2094</v>
      </c>
      <c r="B961">
        <v>107</v>
      </c>
      <c r="C961" t="s">
        <v>738</v>
      </c>
      <c r="D961">
        <v>163076</v>
      </c>
      <c r="E961">
        <v>7457</v>
      </c>
      <c r="F961">
        <v>8632</v>
      </c>
    </row>
    <row r="962" spans="1:6">
      <c r="A962" t="s">
        <v>2095</v>
      </c>
      <c r="B962">
        <v>107</v>
      </c>
      <c r="C962" t="s">
        <v>1141</v>
      </c>
      <c r="D962">
        <v>366921</v>
      </c>
      <c r="E962">
        <v>7457</v>
      </c>
      <c r="F962">
        <v>8632</v>
      </c>
    </row>
    <row r="963" spans="1:6">
      <c r="A963" t="s">
        <v>2096</v>
      </c>
      <c r="B963">
        <v>107</v>
      </c>
      <c r="C963" t="s">
        <v>159</v>
      </c>
      <c r="D963">
        <v>3759000</v>
      </c>
      <c r="E963">
        <v>7457</v>
      </c>
      <c r="F963">
        <v>8632</v>
      </c>
    </row>
    <row r="964" spans="1:6">
      <c r="A964" t="s">
        <v>2097</v>
      </c>
      <c r="B964">
        <v>107</v>
      </c>
      <c r="C964" t="s">
        <v>642</v>
      </c>
      <c r="D964">
        <v>1879500</v>
      </c>
      <c r="E964">
        <v>7457</v>
      </c>
      <c r="F964">
        <v>8632</v>
      </c>
    </row>
    <row r="965" spans="1:6">
      <c r="A965" t="s">
        <v>2098</v>
      </c>
      <c r="B965">
        <v>108</v>
      </c>
      <c r="C965" t="s">
        <v>149</v>
      </c>
      <c r="D965">
        <v>41514</v>
      </c>
      <c r="E965">
        <v>7573</v>
      </c>
      <c r="F965">
        <v>8723</v>
      </c>
    </row>
    <row r="966" spans="1:6">
      <c r="A966" t="s">
        <v>2099</v>
      </c>
      <c r="B966">
        <v>108</v>
      </c>
      <c r="C966" t="s">
        <v>1132</v>
      </c>
      <c r="D966">
        <v>124542</v>
      </c>
      <c r="E966">
        <v>7573</v>
      </c>
      <c r="F966">
        <v>8723</v>
      </c>
    </row>
    <row r="967" spans="1:6">
      <c r="A967" t="s">
        <v>2100</v>
      </c>
      <c r="B967">
        <v>108</v>
      </c>
      <c r="C967" t="s">
        <v>1134</v>
      </c>
      <c r="D967">
        <v>74726</v>
      </c>
      <c r="E967">
        <v>7573</v>
      </c>
      <c r="F967">
        <v>8723</v>
      </c>
    </row>
    <row r="968" spans="1:6">
      <c r="A968" t="s">
        <v>2101</v>
      </c>
      <c r="B968">
        <v>108</v>
      </c>
      <c r="C968" t="s">
        <v>1136</v>
      </c>
      <c r="D968">
        <v>20757</v>
      </c>
      <c r="E968">
        <v>7573</v>
      </c>
      <c r="F968">
        <v>8723</v>
      </c>
    </row>
    <row r="969" spans="1:6">
      <c r="A969" t="s">
        <v>2102</v>
      </c>
      <c r="B969">
        <v>108</v>
      </c>
      <c r="C969" t="s">
        <v>1138</v>
      </c>
      <c r="D969">
        <v>6228</v>
      </c>
      <c r="E969">
        <v>7573</v>
      </c>
      <c r="F969">
        <v>8723</v>
      </c>
    </row>
    <row r="970" spans="1:6">
      <c r="A970" t="s">
        <v>2103</v>
      </c>
      <c r="B970">
        <v>108</v>
      </c>
      <c r="C970" t="s">
        <v>738</v>
      </c>
      <c r="D970">
        <v>166056</v>
      </c>
      <c r="E970">
        <v>7573</v>
      </c>
      <c r="F970">
        <v>8723</v>
      </c>
    </row>
    <row r="971" spans="1:6">
      <c r="A971" t="s">
        <v>2104</v>
      </c>
      <c r="B971">
        <v>108</v>
      </c>
      <c r="C971" t="s">
        <v>1141</v>
      </c>
      <c r="D971">
        <v>373626</v>
      </c>
      <c r="E971">
        <v>7573</v>
      </c>
      <c r="F971">
        <v>8723</v>
      </c>
    </row>
    <row r="972" spans="1:6">
      <c r="A972" t="s">
        <v>2105</v>
      </c>
      <c r="B972">
        <v>108</v>
      </c>
      <c r="C972" t="s">
        <v>159</v>
      </c>
      <c r="D972">
        <v>3836133</v>
      </c>
      <c r="E972">
        <v>7573</v>
      </c>
      <c r="F972">
        <v>8723</v>
      </c>
    </row>
    <row r="973" spans="1:6">
      <c r="A973" t="s">
        <v>2106</v>
      </c>
      <c r="B973">
        <v>108</v>
      </c>
      <c r="C973" t="s">
        <v>642</v>
      </c>
      <c r="D973">
        <v>1918067</v>
      </c>
      <c r="E973">
        <v>7573</v>
      </c>
      <c r="F973">
        <v>8723</v>
      </c>
    </row>
    <row r="974" spans="1:6">
      <c r="A974" t="s">
        <v>2107</v>
      </c>
      <c r="B974">
        <v>109</v>
      </c>
      <c r="C974" t="s">
        <v>149</v>
      </c>
      <c r="D974">
        <v>42269</v>
      </c>
      <c r="E974">
        <v>7690</v>
      </c>
      <c r="F974">
        <v>8814</v>
      </c>
    </row>
    <row r="975" spans="1:6">
      <c r="A975" t="s">
        <v>2108</v>
      </c>
      <c r="B975">
        <v>109</v>
      </c>
      <c r="C975" t="s">
        <v>1132</v>
      </c>
      <c r="D975">
        <v>126807</v>
      </c>
      <c r="E975">
        <v>7690</v>
      </c>
      <c r="F975">
        <v>8814</v>
      </c>
    </row>
    <row r="976" spans="1:6">
      <c r="A976" t="s">
        <v>2109</v>
      </c>
      <c r="B976">
        <v>109</v>
      </c>
      <c r="C976" t="s">
        <v>1134</v>
      </c>
      <c r="D976">
        <v>76085</v>
      </c>
      <c r="E976">
        <v>7690</v>
      </c>
      <c r="F976">
        <v>8814</v>
      </c>
    </row>
    <row r="977" spans="1:6">
      <c r="A977" t="s">
        <v>2110</v>
      </c>
      <c r="B977">
        <v>109</v>
      </c>
      <c r="C977" t="s">
        <v>1136</v>
      </c>
      <c r="D977">
        <v>21135</v>
      </c>
      <c r="E977">
        <v>7690</v>
      </c>
      <c r="F977">
        <v>8814</v>
      </c>
    </row>
    <row r="978" spans="1:6">
      <c r="A978" t="s">
        <v>2111</v>
      </c>
      <c r="B978">
        <v>109</v>
      </c>
      <c r="C978" t="s">
        <v>1138</v>
      </c>
      <c r="D978">
        <v>6341</v>
      </c>
      <c r="E978">
        <v>7690</v>
      </c>
      <c r="F978">
        <v>8814</v>
      </c>
    </row>
    <row r="979" spans="1:6">
      <c r="A979" t="s">
        <v>2112</v>
      </c>
      <c r="B979">
        <v>109</v>
      </c>
      <c r="C979" t="s">
        <v>738</v>
      </c>
      <c r="D979">
        <v>169076</v>
      </c>
      <c r="E979">
        <v>7690</v>
      </c>
      <c r="F979">
        <v>8814</v>
      </c>
    </row>
    <row r="980" spans="1:6">
      <c r="A980" t="s">
        <v>2113</v>
      </c>
      <c r="B980">
        <v>109</v>
      </c>
      <c r="C980" t="s">
        <v>1141</v>
      </c>
      <c r="D980">
        <v>380421</v>
      </c>
      <c r="E980">
        <v>7690</v>
      </c>
      <c r="F980">
        <v>8814</v>
      </c>
    </row>
    <row r="981" spans="1:6">
      <c r="A981" t="s">
        <v>2114</v>
      </c>
      <c r="B981">
        <v>109</v>
      </c>
      <c r="C981" t="s">
        <v>159</v>
      </c>
      <c r="D981">
        <v>3914301</v>
      </c>
      <c r="E981">
        <v>7690</v>
      </c>
      <c r="F981">
        <v>8814</v>
      </c>
    </row>
    <row r="982" spans="1:6">
      <c r="A982" t="s">
        <v>2115</v>
      </c>
      <c r="B982">
        <v>109</v>
      </c>
      <c r="C982" t="s">
        <v>642</v>
      </c>
      <c r="D982">
        <v>1957151</v>
      </c>
      <c r="E982">
        <v>7690</v>
      </c>
      <c r="F982">
        <v>8814</v>
      </c>
    </row>
    <row r="983" spans="1:6">
      <c r="A983" t="s">
        <v>2116</v>
      </c>
      <c r="B983">
        <v>110</v>
      </c>
      <c r="C983" t="s">
        <v>149</v>
      </c>
      <c r="D983">
        <v>43032</v>
      </c>
      <c r="E983">
        <v>7808</v>
      </c>
      <c r="F983">
        <v>8905</v>
      </c>
    </row>
    <row r="984" spans="1:6">
      <c r="A984" t="s">
        <v>2117</v>
      </c>
      <c r="B984">
        <v>110</v>
      </c>
      <c r="C984" t="s">
        <v>1132</v>
      </c>
      <c r="D984">
        <v>129096</v>
      </c>
      <c r="E984">
        <v>7808</v>
      </c>
      <c r="F984">
        <v>8905</v>
      </c>
    </row>
    <row r="985" spans="1:6">
      <c r="A985" t="s">
        <v>2118</v>
      </c>
      <c r="B985">
        <v>110</v>
      </c>
      <c r="C985" t="s">
        <v>1134</v>
      </c>
      <c r="D985">
        <v>77458</v>
      </c>
      <c r="E985">
        <v>7808</v>
      </c>
      <c r="F985">
        <v>8905</v>
      </c>
    </row>
    <row r="986" spans="1:6">
      <c r="A986" t="s">
        <v>2119</v>
      </c>
      <c r="B986">
        <v>110</v>
      </c>
      <c r="C986" t="s">
        <v>1136</v>
      </c>
      <c r="D986">
        <v>21516</v>
      </c>
      <c r="E986">
        <v>7808</v>
      </c>
      <c r="F986">
        <v>8905</v>
      </c>
    </row>
    <row r="987" spans="1:6">
      <c r="A987" t="s">
        <v>2120</v>
      </c>
      <c r="B987">
        <v>110</v>
      </c>
      <c r="C987" t="s">
        <v>1138</v>
      </c>
      <c r="D987">
        <v>6455</v>
      </c>
      <c r="E987">
        <v>7808</v>
      </c>
      <c r="F987">
        <v>8905</v>
      </c>
    </row>
    <row r="988" spans="1:6">
      <c r="A988" t="s">
        <v>2121</v>
      </c>
      <c r="B988">
        <v>110</v>
      </c>
      <c r="C988" t="s">
        <v>738</v>
      </c>
      <c r="D988">
        <v>172128</v>
      </c>
      <c r="E988">
        <v>7808</v>
      </c>
      <c r="F988">
        <v>8905</v>
      </c>
    </row>
    <row r="989" spans="1:6">
      <c r="A989" t="s">
        <v>2122</v>
      </c>
      <c r="B989">
        <v>110</v>
      </c>
      <c r="C989" t="s">
        <v>1141</v>
      </c>
      <c r="D989">
        <v>387288</v>
      </c>
      <c r="E989">
        <v>7808</v>
      </c>
      <c r="F989">
        <v>8905</v>
      </c>
    </row>
    <row r="990" spans="1:6">
      <c r="A990" t="s">
        <v>2123</v>
      </c>
      <c r="B990">
        <v>110</v>
      </c>
      <c r="C990" t="s">
        <v>159</v>
      </c>
      <c r="D990">
        <v>3993503</v>
      </c>
      <c r="E990">
        <v>7808</v>
      </c>
      <c r="F990">
        <v>8905</v>
      </c>
    </row>
    <row r="991" spans="1:6">
      <c r="A991" t="s">
        <v>2124</v>
      </c>
      <c r="B991">
        <v>110</v>
      </c>
      <c r="C991" t="s">
        <v>642</v>
      </c>
      <c r="D991">
        <v>1996752</v>
      </c>
      <c r="E991">
        <v>7808</v>
      </c>
      <c r="F991">
        <v>8905</v>
      </c>
    </row>
    <row r="992" spans="1:6">
      <c r="A992" t="s">
        <v>2125</v>
      </c>
      <c r="B992">
        <v>111</v>
      </c>
      <c r="C992" t="s">
        <v>149</v>
      </c>
      <c r="D992">
        <v>43804</v>
      </c>
      <c r="E992">
        <v>7927</v>
      </c>
      <c r="F992">
        <v>8996</v>
      </c>
    </row>
    <row r="993" spans="1:6">
      <c r="A993" t="s">
        <v>2126</v>
      </c>
      <c r="B993">
        <v>111</v>
      </c>
      <c r="C993" t="s">
        <v>1132</v>
      </c>
      <c r="D993">
        <v>131412</v>
      </c>
      <c r="E993">
        <v>7927</v>
      </c>
      <c r="F993">
        <v>8996</v>
      </c>
    </row>
    <row r="994" spans="1:6">
      <c r="A994" t="s">
        <v>2127</v>
      </c>
      <c r="B994">
        <v>111</v>
      </c>
      <c r="C994" t="s">
        <v>1134</v>
      </c>
      <c r="D994">
        <v>78848</v>
      </c>
      <c r="E994">
        <v>7927</v>
      </c>
      <c r="F994">
        <v>8996</v>
      </c>
    </row>
    <row r="995" spans="1:6">
      <c r="A995" t="s">
        <v>2128</v>
      </c>
      <c r="B995">
        <v>111</v>
      </c>
      <c r="C995" t="s">
        <v>1136</v>
      </c>
      <c r="D995">
        <v>21902</v>
      </c>
      <c r="E995">
        <v>7927</v>
      </c>
      <c r="F995">
        <v>8996</v>
      </c>
    </row>
    <row r="996" spans="1:6">
      <c r="A996" t="s">
        <v>2129</v>
      </c>
      <c r="B996">
        <v>111</v>
      </c>
      <c r="C996" t="s">
        <v>1138</v>
      </c>
      <c r="D996">
        <v>6571</v>
      </c>
      <c r="E996">
        <v>7927</v>
      </c>
      <c r="F996">
        <v>8996</v>
      </c>
    </row>
    <row r="997" spans="1:6">
      <c r="A997" t="s">
        <v>2130</v>
      </c>
      <c r="B997">
        <v>111</v>
      </c>
      <c r="C997" t="s">
        <v>738</v>
      </c>
      <c r="D997">
        <v>175216</v>
      </c>
      <c r="E997">
        <v>7927</v>
      </c>
      <c r="F997">
        <v>8996</v>
      </c>
    </row>
    <row r="998" spans="1:6">
      <c r="A998" t="s">
        <v>2131</v>
      </c>
      <c r="B998">
        <v>111</v>
      </c>
      <c r="C998" t="s">
        <v>1141</v>
      </c>
      <c r="D998">
        <v>394236</v>
      </c>
      <c r="E998">
        <v>7927</v>
      </c>
      <c r="F998">
        <v>8996</v>
      </c>
    </row>
    <row r="999" spans="1:6">
      <c r="A999" t="s">
        <v>2132</v>
      </c>
      <c r="B999">
        <v>111</v>
      </c>
      <c r="C999" t="s">
        <v>159</v>
      </c>
      <c r="D999">
        <v>4073860</v>
      </c>
      <c r="E999">
        <v>7927</v>
      </c>
      <c r="F999">
        <v>8996</v>
      </c>
    </row>
    <row r="1000" spans="1:6">
      <c r="A1000" t="s">
        <v>2133</v>
      </c>
      <c r="B1000">
        <v>111</v>
      </c>
      <c r="C1000" t="s">
        <v>642</v>
      </c>
      <c r="D1000">
        <v>2036930</v>
      </c>
      <c r="E1000">
        <v>7927</v>
      </c>
      <c r="F1000">
        <v>8996</v>
      </c>
    </row>
    <row r="1001" spans="1:6">
      <c r="A1001" t="s">
        <v>2134</v>
      </c>
      <c r="B1001">
        <v>112</v>
      </c>
      <c r="C1001" t="s">
        <v>149</v>
      </c>
      <c r="D1001">
        <v>44586</v>
      </c>
      <c r="E1001">
        <v>8048</v>
      </c>
      <c r="F1001">
        <v>9087</v>
      </c>
    </row>
    <row r="1002" spans="1:6">
      <c r="A1002" t="s">
        <v>2135</v>
      </c>
      <c r="B1002">
        <v>112</v>
      </c>
      <c r="C1002" t="s">
        <v>1132</v>
      </c>
      <c r="D1002">
        <v>133758</v>
      </c>
      <c r="E1002">
        <v>8048</v>
      </c>
      <c r="F1002">
        <v>9087</v>
      </c>
    </row>
    <row r="1003" spans="1:6">
      <c r="A1003" t="s">
        <v>2136</v>
      </c>
      <c r="B1003">
        <v>112</v>
      </c>
      <c r="C1003" t="s">
        <v>1134</v>
      </c>
      <c r="D1003">
        <v>80255</v>
      </c>
      <c r="E1003">
        <v>8048</v>
      </c>
      <c r="F1003">
        <v>9087</v>
      </c>
    </row>
    <row r="1004" spans="1:6">
      <c r="A1004" t="s">
        <v>2137</v>
      </c>
      <c r="B1004">
        <v>112</v>
      </c>
      <c r="C1004" t="s">
        <v>1136</v>
      </c>
      <c r="D1004">
        <v>22293</v>
      </c>
      <c r="E1004">
        <v>8048</v>
      </c>
      <c r="F1004">
        <v>9087</v>
      </c>
    </row>
    <row r="1005" spans="1:6">
      <c r="A1005" t="s">
        <v>2138</v>
      </c>
      <c r="B1005">
        <v>112</v>
      </c>
      <c r="C1005" t="s">
        <v>1138</v>
      </c>
      <c r="D1005">
        <v>6688</v>
      </c>
      <c r="E1005">
        <v>8048</v>
      </c>
      <c r="F1005">
        <v>9087</v>
      </c>
    </row>
    <row r="1006" spans="1:6">
      <c r="A1006" t="s">
        <v>2139</v>
      </c>
      <c r="B1006">
        <v>112</v>
      </c>
      <c r="C1006" t="s">
        <v>738</v>
      </c>
      <c r="D1006">
        <v>178344</v>
      </c>
      <c r="E1006">
        <v>8048</v>
      </c>
      <c r="F1006">
        <v>9087</v>
      </c>
    </row>
    <row r="1007" spans="1:6">
      <c r="A1007" t="s">
        <v>2140</v>
      </c>
      <c r="B1007">
        <v>112</v>
      </c>
      <c r="C1007" t="s">
        <v>1141</v>
      </c>
      <c r="D1007">
        <v>401274</v>
      </c>
      <c r="E1007">
        <v>8048</v>
      </c>
      <c r="F1007">
        <v>9087</v>
      </c>
    </row>
    <row r="1008" spans="1:6">
      <c r="A1008" t="s">
        <v>2141</v>
      </c>
      <c r="B1008">
        <v>112</v>
      </c>
      <c r="C1008" t="s">
        <v>159</v>
      </c>
      <c r="D1008">
        <v>4155310</v>
      </c>
      <c r="E1008">
        <v>8048</v>
      </c>
      <c r="F1008">
        <v>9087</v>
      </c>
    </row>
    <row r="1009" spans="1:6">
      <c r="A1009" t="s">
        <v>2142</v>
      </c>
      <c r="B1009">
        <v>112</v>
      </c>
      <c r="C1009" t="s">
        <v>642</v>
      </c>
      <c r="D1009">
        <v>2077655</v>
      </c>
      <c r="E1009">
        <v>8048</v>
      </c>
      <c r="F1009">
        <v>9087</v>
      </c>
    </row>
    <row r="1010" spans="1:6">
      <c r="A1010" t="s">
        <v>2143</v>
      </c>
      <c r="B1010">
        <v>113</v>
      </c>
      <c r="C1010" t="s">
        <v>149</v>
      </c>
      <c r="D1010">
        <v>45377</v>
      </c>
      <c r="E1010">
        <v>8169</v>
      </c>
      <c r="F1010">
        <v>9179</v>
      </c>
    </row>
    <row r="1011" spans="1:6">
      <c r="A1011" t="s">
        <v>2144</v>
      </c>
      <c r="B1011">
        <v>113</v>
      </c>
      <c r="C1011" t="s">
        <v>1132</v>
      </c>
      <c r="D1011">
        <v>136131</v>
      </c>
      <c r="E1011">
        <v>8169</v>
      </c>
      <c r="F1011">
        <v>9179</v>
      </c>
    </row>
    <row r="1012" spans="1:6">
      <c r="A1012" t="s">
        <v>2145</v>
      </c>
      <c r="B1012">
        <v>113</v>
      </c>
      <c r="C1012" t="s">
        <v>1134</v>
      </c>
      <c r="D1012">
        <v>81679</v>
      </c>
      <c r="E1012">
        <v>8169</v>
      </c>
      <c r="F1012">
        <v>9179</v>
      </c>
    </row>
    <row r="1013" spans="1:6">
      <c r="A1013" t="s">
        <v>2146</v>
      </c>
      <c r="B1013">
        <v>113</v>
      </c>
      <c r="C1013" t="s">
        <v>1136</v>
      </c>
      <c r="D1013">
        <v>22689</v>
      </c>
      <c r="E1013">
        <v>8169</v>
      </c>
      <c r="F1013">
        <v>9179</v>
      </c>
    </row>
    <row r="1014" spans="1:6">
      <c r="A1014" t="s">
        <v>2147</v>
      </c>
      <c r="B1014">
        <v>113</v>
      </c>
      <c r="C1014" t="s">
        <v>1138</v>
      </c>
      <c r="D1014">
        <v>6807</v>
      </c>
      <c r="E1014">
        <v>8169</v>
      </c>
      <c r="F1014">
        <v>9179</v>
      </c>
    </row>
    <row r="1015" spans="1:6">
      <c r="A1015" t="s">
        <v>2148</v>
      </c>
      <c r="B1015">
        <v>113</v>
      </c>
      <c r="C1015" t="s">
        <v>738</v>
      </c>
      <c r="D1015">
        <v>181508</v>
      </c>
      <c r="E1015">
        <v>8169</v>
      </c>
      <c r="F1015">
        <v>9179</v>
      </c>
    </row>
    <row r="1016" spans="1:6">
      <c r="A1016" t="s">
        <v>2149</v>
      </c>
      <c r="B1016">
        <v>113</v>
      </c>
      <c r="C1016" t="s">
        <v>1141</v>
      </c>
      <c r="D1016">
        <v>408393</v>
      </c>
      <c r="E1016">
        <v>8169</v>
      </c>
      <c r="F1016">
        <v>9179</v>
      </c>
    </row>
    <row r="1017" spans="1:6">
      <c r="A1017" t="s">
        <v>2150</v>
      </c>
      <c r="B1017">
        <v>113</v>
      </c>
      <c r="C1017" t="s">
        <v>159</v>
      </c>
      <c r="D1017">
        <v>4237854</v>
      </c>
      <c r="E1017">
        <v>8169</v>
      </c>
      <c r="F1017">
        <v>9179</v>
      </c>
    </row>
    <row r="1018" spans="1:6">
      <c r="A1018" t="s">
        <v>2151</v>
      </c>
      <c r="B1018">
        <v>113</v>
      </c>
      <c r="C1018" t="s">
        <v>642</v>
      </c>
      <c r="D1018">
        <v>2118927</v>
      </c>
      <c r="E1018">
        <v>8169</v>
      </c>
      <c r="F1018">
        <v>9179</v>
      </c>
    </row>
    <row r="1019" spans="1:6">
      <c r="A1019" t="s">
        <v>2152</v>
      </c>
      <c r="B1019">
        <v>114</v>
      </c>
      <c r="C1019" t="s">
        <v>149</v>
      </c>
      <c r="D1019">
        <v>46177</v>
      </c>
      <c r="E1019">
        <v>8291</v>
      </c>
      <c r="F1019">
        <v>9271</v>
      </c>
    </row>
    <row r="1020" spans="1:6">
      <c r="A1020" t="s">
        <v>2153</v>
      </c>
      <c r="B1020">
        <v>114</v>
      </c>
      <c r="C1020" t="s">
        <v>1132</v>
      </c>
      <c r="D1020">
        <v>138531</v>
      </c>
      <c r="E1020">
        <v>8291</v>
      </c>
      <c r="F1020">
        <v>9271</v>
      </c>
    </row>
    <row r="1021" spans="1:6">
      <c r="A1021" t="s">
        <v>2154</v>
      </c>
      <c r="B1021">
        <v>114</v>
      </c>
      <c r="C1021" t="s">
        <v>1134</v>
      </c>
      <c r="D1021">
        <v>83119</v>
      </c>
      <c r="E1021">
        <v>8291</v>
      </c>
      <c r="F1021">
        <v>9271</v>
      </c>
    </row>
    <row r="1022" spans="1:6">
      <c r="A1022" t="s">
        <v>2155</v>
      </c>
      <c r="B1022">
        <v>114</v>
      </c>
      <c r="C1022" t="s">
        <v>1136</v>
      </c>
      <c r="D1022">
        <v>23089</v>
      </c>
      <c r="E1022">
        <v>8291</v>
      </c>
      <c r="F1022">
        <v>9271</v>
      </c>
    </row>
    <row r="1023" spans="1:6">
      <c r="A1023" t="s">
        <v>2156</v>
      </c>
      <c r="B1023">
        <v>114</v>
      </c>
      <c r="C1023" t="s">
        <v>1138</v>
      </c>
      <c r="D1023">
        <v>6927</v>
      </c>
      <c r="E1023">
        <v>8291</v>
      </c>
      <c r="F1023">
        <v>9271</v>
      </c>
    </row>
    <row r="1024" spans="1:6">
      <c r="A1024" t="s">
        <v>2157</v>
      </c>
      <c r="B1024">
        <v>114</v>
      </c>
      <c r="C1024" t="s">
        <v>738</v>
      </c>
      <c r="D1024">
        <v>184708</v>
      </c>
      <c r="E1024">
        <v>8291</v>
      </c>
      <c r="F1024">
        <v>9271</v>
      </c>
    </row>
    <row r="1025" spans="1:6">
      <c r="A1025" t="s">
        <v>2158</v>
      </c>
      <c r="B1025">
        <v>114</v>
      </c>
      <c r="C1025" t="s">
        <v>1141</v>
      </c>
      <c r="D1025">
        <v>415593</v>
      </c>
      <c r="E1025">
        <v>8291</v>
      </c>
      <c r="F1025">
        <v>9271</v>
      </c>
    </row>
    <row r="1026" spans="1:6">
      <c r="A1026" t="s">
        <v>2159</v>
      </c>
      <c r="B1026">
        <v>114</v>
      </c>
      <c r="C1026" t="s">
        <v>159</v>
      </c>
      <c r="D1026">
        <v>4321552</v>
      </c>
      <c r="E1026">
        <v>8291</v>
      </c>
      <c r="F1026">
        <v>9271</v>
      </c>
    </row>
    <row r="1027" spans="1:6">
      <c r="A1027" t="s">
        <v>2160</v>
      </c>
      <c r="B1027">
        <v>114</v>
      </c>
      <c r="C1027" t="s">
        <v>642</v>
      </c>
      <c r="D1027">
        <v>2160776</v>
      </c>
      <c r="E1027">
        <v>8291</v>
      </c>
      <c r="F1027">
        <v>9271</v>
      </c>
    </row>
    <row r="1028" spans="1:6">
      <c r="A1028" t="s">
        <v>2161</v>
      </c>
      <c r="B1028">
        <v>115</v>
      </c>
      <c r="C1028" t="s">
        <v>149</v>
      </c>
      <c r="D1028">
        <v>46987</v>
      </c>
      <c r="E1028">
        <v>8414</v>
      </c>
      <c r="F1028">
        <v>9363</v>
      </c>
    </row>
    <row r="1029" spans="1:6">
      <c r="A1029" t="s">
        <v>2162</v>
      </c>
      <c r="B1029">
        <v>115</v>
      </c>
      <c r="C1029" t="s">
        <v>1132</v>
      </c>
      <c r="D1029">
        <v>140961</v>
      </c>
      <c r="E1029">
        <v>8414</v>
      </c>
      <c r="F1029">
        <v>9363</v>
      </c>
    </row>
    <row r="1030" spans="1:6">
      <c r="A1030" t="s">
        <v>2163</v>
      </c>
      <c r="B1030">
        <v>115</v>
      </c>
      <c r="C1030" t="s">
        <v>1134</v>
      </c>
      <c r="D1030">
        <v>84577</v>
      </c>
      <c r="E1030">
        <v>8414</v>
      </c>
      <c r="F1030">
        <v>9363</v>
      </c>
    </row>
    <row r="1031" spans="1:6">
      <c r="A1031" t="s">
        <v>2164</v>
      </c>
      <c r="B1031">
        <v>115</v>
      </c>
      <c r="C1031" t="s">
        <v>1136</v>
      </c>
      <c r="D1031">
        <v>23494</v>
      </c>
      <c r="E1031">
        <v>8414</v>
      </c>
      <c r="F1031">
        <v>9363</v>
      </c>
    </row>
    <row r="1032" spans="1:6">
      <c r="A1032" t="s">
        <v>2165</v>
      </c>
      <c r="B1032">
        <v>115</v>
      </c>
      <c r="C1032" t="s">
        <v>1138</v>
      </c>
      <c r="D1032">
        <v>7049</v>
      </c>
      <c r="E1032">
        <v>8414</v>
      </c>
      <c r="F1032">
        <v>9363</v>
      </c>
    </row>
    <row r="1033" spans="1:6">
      <c r="A1033" t="s">
        <v>2166</v>
      </c>
      <c r="B1033">
        <v>115</v>
      </c>
      <c r="C1033" t="s">
        <v>738</v>
      </c>
      <c r="D1033">
        <v>187948</v>
      </c>
      <c r="E1033">
        <v>8414</v>
      </c>
      <c r="F1033">
        <v>9363</v>
      </c>
    </row>
    <row r="1034" spans="1:6">
      <c r="A1034" t="s">
        <v>2167</v>
      </c>
      <c r="B1034">
        <v>115</v>
      </c>
      <c r="C1034" t="s">
        <v>1141</v>
      </c>
      <c r="D1034">
        <v>422883</v>
      </c>
      <c r="E1034">
        <v>8414</v>
      </c>
      <c r="F1034">
        <v>9363</v>
      </c>
    </row>
    <row r="1035" spans="1:6">
      <c r="A1035" t="s">
        <v>2168</v>
      </c>
      <c r="B1035">
        <v>115</v>
      </c>
      <c r="C1035" t="s">
        <v>159</v>
      </c>
      <c r="D1035">
        <v>4406403</v>
      </c>
      <c r="E1035">
        <v>8414</v>
      </c>
      <c r="F1035">
        <v>9363</v>
      </c>
    </row>
    <row r="1036" spans="1:6">
      <c r="A1036" t="s">
        <v>2169</v>
      </c>
      <c r="B1036">
        <v>115</v>
      </c>
      <c r="C1036" t="s">
        <v>642</v>
      </c>
      <c r="D1036">
        <v>2203201</v>
      </c>
      <c r="E1036">
        <v>8414</v>
      </c>
      <c r="F1036">
        <v>9363</v>
      </c>
    </row>
    <row r="1037" spans="1:6">
      <c r="A1037" t="s">
        <v>2170</v>
      </c>
      <c r="B1037">
        <v>116</v>
      </c>
      <c r="C1037" t="s">
        <v>149</v>
      </c>
      <c r="D1037">
        <v>47807</v>
      </c>
      <c r="E1037">
        <v>8539</v>
      </c>
      <c r="F1037">
        <v>9455</v>
      </c>
    </row>
    <row r="1038" spans="1:6">
      <c r="A1038" t="s">
        <v>2171</v>
      </c>
      <c r="B1038">
        <v>116</v>
      </c>
      <c r="C1038" t="s">
        <v>1132</v>
      </c>
      <c r="D1038">
        <v>143421</v>
      </c>
      <c r="E1038">
        <v>8539</v>
      </c>
      <c r="F1038">
        <v>9455</v>
      </c>
    </row>
    <row r="1039" spans="1:6">
      <c r="A1039" t="s">
        <v>2172</v>
      </c>
      <c r="B1039">
        <v>116</v>
      </c>
      <c r="C1039" t="s">
        <v>1134</v>
      </c>
      <c r="D1039">
        <v>86053</v>
      </c>
      <c r="E1039">
        <v>8539</v>
      </c>
      <c r="F1039">
        <v>9455</v>
      </c>
    </row>
    <row r="1040" spans="1:6">
      <c r="A1040" t="s">
        <v>2173</v>
      </c>
      <c r="B1040">
        <v>116</v>
      </c>
      <c r="C1040" t="s">
        <v>1136</v>
      </c>
      <c r="D1040">
        <v>23904</v>
      </c>
      <c r="E1040">
        <v>8539</v>
      </c>
      <c r="F1040">
        <v>9455</v>
      </c>
    </row>
    <row r="1041" spans="1:6">
      <c r="A1041" t="s">
        <v>2174</v>
      </c>
      <c r="B1041">
        <v>116</v>
      </c>
      <c r="C1041" t="s">
        <v>1138</v>
      </c>
      <c r="D1041">
        <v>7172</v>
      </c>
      <c r="E1041">
        <v>8539</v>
      </c>
      <c r="F1041">
        <v>9455</v>
      </c>
    </row>
    <row r="1042" spans="1:6">
      <c r="A1042" t="s">
        <v>2175</v>
      </c>
      <c r="B1042">
        <v>116</v>
      </c>
      <c r="C1042" t="s">
        <v>738</v>
      </c>
      <c r="D1042">
        <v>191228</v>
      </c>
      <c r="E1042">
        <v>8539</v>
      </c>
      <c r="F1042">
        <v>9455</v>
      </c>
    </row>
    <row r="1043" spans="1:6">
      <c r="A1043" t="s">
        <v>2176</v>
      </c>
      <c r="B1043">
        <v>116</v>
      </c>
      <c r="C1043" t="s">
        <v>1141</v>
      </c>
      <c r="D1043">
        <v>430263</v>
      </c>
      <c r="E1043">
        <v>8539</v>
      </c>
      <c r="F1043">
        <v>9455</v>
      </c>
    </row>
    <row r="1044" spans="1:6">
      <c r="A1044" t="s">
        <v>2177</v>
      </c>
      <c r="B1044">
        <v>116</v>
      </c>
      <c r="C1044" t="s">
        <v>159</v>
      </c>
      <c r="D1044">
        <v>4492346</v>
      </c>
      <c r="E1044">
        <v>8539</v>
      </c>
      <c r="F1044">
        <v>9455</v>
      </c>
    </row>
    <row r="1045" spans="1:6">
      <c r="A1045" t="s">
        <v>2178</v>
      </c>
      <c r="B1045">
        <v>116</v>
      </c>
      <c r="C1045" t="s">
        <v>642</v>
      </c>
      <c r="D1045">
        <v>2246173</v>
      </c>
      <c r="E1045">
        <v>8539</v>
      </c>
      <c r="F1045">
        <v>9455</v>
      </c>
    </row>
    <row r="1046" spans="1:6">
      <c r="A1046" t="s">
        <v>2179</v>
      </c>
      <c r="B1046">
        <v>117</v>
      </c>
      <c r="C1046" t="s">
        <v>149</v>
      </c>
      <c r="D1046">
        <v>48636</v>
      </c>
      <c r="E1046">
        <v>8664</v>
      </c>
      <c r="F1046">
        <v>9547</v>
      </c>
    </row>
    <row r="1047" spans="1:6">
      <c r="A1047" t="s">
        <v>2180</v>
      </c>
      <c r="B1047">
        <v>117</v>
      </c>
      <c r="C1047" t="s">
        <v>1132</v>
      </c>
      <c r="D1047">
        <v>145908</v>
      </c>
      <c r="E1047">
        <v>8664</v>
      </c>
      <c r="F1047">
        <v>9547</v>
      </c>
    </row>
    <row r="1048" spans="1:6">
      <c r="A1048" t="s">
        <v>2181</v>
      </c>
      <c r="B1048">
        <v>117</v>
      </c>
      <c r="C1048" t="s">
        <v>1134</v>
      </c>
      <c r="D1048">
        <v>87545</v>
      </c>
      <c r="E1048">
        <v>8664</v>
      </c>
      <c r="F1048">
        <v>9547</v>
      </c>
    </row>
    <row r="1049" spans="1:6">
      <c r="A1049" t="s">
        <v>2182</v>
      </c>
      <c r="B1049">
        <v>117</v>
      </c>
      <c r="C1049" t="s">
        <v>1136</v>
      </c>
      <c r="D1049">
        <v>24318</v>
      </c>
      <c r="E1049">
        <v>8664</v>
      </c>
      <c r="F1049">
        <v>9547</v>
      </c>
    </row>
    <row r="1050" spans="1:6">
      <c r="A1050" t="s">
        <v>2183</v>
      </c>
      <c r="B1050">
        <v>117</v>
      </c>
      <c r="C1050" t="s">
        <v>1138</v>
      </c>
      <c r="D1050">
        <v>7296</v>
      </c>
      <c r="E1050">
        <v>8664</v>
      </c>
      <c r="F1050">
        <v>9547</v>
      </c>
    </row>
    <row r="1051" spans="1:6">
      <c r="A1051" t="s">
        <v>2184</v>
      </c>
      <c r="B1051">
        <v>117</v>
      </c>
      <c r="C1051" t="s">
        <v>738</v>
      </c>
      <c r="D1051">
        <v>194544</v>
      </c>
      <c r="E1051">
        <v>8664</v>
      </c>
      <c r="F1051">
        <v>9547</v>
      </c>
    </row>
    <row r="1052" spans="1:6">
      <c r="A1052" t="s">
        <v>2185</v>
      </c>
      <c r="B1052">
        <v>117</v>
      </c>
      <c r="C1052" t="s">
        <v>1141</v>
      </c>
      <c r="D1052">
        <v>437724</v>
      </c>
      <c r="E1052">
        <v>8664</v>
      </c>
      <c r="F1052">
        <v>9547</v>
      </c>
    </row>
    <row r="1053" spans="1:6">
      <c r="A1053" t="s">
        <v>2186</v>
      </c>
      <c r="B1053">
        <v>117</v>
      </c>
      <c r="C1053" t="s">
        <v>159</v>
      </c>
      <c r="D1053">
        <v>4579442</v>
      </c>
      <c r="E1053">
        <v>8664</v>
      </c>
      <c r="F1053">
        <v>9547</v>
      </c>
    </row>
    <row r="1054" spans="1:6">
      <c r="A1054" t="s">
        <v>2187</v>
      </c>
      <c r="B1054">
        <v>117</v>
      </c>
      <c r="C1054" t="s">
        <v>642</v>
      </c>
      <c r="D1054">
        <v>2289721</v>
      </c>
      <c r="E1054">
        <v>8664</v>
      </c>
      <c r="F1054">
        <v>9547</v>
      </c>
    </row>
    <row r="1055" spans="1:6">
      <c r="A1055" t="s">
        <v>2188</v>
      </c>
      <c r="B1055">
        <v>118</v>
      </c>
      <c r="C1055" t="s">
        <v>149</v>
      </c>
      <c r="D1055">
        <v>49474</v>
      </c>
      <c r="E1055">
        <v>8791</v>
      </c>
      <c r="F1055">
        <v>9639</v>
      </c>
    </row>
    <row r="1056" spans="1:6">
      <c r="A1056" t="s">
        <v>2189</v>
      </c>
      <c r="B1056">
        <v>118</v>
      </c>
      <c r="C1056" t="s">
        <v>1132</v>
      </c>
      <c r="D1056">
        <v>148422</v>
      </c>
      <c r="E1056">
        <v>8791</v>
      </c>
      <c r="F1056">
        <v>9639</v>
      </c>
    </row>
    <row r="1057" spans="1:6">
      <c r="A1057" t="s">
        <v>2190</v>
      </c>
      <c r="B1057">
        <v>118</v>
      </c>
      <c r="C1057" t="s">
        <v>1134</v>
      </c>
      <c r="D1057">
        <v>89054</v>
      </c>
      <c r="E1057">
        <v>8791</v>
      </c>
      <c r="F1057">
        <v>9639</v>
      </c>
    </row>
    <row r="1058" spans="1:6">
      <c r="A1058" t="s">
        <v>2191</v>
      </c>
      <c r="B1058">
        <v>118</v>
      </c>
      <c r="C1058" t="s">
        <v>1136</v>
      </c>
      <c r="D1058">
        <v>24737</v>
      </c>
      <c r="E1058">
        <v>8791</v>
      </c>
      <c r="F1058">
        <v>9639</v>
      </c>
    </row>
    <row r="1059" spans="1:6">
      <c r="A1059" t="s">
        <v>2192</v>
      </c>
      <c r="B1059">
        <v>118</v>
      </c>
      <c r="C1059" t="s">
        <v>1138</v>
      </c>
      <c r="D1059">
        <v>7422</v>
      </c>
      <c r="E1059">
        <v>8791</v>
      </c>
      <c r="F1059">
        <v>9639</v>
      </c>
    </row>
    <row r="1060" spans="1:6">
      <c r="A1060" t="s">
        <v>2193</v>
      </c>
      <c r="B1060">
        <v>118</v>
      </c>
      <c r="C1060" t="s">
        <v>738</v>
      </c>
      <c r="D1060">
        <v>197896</v>
      </c>
      <c r="E1060">
        <v>8791</v>
      </c>
      <c r="F1060">
        <v>9639</v>
      </c>
    </row>
    <row r="1061" spans="1:6">
      <c r="A1061" t="s">
        <v>2194</v>
      </c>
      <c r="B1061">
        <v>118</v>
      </c>
      <c r="C1061" t="s">
        <v>1141</v>
      </c>
      <c r="D1061">
        <v>445266</v>
      </c>
      <c r="E1061">
        <v>8791</v>
      </c>
      <c r="F1061">
        <v>9639</v>
      </c>
    </row>
    <row r="1062" spans="1:6">
      <c r="A1062" t="s">
        <v>2195</v>
      </c>
      <c r="B1062">
        <v>118</v>
      </c>
      <c r="C1062" t="s">
        <v>159</v>
      </c>
      <c r="D1062">
        <v>4667690</v>
      </c>
      <c r="E1062">
        <v>8791</v>
      </c>
      <c r="F1062">
        <v>9639</v>
      </c>
    </row>
    <row r="1063" spans="1:6">
      <c r="A1063" t="s">
        <v>2196</v>
      </c>
      <c r="B1063">
        <v>118</v>
      </c>
      <c r="C1063" t="s">
        <v>642</v>
      </c>
      <c r="D1063">
        <v>2333845</v>
      </c>
      <c r="E1063">
        <v>8791</v>
      </c>
      <c r="F1063">
        <v>9639</v>
      </c>
    </row>
    <row r="1064" spans="1:6">
      <c r="A1064" t="s">
        <v>2197</v>
      </c>
      <c r="B1064">
        <v>119</v>
      </c>
      <c r="C1064" t="s">
        <v>149</v>
      </c>
      <c r="D1064">
        <v>50323</v>
      </c>
      <c r="E1064">
        <v>8919</v>
      </c>
      <c r="F1064">
        <v>9732</v>
      </c>
    </row>
    <row r="1065" spans="1:6">
      <c r="A1065" t="s">
        <v>2198</v>
      </c>
      <c r="B1065">
        <v>119</v>
      </c>
      <c r="C1065" t="s">
        <v>1132</v>
      </c>
      <c r="D1065">
        <v>150969</v>
      </c>
      <c r="E1065">
        <v>8919</v>
      </c>
      <c r="F1065">
        <v>9732</v>
      </c>
    </row>
    <row r="1066" spans="1:6">
      <c r="A1066" t="s">
        <v>2199</v>
      </c>
      <c r="B1066">
        <v>119</v>
      </c>
      <c r="C1066" t="s">
        <v>1134</v>
      </c>
      <c r="D1066">
        <v>90582</v>
      </c>
      <c r="E1066">
        <v>8919</v>
      </c>
      <c r="F1066">
        <v>9732</v>
      </c>
    </row>
    <row r="1067" spans="1:6">
      <c r="A1067" t="s">
        <v>2200</v>
      </c>
      <c r="B1067">
        <v>119</v>
      </c>
      <c r="C1067" t="s">
        <v>1136</v>
      </c>
      <c r="D1067">
        <v>25162</v>
      </c>
      <c r="E1067">
        <v>8919</v>
      </c>
      <c r="F1067">
        <v>9732</v>
      </c>
    </row>
    <row r="1068" spans="1:6">
      <c r="A1068" t="s">
        <v>2201</v>
      </c>
      <c r="B1068">
        <v>119</v>
      </c>
      <c r="C1068" t="s">
        <v>1138</v>
      </c>
      <c r="D1068">
        <v>7549</v>
      </c>
      <c r="E1068">
        <v>8919</v>
      </c>
      <c r="F1068">
        <v>9732</v>
      </c>
    </row>
    <row r="1069" spans="1:6">
      <c r="A1069" t="s">
        <v>2202</v>
      </c>
      <c r="B1069">
        <v>119</v>
      </c>
      <c r="C1069" t="s">
        <v>738</v>
      </c>
      <c r="D1069">
        <v>201292</v>
      </c>
      <c r="E1069">
        <v>8919</v>
      </c>
      <c r="F1069">
        <v>9732</v>
      </c>
    </row>
    <row r="1070" spans="1:6">
      <c r="A1070" t="s">
        <v>2203</v>
      </c>
      <c r="B1070">
        <v>119</v>
      </c>
      <c r="C1070" t="s">
        <v>1141</v>
      </c>
      <c r="D1070">
        <v>452907</v>
      </c>
      <c r="E1070">
        <v>8919</v>
      </c>
      <c r="F1070">
        <v>9732</v>
      </c>
    </row>
    <row r="1071" spans="1:6">
      <c r="A1071" t="s">
        <v>2204</v>
      </c>
      <c r="B1071">
        <v>119</v>
      </c>
      <c r="C1071" t="s">
        <v>159</v>
      </c>
      <c r="D1071">
        <v>4757091</v>
      </c>
      <c r="E1071">
        <v>8919</v>
      </c>
      <c r="F1071">
        <v>9732</v>
      </c>
    </row>
    <row r="1072" spans="1:6">
      <c r="A1072" t="s">
        <v>2205</v>
      </c>
      <c r="B1072">
        <v>119</v>
      </c>
      <c r="C1072" t="s">
        <v>642</v>
      </c>
      <c r="D1072">
        <v>2378545</v>
      </c>
      <c r="E1072">
        <v>8919</v>
      </c>
      <c r="F1072">
        <v>9732</v>
      </c>
    </row>
    <row r="1073" spans="1:6">
      <c r="A1073" t="s">
        <v>2206</v>
      </c>
      <c r="B1073">
        <v>120</v>
      </c>
      <c r="C1073" t="s">
        <v>149</v>
      </c>
      <c r="D1073">
        <v>51181</v>
      </c>
      <c r="E1073">
        <v>9047</v>
      </c>
      <c r="F1073">
        <v>9825</v>
      </c>
    </row>
    <row r="1074" spans="1:6">
      <c r="A1074" t="s">
        <v>2207</v>
      </c>
      <c r="B1074">
        <v>120</v>
      </c>
      <c r="C1074" t="s">
        <v>1132</v>
      </c>
      <c r="D1074">
        <v>153543</v>
      </c>
      <c r="E1074">
        <v>9047</v>
      </c>
      <c r="F1074">
        <v>9825</v>
      </c>
    </row>
    <row r="1075" spans="1:6">
      <c r="A1075" t="s">
        <v>2208</v>
      </c>
      <c r="B1075">
        <v>120</v>
      </c>
      <c r="C1075" t="s">
        <v>1134</v>
      </c>
      <c r="D1075">
        <v>92126</v>
      </c>
      <c r="E1075">
        <v>9047</v>
      </c>
      <c r="F1075">
        <v>9825</v>
      </c>
    </row>
    <row r="1076" spans="1:6">
      <c r="A1076" t="s">
        <v>2209</v>
      </c>
      <c r="B1076">
        <v>120</v>
      </c>
      <c r="C1076" t="s">
        <v>1136</v>
      </c>
      <c r="D1076">
        <v>25591</v>
      </c>
      <c r="E1076">
        <v>9047</v>
      </c>
      <c r="F1076">
        <v>9825</v>
      </c>
    </row>
    <row r="1077" spans="1:6">
      <c r="A1077" t="s">
        <v>2210</v>
      </c>
      <c r="B1077">
        <v>120</v>
      </c>
      <c r="C1077" t="s">
        <v>1138</v>
      </c>
      <c r="D1077">
        <v>7678</v>
      </c>
      <c r="E1077">
        <v>9047</v>
      </c>
      <c r="F1077">
        <v>9825</v>
      </c>
    </row>
    <row r="1078" spans="1:6">
      <c r="A1078" t="s">
        <v>2211</v>
      </c>
      <c r="B1078">
        <v>120</v>
      </c>
      <c r="C1078" t="s">
        <v>738</v>
      </c>
      <c r="D1078">
        <v>204724</v>
      </c>
      <c r="E1078">
        <v>9047</v>
      </c>
      <c r="F1078">
        <v>9825</v>
      </c>
    </row>
    <row r="1079" spans="1:6">
      <c r="A1079" t="s">
        <v>2212</v>
      </c>
      <c r="B1079">
        <v>120</v>
      </c>
      <c r="C1079" t="s">
        <v>1141</v>
      </c>
      <c r="D1079">
        <v>460629</v>
      </c>
      <c r="E1079">
        <v>9047</v>
      </c>
      <c r="F1079">
        <v>9825</v>
      </c>
    </row>
    <row r="1080" spans="1:6">
      <c r="A1080" t="s">
        <v>2213</v>
      </c>
      <c r="B1080">
        <v>120</v>
      </c>
      <c r="C1080" t="s">
        <v>159</v>
      </c>
      <c r="D1080">
        <v>4847703</v>
      </c>
      <c r="E1080">
        <v>9047</v>
      </c>
      <c r="F1080">
        <v>9825</v>
      </c>
    </row>
    <row r="1081" spans="1:6">
      <c r="A1081" t="s">
        <v>2214</v>
      </c>
      <c r="B1081">
        <v>120</v>
      </c>
      <c r="C1081" t="s">
        <v>642</v>
      </c>
      <c r="D1081">
        <v>2423852</v>
      </c>
      <c r="E1081">
        <v>9047</v>
      </c>
      <c r="F1081">
        <v>9825</v>
      </c>
    </row>
    <row r="1082" spans="1:6">
      <c r="A1082" t="s">
        <v>2215</v>
      </c>
      <c r="B1082">
        <v>121</v>
      </c>
      <c r="C1082" t="s">
        <v>149</v>
      </c>
      <c r="D1082">
        <v>52050</v>
      </c>
      <c r="E1082">
        <v>9177</v>
      </c>
      <c r="F1082">
        <v>9918</v>
      </c>
    </row>
    <row r="1083" spans="1:6">
      <c r="A1083" t="s">
        <v>2216</v>
      </c>
      <c r="B1083">
        <v>121</v>
      </c>
      <c r="C1083" t="s">
        <v>1132</v>
      </c>
      <c r="D1083">
        <v>156150</v>
      </c>
      <c r="E1083">
        <v>9177</v>
      </c>
      <c r="F1083">
        <v>9918</v>
      </c>
    </row>
    <row r="1084" spans="1:6">
      <c r="A1084" t="s">
        <v>2217</v>
      </c>
      <c r="B1084">
        <v>121</v>
      </c>
      <c r="C1084" t="s">
        <v>1134</v>
      </c>
      <c r="D1084">
        <v>93690</v>
      </c>
      <c r="E1084">
        <v>9177</v>
      </c>
      <c r="F1084">
        <v>9918</v>
      </c>
    </row>
    <row r="1085" spans="1:6">
      <c r="A1085" t="s">
        <v>2218</v>
      </c>
      <c r="B1085">
        <v>121</v>
      </c>
      <c r="C1085" t="s">
        <v>1136</v>
      </c>
      <c r="D1085">
        <v>26025</v>
      </c>
      <c r="E1085">
        <v>9177</v>
      </c>
      <c r="F1085">
        <v>9918</v>
      </c>
    </row>
    <row r="1086" spans="1:6">
      <c r="A1086" t="s">
        <v>2219</v>
      </c>
      <c r="B1086">
        <v>121</v>
      </c>
      <c r="C1086" t="s">
        <v>1138</v>
      </c>
      <c r="D1086">
        <v>7808</v>
      </c>
      <c r="E1086">
        <v>9177</v>
      </c>
      <c r="F1086">
        <v>9918</v>
      </c>
    </row>
    <row r="1087" spans="1:6">
      <c r="A1087" t="s">
        <v>2220</v>
      </c>
      <c r="B1087">
        <v>121</v>
      </c>
      <c r="C1087" t="s">
        <v>738</v>
      </c>
      <c r="D1087">
        <v>208200</v>
      </c>
      <c r="E1087">
        <v>9177</v>
      </c>
      <c r="F1087">
        <v>9918</v>
      </c>
    </row>
    <row r="1088" spans="1:6">
      <c r="A1088" t="s">
        <v>2221</v>
      </c>
      <c r="B1088">
        <v>121</v>
      </c>
      <c r="C1088" t="s">
        <v>1141</v>
      </c>
      <c r="D1088">
        <v>468450</v>
      </c>
      <c r="E1088">
        <v>9177</v>
      </c>
      <c r="F1088">
        <v>9918</v>
      </c>
    </row>
    <row r="1089" spans="1:6">
      <c r="A1089" t="s">
        <v>2222</v>
      </c>
      <c r="B1089">
        <v>121</v>
      </c>
      <c r="C1089" t="s">
        <v>159</v>
      </c>
      <c r="D1089">
        <v>4939527</v>
      </c>
      <c r="E1089">
        <v>9177</v>
      </c>
      <c r="F1089">
        <v>9918</v>
      </c>
    </row>
    <row r="1090" spans="1:6">
      <c r="A1090" t="s">
        <v>2223</v>
      </c>
      <c r="B1090">
        <v>121</v>
      </c>
      <c r="C1090" t="s">
        <v>642</v>
      </c>
      <c r="D1090">
        <v>2469763</v>
      </c>
      <c r="E1090">
        <v>9177</v>
      </c>
      <c r="F1090">
        <v>9918</v>
      </c>
    </row>
    <row r="1091" spans="1:6">
      <c r="A1091" t="s">
        <v>2224</v>
      </c>
      <c r="B1091">
        <v>122</v>
      </c>
      <c r="C1091" t="s">
        <v>149</v>
      </c>
      <c r="D1091">
        <v>52928</v>
      </c>
      <c r="E1091">
        <v>9308</v>
      </c>
      <c r="F1091">
        <v>10011</v>
      </c>
    </row>
    <row r="1092" spans="1:6">
      <c r="A1092" t="s">
        <v>2225</v>
      </c>
      <c r="B1092">
        <v>122</v>
      </c>
      <c r="C1092" t="s">
        <v>1132</v>
      </c>
      <c r="D1092">
        <v>158784</v>
      </c>
      <c r="E1092">
        <v>9308</v>
      </c>
      <c r="F1092">
        <v>10011</v>
      </c>
    </row>
    <row r="1093" spans="1:6">
      <c r="A1093" t="s">
        <v>2226</v>
      </c>
      <c r="B1093">
        <v>122</v>
      </c>
      <c r="C1093" t="s">
        <v>1134</v>
      </c>
      <c r="D1093">
        <v>95271</v>
      </c>
      <c r="E1093">
        <v>9308</v>
      </c>
      <c r="F1093">
        <v>10011</v>
      </c>
    </row>
    <row r="1094" spans="1:6">
      <c r="A1094" t="s">
        <v>2227</v>
      </c>
      <c r="B1094">
        <v>122</v>
      </c>
      <c r="C1094" t="s">
        <v>1136</v>
      </c>
      <c r="D1094">
        <v>26464</v>
      </c>
      <c r="E1094">
        <v>9308</v>
      </c>
      <c r="F1094">
        <v>10011</v>
      </c>
    </row>
    <row r="1095" spans="1:6">
      <c r="A1095" t="s">
        <v>2228</v>
      </c>
      <c r="B1095">
        <v>122</v>
      </c>
      <c r="C1095" t="s">
        <v>1138</v>
      </c>
      <c r="D1095">
        <v>7940</v>
      </c>
      <c r="E1095">
        <v>9308</v>
      </c>
      <c r="F1095">
        <v>10011</v>
      </c>
    </row>
    <row r="1096" spans="1:6">
      <c r="A1096" t="s">
        <v>2229</v>
      </c>
      <c r="B1096">
        <v>122</v>
      </c>
      <c r="C1096" t="s">
        <v>738</v>
      </c>
      <c r="D1096">
        <v>211712</v>
      </c>
      <c r="E1096">
        <v>9308</v>
      </c>
      <c r="F1096">
        <v>10011</v>
      </c>
    </row>
    <row r="1097" spans="1:6">
      <c r="A1097" t="s">
        <v>2230</v>
      </c>
      <c r="B1097">
        <v>122</v>
      </c>
      <c r="C1097" t="s">
        <v>1141</v>
      </c>
      <c r="D1097">
        <v>476352</v>
      </c>
      <c r="E1097">
        <v>9308</v>
      </c>
      <c r="F1097">
        <v>10011</v>
      </c>
    </row>
    <row r="1098" spans="1:6">
      <c r="A1098" t="s">
        <v>2231</v>
      </c>
      <c r="B1098">
        <v>122</v>
      </c>
      <c r="C1098" t="s">
        <v>159</v>
      </c>
      <c r="D1098">
        <v>5032502</v>
      </c>
      <c r="E1098">
        <v>9308</v>
      </c>
      <c r="F1098">
        <v>10011</v>
      </c>
    </row>
    <row r="1099" spans="1:6">
      <c r="A1099" t="s">
        <v>2232</v>
      </c>
      <c r="B1099">
        <v>122</v>
      </c>
      <c r="C1099" t="s">
        <v>642</v>
      </c>
      <c r="D1099">
        <v>2516251</v>
      </c>
      <c r="E1099">
        <v>9308</v>
      </c>
      <c r="F1099">
        <v>10011</v>
      </c>
    </row>
    <row r="1100" spans="1:6">
      <c r="A1100" t="s">
        <v>2233</v>
      </c>
      <c r="B1100">
        <v>123</v>
      </c>
      <c r="C1100" t="s">
        <v>149</v>
      </c>
      <c r="D1100">
        <v>53816</v>
      </c>
      <c r="E1100">
        <v>9440</v>
      </c>
      <c r="F1100">
        <v>10105</v>
      </c>
    </row>
    <row r="1101" spans="1:6">
      <c r="A1101" t="s">
        <v>2234</v>
      </c>
      <c r="B1101">
        <v>123</v>
      </c>
      <c r="C1101" t="s">
        <v>1132</v>
      </c>
      <c r="D1101">
        <v>161448</v>
      </c>
      <c r="E1101">
        <v>9440</v>
      </c>
      <c r="F1101">
        <v>10105</v>
      </c>
    </row>
    <row r="1102" spans="1:6">
      <c r="A1102" t="s">
        <v>2235</v>
      </c>
      <c r="B1102">
        <v>123</v>
      </c>
      <c r="C1102" t="s">
        <v>1134</v>
      </c>
      <c r="D1102">
        <v>96869</v>
      </c>
      <c r="E1102">
        <v>9440</v>
      </c>
      <c r="F1102">
        <v>10105</v>
      </c>
    </row>
    <row r="1103" spans="1:6">
      <c r="A1103" t="s">
        <v>2236</v>
      </c>
      <c r="B1103">
        <v>123</v>
      </c>
      <c r="C1103" t="s">
        <v>1136</v>
      </c>
      <c r="D1103">
        <v>26908</v>
      </c>
      <c r="E1103">
        <v>9440</v>
      </c>
      <c r="F1103">
        <v>10105</v>
      </c>
    </row>
    <row r="1104" spans="1:6">
      <c r="A1104" t="s">
        <v>2237</v>
      </c>
      <c r="B1104">
        <v>123</v>
      </c>
      <c r="C1104" t="s">
        <v>1138</v>
      </c>
      <c r="D1104">
        <v>8073</v>
      </c>
      <c r="E1104">
        <v>9440</v>
      </c>
      <c r="F1104">
        <v>10105</v>
      </c>
    </row>
    <row r="1105" spans="1:6">
      <c r="A1105" t="s">
        <v>2238</v>
      </c>
      <c r="B1105">
        <v>123</v>
      </c>
      <c r="C1105" t="s">
        <v>738</v>
      </c>
      <c r="D1105">
        <v>215264</v>
      </c>
      <c r="E1105">
        <v>9440</v>
      </c>
      <c r="F1105">
        <v>10105</v>
      </c>
    </row>
    <row r="1106" spans="1:6">
      <c r="A1106" t="s">
        <v>2239</v>
      </c>
      <c r="B1106">
        <v>123</v>
      </c>
      <c r="C1106" t="s">
        <v>1141</v>
      </c>
      <c r="D1106">
        <v>484344</v>
      </c>
      <c r="E1106">
        <v>9440</v>
      </c>
      <c r="F1106">
        <v>10105</v>
      </c>
    </row>
    <row r="1107" spans="1:6">
      <c r="A1107" t="s">
        <v>2240</v>
      </c>
      <c r="B1107">
        <v>123</v>
      </c>
      <c r="C1107" t="s">
        <v>159</v>
      </c>
      <c r="D1107">
        <v>5126688</v>
      </c>
      <c r="E1107">
        <v>9440</v>
      </c>
      <c r="F1107">
        <v>10105</v>
      </c>
    </row>
    <row r="1108" spans="1:6">
      <c r="A1108" t="s">
        <v>2241</v>
      </c>
      <c r="B1108">
        <v>123</v>
      </c>
      <c r="C1108" t="s">
        <v>642</v>
      </c>
      <c r="D1108">
        <v>2563344</v>
      </c>
      <c r="E1108">
        <v>9440</v>
      </c>
      <c r="F1108">
        <v>10105</v>
      </c>
    </row>
    <row r="1109" spans="1:6">
      <c r="A1109" t="s">
        <v>2242</v>
      </c>
      <c r="B1109">
        <v>124</v>
      </c>
      <c r="C1109" t="s">
        <v>149</v>
      </c>
      <c r="D1109">
        <v>54715</v>
      </c>
      <c r="E1109">
        <v>9573</v>
      </c>
      <c r="F1109">
        <v>10198</v>
      </c>
    </row>
    <row r="1110" spans="1:6">
      <c r="A1110" t="s">
        <v>2243</v>
      </c>
      <c r="B1110">
        <v>124</v>
      </c>
      <c r="C1110" t="s">
        <v>1132</v>
      </c>
      <c r="D1110">
        <v>164145</v>
      </c>
      <c r="E1110">
        <v>9573</v>
      </c>
      <c r="F1110">
        <v>10198</v>
      </c>
    </row>
    <row r="1111" spans="1:6">
      <c r="A1111" t="s">
        <v>2244</v>
      </c>
      <c r="B1111">
        <v>124</v>
      </c>
      <c r="C1111" t="s">
        <v>1134</v>
      </c>
      <c r="D1111">
        <v>98487</v>
      </c>
      <c r="E1111">
        <v>9573</v>
      </c>
      <c r="F1111">
        <v>10198</v>
      </c>
    </row>
    <row r="1112" spans="1:6">
      <c r="A1112" t="s">
        <v>2245</v>
      </c>
      <c r="B1112">
        <v>124</v>
      </c>
      <c r="C1112" t="s">
        <v>1136</v>
      </c>
      <c r="D1112">
        <v>27358</v>
      </c>
      <c r="E1112">
        <v>9573</v>
      </c>
      <c r="F1112">
        <v>10198</v>
      </c>
    </row>
    <row r="1113" spans="1:6">
      <c r="A1113" t="s">
        <v>2246</v>
      </c>
      <c r="B1113">
        <v>124</v>
      </c>
      <c r="C1113" t="s">
        <v>1138</v>
      </c>
      <c r="D1113">
        <v>8208</v>
      </c>
      <c r="E1113">
        <v>9573</v>
      </c>
      <c r="F1113">
        <v>10198</v>
      </c>
    </row>
    <row r="1114" spans="1:6">
      <c r="A1114" t="s">
        <v>2247</v>
      </c>
      <c r="B1114">
        <v>124</v>
      </c>
      <c r="C1114" t="s">
        <v>738</v>
      </c>
      <c r="D1114">
        <v>218860</v>
      </c>
      <c r="E1114">
        <v>9573</v>
      </c>
      <c r="F1114">
        <v>10198</v>
      </c>
    </row>
    <row r="1115" spans="1:6">
      <c r="A1115" t="s">
        <v>2248</v>
      </c>
      <c r="B1115">
        <v>124</v>
      </c>
      <c r="C1115" t="s">
        <v>1141</v>
      </c>
      <c r="D1115">
        <v>492435</v>
      </c>
      <c r="E1115">
        <v>9573</v>
      </c>
      <c r="F1115">
        <v>10198</v>
      </c>
    </row>
    <row r="1116" spans="1:6">
      <c r="A1116" t="s">
        <v>2249</v>
      </c>
      <c r="B1116">
        <v>124</v>
      </c>
      <c r="C1116" t="s">
        <v>159</v>
      </c>
      <c r="D1116">
        <v>5222025</v>
      </c>
      <c r="E1116">
        <v>9573</v>
      </c>
      <c r="F1116">
        <v>10198</v>
      </c>
    </row>
    <row r="1117" spans="1:6">
      <c r="A1117" t="s">
        <v>2250</v>
      </c>
      <c r="B1117">
        <v>124</v>
      </c>
      <c r="C1117" t="s">
        <v>642</v>
      </c>
      <c r="D1117">
        <v>2611013</v>
      </c>
      <c r="E1117">
        <v>9573</v>
      </c>
      <c r="F1117">
        <v>10198</v>
      </c>
    </row>
    <row r="1118" spans="1:6">
      <c r="A1118" t="s">
        <v>2251</v>
      </c>
      <c r="B1118">
        <v>125</v>
      </c>
      <c r="C1118" t="s">
        <v>149</v>
      </c>
      <c r="D1118">
        <v>55624</v>
      </c>
      <c r="E1118">
        <v>9707</v>
      </c>
      <c r="F1118">
        <v>10292</v>
      </c>
    </row>
    <row r="1119" spans="1:6">
      <c r="A1119" t="s">
        <v>2252</v>
      </c>
      <c r="B1119">
        <v>125</v>
      </c>
      <c r="C1119" t="s">
        <v>1132</v>
      </c>
      <c r="D1119">
        <v>166872</v>
      </c>
      <c r="E1119">
        <v>9707</v>
      </c>
      <c r="F1119">
        <v>10292</v>
      </c>
    </row>
    <row r="1120" spans="1:6">
      <c r="A1120" t="s">
        <v>2253</v>
      </c>
      <c r="B1120">
        <v>125</v>
      </c>
      <c r="C1120" t="s">
        <v>1134</v>
      </c>
      <c r="D1120">
        <v>100124</v>
      </c>
      <c r="E1120">
        <v>9707</v>
      </c>
      <c r="F1120">
        <v>10292</v>
      </c>
    </row>
    <row r="1121" spans="1:6">
      <c r="A1121" t="s">
        <v>2254</v>
      </c>
      <c r="B1121">
        <v>125</v>
      </c>
      <c r="C1121" t="s">
        <v>1136</v>
      </c>
      <c r="D1121">
        <v>27812</v>
      </c>
      <c r="E1121">
        <v>9707</v>
      </c>
      <c r="F1121">
        <v>10292</v>
      </c>
    </row>
    <row r="1122" spans="1:6">
      <c r="A1122" t="s">
        <v>2255</v>
      </c>
      <c r="B1122">
        <v>125</v>
      </c>
      <c r="C1122" t="s">
        <v>1138</v>
      </c>
      <c r="D1122">
        <v>8344</v>
      </c>
      <c r="E1122">
        <v>9707</v>
      </c>
      <c r="F1122">
        <v>10292</v>
      </c>
    </row>
    <row r="1123" spans="1:6">
      <c r="A1123" t="s">
        <v>2256</v>
      </c>
      <c r="B1123">
        <v>125</v>
      </c>
      <c r="C1123" t="s">
        <v>738</v>
      </c>
      <c r="D1123">
        <v>222496</v>
      </c>
      <c r="E1123">
        <v>9707</v>
      </c>
      <c r="F1123">
        <v>10292</v>
      </c>
    </row>
    <row r="1124" spans="1:6">
      <c r="A1124" t="s">
        <v>2257</v>
      </c>
      <c r="B1124">
        <v>125</v>
      </c>
      <c r="C1124" t="s">
        <v>1141</v>
      </c>
      <c r="D1124">
        <v>500616</v>
      </c>
      <c r="E1124">
        <v>9707</v>
      </c>
      <c r="F1124">
        <v>10292</v>
      </c>
    </row>
    <row r="1125" spans="1:6">
      <c r="A1125" t="s">
        <v>2258</v>
      </c>
      <c r="B1125">
        <v>125</v>
      </c>
      <c r="C1125" t="s">
        <v>159</v>
      </c>
      <c r="D1125">
        <v>5318693</v>
      </c>
      <c r="E1125">
        <v>9707</v>
      </c>
      <c r="F1125">
        <v>10292</v>
      </c>
    </row>
    <row r="1126" spans="1:6">
      <c r="A1126" t="s">
        <v>2259</v>
      </c>
      <c r="B1126">
        <v>125</v>
      </c>
      <c r="C1126" t="s">
        <v>642</v>
      </c>
      <c r="D1126">
        <v>2659346</v>
      </c>
      <c r="E1126">
        <v>9707</v>
      </c>
      <c r="F1126">
        <v>10292</v>
      </c>
    </row>
    <row r="1127" spans="1:6">
      <c r="A1127" t="s">
        <v>2260</v>
      </c>
      <c r="B1127">
        <v>126</v>
      </c>
      <c r="C1127" t="s">
        <v>149</v>
      </c>
      <c r="D1127">
        <v>56543</v>
      </c>
      <c r="E1127">
        <v>9843</v>
      </c>
      <c r="F1127">
        <v>10386</v>
      </c>
    </row>
    <row r="1128" spans="1:6">
      <c r="A1128" t="s">
        <v>2261</v>
      </c>
      <c r="B1128">
        <v>126</v>
      </c>
      <c r="C1128" t="s">
        <v>1132</v>
      </c>
      <c r="D1128">
        <v>169629</v>
      </c>
      <c r="E1128">
        <v>9843</v>
      </c>
      <c r="F1128">
        <v>10386</v>
      </c>
    </row>
    <row r="1129" spans="1:6">
      <c r="A1129" t="s">
        <v>2262</v>
      </c>
      <c r="B1129">
        <v>126</v>
      </c>
      <c r="C1129" t="s">
        <v>1134</v>
      </c>
      <c r="D1129">
        <v>101778</v>
      </c>
      <c r="E1129">
        <v>9843</v>
      </c>
      <c r="F1129">
        <v>10386</v>
      </c>
    </row>
    <row r="1130" spans="1:6">
      <c r="A1130" t="s">
        <v>2263</v>
      </c>
      <c r="B1130">
        <v>126</v>
      </c>
      <c r="C1130" t="s">
        <v>1136</v>
      </c>
      <c r="D1130">
        <v>28272</v>
      </c>
      <c r="E1130">
        <v>9843</v>
      </c>
      <c r="F1130">
        <v>10386</v>
      </c>
    </row>
    <row r="1131" spans="1:6">
      <c r="A1131" t="s">
        <v>2264</v>
      </c>
      <c r="B1131">
        <v>126</v>
      </c>
      <c r="C1131" t="s">
        <v>1138</v>
      </c>
      <c r="D1131">
        <v>8482</v>
      </c>
      <c r="E1131">
        <v>9843</v>
      </c>
      <c r="F1131">
        <v>10386</v>
      </c>
    </row>
    <row r="1132" spans="1:6">
      <c r="A1132" t="s">
        <v>2265</v>
      </c>
      <c r="B1132">
        <v>126</v>
      </c>
      <c r="C1132" t="s">
        <v>738</v>
      </c>
      <c r="D1132">
        <v>226172</v>
      </c>
      <c r="E1132">
        <v>9843</v>
      </c>
      <c r="F1132">
        <v>10386</v>
      </c>
    </row>
    <row r="1133" spans="1:6">
      <c r="A1133" t="s">
        <v>2266</v>
      </c>
      <c r="B1133">
        <v>126</v>
      </c>
      <c r="C1133" t="s">
        <v>1141</v>
      </c>
      <c r="D1133">
        <v>508887</v>
      </c>
      <c r="E1133">
        <v>9843</v>
      </c>
      <c r="F1133">
        <v>10386</v>
      </c>
    </row>
    <row r="1134" spans="1:6">
      <c r="A1134" t="s">
        <v>2267</v>
      </c>
      <c r="B1134">
        <v>126</v>
      </c>
      <c r="C1134" t="s">
        <v>159</v>
      </c>
      <c r="D1134">
        <v>5416511</v>
      </c>
      <c r="E1134">
        <v>9843</v>
      </c>
      <c r="F1134">
        <v>10386</v>
      </c>
    </row>
    <row r="1135" spans="1:6">
      <c r="A1135" t="s">
        <v>2268</v>
      </c>
      <c r="B1135">
        <v>126</v>
      </c>
      <c r="C1135" t="s">
        <v>642</v>
      </c>
      <c r="D1135">
        <v>2708255</v>
      </c>
      <c r="E1135">
        <v>9843</v>
      </c>
      <c r="F1135">
        <v>10386</v>
      </c>
    </row>
    <row r="1136" spans="1:6">
      <c r="A1136" t="s">
        <v>2269</v>
      </c>
      <c r="B1136">
        <v>127</v>
      </c>
      <c r="C1136" t="s">
        <v>149</v>
      </c>
      <c r="D1136">
        <v>57473</v>
      </c>
      <c r="E1136">
        <v>9979</v>
      </c>
      <c r="F1136">
        <v>10480</v>
      </c>
    </row>
    <row r="1137" spans="1:6">
      <c r="A1137" t="s">
        <v>2270</v>
      </c>
      <c r="B1137">
        <v>127</v>
      </c>
      <c r="C1137" t="s">
        <v>1132</v>
      </c>
      <c r="D1137">
        <v>172419</v>
      </c>
      <c r="E1137">
        <v>9979</v>
      </c>
      <c r="F1137">
        <v>10480</v>
      </c>
    </row>
    <row r="1138" spans="1:6">
      <c r="A1138" t="s">
        <v>2271</v>
      </c>
      <c r="B1138">
        <v>127</v>
      </c>
      <c r="C1138" t="s">
        <v>1134</v>
      </c>
      <c r="D1138">
        <v>103452</v>
      </c>
      <c r="E1138">
        <v>9979</v>
      </c>
      <c r="F1138">
        <v>10480</v>
      </c>
    </row>
    <row r="1139" spans="1:6">
      <c r="A1139" t="s">
        <v>2272</v>
      </c>
      <c r="B1139">
        <v>127</v>
      </c>
      <c r="C1139" t="s">
        <v>1136</v>
      </c>
      <c r="D1139">
        <v>28737</v>
      </c>
      <c r="E1139">
        <v>9979</v>
      </c>
      <c r="F1139">
        <v>10480</v>
      </c>
    </row>
    <row r="1140" spans="1:6">
      <c r="A1140" t="s">
        <v>2273</v>
      </c>
      <c r="B1140">
        <v>127</v>
      </c>
      <c r="C1140" t="s">
        <v>1138</v>
      </c>
      <c r="D1140">
        <v>8621</v>
      </c>
      <c r="E1140">
        <v>9979</v>
      </c>
      <c r="F1140">
        <v>10480</v>
      </c>
    </row>
    <row r="1141" spans="1:6">
      <c r="A1141" t="s">
        <v>2274</v>
      </c>
      <c r="B1141">
        <v>127</v>
      </c>
      <c r="C1141" t="s">
        <v>738</v>
      </c>
      <c r="D1141">
        <v>229892</v>
      </c>
      <c r="E1141">
        <v>9979</v>
      </c>
      <c r="F1141">
        <v>10480</v>
      </c>
    </row>
    <row r="1142" spans="1:6">
      <c r="A1142" t="s">
        <v>2275</v>
      </c>
      <c r="B1142">
        <v>127</v>
      </c>
      <c r="C1142" t="s">
        <v>1141</v>
      </c>
      <c r="D1142">
        <v>517257</v>
      </c>
      <c r="E1142">
        <v>9979</v>
      </c>
      <c r="F1142">
        <v>10480</v>
      </c>
    </row>
    <row r="1143" spans="1:6">
      <c r="A1143" t="s">
        <v>2276</v>
      </c>
      <c r="B1143">
        <v>127</v>
      </c>
      <c r="C1143" t="s">
        <v>159</v>
      </c>
      <c r="D1143">
        <v>5515598</v>
      </c>
      <c r="E1143">
        <v>9979</v>
      </c>
      <c r="F1143">
        <v>10480</v>
      </c>
    </row>
    <row r="1144" spans="1:6">
      <c r="A1144" t="s">
        <v>2277</v>
      </c>
      <c r="B1144">
        <v>127</v>
      </c>
      <c r="C1144" t="s">
        <v>642</v>
      </c>
      <c r="D1144">
        <v>2757799</v>
      </c>
      <c r="E1144">
        <v>9979</v>
      </c>
      <c r="F1144">
        <v>10480</v>
      </c>
    </row>
    <row r="1145" spans="1:6">
      <c r="A1145" t="s">
        <v>2278</v>
      </c>
      <c r="B1145">
        <v>128</v>
      </c>
      <c r="C1145" t="s">
        <v>149</v>
      </c>
      <c r="D1145">
        <v>58413</v>
      </c>
      <c r="E1145">
        <v>10116</v>
      </c>
      <c r="F1145">
        <v>10574</v>
      </c>
    </row>
    <row r="1146" spans="1:6">
      <c r="A1146" t="s">
        <v>2279</v>
      </c>
      <c r="B1146">
        <v>128</v>
      </c>
      <c r="C1146" t="s">
        <v>1132</v>
      </c>
      <c r="D1146">
        <v>175239</v>
      </c>
      <c r="E1146">
        <v>10116</v>
      </c>
      <c r="F1146">
        <v>10574</v>
      </c>
    </row>
    <row r="1147" spans="1:6">
      <c r="A1147" t="s">
        <v>2280</v>
      </c>
      <c r="B1147">
        <v>128</v>
      </c>
      <c r="C1147" t="s">
        <v>1134</v>
      </c>
      <c r="D1147">
        <v>105144</v>
      </c>
      <c r="E1147">
        <v>10116</v>
      </c>
      <c r="F1147">
        <v>10574</v>
      </c>
    </row>
    <row r="1148" spans="1:6">
      <c r="A1148" t="s">
        <v>2281</v>
      </c>
      <c r="B1148">
        <v>128</v>
      </c>
      <c r="C1148" t="s">
        <v>1136</v>
      </c>
      <c r="D1148">
        <v>29207</v>
      </c>
      <c r="E1148">
        <v>10116</v>
      </c>
      <c r="F1148">
        <v>10574</v>
      </c>
    </row>
    <row r="1149" spans="1:6">
      <c r="A1149" t="s">
        <v>2282</v>
      </c>
      <c r="B1149">
        <v>128</v>
      </c>
      <c r="C1149" t="s">
        <v>1138</v>
      </c>
      <c r="D1149">
        <v>8762</v>
      </c>
      <c r="E1149">
        <v>10116</v>
      </c>
      <c r="F1149">
        <v>10574</v>
      </c>
    </row>
    <row r="1150" spans="1:6">
      <c r="A1150" t="s">
        <v>2283</v>
      </c>
      <c r="B1150">
        <v>128</v>
      </c>
      <c r="C1150" t="s">
        <v>738</v>
      </c>
      <c r="D1150">
        <v>233652</v>
      </c>
      <c r="E1150">
        <v>10116</v>
      </c>
      <c r="F1150">
        <v>10574</v>
      </c>
    </row>
    <row r="1151" spans="1:6">
      <c r="A1151" t="s">
        <v>2284</v>
      </c>
      <c r="B1151">
        <v>128</v>
      </c>
      <c r="C1151" t="s">
        <v>1141</v>
      </c>
      <c r="D1151">
        <v>525717</v>
      </c>
      <c r="E1151">
        <v>10116</v>
      </c>
      <c r="F1151">
        <v>10574</v>
      </c>
    </row>
    <row r="1152" spans="1:6">
      <c r="A1152" t="s">
        <v>2285</v>
      </c>
      <c r="B1152">
        <v>128</v>
      </c>
      <c r="C1152" t="s">
        <v>159</v>
      </c>
      <c r="D1152">
        <v>5615956</v>
      </c>
      <c r="E1152">
        <v>10116</v>
      </c>
      <c r="F1152">
        <v>10574</v>
      </c>
    </row>
    <row r="1153" spans="1:6">
      <c r="A1153" t="s">
        <v>2286</v>
      </c>
      <c r="B1153">
        <v>128</v>
      </c>
      <c r="C1153" t="s">
        <v>642</v>
      </c>
      <c r="D1153">
        <v>2807978</v>
      </c>
      <c r="E1153">
        <v>10116</v>
      </c>
      <c r="F1153">
        <v>10574</v>
      </c>
    </row>
    <row r="1154" spans="1:6">
      <c r="A1154" t="s">
        <v>2287</v>
      </c>
      <c r="B1154">
        <v>129</v>
      </c>
      <c r="C1154" t="s">
        <v>149</v>
      </c>
      <c r="D1154">
        <v>59364</v>
      </c>
      <c r="E1154">
        <v>10255</v>
      </c>
      <c r="F1154">
        <v>10669</v>
      </c>
    </row>
    <row r="1155" spans="1:6">
      <c r="A1155" t="s">
        <v>2288</v>
      </c>
      <c r="B1155">
        <v>129</v>
      </c>
      <c r="C1155" t="s">
        <v>1132</v>
      </c>
      <c r="D1155">
        <v>178092</v>
      </c>
      <c r="E1155">
        <v>10255</v>
      </c>
      <c r="F1155">
        <v>10669</v>
      </c>
    </row>
    <row r="1156" spans="1:6">
      <c r="A1156" t="s">
        <v>2289</v>
      </c>
      <c r="B1156">
        <v>129</v>
      </c>
      <c r="C1156" t="s">
        <v>1134</v>
      </c>
      <c r="D1156">
        <v>106856</v>
      </c>
      <c r="E1156">
        <v>10255</v>
      </c>
      <c r="F1156">
        <v>10669</v>
      </c>
    </row>
    <row r="1157" spans="1:6">
      <c r="A1157" t="s">
        <v>2290</v>
      </c>
      <c r="B1157">
        <v>129</v>
      </c>
      <c r="C1157" t="s">
        <v>1136</v>
      </c>
      <c r="D1157">
        <v>29682</v>
      </c>
      <c r="E1157">
        <v>10255</v>
      </c>
      <c r="F1157">
        <v>10669</v>
      </c>
    </row>
    <row r="1158" spans="1:6">
      <c r="A1158" t="s">
        <v>2291</v>
      </c>
      <c r="B1158">
        <v>129</v>
      </c>
      <c r="C1158" t="s">
        <v>1138</v>
      </c>
      <c r="D1158">
        <v>8905</v>
      </c>
      <c r="E1158">
        <v>10255</v>
      </c>
      <c r="F1158">
        <v>10669</v>
      </c>
    </row>
    <row r="1159" spans="1:6">
      <c r="A1159" t="s">
        <v>2292</v>
      </c>
      <c r="B1159">
        <v>129</v>
      </c>
      <c r="C1159" t="s">
        <v>738</v>
      </c>
      <c r="D1159">
        <v>237456</v>
      </c>
      <c r="E1159">
        <v>10255</v>
      </c>
      <c r="F1159">
        <v>10669</v>
      </c>
    </row>
    <row r="1160" spans="1:6">
      <c r="A1160" t="s">
        <v>2293</v>
      </c>
      <c r="B1160">
        <v>129</v>
      </c>
      <c r="C1160" t="s">
        <v>1141</v>
      </c>
      <c r="D1160">
        <v>534276</v>
      </c>
      <c r="E1160">
        <v>10255</v>
      </c>
      <c r="F1160">
        <v>10669</v>
      </c>
    </row>
    <row r="1161" spans="1:6">
      <c r="A1161" t="s">
        <v>2294</v>
      </c>
      <c r="B1161">
        <v>129</v>
      </c>
      <c r="C1161" t="s">
        <v>159</v>
      </c>
      <c r="D1161">
        <v>5717583</v>
      </c>
      <c r="E1161">
        <v>10255</v>
      </c>
      <c r="F1161">
        <v>10669</v>
      </c>
    </row>
    <row r="1162" spans="1:6">
      <c r="A1162" t="s">
        <v>2295</v>
      </c>
      <c r="B1162">
        <v>129</v>
      </c>
      <c r="C1162" t="s">
        <v>642</v>
      </c>
      <c r="D1162">
        <v>2858792</v>
      </c>
      <c r="E1162">
        <v>10255</v>
      </c>
      <c r="F1162">
        <v>10669</v>
      </c>
    </row>
    <row r="1163" spans="1:6">
      <c r="A1163" t="s">
        <v>2296</v>
      </c>
      <c r="B1163">
        <v>130</v>
      </c>
      <c r="C1163" t="s">
        <v>149</v>
      </c>
      <c r="D1163">
        <v>60325</v>
      </c>
      <c r="E1163">
        <v>10395</v>
      </c>
      <c r="F1163">
        <v>10763</v>
      </c>
    </row>
    <row r="1164" spans="1:6">
      <c r="A1164" t="s">
        <v>2297</v>
      </c>
      <c r="B1164">
        <v>130</v>
      </c>
      <c r="C1164" t="s">
        <v>1132</v>
      </c>
      <c r="D1164">
        <v>180975</v>
      </c>
      <c r="E1164">
        <v>10395</v>
      </c>
      <c r="F1164">
        <v>10763</v>
      </c>
    </row>
    <row r="1165" spans="1:6">
      <c r="A1165" t="s">
        <v>2298</v>
      </c>
      <c r="B1165">
        <v>130</v>
      </c>
      <c r="C1165" t="s">
        <v>1134</v>
      </c>
      <c r="D1165">
        <v>108585</v>
      </c>
      <c r="E1165">
        <v>10395</v>
      </c>
      <c r="F1165">
        <v>10763</v>
      </c>
    </row>
    <row r="1166" spans="1:6">
      <c r="A1166" t="s">
        <v>2299</v>
      </c>
      <c r="B1166">
        <v>130</v>
      </c>
      <c r="C1166" t="s">
        <v>1136</v>
      </c>
      <c r="D1166">
        <v>30163</v>
      </c>
      <c r="E1166">
        <v>10395</v>
      </c>
      <c r="F1166">
        <v>10763</v>
      </c>
    </row>
    <row r="1167" spans="1:6">
      <c r="A1167" t="s">
        <v>2300</v>
      </c>
      <c r="B1167">
        <v>130</v>
      </c>
      <c r="C1167" t="s">
        <v>1138</v>
      </c>
      <c r="D1167">
        <v>9049</v>
      </c>
      <c r="E1167">
        <v>10395</v>
      </c>
      <c r="F1167">
        <v>10763</v>
      </c>
    </row>
    <row r="1168" spans="1:6">
      <c r="A1168" t="s">
        <v>2301</v>
      </c>
      <c r="B1168">
        <v>130</v>
      </c>
      <c r="C1168" t="s">
        <v>738</v>
      </c>
      <c r="D1168">
        <v>241300</v>
      </c>
      <c r="E1168">
        <v>10395</v>
      </c>
      <c r="F1168">
        <v>10763</v>
      </c>
    </row>
    <row r="1169" spans="1:6">
      <c r="A1169" t="s">
        <v>2302</v>
      </c>
      <c r="B1169">
        <v>130</v>
      </c>
      <c r="C1169" t="s">
        <v>1141</v>
      </c>
      <c r="D1169">
        <v>542925</v>
      </c>
      <c r="E1169">
        <v>10395</v>
      </c>
      <c r="F1169">
        <v>10763</v>
      </c>
    </row>
    <row r="1170" spans="1:6">
      <c r="A1170" t="s">
        <v>2303</v>
      </c>
      <c r="B1170">
        <v>130</v>
      </c>
      <c r="C1170" t="s">
        <v>159</v>
      </c>
      <c r="D1170">
        <v>5820420</v>
      </c>
      <c r="E1170">
        <v>10395</v>
      </c>
      <c r="F1170">
        <v>10763</v>
      </c>
    </row>
    <row r="1171" spans="1:6">
      <c r="A1171" t="s">
        <v>2304</v>
      </c>
      <c r="B1171">
        <v>130</v>
      </c>
      <c r="C1171" t="s">
        <v>642</v>
      </c>
      <c r="D1171">
        <v>2910210</v>
      </c>
      <c r="E1171">
        <v>10395</v>
      </c>
      <c r="F1171">
        <v>10763</v>
      </c>
    </row>
    <row r="1172" spans="1:6">
      <c r="A1172" t="s">
        <v>2305</v>
      </c>
      <c r="B1172">
        <v>131</v>
      </c>
      <c r="C1172" t="s">
        <v>149</v>
      </c>
      <c r="D1172">
        <v>61297</v>
      </c>
      <c r="E1172">
        <v>10536</v>
      </c>
      <c r="F1172">
        <v>10858</v>
      </c>
    </row>
    <row r="1173" spans="1:6">
      <c r="A1173" t="s">
        <v>2306</v>
      </c>
      <c r="B1173">
        <v>131</v>
      </c>
      <c r="C1173" t="s">
        <v>1132</v>
      </c>
      <c r="D1173">
        <v>183891</v>
      </c>
      <c r="E1173">
        <v>10536</v>
      </c>
      <c r="F1173">
        <v>10858</v>
      </c>
    </row>
    <row r="1174" spans="1:6">
      <c r="A1174" t="s">
        <v>2307</v>
      </c>
      <c r="B1174">
        <v>131</v>
      </c>
      <c r="C1174" t="s">
        <v>1134</v>
      </c>
      <c r="D1174">
        <v>110335</v>
      </c>
      <c r="E1174">
        <v>10536</v>
      </c>
      <c r="F1174">
        <v>10858</v>
      </c>
    </row>
    <row r="1175" spans="1:6">
      <c r="A1175" t="s">
        <v>2308</v>
      </c>
      <c r="B1175">
        <v>131</v>
      </c>
      <c r="C1175" t="s">
        <v>1136</v>
      </c>
      <c r="D1175">
        <v>30649</v>
      </c>
      <c r="E1175">
        <v>10536</v>
      </c>
      <c r="F1175">
        <v>10858</v>
      </c>
    </row>
    <row r="1176" spans="1:6">
      <c r="A1176" t="s">
        <v>2309</v>
      </c>
      <c r="B1176">
        <v>131</v>
      </c>
      <c r="C1176" t="s">
        <v>1138</v>
      </c>
      <c r="D1176">
        <v>9195</v>
      </c>
      <c r="E1176">
        <v>10536</v>
      </c>
      <c r="F1176">
        <v>10858</v>
      </c>
    </row>
    <row r="1177" spans="1:6">
      <c r="A1177" t="s">
        <v>2310</v>
      </c>
      <c r="B1177">
        <v>131</v>
      </c>
      <c r="C1177" t="s">
        <v>738</v>
      </c>
      <c r="D1177">
        <v>245188</v>
      </c>
      <c r="E1177">
        <v>10536</v>
      </c>
      <c r="F1177">
        <v>10858</v>
      </c>
    </row>
    <row r="1178" spans="1:6">
      <c r="A1178" t="s">
        <v>2311</v>
      </c>
      <c r="B1178">
        <v>131</v>
      </c>
      <c r="C1178" t="s">
        <v>1141</v>
      </c>
      <c r="D1178">
        <v>551673</v>
      </c>
      <c r="E1178">
        <v>10536</v>
      </c>
      <c r="F1178">
        <v>10858</v>
      </c>
    </row>
    <row r="1179" spans="1:6">
      <c r="A1179" t="s">
        <v>2312</v>
      </c>
      <c r="B1179">
        <v>131</v>
      </c>
      <c r="C1179" t="s">
        <v>159</v>
      </c>
      <c r="D1179">
        <v>5924586</v>
      </c>
      <c r="E1179">
        <v>10536</v>
      </c>
      <c r="F1179">
        <v>10858</v>
      </c>
    </row>
    <row r="1180" spans="1:6">
      <c r="A1180" t="s">
        <v>2313</v>
      </c>
      <c r="B1180">
        <v>131</v>
      </c>
      <c r="C1180" t="s">
        <v>642</v>
      </c>
      <c r="D1180">
        <v>2962293</v>
      </c>
      <c r="E1180">
        <v>10536</v>
      </c>
      <c r="F1180">
        <v>10858</v>
      </c>
    </row>
    <row r="1181" spans="1:6">
      <c r="A1181" t="s">
        <v>2314</v>
      </c>
      <c r="B1181">
        <v>132</v>
      </c>
      <c r="C1181" t="s">
        <v>149</v>
      </c>
      <c r="D1181">
        <v>62280</v>
      </c>
      <c r="E1181">
        <v>10678</v>
      </c>
      <c r="F1181">
        <v>10953</v>
      </c>
    </row>
    <row r="1182" spans="1:6">
      <c r="A1182" t="s">
        <v>2315</v>
      </c>
      <c r="B1182">
        <v>132</v>
      </c>
      <c r="C1182" t="s">
        <v>1132</v>
      </c>
      <c r="D1182">
        <v>186840</v>
      </c>
      <c r="E1182">
        <v>10678</v>
      </c>
      <c r="F1182">
        <v>10953</v>
      </c>
    </row>
    <row r="1183" spans="1:6">
      <c r="A1183" t="s">
        <v>2316</v>
      </c>
      <c r="B1183">
        <v>132</v>
      </c>
      <c r="C1183" t="s">
        <v>1134</v>
      </c>
      <c r="D1183">
        <v>112104</v>
      </c>
      <c r="E1183">
        <v>10678</v>
      </c>
      <c r="F1183">
        <v>10953</v>
      </c>
    </row>
    <row r="1184" spans="1:6">
      <c r="A1184" t="s">
        <v>2317</v>
      </c>
      <c r="B1184">
        <v>132</v>
      </c>
      <c r="C1184" t="s">
        <v>1136</v>
      </c>
      <c r="D1184">
        <v>31140</v>
      </c>
      <c r="E1184">
        <v>10678</v>
      </c>
      <c r="F1184">
        <v>10953</v>
      </c>
    </row>
    <row r="1185" spans="1:6">
      <c r="A1185" t="s">
        <v>2318</v>
      </c>
      <c r="B1185">
        <v>132</v>
      </c>
      <c r="C1185" t="s">
        <v>1138</v>
      </c>
      <c r="D1185">
        <v>9342</v>
      </c>
      <c r="E1185">
        <v>10678</v>
      </c>
      <c r="F1185">
        <v>10953</v>
      </c>
    </row>
    <row r="1186" spans="1:6">
      <c r="A1186" t="s">
        <v>2319</v>
      </c>
      <c r="B1186">
        <v>132</v>
      </c>
      <c r="C1186" t="s">
        <v>738</v>
      </c>
      <c r="D1186">
        <v>249120</v>
      </c>
      <c r="E1186">
        <v>10678</v>
      </c>
      <c r="F1186">
        <v>10953</v>
      </c>
    </row>
    <row r="1187" spans="1:6">
      <c r="A1187" t="s">
        <v>2320</v>
      </c>
      <c r="B1187">
        <v>132</v>
      </c>
      <c r="C1187" t="s">
        <v>1141</v>
      </c>
      <c r="D1187">
        <v>560520</v>
      </c>
      <c r="E1187">
        <v>10678</v>
      </c>
      <c r="F1187">
        <v>10953</v>
      </c>
    </row>
    <row r="1188" spans="1:6">
      <c r="A1188" t="s">
        <v>2321</v>
      </c>
      <c r="B1188">
        <v>132</v>
      </c>
      <c r="C1188" t="s">
        <v>159</v>
      </c>
      <c r="D1188">
        <v>6030020</v>
      </c>
      <c r="E1188">
        <v>10678</v>
      </c>
      <c r="F1188">
        <v>10953</v>
      </c>
    </row>
    <row r="1189" spans="1:6">
      <c r="A1189" t="s">
        <v>2322</v>
      </c>
      <c r="B1189">
        <v>132</v>
      </c>
      <c r="C1189" t="s">
        <v>642</v>
      </c>
      <c r="D1189">
        <v>3015010</v>
      </c>
      <c r="E1189">
        <v>10678</v>
      </c>
      <c r="F1189">
        <v>10953</v>
      </c>
    </row>
    <row r="1190" spans="1:6">
      <c r="A1190" t="s">
        <v>2323</v>
      </c>
      <c r="B1190">
        <v>133</v>
      </c>
      <c r="C1190" t="s">
        <v>149</v>
      </c>
      <c r="D1190">
        <v>63274</v>
      </c>
      <c r="E1190">
        <v>10821</v>
      </c>
      <c r="F1190">
        <v>11049</v>
      </c>
    </row>
    <row r="1191" spans="1:6">
      <c r="A1191" t="s">
        <v>2324</v>
      </c>
      <c r="B1191">
        <v>133</v>
      </c>
      <c r="C1191" t="s">
        <v>1132</v>
      </c>
      <c r="D1191">
        <v>189822</v>
      </c>
      <c r="E1191">
        <v>10821</v>
      </c>
      <c r="F1191">
        <v>11049</v>
      </c>
    </row>
    <row r="1192" spans="1:6">
      <c r="A1192" t="s">
        <v>2325</v>
      </c>
      <c r="B1192">
        <v>133</v>
      </c>
      <c r="C1192" t="s">
        <v>1134</v>
      </c>
      <c r="D1192">
        <v>113894</v>
      </c>
      <c r="E1192">
        <v>10821</v>
      </c>
      <c r="F1192">
        <v>11049</v>
      </c>
    </row>
    <row r="1193" spans="1:6">
      <c r="A1193" t="s">
        <v>2326</v>
      </c>
      <c r="B1193">
        <v>133</v>
      </c>
      <c r="C1193" t="s">
        <v>1136</v>
      </c>
      <c r="D1193">
        <v>31637</v>
      </c>
      <c r="E1193">
        <v>10821</v>
      </c>
      <c r="F1193">
        <v>11049</v>
      </c>
    </row>
    <row r="1194" spans="1:6">
      <c r="A1194" t="s">
        <v>2327</v>
      </c>
      <c r="B1194">
        <v>133</v>
      </c>
      <c r="C1194" t="s">
        <v>1138</v>
      </c>
      <c r="D1194">
        <v>9492</v>
      </c>
      <c r="E1194">
        <v>10821</v>
      </c>
      <c r="F1194">
        <v>11049</v>
      </c>
    </row>
    <row r="1195" spans="1:6">
      <c r="A1195" t="s">
        <v>2328</v>
      </c>
      <c r="B1195">
        <v>133</v>
      </c>
      <c r="C1195" t="s">
        <v>738</v>
      </c>
      <c r="D1195">
        <v>253096</v>
      </c>
      <c r="E1195">
        <v>10821</v>
      </c>
      <c r="F1195">
        <v>11049</v>
      </c>
    </row>
    <row r="1196" spans="1:6">
      <c r="A1196" t="s">
        <v>2329</v>
      </c>
      <c r="B1196">
        <v>133</v>
      </c>
      <c r="C1196" t="s">
        <v>1141</v>
      </c>
      <c r="D1196">
        <v>569466</v>
      </c>
      <c r="E1196">
        <v>10821</v>
      </c>
      <c r="F1196">
        <v>11049</v>
      </c>
    </row>
    <row r="1197" spans="1:6">
      <c r="A1197" t="s">
        <v>2330</v>
      </c>
      <c r="B1197">
        <v>133</v>
      </c>
      <c r="C1197" t="s">
        <v>159</v>
      </c>
      <c r="D1197">
        <v>6136783</v>
      </c>
      <c r="E1197">
        <v>10821</v>
      </c>
      <c r="F1197">
        <v>11049</v>
      </c>
    </row>
    <row r="1198" spans="1:6">
      <c r="A1198" t="s">
        <v>2331</v>
      </c>
      <c r="B1198">
        <v>133</v>
      </c>
      <c r="C1198" t="s">
        <v>642</v>
      </c>
      <c r="D1198">
        <v>3068392</v>
      </c>
      <c r="E1198">
        <v>10821</v>
      </c>
      <c r="F1198">
        <v>11049</v>
      </c>
    </row>
    <row r="1199" spans="1:6">
      <c r="A1199" t="s">
        <v>2332</v>
      </c>
      <c r="B1199">
        <v>134</v>
      </c>
      <c r="C1199" t="s">
        <v>149</v>
      </c>
      <c r="D1199">
        <v>64279</v>
      </c>
      <c r="E1199">
        <v>10965</v>
      </c>
      <c r="F1199">
        <v>11144</v>
      </c>
    </row>
    <row r="1200" spans="1:6">
      <c r="A1200" t="s">
        <v>2333</v>
      </c>
      <c r="B1200">
        <v>134</v>
      </c>
      <c r="C1200" t="s">
        <v>1132</v>
      </c>
      <c r="D1200">
        <v>192837</v>
      </c>
      <c r="E1200">
        <v>10965</v>
      </c>
      <c r="F1200">
        <v>11144</v>
      </c>
    </row>
    <row r="1201" spans="1:6">
      <c r="A1201" t="s">
        <v>2334</v>
      </c>
      <c r="B1201">
        <v>134</v>
      </c>
      <c r="C1201" t="s">
        <v>1134</v>
      </c>
      <c r="D1201">
        <v>115703</v>
      </c>
      <c r="E1201">
        <v>10965</v>
      </c>
      <c r="F1201">
        <v>11144</v>
      </c>
    </row>
    <row r="1202" spans="1:6">
      <c r="A1202" t="s">
        <v>2335</v>
      </c>
      <c r="B1202">
        <v>134</v>
      </c>
      <c r="C1202" t="s">
        <v>1136</v>
      </c>
      <c r="D1202">
        <v>32140</v>
      </c>
      <c r="E1202">
        <v>10965</v>
      </c>
      <c r="F1202">
        <v>11144</v>
      </c>
    </row>
    <row r="1203" spans="1:6">
      <c r="A1203" t="s">
        <v>2336</v>
      </c>
      <c r="B1203">
        <v>134</v>
      </c>
      <c r="C1203" t="s">
        <v>1138</v>
      </c>
      <c r="D1203">
        <v>9642</v>
      </c>
      <c r="E1203">
        <v>10965</v>
      </c>
      <c r="F1203">
        <v>11144</v>
      </c>
    </row>
    <row r="1204" spans="1:6">
      <c r="A1204" t="s">
        <v>2337</v>
      </c>
      <c r="B1204">
        <v>134</v>
      </c>
      <c r="C1204" t="s">
        <v>738</v>
      </c>
      <c r="D1204">
        <v>257116</v>
      </c>
      <c r="E1204">
        <v>10965</v>
      </c>
      <c r="F1204">
        <v>11144</v>
      </c>
    </row>
    <row r="1205" spans="1:6">
      <c r="A1205" t="s">
        <v>2338</v>
      </c>
      <c r="B1205">
        <v>134</v>
      </c>
      <c r="C1205" t="s">
        <v>1141</v>
      </c>
      <c r="D1205">
        <v>578511</v>
      </c>
      <c r="E1205">
        <v>10965</v>
      </c>
      <c r="F1205">
        <v>11144</v>
      </c>
    </row>
    <row r="1206" spans="1:6">
      <c r="A1206" t="s">
        <v>2339</v>
      </c>
      <c r="B1206">
        <v>134</v>
      </c>
      <c r="C1206" t="s">
        <v>159</v>
      </c>
      <c r="D1206">
        <v>6244875</v>
      </c>
      <c r="E1206">
        <v>10965</v>
      </c>
      <c r="F1206">
        <v>11144</v>
      </c>
    </row>
    <row r="1207" spans="1:6">
      <c r="A1207" t="s">
        <v>2340</v>
      </c>
      <c r="B1207">
        <v>134</v>
      </c>
      <c r="C1207" t="s">
        <v>642</v>
      </c>
      <c r="D1207">
        <v>3122437</v>
      </c>
      <c r="E1207">
        <v>10965</v>
      </c>
      <c r="F1207">
        <v>11144</v>
      </c>
    </row>
    <row r="1208" spans="1:6">
      <c r="A1208" t="s">
        <v>2341</v>
      </c>
      <c r="B1208">
        <v>135</v>
      </c>
      <c r="C1208" t="s">
        <v>149</v>
      </c>
      <c r="D1208">
        <v>65296</v>
      </c>
      <c r="E1208">
        <v>11111</v>
      </c>
      <c r="F1208">
        <v>11240</v>
      </c>
    </row>
    <row r="1209" spans="1:6">
      <c r="A1209" t="s">
        <v>2342</v>
      </c>
      <c r="B1209">
        <v>135</v>
      </c>
      <c r="C1209" t="s">
        <v>1132</v>
      </c>
      <c r="D1209">
        <v>195888</v>
      </c>
      <c r="E1209">
        <v>11111</v>
      </c>
      <c r="F1209">
        <v>11240</v>
      </c>
    </row>
    <row r="1210" spans="1:6">
      <c r="A1210" t="s">
        <v>2343</v>
      </c>
      <c r="B1210">
        <v>135</v>
      </c>
      <c r="C1210" t="s">
        <v>1134</v>
      </c>
      <c r="D1210">
        <v>117533</v>
      </c>
      <c r="E1210">
        <v>11111</v>
      </c>
      <c r="F1210">
        <v>11240</v>
      </c>
    </row>
    <row r="1211" spans="1:6">
      <c r="A1211" t="s">
        <v>2344</v>
      </c>
      <c r="B1211">
        <v>135</v>
      </c>
      <c r="C1211" t="s">
        <v>1136</v>
      </c>
      <c r="D1211">
        <v>32648</v>
      </c>
      <c r="E1211">
        <v>11111</v>
      </c>
      <c r="F1211">
        <v>11240</v>
      </c>
    </row>
    <row r="1212" spans="1:6">
      <c r="A1212" t="s">
        <v>2345</v>
      </c>
      <c r="B1212">
        <v>135</v>
      </c>
      <c r="C1212" t="s">
        <v>1138</v>
      </c>
      <c r="D1212">
        <v>9795</v>
      </c>
      <c r="E1212">
        <v>11111</v>
      </c>
      <c r="F1212">
        <v>11240</v>
      </c>
    </row>
    <row r="1213" spans="1:6">
      <c r="A1213" t="s">
        <v>2346</v>
      </c>
      <c r="B1213">
        <v>135</v>
      </c>
      <c r="C1213" t="s">
        <v>738</v>
      </c>
      <c r="D1213">
        <v>261184</v>
      </c>
      <c r="E1213">
        <v>11111</v>
      </c>
      <c r="F1213">
        <v>11240</v>
      </c>
    </row>
    <row r="1214" spans="1:6">
      <c r="A1214" t="s">
        <v>2347</v>
      </c>
      <c r="B1214">
        <v>135</v>
      </c>
      <c r="C1214" t="s">
        <v>1141</v>
      </c>
      <c r="D1214">
        <v>587664</v>
      </c>
      <c r="E1214">
        <v>11111</v>
      </c>
      <c r="F1214">
        <v>11240</v>
      </c>
    </row>
    <row r="1215" spans="1:6">
      <c r="A1215" t="s">
        <v>2348</v>
      </c>
      <c r="B1215">
        <v>135</v>
      </c>
      <c r="C1215" t="s">
        <v>159</v>
      </c>
      <c r="D1215">
        <v>6354235</v>
      </c>
      <c r="E1215">
        <v>11111</v>
      </c>
      <c r="F1215">
        <v>11240</v>
      </c>
    </row>
    <row r="1216" spans="1:6">
      <c r="A1216" t="s">
        <v>2349</v>
      </c>
      <c r="B1216">
        <v>135</v>
      </c>
      <c r="C1216" t="s">
        <v>642</v>
      </c>
      <c r="D1216">
        <v>3177117</v>
      </c>
      <c r="E1216">
        <v>11111</v>
      </c>
      <c r="F1216">
        <v>11240</v>
      </c>
    </row>
    <row r="1217" spans="1:6">
      <c r="A1217" t="s">
        <v>2350</v>
      </c>
      <c r="B1217">
        <v>136</v>
      </c>
      <c r="C1217" t="s">
        <v>149</v>
      </c>
      <c r="D1217">
        <v>66323</v>
      </c>
      <c r="E1217">
        <v>11258</v>
      </c>
      <c r="F1217">
        <v>11335</v>
      </c>
    </row>
    <row r="1218" spans="1:6">
      <c r="A1218" t="s">
        <v>2351</v>
      </c>
      <c r="B1218">
        <v>136</v>
      </c>
      <c r="C1218" t="s">
        <v>1132</v>
      </c>
      <c r="D1218">
        <v>198969</v>
      </c>
      <c r="E1218">
        <v>11258</v>
      </c>
      <c r="F1218">
        <v>11335</v>
      </c>
    </row>
    <row r="1219" spans="1:6">
      <c r="A1219" t="s">
        <v>2352</v>
      </c>
      <c r="B1219">
        <v>136</v>
      </c>
      <c r="C1219" t="s">
        <v>1134</v>
      </c>
      <c r="D1219">
        <v>119382</v>
      </c>
      <c r="E1219">
        <v>11258</v>
      </c>
      <c r="F1219">
        <v>11335</v>
      </c>
    </row>
    <row r="1220" spans="1:6">
      <c r="A1220" t="s">
        <v>2353</v>
      </c>
      <c r="B1220">
        <v>136</v>
      </c>
      <c r="C1220" t="s">
        <v>1136</v>
      </c>
      <c r="D1220">
        <v>33162</v>
      </c>
      <c r="E1220">
        <v>11258</v>
      </c>
      <c r="F1220">
        <v>11335</v>
      </c>
    </row>
    <row r="1221" spans="1:6">
      <c r="A1221" t="s">
        <v>2354</v>
      </c>
      <c r="B1221">
        <v>136</v>
      </c>
      <c r="C1221" t="s">
        <v>1138</v>
      </c>
      <c r="D1221">
        <v>9949</v>
      </c>
      <c r="E1221">
        <v>11258</v>
      </c>
      <c r="F1221">
        <v>11335</v>
      </c>
    </row>
    <row r="1222" spans="1:6">
      <c r="A1222" t="s">
        <v>2355</v>
      </c>
      <c r="B1222">
        <v>136</v>
      </c>
      <c r="C1222" t="s">
        <v>738</v>
      </c>
      <c r="D1222">
        <v>265292</v>
      </c>
      <c r="E1222">
        <v>11258</v>
      </c>
      <c r="F1222">
        <v>11335</v>
      </c>
    </row>
    <row r="1223" spans="1:6">
      <c r="A1223" t="s">
        <v>2356</v>
      </c>
      <c r="B1223">
        <v>136</v>
      </c>
      <c r="C1223" t="s">
        <v>1141</v>
      </c>
      <c r="D1223">
        <v>596907</v>
      </c>
      <c r="E1223">
        <v>11258</v>
      </c>
      <c r="F1223">
        <v>11335</v>
      </c>
    </row>
    <row r="1224" spans="1:6">
      <c r="A1224" t="s">
        <v>2357</v>
      </c>
      <c r="B1224">
        <v>136</v>
      </c>
      <c r="C1224" t="s">
        <v>159</v>
      </c>
      <c r="D1224">
        <v>6464982</v>
      </c>
      <c r="E1224">
        <v>11258</v>
      </c>
      <c r="F1224">
        <v>11335</v>
      </c>
    </row>
    <row r="1225" spans="1:6">
      <c r="A1225" t="s">
        <v>2358</v>
      </c>
      <c r="B1225">
        <v>136</v>
      </c>
      <c r="C1225" t="s">
        <v>642</v>
      </c>
      <c r="D1225">
        <v>3232491</v>
      </c>
      <c r="E1225">
        <v>11258</v>
      </c>
      <c r="F1225">
        <v>11335</v>
      </c>
    </row>
    <row r="1226" spans="1:6">
      <c r="A1226" t="s">
        <v>2359</v>
      </c>
      <c r="B1226">
        <v>137</v>
      </c>
      <c r="C1226" t="s">
        <v>149</v>
      </c>
      <c r="D1226">
        <v>67361</v>
      </c>
      <c r="E1226">
        <v>11405</v>
      </c>
      <c r="F1226">
        <v>11431</v>
      </c>
    </row>
    <row r="1227" spans="1:6">
      <c r="A1227" t="s">
        <v>2360</v>
      </c>
      <c r="B1227">
        <v>137</v>
      </c>
      <c r="C1227" t="s">
        <v>1132</v>
      </c>
      <c r="D1227">
        <v>202083</v>
      </c>
      <c r="E1227">
        <v>11405</v>
      </c>
      <c r="F1227">
        <v>11431</v>
      </c>
    </row>
    <row r="1228" spans="1:6">
      <c r="A1228" t="s">
        <v>2361</v>
      </c>
      <c r="B1228">
        <v>137</v>
      </c>
      <c r="C1228" t="s">
        <v>1134</v>
      </c>
      <c r="D1228">
        <v>121250</v>
      </c>
      <c r="E1228">
        <v>11405</v>
      </c>
      <c r="F1228">
        <v>11431</v>
      </c>
    </row>
    <row r="1229" spans="1:6">
      <c r="A1229" t="s">
        <v>2362</v>
      </c>
      <c r="B1229">
        <v>137</v>
      </c>
      <c r="C1229" t="s">
        <v>1136</v>
      </c>
      <c r="D1229">
        <v>33681</v>
      </c>
      <c r="E1229">
        <v>11405</v>
      </c>
      <c r="F1229">
        <v>11431</v>
      </c>
    </row>
    <row r="1230" spans="1:6">
      <c r="A1230" t="s">
        <v>2363</v>
      </c>
      <c r="B1230">
        <v>137</v>
      </c>
      <c r="C1230" t="s">
        <v>1138</v>
      </c>
      <c r="D1230">
        <v>10105</v>
      </c>
      <c r="E1230">
        <v>11405</v>
      </c>
      <c r="F1230">
        <v>11431</v>
      </c>
    </row>
    <row r="1231" spans="1:6">
      <c r="A1231" t="s">
        <v>2364</v>
      </c>
      <c r="B1231">
        <v>137</v>
      </c>
      <c r="C1231" t="s">
        <v>738</v>
      </c>
      <c r="D1231">
        <v>269444</v>
      </c>
      <c r="E1231">
        <v>11405</v>
      </c>
      <c r="F1231">
        <v>11431</v>
      </c>
    </row>
    <row r="1232" spans="1:6">
      <c r="A1232" t="s">
        <v>2365</v>
      </c>
      <c r="B1232">
        <v>137</v>
      </c>
      <c r="C1232" t="s">
        <v>1141</v>
      </c>
      <c r="D1232">
        <v>606249</v>
      </c>
      <c r="E1232">
        <v>11405</v>
      </c>
      <c r="F1232">
        <v>11431</v>
      </c>
    </row>
    <row r="1233" spans="1:6">
      <c r="A1233" t="s">
        <v>2366</v>
      </c>
      <c r="B1233">
        <v>137</v>
      </c>
      <c r="C1233" t="s">
        <v>159</v>
      </c>
      <c r="D1233">
        <v>6576998</v>
      </c>
      <c r="E1233">
        <v>11405</v>
      </c>
      <c r="F1233">
        <v>11431</v>
      </c>
    </row>
    <row r="1234" spans="1:6">
      <c r="A1234" t="s">
        <v>2367</v>
      </c>
      <c r="B1234">
        <v>137</v>
      </c>
      <c r="C1234" t="s">
        <v>642</v>
      </c>
      <c r="D1234">
        <v>3288499</v>
      </c>
      <c r="E1234">
        <v>11405</v>
      </c>
      <c r="F1234">
        <v>11431</v>
      </c>
    </row>
    <row r="1235" spans="1:6">
      <c r="A1235" t="s">
        <v>2368</v>
      </c>
      <c r="B1235">
        <v>138</v>
      </c>
      <c r="C1235" t="s">
        <v>149</v>
      </c>
      <c r="D1235">
        <v>68411</v>
      </c>
      <c r="E1235">
        <v>11554</v>
      </c>
      <c r="F1235">
        <v>11528</v>
      </c>
    </row>
    <row r="1236" spans="1:6">
      <c r="A1236" t="s">
        <v>2369</v>
      </c>
      <c r="B1236">
        <v>138</v>
      </c>
      <c r="C1236" t="s">
        <v>1132</v>
      </c>
      <c r="D1236">
        <v>205233</v>
      </c>
      <c r="E1236">
        <v>11554</v>
      </c>
      <c r="F1236">
        <v>11528</v>
      </c>
    </row>
    <row r="1237" spans="1:6">
      <c r="A1237" t="s">
        <v>2370</v>
      </c>
      <c r="B1237">
        <v>138</v>
      </c>
      <c r="C1237" t="s">
        <v>1134</v>
      </c>
      <c r="D1237">
        <v>123140</v>
      </c>
      <c r="E1237">
        <v>11554</v>
      </c>
      <c r="F1237">
        <v>11528</v>
      </c>
    </row>
    <row r="1238" spans="1:6">
      <c r="A1238" t="s">
        <v>2371</v>
      </c>
      <c r="B1238">
        <v>138</v>
      </c>
      <c r="C1238" t="s">
        <v>1136</v>
      </c>
      <c r="D1238">
        <v>34206</v>
      </c>
      <c r="E1238">
        <v>11554</v>
      </c>
      <c r="F1238">
        <v>11528</v>
      </c>
    </row>
    <row r="1239" spans="1:6">
      <c r="A1239" t="s">
        <v>2372</v>
      </c>
      <c r="B1239">
        <v>138</v>
      </c>
      <c r="C1239" t="s">
        <v>1138</v>
      </c>
      <c r="D1239">
        <v>10262</v>
      </c>
      <c r="E1239">
        <v>11554</v>
      </c>
      <c r="F1239">
        <v>11528</v>
      </c>
    </row>
    <row r="1240" spans="1:6">
      <c r="A1240" t="s">
        <v>2373</v>
      </c>
      <c r="B1240">
        <v>138</v>
      </c>
      <c r="C1240" t="s">
        <v>738</v>
      </c>
      <c r="D1240">
        <v>273644</v>
      </c>
      <c r="E1240">
        <v>11554</v>
      </c>
      <c r="F1240">
        <v>11528</v>
      </c>
    </row>
    <row r="1241" spans="1:6">
      <c r="A1241" t="s">
        <v>2374</v>
      </c>
      <c r="B1241">
        <v>138</v>
      </c>
      <c r="C1241" t="s">
        <v>1141</v>
      </c>
      <c r="D1241">
        <v>615699</v>
      </c>
      <c r="E1241">
        <v>11554</v>
      </c>
      <c r="F1241">
        <v>11528</v>
      </c>
    </row>
    <row r="1242" spans="1:6">
      <c r="A1242" t="s">
        <v>2375</v>
      </c>
      <c r="B1242">
        <v>138</v>
      </c>
      <c r="C1242" t="s">
        <v>159</v>
      </c>
      <c r="D1242">
        <v>6690401</v>
      </c>
      <c r="E1242">
        <v>11554</v>
      </c>
      <c r="F1242">
        <v>11528</v>
      </c>
    </row>
    <row r="1243" spans="1:6">
      <c r="A1243" t="s">
        <v>2376</v>
      </c>
      <c r="B1243">
        <v>138</v>
      </c>
      <c r="C1243" t="s">
        <v>642</v>
      </c>
      <c r="D1243">
        <v>3345200</v>
      </c>
      <c r="E1243">
        <v>11554</v>
      </c>
      <c r="F1243">
        <v>11528</v>
      </c>
    </row>
    <row r="1244" spans="1:6">
      <c r="A1244" t="s">
        <v>2377</v>
      </c>
      <c r="B1244">
        <v>139</v>
      </c>
      <c r="C1244" t="s">
        <v>149</v>
      </c>
      <c r="D1244">
        <v>69473</v>
      </c>
      <c r="E1244">
        <v>11705</v>
      </c>
      <c r="F1244">
        <v>11624</v>
      </c>
    </row>
    <row r="1245" spans="1:6">
      <c r="A1245" t="s">
        <v>2378</v>
      </c>
      <c r="B1245">
        <v>139</v>
      </c>
      <c r="C1245" t="s">
        <v>1132</v>
      </c>
      <c r="D1245">
        <v>208419</v>
      </c>
      <c r="E1245">
        <v>11705</v>
      </c>
      <c r="F1245">
        <v>11624</v>
      </c>
    </row>
    <row r="1246" spans="1:6">
      <c r="A1246" t="s">
        <v>2379</v>
      </c>
      <c r="B1246">
        <v>139</v>
      </c>
      <c r="C1246" t="s">
        <v>1134</v>
      </c>
      <c r="D1246">
        <v>125052</v>
      </c>
      <c r="E1246">
        <v>11705</v>
      </c>
      <c r="F1246">
        <v>11624</v>
      </c>
    </row>
    <row r="1247" spans="1:6">
      <c r="A1247" t="s">
        <v>2380</v>
      </c>
      <c r="B1247">
        <v>139</v>
      </c>
      <c r="C1247" t="s">
        <v>1136</v>
      </c>
      <c r="D1247">
        <v>34737</v>
      </c>
      <c r="E1247">
        <v>11705</v>
      </c>
      <c r="F1247">
        <v>11624</v>
      </c>
    </row>
    <row r="1248" spans="1:6">
      <c r="A1248" t="s">
        <v>2381</v>
      </c>
      <c r="B1248">
        <v>139</v>
      </c>
      <c r="C1248" t="s">
        <v>1138</v>
      </c>
      <c r="D1248">
        <v>10421</v>
      </c>
      <c r="E1248">
        <v>11705</v>
      </c>
      <c r="F1248">
        <v>11624</v>
      </c>
    </row>
    <row r="1249" spans="1:6">
      <c r="A1249" t="s">
        <v>2382</v>
      </c>
      <c r="B1249">
        <v>139</v>
      </c>
      <c r="C1249" t="s">
        <v>738</v>
      </c>
      <c r="D1249">
        <v>277892</v>
      </c>
      <c r="E1249">
        <v>11705</v>
      </c>
      <c r="F1249">
        <v>11624</v>
      </c>
    </row>
    <row r="1250" spans="1:6">
      <c r="A1250" t="s">
        <v>2383</v>
      </c>
      <c r="B1250">
        <v>139</v>
      </c>
      <c r="C1250" t="s">
        <v>1141</v>
      </c>
      <c r="D1250">
        <v>625257</v>
      </c>
      <c r="E1250">
        <v>11705</v>
      </c>
      <c r="F1250">
        <v>11624</v>
      </c>
    </row>
    <row r="1251" spans="1:6">
      <c r="A1251" t="s">
        <v>2384</v>
      </c>
      <c r="B1251">
        <v>139</v>
      </c>
      <c r="C1251" t="s">
        <v>159</v>
      </c>
      <c r="D1251">
        <v>6805191</v>
      </c>
      <c r="E1251">
        <v>11705</v>
      </c>
      <c r="F1251">
        <v>11624</v>
      </c>
    </row>
    <row r="1252" spans="1:6">
      <c r="A1252" t="s">
        <v>2385</v>
      </c>
      <c r="B1252">
        <v>139</v>
      </c>
      <c r="C1252" t="s">
        <v>642</v>
      </c>
      <c r="D1252">
        <v>3402596</v>
      </c>
      <c r="E1252">
        <v>11705</v>
      </c>
      <c r="F1252">
        <v>11624</v>
      </c>
    </row>
    <row r="1253" spans="1:6">
      <c r="A1253" t="s">
        <v>2386</v>
      </c>
      <c r="B1253">
        <v>140</v>
      </c>
      <c r="C1253" t="s">
        <v>149</v>
      </c>
      <c r="D1253">
        <v>70546</v>
      </c>
      <c r="E1253">
        <v>11856</v>
      </c>
      <c r="F1253">
        <v>11720</v>
      </c>
    </row>
    <row r="1254" spans="1:6">
      <c r="A1254" t="s">
        <v>2387</v>
      </c>
      <c r="B1254">
        <v>140</v>
      </c>
      <c r="C1254" t="s">
        <v>1132</v>
      </c>
      <c r="D1254">
        <v>211638</v>
      </c>
      <c r="E1254">
        <v>11856</v>
      </c>
      <c r="F1254">
        <v>11720</v>
      </c>
    </row>
    <row r="1255" spans="1:6">
      <c r="A1255" t="s">
        <v>2388</v>
      </c>
      <c r="B1255">
        <v>140</v>
      </c>
      <c r="C1255" t="s">
        <v>1134</v>
      </c>
      <c r="D1255">
        <v>126983</v>
      </c>
      <c r="E1255">
        <v>11856</v>
      </c>
      <c r="F1255">
        <v>11720</v>
      </c>
    </row>
    <row r="1256" spans="1:6">
      <c r="A1256" t="s">
        <v>2389</v>
      </c>
      <c r="B1256">
        <v>140</v>
      </c>
      <c r="C1256" t="s">
        <v>1136</v>
      </c>
      <c r="D1256">
        <v>35273</v>
      </c>
      <c r="E1256">
        <v>11856</v>
      </c>
      <c r="F1256">
        <v>11720</v>
      </c>
    </row>
    <row r="1257" spans="1:6">
      <c r="A1257" t="s">
        <v>2390</v>
      </c>
      <c r="B1257">
        <v>140</v>
      </c>
      <c r="C1257" t="s">
        <v>1138</v>
      </c>
      <c r="D1257">
        <v>10582</v>
      </c>
      <c r="E1257">
        <v>11856</v>
      </c>
      <c r="F1257">
        <v>11720</v>
      </c>
    </row>
    <row r="1258" spans="1:6">
      <c r="A1258" t="s">
        <v>2391</v>
      </c>
      <c r="B1258">
        <v>140</v>
      </c>
      <c r="C1258" t="s">
        <v>738</v>
      </c>
      <c r="D1258">
        <v>282184</v>
      </c>
      <c r="E1258">
        <v>11856</v>
      </c>
      <c r="F1258">
        <v>11720</v>
      </c>
    </row>
    <row r="1259" spans="1:6">
      <c r="A1259" t="s">
        <v>2392</v>
      </c>
      <c r="B1259">
        <v>140</v>
      </c>
      <c r="C1259" t="s">
        <v>1141</v>
      </c>
      <c r="D1259">
        <v>634914</v>
      </c>
      <c r="E1259">
        <v>11856</v>
      </c>
      <c r="F1259">
        <v>11720</v>
      </c>
    </row>
    <row r="1260" spans="1:6">
      <c r="A1260" t="s">
        <v>2393</v>
      </c>
      <c r="B1260">
        <v>140</v>
      </c>
      <c r="C1260" t="s">
        <v>159</v>
      </c>
      <c r="D1260">
        <v>6921369</v>
      </c>
      <c r="E1260">
        <v>11856</v>
      </c>
      <c r="F1260">
        <v>11720</v>
      </c>
    </row>
    <row r="1261" spans="1:6">
      <c r="A1261" t="s">
        <v>2394</v>
      </c>
      <c r="B1261">
        <v>140</v>
      </c>
      <c r="C1261" t="s">
        <v>642</v>
      </c>
      <c r="D1261">
        <v>3460684</v>
      </c>
      <c r="E1261">
        <v>11856</v>
      </c>
      <c r="F1261">
        <v>11720</v>
      </c>
    </row>
    <row r="1262" spans="1:6">
      <c r="A1262" t="s">
        <v>2395</v>
      </c>
      <c r="B1262">
        <v>141</v>
      </c>
      <c r="C1262" t="s">
        <v>149</v>
      </c>
      <c r="D1262">
        <v>71630</v>
      </c>
      <c r="E1262">
        <v>12009</v>
      </c>
      <c r="F1262">
        <v>11817</v>
      </c>
    </row>
    <row r="1263" spans="1:6">
      <c r="A1263" t="s">
        <v>2396</v>
      </c>
      <c r="B1263">
        <v>141</v>
      </c>
      <c r="C1263" t="s">
        <v>1132</v>
      </c>
      <c r="D1263">
        <v>214890</v>
      </c>
      <c r="E1263">
        <v>12009</v>
      </c>
      <c r="F1263">
        <v>11817</v>
      </c>
    </row>
    <row r="1264" spans="1:6">
      <c r="A1264" t="s">
        <v>2397</v>
      </c>
      <c r="B1264">
        <v>141</v>
      </c>
      <c r="C1264" t="s">
        <v>1134</v>
      </c>
      <c r="D1264">
        <v>128934</v>
      </c>
      <c r="E1264">
        <v>12009</v>
      </c>
      <c r="F1264">
        <v>11817</v>
      </c>
    </row>
    <row r="1265" spans="1:6">
      <c r="A1265" t="s">
        <v>2398</v>
      </c>
      <c r="B1265">
        <v>141</v>
      </c>
      <c r="C1265" t="s">
        <v>1136</v>
      </c>
      <c r="D1265">
        <v>35815</v>
      </c>
      <c r="E1265">
        <v>12009</v>
      </c>
      <c r="F1265">
        <v>11817</v>
      </c>
    </row>
    <row r="1266" spans="1:6">
      <c r="A1266" t="s">
        <v>2399</v>
      </c>
      <c r="B1266">
        <v>141</v>
      </c>
      <c r="C1266" t="s">
        <v>1138</v>
      </c>
      <c r="D1266">
        <v>10745</v>
      </c>
      <c r="E1266">
        <v>12009</v>
      </c>
      <c r="F1266">
        <v>11817</v>
      </c>
    </row>
    <row r="1267" spans="1:6">
      <c r="A1267" t="s">
        <v>2400</v>
      </c>
      <c r="B1267">
        <v>141</v>
      </c>
      <c r="C1267" t="s">
        <v>738</v>
      </c>
      <c r="D1267">
        <v>286520</v>
      </c>
      <c r="E1267">
        <v>12009</v>
      </c>
      <c r="F1267">
        <v>11817</v>
      </c>
    </row>
    <row r="1268" spans="1:6">
      <c r="A1268" t="s">
        <v>2401</v>
      </c>
      <c r="B1268">
        <v>141</v>
      </c>
      <c r="C1268" t="s">
        <v>1141</v>
      </c>
      <c r="D1268">
        <v>644670</v>
      </c>
      <c r="E1268">
        <v>12009</v>
      </c>
      <c r="F1268">
        <v>11817</v>
      </c>
    </row>
    <row r="1269" spans="1:6">
      <c r="A1269" t="s">
        <v>2402</v>
      </c>
      <c r="B1269">
        <v>141</v>
      </c>
      <c r="C1269" t="s">
        <v>159</v>
      </c>
      <c r="D1269">
        <v>7038874</v>
      </c>
      <c r="E1269">
        <v>12009</v>
      </c>
      <c r="F1269">
        <v>11817</v>
      </c>
    </row>
    <row r="1270" spans="1:6">
      <c r="A1270" t="s">
        <v>2403</v>
      </c>
      <c r="B1270">
        <v>141</v>
      </c>
      <c r="C1270" t="s">
        <v>642</v>
      </c>
      <c r="D1270">
        <v>3519437</v>
      </c>
      <c r="E1270">
        <v>12009</v>
      </c>
      <c r="F1270">
        <v>11817</v>
      </c>
    </row>
    <row r="1271" spans="1:6">
      <c r="A1271" t="s">
        <v>2404</v>
      </c>
      <c r="B1271">
        <v>142</v>
      </c>
      <c r="C1271" t="s">
        <v>149</v>
      </c>
      <c r="D1271">
        <v>72726</v>
      </c>
      <c r="E1271">
        <v>12162</v>
      </c>
      <c r="F1271">
        <v>11914</v>
      </c>
    </row>
    <row r="1272" spans="1:6">
      <c r="A1272" t="s">
        <v>2405</v>
      </c>
      <c r="B1272">
        <v>142</v>
      </c>
      <c r="C1272" t="s">
        <v>1132</v>
      </c>
      <c r="D1272">
        <v>218178</v>
      </c>
      <c r="E1272">
        <v>12162</v>
      </c>
      <c r="F1272">
        <v>11914</v>
      </c>
    </row>
    <row r="1273" spans="1:6">
      <c r="A1273" t="s">
        <v>2406</v>
      </c>
      <c r="B1273">
        <v>142</v>
      </c>
      <c r="C1273" t="s">
        <v>1134</v>
      </c>
      <c r="D1273">
        <v>130907</v>
      </c>
      <c r="E1273">
        <v>12162</v>
      </c>
      <c r="F1273">
        <v>11914</v>
      </c>
    </row>
    <row r="1274" spans="1:6">
      <c r="A1274" t="s">
        <v>2407</v>
      </c>
      <c r="B1274">
        <v>142</v>
      </c>
      <c r="C1274" t="s">
        <v>1136</v>
      </c>
      <c r="D1274">
        <v>36363</v>
      </c>
      <c r="E1274">
        <v>12162</v>
      </c>
      <c r="F1274">
        <v>11914</v>
      </c>
    </row>
    <row r="1275" spans="1:6">
      <c r="A1275" t="s">
        <v>2408</v>
      </c>
      <c r="B1275">
        <v>142</v>
      </c>
      <c r="C1275" t="s">
        <v>1138</v>
      </c>
      <c r="D1275">
        <v>10909</v>
      </c>
      <c r="E1275">
        <v>12162</v>
      </c>
      <c r="F1275">
        <v>11914</v>
      </c>
    </row>
    <row r="1276" spans="1:6">
      <c r="A1276" t="s">
        <v>2409</v>
      </c>
      <c r="B1276">
        <v>142</v>
      </c>
      <c r="C1276" t="s">
        <v>738</v>
      </c>
      <c r="D1276">
        <v>290904</v>
      </c>
      <c r="E1276">
        <v>12162</v>
      </c>
      <c r="F1276">
        <v>11914</v>
      </c>
    </row>
    <row r="1277" spans="1:6">
      <c r="A1277" t="s">
        <v>2410</v>
      </c>
      <c r="B1277">
        <v>142</v>
      </c>
      <c r="C1277" t="s">
        <v>1141</v>
      </c>
      <c r="D1277">
        <v>654534</v>
      </c>
      <c r="E1277">
        <v>12162</v>
      </c>
      <c r="F1277">
        <v>11914</v>
      </c>
    </row>
    <row r="1278" spans="1:6">
      <c r="A1278" t="s">
        <v>2411</v>
      </c>
      <c r="B1278">
        <v>142</v>
      </c>
      <c r="C1278" t="s">
        <v>159</v>
      </c>
      <c r="D1278">
        <v>7157825</v>
      </c>
      <c r="E1278">
        <v>12162</v>
      </c>
      <c r="F1278">
        <v>11914</v>
      </c>
    </row>
    <row r="1279" spans="1:6">
      <c r="A1279" t="s">
        <v>2412</v>
      </c>
      <c r="B1279">
        <v>142</v>
      </c>
      <c r="C1279" t="s">
        <v>642</v>
      </c>
      <c r="D1279">
        <v>3578912</v>
      </c>
      <c r="E1279">
        <v>12162</v>
      </c>
      <c r="F1279">
        <v>11914</v>
      </c>
    </row>
    <row r="1280" spans="1:6">
      <c r="A1280" t="s">
        <v>2413</v>
      </c>
      <c r="B1280">
        <v>143</v>
      </c>
      <c r="C1280" t="s">
        <v>149</v>
      </c>
      <c r="D1280">
        <v>73834</v>
      </c>
      <c r="E1280">
        <v>12317</v>
      </c>
      <c r="F1280">
        <v>12011</v>
      </c>
    </row>
    <row r="1281" spans="1:6">
      <c r="A1281" t="s">
        <v>2414</v>
      </c>
      <c r="B1281">
        <v>143</v>
      </c>
      <c r="C1281" t="s">
        <v>1132</v>
      </c>
      <c r="D1281">
        <v>221502</v>
      </c>
      <c r="E1281">
        <v>12317</v>
      </c>
      <c r="F1281">
        <v>12011</v>
      </c>
    </row>
    <row r="1282" spans="1:6">
      <c r="A1282" t="s">
        <v>2415</v>
      </c>
      <c r="B1282">
        <v>143</v>
      </c>
      <c r="C1282" t="s">
        <v>1134</v>
      </c>
      <c r="D1282">
        <v>132902</v>
      </c>
      <c r="E1282">
        <v>12317</v>
      </c>
      <c r="F1282">
        <v>12011</v>
      </c>
    </row>
    <row r="1283" spans="1:6">
      <c r="A1283" t="s">
        <v>2416</v>
      </c>
      <c r="B1283">
        <v>143</v>
      </c>
      <c r="C1283" t="s">
        <v>1136</v>
      </c>
      <c r="D1283">
        <v>36917</v>
      </c>
      <c r="E1283">
        <v>12317</v>
      </c>
      <c r="F1283">
        <v>12011</v>
      </c>
    </row>
    <row r="1284" spans="1:6">
      <c r="A1284" t="s">
        <v>2417</v>
      </c>
      <c r="B1284">
        <v>143</v>
      </c>
      <c r="C1284" t="s">
        <v>1138</v>
      </c>
      <c r="D1284">
        <v>11076</v>
      </c>
      <c r="E1284">
        <v>12317</v>
      </c>
      <c r="F1284">
        <v>12011</v>
      </c>
    </row>
    <row r="1285" spans="1:6">
      <c r="A1285" t="s">
        <v>2418</v>
      </c>
      <c r="B1285">
        <v>143</v>
      </c>
      <c r="C1285" t="s">
        <v>738</v>
      </c>
      <c r="D1285">
        <v>295336</v>
      </c>
      <c r="E1285">
        <v>12317</v>
      </c>
      <c r="F1285">
        <v>12011</v>
      </c>
    </row>
    <row r="1286" spans="1:6">
      <c r="A1286" t="s">
        <v>2419</v>
      </c>
      <c r="B1286">
        <v>143</v>
      </c>
      <c r="C1286" t="s">
        <v>1141</v>
      </c>
      <c r="D1286">
        <v>664506</v>
      </c>
      <c r="E1286">
        <v>12317</v>
      </c>
      <c r="F1286">
        <v>12011</v>
      </c>
    </row>
    <row r="1287" spans="1:6">
      <c r="A1287" t="s">
        <v>2420</v>
      </c>
      <c r="B1287">
        <v>143</v>
      </c>
      <c r="C1287" t="s">
        <v>159</v>
      </c>
      <c r="D1287">
        <v>7278103</v>
      </c>
      <c r="E1287">
        <v>12317</v>
      </c>
      <c r="F1287">
        <v>12011</v>
      </c>
    </row>
    <row r="1288" spans="1:6">
      <c r="A1288" t="s">
        <v>2421</v>
      </c>
      <c r="B1288">
        <v>143</v>
      </c>
      <c r="C1288" t="s">
        <v>642</v>
      </c>
      <c r="D1288">
        <v>3639051</v>
      </c>
      <c r="E1288">
        <v>12317</v>
      </c>
      <c r="F1288">
        <v>12011</v>
      </c>
    </row>
    <row r="1289" spans="1:6">
      <c r="A1289" t="s">
        <v>2422</v>
      </c>
      <c r="B1289">
        <v>144</v>
      </c>
      <c r="C1289" t="s">
        <v>149</v>
      </c>
      <c r="D1289">
        <v>74954</v>
      </c>
      <c r="E1289">
        <v>12473</v>
      </c>
      <c r="F1289">
        <v>12108</v>
      </c>
    </row>
    <row r="1290" spans="1:6">
      <c r="A1290" t="s">
        <v>2423</v>
      </c>
      <c r="B1290">
        <v>144</v>
      </c>
      <c r="C1290" t="s">
        <v>1132</v>
      </c>
      <c r="D1290">
        <v>224862</v>
      </c>
      <c r="E1290">
        <v>12473</v>
      </c>
      <c r="F1290">
        <v>12108</v>
      </c>
    </row>
    <row r="1291" spans="1:6">
      <c r="A1291" t="s">
        <v>2424</v>
      </c>
      <c r="B1291">
        <v>144</v>
      </c>
      <c r="C1291" t="s">
        <v>1134</v>
      </c>
      <c r="D1291">
        <v>134918</v>
      </c>
      <c r="E1291">
        <v>12473</v>
      </c>
      <c r="F1291">
        <v>12108</v>
      </c>
    </row>
    <row r="1292" spans="1:6">
      <c r="A1292" t="s">
        <v>2425</v>
      </c>
      <c r="B1292">
        <v>144</v>
      </c>
      <c r="C1292" t="s">
        <v>1136</v>
      </c>
      <c r="D1292">
        <v>37477</v>
      </c>
      <c r="E1292">
        <v>12473</v>
      </c>
      <c r="F1292">
        <v>12108</v>
      </c>
    </row>
    <row r="1293" spans="1:6">
      <c r="A1293" t="s">
        <v>2426</v>
      </c>
      <c r="B1293">
        <v>144</v>
      </c>
      <c r="C1293" t="s">
        <v>1138</v>
      </c>
      <c r="D1293">
        <v>11244</v>
      </c>
      <c r="E1293">
        <v>12473</v>
      </c>
      <c r="F1293">
        <v>12108</v>
      </c>
    </row>
    <row r="1294" spans="1:6">
      <c r="A1294" t="s">
        <v>2427</v>
      </c>
      <c r="B1294">
        <v>144</v>
      </c>
      <c r="C1294" t="s">
        <v>738</v>
      </c>
      <c r="D1294">
        <v>299816</v>
      </c>
      <c r="E1294">
        <v>12473</v>
      </c>
      <c r="F1294">
        <v>12108</v>
      </c>
    </row>
    <row r="1295" spans="1:6">
      <c r="A1295" t="s">
        <v>2428</v>
      </c>
      <c r="B1295">
        <v>144</v>
      </c>
      <c r="C1295" t="s">
        <v>1141</v>
      </c>
      <c r="D1295">
        <v>674586</v>
      </c>
      <c r="E1295">
        <v>12473</v>
      </c>
      <c r="F1295">
        <v>12108</v>
      </c>
    </row>
    <row r="1296" spans="1:6">
      <c r="A1296" t="s">
        <v>2429</v>
      </c>
      <c r="B1296">
        <v>144</v>
      </c>
      <c r="C1296" t="s">
        <v>159</v>
      </c>
      <c r="D1296">
        <v>7399887</v>
      </c>
      <c r="E1296">
        <v>12473</v>
      </c>
      <c r="F1296">
        <v>12108</v>
      </c>
    </row>
    <row r="1297" spans="1:6">
      <c r="A1297" t="s">
        <v>2430</v>
      </c>
      <c r="B1297">
        <v>144</v>
      </c>
      <c r="C1297" t="s">
        <v>642</v>
      </c>
      <c r="D1297">
        <v>3699944</v>
      </c>
      <c r="E1297">
        <v>12473</v>
      </c>
      <c r="F1297">
        <v>12108</v>
      </c>
    </row>
    <row r="1298" spans="1:6">
      <c r="A1298" t="s">
        <v>2431</v>
      </c>
      <c r="B1298">
        <v>145</v>
      </c>
      <c r="C1298" t="s">
        <v>149</v>
      </c>
      <c r="D1298">
        <v>76086</v>
      </c>
      <c r="E1298">
        <v>12631</v>
      </c>
      <c r="F1298">
        <v>12206</v>
      </c>
    </row>
    <row r="1299" spans="1:6">
      <c r="A1299" t="s">
        <v>2432</v>
      </c>
      <c r="B1299">
        <v>145</v>
      </c>
      <c r="C1299" t="s">
        <v>1132</v>
      </c>
      <c r="D1299">
        <v>228258</v>
      </c>
      <c r="E1299">
        <v>12631</v>
      </c>
      <c r="F1299">
        <v>12206</v>
      </c>
    </row>
    <row r="1300" spans="1:6">
      <c r="A1300" t="s">
        <v>2433</v>
      </c>
      <c r="B1300">
        <v>145</v>
      </c>
      <c r="C1300" t="s">
        <v>1134</v>
      </c>
      <c r="D1300">
        <v>136955</v>
      </c>
      <c r="E1300">
        <v>12631</v>
      </c>
      <c r="F1300">
        <v>12206</v>
      </c>
    </row>
    <row r="1301" spans="1:6">
      <c r="A1301" t="s">
        <v>2434</v>
      </c>
      <c r="B1301">
        <v>145</v>
      </c>
      <c r="C1301" t="s">
        <v>1136</v>
      </c>
      <c r="D1301">
        <v>38043</v>
      </c>
      <c r="E1301">
        <v>12631</v>
      </c>
      <c r="F1301">
        <v>12206</v>
      </c>
    </row>
    <row r="1302" spans="1:6">
      <c r="A1302" t="s">
        <v>2435</v>
      </c>
      <c r="B1302">
        <v>145</v>
      </c>
      <c r="C1302" t="s">
        <v>1138</v>
      </c>
      <c r="D1302">
        <v>11413</v>
      </c>
      <c r="E1302">
        <v>12631</v>
      </c>
      <c r="F1302">
        <v>12206</v>
      </c>
    </row>
    <row r="1303" spans="1:6">
      <c r="A1303" t="s">
        <v>2436</v>
      </c>
      <c r="B1303">
        <v>145</v>
      </c>
      <c r="C1303" t="s">
        <v>738</v>
      </c>
      <c r="D1303">
        <v>304344</v>
      </c>
      <c r="E1303">
        <v>12631</v>
      </c>
      <c r="F1303">
        <v>12206</v>
      </c>
    </row>
    <row r="1304" spans="1:6">
      <c r="A1304" t="s">
        <v>2437</v>
      </c>
      <c r="B1304">
        <v>145</v>
      </c>
      <c r="C1304" t="s">
        <v>1141</v>
      </c>
      <c r="D1304">
        <v>684774</v>
      </c>
      <c r="E1304">
        <v>12631</v>
      </c>
      <c r="F1304">
        <v>12206</v>
      </c>
    </row>
    <row r="1305" spans="1:6">
      <c r="A1305" t="s">
        <v>2438</v>
      </c>
      <c r="B1305">
        <v>145</v>
      </c>
      <c r="C1305" t="s">
        <v>159</v>
      </c>
      <c r="D1305">
        <v>7523058</v>
      </c>
      <c r="E1305">
        <v>12631</v>
      </c>
      <c r="F1305">
        <v>12206</v>
      </c>
    </row>
    <row r="1306" spans="1:6">
      <c r="A1306" t="s">
        <v>2439</v>
      </c>
      <c r="B1306">
        <v>145</v>
      </c>
      <c r="C1306" t="s">
        <v>642</v>
      </c>
      <c r="D1306">
        <v>3761529</v>
      </c>
      <c r="E1306">
        <v>12631</v>
      </c>
      <c r="F1306">
        <v>12206</v>
      </c>
    </row>
    <row r="1307" spans="1:6">
      <c r="A1307" t="s">
        <v>2440</v>
      </c>
      <c r="B1307">
        <v>146</v>
      </c>
      <c r="C1307" t="s">
        <v>149</v>
      </c>
      <c r="D1307">
        <v>77230</v>
      </c>
      <c r="E1307">
        <v>12789</v>
      </c>
      <c r="F1307">
        <v>12303</v>
      </c>
    </row>
    <row r="1308" spans="1:6">
      <c r="A1308" t="s">
        <v>2441</v>
      </c>
      <c r="B1308">
        <v>146</v>
      </c>
      <c r="C1308" t="s">
        <v>1132</v>
      </c>
      <c r="D1308">
        <v>231690</v>
      </c>
      <c r="E1308">
        <v>12789</v>
      </c>
      <c r="F1308">
        <v>12303</v>
      </c>
    </row>
    <row r="1309" spans="1:6">
      <c r="A1309" t="s">
        <v>2442</v>
      </c>
      <c r="B1309">
        <v>146</v>
      </c>
      <c r="C1309" t="s">
        <v>1134</v>
      </c>
      <c r="D1309">
        <v>139014</v>
      </c>
      <c r="E1309">
        <v>12789</v>
      </c>
      <c r="F1309">
        <v>12303</v>
      </c>
    </row>
    <row r="1310" spans="1:6">
      <c r="A1310" t="s">
        <v>2443</v>
      </c>
      <c r="B1310">
        <v>146</v>
      </c>
      <c r="C1310" t="s">
        <v>1136</v>
      </c>
      <c r="D1310">
        <v>38615</v>
      </c>
      <c r="E1310">
        <v>12789</v>
      </c>
      <c r="F1310">
        <v>12303</v>
      </c>
    </row>
    <row r="1311" spans="1:6">
      <c r="A1311" t="s">
        <v>2444</v>
      </c>
      <c r="B1311">
        <v>146</v>
      </c>
      <c r="C1311" t="s">
        <v>1138</v>
      </c>
      <c r="D1311">
        <v>11585</v>
      </c>
      <c r="E1311">
        <v>12789</v>
      </c>
      <c r="F1311">
        <v>12303</v>
      </c>
    </row>
    <row r="1312" spans="1:6">
      <c r="A1312" t="s">
        <v>2445</v>
      </c>
      <c r="B1312">
        <v>146</v>
      </c>
      <c r="C1312" t="s">
        <v>738</v>
      </c>
      <c r="D1312">
        <v>308920</v>
      </c>
      <c r="E1312">
        <v>12789</v>
      </c>
      <c r="F1312">
        <v>12303</v>
      </c>
    </row>
    <row r="1313" spans="1:6">
      <c r="A1313" t="s">
        <v>2446</v>
      </c>
      <c r="B1313">
        <v>146</v>
      </c>
      <c r="C1313" t="s">
        <v>1141</v>
      </c>
      <c r="D1313">
        <v>695070</v>
      </c>
      <c r="E1313">
        <v>12789</v>
      </c>
      <c r="F1313">
        <v>12303</v>
      </c>
    </row>
    <row r="1314" spans="1:6">
      <c r="A1314" t="s">
        <v>2447</v>
      </c>
      <c r="B1314">
        <v>146</v>
      </c>
      <c r="C1314" t="s">
        <v>159</v>
      </c>
      <c r="D1314">
        <v>7647674</v>
      </c>
      <c r="E1314">
        <v>12789</v>
      </c>
      <c r="F1314">
        <v>12303</v>
      </c>
    </row>
    <row r="1315" spans="1:6">
      <c r="A1315" t="s">
        <v>2448</v>
      </c>
      <c r="B1315">
        <v>146</v>
      </c>
      <c r="C1315" t="s">
        <v>642</v>
      </c>
      <c r="D1315">
        <v>3823837</v>
      </c>
      <c r="E1315">
        <v>12789</v>
      </c>
      <c r="F1315">
        <v>12303</v>
      </c>
    </row>
    <row r="1316" spans="1:6">
      <c r="A1316" t="s">
        <v>2449</v>
      </c>
      <c r="B1316">
        <v>147</v>
      </c>
      <c r="C1316" t="s">
        <v>149</v>
      </c>
      <c r="D1316">
        <v>78386</v>
      </c>
      <c r="E1316">
        <v>12949</v>
      </c>
      <c r="F1316">
        <v>12401</v>
      </c>
    </row>
    <row r="1317" spans="1:6">
      <c r="A1317" t="s">
        <v>2450</v>
      </c>
      <c r="B1317">
        <v>147</v>
      </c>
      <c r="C1317" t="s">
        <v>1132</v>
      </c>
      <c r="D1317">
        <v>235158</v>
      </c>
      <c r="E1317">
        <v>12949</v>
      </c>
      <c r="F1317">
        <v>12401</v>
      </c>
    </row>
    <row r="1318" spans="1:6">
      <c r="A1318" t="s">
        <v>2451</v>
      </c>
      <c r="B1318">
        <v>147</v>
      </c>
      <c r="C1318" t="s">
        <v>1134</v>
      </c>
      <c r="D1318">
        <v>141095</v>
      </c>
      <c r="E1318">
        <v>12949</v>
      </c>
      <c r="F1318">
        <v>12401</v>
      </c>
    </row>
    <row r="1319" spans="1:6">
      <c r="A1319" t="s">
        <v>2452</v>
      </c>
      <c r="B1319">
        <v>147</v>
      </c>
      <c r="C1319" t="s">
        <v>1136</v>
      </c>
      <c r="D1319">
        <v>39193</v>
      </c>
      <c r="E1319">
        <v>12949</v>
      </c>
      <c r="F1319">
        <v>12401</v>
      </c>
    </row>
    <row r="1320" spans="1:6">
      <c r="A1320" t="s">
        <v>2453</v>
      </c>
      <c r="B1320">
        <v>147</v>
      </c>
      <c r="C1320" t="s">
        <v>1138</v>
      </c>
      <c r="D1320">
        <v>11758</v>
      </c>
      <c r="E1320">
        <v>12949</v>
      </c>
      <c r="F1320">
        <v>12401</v>
      </c>
    </row>
    <row r="1321" spans="1:6">
      <c r="A1321" t="s">
        <v>2454</v>
      </c>
      <c r="B1321">
        <v>147</v>
      </c>
      <c r="C1321" t="s">
        <v>738</v>
      </c>
      <c r="D1321">
        <v>313544</v>
      </c>
      <c r="E1321">
        <v>12949</v>
      </c>
      <c r="F1321">
        <v>12401</v>
      </c>
    </row>
    <row r="1322" spans="1:6">
      <c r="A1322" t="s">
        <v>2455</v>
      </c>
      <c r="B1322">
        <v>147</v>
      </c>
      <c r="C1322" t="s">
        <v>1141</v>
      </c>
      <c r="D1322">
        <v>705474</v>
      </c>
      <c r="E1322">
        <v>12949</v>
      </c>
      <c r="F1322">
        <v>12401</v>
      </c>
    </row>
    <row r="1323" spans="1:6">
      <c r="A1323" t="s">
        <v>2456</v>
      </c>
      <c r="B1323">
        <v>147</v>
      </c>
      <c r="C1323" t="s">
        <v>159</v>
      </c>
      <c r="D1323">
        <v>7773737</v>
      </c>
      <c r="E1323">
        <v>12949</v>
      </c>
      <c r="F1323">
        <v>12401</v>
      </c>
    </row>
    <row r="1324" spans="1:6">
      <c r="A1324" t="s">
        <v>2457</v>
      </c>
      <c r="B1324">
        <v>147</v>
      </c>
      <c r="C1324" t="s">
        <v>642</v>
      </c>
      <c r="D1324">
        <v>3886868</v>
      </c>
      <c r="E1324">
        <v>12949</v>
      </c>
      <c r="F1324">
        <v>12401</v>
      </c>
    </row>
    <row r="1325" spans="1:6">
      <c r="A1325" t="s">
        <v>2458</v>
      </c>
      <c r="B1325">
        <v>148</v>
      </c>
      <c r="C1325" t="s">
        <v>149</v>
      </c>
      <c r="D1325">
        <v>79554</v>
      </c>
      <c r="E1325">
        <v>13110</v>
      </c>
      <c r="F1325">
        <v>12499</v>
      </c>
    </row>
    <row r="1326" spans="1:6">
      <c r="A1326" t="s">
        <v>2459</v>
      </c>
      <c r="B1326">
        <v>148</v>
      </c>
      <c r="C1326" t="s">
        <v>1132</v>
      </c>
      <c r="D1326">
        <v>238662</v>
      </c>
      <c r="E1326">
        <v>13110</v>
      </c>
      <c r="F1326">
        <v>12499</v>
      </c>
    </row>
    <row r="1327" spans="1:6">
      <c r="A1327" t="s">
        <v>2460</v>
      </c>
      <c r="B1327">
        <v>148</v>
      </c>
      <c r="C1327" t="s">
        <v>1134</v>
      </c>
      <c r="D1327">
        <v>143198</v>
      </c>
      <c r="E1327">
        <v>13110</v>
      </c>
      <c r="F1327">
        <v>12499</v>
      </c>
    </row>
    <row r="1328" spans="1:6">
      <c r="A1328" t="s">
        <v>2461</v>
      </c>
      <c r="B1328">
        <v>148</v>
      </c>
      <c r="C1328" t="s">
        <v>1136</v>
      </c>
      <c r="D1328">
        <v>39777</v>
      </c>
      <c r="E1328">
        <v>13110</v>
      </c>
      <c r="F1328">
        <v>12499</v>
      </c>
    </row>
    <row r="1329" spans="1:6">
      <c r="A1329" t="s">
        <v>2462</v>
      </c>
      <c r="B1329">
        <v>148</v>
      </c>
      <c r="C1329" t="s">
        <v>1138</v>
      </c>
      <c r="D1329">
        <v>11934</v>
      </c>
      <c r="E1329">
        <v>13110</v>
      </c>
      <c r="F1329">
        <v>12499</v>
      </c>
    </row>
    <row r="1330" spans="1:6">
      <c r="A1330" t="s">
        <v>2463</v>
      </c>
      <c r="B1330">
        <v>148</v>
      </c>
      <c r="C1330" t="s">
        <v>738</v>
      </c>
      <c r="D1330">
        <v>318216</v>
      </c>
      <c r="E1330">
        <v>13110</v>
      </c>
      <c r="F1330">
        <v>12499</v>
      </c>
    </row>
    <row r="1331" spans="1:6">
      <c r="A1331" t="s">
        <v>2464</v>
      </c>
      <c r="B1331">
        <v>148</v>
      </c>
      <c r="C1331" t="s">
        <v>1141</v>
      </c>
      <c r="D1331">
        <v>715986</v>
      </c>
      <c r="E1331">
        <v>13110</v>
      </c>
      <c r="F1331">
        <v>12499</v>
      </c>
    </row>
    <row r="1332" spans="1:6">
      <c r="A1332" t="s">
        <v>2465</v>
      </c>
      <c r="B1332">
        <v>148</v>
      </c>
      <c r="C1332" t="s">
        <v>159</v>
      </c>
      <c r="D1332">
        <v>7901245</v>
      </c>
      <c r="E1332">
        <v>13110</v>
      </c>
      <c r="F1332">
        <v>12499</v>
      </c>
    </row>
    <row r="1333" spans="1:6">
      <c r="A1333" t="s">
        <v>2466</v>
      </c>
      <c r="B1333">
        <v>148</v>
      </c>
      <c r="C1333" t="s">
        <v>642</v>
      </c>
      <c r="D1333">
        <v>3950623</v>
      </c>
      <c r="E1333">
        <v>13110</v>
      </c>
      <c r="F1333">
        <v>12499</v>
      </c>
    </row>
    <row r="1334" spans="1:6">
      <c r="A1334" t="s">
        <v>2467</v>
      </c>
      <c r="B1334">
        <v>149</v>
      </c>
      <c r="C1334" t="s">
        <v>149</v>
      </c>
      <c r="D1334">
        <v>80735</v>
      </c>
      <c r="E1334">
        <v>13272</v>
      </c>
      <c r="F1334">
        <v>12597</v>
      </c>
    </row>
    <row r="1335" spans="1:6">
      <c r="A1335" t="s">
        <v>2468</v>
      </c>
      <c r="B1335">
        <v>149</v>
      </c>
      <c r="C1335" t="s">
        <v>1132</v>
      </c>
      <c r="D1335">
        <v>242205</v>
      </c>
      <c r="E1335">
        <v>13272</v>
      </c>
      <c r="F1335">
        <v>12597</v>
      </c>
    </row>
    <row r="1336" spans="1:6">
      <c r="A1336" t="s">
        <v>2469</v>
      </c>
      <c r="B1336">
        <v>149</v>
      </c>
      <c r="C1336" t="s">
        <v>1134</v>
      </c>
      <c r="D1336">
        <v>145323</v>
      </c>
      <c r="E1336">
        <v>13272</v>
      </c>
      <c r="F1336">
        <v>12597</v>
      </c>
    </row>
    <row r="1337" spans="1:6">
      <c r="A1337" t="s">
        <v>2470</v>
      </c>
      <c r="B1337">
        <v>149</v>
      </c>
      <c r="C1337" t="s">
        <v>1136</v>
      </c>
      <c r="D1337">
        <v>40368</v>
      </c>
      <c r="E1337">
        <v>13272</v>
      </c>
      <c r="F1337">
        <v>12597</v>
      </c>
    </row>
    <row r="1338" spans="1:6">
      <c r="A1338" t="s">
        <v>2471</v>
      </c>
      <c r="B1338">
        <v>149</v>
      </c>
      <c r="C1338" t="s">
        <v>1138</v>
      </c>
      <c r="D1338">
        <v>12111</v>
      </c>
      <c r="E1338">
        <v>13272</v>
      </c>
      <c r="F1338">
        <v>12597</v>
      </c>
    </row>
    <row r="1339" spans="1:6">
      <c r="A1339" t="s">
        <v>2472</v>
      </c>
      <c r="B1339">
        <v>149</v>
      </c>
      <c r="C1339" t="s">
        <v>738</v>
      </c>
      <c r="D1339">
        <v>322940</v>
      </c>
      <c r="E1339">
        <v>13272</v>
      </c>
      <c r="F1339">
        <v>12597</v>
      </c>
    </row>
    <row r="1340" spans="1:6">
      <c r="A1340" t="s">
        <v>2473</v>
      </c>
      <c r="B1340">
        <v>149</v>
      </c>
      <c r="C1340" t="s">
        <v>1141</v>
      </c>
      <c r="D1340">
        <v>726615</v>
      </c>
      <c r="E1340">
        <v>13272</v>
      </c>
      <c r="F1340">
        <v>12597</v>
      </c>
    </row>
    <row r="1341" spans="1:6">
      <c r="A1341" t="s">
        <v>2474</v>
      </c>
      <c r="B1341">
        <v>149</v>
      </c>
      <c r="C1341" t="s">
        <v>159</v>
      </c>
      <c r="D1341">
        <v>8030259</v>
      </c>
      <c r="E1341">
        <v>13272</v>
      </c>
      <c r="F1341">
        <v>12597</v>
      </c>
    </row>
    <row r="1342" spans="1:6">
      <c r="A1342" t="s">
        <v>2475</v>
      </c>
      <c r="B1342">
        <v>149</v>
      </c>
      <c r="C1342" t="s">
        <v>642</v>
      </c>
      <c r="D1342">
        <v>4015129</v>
      </c>
      <c r="E1342">
        <v>13272</v>
      </c>
      <c r="F1342">
        <v>12597</v>
      </c>
    </row>
    <row r="1343" spans="1:6">
      <c r="A1343" t="s">
        <v>2476</v>
      </c>
      <c r="B1343">
        <v>150</v>
      </c>
      <c r="C1343" t="s">
        <v>149</v>
      </c>
      <c r="D1343">
        <v>81928</v>
      </c>
      <c r="E1343">
        <v>13436</v>
      </c>
      <c r="F1343">
        <v>12696</v>
      </c>
    </row>
    <row r="1344" spans="1:6">
      <c r="A1344" t="s">
        <v>2477</v>
      </c>
      <c r="B1344">
        <v>150</v>
      </c>
      <c r="C1344" t="s">
        <v>1132</v>
      </c>
      <c r="D1344">
        <v>245784</v>
      </c>
      <c r="E1344">
        <v>13436</v>
      </c>
      <c r="F1344">
        <v>12696</v>
      </c>
    </row>
    <row r="1345" spans="1:6">
      <c r="A1345" t="s">
        <v>2478</v>
      </c>
      <c r="B1345">
        <v>150</v>
      </c>
      <c r="C1345" t="s">
        <v>1134</v>
      </c>
      <c r="D1345">
        <v>147471</v>
      </c>
      <c r="E1345">
        <v>13436</v>
      </c>
      <c r="F1345">
        <v>12696</v>
      </c>
    </row>
    <row r="1346" spans="1:6">
      <c r="A1346" t="s">
        <v>2479</v>
      </c>
      <c r="B1346">
        <v>150</v>
      </c>
      <c r="C1346" t="s">
        <v>1136</v>
      </c>
      <c r="D1346">
        <v>40964</v>
      </c>
      <c r="E1346">
        <v>13436</v>
      </c>
      <c r="F1346">
        <v>12696</v>
      </c>
    </row>
    <row r="1347" spans="1:6">
      <c r="A1347" t="s">
        <v>2480</v>
      </c>
      <c r="B1347">
        <v>150</v>
      </c>
      <c r="C1347" t="s">
        <v>1138</v>
      </c>
      <c r="D1347">
        <v>12290</v>
      </c>
      <c r="E1347">
        <v>13436</v>
      </c>
      <c r="F1347">
        <v>12696</v>
      </c>
    </row>
    <row r="1348" spans="1:6">
      <c r="A1348" t="s">
        <v>2481</v>
      </c>
      <c r="B1348">
        <v>150</v>
      </c>
      <c r="C1348" t="s">
        <v>738</v>
      </c>
      <c r="D1348">
        <v>327712</v>
      </c>
      <c r="E1348">
        <v>13436</v>
      </c>
      <c r="F1348">
        <v>12696</v>
      </c>
    </row>
    <row r="1349" spans="1:6">
      <c r="A1349" t="s">
        <v>2482</v>
      </c>
      <c r="B1349">
        <v>150</v>
      </c>
      <c r="C1349" t="s">
        <v>1141</v>
      </c>
      <c r="D1349">
        <v>737352</v>
      </c>
      <c r="E1349">
        <v>13436</v>
      </c>
      <c r="F1349">
        <v>12696</v>
      </c>
    </row>
    <row r="1350" spans="1:6">
      <c r="A1350" t="s">
        <v>2483</v>
      </c>
      <c r="B1350">
        <v>150</v>
      </c>
      <c r="C1350" t="s">
        <v>159</v>
      </c>
      <c r="D1350">
        <v>8160718</v>
      </c>
      <c r="E1350">
        <v>13436</v>
      </c>
      <c r="F1350">
        <v>12696</v>
      </c>
    </row>
    <row r="1351" spans="1:6">
      <c r="A1351" t="s">
        <v>2484</v>
      </c>
      <c r="B1351">
        <v>150</v>
      </c>
      <c r="C1351" t="s">
        <v>642</v>
      </c>
      <c r="D1351">
        <v>4080359</v>
      </c>
      <c r="E1351">
        <v>13436</v>
      </c>
      <c r="F1351">
        <v>12696</v>
      </c>
    </row>
    <row r="1352" spans="1:6">
      <c r="A1352" t="s">
        <v>2485</v>
      </c>
      <c r="B1352">
        <v>151</v>
      </c>
      <c r="C1352" t="s">
        <v>149</v>
      </c>
      <c r="D1352">
        <v>83133</v>
      </c>
      <c r="E1352">
        <v>13601</v>
      </c>
      <c r="F1352">
        <v>12794</v>
      </c>
    </row>
    <row r="1353" spans="1:6">
      <c r="A1353" t="s">
        <v>2486</v>
      </c>
      <c r="B1353">
        <v>151</v>
      </c>
      <c r="C1353" t="s">
        <v>1132</v>
      </c>
      <c r="D1353">
        <v>249399</v>
      </c>
      <c r="E1353">
        <v>13601</v>
      </c>
      <c r="F1353">
        <v>12794</v>
      </c>
    </row>
    <row r="1354" spans="1:6">
      <c r="A1354" t="s">
        <v>2487</v>
      </c>
      <c r="B1354">
        <v>151</v>
      </c>
      <c r="C1354" t="s">
        <v>1134</v>
      </c>
      <c r="D1354">
        <v>149640</v>
      </c>
      <c r="E1354">
        <v>13601</v>
      </c>
      <c r="F1354">
        <v>12794</v>
      </c>
    </row>
    <row r="1355" spans="1:6">
      <c r="A1355" t="s">
        <v>2488</v>
      </c>
      <c r="B1355">
        <v>151</v>
      </c>
      <c r="C1355" t="s">
        <v>1136</v>
      </c>
      <c r="D1355">
        <v>41567</v>
      </c>
      <c r="E1355">
        <v>13601</v>
      </c>
      <c r="F1355">
        <v>12794</v>
      </c>
    </row>
    <row r="1356" spans="1:6">
      <c r="A1356" t="s">
        <v>2489</v>
      </c>
      <c r="B1356">
        <v>151</v>
      </c>
      <c r="C1356" t="s">
        <v>1138</v>
      </c>
      <c r="D1356">
        <v>12470</v>
      </c>
      <c r="E1356">
        <v>13601</v>
      </c>
      <c r="F1356">
        <v>12794</v>
      </c>
    </row>
    <row r="1357" spans="1:6">
      <c r="A1357" t="s">
        <v>2490</v>
      </c>
      <c r="B1357">
        <v>151</v>
      </c>
      <c r="C1357" t="s">
        <v>738</v>
      </c>
      <c r="D1357">
        <v>332532</v>
      </c>
      <c r="E1357">
        <v>13601</v>
      </c>
      <c r="F1357">
        <v>12794</v>
      </c>
    </row>
    <row r="1358" spans="1:6">
      <c r="A1358" t="s">
        <v>2491</v>
      </c>
      <c r="B1358">
        <v>151</v>
      </c>
      <c r="C1358" t="s">
        <v>1141</v>
      </c>
      <c r="D1358">
        <v>748197</v>
      </c>
      <c r="E1358">
        <v>13601</v>
      </c>
      <c r="F1358">
        <v>12794</v>
      </c>
    </row>
    <row r="1359" spans="1:6">
      <c r="A1359" t="s">
        <v>2492</v>
      </c>
      <c r="B1359">
        <v>151</v>
      </c>
      <c r="C1359" t="s">
        <v>159</v>
      </c>
      <c r="D1359">
        <v>8292682</v>
      </c>
      <c r="E1359">
        <v>13601</v>
      </c>
      <c r="F1359">
        <v>12794</v>
      </c>
    </row>
    <row r="1360" spans="1:6">
      <c r="A1360" t="s">
        <v>2493</v>
      </c>
      <c r="B1360">
        <v>151</v>
      </c>
      <c r="C1360" t="s">
        <v>642</v>
      </c>
      <c r="D1360">
        <v>4146341</v>
      </c>
      <c r="E1360">
        <v>13601</v>
      </c>
      <c r="F1360">
        <v>12794</v>
      </c>
    </row>
    <row r="1361" spans="1:6">
      <c r="A1361" t="s">
        <v>2494</v>
      </c>
      <c r="B1361">
        <v>152</v>
      </c>
      <c r="C1361" t="s">
        <v>149</v>
      </c>
      <c r="D1361">
        <v>84351</v>
      </c>
      <c r="E1361">
        <v>13767</v>
      </c>
      <c r="F1361">
        <v>12893</v>
      </c>
    </row>
    <row r="1362" spans="1:6">
      <c r="A1362" t="s">
        <v>2495</v>
      </c>
      <c r="B1362">
        <v>152</v>
      </c>
      <c r="C1362" t="s">
        <v>1132</v>
      </c>
      <c r="D1362">
        <v>253053</v>
      </c>
      <c r="E1362">
        <v>13767</v>
      </c>
      <c r="F1362">
        <v>12893</v>
      </c>
    </row>
    <row r="1363" spans="1:6">
      <c r="A1363" t="s">
        <v>2496</v>
      </c>
      <c r="B1363">
        <v>152</v>
      </c>
      <c r="C1363" t="s">
        <v>1134</v>
      </c>
      <c r="D1363">
        <v>151832</v>
      </c>
      <c r="E1363">
        <v>13767</v>
      </c>
      <c r="F1363">
        <v>12893</v>
      </c>
    </row>
    <row r="1364" spans="1:6">
      <c r="A1364" t="s">
        <v>2497</v>
      </c>
      <c r="B1364">
        <v>152</v>
      </c>
      <c r="C1364" t="s">
        <v>1136</v>
      </c>
      <c r="D1364">
        <v>42176</v>
      </c>
      <c r="E1364">
        <v>13767</v>
      </c>
      <c r="F1364">
        <v>12893</v>
      </c>
    </row>
    <row r="1365" spans="1:6">
      <c r="A1365" t="s">
        <v>2498</v>
      </c>
      <c r="B1365">
        <v>152</v>
      </c>
      <c r="C1365" t="s">
        <v>1138</v>
      </c>
      <c r="D1365">
        <v>12653</v>
      </c>
      <c r="E1365">
        <v>13767</v>
      </c>
      <c r="F1365">
        <v>12893</v>
      </c>
    </row>
    <row r="1366" spans="1:6">
      <c r="A1366" t="s">
        <v>2499</v>
      </c>
      <c r="B1366">
        <v>152</v>
      </c>
      <c r="C1366" t="s">
        <v>738</v>
      </c>
      <c r="D1366">
        <v>337404</v>
      </c>
      <c r="E1366">
        <v>13767</v>
      </c>
      <c r="F1366">
        <v>12893</v>
      </c>
    </row>
    <row r="1367" spans="1:6">
      <c r="A1367" t="s">
        <v>2500</v>
      </c>
      <c r="B1367">
        <v>152</v>
      </c>
      <c r="C1367" t="s">
        <v>1141</v>
      </c>
      <c r="D1367">
        <v>759159</v>
      </c>
      <c r="E1367">
        <v>13767</v>
      </c>
      <c r="F1367">
        <v>12893</v>
      </c>
    </row>
    <row r="1368" spans="1:6">
      <c r="A1368" t="s">
        <v>2501</v>
      </c>
      <c r="B1368">
        <v>152</v>
      </c>
      <c r="C1368" t="s">
        <v>159</v>
      </c>
      <c r="D1368">
        <v>8426152</v>
      </c>
      <c r="E1368">
        <v>13767</v>
      </c>
      <c r="F1368">
        <v>12893</v>
      </c>
    </row>
    <row r="1369" spans="1:6">
      <c r="A1369" t="s">
        <v>2502</v>
      </c>
      <c r="B1369">
        <v>152</v>
      </c>
      <c r="C1369" t="s">
        <v>642</v>
      </c>
      <c r="D1369">
        <v>4213076</v>
      </c>
      <c r="E1369">
        <v>13767</v>
      </c>
      <c r="F1369">
        <v>12893</v>
      </c>
    </row>
    <row r="1370" spans="1:6">
      <c r="A1370" t="s">
        <v>2503</v>
      </c>
      <c r="B1370">
        <v>153</v>
      </c>
      <c r="C1370" t="s">
        <v>149</v>
      </c>
      <c r="D1370">
        <v>85582</v>
      </c>
      <c r="E1370">
        <v>13934</v>
      </c>
      <c r="F1370">
        <v>12992</v>
      </c>
    </row>
    <row r="1371" spans="1:6">
      <c r="A1371" t="s">
        <v>2504</v>
      </c>
      <c r="B1371">
        <v>153</v>
      </c>
      <c r="C1371" t="s">
        <v>1132</v>
      </c>
      <c r="D1371">
        <v>256746</v>
      </c>
      <c r="E1371">
        <v>13934</v>
      </c>
      <c r="F1371">
        <v>12992</v>
      </c>
    </row>
    <row r="1372" spans="1:6">
      <c r="A1372" t="s">
        <v>2505</v>
      </c>
      <c r="B1372">
        <v>153</v>
      </c>
      <c r="C1372" t="s">
        <v>1134</v>
      </c>
      <c r="D1372">
        <v>154048</v>
      </c>
      <c r="E1372">
        <v>13934</v>
      </c>
      <c r="F1372">
        <v>12992</v>
      </c>
    </row>
    <row r="1373" spans="1:6">
      <c r="A1373" t="s">
        <v>2506</v>
      </c>
      <c r="B1373">
        <v>153</v>
      </c>
      <c r="C1373" t="s">
        <v>1136</v>
      </c>
      <c r="D1373">
        <v>42791</v>
      </c>
      <c r="E1373">
        <v>13934</v>
      </c>
      <c r="F1373">
        <v>12992</v>
      </c>
    </row>
    <row r="1374" spans="1:6">
      <c r="A1374" t="s">
        <v>2507</v>
      </c>
      <c r="B1374">
        <v>153</v>
      </c>
      <c r="C1374" t="s">
        <v>1138</v>
      </c>
      <c r="D1374">
        <v>12838</v>
      </c>
      <c r="E1374">
        <v>13934</v>
      </c>
      <c r="F1374">
        <v>12992</v>
      </c>
    </row>
    <row r="1375" spans="1:6">
      <c r="A1375" t="s">
        <v>2508</v>
      </c>
      <c r="B1375">
        <v>153</v>
      </c>
      <c r="C1375" t="s">
        <v>738</v>
      </c>
      <c r="D1375">
        <v>342328</v>
      </c>
      <c r="E1375">
        <v>13934</v>
      </c>
      <c r="F1375">
        <v>12992</v>
      </c>
    </row>
    <row r="1376" spans="1:6">
      <c r="A1376" t="s">
        <v>2509</v>
      </c>
      <c r="B1376">
        <v>153</v>
      </c>
      <c r="C1376" t="s">
        <v>1141</v>
      </c>
      <c r="D1376">
        <v>770238</v>
      </c>
      <c r="E1376">
        <v>13934</v>
      </c>
      <c r="F1376">
        <v>12992</v>
      </c>
    </row>
    <row r="1377" spans="1:6">
      <c r="A1377" t="s">
        <v>2510</v>
      </c>
      <c r="B1377">
        <v>153</v>
      </c>
      <c r="C1377" t="s">
        <v>159</v>
      </c>
      <c r="D1377">
        <v>8561186</v>
      </c>
      <c r="E1377">
        <v>13934</v>
      </c>
      <c r="F1377">
        <v>12992</v>
      </c>
    </row>
    <row r="1378" spans="1:6">
      <c r="A1378" t="s">
        <v>2511</v>
      </c>
      <c r="B1378">
        <v>153</v>
      </c>
      <c r="C1378" t="s">
        <v>642</v>
      </c>
      <c r="D1378">
        <v>4280593</v>
      </c>
      <c r="E1378">
        <v>13934</v>
      </c>
      <c r="F1378">
        <v>12992</v>
      </c>
    </row>
    <row r="1379" spans="1:6">
      <c r="A1379" t="s">
        <v>2512</v>
      </c>
      <c r="B1379">
        <v>154</v>
      </c>
      <c r="C1379" t="s">
        <v>149</v>
      </c>
      <c r="D1379">
        <v>86825</v>
      </c>
      <c r="E1379">
        <v>14102</v>
      </c>
      <c r="F1379">
        <v>13091</v>
      </c>
    </row>
    <row r="1380" spans="1:6">
      <c r="A1380" t="s">
        <v>2513</v>
      </c>
      <c r="B1380">
        <v>154</v>
      </c>
      <c r="C1380" t="s">
        <v>1132</v>
      </c>
      <c r="D1380">
        <v>260475</v>
      </c>
      <c r="E1380">
        <v>14102</v>
      </c>
      <c r="F1380">
        <v>13091</v>
      </c>
    </row>
    <row r="1381" spans="1:6">
      <c r="A1381" t="s">
        <v>2514</v>
      </c>
      <c r="B1381">
        <v>154</v>
      </c>
      <c r="C1381" t="s">
        <v>1134</v>
      </c>
      <c r="D1381">
        <v>156285</v>
      </c>
      <c r="E1381">
        <v>14102</v>
      </c>
      <c r="F1381">
        <v>13091</v>
      </c>
    </row>
    <row r="1382" spans="1:6">
      <c r="A1382" t="s">
        <v>2515</v>
      </c>
      <c r="B1382">
        <v>154</v>
      </c>
      <c r="C1382" t="s">
        <v>1136</v>
      </c>
      <c r="D1382">
        <v>43413</v>
      </c>
      <c r="E1382">
        <v>14102</v>
      </c>
      <c r="F1382">
        <v>13091</v>
      </c>
    </row>
    <row r="1383" spans="1:6">
      <c r="A1383" t="s">
        <v>2516</v>
      </c>
      <c r="B1383">
        <v>154</v>
      </c>
      <c r="C1383" t="s">
        <v>1138</v>
      </c>
      <c r="D1383">
        <v>13024</v>
      </c>
      <c r="E1383">
        <v>14102</v>
      </c>
      <c r="F1383">
        <v>13091</v>
      </c>
    </row>
    <row r="1384" spans="1:6">
      <c r="A1384" t="s">
        <v>2517</v>
      </c>
      <c r="B1384">
        <v>154</v>
      </c>
      <c r="C1384" t="s">
        <v>738</v>
      </c>
      <c r="D1384">
        <v>347300</v>
      </c>
      <c r="E1384">
        <v>14102</v>
      </c>
      <c r="F1384">
        <v>13091</v>
      </c>
    </row>
    <row r="1385" spans="1:6">
      <c r="A1385" t="s">
        <v>2518</v>
      </c>
      <c r="B1385">
        <v>154</v>
      </c>
      <c r="C1385" t="s">
        <v>1141</v>
      </c>
      <c r="D1385">
        <v>781425</v>
      </c>
      <c r="E1385">
        <v>14102</v>
      </c>
      <c r="F1385">
        <v>13091</v>
      </c>
    </row>
    <row r="1386" spans="1:6">
      <c r="A1386" t="s">
        <v>2519</v>
      </c>
      <c r="B1386">
        <v>154</v>
      </c>
      <c r="C1386" t="s">
        <v>159</v>
      </c>
      <c r="D1386">
        <v>8697665</v>
      </c>
      <c r="E1386">
        <v>14102</v>
      </c>
      <c r="F1386">
        <v>13091</v>
      </c>
    </row>
    <row r="1387" spans="1:6">
      <c r="A1387" t="s">
        <v>2520</v>
      </c>
      <c r="B1387">
        <v>154</v>
      </c>
      <c r="C1387" t="s">
        <v>642</v>
      </c>
      <c r="D1387">
        <v>4348832</v>
      </c>
      <c r="E1387">
        <v>14102</v>
      </c>
      <c r="F1387">
        <v>13091</v>
      </c>
    </row>
    <row r="1388" spans="1:6">
      <c r="A1388" t="s">
        <v>2521</v>
      </c>
      <c r="B1388">
        <v>155</v>
      </c>
      <c r="C1388" t="s">
        <v>149</v>
      </c>
      <c r="D1388">
        <v>88082</v>
      </c>
      <c r="E1388">
        <v>14272</v>
      </c>
      <c r="F1388">
        <v>13190</v>
      </c>
    </row>
    <row r="1389" spans="1:6">
      <c r="A1389" t="s">
        <v>2522</v>
      </c>
      <c r="B1389">
        <v>155</v>
      </c>
      <c r="C1389" t="s">
        <v>1132</v>
      </c>
      <c r="D1389">
        <v>264246</v>
      </c>
      <c r="E1389">
        <v>14272</v>
      </c>
      <c r="F1389">
        <v>13190</v>
      </c>
    </row>
    <row r="1390" spans="1:6">
      <c r="A1390" t="s">
        <v>2523</v>
      </c>
      <c r="B1390">
        <v>155</v>
      </c>
      <c r="C1390" t="s">
        <v>1134</v>
      </c>
      <c r="D1390">
        <v>158548</v>
      </c>
      <c r="E1390">
        <v>14272</v>
      </c>
      <c r="F1390">
        <v>13190</v>
      </c>
    </row>
    <row r="1391" spans="1:6">
      <c r="A1391" t="s">
        <v>2524</v>
      </c>
      <c r="B1391">
        <v>155</v>
      </c>
      <c r="C1391" t="s">
        <v>1136</v>
      </c>
      <c r="D1391">
        <v>44041</v>
      </c>
      <c r="E1391">
        <v>14272</v>
      </c>
      <c r="F1391">
        <v>13190</v>
      </c>
    </row>
    <row r="1392" spans="1:6">
      <c r="A1392" t="s">
        <v>2525</v>
      </c>
      <c r="B1392">
        <v>155</v>
      </c>
      <c r="C1392" t="s">
        <v>1138</v>
      </c>
      <c r="D1392">
        <v>13213</v>
      </c>
      <c r="E1392">
        <v>14272</v>
      </c>
      <c r="F1392">
        <v>13190</v>
      </c>
    </row>
    <row r="1393" spans="1:6">
      <c r="A1393" t="s">
        <v>2526</v>
      </c>
      <c r="B1393">
        <v>155</v>
      </c>
      <c r="C1393" t="s">
        <v>738</v>
      </c>
      <c r="D1393">
        <v>352328</v>
      </c>
      <c r="E1393">
        <v>14272</v>
      </c>
      <c r="F1393">
        <v>13190</v>
      </c>
    </row>
    <row r="1394" spans="1:6">
      <c r="A1394" t="s">
        <v>2527</v>
      </c>
      <c r="B1394">
        <v>155</v>
      </c>
      <c r="C1394" t="s">
        <v>1141</v>
      </c>
      <c r="D1394">
        <v>792738</v>
      </c>
      <c r="E1394">
        <v>14272</v>
      </c>
      <c r="F1394">
        <v>13190</v>
      </c>
    </row>
    <row r="1395" spans="1:6">
      <c r="A1395" t="s">
        <v>2528</v>
      </c>
      <c r="B1395">
        <v>155</v>
      </c>
      <c r="C1395" t="s">
        <v>159</v>
      </c>
      <c r="D1395">
        <v>8835769</v>
      </c>
      <c r="E1395">
        <v>14272</v>
      </c>
      <c r="F1395">
        <v>13190</v>
      </c>
    </row>
    <row r="1396" spans="1:6">
      <c r="A1396" t="s">
        <v>2529</v>
      </c>
      <c r="B1396">
        <v>155</v>
      </c>
      <c r="C1396" t="s">
        <v>642</v>
      </c>
      <c r="D1396">
        <v>4417884</v>
      </c>
      <c r="E1396">
        <v>14272</v>
      </c>
      <c r="F1396">
        <v>13190</v>
      </c>
    </row>
    <row r="1397" spans="1:6">
      <c r="A1397" t="s">
        <v>2530</v>
      </c>
      <c r="B1397">
        <v>156</v>
      </c>
      <c r="C1397" t="s">
        <v>149</v>
      </c>
      <c r="D1397">
        <v>89351</v>
      </c>
      <c r="E1397">
        <v>14443</v>
      </c>
      <c r="F1397">
        <v>13290</v>
      </c>
    </row>
    <row r="1398" spans="1:6">
      <c r="A1398" t="s">
        <v>2531</v>
      </c>
      <c r="B1398">
        <v>156</v>
      </c>
      <c r="C1398" t="s">
        <v>1132</v>
      </c>
      <c r="D1398">
        <v>268053</v>
      </c>
      <c r="E1398">
        <v>14443</v>
      </c>
      <c r="F1398">
        <v>13290</v>
      </c>
    </row>
    <row r="1399" spans="1:6">
      <c r="A1399" t="s">
        <v>2532</v>
      </c>
      <c r="B1399">
        <v>156</v>
      </c>
      <c r="C1399" t="s">
        <v>1134</v>
      </c>
      <c r="D1399">
        <v>160832</v>
      </c>
      <c r="E1399">
        <v>14443</v>
      </c>
      <c r="F1399">
        <v>13290</v>
      </c>
    </row>
    <row r="1400" spans="1:6">
      <c r="A1400" t="s">
        <v>2533</v>
      </c>
      <c r="B1400">
        <v>156</v>
      </c>
      <c r="C1400" t="s">
        <v>1136</v>
      </c>
      <c r="D1400">
        <v>44676</v>
      </c>
      <c r="E1400">
        <v>14443</v>
      </c>
      <c r="F1400">
        <v>13290</v>
      </c>
    </row>
    <row r="1401" spans="1:6">
      <c r="A1401" t="s">
        <v>2534</v>
      </c>
      <c r="B1401">
        <v>156</v>
      </c>
      <c r="C1401" t="s">
        <v>1138</v>
      </c>
      <c r="D1401">
        <v>13403</v>
      </c>
      <c r="E1401">
        <v>14443</v>
      </c>
      <c r="F1401">
        <v>13290</v>
      </c>
    </row>
    <row r="1402" spans="1:6">
      <c r="A1402" t="s">
        <v>2535</v>
      </c>
      <c r="B1402">
        <v>156</v>
      </c>
      <c r="C1402" t="s">
        <v>738</v>
      </c>
      <c r="D1402">
        <v>357404</v>
      </c>
      <c r="E1402">
        <v>14443</v>
      </c>
      <c r="F1402">
        <v>13290</v>
      </c>
    </row>
    <row r="1403" spans="1:6">
      <c r="A1403" t="s">
        <v>2536</v>
      </c>
      <c r="B1403">
        <v>156</v>
      </c>
      <c r="C1403" t="s">
        <v>1141</v>
      </c>
      <c r="D1403">
        <v>804159</v>
      </c>
      <c r="E1403">
        <v>14443</v>
      </c>
      <c r="F1403">
        <v>13290</v>
      </c>
    </row>
    <row r="1404" spans="1:6">
      <c r="A1404" t="s">
        <v>2537</v>
      </c>
      <c r="B1404">
        <v>156</v>
      </c>
      <c r="C1404" t="s">
        <v>159</v>
      </c>
      <c r="D1404">
        <v>8975377</v>
      </c>
      <c r="E1404">
        <v>14443</v>
      </c>
      <c r="F1404">
        <v>13290</v>
      </c>
    </row>
    <row r="1405" spans="1:6">
      <c r="A1405" t="s">
        <v>2538</v>
      </c>
      <c r="B1405">
        <v>156</v>
      </c>
      <c r="C1405" t="s">
        <v>642</v>
      </c>
      <c r="D1405">
        <v>4487688</v>
      </c>
      <c r="E1405">
        <v>14443</v>
      </c>
      <c r="F1405">
        <v>13290</v>
      </c>
    </row>
    <row r="1406" spans="1:6">
      <c r="A1406" t="s">
        <v>2539</v>
      </c>
      <c r="B1406">
        <v>157</v>
      </c>
      <c r="C1406" t="s">
        <v>149</v>
      </c>
      <c r="D1406">
        <v>90633</v>
      </c>
      <c r="E1406">
        <v>14616</v>
      </c>
      <c r="F1406">
        <v>13390</v>
      </c>
    </row>
    <row r="1407" spans="1:6">
      <c r="A1407" t="s">
        <v>2540</v>
      </c>
      <c r="B1407">
        <v>157</v>
      </c>
      <c r="C1407" t="s">
        <v>1132</v>
      </c>
      <c r="D1407">
        <v>271899</v>
      </c>
      <c r="E1407">
        <v>14616</v>
      </c>
      <c r="F1407">
        <v>13390</v>
      </c>
    </row>
    <row r="1408" spans="1:6">
      <c r="A1408" t="s">
        <v>2541</v>
      </c>
      <c r="B1408">
        <v>157</v>
      </c>
      <c r="C1408" t="s">
        <v>1134</v>
      </c>
      <c r="D1408">
        <v>163140</v>
      </c>
      <c r="E1408">
        <v>14616</v>
      </c>
      <c r="F1408">
        <v>13390</v>
      </c>
    </row>
    <row r="1409" spans="1:6">
      <c r="A1409" t="s">
        <v>2542</v>
      </c>
      <c r="B1409">
        <v>157</v>
      </c>
      <c r="C1409" t="s">
        <v>1136</v>
      </c>
      <c r="D1409">
        <v>45317</v>
      </c>
      <c r="E1409">
        <v>14616</v>
      </c>
      <c r="F1409">
        <v>13390</v>
      </c>
    </row>
    <row r="1410" spans="1:6">
      <c r="A1410" t="s">
        <v>2543</v>
      </c>
      <c r="B1410">
        <v>157</v>
      </c>
      <c r="C1410" t="s">
        <v>1138</v>
      </c>
      <c r="D1410">
        <v>13595</v>
      </c>
      <c r="E1410">
        <v>14616</v>
      </c>
      <c r="F1410">
        <v>13390</v>
      </c>
    </row>
    <row r="1411" spans="1:6">
      <c r="A1411" t="s">
        <v>2544</v>
      </c>
      <c r="B1411">
        <v>157</v>
      </c>
      <c r="C1411" t="s">
        <v>738</v>
      </c>
      <c r="D1411">
        <v>362532</v>
      </c>
      <c r="E1411">
        <v>14616</v>
      </c>
      <c r="F1411">
        <v>13390</v>
      </c>
    </row>
    <row r="1412" spans="1:6">
      <c r="A1412" t="s">
        <v>2545</v>
      </c>
      <c r="B1412">
        <v>157</v>
      </c>
      <c r="C1412" t="s">
        <v>1141</v>
      </c>
      <c r="D1412">
        <v>815697</v>
      </c>
      <c r="E1412">
        <v>14616</v>
      </c>
      <c r="F1412">
        <v>13390</v>
      </c>
    </row>
    <row r="1413" spans="1:6">
      <c r="A1413" t="s">
        <v>2546</v>
      </c>
      <c r="B1413">
        <v>157</v>
      </c>
      <c r="C1413" t="s">
        <v>159</v>
      </c>
      <c r="D1413">
        <v>9116549</v>
      </c>
      <c r="E1413">
        <v>14616</v>
      </c>
      <c r="F1413">
        <v>13390</v>
      </c>
    </row>
    <row r="1414" spans="1:6">
      <c r="A1414" t="s">
        <v>2547</v>
      </c>
      <c r="B1414">
        <v>157</v>
      </c>
      <c r="C1414" t="s">
        <v>642</v>
      </c>
      <c r="D1414">
        <v>4558275</v>
      </c>
      <c r="E1414">
        <v>14616</v>
      </c>
      <c r="F1414">
        <v>13390</v>
      </c>
    </row>
    <row r="1415" spans="1:6">
      <c r="A1415" t="s">
        <v>2548</v>
      </c>
      <c r="B1415">
        <v>158</v>
      </c>
      <c r="C1415" t="s">
        <v>149</v>
      </c>
      <c r="D1415">
        <v>91929</v>
      </c>
      <c r="E1415">
        <v>14789</v>
      </c>
      <c r="F1415">
        <v>13489</v>
      </c>
    </row>
    <row r="1416" spans="1:6">
      <c r="A1416" t="s">
        <v>2549</v>
      </c>
      <c r="B1416">
        <v>158</v>
      </c>
      <c r="C1416" t="s">
        <v>1132</v>
      </c>
      <c r="D1416">
        <v>275787</v>
      </c>
      <c r="E1416">
        <v>14789</v>
      </c>
      <c r="F1416">
        <v>13489</v>
      </c>
    </row>
    <row r="1417" spans="1:6">
      <c r="A1417" t="s">
        <v>2550</v>
      </c>
      <c r="B1417">
        <v>158</v>
      </c>
      <c r="C1417" t="s">
        <v>1134</v>
      </c>
      <c r="D1417">
        <v>165473</v>
      </c>
      <c r="E1417">
        <v>14789</v>
      </c>
      <c r="F1417">
        <v>13489</v>
      </c>
    </row>
    <row r="1418" spans="1:6">
      <c r="A1418" t="s">
        <v>2551</v>
      </c>
      <c r="B1418">
        <v>158</v>
      </c>
      <c r="C1418" t="s">
        <v>1136</v>
      </c>
      <c r="D1418">
        <v>45965</v>
      </c>
      <c r="E1418">
        <v>14789</v>
      </c>
      <c r="F1418">
        <v>13489</v>
      </c>
    </row>
    <row r="1419" spans="1:6">
      <c r="A1419" t="s">
        <v>2552</v>
      </c>
      <c r="B1419">
        <v>158</v>
      </c>
      <c r="C1419" t="s">
        <v>1138</v>
      </c>
      <c r="D1419">
        <v>13790</v>
      </c>
      <c r="E1419">
        <v>14789</v>
      </c>
      <c r="F1419">
        <v>13489</v>
      </c>
    </row>
    <row r="1420" spans="1:6">
      <c r="A1420" t="s">
        <v>2553</v>
      </c>
      <c r="B1420">
        <v>158</v>
      </c>
      <c r="C1420" t="s">
        <v>738</v>
      </c>
      <c r="D1420">
        <v>367716</v>
      </c>
      <c r="E1420">
        <v>14789</v>
      </c>
      <c r="F1420">
        <v>13489</v>
      </c>
    </row>
    <row r="1421" spans="1:6">
      <c r="A1421" t="s">
        <v>2554</v>
      </c>
      <c r="B1421">
        <v>158</v>
      </c>
      <c r="C1421" t="s">
        <v>1141</v>
      </c>
      <c r="D1421">
        <v>827361</v>
      </c>
      <c r="E1421">
        <v>14789</v>
      </c>
      <c r="F1421">
        <v>13489</v>
      </c>
    </row>
    <row r="1422" spans="1:6">
      <c r="A1422" t="s">
        <v>2555</v>
      </c>
      <c r="B1422">
        <v>158</v>
      </c>
      <c r="C1422" t="s">
        <v>159</v>
      </c>
      <c r="D1422">
        <v>9259286</v>
      </c>
      <c r="E1422">
        <v>14789</v>
      </c>
      <c r="F1422">
        <v>13489</v>
      </c>
    </row>
    <row r="1423" spans="1:6">
      <c r="A1423" t="s">
        <v>2556</v>
      </c>
      <c r="B1423">
        <v>158</v>
      </c>
      <c r="C1423" t="s">
        <v>642</v>
      </c>
      <c r="D1423">
        <v>4629643</v>
      </c>
      <c r="E1423">
        <v>14789</v>
      </c>
      <c r="F1423">
        <v>13489</v>
      </c>
    </row>
    <row r="1424" spans="1:6">
      <c r="A1424" t="s">
        <v>2557</v>
      </c>
      <c r="B1424">
        <v>159</v>
      </c>
      <c r="C1424" t="s">
        <v>149</v>
      </c>
      <c r="D1424">
        <v>93238</v>
      </c>
      <c r="E1424">
        <v>14964</v>
      </c>
      <c r="F1424">
        <v>13589</v>
      </c>
    </row>
    <row r="1425" spans="1:6">
      <c r="A1425" t="s">
        <v>2558</v>
      </c>
      <c r="B1425">
        <v>159</v>
      </c>
      <c r="C1425" t="s">
        <v>1132</v>
      </c>
      <c r="D1425">
        <v>279714</v>
      </c>
      <c r="E1425">
        <v>14964</v>
      </c>
      <c r="F1425">
        <v>13589</v>
      </c>
    </row>
    <row r="1426" spans="1:6">
      <c r="A1426" t="s">
        <v>2559</v>
      </c>
      <c r="B1426">
        <v>159</v>
      </c>
      <c r="C1426" t="s">
        <v>1134</v>
      </c>
      <c r="D1426">
        <v>167829</v>
      </c>
      <c r="E1426">
        <v>14964</v>
      </c>
      <c r="F1426">
        <v>13589</v>
      </c>
    </row>
    <row r="1427" spans="1:6">
      <c r="A1427" t="s">
        <v>2560</v>
      </c>
      <c r="B1427">
        <v>159</v>
      </c>
      <c r="C1427" t="s">
        <v>1136</v>
      </c>
      <c r="D1427">
        <v>46619</v>
      </c>
      <c r="E1427">
        <v>14964</v>
      </c>
      <c r="F1427">
        <v>13589</v>
      </c>
    </row>
    <row r="1428" spans="1:6">
      <c r="A1428" t="s">
        <v>2561</v>
      </c>
      <c r="B1428">
        <v>159</v>
      </c>
      <c r="C1428" t="s">
        <v>1138</v>
      </c>
      <c r="D1428">
        <v>13986</v>
      </c>
      <c r="E1428">
        <v>14964</v>
      </c>
      <c r="F1428">
        <v>13589</v>
      </c>
    </row>
    <row r="1429" spans="1:6">
      <c r="A1429" t="s">
        <v>2562</v>
      </c>
      <c r="B1429">
        <v>159</v>
      </c>
      <c r="C1429" t="s">
        <v>738</v>
      </c>
      <c r="D1429">
        <v>372952</v>
      </c>
      <c r="E1429">
        <v>14964</v>
      </c>
      <c r="F1429">
        <v>13589</v>
      </c>
    </row>
    <row r="1430" spans="1:6">
      <c r="A1430" t="s">
        <v>2563</v>
      </c>
      <c r="B1430">
        <v>159</v>
      </c>
      <c r="C1430" t="s">
        <v>1141</v>
      </c>
      <c r="D1430">
        <v>839142</v>
      </c>
      <c r="E1430">
        <v>14964</v>
      </c>
      <c r="F1430">
        <v>13589</v>
      </c>
    </row>
    <row r="1431" spans="1:6">
      <c r="A1431" t="s">
        <v>2564</v>
      </c>
      <c r="B1431">
        <v>159</v>
      </c>
      <c r="C1431" t="s">
        <v>159</v>
      </c>
      <c r="D1431">
        <v>9403647</v>
      </c>
      <c r="E1431">
        <v>14964</v>
      </c>
      <c r="F1431">
        <v>13589</v>
      </c>
    </row>
    <row r="1432" spans="1:6">
      <c r="A1432" t="s">
        <v>2565</v>
      </c>
      <c r="B1432">
        <v>159</v>
      </c>
      <c r="C1432" t="s">
        <v>642</v>
      </c>
      <c r="D1432">
        <v>4701824</v>
      </c>
      <c r="E1432">
        <v>14964</v>
      </c>
      <c r="F1432">
        <v>13589</v>
      </c>
    </row>
    <row r="1433" spans="1:6">
      <c r="A1433" t="s">
        <v>2566</v>
      </c>
      <c r="B1433">
        <v>160</v>
      </c>
      <c r="C1433" t="s">
        <v>149</v>
      </c>
      <c r="D1433">
        <v>94560</v>
      </c>
      <c r="E1433">
        <v>15140</v>
      </c>
      <c r="F1433">
        <v>13690</v>
      </c>
    </row>
    <row r="1434" spans="1:6">
      <c r="A1434" t="s">
        <v>2567</v>
      </c>
      <c r="B1434">
        <v>160</v>
      </c>
      <c r="C1434" t="s">
        <v>1132</v>
      </c>
      <c r="D1434">
        <v>283680</v>
      </c>
      <c r="E1434">
        <v>15140</v>
      </c>
      <c r="F1434">
        <v>13690</v>
      </c>
    </row>
    <row r="1435" spans="1:6">
      <c r="A1435" t="s">
        <v>2568</v>
      </c>
      <c r="B1435">
        <v>160</v>
      </c>
      <c r="C1435" t="s">
        <v>1134</v>
      </c>
      <c r="D1435">
        <v>170208</v>
      </c>
      <c r="E1435">
        <v>15140</v>
      </c>
      <c r="F1435">
        <v>13690</v>
      </c>
    </row>
    <row r="1436" spans="1:6">
      <c r="A1436" t="s">
        <v>2569</v>
      </c>
      <c r="B1436">
        <v>160</v>
      </c>
      <c r="C1436" t="s">
        <v>1136</v>
      </c>
      <c r="D1436">
        <v>47280</v>
      </c>
      <c r="E1436">
        <v>15140</v>
      </c>
      <c r="F1436">
        <v>13690</v>
      </c>
    </row>
    <row r="1437" spans="1:6">
      <c r="A1437" t="s">
        <v>2570</v>
      </c>
      <c r="B1437">
        <v>160</v>
      </c>
      <c r="C1437" t="s">
        <v>1138</v>
      </c>
      <c r="D1437">
        <v>14184</v>
      </c>
      <c r="E1437">
        <v>15140</v>
      </c>
      <c r="F1437">
        <v>13690</v>
      </c>
    </row>
    <row r="1438" spans="1:6">
      <c r="A1438" t="s">
        <v>2571</v>
      </c>
      <c r="B1438">
        <v>160</v>
      </c>
      <c r="C1438" t="s">
        <v>738</v>
      </c>
      <c r="D1438">
        <v>378240</v>
      </c>
      <c r="E1438">
        <v>15140</v>
      </c>
      <c r="F1438">
        <v>13690</v>
      </c>
    </row>
    <row r="1439" spans="1:6">
      <c r="A1439" t="s">
        <v>2572</v>
      </c>
      <c r="B1439">
        <v>160</v>
      </c>
      <c r="C1439" t="s">
        <v>1141</v>
      </c>
      <c r="D1439">
        <v>851040</v>
      </c>
      <c r="E1439">
        <v>15140</v>
      </c>
      <c r="F1439">
        <v>13690</v>
      </c>
    </row>
    <row r="1440" spans="1:6">
      <c r="A1440" t="s">
        <v>2573</v>
      </c>
      <c r="B1440">
        <v>160</v>
      </c>
      <c r="C1440" t="s">
        <v>159</v>
      </c>
      <c r="D1440">
        <v>9549572</v>
      </c>
      <c r="E1440">
        <v>15140</v>
      </c>
      <c r="F1440">
        <v>13690</v>
      </c>
    </row>
    <row r="1441" spans="1:6">
      <c r="A1441" t="s">
        <v>2574</v>
      </c>
      <c r="B1441">
        <v>160</v>
      </c>
      <c r="C1441" t="s">
        <v>642</v>
      </c>
      <c r="D1441">
        <v>4774786</v>
      </c>
      <c r="E1441">
        <v>15140</v>
      </c>
      <c r="F1441">
        <v>13690</v>
      </c>
    </row>
    <row r="1442" spans="1:6">
      <c r="A1442" t="s">
        <v>2575</v>
      </c>
      <c r="B1442">
        <v>161</v>
      </c>
      <c r="C1442" t="s">
        <v>149</v>
      </c>
      <c r="D1442">
        <v>95895</v>
      </c>
      <c r="E1442">
        <v>15318</v>
      </c>
      <c r="F1442">
        <v>13790</v>
      </c>
    </row>
    <row r="1443" spans="1:6">
      <c r="A1443" t="s">
        <v>2576</v>
      </c>
      <c r="B1443">
        <v>161</v>
      </c>
      <c r="C1443" t="s">
        <v>1132</v>
      </c>
      <c r="D1443">
        <v>287685</v>
      </c>
      <c r="E1443">
        <v>15318</v>
      </c>
      <c r="F1443">
        <v>13790</v>
      </c>
    </row>
    <row r="1444" spans="1:6">
      <c r="A1444" t="s">
        <v>2577</v>
      </c>
      <c r="B1444">
        <v>161</v>
      </c>
      <c r="C1444" t="s">
        <v>1134</v>
      </c>
      <c r="D1444">
        <v>172611</v>
      </c>
      <c r="E1444">
        <v>15318</v>
      </c>
      <c r="F1444">
        <v>13790</v>
      </c>
    </row>
    <row r="1445" spans="1:6">
      <c r="A1445" t="s">
        <v>2578</v>
      </c>
      <c r="B1445">
        <v>161</v>
      </c>
      <c r="C1445" t="s">
        <v>1136</v>
      </c>
      <c r="D1445">
        <v>47948</v>
      </c>
      <c r="E1445">
        <v>15318</v>
      </c>
      <c r="F1445">
        <v>13790</v>
      </c>
    </row>
    <row r="1446" spans="1:6">
      <c r="A1446" t="s">
        <v>2579</v>
      </c>
      <c r="B1446">
        <v>161</v>
      </c>
      <c r="C1446" t="s">
        <v>1138</v>
      </c>
      <c r="D1446">
        <v>14385</v>
      </c>
      <c r="E1446">
        <v>15318</v>
      </c>
      <c r="F1446">
        <v>13790</v>
      </c>
    </row>
    <row r="1447" spans="1:6">
      <c r="A1447" t="s">
        <v>2580</v>
      </c>
      <c r="B1447">
        <v>161</v>
      </c>
      <c r="C1447" t="s">
        <v>738</v>
      </c>
      <c r="D1447">
        <v>383580</v>
      </c>
      <c r="E1447">
        <v>15318</v>
      </c>
      <c r="F1447">
        <v>13790</v>
      </c>
    </row>
    <row r="1448" spans="1:6">
      <c r="A1448" t="s">
        <v>2581</v>
      </c>
      <c r="B1448">
        <v>161</v>
      </c>
      <c r="C1448" t="s">
        <v>1141</v>
      </c>
      <c r="D1448">
        <v>863055</v>
      </c>
      <c r="E1448">
        <v>15318</v>
      </c>
      <c r="F1448">
        <v>13790</v>
      </c>
    </row>
    <row r="1449" spans="1:6">
      <c r="A1449" t="s">
        <v>2582</v>
      </c>
      <c r="B1449">
        <v>161</v>
      </c>
      <c r="C1449" t="s">
        <v>159</v>
      </c>
      <c r="D1449">
        <v>9697121</v>
      </c>
      <c r="E1449">
        <v>15318</v>
      </c>
      <c r="F1449">
        <v>13790</v>
      </c>
    </row>
    <row r="1450" spans="1:6">
      <c r="A1450" t="s">
        <v>2583</v>
      </c>
      <c r="B1450">
        <v>161</v>
      </c>
      <c r="C1450" t="s">
        <v>642</v>
      </c>
      <c r="D1450">
        <v>4848560</v>
      </c>
      <c r="E1450">
        <v>15318</v>
      </c>
      <c r="F1450">
        <v>13790</v>
      </c>
    </row>
    <row r="1451" spans="1:6">
      <c r="A1451" t="s">
        <v>2584</v>
      </c>
      <c r="B1451">
        <v>162</v>
      </c>
      <c r="C1451" t="s">
        <v>149</v>
      </c>
      <c r="D1451">
        <v>97244</v>
      </c>
      <c r="E1451">
        <v>15497</v>
      </c>
      <c r="F1451">
        <v>13891</v>
      </c>
    </row>
    <row r="1452" spans="1:6">
      <c r="A1452" t="s">
        <v>2585</v>
      </c>
      <c r="B1452">
        <v>162</v>
      </c>
      <c r="C1452" t="s">
        <v>1132</v>
      </c>
      <c r="D1452">
        <v>291732</v>
      </c>
      <c r="E1452">
        <v>15497</v>
      </c>
      <c r="F1452">
        <v>13891</v>
      </c>
    </row>
    <row r="1453" spans="1:6">
      <c r="A1453" t="s">
        <v>2586</v>
      </c>
      <c r="B1453">
        <v>162</v>
      </c>
      <c r="C1453" t="s">
        <v>1134</v>
      </c>
      <c r="D1453">
        <v>175040</v>
      </c>
      <c r="E1453">
        <v>15497</v>
      </c>
      <c r="F1453">
        <v>13891</v>
      </c>
    </row>
    <row r="1454" spans="1:6">
      <c r="A1454" t="s">
        <v>2587</v>
      </c>
      <c r="B1454">
        <v>162</v>
      </c>
      <c r="C1454" t="s">
        <v>1136</v>
      </c>
      <c r="D1454">
        <v>48622</v>
      </c>
      <c r="E1454">
        <v>15497</v>
      </c>
      <c r="F1454">
        <v>13891</v>
      </c>
    </row>
    <row r="1455" spans="1:6">
      <c r="A1455" t="s">
        <v>2588</v>
      </c>
      <c r="B1455">
        <v>162</v>
      </c>
      <c r="C1455" t="s">
        <v>1138</v>
      </c>
      <c r="D1455">
        <v>14587</v>
      </c>
      <c r="E1455">
        <v>15497</v>
      </c>
      <c r="F1455">
        <v>13891</v>
      </c>
    </row>
    <row r="1456" spans="1:6">
      <c r="A1456" t="s">
        <v>2589</v>
      </c>
      <c r="B1456">
        <v>162</v>
      </c>
      <c r="C1456" t="s">
        <v>738</v>
      </c>
      <c r="D1456">
        <v>388976</v>
      </c>
      <c r="E1456">
        <v>15497</v>
      </c>
      <c r="F1456">
        <v>13891</v>
      </c>
    </row>
    <row r="1457" spans="1:6">
      <c r="A1457" t="s">
        <v>2590</v>
      </c>
      <c r="B1457">
        <v>162</v>
      </c>
      <c r="C1457" t="s">
        <v>1141</v>
      </c>
      <c r="D1457">
        <v>875196</v>
      </c>
      <c r="E1457">
        <v>15497</v>
      </c>
      <c r="F1457">
        <v>13891</v>
      </c>
    </row>
    <row r="1458" spans="1:6">
      <c r="A1458" t="s">
        <v>2591</v>
      </c>
      <c r="B1458">
        <v>162</v>
      </c>
      <c r="C1458" t="s">
        <v>159</v>
      </c>
      <c r="D1458">
        <v>9846293</v>
      </c>
      <c r="E1458">
        <v>15497</v>
      </c>
      <c r="F1458">
        <v>13891</v>
      </c>
    </row>
    <row r="1459" spans="1:6">
      <c r="A1459" t="s">
        <v>2592</v>
      </c>
      <c r="B1459">
        <v>162</v>
      </c>
      <c r="C1459" t="s">
        <v>642</v>
      </c>
      <c r="D1459">
        <v>4923147</v>
      </c>
      <c r="E1459">
        <v>15497</v>
      </c>
      <c r="F1459">
        <v>13891</v>
      </c>
    </row>
    <row r="1460" spans="1:6">
      <c r="A1460" t="s">
        <v>2593</v>
      </c>
      <c r="B1460">
        <v>163</v>
      </c>
      <c r="C1460" t="s">
        <v>149</v>
      </c>
      <c r="D1460">
        <v>98607</v>
      </c>
      <c r="E1460">
        <v>15677</v>
      </c>
      <c r="F1460">
        <v>13991</v>
      </c>
    </row>
    <row r="1461" spans="1:6">
      <c r="A1461" t="s">
        <v>2594</v>
      </c>
      <c r="B1461">
        <v>163</v>
      </c>
      <c r="C1461" t="s">
        <v>1132</v>
      </c>
      <c r="D1461">
        <v>295821</v>
      </c>
      <c r="E1461">
        <v>15677</v>
      </c>
      <c r="F1461">
        <v>13991</v>
      </c>
    </row>
    <row r="1462" spans="1:6">
      <c r="A1462" t="s">
        <v>2595</v>
      </c>
      <c r="B1462">
        <v>163</v>
      </c>
      <c r="C1462" t="s">
        <v>1134</v>
      </c>
      <c r="D1462">
        <v>177493</v>
      </c>
      <c r="E1462">
        <v>15677</v>
      </c>
      <c r="F1462">
        <v>13991</v>
      </c>
    </row>
    <row r="1463" spans="1:6">
      <c r="A1463" t="s">
        <v>2596</v>
      </c>
      <c r="B1463">
        <v>163</v>
      </c>
      <c r="C1463" t="s">
        <v>1136</v>
      </c>
      <c r="D1463">
        <v>49304</v>
      </c>
      <c r="E1463">
        <v>15677</v>
      </c>
      <c r="F1463">
        <v>13991</v>
      </c>
    </row>
    <row r="1464" spans="1:6">
      <c r="A1464" t="s">
        <v>2597</v>
      </c>
      <c r="B1464">
        <v>163</v>
      </c>
      <c r="C1464" t="s">
        <v>1138</v>
      </c>
      <c r="D1464">
        <v>14792</v>
      </c>
      <c r="E1464">
        <v>15677</v>
      </c>
      <c r="F1464">
        <v>13991</v>
      </c>
    </row>
    <row r="1465" spans="1:6">
      <c r="A1465" t="s">
        <v>2598</v>
      </c>
      <c r="B1465">
        <v>163</v>
      </c>
      <c r="C1465" t="s">
        <v>738</v>
      </c>
      <c r="D1465">
        <v>394428</v>
      </c>
      <c r="E1465">
        <v>15677</v>
      </c>
      <c r="F1465">
        <v>13991</v>
      </c>
    </row>
    <row r="1466" spans="1:6">
      <c r="A1466" t="s">
        <v>2599</v>
      </c>
      <c r="B1466">
        <v>163</v>
      </c>
      <c r="C1466" t="s">
        <v>1141</v>
      </c>
      <c r="D1466">
        <v>887463</v>
      </c>
      <c r="E1466">
        <v>15677</v>
      </c>
      <c r="F1466">
        <v>13991</v>
      </c>
    </row>
    <row r="1467" spans="1:6">
      <c r="A1467" t="s">
        <v>2600</v>
      </c>
      <c r="B1467">
        <v>163</v>
      </c>
      <c r="C1467" t="s">
        <v>159</v>
      </c>
      <c r="D1467">
        <v>9997089</v>
      </c>
      <c r="E1467">
        <v>15677</v>
      </c>
      <c r="F1467">
        <v>13991</v>
      </c>
    </row>
    <row r="1468" spans="1:6">
      <c r="A1468" t="s">
        <v>2601</v>
      </c>
      <c r="B1468">
        <v>163</v>
      </c>
      <c r="C1468" t="s">
        <v>642</v>
      </c>
      <c r="D1468">
        <v>4998545</v>
      </c>
      <c r="E1468">
        <v>15677</v>
      </c>
      <c r="F1468">
        <v>13991</v>
      </c>
    </row>
    <row r="1469" spans="1:6">
      <c r="A1469" t="s">
        <v>2602</v>
      </c>
      <c r="B1469">
        <v>164</v>
      </c>
      <c r="C1469" t="s">
        <v>149</v>
      </c>
      <c r="D1469">
        <v>99983</v>
      </c>
      <c r="E1469">
        <v>15858</v>
      </c>
      <c r="F1469">
        <v>14092</v>
      </c>
    </row>
    <row r="1470" spans="1:6">
      <c r="A1470" t="s">
        <v>2603</v>
      </c>
      <c r="B1470">
        <v>164</v>
      </c>
      <c r="C1470" t="s">
        <v>1132</v>
      </c>
      <c r="D1470">
        <v>299949</v>
      </c>
      <c r="E1470">
        <v>15858</v>
      </c>
      <c r="F1470">
        <v>14092</v>
      </c>
    </row>
    <row r="1471" spans="1:6">
      <c r="A1471" t="s">
        <v>2604</v>
      </c>
      <c r="B1471">
        <v>164</v>
      </c>
      <c r="C1471" t="s">
        <v>1134</v>
      </c>
      <c r="D1471">
        <v>179970</v>
      </c>
      <c r="E1471">
        <v>15858</v>
      </c>
      <c r="F1471">
        <v>14092</v>
      </c>
    </row>
    <row r="1472" spans="1:6">
      <c r="A1472" t="s">
        <v>2605</v>
      </c>
      <c r="B1472">
        <v>164</v>
      </c>
      <c r="C1472" t="s">
        <v>1136</v>
      </c>
      <c r="D1472">
        <v>49992</v>
      </c>
      <c r="E1472">
        <v>15858</v>
      </c>
      <c r="F1472">
        <v>14092</v>
      </c>
    </row>
    <row r="1473" spans="1:6">
      <c r="A1473" t="s">
        <v>2606</v>
      </c>
      <c r="B1473">
        <v>164</v>
      </c>
      <c r="C1473" t="s">
        <v>1138</v>
      </c>
      <c r="D1473">
        <v>14998</v>
      </c>
      <c r="E1473">
        <v>15858</v>
      </c>
      <c r="F1473">
        <v>14092</v>
      </c>
    </row>
    <row r="1474" spans="1:6">
      <c r="A1474" t="s">
        <v>2607</v>
      </c>
      <c r="B1474">
        <v>164</v>
      </c>
      <c r="C1474" t="s">
        <v>738</v>
      </c>
      <c r="D1474">
        <v>399932</v>
      </c>
      <c r="E1474">
        <v>15858</v>
      </c>
      <c r="F1474">
        <v>14092</v>
      </c>
    </row>
    <row r="1475" spans="1:6">
      <c r="A1475" t="s">
        <v>2608</v>
      </c>
      <c r="B1475">
        <v>164</v>
      </c>
      <c r="C1475" t="s">
        <v>1141</v>
      </c>
      <c r="D1475">
        <v>899847</v>
      </c>
      <c r="E1475">
        <v>15858</v>
      </c>
      <c r="F1475">
        <v>14092</v>
      </c>
    </row>
    <row r="1476" spans="1:6">
      <c r="A1476" t="s">
        <v>2609</v>
      </c>
      <c r="B1476">
        <v>164</v>
      </c>
      <c r="C1476" t="s">
        <v>159</v>
      </c>
      <c r="D1476">
        <v>10149569</v>
      </c>
      <c r="E1476">
        <v>15858</v>
      </c>
      <c r="F1476">
        <v>14092</v>
      </c>
    </row>
    <row r="1477" spans="1:6">
      <c r="A1477" t="s">
        <v>2610</v>
      </c>
      <c r="B1477">
        <v>164</v>
      </c>
      <c r="C1477" t="s">
        <v>642</v>
      </c>
      <c r="D1477">
        <v>5074784</v>
      </c>
      <c r="E1477">
        <v>15858</v>
      </c>
      <c r="F1477">
        <v>14092</v>
      </c>
    </row>
    <row r="1478" spans="1:6">
      <c r="A1478" t="s">
        <v>2611</v>
      </c>
      <c r="B1478">
        <v>165</v>
      </c>
      <c r="C1478" t="s">
        <v>149</v>
      </c>
      <c r="D1478">
        <v>101373</v>
      </c>
      <c r="E1478">
        <v>16041</v>
      </c>
      <c r="F1478">
        <v>14193</v>
      </c>
    </row>
    <row r="1479" spans="1:6">
      <c r="A1479" t="s">
        <v>2612</v>
      </c>
      <c r="B1479">
        <v>165</v>
      </c>
      <c r="C1479" t="s">
        <v>1132</v>
      </c>
      <c r="D1479">
        <v>304119</v>
      </c>
      <c r="E1479">
        <v>16041</v>
      </c>
      <c r="F1479">
        <v>14193</v>
      </c>
    </row>
    <row r="1480" spans="1:6">
      <c r="A1480" t="s">
        <v>2613</v>
      </c>
      <c r="B1480">
        <v>165</v>
      </c>
      <c r="C1480" t="s">
        <v>1134</v>
      </c>
      <c r="D1480">
        <v>182472</v>
      </c>
      <c r="E1480">
        <v>16041</v>
      </c>
      <c r="F1480">
        <v>14193</v>
      </c>
    </row>
    <row r="1481" spans="1:6">
      <c r="A1481" t="s">
        <v>2614</v>
      </c>
      <c r="B1481">
        <v>165</v>
      </c>
      <c r="C1481" t="s">
        <v>1136</v>
      </c>
      <c r="D1481">
        <v>50687</v>
      </c>
      <c r="E1481">
        <v>16041</v>
      </c>
      <c r="F1481">
        <v>14193</v>
      </c>
    </row>
    <row r="1482" spans="1:6">
      <c r="A1482" t="s">
        <v>2615</v>
      </c>
      <c r="B1482">
        <v>165</v>
      </c>
      <c r="C1482" t="s">
        <v>1138</v>
      </c>
      <c r="D1482">
        <v>15206</v>
      </c>
      <c r="E1482">
        <v>16041</v>
      </c>
      <c r="F1482">
        <v>14193</v>
      </c>
    </row>
    <row r="1483" spans="1:6">
      <c r="A1483" t="s">
        <v>2616</v>
      </c>
      <c r="B1483">
        <v>165</v>
      </c>
      <c r="C1483" t="s">
        <v>738</v>
      </c>
      <c r="D1483">
        <v>405492</v>
      </c>
      <c r="E1483">
        <v>16041</v>
      </c>
      <c r="F1483">
        <v>14193</v>
      </c>
    </row>
    <row r="1484" spans="1:6">
      <c r="A1484" t="s">
        <v>2617</v>
      </c>
      <c r="B1484">
        <v>165</v>
      </c>
      <c r="C1484" t="s">
        <v>1141</v>
      </c>
      <c r="D1484">
        <v>912357</v>
      </c>
      <c r="E1484">
        <v>16041</v>
      </c>
      <c r="F1484">
        <v>14193</v>
      </c>
    </row>
    <row r="1485" spans="1:6">
      <c r="A1485" t="s">
        <v>2618</v>
      </c>
      <c r="B1485">
        <v>165</v>
      </c>
      <c r="C1485" t="s">
        <v>159</v>
      </c>
      <c r="D1485">
        <v>10303672</v>
      </c>
      <c r="E1485">
        <v>16041</v>
      </c>
      <c r="F1485">
        <v>14193</v>
      </c>
    </row>
    <row r="1486" spans="1:6">
      <c r="A1486" t="s">
        <v>2619</v>
      </c>
      <c r="B1486">
        <v>165</v>
      </c>
      <c r="C1486" t="s">
        <v>642</v>
      </c>
      <c r="D1486">
        <v>5151836</v>
      </c>
      <c r="E1486">
        <v>16041</v>
      </c>
      <c r="F1486">
        <v>14193</v>
      </c>
    </row>
    <row r="1487" spans="1:6">
      <c r="A1487" t="s">
        <v>2620</v>
      </c>
      <c r="B1487">
        <v>166</v>
      </c>
      <c r="C1487" t="s">
        <v>149</v>
      </c>
      <c r="D1487">
        <v>102777</v>
      </c>
      <c r="E1487">
        <v>16225</v>
      </c>
      <c r="F1487">
        <v>14295</v>
      </c>
    </row>
    <row r="1488" spans="1:6">
      <c r="A1488" t="s">
        <v>2621</v>
      </c>
      <c r="B1488">
        <v>166</v>
      </c>
      <c r="C1488" t="s">
        <v>1132</v>
      </c>
      <c r="D1488">
        <v>308331</v>
      </c>
      <c r="E1488">
        <v>16225</v>
      </c>
      <c r="F1488">
        <v>14295</v>
      </c>
    </row>
    <row r="1489" spans="1:6">
      <c r="A1489" t="s">
        <v>2622</v>
      </c>
      <c r="B1489">
        <v>166</v>
      </c>
      <c r="C1489" t="s">
        <v>1134</v>
      </c>
      <c r="D1489">
        <v>184999</v>
      </c>
      <c r="E1489">
        <v>16225</v>
      </c>
      <c r="F1489">
        <v>14295</v>
      </c>
    </row>
    <row r="1490" spans="1:6">
      <c r="A1490" t="s">
        <v>2623</v>
      </c>
      <c r="B1490">
        <v>166</v>
      </c>
      <c r="C1490" t="s">
        <v>1136</v>
      </c>
      <c r="D1490">
        <v>51389</v>
      </c>
      <c r="E1490">
        <v>16225</v>
      </c>
      <c r="F1490">
        <v>14295</v>
      </c>
    </row>
    <row r="1491" spans="1:6">
      <c r="A1491" t="s">
        <v>2624</v>
      </c>
      <c r="B1491">
        <v>166</v>
      </c>
      <c r="C1491" t="s">
        <v>1138</v>
      </c>
      <c r="D1491">
        <v>15417</v>
      </c>
      <c r="E1491">
        <v>16225</v>
      </c>
      <c r="F1491">
        <v>14295</v>
      </c>
    </row>
    <row r="1492" spans="1:6">
      <c r="A1492" t="s">
        <v>2625</v>
      </c>
      <c r="B1492">
        <v>166</v>
      </c>
      <c r="C1492" t="s">
        <v>738</v>
      </c>
      <c r="D1492">
        <v>411108</v>
      </c>
      <c r="E1492">
        <v>16225</v>
      </c>
      <c r="F1492">
        <v>14295</v>
      </c>
    </row>
    <row r="1493" spans="1:6">
      <c r="A1493" t="s">
        <v>2626</v>
      </c>
      <c r="B1493">
        <v>166</v>
      </c>
      <c r="C1493" t="s">
        <v>1141</v>
      </c>
      <c r="D1493">
        <v>924993</v>
      </c>
      <c r="E1493">
        <v>16225</v>
      </c>
      <c r="F1493">
        <v>14295</v>
      </c>
    </row>
    <row r="1494" spans="1:6">
      <c r="A1494" t="s">
        <v>2627</v>
      </c>
      <c r="B1494">
        <v>166</v>
      </c>
      <c r="C1494" t="s">
        <v>159</v>
      </c>
      <c r="D1494">
        <v>10459458</v>
      </c>
      <c r="E1494">
        <v>16225</v>
      </c>
      <c r="F1494">
        <v>14295</v>
      </c>
    </row>
    <row r="1495" spans="1:6">
      <c r="A1495" t="s">
        <v>2628</v>
      </c>
      <c r="B1495">
        <v>166</v>
      </c>
      <c r="C1495" t="s">
        <v>642</v>
      </c>
      <c r="D1495">
        <v>5229729</v>
      </c>
      <c r="E1495">
        <v>16225</v>
      </c>
      <c r="F1495">
        <v>14295</v>
      </c>
    </row>
    <row r="1496" spans="1:6">
      <c r="A1496" t="s">
        <v>2629</v>
      </c>
      <c r="B1496">
        <v>167</v>
      </c>
      <c r="C1496" t="s">
        <v>149</v>
      </c>
      <c r="D1496">
        <v>104195</v>
      </c>
      <c r="E1496">
        <v>16411</v>
      </c>
      <c r="F1496">
        <v>14396</v>
      </c>
    </row>
    <row r="1497" spans="1:6">
      <c r="A1497" t="s">
        <v>2630</v>
      </c>
      <c r="B1497">
        <v>167</v>
      </c>
      <c r="C1497" t="s">
        <v>1132</v>
      </c>
      <c r="D1497">
        <v>312585</v>
      </c>
      <c r="E1497">
        <v>16411</v>
      </c>
      <c r="F1497">
        <v>14396</v>
      </c>
    </row>
    <row r="1498" spans="1:6">
      <c r="A1498" t="s">
        <v>2631</v>
      </c>
      <c r="B1498">
        <v>167</v>
      </c>
      <c r="C1498" t="s">
        <v>1134</v>
      </c>
      <c r="D1498">
        <v>187551</v>
      </c>
      <c r="E1498">
        <v>16411</v>
      </c>
      <c r="F1498">
        <v>14396</v>
      </c>
    </row>
    <row r="1499" spans="1:6">
      <c r="A1499" t="s">
        <v>2632</v>
      </c>
      <c r="B1499">
        <v>167</v>
      </c>
      <c r="C1499" t="s">
        <v>1136</v>
      </c>
      <c r="D1499">
        <v>52098</v>
      </c>
      <c r="E1499">
        <v>16411</v>
      </c>
      <c r="F1499">
        <v>14396</v>
      </c>
    </row>
    <row r="1500" spans="1:6">
      <c r="A1500" t="s">
        <v>2633</v>
      </c>
      <c r="B1500">
        <v>167</v>
      </c>
      <c r="C1500" t="s">
        <v>1138</v>
      </c>
      <c r="D1500">
        <v>15630</v>
      </c>
      <c r="E1500">
        <v>16411</v>
      </c>
      <c r="F1500">
        <v>14396</v>
      </c>
    </row>
    <row r="1501" spans="1:6">
      <c r="A1501" t="s">
        <v>2634</v>
      </c>
      <c r="B1501">
        <v>167</v>
      </c>
      <c r="C1501" t="s">
        <v>738</v>
      </c>
      <c r="D1501">
        <v>416780</v>
      </c>
      <c r="E1501">
        <v>16411</v>
      </c>
      <c r="F1501">
        <v>14396</v>
      </c>
    </row>
    <row r="1502" spans="1:6">
      <c r="A1502" t="s">
        <v>2635</v>
      </c>
      <c r="B1502">
        <v>167</v>
      </c>
      <c r="C1502" t="s">
        <v>1141</v>
      </c>
      <c r="D1502">
        <v>937755</v>
      </c>
      <c r="E1502">
        <v>16411</v>
      </c>
      <c r="F1502">
        <v>14396</v>
      </c>
    </row>
    <row r="1503" spans="1:6">
      <c r="A1503" t="s">
        <v>2636</v>
      </c>
      <c r="B1503">
        <v>167</v>
      </c>
      <c r="C1503" t="s">
        <v>159</v>
      </c>
      <c r="D1503">
        <v>10616987</v>
      </c>
      <c r="E1503">
        <v>16411</v>
      </c>
      <c r="F1503">
        <v>14396</v>
      </c>
    </row>
    <row r="1504" spans="1:6">
      <c r="A1504" t="s">
        <v>2637</v>
      </c>
      <c r="B1504">
        <v>167</v>
      </c>
      <c r="C1504" t="s">
        <v>642</v>
      </c>
      <c r="D1504">
        <v>5308494</v>
      </c>
      <c r="E1504">
        <v>16411</v>
      </c>
      <c r="F1504">
        <v>14396</v>
      </c>
    </row>
    <row r="1505" spans="1:6">
      <c r="A1505" t="s">
        <v>2638</v>
      </c>
      <c r="B1505">
        <v>168</v>
      </c>
      <c r="C1505" t="s">
        <v>149</v>
      </c>
      <c r="D1505">
        <v>105627</v>
      </c>
      <c r="E1505">
        <v>16597</v>
      </c>
      <c r="F1505">
        <v>14498</v>
      </c>
    </row>
    <row r="1506" spans="1:6">
      <c r="A1506" t="s">
        <v>2639</v>
      </c>
      <c r="B1506">
        <v>168</v>
      </c>
      <c r="C1506" t="s">
        <v>1132</v>
      </c>
      <c r="D1506">
        <v>316881</v>
      </c>
      <c r="E1506">
        <v>16597</v>
      </c>
      <c r="F1506">
        <v>14498</v>
      </c>
    </row>
    <row r="1507" spans="1:6">
      <c r="A1507" t="s">
        <v>2640</v>
      </c>
      <c r="B1507">
        <v>168</v>
      </c>
      <c r="C1507" t="s">
        <v>1134</v>
      </c>
      <c r="D1507">
        <v>190129</v>
      </c>
      <c r="E1507">
        <v>16597</v>
      </c>
      <c r="F1507">
        <v>14498</v>
      </c>
    </row>
    <row r="1508" spans="1:6">
      <c r="A1508" t="s">
        <v>2641</v>
      </c>
      <c r="B1508">
        <v>168</v>
      </c>
      <c r="C1508" t="s">
        <v>1136</v>
      </c>
      <c r="D1508">
        <v>52814</v>
      </c>
      <c r="E1508">
        <v>16597</v>
      </c>
      <c r="F1508">
        <v>14498</v>
      </c>
    </row>
    <row r="1509" spans="1:6">
      <c r="A1509" t="s">
        <v>2642</v>
      </c>
      <c r="B1509">
        <v>168</v>
      </c>
      <c r="C1509" t="s">
        <v>1138</v>
      </c>
      <c r="D1509">
        <v>15845</v>
      </c>
      <c r="E1509">
        <v>16597</v>
      </c>
      <c r="F1509">
        <v>14498</v>
      </c>
    </row>
    <row r="1510" spans="1:6">
      <c r="A1510" t="s">
        <v>2643</v>
      </c>
      <c r="B1510">
        <v>168</v>
      </c>
      <c r="C1510" t="s">
        <v>738</v>
      </c>
      <c r="D1510">
        <v>422508</v>
      </c>
      <c r="E1510">
        <v>16597</v>
      </c>
      <c r="F1510">
        <v>14498</v>
      </c>
    </row>
    <row r="1511" spans="1:6">
      <c r="A1511" t="s">
        <v>2644</v>
      </c>
      <c r="B1511">
        <v>168</v>
      </c>
      <c r="C1511" t="s">
        <v>1141</v>
      </c>
      <c r="D1511">
        <v>950643</v>
      </c>
      <c r="E1511">
        <v>16597</v>
      </c>
      <c r="F1511">
        <v>14498</v>
      </c>
    </row>
    <row r="1512" spans="1:6">
      <c r="A1512" t="s">
        <v>2645</v>
      </c>
      <c r="B1512">
        <v>168</v>
      </c>
      <c r="C1512" t="s">
        <v>159</v>
      </c>
      <c r="D1512">
        <v>10776140</v>
      </c>
      <c r="E1512">
        <v>16597</v>
      </c>
      <c r="F1512">
        <v>14498</v>
      </c>
    </row>
    <row r="1513" spans="1:6">
      <c r="A1513" t="s">
        <v>2646</v>
      </c>
      <c r="B1513">
        <v>168</v>
      </c>
      <c r="C1513" t="s">
        <v>642</v>
      </c>
      <c r="D1513">
        <v>5388070</v>
      </c>
      <c r="E1513">
        <v>16597</v>
      </c>
      <c r="F1513">
        <v>14498</v>
      </c>
    </row>
    <row r="1514" spans="1:6">
      <c r="A1514" t="s">
        <v>2647</v>
      </c>
      <c r="B1514">
        <v>169</v>
      </c>
      <c r="C1514" t="s">
        <v>149</v>
      </c>
      <c r="D1514">
        <v>107073</v>
      </c>
      <c r="E1514">
        <v>16786</v>
      </c>
      <c r="F1514">
        <v>14600</v>
      </c>
    </row>
    <row r="1515" spans="1:6">
      <c r="A1515" t="s">
        <v>2648</v>
      </c>
      <c r="B1515">
        <v>169</v>
      </c>
      <c r="C1515" t="s">
        <v>1132</v>
      </c>
      <c r="D1515">
        <v>321219</v>
      </c>
      <c r="E1515">
        <v>16786</v>
      </c>
      <c r="F1515">
        <v>14600</v>
      </c>
    </row>
    <row r="1516" spans="1:6">
      <c r="A1516" t="s">
        <v>2649</v>
      </c>
      <c r="B1516">
        <v>169</v>
      </c>
      <c r="C1516" t="s">
        <v>1134</v>
      </c>
      <c r="D1516">
        <v>192732</v>
      </c>
      <c r="E1516">
        <v>16786</v>
      </c>
      <c r="F1516">
        <v>14600</v>
      </c>
    </row>
    <row r="1517" spans="1:6">
      <c r="A1517" t="s">
        <v>2650</v>
      </c>
      <c r="B1517">
        <v>169</v>
      </c>
      <c r="C1517" t="s">
        <v>1136</v>
      </c>
      <c r="D1517">
        <v>53537</v>
      </c>
      <c r="E1517">
        <v>16786</v>
      </c>
      <c r="F1517">
        <v>14600</v>
      </c>
    </row>
    <row r="1518" spans="1:6">
      <c r="A1518" t="s">
        <v>2651</v>
      </c>
      <c r="B1518">
        <v>169</v>
      </c>
      <c r="C1518" t="s">
        <v>1138</v>
      </c>
      <c r="D1518">
        <v>16061</v>
      </c>
      <c r="E1518">
        <v>16786</v>
      </c>
      <c r="F1518">
        <v>14600</v>
      </c>
    </row>
    <row r="1519" spans="1:6">
      <c r="A1519" t="s">
        <v>2652</v>
      </c>
      <c r="B1519">
        <v>169</v>
      </c>
      <c r="C1519" t="s">
        <v>738</v>
      </c>
      <c r="D1519">
        <v>428292</v>
      </c>
      <c r="E1519">
        <v>16786</v>
      </c>
      <c r="F1519">
        <v>14600</v>
      </c>
    </row>
    <row r="1520" spans="1:6">
      <c r="A1520" t="s">
        <v>2653</v>
      </c>
      <c r="B1520">
        <v>169</v>
      </c>
      <c r="C1520" t="s">
        <v>1141</v>
      </c>
      <c r="D1520">
        <v>963657</v>
      </c>
      <c r="E1520">
        <v>16786</v>
      </c>
      <c r="F1520">
        <v>14600</v>
      </c>
    </row>
    <row r="1521" spans="1:6">
      <c r="A1521" t="s">
        <v>2654</v>
      </c>
      <c r="B1521">
        <v>169</v>
      </c>
      <c r="C1521" t="s">
        <v>159</v>
      </c>
      <c r="D1521">
        <v>10937035</v>
      </c>
      <c r="E1521">
        <v>16786</v>
      </c>
      <c r="F1521">
        <v>14600</v>
      </c>
    </row>
    <row r="1522" spans="1:6">
      <c r="A1522" t="s">
        <v>2655</v>
      </c>
      <c r="B1522">
        <v>169</v>
      </c>
      <c r="C1522" t="s">
        <v>642</v>
      </c>
      <c r="D1522">
        <v>5468518</v>
      </c>
      <c r="E1522">
        <v>16786</v>
      </c>
      <c r="F1522">
        <v>14600</v>
      </c>
    </row>
    <row r="1523" spans="1:6">
      <c r="A1523" t="s">
        <v>2656</v>
      </c>
      <c r="B1523">
        <v>170</v>
      </c>
      <c r="C1523" t="s">
        <v>149</v>
      </c>
      <c r="D1523">
        <v>108534</v>
      </c>
      <c r="E1523">
        <v>16975</v>
      </c>
      <c r="F1523">
        <v>14702</v>
      </c>
    </row>
    <row r="1524" spans="1:6">
      <c r="A1524" t="s">
        <v>2657</v>
      </c>
      <c r="B1524">
        <v>170</v>
      </c>
      <c r="C1524" t="s">
        <v>1132</v>
      </c>
      <c r="D1524">
        <v>325602</v>
      </c>
      <c r="E1524">
        <v>16975</v>
      </c>
      <c r="F1524">
        <v>14702</v>
      </c>
    </row>
    <row r="1525" spans="1:6">
      <c r="A1525" t="s">
        <v>2658</v>
      </c>
      <c r="B1525">
        <v>170</v>
      </c>
      <c r="C1525" t="s">
        <v>1134</v>
      </c>
      <c r="D1525">
        <v>195362</v>
      </c>
      <c r="E1525">
        <v>16975</v>
      </c>
      <c r="F1525">
        <v>14702</v>
      </c>
    </row>
    <row r="1526" spans="1:6">
      <c r="A1526" t="s">
        <v>2659</v>
      </c>
      <c r="B1526">
        <v>170</v>
      </c>
      <c r="C1526" t="s">
        <v>1136</v>
      </c>
      <c r="D1526">
        <v>54267</v>
      </c>
      <c r="E1526">
        <v>16975</v>
      </c>
      <c r="F1526">
        <v>14702</v>
      </c>
    </row>
    <row r="1527" spans="1:6">
      <c r="A1527" t="s">
        <v>2660</v>
      </c>
      <c r="B1527">
        <v>170</v>
      </c>
      <c r="C1527" t="s">
        <v>1138</v>
      </c>
      <c r="D1527">
        <v>16281</v>
      </c>
      <c r="E1527">
        <v>16975</v>
      </c>
      <c r="F1527">
        <v>14702</v>
      </c>
    </row>
    <row r="1528" spans="1:6">
      <c r="A1528" t="s">
        <v>2661</v>
      </c>
      <c r="B1528">
        <v>170</v>
      </c>
      <c r="C1528" t="s">
        <v>738</v>
      </c>
      <c r="D1528">
        <v>434136</v>
      </c>
      <c r="E1528">
        <v>16975</v>
      </c>
      <c r="F1528">
        <v>14702</v>
      </c>
    </row>
    <row r="1529" spans="1:6">
      <c r="A1529" t="s">
        <v>2662</v>
      </c>
      <c r="B1529">
        <v>170</v>
      </c>
      <c r="C1529" t="s">
        <v>1141</v>
      </c>
      <c r="D1529">
        <v>976806</v>
      </c>
      <c r="E1529">
        <v>16975</v>
      </c>
      <c r="F1529">
        <v>14702</v>
      </c>
    </row>
    <row r="1530" spans="1:6">
      <c r="A1530" t="s">
        <v>2663</v>
      </c>
      <c r="B1530">
        <v>170</v>
      </c>
      <c r="C1530" t="s">
        <v>159</v>
      </c>
      <c r="D1530">
        <v>11099614</v>
      </c>
      <c r="E1530">
        <v>16975</v>
      </c>
      <c r="F1530">
        <v>14702</v>
      </c>
    </row>
    <row r="1531" spans="1:6">
      <c r="A1531" t="s">
        <v>2664</v>
      </c>
      <c r="B1531">
        <v>170</v>
      </c>
      <c r="C1531" t="s">
        <v>642</v>
      </c>
      <c r="D1531">
        <v>5549807</v>
      </c>
      <c r="E1531">
        <v>16975</v>
      </c>
      <c r="F1531">
        <v>14702</v>
      </c>
    </row>
    <row r="1532" spans="1:6">
      <c r="A1532" t="s">
        <v>2665</v>
      </c>
      <c r="B1532">
        <v>171</v>
      </c>
      <c r="C1532" t="s">
        <v>149</v>
      </c>
      <c r="D1532">
        <v>110009</v>
      </c>
      <c r="E1532">
        <v>17166</v>
      </c>
      <c r="F1532">
        <v>14804</v>
      </c>
    </row>
    <row r="1533" spans="1:6">
      <c r="A1533" t="s">
        <v>2666</v>
      </c>
      <c r="B1533">
        <v>171</v>
      </c>
      <c r="C1533" t="s">
        <v>1132</v>
      </c>
      <c r="D1533">
        <v>330027</v>
      </c>
      <c r="E1533">
        <v>17166</v>
      </c>
      <c r="F1533">
        <v>14804</v>
      </c>
    </row>
    <row r="1534" spans="1:6">
      <c r="A1534" t="s">
        <v>2667</v>
      </c>
      <c r="B1534">
        <v>171</v>
      </c>
      <c r="C1534" t="s">
        <v>1134</v>
      </c>
      <c r="D1534">
        <v>198017</v>
      </c>
      <c r="E1534">
        <v>17166</v>
      </c>
      <c r="F1534">
        <v>14804</v>
      </c>
    </row>
    <row r="1535" spans="1:6">
      <c r="A1535" t="s">
        <v>2668</v>
      </c>
      <c r="B1535">
        <v>171</v>
      </c>
      <c r="C1535" t="s">
        <v>1136</v>
      </c>
      <c r="D1535">
        <v>55005</v>
      </c>
      <c r="E1535">
        <v>17166</v>
      </c>
      <c r="F1535">
        <v>14804</v>
      </c>
    </row>
    <row r="1536" spans="1:6">
      <c r="A1536" t="s">
        <v>2669</v>
      </c>
      <c r="B1536">
        <v>171</v>
      </c>
      <c r="C1536" t="s">
        <v>1138</v>
      </c>
      <c r="D1536">
        <v>16502</v>
      </c>
      <c r="E1536">
        <v>17166</v>
      </c>
      <c r="F1536">
        <v>14804</v>
      </c>
    </row>
    <row r="1537" spans="1:6">
      <c r="A1537" t="s">
        <v>2670</v>
      </c>
      <c r="B1537">
        <v>171</v>
      </c>
      <c r="C1537" t="s">
        <v>738</v>
      </c>
      <c r="D1537">
        <v>440036</v>
      </c>
      <c r="E1537">
        <v>17166</v>
      </c>
      <c r="F1537">
        <v>14804</v>
      </c>
    </row>
    <row r="1538" spans="1:6">
      <c r="A1538" t="s">
        <v>2671</v>
      </c>
      <c r="B1538">
        <v>171</v>
      </c>
      <c r="C1538" t="s">
        <v>1141</v>
      </c>
      <c r="D1538">
        <v>990081</v>
      </c>
      <c r="E1538">
        <v>17166</v>
      </c>
      <c r="F1538">
        <v>14804</v>
      </c>
    </row>
    <row r="1539" spans="1:6">
      <c r="A1539" t="s">
        <v>2672</v>
      </c>
      <c r="B1539">
        <v>171</v>
      </c>
      <c r="C1539" t="s">
        <v>159</v>
      </c>
      <c r="D1539">
        <v>11263995</v>
      </c>
      <c r="E1539">
        <v>17166</v>
      </c>
      <c r="F1539">
        <v>14804</v>
      </c>
    </row>
    <row r="1540" spans="1:6">
      <c r="A1540" t="s">
        <v>2673</v>
      </c>
      <c r="B1540">
        <v>171</v>
      </c>
      <c r="C1540" t="s">
        <v>642</v>
      </c>
      <c r="D1540">
        <v>5631998</v>
      </c>
      <c r="E1540">
        <v>17166</v>
      </c>
      <c r="F1540">
        <v>14804</v>
      </c>
    </row>
    <row r="1541" spans="1:6">
      <c r="A1541" t="s">
        <v>2674</v>
      </c>
      <c r="B1541">
        <v>172</v>
      </c>
      <c r="C1541" t="s">
        <v>149</v>
      </c>
      <c r="D1541">
        <v>111498</v>
      </c>
      <c r="E1541">
        <v>17358</v>
      </c>
      <c r="F1541">
        <v>14906</v>
      </c>
    </row>
    <row r="1542" spans="1:6">
      <c r="A1542" t="s">
        <v>2675</v>
      </c>
      <c r="B1542">
        <v>172</v>
      </c>
      <c r="C1542" t="s">
        <v>1132</v>
      </c>
      <c r="D1542">
        <v>334494</v>
      </c>
      <c r="E1542">
        <v>17358</v>
      </c>
      <c r="F1542">
        <v>14906</v>
      </c>
    </row>
    <row r="1543" spans="1:6">
      <c r="A1543" t="s">
        <v>2676</v>
      </c>
      <c r="B1543">
        <v>172</v>
      </c>
      <c r="C1543" t="s">
        <v>1134</v>
      </c>
      <c r="D1543">
        <v>200697</v>
      </c>
      <c r="E1543">
        <v>17358</v>
      </c>
      <c r="F1543">
        <v>14906</v>
      </c>
    </row>
    <row r="1544" spans="1:6">
      <c r="A1544" t="s">
        <v>2677</v>
      </c>
      <c r="B1544">
        <v>172</v>
      </c>
      <c r="C1544" t="s">
        <v>1136</v>
      </c>
      <c r="D1544">
        <v>55749</v>
      </c>
      <c r="E1544">
        <v>17358</v>
      </c>
      <c r="F1544">
        <v>14906</v>
      </c>
    </row>
    <row r="1545" spans="1:6">
      <c r="A1545" t="s">
        <v>2678</v>
      </c>
      <c r="B1545">
        <v>172</v>
      </c>
      <c r="C1545" t="s">
        <v>1138</v>
      </c>
      <c r="D1545">
        <v>16725</v>
      </c>
      <c r="E1545">
        <v>17358</v>
      </c>
      <c r="F1545">
        <v>14906</v>
      </c>
    </row>
    <row r="1546" spans="1:6">
      <c r="A1546" t="s">
        <v>2679</v>
      </c>
      <c r="B1546">
        <v>172</v>
      </c>
      <c r="C1546" t="s">
        <v>738</v>
      </c>
      <c r="D1546">
        <v>445992</v>
      </c>
      <c r="E1546">
        <v>17358</v>
      </c>
      <c r="F1546">
        <v>14906</v>
      </c>
    </row>
    <row r="1547" spans="1:6">
      <c r="A1547" t="s">
        <v>2680</v>
      </c>
      <c r="B1547">
        <v>172</v>
      </c>
      <c r="C1547" t="s">
        <v>1141</v>
      </c>
      <c r="D1547">
        <v>1003482</v>
      </c>
      <c r="E1547">
        <v>17358</v>
      </c>
      <c r="F1547">
        <v>14906</v>
      </c>
    </row>
    <row r="1548" spans="1:6">
      <c r="A1548" t="s">
        <v>2681</v>
      </c>
      <c r="B1548">
        <v>172</v>
      </c>
      <c r="C1548" t="s">
        <v>159</v>
      </c>
      <c r="D1548">
        <v>11430059</v>
      </c>
      <c r="E1548">
        <v>17358</v>
      </c>
      <c r="F1548">
        <v>14906</v>
      </c>
    </row>
    <row r="1549" spans="1:6">
      <c r="A1549" t="s">
        <v>2682</v>
      </c>
      <c r="B1549">
        <v>172</v>
      </c>
      <c r="C1549" t="s">
        <v>642</v>
      </c>
      <c r="D1549">
        <v>5715029</v>
      </c>
      <c r="E1549">
        <v>17358</v>
      </c>
      <c r="F1549">
        <v>14906</v>
      </c>
    </row>
    <row r="1550" spans="1:6">
      <c r="A1550" t="s">
        <v>2683</v>
      </c>
      <c r="B1550">
        <v>173</v>
      </c>
      <c r="C1550" t="s">
        <v>149</v>
      </c>
      <c r="D1550">
        <v>113002</v>
      </c>
      <c r="E1550">
        <v>17552</v>
      </c>
      <c r="F1550">
        <v>15009</v>
      </c>
    </row>
    <row r="1551" spans="1:6">
      <c r="A1551" t="s">
        <v>2684</v>
      </c>
      <c r="B1551">
        <v>173</v>
      </c>
      <c r="C1551" t="s">
        <v>1132</v>
      </c>
      <c r="D1551">
        <v>339006</v>
      </c>
      <c r="E1551">
        <v>17552</v>
      </c>
      <c r="F1551">
        <v>15009</v>
      </c>
    </row>
    <row r="1552" spans="1:6">
      <c r="A1552" t="s">
        <v>2685</v>
      </c>
      <c r="B1552">
        <v>173</v>
      </c>
      <c r="C1552" t="s">
        <v>1134</v>
      </c>
      <c r="D1552">
        <v>203404</v>
      </c>
      <c r="E1552">
        <v>17552</v>
      </c>
      <c r="F1552">
        <v>15009</v>
      </c>
    </row>
    <row r="1553" spans="1:6">
      <c r="A1553" t="s">
        <v>2686</v>
      </c>
      <c r="B1553">
        <v>173</v>
      </c>
      <c r="C1553" t="s">
        <v>1136</v>
      </c>
      <c r="D1553">
        <v>56501</v>
      </c>
      <c r="E1553">
        <v>17552</v>
      </c>
      <c r="F1553">
        <v>15009</v>
      </c>
    </row>
    <row r="1554" spans="1:6">
      <c r="A1554" t="s">
        <v>2687</v>
      </c>
      <c r="B1554">
        <v>173</v>
      </c>
      <c r="C1554" t="s">
        <v>1138</v>
      </c>
      <c r="D1554">
        <v>16951</v>
      </c>
      <c r="E1554">
        <v>17552</v>
      </c>
      <c r="F1554">
        <v>15009</v>
      </c>
    </row>
    <row r="1555" spans="1:6">
      <c r="A1555" t="s">
        <v>2688</v>
      </c>
      <c r="B1555">
        <v>173</v>
      </c>
      <c r="C1555" t="s">
        <v>738</v>
      </c>
      <c r="D1555">
        <v>452008</v>
      </c>
      <c r="E1555">
        <v>17552</v>
      </c>
      <c r="F1555">
        <v>15009</v>
      </c>
    </row>
    <row r="1556" spans="1:6">
      <c r="A1556" t="s">
        <v>2689</v>
      </c>
      <c r="B1556">
        <v>173</v>
      </c>
      <c r="C1556" t="s">
        <v>1141</v>
      </c>
      <c r="D1556">
        <v>1017018</v>
      </c>
      <c r="E1556">
        <v>17552</v>
      </c>
      <c r="F1556">
        <v>15009</v>
      </c>
    </row>
    <row r="1557" spans="1:6">
      <c r="A1557" t="s">
        <v>2690</v>
      </c>
      <c r="B1557">
        <v>173</v>
      </c>
      <c r="C1557" t="s">
        <v>159</v>
      </c>
      <c r="D1557">
        <v>11597925</v>
      </c>
      <c r="E1557">
        <v>17552</v>
      </c>
      <c r="F1557">
        <v>15009</v>
      </c>
    </row>
    <row r="1558" spans="1:6">
      <c r="A1558" t="s">
        <v>2691</v>
      </c>
      <c r="B1558">
        <v>173</v>
      </c>
      <c r="C1558" t="s">
        <v>642</v>
      </c>
      <c r="D1558">
        <v>5798963</v>
      </c>
      <c r="E1558">
        <v>17552</v>
      </c>
      <c r="F1558">
        <v>15009</v>
      </c>
    </row>
    <row r="1559" spans="1:6">
      <c r="A1559" t="s">
        <v>2692</v>
      </c>
      <c r="B1559">
        <v>174</v>
      </c>
      <c r="C1559" t="s">
        <v>149</v>
      </c>
      <c r="D1559">
        <v>114521</v>
      </c>
      <c r="E1559">
        <v>17747</v>
      </c>
      <c r="F1559">
        <v>15112</v>
      </c>
    </row>
    <row r="1560" spans="1:6">
      <c r="A1560" t="s">
        <v>2693</v>
      </c>
      <c r="B1560">
        <v>174</v>
      </c>
      <c r="C1560" t="s">
        <v>1132</v>
      </c>
      <c r="D1560">
        <v>343563</v>
      </c>
      <c r="E1560">
        <v>17747</v>
      </c>
      <c r="F1560">
        <v>15112</v>
      </c>
    </row>
    <row r="1561" spans="1:6">
      <c r="A1561" t="s">
        <v>2694</v>
      </c>
      <c r="B1561">
        <v>174</v>
      </c>
      <c r="C1561" t="s">
        <v>1134</v>
      </c>
      <c r="D1561">
        <v>206138</v>
      </c>
      <c r="E1561">
        <v>17747</v>
      </c>
      <c r="F1561">
        <v>15112</v>
      </c>
    </row>
    <row r="1562" spans="1:6">
      <c r="A1562" t="s">
        <v>2695</v>
      </c>
      <c r="B1562">
        <v>174</v>
      </c>
      <c r="C1562" t="s">
        <v>1136</v>
      </c>
      <c r="D1562">
        <v>57261</v>
      </c>
      <c r="E1562">
        <v>17747</v>
      </c>
      <c r="F1562">
        <v>15112</v>
      </c>
    </row>
    <row r="1563" spans="1:6">
      <c r="A1563" t="s">
        <v>2696</v>
      </c>
      <c r="B1563">
        <v>174</v>
      </c>
      <c r="C1563" t="s">
        <v>1138</v>
      </c>
      <c r="D1563">
        <v>17179</v>
      </c>
      <c r="E1563">
        <v>17747</v>
      </c>
      <c r="F1563">
        <v>15112</v>
      </c>
    </row>
    <row r="1564" spans="1:6">
      <c r="A1564" t="s">
        <v>2697</v>
      </c>
      <c r="B1564">
        <v>174</v>
      </c>
      <c r="C1564" t="s">
        <v>738</v>
      </c>
      <c r="D1564">
        <v>458084</v>
      </c>
      <c r="E1564">
        <v>17747</v>
      </c>
      <c r="F1564">
        <v>15112</v>
      </c>
    </row>
    <row r="1565" spans="1:6">
      <c r="A1565" t="s">
        <v>2698</v>
      </c>
      <c r="B1565">
        <v>174</v>
      </c>
      <c r="C1565" t="s">
        <v>1141</v>
      </c>
      <c r="D1565">
        <v>1030689</v>
      </c>
      <c r="E1565">
        <v>17747</v>
      </c>
      <c r="F1565">
        <v>15112</v>
      </c>
    </row>
    <row r="1566" spans="1:6">
      <c r="A1566" t="s">
        <v>2699</v>
      </c>
      <c r="B1566">
        <v>174</v>
      </c>
      <c r="C1566" t="s">
        <v>159</v>
      </c>
      <c r="D1566">
        <v>11767595</v>
      </c>
      <c r="E1566">
        <v>17747</v>
      </c>
      <c r="F1566">
        <v>15112</v>
      </c>
    </row>
    <row r="1567" spans="1:6">
      <c r="A1567" t="s">
        <v>2700</v>
      </c>
      <c r="B1567">
        <v>174</v>
      </c>
      <c r="C1567" t="s">
        <v>642</v>
      </c>
      <c r="D1567">
        <v>5883797</v>
      </c>
      <c r="E1567">
        <v>17747</v>
      </c>
      <c r="F1567">
        <v>15112</v>
      </c>
    </row>
    <row r="1568" spans="1:6">
      <c r="A1568" t="s">
        <v>2701</v>
      </c>
      <c r="B1568">
        <v>175</v>
      </c>
      <c r="C1568" t="s">
        <v>149</v>
      </c>
      <c r="D1568">
        <v>116054</v>
      </c>
      <c r="E1568">
        <v>17943</v>
      </c>
      <c r="F1568">
        <v>15215</v>
      </c>
    </row>
    <row r="1569" spans="1:6">
      <c r="A1569" t="s">
        <v>2702</v>
      </c>
      <c r="B1569">
        <v>175</v>
      </c>
      <c r="C1569" t="s">
        <v>1132</v>
      </c>
      <c r="D1569">
        <v>348162</v>
      </c>
      <c r="E1569">
        <v>17943</v>
      </c>
      <c r="F1569">
        <v>15215</v>
      </c>
    </row>
    <row r="1570" spans="1:6">
      <c r="A1570" t="s">
        <v>2703</v>
      </c>
      <c r="B1570">
        <v>175</v>
      </c>
      <c r="C1570" t="s">
        <v>1134</v>
      </c>
      <c r="D1570">
        <v>208898</v>
      </c>
      <c r="E1570">
        <v>17943</v>
      </c>
      <c r="F1570">
        <v>15215</v>
      </c>
    </row>
    <row r="1571" spans="1:6">
      <c r="A1571" t="s">
        <v>2704</v>
      </c>
      <c r="B1571">
        <v>175</v>
      </c>
      <c r="C1571" t="s">
        <v>1136</v>
      </c>
      <c r="D1571">
        <v>58027</v>
      </c>
      <c r="E1571">
        <v>17943</v>
      </c>
      <c r="F1571">
        <v>15215</v>
      </c>
    </row>
    <row r="1572" spans="1:6">
      <c r="A1572" t="s">
        <v>2705</v>
      </c>
      <c r="B1572">
        <v>175</v>
      </c>
      <c r="C1572" t="s">
        <v>1138</v>
      </c>
      <c r="D1572">
        <v>17409</v>
      </c>
      <c r="E1572">
        <v>17943</v>
      </c>
      <c r="F1572">
        <v>15215</v>
      </c>
    </row>
    <row r="1573" spans="1:6">
      <c r="A1573" t="s">
        <v>2706</v>
      </c>
      <c r="B1573">
        <v>175</v>
      </c>
      <c r="C1573" t="s">
        <v>738</v>
      </c>
      <c r="D1573">
        <v>464216</v>
      </c>
      <c r="E1573">
        <v>17943</v>
      </c>
      <c r="F1573">
        <v>15215</v>
      </c>
    </row>
    <row r="1574" spans="1:6">
      <c r="A1574" t="s">
        <v>2707</v>
      </c>
      <c r="B1574">
        <v>175</v>
      </c>
      <c r="C1574" t="s">
        <v>1141</v>
      </c>
      <c r="D1574">
        <v>1044486</v>
      </c>
      <c r="E1574">
        <v>17943</v>
      </c>
      <c r="F1574">
        <v>15215</v>
      </c>
    </row>
    <row r="1575" spans="1:6">
      <c r="A1575" t="s">
        <v>2708</v>
      </c>
      <c r="B1575">
        <v>175</v>
      </c>
      <c r="C1575" t="s">
        <v>159</v>
      </c>
      <c r="D1575">
        <v>11939006</v>
      </c>
      <c r="E1575">
        <v>17943</v>
      </c>
      <c r="F1575">
        <v>15215</v>
      </c>
    </row>
    <row r="1576" spans="1:6">
      <c r="A1576" t="s">
        <v>2709</v>
      </c>
      <c r="B1576">
        <v>175</v>
      </c>
      <c r="C1576" t="s">
        <v>642</v>
      </c>
      <c r="D1576">
        <v>5969503</v>
      </c>
      <c r="E1576">
        <v>17943</v>
      </c>
      <c r="F1576">
        <v>15215</v>
      </c>
    </row>
    <row r="1577" spans="1:6">
      <c r="A1577" t="s">
        <v>2710</v>
      </c>
      <c r="B1577">
        <v>176</v>
      </c>
      <c r="C1577" t="s">
        <v>149</v>
      </c>
      <c r="D1577">
        <v>117602</v>
      </c>
      <c r="E1577">
        <v>18141</v>
      </c>
      <c r="F1577">
        <v>15318</v>
      </c>
    </row>
    <row r="1578" spans="1:6">
      <c r="A1578" t="s">
        <v>2711</v>
      </c>
      <c r="B1578">
        <v>176</v>
      </c>
      <c r="C1578" t="s">
        <v>1132</v>
      </c>
      <c r="D1578">
        <v>352806</v>
      </c>
      <c r="E1578">
        <v>18141</v>
      </c>
      <c r="F1578">
        <v>15318</v>
      </c>
    </row>
    <row r="1579" spans="1:6">
      <c r="A1579" t="s">
        <v>2712</v>
      </c>
      <c r="B1579">
        <v>176</v>
      </c>
      <c r="C1579" t="s">
        <v>1134</v>
      </c>
      <c r="D1579">
        <v>211684</v>
      </c>
      <c r="E1579">
        <v>18141</v>
      </c>
      <c r="F1579">
        <v>15318</v>
      </c>
    </row>
    <row r="1580" spans="1:6">
      <c r="A1580" t="s">
        <v>2713</v>
      </c>
      <c r="B1580">
        <v>176</v>
      </c>
      <c r="C1580" t="s">
        <v>1136</v>
      </c>
      <c r="D1580">
        <v>58801</v>
      </c>
      <c r="E1580">
        <v>18141</v>
      </c>
      <c r="F1580">
        <v>15318</v>
      </c>
    </row>
    <row r="1581" spans="1:6">
      <c r="A1581" t="s">
        <v>2714</v>
      </c>
      <c r="B1581">
        <v>176</v>
      </c>
      <c r="C1581" t="s">
        <v>1138</v>
      </c>
      <c r="D1581">
        <v>17641</v>
      </c>
      <c r="E1581">
        <v>18141</v>
      </c>
      <c r="F1581">
        <v>15318</v>
      </c>
    </row>
    <row r="1582" spans="1:6">
      <c r="A1582" t="s">
        <v>2715</v>
      </c>
      <c r="B1582">
        <v>176</v>
      </c>
      <c r="C1582" t="s">
        <v>738</v>
      </c>
      <c r="D1582">
        <v>470408</v>
      </c>
      <c r="E1582">
        <v>18141</v>
      </c>
      <c r="F1582">
        <v>15318</v>
      </c>
    </row>
    <row r="1583" spans="1:6">
      <c r="A1583" t="s">
        <v>2716</v>
      </c>
      <c r="B1583">
        <v>176</v>
      </c>
      <c r="C1583" t="s">
        <v>1141</v>
      </c>
      <c r="D1583">
        <v>1058418</v>
      </c>
      <c r="E1583">
        <v>18141</v>
      </c>
      <c r="F1583">
        <v>15318</v>
      </c>
    </row>
    <row r="1584" spans="1:6">
      <c r="A1584" t="s">
        <v>2717</v>
      </c>
      <c r="B1584">
        <v>176</v>
      </c>
      <c r="C1584" t="s">
        <v>159</v>
      </c>
      <c r="D1584">
        <v>12112220</v>
      </c>
      <c r="E1584">
        <v>18141</v>
      </c>
      <c r="F1584">
        <v>15318</v>
      </c>
    </row>
    <row r="1585" spans="1:6">
      <c r="A1585" t="s">
        <v>2718</v>
      </c>
      <c r="B1585">
        <v>176</v>
      </c>
      <c r="C1585" t="s">
        <v>642</v>
      </c>
      <c r="D1585">
        <v>6056110</v>
      </c>
      <c r="E1585">
        <v>18141</v>
      </c>
      <c r="F1585">
        <v>15318</v>
      </c>
    </row>
    <row r="1586" spans="1:6">
      <c r="A1586" t="s">
        <v>2719</v>
      </c>
      <c r="B1586">
        <v>177</v>
      </c>
      <c r="C1586" t="s">
        <v>149</v>
      </c>
      <c r="D1586">
        <v>119165</v>
      </c>
      <c r="E1586">
        <v>18340</v>
      </c>
      <c r="F1586">
        <v>15421</v>
      </c>
    </row>
    <row r="1587" spans="1:6">
      <c r="A1587" t="s">
        <v>2720</v>
      </c>
      <c r="B1587">
        <v>177</v>
      </c>
      <c r="C1587" t="s">
        <v>1132</v>
      </c>
      <c r="D1587">
        <v>357495</v>
      </c>
      <c r="E1587">
        <v>18340</v>
      </c>
      <c r="F1587">
        <v>15421</v>
      </c>
    </row>
    <row r="1588" spans="1:6">
      <c r="A1588" t="s">
        <v>2721</v>
      </c>
      <c r="B1588">
        <v>177</v>
      </c>
      <c r="C1588" t="s">
        <v>1134</v>
      </c>
      <c r="D1588">
        <v>214497</v>
      </c>
      <c r="E1588">
        <v>18340</v>
      </c>
      <c r="F1588">
        <v>15421</v>
      </c>
    </row>
    <row r="1589" spans="1:6">
      <c r="A1589" t="s">
        <v>2722</v>
      </c>
      <c r="B1589">
        <v>177</v>
      </c>
      <c r="C1589" t="s">
        <v>1136</v>
      </c>
      <c r="D1589">
        <v>59583</v>
      </c>
      <c r="E1589">
        <v>18340</v>
      </c>
      <c r="F1589">
        <v>15421</v>
      </c>
    </row>
    <row r="1590" spans="1:6">
      <c r="A1590" t="s">
        <v>2723</v>
      </c>
      <c r="B1590">
        <v>177</v>
      </c>
      <c r="C1590" t="s">
        <v>1138</v>
      </c>
      <c r="D1590">
        <v>17875</v>
      </c>
      <c r="E1590">
        <v>18340</v>
      </c>
      <c r="F1590">
        <v>15421</v>
      </c>
    </row>
    <row r="1591" spans="1:6">
      <c r="A1591" t="s">
        <v>2724</v>
      </c>
      <c r="B1591">
        <v>177</v>
      </c>
      <c r="C1591" t="s">
        <v>738</v>
      </c>
      <c r="D1591">
        <v>476660</v>
      </c>
      <c r="E1591">
        <v>18340</v>
      </c>
      <c r="F1591">
        <v>15421</v>
      </c>
    </row>
    <row r="1592" spans="1:6">
      <c r="A1592" t="s">
        <v>2725</v>
      </c>
      <c r="B1592">
        <v>177</v>
      </c>
      <c r="C1592" t="s">
        <v>1141</v>
      </c>
      <c r="D1592">
        <v>1072485</v>
      </c>
      <c r="E1592">
        <v>18340</v>
      </c>
      <c r="F1592">
        <v>15421</v>
      </c>
    </row>
    <row r="1593" spans="1:6">
      <c r="A1593" t="s">
        <v>2726</v>
      </c>
      <c r="B1593">
        <v>177</v>
      </c>
      <c r="C1593" t="s">
        <v>159</v>
      </c>
      <c r="D1593">
        <v>12287296</v>
      </c>
      <c r="E1593">
        <v>18340</v>
      </c>
      <c r="F1593">
        <v>15421</v>
      </c>
    </row>
    <row r="1594" spans="1:6">
      <c r="A1594" t="s">
        <v>2727</v>
      </c>
      <c r="B1594">
        <v>177</v>
      </c>
      <c r="C1594" t="s">
        <v>642</v>
      </c>
      <c r="D1594">
        <v>6143648</v>
      </c>
      <c r="E1594">
        <v>18340</v>
      </c>
      <c r="F1594">
        <v>15421</v>
      </c>
    </row>
    <row r="1595" spans="1:6">
      <c r="A1595" t="s">
        <v>2728</v>
      </c>
      <c r="B1595">
        <v>178</v>
      </c>
      <c r="C1595" t="s">
        <v>149</v>
      </c>
      <c r="D1595">
        <v>120744</v>
      </c>
      <c r="E1595">
        <v>18540</v>
      </c>
      <c r="F1595">
        <v>15525</v>
      </c>
    </row>
    <row r="1596" spans="1:6">
      <c r="A1596" t="s">
        <v>2729</v>
      </c>
      <c r="B1596">
        <v>178</v>
      </c>
      <c r="C1596" t="s">
        <v>1132</v>
      </c>
      <c r="D1596">
        <v>362232</v>
      </c>
      <c r="E1596">
        <v>18540</v>
      </c>
      <c r="F1596">
        <v>15525</v>
      </c>
    </row>
    <row r="1597" spans="1:6">
      <c r="A1597" t="s">
        <v>2730</v>
      </c>
      <c r="B1597">
        <v>178</v>
      </c>
      <c r="C1597" t="s">
        <v>1134</v>
      </c>
      <c r="D1597">
        <v>217340</v>
      </c>
      <c r="E1597">
        <v>18540</v>
      </c>
      <c r="F1597">
        <v>15525</v>
      </c>
    </row>
    <row r="1598" spans="1:6">
      <c r="A1598" t="s">
        <v>2731</v>
      </c>
      <c r="B1598">
        <v>178</v>
      </c>
      <c r="C1598" t="s">
        <v>1136</v>
      </c>
      <c r="D1598">
        <v>60372</v>
      </c>
      <c r="E1598">
        <v>18540</v>
      </c>
      <c r="F1598">
        <v>15525</v>
      </c>
    </row>
    <row r="1599" spans="1:6">
      <c r="A1599" t="s">
        <v>2732</v>
      </c>
      <c r="B1599">
        <v>178</v>
      </c>
      <c r="C1599" t="s">
        <v>1138</v>
      </c>
      <c r="D1599">
        <v>18112</v>
      </c>
      <c r="E1599">
        <v>18540</v>
      </c>
      <c r="F1599">
        <v>15525</v>
      </c>
    </row>
    <row r="1600" spans="1:6">
      <c r="A1600" t="s">
        <v>2733</v>
      </c>
      <c r="B1600">
        <v>178</v>
      </c>
      <c r="C1600" t="s">
        <v>738</v>
      </c>
      <c r="D1600">
        <v>482976</v>
      </c>
      <c r="E1600">
        <v>18540</v>
      </c>
      <c r="F1600">
        <v>15525</v>
      </c>
    </row>
    <row r="1601" spans="1:6">
      <c r="A1601" t="s">
        <v>2734</v>
      </c>
      <c r="B1601">
        <v>178</v>
      </c>
      <c r="C1601" t="s">
        <v>1141</v>
      </c>
      <c r="D1601">
        <v>1086696</v>
      </c>
      <c r="E1601">
        <v>18540</v>
      </c>
      <c r="F1601">
        <v>15525</v>
      </c>
    </row>
    <row r="1602" spans="1:6">
      <c r="A1602" t="s">
        <v>2735</v>
      </c>
      <c r="B1602">
        <v>178</v>
      </c>
      <c r="C1602" t="s">
        <v>159</v>
      </c>
      <c r="D1602">
        <v>12464174</v>
      </c>
      <c r="E1602">
        <v>18540</v>
      </c>
      <c r="F1602">
        <v>15525</v>
      </c>
    </row>
    <row r="1603" spans="1:6">
      <c r="A1603" t="s">
        <v>2736</v>
      </c>
      <c r="B1603">
        <v>178</v>
      </c>
      <c r="C1603" t="s">
        <v>642</v>
      </c>
      <c r="D1603">
        <v>6232087</v>
      </c>
      <c r="E1603">
        <v>18540</v>
      </c>
      <c r="F1603">
        <v>15525</v>
      </c>
    </row>
    <row r="1604" spans="1:6">
      <c r="A1604" t="s">
        <v>2737</v>
      </c>
      <c r="B1604">
        <v>179</v>
      </c>
      <c r="C1604" t="s">
        <v>149</v>
      </c>
      <c r="D1604">
        <v>122337</v>
      </c>
      <c r="E1604">
        <v>18742</v>
      </c>
      <c r="F1604">
        <v>15629</v>
      </c>
    </row>
    <row r="1605" spans="1:6">
      <c r="A1605" t="s">
        <v>2738</v>
      </c>
      <c r="B1605">
        <v>179</v>
      </c>
      <c r="C1605" t="s">
        <v>1132</v>
      </c>
      <c r="D1605">
        <v>367011</v>
      </c>
      <c r="E1605">
        <v>18742</v>
      </c>
      <c r="F1605">
        <v>15629</v>
      </c>
    </row>
    <row r="1606" spans="1:6">
      <c r="A1606" t="s">
        <v>2739</v>
      </c>
      <c r="B1606">
        <v>179</v>
      </c>
      <c r="C1606" t="s">
        <v>1134</v>
      </c>
      <c r="D1606">
        <v>220207</v>
      </c>
      <c r="E1606">
        <v>18742</v>
      </c>
      <c r="F1606">
        <v>15629</v>
      </c>
    </row>
    <row r="1607" spans="1:6">
      <c r="A1607" t="s">
        <v>2740</v>
      </c>
      <c r="B1607">
        <v>179</v>
      </c>
      <c r="C1607" t="s">
        <v>1136</v>
      </c>
      <c r="D1607">
        <v>61169</v>
      </c>
      <c r="E1607">
        <v>18742</v>
      </c>
      <c r="F1607">
        <v>15629</v>
      </c>
    </row>
    <row r="1608" spans="1:6">
      <c r="A1608" t="s">
        <v>2741</v>
      </c>
      <c r="B1608">
        <v>179</v>
      </c>
      <c r="C1608" t="s">
        <v>1138</v>
      </c>
      <c r="D1608">
        <v>18351</v>
      </c>
      <c r="E1608">
        <v>18742</v>
      </c>
      <c r="F1608">
        <v>15629</v>
      </c>
    </row>
    <row r="1609" spans="1:6">
      <c r="A1609" t="s">
        <v>2742</v>
      </c>
      <c r="B1609">
        <v>179</v>
      </c>
      <c r="C1609" t="s">
        <v>738</v>
      </c>
      <c r="D1609">
        <v>489348</v>
      </c>
      <c r="E1609">
        <v>18742</v>
      </c>
      <c r="F1609">
        <v>15629</v>
      </c>
    </row>
    <row r="1610" spans="1:6">
      <c r="A1610" t="s">
        <v>2743</v>
      </c>
      <c r="B1610">
        <v>179</v>
      </c>
      <c r="C1610" t="s">
        <v>1141</v>
      </c>
      <c r="D1610">
        <v>1101033</v>
      </c>
      <c r="E1610">
        <v>18742</v>
      </c>
      <c r="F1610">
        <v>15629</v>
      </c>
    </row>
    <row r="1611" spans="1:6">
      <c r="A1611" t="s">
        <v>2744</v>
      </c>
      <c r="B1611">
        <v>179</v>
      </c>
      <c r="C1611" t="s">
        <v>159</v>
      </c>
      <c r="D1611">
        <v>12642855</v>
      </c>
      <c r="E1611">
        <v>18742</v>
      </c>
      <c r="F1611">
        <v>15629</v>
      </c>
    </row>
    <row r="1612" spans="1:6">
      <c r="A1612" t="s">
        <v>2745</v>
      </c>
      <c r="B1612">
        <v>179</v>
      </c>
      <c r="C1612" t="s">
        <v>642</v>
      </c>
      <c r="D1612">
        <v>6321428</v>
      </c>
      <c r="E1612">
        <v>18742</v>
      </c>
      <c r="F1612">
        <v>15629</v>
      </c>
    </row>
    <row r="1613" spans="1:6">
      <c r="A1613" t="s">
        <v>2746</v>
      </c>
      <c r="B1613">
        <v>180</v>
      </c>
      <c r="C1613" t="s">
        <v>149</v>
      </c>
      <c r="D1613">
        <v>123946</v>
      </c>
      <c r="E1613">
        <v>18946</v>
      </c>
      <c r="F1613">
        <v>15732</v>
      </c>
    </row>
    <row r="1614" spans="1:6">
      <c r="A1614" t="s">
        <v>2747</v>
      </c>
      <c r="B1614">
        <v>180</v>
      </c>
      <c r="C1614" t="s">
        <v>1132</v>
      </c>
      <c r="D1614">
        <v>371838</v>
      </c>
      <c r="E1614">
        <v>18946</v>
      </c>
      <c r="F1614">
        <v>15732</v>
      </c>
    </row>
    <row r="1615" spans="1:6">
      <c r="A1615" t="s">
        <v>2748</v>
      </c>
      <c r="B1615">
        <v>180</v>
      </c>
      <c r="C1615" t="s">
        <v>1134</v>
      </c>
      <c r="D1615">
        <v>223103</v>
      </c>
      <c r="E1615">
        <v>18946</v>
      </c>
      <c r="F1615">
        <v>15732</v>
      </c>
    </row>
    <row r="1616" spans="1:6">
      <c r="A1616" t="s">
        <v>2749</v>
      </c>
      <c r="B1616">
        <v>180</v>
      </c>
      <c r="C1616" t="s">
        <v>1136</v>
      </c>
      <c r="D1616">
        <v>61973</v>
      </c>
      <c r="E1616">
        <v>18946</v>
      </c>
      <c r="F1616">
        <v>15732</v>
      </c>
    </row>
    <row r="1617" spans="1:6">
      <c r="A1617" t="s">
        <v>2750</v>
      </c>
      <c r="B1617">
        <v>180</v>
      </c>
      <c r="C1617" t="s">
        <v>1138</v>
      </c>
      <c r="D1617">
        <v>18592</v>
      </c>
      <c r="E1617">
        <v>18946</v>
      </c>
      <c r="F1617">
        <v>15732</v>
      </c>
    </row>
    <row r="1618" spans="1:6">
      <c r="A1618" t="s">
        <v>2751</v>
      </c>
      <c r="B1618">
        <v>180</v>
      </c>
      <c r="C1618" t="s">
        <v>738</v>
      </c>
      <c r="D1618">
        <v>495784</v>
      </c>
      <c r="E1618">
        <v>18946</v>
      </c>
      <c r="F1618">
        <v>15732</v>
      </c>
    </row>
    <row r="1619" spans="1:6">
      <c r="A1619" t="s">
        <v>2752</v>
      </c>
      <c r="B1619">
        <v>180</v>
      </c>
      <c r="C1619" t="s">
        <v>1141</v>
      </c>
      <c r="D1619">
        <v>1115514</v>
      </c>
      <c r="E1619">
        <v>18946</v>
      </c>
      <c r="F1619">
        <v>15732</v>
      </c>
    </row>
    <row r="1620" spans="1:6">
      <c r="A1620" t="s">
        <v>2753</v>
      </c>
      <c r="B1620">
        <v>180</v>
      </c>
      <c r="C1620" t="s">
        <v>159</v>
      </c>
      <c r="D1620">
        <v>12823458</v>
      </c>
      <c r="E1620">
        <v>18946</v>
      </c>
      <c r="F1620">
        <v>15732</v>
      </c>
    </row>
    <row r="1621" spans="1:6">
      <c r="A1621" t="s">
        <v>2754</v>
      </c>
      <c r="B1621">
        <v>180</v>
      </c>
      <c r="C1621" t="s">
        <v>642</v>
      </c>
      <c r="D1621">
        <v>6411729</v>
      </c>
      <c r="E1621">
        <v>18946</v>
      </c>
      <c r="F1621">
        <v>15732</v>
      </c>
    </row>
    <row r="1622" spans="1:6">
      <c r="A1622" t="s">
        <v>2755</v>
      </c>
      <c r="B1622">
        <v>181</v>
      </c>
      <c r="C1622" t="s">
        <v>149</v>
      </c>
      <c r="D1622">
        <v>125570</v>
      </c>
      <c r="E1622">
        <v>19150</v>
      </c>
      <c r="F1622">
        <v>15837</v>
      </c>
    </row>
    <row r="1623" spans="1:6">
      <c r="A1623" t="s">
        <v>2756</v>
      </c>
      <c r="B1623">
        <v>181</v>
      </c>
      <c r="C1623" t="s">
        <v>1132</v>
      </c>
      <c r="D1623">
        <v>376710</v>
      </c>
      <c r="E1623">
        <v>19150</v>
      </c>
      <c r="F1623">
        <v>15837</v>
      </c>
    </row>
    <row r="1624" spans="1:6">
      <c r="A1624" t="s">
        <v>2757</v>
      </c>
      <c r="B1624">
        <v>181</v>
      </c>
      <c r="C1624" t="s">
        <v>1134</v>
      </c>
      <c r="D1624">
        <v>226026</v>
      </c>
      <c r="E1624">
        <v>19150</v>
      </c>
      <c r="F1624">
        <v>15837</v>
      </c>
    </row>
    <row r="1625" spans="1:6">
      <c r="A1625" t="s">
        <v>2758</v>
      </c>
      <c r="B1625">
        <v>181</v>
      </c>
      <c r="C1625" t="s">
        <v>1136</v>
      </c>
      <c r="D1625">
        <v>62785</v>
      </c>
      <c r="E1625">
        <v>19150</v>
      </c>
      <c r="F1625">
        <v>15837</v>
      </c>
    </row>
    <row r="1626" spans="1:6">
      <c r="A1626" t="s">
        <v>2759</v>
      </c>
      <c r="B1626">
        <v>181</v>
      </c>
      <c r="C1626" t="s">
        <v>1138</v>
      </c>
      <c r="D1626">
        <v>18836</v>
      </c>
      <c r="E1626">
        <v>19150</v>
      </c>
      <c r="F1626">
        <v>15837</v>
      </c>
    </row>
    <row r="1627" spans="1:6">
      <c r="A1627" t="s">
        <v>2760</v>
      </c>
      <c r="B1627">
        <v>181</v>
      </c>
      <c r="C1627" t="s">
        <v>738</v>
      </c>
      <c r="D1627">
        <v>502280</v>
      </c>
      <c r="E1627">
        <v>19150</v>
      </c>
      <c r="F1627">
        <v>15837</v>
      </c>
    </row>
    <row r="1628" spans="1:6">
      <c r="A1628" t="s">
        <v>2761</v>
      </c>
      <c r="B1628">
        <v>181</v>
      </c>
      <c r="C1628" t="s">
        <v>1141</v>
      </c>
      <c r="D1628">
        <v>1130130</v>
      </c>
      <c r="E1628">
        <v>19150</v>
      </c>
      <c r="F1628">
        <v>15837</v>
      </c>
    </row>
    <row r="1629" spans="1:6">
      <c r="A1629" t="s">
        <v>2762</v>
      </c>
      <c r="B1629">
        <v>181</v>
      </c>
      <c r="C1629" t="s">
        <v>159</v>
      </c>
      <c r="D1629">
        <v>13005862</v>
      </c>
      <c r="E1629">
        <v>19150</v>
      </c>
      <c r="F1629">
        <v>15837</v>
      </c>
    </row>
    <row r="1630" spans="1:6">
      <c r="A1630" t="s">
        <v>2763</v>
      </c>
      <c r="B1630">
        <v>181</v>
      </c>
      <c r="C1630" t="s">
        <v>642</v>
      </c>
      <c r="D1630">
        <v>6502931</v>
      </c>
      <c r="E1630">
        <v>19150</v>
      </c>
      <c r="F1630">
        <v>15837</v>
      </c>
    </row>
    <row r="1631" spans="1:6">
      <c r="A1631" t="s">
        <v>2764</v>
      </c>
      <c r="B1631">
        <v>182</v>
      </c>
      <c r="C1631" t="s">
        <v>149</v>
      </c>
      <c r="D1631">
        <v>127209</v>
      </c>
      <c r="E1631">
        <v>19357</v>
      </c>
      <c r="F1631">
        <v>15941</v>
      </c>
    </row>
    <row r="1632" spans="1:6">
      <c r="A1632" t="s">
        <v>2765</v>
      </c>
      <c r="B1632">
        <v>182</v>
      </c>
      <c r="C1632" t="s">
        <v>1132</v>
      </c>
      <c r="D1632">
        <v>381627</v>
      </c>
      <c r="E1632">
        <v>19357</v>
      </c>
      <c r="F1632">
        <v>15941</v>
      </c>
    </row>
    <row r="1633" spans="1:6">
      <c r="A1633" t="s">
        <v>2766</v>
      </c>
      <c r="B1633">
        <v>182</v>
      </c>
      <c r="C1633" t="s">
        <v>1134</v>
      </c>
      <c r="D1633">
        <v>228977</v>
      </c>
      <c r="E1633">
        <v>19357</v>
      </c>
      <c r="F1633">
        <v>15941</v>
      </c>
    </row>
    <row r="1634" spans="1:6">
      <c r="A1634" t="s">
        <v>2767</v>
      </c>
      <c r="B1634">
        <v>182</v>
      </c>
      <c r="C1634" t="s">
        <v>1136</v>
      </c>
      <c r="D1634">
        <v>63605</v>
      </c>
      <c r="E1634">
        <v>19357</v>
      </c>
      <c r="F1634">
        <v>15941</v>
      </c>
    </row>
    <row r="1635" spans="1:6">
      <c r="A1635" t="s">
        <v>2768</v>
      </c>
      <c r="B1635">
        <v>182</v>
      </c>
      <c r="C1635" t="s">
        <v>1138</v>
      </c>
      <c r="D1635">
        <v>19082</v>
      </c>
      <c r="E1635">
        <v>19357</v>
      </c>
      <c r="F1635">
        <v>15941</v>
      </c>
    </row>
    <row r="1636" spans="1:6">
      <c r="A1636" t="s">
        <v>2769</v>
      </c>
      <c r="B1636">
        <v>182</v>
      </c>
      <c r="C1636" t="s">
        <v>738</v>
      </c>
      <c r="D1636">
        <v>508836</v>
      </c>
      <c r="E1636">
        <v>19357</v>
      </c>
      <c r="F1636">
        <v>15941</v>
      </c>
    </row>
    <row r="1637" spans="1:6">
      <c r="A1637" t="s">
        <v>2770</v>
      </c>
      <c r="B1637">
        <v>182</v>
      </c>
      <c r="C1637" t="s">
        <v>1141</v>
      </c>
      <c r="D1637">
        <v>1144881</v>
      </c>
      <c r="E1637">
        <v>19357</v>
      </c>
      <c r="F1637">
        <v>15941</v>
      </c>
    </row>
    <row r="1638" spans="1:6">
      <c r="A1638" t="s">
        <v>2771</v>
      </c>
      <c r="B1638">
        <v>182</v>
      </c>
      <c r="C1638" t="s">
        <v>159</v>
      </c>
      <c r="D1638">
        <v>13190189</v>
      </c>
      <c r="E1638">
        <v>19357</v>
      </c>
      <c r="F1638">
        <v>15941</v>
      </c>
    </row>
    <row r="1639" spans="1:6">
      <c r="A1639" t="s">
        <v>2772</v>
      </c>
      <c r="B1639">
        <v>182</v>
      </c>
      <c r="C1639" t="s">
        <v>642</v>
      </c>
      <c r="D1639">
        <v>6595094</v>
      </c>
      <c r="E1639">
        <v>19357</v>
      </c>
      <c r="F1639">
        <v>15941</v>
      </c>
    </row>
    <row r="1640" spans="1:6">
      <c r="A1640" t="s">
        <v>2773</v>
      </c>
      <c r="B1640">
        <v>183</v>
      </c>
      <c r="C1640" t="s">
        <v>149</v>
      </c>
      <c r="D1640">
        <v>128864</v>
      </c>
      <c r="E1640">
        <v>19564</v>
      </c>
      <c r="F1640">
        <v>16045</v>
      </c>
    </row>
    <row r="1641" spans="1:6">
      <c r="A1641" t="s">
        <v>2774</v>
      </c>
      <c r="B1641">
        <v>183</v>
      </c>
      <c r="C1641" t="s">
        <v>1132</v>
      </c>
      <c r="D1641">
        <v>386592</v>
      </c>
      <c r="E1641">
        <v>19564</v>
      </c>
      <c r="F1641">
        <v>16045</v>
      </c>
    </row>
    <row r="1642" spans="1:6">
      <c r="A1642" t="s">
        <v>2775</v>
      </c>
      <c r="B1642">
        <v>183</v>
      </c>
      <c r="C1642" t="s">
        <v>1134</v>
      </c>
      <c r="D1642">
        <v>231956</v>
      </c>
      <c r="E1642">
        <v>19564</v>
      </c>
      <c r="F1642">
        <v>16045</v>
      </c>
    </row>
    <row r="1643" spans="1:6">
      <c r="A1643" t="s">
        <v>2776</v>
      </c>
      <c r="B1643">
        <v>183</v>
      </c>
      <c r="C1643" t="s">
        <v>1136</v>
      </c>
      <c r="D1643">
        <v>64432</v>
      </c>
      <c r="E1643">
        <v>19564</v>
      </c>
      <c r="F1643">
        <v>16045</v>
      </c>
    </row>
    <row r="1644" spans="1:6">
      <c r="A1644" t="s">
        <v>2777</v>
      </c>
      <c r="B1644">
        <v>183</v>
      </c>
      <c r="C1644" t="s">
        <v>1138</v>
      </c>
      <c r="D1644">
        <v>19330</v>
      </c>
      <c r="E1644">
        <v>19564</v>
      </c>
      <c r="F1644">
        <v>16045</v>
      </c>
    </row>
    <row r="1645" spans="1:6">
      <c r="A1645" t="s">
        <v>2778</v>
      </c>
      <c r="B1645">
        <v>183</v>
      </c>
      <c r="C1645" t="s">
        <v>738</v>
      </c>
      <c r="D1645">
        <v>515456</v>
      </c>
      <c r="E1645">
        <v>19564</v>
      </c>
      <c r="F1645">
        <v>16045</v>
      </c>
    </row>
    <row r="1646" spans="1:6">
      <c r="A1646" t="s">
        <v>2779</v>
      </c>
      <c r="B1646">
        <v>183</v>
      </c>
      <c r="C1646" t="s">
        <v>1141</v>
      </c>
      <c r="D1646">
        <v>1159776</v>
      </c>
      <c r="E1646">
        <v>19564</v>
      </c>
      <c r="F1646">
        <v>16045</v>
      </c>
    </row>
    <row r="1647" spans="1:6">
      <c r="A1647" t="s">
        <v>2780</v>
      </c>
      <c r="B1647">
        <v>183</v>
      </c>
      <c r="C1647" t="s">
        <v>159</v>
      </c>
      <c r="D1647">
        <v>13376437</v>
      </c>
      <c r="E1647">
        <v>19564</v>
      </c>
      <c r="F1647">
        <v>16045</v>
      </c>
    </row>
    <row r="1648" spans="1:6">
      <c r="A1648" t="s">
        <v>2781</v>
      </c>
      <c r="B1648">
        <v>183</v>
      </c>
      <c r="C1648" t="s">
        <v>642</v>
      </c>
      <c r="D1648">
        <v>6688219</v>
      </c>
      <c r="E1648">
        <v>19564</v>
      </c>
      <c r="F1648">
        <v>16045</v>
      </c>
    </row>
    <row r="1649" spans="1:6">
      <c r="A1649" t="s">
        <v>2782</v>
      </c>
      <c r="B1649">
        <v>184</v>
      </c>
      <c r="C1649" t="s">
        <v>149</v>
      </c>
      <c r="D1649">
        <v>130535</v>
      </c>
      <c r="E1649">
        <v>19773</v>
      </c>
      <c r="F1649">
        <v>16150</v>
      </c>
    </row>
    <row r="1650" spans="1:6">
      <c r="A1650" t="s">
        <v>2783</v>
      </c>
      <c r="B1650">
        <v>184</v>
      </c>
      <c r="C1650" t="s">
        <v>1132</v>
      </c>
      <c r="D1650">
        <v>391605</v>
      </c>
      <c r="E1650">
        <v>19773</v>
      </c>
      <c r="F1650">
        <v>16150</v>
      </c>
    </row>
    <row r="1651" spans="1:6">
      <c r="A1651" t="s">
        <v>2784</v>
      </c>
      <c r="B1651">
        <v>184</v>
      </c>
      <c r="C1651" t="s">
        <v>1134</v>
      </c>
      <c r="D1651">
        <v>234963</v>
      </c>
      <c r="E1651">
        <v>19773</v>
      </c>
      <c r="F1651">
        <v>16150</v>
      </c>
    </row>
    <row r="1652" spans="1:6">
      <c r="A1652" t="s">
        <v>2785</v>
      </c>
      <c r="B1652">
        <v>184</v>
      </c>
      <c r="C1652" t="s">
        <v>1136</v>
      </c>
      <c r="D1652">
        <v>65268</v>
      </c>
      <c r="E1652">
        <v>19773</v>
      </c>
      <c r="F1652">
        <v>16150</v>
      </c>
    </row>
    <row r="1653" spans="1:6">
      <c r="A1653" t="s">
        <v>2786</v>
      </c>
      <c r="B1653">
        <v>184</v>
      </c>
      <c r="C1653" t="s">
        <v>1138</v>
      </c>
      <c r="D1653">
        <v>19581</v>
      </c>
      <c r="E1653">
        <v>19773</v>
      </c>
      <c r="F1653">
        <v>16150</v>
      </c>
    </row>
    <row r="1654" spans="1:6">
      <c r="A1654" t="s">
        <v>2787</v>
      </c>
      <c r="B1654">
        <v>184</v>
      </c>
      <c r="C1654" t="s">
        <v>738</v>
      </c>
      <c r="D1654">
        <v>522140</v>
      </c>
      <c r="E1654">
        <v>19773</v>
      </c>
      <c r="F1654">
        <v>16150</v>
      </c>
    </row>
    <row r="1655" spans="1:6">
      <c r="A1655" t="s">
        <v>2788</v>
      </c>
      <c r="B1655">
        <v>184</v>
      </c>
      <c r="C1655" t="s">
        <v>1141</v>
      </c>
      <c r="D1655">
        <v>1174815</v>
      </c>
      <c r="E1655">
        <v>19773</v>
      </c>
      <c r="F1655">
        <v>16150</v>
      </c>
    </row>
    <row r="1656" spans="1:6">
      <c r="A1656" t="s">
        <v>2789</v>
      </c>
      <c r="B1656">
        <v>184</v>
      </c>
      <c r="C1656" t="s">
        <v>159</v>
      </c>
      <c r="D1656">
        <v>13564548</v>
      </c>
      <c r="E1656">
        <v>19773</v>
      </c>
      <c r="F1656">
        <v>16150</v>
      </c>
    </row>
    <row r="1657" spans="1:6">
      <c r="A1657" t="s">
        <v>2790</v>
      </c>
      <c r="B1657">
        <v>184</v>
      </c>
      <c r="C1657" t="s">
        <v>642</v>
      </c>
      <c r="D1657">
        <v>6782274</v>
      </c>
      <c r="E1657">
        <v>19773</v>
      </c>
      <c r="F1657">
        <v>16150</v>
      </c>
    </row>
    <row r="1658" spans="1:6">
      <c r="A1658" t="s">
        <v>2791</v>
      </c>
      <c r="B1658">
        <v>185</v>
      </c>
      <c r="C1658" t="s">
        <v>149</v>
      </c>
      <c r="D1658">
        <v>132222</v>
      </c>
      <c r="E1658">
        <v>19984</v>
      </c>
      <c r="F1658">
        <v>16255</v>
      </c>
    </row>
    <row r="1659" spans="1:6">
      <c r="A1659" t="s">
        <v>2792</v>
      </c>
      <c r="B1659">
        <v>185</v>
      </c>
      <c r="C1659" t="s">
        <v>1132</v>
      </c>
      <c r="D1659">
        <v>396666</v>
      </c>
      <c r="E1659">
        <v>19984</v>
      </c>
      <c r="F1659">
        <v>16255</v>
      </c>
    </row>
    <row r="1660" spans="1:6">
      <c r="A1660" t="s">
        <v>2793</v>
      </c>
      <c r="B1660">
        <v>185</v>
      </c>
      <c r="C1660" t="s">
        <v>1134</v>
      </c>
      <c r="D1660">
        <v>238000</v>
      </c>
      <c r="E1660">
        <v>19984</v>
      </c>
      <c r="F1660">
        <v>16255</v>
      </c>
    </row>
    <row r="1661" spans="1:6">
      <c r="A1661" t="s">
        <v>2794</v>
      </c>
      <c r="B1661">
        <v>185</v>
      </c>
      <c r="C1661" t="s">
        <v>1136</v>
      </c>
      <c r="D1661">
        <v>66111</v>
      </c>
      <c r="E1661">
        <v>19984</v>
      </c>
      <c r="F1661">
        <v>16255</v>
      </c>
    </row>
    <row r="1662" spans="1:6">
      <c r="A1662" t="s">
        <v>2795</v>
      </c>
      <c r="B1662">
        <v>185</v>
      </c>
      <c r="C1662" t="s">
        <v>1138</v>
      </c>
      <c r="D1662">
        <v>19834</v>
      </c>
      <c r="E1662">
        <v>19984</v>
      </c>
      <c r="F1662">
        <v>16255</v>
      </c>
    </row>
    <row r="1663" spans="1:6">
      <c r="A1663" t="s">
        <v>2796</v>
      </c>
      <c r="B1663">
        <v>185</v>
      </c>
      <c r="C1663" t="s">
        <v>738</v>
      </c>
      <c r="D1663">
        <v>528888</v>
      </c>
      <c r="E1663">
        <v>19984</v>
      </c>
      <c r="F1663">
        <v>16255</v>
      </c>
    </row>
    <row r="1664" spans="1:6">
      <c r="A1664" t="s">
        <v>2797</v>
      </c>
      <c r="B1664">
        <v>185</v>
      </c>
      <c r="C1664" t="s">
        <v>1141</v>
      </c>
      <c r="D1664">
        <v>1189998</v>
      </c>
      <c r="E1664">
        <v>19984</v>
      </c>
      <c r="F1664">
        <v>16255</v>
      </c>
    </row>
    <row r="1665" spans="1:6">
      <c r="A1665" t="s">
        <v>2798</v>
      </c>
      <c r="B1665">
        <v>185</v>
      </c>
      <c r="C1665" t="s">
        <v>159</v>
      </c>
      <c r="D1665">
        <v>13754580</v>
      </c>
      <c r="E1665">
        <v>19984</v>
      </c>
      <c r="F1665">
        <v>16255</v>
      </c>
    </row>
    <row r="1666" spans="1:6">
      <c r="A1666" t="s">
        <v>2799</v>
      </c>
      <c r="B1666">
        <v>185</v>
      </c>
      <c r="C1666" t="s">
        <v>642</v>
      </c>
      <c r="D1666">
        <v>6877290</v>
      </c>
      <c r="E1666">
        <v>19984</v>
      </c>
      <c r="F1666">
        <v>16255</v>
      </c>
    </row>
    <row r="1667" spans="1:6">
      <c r="A1667" t="s">
        <v>2800</v>
      </c>
      <c r="B1667">
        <v>186</v>
      </c>
      <c r="C1667" t="s">
        <v>149</v>
      </c>
      <c r="D1667">
        <v>133924</v>
      </c>
      <c r="E1667">
        <v>20196</v>
      </c>
      <c r="F1667">
        <v>16360</v>
      </c>
    </row>
    <row r="1668" spans="1:6">
      <c r="A1668" t="s">
        <v>2801</v>
      </c>
      <c r="B1668">
        <v>186</v>
      </c>
      <c r="C1668" t="s">
        <v>1132</v>
      </c>
      <c r="D1668">
        <v>401772</v>
      </c>
      <c r="E1668">
        <v>20196</v>
      </c>
      <c r="F1668">
        <v>16360</v>
      </c>
    </row>
    <row r="1669" spans="1:6">
      <c r="A1669" t="s">
        <v>2802</v>
      </c>
      <c r="B1669">
        <v>186</v>
      </c>
      <c r="C1669" t="s">
        <v>1134</v>
      </c>
      <c r="D1669">
        <v>241064</v>
      </c>
      <c r="E1669">
        <v>20196</v>
      </c>
      <c r="F1669">
        <v>16360</v>
      </c>
    </row>
    <row r="1670" spans="1:6">
      <c r="A1670" t="s">
        <v>2803</v>
      </c>
      <c r="B1670">
        <v>186</v>
      </c>
      <c r="C1670" t="s">
        <v>1136</v>
      </c>
      <c r="D1670">
        <v>66962</v>
      </c>
      <c r="E1670">
        <v>20196</v>
      </c>
      <c r="F1670">
        <v>16360</v>
      </c>
    </row>
    <row r="1671" spans="1:6">
      <c r="A1671" t="s">
        <v>2804</v>
      </c>
      <c r="B1671">
        <v>186</v>
      </c>
      <c r="C1671" t="s">
        <v>1138</v>
      </c>
      <c r="D1671">
        <v>20089</v>
      </c>
      <c r="E1671">
        <v>20196</v>
      </c>
      <c r="F1671">
        <v>16360</v>
      </c>
    </row>
    <row r="1672" spans="1:6">
      <c r="A1672" t="s">
        <v>2805</v>
      </c>
      <c r="B1672">
        <v>186</v>
      </c>
      <c r="C1672" t="s">
        <v>738</v>
      </c>
      <c r="D1672">
        <v>535696</v>
      </c>
      <c r="E1672">
        <v>20196</v>
      </c>
      <c r="F1672">
        <v>16360</v>
      </c>
    </row>
    <row r="1673" spans="1:6">
      <c r="A1673" t="s">
        <v>2806</v>
      </c>
      <c r="B1673">
        <v>186</v>
      </c>
      <c r="C1673" t="s">
        <v>1141</v>
      </c>
      <c r="D1673">
        <v>1205316</v>
      </c>
      <c r="E1673">
        <v>20196</v>
      </c>
      <c r="F1673">
        <v>16360</v>
      </c>
    </row>
    <row r="1674" spans="1:6">
      <c r="A1674" t="s">
        <v>2807</v>
      </c>
      <c r="B1674">
        <v>186</v>
      </c>
      <c r="C1674" t="s">
        <v>159</v>
      </c>
      <c r="D1674">
        <v>13946593</v>
      </c>
      <c r="E1674">
        <v>20196</v>
      </c>
      <c r="F1674">
        <v>16360</v>
      </c>
    </row>
    <row r="1675" spans="1:6">
      <c r="A1675" t="s">
        <v>2808</v>
      </c>
      <c r="B1675">
        <v>186</v>
      </c>
      <c r="C1675" t="s">
        <v>642</v>
      </c>
      <c r="D1675">
        <v>6973297</v>
      </c>
      <c r="E1675">
        <v>20196</v>
      </c>
      <c r="F1675">
        <v>16360</v>
      </c>
    </row>
    <row r="1676" spans="1:6">
      <c r="A1676" t="s">
        <v>2809</v>
      </c>
      <c r="B1676">
        <v>187</v>
      </c>
      <c r="C1676" t="s">
        <v>149</v>
      </c>
      <c r="D1676">
        <v>135642</v>
      </c>
      <c r="E1676">
        <v>20409</v>
      </c>
      <c r="F1676">
        <v>16465</v>
      </c>
    </row>
    <row r="1677" spans="1:6">
      <c r="A1677" t="s">
        <v>2810</v>
      </c>
      <c r="B1677">
        <v>187</v>
      </c>
      <c r="C1677" t="s">
        <v>1132</v>
      </c>
      <c r="D1677">
        <v>406926</v>
      </c>
      <c r="E1677">
        <v>20409</v>
      </c>
      <c r="F1677">
        <v>16465</v>
      </c>
    </row>
    <row r="1678" spans="1:6">
      <c r="A1678" t="s">
        <v>2811</v>
      </c>
      <c r="B1678">
        <v>187</v>
      </c>
      <c r="C1678" t="s">
        <v>1134</v>
      </c>
      <c r="D1678">
        <v>244156</v>
      </c>
      <c r="E1678">
        <v>20409</v>
      </c>
      <c r="F1678">
        <v>16465</v>
      </c>
    </row>
    <row r="1679" spans="1:6">
      <c r="A1679" t="s">
        <v>2812</v>
      </c>
      <c r="B1679">
        <v>187</v>
      </c>
      <c r="C1679" t="s">
        <v>1136</v>
      </c>
      <c r="D1679">
        <v>67821</v>
      </c>
      <c r="E1679">
        <v>20409</v>
      </c>
      <c r="F1679">
        <v>16465</v>
      </c>
    </row>
    <row r="1680" spans="1:6">
      <c r="A1680" t="s">
        <v>2813</v>
      </c>
      <c r="B1680">
        <v>187</v>
      </c>
      <c r="C1680" t="s">
        <v>1138</v>
      </c>
      <c r="D1680">
        <v>20347</v>
      </c>
      <c r="E1680">
        <v>20409</v>
      </c>
      <c r="F1680">
        <v>16465</v>
      </c>
    </row>
    <row r="1681" spans="1:6">
      <c r="A1681" t="s">
        <v>2814</v>
      </c>
      <c r="B1681">
        <v>187</v>
      </c>
      <c r="C1681" t="s">
        <v>738</v>
      </c>
      <c r="D1681">
        <v>542568</v>
      </c>
      <c r="E1681">
        <v>20409</v>
      </c>
      <c r="F1681">
        <v>16465</v>
      </c>
    </row>
    <row r="1682" spans="1:6">
      <c r="A1682" t="s">
        <v>2815</v>
      </c>
      <c r="B1682">
        <v>187</v>
      </c>
      <c r="C1682" t="s">
        <v>1141</v>
      </c>
      <c r="D1682">
        <v>1220778</v>
      </c>
      <c r="E1682">
        <v>20409</v>
      </c>
      <c r="F1682">
        <v>16465</v>
      </c>
    </row>
    <row r="1683" spans="1:6">
      <c r="A1683" t="s">
        <v>2816</v>
      </c>
      <c r="B1683">
        <v>187</v>
      </c>
      <c r="C1683" t="s">
        <v>159</v>
      </c>
      <c r="D1683">
        <v>14140529</v>
      </c>
      <c r="E1683">
        <v>20409</v>
      </c>
      <c r="F1683">
        <v>16465</v>
      </c>
    </row>
    <row r="1684" spans="1:6">
      <c r="A1684" t="s">
        <v>2817</v>
      </c>
      <c r="B1684">
        <v>187</v>
      </c>
      <c r="C1684" t="s">
        <v>642</v>
      </c>
      <c r="D1684">
        <v>7070264</v>
      </c>
      <c r="E1684">
        <v>20409</v>
      </c>
      <c r="F1684">
        <v>16465</v>
      </c>
    </row>
    <row r="1685" spans="1:6">
      <c r="A1685" t="s">
        <v>2818</v>
      </c>
      <c r="B1685">
        <v>188</v>
      </c>
      <c r="C1685" t="s">
        <v>149</v>
      </c>
      <c r="D1685">
        <v>137377</v>
      </c>
      <c r="E1685">
        <v>20624</v>
      </c>
      <c r="F1685">
        <v>16570</v>
      </c>
    </row>
    <row r="1686" spans="1:6">
      <c r="A1686" t="s">
        <v>2819</v>
      </c>
      <c r="B1686">
        <v>188</v>
      </c>
      <c r="C1686" t="s">
        <v>1132</v>
      </c>
      <c r="D1686">
        <v>412131</v>
      </c>
      <c r="E1686">
        <v>20624</v>
      </c>
      <c r="F1686">
        <v>16570</v>
      </c>
    </row>
    <row r="1687" spans="1:6">
      <c r="A1687" t="s">
        <v>2820</v>
      </c>
      <c r="B1687">
        <v>188</v>
      </c>
      <c r="C1687" t="s">
        <v>1134</v>
      </c>
      <c r="D1687">
        <v>247279</v>
      </c>
      <c r="E1687">
        <v>20624</v>
      </c>
      <c r="F1687">
        <v>16570</v>
      </c>
    </row>
    <row r="1688" spans="1:6">
      <c r="A1688" t="s">
        <v>2821</v>
      </c>
      <c r="B1688">
        <v>188</v>
      </c>
      <c r="C1688" t="s">
        <v>1136</v>
      </c>
      <c r="D1688">
        <v>68689</v>
      </c>
      <c r="E1688">
        <v>20624</v>
      </c>
      <c r="F1688">
        <v>16570</v>
      </c>
    </row>
    <row r="1689" spans="1:6">
      <c r="A1689" t="s">
        <v>2822</v>
      </c>
      <c r="B1689">
        <v>188</v>
      </c>
      <c r="C1689" t="s">
        <v>1138</v>
      </c>
      <c r="D1689">
        <v>20607</v>
      </c>
      <c r="E1689">
        <v>20624</v>
      </c>
      <c r="F1689">
        <v>16570</v>
      </c>
    </row>
    <row r="1690" spans="1:6">
      <c r="A1690" t="s">
        <v>2823</v>
      </c>
      <c r="B1690">
        <v>188</v>
      </c>
      <c r="C1690" t="s">
        <v>738</v>
      </c>
      <c r="D1690">
        <v>549508</v>
      </c>
      <c r="E1690">
        <v>20624</v>
      </c>
      <c r="F1690">
        <v>16570</v>
      </c>
    </row>
    <row r="1691" spans="1:6">
      <c r="A1691" t="s">
        <v>2824</v>
      </c>
      <c r="B1691">
        <v>188</v>
      </c>
      <c r="C1691" t="s">
        <v>1141</v>
      </c>
      <c r="D1691">
        <v>1236393</v>
      </c>
      <c r="E1691">
        <v>20624</v>
      </c>
      <c r="F1691">
        <v>16570</v>
      </c>
    </row>
    <row r="1692" spans="1:6">
      <c r="A1692" t="s">
        <v>2825</v>
      </c>
      <c r="B1692">
        <v>188</v>
      </c>
      <c r="C1692" t="s">
        <v>159</v>
      </c>
      <c r="D1692">
        <v>14336446</v>
      </c>
      <c r="E1692">
        <v>20624</v>
      </c>
      <c r="F1692">
        <v>16570</v>
      </c>
    </row>
    <row r="1693" spans="1:6">
      <c r="A1693" t="s">
        <v>2826</v>
      </c>
      <c r="B1693">
        <v>188</v>
      </c>
      <c r="C1693" t="s">
        <v>642</v>
      </c>
      <c r="D1693">
        <v>7168223</v>
      </c>
      <c r="E1693">
        <v>20624</v>
      </c>
      <c r="F1693">
        <v>16570</v>
      </c>
    </row>
    <row r="1694" spans="1:6">
      <c r="A1694" t="s">
        <v>2827</v>
      </c>
      <c r="B1694">
        <v>189</v>
      </c>
      <c r="C1694" t="s">
        <v>149</v>
      </c>
      <c r="D1694">
        <v>139128</v>
      </c>
      <c r="E1694">
        <v>20841</v>
      </c>
      <c r="F1694">
        <v>16676</v>
      </c>
    </row>
    <row r="1695" spans="1:6">
      <c r="A1695" t="s">
        <v>2828</v>
      </c>
      <c r="B1695">
        <v>189</v>
      </c>
      <c r="C1695" t="s">
        <v>1132</v>
      </c>
      <c r="D1695">
        <v>417384</v>
      </c>
      <c r="E1695">
        <v>20841</v>
      </c>
      <c r="F1695">
        <v>16676</v>
      </c>
    </row>
    <row r="1696" spans="1:6">
      <c r="A1696" t="s">
        <v>2829</v>
      </c>
      <c r="B1696">
        <v>189</v>
      </c>
      <c r="C1696" t="s">
        <v>1134</v>
      </c>
      <c r="D1696">
        <v>250431</v>
      </c>
      <c r="E1696">
        <v>20841</v>
      </c>
      <c r="F1696">
        <v>16676</v>
      </c>
    </row>
    <row r="1697" spans="1:6">
      <c r="A1697" t="s">
        <v>2830</v>
      </c>
      <c r="B1697">
        <v>189</v>
      </c>
      <c r="C1697" t="s">
        <v>1136</v>
      </c>
      <c r="D1697">
        <v>69564</v>
      </c>
      <c r="E1697">
        <v>20841</v>
      </c>
      <c r="F1697">
        <v>16676</v>
      </c>
    </row>
    <row r="1698" spans="1:6">
      <c r="A1698" t="s">
        <v>2831</v>
      </c>
      <c r="B1698">
        <v>189</v>
      </c>
      <c r="C1698" t="s">
        <v>1138</v>
      </c>
      <c r="D1698">
        <v>20870</v>
      </c>
      <c r="E1698">
        <v>20841</v>
      </c>
      <c r="F1698">
        <v>16676</v>
      </c>
    </row>
    <row r="1699" spans="1:6">
      <c r="A1699" t="s">
        <v>2832</v>
      </c>
      <c r="B1699">
        <v>189</v>
      </c>
      <c r="C1699" t="s">
        <v>738</v>
      </c>
      <c r="D1699">
        <v>556512</v>
      </c>
      <c r="E1699">
        <v>20841</v>
      </c>
      <c r="F1699">
        <v>16676</v>
      </c>
    </row>
    <row r="1700" spans="1:6">
      <c r="A1700" t="s">
        <v>2833</v>
      </c>
      <c r="B1700">
        <v>189</v>
      </c>
      <c r="C1700" t="s">
        <v>1141</v>
      </c>
      <c r="D1700">
        <v>1252152</v>
      </c>
      <c r="E1700">
        <v>20841</v>
      </c>
      <c r="F1700">
        <v>16676</v>
      </c>
    </row>
    <row r="1701" spans="1:6">
      <c r="A1701" t="s">
        <v>2834</v>
      </c>
      <c r="B1701">
        <v>189</v>
      </c>
      <c r="C1701" t="s">
        <v>159</v>
      </c>
      <c r="D1701">
        <v>14534344</v>
      </c>
      <c r="E1701">
        <v>20841</v>
      </c>
      <c r="F1701">
        <v>16676</v>
      </c>
    </row>
    <row r="1702" spans="1:6">
      <c r="A1702" t="s">
        <v>2835</v>
      </c>
      <c r="B1702">
        <v>189</v>
      </c>
      <c r="C1702" t="s">
        <v>642</v>
      </c>
      <c r="D1702">
        <v>7267172</v>
      </c>
      <c r="E1702">
        <v>20841</v>
      </c>
      <c r="F1702">
        <v>16676</v>
      </c>
    </row>
    <row r="1703" spans="1:6">
      <c r="A1703" t="s">
        <v>2836</v>
      </c>
      <c r="B1703">
        <v>190</v>
      </c>
      <c r="C1703" t="s">
        <v>149</v>
      </c>
      <c r="D1703">
        <v>140895</v>
      </c>
      <c r="E1703">
        <v>21059</v>
      </c>
      <c r="F1703">
        <v>16782</v>
      </c>
    </row>
    <row r="1704" spans="1:6">
      <c r="A1704" t="s">
        <v>2837</v>
      </c>
      <c r="B1704">
        <v>190</v>
      </c>
      <c r="C1704" t="s">
        <v>1132</v>
      </c>
      <c r="D1704">
        <v>422685</v>
      </c>
      <c r="E1704">
        <v>21059</v>
      </c>
      <c r="F1704">
        <v>16782</v>
      </c>
    </row>
    <row r="1705" spans="1:6">
      <c r="A1705" t="s">
        <v>2838</v>
      </c>
      <c r="B1705">
        <v>190</v>
      </c>
      <c r="C1705" t="s">
        <v>1134</v>
      </c>
      <c r="D1705">
        <v>253611</v>
      </c>
      <c r="E1705">
        <v>21059</v>
      </c>
      <c r="F1705">
        <v>16782</v>
      </c>
    </row>
    <row r="1706" spans="1:6">
      <c r="A1706" t="s">
        <v>2839</v>
      </c>
      <c r="B1706">
        <v>190</v>
      </c>
      <c r="C1706" t="s">
        <v>1136</v>
      </c>
      <c r="D1706">
        <v>70448</v>
      </c>
      <c r="E1706">
        <v>21059</v>
      </c>
      <c r="F1706">
        <v>16782</v>
      </c>
    </row>
    <row r="1707" spans="1:6">
      <c r="A1707" t="s">
        <v>2840</v>
      </c>
      <c r="B1707">
        <v>190</v>
      </c>
      <c r="C1707" t="s">
        <v>1138</v>
      </c>
      <c r="D1707">
        <v>21135</v>
      </c>
      <c r="E1707">
        <v>21059</v>
      </c>
      <c r="F1707">
        <v>16782</v>
      </c>
    </row>
    <row r="1708" spans="1:6">
      <c r="A1708" t="s">
        <v>2841</v>
      </c>
      <c r="B1708">
        <v>190</v>
      </c>
      <c r="C1708" t="s">
        <v>738</v>
      </c>
      <c r="D1708">
        <v>563580</v>
      </c>
      <c r="E1708">
        <v>21059</v>
      </c>
      <c r="F1708">
        <v>16782</v>
      </c>
    </row>
    <row r="1709" spans="1:6">
      <c r="A1709" t="s">
        <v>2842</v>
      </c>
      <c r="B1709">
        <v>190</v>
      </c>
      <c r="C1709" t="s">
        <v>1141</v>
      </c>
      <c r="D1709">
        <v>1268055</v>
      </c>
      <c r="E1709">
        <v>21059</v>
      </c>
      <c r="F1709">
        <v>16782</v>
      </c>
    </row>
    <row r="1710" spans="1:6">
      <c r="A1710" t="s">
        <v>2843</v>
      </c>
      <c r="B1710">
        <v>190</v>
      </c>
      <c r="C1710" t="s">
        <v>159</v>
      </c>
      <c r="D1710">
        <v>14734224</v>
      </c>
      <c r="E1710">
        <v>21059</v>
      </c>
      <c r="F1710">
        <v>16782</v>
      </c>
    </row>
    <row r="1711" spans="1:6">
      <c r="A1711" t="s">
        <v>2844</v>
      </c>
      <c r="B1711">
        <v>190</v>
      </c>
      <c r="C1711" t="s">
        <v>642</v>
      </c>
      <c r="D1711">
        <v>7367112</v>
      </c>
      <c r="E1711">
        <v>21059</v>
      </c>
      <c r="F1711">
        <v>16782</v>
      </c>
    </row>
    <row r="1712" spans="1:6">
      <c r="A1712" t="s">
        <v>2845</v>
      </c>
      <c r="B1712">
        <v>191</v>
      </c>
      <c r="C1712" t="s">
        <v>149</v>
      </c>
      <c r="D1712">
        <v>142678</v>
      </c>
      <c r="E1712">
        <v>21278</v>
      </c>
      <c r="F1712">
        <v>16887</v>
      </c>
    </row>
    <row r="1713" spans="1:6">
      <c r="A1713" t="s">
        <v>2846</v>
      </c>
      <c r="B1713">
        <v>191</v>
      </c>
      <c r="C1713" t="s">
        <v>1132</v>
      </c>
      <c r="D1713">
        <v>428034</v>
      </c>
      <c r="E1713">
        <v>21278</v>
      </c>
      <c r="F1713">
        <v>16887</v>
      </c>
    </row>
    <row r="1714" spans="1:6">
      <c r="A1714" t="s">
        <v>2847</v>
      </c>
      <c r="B1714">
        <v>191</v>
      </c>
      <c r="C1714" t="s">
        <v>1134</v>
      </c>
      <c r="D1714">
        <v>256821</v>
      </c>
      <c r="E1714">
        <v>21278</v>
      </c>
      <c r="F1714">
        <v>16887</v>
      </c>
    </row>
    <row r="1715" spans="1:6">
      <c r="A1715" t="s">
        <v>2848</v>
      </c>
      <c r="B1715">
        <v>191</v>
      </c>
      <c r="C1715" t="s">
        <v>1136</v>
      </c>
      <c r="D1715">
        <v>71339</v>
      </c>
      <c r="E1715">
        <v>21278</v>
      </c>
      <c r="F1715">
        <v>16887</v>
      </c>
    </row>
    <row r="1716" spans="1:6">
      <c r="A1716" t="s">
        <v>2849</v>
      </c>
      <c r="B1716">
        <v>191</v>
      </c>
      <c r="C1716" t="s">
        <v>1138</v>
      </c>
      <c r="D1716">
        <v>21402</v>
      </c>
      <c r="E1716">
        <v>21278</v>
      </c>
      <c r="F1716">
        <v>16887</v>
      </c>
    </row>
    <row r="1717" spans="1:6">
      <c r="A1717" t="s">
        <v>2850</v>
      </c>
      <c r="B1717">
        <v>191</v>
      </c>
      <c r="C1717" t="s">
        <v>738</v>
      </c>
      <c r="D1717">
        <v>570712</v>
      </c>
      <c r="E1717">
        <v>21278</v>
      </c>
      <c r="F1717">
        <v>16887</v>
      </c>
    </row>
    <row r="1718" spans="1:6">
      <c r="A1718" t="s">
        <v>2851</v>
      </c>
      <c r="B1718">
        <v>191</v>
      </c>
      <c r="C1718" t="s">
        <v>1141</v>
      </c>
      <c r="D1718">
        <v>1284102</v>
      </c>
      <c r="E1718">
        <v>21278</v>
      </c>
      <c r="F1718">
        <v>16887</v>
      </c>
    </row>
    <row r="1719" spans="1:6">
      <c r="A1719" t="s">
        <v>2852</v>
      </c>
      <c r="B1719">
        <v>191</v>
      </c>
      <c r="C1719" t="s">
        <v>159</v>
      </c>
      <c r="D1719">
        <v>14936146</v>
      </c>
      <c r="E1719">
        <v>21278</v>
      </c>
      <c r="F1719">
        <v>16887</v>
      </c>
    </row>
    <row r="1720" spans="1:6">
      <c r="A1720" t="s">
        <v>2853</v>
      </c>
      <c r="B1720">
        <v>191</v>
      </c>
      <c r="C1720" t="s">
        <v>642</v>
      </c>
      <c r="D1720">
        <v>7468073</v>
      </c>
      <c r="E1720">
        <v>21278</v>
      </c>
      <c r="F1720">
        <v>16887</v>
      </c>
    </row>
    <row r="1721" spans="1:6">
      <c r="A1721" t="s">
        <v>2854</v>
      </c>
      <c r="B1721">
        <v>192</v>
      </c>
      <c r="C1721" t="s">
        <v>149</v>
      </c>
      <c r="D1721">
        <v>144478</v>
      </c>
      <c r="E1721">
        <v>21499</v>
      </c>
      <c r="F1721">
        <v>16994</v>
      </c>
    </row>
    <row r="1722" spans="1:6">
      <c r="A1722" t="s">
        <v>2855</v>
      </c>
      <c r="B1722">
        <v>192</v>
      </c>
      <c r="C1722" t="s">
        <v>1132</v>
      </c>
      <c r="D1722">
        <v>433434</v>
      </c>
      <c r="E1722">
        <v>21499</v>
      </c>
      <c r="F1722">
        <v>16994</v>
      </c>
    </row>
    <row r="1723" spans="1:6">
      <c r="A1723" t="s">
        <v>2856</v>
      </c>
      <c r="B1723">
        <v>192</v>
      </c>
      <c r="C1723" t="s">
        <v>1134</v>
      </c>
      <c r="D1723">
        <v>260061</v>
      </c>
      <c r="E1723">
        <v>21499</v>
      </c>
      <c r="F1723">
        <v>16994</v>
      </c>
    </row>
    <row r="1724" spans="1:6">
      <c r="A1724" t="s">
        <v>2857</v>
      </c>
      <c r="B1724">
        <v>192</v>
      </c>
      <c r="C1724" t="s">
        <v>1136</v>
      </c>
      <c r="D1724">
        <v>72239</v>
      </c>
      <c r="E1724">
        <v>21499</v>
      </c>
      <c r="F1724">
        <v>16994</v>
      </c>
    </row>
    <row r="1725" spans="1:6">
      <c r="A1725" t="s">
        <v>2858</v>
      </c>
      <c r="B1725">
        <v>192</v>
      </c>
      <c r="C1725" t="s">
        <v>1138</v>
      </c>
      <c r="D1725">
        <v>21672</v>
      </c>
      <c r="E1725">
        <v>21499</v>
      </c>
      <c r="F1725">
        <v>16994</v>
      </c>
    </row>
    <row r="1726" spans="1:6">
      <c r="A1726" t="s">
        <v>2859</v>
      </c>
      <c r="B1726">
        <v>192</v>
      </c>
      <c r="C1726" t="s">
        <v>738</v>
      </c>
      <c r="D1726">
        <v>577912</v>
      </c>
      <c r="E1726">
        <v>21499</v>
      </c>
      <c r="F1726">
        <v>16994</v>
      </c>
    </row>
    <row r="1727" spans="1:6">
      <c r="A1727" t="s">
        <v>2860</v>
      </c>
      <c r="B1727">
        <v>192</v>
      </c>
      <c r="C1727" t="s">
        <v>1141</v>
      </c>
      <c r="D1727">
        <v>1300302</v>
      </c>
      <c r="E1727">
        <v>21499</v>
      </c>
      <c r="F1727">
        <v>16994</v>
      </c>
    </row>
    <row r="1728" spans="1:6">
      <c r="A1728" t="s">
        <v>2861</v>
      </c>
      <c r="B1728">
        <v>192</v>
      </c>
      <c r="C1728" t="s">
        <v>159</v>
      </c>
      <c r="D1728">
        <v>15140048</v>
      </c>
      <c r="E1728">
        <v>21499</v>
      </c>
      <c r="F1728">
        <v>16994</v>
      </c>
    </row>
    <row r="1729" spans="1:6">
      <c r="A1729" t="s">
        <v>2862</v>
      </c>
      <c r="B1729">
        <v>192</v>
      </c>
      <c r="C1729" t="s">
        <v>642</v>
      </c>
      <c r="D1729">
        <v>7570024</v>
      </c>
      <c r="E1729">
        <v>21499</v>
      </c>
      <c r="F1729">
        <v>16994</v>
      </c>
    </row>
    <row r="1730" spans="1:6">
      <c r="A1730" t="s">
        <v>2863</v>
      </c>
      <c r="B1730">
        <v>193</v>
      </c>
      <c r="C1730" t="s">
        <v>149</v>
      </c>
      <c r="D1730">
        <v>146294</v>
      </c>
      <c r="E1730">
        <v>21721</v>
      </c>
      <c r="F1730">
        <v>17100</v>
      </c>
    </row>
    <row r="1731" spans="1:6">
      <c r="A1731" t="s">
        <v>2864</v>
      </c>
      <c r="B1731">
        <v>193</v>
      </c>
      <c r="C1731" t="s">
        <v>1132</v>
      </c>
      <c r="D1731">
        <v>438882</v>
      </c>
      <c r="E1731">
        <v>21721</v>
      </c>
      <c r="F1731">
        <v>17100</v>
      </c>
    </row>
    <row r="1732" spans="1:6">
      <c r="A1732" t="s">
        <v>2865</v>
      </c>
      <c r="B1732">
        <v>193</v>
      </c>
      <c r="C1732" t="s">
        <v>1134</v>
      </c>
      <c r="D1732">
        <v>263330</v>
      </c>
      <c r="E1732">
        <v>21721</v>
      </c>
      <c r="F1732">
        <v>17100</v>
      </c>
    </row>
    <row r="1733" spans="1:6">
      <c r="A1733" t="s">
        <v>2866</v>
      </c>
      <c r="B1733">
        <v>193</v>
      </c>
      <c r="C1733" t="s">
        <v>1136</v>
      </c>
      <c r="D1733">
        <v>73147</v>
      </c>
      <c r="E1733">
        <v>21721</v>
      </c>
      <c r="F1733">
        <v>17100</v>
      </c>
    </row>
    <row r="1734" spans="1:6">
      <c r="A1734" t="s">
        <v>2867</v>
      </c>
      <c r="B1734">
        <v>193</v>
      </c>
      <c r="C1734" t="s">
        <v>1138</v>
      </c>
      <c r="D1734">
        <v>21945</v>
      </c>
      <c r="E1734">
        <v>21721</v>
      </c>
      <c r="F1734">
        <v>17100</v>
      </c>
    </row>
    <row r="1735" spans="1:6">
      <c r="A1735" t="s">
        <v>2868</v>
      </c>
      <c r="B1735">
        <v>193</v>
      </c>
      <c r="C1735" t="s">
        <v>738</v>
      </c>
      <c r="D1735">
        <v>585176</v>
      </c>
      <c r="E1735">
        <v>21721</v>
      </c>
      <c r="F1735">
        <v>17100</v>
      </c>
    </row>
    <row r="1736" spans="1:6">
      <c r="A1736" t="s">
        <v>2869</v>
      </c>
      <c r="B1736">
        <v>193</v>
      </c>
      <c r="C1736" t="s">
        <v>1141</v>
      </c>
      <c r="D1736">
        <v>1316646</v>
      </c>
      <c r="E1736">
        <v>21721</v>
      </c>
      <c r="F1736">
        <v>17100</v>
      </c>
    </row>
    <row r="1737" spans="1:6">
      <c r="A1737" t="s">
        <v>2870</v>
      </c>
      <c r="B1737">
        <v>193</v>
      </c>
      <c r="C1737" t="s">
        <v>159</v>
      </c>
      <c r="D1737">
        <v>15346052</v>
      </c>
      <c r="E1737">
        <v>21721</v>
      </c>
      <c r="F1737">
        <v>17100</v>
      </c>
    </row>
    <row r="1738" spans="1:6">
      <c r="A1738" t="s">
        <v>2871</v>
      </c>
      <c r="B1738">
        <v>193</v>
      </c>
      <c r="C1738" t="s">
        <v>642</v>
      </c>
      <c r="D1738">
        <v>7673026</v>
      </c>
      <c r="E1738">
        <v>21721</v>
      </c>
      <c r="F1738">
        <v>17100</v>
      </c>
    </row>
    <row r="1739" spans="1:6">
      <c r="A1739" t="s">
        <v>2872</v>
      </c>
      <c r="B1739">
        <v>194</v>
      </c>
      <c r="C1739" t="s">
        <v>149</v>
      </c>
      <c r="D1739">
        <v>148127</v>
      </c>
      <c r="E1739">
        <v>21945</v>
      </c>
      <c r="F1739">
        <v>17206</v>
      </c>
    </row>
    <row r="1740" spans="1:6">
      <c r="A1740" t="s">
        <v>2873</v>
      </c>
      <c r="B1740">
        <v>194</v>
      </c>
      <c r="C1740" t="s">
        <v>1132</v>
      </c>
      <c r="D1740">
        <v>444381</v>
      </c>
      <c r="E1740">
        <v>21945</v>
      </c>
      <c r="F1740">
        <v>17206</v>
      </c>
    </row>
    <row r="1741" spans="1:6">
      <c r="A1741" t="s">
        <v>2874</v>
      </c>
      <c r="B1741">
        <v>194</v>
      </c>
      <c r="C1741" t="s">
        <v>1134</v>
      </c>
      <c r="D1741">
        <v>266629</v>
      </c>
      <c r="E1741">
        <v>21945</v>
      </c>
      <c r="F1741">
        <v>17206</v>
      </c>
    </row>
    <row r="1742" spans="1:6">
      <c r="A1742" t="s">
        <v>2875</v>
      </c>
      <c r="B1742">
        <v>194</v>
      </c>
      <c r="C1742" t="s">
        <v>1136</v>
      </c>
      <c r="D1742">
        <v>74064</v>
      </c>
      <c r="E1742">
        <v>21945</v>
      </c>
      <c r="F1742">
        <v>17206</v>
      </c>
    </row>
    <row r="1743" spans="1:6">
      <c r="A1743" t="s">
        <v>2876</v>
      </c>
      <c r="B1743">
        <v>194</v>
      </c>
      <c r="C1743" t="s">
        <v>1138</v>
      </c>
      <c r="D1743">
        <v>22220</v>
      </c>
      <c r="E1743">
        <v>21945</v>
      </c>
      <c r="F1743">
        <v>17206</v>
      </c>
    </row>
    <row r="1744" spans="1:6">
      <c r="A1744" t="s">
        <v>2877</v>
      </c>
      <c r="B1744">
        <v>194</v>
      </c>
      <c r="C1744" t="s">
        <v>738</v>
      </c>
      <c r="D1744">
        <v>592508</v>
      </c>
      <c r="E1744">
        <v>21945</v>
      </c>
      <c r="F1744">
        <v>17206</v>
      </c>
    </row>
    <row r="1745" spans="1:6">
      <c r="A1745" t="s">
        <v>2878</v>
      </c>
      <c r="B1745">
        <v>194</v>
      </c>
      <c r="C1745" t="s">
        <v>1141</v>
      </c>
      <c r="D1745">
        <v>1333143</v>
      </c>
      <c r="E1745">
        <v>21945</v>
      </c>
      <c r="F1745">
        <v>17206</v>
      </c>
    </row>
    <row r="1746" spans="1:6">
      <c r="A1746" t="s">
        <v>2879</v>
      </c>
      <c r="B1746">
        <v>194</v>
      </c>
      <c r="C1746" t="s">
        <v>159</v>
      </c>
      <c r="D1746">
        <v>15554038</v>
      </c>
      <c r="E1746">
        <v>21945</v>
      </c>
      <c r="F1746">
        <v>17206</v>
      </c>
    </row>
    <row r="1747" spans="1:6">
      <c r="A1747" t="s">
        <v>2880</v>
      </c>
      <c r="B1747">
        <v>194</v>
      </c>
      <c r="C1747" t="s">
        <v>642</v>
      </c>
      <c r="D1747">
        <v>7777019</v>
      </c>
      <c r="E1747">
        <v>21945</v>
      </c>
      <c r="F1747">
        <v>17206</v>
      </c>
    </row>
    <row r="1748" spans="1:6">
      <c r="A1748" t="s">
        <v>2881</v>
      </c>
      <c r="B1748">
        <v>195</v>
      </c>
      <c r="C1748" t="s">
        <v>149</v>
      </c>
      <c r="D1748">
        <v>149978</v>
      </c>
      <c r="E1748">
        <v>22170</v>
      </c>
      <c r="F1748">
        <v>17313</v>
      </c>
    </row>
    <row r="1749" spans="1:6">
      <c r="A1749" t="s">
        <v>2882</v>
      </c>
      <c r="B1749">
        <v>195</v>
      </c>
      <c r="C1749" t="s">
        <v>1132</v>
      </c>
      <c r="D1749">
        <v>449934</v>
      </c>
      <c r="E1749">
        <v>22170</v>
      </c>
      <c r="F1749">
        <v>17313</v>
      </c>
    </row>
    <row r="1750" spans="1:6">
      <c r="A1750" t="s">
        <v>2883</v>
      </c>
      <c r="B1750">
        <v>195</v>
      </c>
      <c r="C1750" t="s">
        <v>1134</v>
      </c>
      <c r="D1750">
        <v>269961</v>
      </c>
      <c r="E1750">
        <v>22170</v>
      </c>
      <c r="F1750">
        <v>17313</v>
      </c>
    </row>
    <row r="1751" spans="1:6">
      <c r="A1751" t="s">
        <v>2884</v>
      </c>
      <c r="B1751">
        <v>195</v>
      </c>
      <c r="C1751" t="s">
        <v>1136</v>
      </c>
      <c r="D1751">
        <v>74989</v>
      </c>
      <c r="E1751">
        <v>22170</v>
      </c>
      <c r="F1751">
        <v>17313</v>
      </c>
    </row>
    <row r="1752" spans="1:6">
      <c r="A1752" t="s">
        <v>2885</v>
      </c>
      <c r="B1752">
        <v>195</v>
      </c>
      <c r="C1752" t="s">
        <v>1138</v>
      </c>
      <c r="D1752">
        <v>22497</v>
      </c>
      <c r="E1752">
        <v>22170</v>
      </c>
      <c r="F1752">
        <v>17313</v>
      </c>
    </row>
    <row r="1753" spans="1:6">
      <c r="A1753" t="s">
        <v>2886</v>
      </c>
      <c r="B1753">
        <v>195</v>
      </c>
      <c r="C1753" t="s">
        <v>738</v>
      </c>
      <c r="D1753">
        <v>599912</v>
      </c>
      <c r="E1753">
        <v>22170</v>
      </c>
      <c r="F1753">
        <v>17313</v>
      </c>
    </row>
    <row r="1754" spans="1:6">
      <c r="A1754" t="s">
        <v>2887</v>
      </c>
      <c r="B1754">
        <v>195</v>
      </c>
      <c r="C1754" t="s">
        <v>1141</v>
      </c>
      <c r="D1754">
        <v>1349802</v>
      </c>
      <c r="E1754">
        <v>22170</v>
      </c>
      <c r="F1754">
        <v>17313</v>
      </c>
    </row>
    <row r="1755" spans="1:6">
      <c r="A1755" t="s">
        <v>2888</v>
      </c>
      <c r="B1755">
        <v>195</v>
      </c>
      <c r="C1755" t="s">
        <v>159</v>
      </c>
      <c r="D1755">
        <v>15764184</v>
      </c>
      <c r="E1755">
        <v>22170</v>
      </c>
      <c r="F1755">
        <v>17313</v>
      </c>
    </row>
    <row r="1756" spans="1:6">
      <c r="A1756" t="s">
        <v>2889</v>
      </c>
      <c r="B1756">
        <v>195</v>
      </c>
      <c r="C1756" t="s">
        <v>642</v>
      </c>
      <c r="D1756">
        <v>7882092</v>
      </c>
      <c r="E1756">
        <v>22170</v>
      </c>
      <c r="F1756">
        <v>17313</v>
      </c>
    </row>
    <row r="1757" spans="1:6">
      <c r="A1757" t="s">
        <v>2890</v>
      </c>
      <c r="B1757">
        <v>196</v>
      </c>
      <c r="C1757" t="s">
        <v>149</v>
      </c>
      <c r="D1757">
        <v>151844</v>
      </c>
      <c r="E1757">
        <v>22397</v>
      </c>
      <c r="F1757">
        <v>17420</v>
      </c>
    </row>
    <row r="1758" spans="1:6">
      <c r="A1758" t="s">
        <v>2891</v>
      </c>
      <c r="B1758">
        <v>196</v>
      </c>
      <c r="C1758" t="s">
        <v>1132</v>
      </c>
      <c r="D1758">
        <v>455532</v>
      </c>
      <c r="E1758">
        <v>22397</v>
      </c>
      <c r="F1758">
        <v>17420</v>
      </c>
    </row>
    <row r="1759" spans="1:6">
      <c r="A1759" t="s">
        <v>2892</v>
      </c>
      <c r="B1759">
        <v>196</v>
      </c>
      <c r="C1759" t="s">
        <v>1134</v>
      </c>
      <c r="D1759">
        <v>273320</v>
      </c>
      <c r="E1759">
        <v>22397</v>
      </c>
      <c r="F1759">
        <v>17420</v>
      </c>
    </row>
    <row r="1760" spans="1:6">
      <c r="A1760" t="s">
        <v>2893</v>
      </c>
      <c r="B1760">
        <v>196</v>
      </c>
      <c r="C1760" t="s">
        <v>1136</v>
      </c>
      <c r="D1760">
        <v>75922</v>
      </c>
      <c r="E1760">
        <v>22397</v>
      </c>
      <c r="F1760">
        <v>17420</v>
      </c>
    </row>
    <row r="1761" spans="1:6">
      <c r="A1761" t="s">
        <v>2894</v>
      </c>
      <c r="B1761">
        <v>196</v>
      </c>
      <c r="C1761" t="s">
        <v>1138</v>
      </c>
      <c r="D1761">
        <v>22777</v>
      </c>
      <c r="E1761">
        <v>22397</v>
      </c>
      <c r="F1761">
        <v>17420</v>
      </c>
    </row>
    <row r="1762" spans="1:6">
      <c r="A1762" t="s">
        <v>2895</v>
      </c>
      <c r="B1762">
        <v>196</v>
      </c>
      <c r="C1762" t="s">
        <v>738</v>
      </c>
      <c r="D1762">
        <v>607376</v>
      </c>
      <c r="E1762">
        <v>22397</v>
      </c>
      <c r="F1762">
        <v>17420</v>
      </c>
    </row>
    <row r="1763" spans="1:6">
      <c r="A1763" t="s">
        <v>2896</v>
      </c>
      <c r="B1763">
        <v>196</v>
      </c>
      <c r="C1763" t="s">
        <v>1141</v>
      </c>
      <c r="D1763">
        <v>1366596</v>
      </c>
      <c r="E1763">
        <v>22397</v>
      </c>
      <c r="F1763">
        <v>17420</v>
      </c>
    </row>
    <row r="1764" spans="1:6">
      <c r="A1764" t="s">
        <v>2897</v>
      </c>
      <c r="B1764">
        <v>196</v>
      </c>
      <c r="C1764" t="s">
        <v>159</v>
      </c>
      <c r="D1764">
        <v>15976312</v>
      </c>
      <c r="E1764">
        <v>22397</v>
      </c>
      <c r="F1764">
        <v>17420</v>
      </c>
    </row>
    <row r="1765" spans="1:6">
      <c r="A1765" t="s">
        <v>2898</v>
      </c>
      <c r="B1765">
        <v>196</v>
      </c>
      <c r="C1765" t="s">
        <v>642</v>
      </c>
      <c r="D1765">
        <v>7988156</v>
      </c>
      <c r="E1765">
        <v>22397</v>
      </c>
      <c r="F1765">
        <v>17420</v>
      </c>
    </row>
    <row r="1766" spans="1:6">
      <c r="A1766" t="s">
        <v>2899</v>
      </c>
      <c r="B1766">
        <v>197</v>
      </c>
      <c r="C1766" t="s">
        <v>149</v>
      </c>
      <c r="D1766">
        <v>153728</v>
      </c>
      <c r="E1766">
        <v>22626</v>
      </c>
      <c r="F1766">
        <v>17527</v>
      </c>
    </row>
    <row r="1767" spans="1:6">
      <c r="A1767" t="s">
        <v>2900</v>
      </c>
      <c r="B1767">
        <v>197</v>
      </c>
      <c r="C1767" t="s">
        <v>1132</v>
      </c>
      <c r="D1767">
        <v>461184</v>
      </c>
      <c r="E1767">
        <v>22626</v>
      </c>
      <c r="F1767">
        <v>17527</v>
      </c>
    </row>
    <row r="1768" spans="1:6">
      <c r="A1768" t="s">
        <v>2901</v>
      </c>
      <c r="B1768">
        <v>197</v>
      </c>
      <c r="C1768" t="s">
        <v>1134</v>
      </c>
      <c r="D1768">
        <v>276711</v>
      </c>
      <c r="E1768">
        <v>22626</v>
      </c>
      <c r="F1768">
        <v>17527</v>
      </c>
    </row>
    <row r="1769" spans="1:6">
      <c r="A1769" t="s">
        <v>2902</v>
      </c>
      <c r="B1769">
        <v>197</v>
      </c>
      <c r="C1769" t="s">
        <v>1136</v>
      </c>
      <c r="D1769">
        <v>76864</v>
      </c>
      <c r="E1769">
        <v>22626</v>
      </c>
      <c r="F1769">
        <v>17527</v>
      </c>
    </row>
    <row r="1770" spans="1:6">
      <c r="A1770" t="s">
        <v>2903</v>
      </c>
      <c r="B1770">
        <v>197</v>
      </c>
      <c r="C1770" t="s">
        <v>1138</v>
      </c>
      <c r="D1770">
        <v>23060</v>
      </c>
      <c r="E1770">
        <v>22626</v>
      </c>
      <c r="F1770">
        <v>17527</v>
      </c>
    </row>
    <row r="1771" spans="1:6">
      <c r="A1771" t="s">
        <v>2904</v>
      </c>
      <c r="B1771">
        <v>197</v>
      </c>
      <c r="C1771" t="s">
        <v>738</v>
      </c>
      <c r="D1771">
        <v>614912</v>
      </c>
      <c r="E1771">
        <v>22626</v>
      </c>
      <c r="F1771">
        <v>17527</v>
      </c>
    </row>
    <row r="1772" spans="1:6">
      <c r="A1772" t="s">
        <v>2905</v>
      </c>
      <c r="B1772">
        <v>197</v>
      </c>
      <c r="C1772" t="s">
        <v>1141</v>
      </c>
      <c r="D1772">
        <v>1383552</v>
      </c>
      <c r="E1772">
        <v>22626</v>
      </c>
      <c r="F1772">
        <v>17527</v>
      </c>
    </row>
    <row r="1773" spans="1:6">
      <c r="A1773" t="s">
        <v>2906</v>
      </c>
      <c r="B1773">
        <v>197</v>
      </c>
      <c r="C1773" t="s">
        <v>159</v>
      </c>
      <c r="D1773">
        <v>16190601</v>
      </c>
      <c r="E1773">
        <v>22626</v>
      </c>
      <c r="F1773">
        <v>17527</v>
      </c>
    </row>
    <row r="1774" spans="1:6">
      <c r="A1774" t="s">
        <v>2907</v>
      </c>
      <c r="B1774">
        <v>197</v>
      </c>
      <c r="C1774" t="s">
        <v>642</v>
      </c>
      <c r="D1774">
        <v>8095301</v>
      </c>
      <c r="E1774">
        <v>22626</v>
      </c>
      <c r="F1774">
        <v>17527</v>
      </c>
    </row>
    <row r="1775" spans="1:6">
      <c r="A1775" t="s">
        <v>2908</v>
      </c>
      <c r="B1775">
        <v>198</v>
      </c>
      <c r="C1775" t="s">
        <v>149</v>
      </c>
      <c r="D1775">
        <v>155630</v>
      </c>
      <c r="E1775">
        <v>22855</v>
      </c>
      <c r="F1775">
        <v>17634</v>
      </c>
    </row>
    <row r="1776" spans="1:6">
      <c r="A1776" t="s">
        <v>2909</v>
      </c>
      <c r="B1776">
        <v>198</v>
      </c>
      <c r="C1776" t="s">
        <v>1132</v>
      </c>
      <c r="D1776">
        <v>466890</v>
      </c>
      <c r="E1776">
        <v>22855</v>
      </c>
      <c r="F1776">
        <v>17634</v>
      </c>
    </row>
    <row r="1777" spans="1:6">
      <c r="A1777" t="s">
        <v>2910</v>
      </c>
      <c r="B1777">
        <v>198</v>
      </c>
      <c r="C1777" t="s">
        <v>1134</v>
      </c>
      <c r="D1777">
        <v>280134</v>
      </c>
      <c r="E1777">
        <v>22855</v>
      </c>
      <c r="F1777">
        <v>17634</v>
      </c>
    </row>
    <row r="1778" spans="1:6">
      <c r="A1778" t="s">
        <v>2911</v>
      </c>
      <c r="B1778">
        <v>198</v>
      </c>
      <c r="C1778" t="s">
        <v>1136</v>
      </c>
      <c r="D1778">
        <v>77815</v>
      </c>
      <c r="E1778">
        <v>22855</v>
      </c>
      <c r="F1778">
        <v>17634</v>
      </c>
    </row>
    <row r="1779" spans="1:6">
      <c r="A1779" t="s">
        <v>2912</v>
      </c>
      <c r="B1779">
        <v>198</v>
      </c>
      <c r="C1779" t="s">
        <v>1138</v>
      </c>
      <c r="D1779">
        <v>23345</v>
      </c>
      <c r="E1779">
        <v>22855</v>
      </c>
      <c r="F1779">
        <v>17634</v>
      </c>
    </row>
    <row r="1780" spans="1:6">
      <c r="A1780" t="s">
        <v>2913</v>
      </c>
      <c r="B1780">
        <v>198</v>
      </c>
      <c r="C1780" t="s">
        <v>738</v>
      </c>
      <c r="D1780">
        <v>622520</v>
      </c>
      <c r="E1780">
        <v>22855</v>
      </c>
      <c r="F1780">
        <v>17634</v>
      </c>
    </row>
    <row r="1781" spans="1:6">
      <c r="A1781" t="s">
        <v>2914</v>
      </c>
      <c r="B1781">
        <v>198</v>
      </c>
      <c r="C1781" t="s">
        <v>1141</v>
      </c>
      <c r="D1781">
        <v>1400670</v>
      </c>
      <c r="E1781">
        <v>22855</v>
      </c>
      <c r="F1781">
        <v>17634</v>
      </c>
    </row>
    <row r="1782" spans="1:6">
      <c r="A1782" t="s">
        <v>2915</v>
      </c>
      <c r="B1782">
        <v>198</v>
      </c>
      <c r="C1782" t="s">
        <v>159</v>
      </c>
      <c r="D1782">
        <v>16406991</v>
      </c>
      <c r="E1782">
        <v>22855</v>
      </c>
      <c r="F1782">
        <v>17634</v>
      </c>
    </row>
    <row r="1783" spans="1:6">
      <c r="A1783" t="s">
        <v>2916</v>
      </c>
      <c r="B1783">
        <v>198</v>
      </c>
      <c r="C1783" t="s">
        <v>642</v>
      </c>
      <c r="D1783">
        <v>8203496</v>
      </c>
      <c r="E1783">
        <v>22855</v>
      </c>
      <c r="F1783">
        <v>17634</v>
      </c>
    </row>
    <row r="1784" spans="1:6">
      <c r="A1784" t="s">
        <v>2917</v>
      </c>
      <c r="B1784">
        <v>199</v>
      </c>
      <c r="C1784" t="s">
        <v>149</v>
      </c>
      <c r="D1784">
        <v>157548</v>
      </c>
      <c r="E1784">
        <v>23087</v>
      </c>
      <c r="F1784">
        <v>17741</v>
      </c>
    </row>
    <row r="1785" spans="1:6">
      <c r="A1785" t="s">
        <v>2918</v>
      </c>
      <c r="B1785">
        <v>199</v>
      </c>
      <c r="C1785" t="s">
        <v>1132</v>
      </c>
      <c r="D1785">
        <v>472644</v>
      </c>
      <c r="E1785">
        <v>23087</v>
      </c>
      <c r="F1785">
        <v>17741</v>
      </c>
    </row>
    <row r="1786" spans="1:6">
      <c r="A1786" t="s">
        <v>2919</v>
      </c>
      <c r="B1786">
        <v>199</v>
      </c>
      <c r="C1786" t="s">
        <v>1134</v>
      </c>
      <c r="D1786">
        <v>283587</v>
      </c>
      <c r="E1786">
        <v>23087</v>
      </c>
      <c r="F1786">
        <v>17741</v>
      </c>
    </row>
    <row r="1787" spans="1:6">
      <c r="A1787" t="s">
        <v>2920</v>
      </c>
      <c r="B1787">
        <v>199</v>
      </c>
      <c r="C1787" t="s">
        <v>1136</v>
      </c>
      <c r="D1787">
        <v>78774</v>
      </c>
      <c r="E1787">
        <v>23087</v>
      </c>
      <c r="F1787">
        <v>17741</v>
      </c>
    </row>
    <row r="1788" spans="1:6">
      <c r="A1788" t="s">
        <v>2921</v>
      </c>
      <c r="B1788">
        <v>199</v>
      </c>
      <c r="C1788" t="s">
        <v>1138</v>
      </c>
      <c r="D1788">
        <v>23633</v>
      </c>
      <c r="E1788">
        <v>23087</v>
      </c>
      <c r="F1788">
        <v>17741</v>
      </c>
    </row>
    <row r="1789" spans="1:6">
      <c r="A1789" t="s">
        <v>2922</v>
      </c>
      <c r="B1789">
        <v>199</v>
      </c>
      <c r="C1789" t="s">
        <v>738</v>
      </c>
      <c r="D1789">
        <v>630192</v>
      </c>
      <c r="E1789">
        <v>23087</v>
      </c>
      <c r="F1789">
        <v>17741</v>
      </c>
    </row>
    <row r="1790" spans="1:6">
      <c r="A1790" t="s">
        <v>2923</v>
      </c>
      <c r="B1790">
        <v>199</v>
      </c>
      <c r="C1790" t="s">
        <v>1141</v>
      </c>
      <c r="D1790">
        <v>1417932</v>
      </c>
      <c r="E1790">
        <v>23087</v>
      </c>
      <c r="F1790">
        <v>17741</v>
      </c>
    </row>
    <row r="1791" spans="1:6">
      <c r="A1791" t="s">
        <v>2924</v>
      </c>
      <c r="B1791">
        <v>199</v>
      </c>
      <c r="C1791" t="s">
        <v>159</v>
      </c>
      <c r="D1791">
        <v>16625543</v>
      </c>
      <c r="E1791">
        <v>23087</v>
      </c>
      <c r="F1791">
        <v>17741</v>
      </c>
    </row>
    <row r="1792" spans="1:6">
      <c r="A1792" t="s">
        <v>2925</v>
      </c>
      <c r="B1792">
        <v>199</v>
      </c>
      <c r="C1792" t="s">
        <v>642</v>
      </c>
      <c r="D1792">
        <v>8312771</v>
      </c>
      <c r="E1792">
        <v>23087</v>
      </c>
      <c r="F1792">
        <v>17741</v>
      </c>
    </row>
    <row r="1793" spans="1:6">
      <c r="A1793" t="s">
        <v>2926</v>
      </c>
      <c r="B1793">
        <v>200</v>
      </c>
      <c r="C1793" t="s">
        <v>149</v>
      </c>
      <c r="D1793">
        <v>159484</v>
      </c>
      <c r="E1793">
        <v>23320</v>
      </c>
      <c r="F1793">
        <v>17849</v>
      </c>
    </row>
    <row r="1794" spans="1:6">
      <c r="A1794" t="s">
        <v>2927</v>
      </c>
      <c r="B1794">
        <v>200</v>
      </c>
      <c r="C1794" t="s">
        <v>1132</v>
      </c>
      <c r="D1794">
        <v>478452</v>
      </c>
      <c r="E1794">
        <v>23320</v>
      </c>
      <c r="F1794">
        <v>17849</v>
      </c>
    </row>
    <row r="1795" spans="1:6">
      <c r="A1795" t="s">
        <v>2928</v>
      </c>
      <c r="B1795">
        <v>200</v>
      </c>
      <c r="C1795" t="s">
        <v>1134</v>
      </c>
      <c r="D1795">
        <v>287072</v>
      </c>
      <c r="E1795">
        <v>23320</v>
      </c>
      <c r="F1795">
        <v>17849</v>
      </c>
    </row>
    <row r="1796" spans="1:6">
      <c r="A1796" t="s">
        <v>2929</v>
      </c>
      <c r="B1796">
        <v>200</v>
      </c>
      <c r="C1796" t="s">
        <v>1136</v>
      </c>
      <c r="D1796">
        <v>79742</v>
      </c>
      <c r="E1796">
        <v>23320</v>
      </c>
      <c r="F1796">
        <v>17849</v>
      </c>
    </row>
    <row r="1797" spans="1:6">
      <c r="A1797" t="s">
        <v>2930</v>
      </c>
      <c r="B1797">
        <v>200</v>
      </c>
      <c r="C1797" t="s">
        <v>1138</v>
      </c>
      <c r="D1797">
        <v>23923</v>
      </c>
      <c r="E1797">
        <v>23320</v>
      </c>
      <c r="F1797">
        <v>17849</v>
      </c>
    </row>
    <row r="1798" spans="1:6">
      <c r="A1798" t="s">
        <v>2931</v>
      </c>
      <c r="B1798">
        <v>200</v>
      </c>
      <c r="C1798" t="s">
        <v>738</v>
      </c>
      <c r="D1798">
        <v>637936</v>
      </c>
      <c r="E1798">
        <v>23320</v>
      </c>
      <c r="F1798">
        <v>17849</v>
      </c>
    </row>
    <row r="1799" spans="1:6">
      <c r="A1799" t="s">
        <v>2932</v>
      </c>
      <c r="B1799">
        <v>200</v>
      </c>
      <c r="C1799" t="s">
        <v>1141</v>
      </c>
      <c r="D1799">
        <v>1435356</v>
      </c>
      <c r="E1799">
        <v>23320</v>
      </c>
      <c r="F1799">
        <v>17849</v>
      </c>
    </row>
    <row r="1800" spans="1:6">
      <c r="A1800" t="s">
        <v>2933</v>
      </c>
      <c r="B1800">
        <v>200</v>
      </c>
      <c r="C1800" t="s">
        <v>159</v>
      </c>
      <c r="D1800">
        <v>16846195</v>
      </c>
      <c r="E1800">
        <v>23320</v>
      </c>
      <c r="F1800">
        <v>17849</v>
      </c>
    </row>
    <row r="1801" spans="1:6">
      <c r="A1801" t="s">
        <v>2934</v>
      </c>
      <c r="B1801">
        <v>200</v>
      </c>
      <c r="C1801" t="s">
        <v>642</v>
      </c>
      <c r="D1801">
        <v>8423097</v>
      </c>
      <c r="E1801">
        <v>23320</v>
      </c>
      <c r="F1801">
        <v>17849</v>
      </c>
    </row>
    <row r="1802" spans="1:6">
      <c r="A1802" t="s">
        <v>2935</v>
      </c>
      <c r="B1802">
        <v>201</v>
      </c>
      <c r="C1802" t="s">
        <v>149</v>
      </c>
      <c r="D1802">
        <v>161437</v>
      </c>
      <c r="E1802">
        <v>23555</v>
      </c>
      <c r="F1802">
        <v>17957</v>
      </c>
    </row>
    <row r="1803" spans="1:6">
      <c r="A1803" t="s">
        <v>2936</v>
      </c>
      <c r="B1803">
        <v>201</v>
      </c>
      <c r="C1803" t="s">
        <v>1132</v>
      </c>
      <c r="D1803">
        <v>484311</v>
      </c>
      <c r="E1803">
        <v>23555</v>
      </c>
      <c r="F1803">
        <v>17957</v>
      </c>
    </row>
    <row r="1804" spans="1:6">
      <c r="A1804" t="s">
        <v>2937</v>
      </c>
      <c r="B1804">
        <v>201</v>
      </c>
      <c r="C1804" t="s">
        <v>1134</v>
      </c>
      <c r="D1804">
        <v>290587</v>
      </c>
      <c r="E1804">
        <v>23555</v>
      </c>
      <c r="F1804">
        <v>17957</v>
      </c>
    </row>
    <row r="1805" spans="1:6">
      <c r="A1805" t="s">
        <v>2938</v>
      </c>
      <c r="B1805">
        <v>201</v>
      </c>
      <c r="C1805" t="s">
        <v>1136</v>
      </c>
      <c r="D1805">
        <v>80719</v>
      </c>
      <c r="E1805">
        <v>23555</v>
      </c>
      <c r="F1805">
        <v>17957</v>
      </c>
    </row>
    <row r="1806" spans="1:6">
      <c r="A1806" t="s">
        <v>2939</v>
      </c>
      <c r="B1806">
        <v>201</v>
      </c>
      <c r="C1806" t="s">
        <v>1138</v>
      </c>
      <c r="D1806">
        <v>24216</v>
      </c>
      <c r="E1806">
        <v>23555</v>
      </c>
      <c r="F1806">
        <v>17957</v>
      </c>
    </row>
    <row r="1807" spans="1:6">
      <c r="A1807" t="s">
        <v>2940</v>
      </c>
      <c r="B1807">
        <v>201</v>
      </c>
      <c r="C1807" t="s">
        <v>738</v>
      </c>
      <c r="D1807">
        <v>645748</v>
      </c>
      <c r="E1807">
        <v>23555</v>
      </c>
      <c r="F1807">
        <v>17957</v>
      </c>
    </row>
    <row r="1808" spans="1:6">
      <c r="A1808" t="s">
        <v>2941</v>
      </c>
      <c r="B1808">
        <v>201</v>
      </c>
      <c r="C1808" t="s">
        <v>1141</v>
      </c>
      <c r="D1808">
        <v>1452933</v>
      </c>
      <c r="E1808">
        <v>23555</v>
      </c>
      <c r="F1808">
        <v>17957</v>
      </c>
    </row>
    <row r="1809" spans="1:6">
      <c r="A1809" t="s">
        <v>2942</v>
      </c>
      <c r="B1809">
        <v>201</v>
      </c>
      <c r="C1809" t="s">
        <v>159</v>
      </c>
      <c r="D1809">
        <v>17069008</v>
      </c>
      <c r="E1809">
        <v>23555</v>
      </c>
      <c r="F1809">
        <v>17957</v>
      </c>
    </row>
    <row r="1810" spans="1:6">
      <c r="A1810" t="s">
        <v>2943</v>
      </c>
      <c r="B1810">
        <v>201</v>
      </c>
      <c r="C1810" t="s">
        <v>642</v>
      </c>
      <c r="D1810">
        <v>8534504</v>
      </c>
      <c r="E1810">
        <v>23555</v>
      </c>
      <c r="F1810">
        <v>17957</v>
      </c>
    </row>
    <row r="1811" spans="1:6">
      <c r="A1811" t="s">
        <v>2944</v>
      </c>
      <c r="B1811">
        <v>202</v>
      </c>
      <c r="C1811" t="s">
        <v>149</v>
      </c>
      <c r="D1811">
        <v>163408</v>
      </c>
      <c r="E1811">
        <v>23791</v>
      </c>
      <c r="F1811">
        <v>18065</v>
      </c>
    </row>
    <row r="1812" spans="1:6">
      <c r="A1812" t="s">
        <v>2945</v>
      </c>
      <c r="B1812">
        <v>202</v>
      </c>
      <c r="C1812" t="s">
        <v>1132</v>
      </c>
      <c r="D1812">
        <v>490224</v>
      </c>
      <c r="E1812">
        <v>23791</v>
      </c>
      <c r="F1812">
        <v>18065</v>
      </c>
    </row>
    <row r="1813" spans="1:6">
      <c r="A1813" t="s">
        <v>2946</v>
      </c>
      <c r="B1813">
        <v>202</v>
      </c>
      <c r="C1813" t="s">
        <v>1134</v>
      </c>
      <c r="D1813">
        <v>294135</v>
      </c>
      <c r="E1813">
        <v>23791</v>
      </c>
      <c r="F1813">
        <v>18065</v>
      </c>
    </row>
    <row r="1814" spans="1:6">
      <c r="A1814" t="s">
        <v>2947</v>
      </c>
      <c r="B1814">
        <v>202</v>
      </c>
      <c r="C1814" t="s">
        <v>1136</v>
      </c>
      <c r="D1814">
        <v>81704</v>
      </c>
      <c r="E1814">
        <v>23791</v>
      </c>
      <c r="F1814">
        <v>18065</v>
      </c>
    </row>
    <row r="1815" spans="1:6">
      <c r="A1815" t="s">
        <v>2948</v>
      </c>
      <c r="B1815">
        <v>202</v>
      </c>
      <c r="C1815" t="s">
        <v>1138</v>
      </c>
      <c r="D1815">
        <v>24512</v>
      </c>
      <c r="E1815">
        <v>23791</v>
      </c>
      <c r="F1815">
        <v>18065</v>
      </c>
    </row>
    <row r="1816" spans="1:6">
      <c r="A1816" t="s">
        <v>2949</v>
      </c>
      <c r="B1816">
        <v>202</v>
      </c>
      <c r="C1816" t="s">
        <v>738</v>
      </c>
      <c r="D1816">
        <v>653632</v>
      </c>
      <c r="E1816">
        <v>23791</v>
      </c>
      <c r="F1816">
        <v>18065</v>
      </c>
    </row>
    <row r="1817" spans="1:6">
      <c r="A1817" t="s">
        <v>2950</v>
      </c>
      <c r="B1817">
        <v>202</v>
      </c>
      <c r="C1817" t="s">
        <v>1141</v>
      </c>
      <c r="D1817">
        <v>1470672</v>
      </c>
      <c r="E1817">
        <v>23791</v>
      </c>
      <c r="F1817">
        <v>18065</v>
      </c>
    </row>
    <row r="1818" spans="1:6">
      <c r="A1818" t="s">
        <v>2951</v>
      </c>
      <c r="B1818">
        <v>202</v>
      </c>
      <c r="C1818" t="s">
        <v>159</v>
      </c>
      <c r="D1818">
        <v>17294042</v>
      </c>
      <c r="E1818">
        <v>23791</v>
      </c>
      <c r="F1818">
        <v>18065</v>
      </c>
    </row>
    <row r="1819" spans="1:6">
      <c r="A1819" t="s">
        <v>2952</v>
      </c>
      <c r="B1819">
        <v>202</v>
      </c>
      <c r="C1819" t="s">
        <v>642</v>
      </c>
      <c r="D1819">
        <v>8647021</v>
      </c>
      <c r="E1819">
        <v>23791</v>
      </c>
      <c r="F1819">
        <v>18065</v>
      </c>
    </row>
    <row r="1820" spans="1:6">
      <c r="A1820" t="s">
        <v>2953</v>
      </c>
      <c r="B1820">
        <v>203</v>
      </c>
      <c r="C1820" t="s">
        <v>149</v>
      </c>
      <c r="D1820">
        <v>165397</v>
      </c>
      <c r="E1820">
        <v>24028</v>
      </c>
      <c r="F1820">
        <v>18173</v>
      </c>
    </row>
    <row r="1821" spans="1:6">
      <c r="A1821" t="s">
        <v>2954</v>
      </c>
      <c r="B1821">
        <v>203</v>
      </c>
      <c r="C1821" t="s">
        <v>1132</v>
      </c>
      <c r="D1821">
        <v>496191</v>
      </c>
      <c r="E1821">
        <v>24028</v>
      </c>
      <c r="F1821">
        <v>18173</v>
      </c>
    </row>
    <row r="1822" spans="1:6">
      <c r="A1822" t="s">
        <v>2955</v>
      </c>
      <c r="B1822">
        <v>203</v>
      </c>
      <c r="C1822" t="s">
        <v>1134</v>
      </c>
      <c r="D1822">
        <v>297715</v>
      </c>
      <c r="E1822">
        <v>24028</v>
      </c>
      <c r="F1822">
        <v>18173</v>
      </c>
    </row>
    <row r="1823" spans="1:6">
      <c r="A1823" t="s">
        <v>2956</v>
      </c>
      <c r="B1823">
        <v>203</v>
      </c>
      <c r="C1823" t="s">
        <v>1136</v>
      </c>
      <c r="D1823">
        <v>82699</v>
      </c>
      <c r="E1823">
        <v>24028</v>
      </c>
      <c r="F1823">
        <v>18173</v>
      </c>
    </row>
    <row r="1824" spans="1:6">
      <c r="A1824" t="s">
        <v>2957</v>
      </c>
      <c r="B1824">
        <v>203</v>
      </c>
      <c r="C1824" t="s">
        <v>1138</v>
      </c>
      <c r="D1824">
        <v>24810</v>
      </c>
      <c r="E1824">
        <v>24028</v>
      </c>
      <c r="F1824">
        <v>18173</v>
      </c>
    </row>
    <row r="1825" spans="1:6">
      <c r="A1825" t="s">
        <v>2958</v>
      </c>
      <c r="B1825">
        <v>203</v>
      </c>
      <c r="C1825" t="s">
        <v>738</v>
      </c>
      <c r="D1825">
        <v>661588</v>
      </c>
      <c r="E1825">
        <v>24028</v>
      </c>
      <c r="F1825">
        <v>18173</v>
      </c>
    </row>
    <row r="1826" spans="1:6">
      <c r="A1826" t="s">
        <v>2959</v>
      </c>
      <c r="B1826">
        <v>203</v>
      </c>
      <c r="C1826" t="s">
        <v>1141</v>
      </c>
      <c r="D1826">
        <v>1488573</v>
      </c>
      <c r="E1826">
        <v>24028</v>
      </c>
      <c r="F1826">
        <v>18173</v>
      </c>
    </row>
    <row r="1827" spans="1:6">
      <c r="A1827" t="s">
        <v>2960</v>
      </c>
      <c r="B1827">
        <v>203</v>
      </c>
      <c r="C1827" t="s">
        <v>159</v>
      </c>
      <c r="D1827">
        <v>17521177</v>
      </c>
      <c r="E1827">
        <v>24028</v>
      </c>
      <c r="F1827">
        <v>18173</v>
      </c>
    </row>
    <row r="1828" spans="1:6">
      <c r="A1828" t="s">
        <v>2961</v>
      </c>
      <c r="B1828">
        <v>203</v>
      </c>
      <c r="C1828" t="s">
        <v>642</v>
      </c>
      <c r="D1828">
        <v>8760589</v>
      </c>
      <c r="E1828">
        <v>24028</v>
      </c>
      <c r="F1828">
        <v>18173</v>
      </c>
    </row>
    <row r="1829" spans="1:6">
      <c r="A1829" t="s">
        <v>2962</v>
      </c>
      <c r="B1829">
        <v>204</v>
      </c>
      <c r="C1829" t="s">
        <v>149</v>
      </c>
      <c r="D1829">
        <v>167403</v>
      </c>
      <c r="E1829">
        <v>24268</v>
      </c>
      <c r="F1829">
        <v>18281</v>
      </c>
    </row>
    <row r="1830" spans="1:6">
      <c r="A1830" t="s">
        <v>2963</v>
      </c>
      <c r="B1830">
        <v>204</v>
      </c>
      <c r="C1830" t="s">
        <v>1132</v>
      </c>
      <c r="D1830">
        <v>502209</v>
      </c>
      <c r="E1830">
        <v>24268</v>
      </c>
      <c r="F1830">
        <v>18281</v>
      </c>
    </row>
    <row r="1831" spans="1:6">
      <c r="A1831" t="s">
        <v>2964</v>
      </c>
      <c r="B1831">
        <v>204</v>
      </c>
      <c r="C1831" t="s">
        <v>1134</v>
      </c>
      <c r="D1831">
        <v>301326</v>
      </c>
      <c r="E1831">
        <v>24268</v>
      </c>
      <c r="F1831">
        <v>18281</v>
      </c>
    </row>
    <row r="1832" spans="1:6">
      <c r="A1832" t="s">
        <v>2965</v>
      </c>
      <c r="B1832">
        <v>204</v>
      </c>
      <c r="C1832" t="s">
        <v>1136</v>
      </c>
      <c r="D1832">
        <v>83702</v>
      </c>
      <c r="E1832">
        <v>24268</v>
      </c>
      <c r="F1832">
        <v>18281</v>
      </c>
    </row>
    <row r="1833" spans="1:6">
      <c r="A1833" t="s">
        <v>2966</v>
      </c>
      <c r="B1833">
        <v>204</v>
      </c>
      <c r="C1833" t="s">
        <v>1138</v>
      </c>
      <c r="D1833">
        <v>25111</v>
      </c>
      <c r="E1833">
        <v>24268</v>
      </c>
      <c r="F1833">
        <v>18281</v>
      </c>
    </row>
    <row r="1834" spans="1:6">
      <c r="A1834" t="s">
        <v>2967</v>
      </c>
      <c r="B1834">
        <v>204</v>
      </c>
      <c r="C1834" t="s">
        <v>738</v>
      </c>
      <c r="D1834">
        <v>669612</v>
      </c>
      <c r="E1834">
        <v>24268</v>
      </c>
      <c r="F1834">
        <v>18281</v>
      </c>
    </row>
    <row r="1835" spans="1:6">
      <c r="A1835" t="s">
        <v>2968</v>
      </c>
      <c r="B1835">
        <v>204</v>
      </c>
      <c r="C1835" t="s">
        <v>1141</v>
      </c>
      <c r="D1835">
        <v>1506627</v>
      </c>
      <c r="E1835">
        <v>24268</v>
      </c>
      <c r="F1835">
        <v>18281</v>
      </c>
    </row>
    <row r="1836" spans="1:6">
      <c r="A1836" t="s">
        <v>2969</v>
      </c>
      <c r="B1836">
        <v>204</v>
      </c>
      <c r="C1836" t="s">
        <v>159</v>
      </c>
      <c r="D1836">
        <v>17750593</v>
      </c>
      <c r="E1836">
        <v>24268</v>
      </c>
      <c r="F1836">
        <v>18281</v>
      </c>
    </row>
    <row r="1837" spans="1:6">
      <c r="A1837" t="s">
        <v>2970</v>
      </c>
      <c r="B1837">
        <v>204</v>
      </c>
      <c r="C1837" t="s">
        <v>642</v>
      </c>
      <c r="D1837">
        <v>8875297</v>
      </c>
      <c r="E1837">
        <v>24268</v>
      </c>
      <c r="F1837">
        <v>18281</v>
      </c>
    </row>
    <row r="1838" spans="1:6">
      <c r="A1838" t="s">
        <v>2971</v>
      </c>
      <c r="B1838">
        <v>205</v>
      </c>
      <c r="C1838" t="s">
        <v>149</v>
      </c>
      <c r="D1838">
        <v>169427</v>
      </c>
      <c r="E1838">
        <v>24508</v>
      </c>
      <c r="F1838">
        <v>18390</v>
      </c>
    </row>
    <row r="1839" spans="1:6">
      <c r="A1839" t="s">
        <v>2972</v>
      </c>
      <c r="B1839">
        <v>205</v>
      </c>
      <c r="C1839" t="s">
        <v>1132</v>
      </c>
      <c r="D1839">
        <v>508281</v>
      </c>
      <c r="E1839">
        <v>24508</v>
      </c>
      <c r="F1839">
        <v>18390</v>
      </c>
    </row>
    <row r="1840" spans="1:6">
      <c r="A1840" t="s">
        <v>2973</v>
      </c>
      <c r="B1840">
        <v>205</v>
      </c>
      <c r="C1840" t="s">
        <v>1134</v>
      </c>
      <c r="D1840">
        <v>304969</v>
      </c>
      <c r="E1840">
        <v>24508</v>
      </c>
      <c r="F1840">
        <v>18390</v>
      </c>
    </row>
    <row r="1841" spans="1:6">
      <c r="A1841" t="s">
        <v>2974</v>
      </c>
      <c r="B1841">
        <v>205</v>
      </c>
      <c r="C1841" t="s">
        <v>1136</v>
      </c>
      <c r="D1841">
        <v>84714</v>
      </c>
      <c r="E1841">
        <v>24508</v>
      </c>
      <c r="F1841">
        <v>18390</v>
      </c>
    </row>
    <row r="1842" spans="1:6">
      <c r="A1842" t="s">
        <v>2975</v>
      </c>
      <c r="B1842">
        <v>205</v>
      </c>
      <c r="C1842" t="s">
        <v>1138</v>
      </c>
      <c r="D1842">
        <v>25415</v>
      </c>
      <c r="E1842">
        <v>24508</v>
      </c>
      <c r="F1842">
        <v>18390</v>
      </c>
    </row>
    <row r="1843" spans="1:6">
      <c r="A1843" t="s">
        <v>2976</v>
      </c>
      <c r="B1843">
        <v>205</v>
      </c>
      <c r="C1843" t="s">
        <v>738</v>
      </c>
      <c r="D1843">
        <v>677708</v>
      </c>
      <c r="E1843">
        <v>24508</v>
      </c>
      <c r="F1843">
        <v>18390</v>
      </c>
    </row>
    <row r="1844" spans="1:6">
      <c r="A1844" t="s">
        <v>2977</v>
      </c>
      <c r="B1844">
        <v>205</v>
      </c>
      <c r="C1844" t="s">
        <v>1141</v>
      </c>
      <c r="D1844">
        <v>1524843</v>
      </c>
      <c r="E1844">
        <v>24508</v>
      </c>
      <c r="F1844">
        <v>18390</v>
      </c>
    </row>
    <row r="1845" spans="1:6">
      <c r="A1845" t="s">
        <v>2978</v>
      </c>
      <c r="B1845">
        <v>205</v>
      </c>
      <c r="C1845" t="s">
        <v>159</v>
      </c>
      <c r="D1845">
        <v>17982230</v>
      </c>
      <c r="E1845">
        <v>24508</v>
      </c>
      <c r="F1845">
        <v>18390</v>
      </c>
    </row>
    <row r="1846" spans="1:6">
      <c r="A1846" t="s">
        <v>2979</v>
      </c>
      <c r="B1846">
        <v>205</v>
      </c>
      <c r="C1846" t="s">
        <v>642</v>
      </c>
      <c r="D1846">
        <v>8991115</v>
      </c>
      <c r="E1846">
        <v>24508</v>
      </c>
      <c r="F1846">
        <v>18390</v>
      </c>
    </row>
    <row r="1847" spans="1:6">
      <c r="A1847" t="s">
        <v>2980</v>
      </c>
      <c r="B1847">
        <v>206</v>
      </c>
      <c r="C1847" t="s">
        <v>149</v>
      </c>
      <c r="D1847">
        <v>171470</v>
      </c>
      <c r="E1847">
        <v>24751</v>
      </c>
      <c r="F1847">
        <v>18498</v>
      </c>
    </row>
    <row r="1848" spans="1:6">
      <c r="A1848" t="s">
        <v>2981</v>
      </c>
      <c r="B1848">
        <v>206</v>
      </c>
      <c r="C1848" t="s">
        <v>1132</v>
      </c>
      <c r="D1848">
        <v>514410</v>
      </c>
      <c r="E1848">
        <v>24751</v>
      </c>
      <c r="F1848">
        <v>18498</v>
      </c>
    </row>
    <row r="1849" spans="1:6">
      <c r="A1849" t="s">
        <v>2982</v>
      </c>
      <c r="B1849">
        <v>206</v>
      </c>
      <c r="C1849" t="s">
        <v>1134</v>
      </c>
      <c r="D1849">
        <v>308646</v>
      </c>
      <c r="E1849">
        <v>24751</v>
      </c>
      <c r="F1849">
        <v>18498</v>
      </c>
    </row>
    <row r="1850" spans="1:6">
      <c r="A1850" t="s">
        <v>2983</v>
      </c>
      <c r="B1850">
        <v>206</v>
      </c>
      <c r="C1850" t="s">
        <v>1136</v>
      </c>
      <c r="D1850">
        <v>85735</v>
      </c>
      <c r="E1850">
        <v>24751</v>
      </c>
      <c r="F1850">
        <v>18498</v>
      </c>
    </row>
    <row r="1851" spans="1:6">
      <c r="A1851" t="s">
        <v>2984</v>
      </c>
      <c r="B1851">
        <v>206</v>
      </c>
      <c r="C1851" t="s">
        <v>1138</v>
      </c>
      <c r="D1851">
        <v>25721</v>
      </c>
      <c r="E1851">
        <v>24751</v>
      </c>
      <c r="F1851">
        <v>18498</v>
      </c>
    </row>
    <row r="1852" spans="1:6">
      <c r="A1852" t="s">
        <v>2985</v>
      </c>
      <c r="B1852">
        <v>206</v>
      </c>
      <c r="C1852" t="s">
        <v>738</v>
      </c>
      <c r="D1852">
        <v>685880</v>
      </c>
      <c r="E1852">
        <v>24751</v>
      </c>
      <c r="F1852">
        <v>18498</v>
      </c>
    </row>
    <row r="1853" spans="1:6">
      <c r="A1853" t="s">
        <v>2986</v>
      </c>
      <c r="B1853">
        <v>206</v>
      </c>
      <c r="C1853" t="s">
        <v>1141</v>
      </c>
      <c r="D1853">
        <v>1543230</v>
      </c>
      <c r="E1853">
        <v>24751</v>
      </c>
      <c r="F1853">
        <v>18498</v>
      </c>
    </row>
    <row r="1854" spans="1:6">
      <c r="A1854" t="s">
        <v>2987</v>
      </c>
      <c r="B1854">
        <v>206</v>
      </c>
      <c r="C1854" t="s">
        <v>159</v>
      </c>
      <c r="D1854">
        <v>18216088</v>
      </c>
      <c r="E1854">
        <v>24751</v>
      </c>
      <c r="F1854">
        <v>18498</v>
      </c>
    </row>
    <row r="1855" spans="1:6">
      <c r="A1855" t="s">
        <v>2988</v>
      </c>
      <c r="B1855">
        <v>206</v>
      </c>
      <c r="C1855" t="s">
        <v>642</v>
      </c>
      <c r="D1855">
        <v>9108044</v>
      </c>
      <c r="E1855">
        <v>24751</v>
      </c>
      <c r="F1855">
        <v>18498</v>
      </c>
    </row>
    <row r="1856" spans="1:6">
      <c r="A1856" t="s">
        <v>2989</v>
      </c>
      <c r="B1856">
        <v>207</v>
      </c>
      <c r="C1856" t="s">
        <v>149</v>
      </c>
      <c r="D1856">
        <v>173530</v>
      </c>
      <c r="E1856">
        <v>24995</v>
      </c>
      <c r="F1856">
        <v>18607</v>
      </c>
    </row>
    <row r="1857" spans="1:6">
      <c r="A1857" t="s">
        <v>2990</v>
      </c>
      <c r="B1857">
        <v>207</v>
      </c>
      <c r="C1857" t="s">
        <v>1132</v>
      </c>
      <c r="D1857">
        <v>520590</v>
      </c>
      <c r="E1857">
        <v>24995</v>
      </c>
      <c r="F1857">
        <v>18607</v>
      </c>
    </row>
    <row r="1858" spans="1:6">
      <c r="A1858" t="s">
        <v>2991</v>
      </c>
      <c r="B1858">
        <v>207</v>
      </c>
      <c r="C1858" t="s">
        <v>1134</v>
      </c>
      <c r="D1858">
        <v>312354</v>
      </c>
      <c r="E1858">
        <v>24995</v>
      </c>
      <c r="F1858">
        <v>18607</v>
      </c>
    </row>
    <row r="1859" spans="1:6">
      <c r="A1859" t="s">
        <v>2992</v>
      </c>
      <c r="B1859">
        <v>207</v>
      </c>
      <c r="C1859" t="s">
        <v>1136</v>
      </c>
      <c r="D1859">
        <v>86765</v>
      </c>
      <c r="E1859">
        <v>24995</v>
      </c>
      <c r="F1859">
        <v>18607</v>
      </c>
    </row>
    <row r="1860" spans="1:6">
      <c r="A1860" t="s">
        <v>2993</v>
      </c>
      <c r="B1860">
        <v>207</v>
      </c>
      <c r="C1860" t="s">
        <v>1138</v>
      </c>
      <c r="D1860">
        <v>26030</v>
      </c>
      <c r="E1860">
        <v>24995</v>
      </c>
      <c r="F1860">
        <v>18607</v>
      </c>
    </row>
    <row r="1861" spans="1:6">
      <c r="A1861" t="s">
        <v>2994</v>
      </c>
      <c r="B1861">
        <v>207</v>
      </c>
      <c r="C1861" t="s">
        <v>738</v>
      </c>
      <c r="D1861">
        <v>694120</v>
      </c>
      <c r="E1861">
        <v>24995</v>
      </c>
      <c r="F1861">
        <v>18607</v>
      </c>
    </row>
    <row r="1862" spans="1:6">
      <c r="A1862" t="s">
        <v>2995</v>
      </c>
      <c r="B1862">
        <v>207</v>
      </c>
      <c r="C1862" t="s">
        <v>1141</v>
      </c>
      <c r="D1862">
        <v>1561770</v>
      </c>
      <c r="E1862">
        <v>24995</v>
      </c>
      <c r="F1862">
        <v>18607</v>
      </c>
    </row>
    <row r="1863" spans="1:6">
      <c r="A1863" t="s">
        <v>2996</v>
      </c>
      <c r="B1863">
        <v>207</v>
      </c>
      <c r="C1863" t="s">
        <v>159</v>
      </c>
      <c r="D1863">
        <v>18452227</v>
      </c>
      <c r="E1863">
        <v>24995</v>
      </c>
      <c r="F1863">
        <v>18607</v>
      </c>
    </row>
    <row r="1864" spans="1:6">
      <c r="A1864" t="s">
        <v>2997</v>
      </c>
      <c r="B1864">
        <v>207</v>
      </c>
      <c r="C1864" t="s">
        <v>642</v>
      </c>
      <c r="D1864">
        <v>9226113</v>
      </c>
      <c r="E1864">
        <v>24995</v>
      </c>
      <c r="F1864">
        <v>18607</v>
      </c>
    </row>
    <row r="1865" spans="1:6">
      <c r="A1865" t="s">
        <v>2998</v>
      </c>
      <c r="B1865">
        <v>208</v>
      </c>
      <c r="C1865" t="s">
        <v>149</v>
      </c>
      <c r="D1865">
        <v>175609</v>
      </c>
      <c r="E1865">
        <v>25240</v>
      </c>
      <c r="F1865">
        <v>18716</v>
      </c>
    </row>
    <row r="1866" spans="1:6">
      <c r="A1866" t="s">
        <v>2999</v>
      </c>
      <c r="B1866">
        <v>208</v>
      </c>
      <c r="C1866" t="s">
        <v>1132</v>
      </c>
      <c r="D1866">
        <v>526827</v>
      </c>
      <c r="E1866">
        <v>25240</v>
      </c>
      <c r="F1866">
        <v>18716</v>
      </c>
    </row>
    <row r="1867" spans="1:6">
      <c r="A1867" t="s">
        <v>3000</v>
      </c>
      <c r="B1867">
        <v>208</v>
      </c>
      <c r="C1867" t="s">
        <v>1134</v>
      </c>
      <c r="D1867">
        <v>316097</v>
      </c>
      <c r="E1867">
        <v>25240</v>
      </c>
      <c r="F1867">
        <v>18716</v>
      </c>
    </row>
    <row r="1868" spans="1:6">
      <c r="A1868" t="s">
        <v>3001</v>
      </c>
      <c r="B1868">
        <v>208</v>
      </c>
      <c r="C1868" t="s">
        <v>1136</v>
      </c>
      <c r="D1868">
        <v>87805</v>
      </c>
      <c r="E1868">
        <v>25240</v>
      </c>
      <c r="F1868">
        <v>18716</v>
      </c>
    </row>
    <row r="1869" spans="1:6">
      <c r="A1869" t="s">
        <v>3002</v>
      </c>
      <c r="B1869">
        <v>208</v>
      </c>
      <c r="C1869" t="s">
        <v>1138</v>
      </c>
      <c r="D1869">
        <v>26342</v>
      </c>
      <c r="E1869">
        <v>25240</v>
      </c>
      <c r="F1869">
        <v>18716</v>
      </c>
    </row>
    <row r="1870" spans="1:6">
      <c r="A1870" t="s">
        <v>3003</v>
      </c>
      <c r="B1870">
        <v>208</v>
      </c>
      <c r="C1870" t="s">
        <v>738</v>
      </c>
      <c r="D1870">
        <v>702436</v>
      </c>
      <c r="E1870">
        <v>25240</v>
      </c>
      <c r="F1870">
        <v>18716</v>
      </c>
    </row>
    <row r="1871" spans="1:6">
      <c r="A1871" t="s">
        <v>3004</v>
      </c>
      <c r="B1871">
        <v>208</v>
      </c>
      <c r="C1871" t="s">
        <v>1141</v>
      </c>
      <c r="D1871">
        <v>1580481</v>
      </c>
      <c r="E1871">
        <v>25240</v>
      </c>
      <c r="F1871">
        <v>18716</v>
      </c>
    </row>
    <row r="1872" spans="1:6">
      <c r="A1872" t="s">
        <v>3005</v>
      </c>
      <c r="B1872">
        <v>208</v>
      </c>
      <c r="C1872" t="s">
        <v>159</v>
      </c>
      <c r="D1872">
        <v>18690586</v>
      </c>
      <c r="E1872">
        <v>25240</v>
      </c>
      <c r="F1872">
        <v>18716</v>
      </c>
    </row>
    <row r="1873" spans="1:6">
      <c r="A1873" t="s">
        <v>3006</v>
      </c>
      <c r="B1873">
        <v>208</v>
      </c>
      <c r="C1873" t="s">
        <v>642</v>
      </c>
      <c r="D1873">
        <v>9345293</v>
      </c>
      <c r="E1873">
        <v>25240</v>
      </c>
      <c r="F1873">
        <v>18716</v>
      </c>
    </row>
    <row r="1874" spans="1:6">
      <c r="A1874" t="s">
        <v>3007</v>
      </c>
      <c r="B1874">
        <v>209</v>
      </c>
      <c r="C1874" t="s">
        <v>149</v>
      </c>
      <c r="D1874">
        <v>177706</v>
      </c>
      <c r="E1874">
        <v>25488</v>
      </c>
      <c r="F1874">
        <v>18826</v>
      </c>
    </row>
    <row r="1875" spans="1:6">
      <c r="A1875" t="s">
        <v>3008</v>
      </c>
      <c r="B1875">
        <v>209</v>
      </c>
      <c r="C1875" t="s">
        <v>1132</v>
      </c>
      <c r="D1875">
        <v>533118</v>
      </c>
      <c r="E1875">
        <v>25488</v>
      </c>
      <c r="F1875">
        <v>18826</v>
      </c>
    </row>
    <row r="1876" spans="1:6">
      <c r="A1876" t="s">
        <v>3009</v>
      </c>
      <c r="B1876">
        <v>209</v>
      </c>
      <c r="C1876" t="s">
        <v>1134</v>
      </c>
      <c r="D1876">
        <v>319871</v>
      </c>
      <c r="E1876">
        <v>25488</v>
      </c>
      <c r="F1876">
        <v>18826</v>
      </c>
    </row>
    <row r="1877" spans="1:6">
      <c r="A1877" t="s">
        <v>3010</v>
      </c>
      <c r="B1877">
        <v>209</v>
      </c>
      <c r="C1877" t="s">
        <v>1136</v>
      </c>
      <c r="D1877">
        <v>88853</v>
      </c>
      <c r="E1877">
        <v>25488</v>
      </c>
      <c r="F1877">
        <v>18826</v>
      </c>
    </row>
    <row r="1878" spans="1:6">
      <c r="A1878" t="s">
        <v>3011</v>
      </c>
      <c r="B1878">
        <v>209</v>
      </c>
      <c r="C1878" t="s">
        <v>1138</v>
      </c>
      <c r="D1878">
        <v>26656</v>
      </c>
      <c r="E1878">
        <v>25488</v>
      </c>
      <c r="F1878">
        <v>18826</v>
      </c>
    </row>
    <row r="1879" spans="1:6">
      <c r="A1879" t="s">
        <v>3012</v>
      </c>
      <c r="B1879">
        <v>209</v>
      </c>
      <c r="C1879" t="s">
        <v>738</v>
      </c>
      <c r="D1879">
        <v>710824</v>
      </c>
      <c r="E1879">
        <v>25488</v>
      </c>
      <c r="F1879">
        <v>18826</v>
      </c>
    </row>
    <row r="1880" spans="1:6">
      <c r="A1880" t="s">
        <v>3013</v>
      </c>
      <c r="B1880">
        <v>209</v>
      </c>
      <c r="C1880" t="s">
        <v>1141</v>
      </c>
      <c r="D1880">
        <v>1599354</v>
      </c>
      <c r="E1880">
        <v>25488</v>
      </c>
      <c r="F1880">
        <v>18826</v>
      </c>
    </row>
    <row r="1881" spans="1:6">
      <c r="A1881" t="s">
        <v>3014</v>
      </c>
      <c r="B1881">
        <v>209</v>
      </c>
      <c r="C1881" t="s">
        <v>159</v>
      </c>
      <c r="D1881">
        <v>18931286</v>
      </c>
      <c r="E1881">
        <v>25488</v>
      </c>
      <c r="F1881">
        <v>18826</v>
      </c>
    </row>
    <row r="1882" spans="1:6">
      <c r="A1882" t="s">
        <v>3015</v>
      </c>
      <c r="B1882">
        <v>209</v>
      </c>
      <c r="C1882" t="s">
        <v>642</v>
      </c>
      <c r="D1882">
        <v>9465643</v>
      </c>
      <c r="E1882">
        <v>25488</v>
      </c>
      <c r="F1882">
        <v>18826</v>
      </c>
    </row>
    <row r="1883" spans="1:6">
      <c r="A1883" t="s">
        <v>3016</v>
      </c>
      <c r="B1883">
        <v>210</v>
      </c>
      <c r="C1883" t="s">
        <v>149</v>
      </c>
      <c r="D1883">
        <v>179822</v>
      </c>
      <c r="E1883">
        <v>25736</v>
      </c>
      <c r="F1883">
        <v>18935</v>
      </c>
    </row>
    <row r="1884" spans="1:6">
      <c r="A1884" t="s">
        <v>3017</v>
      </c>
      <c r="B1884">
        <v>210</v>
      </c>
      <c r="C1884" t="s">
        <v>1132</v>
      </c>
      <c r="D1884">
        <v>539466</v>
      </c>
      <c r="E1884">
        <v>25736</v>
      </c>
      <c r="F1884">
        <v>18935</v>
      </c>
    </row>
    <row r="1885" spans="1:6">
      <c r="A1885" t="s">
        <v>3018</v>
      </c>
      <c r="B1885">
        <v>210</v>
      </c>
      <c r="C1885" t="s">
        <v>1134</v>
      </c>
      <c r="D1885">
        <v>323680</v>
      </c>
      <c r="E1885">
        <v>25736</v>
      </c>
      <c r="F1885">
        <v>18935</v>
      </c>
    </row>
    <row r="1886" spans="1:6">
      <c r="A1886" t="s">
        <v>3019</v>
      </c>
      <c r="B1886">
        <v>210</v>
      </c>
      <c r="C1886" t="s">
        <v>1136</v>
      </c>
      <c r="D1886">
        <v>89911</v>
      </c>
      <c r="E1886">
        <v>25736</v>
      </c>
      <c r="F1886">
        <v>18935</v>
      </c>
    </row>
    <row r="1887" spans="1:6">
      <c r="A1887" t="s">
        <v>3020</v>
      </c>
      <c r="B1887">
        <v>210</v>
      </c>
      <c r="C1887" t="s">
        <v>1138</v>
      </c>
      <c r="D1887">
        <v>26974</v>
      </c>
      <c r="E1887">
        <v>25736</v>
      </c>
      <c r="F1887">
        <v>18935</v>
      </c>
    </row>
    <row r="1888" spans="1:6">
      <c r="A1888" t="s">
        <v>3021</v>
      </c>
      <c r="B1888">
        <v>210</v>
      </c>
      <c r="C1888" t="s">
        <v>738</v>
      </c>
      <c r="D1888">
        <v>719288</v>
      </c>
      <c r="E1888">
        <v>25736</v>
      </c>
      <c r="F1888">
        <v>18935</v>
      </c>
    </row>
    <row r="1889" spans="1:6">
      <c r="A1889" t="s">
        <v>3022</v>
      </c>
      <c r="B1889">
        <v>210</v>
      </c>
      <c r="C1889" t="s">
        <v>1141</v>
      </c>
      <c r="D1889">
        <v>1618398</v>
      </c>
      <c r="E1889">
        <v>25736</v>
      </c>
      <c r="F1889">
        <v>18935</v>
      </c>
    </row>
    <row r="1890" spans="1:6">
      <c r="A1890" t="s">
        <v>3023</v>
      </c>
      <c r="B1890">
        <v>210</v>
      </c>
      <c r="C1890" t="s">
        <v>159</v>
      </c>
      <c r="D1890">
        <v>19174267</v>
      </c>
      <c r="E1890">
        <v>25736</v>
      </c>
      <c r="F1890">
        <v>18935</v>
      </c>
    </row>
    <row r="1891" spans="1:6">
      <c r="A1891" t="s">
        <v>3024</v>
      </c>
      <c r="B1891">
        <v>210</v>
      </c>
      <c r="C1891" t="s">
        <v>642</v>
      </c>
      <c r="D1891">
        <v>9587134</v>
      </c>
      <c r="E1891">
        <v>25736</v>
      </c>
      <c r="F1891">
        <v>18935</v>
      </c>
    </row>
    <row r="1892" spans="1:6">
      <c r="A1892" t="s">
        <v>3025</v>
      </c>
      <c r="B1892">
        <v>211</v>
      </c>
      <c r="C1892" t="s">
        <v>149</v>
      </c>
      <c r="D1892">
        <v>181956</v>
      </c>
      <c r="E1892">
        <v>25987</v>
      </c>
      <c r="F1892">
        <v>19045</v>
      </c>
    </row>
    <row r="1893" spans="1:6">
      <c r="A1893" t="s">
        <v>3026</v>
      </c>
      <c r="B1893">
        <v>211</v>
      </c>
      <c r="C1893" t="s">
        <v>1132</v>
      </c>
      <c r="D1893">
        <v>545868</v>
      </c>
      <c r="E1893">
        <v>25987</v>
      </c>
      <c r="F1893">
        <v>19045</v>
      </c>
    </row>
    <row r="1894" spans="1:6">
      <c r="A1894" t="s">
        <v>3027</v>
      </c>
      <c r="B1894">
        <v>211</v>
      </c>
      <c r="C1894" t="s">
        <v>1134</v>
      </c>
      <c r="D1894">
        <v>327521</v>
      </c>
      <c r="E1894">
        <v>25987</v>
      </c>
      <c r="F1894">
        <v>19045</v>
      </c>
    </row>
    <row r="1895" spans="1:6">
      <c r="A1895" t="s">
        <v>3028</v>
      </c>
      <c r="B1895">
        <v>211</v>
      </c>
      <c r="C1895" t="s">
        <v>1136</v>
      </c>
      <c r="D1895">
        <v>90978</v>
      </c>
      <c r="E1895">
        <v>25987</v>
      </c>
      <c r="F1895">
        <v>19045</v>
      </c>
    </row>
    <row r="1896" spans="1:6">
      <c r="A1896" t="s">
        <v>3029</v>
      </c>
      <c r="B1896">
        <v>211</v>
      </c>
      <c r="C1896" t="s">
        <v>1138</v>
      </c>
      <c r="D1896">
        <v>27294</v>
      </c>
      <c r="E1896">
        <v>25987</v>
      </c>
      <c r="F1896">
        <v>19045</v>
      </c>
    </row>
    <row r="1897" spans="1:6">
      <c r="A1897" t="s">
        <v>3030</v>
      </c>
      <c r="B1897">
        <v>211</v>
      </c>
      <c r="C1897" t="s">
        <v>738</v>
      </c>
      <c r="D1897">
        <v>727824</v>
      </c>
      <c r="E1897">
        <v>25987</v>
      </c>
      <c r="F1897">
        <v>19045</v>
      </c>
    </row>
    <row r="1898" spans="1:6">
      <c r="A1898" t="s">
        <v>3031</v>
      </c>
      <c r="B1898">
        <v>211</v>
      </c>
      <c r="C1898" t="s">
        <v>1141</v>
      </c>
      <c r="D1898">
        <v>1637604</v>
      </c>
      <c r="E1898">
        <v>25987</v>
      </c>
      <c r="F1898">
        <v>19045</v>
      </c>
    </row>
    <row r="1899" spans="1:6">
      <c r="A1899" t="s">
        <v>3032</v>
      </c>
      <c r="B1899">
        <v>211</v>
      </c>
      <c r="C1899" t="s">
        <v>159</v>
      </c>
      <c r="D1899">
        <v>19419529</v>
      </c>
      <c r="E1899">
        <v>25987</v>
      </c>
      <c r="F1899">
        <v>19045</v>
      </c>
    </row>
    <row r="1900" spans="1:6">
      <c r="A1900" t="s">
        <v>3033</v>
      </c>
      <c r="B1900">
        <v>211</v>
      </c>
      <c r="C1900" t="s">
        <v>642</v>
      </c>
      <c r="D1900">
        <v>9709764</v>
      </c>
      <c r="E1900">
        <v>25987</v>
      </c>
      <c r="F1900">
        <v>19045</v>
      </c>
    </row>
    <row r="1901" spans="1:6">
      <c r="A1901" t="s">
        <v>3034</v>
      </c>
      <c r="B1901">
        <v>212</v>
      </c>
      <c r="C1901" t="s">
        <v>149</v>
      </c>
      <c r="D1901">
        <v>184109</v>
      </c>
      <c r="E1901">
        <v>26239</v>
      </c>
      <c r="F1901">
        <v>19154</v>
      </c>
    </row>
    <row r="1902" spans="1:6">
      <c r="A1902" t="s">
        <v>3035</v>
      </c>
      <c r="B1902">
        <v>212</v>
      </c>
      <c r="C1902" t="s">
        <v>1132</v>
      </c>
      <c r="D1902">
        <v>552327</v>
      </c>
      <c r="E1902">
        <v>26239</v>
      </c>
      <c r="F1902">
        <v>19154</v>
      </c>
    </row>
    <row r="1903" spans="1:6">
      <c r="A1903" t="s">
        <v>3036</v>
      </c>
      <c r="B1903">
        <v>212</v>
      </c>
      <c r="C1903" t="s">
        <v>1134</v>
      </c>
      <c r="D1903">
        <v>331397</v>
      </c>
      <c r="E1903">
        <v>26239</v>
      </c>
      <c r="F1903">
        <v>19154</v>
      </c>
    </row>
    <row r="1904" spans="1:6">
      <c r="A1904" t="s">
        <v>3037</v>
      </c>
      <c r="B1904">
        <v>212</v>
      </c>
      <c r="C1904" t="s">
        <v>1136</v>
      </c>
      <c r="D1904">
        <v>92055</v>
      </c>
      <c r="E1904">
        <v>26239</v>
      </c>
      <c r="F1904">
        <v>19154</v>
      </c>
    </row>
    <row r="1905" spans="1:6">
      <c r="A1905" t="s">
        <v>3038</v>
      </c>
      <c r="B1905">
        <v>212</v>
      </c>
      <c r="C1905" t="s">
        <v>1138</v>
      </c>
      <c r="D1905">
        <v>27617</v>
      </c>
      <c r="E1905">
        <v>26239</v>
      </c>
      <c r="F1905">
        <v>19154</v>
      </c>
    </row>
    <row r="1906" spans="1:6">
      <c r="A1906" t="s">
        <v>3039</v>
      </c>
      <c r="B1906">
        <v>212</v>
      </c>
      <c r="C1906" t="s">
        <v>738</v>
      </c>
      <c r="D1906">
        <v>736436</v>
      </c>
      <c r="E1906">
        <v>26239</v>
      </c>
      <c r="F1906">
        <v>19154</v>
      </c>
    </row>
    <row r="1907" spans="1:6">
      <c r="A1907" t="s">
        <v>3040</v>
      </c>
      <c r="B1907">
        <v>212</v>
      </c>
      <c r="C1907" t="s">
        <v>1141</v>
      </c>
      <c r="D1907">
        <v>1656981</v>
      </c>
      <c r="E1907">
        <v>26239</v>
      </c>
      <c r="F1907">
        <v>19154</v>
      </c>
    </row>
    <row r="1908" spans="1:6">
      <c r="A1908" t="s">
        <v>3041</v>
      </c>
      <c r="B1908">
        <v>212</v>
      </c>
      <c r="C1908" t="s">
        <v>159</v>
      </c>
      <c r="D1908">
        <v>19667191</v>
      </c>
      <c r="E1908">
        <v>26239</v>
      </c>
      <c r="F1908">
        <v>19154</v>
      </c>
    </row>
    <row r="1909" spans="1:6">
      <c r="A1909" t="s">
        <v>3042</v>
      </c>
      <c r="B1909">
        <v>212</v>
      </c>
      <c r="C1909" t="s">
        <v>642</v>
      </c>
      <c r="D1909">
        <v>9833595</v>
      </c>
      <c r="E1909">
        <v>26239</v>
      </c>
      <c r="F1909">
        <v>19154</v>
      </c>
    </row>
    <row r="1910" spans="1:6">
      <c r="A1910" t="s">
        <v>3043</v>
      </c>
      <c r="B1910">
        <v>213</v>
      </c>
      <c r="C1910" t="s">
        <v>149</v>
      </c>
      <c r="D1910">
        <v>186281</v>
      </c>
      <c r="E1910">
        <v>26493</v>
      </c>
      <c r="F1910">
        <v>19264</v>
      </c>
    </row>
    <row r="1911" spans="1:6">
      <c r="A1911" t="s">
        <v>3044</v>
      </c>
      <c r="B1911">
        <v>213</v>
      </c>
      <c r="C1911" t="s">
        <v>1132</v>
      </c>
      <c r="D1911">
        <v>558843</v>
      </c>
      <c r="E1911">
        <v>26493</v>
      </c>
      <c r="F1911">
        <v>19264</v>
      </c>
    </row>
    <row r="1912" spans="1:6">
      <c r="A1912" t="s">
        <v>3045</v>
      </c>
      <c r="B1912">
        <v>213</v>
      </c>
      <c r="C1912" t="s">
        <v>1134</v>
      </c>
      <c r="D1912">
        <v>335306</v>
      </c>
      <c r="E1912">
        <v>26493</v>
      </c>
      <c r="F1912">
        <v>19264</v>
      </c>
    </row>
    <row r="1913" spans="1:6">
      <c r="A1913" t="s">
        <v>3046</v>
      </c>
      <c r="B1913">
        <v>213</v>
      </c>
      <c r="C1913" t="s">
        <v>1136</v>
      </c>
      <c r="D1913">
        <v>93141</v>
      </c>
      <c r="E1913">
        <v>26493</v>
      </c>
      <c r="F1913">
        <v>19264</v>
      </c>
    </row>
    <row r="1914" spans="1:6">
      <c r="A1914" t="s">
        <v>3047</v>
      </c>
      <c r="B1914">
        <v>213</v>
      </c>
      <c r="C1914" t="s">
        <v>1138</v>
      </c>
      <c r="D1914">
        <v>27943</v>
      </c>
      <c r="E1914">
        <v>26493</v>
      </c>
      <c r="F1914">
        <v>19264</v>
      </c>
    </row>
    <row r="1915" spans="1:6">
      <c r="A1915" t="s">
        <v>3048</v>
      </c>
      <c r="B1915">
        <v>213</v>
      </c>
      <c r="C1915" t="s">
        <v>738</v>
      </c>
      <c r="D1915">
        <v>745124</v>
      </c>
      <c r="E1915">
        <v>26493</v>
      </c>
      <c r="F1915">
        <v>19264</v>
      </c>
    </row>
    <row r="1916" spans="1:6">
      <c r="A1916" t="s">
        <v>3049</v>
      </c>
      <c r="B1916">
        <v>213</v>
      </c>
      <c r="C1916" t="s">
        <v>1141</v>
      </c>
      <c r="D1916">
        <v>1676529</v>
      </c>
      <c r="E1916">
        <v>26493</v>
      </c>
      <c r="F1916">
        <v>19264</v>
      </c>
    </row>
    <row r="1917" spans="1:6">
      <c r="A1917" t="s">
        <v>3050</v>
      </c>
      <c r="B1917">
        <v>213</v>
      </c>
      <c r="C1917" t="s">
        <v>159</v>
      </c>
      <c r="D1917">
        <v>19917134</v>
      </c>
      <c r="E1917">
        <v>26493</v>
      </c>
      <c r="F1917">
        <v>19264</v>
      </c>
    </row>
    <row r="1918" spans="1:6">
      <c r="A1918" t="s">
        <v>3051</v>
      </c>
      <c r="B1918">
        <v>213</v>
      </c>
      <c r="C1918" t="s">
        <v>642</v>
      </c>
      <c r="D1918">
        <v>9958567</v>
      </c>
      <c r="E1918">
        <v>26493</v>
      </c>
      <c r="F1918">
        <v>19264</v>
      </c>
    </row>
    <row r="1919" spans="1:6">
      <c r="A1919" t="s">
        <v>3052</v>
      </c>
      <c r="B1919">
        <v>214</v>
      </c>
      <c r="C1919" t="s">
        <v>149</v>
      </c>
      <c r="D1919">
        <v>188471</v>
      </c>
      <c r="E1919">
        <v>26748</v>
      </c>
      <c r="F1919">
        <v>19375</v>
      </c>
    </row>
    <row r="1920" spans="1:6">
      <c r="A1920" t="s">
        <v>3053</v>
      </c>
      <c r="B1920">
        <v>214</v>
      </c>
      <c r="C1920" t="s">
        <v>1132</v>
      </c>
      <c r="D1920">
        <v>565413</v>
      </c>
      <c r="E1920">
        <v>26748</v>
      </c>
      <c r="F1920">
        <v>19375</v>
      </c>
    </row>
    <row r="1921" spans="1:6">
      <c r="A1921" t="s">
        <v>3054</v>
      </c>
      <c r="B1921">
        <v>214</v>
      </c>
      <c r="C1921" t="s">
        <v>1134</v>
      </c>
      <c r="D1921">
        <v>339248</v>
      </c>
      <c r="E1921">
        <v>26748</v>
      </c>
      <c r="F1921">
        <v>19375</v>
      </c>
    </row>
    <row r="1922" spans="1:6">
      <c r="A1922" t="s">
        <v>3055</v>
      </c>
      <c r="B1922">
        <v>214</v>
      </c>
      <c r="C1922" t="s">
        <v>1136</v>
      </c>
      <c r="D1922">
        <v>94236</v>
      </c>
      <c r="E1922">
        <v>26748</v>
      </c>
      <c r="F1922">
        <v>19375</v>
      </c>
    </row>
    <row r="1923" spans="1:6">
      <c r="A1923" t="s">
        <v>3056</v>
      </c>
      <c r="B1923">
        <v>214</v>
      </c>
      <c r="C1923" t="s">
        <v>1138</v>
      </c>
      <c r="D1923">
        <v>28271</v>
      </c>
      <c r="E1923">
        <v>26748</v>
      </c>
      <c r="F1923">
        <v>19375</v>
      </c>
    </row>
    <row r="1924" spans="1:6">
      <c r="A1924" t="s">
        <v>3057</v>
      </c>
      <c r="B1924">
        <v>214</v>
      </c>
      <c r="C1924" t="s">
        <v>738</v>
      </c>
      <c r="D1924">
        <v>753884</v>
      </c>
      <c r="E1924">
        <v>26748</v>
      </c>
      <c r="F1924">
        <v>19375</v>
      </c>
    </row>
    <row r="1925" spans="1:6">
      <c r="A1925" t="s">
        <v>3058</v>
      </c>
      <c r="B1925">
        <v>214</v>
      </c>
      <c r="C1925" t="s">
        <v>1141</v>
      </c>
      <c r="D1925">
        <v>1696239</v>
      </c>
      <c r="E1925">
        <v>26748</v>
      </c>
      <c r="F1925">
        <v>19375</v>
      </c>
    </row>
    <row r="1926" spans="1:6">
      <c r="A1926" t="s">
        <v>3059</v>
      </c>
      <c r="B1926">
        <v>214</v>
      </c>
      <c r="C1926" t="s">
        <v>159</v>
      </c>
      <c r="D1926">
        <v>20169477</v>
      </c>
      <c r="E1926">
        <v>26748</v>
      </c>
      <c r="F1926">
        <v>19375</v>
      </c>
    </row>
    <row r="1927" spans="1:6">
      <c r="A1927" t="s">
        <v>3060</v>
      </c>
      <c r="B1927">
        <v>214</v>
      </c>
      <c r="C1927" t="s">
        <v>642</v>
      </c>
      <c r="D1927">
        <v>10084739</v>
      </c>
      <c r="E1927">
        <v>26748</v>
      </c>
      <c r="F1927">
        <v>19375</v>
      </c>
    </row>
    <row r="1928" spans="1:6">
      <c r="A1928" t="s">
        <v>3061</v>
      </c>
      <c r="B1928">
        <v>215</v>
      </c>
      <c r="C1928" t="s">
        <v>149</v>
      </c>
      <c r="D1928">
        <v>190681</v>
      </c>
      <c r="E1928">
        <v>27005</v>
      </c>
      <c r="F1928">
        <v>19485</v>
      </c>
    </row>
    <row r="1929" spans="1:6">
      <c r="A1929" t="s">
        <v>3062</v>
      </c>
      <c r="B1929">
        <v>215</v>
      </c>
      <c r="C1929" t="s">
        <v>1132</v>
      </c>
      <c r="D1929">
        <v>572043</v>
      </c>
      <c r="E1929">
        <v>27005</v>
      </c>
      <c r="F1929">
        <v>19485</v>
      </c>
    </row>
    <row r="1930" spans="1:6">
      <c r="A1930" t="s">
        <v>3063</v>
      </c>
      <c r="B1930">
        <v>215</v>
      </c>
      <c r="C1930" t="s">
        <v>1134</v>
      </c>
      <c r="D1930">
        <v>343226</v>
      </c>
      <c r="E1930">
        <v>27005</v>
      </c>
      <c r="F1930">
        <v>19485</v>
      </c>
    </row>
    <row r="1931" spans="1:6">
      <c r="A1931" t="s">
        <v>3064</v>
      </c>
      <c r="B1931">
        <v>215</v>
      </c>
      <c r="C1931" t="s">
        <v>1136</v>
      </c>
      <c r="D1931">
        <v>95341</v>
      </c>
      <c r="E1931">
        <v>27005</v>
      </c>
      <c r="F1931">
        <v>19485</v>
      </c>
    </row>
    <row r="1932" spans="1:6">
      <c r="A1932" t="s">
        <v>3065</v>
      </c>
      <c r="B1932">
        <v>215</v>
      </c>
      <c r="C1932" t="s">
        <v>1138</v>
      </c>
      <c r="D1932">
        <v>28603</v>
      </c>
      <c r="E1932">
        <v>27005</v>
      </c>
      <c r="F1932">
        <v>19485</v>
      </c>
    </row>
    <row r="1933" spans="1:6">
      <c r="A1933" t="s">
        <v>3066</v>
      </c>
      <c r="B1933">
        <v>215</v>
      </c>
      <c r="C1933" t="s">
        <v>738</v>
      </c>
      <c r="D1933">
        <v>762724</v>
      </c>
      <c r="E1933">
        <v>27005</v>
      </c>
      <c r="F1933">
        <v>19485</v>
      </c>
    </row>
    <row r="1934" spans="1:6">
      <c r="A1934" t="s">
        <v>3067</v>
      </c>
      <c r="B1934">
        <v>215</v>
      </c>
      <c r="C1934" t="s">
        <v>1141</v>
      </c>
      <c r="D1934">
        <v>1716129</v>
      </c>
      <c r="E1934">
        <v>27005</v>
      </c>
      <c r="F1934">
        <v>19485</v>
      </c>
    </row>
    <row r="1935" spans="1:6">
      <c r="A1935" t="s">
        <v>3068</v>
      </c>
      <c r="B1935">
        <v>215</v>
      </c>
      <c r="C1935" t="s">
        <v>159</v>
      </c>
      <c r="D1935">
        <v>20424222</v>
      </c>
      <c r="E1935">
        <v>27005</v>
      </c>
      <c r="F1935">
        <v>19485</v>
      </c>
    </row>
    <row r="1936" spans="1:6">
      <c r="A1936" t="s">
        <v>3069</v>
      </c>
      <c r="B1936">
        <v>215</v>
      </c>
      <c r="C1936" t="s">
        <v>642</v>
      </c>
      <c r="D1936">
        <v>10212111</v>
      </c>
      <c r="E1936">
        <v>27005</v>
      </c>
      <c r="F1936">
        <v>19485</v>
      </c>
    </row>
    <row r="1937" spans="1:6">
      <c r="A1937" t="s">
        <v>3070</v>
      </c>
      <c r="B1937">
        <v>216</v>
      </c>
      <c r="C1937" t="s">
        <v>149</v>
      </c>
      <c r="D1937">
        <v>192910</v>
      </c>
      <c r="E1937">
        <v>27263</v>
      </c>
      <c r="F1937">
        <v>19595</v>
      </c>
    </row>
    <row r="1938" spans="1:6">
      <c r="A1938" t="s">
        <v>3071</v>
      </c>
      <c r="B1938">
        <v>216</v>
      </c>
      <c r="C1938" t="s">
        <v>1132</v>
      </c>
      <c r="D1938">
        <v>578730</v>
      </c>
      <c r="E1938">
        <v>27263</v>
      </c>
      <c r="F1938">
        <v>19595</v>
      </c>
    </row>
    <row r="1939" spans="1:6">
      <c r="A1939" t="s">
        <v>3072</v>
      </c>
      <c r="B1939">
        <v>216</v>
      </c>
      <c r="C1939" t="s">
        <v>1134</v>
      </c>
      <c r="D1939">
        <v>347238</v>
      </c>
      <c r="E1939">
        <v>27263</v>
      </c>
      <c r="F1939">
        <v>19595</v>
      </c>
    </row>
    <row r="1940" spans="1:6">
      <c r="A1940" t="s">
        <v>3073</v>
      </c>
      <c r="B1940">
        <v>216</v>
      </c>
      <c r="C1940" t="s">
        <v>1136</v>
      </c>
      <c r="D1940">
        <v>96455</v>
      </c>
      <c r="E1940">
        <v>27263</v>
      </c>
      <c r="F1940">
        <v>19595</v>
      </c>
    </row>
    <row r="1941" spans="1:6">
      <c r="A1941" t="s">
        <v>3074</v>
      </c>
      <c r="B1941">
        <v>216</v>
      </c>
      <c r="C1941" t="s">
        <v>1138</v>
      </c>
      <c r="D1941">
        <v>28937</v>
      </c>
      <c r="E1941">
        <v>27263</v>
      </c>
      <c r="F1941">
        <v>19595</v>
      </c>
    </row>
    <row r="1942" spans="1:6">
      <c r="A1942" t="s">
        <v>3075</v>
      </c>
      <c r="B1942">
        <v>216</v>
      </c>
      <c r="C1942" t="s">
        <v>738</v>
      </c>
      <c r="D1942">
        <v>771640</v>
      </c>
      <c r="E1942">
        <v>27263</v>
      </c>
      <c r="F1942">
        <v>19595</v>
      </c>
    </row>
    <row r="1943" spans="1:6">
      <c r="A1943" t="s">
        <v>3076</v>
      </c>
      <c r="B1943">
        <v>216</v>
      </c>
      <c r="C1943" t="s">
        <v>1141</v>
      </c>
      <c r="D1943">
        <v>1736190</v>
      </c>
      <c r="E1943">
        <v>27263</v>
      </c>
      <c r="F1943">
        <v>19595</v>
      </c>
    </row>
    <row r="1944" spans="1:6">
      <c r="A1944" t="s">
        <v>3077</v>
      </c>
      <c r="B1944">
        <v>216</v>
      </c>
      <c r="C1944" t="s">
        <v>159</v>
      </c>
      <c r="D1944">
        <v>20681366</v>
      </c>
      <c r="E1944">
        <v>27263</v>
      </c>
      <c r="F1944">
        <v>19595</v>
      </c>
    </row>
    <row r="1945" spans="1:6">
      <c r="A1945" t="s">
        <v>3078</v>
      </c>
      <c r="B1945">
        <v>216</v>
      </c>
      <c r="C1945" t="s">
        <v>642</v>
      </c>
      <c r="D1945">
        <v>10340683</v>
      </c>
      <c r="E1945">
        <v>27263</v>
      </c>
      <c r="F1945">
        <v>19595</v>
      </c>
    </row>
    <row r="1946" spans="1:6">
      <c r="A1946" t="s">
        <v>3079</v>
      </c>
      <c r="B1946">
        <v>217</v>
      </c>
      <c r="C1946" t="s">
        <v>149</v>
      </c>
      <c r="D1946">
        <v>195158</v>
      </c>
      <c r="E1946">
        <v>27524</v>
      </c>
      <c r="F1946">
        <v>19706</v>
      </c>
    </row>
    <row r="1947" spans="1:6">
      <c r="A1947" t="s">
        <v>3080</v>
      </c>
      <c r="B1947">
        <v>217</v>
      </c>
      <c r="C1947" t="s">
        <v>1132</v>
      </c>
      <c r="D1947">
        <v>585474</v>
      </c>
      <c r="E1947">
        <v>27524</v>
      </c>
      <c r="F1947">
        <v>19706</v>
      </c>
    </row>
    <row r="1948" spans="1:6">
      <c r="A1948" t="s">
        <v>3081</v>
      </c>
      <c r="B1948">
        <v>217</v>
      </c>
      <c r="C1948" t="s">
        <v>1134</v>
      </c>
      <c r="D1948">
        <v>351285</v>
      </c>
      <c r="E1948">
        <v>27524</v>
      </c>
      <c r="F1948">
        <v>19706</v>
      </c>
    </row>
    <row r="1949" spans="1:6">
      <c r="A1949" t="s">
        <v>3082</v>
      </c>
      <c r="B1949">
        <v>217</v>
      </c>
      <c r="C1949" t="s">
        <v>1136</v>
      </c>
      <c r="D1949">
        <v>97579</v>
      </c>
      <c r="E1949">
        <v>27524</v>
      </c>
      <c r="F1949">
        <v>19706</v>
      </c>
    </row>
    <row r="1950" spans="1:6">
      <c r="A1950" t="s">
        <v>3083</v>
      </c>
      <c r="B1950">
        <v>217</v>
      </c>
      <c r="C1950" t="s">
        <v>1138</v>
      </c>
      <c r="D1950">
        <v>29274</v>
      </c>
      <c r="E1950">
        <v>27524</v>
      </c>
      <c r="F1950">
        <v>19706</v>
      </c>
    </row>
    <row r="1951" spans="1:6">
      <c r="A1951" t="s">
        <v>3084</v>
      </c>
      <c r="B1951">
        <v>217</v>
      </c>
      <c r="C1951" t="s">
        <v>738</v>
      </c>
      <c r="D1951">
        <v>780632</v>
      </c>
      <c r="E1951">
        <v>27524</v>
      </c>
      <c r="F1951">
        <v>19706</v>
      </c>
    </row>
    <row r="1952" spans="1:6">
      <c r="A1952" t="s">
        <v>3085</v>
      </c>
      <c r="B1952">
        <v>217</v>
      </c>
      <c r="C1952" t="s">
        <v>1141</v>
      </c>
      <c r="D1952">
        <v>1756422</v>
      </c>
      <c r="E1952">
        <v>27524</v>
      </c>
      <c r="F1952">
        <v>19706</v>
      </c>
    </row>
    <row r="1953" spans="1:6">
      <c r="A1953" t="s">
        <v>3086</v>
      </c>
      <c r="B1953">
        <v>217</v>
      </c>
      <c r="C1953" t="s">
        <v>159</v>
      </c>
      <c r="D1953">
        <v>20940912</v>
      </c>
      <c r="E1953">
        <v>27524</v>
      </c>
      <c r="F1953">
        <v>19706</v>
      </c>
    </row>
    <row r="1954" spans="1:6">
      <c r="A1954" t="s">
        <v>3087</v>
      </c>
      <c r="B1954">
        <v>217</v>
      </c>
      <c r="C1954" t="s">
        <v>642</v>
      </c>
      <c r="D1954">
        <v>10470456</v>
      </c>
      <c r="E1954">
        <v>27524</v>
      </c>
      <c r="F1954">
        <v>19706</v>
      </c>
    </row>
    <row r="1955" spans="1:6">
      <c r="A1955" t="s">
        <v>3088</v>
      </c>
      <c r="B1955">
        <v>218</v>
      </c>
      <c r="C1955" t="s">
        <v>149</v>
      </c>
      <c r="D1955">
        <v>197426</v>
      </c>
      <c r="E1955">
        <v>27786</v>
      </c>
      <c r="F1955">
        <v>19817</v>
      </c>
    </row>
    <row r="1956" spans="1:6">
      <c r="A1956" t="s">
        <v>3089</v>
      </c>
      <c r="B1956">
        <v>218</v>
      </c>
      <c r="C1956" t="s">
        <v>1132</v>
      </c>
      <c r="D1956">
        <v>592278</v>
      </c>
      <c r="E1956">
        <v>27786</v>
      </c>
      <c r="F1956">
        <v>19817</v>
      </c>
    </row>
    <row r="1957" spans="1:6">
      <c r="A1957" t="s">
        <v>3090</v>
      </c>
      <c r="B1957">
        <v>218</v>
      </c>
      <c r="C1957" t="s">
        <v>1134</v>
      </c>
      <c r="D1957">
        <v>355367</v>
      </c>
      <c r="E1957">
        <v>27786</v>
      </c>
      <c r="F1957">
        <v>19817</v>
      </c>
    </row>
    <row r="1958" spans="1:6">
      <c r="A1958" t="s">
        <v>3091</v>
      </c>
      <c r="B1958">
        <v>218</v>
      </c>
      <c r="C1958" t="s">
        <v>1136</v>
      </c>
      <c r="D1958">
        <v>98713</v>
      </c>
      <c r="E1958">
        <v>27786</v>
      </c>
      <c r="F1958">
        <v>19817</v>
      </c>
    </row>
    <row r="1959" spans="1:6">
      <c r="A1959" t="s">
        <v>3092</v>
      </c>
      <c r="B1959">
        <v>218</v>
      </c>
      <c r="C1959" t="s">
        <v>1138</v>
      </c>
      <c r="D1959">
        <v>29614</v>
      </c>
      <c r="E1959">
        <v>27786</v>
      </c>
      <c r="F1959">
        <v>19817</v>
      </c>
    </row>
    <row r="1960" spans="1:6">
      <c r="A1960" t="s">
        <v>3093</v>
      </c>
      <c r="B1960">
        <v>218</v>
      </c>
      <c r="C1960" t="s">
        <v>738</v>
      </c>
      <c r="D1960">
        <v>789704</v>
      </c>
      <c r="E1960">
        <v>27786</v>
      </c>
      <c r="F1960">
        <v>19817</v>
      </c>
    </row>
    <row r="1961" spans="1:6">
      <c r="A1961" t="s">
        <v>3094</v>
      </c>
      <c r="B1961">
        <v>218</v>
      </c>
      <c r="C1961" t="s">
        <v>1141</v>
      </c>
      <c r="D1961">
        <v>1776834</v>
      </c>
      <c r="E1961">
        <v>27786</v>
      </c>
      <c r="F1961">
        <v>19817</v>
      </c>
    </row>
    <row r="1962" spans="1:6">
      <c r="A1962" t="s">
        <v>3095</v>
      </c>
      <c r="B1962">
        <v>218</v>
      </c>
      <c r="C1962" t="s">
        <v>159</v>
      </c>
      <c r="D1962">
        <v>21202917</v>
      </c>
      <c r="E1962">
        <v>27786</v>
      </c>
      <c r="F1962">
        <v>19817</v>
      </c>
    </row>
    <row r="1963" spans="1:6">
      <c r="A1963" t="s">
        <v>3096</v>
      </c>
      <c r="B1963">
        <v>218</v>
      </c>
      <c r="C1963" t="s">
        <v>642</v>
      </c>
      <c r="D1963">
        <v>10601459</v>
      </c>
      <c r="E1963">
        <v>27786</v>
      </c>
      <c r="F1963">
        <v>19817</v>
      </c>
    </row>
    <row r="1964" spans="1:6">
      <c r="A1964" t="s">
        <v>3097</v>
      </c>
      <c r="B1964">
        <v>219</v>
      </c>
      <c r="C1964" t="s">
        <v>149</v>
      </c>
      <c r="D1964">
        <v>199713</v>
      </c>
      <c r="E1964">
        <v>28049</v>
      </c>
      <c r="F1964">
        <v>19928</v>
      </c>
    </row>
    <row r="1965" spans="1:6">
      <c r="A1965" t="s">
        <v>3098</v>
      </c>
      <c r="B1965">
        <v>219</v>
      </c>
      <c r="C1965" t="s">
        <v>1132</v>
      </c>
      <c r="D1965">
        <v>599139</v>
      </c>
      <c r="E1965">
        <v>28049</v>
      </c>
      <c r="F1965">
        <v>19928</v>
      </c>
    </row>
    <row r="1966" spans="1:6">
      <c r="A1966" t="s">
        <v>3099</v>
      </c>
      <c r="B1966">
        <v>219</v>
      </c>
      <c r="C1966" t="s">
        <v>1134</v>
      </c>
      <c r="D1966">
        <v>359484</v>
      </c>
      <c r="E1966">
        <v>28049</v>
      </c>
      <c r="F1966">
        <v>19928</v>
      </c>
    </row>
    <row r="1967" spans="1:6">
      <c r="A1967" t="s">
        <v>3100</v>
      </c>
      <c r="B1967">
        <v>219</v>
      </c>
      <c r="C1967" t="s">
        <v>1136</v>
      </c>
      <c r="D1967">
        <v>99857</v>
      </c>
      <c r="E1967">
        <v>28049</v>
      </c>
      <c r="F1967">
        <v>19928</v>
      </c>
    </row>
    <row r="1968" spans="1:6">
      <c r="A1968" t="s">
        <v>3101</v>
      </c>
      <c r="B1968">
        <v>219</v>
      </c>
      <c r="C1968" t="s">
        <v>1138</v>
      </c>
      <c r="D1968">
        <v>29957</v>
      </c>
      <c r="E1968">
        <v>28049</v>
      </c>
      <c r="F1968">
        <v>19928</v>
      </c>
    </row>
    <row r="1969" spans="1:6">
      <c r="A1969" t="s">
        <v>3102</v>
      </c>
      <c r="B1969">
        <v>219</v>
      </c>
      <c r="C1969" t="s">
        <v>738</v>
      </c>
      <c r="D1969">
        <v>798852</v>
      </c>
      <c r="E1969">
        <v>28049</v>
      </c>
      <c r="F1969">
        <v>19928</v>
      </c>
    </row>
    <row r="1970" spans="1:6">
      <c r="A1970" t="s">
        <v>3103</v>
      </c>
      <c r="B1970">
        <v>219</v>
      </c>
      <c r="C1970" t="s">
        <v>1141</v>
      </c>
      <c r="D1970">
        <v>1797417</v>
      </c>
      <c r="E1970">
        <v>28049</v>
      </c>
      <c r="F1970">
        <v>19928</v>
      </c>
    </row>
    <row r="1971" spans="1:6">
      <c r="A1971" t="s">
        <v>3104</v>
      </c>
      <c r="B1971">
        <v>219</v>
      </c>
      <c r="C1971" t="s">
        <v>159</v>
      </c>
      <c r="D1971">
        <v>21467324</v>
      </c>
      <c r="E1971">
        <v>28049</v>
      </c>
      <c r="F1971">
        <v>19928</v>
      </c>
    </row>
    <row r="1972" spans="1:6">
      <c r="A1972" t="s">
        <v>3105</v>
      </c>
      <c r="B1972">
        <v>219</v>
      </c>
      <c r="C1972" t="s">
        <v>642</v>
      </c>
      <c r="D1972">
        <v>10733662</v>
      </c>
      <c r="E1972">
        <v>28049</v>
      </c>
      <c r="F1972">
        <v>19928</v>
      </c>
    </row>
    <row r="1973" spans="1:6">
      <c r="A1973" t="s">
        <v>3106</v>
      </c>
      <c r="B1973">
        <v>220</v>
      </c>
      <c r="C1973" t="s">
        <v>149</v>
      </c>
      <c r="D1973">
        <v>202020</v>
      </c>
      <c r="E1973">
        <v>28315</v>
      </c>
      <c r="F1973">
        <v>20039</v>
      </c>
    </row>
    <row r="1974" spans="1:6">
      <c r="A1974" t="s">
        <v>3107</v>
      </c>
      <c r="B1974">
        <v>220</v>
      </c>
      <c r="C1974" t="s">
        <v>1132</v>
      </c>
      <c r="D1974">
        <v>606060</v>
      </c>
      <c r="E1974">
        <v>28315</v>
      </c>
      <c r="F1974">
        <v>20039</v>
      </c>
    </row>
    <row r="1975" spans="1:6">
      <c r="A1975" t="s">
        <v>3108</v>
      </c>
      <c r="B1975">
        <v>220</v>
      </c>
      <c r="C1975" t="s">
        <v>1134</v>
      </c>
      <c r="D1975">
        <v>363636</v>
      </c>
      <c r="E1975">
        <v>28315</v>
      </c>
      <c r="F1975">
        <v>20039</v>
      </c>
    </row>
    <row r="1976" spans="1:6">
      <c r="A1976" t="s">
        <v>3109</v>
      </c>
      <c r="B1976">
        <v>220</v>
      </c>
      <c r="C1976" t="s">
        <v>1136</v>
      </c>
      <c r="D1976">
        <v>101010</v>
      </c>
      <c r="E1976">
        <v>28315</v>
      </c>
      <c r="F1976">
        <v>20039</v>
      </c>
    </row>
    <row r="1977" spans="1:6">
      <c r="A1977" t="s">
        <v>3110</v>
      </c>
      <c r="B1977">
        <v>220</v>
      </c>
      <c r="C1977" t="s">
        <v>1138</v>
      </c>
      <c r="D1977">
        <v>30303</v>
      </c>
      <c r="E1977">
        <v>28315</v>
      </c>
      <c r="F1977">
        <v>20039</v>
      </c>
    </row>
    <row r="1978" spans="1:6">
      <c r="A1978" t="s">
        <v>3111</v>
      </c>
      <c r="B1978">
        <v>220</v>
      </c>
      <c r="C1978" t="s">
        <v>738</v>
      </c>
      <c r="D1978">
        <v>808080</v>
      </c>
      <c r="E1978">
        <v>28315</v>
      </c>
      <c r="F1978">
        <v>20039</v>
      </c>
    </row>
    <row r="1979" spans="1:6">
      <c r="A1979" t="s">
        <v>3112</v>
      </c>
      <c r="B1979">
        <v>220</v>
      </c>
      <c r="C1979" t="s">
        <v>1141</v>
      </c>
      <c r="D1979">
        <v>1818180</v>
      </c>
      <c r="E1979">
        <v>28315</v>
      </c>
      <c r="F1979">
        <v>20039</v>
      </c>
    </row>
    <row r="1980" spans="1:6">
      <c r="A1980" t="s">
        <v>3113</v>
      </c>
      <c r="B1980">
        <v>220</v>
      </c>
      <c r="C1980" t="s">
        <v>159</v>
      </c>
      <c r="D1980">
        <v>21734251</v>
      </c>
      <c r="E1980">
        <v>28315</v>
      </c>
      <c r="F1980">
        <v>20039</v>
      </c>
    </row>
    <row r="1981" spans="1:6">
      <c r="A1981" t="s">
        <v>3114</v>
      </c>
      <c r="B1981">
        <v>220</v>
      </c>
      <c r="C1981" t="s">
        <v>642</v>
      </c>
      <c r="D1981">
        <v>10867125</v>
      </c>
      <c r="E1981">
        <v>28315</v>
      </c>
      <c r="F1981">
        <v>20039</v>
      </c>
    </row>
    <row r="1982" spans="1:6">
      <c r="A1982" t="s">
        <v>3115</v>
      </c>
      <c r="B1982">
        <v>221</v>
      </c>
      <c r="C1982" t="s">
        <v>149</v>
      </c>
      <c r="D1982">
        <v>204347</v>
      </c>
      <c r="E1982">
        <v>28581</v>
      </c>
      <c r="F1982">
        <v>20151</v>
      </c>
    </row>
    <row r="1983" spans="1:6">
      <c r="A1983" t="s">
        <v>3116</v>
      </c>
      <c r="B1983">
        <v>221</v>
      </c>
      <c r="C1983" t="s">
        <v>1132</v>
      </c>
      <c r="D1983">
        <v>613041</v>
      </c>
      <c r="E1983">
        <v>28581</v>
      </c>
      <c r="F1983">
        <v>20151</v>
      </c>
    </row>
    <row r="1984" spans="1:6">
      <c r="A1984" t="s">
        <v>3117</v>
      </c>
      <c r="B1984">
        <v>221</v>
      </c>
      <c r="C1984" t="s">
        <v>1134</v>
      </c>
      <c r="D1984">
        <v>367825</v>
      </c>
      <c r="E1984">
        <v>28581</v>
      </c>
      <c r="F1984">
        <v>20151</v>
      </c>
    </row>
    <row r="1985" spans="1:6">
      <c r="A1985" t="s">
        <v>3118</v>
      </c>
      <c r="B1985">
        <v>221</v>
      </c>
      <c r="C1985" t="s">
        <v>1136</v>
      </c>
      <c r="D1985">
        <v>102174</v>
      </c>
      <c r="E1985">
        <v>28581</v>
      </c>
      <c r="F1985">
        <v>20151</v>
      </c>
    </row>
    <row r="1986" spans="1:6">
      <c r="A1986" t="s">
        <v>3119</v>
      </c>
      <c r="B1986">
        <v>221</v>
      </c>
      <c r="C1986" t="s">
        <v>1138</v>
      </c>
      <c r="D1986">
        <v>30653</v>
      </c>
      <c r="E1986">
        <v>28581</v>
      </c>
      <c r="F1986">
        <v>20151</v>
      </c>
    </row>
    <row r="1987" spans="1:6">
      <c r="A1987" t="s">
        <v>3120</v>
      </c>
      <c r="B1987">
        <v>221</v>
      </c>
      <c r="C1987" t="s">
        <v>738</v>
      </c>
      <c r="D1987">
        <v>817388</v>
      </c>
      <c r="E1987">
        <v>28581</v>
      </c>
      <c r="F1987">
        <v>20151</v>
      </c>
    </row>
    <row r="1988" spans="1:6">
      <c r="A1988" t="s">
        <v>3121</v>
      </c>
      <c r="B1988">
        <v>221</v>
      </c>
      <c r="C1988" t="s">
        <v>1141</v>
      </c>
      <c r="D1988">
        <v>1839123</v>
      </c>
      <c r="E1988">
        <v>28581</v>
      </c>
      <c r="F1988">
        <v>20151</v>
      </c>
    </row>
    <row r="1989" spans="1:6">
      <c r="A1989" t="s">
        <v>3122</v>
      </c>
      <c r="B1989">
        <v>221</v>
      </c>
      <c r="C1989" t="s">
        <v>159</v>
      </c>
      <c r="D1989">
        <v>22003638</v>
      </c>
      <c r="E1989">
        <v>28581</v>
      </c>
      <c r="F1989">
        <v>20151</v>
      </c>
    </row>
    <row r="1990" spans="1:6">
      <c r="A1990" t="s">
        <v>3123</v>
      </c>
      <c r="B1990">
        <v>221</v>
      </c>
      <c r="C1990" t="s">
        <v>642</v>
      </c>
      <c r="D1990">
        <v>11001819</v>
      </c>
      <c r="E1990">
        <v>28581</v>
      </c>
      <c r="F1990">
        <v>20151</v>
      </c>
    </row>
    <row r="1991" spans="1:6">
      <c r="A1991" t="s">
        <v>3124</v>
      </c>
      <c r="B1991">
        <v>222</v>
      </c>
      <c r="C1991" t="s">
        <v>149</v>
      </c>
      <c r="D1991">
        <v>206694</v>
      </c>
      <c r="E1991">
        <v>28850</v>
      </c>
      <c r="F1991">
        <v>20262</v>
      </c>
    </row>
    <row r="1992" spans="1:6">
      <c r="A1992" t="s">
        <v>3125</v>
      </c>
      <c r="B1992">
        <v>222</v>
      </c>
      <c r="C1992" t="s">
        <v>1132</v>
      </c>
      <c r="D1992">
        <v>620082</v>
      </c>
      <c r="E1992">
        <v>28850</v>
      </c>
      <c r="F1992">
        <v>20262</v>
      </c>
    </row>
    <row r="1993" spans="1:6">
      <c r="A1993" t="s">
        <v>3126</v>
      </c>
      <c r="B1993">
        <v>222</v>
      </c>
      <c r="C1993" t="s">
        <v>1134</v>
      </c>
      <c r="D1993">
        <v>372050</v>
      </c>
      <c r="E1993">
        <v>28850</v>
      </c>
      <c r="F1993">
        <v>20262</v>
      </c>
    </row>
    <row r="1994" spans="1:6">
      <c r="A1994" t="s">
        <v>3127</v>
      </c>
      <c r="B1994">
        <v>222</v>
      </c>
      <c r="C1994" t="s">
        <v>1136</v>
      </c>
      <c r="D1994">
        <v>103347</v>
      </c>
      <c r="E1994">
        <v>28850</v>
      </c>
      <c r="F1994">
        <v>20262</v>
      </c>
    </row>
    <row r="1995" spans="1:6">
      <c r="A1995" t="s">
        <v>3128</v>
      </c>
      <c r="B1995">
        <v>222</v>
      </c>
      <c r="C1995" t="s">
        <v>1138</v>
      </c>
      <c r="D1995">
        <v>31005</v>
      </c>
      <c r="E1995">
        <v>28850</v>
      </c>
      <c r="F1995">
        <v>20262</v>
      </c>
    </row>
    <row r="1996" spans="1:6">
      <c r="A1996" t="s">
        <v>3129</v>
      </c>
      <c r="B1996">
        <v>222</v>
      </c>
      <c r="C1996" t="s">
        <v>738</v>
      </c>
      <c r="D1996">
        <v>826776</v>
      </c>
      <c r="E1996">
        <v>28850</v>
      </c>
      <c r="F1996">
        <v>20262</v>
      </c>
    </row>
    <row r="1997" spans="1:6">
      <c r="A1997" t="s">
        <v>3130</v>
      </c>
      <c r="B1997">
        <v>222</v>
      </c>
      <c r="C1997" t="s">
        <v>1141</v>
      </c>
      <c r="D1997">
        <v>1860246</v>
      </c>
      <c r="E1997">
        <v>28850</v>
      </c>
      <c r="F1997">
        <v>20262</v>
      </c>
    </row>
    <row r="1998" spans="1:6">
      <c r="A1998" t="s">
        <v>3131</v>
      </c>
      <c r="B1998">
        <v>222</v>
      </c>
      <c r="C1998" t="s">
        <v>159</v>
      </c>
      <c r="D1998">
        <v>22275546</v>
      </c>
      <c r="E1998">
        <v>28850</v>
      </c>
      <c r="F1998">
        <v>20262</v>
      </c>
    </row>
    <row r="1999" spans="1:6">
      <c r="A1999" t="s">
        <v>3132</v>
      </c>
      <c r="B1999">
        <v>222</v>
      </c>
      <c r="C1999" t="s">
        <v>642</v>
      </c>
      <c r="D1999">
        <v>11137773</v>
      </c>
      <c r="E1999">
        <v>28850</v>
      </c>
      <c r="F1999">
        <v>20262</v>
      </c>
    </row>
    <row r="2000" spans="1:6">
      <c r="A2000" t="s">
        <v>3133</v>
      </c>
      <c r="B2000">
        <v>223</v>
      </c>
      <c r="C2000" t="s">
        <v>149</v>
      </c>
      <c r="D2000">
        <v>209060</v>
      </c>
      <c r="E2000">
        <v>29121</v>
      </c>
      <c r="F2000">
        <v>20374</v>
      </c>
    </row>
    <row r="2001" spans="1:6">
      <c r="A2001" t="s">
        <v>3134</v>
      </c>
      <c r="B2001">
        <v>223</v>
      </c>
      <c r="C2001" t="s">
        <v>1132</v>
      </c>
      <c r="D2001">
        <v>627180</v>
      </c>
      <c r="E2001">
        <v>29121</v>
      </c>
      <c r="F2001">
        <v>20374</v>
      </c>
    </row>
    <row r="2002" spans="1:6">
      <c r="A2002" t="s">
        <v>3135</v>
      </c>
      <c r="B2002">
        <v>223</v>
      </c>
      <c r="C2002" t="s">
        <v>1134</v>
      </c>
      <c r="D2002">
        <v>376308</v>
      </c>
      <c r="E2002">
        <v>29121</v>
      </c>
      <c r="F2002">
        <v>20374</v>
      </c>
    </row>
    <row r="2003" spans="1:6">
      <c r="A2003" t="s">
        <v>3136</v>
      </c>
      <c r="B2003">
        <v>223</v>
      </c>
      <c r="C2003" t="s">
        <v>1136</v>
      </c>
      <c r="D2003">
        <v>104530</v>
      </c>
      <c r="E2003">
        <v>29121</v>
      </c>
      <c r="F2003">
        <v>20374</v>
      </c>
    </row>
    <row r="2004" spans="1:6">
      <c r="A2004" t="s">
        <v>3137</v>
      </c>
      <c r="B2004">
        <v>223</v>
      </c>
      <c r="C2004" t="s">
        <v>1138</v>
      </c>
      <c r="D2004">
        <v>31359</v>
      </c>
      <c r="E2004">
        <v>29121</v>
      </c>
      <c r="F2004">
        <v>20374</v>
      </c>
    </row>
    <row r="2005" spans="1:6">
      <c r="A2005" t="s">
        <v>3138</v>
      </c>
      <c r="B2005">
        <v>223</v>
      </c>
      <c r="C2005" t="s">
        <v>738</v>
      </c>
      <c r="D2005">
        <v>836240</v>
      </c>
      <c r="E2005">
        <v>29121</v>
      </c>
      <c r="F2005">
        <v>20374</v>
      </c>
    </row>
    <row r="2006" spans="1:6">
      <c r="A2006" t="s">
        <v>3139</v>
      </c>
      <c r="B2006">
        <v>223</v>
      </c>
      <c r="C2006" t="s">
        <v>1141</v>
      </c>
      <c r="D2006">
        <v>1881540</v>
      </c>
      <c r="E2006">
        <v>29121</v>
      </c>
      <c r="F2006">
        <v>20374</v>
      </c>
    </row>
    <row r="2007" spans="1:6">
      <c r="A2007" t="s">
        <v>3140</v>
      </c>
      <c r="B2007">
        <v>223</v>
      </c>
      <c r="C2007" t="s">
        <v>159</v>
      </c>
      <c r="D2007">
        <v>22549974</v>
      </c>
      <c r="E2007">
        <v>29121</v>
      </c>
      <c r="F2007">
        <v>20374</v>
      </c>
    </row>
    <row r="2008" spans="1:6">
      <c r="A2008" t="s">
        <v>3141</v>
      </c>
      <c r="B2008">
        <v>223</v>
      </c>
      <c r="C2008" t="s">
        <v>642</v>
      </c>
      <c r="D2008">
        <v>11274987</v>
      </c>
      <c r="E2008">
        <v>29121</v>
      </c>
      <c r="F2008">
        <v>20374</v>
      </c>
    </row>
    <row r="2009" spans="1:6">
      <c r="A2009" t="s">
        <v>3142</v>
      </c>
      <c r="B2009">
        <v>224</v>
      </c>
      <c r="C2009" t="s">
        <v>149</v>
      </c>
      <c r="D2009">
        <v>211447</v>
      </c>
      <c r="E2009">
        <v>29393</v>
      </c>
      <c r="F2009">
        <v>20486</v>
      </c>
    </row>
    <row r="2010" spans="1:6">
      <c r="A2010" t="s">
        <v>3143</v>
      </c>
      <c r="B2010">
        <v>224</v>
      </c>
      <c r="C2010" t="s">
        <v>1132</v>
      </c>
      <c r="D2010">
        <v>634341</v>
      </c>
      <c r="E2010">
        <v>29393</v>
      </c>
      <c r="F2010">
        <v>20486</v>
      </c>
    </row>
    <row r="2011" spans="1:6">
      <c r="A2011" t="s">
        <v>3144</v>
      </c>
      <c r="B2011">
        <v>224</v>
      </c>
      <c r="C2011" t="s">
        <v>1134</v>
      </c>
      <c r="D2011">
        <v>380605</v>
      </c>
      <c r="E2011">
        <v>29393</v>
      </c>
      <c r="F2011">
        <v>20486</v>
      </c>
    </row>
    <row r="2012" spans="1:6">
      <c r="A2012" t="s">
        <v>3145</v>
      </c>
      <c r="B2012">
        <v>224</v>
      </c>
      <c r="C2012" t="s">
        <v>1136</v>
      </c>
      <c r="D2012">
        <v>105724</v>
      </c>
      <c r="E2012">
        <v>29393</v>
      </c>
      <c r="F2012">
        <v>20486</v>
      </c>
    </row>
    <row r="2013" spans="1:6">
      <c r="A2013" t="s">
        <v>3146</v>
      </c>
      <c r="B2013">
        <v>224</v>
      </c>
      <c r="C2013" t="s">
        <v>1138</v>
      </c>
      <c r="D2013">
        <v>31718</v>
      </c>
      <c r="E2013">
        <v>29393</v>
      </c>
      <c r="F2013">
        <v>20486</v>
      </c>
    </row>
    <row r="2014" spans="1:6">
      <c r="A2014" t="s">
        <v>3147</v>
      </c>
      <c r="B2014">
        <v>224</v>
      </c>
      <c r="C2014" t="s">
        <v>738</v>
      </c>
      <c r="D2014">
        <v>845788</v>
      </c>
      <c r="E2014">
        <v>29393</v>
      </c>
      <c r="F2014">
        <v>20486</v>
      </c>
    </row>
    <row r="2015" spans="1:6">
      <c r="A2015" t="s">
        <v>3148</v>
      </c>
      <c r="B2015">
        <v>224</v>
      </c>
      <c r="C2015" t="s">
        <v>1141</v>
      </c>
      <c r="D2015">
        <v>1903023</v>
      </c>
      <c r="E2015">
        <v>29393</v>
      </c>
      <c r="F2015">
        <v>20486</v>
      </c>
    </row>
    <row r="2016" spans="1:6">
      <c r="A2016" t="s">
        <v>3149</v>
      </c>
      <c r="B2016">
        <v>224</v>
      </c>
      <c r="C2016" t="s">
        <v>159</v>
      </c>
      <c r="D2016">
        <v>22826923</v>
      </c>
      <c r="E2016">
        <v>29393</v>
      </c>
      <c r="F2016">
        <v>20486</v>
      </c>
    </row>
    <row r="2017" spans="1:6">
      <c r="A2017" t="s">
        <v>3150</v>
      </c>
      <c r="B2017">
        <v>224</v>
      </c>
      <c r="C2017" t="s">
        <v>642</v>
      </c>
      <c r="D2017">
        <v>11413461</v>
      </c>
      <c r="E2017">
        <v>29393</v>
      </c>
      <c r="F2017">
        <v>20486</v>
      </c>
    </row>
    <row r="2018" spans="1:6">
      <c r="A2018" t="s">
        <v>3151</v>
      </c>
      <c r="B2018">
        <v>225</v>
      </c>
      <c r="C2018" t="s">
        <v>149</v>
      </c>
      <c r="D2018">
        <v>213854</v>
      </c>
      <c r="E2018">
        <v>29666</v>
      </c>
      <c r="F2018">
        <v>20598</v>
      </c>
    </row>
    <row r="2019" spans="1:6">
      <c r="A2019" t="s">
        <v>3152</v>
      </c>
      <c r="B2019">
        <v>225</v>
      </c>
      <c r="C2019" t="s">
        <v>1132</v>
      </c>
      <c r="D2019">
        <v>641562</v>
      </c>
      <c r="E2019">
        <v>29666</v>
      </c>
      <c r="F2019">
        <v>20598</v>
      </c>
    </row>
    <row r="2020" spans="1:6">
      <c r="A2020" t="s">
        <v>3153</v>
      </c>
      <c r="B2020">
        <v>225</v>
      </c>
      <c r="C2020" t="s">
        <v>1134</v>
      </c>
      <c r="D2020">
        <v>384938</v>
      </c>
      <c r="E2020">
        <v>29666</v>
      </c>
      <c r="F2020">
        <v>20598</v>
      </c>
    </row>
    <row r="2021" spans="1:6">
      <c r="A2021" t="s">
        <v>3154</v>
      </c>
      <c r="B2021">
        <v>225</v>
      </c>
      <c r="C2021" t="s">
        <v>1136</v>
      </c>
      <c r="D2021">
        <v>106927</v>
      </c>
      <c r="E2021">
        <v>29666</v>
      </c>
      <c r="F2021">
        <v>20598</v>
      </c>
    </row>
    <row r="2022" spans="1:6">
      <c r="A2022" t="s">
        <v>3155</v>
      </c>
      <c r="B2022">
        <v>225</v>
      </c>
      <c r="C2022" t="s">
        <v>1138</v>
      </c>
      <c r="D2022">
        <v>32079</v>
      </c>
      <c r="E2022">
        <v>29666</v>
      </c>
      <c r="F2022">
        <v>20598</v>
      </c>
    </row>
    <row r="2023" spans="1:6">
      <c r="A2023" t="s">
        <v>3156</v>
      </c>
      <c r="B2023">
        <v>225</v>
      </c>
      <c r="C2023" t="s">
        <v>738</v>
      </c>
      <c r="D2023">
        <v>855416</v>
      </c>
      <c r="E2023">
        <v>29666</v>
      </c>
      <c r="F2023">
        <v>20598</v>
      </c>
    </row>
    <row r="2024" spans="1:6">
      <c r="A2024" t="s">
        <v>3157</v>
      </c>
      <c r="B2024">
        <v>225</v>
      </c>
      <c r="C2024" t="s">
        <v>1141</v>
      </c>
      <c r="D2024">
        <v>1924686</v>
      </c>
      <c r="E2024">
        <v>29666</v>
      </c>
      <c r="F2024">
        <v>20598</v>
      </c>
    </row>
    <row r="2025" spans="1:6">
      <c r="A2025" t="s">
        <v>3158</v>
      </c>
      <c r="B2025">
        <v>225</v>
      </c>
      <c r="C2025" t="s">
        <v>159</v>
      </c>
      <c r="D2025">
        <v>23106452</v>
      </c>
      <c r="E2025">
        <v>29666</v>
      </c>
      <c r="F2025">
        <v>20598</v>
      </c>
    </row>
    <row r="2026" spans="1:6">
      <c r="A2026" t="s">
        <v>3159</v>
      </c>
      <c r="B2026">
        <v>225</v>
      </c>
      <c r="C2026" t="s">
        <v>642</v>
      </c>
      <c r="D2026">
        <v>11553226</v>
      </c>
      <c r="E2026">
        <v>29666</v>
      </c>
      <c r="F2026">
        <v>20598</v>
      </c>
    </row>
    <row r="2027" spans="1:6">
      <c r="A2027" t="s">
        <v>3160</v>
      </c>
      <c r="B2027">
        <v>226</v>
      </c>
      <c r="C2027" t="s">
        <v>149</v>
      </c>
      <c r="D2027">
        <v>216282</v>
      </c>
      <c r="E2027">
        <v>29942</v>
      </c>
      <c r="F2027">
        <v>20711</v>
      </c>
    </row>
    <row r="2028" spans="1:6">
      <c r="A2028" t="s">
        <v>3161</v>
      </c>
      <c r="B2028">
        <v>226</v>
      </c>
      <c r="C2028" t="s">
        <v>1132</v>
      </c>
      <c r="D2028">
        <v>648846</v>
      </c>
      <c r="E2028">
        <v>29942</v>
      </c>
      <c r="F2028">
        <v>20711</v>
      </c>
    </row>
    <row r="2029" spans="1:6">
      <c r="A2029" t="s">
        <v>3162</v>
      </c>
      <c r="B2029">
        <v>226</v>
      </c>
      <c r="C2029" t="s">
        <v>1134</v>
      </c>
      <c r="D2029">
        <v>389308</v>
      </c>
      <c r="E2029">
        <v>29942</v>
      </c>
      <c r="F2029">
        <v>20711</v>
      </c>
    </row>
    <row r="2030" spans="1:6">
      <c r="A2030" t="s">
        <v>3163</v>
      </c>
      <c r="B2030">
        <v>226</v>
      </c>
      <c r="C2030" t="s">
        <v>1136</v>
      </c>
      <c r="D2030">
        <v>108141</v>
      </c>
      <c r="E2030">
        <v>29942</v>
      </c>
      <c r="F2030">
        <v>20711</v>
      </c>
    </row>
    <row r="2031" spans="1:6">
      <c r="A2031" t="s">
        <v>3164</v>
      </c>
      <c r="B2031">
        <v>226</v>
      </c>
      <c r="C2031" t="s">
        <v>1138</v>
      </c>
      <c r="D2031">
        <v>32443</v>
      </c>
      <c r="E2031">
        <v>29942</v>
      </c>
      <c r="F2031">
        <v>20711</v>
      </c>
    </row>
    <row r="2032" spans="1:6">
      <c r="A2032" t="s">
        <v>3165</v>
      </c>
      <c r="B2032">
        <v>226</v>
      </c>
      <c r="C2032" t="s">
        <v>738</v>
      </c>
      <c r="D2032">
        <v>865128</v>
      </c>
      <c r="E2032">
        <v>29942</v>
      </c>
      <c r="F2032">
        <v>20711</v>
      </c>
    </row>
    <row r="2033" spans="1:6">
      <c r="A2033" t="s">
        <v>3166</v>
      </c>
      <c r="B2033">
        <v>226</v>
      </c>
      <c r="C2033" t="s">
        <v>1141</v>
      </c>
      <c r="D2033">
        <v>1946538</v>
      </c>
      <c r="E2033">
        <v>29942</v>
      </c>
      <c r="F2033">
        <v>20711</v>
      </c>
    </row>
    <row r="2034" spans="1:6">
      <c r="A2034" t="s">
        <v>3167</v>
      </c>
      <c r="B2034">
        <v>226</v>
      </c>
      <c r="C2034" t="s">
        <v>159</v>
      </c>
      <c r="D2034">
        <v>23388562</v>
      </c>
      <c r="E2034">
        <v>29942</v>
      </c>
      <c r="F2034">
        <v>20711</v>
      </c>
    </row>
    <row r="2035" spans="1:6">
      <c r="A2035" t="s">
        <v>3168</v>
      </c>
      <c r="B2035">
        <v>226</v>
      </c>
      <c r="C2035" t="s">
        <v>642</v>
      </c>
      <c r="D2035">
        <v>11694281</v>
      </c>
      <c r="E2035">
        <v>29942</v>
      </c>
      <c r="F2035">
        <v>20711</v>
      </c>
    </row>
    <row r="2036" spans="1:6">
      <c r="A2036" t="s">
        <v>3169</v>
      </c>
      <c r="B2036">
        <v>227</v>
      </c>
      <c r="C2036" t="s">
        <v>149</v>
      </c>
      <c r="D2036">
        <v>218729</v>
      </c>
      <c r="E2036">
        <v>30219</v>
      </c>
      <c r="F2036">
        <v>20823</v>
      </c>
    </row>
    <row r="2037" spans="1:6">
      <c r="A2037" t="s">
        <v>3170</v>
      </c>
      <c r="B2037">
        <v>227</v>
      </c>
      <c r="C2037" t="s">
        <v>1132</v>
      </c>
      <c r="D2037">
        <v>656187</v>
      </c>
      <c r="E2037">
        <v>30219</v>
      </c>
      <c r="F2037">
        <v>20823</v>
      </c>
    </row>
    <row r="2038" spans="1:6">
      <c r="A2038" t="s">
        <v>3171</v>
      </c>
      <c r="B2038">
        <v>227</v>
      </c>
      <c r="C2038" t="s">
        <v>1134</v>
      </c>
      <c r="D2038">
        <v>393713</v>
      </c>
      <c r="E2038">
        <v>30219</v>
      </c>
      <c r="F2038">
        <v>20823</v>
      </c>
    </row>
    <row r="2039" spans="1:6">
      <c r="A2039" t="s">
        <v>3172</v>
      </c>
      <c r="B2039">
        <v>227</v>
      </c>
      <c r="C2039" t="s">
        <v>1136</v>
      </c>
      <c r="D2039">
        <v>109365</v>
      </c>
      <c r="E2039">
        <v>30219</v>
      </c>
      <c r="F2039">
        <v>20823</v>
      </c>
    </row>
    <row r="2040" spans="1:6">
      <c r="A2040" t="s">
        <v>3173</v>
      </c>
      <c r="B2040">
        <v>227</v>
      </c>
      <c r="C2040" t="s">
        <v>1138</v>
      </c>
      <c r="D2040">
        <v>32810</v>
      </c>
      <c r="E2040">
        <v>30219</v>
      </c>
      <c r="F2040">
        <v>20823</v>
      </c>
    </row>
    <row r="2041" spans="1:6">
      <c r="A2041" t="s">
        <v>3174</v>
      </c>
      <c r="B2041">
        <v>227</v>
      </c>
      <c r="C2041" t="s">
        <v>738</v>
      </c>
      <c r="D2041">
        <v>874916</v>
      </c>
      <c r="E2041">
        <v>30219</v>
      </c>
      <c r="F2041">
        <v>20823</v>
      </c>
    </row>
    <row r="2042" spans="1:6">
      <c r="A2042" t="s">
        <v>3175</v>
      </c>
      <c r="B2042">
        <v>227</v>
      </c>
      <c r="C2042" t="s">
        <v>1141</v>
      </c>
      <c r="D2042">
        <v>1968561</v>
      </c>
      <c r="E2042">
        <v>30219</v>
      </c>
      <c r="F2042">
        <v>20823</v>
      </c>
    </row>
    <row r="2043" spans="1:6">
      <c r="A2043" t="s">
        <v>3176</v>
      </c>
      <c r="B2043">
        <v>227</v>
      </c>
      <c r="C2043" t="s">
        <v>159</v>
      </c>
      <c r="D2043">
        <v>23673251</v>
      </c>
      <c r="E2043">
        <v>30219</v>
      </c>
      <c r="F2043">
        <v>20823</v>
      </c>
    </row>
    <row r="2044" spans="1:6">
      <c r="A2044" t="s">
        <v>3177</v>
      </c>
      <c r="B2044">
        <v>227</v>
      </c>
      <c r="C2044" t="s">
        <v>642</v>
      </c>
      <c r="D2044">
        <v>11836626</v>
      </c>
      <c r="E2044">
        <v>30219</v>
      </c>
      <c r="F2044">
        <v>20823</v>
      </c>
    </row>
    <row r="2045" spans="1:6">
      <c r="A2045" t="s">
        <v>3178</v>
      </c>
      <c r="B2045">
        <v>228</v>
      </c>
      <c r="C2045" t="s">
        <v>149</v>
      </c>
      <c r="D2045">
        <v>221198</v>
      </c>
      <c r="E2045">
        <v>30498</v>
      </c>
      <c r="F2045">
        <v>20936</v>
      </c>
    </row>
    <row r="2046" spans="1:6">
      <c r="A2046" t="s">
        <v>3179</v>
      </c>
      <c r="B2046">
        <v>228</v>
      </c>
      <c r="C2046" t="s">
        <v>1132</v>
      </c>
      <c r="D2046">
        <v>663594</v>
      </c>
      <c r="E2046">
        <v>30498</v>
      </c>
      <c r="F2046">
        <v>20936</v>
      </c>
    </row>
    <row r="2047" spans="1:6">
      <c r="A2047" t="s">
        <v>3180</v>
      </c>
      <c r="B2047">
        <v>228</v>
      </c>
      <c r="C2047" t="s">
        <v>1134</v>
      </c>
      <c r="D2047">
        <v>398157</v>
      </c>
      <c r="E2047">
        <v>30498</v>
      </c>
      <c r="F2047">
        <v>20936</v>
      </c>
    </row>
    <row r="2048" spans="1:6">
      <c r="A2048" t="s">
        <v>3181</v>
      </c>
      <c r="B2048">
        <v>228</v>
      </c>
      <c r="C2048" t="s">
        <v>1136</v>
      </c>
      <c r="D2048">
        <v>110599</v>
      </c>
      <c r="E2048">
        <v>30498</v>
      </c>
      <c r="F2048">
        <v>20936</v>
      </c>
    </row>
    <row r="2049" spans="1:6">
      <c r="A2049" t="s">
        <v>3182</v>
      </c>
      <c r="B2049">
        <v>228</v>
      </c>
      <c r="C2049" t="s">
        <v>1138</v>
      </c>
      <c r="D2049">
        <v>33180</v>
      </c>
      <c r="E2049">
        <v>30498</v>
      </c>
      <c r="F2049">
        <v>20936</v>
      </c>
    </row>
    <row r="2050" spans="1:6">
      <c r="A2050" t="s">
        <v>3183</v>
      </c>
      <c r="B2050">
        <v>228</v>
      </c>
      <c r="C2050" t="s">
        <v>738</v>
      </c>
      <c r="D2050">
        <v>884792</v>
      </c>
      <c r="E2050">
        <v>30498</v>
      </c>
      <c r="F2050">
        <v>20936</v>
      </c>
    </row>
    <row r="2051" spans="1:6">
      <c r="A2051" t="s">
        <v>3184</v>
      </c>
      <c r="B2051">
        <v>228</v>
      </c>
      <c r="C2051" t="s">
        <v>1141</v>
      </c>
      <c r="D2051">
        <v>1990782</v>
      </c>
      <c r="E2051">
        <v>30498</v>
      </c>
      <c r="F2051">
        <v>20936</v>
      </c>
    </row>
    <row r="2052" spans="1:6">
      <c r="A2052" t="s">
        <v>3185</v>
      </c>
      <c r="B2052">
        <v>228</v>
      </c>
      <c r="C2052" t="s">
        <v>159</v>
      </c>
      <c r="D2052">
        <v>23960522</v>
      </c>
      <c r="E2052">
        <v>30498</v>
      </c>
      <c r="F2052">
        <v>20936</v>
      </c>
    </row>
    <row r="2053" spans="1:6">
      <c r="A2053" t="s">
        <v>3186</v>
      </c>
      <c r="B2053">
        <v>228</v>
      </c>
      <c r="C2053" t="s">
        <v>642</v>
      </c>
      <c r="D2053">
        <v>11980261</v>
      </c>
      <c r="E2053">
        <v>30498</v>
      </c>
      <c r="F2053">
        <v>20936</v>
      </c>
    </row>
    <row r="2054" spans="1:6">
      <c r="A2054" t="s">
        <v>3187</v>
      </c>
      <c r="B2054">
        <v>229</v>
      </c>
      <c r="C2054" t="s">
        <v>149</v>
      </c>
      <c r="D2054">
        <v>223687</v>
      </c>
      <c r="E2054">
        <v>30779</v>
      </c>
      <c r="F2054">
        <v>21049</v>
      </c>
    </row>
    <row r="2055" spans="1:6">
      <c r="A2055" t="s">
        <v>3188</v>
      </c>
      <c r="B2055">
        <v>229</v>
      </c>
      <c r="C2055" t="s">
        <v>1132</v>
      </c>
      <c r="D2055">
        <v>671061</v>
      </c>
      <c r="E2055">
        <v>30779</v>
      </c>
      <c r="F2055">
        <v>21049</v>
      </c>
    </row>
    <row r="2056" spans="1:6">
      <c r="A2056" t="s">
        <v>3189</v>
      </c>
      <c r="B2056">
        <v>229</v>
      </c>
      <c r="C2056" t="s">
        <v>1134</v>
      </c>
      <c r="D2056">
        <v>402637</v>
      </c>
      <c r="E2056">
        <v>30779</v>
      </c>
      <c r="F2056">
        <v>21049</v>
      </c>
    </row>
    <row r="2057" spans="1:6">
      <c r="A2057" t="s">
        <v>3190</v>
      </c>
      <c r="B2057">
        <v>229</v>
      </c>
      <c r="C2057" t="s">
        <v>1136</v>
      </c>
      <c r="D2057">
        <v>111844</v>
      </c>
      <c r="E2057">
        <v>30779</v>
      </c>
      <c r="F2057">
        <v>21049</v>
      </c>
    </row>
    <row r="2058" spans="1:6">
      <c r="A2058" t="s">
        <v>3191</v>
      </c>
      <c r="B2058">
        <v>229</v>
      </c>
      <c r="C2058" t="s">
        <v>1138</v>
      </c>
      <c r="D2058">
        <v>33554</v>
      </c>
      <c r="E2058">
        <v>30779</v>
      </c>
      <c r="F2058">
        <v>21049</v>
      </c>
    </row>
    <row r="2059" spans="1:6">
      <c r="A2059" t="s">
        <v>3192</v>
      </c>
      <c r="B2059">
        <v>229</v>
      </c>
      <c r="C2059" t="s">
        <v>738</v>
      </c>
      <c r="D2059">
        <v>894748</v>
      </c>
      <c r="E2059">
        <v>30779</v>
      </c>
      <c r="F2059">
        <v>21049</v>
      </c>
    </row>
    <row r="2060" spans="1:6">
      <c r="A2060" t="s">
        <v>3193</v>
      </c>
      <c r="B2060">
        <v>229</v>
      </c>
      <c r="C2060" t="s">
        <v>1141</v>
      </c>
      <c r="D2060">
        <v>2013183</v>
      </c>
      <c r="E2060">
        <v>30779</v>
      </c>
      <c r="F2060">
        <v>21049</v>
      </c>
    </row>
    <row r="2061" spans="1:6">
      <c r="A2061" t="s">
        <v>3194</v>
      </c>
      <c r="B2061">
        <v>229</v>
      </c>
      <c r="C2061" t="s">
        <v>159</v>
      </c>
      <c r="D2061">
        <v>24250432</v>
      </c>
      <c r="E2061">
        <v>30779</v>
      </c>
      <c r="F2061">
        <v>21049</v>
      </c>
    </row>
    <row r="2062" spans="1:6">
      <c r="A2062" t="s">
        <v>3195</v>
      </c>
      <c r="B2062">
        <v>229</v>
      </c>
      <c r="C2062" t="s">
        <v>642</v>
      </c>
      <c r="D2062">
        <v>12125216</v>
      </c>
      <c r="E2062">
        <v>30779</v>
      </c>
      <c r="F2062">
        <v>21049</v>
      </c>
    </row>
    <row r="2063" spans="1:6">
      <c r="A2063" t="s">
        <v>3196</v>
      </c>
      <c r="B2063">
        <v>230</v>
      </c>
      <c r="C2063" t="s">
        <v>149</v>
      </c>
      <c r="D2063">
        <v>226198</v>
      </c>
      <c r="E2063">
        <v>31061</v>
      </c>
      <c r="F2063">
        <v>21162</v>
      </c>
    </row>
    <row r="2064" spans="1:6">
      <c r="A2064" t="s">
        <v>3197</v>
      </c>
      <c r="B2064">
        <v>230</v>
      </c>
      <c r="C2064" t="s">
        <v>1132</v>
      </c>
      <c r="D2064">
        <v>678594</v>
      </c>
      <c r="E2064">
        <v>31061</v>
      </c>
      <c r="F2064">
        <v>21162</v>
      </c>
    </row>
    <row r="2065" spans="1:6">
      <c r="A2065" t="s">
        <v>3198</v>
      </c>
      <c r="B2065">
        <v>230</v>
      </c>
      <c r="C2065" t="s">
        <v>1134</v>
      </c>
      <c r="D2065">
        <v>407157</v>
      </c>
      <c r="E2065">
        <v>31061</v>
      </c>
      <c r="F2065">
        <v>21162</v>
      </c>
    </row>
    <row r="2066" spans="1:6">
      <c r="A2066" t="s">
        <v>3199</v>
      </c>
      <c r="B2066">
        <v>230</v>
      </c>
      <c r="C2066" t="s">
        <v>1136</v>
      </c>
      <c r="D2066">
        <v>113099</v>
      </c>
      <c r="E2066">
        <v>31061</v>
      </c>
      <c r="F2066">
        <v>21162</v>
      </c>
    </row>
    <row r="2067" spans="1:6">
      <c r="A2067" t="s">
        <v>3200</v>
      </c>
      <c r="B2067">
        <v>230</v>
      </c>
      <c r="C2067" t="s">
        <v>1138</v>
      </c>
      <c r="D2067">
        <v>33930</v>
      </c>
      <c r="E2067">
        <v>31061</v>
      </c>
      <c r="F2067">
        <v>21162</v>
      </c>
    </row>
    <row r="2068" spans="1:6">
      <c r="A2068" t="s">
        <v>3201</v>
      </c>
      <c r="B2068">
        <v>230</v>
      </c>
      <c r="C2068" t="s">
        <v>738</v>
      </c>
      <c r="D2068">
        <v>904792</v>
      </c>
      <c r="E2068">
        <v>31061</v>
      </c>
      <c r="F2068">
        <v>21162</v>
      </c>
    </row>
    <row r="2069" spans="1:6">
      <c r="A2069" t="s">
        <v>3202</v>
      </c>
      <c r="B2069">
        <v>230</v>
      </c>
      <c r="C2069" t="s">
        <v>1141</v>
      </c>
      <c r="D2069">
        <v>2035782</v>
      </c>
      <c r="E2069">
        <v>31061</v>
      </c>
      <c r="F2069">
        <v>21162</v>
      </c>
    </row>
    <row r="2070" spans="1:6">
      <c r="A2070" t="s">
        <v>3203</v>
      </c>
      <c r="B2070">
        <v>230</v>
      </c>
      <c r="C2070" t="s">
        <v>159</v>
      </c>
      <c r="D2070">
        <v>24542984</v>
      </c>
      <c r="E2070">
        <v>31061</v>
      </c>
      <c r="F2070">
        <v>21162</v>
      </c>
    </row>
    <row r="2071" spans="1:6">
      <c r="A2071" t="s">
        <v>3204</v>
      </c>
      <c r="B2071">
        <v>230</v>
      </c>
      <c r="C2071" t="s">
        <v>642</v>
      </c>
      <c r="D2071">
        <v>12271492</v>
      </c>
      <c r="E2071">
        <v>31061</v>
      </c>
      <c r="F2071">
        <v>21162</v>
      </c>
    </row>
    <row r="2072" spans="1:6">
      <c r="A2072" t="s">
        <v>3205</v>
      </c>
      <c r="B2072">
        <v>231</v>
      </c>
      <c r="C2072" t="s">
        <v>149</v>
      </c>
      <c r="D2072">
        <v>228729</v>
      </c>
      <c r="E2072">
        <v>31346</v>
      </c>
      <c r="F2072">
        <v>21275</v>
      </c>
    </row>
    <row r="2073" spans="1:6">
      <c r="A2073" t="s">
        <v>3206</v>
      </c>
      <c r="B2073">
        <v>231</v>
      </c>
      <c r="C2073" t="s">
        <v>1132</v>
      </c>
      <c r="D2073">
        <v>686187</v>
      </c>
      <c r="E2073">
        <v>31346</v>
      </c>
      <c r="F2073">
        <v>21275</v>
      </c>
    </row>
    <row r="2074" spans="1:6">
      <c r="A2074" t="s">
        <v>3207</v>
      </c>
      <c r="B2074">
        <v>231</v>
      </c>
      <c r="C2074" t="s">
        <v>1134</v>
      </c>
      <c r="D2074">
        <v>411713</v>
      </c>
      <c r="E2074">
        <v>31346</v>
      </c>
      <c r="F2074">
        <v>21275</v>
      </c>
    </row>
    <row r="2075" spans="1:6">
      <c r="A2075" t="s">
        <v>3208</v>
      </c>
      <c r="B2075">
        <v>231</v>
      </c>
      <c r="C2075" t="s">
        <v>1136</v>
      </c>
      <c r="D2075">
        <v>114365</v>
      </c>
      <c r="E2075">
        <v>31346</v>
      </c>
      <c r="F2075">
        <v>21275</v>
      </c>
    </row>
    <row r="2076" spans="1:6">
      <c r="A2076" t="s">
        <v>3209</v>
      </c>
      <c r="B2076">
        <v>231</v>
      </c>
      <c r="C2076" t="s">
        <v>1138</v>
      </c>
      <c r="D2076">
        <v>34310</v>
      </c>
      <c r="E2076">
        <v>31346</v>
      </c>
      <c r="F2076">
        <v>21275</v>
      </c>
    </row>
    <row r="2077" spans="1:6">
      <c r="A2077" t="s">
        <v>3210</v>
      </c>
      <c r="B2077">
        <v>231</v>
      </c>
      <c r="C2077" t="s">
        <v>738</v>
      </c>
      <c r="D2077">
        <v>914916</v>
      </c>
      <c r="E2077">
        <v>31346</v>
      </c>
      <c r="F2077">
        <v>21275</v>
      </c>
    </row>
    <row r="2078" spans="1:6">
      <c r="A2078" t="s">
        <v>3211</v>
      </c>
      <c r="B2078">
        <v>231</v>
      </c>
      <c r="C2078" t="s">
        <v>1141</v>
      </c>
      <c r="D2078">
        <v>2058561</v>
      </c>
      <c r="E2078">
        <v>31346</v>
      </c>
      <c r="F2078">
        <v>21275</v>
      </c>
    </row>
    <row r="2079" spans="1:6">
      <c r="A2079" t="s">
        <v>3212</v>
      </c>
      <c r="B2079">
        <v>231</v>
      </c>
      <c r="C2079" t="s">
        <v>159</v>
      </c>
      <c r="D2079">
        <v>24838235</v>
      </c>
      <c r="E2079">
        <v>31346</v>
      </c>
      <c r="F2079">
        <v>21275</v>
      </c>
    </row>
    <row r="2080" spans="1:6">
      <c r="A2080" t="s">
        <v>3213</v>
      </c>
      <c r="B2080">
        <v>231</v>
      </c>
      <c r="C2080" t="s">
        <v>642</v>
      </c>
      <c r="D2080">
        <v>12419117</v>
      </c>
      <c r="E2080">
        <v>31346</v>
      </c>
      <c r="F2080">
        <v>21275</v>
      </c>
    </row>
    <row r="2081" spans="1:6">
      <c r="A2081" t="s">
        <v>3214</v>
      </c>
      <c r="B2081">
        <v>232</v>
      </c>
      <c r="C2081" t="s">
        <v>149</v>
      </c>
      <c r="D2081">
        <v>231281</v>
      </c>
      <c r="E2081">
        <v>31632</v>
      </c>
      <c r="F2081">
        <v>21389</v>
      </c>
    </row>
    <row r="2082" spans="1:6">
      <c r="A2082" t="s">
        <v>3215</v>
      </c>
      <c r="B2082">
        <v>232</v>
      </c>
      <c r="C2082" t="s">
        <v>1132</v>
      </c>
      <c r="D2082">
        <v>693843</v>
      </c>
      <c r="E2082">
        <v>31632</v>
      </c>
      <c r="F2082">
        <v>21389</v>
      </c>
    </row>
    <row r="2083" spans="1:6">
      <c r="A2083" t="s">
        <v>3216</v>
      </c>
      <c r="B2083">
        <v>232</v>
      </c>
      <c r="C2083" t="s">
        <v>1134</v>
      </c>
      <c r="D2083">
        <v>416306</v>
      </c>
      <c r="E2083">
        <v>31632</v>
      </c>
      <c r="F2083">
        <v>21389</v>
      </c>
    </row>
    <row r="2084" spans="1:6">
      <c r="A2084" t="s">
        <v>3217</v>
      </c>
      <c r="B2084">
        <v>232</v>
      </c>
      <c r="C2084" t="s">
        <v>1136</v>
      </c>
      <c r="D2084">
        <v>115641</v>
      </c>
      <c r="E2084">
        <v>31632</v>
      </c>
      <c r="F2084">
        <v>21389</v>
      </c>
    </row>
    <row r="2085" spans="1:6">
      <c r="A2085" t="s">
        <v>3218</v>
      </c>
      <c r="B2085">
        <v>232</v>
      </c>
      <c r="C2085" t="s">
        <v>1138</v>
      </c>
      <c r="D2085">
        <v>34693</v>
      </c>
      <c r="E2085">
        <v>31632</v>
      </c>
      <c r="F2085">
        <v>21389</v>
      </c>
    </row>
    <row r="2086" spans="1:6">
      <c r="A2086" t="s">
        <v>3219</v>
      </c>
      <c r="B2086">
        <v>232</v>
      </c>
      <c r="C2086" t="s">
        <v>738</v>
      </c>
      <c r="D2086">
        <v>925124</v>
      </c>
      <c r="E2086">
        <v>31632</v>
      </c>
      <c r="F2086">
        <v>21389</v>
      </c>
    </row>
    <row r="2087" spans="1:6">
      <c r="A2087" t="s">
        <v>3220</v>
      </c>
      <c r="B2087">
        <v>232</v>
      </c>
      <c r="C2087" t="s">
        <v>1141</v>
      </c>
      <c r="D2087">
        <v>2081529</v>
      </c>
      <c r="E2087">
        <v>31632</v>
      </c>
      <c r="F2087">
        <v>21389</v>
      </c>
    </row>
    <row r="2088" spans="1:6">
      <c r="A2088" t="s">
        <v>3221</v>
      </c>
      <c r="B2088">
        <v>232</v>
      </c>
      <c r="C2088" t="s">
        <v>159</v>
      </c>
      <c r="D2088">
        <v>25136127</v>
      </c>
      <c r="E2088">
        <v>31632</v>
      </c>
      <c r="F2088">
        <v>21389</v>
      </c>
    </row>
    <row r="2089" spans="1:6">
      <c r="A2089" t="s">
        <v>3222</v>
      </c>
      <c r="B2089">
        <v>232</v>
      </c>
      <c r="C2089" t="s">
        <v>642</v>
      </c>
      <c r="D2089">
        <v>12568063</v>
      </c>
      <c r="E2089">
        <v>31632</v>
      </c>
      <c r="F2089">
        <v>21389</v>
      </c>
    </row>
    <row r="2090" spans="1:6">
      <c r="A2090" t="s">
        <v>3223</v>
      </c>
      <c r="B2090">
        <v>233</v>
      </c>
      <c r="C2090" t="s">
        <v>149</v>
      </c>
      <c r="D2090">
        <v>233855</v>
      </c>
      <c r="E2090">
        <v>31919</v>
      </c>
      <c r="F2090">
        <v>21503</v>
      </c>
    </row>
    <row r="2091" spans="1:6">
      <c r="A2091" t="s">
        <v>3224</v>
      </c>
      <c r="B2091">
        <v>233</v>
      </c>
      <c r="C2091" t="s">
        <v>1132</v>
      </c>
      <c r="D2091">
        <v>701565</v>
      </c>
      <c r="E2091">
        <v>31919</v>
      </c>
      <c r="F2091">
        <v>21503</v>
      </c>
    </row>
    <row r="2092" spans="1:6">
      <c r="A2092" t="s">
        <v>3225</v>
      </c>
      <c r="B2092">
        <v>233</v>
      </c>
      <c r="C2092" t="s">
        <v>1134</v>
      </c>
      <c r="D2092">
        <v>420939</v>
      </c>
      <c r="E2092">
        <v>31919</v>
      </c>
      <c r="F2092">
        <v>21503</v>
      </c>
    </row>
    <row r="2093" spans="1:6">
      <c r="A2093" t="s">
        <v>3226</v>
      </c>
      <c r="B2093">
        <v>233</v>
      </c>
      <c r="C2093" t="s">
        <v>1136</v>
      </c>
      <c r="D2093">
        <v>116928</v>
      </c>
      <c r="E2093">
        <v>31919</v>
      </c>
      <c r="F2093">
        <v>21503</v>
      </c>
    </row>
    <row r="2094" spans="1:6">
      <c r="A2094" t="s">
        <v>3227</v>
      </c>
      <c r="B2094">
        <v>233</v>
      </c>
      <c r="C2094" t="s">
        <v>1138</v>
      </c>
      <c r="D2094">
        <v>35079</v>
      </c>
      <c r="E2094">
        <v>31919</v>
      </c>
      <c r="F2094">
        <v>21503</v>
      </c>
    </row>
    <row r="2095" spans="1:6">
      <c r="A2095" t="s">
        <v>3228</v>
      </c>
      <c r="B2095">
        <v>233</v>
      </c>
      <c r="C2095" t="s">
        <v>738</v>
      </c>
      <c r="D2095">
        <v>935420</v>
      </c>
      <c r="E2095">
        <v>31919</v>
      </c>
      <c r="F2095">
        <v>21503</v>
      </c>
    </row>
    <row r="2096" spans="1:6">
      <c r="A2096" t="s">
        <v>3229</v>
      </c>
      <c r="B2096">
        <v>233</v>
      </c>
      <c r="C2096" t="s">
        <v>1141</v>
      </c>
      <c r="D2096">
        <v>2104695</v>
      </c>
      <c r="E2096">
        <v>31919</v>
      </c>
      <c r="F2096">
        <v>21503</v>
      </c>
    </row>
    <row r="2097" spans="1:6">
      <c r="A2097" t="s">
        <v>3230</v>
      </c>
      <c r="B2097">
        <v>233</v>
      </c>
      <c r="C2097" t="s">
        <v>159</v>
      </c>
      <c r="D2097">
        <v>25436779</v>
      </c>
      <c r="E2097">
        <v>31919</v>
      </c>
      <c r="F2097">
        <v>21503</v>
      </c>
    </row>
    <row r="2098" spans="1:6">
      <c r="A2098" t="s">
        <v>3231</v>
      </c>
      <c r="B2098">
        <v>233</v>
      </c>
      <c r="C2098" t="s">
        <v>642</v>
      </c>
      <c r="D2098">
        <v>12718389</v>
      </c>
      <c r="E2098">
        <v>31919</v>
      </c>
      <c r="F2098">
        <v>21503</v>
      </c>
    </row>
    <row r="2099" spans="1:6">
      <c r="A2099" t="s">
        <v>3232</v>
      </c>
      <c r="B2099">
        <v>234</v>
      </c>
      <c r="C2099" t="s">
        <v>149</v>
      </c>
      <c r="D2099">
        <v>236450</v>
      </c>
      <c r="E2099">
        <v>32209</v>
      </c>
      <c r="F2099">
        <v>21616</v>
      </c>
    </row>
    <row r="2100" spans="1:6">
      <c r="A2100" t="s">
        <v>3233</v>
      </c>
      <c r="B2100">
        <v>234</v>
      </c>
      <c r="C2100" t="s">
        <v>1132</v>
      </c>
      <c r="D2100">
        <v>709350</v>
      </c>
      <c r="E2100">
        <v>32209</v>
      </c>
      <c r="F2100">
        <v>21616</v>
      </c>
    </row>
    <row r="2101" spans="1:6">
      <c r="A2101" t="s">
        <v>3234</v>
      </c>
      <c r="B2101">
        <v>234</v>
      </c>
      <c r="C2101" t="s">
        <v>1134</v>
      </c>
      <c r="D2101">
        <v>425610</v>
      </c>
      <c r="E2101">
        <v>32209</v>
      </c>
      <c r="F2101">
        <v>21616</v>
      </c>
    </row>
    <row r="2102" spans="1:6">
      <c r="A2102" t="s">
        <v>3235</v>
      </c>
      <c r="B2102">
        <v>234</v>
      </c>
      <c r="C2102" t="s">
        <v>1136</v>
      </c>
      <c r="D2102">
        <v>118225</v>
      </c>
      <c r="E2102">
        <v>32209</v>
      </c>
      <c r="F2102">
        <v>21616</v>
      </c>
    </row>
    <row r="2103" spans="1:6">
      <c r="A2103" t="s">
        <v>3236</v>
      </c>
      <c r="B2103">
        <v>234</v>
      </c>
      <c r="C2103" t="s">
        <v>1138</v>
      </c>
      <c r="D2103">
        <v>35468</v>
      </c>
      <c r="E2103">
        <v>32209</v>
      </c>
      <c r="F2103">
        <v>21616</v>
      </c>
    </row>
    <row r="2104" spans="1:6">
      <c r="A2104" t="s">
        <v>3237</v>
      </c>
      <c r="B2104">
        <v>234</v>
      </c>
      <c r="C2104" t="s">
        <v>738</v>
      </c>
      <c r="D2104">
        <v>945800</v>
      </c>
      <c r="E2104">
        <v>32209</v>
      </c>
      <c r="F2104">
        <v>21616</v>
      </c>
    </row>
    <row r="2105" spans="1:6">
      <c r="A2105" t="s">
        <v>3238</v>
      </c>
      <c r="B2105">
        <v>234</v>
      </c>
      <c r="C2105" t="s">
        <v>1141</v>
      </c>
      <c r="D2105">
        <v>2128050</v>
      </c>
      <c r="E2105">
        <v>32209</v>
      </c>
      <c r="F2105">
        <v>21616</v>
      </c>
    </row>
    <row r="2106" spans="1:6">
      <c r="A2106" t="s">
        <v>3239</v>
      </c>
      <c r="B2106">
        <v>234</v>
      </c>
      <c r="C2106" t="s">
        <v>159</v>
      </c>
      <c r="D2106">
        <v>25740071</v>
      </c>
      <c r="E2106">
        <v>32209</v>
      </c>
      <c r="F2106">
        <v>21616</v>
      </c>
    </row>
    <row r="2107" spans="1:6">
      <c r="A2107" t="s">
        <v>3240</v>
      </c>
      <c r="B2107">
        <v>234</v>
      </c>
      <c r="C2107" t="s">
        <v>642</v>
      </c>
      <c r="D2107">
        <v>12870035</v>
      </c>
      <c r="E2107">
        <v>32209</v>
      </c>
      <c r="F2107">
        <v>21616</v>
      </c>
    </row>
    <row r="2108" spans="1:6">
      <c r="A2108" t="s">
        <v>3241</v>
      </c>
      <c r="B2108">
        <v>235</v>
      </c>
      <c r="C2108" t="s">
        <v>149</v>
      </c>
      <c r="D2108">
        <v>239066</v>
      </c>
      <c r="E2108">
        <v>32500</v>
      </c>
      <c r="F2108">
        <v>21730</v>
      </c>
    </row>
    <row r="2109" spans="1:6">
      <c r="A2109" t="s">
        <v>3242</v>
      </c>
      <c r="B2109">
        <v>235</v>
      </c>
      <c r="C2109" t="s">
        <v>1132</v>
      </c>
      <c r="D2109">
        <v>717198</v>
      </c>
      <c r="E2109">
        <v>32500</v>
      </c>
      <c r="F2109">
        <v>21730</v>
      </c>
    </row>
    <row r="2110" spans="1:6">
      <c r="A2110" t="s">
        <v>3243</v>
      </c>
      <c r="B2110">
        <v>235</v>
      </c>
      <c r="C2110" t="s">
        <v>1134</v>
      </c>
      <c r="D2110">
        <v>430319</v>
      </c>
      <c r="E2110">
        <v>32500</v>
      </c>
      <c r="F2110">
        <v>21730</v>
      </c>
    </row>
    <row r="2111" spans="1:6">
      <c r="A2111" t="s">
        <v>3244</v>
      </c>
      <c r="B2111">
        <v>235</v>
      </c>
      <c r="C2111" t="s">
        <v>1136</v>
      </c>
      <c r="D2111">
        <v>119533</v>
      </c>
      <c r="E2111">
        <v>32500</v>
      </c>
      <c r="F2111">
        <v>21730</v>
      </c>
    </row>
    <row r="2112" spans="1:6">
      <c r="A2112" t="s">
        <v>3245</v>
      </c>
      <c r="B2112">
        <v>235</v>
      </c>
      <c r="C2112" t="s">
        <v>1138</v>
      </c>
      <c r="D2112">
        <v>35860</v>
      </c>
      <c r="E2112">
        <v>32500</v>
      </c>
      <c r="F2112">
        <v>21730</v>
      </c>
    </row>
    <row r="2113" spans="1:6">
      <c r="A2113" t="s">
        <v>3246</v>
      </c>
      <c r="B2113">
        <v>235</v>
      </c>
      <c r="C2113" t="s">
        <v>738</v>
      </c>
      <c r="D2113">
        <v>956264</v>
      </c>
      <c r="E2113">
        <v>32500</v>
      </c>
      <c r="F2113">
        <v>21730</v>
      </c>
    </row>
    <row r="2114" spans="1:6">
      <c r="A2114" t="s">
        <v>3247</v>
      </c>
      <c r="B2114">
        <v>235</v>
      </c>
      <c r="C2114" t="s">
        <v>1141</v>
      </c>
      <c r="D2114">
        <v>2151594</v>
      </c>
      <c r="E2114">
        <v>32500</v>
      </c>
      <c r="F2114">
        <v>21730</v>
      </c>
    </row>
    <row r="2115" spans="1:6">
      <c r="A2115" t="s">
        <v>3248</v>
      </c>
      <c r="B2115">
        <v>235</v>
      </c>
      <c r="C2115" t="s">
        <v>159</v>
      </c>
      <c r="D2115">
        <v>26046184</v>
      </c>
      <c r="E2115">
        <v>32500</v>
      </c>
      <c r="F2115">
        <v>21730</v>
      </c>
    </row>
    <row r="2116" spans="1:6">
      <c r="A2116" t="s">
        <v>3249</v>
      </c>
      <c r="B2116">
        <v>235</v>
      </c>
      <c r="C2116" t="s">
        <v>642</v>
      </c>
      <c r="D2116">
        <v>13023092</v>
      </c>
      <c r="E2116">
        <v>32500</v>
      </c>
      <c r="F2116">
        <v>21730</v>
      </c>
    </row>
    <row r="2117" spans="1:6">
      <c r="A2117" t="s">
        <v>3250</v>
      </c>
      <c r="B2117">
        <v>236</v>
      </c>
      <c r="C2117" t="s">
        <v>149</v>
      </c>
      <c r="D2117">
        <v>241704</v>
      </c>
      <c r="E2117">
        <v>32793</v>
      </c>
      <c r="F2117">
        <v>21845</v>
      </c>
    </row>
    <row r="2118" spans="1:6">
      <c r="A2118" t="s">
        <v>3251</v>
      </c>
      <c r="B2118">
        <v>236</v>
      </c>
      <c r="C2118" t="s">
        <v>1132</v>
      </c>
      <c r="D2118">
        <v>725112</v>
      </c>
      <c r="E2118">
        <v>32793</v>
      </c>
      <c r="F2118">
        <v>21845</v>
      </c>
    </row>
    <row r="2119" spans="1:6">
      <c r="A2119" t="s">
        <v>3252</v>
      </c>
      <c r="B2119">
        <v>236</v>
      </c>
      <c r="C2119" t="s">
        <v>1134</v>
      </c>
      <c r="D2119">
        <v>435068</v>
      </c>
      <c r="E2119">
        <v>32793</v>
      </c>
      <c r="F2119">
        <v>21845</v>
      </c>
    </row>
    <row r="2120" spans="1:6">
      <c r="A2120" t="s">
        <v>3253</v>
      </c>
      <c r="B2120">
        <v>236</v>
      </c>
      <c r="C2120" t="s">
        <v>1136</v>
      </c>
      <c r="D2120">
        <v>120852</v>
      </c>
      <c r="E2120">
        <v>32793</v>
      </c>
      <c r="F2120">
        <v>21845</v>
      </c>
    </row>
    <row r="2121" spans="1:6">
      <c r="A2121" t="s">
        <v>3254</v>
      </c>
      <c r="B2121">
        <v>236</v>
      </c>
      <c r="C2121" t="s">
        <v>1138</v>
      </c>
      <c r="D2121">
        <v>36256</v>
      </c>
      <c r="E2121">
        <v>32793</v>
      </c>
      <c r="F2121">
        <v>21845</v>
      </c>
    </row>
    <row r="2122" spans="1:6">
      <c r="A2122" t="s">
        <v>3255</v>
      </c>
      <c r="B2122">
        <v>236</v>
      </c>
      <c r="C2122" t="s">
        <v>738</v>
      </c>
      <c r="D2122">
        <v>966816</v>
      </c>
      <c r="E2122">
        <v>32793</v>
      </c>
      <c r="F2122">
        <v>21845</v>
      </c>
    </row>
    <row r="2123" spans="1:6">
      <c r="A2123" t="s">
        <v>3256</v>
      </c>
      <c r="B2123">
        <v>236</v>
      </c>
      <c r="C2123" t="s">
        <v>1141</v>
      </c>
      <c r="D2123">
        <v>2175336</v>
      </c>
      <c r="E2123">
        <v>32793</v>
      </c>
      <c r="F2123">
        <v>21845</v>
      </c>
    </row>
    <row r="2124" spans="1:6">
      <c r="A2124" t="s">
        <v>3257</v>
      </c>
      <c r="B2124">
        <v>236</v>
      </c>
      <c r="C2124" t="s">
        <v>159</v>
      </c>
      <c r="D2124">
        <v>26354996</v>
      </c>
      <c r="E2124">
        <v>32793</v>
      </c>
      <c r="F2124">
        <v>21845</v>
      </c>
    </row>
    <row r="2125" spans="1:6">
      <c r="A2125" t="s">
        <v>3258</v>
      </c>
      <c r="B2125">
        <v>236</v>
      </c>
      <c r="C2125" t="s">
        <v>642</v>
      </c>
      <c r="D2125">
        <v>13177498</v>
      </c>
      <c r="E2125">
        <v>32793</v>
      </c>
      <c r="F2125">
        <v>21845</v>
      </c>
    </row>
    <row r="2126" spans="1:6">
      <c r="A2126" t="s">
        <v>3259</v>
      </c>
      <c r="B2126">
        <v>237</v>
      </c>
      <c r="C2126" t="s">
        <v>149</v>
      </c>
      <c r="D2126">
        <v>244364</v>
      </c>
      <c r="E2126">
        <v>33088</v>
      </c>
      <c r="F2126">
        <v>21959</v>
      </c>
    </row>
    <row r="2127" spans="1:6">
      <c r="A2127" t="s">
        <v>3260</v>
      </c>
      <c r="B2127">
        <v>237</v>
      </c>
      <c r="C2127" t="s">
        <v>1132</v>
      </c>
      <c r="D2127">
        <v>733092</v>
      </c>
      <c r="E2127">
        <v>33088</v>
      </c>
      <c r="F2127">
        <v>21959</v>
      </c>
    </row>
    <row r="2128" spans="1:6">
      <c r="A2128" t="s">
        <v>3261</v>
      </c>
      <c r="B2128">
        <v>237</v>
      </c>
      <c r="C2128" t="s">
        <v>1134</v>
      </c>
      <c r="D2128">
        <v>439856</v>
      </c>
      <c r="E2128">
        <v>33088</v>
      </c>
      <c r="F2128">
        <v>21959</v>
      </c>
    </row>
    <row r="2129" spans="1:6">
      <c r="A2129" t="s">
        <v>3262</v>
      </c>
      <c r="B2129">
        <v>237</v>
      </c>
      <c r="C2129" t="s">
        <v>1136</v>
      </c>
      <c r="D2129">
        <v>122182</v>
      </c>
      <c r="E2129">
        <v>33088</v>
      </c>
      <c r="F2129">
        <v>21959</v>
      </c>
    </row>
    <row r="2130" spans="1:6">
      <c r="A2130" t="s">
        <v>3263</v>
      </c>
      <c r="B2130">
        <v>237</v>
      </c>
      <c r="C2130" t="s">
        <v>1138</v>
      </c>
      <c r="D2130">
        <v>36655</v>
      </c>
      <c r="E2130">
        <v>33088</v>
      </c>
      <c r="F2130">
        <v>21959</v>
      </c>
    </row>
    <row r="2131" spans="1:6">
      <c r="A2131" t="s">
        <v>3264</v>
      </c>
      <c r="B2131">
        <v>237</v>
      </c>
      <c r="C2131" t="s">
        <v>738</v>
      </c>
      <c r="D2131">
        <v>977456</v>
      </c>
      <c r="E2131">
        <v>33088</v>
      </c>
      <c r="F2131">
        <v>21959</v>
      </c>
    </row>
    <row r="2132" spans="1:6">
      <c r="A2132" t="s">
        <v>3265</v>
      </c>
      <c r="B2132">
        <v>237</v>
      </c>
      <c r="C2132" t="s">
        <v>1141</v>
      </c>
      <c r="D2132">
        <v>2199276</v>
      </c>
      <c r="E2132">
        <v>33088</v>
      </c>
      <c r="F2132">
        <v>21959</v>
      </c>
    </row>
    <row r="2133" spans="1:6">
      <c r="A2133" t="s">
        <v>3266</v>
      </c>
      <c r="B2133">
        <v>237</v>
      </c>
      <c r="C2133" t="s">
        <v>159</v>
      </c>
      <c r="D2133">
        <v>26666570</v>
      </c>
      <c r="E2133">
        <v>33088</v>
      </c>
      <c r="F2133">
        <v>21959</v>
      </c>
    </row>
    <row r="2134" spans="1:6">
      <c r="A2134" t="s">
        <v>3267</v>
      </c>
      <c r="B2134">
        <v>237</v>
      </c>
      <c r="C2134" t="s">
        <v>642</v>
      </c>
      <c r="D2134">
        <v>13333285</v>
      </c>
      <c r="E2134">
        <v>33088</v>
      </c>
      <c r="F2134">
        <v>21959</v>
      </c>
    </row>
    <row r="2135" spans="1:6">
      <c r="A2135" t="s">
        <v>3268</v>
      </c>
      <c r="B2135">
        <v>238</v>
      </c>
      <c r="C2135" t="s">
        <v>149</v>
      </c>
      <c r="D2135">
        <v>247046</v>
      </c>
      <c r="E2135">
        <v>33385</v>
      </c>
      <c r="F2135">
        <v>22074</v>
      </c>
    </row>
    <row r="2136" spans="1:6">
      <c r="A2136" t="s">
        <v>3269</v>
      </c>
      <c r="B2136">
        <v>238</v>
      </c>
      <c r="C2136" t="s">
        <v>1132</v>
      </c>
      <c r="D2136">
        <v>741138</v>
      </c>
      <c r="E2136">
        <v>33385</v>
      </c>
      <c r="F2136">
        <v>22074</v>
      </c>
    </row>
    <row r="2137" spans="1:6">
      <c r="A2137" t="s">
        <v>3270</v>
      </c>
      <c r="B2137">
        <v>238</v>
      </c>
      <c r="C2137" t="s">
        <v>1134</v>
      </c>
      <c r="D2137">
        <v>444683</v>
      </c>
      <c r="E2137">
        <v>33385</v>
      </c>
      <c r="F2137">
        <v>22074</v>
      </c>
    </row>
    <row r="2138" spans="1:6">
      <c r="A2138" t="s">
        <v>3271</v>
      </c>
      <c r="B2138">
        <v>238</v>
      </c>
      <c r="C2138" t="s">
        <v>1136</v>
      </c>
      <c r="D2138">
        <v>123523</v>
      </c>
      <c r="E2138">
        <v>33385</v>
      </c>
      <c r="F2138">
        <v>22074</v>
      </c>
    </row>
    <row r="2139" spans="1:6">
      <c r="A2139" t="s">
        <v>3272</v>
      </c>
      <c r="B2139">
        <v>238</v>
      </c>
      <c r="C2139" t="s">
        <v>1138</v>
      </c>
      <c r="D2139">
        <v>37057</v>
      </c>
      <c r="E2139">
        <v>33385</v>
      </c>
      <c r="F2139">
        <v>22074</v>
      </c>
    </row>
    <row r="2140" spans="1:6">
      <c r="A2140" t="s">
        <v>3273</v>
      </c>
      <c r="B2140">
        <v>238</v>
      </c>
      <c r="C2140" t="s">
        <v>738</v>
      </c>
      <c r="D2140">
        <v>988184</v>
      </c>
      <c r="E2140">
        <v>33385</v>
      </c>
      <c r="F2140">
        <v>22074</v>
      </c>
    </row>
    <row r="2141" spans="1:6">
      <c r="A2141" t="s">
        <v>3274</v>
      </c>
      <c r="B2141">
        <v>238</v>
      </c>
      <c r="C2141" t="s">
        <v>1141</v>
      </c>
      <c r="D2141">
        <v>2223414</v>
      </c>
      <c r="E2141">
        <v>33385</v>
      </c>
      <c r="F2141">
        <v>22074</v>
      </c>
    </row>
    <row r="2142" spans="1:6">
      <c r="A2142" t="s">
        <v>3275</v>
      </c>
      <c r="B2142">
        <v>238</v>
      </c>
      <c r="C2142" t="s">
        <v>159</v>
      </c>
      <c r="D2142">
        <v>26980963</v>
      </c>
      <c r="E2142">
        <v>33385</v>
      </c>
      <c r="F2142">
        <v>22074</v>
      </c>
    </row>
    <row r="2143" spans="1:6">
      <c r="A2143" t="s">
        <v>3276</v>
      </c>
      <c r="B2143">
        <v>238</v>
      </c>
      <c r="C2143" t="s">
        <v>642</v>
      </c>
      <c r="D2143">
        <v>13490482</v>
      </c>
      <c r="E2143">
        <v>33385</v>
      </c>
      <c r="F2143">
        <v>22074</v>
      </c>
    </row>
    <row r="2144" spans="1:6">
      <c r="A2144" t="s">
        <v>3277</v>
      </c>
      <c r="B2144">
        <v>239</v>
      </c>
      <c r="C2144" t="s">
        <v>149</v>
      </c>
      <c r="D2144">
        <v>249750</v>
      </c>
      <c r="E2144">
        <v>33684</v>
      </c>
      <c r="F2144">
        <v>22188</v>
      </c>
    </row>
    <row r="2145" spans="1:6">
      <c r="A2145" t="s">
        <v>3278</v>
      </c>
      <c r="B2145">
        <v>239</v>
      </c>
      <c r="C2145" t="s">
        <v>1132</v>
      </c>
      <c r="D2145">
        <v>749250</v>
      </c>
      <c r="E2145">
        <v>33684</v>
      </c>
      <c r="F2145">
        <v>22188</v>
      </c>
    </row>
    <row r="2146" spans="1:6">
      <c r="A2146" t="s">
        <v>3279</v>
      </c>
      <c r="B2146">
        <v>239</v>
      </c>
      <c r="C2146" t="s">
        <v>1134</v>
      </c>
      <c r="D2146">
        <v>449550</v>
      </c>
      <c r="E2146">
        <v>33684</v>
      </c>
      <c r="F2146">
        <v>22188</v>
      </c>
    </row>
    <row r="2147" spans="1:6">
      <c r="A2147" t="s">
        <v>3280</v>
      </c>
      <c r="B2147">
        <v>239</v>
      </c>
      <c r="C2147" t="s">
        <v>1136</v>
      </c>
      <c r="D2147">
        <v>124875</v>
      </c>
      <c r="E2147">
        <v>33684</v>
      </c>
      <c r="F2147">
        <v>22188</v>
      </c>
    </row>
    <row r="2148" spans="1:6">
      <c r="A2148" t="s">
        <v>3281</v>
      </c>
      <c r="B2148">
        <v>239</v>
      </c>
      <c r="C2148" t="s">
        <v>1138</v>
      </c>
      <c r="D2148">
        <v>37463</v>
      </c>
      <c r="E2148">
        <v>33684</v>
      </c>
      <c r="F2148">
        <v>22188</v>
      </c>
    </row>
    <row r="2149" spans="1:6">
      <c r="A2149" t="s">
        <v>3282</v>
      </c>
      <c r="B2149">
        <v>239</v>
      </c>
      <c r="C2149" t="s">
        <v>738</v>
      </c>
      <c r="D2149">
        <v>999000</v>
      </c>
      <c r="E2149">
        <v>33684</v>
      </c>
      <c r="F2149">
        <v>22188</v>
      </c>
    </row>
    <row r="2150" spans="1:6">
      <c r="A2150" t="s">
        <v>3283</v>
      </c>
      <c r="B2150">
        <v>239</v>
      </c>
      <c r="C2150" t="s">
        <v>1141</v>
      </c>
      <c r="D2150">
        <v>2247750</v>
      </c>
      <c r="E2150">
        <v>33684</v>
      </c>
      <c r="F2150">
        <v>22188</v>
      </c>
    </row>
    <row r="2151" spans="1:6">
      <c r="A2151" t="s">
        <v>3284</v>
      </c>
      <c r="B2151">
        <v>239</v>
      </c>
      <c r="C2151" t="s">
        <v>159</v>
      </c>
      <c r="D2151">
        <v>27298177</v>
      </c>
      <c r="E2151">
        <v>33684</v>
      </c>
      <c r="F2151">
        <v>22188</v>
      </c>
    </row>
    <row r="2152" spans="1:6">
      <c r="A2152" t="s">
        <v>3285</v>
      </c>
      <c r="B2152">
        <v>239</v>
      </c>
      <c r="C2152" t="s">
        <v>642</v>
      </c>
      <c r="D2152">
        <v>13649088</v>
      </c>
      <c r="E2152">
        <v>33684</v>
      </c>
      <c r="F2152">
        <v>22188</v>
      </c>
    </row>
    <row r="2153" spans="1:6">
      <c r="A2153" t="s">
        <v>3286</v>
      </c>
      <c r="B2153">
        <v>240</v>
      </c>
      <c r="C2153" t="s">
        <v>149</v>
      </c>
      <c r="D2153">
        <v>252476</v>
      </c>
      <c r="E2153">
        <v>33984</v>
      </c>
      <c r="F2153">
        <v>22303</v>
      </c>
    </row>
    <row r="2154" spans="1:6">
      <c r="A2154" t="s">
        <v>3287</v>
      </c>
      <c r="B2154">
        <v>240</v>
      </c>
      <c r="C2154" t="s">
        <v>1132</v>
      </c>
      <c r="D2154">
        <v>757428</v>
      </c>
      <c r="E2154">
        <v>33984</v>
      </c>
      <c r="F2154">
        <v>22303</v>
      </c>
    </row>
    <row r="2155" spans="1:6">
      <c r="A2155" t="s">
        <v>3288</v>
      </c>
      <c r="B2155">
        <v>240</v>
      </c>
      <c r="C2155" t="s">
        <v>1134</v>
      </c>
      <c r="D2155">
        <v>454457</v>
      </c>
      <c r="E2155">
        <v>33984</v>
      </c>
      <c r="F2155">
        <v>22303</v>
      </c>
    </row>
    <row r="2156" spans="1:6">
      <c r="A2156" t="s">
        <v>3289</v>
      </c>
      <c r="B2156">
        <v>240</v>
      </c>
      <c r="C2156" t="s">
        <v>1136</v>
      </c>
      <c r="D2156">
        <v>126238</v>
      </c>
      <c r="E2156">
        <v>33984</v>
      </c>
      <c r="F2156">
        <v>22303</v>
      </c>
    </row>
    <row r="2157" spans="1:6">
      <c r="A2157" t="s">
        <v>3290</v>
      </c>
      <c r="B2157">
        <v>240</v>
      </c>
      <c r="C2157" t="s">
        <v>1138</v>
      </c>
      <c r="D2157">
        <v>37872</v>
      </c>
      <c r="E2157">
        <v>33984</v>
      </c>
      <c r="F2157">
        <v>22303</v>
      </c>
    </row>
    <row r="2158" spans="1:6">
      <c r="A2158" t="s">
        <v>3291</v>
      </c>
      <c r="B2158">
        <v>240</v>
      </c>
      <c r="C2158" t="s">
        <v>738</v>
      </c>
      <c r="D2158">
        <v>1009904</v>
      </c>
      <c r="E2158">
        <v>33984</v>
      </c>
      <c r="F2158">
        <v>22303</v>
      </c>
    </row>
    <row r="2159" spans="1:6">
      <c r="A2159" t="s">
        <v>3292</v>
      </c>
      <c r="B2159">
        <v>240</v>
      </c>
      <c r="C2159" t="s">
        <v>1141</v>
      </c>
      <c r="D2159">
        <v>2272284</v>
      </c>
      <c r="E2159">
        <v>33984</v>
      </c>
      <c r="F2159">
        <v>22303</v>
      </c>
    </row>
    <row r="2160" spans="1:6">
      <c r="A2160" t="s">
        <v>3293</v>
      </c>
      <c r="B2160">
        <v>240</v>
      </c>
      <c r="C2160" t="s">
        <v>159</v>
      </c>
      <c r="D2160">
        <v>27618211</v>
      </c>
      <c r="E2160">
        <v>33984</v>
      </c>
      <c r="F2160">
        <v>22303</v>
      </c>
    </row>
    <row r="2161" spans="1:6">
      <c r="A2161" t="s">
        <v>3294</v>
      </c>
      <c r="B2161">
        <v>240</v>
      </c>
      <c r="C2161" t="s">
        <v>642</v>
      </c>
      <c r="D2161">
        <v>13809105</v>
      </c>
      <c r="E2161">
        <v>33984</v>
      </c>
      <c r="F2161">
        <v>22303</v>
      </c>
    </row>
    <row r="2162" spans="1:6">
      <c r="A2162" t="s">
        <v>3295</v>
      </c>
      <c r="B2162">
        <v>241</v>
      </c>
      <c r="C2162" t="s">
        <v>149</v>
      </c>
      <c r="D2162">
        <v>255224</v>
      </c>
      <c r="E2162">
        <v>34286</v>
      </c>
      <c r="F2162">
        <v>22418</v>
      </c>
    </row>
    <row r="2163" spans="1:6">
      <c r="A2163" t="s">
        <v>3296</v>
      </c>
      <c r="B2163">
        <v>241</v>
      </c>
      <c r="C2163" t="s">
        <v>1132</v>
      </c>
      <c r="D2163">
        <v>765672</v>
      </c>
      <c r="E2163">
        <v>34286</v>
      </c>
      <c r="F2163">
        <v>22418</v>
      </c>
    </row>
    <row r="2164" spans="1:6">
      <c r="A2164" t="s">
        <v>3297</v>
      </c>
      <c r="B2164">
        <v>241</v>
      </c>
      <c r="C2164" t="s">
        <v>1134</v>
      </c>
      <c r="D2164">
        <v>459404</v>
      </c>
      <c r="E2164">
        <v>34286</v>
      </c>
      <c r="F2164">
        <v>22418</v>
      </c>
    </row>
    <row r="2165" spans="1:6">
      <c r="A2165" t="s">
        <v>3298</v>
      </c>
      <c r="B2165">
        <v>241</v>
      </c>
      <c r="C2165" t="s">
        <v>1136</v>
      </c>
      <c r="D2165">
        <v>127612</v>
      </c>
      <c r="E2165">
        <v>34286</v>
      </c>
      <c r="F2165">
        <v>22418</v>
      </c>
    </row>
    <row r="2166" spans="1:6">
      <c r="A2166" t="s">
        <v>3299</v>
      </c>
      <c r="B2166">
        <v>241</v>
      </c>
      <c r="C2166" t="s">
        <v>1138</v>
      </c>
      <c r="D2166">
        <v>38284</v>
      </c>
      <c r="E2166">
        <v>34286</v>
      </c>
      <c r="F2166">
        <v>22418</v>
      </c>
    </row>
    <row r="2167" spans="1:6">
      <c r="A2167" t="s">
        <v>3300</v>
      </c>
      <c r="B2167">
        <v>241</v>
      </c>
      <c r="C2167" t="s">
        <v>738</v>
      </c>
      <c r="D2167">
        <v>1020896</v>
      </c>
      <c r="E2167">
        <v>34286</v>
      </c>
      <c r="F2167">
        <v>22418</v>
      </c>
    </row>
    <row r="2168" spans="1:6">
      <c r="A2168" t="s">
        <v>3301</v>
      </c>
      <c r="B2168">
        <v>241</v>
      </c>
      <c r="C2168" t="s">
        <v>1141</v>
      </c>
      <c r="D2168">
        <v>2297016</v>
      </c>
      <c r="E2168">
        <v>34286</v>
      </c>
      <c r="F2168">
        <v>22418</v>
      </c>
    </row>
    <row r="2169" spans="1:6">
      <c r="A2169" t="s">
        <v>3302</v>
      </c>
      <c r="B2169">
        <v>241</v>
      </c>
      <c r="C2169" t="s">
        <v>159</v>
      </c>
      <c r="D2169">
        <v>27941125</v>
      </c>
      <c r="E2169">
        <v>34286</v>
      </c>
      <c r="F2169">
        <v>22418</v>
      </c>
    </row>
    <row r="2170" spans="1:6">
      <c r="A2170" t="s">
        <v>3303</v>
      </c>
      <c r="B2170">
        <v>241</v>
      </c>
      <c r="C2170" t="s">
        <v>642</v>
      </c>
      <c r="D2170">
        <v>13970562</v>
      </c>
      <c r="E2170">
        <v>34286</v>
      </c>
      <c r="F2170">
        <v>22418</v>
      </c>
    </row>
    <row r="2171" spans="1:6">
      <c r="A2171" t="s">
        <v>3304</v>
      </c>
      <c r="B2171">
        <v>242</v>
      </c>
      <c r="C2171" t="s">
        <v>149</v>
      </c>
      <c r="D2171">
        <v>257994</v>
      </c>
      <c r="E2171">
        <v>34590</v>
      </c>
      <c r="F2171">
        <v>22534</v>
      </c>
    </row>
    <row r="2172" spans="1:6">
      <c r="A2172" t="s">
        <v>3305</v>
      </c>
      <c r="B2172">
        <v>242</v>
      </c>
      <c r="C2172" t="s">
        <v>1132</v>
      </c>
      <c r="D2172">
        <v>773982</v>
      </c>
      <c r="E2172">
        <v>34590</v>
      </c>
      <c r="F2172">
        <v>22534</v>
      </c>
    </row>
    <row r="2173" spans="1:6">
      <c r="A2173" t="s">
        <v>3306</v>
      </c>
      <c r="B2173">
        <v>242</v>
      </c>
      <c r="C2173" t="s">
        <v>1134</v>
      </c>
      <c r="D2173">
        <v>464390</v>
      </c>
      <c r="E2173">
        <v>34590</v>
      </c>
      <c r="F2173">
        <v>22534</v>
      </c>
    </row>
    <row r="2174" spans="1:6">
      <c r="A2174" t="s">
        <v>3307</v>
      </c>
      <c r="B2174">
        <v>242</v>
      </c>
      <c r="C2174" t="s">
        <v>1136</v>
      </c>
      <c r="D2174">
        <v>128997</v>
      </c>
      <c r="E2174">
        <v>34590</v>
      </c>
      <c r="F2174">
        <v>22534</v>
      </c>
    </row>
    <row r="2175" spans="1:6">
      <c r="A2175" t="s">
        <v>3308</v>
      </c>
      <c r="B2175">
        <v>242</v>
      </c>
      <c r="C2175" t="s">
        <v>1138</v>
      </c>
      <c r="D2175">
        <v>38700</v>
      </c>
      <c r="E2175">
        <v>34590</v>
      </c>
      <c r="F2175">
        <v>22534</v>
      </c>
    </row>
    <row r="2176" spans="1:6">
      <c r="A2176" t="s">
        <v>3309</v>
      </c>
      <c r="B2176">
        <v>242</v>
      </c>
      <c r="C2176" t="s">
        <v>738</v>
      </c>
      <c r="D2176">
        <v>1031976</v>
      </c>
      <c r="E2176">
        <v>34590</v>
      </c>
      <c r="F2176">
        <v>22534</v>
      </c>
    </row>
    <row r="2177" spans="1:6">
      <c r="A2177" t="s">
        <v>3310</v>
      </c>
      <c r="B2177">
        <v>242</v>
      </c>
      <c r="C2177" t="s">
        <v>1141</v>
      </c>
      <c r="D2177">
        <v>2321946</v>
      </c>
      <c r="E2177">
        <v>34590</v>
      </c>
      <c r="F2177">
        <v>22534</v>
      </c>
    </row>
    <row r="2178" spans="1:6">
      <c r="A2178" t="s">
        <v>3311</v>
      </c>
      <c r="B2178">
        <v>242</v>
      </c>
      <c r="C2178" t="s">
        <v>159</v>
      </c>
      <c r="D2178">
        <v>28266859</v>
      </c>
      <c r="E2178">
        <v>34590</v>
      </c>
      <c r="F2178">
        <v>22534</v>
      </c>
    </row>
    <row r="2179" spans="1:6">
      <c r="A2179" t="s">
        <v>3312</v>
      </c>
      <c r="B2179">
        <v>242</v>
      </c>
      <c r="C2179" t="s">
        <v>642</v>
      </c>
      <c r="D2179">
        <v>14133430</v>
      </c>
      <c r="E2179">
        <v>34590</v>
      </c>
      <c r="F2179">
        <v>22534</v>
      </c>
    </row>
    <row r="2180" spans="1:6">
      <c r="A2180" t="s">
        <v>3313</v>
      </c>
      <c r="B2180">
        <v>243</v>
      </c>
      <c r="C2180" t="s">
        <v>149</v>
      </c>
      <c r="D2180">
        <v>260788</v>
      </c>
      <c r="E2180">
        <v>34896</v>
      </c>
      <c r="F2180">
        <v>22649</v>
      </c>
    </row>
    <row r="2181" spans="1:6">
      <c r="A2181" t="s">
        <v>3314</v>
      </c>
      <c r="B2181">
        <v>243</v>
      </c>
      <c r="C2181" t="s">
        <v>1132</v>
      </c>
      <c r="D2181">
        <v>782364</v>
      </c>
      <c r="E2181">
        <v>34896</v>
      </c>
      <c r="F2181">
        <v>22649</v>
      </c>
    </row>
    <row r="2182" spans="1:6">
      <c r="A2182" t="s">
        <v>3315</v>
      </c>
      <c r="B2182">
        <v>243</v>
      </c>
      <c r="C2182" t="s">
        <v>1134</v>
      </c>
      <c r="D2182">
        <v>469419</v>
      </c>
      <c r="E2182">
        <v>34896</v>
      </c>
      <c r="F2182">
        <v>22649</v>
      </c>
    </row>
    <row r="2183" spans="1:6">
      <c r="A2183" t="s">
        <v>3316</v>
      </c>
      <c r="B2183">
        <v>243</v>
      </c>
      <c r="C2183" t="s">
        <v>1136</v>
      </c>
      <c r="D2183">
        <v>130394</v>
      </c>
      <c r="E2183">
        <v>34896</v>
      </c>
      <c r="F2183">
        <v>22649</v>
      </c>
    </row>
    <row r="2184" spans="1:6">
      <c r="A2184" t="s">
        <v>3317</v>
      </c>
      <c r="B2184">
        <v>243</v>
      </c>
      <c r="C2184" t="s">
        <v>1138</v>
      </c>
      <c r="D2184">
        <v>39119</v>
      </c>
      <c r="E2184">
        <v>34896</v>
      </c>
      <c r="F2184">
        <v>22649</v>
      </c>
    </row>
    <row r="2185" spans="1:6">
      <c r="A2185" t="s">
        <v>3318</v>
      </c>
      <c r="B2185">
        <v>243</v>
      </c>
      <c r="C2185" t="s">
        <v>738</v>
      </c>
      <c r="D2185">
        <v>1043152</v>
      </c>
      <c r="E2185">
        <v>34896</v>
      </c>
      <c r="F2185">
        <v>22649</v>
      </c>
    </row>
    <row r="2186" spans="1:6">
      <c r="A2186" t="s">
        <v>3319</v>
      </c>
      <c r="B2186">
        <v>243</v>
      </c>
      <c r="C2186" t="s">
        <v>1141</v>
      </c>
      <c r="D2186">
        <v>2347092</v>
      </c>
      <c r="E2186">
        <v>34896</v>
      </c>
      <c r="F2186">
        <v>22649</v>
      </c>
    </row>
    <row r="2187" spans="1:6">
      <c r="A2187" t="s">
        <v>3320</v>
      </c>
      <c r="B2187">
        <v>243</v>
      </c>
      <c r="C2187" t="s">
        <v>159</v>
      </c>
      <c r="D2187">
        <v>28595534</v>
      </c>
      <c r="E2187">
        <v>34896</v>
      </c>
      <c r="F2187">
        <v>22649</v>
      </c>
    </row>
    <row r="2188" spans="1:6">
      <c r="A2188" t="s">
        <v>3321</v>
      </c>
      <c r="B2188">
        <v>243</v>
      </c>
      <c r="C2188" t="s">
        <v>642</v>
      </c>
      <c r="D2188">
        <v>14297767</v>
      </c>
      <c r="E2188">
        <v>34896</v>
      </c>
      <c r="F2188">
        <v>22649</v>
      </c>
    </row>
    <row r="2189" spans="1:6">
      <c r="A2189" t="s">
        <v>3322</v>
      </c>
      <c r="B2189">
        <v>244</v>
      </c>
      <c r="C2189" t="s">
        <v>149</v>
      </c>
      <c r="D2189">
        <v>263604</v>
      </c>
      <c r="E2189">
        <v>35204</v>
      </c>
      <c r="F2189">
        <v>22765</v>
      </c>
    </row>
    <row r="2190" spans="1:6">
      <c r="A2190" t="s">
        <v>3323</v>
      </c>
      <c r="B2190">
        <v>244</v>
      </c>
      <c r="C2190" t="s">
        <v>1132</v>
      </c>
      <c r="D2190">
        <v>790812</v>
      </c>
      <c r="E2190">
        <v>35204</v>
      </c>
      <c r="F2190">
        <v>22765</v>
      </c>
    </row>
    <row r="2191" spans="1:6">
      <c r="A2191" t="s">
        <v>3324</v>
      </c>
      <c r="B2191">
        <v>244</v>
      </c>
      <c r="C2191" t="s">
        <v>1134</v>
      </c>
      <c r="D2191">
        <v>474488</v>
      </c>
      <c r="E2191">
        <v>35204</v>
      </c>
      <c r="F2191">
        <v>22765</v>
      </c>
    </row>
    <row r="2192" spans="1:6">
      <c r="A2192" t="s">
        <v>3325</v>
      </c>
      <c r="B2192">
        <v>244</v>
      </c>
      <c r="C2192" t="s">
        <v>1136</v>
      </c>
      <c r="D2192">
        <v>131802</v>
      </c>
      <c r="E2192">
        <v>35204</v>
      </c>
      <c r="F2192">
        <v>22765</v>
      </c>
    </row>
    <row r="2193" spans="1:6">
      <c r="A2193" t="s">
        <v>3326</v>
      </c>
      <c r="B2193">
        <v>244</v>
      </c>
      <c r="C2193" t="s">
        <v>1138</v>
      </c>
      <c r="D2193">
        <v>39541</v>
      </c>
      <c r="E2193">
        <v>35204</v>
      </c>
      <c r="F2193">
        <v>22765</v>
      </c>
    </row>
    <row r="2194" spans="1:6">
      <c r="A2194" t="s">
        <v>3327</v>
      </c>
      <c r="B2194">
        <v>244</v>
      </c>
      <c r="C2194" t="s">
        <v>738</v>
      </c>
      <c r="D2194">
        <v>1054416</v>
      </c>
      <c r="E2194">
        <v>35204</v>
      </c>
      <c r="F2194">
        <v>22765</v>
      </c>
    </row>
    <row r="2195" spans="1:6">
      <c r="A2195" t="s">
        <v>3328</v>
      </c>
      <c r="B2195">
        <v>244</v>
      </c>
      <c r="C2195" t="s">
        <v>1141</v>
      </c>
      <c r="D2195">
        <v>2372436</v>
      </c>
      <c r="E2195">
        <v>35204</v>
      </c>
      <c r="F2195">
        <v>22765</v>
      </c>
    </row>
    <row r="2196" spans="1:6">
      <c r="A2196" t="s">
        <v>3329</v>
      </c>
      <c r="B2196">
        <v>244</v>
      </c>
      <c r="C2196" t="s">
        <v>159</v>
      </c>
      <c r="D2196">
        <v>28927088</v>
      </c>
      <c r="E2196">
        <v>35204</v>
      </c>
      <c r="F2196">
        <v>22765</v>
      </c>
    </row>
    <row r="2197" spans="1:6">
      <c r="A2197" t="s">
        <v>3330</v>
      </c>
      <c r="B2197">
        <v>244</v>
      </c>
      <c r="C2197" t="s">
        <v>642</v>
      </c>
      <c r="D2197">
        <v>14463544</v>
      </c>
      <c r="E2197">
        <v>35204</v>
      </c>
      <c r="F2197">
        <v>22765</v>
      </c>
    </row>
    <row r="2198" spans="1:6">
      <c r="A2198" t="s">
        <v>3331</v>
      </c>
      <c r="B2198">
        <v>245</v>
      </c>
      <c r="C2198" t="s">
        <v>149</v>
      </c>
      <c r="D2198">
        <v>266442</v>
      </c>
      <c r="E2198">
        <v>35514</v>
      </c>
      <c r="F2198">
        <v>22881</v>
      </c>
    </row>
    <row r="2199" spans="1:6">
      <c r="A2199" t="s">
        <v>3332</v>
      </c>
      <c r="B2199">
        <v>245</v>
      </c>
      <c r="C2199" t="s">
        <v>1132</v>
      </c>
      <c r="D2199">
        <v>799326</v>
      </c>
      <c r="E2199">
        <v>35514</v>
      </c>
      <c r="F2199">
        <v>22881</v>
      </c>
    </row>
    <row r="2200" spans="1:6">
      <c r="A2200" t="s">
        <v>3333</v>
      </c>
      <c r="B2200">
        <v>245</v>
      </c>
      <c r="C2200" t="s">
        <v>1134</v>
      </c>
      <c r="D2200">
        <v>479596</v>
      </c>
      <c r="E2200">
        <v>35514</v>
      </c>
      <c r="F2200">
        <v>22881</v>
      </c>
    </row>
    <row r="2201" spans="1:6">
      <c r="A2201" t="s">
        <v>3334</v>
      </c>
      <c r="B2201">
        <v>245</v>
      </c>
      <c r="C2201" t="s">
        <v>1136</v>
      </c>
      <c r="D2201">
        <v>133221</v>
      </c>
      <c r="E2201">
        <v>35514</v>
      </c>
      <c r="F2201">
        <v>22881</v>
      </c>
    </row>
    <row r="2202" spans="1:6">
      <c r="A2202" t="s">
        <v>3335</v>
      </c>
      <c r="B2202">
        <v>245</v>
      </c>
      <c r="C2202" t="s">
        <v>1138</v>
      </c>
      <c r="D2202">
        <v>39967</v>
      </c>
      <c r="E2202">
        <v>35514</v>
      </c>
      <c r="F2202">
        <v>22881</v>
      </c>
    </row>
    <row r="2203" spans="1:6">
      <c r="A2203" t="s">
        <v>3336</v>
      </c>
      <c r="B2203">
        <v>245</v>
      </c>
      <c r="C2203" t="s">
        <v>738</v>
      </c>
      <c r="D2203">
        <v>1065768</v>
      </c>
      <c r="E2203">
        <v>35514</v>
      </c>
      <c r="F2203">
        <v>22881</v>
      </c>
    </row>
    <row r="2204" spans="1:6">
      <c r="A2204" t="s">
        <v>3337</v>
      </c>
      <c r="B2204">
        <v>245</v>
      </c>
      <c r="C2204" t="s">
        <v>1141</v>
      </c>
      <c r="D2204">
        <v>2397978</v>
      </c>
      <c r="E2204">
        <v>35514</v>
      </c>
      <c r="F2204">
        <v>22881</v>
      </c>
    </row>
    <row r="2205" spans="1:6">
      <c r="A2205" t="s">
        <v>3338</v>
      </c>
      <c r="B2205">
        <v>245</v>
      </c>
      <c r="C2205" t="s">
        <v>159</v>
      </c>
      <c r="D2205">
        <v>29261583</v>
      </c>
      <c r="E2205">
        <v>35514</v>
      </c>
      <c r="F2205">
        <v>22881</v>
      </c>
    </row>
    <row r="2206" spans="1:6">
      <c r="A2206" t="s">
        <v>3339</v>
      </c>
      <c r="B2206">
        <v>245</v>
      </c>
      <c r="C2206" t="s">
        <v>642</v>
      </c>
      <c r="D2206">
        <v>14630792</v>
      </c>
      <c r="E2206">
        <v>35514</v>
      </c>
      <c r="F2206">
        <v>22881</v>
      </c>
    </row>
    <row r="2207" spans="1:6">
      <c r="A2207" t="s">
        <v>3340</v>
      </c>
      <c r="B2207">
        <v>246</v>
      </c>
      <c r="C2207" t="s">
        <v>149</v>
      </c>
      <c r="D2207">
        <v>269304</v>
      </c>
      <c r="E2207">
        <v>35825</v>
      </c>
      <c r="F2207">
        <v>22997</v>
      </c>
    </row>
    <row r="2208" spans="1:6">
      <c r="A2208" t="s">
        <v>3341</v>
      </c>
      <c r="B2208">
        <v>246</v>
      </c>
      <c r="C2208" t="s">
        <v>1132</v>
      </c>
      <c r="D2208">
        <v>807912</v>
      </c>
      <c r="E2208">
        <v>35825</v>
      </c>
      <c r="F2208">
        <v>22997</v>
      </c>
    </row>
    <row r="2209" spans="1:6">
      <c r="A2209" t="s">
        <v>3342</v>
      </c>
      <c r="B2209">
        <v>246</v>
      </c>
      <c r="C2209" t="s">
        <v>1134</v>
      </c>
      <c r="D2209">
        <v>484748</v>
      </c>
      <c r="E2209">
        <v>35825</v>
      </c>
      <c r="F2209">
        <v>22997</v>
      </c>
    </row>
    <row r="2210" spans="1:6">
      <c r="A2210" t="s">
        <v>3343</v>
      </c>
      <c r="B2210">
        <v>246</v>
      </c>
      <c r="C2210" t="s">
        <v>1136</v>
      </c>
      <c r="D2210">
        <v>134652</v>
      </c>
      <c r="E2210">
        <v>35825</v>
      </c>
      <c r="F2210">
        <v>22997</v>
      </c>
    </row>
    <row r="2211" spans="1:6">
      <c r="A2211" t="s">
        <v>3344</v>
      </c>
      <c r="B2211">
        <v>246</v>
      </c>
      <c r="C2211" t="s">
        <v>1138</v>
      </c>
      <c r="D2211">
        <v>40396</v>
      </c>
      <c r="E2211">
        <v>35825</v>
      </c>
      <c r="F2211">
        <v>22997</v>
      </c>
    </row>
    <row r="2212" spans="1:6">
      <c r="A2212" t="s">
        <v>3345</v>
      </c>
      <c r="B2212">
        <v>246</v>
      </c>
      <c r="C2212" t="s">
        <v>738</v>
      </c>
      <c r="D2212">
        <v>1077216</v>
      </c>
      <c r="E2212">
        <v>35825</v>
      </c>
      <c r="F2212">
        <v>22997</v>
      </c>
    </row>
    <row r="2213" spans="1:6">
      <c r="A2213" t="s">
        <v>3346</v>
      </c>
      <c r="B2213">
        <v>246</v>
      </c>
      <c r="C2213" t="s">
        <v>1141</v>
      </c>
      <c r="D2213">
        <v>2423736</v>
      </c>
      <c r="E2213">
        <v>35825</v>
      </c>
      <c r="F2213">
        <v>22997</v>
      </c>
    </row>
    <row r="2214" spans="1:6">
      <c r="A2214" t="s">
        <v>3347</v>
      </c>
      <c r="B2214">
        <v>246</v>
      </c>
      <c r="C2214" t="s">
        <v>159</v>
      </c>
      <c r="D2214">
        <v>29599019</v>
      </c>
      <c r="E2214">
        <v>35825</v>
      </c>
      <c r="F2214">
        <v>22997</v>
      </c>
    </row>
    <row r="2215" spans="1:6">
      <c r="A2215" t="s">
        <v>3348</v>
      </c>
      <c r="B2215">
        <v>246</v>
      </c>
      <c r="C2215" t="s">
        <v>642</v>
      </c>
      <c r="D2215">
        <v>14799509</v>
      </c>
      <c r="E2215">
        <v>35825</v>
      </c>
      <c r="F2215">
        <v>22997</v>
      </c>
    </row>
    <row r="2216" spans="1:6">
      <c r="A2216" t="s">
        <v>3349</v>
      </c>
      <c r="B2216">
        <v>247</v>
      </c>
      <c r="C2216" t="s">
        <v>149</v>
      </c>
      <c r="D2216">
        <v>272189</v>
      </c>
      <c r="E2216">
        <v>36139</v>
      </c>
      <c r="F2216">
        <v>23113</v>
      </c>
    </row>
    <row r="2217" spans="1:6">
      <c r="A2217" t="s">
        <v>3350</v>
      </c>
      <c r="B2217">
        <v>247</v>
      </c>
      <c r="C2217" t="s">
        <v>1132</v>
      </c>
      <c r="D2217">
        <v>816567</v>
      </c>
      <c r="E2217">
        <v>36139</v>
      </c>
      <c r="F2217">
        <v>23113</v>
      </c>
    </row>
    <row r="2218" spans="1:6">
      <c r="A2218" t="s">
        <v>3351</v>
      </c>
      <c r="B2218">
        <v>247</v>
      </c>
      <c r="C2218" t="s">
        <v>1134</v>
      </c>
      <c r="D2218">
        <v>489941</v>
      </c>
      <c r="E2218">
        <v>36139</v>
      </c>
      <c r="F2218">
        <v>23113</v>
      </c>
    </row>
    <row r="2219" spans="1:6">
      <c r="A2219" t="s">
        <v>3352</v>
      </c>
      <c r="B2219">
        <v>247</v>
      </c>
      <c r="C2219" t="s">
        <v>1136</v>
      </c>
      <c r="D2219">
        <v>136095</v>
      </c>
      <c r="E2219">
        <v>36139</v>
      </c>
      <c r="F2219">
        <v>23113</v>
      </c>
    </row>
    <row r="2220" spans="1:6">
      <c r="A2220" t="s">
        <v>3353</v>
      </c>
      <c r="B2220">
        <v>247</v>
      </c>
      <c r="C2220" t="s">
        <v>1138</v>
      </c>
      <c r="D2220">
        <v>40829</v>
      </c>
      <c r="E2220">
        <v>36139</v>
      </c>
      <c r="F2220">
        <v>23113</v>
      </c>
    </row>
    <row r="2221" spans="1:6">
      <c r="A2221" t="s">
        <v>3354</v>
      </c>
      <c r="B2221">
        <v>247</v>
      </c>
      <c r="C2221" t="s">
        <v>738</v>
      </c>
      <c r="D2221">
        <v>1088756</v>
      </c>
      <c r="E2221">
        <v>36139</v>
      </c>
      <c r="F2221">
        <v>23113</v>
      </c>
    </row>
    <row r="2222" spans="1:6">
      <c r="A2222" t="s">
        <v>3355</v>
      </c>
      <c r="B2222">
        <v>247</v>
      </c>
      <c r="C2222" t="s">
        <v>1141</v>
      </c>
      <c r="D2222">
        <v>2449701</v>
      </c>
      <c r="E2222">
        <v>36139</v>
      </c>
      <c r="F2222">
        <v>23113</v>
      </c>
    </row>
    <row r="2223" spans="1:6">
      <c r="A2223" t="s">
        <v>3356</v>
      </c>
      <c r="B2223">
        <v>247</v>
      </c>
      <c r="C2223" t="s">
        <v>159</v>
      </c>
      <c r="D2223">
        <v>29939394</v>
      </c>
      <c r="E2223">
        <v>36139</v>
      </c>
      <c r="F2223">
        <v>23113</v>
      </c>
    </row>
    <row r="2224" spans="1:6">
      <c r="A2224" t="s">
        <v>3357</v>
      </c>
      <c r="B2224">
        <v>247</v>
      </c>
      <c r="C2224" t="s">
        <v>642</v>
      </c>
      <c r="D2224">
        <v>14969697</v>
      </c>
      <c r="E2224">
        <v>36139</v>
      </c>
      <c r="F2224">
        <v>23113</v>
      </c>
    </row>
    <row r="2225" spans="1:6">
      <c r="A2225" t="s">
        <v>3358</v>
      </c>
      <c r="B2225">
        <v>248</v>
      </c>
      <c r="C2225" t="s">
        <v>149</v>
      </c>
      <c r="D2225">
        <v>275096</v>
      </c>
      <c r="E2225">
        <v>36454</v>
      </c>
      <c r="F2225">
        <v>23230</v>
      </c>
    </row>
    <row r="2226" spans="1:6">
      <c r="A2226" t="s">
        <v>3359</v>
      </c>
      <c r="B2226">
        <v>248</v>
      </c>
      <c r="C2226" t="s">
        <v>1132</v>
      </c>
      <c r="D2226">
        <v>825288</v>
      </c>
      <c r="E2226">
        <v>36454</v>
      </c>
      <c r="F2226">
        <v>23230</v>
      </c>
    </row>
    <row r="2227" spans="1:6">
      <c r="A2227" t="s">
        <v>3360</v>
      </c>
      <c r="B2227">
        <v>248</v>
      </c>
      <c r="C2227" t="s">
        <v>1134</v>
      </c>
      <c r="D2227">
        <v>495173</v>
      </c>
      <c r="E2227">
        <v>36454</v>
      </c>
      <c r="F2227">
        <v>23230</v>
      </c>
    </row>
    <row r="2228" spans="1:6">
      <c r="A2228" t="s">
        <v>3361</v>
      </c>
      <c r="B2228">
        <v>248</v>
      </c>
      <c r="C2228" t="s">
        <v>1136</v>
      </c>
      <c r="D2228">
        <v>137548</v>
      </c>
      <c r="E2228">
        <v>36454</v>
      </c>
      <c r="F2228">
        <v>23230</v>
      </c>
    </row>
    <row r="2229" spans="1:6">
      <c r="A2229" t="s">
        <v>3362</v>
      </c>
      <c r="B2229">
        <v>248</v>
      </c>
      <c r="C2229" t="s">
        <v>1138</v>
      </c>
      <c r="D2229">
        <v>41265</v>
      </c>
      <c r="E2229">
        <v>36454</v>
      </c>
      <c r="F2229">
        <v>23230</v>
      </c>
    </row>
    <row r="2230" spans="1:6">
      <c r="A2230" t="s">
        <v>3363</v>
      </c>
      <c r="B2230">
        <v>248</v>
      </c>
      <c r="C2230" t="s">
        <v>738</v>
      </c>
      <c r="D2230">
        <v>1100384</v>
      </c>
      <c r="E2230">
        <v>36454</v>
      </c>
      <c r="F2230">
        <v>23230</v>
      </c>
    </row>
    <row r="2231" spans="1:6">
      <c r="A2231" t="s">
        <v>3364</v>
      </c>
      <c r="B2231">
        <v>248</v>
      </c>
      <c r="C2231" t="s">
        <v>1141</v>
      </c>
      <c r="D2231">
        <v>2475864</v>
      </c>
      <c r="E2231">
        <v>36454</v>
      </c>
      <c r="F2231">
        <v>23230</v>
      </c>
    </row>
    <row r="2232" spans="1:6">
      <c r="A2232" t="s">
        <v>3365</v>
      </c>
      <c r="B2232">
        <v>248</v>
      </c>
      <c r="C2232" t="s">
        <v>159</v>
      </c>
      <c r="D2232">
        <v>30282830</v>
      </c>
      <c r="E2232">
        <v>36454</v>
      </c>
      <c r="F2232">
        <v>23230</v>
      </c>
    </row>
    <row r="2233" spans="1:6">
      <c r="A2233" t="s">
        <v>3366</v>
      </c>
      <c r="B2233">
        <v>248</v>
      </c>
      <c r="C2233" t="s">
        <v>642</v>
      </c>
      <c r="D2233">
        <v>15141415</v>
      </c>
      <c r="E2233">
        <v>36454</v>
      </c>
      <c r="F2233">
        <v>23230</v>
      </c>
    </row>
    <row r="2234" spans="1:6">
      <c r="A2234" t="s">
        <v>3367</v>
      </c>
      <c r="B2234">
        <v>249</v>
      </c>
      <c r="C2234" t="s">
        <v>149</v>
      </c>
      <c r="D2234">
        <v>278028</v>
      </c>
      <c r="E2234">
        <v>36771</v>
      </c>
      <c r="F2234">
        <v>23346</v>
      </c>
    </row>
    <row r="2235" spans="1:6">
      <c r="A2235" t="s">
        <v>3368</v>
      </c>
      <c r="B2235">
        <v>249</v>
      </c>
      <c r="C2235" t="s">
        <v>1132</v>
      </c>
      <c r="D2235">
        <v>834084</v>
      </c>
      <c r="E2235">
        <v>36771</v>
      </c>
      <c r="F2235">
        <v>23346</v>
      </c>
    </row>
    <row r="2236" spans="1:6">
      <c r="A2236" t="s">
        <v>3369</v>
      </c>
      <c r="B2236">
        <v>249</v>
      </c>
      <c r="C2236" t="s">
        <v>1134</v>
      </c>
      <c r="D2236">
        <v>500451</v>
      </c>
      <c r="E2236">
        <v>36771</v>
      </c>
      <c r="F2236">
        <v>23346</v>
      </c>
    </row>
    <row r="2237" spans="1:6">
      <c r="A2237" t="s">
        <v>3370</v>
      </c>
      <c r="B2237">
        <v>249</v>
      </c>
      <c r="C2237" t="s">
        <v>1136</v>
      </c>
      <c r="D2237">
        <v>139014</v>
      </c>
      <c r="E2237">
        <v>36771</v>
      </c>
      <c r="F2237">
        <v>23346</v>
      </c>
    </row>
    <row r="2238" spans="1:6">
      <c r="A2238" t="s">
        <v>3371</v>
      </c>
      <c r="B2238">
        <v>249</v>
      </c>
      <c r="C2238" t="s">
        <v>1138</v>
      </c>
      <c r="D2238">
        <v>41705</v>
      </c>
      <c r="E2238">
        <v>36771</v>
      </c>
      <c r="F2238">
        <v>23346</v>
      </c>
    </row>
    <row r="2239" spans="1:6">
      <c r="A2239" t="s">
        <v>3372</v>
      </c>
      <c r="B2239">
        <v>249</v>
      </c>
      <c r="C2239" t="s">
        <v>738</v>
      </c>
      <c r="D2239">
        <v>1112112</v>
      </c>
      <c r="E2239">
        <v>36771</v>
      </c>
      <c r="F2239">
        <v>23346</v>
      </c>
    </row>
    <row r="2240" spans="1:6">
      <c r="A2240" t="s">
        <v>3373</v>
      </c>
      <c r="B2240">
        <v>249</v>
      </c>
      <c r="C2240" t="s">
        <v>1141</v>
      </c>
      <c r="D2240">
        <v>2502252</v>
      </c>
      <c r="E2240">
        <v>36771</v>
      </c>
      <c r="F2240">
        <v>23346</v>
      </c>
    </row>
    <row r="2241" spans="1:6">
      <c r="A2241" t="s">
        <v>3374</v>
      </c>
      <c r="B2241">
        <v>249</v>
      </c>
      <c r="C2241" t="s">
        <v>159</v>
      </c>
      <c r="D2241">
        <v>30629205</v>
      </c>
      <c r="E2241">
        <v>36771</v>
      </c>
      <c r="F2241">
        <v>23346</v>
      </c>
    </row>
    <row r="2242" spans="1:6">
      <c r="A2242" t="s">
        <v>3375</v>
      </c>
      <c r="B2242">
        <v>249</v>
      </c>
      <c r="C2242" t="s">
        <v>642</v>
      </c>
      <c r="D2242">
        <v>15314603</v>
      </c>
      <c r="E2242">
        <v>36771</v>
      </c>
      <c r="F2242">
        <v>23346</v>
      </c>
    </row>
    <row r="2243" spans="1:6">
      <c r="A2243" t="s">
        <v>3376</v>
      </c>
      <c r="B2243">
        <v>250</v>
      </c>
      <c r="C2243" t="s">
        <v>149</v>
      </c>
      <c r="D2243">
        <v>280983</v>
      </c>
      <c r="E2243">
        <v>37090</v>
      </c>
      <c r="F2243">
        <v>23463</v>
      </c>
    </row>
    <row r="2244" spans="1:6">
      <c r="A2244" t="s">
        <v>3377</v>
      </c>
      <c r="B2244">
        <v>250</v>
      </c>
      <c r="C2244" t="s">
        <v>1132</v>
      </c>
      <c r="D2244">
        <v>842949</v>
      </c>
      <c r="E2244">
        <v>37090</v>
      </c>
      <c r="F2244">
        <v>23463</v>
      </c>
    </row>
    <row r="2245" spans="1:6">
      <c r="A2245" t="s">
        <v>3378</v>
      </c>
      <c r="B2245">
        <v>250</v>
      </c>
      <c r="C2245" t="s">
        <v>1134</v>
      </c>
      <c r="D2245">
        <v>505770</v>
      </c>
      <c r="E2245">
        <v>37090</v>
      </c>
      <c r="F2245">
        <v>23463</v>
      </c>
    </row>
    <row r="2246" spans="1:6">
      <c r="A2246" t="s">
        <v>3379</v>
      </c>
      <c r="B2246">
        <v>250</v>
      </c>
      <c r="C2246" t="s">
        <v>1136</v>
      </c>
      <c r="D2246">
        <v>140492</v>
      </c>
      <c r="E2246">
        <v>37090</v>
      </c>
      <c r="F2246">
        <v>23463</v>
      </c>
    </row>
    <row r="2247" spans="1:6">
      <c r="A2247" t="s">
        <v>3380</v>
      </c>
      <c r="B2247">
        <v>250</v>
      </c>
      <c r="C2247" t="s">
        <v>1138</v>
      </c>
      <c r="D2247">
        <v>42148</v>
      </c>
      <c r="E2247">
        <v>37090</v>
      </c>
      <c r="F2247">
        <v>23463</v>
      </c>
    </row>
    <row r="2248" spans="1:6">
      <c r="A2248" t="s">
        <v>3381</v>
      </c>
      <c r="B2248">
        <v>250</v>
      </c>
      <c r="C2248" t="s">
        <v>738</v>
      </c>
      <c r="D2248">
        <v>1123932</v>
      </c>
      <c r="E2248">
        <v>37090</v>
      </c>
      <c r="F2248">
        <v>23463</v>
      </c>
    </row>
    <row r="2249" spans="1:6">
      <c r="A2249" t="s">
        <v>3382</v>
      </c>
      <c r="B2249">
        <v>250</v>
      </c>
      <c r="C2249" t="s">
        <v>1141</v>
      </c>
      <c r="D2249">
        <v>2528847</v>
      </c>
      <c r="E2249">
        <v>37090</v>
      </c>
      <c r="F2249">
        <v>23463</v>
      </c>
    </row>
    <row r="2250" spans="1:6">
      <c r="A2250" t="s">
        <v>3383</v>
      </c>
      <c r="B2250">
        <v>250</v>
      </c>
      <c r="C2250" t="s">
        <v>159</v>
      </c>
      <c r="D2250">
        <v>30978641</v>
      </c>
      <c r="E2250">
        <v>37090</v>
      </c>
      <c r="F2250">
        <v>23463</v>
      </c>
    </row>
    <row r="2251" spans="1:6">
      <c r="A2251" t="s">
        <v>3384</v>
      </c>
      <c r="B2251">
        <v>250</v>
      </c>
      <c r="C2251" t="s">
        <v>642</v>
      </c>
      <c r="D2251">
        <v>15489321</v>
      </c>
      <c r="E2251">
        <v>37090</v>
      </c>
      <c r="F2251">
        <v>23463</v>
      </c>
    </row>
    <row r="2252" spans="1:6">
      <c r="A2252" t="s">
        <v>3385</v>
      </c>
      <c r="B2252">
        <v>251</v>
      </c>
      <c r="C2252" t="s">
        <v>149</v>
      </c>
      <c r="D2252">
        <v>283961</v>
      </c>
      <c r="E2252">
        <v>37411</v>
      </c>
      <c r="F2252">
        <v>23580</v>
      </c>
    </row>
    <row r="2253" spans="1:6">
      <c r="A2253" t="s">
        <v>3386</v>
      </c>
      <c r="B2253">
        <v>251</v>
      </c>
      <c r="C2253" t="s">
        <v>1132</v>
      </c>
      <c r="D2253">
        <v>851883</v>
      </c>
      <c r="E2253">
        <v>37411</v>
      </c>
      <c r="F2253">
        <v>23580</v>
      </c>
    </row>
    <row r="2254" spans="1:6">
      <c r="A2254" t="s">
        <v>3387</v>
      </c>
      <c r="B2254">
        <v>251</v>
      </c>
      <c r="C2254" t="s">
        <v>1134</v>
      </c>
      <c r="D2254">
        <v>511130</v>
      </c>
      <c r="E2254">
        <v>37411</v>
      </c>
      <c r="F2254">
        <v>23580</v>
      </c>
    </row>
    <row r="2255" spans="1:6">
      <c r="A2255" t="s">
        <v>3388</v>
      </c>
      <c r="B2255">
        <v>251</v>
      </c>
      <c r="C2255" t="s">
        <v>1136</v>
      </c>
      <c r="D2255">
        <v>141981</v>
      </c>
      <c r="E2255">
        <v>37411</v>
      </c>
      <c r="F2255">
        <v>23580</v>
      </c>
    </row>
    <row r="2256" spans="1:6">
      <c r="A2256" t="s">
        <v>3389</v>
      </c>
      <c r="B2256">
        <v>251</v>
      </c>
      <c r="C2256" t="s">
        <v>1138</v>
      </c>
      <c r="D2256">
        <v>42595</v>
      </c>
      <c r="E2256">
        <v>37411</v>
      </c>
      <c r="F2256">
        <v>23580</v>
      </c>
    </row>
    <row r="2257" spans="1:6">
      <c r="A2257" t="s">
        <v>3390</v>
      </c>
      <c r="B2257">
        <v>251</v>
      </c>
      <c r="C2257" t="s">
        <v>738</v>
      </c>
      <c r="D2257">
        <v>1135844</v>
      </c>
      <c r="E2257">
        <v>37411</v>
      </c>
      <c r="F2257">
        <v>23580</v>
      </c>
    </row>
    <row r="2258" spans="1:6">
      <c r="A2258" t="s">
        <v>3391</v>
      </c>
      <c r="B2258">
        <v>251</v>
      </c>
      <c r="C2258" t="s">
        <v>1141</v>
      </c>
      <c r="D2258">
        <v>2555649</v>
      </c>
      <c r="E2258">
        <v>37411</v>
      </c>
      <c r="F2258">
        <v>23580</v>
      </c>
    </row>
    <row r="2259" spans="1:6">
      <c r="A2259" t="s">
        <v>3392</v>
      </c>
      <c r="B2259">
        <v>251</v>
      </c>
      <c r="C2259" t="s">
        <v>159</v>
      </c>
      <c r="D2259">
        <v>31331137</v>
      </c>
      <c r="E2259">
        <v>37411</v>
      </c>
      <c r="F2259">
        <v>23580</v>
      </c>
    </row>
    <row r="2260" spans="1:6">
      <c r="A2260" t="s">
        <v>3393</v>
      </c>
      <c r="B2260">
        <v>251</v>
      </c>
      <c r="C2260" t="s">
        <v>642</v>
      </c>
      <c r="D2260">
        <v>15665569</v>
      </c>
      <c r="E2260">
        <v>37411</v>
      </c>
      <c r="F2260">
        <v>23580</v>
      </c>
    </row>
    <row r="2261" spans="1:6">
      <c r="A2261" t="s">
        <v>3394</v>
      </c>
      <c r="B2261">
        <v>252</v>
      </c>
      <c r="C2261" t="s">
        <v>149</v>
      </c>
      <c r="D2261">
        <v>286963</v>
      </c>
      <c r="E2261">
        <v>37734</v>
      </c>
      <c r="F2261">
        <v>23697</v>
      </c>
    </row>
    <row r="2262" spans="1:6">
      <c r="A2262" t="s">
        <v>3395</v>
      </c>
      <c r="B2262">
        <v>252</v>
      </c>
      <c r="C2262" t="s">
        <v>1132</v>
      </c>
      <c r="D2262">
        <v>860889</v>
      </c>
      <c r="E2262">
        <v>37734</v>
      </c>
      <c r="F2262">
        <v>23697</v>
      </c>
    </row>
    <row r="2263" spans="1:6">
      <c r="A2263" t="s">
        <v>3396</v>
      </c>
      <c r="B2263">
        <v>252</v>
      </c>
      <c r="C2263" t="s">
        <v>1134</v>
      </c>
      <c r="D2263">
        <v>516534</v>
      </c>
      <c r="E2263">
        <v>37734</v>
      </c>
      <c r="F2263">
        <v>23697</v>
      </c>
    </row>
    <row r="2264" spans="1:6">
      <c r="A2264" t="s">
        <v>3397</v>
      </c>
      <c r="B2264">
        <v>252</v>
      </c>
      <c r="C2264" t="s">
        <v>1136</v>
      </c>
      <c r="D2264">
        <v>143482</v>
      </c>
      <c r="E2264">
        <v>37734</v>
      </c>
      <c r="F2264">
        <v>23697</v>
      </c>
    </row>
    <row r="2265" spans="1:6">
      <c r="A2265" t="s">
        <v>3398</v>
      </c>
      <c r="B2265">
        <v>252</v>
      </c>
      <c r="C2265" t="s">
        <v>1138</v>
      </c>
      <c r="D2265">
        <v>43045</v>
      </c>
      <c r="E2265">
        <v>37734</v>
      </c>
      <c r="F2265">
        <v>23697</v>
      </c>
    </row>
    <row r="2266" spans="1:6">
      <c r="A2266" t="s">
        <v>3399</v>
      </c>
      <c r="B2266">
        <v>252</v>
      </c>
      <c r="C2266" t="s">
        <v>738</v>
      </c>
      <c r="D2266">
        <v>1147852</v>
      </c>
      <c r="E2266">
        <v>37734</v>
      </c>
      <c r="F2266">
        <v>23697</v>
      </c>
    </row>
    <row r="2267" spans="1:6">
      <c r="A2267" t="s">
        <v>3400</v>
      </c>
      <c r="B2267">
        <v>252</v>
      </c>
      <c r="C2267" t="s">
        <v>1141</v>
      </c>
      <c r="D2267">
        <v>2582667</v>
      </c>
      <c r="E2267">
        <v>37734</v>
      </c>
      <c r="F2267">
        <v>23697</v>
      </c>
    </row>
    <row r="2268" spans="1:6">
      <c r="A2268" t="s">
        <v>3401</v>
      </c>
      <c r="B2268">
        <v>252</v>
      </c>
      <c r="C2268" t="s">
        <v>159</v>
      </c>
      <c r="D2268">
        <v>31686693</v>
      </c>
      <c r="E2268">
        <v>37734</v>
      </c>
      <c r="F2268">
        <v>23697</v>
      </c>
    </row>
    <row r="2269" spans="1:6">
      <c r="A2269" t="s">
        <v>3402</v>
      </c>
      <c r="B2269">
        <v>252</v>
      </c>
      <c r="C2269" t="s">
        <v>642</v>
      </c>
      <c r="D2269">
        <v>15843347</v>
      </c>
      <c r="E2269">
        <v>37734</v>
      </c>
      <c r="F2269">
        <v>23697</v>
      </c>
    </row>
    <row r="2270" spans="1:6">
      <c r="A2270" t="s">
        <v>3403</v>
      </c>
      <c r="B2270">
        <v>253</v>
      </c>
      <c r="C2270" t="s">
        <v>149</v>
      </c>
      <c r="D2270">
        <v>289989</v>
      </c>
      <c r="E2270">
        <v>38059</v>
      </c>
      <c r="F2270">
        <v>23814</v>
      </c>
    </row>
    <row r="2271" spans="1:6">
      <c r="A2271" t="s">
        <v>3404</v>
      </c>
      <c r="B2271">
        <v>253</v>
      </c>
      <c r="C2271" t="s">
        <v>1132</v>
      </c>
      <c r="D2271">
        <v>869967</v>
      </c>
      <c r="E2271">
        <v>38059</v>
      </c>
      <c r="F2271">
        <v>23814</v>
      </c>
    </row>
    <row r="2272" spans="1:6">
      <c r="A2272" t="s">
        <v>3405</v>
      </c>
      <c r="B2272">
        <v>253</v>
      </c>
      <c r="C2272" t="s">
        <v>1134</v>
      </c>
      <c r="D2272">
        <v>521981</v>
      </c>
      <c r="E2272">
        <v>38059</v>
      </c>
      <c r="F2272">
        <v>23814</v>
      </c>
    </row>
    <row r="2273" spans="1:6">
      <c r="A2273" t="s">
        <v>3406</v>
      </c>
      <c r="B2273">
        <v>253</v>
      </c>
      <c r="C2273" t="s">
        <v>1136</v>
      </c>
      <c r="D2273">
        <v>144995</v>
      </c>
      <c r="E2273">
        <v>38059</v>
      </c>
      <c r="F2273">
        <v>23814</v>
      </c>
    </row>
    <row r="2274" spans="1:6">
      <c r="A2274" t="s">
        <v>3407</v>
      </c>
      <c r="B2274">
        <v>253</v>
      </c>
      <c r="C2274" t="s">
        <v>1138</v>
      </c>
      <c r="D2274">
        <v>43499</v>
      </c>
      <c r="E2274">
        <v>38059</v>
      </c>
      <c r="F2274">
        <v>23814</v>
      </c>
    </row>
    <row r="2275" spans="1:6">
      <c r="A2275" t="s">
        <v>3408</v>
      </c>
      <c r="B2275">
        <v>253</v>
      </c>
      <c r="C2275" t="s">
        <v>738</v>
      </c>
      <c r="D2275">
        <v>1159956</v>
      </c>
      <c r="E2275">
        <v>38059</v>
      </c>
      <c r="F2275">
        <v>23814</v>
      </c>
    </row>
    <row r="2276" spans="1:6">
      <c r="A2276" t="s">
        <v>3409</v>
      </c>
      <c r="B2276">
        <v>253</v>
      </c>
      <c r="C2276" t="s">
        <v>1141</v>
      </c>
      <c r="D2276">
        <v>2609901</v>
      </c>
      <c r="E2276">
        <v>38059</v>
      </c>
      <c r="F2276">
        <v>23814</v>
      </c>
    </row>
    <row r="2277" spans="1:6">
      <c r="A2277" t="s">
        <v>3410</v>
      </c>
      <c r="B2277">
        <v>253</v>
      </c>
      <c r="C2277" t="s">
        <v>159</v>
      </c>
      <c r="D2277">
        <v>32045310</v>
      </c>
      <c r="E2277">
        <v>38059</v>
      </c>
      <c r="F2277">
        <v>23814</v>
      </c>
    </row>
    <row r="2278" spans="1:6">
      <c r="A2278" t="s">
        <v>3411</v>
      </c>
      <c r="B2278">
        <v>253</v>
      </c>
      <c r="C2278" t="s">
        <v>642</v>
      </c>
      <c r="D2278">
        <v>16022655</v>
      </c>
      <c r="E2278">
        <v>38059</v>
      </c>
      <c r="F2278">
        <v>23814</v>
      </c>
    </row>
    <row r="2279" spans="1:6">
      <c r="A2279" t="s">
        <v>3412</v>
      </c>
      <c r="B2279">
        <v>254</v>
      </c>
      <c r="C2279" t="s">
        <v>149</v>
      </c>
      <c r="D2279">
        <v>293039</v>
      </c>
      <c r="E2279">
        <v>38385</v>
      </c>
      <c r="F2279">
        <v>23932</v>
      </c>
    </row>
    <row r="2280" spans="1:6">
      <c r="A2280" t="s">
        <v>3413</v>
      </c>
      <c r="B2280">
        <v>254</v>
      </c>
      <c r="C2280" t="s">
        <v>1132</v>
      </c>
      <c r="D2280">
        <v>879117</v>
      </c>
      <c r="E2280">
        <v>38385</v>
      </c>
      <c r="F2280">
        <v>23932</v>
      </c>
    </row>
    <row r="2281" spans="1:6">
      <c r="A2281" t="s">
        <v>3414</v>
      </c>
      <c r="B2281">
        <v>254</v>
      </c>
      <c r="C2281" t="s">
        <v>1134</v>
      </c>
      <c r="D2281">
        <v>527471</v>
      </c>
      <c r="E2281">
        <v>38385</v>
      </c>
      <c r="F2281">
        <v>23932</v>
      </c>
    </row>
    <row r="2282" spans="1:6">
      <c r="A2282" t="s">
        <v>3415</v>
      </c>
      <c r="B2282">
        <v>254</v>
      </c>
      <c r="C2282" t="s">
        <v>1136</v>
      </c>
      <c r="D2282">
        <v>146520</v>
      </c>
      <c r="E2282">
        <v>38385</v>
      </c>
      <c r="F2282">
        <v>23932</v>
      </c>
    </row>
    <row r="2283" spans="1:6">
      <c r="A2283" t="s">
        <v>3416</v>
      </c>
      <c r="B2283">
        <v>254</v>
      </c>
      <c r="C2283" t="s">
        <v>1138</v>
      </c>
      <c r="D2283">
        <v>43956</v>
      </c>
      <c r="E2283">
        <v>38385</v>
      </c>
      <c r="F2283">
        <v>23932</v>
      </c>
    </row>
    <row r="2284" spans="1:6">
      <c r="A2284" t="s">
        <v>3417</v>
      </c>
      <c r="B2284">
        <v>254</v>
      </c>
      <c r="C2284" t="s">
        <v>738</v>
      </c>
      <c r="D2284">
        <v>1172156</v>
      </c>
      <c r="E2284">
        <v>38385</v>
      </c>
      <c r="F2284">
        <v>23932</v>
      </c>
    </row>
    <row r="2285" spans="1:6">
      <c r="A2285" t="s">
        <v>3418</v>
      </c>
      <c r="B2285">
        <v>254</v>
      </c>
      <c r="C2285" t="s">
        <v>1141</v>
      </c>
      <c r="D2285">
        <v>2637351</v>
      </c>
      <c r="E2285">
        <v>38385</v>
      </c>
      <c r="F2285">
        <v>23932</v>
      </c>
    </row>
    <row r="2286" spans="1:6">
      <c r="A2286" t="s">
        <v>3419</v>
      </c>
      <c r="B2286">
        <v>254</v>
      </c>
      <c r="C2286" t="s">
        <v>159</v>
      </c>
      <c r="D2286">
        <v>32407046</v>
      </c>
      <c r="E2286">
        <v>38385</v>
      </c>
      <c r="F2286">
        <v>23932</v>
      </c>
    </row>
    <row r="2287" spans="1:6">
      <c r="A2287" t="s">
        <v>3420</v>
      </c>
      <c r="B2287">
        <v>254</v>
      </c>
      <c r="C2287" t="s">
        <v>642</v>
      </c>
      <c r="D2287">
        <v>16203523</v>
      </c>
      <c r="E2287">
        <v>38385</v>
      </c>
      <c r="F2287">
        <v>23932</v>
      </c>
    </row>
    <row r="2288" spans="1:6">
      <c r="A2288" t="s">
        <v>3421</v>
      </c>
      <c r="B2288">
        <v>255</v>
      </c>
      <c r="C2288" t="s">
        <v>149</v>
      </c>
      <c r="D2288">
        <v>296113</v>
      </c>
      <c r="E2288">
        <v>38714</v>
      </c>
      <c r="F2288">
        <v>24050</v>
      </c>
    </row>
    <row r="2289" spans="1:6">
      <c r="A2289" t="s">
        <v>3422</v>
      </c>
      <c r="B2289">
        <v>255</v>
      </c>
      <c r="C2289" t="s">
        <v>1132</v>
      </c>
      <c r="D2289">
        <v>888339</v>
      </c>
      <c r="E2289">
        <v>38714</v>
      </c>
      <c r="F2289">
        <v>24050</v>
      </c>
    </row>
    <row r="2290" spans="1:6">
      <c r="A2290" t="s">
        <v>3423</v>
      </c>
      <c r="B2290">
        <v>255</v>
      </c>
      <c r="C2290" t="s">
        <v>1134</v>
      </c>
      <c r="D2290">
        <v>533004</v>
      </c>
      <c r="E2290">
        <v>38714</v>
      </c>
      <c r="F2290">
        <v>24050</v>
      </c>
    </row>
    <row r="2291" spans="1:6">
      <c r="A2291" t="s">
        <v>3424</v>
      </c>
      <c r="B2291">
        <v>255</v>
      </c>
      <c r="C2291" t="s">
        <v>1136</v>
      </c>
      <c r="D2291">
        <v>148057</v>
      </c>
      <c r="E2291">
        <v>38714</v>
      </c>
      <c r="F2291">
        <v>24050</v>
      </c>
    </row>
    <row r="2292" spans="1:6">
      <c r="A2292" t="s">
        <v>3425</v>
      </c>
      <c r="B2292">
        <v>255</v>
      </c>
      <c r="C2292" t="s">
        <v>1138</v>
      </c>
      <c r="D2292">
        <v>44417</v>
      </c>
      <c r="E2292">
        <v>38714</v>
      </c>
      <c r="F2292">
        <v>24050</v>
      </c>
    </row>
    <row r="2293" spans="1:6">
      <c r="A2293" t="s">
        <v>3426</v>
      </c>
      <c r="B2293">
        <v>255</v>
      </c>
      <c r="C2293" t="s">
        <v>738</v>
      </c>
      <c r="D2293">
        <v>1184452</v>
      </c>
      <c r="E2293">
        <v>38714</v>
      </c>
      <c r="F2293">
        <v>24050</v>
      </c>
    </row>
    <row r="2294" spans="1:6">
      <c r="A2294" t="s">
        <v>3427</v>
      </c>
      <c r="B2294">
        <v>255</v>
      </c>
      <c r="C2294" t="s">
        <v>1141</v>
      </c>
      <c r="D2294">
        <v>2665017</v>
      </c>
      <c r="E2294">
        <v>38714</v>
      </c>
      <c r="F2294">
        <v>24050</v>
      </c>
    </row>
    <row r="2295" spans="1:6">
      <c r="A2295" t="s">
        <v>3428</v>
      </c>
      <c r="B2295">
        <v>255</v>
      </c>
      <c r="C2295" t="s">
        <v>159</v>
      </c>
      <c r="D2295">
        <v>32771963</v>
      </c>
      <c r="E2295">
        <v>38714</v>
      </c>
      <c r="F2295">
        <v>24050</v>
      </c>
    </row>
    <row r="2296" spans="1:6">
      <c r="A2296" t="s">
        <v>3429</v>
      </c>
      <c r="B2296">
        <v>255</v>
      </c>
      <c r="C2296" t="s">
        <v>642</v>
      </c>
      <c r="D2296">
        <v>16385981</v>
      </c>
      <c r="E2296">
        <v>38714</v>
      </c>
      <c r="F2296">
        <v>24050</v>
      </c>
    </row>
    <row r="2297" spans="1:6">
      <c r="A2297" t="s">
        <v>3430</v>
      </c>
      <c r="B2297">
        <v>256</v>
      </c>
      <c r="C2297" t="s">
        <v>149</v>
      </c>
      <c r="D2297">
        <v>299212</v>
      </c>
      <c r="E2297">
        <v>39045</v>
      </c>
      <c r="F2297">
        <v>24168</v>
      </c>
    </row>
    <row r="2298" spans="1:6">
      <c r="A2298" t="s">
        <v>3431</v>
      </c>
      <c r="B2298">
        <v>256</v>
      </c>
      <c r="C2298" t="s">
        <v>1132</v>
      </c>
      <c r="D2298">
        <v>897636</v>
      </c>
      <c r="E2298">
        <v>39045</v>
      </c>
      <c r="F2298">
        <v>24168</v>
      </c>
    </row>
    <row r="2299" spans="1:6">
      <c r="A2299" t="s">
        <v>3432</v>
      </c>
      <c r="B2299">
        <v>256</v>
      </c>
      <c r="C2299" t="s">
        <v>1134</v>
      </c>
      <c r="D2299">
        <v>538582</v>
      </c>
      <c r="E2299">
        <v>39045</v>
      </c>
      <c r="F2299">
        <v>24168</v>
      </c>
    </row>
    <row r="2300" spans="1:6">
      <c r="A2300" t="s">
        <v>3433</v>
      </c>
      <c r="B2300">
        <v>256</v>
      </c>
      <c r="C2300" t="s">
        <v>1136</v>
      </c>
      <c r="D2300">
        <v>149606</v>
      </c>
      <c r="E2300">
        <v>39045</v>
      </c>
      <c r="F2300">
        <v>24168</v>
      </c>
    </row>
    <row r="2301" spans="1:6">
      <c r="A2301" t="s">
        <v>3434</v>
      </c>
      <c r="B2301">
        <v>256</v>
      </c>
      <c r="C2301" t="s">
        <v>1138</v>
      </c>
      <c r="D2301">
        <v>44882</v>
      </c>
      <c r="E2301">
        <v>39045</v>
      </c>
      <c r="F2301">
        <v>24168</v>
      </c>
    </row>
    <row r="2302" spans="1:6">
      <c r="A2302" t="s">
        <v>3435</v>
      </c>
      <c r="B2302">
        <v>256</v>
      </c>
      <c r="C2302" t="s">
        <v>738</v>
      </c>
      <c r="D2302">
        <v>1196848</v>
      </c>
      <c r="E2302">
        <v>39045</v>
      </c>
      <c r="F2302">
        <v>24168</v>
      </c>
    </row>
    <row r="2303" spans="1:6">
      <c r="A2303" t="s">
        <v>3436</v>
      </c>
      <c r="B2303">
        <v>256</v>
      </c>
      <c r="C2303" t="s">
        <v>1141</v>
      </c>
      <c r="D2303">
        <v>2692908</v>
      </c>
      <c r="E2303">
        <v>39045</v>
      </c>
      <c r="F2303">
        <v>24168</v>
      </c>
    </row>
    <row r="2304" spans="1:6">
      <c r="A2304" t="s">
        <v>3437</v>
      </c>
      <c r="B2304">
        <v>256</v>
      </c>
      <c r="C2304" t="s">
        <v>159</v>
      </c>
      <c r="D2304">
        <v>33139940</v>
      </c>
      <c r="E2304">
        <v>39045</v>
      </c>
      <c r="F2304">
        <v>24168</v>
      </c>
    </row>
    <row r="2305" spans="1:6">
      <c r="A2305" t="s">
        <v>3438</v>
      </c>
      <c r="B2305">
        <v>256</v>
      </c>
      <c r="C2305" t="s">
        <v>642</v>
      </c>
      <c r="D2305">
        <v>16569970</v>
      </c>
      <c r="E2305">
        <v>39045</v>
      </c>
      <c r="F2305">
        <v>24168</v>
      </c>
    </row>
    <row r="2306" spans="1:6">
      <c r="A2306" t="s">
        <v>3439</v>
      </c>
      <c r="B2306">
        <v>257</v>
      </c>
      <c r="C2306" t="s">
        <v>149</v>
      </c>
      <c r="D2306">
        <v>302335</v>
      </c>
      <c r="E2306">
        <v>39377</v>
      </c>
      <c r="F2306">
        <v>24286</v>
      </c>
    </row>
    <row r="2307" spans="1:6">
      <c r="A2307" t="s">
        <v>3440</v>
      </c>
      <c r="B2307">
        <v>257</v>
      </c>
      <c r="C2307" t="s">
        <v>1132</v>
      </c>
      <c r="D2307">
        <v>907005</v>
      </c>
      <c r="E2307">
        <v>39377</v>
      </c>
      <c r="F2307">
        <v>24286</v>
      </c>
    </row>
    <row r="2308" spans="1:6">
      <c r="A2308" t="s">
        <v>3441</v>
      </c>
      <c r="B2308">
        <v>257</v>
      </c>
      <c r="C2308" t="s">
        <v>1134</v>
      </c>
      <c r="D2308">
        <v>544203</v>
      </c>
      <c r="E2308">
        <v>39377</v>
      </c>
      <c r="F2308">
        <v>24286</v>
      </c>
    </row>
    <row r="2309" spans="1:6">
      <c r="A2309" t="s">
        <v>3442</v>
      </c>
      <c r="B2309">
        <v>257</v>
      </c>
      <c r="C2309" t="s">
        <v>1136</v>
      </c>
      <c r="D2309">
        <v>151168</v>
      </c>
      <c r="E2309">
        <v>39377</v>
      </c>
      <c r="F2309">
        <v>24286</v>
      </c>
    </row>
    <row r="2310" spans="1:6">
      <c r="A2310" t="s">
        <v>3443</v>
      </c>
      <c r="B2310">
        <v>257</v>
      </c>
      <c r="C2310" t="s">
        <v>1138</v>
      </c>
      <c r="D2310">
        <v>45351</v>
      </c>
      <c r="E2310">
        <v>39377</v>
      </c>
      <c r="F2310">
        <v>24286</v>
      </c>
    </row>
    <row r="2311" spans="1:6">
      <c r="A2311" t="s">
        <v>3444</v>
      </c>
      <c r="B2311">
        <v>257</v>
      </c>
      <c r="C2311" t="s">
        <v>738</v>
      </c>
      <c r="D2311">
        <v>1209340</v>
      </c>
      <c r="E2311">
        <v>39377</v>
      </c>
      <c r="F2311">
        <v>24286</v>
      </c>
    </row>
    <row r="2312" spans="1:6">
      <c r="A2312" t="s">
        <v>3445</v>
      </c>
      <c r="B2312">
        <v>257</v>
      </c>
      <c r="C2312" t="s">
        <v>1141</v>
      </c>
      <c r="D2312">
        <v>2721015</v>
      </c>
      <c r="E2312">
        <v>39377</v>
      </c>
      <c r="F2312">
        <v>24286</v>
      </c>
    </row>
    <row r="2313" spans="1:6">
      <c r="A2313" t="s">
        <v>3446</v>
      </c>
      <c r="B2313">
        <v>257</v>
      </c>
      <c r="C2313" t="s">
        <v>159</v>
      </c>
      <c r="D2313">
        <v>33511156</v>
      </c>
      <c r="E2313">
        <v>39377</v>
      </c>
      <c r="F2313">
        <v>24286</v>
      </c>
    </row>
    <row r="2314" spans="1:6">
      <c r="A2314" t="s">
        <v>3447</v>
      </c>
      <c r="B2314">
        <v>257</v>
      </c>
      <c r="C2314" t="s">
        <v>642</v>
      </c>
      <c r="D2314">
        <v>16755578</v>
      </c>
      <c r="E2314">
        <v>39377</v>
      </c>
      <c r="F2314">
        <v>24286</v>
      </c>
    </row>
    <row r="2315" spans="1:6">
      <c r="A2315" t="s">
        <v>3448</v>
      </c>
      <c r="B2315">
        <v>258</v>
      </c>
      <c r="C2315" t="s">
        <v>149</v>
      </c>
      <c r="D2315">
        <v>305482</v>
      </c>
      <c r="E2315">
        <v>39712</v>
      </c>
      <c r="F2315">
        <v>24404</v>
      </c>
    </row>
    <row r="2316" spans="1:6">
      <c r="A2316" t="s">
        <v>3449</v>
      </c>
      <c r="B2316">
        <v>258</v>
      </c>
      <c r="C2316" t="s">
        <v>1132</v>
      </c>
      <c r="D2316">
        <v>916446</v>
      </c>
      <c r="E2316">
        <v>39712</v>
      </c>
      <c r="F2316">
        <v>24404</v>
      </c>
    </row>
    <row r="2317" spans="1:6">
      <c r="A2317" t="s">
        <v>3450</v>
      </c>
      <c r="B2317">
        <v>258</v>
      </c>
      <c r="C2317" t="s">
        <v>1134</v>
      </c>
      <c r="D2317">
        <v>549868</v>
      </c>
      <c r="E2317">
        <v>39712</v>
      </c>
      <c r="F2317">
        <v>24404</v>
      </c>
    </row>
    <row r="2318" spans="1:6">
      <c r="A2318" t="s">
        <v>3451</v>
      </c>
      <c r="B2318">
        <v>258</v>
      </c>
      <c r="C2318" t="s">
        <v>1136</v>
      </c>
      <c r="D2318">
        <v>152741</v>
      </c>
      <c r="E2318">
        <v>39712</v>
      </c>
      <c r="F2318">
        <v>24404</v>
      </c>
    </row>
    <row r="2319" spans="1:6">
      <c r="A2319" t="s">
        <v>3452</v>
      </c>
      <c r="B2319">
        <v>258</v>
      </c>
      <c r="C2319" t="s">
        <v>1138</v>
      </c>
      <c r="D2319">
        <v>45823</v>
      </c>
      <c r="E2319">
        <v>39712</v>
      </c>
      <c r="F2319">
        <v>24404</v>
      </c>
    </row>
    <row r="2320" spans="1:6">
      <c r="A2320" t="s">
        <v>3453</v>
      </c>
      <c r="B2320">
        <v>258</v>
      </c>
      <c r="C2320" t="s">
        <v>738</v>
      </c>
      <c r="D2320">
        <v>1221928</v>
      </c>
      <c r="E2320">
        <v>39712</v>
      </c>
      <c r="F2320">
        <v>24404</v>
      </c>
    </row>
    <row r="2321" spans="1:6">
      <c r="A2321" t="s">
        <v>3454</v>
      </c>
      <c r="B2321">
        <v>258</v>
      </c>
      <c r="C2321" t="s">
        <v>1141</v>
      </c>
      <c r="D2321">
        <v>2749338</v>
      </c>
      <c r="E2321">
        <v>39712</v>
      </c>
      <c r="F2321">
        <v>24404</v>
      </c>
    </row>
    <row r="2322" spans="1:6">
      <c r="A2322" t="s">
        <v>3455</v>
      </c>
      <c r="B2322">
        <v>258</v>
      </c>
      <c r="C2322" t="s">
        <v>159</v>
      </c>
      <c r="D2322">
        <v>33885553</v>
      </c>
      <c r="E2322">
        <v>39712</v>
      </c>
      <c r="F2322">
        <v>24404</v>
      </c>
    </row>
    <row r="2323" spans="1:6">
      <c r="A2323" t="s">
        <v>3456</v>
      </c>
      <c r="B2323">
        <v>258</v>
      </c>
      <c r="C2323" t="s">
        <v>642</v>
      </c>
      <c r="D2323">
        <v>16942777</v>
      </c>
      <c r="E2323">
        <v>39712</v>
      </c>
      <c r="F2323">
        <v>24404</v>
      </c>
    </row>
    <row r="2324" spans="1:6">
      <c r="A2324" t="s">
        <v>3457</v>
      </c>
      <c r="B2324">
        <v>259</v>
      </c>
      <c r="C2324" t="s">
        <v>149</v>
      </c>
      <c r="D2324">
        <v>308655</v>
      </c>
      <c r="E2324">
        <v>40048</v>
      </c>
      <c r="F2324">
        <v>24522</v>
      </c>
    </row>
    <row r="2325" spans="1:6">
      <c r="A2325" t="s">
        <v>3458</v>
      </c>
      <c r="B2325">
        <v>259</v>
      </c>
      <c r="C2325" t="s">
        <v>1132</v>
      </c>
      <c r="D2325">
        <v>925965</v>
      </c>
      <c r="E2325">
        <v>40048</v>
      </c>
      <c r="F2325">
        <v>24522</v>
      </c>
    </row>
    <row r="2326" spans="1:6">
      <c r="A2326" t="s">
        <v>3459</v>
      </c>
      <c r="B2326">
        <v>259</v>
      </c>
      <c r="C2326" t="s">
        <v>1134</v>
      </c>
      <c r="D2326">
        <v>555579</v>
      </c>
      <c r="E2326">
        <v>40048</v>
      </c>
      <c r="F2326">
        <v>24522</v>
      </c>
    </row>
    <row r="2327" spans="1:6">
      <c r="A2327" t="s">
        <v>3460</v>
      </c>
      <c r="B2327">
        <v>259</v>
      </c>
      <c r="C2327" t="s">
        <v>1136</v>
      </c>
      <c r="D2327">
        <v>154328</v>
      </c>
      <c r="E2327">
        <v>40048</v>
      </c>
      <c r="F2327">
        <v>24522</v>
      </c>
    </row>
    <row r="2328" spans="1:6">
      <c r="A2328" t="s">
        <v>3461</v>
      </c>
      <c r="B2328">
        <v>259</v>
      </c>
      <c r="C2328" t="s">
        <v>1138</v>
      </c>
      <c r="D2328">
        <v>46299</v>
      </c>
      <c r="E2328">
        <v>40048</v>
      </c>
      <c r="F2328">
        <v>24522</v>
      </c>
    </row>
    <row r="2329" spans="1:6">
      <c r="A2329" t="s">
        <v>3462</v>
      </c>
      <c r="B2329">
        <v>259</v>
      </c>
      <c r="C2329" t="s">
        <v>738</v>
      </c>
      <c r="D2329">
        <v>1234620</v>
      </c>
      <c r="E2329">
        <v>40048</v>
      </c>
      <c r="F2329">
        <v>24522</v>
      </c>
    </row>
    <row r="2330" spans="1:6">
      <c r="A2330" t="s">
        <v>3463</v>
      </c>
      <c r="B2330">
        <v>259</v>
      </c>
      <c r="C2330" t="s">
        <v>1141</v>
      </c>
      <c r="D2330">
        <v>2777895</v>
      </c>
      <c r="E2330">
        <v>40048</v>
      </c>
      <c r="F2330">
        <v>24522</v>
      </c>
    </row>
    <row r="2331" spans="1:6">
      <c r="A2331" t="s">
        <v>3464</v>
      </c>
      <c r="B2331">
        <v>259</v>
      </c>
      <c r="C2331" t="s">
        <v>159</v>
      </c>
      <c r="D2331">
        <v>34263191</v>
      </c>
      <c r="E2331">
        <v>40048</v>
      </c>
      <c r="F2331">
        <v>24522</v>
      </c>
    </row>
    <row r="2332" spans="1:6">
      <c r="A2332" t="s">
        <v>3465</v>
      </c>
      <c r="B2332">
        <v>259</v>
      </c>
      <c r="C2332" t="s">
        <v>642</v>
      </c>
      <c r="D2332">
        <v>17131595</v>
      </c>
      <c r="E2332">
        <v>40048</v>
      </c>
      <c r="F2332">
        <v>24522</v>
      </c>
    </row>
    <row r="2333" spans="1:6">
      <c r="A2333" t="s">
        <v>3466</v>
      </c>
      <c r="B2333">
        <v>260</v>
      </c>
      <c r="C2333" t="s">
        <v>149</v>
      </c>
      <c r="D2333">
        <v>311852</v>
      </c>
      <c r="E2333">
        <v>40387</v>
      </c>
      <c r="F2333">
        <v>24641</v>
      </c>
    </row>
    <row r="2334" spans="1:6">
      <c r="A2334" t="s">
        <v>3467</v>
      </c>
      <c r="B2334">
        <v>260</v>
      </c>
      <c r="C2334" t="s">
        <v>1132</v>
      </c>
      <c r="D2334">
        <v>935556</v>
      </c>
      <c r="E2334">
        <v>40387</v>
      </c>
      <c r="F2334">
        <v>24641</v>
      </c>
    </row>
    <row r="2335" spans="1:6">
      <c r="A2335" t="s">
        <v>3468</v>
      </c>
      <c r="B2335">
        <v>260</v>
      </c>
      <c r="C2335" t="s">
        <v>1134</v>
      </c>
      <c r="D2335">
        <v>561334</v>
      </c>
      <c r="E2335">
        <v>40387</v>
      </c>
      <c r="F2335">
        <v>24641</v>
      </c>
    </row>
    <row r="2336" spans="1:6">
      <c r="A2336" t="s">
        <v>3469</v>
      </c>
      <c r="B2336">
        <v>260</v>
      </c>
      <c r="C2336" t="s">
        <v>1136</v>
      </c>
      <c r="D2336">
        <v>155926</v>
      </c>
      <c r="E2336">
        <v>40387</v>
      </c>
      <c r="F2336">
        <v>24641</v>
      </c>
    </row>
    <row r="2337" spans="1:6">
      <c r="A2337" t="s">
        <v>3470</v>
      </c>
      <c r="B2337">
        <v>260</v>
      </c>
      <c r="C2337" t="s">
        <v>1138</v>
      </c>
      <c r="D2337">
        <v>46778</v>
      </c>
      <c r="E2337">
        <v>40387</v>
      </c>
      <c r="F2337">
        <v>24641</v>
      </c>
    </row>
    <row r="2338" spans="1:6">
      <c r="A2338" t="s">
        <v>3471</v>
      </c>
      <c r="B2338">
        <v>260</v>
      </c>
      <c r="C2338" t="s">
        <v>738</v>
      </c>
      <c r="D2338">
        <v>1247408</v>
      </c>
      <c r="E2338">
        <v>40387</v>
      </c>
      <c r="F2338">
        <v>24641</v>
      </c>
    </row>
    <row r="2339" spans="1:6">
      <c r="A2339" t="s">
        <v>3472</v>
      </c>
      <c r="B2339">
        <v>260</v>
      </c>
      <c r="C2339" t="s">
        <v>1141</v>
      </c>
      <c r="D2339">
        <v>2806668</v>
      </c>
      <c r="E2339">
        <v>40387</v>
      </c>
      <c r="F2339">
        <v>24641</v>
      </c>
    </row>
    <row r="2340" spans="1:6">
      <c r="A2340" t="s">
        <v>3473</v>
      </c>
      <c r="B2340">
        <v>260</v>
      </c>
      <c r="C2340" t="s">
        <v>159</v>
      </c>
      <c r="D2340">
        <v>34644008</v>
      </c>
      <c r="E2340">
        <v>40387</v>
      </c>
      <c r="F2340">
        <v>24641</v>
      </c>
    </row>
    <row r="2341" spans="1:6">
      <c r="A2341" t="s">
        <v>3474</v>
      </c>
      <c r="B2341">
        <v>260</v>
      </c>
      <c r="C2341" t="s">
        <v>642</v>
      </c>
      <c r="D2341">
        <v>17322004</v>
      </c>
      <c r="E2341">
        <v>40387</v>
      </c>
      <c r="F2341">
        <v>24641</v>
      </c>
    </row>
    <row r="2342" spans="1:6">
      <c r="A2342" t="s">
        <v>3475</v>
      </c>
      <c r="B2342">
        <v>261</v>
      </c>
      <c r="C2342" t="s">
        <v>149</v>
      </c>
      <c r="D2342">
        <v>315074</v>
      </c>
      <c r="E2342">
        <v>40727</v>
      </c>
      <c r="F2342">
        <v>24760</v>
      </c>
    </row>
    <row r="2343" spans="1:6">
      <c r="A2343" t="s">
        <v>3476</v>
      </c>
      <c r="B2343">
        <v>261</v>
      </c>
      <c r="C2343" t="s">
        <v>1132</v>
      </c>
      <c r="D2343">
        <v>945222</v>
      </c>
      <c r="E2343">
        <v>40727</v>
      </c>
      <c r="F2343">
        <v>24760</v>
      </c>
    </row>
    <row r="2344" spans="1:6">
      <c r="A2344" t="s">
        <v>3477</v>
      </c>
      <c r="B2344">
        <v>261</v>
      </c>
      <c r="C2344" t="s">
        <v>1134</v>
      </c>
      <c r="D2344">
        <v>567134</v>
      </c>
      <c r="E2344">
        <v>40727</v>
      </c>
      <c r="F2344">
        <v>24760</v>
      </c>
    </row>
    <row r="2345" spans="1:6">
      <c r="A2345" t="s">
        <v>3478</v>
      </c>
      <c r="B2345">
        <v>261</v>
      </c>
      <c r="C2345" t="s">
        <v>1136</v>
      </c>
      <c r="D2345">
        <v>157537</v>
      </c>
      <c r="E2345">
        <v>40727</v>
      </c>
      <c r="F2345">
        <v>24760</v>
      </c>
    </row>
    <row r="2346" spans="1:6">
      <c r="A2346" t="s">
        <v>3479</v>
      </c>
      <c r="B2346">
        <v>261</v>
      </c>
      <c r="C2346" t="s">
        <v>1138</v>
      </c>
      <c r="D2346">
        <v>47262</v>
      </c>
      <c r="E2346">
        <v>40727</v>
      </c>
      <c r="F2346">
        <v>24760</v>
      </c>
    </row>
    <row r="2347" spans="1:6">
      <c r="A2347" t="s">
        <v>3480</v>
      </c>
      <c r="B2347">
        <v>261</v>
      </c>
      <c r="C2347" t="s">
        <v>738</v>
      </c>
      <c r="D2347">
        <v>1260296</v>
      </c>
      <c r="E2347">
        <v>40727</v>
      </c>
      <c r="F2347">
        <v>24760</v>
      </c>
    </row>
    <row r="2348" spans="1:6">
      <c r="A2348" t="s">
        <v>3481</v>
      </c>
      <c r="B2348">
        <v>261</v>
      </c>
      <c r="C2348" t="s">
        <v>1141</v>
      </c>
      <c r="D2348">
        <v>2835666</v>
      </c>
      <c r="E2348">
        <v>40727</v>
      </c>
      <c r="F2348">
        <v>24760</v>
      </c>
    </row>
    <row r="2349" spans="1:6">
      <c r="A2349" t="s">
        <v>3482</v>
      </c>
      <c r="B2349">
        <v>261</v>
      </c>
      <c r="C2349" t="s">
        <v>159</v>
      </c>
      <c r="D2349">
        <v>35028125</v>
      </c>
      <c r="E2349">
        <v>40727</v>
      </c>
      <c r="F2349">
        <v>24760</v>
      </c>
    </row>
    <row r="2350" spans="1:6">
      <c r="A2350" t="s">
        <v>3483</v>
      </c>
      <c r="B2350">
        <v>261</v>
      </c>
      <c r="C2350" t="s">
        <v>642</v>
      </c>
      <c r="D2350">
        <v>17514063</v>
      </c>
      <c r="E2350">
        <v>40727</v>
      </c>
      <c r="F2350">
        <v>24760</v>
      </c>
    </row>
    <row r="2351" spans="1:6">
      <c r="A2351" t="s">
        <v>3484</v>
      </c>
      <c r="B2351">
        <v>262</v>
      </c>
      <c r="C2351" t="s">
        <v>149</v>
      </c>
      <c r="D2351">
        <v>318322</v>
      </c>
      <c r="E2351">
        <v>41070</v>
      </c>
      <c r="F2351">
        <v>24879</v>
      </c>
    </row>
    <row r="2352" spans="1:6">
      <c r="A2352" t="s">
        <v>3485</v>
      </c>
      <c r="B2352">
        <v>262</v>
      </c>
      <c r="C2352" t="s">
        <v>1132</v>
      </c>
      <c r="D2352">
        <v>954966</v>
      </c>
      <c r="E2352">
        <v>41070</v>
      </c>
      <c r="F2352">
        <v>24879</v>
      </c>
    </row>
    <row r="2353" spans="1:6">
      <c r="A2353" t="s">
        <v>3486</v>
      </c>
      <c r="B2353">
        <v>262</v>
      </c>
      <c r="C2353" t="s">
        <v>1134</v>
      </c>
      <c r="D2353">
        <v>572980</v>
      </c>
      <c r="E2353">
        <v>41070</v>
      </c>
      <c r="F2353">
        <v>24879</v>
      </c>
    </row>
    <row r="2354" spans="1:6">
      <c r="A2354" t="s">
        <v>3487</v>
      </c>
      <c r="B2354">
        <v>262</v>
      </c>
      <c r="C2354" t="s">
        <v>1136</v>
      </c>
      <c r="D2354">
        <v>159161</v>
      </c>
      <c r="E2354">
        <v>41070</v>
      </c>
      <c r="F2354">
        <v>24879</v>
      </c>
    </row>
    <row r="2355" spans="1:6">
      <c r="A2355" t="s">
        <v>3488</v>
      </c>
      <c r="B2355">
        <v>262</v>
      </c>
      <c r="C2355" t="s">
        <v>1138</v>
      </c>
      <c r="D2355">
        <v>47749</v>
      </c>
      <c r="E2355">
        <v>41070</v>
      </c>
      <c r="F2355">
        <v>24879</v>
      </c>
    </row>
    <row r="2356" spans="1:6">
      <c r="A2356" t="s">
        <v>3489</v>
      </c>
      <c r="B2356">
        <v>262</v>
      </c>
      <c r="C2356" t="s">
        <v>738</v>
      </c>
      <c r="D2356">
        <v>1273288</v>
      </c>
      <c r="E2356">
        <v>41070</v>
      </c>
      <c r="F2356">
        <v>24879</v>
      </c>
    </row>
    <row r="2357" spans="1:6">
      <c r="A2357" t="s">
        <v>3490</v>
      </c>
      <c r="B2357">
        <v>262</v>
      </c>
      <c r="C2357" t="s">
        <v>1141</v>
      </c>
      <c r="D2357">
        <v>2864898</v>
      </c>
      <c r="E2357">
        <v>41070</v>
      </c>
      <c r="F2357">
        <v>24879</v>
      </c>
    </row>
    <row r="2358" spans="1:6">
      <c r="A2358" t="s">
        <v>3491</v>
      </c>
      <c r="B2358">
        <v>262</v>
      </c>
      <c r="C2358" t="s">
        <v>159</v>
      </c>
      <c r="D2358">
        <v>35415482</v>
      </c>
      <c r="E2358">
        <v>41070</v>
      </c>
      <c r="F2358">
        <v>24879</v>
      </c>
    </row>
    <row r="2359" spans="1:6">
      <c r="A2359" t="s">
        <v>3492</v>
      </c>
      <c r="B2359">
        <v>262</v>
      </c>
      <c r="C2359" t="s">
        <v>642</v>
      </c>
      <c r="D2359">
        <v>17707741</v>
      </c>
      <c r="E2359">
        <v>41070</v>
      </c>
      <c r="F2359">
        <v>24879</v>
      </c>
    </row>
    <row r="2360" spans="1:6">
      <c r="A2360" t="s">
        <v>3493</v>
      </c>
      <c r="B2360">
        <v>263</v>
      </c>
      <c r="C2360" t="s">
        <v>149</v>
      </c>
      <c r="D2360">
        <v>321594</v>
      </c>
      <c r="E2360">
        <v>41414</v>
      </c>
      <c r="F2360">
        <v>24998</v>
      </c>
    </row>
    <row r="2361" spans="1:6">
      <c r="A2361" t="s">
        <v>3494</v>
      </c>
      <c r="B2361">
        <v>263</v>
      </c>
      <c r="C2361" t="s">
        <v>1132</v>
      </c>
      <c r="D2361">
        <v>964782</v>
      </c>
      <c r="E2361">
        <v>41414</v>
      </c>
      <c r="F2361">
        <v>24998</v>
      </c>
    </row>
    <row r="2362" spans="1:6">
      <c r="A2362" t="s">
        <v>3495</v>
      </c>
      <c r="B2362">
        <v>263</v>
      </c>
      <c r="C2362" t="s">
        <v>1134</v>
      </c>
      <c r="D2362">
        <v>578870</v>
      </c>
      <c r="E2362">
        <v>41414</v>
      </c>
      <c r="F2362">
        <v>24998</v>
      </c>
    </row>
    <row r="2363" spans="1:6">
      <c r="A2363" t="s">
        <v>3496</v>
      </c>
      <c r="B2363">
        <v>263</v>
      </c>
      <c r="C2363" t="s">
        <v>1136</v>
      </c>
      <c r="D2363">
        <v>160797</v>
      </c>
      <c r="E2363">
        <v>41414</v>
      </c>
      <c r="F2363">
        <v>24998</v>
      </c>
    </row>
    <row r="2364" spans="1:6">
      <c r="A2364" t="s">
        <v>3497</v>
      </c>
      <c r="B2364">
        <v>263</v>
      </c>
      <c r="C2364" t="s">
        <v>1138</v>
      </c>
      <c r="D2364">
        <v>48240</v>
      </c>
      <c r="E2364">
        <v>41414</v>
      </c>
      <c r="F2364">
        <v>24998</v>
      </c>
    </row>
    <row r="2365" spans="1:6">
      <c r="A2365" t="s">
        <v>3498</v>
      </c>
      <c r="B2365">
        <v>263</v>
      </c>
      <c r="C2365" t="s">
        <v>738</v>
      </c>
      <c r="D2365">
        <v>1286376</v>
      </c>
      <c r="E2365">
        <v>41414</v>
      </c>
      <c r="F2365">
        <v>24998</v>
      </c>
    </row>
    <row r="2366" spans="1:6">
      <c r="A2366" t="s">
        <v>3499</v>
      </c>
      <c r="B2366">
        <v>263</v>
      </c>
      <c r="C2366" t="s">
        <v>1141</v>
      </c>
      <c r="D2366">
        <v>2894346</v>
      </c>
      <c r="E2366">
        <v>41414</v>
      </c>
      <c r="F2366">
        <v>24998</v>
      </c>
    </row>
    <row r="2367" spans="1:6">
      <c r="A2367" t="s">
        <v>3500</v>
      </c>
      <c r="B2367">
        <v>263</v>
      </c>
      <c r="C2367" t="s">
        <v>159</v>
      </c>
      <c r="D2367">
        <v>35806200</v>
      </c>
      <c r="E2367">
        <v>41414</v>
      </c>
      <c r="F2367">
        <v>24998</v>
      </c>
    </row>
    <row r="2368" spans="1:6">
      <c r="A2368" t="s">
        <v>3501</v>
      </c>
      <c r="B2368">
        <v>263</v>
      </c>
      <c r="C2368" t="s">
        <v>642</v>
      </c>
      <c r="D2368">
        <v>17903100</v>
      </c>
      <c r="E2368">
        <v>41414</v>
      </c>
      <c r="F2368">
        <v>24998</v>
      </c>
    </row>
    <row r="2369" spans="1:6">
      <c r="A2369" t="s">
        <v>3502</v>
      </c>
      <c r="B2369">
        <v>264</v>
      </c>
      <c r="C2369" t="s">
        <v>149</v>
      </c>
      <c r="D2369">
        <v>324892</v>
      </c>
      <c r="E2369">
        <v>41761</v>
      </c>
      <c r="F2369">
        <v>25117</v>
      </c>
    </row>
    <row r="2370" spans="1:6">
      <c r="A2370" t="s">
        <v>3503</v>
      </c>
      <c r="B2370">
        <v>264</v>
      </c>
      <c r="C2370" t="s">
        <v>1132</v>
      </c>
      <c r="D2370">
        <v>974676</v>
      </c>
      <c r="E2370">
        <v>41761</v>
      </c>
      <c r="F2370">
        <v>25117</v>
      </c>
    </row>
    <row r="2371" spans="1:6">
      <c r="A2371" t="s">
        <v>3504</v>
      </c>
      <c r="B2371">
        <v>264</v>
      </c>
      <c r="C2371" t="s">
        <v>1134</v>
      </c>
      <c r="D2371">
        <v>584806</v>
      </c>
      <c r="E2371">
        <v>41761</v>
      </c>
      <c r="F2371">
        <v>25117</v>
      </c>
    </row>
    <row r="2372" spans="1:6">
      <c r="A2372" t="s">
        <v>3505</v>
      </c>
      <c r="B2372">
        <v>264</v>
      </c>
      <c r="C2372" t="s">
        <v>1136</v>
      </c>
      <c r="D2372">
        <v>162446</v>
      </c>
      <c r="E2372">
        <v>41761</v>
      </c>
      <c r="F2372">
        <v>25117</v>
      </c>
    </row>
    <row r="2373" spans="1:6">
      <c r="A2373" t="s">
        <v>3506</v>
      </c>
      <c r="B2373">
        <v>264</v>
      </c>
      <c r="C2373" t="s">
        <v>1138</v>
      </c>
      <c r="D2373">
        <v>48734</v>
      </c>
      <c r="E2373">
        <v>41761</v>
      </c>
      <c r="F2373">
        <v>25117</v>
      </c>
    </row>
    <row r="2374" spans="1:6">
      <c r="A2374" t="s">
        <v>3507</v>
      </c>
      <c r="B2374">
        <v>264</v>
      </c>
      <c r="C2374" t="s">
        <v>738</v>
      </c>
      <c r="D2374">
        <v>1299568</v>
      </c>
      <c r="E2374">
        <v>41761</v>
      </c>
      <c r="F2374">
        <v>25117</v>
      </c>
    </row>
    <row r="2375" spans="1:6">
      <c r="A2375" t="s">
        <v>3508</v>
      </c>
      <c r="B2375">
        <v>264</v>
      </c>
      <c r="C2375" t="s">
        <v>1141</v>
      </c>
      <c r="D2375">
        <v>2924028</v>
      </c>
      <c r="E2375">
        <v>41761</v>
      </c>
      <c r="F2375">
        <v>25117</v>
      </c>
    </row>
    <row r="2376" spans="1:6">
      <c r="A2376" t="s">
        <v>3509</v>
      </c>
      <c r="B2376">
        <v>264</v>
      </c>
      <c r="C2376" t="s">
        <v>159</v>
      </c>
      <c r="D2376">
        <v>36200218</v>
      </c>
      <c r="E2376">
        <v>41761</v>
      </c>
      <c r="F2376">
        <v>25117</v>
      </c>
    </row>
    <row r="2377" spans="1:6">
      <c r="A2377" t="s">
        <v>3510</v>
      </c>
      <c r="B2377">
        <v>264</v>
      </c>
      <c r="C2377" t="s">
        <v>642</v>
      </c>
      <c r="D2377">
        <v>18100109</v>
      </c>
      <c r="E2377">
        <v>41761</v>
      </c>
      <c r="F2377">
        <v>25117</v>
      </c>
    </row>
    <row r="2378" spans="1:6">
      <c r="A2378" t="s">
        <v>3511</v>
      </c>
      <c r="B2378">
        <v>265</v>
      </c>
      <c r="C2378" t="s">
        <v>149</v>
      </c>
      <c r="D2378">
        <v>328216</v>
      </c>
      <c r="E2378">
        <v>42109</v>
      </c>
      <c r="F2378">
        <v>25237</v>
      </c>
    </row>
    <row r="2379" spans="1:6">
      <c r="A2379" t="s">
        <v>3512</v>
      </c>
      <c r="B2379">
        <v>265</v>
      </c>
      <c r="C2379" t="s">
        <v>1132</v>
      </c>
      <c r="D2379">
        <v>984648</v>
      </c>
      <c r="E2379">
        <v>42109</v>
      </c>
      <c r="F2379">
        <v>25237</v>
      </c>
    </row>
    <row r="2380" spans="1:6">
      <c r="A2380" t="s">
        <v>3513</v>
      </c>
      <c r="B2380">
        <v>265</v>
      </c>
      <c r="C2380" t="s">
        <v>1134</v>
      </c>
      <c r="D2380">
        <v>590789</v>
      </c>
      <c r="E2380">
        <v>42109</v>
      </c>
      <c r="F2380">
        <v>25237</v>
      </c>
    </row>
    <row r="2381" spans="1:6">
      <c r="A2381" t="s">
        <v>3514</v>
      </c>
      <c r="B2381">
        <v>265</v>
      </c>
      <c r="C2381" t="s">
        <v>1136</v>
      </c>
      <c r="D2381">
        <v>164108</v>
      </c>
      <c r="E2381">
        <v>42109</v>
      </c>
      <c r="F2381">
        <v>25237</v>
      </c>
    </row>
    <row r="2382" spans="1:6">
      <c r="A2382" t="s">
        <v>3515</v>
      </c>
      <c r="B2382">
        <v>265</v>
      </c>
      <c r="C2382" t="s">
        <v>1138</v>
      </c>
      <c r="D2382">
        <v>49233</v>
      </c>
      <c r="E2382">
        <v>42109</v>
      </c>
      <c r="F2382">
        <v>25237</v>
      </c>
    </row>
    <row r="2383" spans="1:6">
      <c r="A2383" t="s">
        <v>3516</v>
      </c>
      <c r="B2383">
        <v>265</v>
      </c>
      <c r="C2383" t="s">
        <v>738</v>
      </c>
      <c r="D2383">
        <v>1312864</v>
      </c>
      <c r="E2383">
        <v>42109</v>
      </c>
      <c r="F2383">
        <v>25237</v>
      </c>
    </row>
    <row r="2384" spans="1:6">
      <c r="A2384" t="s">
        <v>3517</v>
      </c>
      <c r="B2384">
        <v>265</v>
      </c>
      <c r="C2384" t="s">
        <v>1141</v>
      </c>
      <c r="D2384">
        <v>2953944</v>
      </c>
      <c r="E2384">
        <v>42109</v>
      </c>
      <c r="F2384">
        <v>25237</v>
      </c>
    </row>
    <row r="2385" spans="1:6">
      <c r="A2385" t="s">
        <v>3518</v>
      </c>
      <c r="B2385">
        <v>265</v>
      </c>
      <c r="C2385" t="s">
        <v>159</v>
      </c>
      <c r="D2385">
        <v>36597535</v>
      </c>
      <c r="E2385">
        <v>42109</v>
      </c>
      <c r="F2385">
        <v>25237</v>
      </c>
    </row>
    <row r="2386" spans="1:6">
      <c r="A2386" t="s">
        <v>3519</v>
      </c>
      <c r="B2386">
        <v>265</v>
      </c>
      <c r="C2386" t="s">
        <v>642</v>
      </c>
      <c r="D2386">
        <v>18298768</v>
      </c>
      <c r="E2386">
        <v>42109</v>
      </c>
      <c r="F2386">
        <v>25237</v>
      </c>
    </row>
    <row r="2387" spans="1:6">
      <c r="A2387" t="s">
        <v>3520</v>
      </c>
      <c r="B2387">
        <v>266</v>
      </c>
      <c r="C2387" t="s">
        <v>149</v>
      </c>
      <c r="D2387">
        <v>331565</v>
      </c>
      <c r="E2387">
        <v>42460</v>
      </c>
      <c r="F2387">
        <v>25357</v>
      </c>
    </row>
    <row r="2388" spans="1:6">
      <c r="A2388" t="s">
        <v>3521</v>
      </c>
      <c r="B2388">
        <v>266</v>
      </c>
      <c r="C2388" t="s">
        <v>1132</v>
      </c>
      <c r="D2388">
        <v>994695</v>
      </c>
      <c r="E2388">
        <v>42460</v>
      </c>
      <c r="F2388">
        <v>25357</v>
      </c>
    </row>
    <row r="2389" spans="1:6">
      <c r="A2389" t="s">
        <v>3522</v>
      </c>
      <c r="B2389">
        <v>266</v>
      </c>
      <c r="C2389" t="s">
        <v>1134</v>
      </c>
      <c r="D2389">
        <v>596817</v>
      </c>
      <c r="E2389">
        <v>42460</v>
      </c>
      <c r="F2389">
        <v>25357</v>
      </c>
    </row>
    <row r="2390" spans="1:6">
      <c r="A2390" t="s">
        <v>3523</v>
      </c>
      <c r="B2390">
        <v>266</v>
      </c>
      <c r="C2390" t="s">
        <v>1136</v>
      </c>
      <c r="D2390">
        <v>165783</v>
      </c>
      <c r="E2390">
        <v>42460</v>
      </c>
      <c r="F2390">
        <v>25357</v>
      </c>
    </row>
    <row r="2391" spans="1:6">
      <c r="A2391" t="s">
        <v>3524</v>
      </c>
      <c r="B2391">
        <v>266</v>
      </c>
      <c r="C2391" t="s">
        <v>1138</v>
      </c>
      <c r="D2391">
        <v>49735</v>
      </c>
      <c r="E2391">
        <v>42460</v>
      </c>
      <c r="F2391">
        <v>25357</v>
      </c>
    </row>
    <row r="2392" spans="1:6">
      <c r="A2392" t="s">
        <v>3525</v>
      </c>
      <c r="B2392">
        <v>266</v>
      </c>
      <c r="C2392" t="s">
        <v>738</v>
      </c>
      <c r="D2392">
        <v>1326260</v>
      </c>
      <c r="E2392">
        <v>42460</v>
      </c>
      <c r="F2392">
        <v>25357</v>
      </c>
    </row>
    <row r="2393" spans="1:6">
      <c r="A2393" t="s">
        <v>3526</v>
      </c>
      <c r="B2393">
        <v>266</v>
      </c>
      <c r="C2393" t="s">
        <v>1141</v>
      </c>
      <c r="D2393">
        <v>2984085</v>
      </c>
      <c r="E2393">
        <v>42460</v>
      </c>
      <c r="F2393">
        <v>25357</v>
      </c>
    </row>
    <row r="2394" spans="1:6">
      <c r="A2394" t="s">
        <v>3527</v>
      </c>
      <c r="B2394">
        <v>266</v>
      </c>
      <c r="C2394" t="s">
        <v>159</v>
      </c>
      <c r="D2394">
        <v>36998273</v>
      </c>
      <c r="E2394">
        <v>42460</v>
      </c>
      <c r="F2394">
        <v>25357</v>
      </c>
    </row>
    <row r="2395" spans="1:6">
      <c r="A2395" t="s">
        <v>3528</v>
      </c>
      <c r="B2395">
        <v>266</v>
      </c>
      <c r="C2395" t="s">
        <v>642</v>
      </c>
      <c r="D2395">
        <v>18499137</v>
      </c>
      <c r="E2395">
        <v>42460</v>
      </c>
      <c r="F2395">
        <v>25357</v>
      </c>
    </row>
    <row r="2396" spans="1:6">
      <c r="A2396" t="s">
        <v>3529</v>
      </c>
      <c r="B2396">
        <v>267</v>
      </c>
      <c r="C2396" t="s">
        <v>149</v>
      </c>
      <c r="D2396">
        <v>334941</v>
      </c>
      <c r="E2396">
        <v>42813</v>
      </c>
      <c r="F2396">
        <v>25477</v>
      </c>
    </row>
    <row r="2397" spans="1:6">
      <c r="A2397" t="s">
        <v>3530</v>
      </c>
      <c r="B2397">
        <v>267</v>
      </c>
      <c r="C2397" t="s">
        <v>1132</v>
      </c>
      <c r="D2397">
        <v>1004823</v>
      </c>
      <c r="E2397">
        <v>42813</v>
      </c>
      <c r="F2397">
        <v>25477</v>
      </c>
    </row>
    <row r="2398" spans="1:6">
      <c r="A2398" t="s">
        <v>3531</v>
      </c>
      <c r="B2398">
        <v>267</v>
      </c>
      <c r="C2398" t="s">
        <v>1134</v>
      </c>
      <c r="D2398">
        <v>602894</v>
      </c>
      <c r="E2398">
        <v>42813</v>
      </c>
      <c r="F2398">
        <v>25477</v>
      </c>
    </row>
    <row r="2399" spans="1:6">
      <c r="A2399" t="s">
        <v>3532</v>
      </c>
      <c r="B2399">
        <v>267</v>
      </c>
      <c r="C2399" t="s">
        <v>1136</v>
      </c>
      <c r="D2399">
        <v>167471</v>
      </c>
      <c r="E2399">
        <v>42813</v>
      </c>
      <c r="F2399">
        <v>25477</v>
      </c>
    </row>
    <row r="2400" spans="1:6">
      <c r="A2400" t="s">
        <v>3533</v>
      </c>
      <c r="B2400">
        <v>267</v>
      </c>
      <c r="C2400" t="s">
        <v>1138</v>
      </c>
      <c r="D2400">
        <v>50242</v>
      </c>
      <c r="E2400">
        <v>42813</v>
      </c>
      <c r="F2400">
        <v>25477</v>
      </c>
    </row>
    <row r="2401" spans="1:6">
      <c r="A2401" t="s">
        <v>3534</v>
      </c>
      <c r="B2401">
        <v>267</v>
      </c>
      <c r="C2401" t="s">
        <v>738</v>
      </c>
      <c r="D2401">
        <v>1339764</v>
      </c>
      <c r="E2401">
        <v>42813</v>
      </c>
      <c r="F2401">
        <v>25477</v>
      </c>
    </row>
    <row r="2402" spans="1:6">
      <c r="A2402" t="s">
        <v>3535</v>
      </c>
      <c r="B2402">
        <v>267</v>
      </c>
      <c r="C2402" t="s">
        <v>1141</v>
      </c>
      <c r="D2402">
        <v>3014469</v>
      </c>
      <c r="E2402">
        <v>42813</v>
      </c>
      <c r="F2402">
        <v>25477</v>
      </c>
    </row>
    <row r="2403" spans="1:6">
      <c r="A2403" t="s">
        <v>3536</v>
      </c>
      <c r="B2403">
        <v>267</v>
      </c>
      <c r="C2403" t="s">
        <v>159</v>
      </c>
      <c r="D2403">
        <v>37402371</v>
      </c>
      <c r="E2403">
        <v>42813</v>
      </c>
      <c r="F2403">
        <v>25477</v>
      </c>
    </row>
    <row r="2404" spans="1:6">
      <c r="A2404" t="s">
        <v>3537</v>
      </c>
      <c r="B2404">
        <v>267</v>
      </c>
      <c r="C2404" t="s">
        <v>642</v>
      </c>
      <c r="D2404">
        <v>18701186</v>
      </c>
      <c r="E2404">
        <v>42813</v>
      </c>
      <c r="F2404">
        <v>25477</v>
      </c>
    </row>
    <row r="2405" spans="1:6">
      <c r="A2405" t="s">
        <v>3538</v>
      </c>
      <c r="B2405">
        <v>268</v>
      </c>
      <c r="C2405" t="s">
        <v>149</v>
      </c>
      <c r="D2405">
        <v>338342</v>
      </c>
      <c r="E2405">
        <v>43167</v>
      </c>
      <c r="F2405">
        <v>25597</v>
      </c>
    </row>
    <row r="2406" spans="1:6">
      <c r="A2406" t="s">
        <v>3539</v>
      </c>
      <c r="B2406">
        <v>268</v>
      </c>
      <c r="C2406" t="s">
        <v>1132</v>
      </c>
      <c r="D2406">
        <v>1015026</v>
      </c>
      <c r="E2406">
        <v>43167</v>
      </c>
      <c r="F2406">
        <v>25597</v>
      </c>
    </row>
    <row r="2407" spans="1:6">
      <c r="A2407" t="s">
        <v>3540</v>
      </c>
      <c r="B2407">
        <v>268</v>
      </c>
      <c r="C2407" t="s">
        <v>1134</v>
      </c>
      <c r="D2407">
        <v>609016</v>
      </c>
      <c r="E2407">
        <v>43167</v>
      </c>
      <c r="F2407">
        <v>25597</v>
      </c>
    </row>
    <row r="2408" spans="1:6">
      <c r="A2408" t="s">
        <v>3541</v>
      </c>
      <c r="B2408">
        <v>268</v>
      </c>
      <c r="C2408" t="s">
        <v>1136</v>
      </c>
      <c r="D2408">
        <v>169171</v>
      </c>
      <c r="E2408">
        <v>43167</v>
      </c>
      <c r="F2408">
        <v>25597</v>
      </c>
    </row>
    <row r="2409" spans="1:6">
      <c r="A2409" t="s">
        <v>3542</v>
      </c>
      <c r="B2409">
        <v>268</v>
      </c>
      <c r="C2409" t="s">
        <v>1138</v>
      </c>
      <c r="D2409">
        <v>50752</v>
      </c>
      <c r="E2409">
        <v>43167</v>
      </c>
      <c r="F2409">
        <v>25597</v>
      </c>
    </row>
    <row r="2410" spans="1:6">
      <c r="A2410" t="s">
        <v>3543</v>
      </c>
      <c r="B2410">
        <v>268</v>
      </c>
      <c r="C2410" t="s">
        <v>738</v>
      </c>
      <c r="D2410">
        <v>1353368</v>
      </c>
      <c r="E2410">
        <v>43167</v>
      </c>
      <c r="F2410">
        <v>25597</v>
      </c>
    </row>
    <row r="2411" spans="1:6">
      <c r="A2411" t="s">
        <v>3544</v>
      </c>
      <c r="B2411">
        <v>268</v>
      </c>
      <c r="C2411" t="s">
        <v>1141</v>
      </c>
      <c r="D2411">
        <v>3045078</v>
      </c>
      <c r="E2411">
        <v>43167</v>
      </c>
      <c r="F2411">
        <v>25597</v>
      </c>
    </row>
    <row r="2412" spans="1:6">
      <c r="A2412" t="s">
        <v>3545</v>
      </c>
      <c r="B2412">
        <v>268</v>
      </c>
      <c r="C2412" t="s">
        <v>159</v>
      </c>
      <c r="D2412">
        <v>37809889</v>
      </c>
      <c r="E2412">
        <v>43167</v>
      </c>
      <c r="F2412">
        <v>25597</v>
      </c>
    </row>
    <row r="2413" spans="1:6">
      <c r="A2413" t="s">
        <v>3546</v>
      </c>
      <c r="B2413">
        <v>268</v>
      </c>
      <c r="C2413" t="s">
        <v>642</v>
      </c>
      <c r="D2413">
        <v>18904945</v>
      </c>
      <c r="E2413">
        <v>43167</v>
      </c>
      <c r="F2413">
        <v>25597</v>
      </c>
    </row>
    <row r="2414" spans="1:6">
      <c r="A2414" t="s">
        <v>3547</v>
      </c>
      <c r="B2414">
        <v>269</v>
      </c>
      <c r="C2414" t="s">
        <v>149</v>
      </c>
      <c r="D2414">
        <v>341770</v>
      </c>
      <c r="E2414">
        <v>43524</v>
      </c>
      <c r="F2414">
        <v>25717</v>
      </c>
    </row>
    <row r="2415" spans="1:6">
      <c r="A2415" t="s">
        <v>3548</v>
      </c>
      <c r="B2415">
        <v>269</v>
      </c>
      <c r="C2415" t="s">
        <v>1132</v>
      </c>
      <c r="D2415">
        <v>1025310</v>
      </c>
      <c r="E2415">
        <v>43524</v>
      </c>
      <c r="F2415">
        <v>25717</v>
      </c>
    </row>
    <row r="2416" spans="1:6">
      <c r="A2416" t="s">
        <v>3549</v>
      </c>
      <c r="B2416">
        <v>269</v>
      </c>
      <c r="C2416" t="s">
        <v>1134</v>
      </c>
      <c r="D2416">
        <v>615186</v>
      </c>
      <c r="E2416">
        <v>43524</v>
      </c>
      <c r="F2416">
        <v>25717</v>
      </c>
    </row>
    <row r="2417" spans="1:6">
      <c r="A2417" t="s">
        <v>3550</v>
      </c>
      <c r="B2417">
        <v>269</v>
      </c>
      <c r="C2417" t="s">
        <v>1136</v>
      </c>
      <c r="D2417">
        <v>170885</v>
      </c>
      <c r="E2417">
        <v>43524</v>
      </c>
      <c r="F2417">
        <v>25717</v>
      </c>
    </row>
    <row r="2418" spans="1:6">
      <c r="A2418" t="s">
        <v>3551</v>
      </c>
      <c r="B2418">
        <v>269</v>
      </c>
      <c r="C2418" t="s">
        <v>1138</v>
      </c>
      <c r="D2418">
        <v>51266</v>
      </c>
      <c r="E2418">
        <v>43524</v>
      </c>
      <c r="F2418">
        <v>25717</v>
      </c>
    </row>
    <row r="2419" spans="1:6">
      <c r="A2419" t="s">
        <v>3552</v>
      </c>
      <c r="B2419">
        <v>269</v>
      </c>
      <c r="C2419" t="s">
        <v>738</v>
      </c>
      <c r="D2419">
        <v>1367080</v>
      </c>
      <c r="E2419">
        <v>43524</v>
      </c>
      <c r="F2419">
        <v>25717</v>
      </c>
    </row>
    <row r="2420" spans="1:6">
      <c r="A2420" t="s">
        <v>3553</v>
      </c>
      <c r="B2420">
        <v>269</v>
      </c>
      <c r="C2420" t="s">
        <v>1141</v>
      </c>
      <c r="D2420">
        <v>3075930</v>
      </c>
      <c r="E2420">
        <v>43524</v>
      </c>
      <c r="F2420">
        <v>25717</v>
      </c>
    </row>
    <row r="2421" spans="1:6">
      <c r="A2421" t="s">
        <v>3554</v>
      </c>
      <c r="B2421">
        <v>269</v>
      </c>
      <c r="C2421" t="s">
        <v>159</v>
      </c>
      <c r="D2421">
        <v>38220827</v>
      </c>
      <c r="E2421">
        <v>43524</v>
      </c>
      <c r="F2421">
        <v>25717</v>
      </c>
    </row>
    <row r="2422" spans="1:6">
      <c r="A2422" t="s">
        <v>3555</v>
      </c>
      <c r="B2422">
        <v>269</v>
      </c>
      <c r="C2422" t="s">
        <v>642</v>
      </c>
      <c r="D2422">
        <v>19110414</v>
      </c>
      <c r="E2422">
        <v>43524</v>
      </c>
      <c r="F2422">
        <v>25717</v>
      </c>
    </row>
    <row r="2423" spans="1:6">
      <c r="A2423" t="s">
        <v>3556</v>
      </c>
      <c r="B2423">
        <v>270</v>
      </c>
      <c r="C2423" t="s">
        <v>149</v>
      </c>
      <c r="D2423">
        <v>345223</v>
      </c>
      <c r="E2423">
        <v>43883</v>
      </c>
      <c r="F2423">
        <v>25837</v>
      </c>
    </row>
    <row r="2424" spans="1:6">
      <c r="A2424" t="s">
        <v>3557</v>
      </c>
      <c r="B2424">
        <v>270</v>
      </c>
      <c r="C2424" t="s">
        <v>1132</v>
      </c>
      <c r="D2424">
        <v>1035669</v>
      </c>
      <c r="E2424">
        <v>43883</v>
      </c>
      <c r="F2424">
        <v>25837</v>
      </c>
    </row>
    <row r="2425" spans="1:6">
      <c r="A2425" t="s">
        <v>3558</v>
      </c>
      <c r="B2425">
        <v>270</v>
      </c>
      <c r="C2425" t="s">
        <v>1134</v>
      </c>
      <c r="D2425">
        <v>621402</v>
      </c>
      <c r="E2425">
        <v>43883</v>
      </c>
      <c r="F2425">
        <v>25837</v>
      </c>
    </row>
    <row r="2426" spans="1:6">
      <c r="A2426" t="s">
        <v>3559</v>
      </c>
      <c r="B2426">
        <v>270</v>
      </c>
      <c r="C2426" t="s">
        <v>1136</v>
      </c>
      <c r="D2426">
        <v>172612</v>
      </c>
      <c r="E2426">
        <v>43883</v>
      </c>
      <c r="F2426">
        <v>25837</v>
      </c>
    </row>
    <row r="2427" spans="1:6">
      <c r="A2427" t="s">
        <v>3560</v>
      </c>
      <c r="B2427">
        <v>270</v>
      </c>
      <c r="C2427" t="s">
        <v>1138</v>
      </c>
      <c r="D2427">
        <v>51784</v>
      </c>
      <c r="E2427">
        <v>43883</v>
      </c>
      <c r="F2427">
        <v>25837</v>
      </c>
    </row>
    <row r="2428" spans="1:6">
      <c r="A2428" t="s">
        <v>3561</v>
      </c>
      <c r="B2428">
        <v>270</v>
      </c>
      <c r="C2428" t="s">
        <v>738</v>
      </c>
      <c r="D2428">
        <v>1380892</v>
      </c>
      <c r="E2428">
        <v>43883</v>
      </c>
      <c r="F2428">
        <v>25837</v>
      </c>
    </row>
    <row r="2429" spans="1:6">
      <c r="A2429" t="s">
        <v>3562</v>
      </c>
      <c r="B2429">
        <v>270</v>
      </c>
      <c r="C2429" t="s">
        <v>1141</v>
      </c>
      <c r="D2429">
        <v>3107007</v>
      </c>
      <c r="E2429">
        <v>43883</v>
      </c>
      <c r="F2429">
        <v>25837</v>
      </c>
    </row>
    <row r="2430" spans="1:6">
      <c r="A2430" t="s">
        <v>3563</v>
      </c>
      <c r="B2430">
        <v>270</v>
      </c>
      <c r="C2430" t="s">
        <v>159</v>
      </c>
      <c r="D2430">
        <v>38635185</v>
      </c>
      <c r="E2430">
        <v>43883</v>
      </c>
      <c r="F2430">
        <v>25837</v>
      </c>
    </row>
    <row r="2431" spans="1:6">
      <c r="A2431" t="s">
        <v>3564</v>
      </c>
      <c r="B2431">
        <v>270</v>
      </c>
      <c r="C2431" t="s">
        <v>642</v>
      </c>
      <c r="D2431">
        <v>19317593</v>
      </c>
      <c r="E2431">
        <v>43883</v>
      </c>
      <c r="F2431">
        <v>25837</v>
      </c>
    </row>
    <row r="2432" spans="1:6">
      <c r="A2432" t="s">
        <v>3565</v>
      </c>
      <c r="B2432">
        <v>271</v>
      </c>
      <c r="C2432" t="s">
        <v>149</v>
      </c>
      <c r="D2432">
        <v>348704</v>
      </c>
      <c r="E2432">
        <v>44243</v>
      </c>
      <c r="F2432">
        <v>25958</v>
      </c>
    </row>
    <row r="2433" spans="1:6">
      <c r="A2433" t="s">
        <v>3566</v>
      </c>
      <c r="B2433">
        <v>271</v>
      </c>
      <c r="C2433" t="s">
        <v>1132</v>
      </c>
      <c r="D2433">
        <v>1046112</v>
      </c>
      <c r="E2433">
        <v>44243</v>
      </c>
      <c r="F2433">
        <v>25958</v>
      </c>
    </row>
    <row r="2434" spans="1:6">
      <c r="A2434" t="s">
        <v>3567</v>
      </c>
      <c r="B2434">
        <v>271</v>
      </c>
      <c r="C2434" t="s">
        <v>1134</v>
      </c>
      <c r="D2434">
        <v>627668</v>
      </c>
      <c r="E2434">
        <v>44243</v>
      </c>
      <c r="F2434">
        <v>25958</v>
      </c>
    </row>
    <row r="2435" spans="1:6">
      <c r="A2435" t="s">
        <v>3568</v>
      </c>
      <c r="B2435">
        <v>271</v>
      </c>
      <c r="C2435" t="s">
        <v>1136</v>
      </c>
      <c r="D2435">
        <v>174352</v>
      </c>
      <c r="E2435">
        <v>44243</v>
      </c>
      <c r="F2435">
        <v>25958</v>
      </c>
    </row>
    <row r="2436" spans="1:6">
      <c r="A2436" t="s">
        <v>3569</v>
      </c>
      <c r="B2436">
        <v>271</v>
      </c>
      <c r="C2436" t="s">
        <v>1138</v>
      </c>
      <c r="D2436">
        <v>52306</v>
      </c>
      <c r="E2436">
        <v>44243</v>
      </c>
      <c r="F2436">
        <v>25958</v>
      </c>
    </row>
    <row r="2437" spans="1:6">
      <c r="A2437" t="s">
        <v>3570</v>
      </c>
      <c r="B2437">
        <v>271</v>
      </c>
      <c r="C2437" t="s">
        <v>738</v>
      </c>
      <c r="D2437">
        <v>1394816</v>
      </c>
      <c r="E2437">
        <v>44243</v>
      </c>
      <c r="F2437">
        <v>25958</v>
      </c>
    </row>
    <row r="2438" spans="1:6">
      <c r="A2438" t="s">
        <v>3571</v>
      </c>
      <c r="B2438">
        <v>271</v>
      </c>
      <c r="C2438" t="s">
        <v>1141</v>
      </c>
      <c r="D2438">
        <v>3138336</v>
      </c>
      <c r="E2438">
        <v>44243</v>
      </c>
      <c r="F2438">
        <v>25958</v>
      </c>
    </row>
    <row r="2439" spans="1:6">
      <c r="A2439" t="s">
        <v>3572</v>
      </c>
      <c r="B2439">
        <v>271</v>
      </c>
      <c r="C2439" t="s">
        <v>159</v>
      </c>
      <c r="D2439">
        <v>39053083</v>
      </c>
      <c r="E2439">
        <v>44243</v>
      </c>
      <c r="F2439">
        <v>25958</v>
      </c>
    </row>
    <row r="2440" spans="1:6">
      <c r="A2440" t="s">
        <v>3573</v>
      </c>
      <c r="B2440">
        <v>271</v>
      </c>
      <c r="C2440" t="s">
        <v>642</v>
      </c>
      <c r="D2440">
        <v>19526542</v>
      </c>
      <c r="E2440">
        <v>44243</v>
      </c>
      <c r="F2440">
        <v>25958</v>
      </c>
    </row>
    <row r="2441" spans="1:6">
      <c r="A2441" t="s">
        <v>3574</v>
      </c>
      <c r="B2441">
        <v>272</v>
      </c>
      <c r="C2441" t="s">
        <v>149</v>
      </c>
      <c r="D2441">
        <v>352211</v>
      </c>
      <c r="E2441">
        <v>44606</v>
      </c>
      <c r="F2441">
        <v>26079</v>
      </c>
    </row>
    <row r="2442" spans="1:6">
      <c r="A2442" t="s">
        <v>3575</v>
      </c>
      <c r="B2442">
        <v>272</v>
      </c>
      <c r="C2442" t="s">
        <v>1132</v>
      </c>
      <c r="D2442">
        <v>1056633</v>
      </c>
      <c r="E2442">
        <v>44606</v>
      </c>
      <c r="F2442">
        <v>26079</v>
      </c>
    </row>
    <row r="2443" spans="1:6">
      <c r="A2443" t="s">
        <v>3576</v>
      </c>
      <c r="B2443">
        <v>272</v>
      </c>
      <c r="C2443" t="s">
        <v>1134</v>
      </c>
      <c r="D2443">
        <v>633980</v>
      </c>
      <c r="E2443">
        <v>44606</v>
      </c>
      <c r="F2443">
        <v>26079</v>
      </c>
    </row>
    <row r="2444" spans="1:6">
      <c r="A2444" t="s">
        <v>3577</v>
      </c>
      <c r="B2444">
        <v>272</v>
      </c>
      <c r="C2444" t="s">
        <v>1136</v>
      </c>
      <c r="D2444">
        <v>176106</v>
      </c>
      <c r="E2444">
        <v>44606</v>
      </c>
      <c r="F2444">
        <v>26079</v>
      </c>
    </row>
    <row r="2445" spans="1:6">
      <c r="A2445" t="s">
        <v>3578</v>
      </c>
      <c r="B2445">
        <v>272</v>
      </c>
      <c r="C2445" t="s">
        <v>1138</v>
      </c>
      <c r="D2445">
        <v>52832</v>
      </c>
      <c r="E2445">
        <v>44606</v>
      </c>
      <c r="F2445">
        <v>26079</v>
      </c>
    </row>
    <row r="2446" spans="1:6">
      <c r="A2446" t="s">
        <v>3579</v>
      </c>
      <c r="B2446">
        <v>272</v>
      </c>
      <c r="C2446" t="s">
        <v>738</v>
      </c>
      <c r="D2446">
        <v>1408844</v>
      </c>
      <c r="E2446">
        <v>44606</v>
      </c>
      <c r="F2446">
        <v>26079</v>
      </c>
    </row>
    <row r="2447" spans="1:6">
      <c r="A2447" t="s">
        <v>3580</v>
      </c>
      <c r="B2447">
        <v>272</v>
      </c>
      <c r="C2447" t="s">
        <v>1141</v>
      </c>
      <c r="D2447">
        <v>3169899</v>
      </c>
      <c r="E2447">
        <v>44606</v>
      </c>
      <c r="F2447">
        <v>26079</v>
      </c>
    </row>
    <row r="2448" spans="1:6">
      <c r="A2448" t="s">
        <v>3581</v>
      </c>
      <c r="B2448">
        <v>272</v>
      </c>
      <c r="C2448" t="s">
        <v>159</v>
      </c>
      <c r="D2448">
        <v>39474462</v>
      </c>
      <c r="E2448">
        <v>44606</v>
      </c>
      <c r="F2448">
        <v>26079</v>
      </c>
    </row>
    <row r="2449" spans="1:6">
      <c r="A2449" t="s">
        <v>3582</v>
      </c>
      <c r="B2449">
        <v>272</v>
      </c>
      <c r="C2449" t="s">
        <v>642</v>
      </c>
      <c r="D2449">
        <v>19737231</v>
      </c>
      <c r="E2449">
        <v>44606</v>
      </c>
      <c r="F2449">
        <v>26079</v>
      </c>
    </row>
    <row r="2450" spans="1:6">
      <c r="A2450" t="s">
        <v>3583</v>
      </c>
      <c r="B2450">
        <v>273</v>
      </c>
      <c r="C2450" t="s">
        <v>149</v>
      </c>
      <c r="D2450">
        <v>355744</v>
      </c>
      <c r="E2450">
        <v>44971</v>
      </c>
      <c r="F2450">
        <v>26200</v>
      </c>
    </row>
    <row r="2451" spans="1:6">
      <c r="A2451" t="s">
        <v>3584</v>
      </c>
      <c r="B2451">
        <v>273</v>
      </c>
      <c r="C2451" t="s">
        <v>1132</v>
      </c>
      <c r="D2451">
        <v>1067232</v>
      </c>
      <c r="E2451">
        <v>44971</v>
      </c>
      <c r="F2451">
        <v>26200</v>
      </c>
    </row>
    <row r="2452" spans="1:6">
      <c r="A2452" t="s">
        <v>3585</v>
      </c>
      <c r="B2452">
        <v>273</v>
      </c>
      <c r="C2452" t="s">
        <v>1134</v>
      </c>
      <c r="D2452">
        <v>640340</v>
      </c>
      <c r="E2452">
        <v>44971</v>
      </c>
      <c r="F2452">
        <v>26200</v>
      </c>
    </row>
    <row r="2453" spans="1:6">
      <c r="A2453" t="s">
        <v>3586</v>
      </c>
      <c r="B2453">
        <v>273</v>
      </c>
      <c r="C2453" t="s">
        <v>1136</v>
      </c>
      <c r="D2453">
        <v>177872</v>
      </c>
      <c r="E2453">
        <v>44971</v>
      </c>
      <c r="F2453">
        <v>26200</v>
      </c>
    </row>
    <row r="2454" spans="1:6">
      <c r="A2454" t="s">
        <v>3587</v>
      </c>
      <c r="B2454">
        <v>273</v>
      </c>
      <c r="C2454" t="s">
        <v>1138</v>
      </c>
      <c r="D2454">
        <v>53362</v>
      </c>
      <c r="E2454">
        <v>44971</v>
      </c>
      <c r="F2454">
        <v>26200</v>
      </c>
    </row>
    <row r="2455" spans="1:6">
      <c r="A2455" t="s">
        <v>3588</v>
      </c>
      <c r="B2455">
        <v>273</v>
      </c>
      <c r="C2455" t="s">
        <v>738</v>
      </c>
      <c r="D2455">
        <v>1422976</v>
      </c>
      <c r="E2455">
        <v>44971</v>
      </c>
      <c r="F2455">
        <v>26200</v>
      </c>
    </row>
    <row r="2456" spans="1:6">
      <c r="A2456" t="s">
        <v>3589</v>
      </c>
      <c r="B2456">
        <v>273</v>
      </c>
      <c r="C2456" t="s">
        <v>1141</v>
      </c>
      <c r="D2456">
        <v>3201696</v>
      </c>
      <c r="E2456">
        <v>44971</v>
      </c>
      <c r="F2456">
        <v>26200</v>
      </c>
    </row>
    <row r="2457" spans="1:6">
      <c r="A2457" t="s">
        <v>3590</v>
      </c>
      <c r="B2457">
        <v>273</v>
      </c>
      <c r="C2457" t="s">
        <v>159</v>
      </c>
      <c r="D2457">
        <v>39899320</v>
      </c>
      <c r="E2457">
        <v>44971</v>
      </c>
      <c r="F2457">
        <v>26200</v>
      </c>
    </row>
    <row r="2458" spans="1:6">
      <c r="A2458" t="s">
        <v>3591</v>
      </c>
      <c r="B2458">
        <v>273</v>
      </c>
      <c r="C2458" t="s">
        <v>642</v>
      </c>
      <c r="D2458">
        <v>19949660</v>
      </c>
      <c r="E2458">
        <v>44971</v>
      </c>
      <c r="F2458">
        <v>26200</v>
      </c>
    </row>
    <row r="2459" spans="1:6">
      <c r="A2459" t="s">
        <v>3592</v>
      </c>
      <c r="B2459">
        <v>274</v>
      </c>
      <c r="C2459" t="s">
        <v>149</v>
      </c>
      <c r="D2459">
        <v>359305</v>
      </c>
      <c r="E2459">
        <v>45338</v>
      </c>
      <c r="F2459">
        <v>26321</v>
      </c>
    </row>
    <row r="2460" spans="1:6">
      <c r="A2460" t="s">
        <v>3593</v>
      </c>
      <c r="B2460">
        <v>274</v>
      </c>
      <c r="C2460" t="s">
        <v>1132</v>
      </c>
      <c r="D2460">
        <v>1077915</v>
      </c>
      <c r="E2460">
        <v>45338</v>
      </c>
      <c r="F2460">
        <v>26321</v>
      </c>
    </row>
    <row r="2461" spans="1:6">
      <c r="A2461" t="s">
        <v>3594</v>
      </c>
      <c r="B2461">
        <v>274</v>
      </c>
      <c r="C2461" t="s">
        <v>1134</v>
      </c>
      <c r="D2461">
        <v>646749</v>
      </c>
      <c r="E2461">
        <v>45338</v>
      </c>
      <c r="F2461">
        <v>26321</v>
      </c>
    </row>
    <row r="2462" spans="1:6">
      <c r="A2462" t="s">
        <v>3595</v>
      </c>
      <c r="B2462">
        <v>274</v>
      </c>
      <c r="C2462" t="s">
        <v>1136</v>
      </c>
      <c r="D2462">
        <v>179653</v>
      </c>
      <c r="E2462">
        <v>45338</v>
      </c>
      <c r="F2462">
        <v>26321</v>
      </c>
    </row>
    <row r="2463" spans="1:6">
      <c r="A2463" t="s">
        <v>3596</v>
      </c>
      <c r="B2463">
        <v>274</v>
      </c>
      <c r="C2463" t="s">
        <v>1138</v>
      </c>
      <c r="D2463">
        <v>53896</v>
      </c>
      <c r="E2463">
        <v>45338</v>
      </c>
      <c r="F2463">
        <v>26321</v>
      </c>
    </row>
    <row r="2464" spans="1:6">
      <c r="A2464" t="s">
        <v>3597</v>
      </c>
      <c r="B2464">
        <v>274</v>
      </c>
      <c r="C2464" t="s">
        <v>738</v>
      </c>
      <c r="D2464">
        <v>1437220</v>
      </c>
      <c r="E2464">
        <v>45338</v>
      </c>
      <c r="F2464">
        <v>26321</v>
      </c>
    </row>
    <row r="2465" spans="1:6">
      <c r="A2465" t="s">
        <v>3598</v>
      </c>
      <c r="B2465">
        <v>274</v>
      </c>
      <c r="C2465" t="s">
        <v>1141</v>
      </c>
      <c r="D2465">
        <v>3233745</v>
      </c>
      <c r="E2465">
        <v>45338</v>
      </c>
      <c r="F2465">
        <v>26321</v>
      </c>
    </row>
    <row r="2466" spans="1:6">
      <c r="A2466" t="s">
        <v>3599</v>
      </c>
      <c r="B2466">
        <v>274</v>
      </c>
      <c r="C2466" t="s">
        <v>159</v>
      </c>
      <c r="D2466">
        <v>40327778</v>
      </c>
      <c r="E2466">
        <v>45338</v>
      </c>
      <c r="F2466">
        <v>26321</v>
      </c>
    </row>
    <row r="2467" spans="1:6">
      <c r="A2467" t="s">
        <v>3600</v>
      </c>
      <c r="B2467">
        <v>274</v>
      </c>
      <c r="C2467" t="s">
        <v>642</v>
      </c>
      <c r="D2467">
        <v>20163889</v>
      </c>
      <c r="E2467">
        <v>45338</v>
      </c>
      <c r="F2467">
        <v>26321</v>
      </c>
    </row>
    <row r="2468" spans="1:6">
      <c r="A2468" t="s">
        <v>3601</v>
      </c>
      <c r="B2468">
        <v>275</v>
      </c>
      <c r="C2468" t="s">
        <v>149</v>
      </c>
      <c r="D2468">
        <v>362893</v>
      </c>
      <c r="E2468">
        <v>45708</v>
      </c>
      <c r="F2468">
        <v>26443</v>
      </c>
    </row>
    <row r="2469" spans="1:6">
      <c r="A2469" t="s">
        <v>3602</v>
      </c>
      <c r="B2469">
        <v>275</v>
      </c>
      <c r="C2469" t="s">
        <v>1132</v>
      </c>
      <c r="D2469">
        <v>1088679</v>
      </c>
      <c r="E2469">
        <v>45708</v>
      </c>
      <c r="F2469">
        <v>26443</v>
      </c>
    </row>
    <row r="2470" spans="1:6">
      <c r="A2470" t="s">
        <v>3603</v>
      </c>
      <c r="B2470">
        <v>275</v>
      </c>
      <c r="C2470" t="s">
        <v>1134</v>
      </c>
      <c r="D2470">
        <v>653208</v>
      </c>
      <c r="E2470">
        <v>45708</v>
      </c>
      <c r="F2470">
        <v>26443</v>
      </c>
    </row>
    <row r="2471" spans="1:6">
      <c r="A2471" t="s">
        <v>3604</v>
      </c>
      <c r="B2471">
        <v>275</v>
      </c>
      <c r="C2471" t="s">
        <v>1136</v>
      </c>
      <c r="D2471">
        <v>181447</v>
      </c>
      <c r="E2471">
        <v>45708</v>
      </c>
      <c r="F2471">
        <v>26443</v>
      </c>
    </row>
    <row r="2472" spans="1:6">
      <c r="A2472" t="s">
        <v>3605</v>
      </c>
      <c r="B2472">
        <v>275</v>
      </c>
      <c r="C2472" t="s">
        <v>1138</v>
      </c>
      <c r="D2472">
        <v>54434</v>
      </c>
      <c r="E2472">
        <v>45708</v>
      </c>
      <c r="F2472">
        <v>26443</v>
      </c>
    </row>
    <row r="2473" spans="1:6">
      <c r="A2473" t="s">
        <v>3606</v>
      </c>
      <c r="B2473">
        <v>275</v>
      </c>
      <c r="C2473" t="s">
        <v>738</v>
      </c>
      <c r="D2473">
        <v>1451572</v>
      </c>
      <c r="E2473">
        <v>45708</v>
      </c>
      <c r="F2473">
        <v>26443</v>
      </c>
    </row>
    <row r="2474" spans="1:6">
      <c r="A2474" t="s">
        <v>3607</v>
      </c>
      <c r="B2474">
        <v>275</v>
      </c>
      <c r="C2474" t="s">
        <v>1141</v>
      </c>
      <c r="D2474">
        <v>3266037</v>
      </c>
      <c r="E2474">
        <v>45708</v>
      </c>
      <c r="F2474">
        <v>26443</v>
      </c>
    </row>
    <row r="2475" spans="1:6">
      <c r="A2475" t="s">
        <v>3608</v>
      </c>
      <c r="B2475">
        <v>275</v>
      </c>
      <c r="C2475" t="s">
        <v>159</v>
      </c>
      <c r="D2475">
        <v>40759777</v>
      </c>
      <c r="E2475">
        <v>45708</v>
      </c>
      <c r="F2475">
        <v>26443</v>
      </c>
    </row>
    <row r="2476" spans="1:6">
      <c r="A2476" t="s">
        <v>3609</v>
      </c>
      <c r="B2476">
        <v>275</v>
      </c>
      <c r="C2476" t="s">
        <v>642</v>
      </c>
      <c r="D2476">
        <v>20379888</v>
      </c>
      <c r="E2476">
        <v>45708</v>
      </c>
      <c r="F2476">
        <v>26443</v>
      </c>
    </row>
    <row r="2477" spans="1:6">
      <c r="A2477" t="s">
        <v>3610</v>
      </c>
      <c r="B2477">
        <v>276</v>
      </c>
      <c r="C2477" t="s">
        <v>149</v>
      </c>
      <c r="D2477">
        <v>366508</v>
      </c>
      <c r="E2477">
        <v>46079</v>
      </c>
      <c r="F2477">
        <v>26564</v>
      </c>
    </row>
    <row r="2478" spans="1:6">
      <c r="A2478" t="s">
        <v>3611</v>
      </c>
      <c r="B2478">
        <v>276</v>
      </c>
      <c r="C2478" t="s">
        <v>1132</v>
      </c>
      <c r="D2478">
        <v>1099524</v>
      </c>
      <c r="E2478">
        <v>46079</v>
      </c>
      <c r="F2478">
        <v>26564</v>
      </c>
    </row>
    <row r="2479" spans="1:6">
      <c r="A2479" t="s">
        <v>3612</v>
      </c>
      <c r="B2479">
        <v>276</v>
      </c>
      <c r="C2479" t="s">
        <v>1134</v>
      </c>
      <c r="D2479">
        <v>659715</v>
      </c>
      <c r="E2479">
        <v>46079</v>
      </c>
      <c r="F2479">
        <v>26564</v>
      </c>
    </row>
    <row r="2480" spans="1:6">
      <c r="A2480" t="s">
        <v>3613</v>
      </c>
      <c r="B2480">
        <v>276</v>
      </c>
      <c r="C2480" t="s">
        <v>1136</v>
      </c>
      <c r="D2480">
        <v>183254</v>
      </c>
      <c r="E2480">
        <v>46079</v>
      </c>
      <c r="F2480">
        <v>26564</v>
      </c>
    </row>
    <row r="2481" spans="1:6">
      <c r="A2481" t="s">
        <v>3614</v>
      </c>
      <c r="B2481">
        <v>276</v>
      </c>
      <c r="C2481" t="s">
        <v>1138</v>
      </c>
      <c r="D2481">
        <v>54977</v>
      </c>
      <c r="E2481">
        <v>46079</v>
      </c>
      <c r="F2481">
        <v>26564</v>
      </c>
    </row>
    <row r="2482" spans="1:6">
      <c r="A2482" t="s">
        <v>3615</v>
      </c>
      <c r="B2482">
        <v>276</v>
      </c>
      <c r="C2482" t="s">
        <v>738</v>
      </c>
      <c r="D2482">
        <v>1466032</v>
      </c>
      <c r="E2482">
        <v>46079</v>
      </c>
      <c r="F2482">
        <v>26564</v>
      </c>
    </row>
    <row r="2483" spans="1:6">
      <c r="A2483" t="s">
        <v>3616</v>
      </c>
      <c r="B2483">
        <v>276</v>
      </c>
      <c r="C2483" t="s">
        <v>1141</v>
      </c>
      <c r="D2483">
        <v>3298572</v>
      </c>
      <c r="E2483">
        <v>46079</v>
      </c>
      <c r="F2483">
        <v>26564</v>
      </c>
    </row>
    <row r="2484" spans="1:6">
      <c r="A2484" t="s">
        <v>3617</v>
      </c>
      <c r="B2484">
        <v>276</v>
      </c>
      <c r="C2484" t="s">
        <v>159</v>
      </c>
      <c r="D2484">
        <v>41195375</v>
      </c>
      <c r="E2484">
        <v>46079</v>
      </c>
      <c r="F2484">
        <v>26564</v>
      </c>
    </row>
    <row r="2485" spans="1:6">
      <c r="A2485" t="s">
        <v>3618</v>
      </c>
      <c r="B2485">
        <v>276</v>
      </c>
      <c r="C2485" t="s">
        <v>642</v>
      </c>
      <c r="D2485">
        <v>20597688</v>
      </c>
      <c r="E2485">
        <v>46079</v>
      </c>
      <c r="F2485">
        <v>26564</v>
      </c>
    </row>
    <row r="2486" spans="1:6">
      <c r="A2486" t="s">
        <v>3619</v>
      </c>
      <c r="B2486">
        <v>277</v>
      </c>
      <c r="C2486" t="s">
        <v>149</v>
      </c>
      <c r="D2486">
        <v>370150</v>
      </c>
      <c r="E2486">
        <v>46452</v>
      </c>
      <c r="F2486">
        <v>26686</v>
      </c>
    </row>
    <row r="2487" spans="1:6">
      <c r="A2487" t="s">
        <v>3620</v>
      </c>
      <c r="B2487">
        <v>277</v>
      </c>
      <c r="C2487" t="s">
        <v>1132</v>
      </c>
      <c r="D2487">
        <v>1110450</v>
      </c>
      <c r="E2487">
        <v>46452</v>
      </c>
      <c r="F2487">
        <v>26686</v>
      </c>
    </row>
    <row r="2488" spans="1:6">
      <c r="A2488" t="s">
        <v>3621</v>
      </c>
      <c r="B2488">
        <v>277</v>
      </c>
      <c r="C2488" t="s">
        <v>1134</v>
      </c>
      <c r="D2488">
        <v>666270</v>
      </c>
      <c r="E2488">
        <v>46452</v>
      </c>
      <c r="F2488">
        <v>26686</v>
      </c>
    </row>
    <row r="2489" spans="1:6">
      <c r="A2489" t="s">
        <v>3622</v>
      </c>
      <c r="B2489">
        <v>277</v>
      </c>
      <c r="C2489" t="s">
        <v>1136</v>
      </c>
      <c r="D2489">
        <v>185075</v>
      </c>
      <c r="E2489">
        <v>46452</v>
      </c>
      <c r="F2489">
        <v>26686</v>
      </c>
    </row>
    <row r="2490" spans="1:6">
      <c r="A2490" t="s">
        <v>3623</v>
      </c>
      <c r="B2490">
        <v>277</v>
      </c>
      <c r="C2490" t="s">
        <v>1138</v>
      </c>
      <c r="D2490">
        <v>55523</v>
      </c>
      <c r="E2490">
        <v>46452</v>
      </c>
      <c r="F2490">
        <v>26686</v>
      </c>
    </row>
    <row r="2491" spans="1:6">
      <c r="A2491" t="s">
        <v>3624</v>
      </c>
      <c r="B2491">
        <v>277</v>
      </c>
      <c r="C2491" t="s">
        <v>738</v>
      </c>
      <c r="D2491">
        <v>1480600</v>
      </c>
      <c r="E2491">
        <v>46452</v>
      </c>
      <c r="F2491">
        <v>26686</v>
      </c>
    </row>
    <row r="2492" spans="1:6">
      <c r="A2492" t="s">
        <v>3625</v>
      </c>
      <c r="B2492">
        <v>277</v>
      </c>
      <c r="C2492" t="s">
        <v>1141</v>
      </c>
      <c r="D2492">
        <v>3331350</v>
      </c>
      <c r="E2492">
        <v>46452</v>
      </c>
      <c r="F2492">
        <v>26686</v>
      </c>
    </row>
    <row r="2493" spans="1:6">
      <c r="A2493" t="s">
        <v>3626</v>
      </c>
      <c r="B2493">
        <v>277</v>
      </c>
      <c r="C2493" t="s">
        <v>159</v>
      </c>
      <c r="D2493">
        <v>41634574</v>
      </c>
      <c r="E2493">
        <v>46452</v>
      </c>
      <c r="F2493">
        <v>26686</v>
      </c>
    </row>
    <row r="2494" spans="1:6">
      <c r="A2494" t="s">
        <v>3627</v>
      </c>
      <c r="B2494">
        <v>277</v>
      </c>
      <c r="C2494" t="s">
        <v>642</v>
      </c>
      <c r="D2494">
        <v>20817287</v>
      </c>
      <c r="E2494">
        <v>46452</v>
      </c>
      <c r="F2494">
        <v>26686</v>
      </c>
    </row>
    <row r="2495" spans="1:6">
      <c r="A2495" t="s">
        <v>3628</v>
      </c>
      <c r="B2495">
        <v>278</v>
      </c>
      <c r="C2495" t="s">
        <v>149</v>
      </c>
      <c r="D2495">
        <v>373820</v>
      </c>
      <c r="E2495">
        <v>46828</v>
      </c>
      <c r="F2495">
        <v>26808</v>
      </c>
    </row>
    <row r="2496" spans="1:6">
      <c r="A2496" t="s">
        <v>3629</v>
      </c>
      <c r="B2496">
        <v>278</v>
      </c>
      <c r="C2496" t="s">
        <v>1132</v>
      </c>
      <c r="D2496">
        <v>1121460</v>
      </c>
      <c r="E2496">
        <v>46828</v>
      </c>
      <c r="F2496">
        <v>26808</v>
      </c>
    </row>
    <row r="2497" spans="1:6">
      <c r="A2497" t="s">
        <v>3630</v>
      </c>
      <c r="B2497">
        <v>278</v>
      </c>
      <c r="C2497" t="s">
        <v>1134</v>
      </c>
      <c r="D2497">
        <v>672876</v>
      </c>
      <c r="E2497">
        <v>46828</v>
      </c>
      <c r="F2497">
        <v>26808</v>
      </c>
    </row>
    <row r="2498" spans="1:6">
      <c r="A2498" t="s">
        <v>3631</v>
      </c>
      <c r="B2498">
        <v>278</v>
      </c>
      <c r="C2498" t="s">
        <v>1136</v>
      </c>
      <c r="D2498">
        <v>186910</v>
      </c>
      <c r="E2498">
        <v>46828</v>
      </c>
      <c r="F2498">
        <v>26808</v>
      </c>
    </row>
    <row r="2499" spans="1:6">
      <c r="A2499" t="s">
        <v>3632</v>
      </c>
      <c r="B2499">
        <v>278</v>
      </c>
      <c r="C2499" t="s">
        <v>1138</v>
      </c>
      <c r="D2499">
        <v>56073</v>
      </c>
      <c r="E2499">
        <v>46828</v>
      </c>
      <c r="F2499">
        <v>26808</v>
      </c>
    </row>
    <row r="2500" spans="1:6">
      <c r="A2500" t="s">
        <v>3633</v>
      </c>
      <c r="B2500">
        <v>278</v>
      </c>
      <c r="C2500" t="s">
        <v>738</v>
      </c>
      <c r="D2500">
        <v>1495280</v>
      </c>
      <c r="E2500">
        <v>46828</v>
      </c>
      <c r="F2500">
        <v>26808</v>
      </c>
    </row>
    <row r="2501" spans="1:6">
      <c r="A2501" t="s">
        <v>3634</v>
      </c>
      <c r="B2501">
        <v>278</v>
      </c>
      <c r="C2501" t="s">
        <v>1141</v>
      </c>
      <c r="D2501">
        <v>3364380</v>
      </c>
      <c r="E2501">
        <v>46828</v>
      </c>
      <c r="F2501">
        <v>26808</v>
      </c>
    </row>
    <row r="2502" spans="1:6">
      <c r="A2502" t="s">
        <v>3635</v>
      </c>
      <c r="B2502">
        <v>278</v>
      </c>
      <c r="C2502" t="s">
        <v>159</v>
      </c>
      <c r="D2502">
        <v>42077433</v>
      </c>
      <c r="E2502">
        <v>46828</v>
      </c>
      <c r="F2502">
        <v>26808</v>
      </c>
    </row>
    <row r="2503" spans="1:6">
      <c r="A2503" t="s">
        <v>3636</v>
      </c>
      <c r="B2503">
        <v>278</v>
      </c>
      <c r="C2503" t="s">
        <v>642</v>
      </c>
      <c r="D2503">
        <v>21038716</v>
      </c>
      <c r="E2503">
        <v>46828</v>
      </c>
      <c r="F2503">
        <v>26808</v>
      </c>
    </row>
    <row r="2504" spans="1:6">
      <c r="A2504" t="s">
        <v>3637</v>
      </c>
      <c r="B2504">
        <v>279</v>
      </c>
      <c r="C2504" t="s">
        <v>149</v>
      </c>
      <c r="D2504">
        <v>377517</v>
      </c>
      <c r="E2504">
        <v>47206</v>
      </c>
      <c r="F2504">
        <v>26930</v>
      </c>
    </row>
    <row r="2505" spans="1:6">
      <c r="A2505" t="s">
        <v>3638</v>
      </c>
      <c r="B2505">
        <v>279</v>
      </c>
      <c r="C2505" t="s">
        <v>1132</v>
      </c>
      <c r="D2505">
        <v>1132551</v>
      </c>
      <c r="E2505">
        <v>47206</v>
      </c>
      <c r="F2505">
        <v>26930</v>
      </c>
    </row>
    <row r="2506" spans="1:6">
      <c r="A2506" t="s">
        <v>3639</v>
      </c>
      <c r="B2506">
        <v>279</v>
      </c>
      <c r="C2506" t="s">
        <v>1134</v>
      </c>
      <c r="D2506">
        <v>679531</v>
      </c>
      <c r="E2506">
        <v>47206</v>
      </c>
      <c r="F2506">
        <v>26930</v>
      </c>
    </row>
    <row r="2507" spans="1:6">
      <c r="A2507" t="s">
        <v>3640</v>
      </c>
      <c r="B2507">
        <v>279</v>
      </c>
      <c r="C2507" t="s">
        <v>1136</v>
      </c>
      <c r="D2507">
        <v>188759</v>
      </c>
      <c r="E2507">
        <v>47206</v>
      </c>
      <c r="F2507">
        <v>26930</v>
      </c>
    </row>
    <row r="2508" spans="1:6">
      <c r="A2508" t="s">
        <v>3641</v>
      </c>
      <c r="B2508">
        <v>279</v>
      </c>
      <c r="C2508" t="s">
        <v>1138</v>
      </c>
      <c r="D2508">
        <v>56628</v>
      </c>
      <c r="E2508">
        <v>47206</v>
      </c>
      <c r="F2508">
        <v>26930</v>
      </c>
    </row>
    <row r="2509" spans="1:6">
      <c r="A2509" t="s">
        <v>3642</v>
      </c>
      <c r="B2509">
        <v>279</v>
      </c>
      <c r="C2509" t="s">
        <v>738</v>
      </c>
      <c r="D2509">
        <v>1510068</v>
      </c>
      <c r="E2509">
        <v>47206</v>
      </c>
      <c r="F2509">
        <v>26930</v>
      </c>
    </row>
    <row r="2510" spans="1:6">
      <c r="A2510" t="s">
        <v>3643</v>
      </c>
      <c r="B2510">
        <v>279</v>
      </c>
      <c r="C2510" t="s">
        <v>1141</v>
      </c>
      <c r="D2510">
        <v>3397653</v>
      </c>
      <c r="E2510">
        <v>47206</v>
      </c>
      <c r="F2510">
        <v>26930</v>
      </c>
    </row>
    <row r="2511" spans="1:6">
      <c r="A2511" t="s">
        <v>3644</v>
      </c>
      <c r="B2511">
        <v>279</v>
      </c>
      <c r="C2511" t="s">
        <v>159</v>
      </c>
      <c r="D2511">
        <v>42523951</v>
      </c>
      <c r="E2511">
        <v>47206</v>
      </c>
      <c r="F2511">
        <v>26930</v>
      </c>
    </row>
    <row r="2512" spans="1:6">
      <c r="A2512" t="s">
        <v>3645</v>
      </c>
      <c r="B2512">
        <v>279</v>
      </c>
      <c r="C2512" t="s">
        <v>642</v>
      </c>
      <c r="D2512">
        <v>21261976</v>
      </c>
      <c r="E2512">
        <v>47206</v>
      </c>
      <c r="F2512">
        <v>26930</v>
      </c>
    </row>
    <row r="2513" spans="1:6">
      <c r="A2513" t="s">
        <v>3646</v>
      </c>
      <c r="B2513">
        <v>280</v>
      </c>
      <c r="C2513" t="s">
        <v>149</v>
      </c>
      <c r="D2513">
        <v>381243</v>
      </c>
      <c r="E2513">
        <v>47585</v>
      </c>
      <c r="F2513">
        <v>27052</v>
      </c>
    </row>
    <row r="2514" spans="1:6">
      <c r="A2514" t="s">
        <v>3647</v>
      </c>
      <c r="B2514">
        <v>280</v>
      </c>
      <c r="C2514" t="s">
        <v>1132</v>
      </c>
      <c r="D2514">
        <v>1143729</v>
      </c>
      <c r="E2514">
        <v>47585</v>
      </c>
      <c r="F2514">
        <v>27052</v>
      </c>
    </row>
    <row r="2515" spans="1:6">
      <c r="A2515" t="s">
        <v>3648</v>
      </c>
      <c r="B2515">
        <v>280</v>
      </c>
      <c r="C2515" t="s">
        <v>1134</v>
      </c>
      <c r="D2515">
        <v>686238</v>
      </c>
      <c r="E2515">
        <v>47585</v>
      </c>
      <c r="F2515">
        <v>27052</v>
      </c>
    </row>
    <row r="2516" spans="1:6">
      <c r="A2516" t="s">
        <v>3649</v>
      </c>
      <c r="B2516">
        <v>280</v>
      </c>
      <c r="C2516" t="s">
        <v>1136</v>
      </c>
      <c r="D2516">
        <v>190622</v>
      </c>
      <c r="E2516">
        <v>47585</v>
      </c>
      <c r="F2516">
        <v>27052</v>
      </c>
    </row>
    <row r="2517" spans="1:6">
      <c r="A2517" t="s">
        <v>3650</v>
      </c>
      <c r="B2517">
        <v>280</v>
      </c>
      <c r="C2517" t="s">
        <v>1138</v>
      </c>
      <c r="D2517">
        <v>57187</v>
      </c>
      <c r="E2517">
        <v>47585</v>
      </c>
      <c r="F2517">
        <v>27052</v>
      </c>
    </row>
    <row r="2518" spans="1:6">
      <c r="A2518" t="s">
        <v>3651</v>
      </c>
      <c r="B2518">
        <v>280</v>
      </c>
      <c r="C2518" t="s">
        <v>738</v>
      </c>
      <c r="D2518">
        <v>1524972</v>
      </c>
      <c r="E2518">
        <v>47585</v>
      </c>
      <c r="F2518">
        <v>27052</v>
      </c>
    </row>
    <row r="2519" spans="1:6">
      <c r="A2519" t="s">
        <v>3652</v>
      </c>
      <c r="B2519">
        <v>280</v>
      </c>
      <c r="C2519" t="s">
        <v>1141</v>
      </c>
      <c r="D2519">
        <v>3431187</v>
      </c>
      <c r="E2519">
        <v>47585</v>
      </c>
      <c r="F2519">
        <v>27052</v>
      </c>
    </row>
    <row r="2520" spans="1:6">
      <c r="A2520" t="s">
        <v>3653</v>
      </c>
      <c r="B2520">
        <v>280</v>
      </c>
      <c r="C2520" t="s">
        <v>159</v>
      </c>
      <c r="D2520">
        <v>42974130</v>
      </c>
      <c r="E2520">
        <v>47585</v>
      </c>
      <c r="F2520">
        <v>27052</v>
      </c>
    </row>
    <row r="2521" spans="1:6">
      <c r="A2521" t="s">
        <v>3654</v>
      </c>
      <c r="B2521">
        <v>280</v>
      </c>
      <c r="C2521" t="s">
        <v>642</v>
      </c>
      <c r="D2521">
        <v>21487065</v>
      </c>
      <c r="E2521">
        <v>47585</v>
      </c>
      <c r="F2521">
        <v>27052</v>
      </c>
    </row>
    <row r="2522" spans="1:6">
      <c r="A2522" t="s">
        <v>3655</v>
      </c>
      <c r="B2522">
        <v>281</v>
      </c>
      <c r="C2522" t="s">
        <v>149</v>
      </c>
      <c r="D2522">
        <v>384996</v>
      </c>
      <c r="E2522">
        <v>47967</v>
      </c>
      <c r="F2522">
        <v>27175</v>
      </c>
    </row>
    <row r="2523" spans="1:6">
      <c r="A2523" t="s">
        <v>3656</v>
      </c>
      <c r="B2523">
        <v>281</v>
      </c>
      <c r="C2523" t="s">
        <v>1132</v>
      </c>
      <c r="D2523">
        <v>1154988</v>
      </c>
      <c r="E2523">
        <v>47967</v>
      </c>
      <c r="F2523">
        <v>27175</v>
      </c>
    </row>
    <row r="2524" spans="1:6">
      <c r="A2524" t="s">
        <v>3657</v>
      </c>
      <c r="B2524">
        <v>281</v>
      </c>
      <c r="C2524" t="s">
        <v>1134</v>
      </c>
      <c r="D2524">
        <v>692993</v>
      </c>
      <c r="E2524">
        <v>47967</v>
      </c>
      <c r="F2524">
        <v>27175</v>
      </c>
    </row>
    <row r="2525" spans="1:6">
      <c r="A2525" t="s">
        <v>3658</v>
      </c>
      <c r="B2525">
        <v>281</v>
      </c>
      <c r="C2525" t="s">
        <v>1136</v>
      </c>
      <c r="D2525">
        <v>192498</v>
      </c>
      <c r="E2525">
        <v>47967</v>
      </c>
      <c r="F2525">
        <v>27175</v>
      </c>
    </row>
    <row r="2526" spans="1:6">
      <c r="A2526" t="s">
        <v>3659</v>
      </c>
      <c r="B2526">
        <v>281</v>
      </c>
      <c r="C2526" t="s">
        <v>1138</v>
      </c>
      <c r="D2526">
        <v>57750</v>
      </c>
      <c r="E2526">
        <v>47967</v>
      </c>
      <c r="F2526">
        <v>27175</v>
      </c>
    </row>
    <row r="2527" spans="1:6">
      <c r="A2527" t="s">
        <v>3660</v>
      </c>
      <c r="B2527">
        <v>281</v>
      </c>
      <c r="C2527" t="s">
        <v>738</v>
      </c>
      <c r="D2527">
        <v>1539984</v>
      </c>
      <c r="E2527">
        <v>47967</v>
      </c>
      <c r="F2527">
        <v>27175</v>
      </c>
    </row>
    <row r="2528" spans="1:6">
      <c r="A2528" t="s">
        <v>3661</v>
      </c>
      <c r="B2528">
        <v>281</v>
      </c>
      <c r="C2528" t="s">
        <v>1141</v>
      </c>
      <c r="D2528">
        <v>3464964</v>
      </c>
      <c r="E2528">
        <v>47967</v>
      </c>
      <c r="F2528">
        <v>27175</v>
      </c>
    </row>
    <row r="2529" spans="1:6">
      <c r="A2529" t="s">
        <v>3662</v>
      </c>
      <c r="B2529">
        <v>281</v>
      </c>
      <c r="C2529" t="s">
        <v>159</v>
      </c>
      <c r="D2529">
        <v>43428029</v>
      </c>
      <c r="E2529">
        <v>47967</v>
      </c>
      <c r="F2529">
        <v>27175</v>
      </c>
    </row>
    <row r="2530" spans="1:6">
      <c r="A2530" t="s">
        <v>3663</v>
      </c>
      <c r="B2530">
        <v>281</v>
      </c>
      <c r="C2530" t="s">
        <v>642</v>
      </c>
      <c r="D2530">
        <v>21714014</v>
      </c>
      <c r="E2530">
        <v>47967</v>
      </c>
      <c r="F2530">
        <v>27175</v>
      </c>
    </row>
    <row r="2531" spans="1:6">
      <c r="A2531" t="s">
        <v>3664</v>
      </c>
      <c r="B2531">
        <v>282</v>
      </c>
      <c r="C2531" t="s">
        <v>149</v>
      </c>
      <c r="D2531">
        <v>388777</v>
      </c>
      <c r="E2531">
        <v>48351</v>
      </c>
      <c r="F2531">
        <v>27297</v>
      </c>
    </row>
    <row r="2532" spans="1:6">
      <c r="A2532" t="s">
        <v>3665</v>
      </c>
      <c r="B2532">
        <v>282</v>
      </c>
      <c r="C2532" t="s">
        <v>1132</v>
      </c>
      <c r="D2532">
        <v>1166331</v>
      </c>
      <c r="E2532">
        <v>48351</v>
      </c>
      <c r="F2532">
        <v>27297</v>
      </c>
    </row>
    <row r="2533" spans="1:6">
      <c r="A2533" t="s">
        <v>3666</v>
      </c>
      <c r="B2533">
        <v>282</v>
      </c>
      <c r="C2533" t="s">
        <v>1134</v>
      </c>
      <c r="D2533">
        <v>699799</v>
      </c>
      <c r="E2533">
        <v>48351</v>
      </c>
      <c r="F2533">
        <v>27297</v>
      </c>
    </row>
    <row r="2534" spans="1:6">
      <c r="A2534" t="s">
        <v>3667</v>
      </c>
      <c r="B2534">
        <v>282</v>
      </c>
      <c r="C2534" t="s">
        <v>1136</v>
      </c>
      <c r="D2534">
        <v>194389</v>
      </c>
      <c r="E2534">
        <v>48351</v>
      </c>
      <c r="F2534">
        <v>27297</v>
      </c>
    </row>
    <row r="2535" spans="1:6">
      <c r="A2535" t="s">
        <v>3668</v>
      </c>
      <c r="B2535">
        <v>282</v>
      </c>
      <c r="C2535" t="s">
        <v>1138</v>
      </c>
      <c r="D2535">
        <v>58317</v>
      </c>
      <c r="E2535">
        <v>48351</v>
      </c>
      <c r="F2535">
        <v>27297</v>
      </c>
    </row>
    <row r="2536" spans="1:6">
      <c r="A2536" t="s">
        <v>3669</v>
      </c>
      <c r="B2536">
        <v>282</v>
      </c>
      <c r="C2536" t="s">
        <v>738</v>
      </c>
      <c r="D2536">
        <v>1555108</v>
      </c>
      <c r="E2536">
        <v>48351</v>
      </c>
      <c r="F2536">
        <v>27297</v>
      </c>
    </row>
    <row r="2537" spans="1:6">
      <c r="A2537" t="s">
        <v>3670</v>
      </c>
      <c r="B2537">
        <v>282</v>
      </c>
      <c r="C2537" t="s">
        <v>1141</v>
      </c>
      <c r="D2537">
        <v>3498993</v>
      </c>
      <c r="E2537">
        <v>48351</v>
      </c>
      <c r="F2537">
        <v>27297</v>
      </c>
    </row>
    <row r="2538" spans="1:6">
      <c r="A2538" t="s">
        <v>3671</v>
      </c>
      <c r="B2538">
        <v>282</v>
      </c>
      <c r="C2538" t="s">
        <v>159</v>
      </c>
      <c r="D2538">
        <v>43885708</v>
      </c>
      <c r="E2538">
        <v>48351</v>
      </c>
      <c r="F2538">
        <v>27297</v>
      </c>
    </row>
    <row r="2539" spans="1:6">
      <c r="A2539" t="s">
        <v>3672</v>
      </c>
      <c r="B2539">
        <v>282</v>
      </c>
      <c r="C2539" t="s">
        <v>642</v>
      </c>
      <c r="D2539">
        <v>21942854</v>
      </c>
      <c r="E2539">
        <v>48351</v>
      </c>
      <c r="F2539">
        <v>27297</v>
      </c>
    </row>
    <row r="2540" spans="1:6">
      <c r="A2540" t="s">
        <v>3673</v>
      </c>
      <c r="B2540">
        <v>283</v>
      </c>
      <c r="C2540" t="s">
        <v>149</v>
      </c>
      <c r="D2540">
        <v>392587</v>
      </c>
      <c r="E2540">
        <v>48738</v>
      </c>
      <c r="F2540">
        <v>27420</v>
      </c>
    </row>
    <row r="2541" spans="1:6">
      <c r="A2541" t="s">
        <v>3674</v>
      </c>
      <c r="B2541">
        <v>283</v>
      </c>
      <c r="C2541" t="s">
        <v>1132</v>
      </c>
      <c r="D2541">
        <v>1177761</v>
      </c>
      <c r="E2541">
        <v>48738</v>
      </c>
      <c r="F2541">
        <v>27420</v>
      </c>
    </row>
    <row r="2542" spans="1:6">
      <c r="A2542" t="s">
        <v>3675</v>
      </c>
      <c r="B2542">
        <v>283</v>
      </c>
      <c r="C2542" t="s">
        <v>1134</v>
      </c>
      <c r="D2542">
        <v>706657</v>
      </c>
      <c r="E2542">
        <v>48738</v>
      </c>
      <c r="F2542">
        <v>27420</v>
      </c>
    </row>
    <row r="2543" spans="1:6">
      <c r="A2543" t="s">
        <v>3676</v>
      </c>
      <c r="B2543">
        <v>283</v>
      </c>
      <c r="C2543" t="s">
        <v>1136</v>
      </c>
      <c r="D2543">
        <v>196294</v>
      </c>
      <c r="E2543">
        <v>48738</v>
      </c>
      <c r="F2543">
        <v>27420</v>
      </c>
    </row>
    <row r="2544" spans="1:6">
      <c r="A2544" t="s">
        <v>3677</v>
      </c>
      <c r="B2544">
        <v>283</v>
      </c>
      <c r="C2544" t="s">
        <v>1138</v>
      </c>
      <c r="D2544">
        <v>58889</v>
      </c>
      <c r="E2544">
        <v>48738</v>
      </c>
      <c r="F2544">
        <v>27420</v>
      </c>
    </row>
    <row r="2545" spans="1:6">
      <c r="A2545" t="s">
        <v>3678</v>
      </c>
      <c r="B2545">
        <v>283</v>
      </c>
      <c r="C2545" t="s">
        <v>738</v>
      </c>
      <c r="D2545">
        <v>1570348</v>
      </c>
      <c r="E2545">
        <v>48738</v>
      </c>
      <c r="F2545">
        <v>27420</v>
      </c>
    </row>
    <row r="2546" spans="1:6">
      <c r="A2546" t="s">
        <v>3679</v>
      </c>
      <c r="B2546">
        <v>283</v>
      </c>
      <c r="C2546" t="s">
        <v>1141</v>
      </c>
      <c r="D2546">
        <v>3533283</v>
      </c>
      <c r="E2546">
        <v>48738</v>
      </c>
      <c r="F2546">
        <v>27420</v>
      </c>
    </row>
    <row r="2547" spans="1:6">
      <c r="A2547" t="s">
        <v>3680</v>
      </c>
      <c r="B2547">
        <v>283</v>
      </c>
      <c r="C2547" t="s">
        <v>159</v>
      </c>
      <c r="D2547">
        <v>44347107</v>
      </c>
      <c r="E2547">
        <v>48738</v>
      </c>
      <c r="F2547">
        <v>27420</v>
      </c>
    </row>
    <row r="2548" spans="1:6">
      <c r="A2548" t="s">
        <v>3681</v>
      </c>
      <c r="B2548">
        <v>283</v>
      </c>
      <c r="C2548" t="s">
        <v>642</v>
      </c>
      <c r="D2548">
        <v>22173553</v>
      </c>
      <c r="E2548">
        <v>48738</v>
      </c>
      <c r="F2548">
        <v>27420</v>
      </c>
    </row>
    <row r="2549" spans="1:6">
      <c r="A2549" t="s">
        <v>3682</v>
      </c>
      <c r="B2549">
        <v>284</v>
      </c>
      <c r="C2549" t="s">
        <v>149</v>
      </c>
      <c r="D2549">
        <v>396425</v>
      </c>
      <c r="E2549">
        <v>49126</v>
      </c>
      <c r="F2549">
        <v>27543</v>
      </c>
    </row>
    <row r="2550" spans="1:6">
      <c r="A2550" t="s">
        <v>3683</v>
      </c>
      <c r="B2550">
        <v>284</v>
      </c>
      <c r="C2550" t="s">
        <v>1132</v>
      </c>
      <c r="D2550">
        <v>1189275</v>
      </c>
      <c r="E2550">
        <v>49126</v>
      </c>
      <c r="F2550">
        <v>27543</v>
      </c>
    </row>
    <row r="2551" spans="1:6">
      <c r="A2551" t="s">
        <v>3684</v>
      </c>
      <c r="B2551">
        <v>284</v>
      </c>
      <c r="C2551" t="s">
        <v>1134</v>
      </c>
      <c r="D2551">
        <v>713565</v>
      </c>
      <c r="E2551">
        <v>49126</v>
      </c>
      <c r="F2551">
        <v>27543</v>
      </c>
    </row>
    <row r="2552" spans="1:6">
      <c r="A2552" t="s">
        <v>3685</v>
      </c>
      <c r="B2552">
        <v>284</v>
      </c>
      <c r="C2552" t="s">
        <v>1136</v>
      </c>
      <c r="D2552">
        <v>198213</v>
      </c>
      <c r="E2552">
        <v>49126</v>
      </c>
      <c r="F2552">
        <v>27543</v>
      </c>
    </row>
    <row r="2553" spans="1:6">
      <c r="A2553" t="s">
        <v>3686</v>
      </c>
      <c r="B2553">
        <v>284</v>
      </c>
      <c r="C2553" t="s">
        <v>1138</v>
      </c>
      <c r="D2553">
        <v>59464</v>
      </c>
      <c r="E2553">
        <v>49126</v>
      </c>
      <c r="F2553">
        <v>27543</v>
      </c>
    </row>
    <row r="2554" spans="1:6">
      <c r="A2554" t="s">
        <v>3687</v>
      </c>
      <c r="B2554">
        <v>284</v>
      </c>
      <c r="C2554" t="s">
        <v>738</v>
      </c>
      <c r="D2554">
        <v>1585700</v>
      </c>
      <c r="E2554">
        <v>49126</v>
      </c>
      <c r="F2554">
        <v>27543</v>
      </c>
    </row>
    <row r="2555" spans="1:6">
      <c r="A2555" t="s">
        <v>3688</v>
      </c>
      <c r="B2555">
        <v>284</v>
      </c>
      <c r="C2555" t="s">
        <v>1141</v>
      </c>
      <c r="D2555">
        <v>3567825</v>
      </c>
      <c r="E2555">
        <v>49126</v>
      </c>
      <c r="F2555">
        <v>27543</v>
      </c>
    </row>
    <row r="2556" spans="1:6">
      <c r="A2556" t="s">
        <v>3689</v>
      </c>
      <c r="B2556">
        <v>284</v>
      </c>
      <c r="C2556" t="s">
        <v>159</v>
      </c>
      <c r="D2556">
        <v>44812226</v>
      </c>
      <c r="E2556">
        <v>49126</v>
      </c>
      <c r="F2556">
        <v>27543</v>
      </c>
    </row>
    <row r="2557" spans="1:6">
      <c r="A2557" t="s">
        <v>3690</v>
      </c>
      <c r="B2557">
        <v>284</v>
      </c>
      <c r="C2557" t="s">
        <v>642</v>
      </c>
      <c r="D2557">
        <v>22406113</v>
      </c>
      <c r="E2557">
        <v>49126</v>
      </c>
      <c r="F2557">
        <v>27543</v>
      </c>
    </row>
    <row r="2558" spans="1:6">
      <c r="A2558" t="s">
        <v>3691</v>
      </c>
      <c r="B2558">
        <v>285</v>
      </c>
      <c r="C2558" t="s">
        <v>149</v>
      </c>
      <c r="D2558">
        <v>400292</v>
      </c>
      <c r="E2558">
        <v>49517</v>
      </c>
      <c r="F2558">
        <v>27667</v>
      </c>
    </row>
    <row r="2559" spans="1:6">
      <c r="A2559" t="s">
        <v>3692</v>
      </c>
      <c r="B2559">
        <v>285</v>
      </c>
      <c r="C2559" t="s">
        <v>1132</v>
      </c>
      <c r="D2559">
        <v>1200876</v>
      </c>
      <c r="E2559">
        <v>49517</v>
      </c>
      <c r="F2559">
        <v>27667</v>
      </c>
    </row>
    <row r="2560" spans="1:6">
      <c r="A2560" t="s">
        <v>3693</v>
      </c>
      <c r="B2560">
        <v>285</v>
      </c>
      <c r="C2560" t="s">
        <v>1134</v>
      </c>
      <c r="D2560">
        <v>720526</v>
      </c>
      <c r="E2560">
        <v>49517</v>
      </c>
      <c r="F2560">
        <v>27667</v>
      </c>
    </row>
    <row r="2561" spans="1:6">
      <c r="A2561" t="s">
        <v>3694</v>
      </c>
      <c r="B2561">
        <v>285</v>
      </c>
      <c r="C2561" t="s">
        <v>1136</v>
      </c>
      <c r="D2561">
        <v>200146</v>
      </c>
      <c r="E2561">
        <v>49517</v>
      </c>
      <c r="F2561">
        <v>27667</v>
      </c>
    </row>
    <row r="2562" spans="1:6">
      <c r="A2562" t="s">
        <v>3695</v>
      </c>
      <c r="B2562">
        <v>285</v>
      </c>
      <c r="C2562" t="s">
        <v>1138</v>
      </c>
      <c r="D2562">
        <v>60044</v>
      </c>
      <c r="E2562">
        <v>49517</v>
      </c>
      <c r="F2562">
        <v>27667</v>
      </c>
    </row>
    <row r="2563" spans="1:6">
      <c r="A2563" t="s">
        <v>3696</v>
      </c>
      <c r="B2563">
        <v>285</v>
      </c>
      <c r="C2563" t="s">
        <v>738</v>
      </c>
      <c r="D2563">
        <v>1601168</v>
      </c>
      <c r="E2563">
        <v>49517</v>
      </c>
      <c r="F2563">
        <v>27667</v>
      </c>
    </row>
    <row r="2564" spans="1:6">
      <c r="A2564" t="s">
        <v>3697</v>
      </c>
      <c r="B2564">
        <v>285</v>
      </c>
      <c r="C2564" t="s">
        <v>1141</v>
      </c>
      <c r="D2564">
        <v>3602628</v>
      </c>
      <c r="E2564">
        <v>49517</v>
      </c>
      <c r="F2564">
        <v>27667</v>
      </c>
    </row>
    <row r="2565" spans="1:6">
      <c r="A2565" t="s">
        <v>3698</v>
      </c>
      <c r="B2565">
        <v>285</v>
      </c>
      <c r="C2565" t="s">
        <v>159</v>
      </c>
      <c r="D2565">
        <v>45281245</v>
      </c>
      <c r="E2565">
        <v>49517</v>
      </c>
      <c r="F2565">
        <v>27667</v>
      </c>
    </row>
    <row r="2566" spans="1:6">
      <c r="A2566" t="s">
        <v>3699</v>
      </c>
      <c r="B2566">
        <v>285</v>
      </c>
      <c r="C2566" t="s">
        <v>642</v>
      </c>
      <c r="D2566">
        <v>22640622</v>
      </c>
      <c r="E2566">
        <v>49517</v>
      </c>
      <c r="F2566">
        <v>27667</v>
      </c>
    </row>
    <row r="2567" spans="1:6">
      <c r="A2567" t="s">
        <v>3700</v>
      </c>
      <c r="B2567">
        <v>286</v>
      </c>
      <c r="C2567" t="s">
        <v>149</v>
      </c>
      <c r="D2567">
        <v>404188</v>
      </c>
      <c r="E2567">
        <v>49910</v>
      </c>
      <c r="F2567">
        <v>27790</v>
      </c>
    </row>
    <row r="2568" spans="1:6">
      <c r="A2568" t="s">
        <v>3701</v>
      </c>
      <c r="B2568">
        <v>286</v>
      </c>
      <c r="C2568" t="s">
        <v>1132</v>
      </c>
      <c r="D2568">
        <v>1212564</v>
      </c>
      <c r="E2568">
        <v>49910</v>
      </c>
      <c r="F2568">
        <v>27790</v>
      </c>
    </row>
    <row r="2569" spans="1:6">
      <c r="A2569" t="s">
        <v>3702</v>
      </c>
      <c r="B2569">
        <v>286</v>
      </c>
      <c r="C2569" t="s">
        <v>1134</v>
      </c>
      <c r="D2569">
        <v>727539</v>
      </c>
      <c r="E2569">
        <v>49910</v>
      </c>
      <c r="F2569">
        <v>27790</v>
      </c>
    </row>
    <row r="2570" spans="1:6">
      <c r="A2570" t="s">
        <v>3703</v>
      </c>
      <c r="B2570">
        <v>286</v>
      </c>
      <c r="C2570" t="s">
        <v>1136</v>
      </c>
      <c r="D2570">
        <v>202094</v>
      </c>
      <c r="E2570">
        <v>49910</v>
      </c>
      <c r="F2570">
        <v>27790</v>
      </c>
    </row>
    <row r="2571" spans="1:6">
      <c r="A2571" t="s">
        <v>3704</v>
      </c>
      <c r="B2571">
        <v>286</v>
      </c>
      <c r="C2571" t="s">
        <v>1138</v>
      </c>
      <c r="D2571">
        <v>60629</v>
      </c>
      <c r="E2571">
        <v>49910</v>
      </c>
      <c r="F2571">
        <v>27790</v>
      </c>
    </row>
    <row r="2572" spans="1:6">
      <c r="A2572" t="s">
        <v>3705</v>
      </c>
      <c r="B2572">
        <v>286</v>
      </c>
      <c r="C2572" t="s">
        <v>738</v>
      </c>
      <c r="D2572">
        <v>1616752</v>
      </c>
      <c r="E2572">
        <v>49910</v>
      </c>
      <c r="F2572">
        <v>27790</v>
      </c>
    </row>
    <row r="2573" spans="1:6">
      <c r="A2573" t="s">
        <v>3706</v>
      </c>
      <c r="B2573">
        <v>286</v>
      </c>
      <c r="C2573" t="s">
        <v>1141</v>
      </c>
      <c r="D2573">
        <v>3637692</v>
      </c>
      <c r="E2573">
        <v>49910</v>
      </c>
      <c r="F2573">
        <v>27790</v>
      </c>
    </row>
    <row r="2574" spans="1:6">
      <c r="A2574" t="s">
        <v>3707</v>
      </c>
      <c r="B2574">
        <v>286</v>
      </c>
      <c r="C2574" t="s">
        <v>159</v>
      </c>
      <c r="D2574">
        <v>45754044</v>
      </c>
      <c r="E2574">
        <v>49910</v>
      </c>
      <c r="F2574">
        <v>27790</v>
      </c>
    </row>
    <row r="2575" spans="1:6">
      <c r="A2575" t="s">
        <v>3708</v>
      </c>
      <c r="B2575">
        <v>286</v>
      </c>
      <c r="C2575" t="s">
        <v>642</v>
      </c>
      <c r="D2575">
        <v>22877022</v>
      </c>
      <c r="E2575">
        <v>49910</v>
      </c>
      <c r="F2575">
        <v>27790</v>
      </c>
    </row>
    <row r="2576" spans="1:6">
      <c r="A2576" t="s">
        <v>3709</v>
      </c>
      <c r="B2576">
        <v>287</v>
      </c>
      <c r="C2576" t="s">
        <v>149</v>
      </c>
      <c r="D2576">
        <v>408113</v>
      </c>
      <c r="E2576">
        <v>50305</v>
      </c>
      <c r="F2576">
        <v>27914</v>
      </c>
    </row>
    <row r="2577" spans="1:6">
      <c r="A2577" t="s">
        <v>3710</v>
      </c>
      <c r="B2577">
        <v>287</v>
      </c>
      <c r="C2577" t="s">
        <v>1132</v>
      </c>
      <c r="D2577">
        <v>1224339</v>
      </c>
      <c r="E2577">
        <v>50305</v>
      </c>
      <c r="F2577">
        <v>27914</v>
      </c>
    </row>
    <row r="2578" spans="1:6">
      <c r="A2578" t="s">
        <v>3711</v>
      </c>
      <c r="B2578">
        <v>287</v>
      </c>
      <c r="C2578" t="s">
        <v>1134</v>
      </c>
      <c r="D2578">
        <v>734604</v>
      </c>
      <c r="E2578">
        <v>50305</v>
      </c>
      <c r="F2578">
        <v>27914</v>
      </c>
    </row>
    <row r="2579" spans="1:6">
      <c r="A2579" t="s">
        <v>3712</v>
      </c>
      <c r="B2579">
        <v>287</v>
      </c>
      <c r="C2579" t="s">
        <v>1136</v>
      </c>
      <c r="D2579">
        <v>204057</v>
      </c>
      <c r="E2579">
        <v>50305</v>
      </c>
      <c r="F2579">
        <v>27914</v>
      </c>
    </row>
    <row r="2580" spans="1:6">
      <c r="A2580" t="s">
        <v>3713</v>
      </c>
      <c r="B2580">
        <v>287</v>
      </c>
      <c r="C2580" t="s">
        <v>1138</v>
      </c>
      <c r="D2580">
        <v>61217</v>
      </c>
      <c r="E2580">
        <v>50305</v>
      </c>
      <c r="F2580">
        <v>27914</v>
      </c>
    </row>
    <row r="2581" spans="1:6">
      <c r="A2581" t="s">
        <v>3714</v>
      </c>
      <c r="B2581">
        <v>287</v>
      </c>
      <c r="C2581" t="s">
        <v>738</v>
      </c>
      <c r="D2581">
        <v>1632452</v>
      </c>
      <c r="E2581">
        <v>50305</v>
      </c>
      <c r="F2581">
        <v>27914</v>
      </c>
    </row>
    <row r="2582" spans="1:6">
      <c r="A2582" t="s">
        <v>3715</v>
      </c>
      <c r="B2582">
        <v>287</v>
      </c>
      <c r="C2582" t="s">
        <v>1141</v>
      </c>
      <c r="D2582">
        <v>3673017</v>
      </c>
      <c r="E2582">
        <v>50305</v>
      </c>
      <c r="F2582">
        <v>27914</v>
      </c>
    </row>
    <row r="2583" spans="1:6">
      <c r="A2583" t="s">
        <v>3716</v>
      </c>
      <c r="B2583">
        <v>287</v>
      </c>
      <c r="C2583" t="s">
        <v>159</v>
      </c>
      <c r="D2583">
        <v>46230683</v>
      </c>
      <c r="E2583">
        <v>50305</v>
      </c>
      <c r="F2583">
        <v>27914</v>
      </c>
    </row>
    <row r="2584" spans="1:6">
      <c r="A2584" t="s">
        <v>3717</v>
      </c>
      <c r="B2584">
        <v>287</v>
      </c>
      <c r="C2584" t="s">
        <v>642</v>
      </c>
      <c r="D2584">
        <v>23115341</v>
      </c>
      <c r="E2584">
        <v>50305</v>
      </c>
      <c r="F2584">
        <v>27914</v>
      </c>
    </row>
    <row r="2585" spans="1:6">
      <c r="A2585" t="s">
        <v>3718</v>
      </c>
      <c r="B2585">
        <v>288</v>
      </c>
      <c r="C2585" t="s">
        <v>149</v>
      </c>
      <c r="D2585">
        <v>412066</v>
      </c>
      <c r="E2585">
        <v>50702</v>
      </c>
      <c r="F2585">
        <v>28037</v>
      </c>
    </row>
    <row r="2586" spans="1:6">
      <c r="A2586" t="s">
        <v>3719</v>
      </c>
      <c r="B2586">
        <v>288</v>
      </c>
      <c r="C2586" t="s">
        <v>1132</v>
      </c>
      <c r="D2586">
        <v>1236198</v>
      </c>
      <c r="E2586">
        <v>50702</v>
      </c>
      <c r="F2586">
        <v>28037</v>
      </c>
    </row>
    <row r="2587" spans="1:6">
      <c r="A2587" t="s">
        <v>3720</v>
      </c>
      <c r="B2587">
        <v>288</v>
      </c>
      <c r="C2587" t="s">
        <v>1134</v>
      </c>
      <c r="D2587">
        <v>741719</v>
      </c>
      <c r="E2587">
        <v>50702</v>
      </c>
      <c r="F2587">
        <v>28037</v>
      </c>
    </row>
    <row r="2588" spans="1:6">
      <c r="A2588" t="s">
        <v>3721</v>
      </c>
      <c r="B2588">
        <v>288</v>
      </c>
      <c r="C2588" t="s">
        <v>1136</v>
      </c>
      <c r="D2588">
        <v>206033</v>
      </c>
      <c r="E2588">
        <v>50702</v>
      </c>
      <c r="F2588">
        <v>28037</v>
      </c>
    </row>
    <row r="2589" spans="1:6">
      <c r="A2589" t="s">
        <v>3722</v>
      </c>
      <c r="B2589">
        <v>288</v>
      </c>
      <c r="C2589" t="s">
        <v>1138</v>
      </c>
      <c r="D2589">
        <v>61810</v>
      </c>
      <c r="E2589">
        <v>50702</v>
      </c>
      <c r="F2589">
        <v>28037</v>
      </c>
    </row>
    <row r="2590" spans="1:6">
      <c r="A2590" t="s">
        <v>3723</v>
      </c>
      <c r="B2590">
        <v>288</v>
      </c>
      <c r="C2590" t="s">
        <v>738</v>
      </c>
      <c r="D2590">
        <v>1648264</v>
      </c>
      <c r="E2590">
        <v>50702</v>
      </c>
      <c r="F2590">
        <v>28037</v>
      </c>
    </row>
    <row r="2591" spans="1:6">
      <c r="A2591" t="s">
        <v>3724</v>
      </c>
      <c r="B2591">
        <v>288</v>
      </c>
      <c r="C2591" t="s">
        <v>1141</v>
      </c>
      <c r="D2591">
        <v>3708594</v>
      </c>
      <c r="E2591">
        <v>50702</v>
      </c>
      <c r="F2591">
        <v>28037</v>
      </c>
    </row>
    <row r="2592" spans="1:6">
      <c r="A2592" t="s">
        <v>3725</v>
      </c>
      <c r="B2592">
        <v>288</v>
      </c>
      <c r="C2592" t="s">
        <v>159</v>
      </c>
      <c r="D2592">
        <v>46711222</v>
      </c>
      <c r="E2592">
        <v>50702</v>
      </c>
      <c r="F2592">
        <v>28037</v>
      </c>
    </row>
    <row r="2593" spans="1:6">
      <c r="A2593" t="s">
        <v>3726</v>
      </c>
      <c r="B2593">
        <v>288</v>
      </c>
      <c r="C2593" t="s">
        <v>642</v>
      </c>
      <c r="D2593">
        <v>23355611</v>
      </c>
      <c r="E2593">
        <v>50702</v>
      </c>
      <c r="F2593">
        <v>28037</v>
      </c>
    </row>
    <row r="2594" spans="1:6">
      <c r="A2594" t="s">
        <v>3727</v>
      </c>
      <c r="B2594">
        <v>289</v>
      </c>
      <c r="C2594" t="s">
        <v>149</v>
      </c>
      <c r="D2594">
        <v>416049</v>
      </c>
      <c r="E2594">
        <v>51102</v>
      </c>
      <c r="F2594">
        <v>28161</v>
      </c>
    </row>
    <row r="2595" spans="1:6">
      <c r="A2595" t="s">
        <v>3728</v>
      </c>
      <c r="B2595">
        <v>289</v>
      </c>
      <c r="C2595" t="s">
        <v>1132</v>
      </c>
      <c r="D2595">
        <v>1248147</v>
      </c>
      <c r="E2595">
        <v>51102</v>
      </c>
      <c r="F2595">
        <v>28161</v>
      </c>
    </row>
    <row r="2596" spans="1:6">
      <c r="A2596" t="s">
        <v>3729</v>
      </c>
      <c r="B2596">
        <v>289</v>
      </c>
      <c r="C2596" t="s">
        <v>1134</v>
      </c>
      <c r="D2596">
        <v>748889</v>
      </c>
      <c r="E2596">
        <v>51102</v>
      </c>
      <c r="F2596">
        <v>28161</v>
      </c>
    </row>
    <row r="2597" spans="1:6">
      <c r="A2597" t="s">
        <v>3730</v>
      </c>
      <c r="B2597">
        <v>289</v>
      </c>
      <c r="C2597" t="s">
        <v>1136</v>
      </c>
      <c r="D2597">
        <v>208025</v>
      </c>
      <c r="E2597">
        <v>51102</v>
      </c>
      <c r="F2597">
        <v>28161</v>
      </c>
    </row>
    <row r="2598" spans="1:6">
      <c r="A2598" t="s">
        <v>3731</v>
      </c>
      <c r="B2598">
        <v>289</v>
      </c>
      <c r="C2598" t="s">
        <v>1138</v>
      </c>
      <c r="D2598">
        <v>62408</v>
      </c>
      <c r="E2598">
        <v>51102</v>
      </c>
      <c r="F2598">
        <v>28161</v>
      </c>
    </row>
    <row r="2599" spans="1:6">
      <c r="A2599" t="s">
        <v>3732</v>
      </c>
      <c r="B2599">
        <v>289</v>
      </c>
      <c r="C2599" t="s">
        <v>738</v>
      </c>
      <c r="D2599">
        <v>1664196</v>
      </c>
      <c r="E2599">
        <v>51102</v>
      </c>
      <c r="F2599">
        <v>28161</v>
      </c>
    </row>
    <row r="2600" spans="1:6">
      <c r="A2600" t="s">
        <v>3733</v>
      </c>
      <c r="B2600">
        <v>289</v>
      </c>
      <c r="C2600" t="s">
        <v>1141</v>
      </c>
      <c r="D2600">
        <v>3744441</v>
      </c>
      <c r="E2600">
        <v>51102</v>
      </c>
      <c r="F2600">
        <v>28161</v>
      </c>
    </row>
    <row r="2601" spans="1:6">
      <c r="A2601" t="s">
        <v>3734</v>
      </c>
      <c r="B2601">
        <v>289</v>
      </c>
      <c r="C2601" t="s">
        <v>159</v>
      </c>
      <c r="D2601">
        <v>47195661</v>
      </c>
      <c r="E2601">
        <v>51102</v>
      </c>
      <c r="F2601">
        <v>28161</v>
      </c>
    </row>
    <row r="2602" spans="1:6">
      <c r="A2602" t="s">
        <v>3735</v>
      </c>
      <c r="B2602">
        <v>289</v>
      </c>
      <c r="C2602" t="s">
        <v>642</v>
      </c>
      <c r="D2602">
        <v>23597830</v>
      </c>
      <c r="E2602">
        <v>51102</v>
      </c>
      <c r="F2602">
        <v>28161</v>
      </c>
    </row>
    <row r="2603" spans="1:6">
      <c r="A2603" t="s">
        <v>3736</v>
      </c>
      <c r="B2603">
        <v>290</v>
      </c>
      <c r="C2603" t="s">
        <v>149</v>
      </c>
      <c r="D2603">
        <v>420062</v>
      </c>
      <c r="E2603">
        <v>51503</v>
      </c>
      <c r="F2603">
        <v>28286</v>
      </c>
    </row>
    <row r="2604" spans="1:6">
      <c r="A2604" t="s">
        <v>3737</v>
      </c>
      <c r="B2604">
        <v>290</v>
      </c>
      <c r="C2604" t="s">
        <v>1132</v>
      </c>
      <c r="D2604">
        <v>1260186</v>
      </c>
      <c r="E2604">
        <v>51503</v>
      </c>
      <c r="F2604">
        <v>28286</v>
      </c>
    </row>
    <row r="2605" spans="1:6">
      <c r="A2605" t="s">
        <v>3738</v>
      </c>
      <c r="B2605">
        <v>290</v>
      </c>
      <c r="C2605" t="s">
        <v>1134</v>
      </c>
      <c r="D2605">
        <v>756112</v>
      </c>
      <c r="E2605">
        <v>51503</v>
      </c>
      <c r="F2605">
        <v>28286</v>
      </c>
    </row>
    <row r="2606" spans="1:6">
      <c r="A2606" t="s">
        <v>3739</v>
      </c>
      <c r="B2606">
        <v>290</v>
      </c>
      <c r="C2606" t="s">
        <v>1136</v>
      </c>
      <c r="D2606">
        <v>210031</v>
      </c>
      <c r="E2606">
        <v>51503</v>
      </c>
      <c r="F2606">
        <v>28286</v>
      </c>
    </row>
    <row r="2607" spans="1:6">
      <c r="A2607" t="s">
        <v>3740</v>
      </c>
      <c r="B2607">
        <v>290</v>
      </c>
      <c r="C2607" t="s">
        <v>1138</v>
      </c>
      <c r="D2607">
        <v>63010</v>
      </c>
      <c r="E2607">
        <v>51503</v>
      </c>
      <c r="F2607">
        <v>28286</v>
      </c>
    </row>
    <row r="2608" spans="1:6">
      <c r="A2608" t="s">
        <v>3741</v>
      </c>
      <c r="B2608">
        <v>290</v>
      </c>
      <c r="C2608" t="s">
        <v>738</v>
      </c>
      <c r="D2608">
        <v>1680248</v>
      </c>
      <c r="E2608">
        <v>51503</v>
      </c>
      <c r="F2608">
        <v>28286</v>
      </c>
    </row>
    <row r="2609" spans="1:6">
      <c r="A2609" t="s">
        <v>3742</v>
      </c>
      <c r="B2609">
        <v>290</v>
      </c>
      <c r="C2609" t="s">
        <v>1141</v>
      </c>
      <c r="D2609">
        <v>3780558</v>
      </c>
      <c r="E2609">
        <v>51503</v>
      </c>
      <c r="F2609">
        <v>28286</v>
      </c>
    </row>
    <row r="2610" spans="1:6">
      <c r="A2610" t="s">
        <v>3743</v>
      </c>
      <c r="B2610">
        <v>290</v>
      </c>
      <c r="C2610" t="s">
        <v>159</v>
      </c>
      <c r="D2610">
        <v>47684000</v>
      </c>
      <c r="E2610">
        <v>51503</v>
      </c>
      <c r="F2610">
        <v>28286</v>
      </c>
    </row>
    <row r="2611" spans="1:6">
      <c r="A2611" t="s">
        <v>3744</v>
      </c>
      <c r="B2611">
        <v>290</v>
      </c>
      <c r="C2611" t="s">
        <v>642</v>
      </c>
      <c r="D2611">
        <v>23842000</v>
      </c>
      <c r="E2611">
        <v>51503</v>
      </c>
      <c r="F2611">
        <v>28286</v>
      </c>
    </row>
    <row r="2612" spans="1:6">
      <c r="A2612" t="s">
        <v>3745</v>
      </c>
      <c r="B2612">
        <v>291</v>
      </c>
      <c r="C2612" t="s">
        <v>149</v>
      </c>
      <c r="D2612">
        <v>424104</v>
      </c>
      <c r="E2612">
        <v>51907</v>
      </c>
      <c r="F2612">
        <v>28410</v>
      </c>
    </row>
    <row r="2613" spans="1:6">
      <c r="A2613" t="s">
        <v>3746</v>
      </c>
      <c r="B2613">
        <v>291</v>
      </c>
      <c r="C2613" t="s">
        <v>1132</v>
      </c>
      <c r="D2613">
        <v>1272312</v>
      </c>
      <c r="E2613">
        <v>51907</v>
      </c>
      <c r="F2613">
        <v>28410</v>
      </c>
    </row>
    <row r="2614" spans="1:6">
      <c r="A2614" t="s">
        <v>3747</v>
      </c>
      <c r="B2614">
        <v>291</v>
      </c>
      <c r="C2614" t="s">
        <v>1134</v>
      </c>
      <c r="D2614">
        <v>763388</v>
      </c>
      <c r="E2614">
        <v>51907</v>
      </c>
      <c r="F2614">
        <v>28410</v>
      </c>
    </row>
    <row r="2615" spans="1:6">
      <c r="A2615" t="s">
        <v>3748</v>
      </c>
      <c r="B2615">
        <v>291</v>
      </c>
      <c r="C2615" t="s">
        <v>1136</v>
      </c>
      <c r="D2615">
        <v>212052</v>
      </c>
      <c r="E2615">
        <v>51907</v>
      </c>
      <c r="F2615">
        <v>28410</v>
      </c>
    </row>
    <row r="2616" spans="1:6">
      <c r="A2616" t="s">
        <v>3749</v>
      </c>
      <c r="B2616">
        <v>291</v>
      </c>
      <c r="C2616" t="s">
        <v>1138</v>
      </c>
      <c r="D2616">
        <v>63616</v>
      </c>
      <c r="E2616">
        <v>51907</v>
      </c>
      <c r="F2616">
        <v>28410</v>
      </c>
    </row>
    <row r="2617" spans="1:6">
      <c r="A2617" t="s">
        <v>3750</v>
      </c>
      <c r="B2617">
        <v>291</v>
      </c>
      <c r="C2617" t="s">
        <v>738</v>
      </c>
      <c r="D2617">
        <v>1696416</v>
      </c>
      <c r="E2617">
        <v>51907</v>
      </c>
      <c r="F2617">
        <v>28410</v>
      </c>
    </row>
    <row r="2618" spans="1:6">
      <c r="A2618" t="s">
        <v>3751</v>
      </c>
      <c r="B2618">
        <v>291</v>
      </c>
      <c r="C2618" t="s">
        <v>1141</v>
      </c>
      <c r="D2618">
        <v>3816936</v>
      </c>
      <c r="E2618">
        <v>51907</v>
      </c>
      <c r="F2618">
        <v>28410</v>
      </c>
    </row>
    <row r="2619" spans="1:6">
      <c r="A2619" t="s">
        <v>3752</v>
      </c>
      <c r="B2619">
        <v>291</v>
      </c>
      <c r="C2619" t="s">
        <v>159</v>
      </c>
      <c r="D2619">
        <v>48176299</v>
      </c>
      <c r="E2619">
        <v>51907</v>
      </c>
      <c r="F2619">
        <v>28410</v>
      </c>
    </row>
    <row r="2620" spans="1:6">
      <c r="A2620" t="s">
        <v>3753</v>
      </c>
      <c r="B2620">
        <v>291</v>
      </c>
      <c r="C2620" t="s">
        <v>642</v>
      </c>
      <c r="D2620">
        <v>24088150</v>
      </c>
      <c r="E2620">
        <v>51907</v>
      </c>
      <c r="F2620">
        <v>28410</v>
      </c>
    </row>
    <row r="2621" spans="1:6">
      <c r="A2621" t="s">
        <v>3754</v>
      </c>
      <c r="B2621">
        <v>292</v>
      </c>
      <c r="C2621" t="s">
        <v>149</v>
      </c>
      <c r="D2621">
        <v>428175</v>
      </c>
      <c r="E2621">
        <v>52314</v>
      </c>
      <c r="F2621">
        <v>28534</v>
      </c>
    </row>
    <row r="2622" spans="1:6">
      <c r="A2622" t="s">
        <v>3755</v>
      </c>
      <c r="B2622">
        <v>292</v>
      </c>
      <c r="C2622" t="s">
        <v>1132</v>
      </c>
      <c r="D2622">
        <v>1284525</v>
      </c>
      <c r="E2622">
        <v>52314</v>
      </c>
      <c r="F2622">
        <v>28534</v>
      </c>
    </row>
    <row r="2623" spans="1:6">
      <c r="A2623" t="s">
        <v>3756</v>
      </c>
      <c r="B2623">
        <v>292</v>
      </c>
      <c r="C2623" t="s">
        <v>1134</v>
      </c>
      <c r="D2623">
        <v>770715</v>
      </c>
      <c r="E2623">
        <v>52314</v>
      </c>
      <c r="F2623">
        <v>28534</v>
      </c>
    </row>
    <row r="2624" spans="1:6">
      <c r="A2624" t="s">
        <v>3757</v>
      </c>
      <c r="B2624">
        <v>292</v>
      </c>
      <c r="C2624" t="s">
        <v>1136</v>
      </c>
      <c r="D2624">
        <v>214088</v>
      </c>
      <c r="E2624">
        <v>52314</v>
      </c>
      <c r="F2624">
        <v>28534</v>
      </c>
    </row>
    <row r="2625" spans="1:6">
      <c r="A2625" t="s">
        <v>3758</v>
      </c>
      <c r="B2625">
        <v>292</v>
      </c>
      <c r="C2625" t="s">
        <v>1138</v>
      </c>
      <c r="D2625">
        <v>64227</v>
      </c>
      <c r="E2625">
        <v>52314</v>
      </c>
      <c r="F2625">
        <v>28534</v>
      </c>
    </row>
    <row r="2626" spans="1:6">
      <c r="A2626" t="s">
        <v>3759</v>
      </c>
      <c r="B2626">
        <v>292</v>
      </c>
      <c r="C2626" t="s">
        <v>738</v>
      </c>
      <c r="D2626">
        <v>1712700</v>
      </c>
      <c r="E2626">
        <v>52314</v>
      </c>
      <c r="F2626">
        <v>28534</v>
      </c>
    </row>
    <row r="2627" spans="1:6">
      <c r="A2627" t="s">
        <v>3760</v>
      </c>
      <c r="B2627">
        <v>292</v>
      </c>
      <c r="C2627" t="s">
        <v>1141</v>
      </c>
      <c r="D2627">
        <v>3853575</v>
      </c>
      <c r="E2627">
        <v>52314</v>
      </c>
      <c r="F2627">
        <v>28534</v>
      </c>
    </row>
    <row r="2628" spans="1:6">
      <c r="A2628" t="s">
        <v>3761</v>
      </c>
      <c r="B2628">
        <v>292</v>
      </c>
      <c r="C2628" t="s">
        <v>159</v>
      </c>
      <c r="D2628">
        <v>48672618</v>
      </c>
      <c r="E2628">
        <v>52314</v>
      </c>
      <c r="F2628">
        <v>28534</v>
      </c>
    </row>
    <row r="2629" spans="1:6">
      <c r="A2629" t="s">
        <v>3762</v>
      </c>
      <c r="B2629">
        <v>292</v>
      </c>
      <c r="C2629" t="s">
        <v>642</v>
      </c>
      <c r="D2629">
        <v>24336309</v>
      </c>
      <c r="E2629">
        <v>52314</v>
      </c>
      <c r="F2629">
        <v>28534</v>
      </c>
    </row>
    <row r="2630" spans="1:6">
      <c r="A2630" t="s">
        <v>3763</v>
      </c>
      <c r="B2630">
        <v>293</v>
      </c>
      <c r="C2630" t="s">
        <v>149</v>
      </c>
      <c r="D2630">
        <v>432277</v>
      </c>
      <c r="E2630">
        <v>52722</v>
      </c>
      <c r="F2630">
        <v>28659</v>
      </c>
    </row>
    <row r="2631" spans="1:6">
      <c r="A2631" t="s">
        <v>3764</v>
      </c>
      <c r="B2631">
        <v>293</v>
      </c>
      <c r="C2631" t="s">
        <v>1132</v>
      </c>
      <c r="D2631">
        <v>1296831</v>
      </c>
      <c r="E2631">
        <v>52722</v>
      </c>
      <c r="F2631">
        <v>28659</v>
      </c>
    </row>
    <row r="2632" spans="1:6">
      <c r="A2632" t="s">
        <v>3765</v>
      </c>
      <c r="B2632">
        <v>293</v>
      </c>
      <c r="C2632" t="s">
        <v>1134</v>
      </c>
      <c r="D2632">
        <v>778099</v>
      </c>
      <c r="E2632">
        <v>52722</v>
      </c>
      <c r="F2632">
        <v>28659</v>
      </c>
    </row>
    <row r="2633" spans="1:6">
      <c r="A2633" t="s">
        <v>3766</v>
      </c>
      <c r="B2633">
        <v>293</v>
      </c>
      <c r="C2633" t="s">
        <v>1136</v>
      </c>
      <c r="D2633">
        <v>216139</v>
      </c>
      <c r="E2633">
        <v>52722</v>
      </c>
      <c r="F2633">
        <v>28659</v>
      </c>
    </row>
    <row r="2634" spans="1:6">
      <c r="A2634" t="s">
        <v>3767</v>
      </c>
      <c r="B2634">
        <v>293</v>
      </c>
      <c r="C2634" t="s">
        <v>1138</v>
      </c>
      <c r="D2634">
        <v>64842</v>
      </c>
      <c r="E2634">
        <v>52722</v>
      </c>
      <c r="F2634">
        <v>28659</v>
      </c>
    </row>
    <row r="2635" spans="1:6">
      <c r="A2635" t="s">
        <v>3768</v>
      </c>
      <c r="B2635">
        <v>293</v>
      </c>
      <c r="C2635" t="s">
        <v>738</v>
      </c>
      <c r="D2635">
        <v>1729108</v>
      </c>
      <c r="E2635">
        <v>52722</v>
      </c>
      <c r="F2635">
        <v>28659</v>
      </c>
    </row>
    <row r="2636" spans="1:6">
      <c r="A2636" t="s">
        <v>3769</v>
      </c>
      <c r="B2636">
        <v>293</v>
      </c>
      <c r="C2636" t="s">
        <v>1141</v>
      </c>
      <c r="D2636">
        <v>3890493</v>
      </c>
      <c r="E2636">
        <v>52722</v>
      </c>
      <c r="F2636">
        <v>28659</v>
      </c>
    </row>
    <row r="2637" spans="1:6">
      <c r="A2637" t="s">
        <v>3770</v>
      </c>
      <c r="B2637">
        <v>293</v>
      </c>
      <c r="C2637" t="s">
        <v>159</v>
      </c>
      <c r="D2637">
        <v>49172898</v>
      </c>
      <c r="E2637">
        <v>52722</v>
      </c>
      <c r="F2637">
        <v>28659</v>
      </c>
    </row>
    <row r="2638" spans="1:6">
      <c r="A2638" t="s">
        <v>3771</v>
      </c>
      <c r="B2638">
        <v>293</v>
      </c>
      <c r="C2638" t="s">
        <v>642</v>
      </c>
      <c r="D2638">
        <v>24586449</v>
      </c>
      <c r="E2638">
        <v>52722</v>
      </c>
      <c r="F2638">
        <v>28659</v>
      </c>
    </row>
    <row r="2639" spans="1:6">
      <c r="A2639" t="s">
        <v>3772</v>
      </c>
      <c r="B2639">
        <v>294</v>
      </c>
      <c r="C2639" t="s">
        <v>149</v>
      </c>
      <c r="D2639">
        <v>436409</v>
      </c>
      <c r="E2639">
        <v>53133</v>
      </c>
      <c r="F2639">
        <v>28784</v>
      </c>
    </row>
    <row r="2640" spans="1:6">
      <c r="A2640" t="s">
        <v>3773</v>
      </c>
      <c r="B2640">
        <v>294</v>
      </c>
      <c r="C2640" t="s">
        <v>1132</v>
      </c>
      <c r="D2640">
        <v>1309227</v>
      </c>
      <c r="E2640">
        <v>53133</v>
      </c>
      <c r="F2640">
        <v>28784</v>
      </c>
    </row>
    <row r="2641" spans="1:6">
      <c r="A2641" t="s">
        <v>3774</v>
      </c>
      <c r="B2641">
        <v>294</v>
      </c>
      <c r="C2641" t="s">
        <v>1134</v>
      </c>
      <c r="D2641">
        <v>785537</v>
      </c>
      <c r="E2641">
        <v>53133</v>
      </c>
      <c r="F2641">
        <v>28784</v>
      </c>
    </row>
    <row r="2642" spans="1:6">
      <c r="A2642" t="s">
        <v>3775</v>
      </c>
      <c r="B2642">
        <v>294</v>
      </c>
      <c r="C2642" t="s">
        <v>1136</v>
      </c>
      <c r="D2642">
        <v>218205</v>
      </c>
      <c r="E2642">
        <v>53133</v>
      </c>
      <c r="F2642">
        <v>28784</v>
      </c>
    </row>
    <row r="2643" spans="1:6">
      <c r="A2643" t="s">
        <v>3776</v>
      </c>
      <c r="B2643">
        <v>294</v>
      </c>
      <c r="C2643" t="s">
        <v>1138</v>
      </c>
      <c r="D2643">
        <v>65462</v>
      </c>
      <c r="E2643">
        <v>53133</v>
      </c>
      <c r="F2643">
        <v>28784</v>
      </c>
    </row>
    <row r="2644" spans="1:6">
      <c r="A2644" t="s">
        <v>3777</v>
      </c>
      <c r="B2644">
        <v>294</v>
      </c>
      <c r="C2644" t="s">
        <v>738</v>
      </c>
      <c r="D2644">
        <v>1745636</v>
      </c>
      <c r="E2644">
        <v>53133</v>
      </c>
      <c r="F2644">
        <v>28784</v>
      </c>
    </row>
    <row r="2645" spans="1:6">
      <c r="A2645" t="s">
        <v>3778</v>
      </c>
      <c r="B2645">
        <v>294</v>
      </c>
      <c r="C2645" t="s">
        <v>1141</v>
      </c>
      <c r="D2645">
        <v>3927681</v>
      </c>
      <c r="E2645">
        <v>53133</v>
      </c>
      <c r="F2645">
        <v>28784</v>
      </c>
    </row>
    <row r="2646" spans="1:6">
      <c r="A2646" t="s">
        <v>3779</v>
      </c>
      <c r="B2646">
        <v>294</v>
      </c>
      <c r="C2646" t="s">
        <v>159</v>
      </c>
      <c r="D2646">
        <v>49677197</v>
      </c>
      <c r="E2646">
        <v>53133</v>
      </c>
      <c r="F2646">
        <v>28784</v>
      </c>
    </row>
    <row r="2647" spans="1:6">
      <c r="A2647" t="s">
        <v>3780</v>
      </c>
      <c r="B2647">
        <v>294</v>
      </c>
      <c r="C2647" t="s">
        <v>642</v>
      </c>
      <c r="D2647">
        <v>24838598</v>
      </c>
      <c r="E2647">
        <v>53133</v>
      </c>
      <c r="F2647">
        <v>28784</v>
      </c>
    </row>
    <row r="2648" spans="1:6">
      <c r="A2648" t="s">
        <v>3781</v>
      </c>
      <c r="B2648">
        <v>295</v>
      </c>
      <c r="C2648" t="s">
        <v>149</v>
      </c>
      <c r="D2648">
        <v>440571</v>
      </c>
      <c r="E2648">
        <v>53546</v>
      </c>
      <c r="F2648">
        <v>28909</v>
      </c>
    </row>
    <row r="2649" spans="1:6">
      <c r="A2649" t="s">
        <v>3782</v>
      </c>
      <c r="B2649">
        <v>295</v>
      </c>
      <c r="C2649" t="s">
        <v>1132</v>
      </c>
      <c r="D2649">
        <v>1321713</v>
      </c>
      <c r="E2649">
        <v>53546</v>
      </c>
      <c r="F2649">
        <v>28909</v>
      </c>
    </row>
    <row r="2650" spans="1:6">
      <c r="A2650" t="s">
        <v>3783</v>
      </c>
      <c r="B2650">
        <v>295</v>
      </c>
      <c r="C2650" t="s">
        <v>1134</v>
      </c>
      <c r="D2650">
        <v>793028</v>
      </c>
      <c r="E2650">
        <v>53546</v>
      </c>
      <c r="F2650">
        <v>28909</v>
      </c>
    </row>
    <row r="2651" spans="1:6">
      <c r="A2651" t="s">
        <v>3784</v>
      </c>
      <c r="B2651">
        <v>295</v>
      </c>
      <c r="C2651" t="s">
        <v>1136</v>
      </c>
      <c r="D2651">
        <v>220286</v>
      </c>
      <c r="E2651">
        <v>53546</v>
      </c>
      <c r="F2651">
        <v>28909</v>
      </c>
    </row>
    <row r="2652" spans="1:6">
      <c r="A2652" t="s">
        <v>3785</v>
      </c>
      <c r="B2652">
        <v>295</v>
      </c>
      <c r="C2652" t="s">
        <v>1138</v>
      </c>
      <c r="D2652">
        <v>66086</v>
      </c>
      <c r="E2652">
        <v>53546</v>
      </c>
      <c r="F2652">
        <v>28909</v>
      </c>
    </row>
    <row r="2653" spans="1:6">
      <c r="A2653" t="s">
        <v>3786</v>
      </c>
      <c r="B2653">
        <v>295</v>
      </c>
      <c r="C2653" t="s">
        <v>738</v>
      </c>
      <c r="D2653">
        <v>1762284</v>
      </c>
      <c r="E2653">
        <v>53546</v>
      </c>
      <c r="F2653">
        <v>28909</v>
      </c>
    </row>
    <row r="2654" spans="1:6">
      <c r="A2654" t="s">
        <v>3787</v>
      </c>
      <c r="B2654">
        <v>295</v>
      </c>
      <c r="C2654" t="s">
        <v>1141</v>
      </c>
      <c r="D2654">
        <v>3965139</v>
      </c>
      <c r="E2654">
        <v>53546</v>
      </c>
      <c r="F2654">
        <v>28909</v>
      </c>
    </row>
    <row r="2655" spans="1:6">
      <c r="A2655" t="s">
        <v>3788</v>
      </c>
      <c r="B2655">
        <v>295</v>
      </c>
      <c r="C2655" t="s">
        <v>159</v>
      </c>
      <c r="D2655">
        <v>50185576</v>
      </c>
      <c r="E2655">
        <v>53546</v>
      </c>
      <c r="F2655">
        <v>28909</v>
      </c>
    </row>
    <row r="2656" spans="1:6">
      <c r="A2656" t="s">
        <v>3789</v>
      </c>
      <c r="B2656">
        <v>295</v>
      </c>
      <c r="C2656" t="s">
        <v>642</v>
      </c>
      <c r="D2656">
        <v>25092788</v>
      </c>
      <c r="E2656">
        <v>53546</v>
      </c>
      <c r="F2656">
        <v>28909</v>
      </c>
    </row>
    <row r="2657" spans="1:6">
      <c r="A2657" t="s">
        <v>3790</v>
      </c>
      <c r="B2657">
        <v>296</v>
      </c>
      <c r="C2657" t="s">
        <v>149</v>
      </c>
      <c r="D2657">
        <v>444763</v>
      </c>
      <c r="E2657">
        <v>53961</v>
      </c>
      <c r="F2657">
        <v>29034</v>
      </c>
    </row>
    <row r="2658" spans="1:6">
      <c r="A2658" t="s">
        <v>3791</v>
      </c>
      <c r="B2658">
        <v>296</v>
      </c>
      <c r="C2658" t="s">
        <v>1132</v>
      </c>
      <c r="D2658">
        <v>1334289</v>
      </c>
      <c r="E2658">
        <v>53961</v>
      </c>
      <c r="F2658">
        <v>29034</v>
      </c>
    </row>
    <row r="2659" spans="1:6">
      <c r="A2659" t="s">
        <v>3792</v>
      </c>
      <c r="B2659">
        <v>296</v>
      </c>
      <c r="C2659" t="s">
        <v>1134</v>
      </c>
      <c r="D2659">
        <v>800574</v>
      </c>
      <c r="E2659">
        <v>53961</v>
      </c>
      <c r="F2659">
        <v>29034</v>
      </c>
    </row>
    <row r="2660" spans="1:6">
      <c r="A2660" t="s">
        <v>3793</v>
      </c>
      <c r="B2660">
        <v>296</v>
      </c>
      <c r="C2660" t="s">
        <v>1136</v>
      </c>
      <c r="D2660">
        <v>222382</v>
      </c>
      <c r="E2660">
        <v>53961</v>
      </c>
      <c r="F2660">
        <v>29034</v>
      </c>
    </row>
    <row r="2661" spans="1:6">
      <c r="A2661" t="s">
        <v>3794</v>
      </c>
      <c r="B2661">
        <v>296</v>
      </c>
      <c r="C2661" t="s">
        <v>1138</v>
      </c>
      <c r="D2661">
        <v>66715</v>
      </c>
      <c r="E2661">
        <v>53961</v>
      </c>
      <c r="F2661">
        <v>29034</v>
      </c>
    </row>
    <row r="2662" spans="1:6">
      <c r="A2662" t="s">
        <v>3795</v>
      </c>
      <c r="B2662">
        <v>296</v>
      </c>
      <c r="C2662" t="s">
        <v>738</v>
      </c>
      <c r="D2662">
        <v>1779052</v>
      </c>
      <c r="E2662">
        <v>53961</v>
      </c>
      <c r="F2662">
        <v>29034</v>
      </c>
    </row>
    <row r="2663" spans="1:6">
      <c r="A2663" t="s">
        <v>3796</v>
      </c>
      <c r="B2663">
        <v>296</v>
      </c>
      <c r="C2663" t="s">
        <v>1141</v>
      </c>
      <c r="D2663">
        <v>4002867</v>
      </c>
      <c r="E2663">
        <v>53961</v>
      </c>
      <c r="F2663">
        <v>29034</v>
      </c>
    </row>
    <row r="2664" spans="1:6">
      <c r="A2664" t="s">
        <v>3797</v>
      </c>
      <c r="B2664">
        <v>296</v>
      </c>
      <c r="C2664" t="s">
        <v>159</v>
      </c>
      <c r="D2664">
        <v>50698036</v>
      </c>
      <c r="E2664">
        <v>53961</v>
      </c>
      <c r="F2664">
        <v>29034</v>
      </c>
    </row>
    <row r="2665" spans="1:6">
      <c r="A2665" t="s">
        <v>3798</v>
      </c>
      <c r="B2665">
        <v>296</v>
      </c>
      <c r="C2665" t="s">
        <v>642</v>
      </c>
      <c r="D2665">
        <v>25349018</v>
      </c>
      <c r="E2665">
        <v>53961</v>
      </c>
      <c r="F2665">
        <v>29034</v>
      </c>
    </row>
    <row r="2666" spans="1:6">
      <c r="A2666" t="s">
        <v>3799</v>
      </c>
      <c r="B2666">
        <v>297</v>
      </c>
      <c r="C2666" t="s">
        <v>149</v>
      </c>
      <c r="D2666">
        <v>448986</v>
      </c>
      <c r="E2666">
        <v>54379</v>
      </c>
      <c r="F2666">
        <v>29160</v>
      </c>
    </row>
    <row r="2667" spans="1:6">
      <c r="A2667" t="s">
        <v>3800</v>
      </c>
      <c r="B2667">
        <v>297</v>
      </c>
      <c r="C2667" t="s">
        <v>1132</v>
      </c>
      <c r="D2667">
        <v>1346958</v>
      </c>
      <c r="E2667">
        <v>54379</v>
      </c>
      <c r="F2667">
        <v>29160</v>
      </c>
    </row>
    <row r="2668" spans="1:6">
      <c r="A2668" t="s">
        <v>3801</v>
      </c>
      <c r="B2668">
        <v>297</v>
      </c>
      <c r="C2668" t="s">
        <v>1134</v>
      </c>
      <c r="D2668">
        <v>808175</v>
      </c>
      <c r="E2668">
        <v>54379</v>
      </c>
      <c r="F2668">
        <v>29160</v>
      </c>
    </row>
    <row r="2669" spans="1:6">
      <c r="A2669" t="s">
        <v>3802</v>
      </c>
      <c r="B2669">
        <v>297</v>
      </c>
      <c r="C2669" t="s">
        <v>1136</v>
      </c>
      <c r="D2669">
        <v>224493</v>
      </c>
      <c r="E2669">
        <v>54379</v>
      </c>
      <c r="F2669">
        <v>29160</v>
      </c>
    </row>
    <row r="2670" spans="1:6">
      <c r="A2670" t="s">
        <v>3803</v>
      </c>
      <c r="B2670">
        <v>297</v>
      </c>
      <c r="C2670" t="s">
        <v>1138</v>
      </c>
      <c r="D2670">
        <v>67348</v>
      </c>
      <c r="E2670">
        <v>54379</v>
      </c>
      <c r="F2670">
        <v>29160</v>
      </c>
    </row>
    <row r="2671" spans="1:6">
      <c r="A2671" t="s">
        <v>3804</v>
      </c>
      <c r="B2671">
        <v>297</v>
      </c>
      <c r="C2671" t="s">
        <v>738</v>
      </c>
      <c r="D2671">
        <v>1795944</v>
      </c>
      <c r="E2671">
        <v>54379</v>
      </c>
      <c r="F2671">
        <v>29160</v>
      </c>
    </row>
    <row r="2672" spans="1:6">
      <c r="A2672" t="s">
        <v>3805</v>
      </c>
      <c r="B2672">
        <v>297</v>
      </c>
      <c r="C2672" t="s">
        <v>1141</v>
      </c>
      <c r="D2672">
        <v>4040874</v>
      </c>
      <c r="E2672">
        <v>54379</v>
      </c>
      <c r="F2672">
        <v>29160</v>
      </c>
    </row>
    <row r="2673" spans="1:6">
      <c r="A2673" t="s">
        <v>3806</v>
      </c>
      <c r="B2673">
        <v>297</v>
      </c>
      <c r="C2673" t="s">
        <v>159</v>
      </c>
      <c r="D2673">
        <v>51214575</v>
      </c>
      <c r="E2673">
        <v>54379</v>
      </c>
      <c r="F2673">
        <v>29160</v>
      </c>
    </row>
    <row r="2674" spans="1:6">
      <c r="A2674" t="s">
        <v>3807</v>
      </c>
      <c r="B2674">
        <v>297</v>
      </c>
      <c r="C2674" t="s">
        <v>642</v>
      </c>
      <c r="D2674">
        <v>25607288</v>
      </c>
      <c r="E2674">
        <v>54379</v>
      </c>
      <c r="F2674">
        <v>29160</v>
      </c>
    </row>
    <row r="2675" spans="1:6">
      <c r="A2675" t="s">
        <v>3808</v>
      </c>
      <c r="B2675">
        <v>298</v>
      </c>
      <c r="C2675" t="s">
        <v>149</v>
      </c>
      <c r="D2675">
        <v>453239</v>
      </c>
      <c r="E2675">
        <v>54799</v>
      </c>
      <c r="F2675">
        <v>29286</v>
      </c>
    </row>
    <row r="2676" spans="1:6">
      <c r="A2676" t="s">
        <v>3809</v>
      </c>
      <c r="B2676">
        <v>298</v>
      </c>
      <c r="C2676" t="s">
        <v>1132</v>
      </c>
      <c r="D2676">
        <v>1359717</v>
      </c>
      <c r="E2676">
        <v>54799</v>
      </c>
      <c r="F2676">
        <v>29286</v>
      </c>
    </row>
    <row r="2677" spans="1:6">
      <c r="A2677" t="s">
        <v>3810</v>
      </c>
      <c r="B2677">
        <v>298</v>
      </c>
      <c r="C2677" t="s">
        <v>1134</v>
      </c>
      <c r="D2677">
        <v>815831</v>
      </c>
      <c r="E2677">
        <v>54799</v>
      </c>
      <c r="F2677">
        <v>29286</v>
      </c>
    </row>
    <row r="2678" spans="1:6">
      <c r="A2678" t="s">
        <v>3811</v>
      </c>
      <c r="B2678">
        <v>298</v>
      </c>
      <c r="C2678" t="s">
        <v>1136</v>
      </c>
      <c r="D2678">
        <v>226620</v>
      </c>
      <c r="E2678">
        <v>54799</v>
      </c>
      <c r="F2678">
        <v>29286</v>
      </c>
    </row>
    <row r="2679" spans="1:6">
      <c r="A2679" t="s">
        <v>3812</v>
      </c>
      <c r="B2679">
        <v>298</v>
      </c>
      <c r="C2679" t="s">
        <v>1138</v>
      </c>
      <c r="D2679">
        <v>67986</v>
      </c>
      <c r="E2679">
        <v>54799</v>
      </c>
      <c r="F2679">
        <v>29286</v>
      </c>
    </row>
    <row r="2680" spans="1:6">
      <c r="A2680" t="s">
        <v>3813</v>
      </c>
      <c r="B2680">
        <v>298</v>
      </c>
      <c r="C2680" t="s">
        <v>738</v>
      </c>
      <c r="D2680">
        <v>1812956</v>
      </c>
      <c r="E2680">
        <v>54799</v>
      </c>
      <c r="F2680">
        <v>29286</v>
      </c>
    </row>
    <row r="2681" spans="1:6">
      <c r="A2681" t="s">
        <v>3814</v>
      </c>
      <c r="B2681">
        <v>298</v>
      </c>
      <c r="C2681" t="s">
        <v>1141</v>
      </c>
      <c r="D2681">
        <v>4079151</v>
      </c>
      <c r="E2681">
        <v>54799</v>
      </c>
      <c r="F2681">
        <v>29286</v>
      </c>
    </row>
    <row r="2682" spans="1:6">
      <c r="A2682" t="s">
        <v>3815</v>
      </c>
      <c r="B2682">
        <v>298</v>
      </c>
      <c r="C2682" t="s">
        <v>159</v>
      </c>
      <c r="D2682">
        <v>51735254</v>
      </c>
      <c r="E2682">
        <v>54799</v>
      </c>
      <c r="F2682">
        <v>29286</v>
      </c>
    </row>
    <row r="2683" spans="1:6">
      <c r="A2683" t="s">
        <v>3816</v>
      </c>
      <c r="B2683">
        <v>298</v>
      </c>
      <c r="C2683" t="s">
        <v>642</v>
      </c>
      <c r="D2683">
        <v>25867627</v>
      </c>
      <c r="E2683">
        <v>54799</v>
      </c>
      <c r="F2683">
        <v>29286</v>
      </c>
    </row>
    <row r="2684" spans="1:6">
      <c r="A2684" t="s">
        <v>3817</v>
      </c>
      <c r="B2684">
        <v>299</v>
      </c>
      <c r="C2684" t="s">
        <v>149</v>
      </c>
      <c r="D2684">
        <v>457524</v>
      </c>
      <c r="E2684">
        <v>55221</v>
      </c>
      <c r="F2684">
        <v>29411</v>
      </c>
    </row>
    <row r="2685" spans="1:6">
      <c r="A2685" t="s">
        <v>3818</v>
      </c>
      <c r="B2685">
        <v>299</v>
      </c>
      <c r="C2685" t="s">
        <v>1132</v>
      </c>
      <c r="D2685">
        <v>1372572</v>
      </c>
      <c r="E2685">
        <v>55221</v>
      </c>
      <c r="F2685">
        <v>29411</v>
      </c>
    </row>
    <row r="2686" spans="1:6">
      <c r="A2686" t="s">
        <v>3819</v>
      </c>
      <c r="B2686">
        <v>299</v>
      </c>
      <c r="C2686" t="s">
        <v>1134</v>
      </c>
      <c r="D2686">
        <v>823544</v>
      </c>
      <c r="E2686">
        <v>55221</v>
      </c>
      <c r="F2686">
        <v>29411</v>
      </c>
    </row>
    <row r="2687" spans="1:6">
      <c r="A2687" t="s">
        <v>3820</v>
      </c>
      <c r="B2687">
        <v>299</v>
      </c>
      <c r="C2687" t="s">
        <v>1136</v>
      </c>
      <c r="D2687">
        <v>228762</v>
      </c>
      <c r="E2687">
        <v>55221</v>
      </c>
      <c r="F2687">
        <v>29411</v>
      </c>
    </row>
    <row r="2688" spans="1:6">
      <c r="A2688" t="s">
        <v>3821</v>
      </c>
      <c r="B2688">
        <v>299</v>
      </c>
      <c r="C2688" t="s">
        <v>1138</v>
      </c>
      <c r="D2688">
        <v>68629</v>
      </c>
      <c r="E2688">
        <v>55221</v>
      </c>
      <c r="F2688">
        <v>29411</v>
      </c>
    </row>
    <row r="2689" spans="1:6">
      <c r="A2689" t="s">
        <v>3822</v>
      </c>
      <c r="B2689">
        <v>299</v>
      </c>
      <c r="C2689" t="s">
        <v>738</v>
      </c>
      <c r="D2689">
        <v>1830096</v>
      </c>
      <c r="E2689">
        <v>55221</v>
      </c>
      <c r="F2689">
        <v>29411</v>
      </c>
    </row>
    <row r="2690" spans="1:6">
      <c r="A2690" t="s">
        <v>3823</v>
      </c>
      <c r="B2690">
        <v>299</v>
      </c>
      <c r="C2690" t="s">
        <v>1141</v>
      </c>
      <c r="D2690">
        <v>4117716</v>
      </c>
      <c r="E2690">
        <v>55221</v>
      </c>
      <c r="F2690">
        <v>29411</v>
      </c>
    </row>
    <row r="2691" spans="1:6">
      <c r="A2691" t="s">
        <v>3824</v>
      </c>
      <c r="B2691">
        <v>299</v>
      </c>
      <c r="C2691" t="s">
        <v>159</v>
      </c>
      <c r="D2691">
        <v>52260074</v>
      </c>
      <c r="E2691">
        <v>55221</v>
      </c>
      <c r="F2691">
        <v>29411</v>
      </c>
    </row>
    <row r="2692" spans="1:6">
      <c r="A2692" t="s">
        <v>3825</v>
      </c>
      <c r="B2692">
        <v>299</v>
      </c>
      <c r="C2692" t="s">
        <v>642</v>
      </c>
      <c r="D2692">
        <v>26130037</v>
      </c>
      <c r="E2692">
        <v>55221</v>
      </c>
      <c r="F2692">
        <v>29411</v>
      </c>
    </row>
    <row r="2693" spans="1:6">
      <c r="A2693" t="s">
        <v>3826</v>
      </c>
      <c r="B2693">
        <v>300</v>
      </c>
      <c r="C2693" t="s">
        <v>149</v>
      </c>
      <c r="D2693">
        <v>461839</v>
      </c>
      <c r="E2693">
        <v>55645</v>
      </c>
      <c r="F2693">
        <v>29537</v>
      </c>
    </row>
    <row r="2694" spans="1:6">
      <c r="A2694" t="s">
        <v>3827</v>
      </c>
      <c r="B2694">
        <v>300</v>
      </c>
      <c r="C2694" t="s">
        <v>1132</v>
      </c>
      <c r="D2694">
        <v>1385517</v>
      </c>
      <c r="E2694">
        <v>55645</v>
      </c>
      <c r="F2694">
        <v>29537</v>
      </c>
    </row>
    <row r="2695" spans="1:6">
      <c r="A2695" t="s">
        <v>3828</v>
      </c>
      <c r="B2695">
        <v>300</v>
      </c>
      <c r="C2695" t="s">
        <v>1134</v>
      </c>
      <c r="D2695">
        <v>831311</v>
      </c>
      <c r="E2695">
        <v>55645</v>
      </c>
      <c r="F2695">
        <v>29537</v>
      </c>
    </row>
    <row r="2696" spans="1:6">
      <c r="A2696" t="s">
        <v>3829</v>
      </c>
      <c r="B2696">
        <v>300</v>
      </c>
      <c r="C2696" t="s">
        <v>1136</v>
      </c>
      <c r="D2696">
        <v>230920</v>
      </c>
      <c r="E2696">
        <v>55645</v>
      </c>
      <c r="F2696">
        <v>29537</v>
      </c>
    </row>
    <row r="2697" spans="1:6">
      <c r="A2697" t="s">
        <v>3830</v>
      </c>
      <c r="B2697">
        <v>300</v>
      </c>
      <c r="C2697" t="s">
        <v>1138</v>
      </c>
      <c r="D2697">
        <v>69276</v>
      </c>
      <c r="E2697">
        <v>55645</v>
      </c>
      <c r="F2697">
        <v>29537</v>
      </c>
    </row>
    <row r="2698" spans="1:6">
      <c r="A2698" t="s">
        <v>3831</v>
      </c>
      <c r="B2698">
        <v>300</v>
      </c>
      <c r="C2698" t="s">
        <v>738</v>
      </c>
      <c r="D2698">
        <v>1847356</v>
      </c>
      <c r="E2698">
        <v>55645</v>
      </c>
      <c r="F2698">
        <v>29537</v>
      </c>
    </row>
    <row r="2699" spans="1:6">
      <c r="A2699" t="s">
        <v>3832</v>
      </c>
      <c r="B2699">
        <v>300</v>
      </c>
      <c r="C2699" t="s">
        <v>1141</v>
      </c>
      <c r="D2699">
        <v>4156551</v>
      </c>
      <c r="E2699">
        <v>55645</v>
      </c>
      <c r="F2699">
        <v>29537</v>
      </c>
    </row>
    <row r="2700" spans="1:6">
      <c r="A2700" t="s">
        <v>3833</v>
      </c>
      <c r="B2700">
        <v>300</v>
      </c>
      <c r="C2700" t="s">
        <v>159</v>
      </c>
      <c r="D2700">
        <v>52789093</v>
      </c>
      <c r="E2700">
        <v>55645</v>
      </c>
      <c r="F2700">
        <v>29537</v>
      </c>
    </row>
    <row r="2701" spans="1:6">
      <c r="A2701" t="s">
        <v>3834</v>
      </c>
      <c r="B2701">
        <v>300</v>
      </c>
      <c r="C2701" t="s">
        <v>642</v>
      </c>
      <c r="D2701">
        <v>26394547</v>
      </c>
      <c r="E2701">
        <v>55645</v>
      </c>
      <c r="F2701">
        <v>29537</v>
      </c>
    </row>
    <row r="2702" spans="1:6">
      <c r="A2702" t="s">
        <v>3835</v>
      </c>
      <c r="B2702">
        <v>301</v>
      </c>
      <c r="C2702" t="s">
        <v>149</v>
      </c>
      <c r="D2702">
        <v>466186</v>
      </c>
      <c r="E2702">
        <v>56072</v>
      </c>
      <c r="F2702">
        <v>29664</v>
      </c>
    </row>
    <row r="2703" spans="1:6">
      <c r="A2703" t="s">
        <v>3836</v>
      </c>
      <c r="B2703">
        <v>301</v>
      </c>
      <c r="C2703" t="s">
        <v>1132</v>
      </c>
      <c r="D2703">
        <v>1398558</v>
      </c>
      <c r="E2703">
        <v>56072</v>
      </c>
      <c r="F2703">
        <v>29664</v>
      </c>
    </row>
    <row r="2704" spans="1:6">
      <c r="A2704" t="s">
        <v>3837</v>
      </c>
      <c r="B2704">
        <v>301</v>
      </c>
      <c r="C2704" t="s">
        <v>1134</v>
      </c>
      <c r="D2704">
        <v>839135</v>
      </c>
      <c r="E2704">
        <v>56072</v>
      </c>
      <c r="F2704">
        <v>29664</v>
      </c>
    </row>
    <row r="2705" spans="1:6">
      <c r="A2705" t="s">
        <v>3838</v>
      </c>
      <c r="B2705">
        <v>301</v>
      </c>
      <c r="C2705" t="s">
        <v>1136</v>
      </c>
      <c r="D2705">
        <v>233093</v>
      </c>
      <c r="E2705">
        <v>56072</v>
      </c>
      <c r="F2705">
        <v>29664</v>
      </c>
    </row>
    <row r="2706" spans="1:6">
      <c r="A2706" t="s">
        <v>3839</v>
      </c>
      <c r="B2706">
        <v>301</v>
      </c>
      <c r="C2706" t="s">
        <v>1138</v>
      </c>
      <c r="D2706">
        <v>69928</v>
      </c>
      <c r="E2706">
        <v>56072</v>
      </c>
      <c r="F2706">
        <v>29664</v>
      </c>
    </row>
    <row r="2707" spans="1:6">
      <c r="A2707" t="s">
        <v>3840</v>
      </c>
      <c r="B2707">
        <v>301</v>
      </c>
      <c r="C2707" t="s">
        <v>738</v>
      </c>
      <c r="D2707">
        <v>1864744</v>
      </c>
      <c r="E2707">
        <v>56072</v>
      </c>
      <c r="F2707">
        <v>29664</v>
      </c>
    </row>
    <row r="2708" spans="1:6">
      <c r="A2708" t="s">
        <v>3841</v>
      </c>
      <c r="B2708">
        <v>301</v>
      </c>
      <c r="C2708" t="s">
        <v>1141</v>
      </c>
      <c r="D2708">
        <v>4195674</v>
      </c>
      <c r="E2708">
        <v>56072</v>
      </c>
      <c r="F2708">
        <v>29664</v>
      </c>
    </row>
    <row r="2709" spans="1:6">
      <c r="A2709" t="s">
        <v>3842</v>
      </c>
      <c r="B2709">
        <v>301</v>
      </c>
      <c r="C2709" t="s">
        <v>159</v>
      </c>
      <c r="D2709">
        <v>53322373</v>
      </c>
      <c r="E2709">
        <v>56072</v>
      </c>
      <c r="F2709">
        <v>29664</v>
      </c>
    </row>
    <row r="2710" spans="1:6">
      <c r="A2710" t="s">
        <v>3843</v>
      </c>
      <c r="B2710">
        <v>301</v>
      </c>
      <c r="C2710" t="s">
        <v>642</v>
      </c>
      <c r="D2710">
        <v>26661186</v>
      </c>
      <c r="E2710">
        <v>56072</v>
      </c>
      <c r="F2710">
        <v>29664</v>
      </c>
    </row>
    <row r="2711" spans="1:6">
      <c r="A2711" t="s">
        <v>3844</v>
      </c>
      <c r="B2711">
        <v>302</v>
      </c>
      <c r="C2711" t="s">
        <v>149</v>
      </c>
      <c r="D2711">
        <v>470564</v>
      </c>
      <c r="E2711">
        <v>56501</v>
      </c>
      <c r="F2711">
        <v>29790</v>
      </c>
    </row>
    <row r="2712" spans="1:6">
      <c r="A2712" t="s">
        <v>3845</v>
      </c>
      <c r="B2712">
        <v>302</v>
      </c>
      <c r="C2712" t="s">
        <v>1132</v>
      </c>
      <c r="D2712">
        <v>1411692</v>
      </c>
      <c r="E2712">
        <v>56501</v>
      </c>
      <c r="F2712">
        <v>29790</v>
      </c>
    </row>
    <row r="2713" spans="1:6">
      <c r="A2713" t="s">
        <v>3846</v>
      </c>
      <c r="B2713">
        <v>302</v>
      </c>
      <c r="C2713" t="s">
        <v>1134</v>
      </c>
      <c r="D2713">
        <v>847016</v>
      </c>
      <c r="E2713">
        <v>56501</v>
      </c>
      <c r="F2713">
        <v>29790</v>
      </c>
    </row>
    <row r="2714" spans="1:6">
      <c r="A2714" t="s">
        <v>3847</v>
      </c>
      <c r="B2714">
        <v>302</v>
      </c>
      <c r="C2714" t="s">
        <v>1136</v>
      </c>
      <c r="D2714">
        <v>235282</v>
      </c>
      <c r="E2714">
        <v>56501</v>
      </c>
      <c r="F2714">
        <v>29790</v>
      </c>
    </row>
    <row r="2715" spans="1:6">
      <c r="A2715" t="s">
        <v>3848</v>
      </c>
      <c r="B2715">
        <v>302</v>
      </c>
      <c r="C2715" t="s">
        <v>1138</v>
      </c>
      <c r="D2715">
        <v>70585</v>
      </c>
      <c r="E2715">
        <v>56501</v>
      </c>
      <c r="F2715">
        <v>29790</v>
      </c>
    </row>
    <row r="2716" spans="1:6">
      <c r="A2716" t="s">
        <v>3849</v>
      </c>
      <c r="B2716">
        <v>302</v>
      </c>
      <c r="C2716" t="s">
        <v>738</v>
      </c>
      <c r="D2716">
        <v>1882256</v>
      </c>
      <c r="E2716">
        <v>56501</v>
      </c>
      <c r="F2716">
        <v>29790</v>
      </c>
    </row>
    <row r="2717" spans="1:6">
      <c r="A2717" t="s">
        <v>3850</v>
      </c>
      <c r="B2717">
        <v>302</v>
      </c>
      <c r="C2717" t="s">
        <v>1141</v>
      </c>
      <c r="D2717">
        <v>4235076</v>
      </c>
      <c r="E2717">
        <v>56501</v>
      </c>
      <c r="F2717">
        <v>29790</v>
      </c>
    </row>
    <row r="2718" spans="1:6">
      <c r="A2718" t="s">
        <v>3851</v>
      </c>
      <c r="B2718">
        <v>302</v>
      </c>
      <c r="C2718" t="s">
        <v>159</v>
      </c>
      <c r="D2718">
        <v>53859792</v>
      </c>
      <c r="E2718">
        <v>56501</v>
      </c>
      <c r="F2718">
        <v>29790</v>
      </c>
    </row>
    <row r="2719" spans="1:6">
      <c r="A2719" t="s">
        <v>3852</v>
      </c>
      <c r="B2719">
        <v>302</v>
      </c>
      <c r="C2719" t="s">
        <v>642</v>
      </c>
      <c r="D2719">
        <v>26929896</v>
      </c>
      <c r="E2719">
        <v>56501</v>
      </c>
      <c r="F2719">
        <v>29790</v>
      </c>
    </row>
    <row r="2720" spans="1:6">
      <c r="A2720" t="s">
        <v>3853</v>
      </c>
      <c r="B2720">
        <v>303</v>
      </c>
      <c r="C2720" t="s">
        <v>149</v>
      </c>
      <c r="D2720">
        <v>474974</v>
      </c>
      <c r="E2720">
        <v>56933</v>
      </c>
      <c r="F2720">
        <v>29916</v>
      </c>
    </row>
    <row r="2721" spans="1:6">
      <c r="A2721" t="s">
        <v>3854</v>
      </c>
      <c r="B2721">
        <v>303</v>
      </c>
      <c r="C2721" t="s">
        <v>1132</v>
      </c>
      <c r="D2721">
        <v>1424922</v>
      </c>
      <c r="E2721">
        <v>56933</v>
      </c>
      <c r="F2721">
        <v>29916</v>
      </c>
    </row>
    <row r="2722" spans="1:6">
      <c r="A2722" t="s">
        <v>3855</v>
      </c>
      <c r="B2722">
        <v>303</v>
      </c>
      <c r="C2722" t="s">
        <v>1134</v>
      </c>
      <c r="D2722">
        <v>854954</v>
      </c>
      <c r="E2722">
        <v>56933</v>
      </c>
      <c r="F2722">
        <v>29916</v>
      </c>
    </row>
    <row r="2723" spans="1:6">
      <c r="A2723" t="s">
        <v>3856</v>
      </c>
      <c r="B2723">
        <v>303</v>
      </c>
      <c r="C2723" t="s">
        <v>1136</v>
      </c>
      <c r="D2723">
        <v>237487</v>
      </c>
      <c r="E2723">
        <v>56933</v>
      </c>
      <c r="F2723">
        <v>29916</v>
      </c>
    </row>
    <row r="2724" spans="1:6">
      <c r="A2724" t="s">
        <v>3857</v>
      </c>
      <c r="B2724">
        <v>303</v>
      </c>
      <c r="C2724" t="s">
        <v>1138</v>
      </c>
      <c r="D2724">
        <v>71247</v>
      </c>
      <c r="E2724">
        <v>56933</v>
      </c>
      <c r="F2724">
        <v>29916</v>
      </c>
    </row>
    <row r="2725" spans="1:6">
      <c r="A2725" t="s">
        <v>3858</v>
      </c>
      <c r="B2725">
        <v>303</v>
      </c>
      <c r="C2725" t="s">
        <v>738</v>
      </c>
      <c r="D2725">
        <v>1899896</v>
      </c>
      <c r="E2725">
        <v>56933</v>
      </c>
      <c r="F2725">
        <v>29916</v>
      </c>
    </row>
    <row r="2726" spans="1:6">
      <c r="A2726" t="s">
        <v>3859</v>
      </c>
      <c r="B2726">
        <v>303</v>
      </c>
      <c r="C2726" t="s">
        <v>1141</v>
      </c>
      <c r="D2726">
        <v>4274766</v>
      </c>
      <c r="E2726">
        <v>56933</v>
      </c>
      <c r="F2726">
        <v>29916</v>
      </c>
    </row>
    <row r="2727" spans="1:6">
      <c r="A2727" t="s">
        <v>3860</v>
      </c>
      <c r="B2727">
        <v>303</v>
      </c>
      <c r="C2727" t="s">
        <v>159</v>
      </c>
      <c r="D2727">
        <v>54401532</v>
      </c>
      <c r="E2727">
        <v>56933</v>
      </c>
      <c r="F2727">
        <v>29916</v>
      </c>
    </row>
    <row r="2728" spans="1:6">
      <c r="A2728" t="s">
        <v>3861</v>
      </c>
      <c r="B2728">
        <v>303</v>
      </c>
      <c r="C2728" t="s">
        <v>642</v>
      </c>
      <c r="D2728">
        <v>27200766</v>
      </c>
      <c r="E2728">
        <v>56933</v>
      </c>
      <c r="F2728">
        <v>29916</v>
      </c>
    </row>
    <row r="2729" spans="1:6">
      <c r="A2729" t="s">
        <v>3862</v>
      </c>
      <c r="B2729">
        <v>304</v>
      </c>
      <c r="C2729" t="s">
        <v>149</v>
      </c>
      <c r="D2729">
        <v>479416</v>
      </c>
      <c r="E2729">
        <v>57367</v>
      </c>
      <c r="F2729">
        <v>30043</v>
      </c>
    </row>
    <row r="2730" spans="1:6">
      <c r="A2730" t="s">
        <v>3863</v>
      </c>
      <c r="B2730">
        <v>304</v>
      </c>
      <c r="C2730" t="s">
        <v>1132</v>
      </c>
      <c r="D2730">
        <v>1438248</v>
      </c>
      <c r="E2730">
        <v>57367</v>
      </c>
      <c r="F2730">
        <v>30043</v>
      </c>
    </row>
    <row r="2731" spans="1:6">
      <c r="A2731" t="s">
        <v>3864</v>
      </c>
      <c r="B2731">
        <v>304</v>
      </c>
      <c r="C2731" t="s">
        <v>1134</v>
      </c>
      <c r="D2731">
        <v>862949</v>
      </c>
      <c r="E2731">
        <v>57367</v>
      </c>
      <c r="F2731">
        <v>30043</v>
      </c>
    </row>
    <row r="2732" spans="1:6">
      <c r="A2732" t="s">
        <v>3865</v>
      </c>
      <c r="B2732">
        <v>304</v>
      </c>
      <c r="C2732" t="s">
        <v>1136</v>
      </c>
      <c r="D2732">
        <v>239708</v>
      </c>
      <c r="E2732">
        <v>57367</v>
      </c>
      <c r="F2732">
        <v>30043</v>
      </c>
    </row>
    <row r="2733" spans="1:6">
      <c r="A2733" t="s">
        <v>3866</v>
      </c>
      <c r="B2733">
        <v>304</v>
      </c>
      <c r="C2733" t="s">
        <v>1138</v>
      </c>
      <c r="D2733">
        <v>71913</v>
      </c>
      <c r="E2733">
        <v>57367</v>
      </c>
      <c r="F2733">
        <v>30043</v>
      </c>
    </row>
    <row r="2734" spans="1:6">
      <c r="A2734" t="s">
        <v>3867</v>
      </c>
      <c r="B2734">
        <v>304</v>
      </c>
      <c r="C2734" t="s">
        <v>738</v>
      </c>
      <c r="D2734">
        <v>1917664</v>
      </c>
      <c r="E2734">
        <v>57367</v>
      </c>
      <c r="F2734">
        <v>30043</v>
      </c>
    </row>
    <row r="2735" spans="1:6">
      <c r="A2735" t="s">
        <v>3868</v>
      </c>
      <c r="B2735">
        <v>304</v>
      </c>
      <c r="C2735" t="s">
        <v>1141</v>
      </c>
      <c r="D2735">
        <v>4314744</v>
      </c>
      <c r="E2735">
        <v>57367</v>
      </c>
      <c r="F2735">
        <v>30043</v>
      </c>
    </row>
    <row r="2736" spans="1:6">
      <c r="A2736" t="s">
        <v>3869</v>
      </c>
      <c r="B2736">
        <v>304</v>
      </c>
      <c r="C2736" t="s">
        <v>159</v>
      </c>
      <c r="D2736">
        <v>54947531</v>
      </c>
      <c r="E2736">
        <v>57367</v>
      </c>
      <c r="F2736">
        <v>30043</v>
      </c>
    </row>
    <row r="2737" spans="1:6">
      <c r="A2737" t="s">
        <v>3870</v>
      </c>
      <c r="B2737">
        <v>304</v>
      </c>
      <c r="C2737" t="s">
        <v>642</v>
      </c>
      <c r="D2737">
        <v>27473766</v>
      </c>
      <c r="E2737">
        <v>57367</v>
      </c>
      <c r="F2737">
        <v>30043</v>
      </c>
    </row>
    <row r="2738" spans="1:6">
      <c r="A2738" t="s">
        <v>3871</v>
      </c>
      <c r="B2738">
        <v>305</v>
      </c>
      <c r="C2738" t="s">
        <v>149</v>
      </c>
      <c r="D2738">
        <v>483889</v>
      </c>
      <c r="E2738">
        <v>57803</v>
      </c>
      <c r="F2738">
        <v>30170</v>
      </c>
    </row>
    <row r="2739" spans="1:6">
      <c r="A2739" t="s">
        <v>3872</v>
      </c>
      <c r="B2739">
        <v>305</v>
      </c>
      <c r="C2739" t="s">
        <v>1132</v>
      </c>
      <c r="D2739">
        <v>1451667</v>
      </c>
      <c r="E2739">
        <v>57803</v>
      </c>
      <c r="F2739">
        <v>30170</v>
      </c>
    </row>
    <row r="2740" spans="1:6">
      <c r="A2740" t="s">
        <v>3873</v>
      </c>
      <c r="B2740">
        <v>305</v>
      </c>
      <c r="C2740" t="s">
        <v>1134</v>
      </c>
      <c r="D2740">
        <v>871001</v>
      </c>
      <c r="E2740">
        <v>57803</v>
      </c>
      <c r="F2740">
        <v>30170</v>
      </c>
    </row>
    <row r="2741" spans="1:6">
      <c r="A2741" t="s">
        <v>3874</v>
      </c>
      <c r="B2741">
        <v>305</v>
      </c>
      <c r="C2741" t="s">
        <v>1136</v>
      </c>
      <c r="D2741">
        <v>241945</v>
      </c>
      <c r="E2741">
        <v>57803</v>
      </c>
      <c r="F2741">
        <v>30170</v>
      </c>
    </row>
    <row r="2742" spans="1:6">
      <c r="A2742" t="s">
        <v>3875</v>
      </c>
      <c r="B2742">
        <v>305</v>
      </c>
      <c r="C2742" t="s">
        <v>1138</v>
      </c>
      <c r="D2742">
        <v>72584</v>
      </c>
      <c r="E2742">
        <v>57803</v>
      </c>
      <c r="F2742">
        <v>30170</v>
      </c>
    </row>
    <row r="2743" spans="1:6">
      <c r="A2743" t="s">
        <v>3876</v>
      </c>
      <c r="B2743">
        <v>305</v>
      </c>
      <c r="C2743" t="s">
        <v>738</v>
      </c>
      <c r="D2743">
        <v>1935556</v>
      </c>
      <c r="E2743">
        <v>57803</v>
      </c>
      <c r="F2743">
        <v>30170</v>
      </c>
    </row>
    <row r="2744" spans="1:6">
      <c r="A2744" t="s">
        <v>3877</v>
      </c>
      <c r="B2744">
        <v>305</v>
      </c>
      <c r="C2744" t="s">
        <v>1141</v>
      </c>
      <c r="D2744">
        <v>4355001</v>
      </c>
      <c r="E2744">
        <v>57803</v>
      </c>
      <c r="F2744">
        <v>30170</v>
      </c>
    </row>
    <row r="2745" spans="1:6">
      <c r="A2745" t="s">
        <v>3878</v>
      </c>
      <c r="B2745">
        <v>305</v>
      </c>
      <c r="C2745" t="s">
        <v>159</v>
      </c>
      <c r="D2745">
        <v>55497851</v>
      </c>
      <c r="E2745">
        <v>57803</v>
      </c>
      <c r="F2745">
        <v>30170</v>
      </c>
    </row>
    <row r="2746" spans="1:6">
      <c r="A2746" t="s">
        <v>3879</v>
      </c>
      <c r="B2746">
        <v>305</v>
      </c>
      <c r="C2746" t="s">
        <v>642</v>
      </c>
      <c r="D2746">
        <v>27748925</v>
      </c>
      <c r="E2746">
        <v>57803</v>
      </c>
      <c r="F2746">
        <v>30170</v>
      </c>
    </row>
    <row r="2747" spans="1:6">
      <c r="A2747" t="s">
        <v>3880</v>
      </c>
      <c r="B2747">
        <v>306</v>
      </c>
      <c r="C2747" t="s">
        <v>149</v>
      </c>
      <c r="D2747">
        <v>488395</v>
      </c>
      <c r="E2747">
        <v>58242</v>
      </c>
      <c r="F2747">
        <v>30297</v>
      </c>
    </row>
    <row r="2748" spans="1:6">
      <c r="A2748" t="s">
        <v>3881</v>
      </c>
      <c r="B2748">
        <v>306</v>
      </c>
      <c r="C2748" t="s">
        <v>1132</v>
      </c>
      <c r="D2748">
        <v>1465185</v>
      </c>
      <c r="E2748">
        <v>58242</v>
      </c>
      <c r="F2748">
        <v>30297</v>
      </c>
    </row>
    <row r="2749" spans="1:6">
      <c r="A2749" t="s">
        <v>3882</v>
      </c>
      <c r="B2749">
        <v>306</v>
      </c>
      <c r="C2749" t="s">
        <v>1134</v>
      </c>
      <c r="D2749">
        <v>879111</v>
      </c>
      <c r="E2749">
        <v>58242</v>
      </c>
      <c r="F2749">
        <v>30297</v>
      </c>
    </row>
    <row r="2750" spans="1:6">
      <c r="A2750" t="s">
        <v>3883</v>
      </c>
      <c r="B2750">
        <v>306</v>
      </c>
      <c r="C2750" t="s">
        <v>1136</v>
      </c>
      <c r="D2750">
        <v>244198</v>
      </c>
      <c r="E2750">
        <v>58242</v>
      </c>
      <c r="F2750">
        <v>30297</v>
      </c>
    </row>
    <row r="2751" spans="1:6">
      <c r="A2751" t="s">
        <v>3884</v>
      </c>
      <c r="B2751">
        <v>306</v>
      </c>
      <c r="C2751" t="s">
        <v>1138</v>
      </c>
      <c r="D2751">
        <v>73260</v>
      </c>
      <c r="E2751">
        <v>58242</v>
      </c>
      <c r="F2751">
        <v>30297</v>
      </c>
    </row>
    <row r="2752" spans="1:6">
      <c r="A2752" t="s">
        <v>3885</v>
      </c>
      <c r="B2752">
        <v>306</v>
      </c>
      <c r="C2752" t="s">
        <v>738</v>
      </c>
      <c r="D2752">
        <v>1953580</v>
      </c>
      <c r="E2752">
        <v>58242</v>
      </c>
      <c r="F2752">
        <v>30297</v>
      </c>
    </row>
    <row r="2753" spans="1:6">
      <c r="A2753" t="s">
        <v>3886</v>
      </c>
      <c r="B2753">
        <v>306</v>
      </c>
      <c r="C2753" t="s">
        <v>1141</v>
      </c>
      <c r="D2753">
        <v>4395555</v>
      </c>
      <c r="E2753">
        <v>58242</v>
      </c>
      <c r="F2753">
        <v>30297</v>
      </c>
    </row>
    <row r="2754" spans="1:6">
      <c r="A2754" t="s">
        <v>3887</v>
      </c>
      <c r="B2754">
        <v>306</v>
      </c>
      <c r="C2754" t="s">
        <v>159</v>
      </c>
      <c r="D2754">
        <v>56052490</v>
      </c>
      <c r="E2754">
        <v>58242</v>
      </c>
      <c r="F2754">
        <v>30297</v>
      </c>
    </row>
    <row r="2755" spans="1:6">
      <c r="A2755" t="s">
        <v>3888</v>
      </c>
      <c r="B2755">
        <v>306</v>
      </c>
      <c r="C2755" t="s">
        <v>642</v>
      </c>
      <c r="D2755">
        <v>28026245</v>
      </c>
      <c r="E2755">
        <v>58242</v>
      </c>
      <c r="F2755">
        <v>30297</v>
      </c>
    </row>
    <row r="2756" spans="1:6">
      <c r="A2756" t="s">
        <v>3889</v>
      </c>
      <c r="B2756">
        <v>307</v>
      </c>
      <c r="C2756" t="s">
        <v>149</v>
      </c>
      <c r="D2756">
        <v>492933</v>
      </c>
      <c r="E2756">
        <v>58683</v>
      </c>
      <c r="F2756">
        <v>30425</v>
      </c>
    </row>
    <row r="2757" spans="1:6">
      <c r="A2757" t="s">
        <v>3890</v>
      </c>
      <c r="B2757">
        <v>307</v>
      </c>
      <c r="C2757" t="s">
        <v>1132</v>
      </c>
      <c r="D2757">
        <v>1478799</v>
      </c>
      <c r="E2757">
        <v>58683</v>
      </c>
      <c r="F2757">
        <v>30425</v>
      </c>
    </row>
    <row r="2758" spans="1:6">
      <c r="A2758" t="s">
        <v>3891</v>
      </c>
      <c r="B2758">
        <v>307</v>
      </c>
      <c r="C2758" t="s">
        <v>1134</v>
      </c>
      <c r="D2758">
        <v>887280</v>
      </c>
      <c r="E2758">
        <v>58683</v>
      </c>
      <c r="F2758">
        <v>30425</v>
      </c>
    </row>
    <row r="2759" spans="1:6">
      <c r="A2759" t="s">
        <v>3892</v>
      </c>
      <c r="B2759">
        <v>307</v>
      </c>
      <c r="C2759" t="s">
        <v>1136</v>
      </c>
      <c r="D2759">
        <v>246467</v>
      </c>
      <c r="E2759">
        <v>58683</v>
      </c>
      <c r="F2759">
        <v>30425</v>
      </c>
    </row>
    <row r="2760" spans="1:6">
      <c r="A2760" t="s">
        <v>3893</v>
      </c>
      <c r="B2760">
        <v>307</v>
      </c>
      <c r="C2760" t="s">
        <v>1138</v>
      </c>
      <c r="D2760">
        <v>73940</v>
      </c>
      <c r="E2760">
        <v>58683</v>
      </c>
      <c r="F2760">
        <v>30425</v>
      </c>
    </row>
    <row r="2761" spans="1:6">
      <c r="A2761" t="s">
        <v>3894</v>
      </c>
      <c r="B2761">
        <v>307</v>
      </c>
      <c r="C2761" t="s">
        <v>738</v>
      </c>
      <c r="D2761">
        <v>1971732</v>
      </c>
      <c r="E2761">
        <v>58683</v>
      </c>
      <c r="F2761">
        <v>30425</v>
      </c>
    </row>
    <row r="2762" spans="1:6">
      <c r="A2762" t="s">
        <v>3895</v>
      </c>
      <c r="B2762">
        <v>307</v>
      </c>
      <c r="C2762" t="s">
        <v>1141</v>
      </c>
      <c r="D2762">
        <v>4436397</v>
      </c>
      <c r="E2762">
        <v>58683</v>
      </c>
      <c r="F2762">
        <v>30425</v>
      </c>
    </row>
    <row r="2763" spans="1:6">
      <c r="A2763" t="s">
        <v>3896</v>
      </c>
      <c r="B2763">
        <v>307</v>
      </c>
      <c r="C2763" t="s">
        <v>159</v>
      </c>
      <c r="D2763">
        <v>56611510</v>
      </c>
      <c r="E2763">
        <v>58683</v>
      </c>
      <c r="F2763">
        <v>30425</v>
      </c>
    </row>
    <row r="2764" spans="1:6">
      <c r="A2764" t="s">
        <v>3897</v>
      </c>
      <c r="B2764">
        <v>307</v>
      </c>
      <c r="C2764" t="s">
        <v>642</v>
      </c>
      <c r="D2764">
        <v>28305755</v>
      </c>
      <c r="E2764">
        <v>58683</v>
      </c>
      <c r="F2764">
        <v>30425</v>
      </c>
    </row>
    <row r="2765" spans="1:6">
      <c r="A2765" t="s">
        <v>3898</v>
      </c>
      <c r="B2765">
        <v>308</v>
      </c>
      <c r="C2765" t="s">
        <v>149</v>
      </c>
      <c r="D2765">
        <v>497503</v>
      </c>
      <c r="E2765">
        <v>59126</v>
      </c>
      <c r="F2765">
        <v>30552</v>
      </c>
    </row>
    <row r="2766" spans="1:6">
      <c r="A2766" t="s">
        <v>3899</v>
      </c>
      <c r="B2766">
        <v>308</v>
      </c>
      <c r="C2766" t="s">
        <v>1132</v>
      </c>
      <c r="D2766">
        <v>1492509</v>
      </c>
      <c r="E2766">
        <v>59126</v>
      </c>
      <c r="F2766">
        <v>30552</v>
      </c>
    </row>
    <row r="2767" spans="1:6">
      <c r="A2767" t="s">
        <v>3900</v>
      </c>
      <c r="B2767">
        <v>308</v>
      </c>
      <c r="C2767" t="s">
        <v>1134</v>
      </c>
      <c r="D2767">
        <v>895506</v>
      </c>
      <c r="E2767">
        <v>59126</v>
      </c>
      <c r="F2767">
        <v>30552</v>
      </c>
    </row>
    <row r="2768" spans="1:6">
      <c r="A2768" t="s">
        <v>3901</v>
      </c>
      <c r="B2768">
        <v>308</v>
      </c>
      <c r="C2768" t="s">
        <v>1136</v>
      </c>
      <c r="D2768">
        <v>248752</v>
      </c>
      <c r="E2768">
        <v>59126</v>
      </c>
      <c r="F2768">
        <v>30552</v>
      </c>
    </row>
    <row r="2769" spans="1:6">
      <c r="A2769" t="s">
        <v>3902</v>
      </c>
      <c r="B2769">
        <v>308</v>
      </c>
      <c r="C2769" t="s">
        <v>1138</v>
      </c>
      <c r="D2769">
        <v>74626</v>
      </c>
      <c r="E2769">
        <v>59126</v>
      </c>
      <c r="F2769">
        <v>30552</v>
      </c>
    </row>
    <row r="2770" spans="1:6">
      <c r="A2770" t="s">
        <v>3903</v>
      </c>
      <c r="B2770">
        <v>308</v>
      </c>
      <c r="C2770" t="s">
        <v>738</v>
      </c>
      <c r="D2770">
        <v>1990012</v>
      </c>
      <c r="E2770">
        <v>59126</v>
      </c>
      <c r="F2770">
        <v>30552</v>
      </c>
    </row>
    <row r="2771" spans="1:6">
      <c r="A2771" t="s">
        <v>3904</v>
      </c>
      <c r="B2771">
        <v>308</v>
      </c>
      <c r="C2771" t="s">
        <v>1141</v>
      </c>
      <c r="D2771">
        <v>4477527</v>
      </c>
      <c r="E2771">
        <v>59126</v>
      </c>
      <c r="F2771">
        <v>30552</v>
      </c>
    </row>
    <row r="2772" spans="1:6">
      <c r="A2772" t="s">
        <v>3905</v>
      </c>
      <c r="B2772">
        <v>308</v>
      </c>
      <c r="C2772" t="s">
        <v>159</v>
      </c>
      <c r="D2772">
        <v>57174970</v>
      </c>
      <c r="E2772">
        <v>59126</v>
      </c>
      <c r="F2772">
        <v>30552</v>
      </c>
    </row>
    <row r="2773" spans="1:6">
      <c r="A2773" t="s">
        <v>3906</v>
      </c>
      <c r="B2773">
        <v>308</v>
      </c>
      <c r="C2773" t="s">
        <v>642</v>
      </c>
      <c r="D2773">
        <v>28587485</v>
      </c>
      <c r="E2773">
        <v>59126</v>
      </c>
      <c r="F2773">
        <v>30552</v>
      </c>
    </row>
    <row r="2774" spans="1:6">
      <c r="A2774" t="s">
        <v>3907</v>
      </c>
      <c r="B2774">
        <v>309</v>
      </c>
      <c r="C2774" t="s">
        <v>149</v>
      </c>
      <c r="D2774">
        <v>502106</v>
      </c>
      <c r="E2774">
        <v>59572</v>
      </c>
      <c r="F2774">
        <v>30680</v>
      </c>
    </row>
    <row r="2775" spans="1:6">
      <c r="A2775" t="s">
        <v>3908</v>
      </c>
      <c r="B2775">
        <v>309</v>
      </c>
      <c r="C2775" t="s">
        <v>1132</v>
      </c>
      <c r="D2775">
        <v>1506318</v>
      </c>
      <c r="E2775">
        <v>59572</v>
      </c>
      <c r="F2775">
        <v>30680</v>
      </c>
    </row>
    <row r="2776" spans="1:6">
      <c r="A2776" t="s">
        <v>3909</v>
      </c>
      <c r="B2776">
        <v>309</v>
      </c>
      <c r="C2776" t="s">
        <v>1134</v>
      </c>
      <c r="D2776">
        <v>903791</v>
      </c>
      <c r="E2776">
        <v>59572</v>
      </c>
      <c r="F2776">
        <v>30680</v>
      </c>
    </row>
    <row r="2777" spans="1:6">
      <c r="A2777" t="s">
        <v>3910</v>
      </c>
      <c r="B2777">
        <v>309</v>
      </c>
      <c r="C2777" t="s">
        <v>1136</v>
      </c>
      <c r="D2777">
        <v>251053</v>
      </c>
      <c r="E2777">
        <v>59572</v>
      </c>
      <c r="F2777">
        <v>30680</v>
      </c>
    </row>
    <row r="2778" spans="1:6">
      <c r="A2778" t="s">
        <v>3911</v>
      </c>
      <c r="B2778">
        <v>309</v>
      </c>
      <c r="C2778" t="s">
        <v>1138</v>
      </c>
      <c r="D2778">
        <v>75316</v>
      </c>
      <c r="E2778">
        <v>59572</v>
      </c>
      <c r="F2778">
        <v>30680</v>
      </c>
    </row>
    <row r="2779" spans="1:6">
      <c r="A2779" t="s">
        <v>3912</v>
      </c>
      <c r="B2779">
        <v>309</v>
      </c>
      <c r="C2779" t="s">
        <v>738</v>
      </c>
      <c r="D2779">
        <v>2008424</v>
      </c>
      <c r="E2779">
        <v>59572</v>
      </c>
      <c r="F2779">
        <v>30680</v>
      </c>
    </row>
    <row r="2780" spans="1:6">
      <c r="A2780" t="s">
        <v>3913</v>
      </c>
      <c r="B2780">
        <v>309</v>
      </c>
      <c r="C2780" t="s">
        <v>1141</v>
      </c>
      <c r="D2780">
        <v>4518954</v>
      </c>
      <c r="E2780">
        <v>59572</v>
      </c>
      <c r="F2780">
        <v>30680</v>
      </c>
    </row>
    <row r="2781" spans="1:6">
      <c r="A2781" t="s">
        <v>3914</v>
      </c>
      <c r="B2781">
        <v>309</v>
      </c>
      <c r="C2781" t="s">
        <v>159</v>
      </c>
      <c r="D2781">
        <v>57742809</v>
      </c>
      <c r="E2781">
        <v>59572</v>
      </c>
      <c r="F2781">
        <v>30680</v>
      </c>
    </row>
    <row r="2782" spans="1:6">
      <c r="A2782" t="s">
        <v>3915</v>
      </c>
      <c r="B2782">
        <v>309</v>
      </c>
      <c r="C2782" t="s">
        <v>642</v>
      </c>
      <c r="D2782">
        <v>28871405</v>
      </c>
      <c r="E2782">
        <v>59572</v>
      </c>
      <c r="F2782">
        <v>30680</v>
      </c>
    </row>
    <row r="2783" spans="1:6">
      <c r="A2783" t="s">
        <v>3916</v>
      </c>
      <c r="B2783">
        <v>310</v>
      </c>
      <c r="C2783" t="s">
        <v>149</v>
      </c>
      <c r="D2783">
        <v>506742</v>
      </c>
      <c r="E2783">
        <v>60020</v>
      </c>
      <c r="F2783">
        <v>30807</v>
      </c>
    </row>
    <row r="2784" spans="1:6">
      <c r="A2784" t="s">
        <v>3917</v>
      </c>
      <c r="B2784">
        <v>310</v>
      </c>
      <c r="C2784" t="s">
        <v>1132</v>
      </c>
      <c r="D2784">
        <v>1520226</v>
      </c>
      <c r="E2784">
        <v>60020</v>
      </c>
      <c r="F2784">
        <v>30807</v>
      </c>
    </row>
    <row r="2785" spans="1:6">
      <c r="A2785" t="s">
        <v>3918</v>
      </c>
      <c r="B2785">
        <v>310</v>
      </c>
      <c r="C2785" t="s">
        <v>1134</v>
      </c>
      <c r="D2785">
        <v>912136</v>
      </c>
      <c r="E2785">
        <v>60020</v>
      </c>
      <c r="F2785">
        <v>30807</v>
      </c>
    </row>
    <row r="2786" spans="1:6">
      <c r="A2786" t="s">
        <v>3919</v>
      </c>
      <c r="B2786">
        <v>310</v>
      </c>
      <c r="C2786" t="s">
        <v>1136</v>
      </c>
      <c r="D2786">
        <v>253371</v>
      </c>
      <c r="E2786">
        <v>60020</v>
      </c>
      <c r="F2786">
        <v>30807</v>
      </c>
    </row>
    <row r="2787" spans="1:6">
      <c r="A2787" t="s">
        <v>3920</v>
      </c>
      <c r="B2787">
        <v>310</v>
      </c>
      <c r="C2787" t="s">
        <v>1138</v>
      </c>
      <c r="D2787">
        <v>76012</v>
      </c>
      <c r="E2787">
        <v>60020</v>
      </c>
      <c r="F2787">
        <v>30807</v>
      </c>
    </row>
    <row r="2788" spans="1:6">
      <c r="A2788" t="s">
        <v>3921</v>
      </c>
      <c r="B2788">
        <v>310</v>
      </c>
      <c r="C2788" t="s">
        <v>738</v>
      </c>
      <c r="D2788">
        <v>2026968</v>
      </c>
      <c r="E2788">
        <v>60020</v>
      </c>
      <c r="F2788">
        <v>30807</v>
      </c>
    </row>
    <row r="2789" spans="1:6">
      <c r="A2789" t="s">
        <v>3922</v>
      </c>
      <c r="B2789">
        <v>310</v>
      </c>
      <c r="C2789" t="s">
        <v>1141</v>
      </c>
      <c r="D2789">
        <v>4560678</v>
      </c>
      <c r="E2789">
        <v>60020</v>
      </c>
      <c r="F2789">
        <v>30807</v>
      </c>
    </row>
    <row r="2790" spans="1:6">
      <c r="A2790" t="s">
        <v>3923</v>
      </c>
      <c r="B2790">
        <v>310</v>
      </c>
      <c r="C2790" t="s">
        <v>159</v>
      </c>
      <c r="D2790">
        <v>58315089</v>
      </c>
      <c r="E2790">
        <v>60020</v>
      </c>
      <c r="F2790">
        <v>30807</v>
      </c>
    </row>
    <row r="2791" spans="1:6">
      <c r="A2791" t="s">
        <v>3924</v>
      </c>
      <c r="B2791">
        <v>310</v>
      </c>
      <c r="C2791" t="s">
        <v>642</v>
      </c>
      <c r="D2791">
        <v>29157544</v>
      </c>
      <c r="E2791">
        <v>60020</v>
      </c>
      <c r="F2791">
        <v>30807</v>
      </c>
    </row>
    <row r="2792" spans="1:6">
      <c r="A2792" t="s">
        <v>3925</v>
      </c>
      <c r="B2792">
        <v>311</v>
      </c>
      <c r="C2792" t="s">
        <v>149</v>
      </c>
      <c r="D2792">
        <v>511410</v>
      </c>
      <c r="E2792">
        <v>60471</v>
      </c>
      <c r="F2792">
        <v>30936</v>
      </c>
    </row>
    <row r="2793" spans="1:6">
      <c r="A2793" t="s">
        <v>3926</v>
      </c>
      <c r="B2793">
        <v>311</v>
      </c>
      <c r="C2793" t="s">
        <v>1132</v>
      </c>
      <c r="D2793">
        <v>1534230</v>
      </c>
      <c r="E2793">
        <v>60471</v>
      </c>
      <c r="F2793">
        <v>30936</v>
      </c>
    </row>
    <row r="2794" spans="1:6">
      <c r="A2794" t="s">
        <v>3927</v>
      </c>
      <c r="B2794">
        <v>311</v>
      </c>
      <c r="C2794" t="s">
        <v>1134</v>
      </c>
      <c r="D2794">
        <v>920538</v>
      </c>
      <c r="E2794">
        <v>60471</v>
      </c>
      <c r="F2794">
        <v>30936</v>
      </c>
    </row>
    <row r="2795" spans="1:6">
      <c r="A2795" t="s">
        <v>3928</v>
      </c>
      <c r="B2795">
        <v>311</v>
      </c>
      <c r="C2795" t="s">
        <v>1136</v>
      </c>
      <c r="D2795">
        <v>255705</v>
      </c>
      <c r="E2795">
        <v>60471</v>
      </c>
      <c r="F2795">
        <v>30936</v>
      </c>
    </row>
    <row r="2796" spans="1:6">
      <c r="A2796" t="s">
        <v>3929</v>
      </c>
      <c r="B2796">
        <v>311</v>
      </c>
      <c r="C2796" t="s">
        <v>1138</v>
      </c>
      <c r="D2796">
        <v>76712</v>
      </c>
      <c r="E2796">
        <v>60471</v>
      </c>
      <c r="F2796">
        <v>30936</v>
      </c>
    </row>
    <row r="2797" spans="1:6">
      <c r="A2797" t="s">
        <v>3930</v>
      </c>
      <c r="B2797">
        <v>311</v>
      </c>
      <c r="C2797" t="s">
        <v>738</v>
      </c>
      <c r="D2797">
        <v>2045640</v>
      </c>
      <c r="E2797">
        <v>60471</v>
      </c>
      <c r="F2797">
        <v>30936</v>
      </c>
    </row>
    <row r="2798" spans="1:6">
      <c r="A2798" t="s">
        <v>3931</v>
      </c>
      <c r="B2798">
        <v>311</v>
      </c>
      <c r="C2798" t="s">
        <v>1141</v>
      </c>
      <c r="D2798">
        <v>4602690</v>
      </c>
      <c r="E2798">
        <v>60471</v>
      </c>
      <c r="F2798">
        <v>30936</v>
      </c>
    </row>
    <row r="2799" spans="1:6">
      <c r="A2799" t="s">
        <v>3932</v>
      </c>
      <c r="B2799">
        <v>311</v>
      </c>
      <c r="C2799" t="s">
        <v>159</v>
      </c>
      <c r="D2799">
        <v>58891868</v>
      </c>
      <c r="E2799">
        <v>60471</v>
      </c>
      <c r="F2799">
        <v>30936</v>
      </c>
    </row>
    <row r="2800" spans="1:6">
      <c r="A2800" t="s">
        <v>3933</v>
      </c>
      <c r="B2800">
        <v>311</v>
      </c>
      <c r="C2800" t="s">
        <v>642</v>
      </c>
      <c r="D2800">
        <v>29445934</v>
      </c>
      <c r="E2800">
        <v>60471</v>
      </c>
      <c r="F2800">
        <v>30936</v>
      </c>
    </row>
    <row r="2801" spans="1:6">
      <c r="A2801" t="s">
        <v>3934</v>
      </c>
      <c r="B2801">
        <v>312</v>
      </c>
      <c r="C2801" t="s">
        <v>149</v>
      </c>
      <c r="D2801">
        <v>516112</v>
      </c>
      <c r="E2801">
        <v>60924</v>
      </c>
      <c r="F2801">
        <v>31064</v>
      </c>
    </row>
    <row r="2802" spans="1:6">
      <c r="A2802" t="s">
        <v>3935</v>
      </c>
      <c r="B2802">
        <v>312</v>
      </c>
      <c r="C2802" t="s">
        <v>1132</v>
      </c>
      <c r="D2802">
        <v>1548336</v>
      </c>
      <c r="E2802">
        <v>60924</v>
      </c>
      <c r="F2802">
        <v>31064</v>
      </c>
    </row>
    <row r="2803" spans="1:6">
      <c r="A2803" t="s">
        <v>3936</v>
      </c>
      <c r="B2803">
        <v>312</v>
      </c>
      <c r="C2803" t="s">
        <v>1134</v>
      </c>
      <c r="D2803">
        <v>929002</v>
      </c>
      <c r="E2803">
        <v>60924</v>
      </c>
      <c r="F2803">
        <v>31064</v>
      </c>
    </row>
    <row r="2804" spans="1:6">
      <c r="A2804" t="s">
        <v>3937</v>
      </c>
      <c r="B2804">
        <v>312</v>
      </c>
      <c r="C2804" t="s">
        <v>1136</v>
      </c>
      <c r="D2804">
        <v>258056</v>
      </c>
      <c r="E2804">
        <v>60924</v>
      </c>
      <c r="F2804">
        <v>31064</v>
      </c>
    </row>
    <row r="2805" spans="1:6">
      <c r="A2805" t="s">
        <v>3938</v>
      </c>
      <c r="B2805">
        <v>312</v>
      </c>
      <c r="C2805" t="s">
        <v>1138</v>
      </c>
      <c r="D2805">
        <v>77417</v>
      </c>
      <c r="E2805">
        <v>60924</v>
      </c>
      <c r="F2805">
        <v>31064</v>
      </c>
    </row>
    <row r="2806" spans="1:6">
      <c r="A2806" t="s">
        <v>3939</v>
      </c>
      <c r="B2806">
        <v>312</v>
      </c>
      <c r="C2806" t="s">
        <v>738</v>
      </c>
      <c r="D2806">
        <v>2064448</v>
      </c>
      <c r="E2806">
        <v>60924</v>
      </c>
      <c r="F2806">
        <v>31064</v>
      </c>
    </row>
    <row r="2807" spans="1:6">
      <c r="A2807" t="s">
        <v>3940</v>
      </c>
      <c r="B2807">
        <v>312</v>
      </c>
      <c r="C2807" t="s">
        <v>1141</v>
      </c>
      <c r="D2807">
        <v>4645008</v>
      </c>
      <c r="E2807">
        <v>60924</v>
      </c>
      <c r="F2807">
        <v>31064</v>
      </c>
    </row>
    <row r="2808" spans="1:6">
      <c r="A2808" t="s">
        <v>3941</v>
      </c>
      <c r="B2808">
        <v>312</v>
      </c>
      <c r="C2808" t="s">
        <v>159</v>
      </c>
      <c r="D2808">
        <v>59473148</v>
      </c>
      <c r="E2808">
        <v>60924</v>
      </c>
      <c r="F2808">
        <v>31064</v>
      </c>
    </row>
    <row r="2809" spans="1:6">
      <c r="A2809" t="s">
        <v>3942</v>
      </c>
      <c r="B2809">
        <v>312</v>
      </c>
      <c r="C2809" t="s">
        <v>642</v>
      </c>
      <c r="D2809">
        <v>29736574</v>
      </c>
      <c r="E2809">
        <v>60924</v>
      </c>
      <c r="F2809">
        <v>31064</v>
      </c>
    </row>
    <row r="2810" spans="1:6">
      <c r="A2810" t="s">
        <v>3943</v>
      </c>
      <c r="B2810">
        <v>313</v>
      </c>
      <c r="C2810" t="s">
        <v>149</v>
      </c>
      <c r="D2810">
        <v>520847</v>
      </c>
      <c r="E2810">
        <v>61380</v>
      </c>
      <c r="F2810">
        <v>31192</v>
      </c>
    </row>
    <row r="2811" spans="1:6">
      <c r="A2811" t="s">
        <v>3944</v>
      </c>
      <c r="B2811">
        <v>313</v>
      </c>
      <c r="C2811" t="s">
        <v>1132</v>
      </c>
      <c r="D2811">
        <v>1562541</v>
      </c>
      <c r="E2811">
        <v>61380</v>
      </c>
      <c r="F2811">
        <v>31192</v>
      </c>
    </row>
    <row r="2812" spans="1:6">
      <c r="A2812" t="s">
        <v>3945</v>
      </c>
      <c r="B2812">
        <v>313</v>
      </c>
      <c r="C2812" t="s">
        <v>1134</v>
      </c>
      <c r="D2812">
        <v>937525</v>
      </c>
      <c r="E2812">
        <v>61380</v>
      </c>
      <c r="F2812">
        <v>31192</v>
      </c>
    </row>
    <row r="2813" spans="1:6">
      <c r="A2813" t="s">
        <v>3946</v>
      </c>
      <c r="B2813">
        <v>313</v>
      </c>
      <c r="C2813" t="s">
        <v>1136</v>
      </c>
      <c r="D2813">
        <v>260424</v>
      </c>
      <c r="E2813">
        <v>61380</v>
      </c>
      <c r="F2813">
        <v>31192</v>
      </c>
    </row>
    <row r="2814" spans="1:6">
      <c r="A2814" t="s">
        <v>3947</v>
      </c>
      <c r="B2814">
        <v>313</v>
      </c>
      <c r="C2814" t="s">
        <v>1138</v>
      </c>
      <c r="D2814">
        <v>78128</v>
      </c>
      <c r="E2814">
        <v>61380</v>
      </c>
      <c r="F2814">
        <v>31192</v>
      </c>
    </row>
    <row r="2815" spans="1:6">
      <c r="A2815" t="s">
        <v>3948</v>
      </c>
      <c r="B2815">
        <v>313</v>
      </c>
      <c r="C2815" t="s">
        <v>738</v>
      </c>
      <c r="D2815">
        <v>2083388</v>
      </c>
      <c r="E2815">
        <v>61380</v>
      </c>
      <c r="F2815">
        <v>31192</v>
      </c>
    </row>
    <row r="2816" spans="1:6">
      <c r="A2816" t="s">
        <v>3949</v>
      </c>
      <c r="B2816">
        <v>313</v>
      </c>
      <c r="C2816" t="s">
        <v>1141</v>
      </c>
      <c r="D2816">
        <v>4687623</v>
      </c>
      <c r="E2816">
        <v>61380</v>
      </c>
      <c r="F2816">
        <v>31192</v>
      </c>
    </row>
    <row r="2817" spans="1:6">
      <c r="A2817" t="s">
        <v>3950</v>
      </c>
      <c r="B2817">
        <v>313</v>
      </c>
      <c r="C2817" t="s">
        <v>159</v>
      </c>
      <c r="D2817">
        <v>60058928</v>
      </c>
      <c r="E2817">
        <v>61380</v>
      </c>
      <c r="F2817">
        <v>31192</v>
      </c>
    </row>
    <row r="2818" spans="1:6">
      <c r="A2818" t="s">
        <v>3951</v>
      </c>
      <c r="B2818">
        <v>313</v>
      </c>
      <c r="C2818" t="s">
        <v>642</v>
      </c>
      <c r="D2818">
        <v>30029464</v>
      </c>
      <c r="E2818">
        <v>61380</v>
      </c>
      <c r="F2818">
        <v>31192</v>
      </c>
    </row>
    <row r="2819" spans="1:6">
      <c r="A2819" t="s">
        <v>3952</v>
      </c>
      <c r="B2819">
        <v>314</v>
      </c>
      <c r="C2819" t="s">
        <v>149</v>
      </c>
      <c r="D2819">
        <v>525616</v>
      </c>
      <c r="E2819">
        <v>61838</v>
      </c>
      <c r="F2819">
        <v>31321</v>
      </c>
    </row>
    <row r="2820" spans="1:6">
      <c r="A2820" t="s">
        <v>3953</v>
      </c>
      <c r="B2820">
        <v>314</v>
      </c>
      <c r="C2820" t="s">
        <v>1132</v>
      </c>
      <c r="D2820">
        <v>1576848</v>
      </c>
      <c r="E2820">
        <v>61838</v>
      </c>
      <c r="F2820">
        <v>31321</v>
      </c>
    </row>
    <row r="2821" spans="1:6">
      <c r="A2821" t="s">
        <v>3954</v>
      </c>
      <c r="B2821">
        <v>314</v>
      </c>
      <c r="C2821" t="s">
        <v>1134</v>
      </c>
      <c r="D2821">
        <v>946109</v>
      </c>
      <c r="E2821">
        <v>61838</v>
      </c>
      <c r="F2821">
        <v>31321</v>
      </c>
    </row>
    <row r="2822" spans="1:6">
      <c r="A2822" t="s">
        <v>3955</v>
      </c>
      <c r="B2822">
        <v>314</v>
      </c>
      <c r="C2822" t="s">
        <v>1136</v>
      </c>
      <c r="D2822">
        <v>262808</v>
      </c>
      <c r="E2822">
        <v>61838</v>
      </c>
      <c r="F2822">
        <v>31321</v>
      </c>
    </row>
    <row r="2823" spans="1:6">
      <c r="A2823" t="s">
        <v>3956</v>
      </c>
      <c r="B2823">
        <v>314</v>
      </c>
      <c r="C2823" t="s">
        <v>1138</v>
      </c>
      <c r="D2823">
        <v>78843</v>
      </c>
      <c r="E2823">
        <v>61838</v>
      </c>
      <c r="F2823">
        <v>31321</v>
      </c>
    </row>
    <row r="2824" spans="1:6">
      <c r="A2824" t="s">
        <v>3957</v>
      </c>
      <c r="B2824">
        <v>314</v>
      </c>
      <c r="C2824" t="s">
        <v>738</v>
      </c>
      <c r="D2824">
        <v>2102464</v>
      </c>
      <c r="E2824">
        <v>61838</v>
      </c>
      <c r="F2824">
        <v>31321</v>
      </c>
    </row>
    <row r="2825" spans="1:6">
      <c r="A2825" t="s">
        <v>3958</v>
      </c>
      <c r="B2825">
        <v>314</v>
      </c>
      <c r="C2825" t="s">
        <v>1141</v>
      </c>
      <c r="D2825">
        <v>4730544</v>
      </c>
      <c r="E2825">
        <v>61838</v>
      </c>
      <c r="F2825">
        <v>31321</v>
      </c>
    </row>
    <row r="2826" spans="1:6">
      <c r="A2826" t="s">
        <v>3959</v>
      </c>
      <c r="B2826">
        <v>314</v>
      </c>
      <c r="C2826" t="s">
        <v>159</v>
      </c>
      <c r="D2826">
        <v>60649327</v>
      </c>
      <c r="E2826">
        <v>61838</v>
      </c>
      <c r="F2826">
        <v>31321</v>
      </c>
    </row>
    <row r="2827" spans="1:6">
      <c r="A2827" t="s">
        <v>3960</v>
      </c>
      <c r="B2827">
        <v>314</v>
      </c>
      <c r="C2827" t="s">
        <v>642</v>
      </c>
      <c r="D2827">
        <v>30324664</v>
      </c>
      <c r="E2827">
        <v>61838</v>
      </c>
      <c r="F2827">
        <v>31321</v>
      </c>
    </row>
    <row r="2828" spans="1:6">
      <c r="A2828" t="s">
        <v>3961</v>
      </c>
      <c r="B2828">
        <v>315</v>
      </c>
      <c r="C2828" t="s">
        <v>149</v>
      </c>
      <c r="D2828">
        <v>530418</v>
      </c>
      <c r="E2828">
        <v>62298</v>
      </c>
      <c r="F2828">
        <v>31449</v>
      </c>
    </row>
    <row r="2829" spans="1:6">
      <c r="A2829" t="s">
        <v>3962</v>
      </c>
      <c r="B2829">
        <v>315</v>
      </c>
      <c r="C2829" t="s">
        <v>1132</v>
      </c>
      <c r="D2829">
        <v>1591254</v>
      </c>
      <c r="E2829">
        <v>62298</v>
      </c>
      <c r="F2829">
        <v>31449</v>
      </c>
    </row>
    <row r="2830" spans="1:6">
      <c r="A2830" t="s">
        <v>3963</v>
      </c>
      <c r="B2830">
        <v>315</v>
      </c>
      <c r="C2830" t="s">
        <v>1134</v>
      </c>
      <c r="D2830">
        <v>954753</v>
      </c>
      <c r="E2830">
        <v>62298</v>
      </c>
      <c r="F2830">
        <v>31449</v>
      </c>
    </row>
    <row r="2831" spans="1:6">
      <c r="A2831" t="s">
        <v>3964</v>
      </c>
      <c r="B2831">
        <v>315</v>
      </c>
      <c r="C2831" t="s">
        <v>1136</v>
      </c>
      <c r="D2831">
        <v>265209</v>
      </c>
      <c r="E2831">
        <v>62298</v>
      </c>
      <c r="F2831">
        <v>31449</v>
      </c>
    </row>
    <row r="2832" spans="1:6">
      <c r="A2832" t="s">
        <v>3965</v>
      </c>
      <c r="B2832">
        <v>315</v>
      </c>
      <c r="C2832" t="s">
        <v>1138</v>
      </c>
      <c r="D2832">
        <v>79563</v>
      </c>
      <c r="E2832">
        <v>62298</v>
      </c>
      <c r="F2832">
        <v>31449</v>
      </c>
    </row>
    <row r="2833" spans="1:6">
      <c r="A2833" t="s">
        <v>3966</v>
      </c>
      <c r="B2833">
        <v>315</v>
      </c>
      <c r="C2833" t="s">
        <v>738</v>
      </c>
      <c r="D2833">
        <v>2121672</v>
      </c>
      <c r="E2833">
        <v>62298</v>
      </c>
      <c r="F2833">
        <v>31449</v>
      </c>
    </row>
    <row r="2834" spans="1:6">
      <c r="A2834" t="s">
        <v>3967</v>
      </c>
      <c r="B2834">
        <v>315</v>
      </c>
      <c r="C2834" t="s">
        <v>1141</v>
      </c>
      <c r="D2834">
        <v>4773762</v>
      </c>
      <c r="E2834">
        <v>62298</v>
      </c>
      <c r="F2834">
        <v>31449</v>
      </c>
    </row>
    <row r="2835" spans="1:6">
      <c r="A2835" t="s">
        <v>3968</v>
      </c>
      <c r="B2835">
        <v>315</v>
      </c>
      <c r="C2835" t="s">
        <v>159</v>
      </c>
      <c r="D2835">
        <v>61244287</v>
      </c>
      <c r="E2835">
        <v>62298</v>
      </c>
      <c r="F2835">
        <v>31449</v>
      </c>
    </row>
    <row r="2836" spans="1:6">
      <c r="A2836" t="s">
        <v>3969</v>
      </c>
      <c r="B2836">
        <v>315</v>
      </c>
      <c r="C2836" t="s">
        <v>642</v>
      </c>
      <c r="D2836">
        <v>30622144</v>
      </c>
      <c r="E2836">
        <v>62298</v>
      </c>
      <c r="F2836">
        <v>31449</v>
      </c>
    </row>
    <row r="2837" spans="1:6">
      <c r="A2837" t="s">
        <v>3970</v>
      </c>
      <c r="B2837">
        <v>316</v>
      </c>
      <c r="C2837" t="s">
        <v>149</v>
      </c>
      <c r="D2837">
        <v>535254</v>
      </c>
      <c r="E2837">
        <v>62761</v>
      </c>
      <c r="F2837">
        <v>31578</v>
      </c>
    </row>
    <row r="2838" spans="1:6">
      <c r="A2838" t="s">
        <v>3971</v>
      </c>
      <c r="B2838">
        <v>316</v>
      </c>
      <c r="C2838" t="s">
        <v>1132</v>
      </c>
      <c r="D2838">
        <v>1605762</v>
      </c>
      <c r="E2838">
        <v>62761</v>
      </c>
      <c r="F2838">
        <v>31578</v>
      </c>
    </row>
    <row r="2839" spans="1:6">
      <c r="A2839" t="s">
        <v>3972</v>
      </c>
      <c r="B2839">
        <v>316</v>
      </c>
      <c r="C2839" t="s">
        <v>1134</v>
      </c>
      <c r="D2839">
        <v>963458</v>
      </c>
      <c r="E2839">
        <v>62761</v>
      </c>
      <c r="F2839">
        <v>31578</v>
      </c>
    </row>
    <row r="2840" spans="1:6">
      <c r="A2840" t="s">
        <v>3973</v>
      </c>
      <c r="B2840">
        <v>316</v>
      </c>
      <c r="C2840" t="s">
        <v>1136</v>
      </c>
      <c r="D2840">
        <v>267627</v>
      </c>
      <c r="E2840">
        <v>62761</v>
      </c>
      <c r="F2840">
        <v>31578</v>
      </c>
    </row>
    <row r="2841" spans="1:6">
      <c r="A2841" t="s">
        <v>3974</v>
      </c>
      <c r="B2841">
        <v>316</v>
      </c>
      <c r="C2841" t="s">
        <v>1138</v>
      </c>
      <c r="D2841">
        <v>80289</v>
      </c>
      <c r="E2841">
        <v>62761</v>
      </c>
      <c r="F2841">
        <v>31578</v>
      </c>
    </row>
    <row r="2842" spans="1:6">
      <c r="A2842" t="s">
        <v>3975</v>
      </c>
      <c r="B2842">
        <v>316</v>
      </c>
      <c r="C2842" t="s">
        <v>738</v>
      </c>
      <c r="D2842">
        <v>2141016</v>
      </c>
      <c r="E2842">
        <v>62761</v>
      </c>
      <c r="F2842">
        <v>31578</v>
      </c>
    </row>
    <row r="2843" spans="1:6">
      <c r="A2843" t="s">
        <v>3976</v>
      </c>
      <c r="B2843">
        <v>316</v>
      </c>
      <c r="C2843" t="s">
        <v>1141</v>
      </c>
      <c r="D2843">
        <v>4817286</v>
      </c>
      <c r="E2843">
        <v>62761</v>
      </c>
      <c r="F2843">
        <v>31578</v>
      </c>
    </row>
    <row r="2844" spans="1:6">
      <c r="A2844" t="s">
        <v>3977</v>
      </c>
      <c r="B2844">
        <v>316</v>
      </c>
      <c r="C2844" t="s">
        <v>159</v>
      </c>
      <c r="D2844">
        <v>61843867</v>
      </c>
      <c r="E2844">
        <v>62761</v>
      </c>
      <c r="F2844">
        <v>31578</v>
      </c>
    </row>
    <row r="2845" spans="1:6">
      <c r="A2845" t="s">
        <v>3978</v>
      </c>
      <c r="B2845">
        <v>316</v>
      </c>
      <c r="C2845" t="s">
        <v>642</v>
      </c>
      <c r="D2845">
        <v>30921933</v>
      </c>
      <c r="E2845">
        <v>62761</v>
      </c>
      <c r="F2845">
        <v>31578</v>
      </c>
    </row>
    <row r="2846" spans="1:6">
      <c r="A2846" t="s">
        <v>3979</v>
      </c>
      <c r="B2846">
        <v>317</v>
      </c>
      <c r="C2846" t="s">
        <v>149</v>
      </c>
      <c r="D2846">
        <v>540125</v>
      </c>
      <c r="E2846">
        <v>63226</v>
      </c>
      <c r="F2846">
        <v>31708</v>
      </c>
    </row>
    <row r="2847" spans="1:6">
      <c r="A2847" t="s">
        <v>3980</v>
      </c>
      <c r="B2847">
        <v>317</v>
      </c>
      <c r="C2847" t="s">
        <v>1132</v>
      </c>
      <c r="D2847">
        <v>1620375</v>
      </c>
      <c r="E2847">
        <v>63226</v>
      </c>
      <c r="F2847">
        <v>31708</v>
      </c>
    </row>
    <row r="2848" spans="1:6">
      <c r="A2848" t="s">
        <v>3981</v>
      </c>
      <c r="B2848">
        <v>317</v>
      </c>
      <c r="C2848" t="s">
        <v>1134</v>
      </c>
      <c r="D2848">
        <v>972225</v>
      </c>
      <c r="E2848">
        <v>63226</v>
      </c>
      <c r="F2848">
        <v>31708</v>
      </c>
    </row>
    <row r="2849" spans="1:6">
      <c r="A2849" t="s">
        <v>3982</v>
      </c>
      <c r="B2849">
        <v>317</v>
      </c>
      <c r="C2849" t="s">
        <v>1136</v>
      </c>
      <c r="D2849">
        <v>270063</v>
      </c>
      <c r="E2849">
        <v>63226</v>
      </c>
      <c r="F2849">
        <v>31708</v>
      </c>
    </row>
    <row r="2850" spans="1:6">
      <c r="A2850" t="s">
        <v>3983</v>
      </c>
      <c r="B2850">
        <v>317</v>
      </c>
      <c r="C2850" t="s">
        <v>1138</v>
      </c>
      <c r="D2850">
        <v>81019</v>
      </c>
      <c r="E2850">
        <v>63226</v>
      </c>
      <c r="F2850">
        <v>31708</v>
      </c>
    </row>
    <row r="2851" spans="1:6">
      <c r="A2851" t="s">
        <v>3984</v>
      </c>
      <c r="B2851">
        <v>317</v>
      </c>
      <c r="C2851" t="s">
        <v>738</v>
      </c>
      <c r="D2851">
        <v>2160500</v>
      </c>
      <c r="E2851">
        <v>63226</v>
      </c>
      <c r="F2851">
        <v>31708</v>
      </c>
    </row>
    <row r="2852" spans="1:6">
      <c r="A2852" t="s">
        <v>3985</v>
      </c>
      <c r="B2852">
        <v>317</v>
      </c>
      <c r="C2852" t="s">
        <v>1141</v>
      </c>
      <c r="D2852">
        <v>4861125</v>
      </c>
      <c r="E2852">
        <v>63226</v>
      </c>
      <c r="F2852">
        <v>31708</v>
      </c>
    </row>
    <row r="2853" spans="1:6">
      <c r="A2853" t="s">
        <v>3986</v>
      </c>
      <c r="B2853">
        <v>317</v>
      </c>
      <c r="C2853" t="s">
        <v>159</v>
      </c>
      <c r="D2853">
        <v>62448067</v>
      </c>
      <c r="E2853">
        <v>63226</v>
      </c>
      <c r="F2853">
        <v>31708</v>
      </c>
    </row>
    <row r="2854" spans="1:6">
      <c r="A2854" t="s">
        <v>3987</v>
      </c>
      <c r="B2854">
        <v>317</v>
      </c>
      <c r="C2854" t="s">
        <v>642</v>
      </c>
      <c r="D2854">
        <v>31224033</v>
      </c>
      <c r="E2854">
        <v>63226</v>
      </c>
      <c r="F2854">
        <v>31708</v>
      </c>
    </row>
    <row r="2855" spans="1:6">
      <c r="A2855" t="s">
        <v>3988</v>
      </c>
      <c r="B2855">
        <v>318</v>
      </c>
      <c r="C2855" t="s">
        <v>149</v>
      </c>
      <c r="D2855">
        <v>545029</v>
      </c>
      <c r="E2855">
        <v>63694</v>
      </c>
      <c r="F2855">
        <v>31837</v>
      </c>
    </row>
    <row r="2856" spans="1:6">
      <c r="A2856" t="s">
        <v>3989</v>
      </c>
      <c r="B2856">
        <v>318</v>
      </c>
      <c r="C2856" t="s">
        <v>1132</v>
      </c>
      <c r="D2856">
        <v>1635087</v>
      </c>
      <c r="E2856">
        <v>63694</v>
      </c>
      <c r="F2856">
        <v>31837</v>
      </c>
    </row>
    <row r="2857" spans="1:6">
      <c r="A2857" t="s">
        <v>3990</v>
      </c>
      <c r="B2857">
        <v>318</v>
      </c>
      <c r="C2857" t="s">
        <v>1134</v>
      </c>
      <c r="D2857">
        <v>981053</v>
      </c>
      <c r="E2857">
        <v>63694</v>
      </c>
      <c r="F2857">
        <v>31837</v>
      </c>
    </row>
    <row r="2858" spans="1:6">
      <c r="A2858" t="s">
        <v>3991</v>
      </c>
      <c r="B2858">
        <v>318</v>
      </c>
      <c r="C2858" t="s">
        <v>1136</v>
      </c>
      <c r="D2858">
        <v>272515</v>
      </c>
      <c r="E2858">
        <v>63694</v>
      </c>
      <c r="F2858">
        <v>31837</v>
      </c>
    </row>
    <row r="2859" spans="1:6">
      <c r="A2859" t="s">
        <v>3992</v>
      </c>
      <c r="B2859">
        <v>318</v>
      </c>
      <c r="C2859" t="s">
        <v>1138</v>
      </c>
      <c r="D2859">
        <v>81755</v>
      </c>
      <c r="E2859">
        <v>63694</v>
      </c>
      <c r="F2859">
        <v>31837</v>
      </c>
    </row>
    <row r="2860" spans="1:6">
      <c r="A2860" t="s">
        <v>3993</v>
      </c>
      <c r="B2860">
        <v>318</v>
      </c>
      <c r="C2860" t="s">
        <v>738</v>
      </c>
      <c r="D2860">
        <v>2180116</v>
      </c>
      <c r="E2860">
        <v>63694</v>
      </c>
      <c r="F2860">
        <v>31837</v>
      </c>
    </row>
    <row r="2861" spans="1:6">
      <c r="A2861" t="s">
        <v>3994</v>
      </c>
      <c r="B2861">
        <v>318</v>
      </c>
      <c r="C2861" t="s">
        <v>1141</v>
      </c>
      <c r="D2861">
        <v>4905261</v>
      </c>
      <c r="E2861">
        <v>63694</v>
      </c>
      <c r="F2861">
        <v>31837</v>
      </c>
    </row>
    <row r="2862" spans="1:6">
      <c r="A2862" t="s">
        <v>3995</v>
      </c>
      <c r="B2862">
        <v>318</v>
      </c>
      <c r="C2862" t="s">
        <v>159</v>
      </c>
      <c r="D2862">
        <v>63056946</v>
      </c>
      <c r="E2862">
        <v>63694</v>
      </c>
      <c r="F2862">
        <v>31837</v>
      </c>
    </row>
    <row r="2863" spans="1:6">
      <c r="A2863" t="s">
        <v>3996</v>
      </c>
      <c r="B2863">
        <v>318</v>
      </c>
      <c r="C2863" t="s">
        <v>642</v>
      </c>
      <c r="D2863">
        <v>31528473</v>
      </c>
      <c r="E2863">
        <v>63694</v>
      </c>
      <c r="F2863">
        <v>31837</v>
      </c>
    </row>
    <row r="2864" spans="1:6">
      <c r="A2864" t="s">
        <v>3997</v>
      </c>
      <c r="B2864">
        <v>319</v>
      </c>
      <c r="C2864" t="s">
        <v>149</v>
      </c>
      <c r="D2864">
        <v>549968</v>
      </c>
      <c r="E2864">
        <v>64165</v>
      </c>
      <c r="F2864">
        <v>31966</v>
      </c>
    </row>
    <row r="2865" spans="1:6">
      <c r="A2865" t="s">
        <v>3998</v>
      </c>
      <c r="B2865">
        <v>319</v>
      </c>
      <c r="C2865" t="s">
        <v>1132</v>
      </c>
      <c r="D2865">
        <v>1649904</v>
      </c>
      <c r="E2865">
        <v>64165</v>
      </c>
      <c r="F2865">
        <v>31966</v>
      </c>
    </row>
    <row r="2866" spans="1:6">
      <c r="A2866" t="s">
        <v>3999</v>
      </c>
      <c r="B2866">
        <v>319</v>
      </c>
      <c r="C2866" t="s">
        <v>1134</v>
      </c>
      <c r="D2866">
        <v>989943</v>
      </c>
      <c r="E2866">
        <v>64165</v>
      </c>
      <c r="F2866">
        <v>31966</v>
      </c>
    </row>
    <row r="2867" spans="1:6">
      <c r="A2867" t="s">
        <v>4000</v>
      </c>
      <c r="B2867">
        <v>319</v>
      </c>
      <c r="C2867" t="s">
        <v>1136</v>
      </c>
      <c r="D2867">
        <v>274984</v>
      </c>
      <c r="E2867">
        <v>64165</v>
      </c>
      <c r="F2867">
        <v>31966</v>
      </c>
    </row>
    <row r="2868" spans="1:6">
      <c r="A2868" t="s">
        <v>4001</v>
      </c>
      <c r="B2868">
        <v>319</v>
      </c>
      <c r="C2868" t="s">
        <v>1138</v>
      </c>
      <c r="D2868">
        <v>82496</v>
      </c>
      <c r="E2868">
        <v>64165</v>
      </c>
      <c r="F2868">
        <v>31966</v>
      </c>
    </row>
    <row r="2869" spans="1:6">
      <c r="A2869" t="s">
        <v>4002</v>
      </c>
      <c r="B2869">
        <v>319</v>
      </c>
      <c r="C2869" t="s">
        <v>738</v>
      </c>
      <c r="D2869">
        <v>2199872</v>
      </c>
      <c r="E2869">
        <v>64165</v>
      </c>
      <c r="F2869">
        <v>31966</v>
      </c>
    </row>
    <row r="2870" spans="1:6">
      <c r="A2870" t="s">
        <v>4003</v>
      </c>
      <c r="B2870">
        <v>319</v>
      </c>
      <c r="C2870" t="s">
        <v>1141</v>
      </c>
      <c r="D2870">
        <v>4949712</v>
      </c>
      <c r="E2870">
        <v>64165</v>
      </c>
      <c r="F2870">
        <v>31966</v>
      </c>
    </row>
    <row r="2871" spans="1:6">
      <c r="A2871" t="s">
        <v>4004</v>
      </c>
      <c r="B2871">
        <v>319</v>
      </c>
      <c r="C2871" t="s">
        <v>159</v>
      </c>
      <c r="D2871">
        <v>63670566</v>
      </c>
      <c r="E2871">
        <v>64165</v>
      </c>
      <c r="F2871">
        <v>31966</v>
      </c>
    </row>
    <row r="2872" spans="1:6">
      <c r="A2872" t="s">
        <v>4005</v>
      </c>
      <c r="B2872">
        <v>319</v>
      </c>
      <c r="C2872" t="s">
        <v>642</v>
      </c>
      <c r="D2872">
        <v>31835283</v>
      </c>
      <c r="E2872">
        <v>64165</v>
      </c>
      <c r="F2872">
        <v>31966</v>
      </c>
    </row>
    <row r="2873" spans="1:6">
      <c r="A2873" t="s">
        <v>4006</v>
      </c>
      <c r="B2873">
        <v>320</v>
      </c>
      <c r="C2873" t="s">
        <v>149</v>
      </c>
      <c r="D2873">
        <v>554941</v>
      </c>
      <c r="E2873">
        <v>64637</v>
      </c>
      <c r="F2873">
        <v>32096</v>
      </c>
    </row>
    <row r="2874" spans="1:6">
      <c r="A2874" t="s">
        <v>4007</v>
      </c>
      <c r="B2874">
        <v>320</v>
      </c>
      <c r="C2874" t="s">
        <v>1132</v>
      </c>
      <c r="D2874">
        <v>1664823</v>
      </c>
      <c r="E2874">
        <v>64637</v>
      </c>
      <c r="F2874">
        <v>32096</v>
      </c>
    </row>
    <row r="2875" spans="1:6">
      <c r="A2875" t="s">
        <v>4008</v>
      </c>
      <c r="B2875">
        <v>320</v>
      </c>
      <c r="C2875" t="s">
        <v>1134</v>
      </c>
      <c r="D2875">
        <v>998894</v>
      </c>
      <c r="E2875">
        <v>64637</v>
      </c>
      <c r="F2875">
        <v>32096</v>
      </c>
    </row>
    <row r="2876" spans="1:6">
      <c r="A2876" t="s">
        <v>4009</v>
      </c>
      <c r="B2876">
        <v>320</v>
      </c>
      <c r="C2876" t="s">
        <v>1136</v>
      </c>
      <c r="D2876">
        <v>277471</v>
      </c>
      <c r="E2876">
        <v>64637</v>
      </c>
      <c r="F2876">
        <v>32096</v>
      </c>
    </row>
    <row r="2877" spans="1:6">
      <c r="A2877" t="s">
        <v>4010</v>
      </c>
      <c r="B2877">
        <v>320</v>
      </c>
      <c r="C2877" t="s">
        <v>1138</v>
      </c>
      <c r="D2877">
        <v>83242</v>
      </c>
      <c r="E2877">
        <v>64637</v>
      </c>
      <c r="F2877">
        <v>32096</v>
      </c>
    </row>
    <row r="2878" spans="1:6">
      <c r="A2878" t="s">
        <v>4011</v>
      </c>
      <c r="B2878">
        <v>320</v>
      </c>
      <c r="C2878" t="s">
        <v>738</v>
      </c>
      <c r="D2878">
        <v>2219764</v>
      </c>
      <c r="E2878">
        <v>64637</v>
      </c>
      <c r="F2878">
        <v>32096</v>
      </c>
    </row>
    <row r="2879" spans="1:6">
      <c r="A2879" t="s">
        <v>4012</v>
      </c>
      <c r="B2879">
        <v>320</v>
      </c>
      <c r="C2879" t="s">
        <v>1141</v>
      </c>
      <c r="D2879">
        <v>4994469</v>
      </c>
      <c r="E2879">
        <v>64637</v>
      </c>
      <c r="F2879">
        <v>32096</v>
      </c>
    </row>
    <row r="2880" spans="1:6">
      <c r="A2880" t="s">
        <v>4013</v>
      </c>
      <c r="B2880">
        <v>320</v>
      </c>
      <c r="C2880" t="s">
        <v>159</v>
      </c>
      <c r="D2880">
        <v>64288866</v>
      </c>
      <c r="E2880">
        <v>64637</v>
      </c>
      <c r="F2880">
        <v>32096</v>
      </c>
    </row>
    <row r="2881" spans="1:6">
      <c r="A2881" t="s">
        <v>4014</v>
      </c>
      <c r="B2881">
        <v>320</v>
      </c>
      <c r="C2881" t="s">
        <v>642</v>
      </c>
      <c r="D2881">
        <v>32144433</v>
      </c>
      <c r="E2881">
        <v>64637</v>
      </c>
      <c r="F2881">
        <v>32096</v>
      </c>
    </row>
    <row r="2882" spans="1:6">
      <c r="A2882" t="s">
        <v>4015</v>
      </c>
      <c r="B2882">
        <v>321</v>
      </c>
      <c r="C2882" t="s">
        <v>149</v>
      </c>
      <c r="D2882">
        <v>559949</v>
      </c>
      <c r="E2882">
        <v>65113</v>
      </c>
      <c r="F2882">
        <v>32226</v>
      </c>
    </row>
    <row r="2883" spans="1:6">
      <c r="A2883" t="s">
        <v>4016</v>
      </c>
      <c r="B2883">
        <v>321</v>
      </c>
      <c r="C2883" t="s">
        <v>1132</v>
      </c>
      <c r="D2883">
        <v>1679847</v>
      </c>
      <c r="E2883">
        <v>65113</v>
      </c>
      <c r="F2883">
        <v>32226</v>
      </c>
    </row>
    <row r="2884" spans="1:6">
      <c r="A2884" t="s">
        <v>4017</v>
      </c>
      <c r="B2884">
        <v>321</v>
      </c>
      <c r="C2884" t="s">
        <v>1134</v>
      </c>
      <c r="D2884">
        <v>1007909</v>
      </c>
      <c r="E2884">
        <v>65113</v>
      </c>
      <c r="F2884">
        <v>32226</v>
      </c>
    </row>
    <row r="2885" spans="1:6">
      <c r="A2885" t="s">
        <v>4018</v>
      </c>
      <c r="B2885">
        <v>321</v>
      </c>
      <c r="C2885" t="s">
        <v>1136</v>
      </c>
      <c r="D2885">
        <v>279975</v>
      </c>
      <c r="E2885">
        <v>65113</v>
      </c>
      <c r="F2885">
        <v>32226</v>
      </c>
    </row>
    <row r="2886" spans="1:6">
      <c r="A2886" t="s">
        <v>4019</v>
      </c>
      <c r="B2886">
        <v>321</v>
      </c>
      <c r="C2886" t="s">
        <v>1138</v>
      </c>
      <c r="D2886">
        <v>83993</v>
      </c>
      <c r="E2886">
        <v>65113</v>
      </c>
      <c r="F2886">
        <v>32226</v>
      </c>
    </row>
    <row r="2887" spans="1:6">
      <c r="A2887" t="s">
        <v>4020</v>
      </c>
      <c r="B2887">
        <v>321</v>
      </c>
      <c r="C2887" t="s">
        <v>738</v>
      </c>
      <c r="D2887">
        <v>2239796</v>
      </c>
      <c r="E2887">
        <v>65113</v>
      </c>
      <c r="F2887">
        <v>32226</v>
      </c>
    </row>
    <row r="2888" spans="1:6">
      <c r="A2888" t="s">
        <v>4021</v>
      </c>
      <c r="B2888">
        <v>321</v>
      </c>
      <c r="C2888" t="s">
        <v>1141</v>
      </c>
      <c r="D2888">
        <v>5039541</v>
      </c>
      <c r="E2888">
        <v>65113</v>
      </c>
      <c r="F2888">
        <v>32226</v>
      </c>
    </row>
    <row r="2889" spans="1:6">
      <c r="A2889" t="s">
        <v>4022</v>
      </c>
      <c r="B2889">
        <v>321</v>
      </c>
      <c r="C2889" t="s">
        <v>159</v>
      </c>
      <c r="D2889">
        <v>64911966</v>
      </c>
      <c r="E2889">
        <v>65113</v>
      </c>
      <c r="F2889">
        <v>32226</v>
      </c>
    </row>
    <row r="2890" spans="1:6">
      <c r="A2890" t="s">
        <v>4023</v>
      </c>
      <c r="B2890">
        <v>321</v>
      </c>
      <c r="C2890" t="s">
        <v>642</v>
      </c>
      <c r="D2890">
        <v>32455983</v>
      </c>
      <c r="E2890">
        <v>65113</v>
      </c>
      <c r="F2890">
        <v>32226</v>
      </c>
    </row>
    <row r="2891" spans="1:6">
      <c r="A2891" t="s">
        <v>4024</v>
      </c>
      <c r="B2891">
        <v>322</v>
      </c>
      <c r="C2891" t="s">
        <v>149</v>
      </c>
      <c r="D2891">
        <v>564993</v>
      </c>
      <c r="E2891">
        <v>65591</v>
      </c>
      <c r="F2891">
        <v>32356</v>
      </c>
    </row>
    <row r="2892" spans="1:6">
      <c r="A2892" t="s">
        <v>4025</v>
      </c>
      <c r="B2892">
        <v>322</v>
      </c>
      <c r="C2892" t="s">
        <v>1132</v>
      </c>
      <c r="D2892">
        <v>1694979</v>
      </c>
      <c r="E2892">
        <v>65591</v>
      </c>
      <c r="F2892">
        <v>32356</v>
      </c>
    </row>
    <row r="2893" spans="1:6">
      <c r="A2893" t="s">
        <v>4026</v>
      </c>
      <c r="B2893">
        <v>322</v>
      </c>
      <c r="C2893" t="s">
        <v>1134</v>
      </c>
      <c r="D2893">
        <v>1016988</v>
      </c>
      <c r="E2893">
        <v>65591</v>
      </c>
      <c r="F2893">
        <v>32356</v>
      </c>
    </row>
    <row r="2894" spans="1:6">
      <c r="A2894" t="s">
        <v>4027</v>
      </c>
      <c r="B2894">
        <v>322</v>
      </c>
      <c r="C2894" t="s">
        <v>1136</v>
      </c>
      <c r="D2894">
        <v>282497</v>
      </c>
      <c r="E2894">
        <v>65591</v>
      </c>
      <c r="F2894">
        <v>32356</v>
      </c>
    </row>
    <row r="2895" spans="1:6">
      <c r="A2895" t="s">
        <v>4028</v>
      </c>
      <c r="B2895">
        <v>322</v>
      </c>
      <c r="C2895" t="s">
        <v>1138</v>
      </c>
      <c r="D2895">
        <v>84749</v>
      </c>
      <c r="E2895">
        <v>65591</v>
      </c>
      <c r="F2895">
        <v>32356</v>
      </c>
    </row>
    <row r="2896" spans="1:6">
      <c r="A2896" t="s">
        <v>4029</v>
      </c>
      <c r="B2896">
        <v>322</v>
      </c>
      <c r="C2896" t="s">
        <v>738</v>
      </c>
      <c r="D2896">
        <v>2259972</v>
      </c>
      <c r="E2896">
        <v>65591</v>
      </c>
      <c r="F2896">
        <v>32356</v>
      </c>
    </row>
    <row r="2897" spans="1:6">
      <c r="A2897" t="s">
        <v>4030</v>
      </c>
      <c r="B2897">
        <v>322</v>
      </c>
      <c r="C2897" t="s">
        <v>1141</v>
      </c>
      <c r="D2897">
        <v>5084937</v>
      </c>
      <c r="E2897">
        <v>65591</v>
      </c>
      <c r="F2897">
        <v>32356</v>
      </c>
    </row>
    <row r="2898" spans="1:6">
      <c r="A2898" t="s">
        <v>4031</v>
      </c>
      <c r="B2898">
        <v>322</v>
      </c>
      <c r="C2898" t="s">
        <v>159</v>
      </c>
      <c r="D2898">
        <v>65539865</v>
      </c>
      <c r="E2898">
        <v>65591</v>
      </c>
      <c r="F2898">
        <v>32356</v>
      </c>
    </row>
    <row r="2899" spans="1:6">
      <c r="A2899" t="s">
        <v>4032</v>
      </c>
      <c r="B2899">
        <v>322</v>
      </c>
      <c r="C2899" t="s">
        <v>642</v>
      </c>
      <c r="D2899">
        <v>32769933</v>
      </c>
      <c r="E2899">
        <v>65591</v>
      </c>
      <c r="F2899">
        <v>32356</v>
      </c>
    </row>
    <row r="2900" spans="1:6">
      <c r="A2900" t="s">
        <v>4033</v>
      </c>
      <c r="B2900">
        <v>323</v>
      </c>
      <c r="C2900" t="s">
        <v>149</v>
      </c>
      <c r="D2900">
        <v>570071</v>
      </c>
      <c r="E2900">
        <v>66071</v>
      </c>
      <c r="F2900">
        <v>32486</v>
      </c>
    </row>
    <row r="2901" spans="1:6">
      <c r="A2901" t="s">
        <v>4034</v>
      </c>
      <c r="B2901">
        <v>323</v>
      </c>
      <c r="C2901" t="s">
        <v>1132</v>
      </c>
      <c r="D2901">
        <v>1710213</v>
      </c>
      <c r="E2901">
        <v>66071</v>
      </c>
      <c r="F2901">
        <v>32486</v>
      </c>
    </row>
    <row r="2902" spans="1:6">
      <c r="A2902" t="s">
        <v>4035</v>
      </c>
      <c r="B2902">
        <v>323</v>
      </c>
      <c r="C2902" t="s">
        <v>1134</v>
      </c>
      <c r="D2902">
        <v>1026128</v>
      </c>
      <c r="E2902">
        <v>66071</v>
      </c>
      <c r="F2902">
        <v>32486</v>
      </c>
    </row>
    <row r="2903" spans="1:6">
      <c r="A2903" t="s">
        <v>4036</v>
      </c>
      <c r="B2903">
        <v>323</v>
      </c>
      <c r="C2903" t="s">
        <v>1136</v>
      </c>
      <c r="D2903">
        <v>285036</v>
      </c>
      <c r="E2903">
        <v>66071</v>
      </c>
      <c r="F2903">
        <v>32486</v>
      </c>
    </row>
    <row r="2904" spans="1:6">
      <c r="A2904" t="s">
        <v>4037</v>
      </c>
      <c r="B2904">
        <v>323</v>
      </c>
      <c r="C2904" t="s">
        <v>1138</v>
      </c>
      <c r="D2904">
        <v>85511</v>
      </c>
      <c r="E2904">
        <v>66071</v>
      </c>
      <c r="F2904">
        <v>32486</v>
      </c>
    </row>
    <row r="2905" spans="1:6">
      <c r="A2905" t="s">
        <v>4038</v>
      </c>
      <c r="B2905">
        <v>323</v>
      </c>
      <c r="C2905" t="s">
        <v>738</v>
      </c>
      <c r="D2905">
        <v>2280284</v>
      </c>
      <c r="E2905">
        <v>66071</v>
      </c>
      <c r="F2905">
        <v>32486</v>
      </c>
    </row>
    <row r="2906" spans="1:6">
      <c r="A2906" t="s">
        <v>4039</v>
      </c>
      <c r="B2906">
        <v>323</v>
      </c>
      <c r="C2906" t="s">
        <v>1141</v>
      </c>
      <c r="D2906">
        <v>5130639</v>
      </c>
      <c r="E2906">
        <v>66071</v>
      </c>
      <c r="F2906">
        <v>32486</v>
      </c>
    </row>
    <row r="2907" spans="1:6">
      <c r="A2907" t="s">
        <v>4040</v>
      </c>
      <c r="B2907">
        <v>323</v>
      </c>
      <c r="C2907" t="s">
        <v>159</v>
      </c>
      <c r="D2907">
        <v>66172565</v>
      </c>
      <c r="E2907">
        <v>66071</v>
      </c>
      <c r="F2907">
        <v>32486</v>
      </c>
    </row>
    <row r="2908" spans="1:6">
      <c r="A2908" t="s">
        <v>4041</v>
      </c>
      <c r="B2908">
        <v>323</v>
      </c>
      <c r="C2908" t="s">
        <v>642</v>
      </c>
      <c r="D2908">
        <v>33086283</v>
      </c>
      <c r="E2908">
        <v>66071</v>
      </c>
      <c r="F2908">
        <v>32486</v>
      </c>
    </row>
    <row r="2909" spans="1:6">
      <c r="A2909" t="s">
        <v>4042</v>
      </c>
      <c r="B2909">
        <v>324</v>
      </c>
      <c r="C2909" t="s">
        <v>149</v>
      </c>
      <c r="D2909">
        <v>575185</v>
      </c>
      <c r="E2909">
        <v>66554</v>
      </c>
      <c r="F2909">
        <v>32617</v>
      </c>
    </row>
    <row r="2910" spans="1:6">
      <c r="A2910" t="s">
        <v>4043</v>
      </c>
      <c r="B2910">
        <v>324</v>
      </c>
      <c r="C2910" t="s">
        <v>1132</v>
      </c>
      <c r="D2910">
        <v>1725555</v>
      </c>
      <c r="E2910">
        <v>66554</v>
      </c>
      <c r="F2910">
        <v>32617</v>
      </c>
    </row>
    <row r="2911" spans="1:6">
      <c r="A2911" t="s">
        <v>4044</v>
      </c>
      <c r="B2911">
        <v>324</v>
      </c>
      <c r="C2911" t="s">
        <v>1134</v>
      </c>
      <c r="D2911">
        <v>1035333</v>
      </c>
      <c r="E2911">
        <v>66554</v>
      </c>
      <c r="F2911">
        <v>32617</v>
      </c>
    </row>
    <row r="2912" spans="1:6">
      <c r="A2912" t="s">
        <v>4045</v>
      </c>
      <c r="B2912">
        <v>324</v>
      </c>
      <c r="C2912" t="s">
        <v>1136</v>
      </c>
      <c r="D2912">
        <v>287593</v>
      </c>
      <c r="E2912">
        <v>66554</v>
      </c>
      <c r="F2912">
        <v>32617</v>
      </c>
    </row>
    <row r="2913" spans="1:6">
      <c r="A2913" t="s">
        <v>4046</v>
      </c>
      <c r="B2913">
        <v>324</v>
      </c>
      <c r="C2913" t="s">
        <v>1138</v>
      </c>
      <c r="D2913">
        <v>86278</v>
      </c>
      <c r="E2913">
        <v>66554</v>
      </c>
      <c r="F2913">
        <v>32617</v>
      </c>
    </row>
    <row r="2914" spans="1:6">
      <c r="A2914" t="s">
        <v>4047</v>
      </c>
      <c r="B2914">
        <v>324</v>
      </c>
      <c r="C2914" t="s">
        <v>738</v>
      </c>
      <c r="D2914">
        <v>2300740</v>
      </c>
      <c r="E2914">
        <v>66554</v>
      </c>
      <c r="F2914">
        <v>32617</v>
      </c>
    </row>
    <row r="2915" spans="1:6">
      <c r="A2915" t="s">
        <v>4048</v>
      </c>
      <c r="B2915">
        <v>324</v>
      </c>
      <c r="C2915" t="s">
        <v>1141</v>
      </c>
      <c r="D2915">
        <v>5176665</v>
      </c>
      <c r="E2915">
        <v>66554</v>
      </c>
      <c r="F2915">
        <v>32617</v>
      </c>
    </row>
    <row r="2916" spans="1:6">
      <c r="A2916" t="s">
        <v>4049</v>
      </c>
      <c r="B2916">
        <v>324</v>
      </c>
      <c r="C2916" t="s">
        <v>159</v>
      </c>
      <c r="D2916">
        <v>66810065</v>
      </c>
      <c r="E2916">
        <v>66554</v>
      </c>
      <c r="F2916">
        <v>32617</v>
      </c>
    </row>
    <row r="2917" spans="1:6">
      <c r="A2917" t="s">
        <v>4050</v>
      </c>
      <c r="B2917">
        <v>324</v>
      </c>
      <c r="C2917" t="s">
        <v>642</v>
      </c>
      <c r="D2917">
        <v>33405032</v>
      </c>
      <c r="E2917">
        <v>66554</v>
      </c>
      <c r="F2917">
        <v>32617</v>
      </c>
    </row>
    <row r="2918" spans="1:6">
      <c r="A2918" t="s">
        <v>4051</v>
      </c>
      <c r="B2918">
        <v>325</v>
      </c>
      <c r="C2918" t="s">
        <v>149</v>
      </c>
      <c r="D2918">
        <v>580334</v>
      </c>
      <c r="E2918">
        <v>67040</v>
      </c>
      <c r="F2918">
        <v>32747</v>
      </c>
    </row>
    <row r="2919" spans="1:6">
      <c r="A2919" t="s">
        <v>4052</v>
      </c>
      <c r="B2919">
        <v>325</v>
      </c>
      <c r="C2919" t="s">
        <v>1132</v>
      </c>
      <c r="D2919">
        <v>1741002</v>
      </c>
      <c r="E2919">
        <v>67040</v>
      </c>
      <c r="F2919">
        <v>32747</v>
      </c>
    </row>
    <row r="2920" spans="1:6">
      <c r="A2920" t="s">
        <v>4053</v>
      </c>
      <c r="B2920">
        <v>325</v>
      </c>
      <c r="C2920" t="s">
        <v>1134</v>
      </c>
      <c r="D2920">
        <v>1044602</v>
      </c>
      <c r="E2920">
        <v>67040</v>
      </c>
      <c r="F2920">
        <v>32747</v>
      </c>
    </row>
    <row r="2921" spans="1:6">
      <c r="A2921" t="s">
        <v>4054</v>
      </c>
      <c r="B2921">
        <v>325</v>
      </c>
      <c r="C2921" t="s">
        <v>1136</v>
      </c>
      <c r="D2921">
        <v>290167</v>
      </c>
      <c r="E2921">
        <v>67040</v>
      </c>
      <c r="F2921">
        <v>32747</v>
      </c>
    </row>
    <row r="2922" spans="1:6">
      <c r="A2922" t="s">
        <v>4055</v>
      </c>
      <c r="B2922">
        <v>325</v>
      </c>
      <c r="C2922" t="s">
        <v>1138</v>
      </c>
      <c r="D2922">
        <v>87051</v>
      </c>
      <c r="E2922">
        <v>67040</v>
      </c>
      <c r="F2922">
        <v>32747</v>
      </c>
    </row>
    <row r="2923" spans="1:6">
      <c r="A2923" t="s">
        <v>4056</v>
      </c>
      <c r="B2923">
        <v>325</v>
      </c>
      <c r="C2923" t="s">
        <v>738</v>
      </c>
      <c r="D2923">
        <v>2321336</v>
      </c>
      <c r="E2923">
        <v>67040</v>
      </c>
      <c r="F2923">
        <v>32747</v>
      </c>
    </row>
    <row r="2924" spans="1:6">
      <c r="A2924" t="s">
        <v>4057</v>
      </c>
      <c r="B2924">
        <v>325</v>
      </c>
      <c r="C2924" t="s">
        <v>1141</v>
      </c>
      <c r="D2924">
        <v>5223006</v>
      </c>
      <c r="E2924">
        <v>67040</v>
      </c>
      <c r="F2924">
        <v>32747</v>
      </c>
    </row>
    <row r="2925" spans="1:6">
      <c r="A2925" t="s">
        <v>4058</v>
      </c>
      <c r="B2925">
        <v>325</v>
      </c>
      <c r="C2925" t="s">
        <v>159</v>
      </c>
      <c r="D2925">
        <v>67452485</v>
      </c>
      <c r="E2925">
        <v>67040</v>
      </c>
      <c r="F2925">
        <v>32747</v>
      </c>
    </row>
    <row r="2926" spans="1:6">
      <c r="A2926" t="s">
        <v>4059</v>
      </c>
      <c r="B2926">
        <v>325</v>
      </c>
      <c r="C2926" t="s">
        <v>642</v>
      </c>
      <c r="D2926">
        <v>33726242</v>
      </c>
      <c r="E2926">
        <v>67040</v>
      </c>
      <c r="F2926">
        <v>32747</v>
      </c>
    </row>
    <row r="2927" spans="1:6">
      <c r="A2927" t="s">
        <v>4060</v>
      </c>
      <c r="B2927">
        <v>326</v>
      </c>
      <c r="C2927" t="s">
        <v>149</v>
      </c>
      <c r="D2927">
        <v>585519</v>
      </c>
      <c r="E2927">
        <v>67528</v>
      </c>
      <c r="F2927">
        <v>32878</v>
      </c>
    </row>
    <row r="2928" spans="1:6">
      <c r="A2928" t="s">
        <v>4061</v>
      </c>
      <c r="B2928">
        <v>326</v>
      </c>
      <c r="C2928" t="s">
        <v>1132</v>
      </c>
      <c r="D2928">
        <v>1756557</v>
      </c>
      <c r="E2928">
        <v>67528</v>
      </c>
      <c r="F2928">
        <v>32878</v>
      </c>
    </row>
    <row r="2929" spans="1:6">
      <c r="A2929" t="s">
        <v>4062</v>
      </c>
      <c r="B2929">
        <v>326</v>
      </c>
      <c r="C2929" t="s">
        <v>1134</v>
      </c>
      <c r="D2929">
        <v>1053935</v>
      </c>
      <c r="E2929">
        <v>67528</v>
      </c>
      <c r="F2929">
        <v>32878</v>
      </c>
    </row>
    <row r="2930" spans="1:6">
      <c r="A2930" t="s">
        <v>4063</v>
      </c>
      <c r="B2930">
        <v>326</v>
      </c>
      <c r="C2930" t="s">
        <v>1136</v>
      </c>
      <c r="D2930">
        <v>292760</v>
      </c>
      <c r="E2930">
        <v>67528</v>
      </c>
      <c r="F2930">
        <v>32878</v>
      </c>
    </row>
    <row r="2931" spans="1:6">
      <c r="A2931" t="s">
        <v>4064</v>
      </c>
      <c r="B2931">
        <v>326</v>
      </c>
      <c r="C2931" t="s">
        <v>1138</v>
      </c>
      <c r="D2931">
        <v>87828</v>
      </c>
      <c r="E2931">
        <v>67528</v>
      </c>
      <c r="F2931">
        <v>32878</v>
      </c>
    </row>
    <row r="2932" spans="1:6">
      <c r="A2932" t="s">
        <v>4065</v>
      </c>
      <c r="B2932">
        <v>326</v>
      </c>
      <c r="C2932" t="s">
        <v>738</v>
      </c>
      <c r="D2932">
        <v>2342076</v>
      </c>
      <c r="E2932">
        <v>67528</v>
      </c>
      <c r="F2932">
        <v>32878</v>
      </c>
    </row>
    <row r="2933" spans="1:6">
      <c r="A2933" t="s">
        <v>4066</v>
      </c>
      <c r="B2933">
        <v>326</v>
      </c>
      <c r="C2933" t="s">
        <v>1141</v>
      </c>
      <c r="D2933">
        <v>5269671</v>
      </c>
      <c r="E2933">
        <v>67528</v>
      </c>
      <c r="F2933">
        <v>32878</v>
      </c>
    </row>
    <row r="2934" spans="1:6">
      <c r="A2934" t="s">
        <v>4067</v>
      </c>
      <c r="B2934">
        <v>326</v>
      </c>
      <c r="C2934" t="s">
        <v>159</v>
      </c>
      <c r="D2934">
        <v>68099825</v>
      </c>
      <c r="E2934">
        <v>67528</v>
      </c>
      <c r="F2934">
        <v>32878</v>
      </c>
    </row>
    <row r="2935" spans="1:6">
      <c r="A2935" t="s">
        <v>4068</v>
      </c>
      <c r="B2935">
        <v>326</v>
      </c>
      <c r="C2935" t="s">
        <v>642</v>
      </c>
      <c r="D2935">
        <v>34049912</v>
      </c>
      <c r="E2935">
        <v>67528</v>
      </c>
      <c r="F2935">
        <v>32878</v>
      </c>
    </row>
    <row r="2936" spans="1:6">
      <c r="A2936" t="s">
        <v>4069</v>
      </c>
      <c r="B2936">
        <v>327</v>
      </c>
      <c r="C2936" t="s">
        <v>149</v>
      </c>
      <c r="D2936">
        <v>590739</v>
      </c>
      <c r="E2936">
        <v>68019</v>
      </c>
      <c r="F2936">
        <v>33009</v>
      </c>
    </row>
    <row r="2937" spans="1:6">
      <c r="A2937" t="s">
        <v>4070</v>
      </c>
      <c r="B2937">
        <v>327</v>
      </c>
      <c r="C2937" t="s">
        <v>1132</v>
      </c>
      <c r="D2937">
        <v>1772217</v>
      </c>
      <c r="E2937">
        <v>68019</v>
      </c>
      <c r="F2937">
        <v>33009</v>
      </c>
    </row>
    <row r="2938" spans="1:6">
      <c r="A2938" t="s">
        <v>4071</v>
      </c>
      <c r="B2938">
        <v>327</v>
      </c>
      <c r="C2938" t="s">
        <v>1134</v>
      </c>
      <c r="D2938">
        <v>1063331</v>
      </c>
      <c r="E2938">
        <v>68019</v>
      </c>
      <c r="F2938">
        <v>33009</v>
      </c>
    </row>
    <row r="2939" spans="1:6">
      <c r="A2939" t="s">
        <v>4072</v>
      </c>
      <c r="B2939">
        <v>327</v>
      </c>
      <c r="C2939" t="s">
        <v>1136</v>
      </c>
      <c r="D2939">
        <v>295370</v>
      </c>
      <c r="E2939">
        <v>68019</v>
      </c>
      <c r="F2939">
        <v>33009</v>
      </c>
    </row>
    <row r="2940" spans="1:6">
      <c r="A2940" t="s">
        <v>4073</v>
      </c>
      <c r="B2940">
        <v>327</v>
      </c>
      <c r="C2940" t="s">
        <v>1138</v>
      </c>
      <c r="D2940">
        <v>88611</v>
      </c>
      <c r="E2940">
        <v>68019</v>
      </c>
      <c r="F2940">
        <v>33009</v>
      </c>
    </row>
    <row r="2941" spans="1:6">
      <c r="A2941" t="s">
        <v>4074</v>
      </c>
      <c r="B2941">
        <v>327</v>
      </c>
      <c r="C2941" t="s">
        <v>738</v>
      </c>
      <c r="D2941">
        <v>2362956</v>
      </c>
      <c r="E2941">
        <v>68019</v>
      </c>
      <c r="F2941">
        <v>33009</v>
      </c>
    </row>
    <row r="2942" spans="1:6">
      <c r="A2942" t="s">
        <v>4075</v>
      </c>
      <c r="B2942">
        <v>327</v>
      </c>
      <c r="C2942" t="s">
        <v>1141</v>
      </c>
      <c r="D2942">
        <v>5316651</v>
      </c>
      <c r="E2942">
        <v>68019</v>
      </c>
      <c r="F2942">
        <v>33009</v>
      </c>
    </row>
    <row r="2943" spans="1:6">
      <c r="A2943" t="s">
        <v>4076</v>
      </c>
      <c r="B2943">
        <v>327</v>
      </c>
      <c r="C2943" t="s">
        <v>159</v>
      </c>
      <c r="D2943">
        <v>68752084</v>
      </c>
      <c r="E2943">
        <v>68019</v>
      </c>
      <c r="F2943">
        <v>33009</v>
      </c>
    </row>
    <row r="2944" spans="1:6">
      <c r="A2944" t="s">
        <v>4077</v>
      </c>
      <c r="B2944">
        <v>327</v>
      </c>
      <c r="C2944" t="s">
        <v>642</v>
      </c>
      <c r="D2944">
        <v>34376042</v>
      </c>
      <c r="E2944">
        <v>68019</v>
      </c>
      <c r="F2944">
        <v>33009</v>
      </c>
    </row>
    <row r="2945" spans="1:6">
      <c r="A2945" t="s">
        <v>4078</v>
      </c>
      <c r="B2945">
        <v>328</v>
      </c>
      <c r="C2945" t="s">
        <v>149</v>
      </c>
      <c r="D2945">
        <v>595996</v>
      </c>
      <c r="E2945">
        <v>68512</v>
      </c>
      <c r="F2945">
        <v>33140</v>
      </c>
    </row>
    <row r="2946" spans="1:6">
      <c r="A2946" t="s">
        <v>4079</v>
      </c>
      <c r="B2946">
        <v>328</v>
      </c>
      <c r="C2946" t="s">
        <v>1132</v>
      </c>
      <c r="D2946">
        <v>1787988</v>
      </c>
      <c r="E2946">
        <v>68512</v>
      </c>
      <c r="F2946">
        <v>33140</v>
      </c>
    </row>
    <row r="2947" spans="1:6">
      <c r="A2947" t="s">
        <v>4080</v>
      </c>
      <c r="B2947">
        <v>328</v>
      </c>
      <c r="C2947" t="s">
        <v>1134</v>
      </c>
      <c r="D2947">
        <v>1072793</v>
      </c>
      <c r="E2947">
        <v>68512</v>
      </c>
      <c r="F2947">
        <v>33140</v>
      </c>
    </row>
    <row r="2948" spans="1:6">
      <c r="A2948" t="s">
        <v>4081</v>
      </c>
      <c r="B2948">
        <v>328</v>
      </c>
      <c r="C2948" t="s">
        <v>1136</v>
      </c>
      <c r="D2948">
        <v>297998</v>
      </c>
      <c r="E2948">
        <v>68512</v>
      </c>
      <c r="F2948">
        <v>33140</v>
      </c>
    </row>
    <row r="2949" spans="1:6">
      <c r="A2949" t="s">
        <v>4082</v>
      </c>
      <c r="B2949">
        <v>328</v>
      </c>
      <c r="C2949" t="s">
        <v>1138</v>
      </c>
      <c r="D2949">
        <v>89400</v>
      </c>
      <c r="E2949">
        <v>68512</v>
      </c>
      <c r="F2949">
        <v>33140</v>
      </c>
    </row>
    <row r="2950" spans="1:6">
      <c r="A2950" t="s">
        <v>4083</v>
      </c>
      <c r="B2950">
        <v>328</v>
      </c>
      <c r="C2950" t="s">
        <v>738</v>
      </c>
      <c r="D2950">
        <v>2383984</v>
      </c>
      <c r="E2950">
        <v>68512</v>
      </c>
      <c r="F2950">
        <v>33140</v>
      </c>
    </row>
    <row r="2951" spans="1:6">
      <c r="A2951" t="s">
        <v>4084</v>
      </c>
      <c r="B2951">
        <v>328</v>
      </c>
      <c r="C2951" t="s">
        <v>1141</v>
      </c>
      <c r="D2951">
        <v>5363964</v>
      </c>
      <c r="E2951">
        <v>68512</v>
      </c>
      <c r="F2951">
        <v>33140</v>
      </c>
    </row>
    <row r="2952" spans="1:6">
      <c r="A2952" t="s">
        <v>4085</v>
      </c>
      <c r="B2952">
        <v>328</v>
      </c>
      <c r="C2952" t="s">
        <v>159</v>
      </c>
      <c r="D2952">
        <v>69409324</v>
      </c>
      <c r="E2952">
        <v>68512</v>
      </c>
      <c r="F2952">
        <v>33140</v>
      </c>
    </row>
    <row r="2953" spans="1:6">
      <c r="A2953" t="s">
        <v>4086</v>
      </c>
      <c r="B2953">
        <v>328</v>
      </c>
      <c r="C2953" t="s">
        <v>642</v>
      </c>
      <c r="D2953">
        <v>34704662</v>
      </c>
      <c r="E2953">
        <v>68512</v>
      </c>
      <c r="F2953">
        <v>33140</v>
      </c>
    </row>
    <row r="2954" spans="1:6">
      <c r="A2954" t="s">
        <v>4087</v>
      </c>
      <c r="B2954">
        <v>329</v>
      </c>
      <c r="C2954" t="s">
        <v>149</v>
      </c>
      <c r="D2954">
        <v>601289</v>
      </c>
      <c r="E2954">
        <v>69008</v>
      </c>
      <c r="F2954">
        <v>33272</v>
      </c>
    </row>
    <row r="2955" spans="1:6">
      <c r="A2955" t="s">
        <v>4088</v>
      </c>
      <c r="B2955">
        <v>329</v>
      </c>
      <c r="C2955" t="s">
        <v>1132</v>
      </c>
      <c r="D2955">
        <v>1803867</v>
      </c>
      <c r="E2955">
        <v>69008</v>
      </c>
      <c r="F2955">
        <v>33272</v>
      </c>
    </row>
    <row r="2956" spans="1:6">
      <c r="A2956" t="s">
        <v>4089</v>
      </c>
      <c r="B2956">
        <v>329</v>
      </c>
      <c r="C2956" t="s">
        <v>1134</v>
      </c>
      <c r="D2956">
        <v>1082321</v>
      </c>
      <c r="E2956">
        <v>69008</v>
      </c>
      <c r="F2956">
        <v>33272</v>
      </c>
    </row>
    <row r="2957" spans="1:6">
      <c r="A2957" t="s">
        <v>4090</v>
      </c>
      <c r="B2957">
        <v>329</v>
      </c>
      <c r="C2957" t="s">
        <v>1136</v>
      </c>
      <c r="D2957">
        <v>300645</v>
      </c>
      <c r="E2957">
        <v>69008</v>
      </c>
      <c r="F2957">
        <v>33272</v>
      </c>
    </row>
    <row r="2958" spans="1:6">
      <c r="A2958" t="s">
        <v>4091</v>
      </c>
      <c r="B2958">
        <v>329</v>
      </c>
      <c r="C2958" t="s">
        <v>1138</v>
      </c>
      <c r="D2958">
        <v>90194</v>
      </c>
      <c r="E2958">
        <v>69008</v>
      </c>
      <c r="F2958">
        <v>33272</v>
      </c>
    </row>
    <row r="2959" spans="1:6">
      <c r="A2959" t="s">
        <v>4092</v>
      </c>
      <c r="B2959">
        <v>329</v>
      </c>
      <c r="C2959" t="s">
        <v>738</v>
      </c>
      <c r="D2959">
        <v>2405156</v>
      </c>
      <c r="E2959">
        <v>69008</v>
      </c>
      <c r="F2959">
        <v>33272</v>
      </c>
    </row>
    <row r="2960" spans="1:6">
      <c r="A2960" t="s">
        <v>4093</v>
      </c>
      <c r="B2960">
        <v>329</v>
      </c>
      <c r="C2960" t="s">
        <v>1141</v>
      </c>
      <c r="D2960">
        <v>5411601</v>
      </c>
      <c r="E2960">
        <v>69008</v>
      </c>
      <c r="F2960">
        <v>33272</v>
      </c>
    </row>
    <row r="2961" spans="1:6">
      <c r="A2961" t="s">
        <v>4094</v>
      </c>
      <c r="B2961">
        <v>329</v>
      </c>
      <c r="C2961" t="s">
        <v>159</v>
      </c>
      <c r="D2961">
        <v>70071544</v>
      </c>
      <c r="E2961">
        <v>69008</v>
      </c>
      <c r="F2961">
        <v>33272</v>
      </c>
    </row>
    <row r="2962" spans="1:6">
      <c r="A2962" t="s">
        <v>4095</v>
      </c>
      <c r="B2962">
        <v>329</v>
      </c>
      <c r="C2962" t="s">
        <v>642</v>
      </c>
      <c r="D2962">
        <v>35035772</v>
      </c>
      <c r="E2962">
        <v>69008</v>
      </c>
      <c r="F2962">
        <v>33272</v>
      </c>
    </row>
    <row r="2963" spans="1:6">
      <c r="A2963" t="s">
        <v>4096</v>
      </c>
      <c r="B2963">
        <v>330</v>
      </c>
      <c r="C2963" t="s">
        <v>149</v>
      </c>
      <c r="D2963">
        <v>606619</v>
      </c>
      <c r="E2963">
        <v>69506</v>
      </c>
      <c r="F2963">
        <v>33403</v>
      </c>
    </row>
    <row r="2964" spans="1:6">
      <c r="A2964" t="s">
        <v>4097</v>
      </c>
      <c r="B2964">
        <v>330</v>
      </c>
      <c r="C2964" t="s">
        <v>1132</v>
      </c>
      <c r="D2964">
        <v>1819857</v>
      </c>
      <c r="E2964">
        <v>69506</v>
      </c>
      <c r="F2964">
        <v>33403</v>
      </c>
    </row>
    <row r="2965" spans="1:6">
      <c r="A2965" t="s">
        <v>4098</v>
      </c>
      <c r="B2965">
        <v>330</v>
      </c>
      <c r="C2965" t="s">
        <v>1134</v>
      </c>
      <c r="D2965">
        <v>1091915</v>
      </c>
      <c r="E2965">
        <v>69506</v>
      </c>
      <c r="F2965">
        <v>33403</v>
      </c>
    </row>
    <row r="2966" spans="1:6">
      <c r="A2966" t="s">
        <v>4099</v>
      </c>
      <c r="B2966">
        <v>330</v>
      </c>
      <c r="C2966" t="s">
        <v>1136</v>
      </c>
      <c r="D2966">
        <v>303310</v>
      </c>
      <c r="E2966">
        <v>69506</v>
      </c>
      <c r="F2966">
        <v>33403</v>
      </c>
    </row>
    <row r="2967" spans="1:6">
      <c r="A2967" t="s">
        <v>4100</v>
      </c>
      <c r="B2967">
        <v>330</v>
      </c>
      <c r="C2967" t="s">
        <v>1138</v>
      </c>
      <c r="D2967">
        <v>90993</v>
      </c>
      <c r="E2967">
        <v>69506</v>
      </c>
      <c r="F2967">
        <v>33403</v>
      </c>
    </row>
    <row r="2968" spans="1:6">
      <c r="A2968" t="s">
        <v>4101</v>
      </c>
      <c r="B2968">
        <v>330</v>
      </c>
      <c r="C2968" t="s">
        <v>738</v>
      </c>
      <c r="D2968">
        <v>2426476</v>
      </c>
      <c r="E2968">
        <v>69506</v>
      </c>
      <c r="F2968">
        <v>33403</v>
      </c>
    </row>
    <row r="2969" spans="1:6">
      <c r="A2969" t="s">
        <v>4102</v>
      </c>
      <c r="B2969">
        <v>330</v>
      </c>
      <c r="C2969" t="s">
        <v>1141</v>
      </c>
      <c r="D2969">
        <v>5459571</v>
      </c>
      <c r="E2969">
        <v>69506</v>
      </c>
      <c r="F2969">
        <v>33403</v>
      </c>
    </row>
    <row r="2970" spans="1:6">
      <c r="A2970" t="s">
        <v>4103</v>
      </c>
      <c r="B2970">
        <v>330</v>
      </c>
      <c r="C2970" t="s">
        <v>159</v>
      </c>
      <c r="D2970">
        <v>70738804</v>
      </c>
      <c r="E2970">
        <v>69506</v>
      </c>
      <c r="F2970">
        <v>33403</v>
      </c>
    </row>
    <row r="2971" spans="1:6">
      <c r="A2971" t="s">
        <v>4104</v>
      </c>
      <c r="B2971">
        <v>330</v>
      </c>
      <c r="C2971" t="s">
        <v>642</v>
      </c>
      <c r="D2971">
        <v>35369402</v>
      </c>
      <c r="E2971">
        <v>69506</v>
      </c>
      <c r="F2971">
        <v>33403</v>
      </c>
    </row>
    <row r="2972" spans="1:6">
      <c r="A2972" t="s">
        <v>4105</v>
      </c>
      <c r="B2972">
        <v>331</v>
      </c>
      <c r="C2972" t="s">
        <v>149</v>
      </c>
      <c r="D2972">
        <v>611985</v>
      </c>
      <c r="E2972">
        <v>70007</v>
      </c>
      <c r="F2972">
        <v>33535</v>
      </c>
    </row>
    <row r="2973" spans="1:6">
      <c r="A2973" t="s">
        <v>4106</v>
      </c>
      <c r="B2973">
        <v>331</v>
      </c>
      <c r="C2973" t="s">
        <v>1132</v>
      </c>
      <c r="D2973">
        <v>1835955</v>
      </c>
      <c r="E2973">
        <v>70007</v>
      </c>
      <c r="F2973">
        <v>33535</v>
      </c>
    </row>
    <row r="2974" spans="1:6">
      <c r="A2974" t="s">
        <v>4107</v>
      </c>
      <c r="B2974">
        <v>331</v>
      </c>
      <c r="C2974" t="s">
        <v>1134</v>
      </c>
      <c r="D2974">
        <v>1101573</v>
      </c>
      <c r="E2974">
        <v>70007</v>
      </c>
      <c r="F2974">
        <v>33535</v>
      </c>
    </row>
    <row r="2975" spans="1:6">
      <c r="A2975" t="s">
        <v>4108</v>
      </c>
      <c r="B2975">
        <v>331</v>
      </c>
      <c r="C2975" t="s">
        <v>1136</v>
      </c>
      <c r="D2975">
        <v>305993</v>
      </c>
      <c r="E2975">
        <v>70007</v>
      </c>
      <c r="F2975">
        <v>33535</v>
      </c>
    </row>
    <row r="2976" spans="1:6">
      <c r="A2976" t="s">
        <v>4109</v>
      </c>
      <c r="B2976">
        <v>331</v>
      </c>
      <c r="C2976" t="s">
        <v>1138</v>
      </c>
      <c r="D2976">
        <v>91798</v>
      </c>
      <c r="E2976">
        <v>70007</v>
      </c>
      <c r="F2976">
        <v>33535</v>
      </c>
    </row>
    <row r="2977" spans="1:6">
      <c r="A2977" t="s">
        <v>4110</v>
      </c>
      <c r="B2977">
        <v>331</v>
      </c>
      <c r="C2977" t="s">
        <v>738</v>
      </c>
      <c r="D2977">
        <v>2447940</v>
      </c>
      <c r="E2977">
        <v>70007</v>
      </c>
      <c r="F2977">
        <v>33535</v>
      </c>
    </row>
    <row r="2978" spans="1:6">
      <c r="A2978" t="s">
        <v>4111</v>
      </c>
      <c r="B2978">
        <v>331</v>
      </c>
      <c r="C2978" t="s">
        <v>1141</v>
      </c>
      <c r="D2978">
        <v>5507865</v>
      </c>
      <c r="E2978">
        <v>70007</v>
      </c>
      <c r="F2978">
        <v>33535</v>
      </c>
    </row>
    <row r="2979" spans="1:6">
      <c r="A2979" t="s">
        <v>4112</v>
      </c>
      <c r="B2979">
        <v>331</v>
      </c>
      <c r="C2979" t="s">
        <v>159</v>
      </c>
      <c r="D2979">
        <v>71411104</v>
      </c>
      <c r="E2979">
        <v>70007</v>
      </c>
      <c r="F2979">
        <v>33535</v>
      </c>
    </row>
    <row r="2980" spans="1:6">
      <c r="A2980" t="s">
        <v>4113</v>
      </c>
      <c r="B2980">
        <v>331</v>
      </c>
      <c r="C2980" t="s">
        <v>642</v>
      </c>
      <c r="D2980">
        <v>35705552</v>
      </c>
      <c r="E2980">
        <v>70007</v>
      </c>
      <c r="F2980">
        <v>33535</v>
      </c>
    </row>
    <row r="2981" spans="1:6">
      <c r="A2981" t="s">
        <v>4114</v>
      </c>
      <c r="B2981">
        <v>332</v>
      </c>
      <c r="C2981" t="s">
        <v>149</v>
      </c>
      <c r="D2981">
        <v>617388</v>
      </c>
      <c r="E2981">
        <v>70511</v>
      </c>
      <c r="F2981">
        <v>33667</v>
      </c>
    </row>
    <row r="2982" spans="1:6">
      <c r="A2982" t="s">
        <v>4115</v>
      </c>
      <c r="B2982">
        <v>332</v>
      </c>
      <c r="C2982" t="s">
        <v>1132</v>
      </c>
      <c r="D2982">
        <v>1852164</v>
      </c>
      <c r="E2982">
        <v>70511</v>
      </c>
      <c r="F2982">
        <v>33667</v>
      </c>
    </row>
    <row r="2983" spans="1:6">
      <c r="A2983" t="s">
        <v>4116</v>
      </c>
      <c r="B2983">
        <v>332</v>
      </c>
      <c r="C2983" t="s">
        <v>1134</v>
      </c>
      <c r="D2983">
        <v>1111299</v>
      </c>
      <c r="E2983">
        <v>70511</v>
      </c>
      <c r="F2983">
        <v>33667</v>
      </c>
    </row>
    <row r="2984" spans="1:6">
      <c r="A2984" t="s">
        <v>4117</v>
      </c>
      <c r="B2984">
        <v>332</v>
      </c>
      <c r="C2984" t="s">
        <v>1136</v>
      </c>
      <c r="D2984">
        <v>308694</v>
      </c>
      <c r="E2984">
        <v>70511</v>
      </c>
      <c r="F2984">
        <v>33667</v>
      </c>
    </row>
    <row r="2985" spans="1:6">
      <c r="A2985" t="s">
        <v>4118</v>
      </c>
      <c r="B2985">
        <v>332</v>
      </c>
      <c r="C2985" t="s">
        <v>1138</v>
      </c>
      <c r="D2985">
        <v>92609</v>
      </c>
      <c r="E2985">
        <v>70511</v>
      </c>
      <c r="F2985">
        <v>33667</v>
      </c>
    </row>
    <row r="2986" spans="1:6">
      <c r="A2986" t="s">
        <v>4119</v>
      </c>
      <c r="B2986">
        <v>332</v>
      </c>
      <c r="C2986" t="s">
        <v>738</v>
      </c>
      <c r="D2986">
        <v>2469552</v>
      </c>
      <c r="E2986">
        <v>70511</v>
      </c>
      <c r="F2986">
        <v>33667</v>
      </c>
    </row>
    <row r="2987" spans="1:6">
      <c r="A2987" t="s">
        <v>4120</v>
      </c>
      <c r="B2987">
        <v>332</v>
      </c>
      <c r="C2987" t="s">
        <v>1141</v>
      </c>
      <c r="D2987">
        <v>5556492</v>
      </c>
      <c r="E2987">
        <v>70511</v>
      </c>
      <c r="F2987">
        <v>33667</v>
      </c>
    </row>
    <row r="2988" spans="1:6">
      <c r="A2988" t="s">
        <v>4121</v>
      </c>
      <c r="B2988">
        <v>332</v>
      </c>
      <c r="C2988" t="s">
        <v>159</v>
      </c>
      <c r="D2988">
        <v>72088504</v>
      </c>
      <c r="E2988">
        <v>70511</v>
      </c>
      <c r="F2988">
        <v>33667</v>
      </c>
    </row>
    <row r="2989" spans="1:6">
      <c r="A2989" t="s">
        <v>4122</v>
      </c>
      <c r="B2989">
        <v>332</v>
      </c>
      <c r="C2989" t="s">
        <v>642</v>
      </c>
      <c r="D2989">
        <v>36044252</v>
      </c>
      <c r="E2989">
        <v>70511</v>
      </c>
      <c r="F2989">
        <v>33667</v>
      </c>
    </row>
    <row r="2990" spans="1:6">
      <c r="A2990" t="s">
        <v>4123</v>
      </c>
      <c r="B2990">
        <v>333</v>
      </c>
      <c r="C2990" t="s">
        <v>149</v>
      </c>
      <c r="D2990">
        <v>622828</v>
      </c>
      <c r="E2990">
        <v>71018</v>
      </c>
      <c r="F2990">
        <v>33799</v>
      </c>
    </row>
    <row r="2991" spans="1:6">
      <c r="A2991" t="s">
        <v>4124</v>
      </c>
      <c r="B2991">
        <v>333</v>
      </c>
      <c r="C2991" t="s">
        <v>1132</v>
      </c>
      <c r="D2991">
        <v>1868484</v>
      </c>
      <c r="E2991">
        <v>71018</v>
      </c>
      <c r="F2991">
        <v>33799</v>
      </c>
    </row>
    <row r="2992" spans="1:6">
      <c r="A2992" t="s">
        <v>4125</v>
      </c>
      <c r="B2992">
        <v>333</v>
      </c>
      <c r="C2992" t="s">
        <v>1134</v>
      </c>
      <c r="D2992">
        <v>1121091</v>
      </c>
      <c r="E2992">
        <v>71018</v>
      </c>
      <c r="F2992">
        <v>33799</v>
      </c>
    </row>
    <row r="2993" spans="1:6">
      <c r="A2993" t="s">
        <v>4126</v>
      </c>
      <c r="B2993">
        <v>333</v>
      </c>
      <c r="C2993" t="s">
        <v>1136</v>
      </c>
      <c r="D2993">
        <v>311414</v>
      </c>
      <c r="E2993">
        <v>71018</v>
      </c>
      <c r="F2993">
        <v>33799</v>
      </c>
    </row>
    <row r="2994" spans="1:6">
      <c r="A2994" t="s">
        <v>4127</v>
      </c>
      <c r="B2994">
        <v>333</v>
      </c>
      <c r="C2994" t="s">
        <v>1138</v>
      </c>
      <c r="D2994">
        <v>93425</v>
      </c>
      <c r="E2994">
        <v>71018</v>
      </c>
      <c r="F2994">
        <v>33799</v>
      </c>
    </row>
    <row r="2995" spans="1:6">
      <c r="A2995" t="s">
        <v>4128</v>
      </c>
      <c r="B2995">
        <v>333</v>
      </c>
      <c r="C2995" t="s">
        <v>738</v>
      </c>
      <c r="D2995">
        <v>2491312</v>
      </c>
      <c r="E2995">
        <v>71018</v>
      </c>
      <c r="F2995">
        <v>33799</v>
      </c>
    </row>
    <row r="2996" spans="1:6">
      <c r="A2996" t="s">
        <v>4129</v>
      </c>
      <c r="B2996">
        <v>333</v>
      </c>
      <c r="C2996" t="s">
        <v>1141</v>
      </c>
      <c r="D2996">
        <v>5605452</v>
      </c>
      <c r="E2996">
        <v>71018</v>
      </c>
      <c r="F2996">
        <v>33799</v>
      </c>
    </row>
    <row r="2997" spans="1:6">
      <c r="A2997" t="s">
        <v>4130</v>
      </c>
      <c r="B2997">
        <v>333</v>
      </c>
      <c r="C2997" t="s">
        <v>159</v>
      </c>
      <c r="D2997">
        <v>72771003</v>
      </c>
      <c r="E2997">
        <v>71018</v>
      </c>
      <c r="F2997">
        <v>33799</v>
      </c>
    </row>
    <row r="2998" spans="1:6">
      <c r="A2998" t="s">
        <v>4131</v>
      </c>
      <c r="B2998">
        <v>333</v>
      </c>
      <c r="C2998" t="s">
        <v>642</v>
      </c>
      <c r="D2998">
        <v>36385502</v>
      </c>
      <c r="E2998">
        <v>71018</v>
      </c>
      <c r="F2998">
        <v>33799</v>
      </c>
    </row>
    <row r="2999" spans="1:6">
      <c r="A2999" t="s">
        <v>4132</v>
      </c>
      <c r="B2999">
        <v>334</v>
      </c>
      <c r="C2999" t="s">
        <v>149</v>
      </c>
      <c r="D2999">
        <v>628306</v>
      </c>
      <c r="E2999">
        <v>71527</v>
      </c>
      <c r="F2999">
        <v>33931</v>
      </c>
    </row>
    <row r="3000" spans="1:6">
      <c r="A3000" t="s">
        <v>4133</v>
      </c>
      <c r="B3000">
        <v>334</v>
      </c>
      <c r="C3000" t="s">
        <v>1132</v>
      </c>
      <c r="D3000">
        <v>1884918</v>
      </c>
      <c r="E3000">
        <v>71527</v>
      </c>
      <c r="F3000">
        <v>33931</v>
      </c>
    </row>
    <row r="3001" spans="1:6">
      <c r="A3001" t="s">
        <v>4134</v>
      </c>
      <c r="B3001">
        <v>334</v>
      </c>
      <c r="C3001" t="s">
        <v>1134</v>
      </c>
      <c r="D3001">
        <v>1130951</v>
      </c>
      <c r="E3001">
        <v>71527</v>
      </c>
      <c r="F3001">
        <v>33931</v>
      </c>
    </row>
    <row r="3002" spans="1:6">
      <c r="A3002" t="s">
        <v>4135</v>
      </c>
      <c r="B3002">
        <v>334</v>
      </c>
      <c r="C3002" t="s">
        <v>1136</v>
      </c>
      <c r="D3002">
        <v>314153</v>
      </c>
      <c r="E3002">
        <v>71527</v>
      </c>
      <c r="F3002">
        <v>33931</v>
      </c>
    </row>
    <row r="3003" spans="1:6">
      <c r="A3003" t="s">
        <v>4136</v>
      </c>
      <c r="B3003">
        <v>334</v>
      </c>
      <c r="C3003" t="s">
        <v>1138</v>
      </c>
      <c r="D3003">
        <v>94246</v>
      </c>
      <c r="E3003">
        <v>71527</v>
      </c>
      <c r="F3003">
        <v>33931</v>
      </c>
    </row>
    <row r="3004" spans="1:6">
      <c r="A3004" t="s">
        <v>4137</v>
      </c>
      <c r="B3004">
        <v>334</v>
      </c>
      <c r="C3004" t="s">
        <v>738</v>
      </c>
      <c r="D3004">
        <v>2513224</v>
      </c>
      <c r="E3004">
        <v>71527</v>
      </c>
      <c r="F3004">
        <v>33931</v>
      </c>
    </row>
    <row r="3005" spans="1:6">
      <c r="A3005" t="s">
        <v>4138</v>
      </c>
      <c r="B3005">
        <v>334</v>
      </c>
      <c r="C3005" t="s">
        <v>1141</v>
      </c>
      <c r="D3005">
        <v>5654754</v>
      </c>
      <c r="E3005">
        <v>71527</v>
      </c>
      <c r="F3005">
        <v>33931</v>
      </c>
    </row>
    <row r="3006" spans="1:6">
      <c r="A3006" t="s">
        <v>4139</v>
      </c>
      <c r="B3006">
        <v>334</v>
      </c>
      <c r="C3006" t="s">
        <v>159</v>
      </c>
      <c r="D3006">
        <v>73458663</v>
      </c>
      <c r="E3006">
        <v>71527</v>
      </c>
      <c r="F3006">
        <v>33931</v>
      </c>
    </row>
    <row r="3007" spans="1:6">
      <c r="A3007" t="s">
        <v>4140</v>
      </c>
      <c r="B3007">
        <v>334</v>
      </c>
      <c r="C3007" t="s">
        <v>642</v>
      </c>
      <c r="D3007">
        <v>36729332</v>
      </c>
      <c r="E3007">
        <v>71527</v>
      </c>
      <c r="F3007">
        <v>33931</v>
      </c>
    </row>
    <row r="3008" spans="1:6">
      <c r="A3008" t="s">
        <v>4141</v>
      </c>
      <c r="B3008">
        <v>335</v>
      </c>
      <c r="C3008" t="s">
        <v>149</v>
      </c>
      <c r="D3008">
        <v>633820</v>
      </c>
      <c r="E3008">
        <v>72038</v>
      </c>
      <c r="F3008">
        <v>34063</v>
      </c>
    </row>
    <row r="3009" spans="1:6">
      <c r="A3009" t="s">
        <v>4142</v>
      </c>
      <c r="B3009">
        <v>335</v>
      </c>
      <c r="C3009" t="s">
        <v>1132</v>
      </c>
      <c r="D3009">
        <v>1901460</v>
      </c>
      <c r="E3009">
        <v>72038</v>
      </c>
      <c r="F3009">
        <v>34063</v>
      </c>
    </row>
    <row r="3010" spans="1:6">
      <c r="A3010" t="s">
        <v>4143</v>
      </c>
      <c r="B3010">
        <v>335</v>
      </c>
      <c r="C3010" t="s">
        <v>1134</v>
      </c>
      <c r="D3010">
        <v>1140876</v>
      </c>
      <c r="E3010">
        <v>72038</v>
      </c>
      <c r="F3010">
        <v>34063</v>
      </c>
    </row>
    <row r="3011" spans="1:6">
      <c r="A3011" t="s">
        <v>4144</v>
      </c>
      <c r="B3011">
        <v>335</v>
      </c>
      <c r="C3011" t="s">
        <v>1136</v>
      </c>
      <c r="D3011">
        <v>316910</v>
      </c>
      <c r="E3011">
        <v>72038</v>
      </c>
      <c r="F3011">
        <v>34063</v>
      </c>
    </row>
    <row r="3012" spans="1:6">
      <c r="A3012" t="s">
        <v>4145</v>
      </c>
      <c r="B3012">
        <v>335</v>
      </c>
      <c r="C3012" t="s">
        <v>1138</v>
      </c>
      <c r="D3012">
        <v>95073</v>
      </c>
      <c r="E3012">
        <v>72038</v>
      </c>
      <c r="F3012">
        <v>34063</v>
      </c>
    </row>
    <row r="3013" spans="1:6">
      <c r="A3013" t="s">
        <v>4146</v>
      </c>
      <c r="B3013">
        <v>335</v>
      </c>
      <c r="C3013" t="s">
        <v>738</v>
      </c>
      <c r="D3013">
        <v>2535280</v>
      </c>
      <c r="E3013">
        <v>72038</v>
      </c>
      <c r="F3013">
        <v>34063</v>
      </c>
    </row>
    <row r="3014" spans="1:6">
      <c r="A3014" t="s">
        <v>4147</v>
      </c>
      <c r="B3014">
        <v>335</v>
      </c>
      <c r="C3014" t="s">
        <v>1141</v>
      </c>
      <c r="D3014">
        <v>5704380</v>
      </c>
      <c r="E3014">
        <v>72038</v>
      </c>
      <c r="F3014">
        <v>34063</v>
      </c>
    </row>
    <row r="3015" spans="1:6">
      <c r="A3015" t="s">
        <v>4148</v>
      </c>
      <c r="B3015">
        <v>335</v>
      </c>
      <c r="C3015" t="s">
        <v>159</v>
      </c>
      <c r="D3015">
        <v>74151483</v>
      </c>
      <c r="E3015">
        <v>72038</v>
      </c>
      <c r="F3015">
        <v>34063</v>
      </c>
    </row>
    <row r="3016" spans="1:6">
      <c r="A3016" t="s">
        <v>4149</v>
      </c>
      <c r="B3016">
        <v>335</v>
      </c>
      <c r="C3016" t="s">
        <v>642</v>
      </c>
      <c r="D3016">
        <v>37075742</v>
      </c>
      <c r="E3016">
        <v>72038</v>
      </c>
      <c r="F3016">
        <v>34063</v>
      </c>
    </row>
    <row r="3017" spans="1:6">
      <c r="A3017" t="s">
        <v>4150</v>
      </c>
      <c r="B3017">
        <v>336</v>
      </c>
      <c r="C3017" t="s">
        <v>149</v>
      </c>
      <c r="D3017">
        <v>639373</v>
      </c>
      <c r="E3017">
        <v>72553</v>
      </c>
      <c r="F3017">
        <v>34196</v>
      </c>
    </row>
    <row r="3018" spans="1:6">
      <c r="A3018" t="s">
        <v>4151</v>
      </c>
      <c r="B3018">
        <v>336</v>
      </c>
      <c r="C3018" t="s">
        <v>1132</v>
      </c>
      <c r="D3018">
        <v>1918119</v>
      </c>
      <c r="E3018">
        <v>72553</v>
      </c>
      <c r="F3018">
        <v>34196</v>
      </c>
    </row>
    <row r="3019" spans="1:6">
      <c r="A3019" t="s">
        <v>4152</v>
      </c>
      <c r="B3019">
        <v>336</v>
      </c>
      <c r="C3019" t="s">
        <v>1134</v>
      </c>
      <c r="D3019">
        <v>1150872</v>
      </c>
      <c r="E3019">
        <v>72553</v>
      </c>
      <c r="F3019">
        <v>34196</v>
      </c>
    </row>
    <row r="3020" spans="1:6">
      <c r="A3020" t="s">
        <v>4153</v>
      </c>
      <c r="B3020">
        <v>336</v>
      </c>
      <c r="C3020" t="s">
        <v>1136</v>
      </c>
      <c r="D3020">
        <v>319687</v>
      </c>
      <c r="E3020">
        <v>72553</v>
      </c>
      <c r="F3020">
        <v>34196</v>
      </c>
    </row>
    <row r="3021" spans="1:6">
      <c r="A3021" t="s">
        <v>4154</v>
      </c>
      <c r="B3021">
        <v>336</v>
      </c>
      <c r="C3021" t="s">
        <v>1138</v>
      </c>
      <c r="D3021">
        <v>95906</v>
      </c>
      <c r="E3021">
        <v>72553</v>
      </c>
      <c r="F3021">
        <v>34196</v>
      </c>
    </row>
    <row r="3022" spans="1:6">
      <c r="A3022" t="s">
        <v>4155</v>
      </c>
      <c r="B3022">
        <v>336</v>
      </c>
      <c r="C3022" t="s">
        <v>738</v>
      </c>
      <c r="D3022">
        <v>2557492</v>
      </c>
      <c r="E3022">
        <v>72553</v>
      </c>
      <c r="F3022">
        <v>34196</v>
      </c>
    </row>
    <row r="3023" spans="1:6">
      <c r="A3023" t="s">
        <v>4156</v>
      </c>
      <c r="B3023">
        <v>336</v>
      </c>
      <c r="C3023" t="s">
        <v>1141</v>
      </c>
      <c r="D3023">
        <v>5754357</v>
      </c>
      <c r="E3023">
        <v>72553</v>
      </c>
      <c r="F3023">
        <v>34196</v>
      </c>
    </row>
    <row r="3024" spans="1:6">
      <c r="A3024" t="s">
        <v>4157</v>
      </c>
      <c r="B3024">
        <v>336</v>
      </c>
      <c r="C3024" t="s">
        <v>159</v>
      </c>
      <c r="D3024">
        <v>74849523</v>
      </c>
      <c r="E3024">
        <v>72553</v>
      </c>
      <c r="F3024">
        <v>34196</v>
      </c>
    </row>
    <row r="3025" spans="1:6">
      <c r="A3025" t="s">
        <v>4158</v>
      </c>
      <c r="B3025">
        <v>336</v>
      </c>
      <c r="C3025" t="s">
        <v>642</v>
      </c>
      <c r="D3025">
        <v>37424761</v>
      </c>
      <c r="E3025">
        <v>72553</v>
      </c>
      <c r="F3025">
        <v>34196</v>
      </c>
    </row>
    <row r="3026" spans="1:6">
      <c r="A3026" t="s">
        <v>4159</v>
      </c>
      <c r="B3026">
        <v>337</v>
      </c>
      <c r="C3026" t="s">
        <v>149</v>
      </c>
      <c r="D3026">
        <v>644963</v>
      </c>
      <c r="E3026">
        <v>73070</v>
      </c>
      <c r="F3026">
        <v>34329</v>
      </c>
    </row>
    <row r="3027" spans="1:6">
      <c r="A3027" t="s">
        <v>4160</v>
      </c>
      <c r="B3027">
        <v>337</v>
      </c>
      <c r="C3027" t="s">
        <v>1132</v>
      </c>
      <c r="D3027">
        <v>1934889</v>
      </c>
      <c r="E3027">
        <v>73070</v>
      </c>
      <c r="F3027">
        <v>34329</v>
      </c>
    </row>
    <row r="3028" spans="1:6">
      <c r="A3028" t="s">
        <v>4161</v>
      </c>
      <c r="B3028">
        <v>337</v>
      </c>
      <c r="C3028" t="s">
        <v>1134</v>
      </c>
      <c r="D3028">
        <v>1160934</v>
      </c>
      <c r="E3028">
        <v>73070</v>
      </c>
      <c r="F3028">
        <v>34329</v>
      </c>
    </row>
    <row r="3029" spans="1:6">
      <c r="A3029" t="s">
        <v>4162</v>
      </c>
      <c r="B3029">
        <v>337</v>
      </c>
      <c r="C3029" t="s">
        <v>1136</v>
      </c>
      <c r="D3029">
        <v>322482</v>
      </c>
      <c r="E3029">
        <v>73070</v>
      </c>
      <c r="F3029">
        <v>34329</v>
      </c>
    </row>
    <row r="3030" spans="1:6">
      <c r="A3030" t="s">
        <v>4163</v>
      </c>
      <c r="B3030">
        <v>337</v>
      </c>
      <c r="C3030" t="s">
        <v>1138</v>
      </c>
      <c r="D3030">
        <v>96745</v>
      </c>
      <c r="E3030">
        <v>73070</v>
      </c>
      <c r="F3030">
        <v>34329</v>
      </c>
    </row>
    <row r="3031" spans="1:6">
      <c r="A3031" t="s">
        <v>4164</v>
      </c>
      <c r="B3031">
        <v>337</v>
      </c>
      <c r="C3031" t="s">
        <v>738</v>
      </c>
      <c r="D3031">
        <v>2579852</v>
      </c>
      <c r="E3031">
        <v>73070</v>
      </c>
      <c r="F3031">
        <v>34329</v>
      </c>
    </row>
    <row r="3032" spans="1:6">
      <c r="A3032" t="s">
        <v>4165</v>
      </c>
      <c r="B3032">
        <v>337</v>
      </c>
      <c r="C3032" t="s">
        <v>1141</v>
      </c>
      <c r="D3032">
        <v>5804667</v>
      </c>
      <c r="E3032">
        <v>73070</v>
      </c>
      <c r="F3032">
        <v>34329</v>
      </c>
    </row>
    <row r="3033" spans="1:6">
      <c r="A3033" t="s">
        <v>4166</v>
      </c>
      <c r="B3033">
        <v>337</v>
      </c>
      <c r="C3033" t="s">
        <v>159</v>
      </c>
      <c r="D3033">
        <v>75552843</v>
      </c>
      <c r="E3033">
        <v>73070</v>
      </c>
      <c r="F3033">
        <v>34329</v>
      </c>
    </row>
    <row r="3034" spans="1:6">
      <c r="A3034" t="s">
        <v>4167</v>
      </c>
      <c r="B3034">
        <v>337</v>
      </c>
      <c r="C3034" t="s">
        <v>642</v>
      </c>
      <c r="D3034">
        <v>37776421</v>
      </c>
      <c r="E3034">
        <v>73070</v>
      </c>
      <c r="F3034">
        <v>34329</v>
      </c>
    </row>
    <row r="3035" spans="1:6">
      <c r="A3035" t="s">
        <v>4168</v>
      </c>
      <c r="B3035">
        <v>338</v>
      </c>
      <c r="C3035" t="s">
        <v>149</v>
      </c>
      <c r="D3035">
        <v>650591</v>
      </c>
      <c r="E3035">
        <v>73589</v>
      </c>
      <c r="F3035">
        <v>34462</v>
      </c>
    </row>
    <row r="3036" spans="1:6">
      <c r="A3036" t="s">
        <v>4169</v>
      </c>
      <c r="B3036">
        <v>338</v>
      </c>
      <c r="C3036" t="s">
        <v>1132</v>
      </c>
      <c r="D3036">
        <v>1951773</v>
      </c>
      <c r="E3036">
        <v>73589</v>
      </c>
      <c r="F3036">
        <v>34462</v>
      </c>
    </row>
    <row r="3037" spans="1:6">
      <c r="A3037" t="s">
        <v>4170</v>
      </c>
      <c r="B3037">
        <v>338</v>
      </c>
      <c r="C3037" t="s">
        <v>1134</v>
      </c>
      <c r="D3037">
        <v>1171064</v>
      </c>
      <c r="E3037">
        <v>73589</v>
      </c>
      <c r="F3037">
        <v>34462</v>
      </c>
    </row>
    <row r="3038" spans="1:6">
      <c r="A3038" t="s">
        <v>4171</v>
      </c>
      <c r="B3038">
        <v>338</v>
      </c>
      <c r="C3038" t="s">
        <v>1136</v>
      </c>
      <c r="D3038">
        <v>325296</v>
      </c>
      <c r="E3038">
        <v>73589</v>
      </c>
      <c r="F3038">
        <v>34462</v>
      </c>
    </row>
    <row r="3039" spans="1:6">
      <c r="A3039" t="s">
        <v>4172</v>
      </c>
      <c r="B3039">
        <v>338</v>
      </c>
      <c r="C3039" t="s">
        <v>1138</v>
      </c>
      <c r="D3039">
        <v>97589</v>
      </c>
      <c r="E3039">
        <v>73589</v>
      </c>
      <c r="F3039">
        <v>34462</v>
      </c>
    </row>
    <row r="3040" spans="1:6">
      <c r="A3040" t="s">
        <v>4173</v>
      </c>
      <c r="B3040">
        <v>338</v>
      </c>
      <c r="C3040" t="s">
        <v>738</v>
      </c>
      <c r="D3040">
        <v>2602364</v>
      </c>
      <c r="E3040">
        <v>73589</v>
      </c>
      <c r="F3040">
        <v>34462</v>
      </c>
    </row>
    <row r="3041" spans="1:6">
      <c r="A3041" t="s">
        <v>4174</v>
      </c>
      <c r="B3041">
        <v>338</v>
      </c>
      <c r="C3041" t="s">
        <v>1141</v>
      </c>
      <c r="D3041">
        <v>5855319</v>
      </c>
      <c r="E3041">
        <v>73589</v>
      </c>
      <c r="F3041">
        <v>34462</v>
      </c>
    </row>
    <row r="3042" spans="1:6">
      <c r="A3042" t="s">
        <v>4175</v>
      </c>
      <c r="B3042">
        <v>338</v>
      </c>
      <c r="C3042" t="s">
        <v>159</v>
      </c>
      <c r="D3042">
        <v>76261383</v>
      </c>
      <c r="E3042">
        <v>73589</v>
      </c>
      <c r="F3042">
        <v>34462</v>
      </c>
    </row>
    <row r="3043" spans="1:6">
      <c r="A3043" t="s">
        <v>4176</v>
      </c>
      <c r="B3043">
        <v>338</v>
      </c>
      <c r="C3043" t="s">
        <v>642</v>
      </c>
      <c r="D3043">
        <v>38130691</v>
      </c>
      <c r="E3043">
        <v>73589</v>
      </c>
      <c r="F3043">
        <v>34462</v>
      </c>
    </row>
    <row r="3044" spans="1:6">
      <c r="A3044" t="s">
        <v>4177</v>
      </c>
      <c r="B3044">
        <v>339</v>
      </c>
      <c r="C3044" t="s">
        <v>149</v>
      </c>
      <c r="D3044">
        <v>656258</v>
      </c>
      <c r="E3044">
        <v>74112</v>
      </c>
      <c r="F3044">
        <v>34595</v>
      </c>
    </row>
    <row r="3045" spans="1:6">
      <c r="A3045" t="s">
        <v>4178</v>
      </c>
      <c r="B3045">
        <v>339</v>
      </c>
      <c r="C3045" t="s">
        <v>1132</v>
      </c>
      <c r="D3045">
        <v>1968774</v>
      </c>
      <c r="E3045">
        <v>74112</v>
      </c>
      <c r="F3045">
        <v>34595</v>
      </c>
    </row>
    <row r="3046" spans="1:6">
      <c r="A3046" t="s">
        <v>4179</v>
      </c>
      <c r="B3046">
        <v>339</v>
      </c>
      <c r="C3046" t="s">
        <v>1134</v>
      </c>
      <c r="D3046">
        <v>1181265</v>
      </c>
      <c r="E3046">
        <v>74112</v>
      </c>
      <c r="F3046">
        <v>34595</v>
      </c>
    </row>
    <row r="3047" spans="1:6">
      <c r="A3047" t="s">
        <v>4180</v>
      </c>
      <c r="B3047">
        <v>339</v>
      </c>
      <c r="C3047" t="s">
        <v>1136</v>
      </c>
      <c r="D3047">
        <v>328129</v>
      </c>
      <c r="E3047">
        <v>74112</v>
      </c>
      <c r="F3047">
        <v>34595</v>
      </c>
    </row>
    <row r="3048" spans="1:6">
      <c r="A3048" t="s">
        <v>4181</v>
      </c>
      <c r="B3048">
        <v>339</v>
      </c>
      <c r="C3048" t="s">
        <v>1138</v>
      </c>
      <c r="D3048">
        <v>98439</v>
      </c>
      <c r="E3048">
        <v>74112</v>
      </c>
      <c r="F3048">
        <v>34595</v>
      </c>
    </row>
    <row r="3049" spans="1:6">
      <c r="A3049" t="s">
        <v>4182</v>
      </c>
      <c r="B3049">
        <v>339</v>
      </c>
      <c r="C3049" t="s">
        <v>738</v>
      </c>
      <c r="D3049">
        <v>2625032</v>
      </c>
      <c r="E3049">
        <v>74112</v>
      </c>
      <c r="F3049">
        <v>34595</v>
      </c>
    </row>
    <row r="3050" spans="1:6">
      <c r="A3050" t="s">
        <v>4183</v>
      </c>
      <c r="B3050">
        <v>339</v>
      </c>
      <c r="C3050" t="s">
        <v>1141</v>
      </c>
      <c r="D3050">
        <v>5906322</v>
      </c>
      <c r="E3050">
        <v>74112</v>
      </c>
      <c r="F3050">
        <v>34595</v>
      </c>
    </row>
    <row r="3051" spans="1:6">
      <c r="A3051" t="s">
        <v>4184</v>
      </c>
      <c r="B3051">
        <v>339</v>
      </c>
      <c r="C3051" t="s">
        <v>159</v>
      </c>
      <c r="D3051">
        <v>76975263</v>
      </c>
      <c r="E3051">
        <v>74112</v>
      </c>
      <c r="F3051">
        <v>34595</v>
      </c>
    </row>
    <row r="3052" spans="1:6">
      <c r="A3052" t="s">
        <v>4185</v>
      </c>
      <c r="B3052">
        <v>339</v>
      </c>
      <c r="C3052" t="s">
        <v>642</v>
      </c>
      <c r="D3052">
        <v>38487631</v>
      </c>
      <c r="E3052">
        <v>74112</v>
      </c>
      <c r="F3052">
        <v>34595</v>
      </c>
    </row>
    <row r="3053" spans="1:6">
      <c r="A3053" t="s">
        <v>4186</v>
      </c>
      <c r="B3053">
        <v>340</v>
      </c>
      <c r="C3053" t="s">
        <v>149</v>
      </c>
      <c r="D3053">
        <v>661962</v>
      </c>
      <c r="E3053">
        <v>74637</v>
      </c>
      <c r="F3053">
        <v>34728</v>
      </c>
    </row>
    <row r="3054" spans="1:6">
      <c r="A3054" t="s">
        <v>4187</v>
      </c>
      <c r="B3054">
        <v>340</v>
      </c>
      <c r="C3054" t="s">
        <v>1132</v>
      </c>
      <c r="D3054">
        <v>1985886</v>
      </c>
      <c r="E3054">
        <v>74637</v>
      </c>
      <c r="F3054">
        <v>34728</v>
      </c>
    </row>
    <row r="3055" spans="1:6">
      <c r="A3055" t="s">
        <v>4188</v>
      </c>
      <c r="B3055">
        <v>340</v>
      </c>
      <c r="C3055" t="s">
        <v>1134</v>
      </c>
      <c r="D3055">
        <v>1191532</v>
      </c>
      <c r="E3055">
        <v>74637</v>
      </c>
      <c r="F3055">
        <v>34728</v>
      </c>
    </row>
    <row r="3056" spans="1:6">
      <c r="A3056" t="s">
        <v>4189</v>
      </c>
      <c r="B3056">
        <v>340</v>
      </c>
      <c r="C3056" t="s">
        <v>1136</v>
      </c>
      <c r="D3056">
        <v>330981</v>
      </c>
      <c r="E3056">
        <v>74637</v>
      </c>
      <c r="F3056">
        <v>34728</v>
      </c>
    </row>
    <row r="3057" spans="1:6">
      <c r="A3057" t="s">
        <v>4190</v>
      </c>
      <c r="B3057">
        <v>340</v>
      </c>
      <c r="C3057" t="s">
        <v>1138</v>
      </c>
      <c r="D3057">
        <v>99295</v>
      </c>
      <c r="E3057">
        <v>74637</v>
      </c>
      <c r="F3057">
        <v>34728</v>
      </c>
    </row>
    <row r="3058" spans="1:6">
      <c r="A3058" t="s">
        <v>4191</v>
      </c>
      <c r="B3058">
        <v>340</v>
      </c>
      <c r="C3058" t="s">
        <v>738</v>
      </c>
      <c r="D3058">
        <v>2647848</v>
      </c>
      <c r="E3058">
        <v>74637</v>
      </c>
      <c r="F3058">
        <v>34728</v>
      </c>
    </row>
    <row r="3059" spans="1:6">
      <c r="A3059" t="s">
        <v>4192</v>
      </c>
      <c r="B3059">
        <v>340</v>
      </c>
      <c r="C3059" t="s">
        <v>1141</v>
      </c>
      <c r="D3059">
        <v>5957658</v>
      </c>
      <c r="E3059">
        <v>74637</v>
      </c>
      <c r="F3059">
        <v>34728</v>
      </c>
    </row>
    <row r="3060" spans="1:6">
      <c r="A3060" t="s">
        <v>4193</v>
      </c>
      <c r="B3060">
        <v>340</v>
      </c>
      <c r="C3060" t="s">
        <v>159</v>
      </c>
      <c r="D3060">
        <v>77694483</v>
      </c>
      <c r="E3060">
        <v>74637</v>
      </c>
      <c r="F3060">
        <v>34728</v>
      </c>
    </row>
    <row r="3061" spans="1:6">
      <c r="A3061" t="s">
        <v>4194</v>
      </c>
      <c r="B3061">
        <v>340</v>
      </c>
      <c r="C3061" t="s">
        <v>642</v>
      </c>
      <c r="D3061">
        <v>38847241</v>
      </c>
      <c r="E3061">
        <v>74637</v>
      </c>
      <c r="F3061">
        <v>34728</v>
      </c>
    </row>
    <row r="3062" spans="1:6">
      <c r="A3062" t="s">
        <v>4195</v>
      </c>
      <c r="B3062">
        <v>341</v>
      </c>
      <c r="C3062" t="s">
        <v>149</v>
      </c>
      <c r="D3062">
        <v>667706</v>
      </c>
      <c r="E3062">
        <v>75165</v>
      </c>
      <c r="F3062">
        <v>34862</v>
      </c>
    </row>
    <row r="3063" spans="1:6">
      <c r="A3063" t="s">
        <v>4196</v>
      </c>
      <c r="B3063">
        <v>341</v>
      </c>
      <c r="C3063" t="s">
        <v>1132</v>
      </c>
      <c r="D3063">
        <v>2003118</v>
      </c>
      <c r="E3063">
        <v>75165</v>
      </c>
      <c r="F3063">
        <v>34862</v>
      </c>
    </row>
    <row r="3064" spans="1:6">
      <c r="A3064" t="s">
        <v>4197</v>
      </c>
      <c r="B3064">
        <v>341</v>
      </c>
      <c r="C3064" t="s">
        <v>1134</v>
      </c>
      <c r="D3064">
        <v>1201871</v>
      </c>
      <c r="E3064">
        <v>75165</v>
      </c>
      <c r="F3064">
        <v>34862</v>
      </c>
    </row>
    <row r="3065" spans="1:6">
      <c r="A3065" t="s">
        <v>4198</v>
      </c>
      <c r="B3065">
        <v>341</v>
      </c>
      <c r="C3065" t="s">
        <v>1136</v>
      </c>
      <c r="D3065">
        <v>333853</v>
      </c>
      <c r="E3065">
        <v>75165</v>
      </c>
      <c r="F3065">
        <v>34862</v>
      </c>
    </row>
    <row r="3066" spans="1:6">
      <c r="A3066" t="s">
        <v>4199</v>
      </c>
      <c r="B3066">
        <v>341</v>
      </c>
      <c r="C3066" t="s">
        <v>1138</v>
      </c>
      <c r="D3066">
        <v>100156</v>
      </c>
      <c r="E3066">
        <v>75165</v>
      </c>
      <c r="F3066">
        <v>34862</v>
      </c>
    </row>
    <row r="3067" spans="1:6">
      <c r="A3067" t="s">
        <v>4200</v>
      </c>
      <c r="B3067">
        <v>341</v>
      </c>
      <c r="C3067" t="s">
        <v>738</v>
      </c>
      <c r="D3067">
        <v>2670824</v>
      </c>
      <c r="E3067">
        <v>75165</v>
      </c>
      <c r="F3067">
        <v>34862</v>
      </c>
    </row>
    <row r="3068" spans="1:6">
      <c r="A3068" t="s">
        <v>4201</v>
      </c>
      <c r="B3068">
        <v>341</v>
      </c>
      <c r="C3068" t="s">
        <v>1141</v>
      </c>
      <c r="D3068">
        <v>6009354</v>
      </c>
      <c r="E3068">
        <v>75165</v>
      </c>
      <c r="F3068">
        <v>34862</v>
      </c>
    </row>
    <row r="3069" spans="1:6">
      <c r="A3069" t="s">
        <v>4202</v>
      </c>
      <c r="B3069">
        <v>341</v>
      </c>
      <c r="C3069" t="s">
        <v>159</v>
      </c>
      <c r="D3069">
        <v>78419102</v>
      </c>
      <c r="E3069">
        <v>75165</v>
      </c>
      <c r="F3069">
        <v>34862</v>
      </c>
    </row>
    <row r="3070" spans="1:6">
      <c r="A3070" t="s">
        <v>4203</v>
      </c>
      <c r="B3070">
        <v>341</v>
      </c>
      <c r="C3070" t="s">
        <v>642</v>
      </c>
      <c r="D3070">
        <v>39209551</v>
      </c>
      <c r="E3070">
        <v>75165</v>
      </c>
      <c r="F3070">
        <v>34862</v>
      </c>
    </row>
    <row r="3071" spans="1:6">
      <c r="A3071" t="s">
        <v>4204</v>
      </c>
      <c r="B3071">
        <v>342</v>
      </c>
      <c r="C3071" t="s">
        <v>149</v>
      </c>
      <c r="D3071">
        <v>673488</v>
      </c>
      <c r="E3071">
        <v>75695</v>
      </c>
      <c r="F3071">
        <v>34996</v>
      </c>
    </row>
    <row r="3072" spans="1:6">
      <c r="A3072" t="s">
        <v>4205</v>
      </c>
      <c r="B3072">
        <v>342</v>
      </c>
      <c r="C3072" t="s">
        <v>1132</v>
      </c>
      <c r="D3072">
        <v>2020464</v>
      </c>
      <c r="E3072">
        <v>75695</v>
      </c>
      <c r="F3072">
        <v>34996</v>
      </c>
    </row>
    <row r="3073" spans="1:6">
      <c r="A3073" t="s">
        <v>4206</v>
      </c>
      <c r="B3073">
        <v>342</v>
      </c>
      <c r="C3073" t="s">
        <v>1134</v>
      </c>
      <c r="D3073">
        <v>1212279</v>
      </c>
      <c r="E3073">
        <v>75695</v>
      </c>
      <c r="F3073">
        <v>34996</v>
      </c>
    </row>
    <row r="3074" spans="1:6">
      <c r="A3074" t="s">
        <v>4207</v>
      </c>
      <c r="B3074">
        <v>342</v>
      </c>
      <c r="C3074" t="s">
        <v>1136</v>
      </c>
      <c r="D3074">
        <v>336744</v>
      </c>
      <c r="E3074">
        <v>75695</v>
      </c>
      <c r="F3074">
        <v>34996</v>
      </c>
    </row>
    <row r="3075" spans="1:6">
      <c r="A3075" t="s">
        <v>4208</v>
      </c>
      <c r="B3075">
        <v>342</v>
      </c>
      <c r="C3075" t="s">
        <v>1138</v>
      </c>
      <c r="D3075">
        <v>101024</v>
      </c>
      <c r="E3075">
        <v>75695</v>
      </c>
      <c r="F3075">
        <v>34996</v>
      </c>
    </row>
    <row r="3076" spans="1:6">
      <c r="A3076" t="s">
        <v>4209</v>
      </c>
      <c r="B3076">
        <v>342</v>
      </c>
      <c r="C3076" t="s">
        <v>738</v>
      </c>
      <c r="D3076">
        <v>2693952</v>
      </c>
      <c r="E3076">
        <v>75695</v>
      </c>
      <c r="F3076">
        <v>34996</v>
      </c>
    </row>
    <row r="3077" spans="1:6">
      <c r="A3077" t="s">
        <v>4210</v>
      </c>
      <c r="B3077">
        <v>342</v>
      </c>
      <c r="C3077" t="s">
        <v>1141</v>
      </c>
      <c r="D3077">
        <v>6061392</v>
      </c>
      <c r="E3077">
        <v>75695</v>
      </c>
      <c r="F3077">
        <v>34996</v>
      </c>
    </row>
    <row r="3078" spans="1:6">
      <c r="A3078" t="s">
        <v>4211</v>
      </c>
      <c r="B3078">
        <v>342</v>
      </c>
      <c r="C3078" t="s">
        <v>159</v>
      </c>
      <c r="D3078">
        <v>79149062</v>
      </c>
      <c r="E3078">
        <v>75695</v>
      </c>
      <c r="F3078">
        <v>34996</v>
      </c>
    </row>
    <row r="3079" spans="1:6">
      <c r="A3079" t="s">
        <v>4212</v>
      </c>
      <c r="B3079">
        <v>342</v>
      </c>
      <c r="C3079" t="s">
        <v>642</v>
      </c>
      <c r="D3079">
        <v>39574531</v>
      </c>
      <c r="E3079">
        <v>75695</v>
      </c>
      <c r="F3079">
        <v>34996</v>
      </c>
    </row>
    <row r="3080" spans="1:6">
      <c r="A3080" t="s">
        <v>4213</v>
      </c>
      <c r="B3080">
        <v>343</v>
      </c>
      <c r="C3080" t="s">
        <v>149</v>
      </c>
      <c r="D3080">
        <v>679309</v>
      </c>
      <c r="E3080">
        <v>76228</v>
      </c>
      <c r="F3080">
        <v>35130</v>
      </c>
    </row>
    <row r="3081" spans="1:6">
      <c r="A3081" t="s">
        <v>4214</v>
      </c>
      <c r="B3081">
        <v>343</v>
      </c>
      <c r="C3081" t="s">
        <v>1132</v>
      </c>
      <c r="D3081">
        <v>2037927</v>
      </c>
      <c r="E3081">
        <v>76228</v>
      </c>
      <c r="F3081">
        <v>35130</v>
      </c>
    </row>
    <row r="3082" spans="1:6">
      <c r="A3082" t="s">
        <v>4215</v>
      </c>
      <c r="B3082">
        <v>343</v>
      </c>
      <c r="C3082" t="s">
        <v>1134</v>
      </c>
      <c r="D3082">
        <v>1222757</v>
      </c>
      <c r="E3082">
        <v>76228</v>
      </c>
      <c r="F3082">
        <v>35130</v>
      </c>
    </row>
    <row r="3083" spans="1:6">
      <c r="A3083" t="s">
        <v>4216</v>
      </c>
      <c r="B3083">
        <v>343</v>
      </c>
      <c r="C3083" t="s">
        <v>1136</v>
      </c>
      <c r="D3083">
        <v>339655</v>
      </c>
      <c r="E3083">
        <v>76228</v>
      </c>
      <c r="F3083">
        <v>35130</v>
      </c>
    </row>
    <row r="3084" spans="1:6">
      <c r="A3084" t="s">
        <v>4217</v>
      </c>
      <c r="B3084">
        <v>343</v>
      </c>
      <c r="C3084" t="s">
        <v>1138</v>
      </c>
      <c r="D3084">
        <v>101897</v>
      </c>
      <c r="E3084">
        <v>76228</v>
      </c>
      <c r="F3084">
        <v>35130</v>
      </c>
    </row>
    <row r="3085" spans="1:6">
      <c r="A3085" t="s">
        <v>4218</v>
      </c>
      <c r="B3085">
        <v>343</v>
      </c>
      <c r="C3085" t="s">
        <v>738</v>
      </c>
      <c r="D3085">
        <v>2717236</v>
      </c>
      <c r="E3085">
        <v>76228</v>
      </c>
      <c r="F3085">
        <v>35130</v>
      </c>
    </row>
    <row r="3086" spans="1:6">
      <c r="A3086" t="s">
        <v>4219</v>
      </c>
      <c r="B3086">
        <v>343</v>
      </c>
      <c r="C3086" t="s">
        <v>1141</v>
      </c>
      <c r="D3086">
        <v>6113781</v>
      </c>
      <c r="E3086">
        <v>76228</v>
      </c>
      <c r="F3086">
        <v>35130</v>
      </c>
    </row>
    <row r="3087" spans="1:6">
      <c r="A3087" t="s">
        <v>4220</v>
      </c>
      <c r="B3087">
        <v>343</v>
      </c>
      <c r="C3087" t="s">
        <v>159</v>
      </c>
      <c r="D3087">
        <v>79884482</v>
      </c>
      <c r="E3087">
        <v>76228</v>
      </c>
      <c r="F3087">
        <v>35130</v>
      </c>
    </row>
    <row r="3088" spans="1:6">
      <c r="A3088" t="s">
        <v>4221</v>
      </c>
      <c r="B3088">
        <v>343</v>
      </c>
      <c r="C3088" t="s">
        <v>642</v>
      </c>
      <c r="D3088">
        <v>39942241</v>
      </c>
      <c r="E3088">
        <v>76228</v>
      </c>
      <c r="F3088">
        <v>35130</v>
      </c>
    </row>
    <row r="3089" spans="1:6">
      <c r="A3089" t="s">
        <v>4222</v>
      </c>
      <c r="B3089">
        <v>344</v>
      </c>
      <c r="C3089" t="s">
        <v>149</v>
      </c>
      <c r="D3089">
        <v>685170</v>
      </c>
      <c r="E3089">
        <v>76764</v>
      </c>
      <c r="F3089">
        <v>35264</v>
      </c>
    </row>
    <row r="3090" spans="1:6">
      <c r="A3090" t="s">
        <v>4223</v>
      </c>
      <c r="B3090">
        <v>344</v>
      </c>
      <c r="C3090" t="s">
        <v>1132</v>
      </c>
      <c r="D3090">
        <v>2055510</v>
      </c>
      <c r="E3090">
        <v>76764</v>
      </c>
      <c r="F3090">
        <v>35264</v>
      </c>
    </row>
    <row r="3091" spans="1:6">
      <c r="A3091" t="s">
        <v>4224</v>
      </c>
      <c r="B3091">
        <v>344</v>
      </c>
      <c r="C3091" t="s">
        <v>1134</v>
      </c>
      <c r="D3091">
        <v>1233306</v>
      </c>
      <c r="E3091">
        <v>76764</v>
      </c>
      <c r="F3091">
        <v>35264</v>
      </c>
    </row>
    <row r="3092" spans="1:6">
      <c r="A3092" t="s">
        <v>4225</v>
      </c>
      <c r="B3092">
        <v>344</v>
      </c>
      <c r="C3092" t="s">
        <v>1136</v>
      </c>
      <c r="D3092">
        <v>342585</v>
      </c>
      <c r="E3092">
        <v>76764</v>
      </c>
      <c r="F3092">
        <v>35264</v>
      </c>
    </row>
    <row r="3093" spans="1:6">
      <c r="A3093" t="s">
        <v>4226</v>
      </c>
      <c r="B3093">
        <v>344</v>
      </c>
      <c r="C3093" t="s">
        <v>1138</v>
      </c>
      <c r="D3093">
        <v>102776</v>
      </c>
      <c r="E3093">
        <v>76764</v>
      </c>
      <c r="F3093">
        <v>35264</v>
      </c>
    </row>
    <row r="3094" spans="1:6">
      <c r="A3094" t="s">
        <v>4227</v>
      </c>
      <c r="B3094">
        <v>344</v>
      </c>
      <c r="C3094" t="s">
        <v>738</v>
      </c>
      <c r="D3094">
        <v>2740680</v>
      </c>
      <c r="E3094">
        <v>76764</v>
      </c>
      <c r="F3094">
        <v>35264</v>
      </c>
    </row>
    <row r="3095" spans="1:6">
      <c r="A3095" t="s">
        <v>4228</v>
      </c>
      <c r="B3095">
        <v>344</v>
      </c>
      <c r="C3095" t="s">
        <v>1141</v>
      </c>
      <c r="D3095">
        <v>6166530</v>
      </c>
      <c r="E3095">
        <v>76764</v>
      </c>
      <c r="F3095">
        <v>35264</v>
      </c>
    </row>
    <row r="3096" spans="1:6">
      <c r="A3096" t="s">
        <v>4229</v>
      </c>
      <c r="B3096">
        <v>344</v>
      </c>
      <c r="C3096" t="s">
        <v>159</v>
      </c>
      <c r="D3096">
        <v>80625362</v>
      </c>
      <c r="E3096">
        <v>76764</v>
      </c>
      <c r="F3096">
        <v>35264</v>
      </c>
    </row>
    <row r="3097" spans="1:6">
      <c r="A3097" t="s">
        <v>4230</v>
      </c>
      <c r="B3097">
        <v>344</v>
      </c>
      <c r="C3097" t="s">
        <v>642</v>
      </c>
      <c r="D3097">
        <v>40312681</v>
      </c>
      <c r="E3097">
        <v>76764</v>
      </c>
      <c r="F3097">
        <v>35264</v>
      </c>
    </row>
    <row r="3098" spans="1:6">
      <c r="A3098" t="s">
        <v>4231</v>
      </c>
      <c r="B3098">
        <v>345</v>
      </c>
      <c r="C3098" t="s">
        <v>149</v>
      </c>
      <c r="D3098">
        <v>691070</v>
      </c>
      <c r="E3098">
        <v>77303</v>
      </c>
      <c r="F3098">
        <v>35398</v>
      </c>
    </row>
    <row r="3099" spans="1:6">
      <c r="A3099" t="s">
        <v>4232</v>
      </c>
      <c r="B3099">
        <v>345</v>
      </c>
      <c r="C3099" t="s">
        <v>1132</v>
      </c>
      <c r="D3099">
        <v>2073210</v>
      </c>
      <c r="E3099">
        <v>77303</v>
      </c>
      <c r="F3099">
        <v>35398</v>
      </c>
    </row>
    <row r="3100" spans="1:6">
      <c r="A3100" t="s">
        <v>4233</v>
      </c>
      <c r="B3100">
        <v>345</v>
      </c>
      <c r="C3100" t="s">
        <v>1134</v>
      </c>
      <c r="D3100">
        <v>1243926</v>
      </c>
      <c r="E3100">
        <v>77303</v>
      </c>
      <c r="F3100">
        <v>35398</v>
      </c>
    </row>
    <row r="3101" spans="1:6">
      <c r="A3101" t="s">
        <v>4234</v>
      </c>
      <c r="B3101">
        <v>345</v>
      </c>
      <c r="C3101" t="s">
        <v>1136</v>
      </c>
      <c r="D3101">
        <v>345535</v>
      </c>
      <c r="E3101">
        <v>77303</v>
      </c>
      <c r="F3101">
        <v>35398</v>
      </c>
    </row>
    <row r="3102" spans="1:6">
      <c r="A3102" t="s">
        <v>4235</v>
      </c>
      <c r="B3102">
        <v>345</v>
      </c>
      <c r="C3102" t="s">
        <v>1138</v>
      </c>
      <c r="D3102">
        <v>103661</v>
      </c>
      <c r="E3102">
        <v>77303</v>
      </c>
      <c r="F3102">
        <v>35398</v>
      </c>
    </row>
    <row r="3103" spans="1:6">
      <c r="A3103" t="s">
        <v>4236</v>
      </c>
      <c r="B3103">
        <v>345</v>
      </c>
      <c r="C3103" t="s">
        <v>738</v>
      </c>
      <c r="D3103">
        <v>2764280</v>
      </c>
      <c r="E3103">
        <v>77303</v>
      </c>
      <c r="F3103">
        <v>35398</v>
      </c>
    </row>
    <row r="3104" spans="1:6">
      <c r="A3104" t="s">
        <v>4237</v>
      </c>
      <c r="B3104">
        <v>345</v>
      </c>
      <c r="C3104" t="s">
        <v>1141</v>
      </c>
      <c r="D3104">
        <v>6219630</v>
      </c>
      <c r="E3104">
        <v>77303</v>
      </c>
      <c r="F3104">
        <v>35398</v>
      </c>
    </row>
    <row r="3105" spans="1:6">
      <c r="A3105" t="s">
        <v>4238</v>
      </c>
      <c r="B3105">
        <v>345</v>
      </c>
      <c r="C3105" t="s">
        <v>159</v>
      </c>
      <c r="D3105">
        <v>81371762</v>
      </c>
      <c r="E3105">
        <v>77303</v>
      </c>
      <c r="F3105">
        <v>35398</v>
      </c>
    </row>
    <row r="3106" spans="1:6">
      <c r="A3106" t="s">
        <v>4239</v>
      </c>
      <c r="B3106">
        <v>345</v>
      </c>
      <c r="C3106" t="s">
        <v>642</v>
      </c>
      <c r="D3106">
        <v>40685881</v>
      </c>
      <c r="E3106">
        <v>77303</v>
      </c>
      <c r="F3106">
        <v>35398</v>
      </c>
    </row>
    <row r="3107" spans="1:6">
      <c r="A3107" t="s">
        <v>4240</v>
      </c>
      <c r="B3107">
        <v>346</v>
      </c>
      <c r="C3107" t="s">
        <v>149</v>
      </c>
      <c r="D3107">
        <v>697009</v>
      </c>
      <c r="E3107">
        <v>77845</v>
      </c>
      <c r="F3107">
        <v>35533</v>
      </c>
    </row>
    <row r="3108" spans="1:6">
      <c r="A3108" t="s">
        <v>4241</v>
      </c>
      <c r="B3108">
        <v>346</v>
      </c>
      <c r="C3108" t="s">
        <v>1132</v>
      </c>
      <c r="D3108">
        <v>2091027</v>
      </c>
      <c r="E3108">
        <v>77845</v>
      </c>
      <c r="F3108">
        <v>35533</v>
      </c>
    </row>
    <row r="3109" spans="1:6">
      <c r="A3109" t="s">
        <v>4242</v>
      </c>
      <c r="B3109">
        <v>346</v>
      </c>
      <c r="C3109" t="s">
        <v>1134</v>
      </c>
      <c r="D3109">
        <v>1254617</v>
      </c>
      <c r="E3109">
        <v>77845</v>
      </c>
      <c r="F3109">
        <v>35533</v>
      </c>
    </row>
    <row r="3110" spans="1:6">
      <c r="A3110" t="s">
        <v>4243</v>
      </c>
      <c r="B3110">
        <v>346</v>
      </c>
      <c r="C3110" t="s">
        <v>1136</v>
      </c>
      <c r="D3110">
        <v>348505</v>
      </c>
      <c r="E3110">
        <v>77845</v>
      </c>
      <c r="F3110">
        <v>35533</v>
      </c>
    </row>
    <row r="3111" spans="1:6">
      <c r="A3111" t="s">
        <v>4244</v>
      </c>
      <c r="B3111">
        <v>346</v>
      </c>
      <c r="C3111" t="s">
        <v>1138</v>
      </c>
      <c r="D3111">
        <v>104552</v>
      </c>
      <c r="E3111">
        <v>77845</v>
      </c>
      <c r="F3111">
        <v>35533</v>
      </c>
    </row>
    <row r="3112" spans="1:6">
      <c r="A3112" t="s">
        <v>4245</v>
      </c>
      <c r="B3112">
        <v>346</v>
      </c>
      <c r="C3112" t="s">
        <v>738</v>
      </c>
      <c r="D3112">
        <v>2788036</v>
      </c>
      <c r="E3112">
        <v>77845</v>
      </c>
      <c r="F3112">
        <v>35533</v>
      </c>
    </row>
    <row r="3113" spans="1:6">
      <c r="A3113" t="s">
        <v>4246</v>
      </c>
      <c r="B3113">
        <v>346</v>
      </c>
      <c r="C3113" t="s">
        <v>1141</v>
      </c>
      <c r="D3113">
        <v>6273081</v>
      </c>
      <c r="E3113">
        <v>77845</v>
      </c>
      <c r="F3113">
        <v>35533</v>
      </c>
    </row>
    <row r="3114" spans="1:6">
      <c r="A3114" t="s">
        <v>4247</v>
      </c>
      <c r="B3114">
        <v>346</v>
      </c>
      <c r="C3114" t="s">
        <v>159</v>
      </c>
      <c r="D3114">
        <v>82123622</v>
      </c>
      <c r="E3114">
        <v>77845</v>
      </c>
      <c r="F3114">
        <v>35533</v>
      </c>
    </row>
    <row r="3115" spans="1:6">
      <c r="A3115" t="s">
        <v>4248</v>
      </c>
      <c r="B3115">
        <v>346</v>
      </c>
      <c r="C3115" t="s">
        <v>642</v>
      </c>
      <c r="D3115">
        <v>41061811</v>
      </c>
      <c r="E3115">
        <v>77845</v>
      </c>
      <c r="F3115">
        <v>35533</v>
      </c>
    </row>
    <row r="3116" spans="1:6">
      <c r="A3116" t="s">
        <v>4249</v>
      </c>
      <c r="B3116">
        <v>347</v>
      </c>
      <c r="C3116" t="s">
        <v>149</v>
      </c>
      <c r="D3116">
        <v>702989</v>
      </c>
      <c r="E3116">
        <v>78389</v>
      </c>
      <c r="F3116">
        <v>35667</v>
      </c>
    </row>
    <row r="3117" spans="1:6">
      <c r="A3117" t="s">
        <v>4250</v>
      </c>
      <c r="B3117">
        <v>347</v>
      </c>
      <c r="C3117" t="s">
        <v>1132</v>
      </c>
      <c r="D3117">
        <v>2108967</v>
      </c>
      <c r="E3117">
        <v>78389</v>
      </c>
      <c r="F3117">
        <v>35667</v>
      </c>
    </row>
    <row r="3118" spans="1:6">
      <c r="A3118" t="s">
        <v>4251</v>
      </c>
      <c r="B3118">
        <v>347</v>
      </c>
      <c r="C3118" t="s">
        <v>1134</v>
      </c>
      <c r="D3118">
        <v>1265381</v>
      </c>
      <c r="E3118">
        <v>78389</v>
      </c>
      <c r="F3118">
        <v>35667</v>
      </c>
    </row>
    <row r="3119" spans="1:6">
      <c r="A3119" t="s">
        <v>4252</v>
      </c>
      <c r="B3119">
        <v>347</v>
      </c>
      <c r="C3119" t="s">
        <v>1136</v>
      </c>
      <c r="D3119">
        <v>351495</v>
      </c>
      <c r="E3119">
        <v>78389</v>
      </c>
      <c r="F3119">
        <v>35667</v>
      </c>
    </row>
    <row r="3120" spans="1:6">
      <c r="A3120" t="s">
        <v>4253</v>
      </c>
      <c r="B3120">
        <v>347</v>
      </c>
      <c r="C3120" t="s">
        <v>1138</v>
      </c>
      <c r="D3120">
        <v>105449</v>
      </c>
      <c r="E3120">
        <v>78389</v>
      </c>
      <c r="F3120">
        <v>35667</v>
      </c>
    </row>
    <row r="3121" spans="1:6">
      <c r="A3121" t="s">
        <v>4254</v>
      </c>
      <c r="B3121">
        <v>347</v>
      </c>
      <c r="C3121" t="s">
        <v>738</v>
      </c>
      <c r="D3121">
        <v>2811956</v>
      </c>
      <c r="E3121">
        <v>78389</v>
      </c>
      <c r="F3121">
        <v>35667</v>
      </c>
    </row>
    <row r="3122" spans="1:6">
      <c r="A3122" t="s">
        <v>4255</v>
      </c>
      <c r="B3122">
        <v>347</v>
      </c>
      <c r="C3122" t="s">
        <v>1141</v>
      </c>
      <c r="D3122">
        <v>6326901</v>
      </c>
      <c r="E3122">
        <v>78389</v>
      </c>
      <c r="F3122">
        <v>35667</v>
      </c>
    </row>
    <row r="3123" spans="1:6">
      <c r="A3123" t="s">
        <v>4256</v>
      </c>
      <c r="B3123">
        <v>347</v>
      </c>
      <c r="C3123" t="s">
        <v>159</v>
      </c>
      <c r="D3123">
        <v>82881122</v>
      </c>
      <c r="E3123">
        <v>78389</v>
      </c>
      <c r="F3123">
        <v>35667</v>
      </c>
    </row>
    <row r="3124" spans="1:6">
      <c r="A3124" t="s">
        <v>4257</v>
      </c>
      <c r="B3124">
        <v>347</v>
      </c>
      <c r="C3124" t="s">
        <v>642</v>
      </c>
      <c r="D3124">
        <v>41440561</v>
      </c>
      <c r="E3124">
        <v>78389</v>
      </c>
      <c r="F3124">
        <v>35667</v>
      </c>
    </row>
    <row r="3125" spans="1:6">
      <c r="A3125" t="s">
        <v>4258</v>
      </c>
      <c r="B3125">
        <v>348</v>
      </c>
      <c r="C3125" t="s">
        <v>149</v>
      </c>
      <c r="D3125">
        <v>709008</v>
      </c>
      <c r="E3125">
        <v>78936</v>
      </c>
      <c r="F3125">
        <v>35802</v>
      </c>
    </row>
    <row r="3126" spans="1:6">
      <c r="A3126" t="s">
        <v>4259</v>
      </c>
      <c r="B3126">
        <v>348</v>
      </c>
      <c r="C3126" t="s">
        <v>1132</v>
      </c>
      <c r="D3126">
        <v>2127024</v>
      </c>
      <c r="E3126">
        <v>78936</v>
      </c>
      <c r="F3126">
        <v>35802</v>
      </c>
    </row>
    <row r="3127" spans="1:6">
      <c r="A3127" t="s">
        <v>4260</v>
      </c>
      <c r="B3127">
        <v>348</v>
      </c>
      <c r="C3127" t="s">
        <v>1134</v>
      </c>
      <c r="D3127">
        <v>1276215</v>
      </c>
      <c r="E3127">
        <v>78936</v>
      </c>
      <c r="F3127">
        <v>35802</v>
      </c>
    </row>
    <row r="3128" spans="1:6">
      <c r="A3128" t="s">
        <v>4261</v>
      </c>
      <c r="B3128">
        <v>348</v>
      </c>
      <c r="C3128" t="s">
        <v>1136</v>
      </c>
      <c r="D3128">
        <v>354504</v>
      </c>
      <c r="E3128">
        <v>78936</v>
      </c>
      <c r="F3128">
        <v>35802</v>
      </c>
    </row>
    <row r="3129" spans="1:6">
      <c r="A3129" t="s">
        <v>4262</v>
      </c>
      <c r="B3129">
        <v>348</v>
      </c>
      <c r="C3129" t="s">
        <v>1138</v>
      </c>
      <c r="D3129">
        <v>106352</v>
      </c>
      <c r="E3129">
        <v>78936</v>
      </c>
      <c r="F3129">
        <v>35802</v>
      </c>
    </row>
    <row r="3130" spans="1:6">
      <c r="A3130" t="s">
        <v>4263</v>
      </c>
      <c r="B3130">
        <v>348</v>
      </c>
      <c r="C3130" t="s">
        <v>738</v>
      </c>
      <c r="D3130">
        <v>2836032</v>
      </c>
      <c r="E3130">
        <v>78936</v>
      </c>
      <c r="F3130">
        <v>35802</v>
      </c>
    </row>
    <row r="3131" spans="1:6">
      <c r="A3131" t="s">
        <v>4264</v>
      </c>
      <c r="B3131">
        <v>348</v>
      </c>
      <c r="C3131" t="s">
        <v>1141</v>
      </c>
      <c r="D3131">
        <v>6381072</v>
      </c>
      <c r="E3131">
        <v>78936</v>
      </c>
      <c r="F3131">
        <v>35802</v>
      </c>
    </row>
    <row r="3132" spans="1:6">
      <c r="A3132" t="s">
        <v>4265</v>
      </c>
      <c r="B3132">
        <v>348</v>
      </c>
      <c r="C3132" t="s">
        <v>159</v>
      </c>
      <c r="D3132">
        <v>83644202</v>
      </c>
      <c r="E3132">
        <v>78936</v>
      </c>
      <c r="F3132">
        <v>35802</v>
      </c>
    </row>
    <row r="3133" spans="1:6">
      <c r="A3133" t="s">
        <v>4266</v>
      </c>
      <c r="B3133">
        <v>348</v>
      </c>
      <c r="C3133" t="s">
        <v>642</v>
      </c>
      <c r="D3133">
        <v>41822101</v>
      </c>
      <c r="E3133">
        <v>78936</v>
      </c>
      <c r="F3133">
        <v>35802</v>
      </c>
    </row>
    <row r="3134" spans="1:6">
      <c r="A3134" t="s">
        <v>4267</v>
      </c>
      <c r="B3134">
        <v>349</v>
      </c>
      <c r="C3134" t="s">
        <v>149</v>
      </c>
      <c r="D3134">
        <v>715068</v>
      </c>
      <c r="E3134">
        <v>79486</v>
      </c>
      <c r="F3134">
        <v>35937</v>
      </c>
    </row>
    <row r="3135" spans="1:6">
      <c r="A3135" t="s">
        <v>4268</v>
      </c>
      <c r="B3135">
        <v>349</v>
      </c>
      <c r="C3135" t="s">
        <v>1132</v>
      </c>
      <c r="D3135">
        <v>2145204</v>
      </c>
      <c r="E3135">
        <v>79486</v>
      </c>
      <c r="F3135">
        <v>35937</v>
      </c>
    </row>
    <row r="3136" spans="1:6">
      <c r="A3136" t="s">
        <v>4269</v>
      </c>
      <c r="B3136">
        <v>349</v>
      </c>
      <c r="C3136" t="s">
        <v>1134</v>
      </c>
      <c r="D3136">
        <v>1287123</v>
      </c>
      <c r="E3136">
        <v>79486</v>
      </c>
      <c r="F3136">
        <v>35937</v>
      </c>
    </row>
    <row r="3137" spans="1:6">
      <c r="A3137" t="s">
        <v>4270</v>
      </c>
      <c r="B3137">
        <v>349</v>
      </c>
      <c r="C3137" t="s">
        <v>1136</v>
      </c>
      <c r="D3137">
        <v>357534</v>
      </c>
      <c r="E3137">
        <v>79486</v>
      </c>
      <c r="F3137">
        <v>35937</v>
      </c>
    </row>
    <row r="3138" spans="1:6">
      <c r="A3138" t="s">
        <v>4271</v>
      </c>
      <c r="B3138">
        <v>349</v>
      </c>
      <c r="C3138" t="s">
        <v>1138</v>
      </c>
      <c r="D3138">
        <v>107261</v>
      </c>
      <c r="E3138">
        <v>79486</v>
      </c>
      <c r="F3138">
        <v>35937</v>
      </c>
    </row>
    <row r="3139" spans="1:6">
      <c r="A3139" t="s">
        <v>4272</v>
      </c>
      <c r="B3139">
        <v>349</v>
      </c>
      <c r="C3139" t="s">
        <v>738</v>
      </c>
      <c r="D3139">
        <v>2860272</v>
      </c>
      <c r="E3139">
        <v>79486</v>
      </c>
      <c r="F3139">
        <v>35937</v>
      </c>
    </row>
    <row r="3140" spans="1:6">
      <c r="A3140" t="s">
        <v>4273</v>
      </c>
      <c r="B3140">
        <v>349</v>
      </c>
      <c r="C3140" t="s">
        <v>1141</v>
      </c>
      <c r="D3140">
        <v>6435612</v>
      </c>
      <c r="E3140">
        <v>79486</v>
      </c>
      <c r="F3140">
        <v>35937</v>
      </c>
    </row>
    <row r="3141" spans="1:6">
      <c r="A3141" t="s">
        <v>4274</v>
      </c>
      <c r="B3141">
        <v>349</v>
      </c>
      <c r="C3141" t="s">
        <v>159</v>
      </c>
      <c r="D3141">
        <v>84412862</v>
      </c>
      <c r="E3141">
        <v>79486</v>
      </c>
      <c r="F3141">
        <v>35937</v>
      </c>
    </row>
    <row r="3142" spans="1:6">
      <c r="A3142" t="s">
        <v>4275</v>
      </c>
      <c r="B3142">
        <v>349</v>
      </c>
      <c r="C3142" t="s">
        <v>642</v>
      </c>
      <c r="D3142">
        <v>42206431</v>
      </c>
      <c r="E3142">
        <v>79486</v>
      </c>
      <c r="F3142">
        <v>35937</v>
      </c>
    </row>
    <row r="3143" spans="1:6">
      <c r="A3143" t="s">
        <v>4276</v>
      </c>
      <c r="B3143">
        <v>350</v>
      </c>
      <c r="C3143" t="s">
        <v>149</v>
      </c>
      <c r="D3143">
        <v>721168</v>
      </c>
      <c r="E3143">
        <v>80039</v>
      </c>
      <c r="F3143">
        <v>36072</v>
      </c>
    </row>
    <row r="3144" spans="1:6">
      <c r="A3144" t="s">
        <v>4277</v>
      </c>
      <c r="B3144">
        <v>350</v>
      </c>
      <c r="C3144" t="s">
        <v>1132</v>
      </c>
      <c r="D3144">
        <v>2163504</v>
      </c>
      <c r="E3144">
        <v>80039</v>
      </c>
      <c r="F3144">
        <v>36072</v>
      </c>
    </row>
    <row r="3145" spans="1:6">
      <c r="A3145" t="s">
        <v>4278</v>
      </c>
      <c r="B3145">
        <v>350</v>
      </c>
      <c r="C3145" t="s">
        <v>1134</v>
      </c>
      <c r="D3145">
        <v>1298103</v>
      </c>
      <c r="E3145">
        <v>80039</v>
      </c>
      <c r="F3145">
        <v>36072</v>
      </c>
    </row>
    <row r="3146" spans="1:6">
      <c r="A3146" t="s">
        <v>4279</v>
      </c>
      <c r="B3146">
        <v>350</v>
      </c>
      <c r="C3146" t="s">
        <v>1136</v>
      </c>
      <c r="D3146">
        <v>360584</v>
      </c>
      <c r="E3146">
        <v>80039</v>
      </c>
      <c r="F3146">
        <v>36072</v>
      </c>
    </row>
    <row r="3147" spans="1:6">
      <c r="A3147" t="s">
        <v>4280</v>
      </c>
      <c r="B3147">
        <v>350</v>
      </c>
      <c r="C3147" t="s">
        <v>1138</v>
      </c>
      <c r="D3147">
        <v>108176</v>
      </c>
      <c r="E3147">
        <v>80039</v>
      </c>
      <c r="F3147">
        <v>36072</v>
      </c>
    </row>
    <row r="3148" spans="1:6">
      <c r="A3148" t="s">
        <v>4281</v>
      </c>
      <c r="B3148">
        <v>350</v>
      </c>
      <c r="C3148" t="s">
        <v>738</v>
      </c>
      <c r="D3148">
        <v>2884672</v>
      </c>
      <c r="E3148">
        <v>80039</v>
      </c>
      <c r="F3148">
        <v>36072</v>
      </c>
    </row>
    <row r="3149" spans="1:6">
      <c r="A3149" t="s">
        <v>4282</v>
      </c>
      <c r="B3149">
        <v>350</v>
      </c>
      <c r="C3149" t="s">
        <v>1141</v>
      </c>
      <c r="D3149">
        <v>6490512</v>
      </c>
      <c r="E3149">
        <v>80039</v>
      </c>
      <c r="F3149">
        <v>36072</v>
      </c>
    </row>
    <row r="3150" spans="1:6">
      <c r="A3150" t="s">
        <v>4283</v>
      </c>
      <c r="B3150">
        <v>350</v>
      </c>
      <c r="C3150" t="s">
        <v>159</v>
      </c>
      <c r="D3150">
        <v>85187222</v>
      </c>
      <c r="E3150">
        <v>80039</v>
      </c>
      <c r="F3150">
        <v>36072</v>
      </c>
    </row>
    <row r="3151" spans="1:6">
      <c r="A3151" t="s">
        <v>4284</v>
      </c>
      <c r="B3151">
        <v>350</v>
      </c>
      <c r="C3151" t="s">
        <v>642</v>
      </c>
      <c r="D3151">
        <v>42593611</v>
      </c>
      <c r="E3151">
        <v>80039</v>
      </c>
      <c r="F3151">
        <v>36072</v>
      </c>
    </row>
    <row r="3152" spans="1:6">
      <c r="A3152" t="s">
        <v>4285</v>
      </c>
      <c r="B3152">
        <v>351</v>
      </c>
      <c r="C3152" t="s">
        <v>149</v>
      </c>
      <c r="D3152">
        <v>727309</v>
      </c>
      <c r="E3152">
        <v>80594</v>
      </c>
      <c r="F3152">
        <v>36208</v>
      </c>
    </row>
    <row r="3153" spans="1:6">
      <c r="A3153" t="s">
        <v>4286</v>
      </c>
      <c r="B3153">
        <v>351</v>
      </c>
      <c r="C3153" t="s">
        <v>1132</v>
      </c>
      <c r="D3153">
        <v>2181927</v>
      </c>
      <c r="E3153">
        <v>80594</v>
      </c>
      <c r="F3153">
        <v>36208</v>
      </c>
    </row>
    <row r="3154" spans="1:6">
      <c r="A3154" t="s">
        <v>4287</v>
      </c>
      <c r="B3154">
        <v>351</v>
      </c>
      <c r="C3154" t="s">
        <v>1134</v>
      </c>
      <c r="D3154">
        <v>1309157</v>
      </c>
      <c r="E3154">
        <v>80594</v>
      </c>
      <c r="F3154">
        <v>36208</v>
      </c>
    </row>
    <row r="3155" spans="1:6">
      <c r="A3155" t="s">
        <v>4288</v>
      </c>
      <c r="B3155">
        <v>351</v>
      </c>
      <c r="C3155" t="s">
        <v>1136</v>
      </c>
      <c r="D3155">
        <v>363655</v>
      </c>
      <c r="E3155">
        <v>80594</v>
      </c>
      <c r="F3155">
        <v>36208</v>
      </c>
    </row>
    <row r="3156" spans="1:6">
      <c r="A3156" t="s">
        <v>4289</v>
      </c>
      <c r="B3156">
        <v>351</v>
      </c>
      <c r="C3156" t="s">
        <v>1138</v>
      </c>
      <c r="D3156">
        <v>109097</v>
      </c>
      <c r="E3156">
        <v>80594</v>
      </c>
      <c r="F3156">
        <v>36208</v>
      </c>
    </row>
    <row r="3157" spans="1:6">
      <c r="A3157" t="s">
        <v>4290</v>
      </c>
      <c r="B3157">
        <v>351</v>
      </c>
      <c r="C3157" t="s">
        <v>738</v>
      </c>
      <c r="D3157">
        <v>2909236</v>
      </c>
      <c r="E3157">
        <v>80594</v>
      </c>
      <c r="F3157">
        <v>36208</v>
      </c>
    </row>
    <row r="3158" spans="1:6">
      <c r="A3158" t="s">
        <v>4291</v>
      </c>
      <c r="B3158">
        <v>351</v>
      </c>
      <c r="C3158" t="s">
        <v>1141</v>
      </c>
      <c r="D3158">
        <v>6545781</v>
      </c>
      <c r="E3158">
        <v>80594</v>
      </c>
      <c r="F3158">
        <v>36208</v>
      </c>
    </row>
    <row r="3159" spans="1:6">
      <c r="A3159" t="s">
        <v>4292</v>
      </c>
      <c r="B3159">
        <v>351</v>
      </c>
      <c r="C3159" t="s">
        <v>159</v>
      </c>
      <c r="D3159">
        <v>85967282</v>
      </c>
      <c r="E3159">
        <v>80594</v>
      </c>
      <c r="F3159">
        <v>36208</v>
      </c>
    </row>
    <row r="3160" spans="1:6">
      <c r="A3160" t="s">
        <v>4293</v>
      </c>
      <c r="B3160">
        <v>351</v>
      </c>
      <c r="C3160" t="s">
        <v>642</v>
      </c>
      <c r="D3160">
        <v>42983641</v>
      </c>
      <c r="E3160">
        <v>80594</v>
      </c>
      <c r="F3160">
        <v>36208</v>
      </c>
    </row>
    <row r="3161" spans="1:6">
      <c r="A3161" t="s">
        <v>4294</v>
      </c>
      <c r="B3161">
        <v>352</v>
      </c>
      <c r="C3161" t="s">
        <v>149</v>
      </c>
      <c r="D3161">
        <v>733491</v>
      </c>
      <c r="E3161">
        <v>81153</v>
      </c>
      <c r="F3161">
        <v>36343</v>
      </c>
    </row>
    <row r="3162" spans="1:6">
      <c r="A3162" t="s">
        <v>4295</v>
      </c>
      <c r="B3162">
        <v>352</v>
      </c>
      <c r="C3162" t="s">
        <v>1132</v>
      </c>
      <c r="D3162">
        <v>2200473</v>
      </c>
      <c r="E3162">
        <v>81153</v>
      </c>
      <c r="F3162">
        <v>36343</v>
      </c>
    </row>
    <row r="3163" spans="1:6">
      <c r="A3163" t="s">
        <v>4296</v>
      </c>
      <c r="B3163">
        <v>352</v>
      </c>
      <c r="C3163" t="s">
        <v>1134</v>
      </c>
      <c r="D3163">
        <v>1320284</v>
      </c>
      <c r="E3163">
        <v>81153</v>
      </c>
      <c r="F3163">
        <v>36343</v>
      </c>
    </row>
    <row r="3164" spans="1:6">
      <c r="A3164" t="s">
        <v>4297</v>
      </c>
      <c r="B3164">
        <v>352</v>
      </c>
      <c r="C3164" t="s">
        <v>1136</v>
      </c>
      <c r="D3164">
        <v>366746</v>
      </c>
      <c r="E3164">
        <v>81153</v>
      </c>
      <c r="F3164">
        <v>36343</v>
      </c>
    </row>
    <row r="3165" spans="1:6">
      <c r="A3165" t="s">
        <v>4298</v>
      </c>
      <c r="B3165">
        <v>352</v>
      </c>
      <c r="C3165" t="s">
        <v>1138</v>
      </c>
      <c r="D3165">
        <v>110024</v>
      </c>
      <c r="E3165">
        <v>81153</v>
      </c>
      <c r="F3165">
        <v>36343</v>
      </c>
    </row>
    <row r="3166" spans="1:6">
      <c r="A3166" t="s">
        <v>4299</v>
      </c>
      <c r="B3166">
        <v>352</v>
      </c>
      <c r="C3166" t="s">
        <v>738</v>
      </c>
      <c r="D3166">
        <v>2933964</v>
      </c>
      <c r="E3166">
        <v>81153</v>
      </c>
      <c r="F3166">
        <v>36343</v>
      </c>
    </row>
    <row r="3167" spans="1:6">
      <c r="A3167" t="s">
        <v>4300</v>
      </c>
      <c r="B3167">
        <v>352</v>
      </c>
      <c r="C3167" t="s">
        <v>1141</v>
      </c>
      <c r="D3167">
        <v>6601419</v>
      </c>
      <c r="E3167">
        <v>81153</v>
      </c>
      <c r="F3167">
        <v>36343</v>
      </c>
    </row>
    <row r="3168" spans="1:6">
      <c r="A3168" t="s">
        <v>4301</v>
      </c>
      <c r="B3168">
        <v>352</v>
      </c>
      <c r="C3168" t="s">
        <v>159</v>
      </c>
      <c r="D3168">
        <v>86753102</v>
      </c>
      <c r="E3168">
        <v>81153</v>
      </c>
      <c r="F3168">
        <v>36343</v>
      </c>
    </row>
    <row r="3169" spans="1:6">
      <c r="A3169" t="s">
        <v>4302</v>
      </c>
      <c r="B3169">
        <v>352</v>
      </c>
      <c r="C3169" t="s">
        <v>642</v>
      </c>
      <c r="D3169">
        <v>43376551</v>
      </c>
      <c r="E3169">
        <v>81153</v>
      </c>
      <c r="F3169">
        <v>36343</v>
      </c>
    </row>
    <row r="3170" spans="1:6">
      <c r="A3170" t="s">
        <v>4303</v>
      </c>
      <c r="B3170">
        <v>353</v>
      </c>
      <c r="C3170" t="s">
        <v>149</v>
      </c>
      <c r="D3170">
        <v>739713</v>
      </c>
      <c r="E3170">
        <v>81714</v>
      </c>
      <c r="F3170">
        <v>36479</v>
      </c>
    </row>
    <row r="3171" spans="1:6">
      <c r="A3171" t="s">
        <v>4304</v>
      </c>
      <c r="B3171">
        <v>353</v>
      </c>
      <c r="C3171" t="s">
        <v>1132</v>
      </c>
      <c r="D3171">
        <v>2219139</v>
      </c>
      <c r="E3171">
        <v>81714</v>
      </c>
      <c r="F3171">
        <v>36479</v>
      </c>
    </row>
    <row r="3172" spans="1:6">
      <c r="A3172" t="s">
        <v>4305</v>
      </c>
      <c r="B3172">
        <v>353</v>
      </c>
      <c r="C3172" t="s">
        <v>1134</v>
      </c>
      <c r="D3172">
        <v>1331484</v>
      </c>
      <c r="E3172">
        <v>81714</v>
      </c>
      <c r="F3172">
        <v>36479</v>
      </c>
    </row>
    <row r="3173" spans="1:6">
      <c r="A3173" t="s">
        <v>4306</v>
      </c>
      <c r="B3173">
        <v>353</v>
      </c>
      <c r="C3173" t="s">
        <v>1136</v>
      </c>
      <c r="D3173">
        <v>369857</v>
      </c>
      <c r="E3173">
        <v>81714</v>
      </c>
      <c r="F3173">
        <v>36479</v>
      </c>
    </row>
    <row r="3174" spans="1:6">
      <c r="A3174" t="s">
        <v>4307</v>
      </c>
      <c r="B3174">
        <v>353</v>
      </c>
      <c r="C3174" t="s">
        <v>1138</v>
      </c>
      <c r="D3174">
        <v>110957</v>
      </c>
      <c r="E3174">
        <v>81714</v>
      </c>
      <c r="F3174">
        <v>36479</v>
      </c>
    </row>
    <row r="3175" spans="1:6">
      <c r="A3175" t="s">
        <v>4308</v>
      </c>
      <c r="B3175">
        <v>353</v>
      </c>
      <c r="C3175" t="s">
        <v>738</v>
      </c>
      <c r="D3175">
        <v>2958852</v>
      </c>
      <c r="E3175">
        <v>81714</v>
      </c>
      <c r="F3175">
        <v>36479</v>
      </c>
    </row>
    <row r="3176" spans="1:6">
      <c r="A3176" t="s">
        <v>4309</v>
      </c>
      <c r="B3176">
        <v>353</v>
      </c>
      <c r="C3176" t="s">
        <v>1141</v>
      </c>
      <c r="D3176">
        <v>6657417</v>
      </c>
      <c r="E3176">
        <v>81714</v>
      </c>
      <c r="F3176">
        <v>36479</v>
      </c>
    </row>
    <row r="3177" spans="1:6">
      <c r="A3177" t="s">
        <v>4310</v>
      </c>
      <c r="B3177">
        <v>353</v>
      </c>
      <c r="C3177" t="s">
        <v>159</v>
      </c>
      <c r="D3177">
        <v>87544621</v>
      </c>
      <c r="E3177">
        <v>81714</v>
      </c>
      <c r="F3177">
        <v>36479</v>
      </c>
    </row>
    <row r="3178" spans="1:6">
      <c r="A3178" t="s">
        <v>4311</v>
      </c>
      <c r="B3178">
        <v>353</v>
      </c>
      <c r="C3178" t="s">
        <v>642</v>
      </c>
      <c r="D3178">
        <v>43772311</v>
      </c>
      <c r="E3178">
        <v>81714</v>
      </c>
      <c r="F3178">
        <v>36479</v>
      </c>
    </row>
    <row r="3179" spans="1:6">
      <c r="A3179" t="s">
        <v>4312</v>
      </c>
      <c r="B3179">
        <v>354</v>
      </c>
      <c r="C3179" t="s">
        <v>149</v>
      </c>
      <c r="D3179">
        <v>745977</v>
      </c>
      <c r="E3179">
        <v>82278</v>
      </c>
      <c r="F3179">
        <v>36615</v>
      </c>
    </row>
    <row r="3180" spans="1:6">
      <c r="A3180" t="s">
        <v>4313</v>
      </c>
      <c r="B3180">
        <v>354</v>
      </c>
      <c r="C3180" t="s">
        <v>1132</v>
      </c>
      <c r="D3180">
        <v>2237931</v>
      </c>
      <c r="E3180">
        <v>82278</v>
      </c>
      <c r="F3180">
        <v>36615</v>
      </c>
    </row>
    <row r="3181" spans="1:6">
      <c r="A3181" t="s">
        <v>4314</v>
      </c>
      <c r="B3181">
        <v>354</v>
      </c>
      <c r="C3181" t="s">
        <v>1134</v>
      </c>
      <c r="D3181">
        <v>1342759</v>
      </c>
      <c r="E3181">
        <v>82278</v>
      </c>
      <c r="F3181">
        <v>36615</v>
      </c>
    </row>
    <row r="3182" spans="1:6">
      <c r="A3182" t="s">
        <v>4315</v>
      </c>
      <c r="B3182">
        <v>354</v>
      </c>
      <c r="C3182" t="s">
        <v>1136</v>
      </c>
      <c r="D3182">
        <v>372989</v>
      </c>
      <c r="E3182">
        <v>82278</v>
      </c>
      <c r="F3182">
        <v>36615</v>
      </c>
    </row>
    <row r="3183" spans="1:6">
      <c r="A3183" t="s">
        <v>4316</v>
      </c>
      <c r="B3183">
        <v>354</v>
      </c>
      <c r="C3183" t="s">
        <v>1138</v>
      </c>
      <c r="D3183">
        <v>111897</v>
      </c>
      <c r="E3183">
        <v>82278</v>
      </c>
      <c r="F3183">
        <v>36615</v>
      </c>
    </row>
    <row r="3184" spans="1:6">
      <c r="A3184" t="s">
        <v>4317</v>
      </c>
      <c r="B3184">
        <v>354</v>
      </c>
      <c r="C3184" t="s">
        <v>738</v>
      </c>
      <c r="D3184">
        <v>2983908</v>
      </c>
      <c r="E3184">
        <v>82278</v>
      </c>
      <c r="F3184">
        <v>36615</v>
      </c>
    </row>
    <row r="3185" spans="1:6">
      <c r="A3185" t="s">
        <v>4318</v>
      </c>
      <c r="B3185">
        <v>354</v>
      </c>
      <c r="C3185" t="s">
        <v>1141</v>
      </c>
      <c r="D3185">
        <v>6713793</v>
      </c>
      <c r="E3185">
        <v>82278</v>
      </c>
      <c r="F3185">
        <v>36615</v>
      </c>
    </row>
    <row r="3186" spans="1:6">
      <c r="A3186" t="s">
        <v>4319</v>
      </c>
      <c r="B3186">
        <v>354</v>
      </c>
      <c r="C3186" t="s">
        <v>159</v>
      </c>
      <c r="D3186">
        <v>88342021</v>
      </c>
      <c r="E3186">
        <v>82278</v>
      </c>
      <c r="F3186">
        <v>36615</v>
      </c>
    </row>
    <row r="3187" spans="1:6">
      <c r="A3187" t="s">
        <v>4320</v>
      </c>
      <c r="B3187">
        <v>354</v>
      </c>
      <c r="C3187" t="s">
        <v>642</v>
      </c>
      <c r="D3187">
        <v>44171011</v>
      </c>
      <c r="E3187">
        <v>82278</v>
      </c>
      <c r="F3187">
        <v>36615</v>
      </c>
    </row>
    <row r="3188" spans="1:6">
      <c r="A3188" t="s">
        <v>4321</v>
      </c>
      <c r="B3188">
        <v>355</v>
      </c>
      <c r="C3188" t="s">
        <v>149</v>
      </c>
      <c r="D3188">
        <v>752283</v>
      </c>
      <c r="E3188">
        <v>82845</v>
      </c>
      <c r="F3188">
        <v>36751</v>
      </c>
    </row>
    <row r="3189" spans="1:6">
      <c r="A3189" t="s">
        <v>4322</v>
      </c>
      <c r="B3189">
        <v>355</v>
      </c>
      <c r="C3189" t="s">
        <v>1132</v>
      </c>
      <c r="D3189">
        <v>2256849</v>
      </c>
      <c r="E3189">
        <v>82845</v>
      </c>
      <c r="F3189">
        <v>36751</v>
      </c>
    </row>
    <row r="3190" spans="1:6">
      <c r="A3190" t="s">
        <v>4323</v>
      </c>
      <c r="B3190">
        <v>355</v>
      </c>
      <c r="C3190" t="s">
        <v>1134</v>
      </c>
      <c r="D3190">
        <v>1354110</v>
      </c>
      <c r="E3190">
        <v>82845</v>
      </c>
      <c r="F3190">
        <v>36751</v>
      </c>
    </row>
    <row r="3191" spans="1:6">
      <c r="A3191" t="s">
        <v>4324</v>
      </c>
      <c r="B3191">
        <v>355</v>
      </c>
      <c r="C3191" t="s">
        <v>1136</v>
      </c>
      <c r="D3191">
        <v>376142</v>
      </c>
      <c r="E3191">
        <v>82845</v>
      </c>
      <c r="F3191">
        <v>36751</v>
      </c>
    </row>
    <row r="3192" spans="1:6">
      <c r="A3192" t="s">
        <v>4325</v>
      </c>
      <c r="B3192">
        <v>355</v>
      </c>
      <c r="C3192" t="s">
        <v>1138</v>
      </c>
      <c r="D3192">
        <v>112843</v>
      </c>
      <c r="E3192">
        <v>82845</v>
      </c>
      <c r="F3192">
        <v>36751</v>
      </c>
    </row>
    <row r="3193" spans="1:6">
      <c r="A3193" t="s">
        <v>4326</v>
      </c>
      <c r="B3193">
        <v>355</v>
      </c>
      <c r="C3193" t="s">
        <v>738</v>
      </c>
      <c r="D3193">
        <v>3009132</v>
      </c>
      <c r="E3193">
        <v>82845</v>
      </c>
      <c r="F3193">
        <v>36751</v>
      </c>
    </row>
    <row r="3194" spans="1:6">
      <c r="A3194" t="s">
        <v>4327</v>
      </c>
      <c r="B3194">
        <v>355</v>
      </c>
      <c r="C3194" t="s">
        <v>1141</v>
      </c>
      <c r="D3194">
        <v>6770547</v>
      </c>
      <c r="E3194">
        <v>82845</v>
      </c>
      <c r="F3194">
        <v>36751</v>
      </c>
    </row>
    <row r="3195" spans="1:6">
      <c r="A3195" t="s">
        <v>4328</v>
      </c>
      <c r="B3195">
        <v>355</v>
      </c>
      <c r="C3195" t="s">
        <v>159</v>
      </c>
      <c r="D3195">
        <v>89145181</v>
      </c>
      <c r="E3195">
        <v>82845</v>
      </c>
      <c r="F3195">
        <v>36751</v>
      </c>
    </row>
    <row r="3196" spans="1:6">
      <c r="A3196" t="s">
        <v>4329</v>
      </c>
      <c r="B3196">
        <v>355</v>
      </c>
      <c r="C3196" t="s">
        <v>642</v>
      </c>
      <c r="D3196">
        <v>44572591</v>
      </c>
      <c r="E3196">
        <v>82845</v>
      </c>
      <c r="F3196">
        <v>36751</v>
      </c>
    </row>
    <row r="3197" spans="1:6">
      <c r="A3197" t="s">
        <v>4330</v>
      </c>
      <c r="B3197">
        <v>356</v>
      </c>
      <c r="C3197" t="s">
        <v>149</v>
      </c>
      <c r="D3197">
        <v>758630</v>
      </c>
      <c r="E3197">
        <v>83415</v>
      </c>
      <c r="F3197">
        <v>36887</v>
      </c>
    </row>
    <row r="3198" spans="1:6">
      <c r="A3198" t="s">
        <v>4331</v>
      </c>
      <c r="B3198">
        <v>356</v>
      </c>
      <c r="C3198" t="s">
        <v>1132</v>
      </c>
      <c r="D3198">
        <v>2275890</v>
      </c>
      <c r="E3198">
        <v>83415</v>
      </c>
      <c r="F3198">
        <v>36887</v>
      </c>
    </row>
    <row r="3199" spans="1:6">
      <c r="A3199" t="s">
        <v>4332</v>
      </c>
      <c r="B3199">
        <v>356</v>
      </c>
      <c r="C3199" t="s">
        <v>1134</v>
      </c>
      <c r="D3199">
        <v>1365534</v>
      </c>
      <c r="E3199">
        <v>83415</v>
      </c>
      <c r="F3199">
        <v>36887</v>
      </c>
    </row>
    <row r="3200" spans="1:6">
      <c r="A3200" t="s">
        <v>4333</v>
      </c>
      <c r="B3200">
        <v>356</v>
      </c>
      <c r="C3200" t="s">
        <v>1136</v>
      </c>
      <c r="D3200">
        <v>379315</v>
      </c>
      <c r="E3200">
        <v>83415</v>
      </c>
      <c r="F3200">
        <v>36887</v>
      </c>
    </row>
    <row r="3201" spans="1:6">
      <c r="A3201" t="s">
        <v>4334</v>
      </c>
      <c r="B3201">
        <v>356</v>
      </c>
      <c r="C3201" t="s">
        <v>1138</v>
      </c>
      <c r="D3201">
        <v>113795</v>
      </c>
      <c r="E3201">
        <v>83415</v>
      </c>
      <c r="F3201">
        <v>36887</v>
      </c>
    </row>
    <row r="3202" spans="1:6">
      <c r="A3202" t="s">
        <v>4335</v>
      </c>
      <c r="B3202">
        <v>356</v>
      </c>
      <c r="C3202" t="s">
        <v>738</v>
      </c>
      <c r="D3202">
        <v>3034520</v>
      </c>
      <c r="E3202">
        <v>83415</v>
      </c>
      <c r="F3202">
        <v>36887</v>
      </c>
    </row>
    <row r="3203" spans="1:6">
      <c r="A3203" t="s">
        <v>4336</v>
      </c>
      <c r="B3203">
        <v>356</v>
      </c>
      <c r="C3203" t="s">
        <v>1141</v>
      </c>
      <c r="D3203">
        <v>6827670</v>
      </c>
      <c r="E3203">
        <v>83415</v>
      </c>
      <c r="F3203">
        <v>36887</v>
      </c>
    </row>
    <row r="3204" spans="1:6">
      <c r="A3204" t="s">
        <v>4337</v>
      </c>
      <c r="B3204">
        <v>356</v>
      </c>
      <c r="C3204" t="s">
        <v>159</v>
      </c>
      <c r="D3204">
        <v>89954221</v>
      </c>
      <c r="E3204">
        <v>83415</v>
      </c>
      <c r="F3204">
        <v>36887</v>
      </c>
    </row>
    <row r="3205" spans="1:6">
      <c r="A3205" t="s">
        <v>4338</v>
      </c>
      <c r="B3205">
        <v>356</v>
      </c>
      <c r="C3205" t="s">
        <v>642</v>
      </c>
      <c r="D3205">
        <v>44977111</v>
      </c>
      <c r="E3205">
        <v>83415</v>
      </c>
      <c r="F3205">
        <v>36887</v>
      </c>
    </row>
    <row r="3206" spans="1:6">
      <c r="A3206" t="s">
        <v>4339</v>
      </c>
      <c r="B3206">
        <v>357</v>
      </c>
      <c r="C3206" t="s">
        <v>149</v>
      </c>
      <c r="D3206">
        <v>765019</v>
      </c>
      <c r="E3206">
        <v>83987</v>
      </c>
      <c r="F3206">
        <v>37024</v>
      </c>
    </row>
    <row r="3207" spans="1:6">
      <c r="A3207" t="s">
        <v>4340</v>
      </c>
      <c r="B3207">
        <v>357</v>
      </c>
      <c r="C3207" t="s">
        <v>1132</v>
      </c>
      <c r="D3207">
        <v>2295057</v>
      </c>
      <c r="E3207">
        <v>83987</v>
      </c>
      <c r="F3207">
        <v>37024</v>
      </c>
    </row>
    <row r="3208" spans="1:6">
      <c r="A3208" t="s">
        <v>4341</v>
      </c>
      <c r="B3208">
        <v>357</v>
      </c>
      <c r="C3208" t="s">
        <v>1134</v>
      </c>
      <c r="D3208">
        <v>1377035</v>
      </c>
      <c r="E3208">
        <v>83987</v>
      </c>
      <c r="F3208">
        <v>37024</v>
      </c>
    </row>
    <row r="3209" spans="1:6">
      <c r="A3209" t="s">
        <v>4342</v>
      </c>
      <c r="B3209">
        <v>357</v>
      </c>
      <c r="C3209" t="s">
        <v>1136</v>
      </c>
      <c r="D3209">
        <v>382510</v>
      </c>
      <c r="E3209">
        <v>83987</v>
      </c>
      <c r="F3209">
        <v>37024</v>
      </c>
    </row>
    <row r="3210" spans="1:6">
      <c r="A3210" t="s">
        <v>4343</v>
      </c>
      <c r="B3210">
        <v>357</v>
      </c>
      <c r="C3210" t="s">
        <v>1138</v>
      </c>
      <c r="D3210">
        <v>114753</v>
      </c>
      <c r="E3210">
        <v>83987</v>
      </c>
      <c r="F3210">
        <v>37024</v>
      </c>
    </row>
    <row r="3211" spans="1:6">
      <c r="A3211" t="s">
        <v>4344</v>
      </c>
      <c r="B3211">
        <v>357</v>
      </c>
      <c r="C3211" t="s">
        <v>738</v>
      </c>
      <c r="D3211">
        <v>3060076</v>
      </c>
      <c r="E3211">
        <v>83987</v>
      </c>
      <c r="F3211">
        <v>37024</v>
      </c>
    </row>
    <row r="3212" spans="1:6">
      <c r="A3212" t="s">
        <v>4345</v>
      </c>
      <c r="B3212">
        <v>357</v>
      </c>
      <c r="C3212" t="s">
        <v>1141</v>
      </c>
      <c r="D3212">
        <v>6885171</v>
      </c>
      <c r="E3212">
        <v>83987</v>
      </c>
      <c r="F3212">
        <v>37024</v>
      </c>
    </row>
    <row r="3213" spans="1:6">
      <c r="A3213" t="s">
        <v>4346</v>
      </c>
      <c r="B3213">
        <v>357</v>
      </c>
      <c r="C3213" t="s">
        <v>159</v>
      </c>
      <c r="D3213">
        <v>90769201</v>
      </c>
      <c r="E3213">
        <v>83987</v>
      </c>
      <c r="F3213">
        <v>37024</v>
      </c>
    </row>
    <row r="3214" spans="1:6">
      <c r="A3214" t="s">
        <v>4347</v>
      </c>
      <c r="B3214">
        <v>357</v>
      </c>
      <c r="C3214" t="s">
        <v>642</v>
      </c>
      <c r="D3214">
        <v>45384601</v>
      </c>
      <c r="E3214">
        <v>83987</v>
      </c>
      <c r="F3214">
        <v>37024</v>
      </c>
    </row>
    <row r="3215" spans="1:6">
      <c r="A3215" t="s">
        <v>4348</v>
      </c>
      <c r="B3215">
        <v>358</v>
      </c>
      <c r="C3215" t="s">
        <v>149</v>
      </c>
      <c r="D3215">
        <v>771451</v>
      </c>
      <c r="E3215">
        <v>84563</v>
      </c>
      <c r="F3215">
        <v>37161</v>
      </c>
    </row>
    <row r="3216" spans="1:6">
      <c r="A3216" t="s">
        <v>4349</v>
      </c>
      <c r="B3216">
        <v>358</v>
      </c>
      <c r="C3216" t="s">
        <v>1132</v>
      </c>
      <c r="D3216">
        <v>2314353</v>
      </c>
      <c r="E3216">
        <v>84563</v>
      </c>
      <c r="F3216">
        <v>37161</v>
      </c>
    </row>
    <row r="3217" spans="1:6">
      <c r="A3217" t="s">
        <v>4350</v>
      </c>
      <c r="B3217">
        <v>358</v>
      </c>
      <c r="C3217" t="s">
        <v>1134</v>
      </c>
      <c r="D3217">
        <v>1388612</v>
      </c>
      <c r="E3217">
        <v>84563</v>
      </c>
      <c r="F3217">
        <v>37161</v>
      </c>
    </row>
    <row r="3218" spans="1:6">
      <c r="A3218" t="s">
        <v>4351</v>
      </c>
      <c r="B3218">
        <v>358</v>
      </c>
      <c r="C3218" t="s">
        <v>1136</v>
      </c>
      <c r="D3218">
        <v>385726</v>
      </c>
      <c r="E3218">
        <v>84563</v>
      </c>
      <c r="F3218">
        <v>37161</v>
      </c>
    </row>
    <row r="3219" spans="1:6">
      <c r="A3219" t="s">
        <v>4352</v>
      </c>
      <c r="B3219">
        <v>358</v>
      </c>
      <c r="C3219" t="s">
        <v>1138</v>
      </c>
      <c r="D3219">
        <v>115718</v>
      </c>
      <c r="E3219">
        <v>84563</v>
      </c>
      <c r="F3219">
        <v>37161</v>
      </c>
    </row>
    <row r="3220" spans="1:6">
      <c r="A3220" t="s">
        <v>4353</v>
      </c>
      <c r="B3220">
        <v>358</v>
      </c>
      <c r="C3220" t="s">
        <v>738</v>
      </c>
      <c r="D3220">
        <v>3085804</v>
      </c>
      <c r="E3220">
        <v>84563</v>
      </c>
      <c r="F3220">
        <v>37161</v>
      </c>
    </row>
    <row r="3221" spans="1:6">
      <c r="A3221" t="s">
        <v>4354</v>
      </c>
      <c r="B3221">
        <v>358</v>
      </c>
      <c r="C3221" t="s">
        <v>1141</v>
      </c>
      <c r="D3221">
        <v>6943059</v>
      </c>
      <c r="E3221">
        <v>84563</v>
      </c>
      <c r="F3221">
        <v>37161</v>
      </c>
    </row>
    <row r="3222" spans="1:6">
      <c r="A3222" t="s">
        <v>4355</v>
      </c>
      <c r="B3222">
        <v>358</v>
      </c>
      <c r="C3222" t="s">
        <v>159</v>
      </c>
      <c r="D3222">
        <v>91590061</v>
      </c>
      <c r="E3222">
        <v>84563</v>
      </c>
      <c r="F3222">
        <v>37161</v>
      </c>
    </row>
    <row r="3223" spans="1:6">
      <c r="A3223" t="s">
        <v>4356</v>
      </c>
      <c r="B3223">
        <v>358</v>
      </c>
      <c r="C3223" t="s">
        <v>642</v>
      </c>
      <c r="D3223">
        <v>45795031</v>
      </c>
      <c r="E3223">
        <v>84563</v>
      </c>
      <c r="F3223">
        <v>37161</v>
      </c>
    </row>
    <row r="3224" spans="1:6">
      <c r="A3224" t="s">
        <v>4357</v>
      </c>
      <c r="B3224">
        <v>359</v>
      </c>
      <c r="C3224" t="s">
        <v>149</v>
      </c>
      <c r="D3224">
        <v>777924</v>
      </c>
      <c r="E3224">
        <v>85142</v>
      </c>
      <c r="F3224">
        <v>37297</v>
      </c>
    </row>
    <row r="3225" spans="1:6">
      <c r="A3225" t="s">
        <v>4358</v>
      </c>
      <c r="B3225">
        <v>359</v>
      </c>
      <c r="C3225" t="s">
        <v>1132</v>
      </c>
      <c r="D3225">
        <v>2333772</v>
      </c>
      <c r="E3225">
        <v>85142</v>
      </c>
      <c r="F3225">
        <v>37297</v>
      </c>
    </row>
    <row r="3226" spans="1:6">
      <c r="A3226" t="s">
        <v>4359</v>
      </c>
      <c r="B3226">
        <v>359</v>
      </c>
      <c r="C3226" t="s">
        <v>1134</v>
      </c>
      <c r="D3226">
        <v>1400264</v>
      </c>
      <c r="E3226">
        <v>85142</v>
      </c>
      <c r="F3226">
        <v>37297</v>
      </c>
    </row>
    <row r="3227" spans="1:6">
      <c r="A3227" t="s">
        <v>4360</v>
      </c>
      <c r="B3227">
        <v>359</v>
      </c>
      <c r="C3227" t="s">
        <v>1136</v>
      </c>
      <c r="D3227">
        <v>388962</v>
      </c>
      <c r="E3227">
        <v>85142</v>
      </c>
      <c r="F3227">
        <v>37297</v>
      </c>
    </row>
    <row r="3228" spans="1:6">
      <c r="A3228" t="s">
        <v>4361</v>
      </c>
      <c r="B3228">
        <v>359</v>
      </c>
      <c r="C3228" t="s">
        <v>1138</v>
      </c>
      <c r="D3228">
        <v>116689</v>
      </c>
      <c r="E3228">
        <v>85142</v>
      </c>
      <c r="F3228">
        <v>37297</v>
      </c>
    </row>
    <row r="3229" spans="1:6">
      <c r="A3229" t="s">
        <v>4362</v>
      </c>
      <c r="B3229">
        <v>359</v>
      </c>
      <c r="C3229" t="s">
        <v>738</v>
      </c>
      <c r="D3229">
        <v>3111696</v>
      </c>
      <c r="E3229">
        <v>85142</v>
      </c>
      <c r="F3229">
        <v>37297</v>
      </c>
    </row>
    <row r="3230" spans="1:6">
      <c r="A3230" t="s">
        <v>4363</v>
      </c>
      <c r="B3230">
        <v>359</v>
      </c>
      <c r="C3230" t="s">
        <v>1141</v>
      </c>
      <c r="D3230">
        <v>7001316</v>
      </c>
      <c r="E3230">
        <v>85142</v>
      </c>
      <c r="F3230">
        <v>37297</v>
      </c>
    </row>
    <row r="3231" spans="1:6">
      <c r="A3231" t="s">
        <v>4364</v>
      </c>
      <c r="B3231">
        <v>359</v>
      </c>
      <c r="C3231" t="s">
        <v>159</v>
      </c>
      <c r="D3231">
        <v>92416921</v>
      </c>
      <c r="E3231">
        <v>85142</v>
      </c>
      <c r="F3231">
        <v>37297</v>
      </c>
    </row>
    <row r="3232" spans="1:6">
      <c r="A3232" t="s">
        <v>4365</v>
      </c>
      <c r="B3232">
        <v>359</v>
      </c>
      <c r="C3232" t="s">
        <v>642</v>
      </c>
      <c r="D3232">
        <v>46208461</v>
      </c>
      <c r="E3232">
        <v>85142</v>
      </c>
      <c r="F3232">
        <v>37297</v>
      </c>
    </row>
    <row r="3233" spans="1:6">
      <c r="A3233" t="s">
        <v>4366</v>
      </c>
      <c r="B3233">
        <v>360</v>
      </c>
      <c r="C3233" t="s">
        <v>149</v>
      </c>
      <c r="D3233">
        <v>784440</v>
      </c>
      <c r="E3233">
        <v>85723</v>
      </c>
      <c r="F3233">
        <v>37435</v>
      </c>
    </row>
    <row r="3234" spans="1:6">
      <c r="A3234" t="s">
        <v>4367</v>
      </c>
      <c r="B3234">
        <v>360</v>
      </c>
      <c r="C3234" t="s">
        <v>1132</v>
      </c>
      <c r="D3234">
        <v>2353320</v>
      </c>
      <c r="E3234">
        <v>85723</v>
      </c>
      <c r="F3234">
        <v>37435</v>
      </c>
    </row>
    <row r="3235" spans="1:6">
      <c r="A3235" t="s">
        <v>4368</v>
      </c>
      <c r="B3235">
        <v>360</v>
      </c>
      <c r="C3235" t="s">
        <v>1134</v>
      </c>
      <c r="D3235">
        <v>1411992</v>
      </c>
      <c r="E3235">
        <v>85723</v>
      </c>
      <c r="F3235">
        <v>37435</v>
      </c>
    </row>
    <row r="3236" spans="1:6">
      <c r="A3236" t="s">
        <v>4369</v>
      </c>
      <c r="B3236">
        <v>360</v>
      </c>
      <c r="C3236" t="s">
        <v>1136</v>
      </c>
      <c r="D3236">
        <v>392220</v>
      </c>
      <c r="E3236">
        <v>85723</v>
      </c>
      <c r="F3236">
        <v>37435</v>
      </c>
    </row>
    <row r="3237" spans="1:6">
      <c r="A3237" t="s">
        <v>4370</v>
      </c>
      <c r="B3237">
        <v>360</v>
      </c>
      <c r="C3237" t="s">
        <v>1138</v>
      </c>
      <c r="D3237">
        <v>117666</v>
      </c>
      <c r="E3237">
        <v>85723</v>
      </c>
      <c r="F3237">
        <v>37435</v>
      </c>
    </row>
    <row r="3238" spans="1:6">
      <c r="A3238" t="s">
        <v>4371</v>
      </c>
      <c r="B3238">
        <v>360</v>
      </c>
      <c r="C3238" t="s">
        <v>738</v>
      </c>
      <c r="D3238">
        <v>3137760</v>
      </c>
      <c r="E3238">
        <v>85723</v>
      </c>
      <c r="F3238">
        <v>37435</v>
      </c>
    </row>
    <row r="3239" spans="1:6">
      <c r="A3239" t="s">
        <v>4372</v>
      </c>
      <c r="B3239">
        <v>360</v>
      </c>
      <c r="C3239" t="s">
        <v>1141</v>
      </c>
      <c r="D3239">
        <v>7059960</v>
      </c>
      <c r="E3239">
        <v>85723</v>
      </c>
      <c r="F3239">
        <v>37435</v>
      </c>
    </row>
    <row r="3240" spans="1:6">
      <c r="A3240" t="s">
        <v>4373</v>
      </c>
      <c r="B3240">
        <v>360</v>
      </c>
      <c r="C3240" t="s">
        <v>159</v>
      </c>
      <c r="D3240">
        <v>93249781</v>
      </c>
      <c r="E3240">
        <v>85723</v>
      </c>
      <c r="F3240">
        <v>37435</v>
      </c>
    </row>
    <row r="3241" spans="1:6">
      <c r="A3241" t="s">
        <v>4374</v>
      </c>
      <c r="B3241">
        <v>360</v>
      </c>
      <c r="C3241" t="s">
        <v>642</v>
      </c>
      <c r="D3241">
        <v>46624891</v>
      </c>
      <c r="E3241">
        <v>85723</v>
      </c>
      <c r="F3241">
        <v>37435</v>
      </c>
    </row>
    <row r="3242" spans="1:6">
      <c r="A3242" t="s">
        <v>4375</v>
      </c>
      <c r="B3242">
        <v>361</v>
      </c>
      <c r="C3242" t="s">
        <v>149</v>
      </c>
      <c r="D3242">
        <v>790999</v>
      </c>
      <c r="E3242">
        <v>86307</v>
      </c>
      <c r="F3242">
        <v>37572</v>
      </c>
    </row>
    <row r="3243" spans="1:6">
      <c r="A3243" t="s">
        <v>4376</v>
      </c>
      <c r="B3243">
        <v>361</v>
      </c>
      <c r="C3243" t="s">
        <v>1132</v>
      </c>
      <c r="D3243">
        <v>2372997</v>
      </c>
      <c r="E3243">
        <v>86307</v>
      </c>
      <c r="F3243">
        <v>37572</v>
      </c>
    </row>
    <row r="3244" spans="1:6">
      <c r="A3244" t="s">
        <v>4377</v>
      </c>
      <c r="B3244">
        <v>361</v>
      </c>
      <c r="C3244" t="s">
        <v>1134</v>
      </c>
      <c r="D3244">
        <v>1423799</v>
      </c>
      <c r="E3244">
        <v>86307</v>
      </c>
      <c r="F3244">
        <v>37572</v>
      </c>
    </row>
    <row r="3245" spans="1:6">
      <c r="A3245" t="s">
        <v>4378</v>
      </c>
      <c r="B3245">
        <v>361</v>
      </c>
      <c r="C3245" t="s">
        <v>1136</v>
      </c>
      <c r="D3245">
        <v>395500</v>
      </c>
      <c r="E3245">
        <v>86307</v>
      </c>
      <c r="F3245">
        <v>37572</v>
      </c>
    </row>
    <row r="3246" spans="1:6">
      <c r="A3246" t="s">
        <v>4379</v>
      </c>
      <c r="B3246">
        <v>361</v>
      </c>
      <c r="C3246" t="s">
        <v>1138</v>
      </c>
      <c r="D3246">
        <v>118650</v>
      </c>
      <c r="E3246">
        <v>86307</v>
      </c>
      <c r="F3246">
        <v>37572</v>
      </c>
    </row>
    <row r="3247" spans="1:6">
      <c r="A3247" t="s">
        <v>4380</v>
      </c>
      <c r="B3247">
        <v>361</v>
      </c>
      <c r="C3247" t="s">
        <v>738</v>
      </c>
      <c r="D3247">
        <v>3163996</v>
      </c>
      <c r="E3247">
        <v>86307</v>
      </c>
      <c r="F3247">
        <v>37572</v>
      </c>
    </row>
    <row r="3248" spans="1:6">
      <c r="A3248" t="s">
        <v>4381</v>
      </c>
      <c r="B3248">
        <v>361</v>
      </c>
      <c r="C3248" t="s">
        <v>1141</v>
      </c>
      <c r="D3248">
        <v>7118991</v>
      </c>
      <c r="E3248">
        <v>86307</v>
      </c>
      <c r="F3248">
        <v>37572</v>
      </c>
    </row>
    <row r="3249" spans="1:6">
      <c r="A3249" t="s">
        <v>4382</v>
      </c>
      <c r="B3249">
        <v>361</v>
      </c>
      <c r="C3249" t="s">
        <v>159</v>
      </c>
      <c r="D3249">
        <v>94088701</v>
      </c>
      <c r="E3249">
        <v>86307</v>
      </c>
      <c r="F3249">
        <v>37572</v>
      </c>
    </row>
    <row r="3250" spans="1:6">
      <c r="A3250" t="s">
        <v>4383</v>
      </c>
      <c r="B3250">
        <v>361</v>
      </c>
      <c r="C3250" t="s">
        <v>642</v>
      </c>
      <c r="D3250">
        <v>47044351</v>
      </c>
      <c r="E3250">
        <v>86307</v>
      </c>
      <c r="F3250">
        <v>37572</v>
      </c>
    </row>
    <row r="3251" spans="1:6">
      <c r="A3251" t="s">
        <v>4384</v>
      </c>
      <c r="B3251">
        <v>362</v>
      </c>
      <c r="C3251" t="s">
        <v>149</v>
      </c>
      <c r="D3251">
        <v>797601</v>
      </c>
      <c r="E3251">
        <v>86895</v>
      </c>
      <c r="F3251">
        <v>37709</v>
      </c>
    </row>
    <row r="3252" spans="1:6">
      <c r="A3252" t="s">
        <v>4385</v>
      </c>
      <c r="B3252">
        <v>362</v>
      </c>
      <c r="C3252" t="s">
        <v>1132</v>
      </c>
      <c r="D3252">
        <v>2392803</v>
      </c>
      <c r="E3252">
        <v>86895</v>
      </c>
      <c r="F3252">
        <v>37709</v>
      </c>
    </row>
    <row r="3253" spans="1:6">
      <c r="A3253" t="s">
        <v>4386</v>
      </c>
      <c r="B3253">
        <v>362</v>
      </c>
      <c r="C3253" t="s">
        <v>1134</v>
      </c>
      <c r="D3253">
        <v>1435682</v>
      </c>
      <c r="E3253">
        <v>86895</v>
      </c>
      <c r="F3253">
        <v>37709</v>
      </c>
    </row>
    <row r="3254" spans="1:6">
      <c r="A3254" t="s">
        <v>4387</v>
      </c>
      <c r="B3254">
        <v>362</v>
      </c>
      <c r="C3254" t="s">
        <v>1136</v>
      </c>
      <c r="D3254">
        <v>398801</v>
      </c>
      <c r="E3254">
        <v>86895</v>
      </c>
      <c r="F3254">
        <v>37709</v>
      </c>
    </row>
    <row r="3255" spans="1:6">
      <c r="A3255" t="s">
        <v>4388</v>
      </c>
      <c r="B3255">
        <v>362</v>
      </c>
      <c r="C3255" t="s">
        <v>1138</v>
      </c>
      <c r="D3255">
        <v>119641</v>
      </c>
      <c r="E3255">
        <v>86895</v>
      </c>
      <c r="F3255">
        <v>37709</v>
      </c>
    </row>
    <row r="3256" spans="1:6">
      <c r="A3256" t="s">
        <v>4389</v>
      </c>
      <c r="B3256">
        <v>362</v>
      </c>
      <c r="C3256" t="s">
        <v>738</v>
      </c>
      <c r="D3256">
        <v>3190404</v>
      </c>
      <c r="E3256">
        <v>86895</v>
      </c>
      <c r="F3256">
        <v>37709</v>
      </c>
    </row>
    <row r="3257" spans="1:6">
      <c r="A3257" t="s">
        <v>4390</v>
      </c>
      <c r="B3257">
        <v>362</v>
      </c>
      <c r="C3257" t="s">
        <v>1141</v>
      </c>
      <c r="D3257">
        <v>7178409</v>
      </c>
      <c r="E3257">
        <v>86895</v>
      </c>
      <c r="F3257">
        <v>37709</v>
      </c>
    </row>
    <row r="3258" spans="1:6">
      <c r="A3258" t="s">
        <v>4391</v>
      </c>
      <c r="B3258">
        <v>362</v>
      </c>
      <c r="C3258" t="s">
        <v>159</v>
      </c>
      <c r="D3258">
        <v>94933621</v>
      </c>
      <c r="E3258">
        <v>86895</v>
      </c>
      <c r="F3258">
        <v>37709</v>
      </c>
    </row>
    <row r="3259" spans="1:6">
      <c r="A3259" t="s">
        <v>4392</v>
      </c>
      <c r="B3259">
        <v>362</v>
      </c>
      <c r="C3259" t="s">
        <v>642</v>
      </c>
      <c r="D3259">
        <v>47466810</v>
      </c>
      <c r="E3259">
        <v>86895</v>
      </c>
      <c r="F3259">
        <v>37709</v>
      </c>
    </row>
    <row r="3260" spans="1:6">
      <c r="A3260" t="s">
        <v>4393</v>
      </c>
      <c r="B3260">
        <v>363</v>
      </c>
      <c r="C3260" t="s">
        <v>149</v>
      </c>
      <c r="D3260">
        <v>804247</v>
      </c>
      <c r="E3260">
        <v>87485</v>
      </c>
      <c r="F3260">
        <v>37847</v>
      </c>
    </row>
    <row r="3261" spans="1:6">
      <c r="A3261" t="s">
        <v>4394</v>
      </c>
      <c r="B3261">
        <v>363</v>
      </c>
      <c r="C3261" t="s">
        <v>1132</v>
      </c>
      <c r="D3261">
        <v>2412741</v>
      </c>
      <c r="E3261">
        <v>87485</v>
      </c>
      <c r="F3261">
        <v>37847</v>
      </c>
    </row>
    <row r="3262" spans="1:6">
      <c r="A3262" t="s">
        <v>4395</v>
      </c>
      <c r="B3262">
        <v>363</v>
      </c>
      <c r="C3262" t="s">
        <v>1134</v>
      </c>
      <c r="D3262">
        <v>1447645</v>
      </c>
      <c r="E3262">
        <v>87485</v>
      </c>
      <c r="F3262">
        <v>37847</v>
      </c>
    </row>
    <row r="3263" spans="1:6">
      <c r="A3263" t="s">
        <v>4396</v>
      </c>
      <c r="B3263">
        <v>363</v>
      </c>
      <c r="C3263" t="s">
        <v>1136</v>
      </c>
      <c r="D3263">
        <v>402124</v>
      </c>
      <c r="E3263">
        <v>87485</v>
      </c>
      <c r="F3263">
        <v>37847</v>
      </c>
    </row>
    <row r="3264" spans="1:6">
      <c r="A3264" t="s">
        <v>4397</v>
      </c>
      <c r="B3264">
        <v>363</v>
      </c>
      <c r="C3264" t="s">
        <v>1138</v>
      </c>
      <c r="D3264">
        <v>120638</v>
      </c>
      <c r="E3264">
        <v>87485</v>
      </c>
      <c r="F3264">
        <v>37847</v>
      </c>
    </row>
    <row r="3265" spans="1:6">
      <c r="A3265" t="s">
        <v>4398</v>
      </c>
      <c r="B3265">
        <v>363</v>
      </c>
      <c r="C3265" t="s">
        <v>738</v>
      </c>
      <c r="D3265">
        <v>3216988</v>
      </c>
      <c r="E3265">
        <v>87485</v>
      </c>
      <c r="F3265">
        <v>37847</v>
      </c>
    </row>
    <row r="3266" spans="1:6">
      <c r="A3266" t="s">
        <v>4399</v>
      </c>
      <c r="B3266">
        <v>363</v>
      </c>
      <c r="C3266" t="s">
        <v>1141</v>
      </c>
      <c r="D3266">
        <v>7238223</v>
      </c>
      <c r="E3266">
        <v>87485</v>
      </c>
      <c r="F3266">
        <v>37847</v>
      </c>
    </row>
    <row r="3267" spans="1:6">
      <c r="A3267" t="s">
        <v>4400</v>
      </c>
      <c r="B3267">
        <v>363</v>
      </c>
      <c r="C3267" t="s">
        <v>159</v>
      </c>
      <c r="D3267">
        <v>95784721</v>
      </c>
      <c r="E3267">
        <v>87485</v>
      </c>
      <c r="F3267">
        <v>37847</v>
      </c>
    </row>
    <row r="3268" spans="1:6">
      <c r="A3268" t="s">
        <v>4401</v>
      </c>
      <c r="B3268">
        <v>363</v>
      </c>
      <c r="C3268" t="s">
        <v>642</v>
      </c>
      <c r="D3268">
        <v>47892360</v>
      </c>
      <c r="E3268">
        <v>87485</v>
      </c>
      <c r="F3268">
        <v>37847</v>
      </c>
    </row>
    <row r="3269" spans="1:6">
      <c r="A3269" t="s">
        <v>4402</v>
      </c>
      <c r="B3269">
        <v>364</v>
      </c>
      <c r="C3269" t="s">
        <v>149</v>
      </c>
      <c r="D3269">
        <v>810935</v>
      </c>
      <c r="E3269">
        <v>88078</v>
      </c>
      <c r="F3269">
        <v>37985</v>
      </c>
    </row>
    <row r="3270" spans="1:6">
      <c r="A3270" t="s">
        <v>4403</v>
      </c>
      <c r="B3270">
        <v>364</v>
      </c>
      <c r="C3270" t="s">
        <v>1132</v>
      </c>
      <c r="D3270">
        <v>2432805</v>
      </c>
      <c r="E3270">
        <v>88078</v>
      </c>
      <c r="F3270">
        <v>37985</v>
      </c>
    </row>
    <row r="3271" spans="1:6">
      <c r="A3271" t="s">
        <v>4404</v>
      </c>
      <c r="B3271">
        <v>364</v>
      </c>
      <c r="C3271" t="s">
        <v>1134</v>
      </c>
      <c r="D3271">
        <v>1459683</v>
      </c>
      <c r="E3271">
        <v>88078</v>
      </c>
      <c r="F3271">
        <v>37985</v>
      </c>
    </row>
    <row r="3272" spans="1:6">
      <c r="A3272" t="s">
        <v>4405</v>
      </c>
      <c r="B3272">
        <v>364</v>
      </c>
      <c r="C3272" t="s">
        <v>1136</v>
      </c>
      <c r="D3272">
        <v>405468</v>
      </c>
      <c r="E3272">
        <v>88078</v>
      </c>
      <c r="F3272">
        <v>37985</v>
      </c>
    </row>
    <row r="3273" spans="1:6">
      <c r="A3273" t="s">
        <v>4406</v>
      </c>
      <c r="B3273">
        <v>364</v>
      </c>
      <c r="C3273" t="s">
        <v>1138</v>
      </c>
      <c r="D3273">
        <v>121641</v>
      </c>
      <c r="E3273">
        <v>88078</v>
      </c>
      <c r="F3273">
        <v>37985</v>
      </c>
    </row>
    <row r="3274" spans="1:6">
      <c r="A3274" t="s">
        <v>4407</v>
      </c>
      <c r="B3274">
        <v>364</v>
      </c>
      <c r="C3274" t="s">
        <v>738</v>
      </c>
      <c r="D3274">
        <v>3243740</v>
      </c>
      <c r="E3274">
        <v>88078</v>
      </c>
      <c r="F3274">
        <v>37985</v>
      </c>
    </row>
    <row r="3275" spans="1:6">
      <c r="A3275" t="s">
        <v>4408</v>
      </c>
      <c r="B3275">
        <v>364</v>
      </c>
      <c r="C3275" t="s">
        <v>1141</v>
      </c>
      <c r="D3275">
        <v>7298415</v>
      </c>
      <c r="E3275">
        <v>88078</v>
      </c>
      <c r="F3275">
        <v>37985</v>
      </c>
    </row>
    <row r="3276" spans="1:6">
      <c r="A3276" t="s">
        <v>4409</v>
      </c>
      <c r="B3276">
        <v>364</v>
      </c>
      <c r="C3276" t="s">
        <v>159</v>
      </c>
      <c r="D3276">
        <v>96641941</v>
      </c>
      <c r="E3276">
        <v>88078</v>
      </c>
      <c r="F3276">
        <v>37985</v>
      </c>
    </row>
    <row r="3277" spans="1:6">
      <c r="A3277" t="s">
        <v>4410</v>
      </c>
      <c r="B3277">
        <v>364</v>
      </c>
      <c r="C3277" t="s">
        <v>642</v>
      </c>
      <c r="D3277">
        <v>48320970</v>
      </c>
      <c r="E3277">
        <v>88078</v>
      </c>
      <c r="F3277">
        <v>37985</v>
      </c>
    </row>
    <row r="3278" spans="1:6">
      <c r="A3278" t="s">
        <v>4411</v>
      </c>
      <c r="B3278">
        <v>365</v>
      </c>
      <c r="C3278" t="s">
        <v>149</v>
      </c>
      <c r="D3278">
        <v>817668</v>
      </c>
      <c r="E3278">
        <v>88674</v>
      </c>
      <c r="F3278">
        <v>38123</v>
      </c>
    </row>
    <row r="3279" spans="1:6">
      <c r="A3279" t="s">
        <v>4412</v>
      </c>
      <c r="B3279">
        <v>365</v>
      </c>
      <c r="C3279" t="s">
        <v>1132</v>
      </c>
      <c r="D3279">
        <v>2453004</v>
      </c>
      <c r="E3279">
        <v>88674</v>
      </c>
      <c r="F3279">
        <v>38123</v>
      </c>
    </row>
    <row r="3280" spans="1:6">
      <c r="A3280" t="s">
        <v>4413</v>
      </c>
      <c r="B3280">
        <v>365</v>
      </c>
      <c r="C3280" t="s">
        <v>1134</v>
      </c>
      <c r="D3280">
        <v>1471803</v>
      </c>
      <c r="E3280">
        <v>88674</v>
      </c>
      <c r="F3280">
        <v>38123</v>
      </c>
    </row>
    <row r="3281" spans="1:6">
      <c r="A3281" t="s">
        <v>4414</v>
      </c>
      <c r="B3281">
        <v>365</v>
      </c>
      <c r="C3281" t="s">
        <v>1136</v>
      </c>
      <c r="D3281">
        <v>408834</v>
      </c>
      <c r="E3281">
        <v>88674</v>
      </c>
      <c r="F3281">
        <v>38123</v>
      </c>
    </row>
    <row r="3282" spans="1:6">
      <c r="A3282" t="s">
        <v>4415</v>
      </c>
      <c r="B3282">
        <v>365</v>
      </c>
      <c r="C3282" t="s">
        <v>1138</v>
      </c>
      <c r="D3282">
        <v>122651</v>
      </c>
      <c r="E3282">
        <v>88674</v>
      </c>
      <c r="F3282">
        <v>38123</v>
      </c>
    </row>
    <row r="3283" spans="1:6">
      <c r="A3283" t="s">
        <v>4416</v>
      </c>
      <c r="B3283">
        <v>365</v>
      </c>
      <c r="C3283" t="s">
        <v>738</v>
      </c>
      <c r="D3283">
        <v>3270672</v>
      </c>
      <c r="E3283">
        <v>88674</v>
      </c>
      <c r="F3283">
        <v>38123</v>
      </c>
    </row>
    <row r="3284" spans="1:6">
      <c r="A3284" t="s">
        <v>4417</v>
      </c>
      <c r="B3284">
        <v>365</v>
      </c>
      <c r="C3284" t="s">
        <v>1141</v>
      </c>
      <c r="D3284">
        <v>7359012</v>
      </c>
      <c r="E3284">
        <v>88674</v>
      </c>
      <c r="F3284">
        <v>38123</v>
      </c>
    </row>
    <row r="3285" spans="1:6">
      <c r="A3285" t="s">
        <v>4418</v>
      </c>
      <c r="B3285">
        <v>365</v>
      </c>
      <c r="C3285" t="s">
        <v>159</v>
      </c>
      <c r="D3285">
        <v>97505341</v>
      </c>
      <c r="E3285">
        <v>88674</v>
      </c>
      <c r="F3285">
        <v>38123</v>
      </c>
    </row>
    <row r="3286" spans="1:6">
      <c r="A3286" t="s">
        <v>4419</v>
      </c>
      <c r="B3286">
        <v>365</v>
      </c>
      <c r="C3286" t="s">
        <v>642</v>
      </c>
      <c r="D3286">
        <v>48752670</v>
      </c>
      <c r="E3286">
        <v>88674</v>
      </c>
      <c r="F3286">
        <v>38123</v>
      </c>
    </row>
    <row r="3287" spans="1:6">
      <c r="A3287" t="s">
        <v>4420</v>
      </c>
      <c r="B3287">
        <v>366</v>
      </c>
      <c r="C3287" t="s">
        <v>149</v>
      </c>
      <c r="D3287">
        <v>824444</v>
      </c>
      <c r="E3287">
        <v>89273</v>
      </c>
      <c r="F3287">
        <v>38261</v>
      </c>
    </row>
    <row r="3288" spans="1:6">
      <c r="A3288" t="s">
        <v>4421</v>
      </c>
      <c r="B3288">
        <v>366</v>
      </c>
      <c r="C3288" t="s">
        <v>1132</v>
      </c>
      <c r="D3288">
        <v>2473332</v>
      </c>
      <c r="E3288">
        <v>89273</v>
      </c>
      <c r="F3288">
        <v>38261</v>
      </c>
    </row>
    <row r="3289" spans="1:6">
      <c r="A3289" t="s">
        <v>4422</v>
      </c>
      <c r="B3289">
        <v>366</v>
      </c>
      <c r="C3289" t="s">
        <v>1134</v>
      </c>
      <c r="D3289">
        <v>1484000</v>
      </c>
      <c r="E3289">
        <v>89273</v>
      </c>
      <c r="F3289">
        <v>38261</v>
      </c>
    </row>
    <row r="3290" spans="1:6">
      <c r="A3290" t="s">
        <v>4423</v>
      </c>
      <c r="B3290">
        <v>366</v>
      </c>
      <c r="C3290" t="s">
        <v>1136</v>
      </c>
      <c r="D3290">
        <v>412222</v>
      </c>
      <c r="E3290">
        <v>89273</v>
      </c>
      <c r="F3290">
        <v>38261</v>
      </c>
    </row>
    <row r="3291" spans="1:6">
      <c r="A3291" t="s">
        <v>4424</v>
      </c>
      <c r="B3291">
        <v>366</v>
      </c>
      <c r="C3291" t="s">
        <v>1138</v>
      </c>
      <c r="D3291">
        <v>123667</v>
      </c>
      <c r="E3291">
        <v>89273</v>
      </c>
      <c r="F3291">
        <v>38261</v>
      </c>
    </row>
    <row r="3292" spans="1:6">
      <c r="A3292" t="s">
        <v>4425</v>
      </c>
      <c r="B3292">
        <v>366</v>
      </c>
      <c r="C3292" t="s">
        <v>738</v>
      </c>
      <c r="D3292">
        <v>3297776</v>
      </c>
      <c r="E3292">
        <v>89273</v>
      </c>
      <c r="F3292">
        <v>38261</v>
      </c>
    </row>
    <row r="3293" spans="1:6">
      <c r="A3293" t="s">
        <v>4426</v>
      </c>
      <c r="B3293">
        <v>366</v>
      </c>
      <c r="C3293" t="s">
        <v>1141</v>
      </c>
      <c r="D3293">
        <v>7419996</v>
      </c>
      <c r="E3293">
        <v>89273</v>
      </c>
      <c r="F3293">
        <v>38261</v>
      </c>
    </row>
    <row r="3294" spans="1:6">
      <c r="A3294" t="s">
        <v>4427</v>
      </c>
      <c r="B3294">
        <v>366</v>
      </c>
      <c r="C3294" t="s">
        <v>159</v>
      </c>
      <c r="D3294">
        <v>98374981</v>
      </c>
      <c r="E3294">
        <v>89273</v>
      </c>
      <c r="F3294">
        <v>38261</v>
      </c>
    </row>
    <row r="3295" spans="1:6">
      <c r="A3295" t="s">
        <v>4428</v>
      </c>
      <c r="B3295">
        <v>366</v>
      </c>
      <c r="C3295" t="s">
        <v>642</v>
      </c>
      <c r="D3295">
        <v>49187490</v>
      </c>
      <c r="E3295">
        <v>89273</v>
      </c>
      <c r="F3295">
        <v>38261</v>
      </c>
    </row>
    <row r="3296" spans="1:6">
      <c r="A3296" t="s">
        <v>4429</v>
      </c>
      <c r="B3296">
        <v>367</v>
      </c>
      <c r="C3296" t="s">
        <v>149</v>
      </c>
      <c r="D3296">
        <v>831264</v>
      </c>
      <c r="E3296">
        <v>89876</v>
      </c>
      <c r="F3296">
        <v>38399</v>
      </c>
    </row>
    <row r="3297" spans="1:6">
      <c r="A3297" t="s">
        <v>4430</v>
      </c>
      <c r="B3297">
        <v>367</v>
      </c>
      <c r="C3297" t="s">
        <v>1132</v>
      </c>
      <c r="D3297">
        <v>2493792</v>
      </c>
      <c r="E3297">
        <v>89876</v>
      </c>
      <c r="F3297">
        <v>38399</v>
      </c>
    </row>
    <row r="3298" spans="1:6">
      <c r="A3298" t="s">
        <v>4431</v>
      </c>
      <c r="B3298">
        <v>367</v>
      </c>
      <c r="C3298" t="s">
        <v>1134</v>
      </c>
      <c r="D3298">
        <v>1496276</v>
      </c>
      <c r="E3298">
        <v>89876</v>
      </c>
      <c r="F3298">
        <v>38399</v>
      </c>
    </row>
    <row r="3299" spans="1:6">
      <c r="A3299" t="s">
        <v>4432</v>
      </c>
      <c r="B3299">
        <v>367</v>
      </c>
      <c r="C3299" t="s">
        <v>1136</v>
      </c>
      <c r="D3299">
        <v>415632</v>
      </c>
      <c r="E3299">
        <v>89876</v>
      </c>
      <c r="F3299">
        <v>38399</v>
      </c>
    </row>
    <row r="3300" spans="1:6">
      <c r="A3300" t="s">
        <v>4433</v>
      </c>
      <c r="B3300">
        <v>367</v>
      </c>
      <c r="C3300" t="s">
        <v>1138</v>
      </c>
      <c r="D3300">
        <v>124690</v>
      </c>
      <c r="E3300">
        <v>89876</v>
      </c>
      <c r="F3300">
        <v>38399</v>
      </c>
    </row>
    <row r="3301" spans="1:6">
      <c r="A3301" t="s">
        <v>4434</v>
      </c>
      <c r="B3301">
        <v>367</v>
      </c>
      <c r="C3301" t="s">
        <v>738</v>
      </c>
      <c r="D3301">
        <v>3325056</v>
      </c>
      <c r="E3301">
        <v>89876</v>
      </c>
      <c r="F3301">
        <v>38399</v>
      </c>
    </row>
    <row r="3302" spans="1:6">
      <c r="A3302" t="s">
        <v>4435</v>
      </c>
      <c r="B3302">
        <v>367</v>
      </c>
      <c r="C3302" t="s">
        <v>1141</v>
      </c>
      <c r="D3302">
        <v>7481376</v>
      </c>
      <c r="E3302">
        <v>89876</v>
      </c>
      <c r="F3302">
        <v>38399</v>
      </c>
    </row>
    <row r="3303" spans="1:6">
      <c r="A3303" t="s">
        <v>4436</v>
      </c>
      <c r="B3303">
        <v>367</v>
      </c>
      <c r="C3303" t="s">
        <v>159</v>
      </c>
      <c r="D3303">
        <v>99250861</v>
      </c>
      <c r="E3303">
        <v>89876</v>
      </c>
      <c r="F3303">
        <v>38399</v>
      </c>
    </row>
    <row r="3304" spans="1:6">
      <c r="A3304" t="s">
        <v>4437</v>
      </c>
      <c r="B3304">
        <v>367</v>
      </c>
      <c r="C3304" t="s">
        <v>642</v>
      </c>
      <c r="D3304">
        <v>49625430</v>
      </c>
      <c r="E3304">
        <v>89876</v>
      </c>
      <c r="F3304">
        <v>38399</v>
      </c>
    </row>
    <row r="3305" spans="1:6">
      <c r="A3305" t="s">
        <v>4438</v>
      </c>
      <c r="B3305">
        <v>368</v>
      </c>
      <c r="C3305" t="s">
        <v>149</v>
      </c>
      <c r="D3305">
        <v>838129</v>
      </c>
      <c r="E3305">
        <v>90481</v>
      </c>
      <c r="F3305">
        <v>38538</v>
      </c>
    </row>
    <row r="3306" spans="1:6">
      <c r="A3306" t="s">
        <v>4439</v>
      </c>
      <c r="B3306">
        <v>368</v>
      </c>
      <c r="C3306" t="s">
        <v>1132</v>
      </c>
      <c r="D3306">
        <v>2514387</v>
      </c>
      <c r="E3306">
        <v>90481</v>
      </c>
      <c r="F3306">
        <v>38538</v>
      </c>
    </row>
    <row r="3307" spans="1:6">
      <c r="A3307" t="s">
        <v>4440</v>
      </c>
      <c r="B3307">
        <v>368</v>
      </c>
      <c r="C3307" t="s">
        <v>1134</v>
      </c>
      <c r="D3307">
        <v>1508633</v>
      </c>
      <c r="E3307">
        <v>90481</v>
      </c>
      <c r="F3307">
        <v>38538</v>
      </c>
    </row>
    <row r="3308" spans="1:6">
      <c r="A3308" t="s">
        <v>4441</v>
      </c>
      <c r="B3308">
        <v>368</v>
      </c>
      <c r="C3308" t="s">
        <v>1136</v>
      </c>
      <c r="D3308">
        <v>419065</v>
      </c>
      <c r="E3308">
        <v>90481</v>
      </c>
      <c r="F3308">
        <v>38538</v>
      </c>
    </row>
    <row r="3309" spans="1:6">
      <c r="A3309" t="s">
        <v>4442</v>
      </c>
      <c r="B3309">
        <v>368</v>
      </c>
      <c r="C3309" t="s">
        <v>1138</v>
      </c>
      <c r="D3309">
        <v>125720</v>
      </c>
      <c r="E3309">
        <v>90481</v>
      </c>
      <c r="F3309">
        <v>38538</v>
      </c>
    </row>
    <row r="3310" spans="1:6">
      <c r="A3310" t="s">
        <v>4443</v>
      </c>
      <c r="B3310">
        <v>368</v>
      </c>
      <c r="C3310" t="s">
        <v>738</v>
      </c>
      <c r="D3310">
        <v>3352516</v>
      </c>
      <c r="E3310">
        <v>90481</v>
      </c>
      <c r="F3310">
        <v>38538</v>
      </c>
    </row>
    <row r="3311" spans="1:6">
      <c r="A3311" t="s">
        <v>4444</v>
      </c>
      <c r="B3311">
        <v>368</v>
      </c>
      <c r="C3311" t="s">
        <v>1141</v>
      </c>
      <c r="D3311">
        <v>7543161</v>
      </c>
      <c r="E3311">
        <v>90481</v>
      </c>
      <c r="F3311">
        <v>38538</v>
      </c>
    </row>
    <row r="3312" spans="1:6">
      <c r="A3312" t="s">
        <v>4445</v>
      </c>
      <c r="B3312">
        <v>368</v>
      </c>
      <c r="C3312" t="s">
        <v>159</v>
      </c>
      <c r="D3312">
        <v>100133041</v>
      </c>
      <c r="E3312">
        <v>90481</v>
      </c>
      <c r="F3312">
        <v>38538</v>
      </c>
    </row>
    <row r="3313" spans="1:6">
      <c r="A3313" t="s">
        <v>4446</v>
      </c>
      <c r="B3313">
        <v>368</v>
      </c>
      <c r="C3313" t="s">
        <v>642</v>
      </c>
      <c r="D3313">
        <v>50066520</v>
      </c>
      <c r="E3313">
        <v>90481</v>
      </c>
      <c r="F3313">
        <v>38538</v>
      </c>
    </row>
    <row r="3314" spans="1:6">
      <c r="A3314" t="s">
        <v>4447</v>
      </c>
      <c r="B3314">
        <v>369</v>
      </c>
      <c r="C3314" t="s">
        <v>149</v>
      </c>
      <c r="D3314">
        <v>845038</v>
      </c>
      <c r="E3314">
        <v>91089</v>
      </c>
      <c r="F3314">
        <v>38676</v>
      </c>
    </row>
    <row r="3315" spans="1:6">
      <c r="A3315" t="s">
        <v>4448</v>
      </c>
      <c r="B3315">
        <v>369</v>
      </c>
      <c r="C3315" t="s">
        <v>1132</v>
      </c>
      <c r="D3315">
        <v>2535114</v>
      </c>
      <c r="E3315">
        <v>91089</v>
      </c>
      <c r="F3315">
        <v>38676</v>
      </c>
    </row>
    <row r="3316" spans="1:6">
      <c r="A3316" t="s">
        <v>4449</v>
      </c>
      <c r="B3316">
        <v>369</v>
      </c>
      <c r="C3316" t="s">
        <v>1134</v>
      </c>
      <c r="D3316">
        <v>1521069</v>
      </c>
      <c r="E3316">
        <v>91089</v>
      </c>
      <c r="F3316">
        <v>38676</v>
      </c>
    </row>
    <row r="3317" spans="1:6">
      <c r="A3317" t="s">
        <v>4450</v>
      </c>
      <c r="B3317">
        <v>369</v>
      </c>
      <c r="C3317" t="s">
        <v>1136</v>
      </c>
      <c r="D3317">
        <v>422519</v>
      </c>
      <c r="E3317">
        <v>91089</v>
      </c>
      <c r="F3317">
        <v>38676</v>
      </c>
    </row>
    <row r="3318" spans="1:6">
      <c r="A3318" t="s">
        <v>4451</v>
      </c>
      <c r="B3318">
        <v>369</v>
      </c>
      <c r="C3318" t="s">
        <v>1138</v>
      </c>
      <c r="D3318">
        <v>126756</v>
      </c>
      <c r="E3318">
        <v>91089</v>
      </c>
      <c r="F3318">
        <v>38676</v>
      </c>
    </row>
    <row r="3319" spans="1:6">
      <c r="A3319" t="s">
        <v>4452</v>
      </c>
      <c r="B3319">
        <v>369</v>
      </c>
      <c r="C3319" t="s">
        <v>738</v>
      </c>
      <c r="D3319">
        <v>3380152</v>
      </c>
      <c r="E3319">
        <v>91089</v>
      </c>
      <c r="F3319">
        <v>38676</v>
      </c>
    </row>
    <row r="3320" spans="1:6">
      <c r="A3320" t="s">
        <v>4453</v>
      </c>
      <c r="B3320">
        <v>369</v>
      </c>
      <c r="C3320" t="s">
        <v>1141</v>
      </c>
      <c r="D3320">
        <v>7605342</v>
      </c>
      <c r="E3320">
        <v>91089</v>
      </c>
      <c r="F3320">
        <v>38676</v>
      </c>
    </row>
    <row r="3321" spans="1:6">
      <c r="A3321" t="s">
        <v>4454</v>
      </c>
      <c r="B3321">
        <v>369</v>
      </c>
      <c r="C3321" t="s">
        <v>159</v>
      </c>
      <c r="D3321">
        <v>101021521</v>
      </c>
      <c r="E3321">
        <v>91089</v>
      </c>
      <c r="F3321">
        <v>38676</v>
      </c>
    </row>
    <row r="3322" spans="1:6">
      <c r="A3322" t="s">
        <v>4455</v>
      </c>
      <c r="B3322">
        <v>369</v>
      </c>
      <c r="C3322" t="s">
        <v>642</v>
      </c>
      <c r="D3322">
        <v>50510760</v>
      </c>
      <c r="E3322">
        <v>91089</v>
      </c>
      <c r="F3322">
        <v>38676</v>
      </c>
    </row>
    <row r="3323" spans="1:6">
      <c r="A3323" t="s">
        <v>4456</v>
      </c>
      <c r="B3323">
        <v>370</v>
      </c>
      <c r="C3323" t="s">
        <v>149</v>
      </c>
      <c r="D3323">
        <v>851992</v>
      </c>
      <c r="E3323">
        <v>91700</v>
      </c>
      <c r="F3323">
        <v>38815</v>
      </c>
    </row>
    <row r="3324" spans="1:6">
      <c r="A3324" t="s">
        <v>4457</v>
      </c>
      <c r="B3324">
        <v>370</v>
      </c>
      <c r="C3324" t="s">
        <v>1132</v>
      </c>
      <c r="D3324">
        <v>2555976</v>
      </c>
      <c r="E3324">
        <v>91700</v>
      </c>
      <c r="F3324">
        <v>38815</v>
      </c>
    </row>
    <row r="3325" spans="1:6">
      <c r="A3325" t="s">
        <v>4458</v>
      </c>
      <c r="B3325">
        <v>370</v>
      </c>
      <c r="C3325" t="s">
        <v>1134</v>
      </c>
      <c r="D3325">
        <v>1533586</v>
      </c>
      <c r="E3325">
        <v>91700</v>
      </c>
      <c r="F3325">
        <v>38815</v>
      </c>
    </row>
    <row r="3326" spans="1:6">
      <c r="A3326" t="s">
        <v>4459</v>
      </c>
      <c r="B3326">
        <v>370</v>
      </c>
      <c r="C3326" t="s">
        <v>1136</v>
      </c>
      <c r="D3326">
        <v>425996</v>
      </c>
      <c r="E3326">
        <v>91700</v>
      </c>
      <c r="F3326">
        <v>38815</v>
      </c>
    </row>
    <row r="3327" spans="1:6">
      <c r="A3327" t="s">
        <v>4460</v>
      </c>
      <c r="B3327">
        <v>370</v>
      </c>
      <c r="C3327" t="s">
        <v>1138</v>
      </c>
      <c r="D3327">
        <v>127799</v>
      </c>
      <c r="E3327">
        <v>91700</v>
      </c>
      <c r="F3327">
        <v>38815</v>
      </c>
    </row>
    <row r="3328" spans="1:6">
      <c r="A3328" t="s">
        <v>4461</v>
      </c>
      <c r="B3328">
        <v>370</v>
      </c>
      <c r="C3328" t="s">
        <v>738</v>
      </c>
      <c r="D3328">
        <v>3407968</v>
      </c>
      <c r="E3328">
        <v>91700</v>
      </c>
      <c r="F3328">
        <v>38815</v>
      </c>
    </row>
    <row r="3329" spans="1:6">
      <c r="A3329" t="s">
        <v>4462</v>
      </c>
      <c r="B3329">
        <v>370</v>
      </c>
      <c r="C3329" t="s">
        <v>1141</v>
      </c>
      <c r="D3329">
        <v>7667928</v>
      </c>
      <c r="E3329">
        <v>91700</v>
      </c>
      <c r="F3329">
        <v>38815</v>
      </c>
    </row>
    <row r="3330" spans="1:6">
      <c r="A3330" t="s">
        <v>4463</v>
      </c>
      <c r="B3330">
        <v>370</v>
      </c>
      <c r="C3330" t="s">
        <v>159</v>
      </c>
      <c r="D3330">
        <v>101916421</v>
      </c>
      <c r="E3330">
        <v>91700</v>
      </c>
      <c r="F3330">
        <v>38815</v>
      </c>
    </row>
    <row r="3331" spans="1:6">
      <c r="A3331" t="s">
        <v>4464</v>
      </c>
      <c r="B3331">
        <v>370</v>
      </c>
      <c r="C3331" t="s">
        <v>642</v>
      </c>
      <c r="D3331">
        <v>50958210</v>
      </c>
      <c r="E3331">
        <v>91700</v>
      </c>
      <c r="F3331">
        <v>38815</v>
      </c>
    </row>
    <row r="3332" spans="1:6">
      <c r="A3332" t="s">
        <v>4465</v>
      </c>
      <c r="B3332">
        <v>371</v>
      </c>
      <c r="C3332" t="s">
        <v>149</v>
      </c>
      <c r="D3332">
        <v>858991</v>
      </c>
      <c r="E3332">
        <v>92314</v>
      </c>
      <c r="F3332">
        <v>38954</v>
      </c>
    </row>
    <row r="3333" spans="1:6">
      <c r="A3333" t="s">
        <v>4466</v>
      </c>
      <c r="B3333">
        <v>371</v>
      </c>
      <c r="C3333" t="s">
        <v>1132</v>
      </c>
      <c r="D3333">
        <v>2576973</v>
      </c>
      <c r="E3333">
        <v>92314</v>
      </c>
      <c r="F3333">
        <v>38954</v>
      </c>
    </row>
    <row r="3334" spans="1:6">
      <c r="A3334" t="s">
        <v>4467</v>
      </c>
      <c r="B3334">
        <v>371</v>
      </c>
      <c r="C3334" t="s">
        <v>1134</v>
      </c>
      <c r="D3334">
        <v>1546184</v>
      </c>
      <c r="E3334">
        <v>92314</v>
      </c>
      <c r="F3334">
        <v>38954</v>
      </c>
    </row>
    <row r="3335" spans="1:6">
      <c r="A3335" t="s">
        <v>4468</v>
      </c>
      <c r="B3335">
        <v>371</v>
      </c>
      <c r="C3335" t="s">
        <v>1136</v>
      </c>
      <c r="D3335">
        <v>429496</v>
      </c>
      <c r="E3335">
        <v>92314</v>
      </c>
      <c r="F3335">
        <v>38954</v>
      </c>
    </row>
    <row r="3336" spans="1:6">
      <c r="A3336" t="s">
        <v>4469</v>
      </c>
      <c r="B3336">
        <v>371</v>
      </c>
      <c r="C3336" t="s">
        <v>1138</v>
      </c>
      <c r="D3336">
        <v>128849</v>
      </c>
      <c r="E3336">
        <v>92314</v>
      </c>
      <c r="F3336">
        <v>38954</v>
      </c>
    </row>
    <row r="3337" spans="1:6">
      <c r="A3337" t="s">
        <v>4470</v>
      </c>
      <c r="B3337">
        <v>371</v>
      </c>
      <c r="C3337" t="s">
        <v>738</v>
      </c>
      <c r="D3337">
        <v>3435964</v>
      </c>
      <c r="E3337">
        <v>92314</v>
      </c>
      <c r="F3337">
        <v>38954</v>
      </c>
    </row>
    <row r="3338" spans="1:6">
      <c r="A3338" t="s">
        <v>4471</v>
      </c>
      <c r="B3338">
        <v>371</v>
      </c>
      <c r="C3338" t="s">
        <v>1141</v>
      </c>
      <c r="D3338">
        <v>7730919</v>
      </c>
      <c r="E3338">
        <v>92314</v>
      </c>
      <c r="F3338">
        <v>38954</v>
      </c>
    </row>
    <row r="3339" spans="1:6">
      <c r="A3339" t="s">
        <v>4472</v>
      </c>
      <c r="B3339">
        <v>371</v>
      </c>
      <c r="C3339" t="s">
        <v>159</v>
      </c>
      <c r="D3339">
        <v>102817681</v>
      </c>
      <c r="E3339">
        <v>92314</v>
      </c>
      <c r="F3339">
        <v>38954</v>
      </c>
    </row>
    <row r="3340" spans="1:6">
      <c r="A3340" t="s">
        <v>4473</v>
      </c>
      <c r="B3340">
        <v>371</v>
      </c>
      <c r="C3340" t="s">
        <v>642</v>
      </c>
      <c r="D3340">
        <v>51408840</v>
      </c>
      <c r="E3340">
        <v>92314</v>
      </c>
      <c r="F3340">
        <v>38954</v>
      </c>
    </row>
    <row r="3341" spans="1:6">
      <c r="A3341" t="s">
        <v>4474</v>
      </c>
      <c r="B3341">
        <v>372</v>
      </c>
      <c r="C3341" t="s">
        <v>149</v>
      </c>
      <c r="D3341">
        <v>866036</v>
      </c>
      <c r="E3341">
        <v>92932</v>
      </c>
      <c r="F3341">
        <v>39094</v>
      </c>
    </row>
    <row r="3342" spans="1:6">
      <c r="A3342" t="s">
        <v>4475</v>
      </c>
      <c r="B3342">
        <v>372</v>
      </c>
      <c r="C3342" t="s">
        <v>1132</v>
      </c>
      <c r="D3342">
        <v>2598108</v>
      </c>
      <c r="E3342">
        <v>92932</v>
      </c>
      <c r="F3342">
        <v>39094</v>
      </c>
    </row>
    <row r="3343" spans="1:6">
      <c r="A3343" t="s">
        <v>4476</v>
      </c>
      <c r="B3343">
        <v>372</v>
      </c>
      <c r="C3343" t="s">
        <v>1134</v>
      </c>
      <c r="D3343">
        <v>1558865</v>
      </c>
      <c r="E3343">
        <v>92932</v>
      </c>
      <c r="F3343">
        <v>39094</v>
      </c>
    </row>
    <row r="3344" spans="1:6">
      <c r="A3344" t="s">
        <v>4477</v>
      </c>
      <c r="B3344">
        <v>372</v>
      </c>
      <c r="C3344" t="s">
        <v>1136</v>
      </c>
      <c r="D3344">
        <v>433018</v>
      </c>
      <c r="E3344">
        <v>92932</v>
      </c>
      <c r="F3344">
        <v>39094</v>
      </c>
    </row>
    <row r="3345" spans="1:6">
      <c r="A3345" t="s">
        <v>4478</v>
      </c>
      <c r="B3345">
        <v>372</v>
      </c>
      <c r="C3345" t="s">
        <v>1138</v>
      </c>
      <c r="D3345">
        <v>129906</v>
      </c>
      <c r="E3345">
        <v>92932</v>
      </c>
      <c r="F3345">
        <v>39094</v>
      </c>
    </row>
    <row r="3346" spans="1:6">
      <c r="A3346" t="s">
        <v>4479</v>
      </c>
      <c r="B3346">
        <v>372</v>
      </c>
      <c r="C3346" t="s">
        <v>738</v>
      </c>
      <c r="D3346">
        <v>3464144</v>
      </c>
      <c r="E3346">
        <v>92932</v>
      </c>
      <c r="F3346">
        <v>39094</v>
      </c>
    </row>
    <row r="3347" spans="1:6">
      <c r="A3347" t="s">
        <v>4480</v>
      </c>
      <c r="B3347">
        <v>372</v>
      </c>
      <c r="C3347" t="s">
        <v>1141</v>
      </c>
      <c r="D3347">
        <v>7794324</v>
      </c>
      <c r="E3347">
        <v>92932</v>
      </c>
      <c r="F3347">
        <v>39094</v>
      </c>
    </row>
    <row r="3348" spans="1:6">
      <c r="A3348" t="s">
        <v>4481</v>
      </c>
      <c r="B3348">
        <v>372</v>
      </c>
      <c r="C3348" t="s">
        <v>159</v>
      </c>
      <c r="D3348">
        <v>103725361</v>
      </c>
      <c r="E3348">
        <v>92932</v>
      </c>
      <c r="F3348">
        <v>39094</v>
      </c>
    </row>
    <row r="3349" spans="1:6">
      <c r="A3349" t="s">
        <v>4482</v>
      </c>
      <c r="B3349">
        <v>372</v>
      </c>
      <c r="C3349" t="s">
        <v>642</v>
      </c>
      <c r="D3349">
        <v>51862680</v>
      </c>
      <c r="E3349">
        <v>92932</v>
      </c>
      <c r="F3349">
        <v>39094</v>
      </c>
    </row>
    <row r="3350" spans="1:6">
      <c r="A3350" t="s">
        <v>4483</v>
      </c>
      <c r="B3350">
        <v>373</v>
      </c>
      <c r="C3350" t="s">
        <v>149</v>
      </c>
      <c r="D3350">
        <v>873125</v>
      </c>
      <c r="E3350">
        <v>93552</v>
      </c>
      <c r="F3350">
        <v>39233</v>
      </c>
    </row>
    <row r="3351" spans="1:6">
      <c r="A3351" t="s">
        <v>4484</v>
      </c>
      <c r="B3351">
        <v>373</v>
      </c>
      <c r="C3351" t="s">
        <v>1132</v>
      </c>
      <c r="D3351">
        <v>2619375</v>
      </c>
      <c r="E3351">
        <v>93552</v>
      </c>
      <c r="F3351">
        <v>39233</v>
      </c>
    </row>
    <row r="3352" spans="1:6">
      <c r="A3352" t="s">
        <v>4485</v>
      </c>
      <c r="B3352">
        <v>373</v>
      </c>
      <c r="C3352" t="s">
        <v>1134</v>
      </c>
      <c r="D3352">
        <v>1571625</v>
      </c>
      <c r="E3352">
        <v>93552</v>
      </c>
      <c r="F3352">
        <v>39233</v>
      </c>
    </row>
    <row r="3353" spans="1:6">
      <c r="A3353" t="s">
        <v>4486</v>
      </c>
      <c r="B3353">
        <v>373</v>
      </c>
      <c r="C3353" t="s">
        <v>1136</v>
      </c>
      <c r="D3353">
        <v>436563</v>
      </c>
      <c r="E3353">
        <v>93552</v>
      </c>
      <c r="F3353">
        <v>39233</v>
      </c>
    </row>
    <row r="3354" spans="1:6">
      <c r="A3354" t="s">
        <v>4487</v>
      </c>
      <c r="B3354">
        <v>373</v>
      </c>
      <c r="C3354" t="s">
        <v>1138</v>
      </c>
      <c r="D3354">
        <v>130969</v>
      </c>
      <c r="E3354">
        <v>93552</v>
      </c>
      <c r="F3354">
        <v>39233</v>
      </c>
    </row>
    <row r="3355" spans="1:6">
      <c r="A3355" t="s">
        <v>4488</v>
      </c>
      <c r="B3355">
        <v>373</v>
      </c>
      <c r="C3355" t="s">
        <v>738</v>
      </c>
      <c r="D3355">
        <v>3492500</v>
      </c>
      <c r="E3355">
        <v>93552</v>
      </c>
      <c r="F3355">
        <v>39233</v>
      </c>
    </row>
    <row r="3356" spans="1:6">
      <c r="A3356" t="s">
        <v>4489</v>
      </c>
      <c r="B3356">
        <v>373</v>
      </c>
      <c r="C3356" t="s">
        <v>1141</v>
      </c>
      <c r="D3356">
        <v>7858125</v>
      </c>
      <c r="E3356">
        <v>93552</v>
      </c>
      <c r="F3356">
        <v>39233</v>
      </c>
    </row>
    <row r="3357" spans="1:6">
      <c r="A3357" t="s">
        <v>4490</v>
      </c>
      <c r="B3357">
        <v>373</v>
      </c>
      <c r="C3357" t="s">
        <v>159</v>
      </c>
      <c r="D3357">
        <v>104639521</v>
      </c>
      <c r="E3357">
        <v>93552</v>
      </c>
      <c r="F3357">
        <v>39233</v>
      </c>
    </row>
    <row r="3358" spans="1:6">
      <c r="A3358" t="s">
        <v>4491</v>
      </c>
      <c r="B3358">
        <v>373</v>
      </c>
      <c r="C3358" t="s">
        <v>642</v>
      </c>
      <c r="D3358">
        <v>52319760</v>
      </c>
      <c r="E3358">
        <v>93552</v>
      </c>
      <c r="F3358">
        <v>39233</v>
      </c>
    </row>
    <row r="3359" spans="1:6">
      <c r="A3359" t="s">
        <v>4492</v>
      </c>
      <c r="B3359">
        <v>374</v>
      </c>
      <c r="C3359" t="s">
        <v>149</v>
      </c>
      <c r="D3359">
        <v>880261</v>
      </c>
      <c r="E3359">
        <v>94175</v>
      </c>
      <c r="F3359">
        <v>39373</v>
      </c>
    </row>
    <row r="3360" spans="1:6">
      <c r="A3360" t="s">
        <v>4493</v>
      </c>
      <c r="B3360">
        <v>374</v>
      </c>
      <c r="C3360" t="s">
        <v>1132</v>
      </c>
      <c r="D3360">
        <v>2640783</v>
      </c>
      <c r="E3360">
        <v>94175</v>
      </c>
      <c r="F3360">
        <v>39373</v>
      </c>
    </row>
    <row r="3361" spans="1:6">
      <c r="A3361" t="s">
        <v>4494</v>
      </c>
      <c r="B3361">
        <v>374</v>
      </c>
      <c r="C3361" t="s">
        <v>1134</v>
      </c>
      <c r="D3361">
        <v>1584470</v>
      </c>
      <c r="E3361">
        <v>94175</v>
      </c>
      <c r="F3361">
        <v>39373</v>
      </c>
    </row>
    <row r="3362" spans="1:6">
      <c r="A3362" t="s">
        <v>4495</v>
      </c>
      <c r="B3362">
        <v>374</v>
      </c>
      <c r="C3362" t="s">
        <v>1136</v>
      </c>
      <c r="D3362">
        <v>440131</v>
      </c>
      <c r="E3362">
        <v>94175</v>
      </c>
      <c r="F3362">
        <v>39373</v>
      </c>
    </row>
    <row r="3363" spans="1:6">
      <c r="A3363" t="s">
        <v>4496</v>
      </c>
      <c r="B3363">
        <v>374</v>
      </c>
      <c r="C3363" t="s">
        <v>1138</v>
      </c>
      <c r="D3363">
        <v>132040</v>
      </c>
      <c r="E3363">
        <v>94175</v>
      </c>
      <c r="F3363">
        <v>39373</v>
      </c>
    </row>
    <row r="3364" spans="1:6">
      <c r="A3364" t="s">
        <v>4497</v>
      </c>
      <c r="B3364">
        <v>374</v>
      </c>
      <c r="C3364" t="s">
        <v>738</v>
      </c>
      <c r="D3364">
        <v>3521044</v>
      </c>
      <c r="E3364">
        <v>94175</v>
      </c>
      <c r="F3364">
        <v>39373</v>
      </c>
    </row>
    <row r="3365" spans="1:6">
      <c r="A3365" t="s">
        <v>4498</v>
      </c>
      <c r="B3365">
        <v>374</v>
      </c>
      <c r="C3365" t="s">
        <v>1141</v>
      </c>
      <c r="D3365">
        <v>7922349</v>
      </c>
      <c r="E3365">
        <v>94175</v>
      </c>
      <c r="F3365">
        <v>39373</v>
      </c>
    </row>
    <row r="3366" spans="1:6">
      <c r="A3366" t="s">
        <v>4499</v>
      </c>
      <c r="B3366">
        <v>374</v>
      </c>
      <c r="C3366" t="s">
        <v>159</v>
      </c>
      <c r="D3366">
        <v>105560221</v>
      </c>
      <c r="E3366">
        <v>94175</v>
      </c>
      <c r="F3366">
        <v>39373</v>
      </c>
    </row>
    <row r="3367" spans="1:6">
      <c r="A3367" t="s">
        <v>4500</v>
      </c>
      <c r="B3367">
        <v>374</v>
      </c>
      <c r="C3367" t="s">
        <v>642</v>
      </c>
      <c r="D3367">
        <v>52780110</v>
      </c>
      <c r="E3367">
        <v>94175</v>
      </c>
      <c r="F3367">
        <v>39373</v>
      </c>
    </row>
    <row r="3368" spans="1:6">
      <c r="A3368" t="s">
        <v>4501</v>
      </c>
      <c r="B3368">
        <v>375</v>
      </c>
      <c r="C3368" t="s">
        <v>149</v>
      </c>
      <c r="D3368">
        <v>887442</v>
      </c>
      <c r="E3368">
        <v>94802</v>
      </c>
      <c r="F3368">
        <v>39512</v>
      </c>
    </row>
    <row r="3369" spans="1:6">
      <c r="A3369" t="s">
        <v>4502</v>
      </c>
      <c r="B3369">
        <v>375</v>
      </c>
      <c r="C3369" t="s">
        <v>1132</v>
      </c>
      <c r="D3369">
        <v>2662326</v>
      </c>
      <c r="E3369">
        <v>94802</v>
      </c>
      <c r="F3369">
        <v>39512</v>
      </c>
    </row>
    <row r="3370" spans="1:6">
      <c r="A3370" t="s">
        <v>4503</v>
      </c>
      <c r="B3370">
        <v>375</v>
      </c>
      <c r="C3370" t="s">
        <v>1134</v>
      </c>
      <c r="D3370">
        <v>1597396</v>
      </c>
      <c r="E3370">
        <v>94802</v>
      </c>
      <c r="F3370">
        <v>39512</v>
      </c>
    </row>
    <row r="3371" spans="1:6">
      <c r="A3371" t="s">
        <v>4504</v>
      </c>
      <c r="B3371">
        <v>375</v>
      </c>
      <c r="C3371" t="s">
        <v>1136</v>
      </c>
      <c r="D3371">
        <v>443721</v>
      </c>
      <c r="E3371">
        <v>94802</v>
      </c>
      <c r="F3371">
        <v>39512</v>
      </c>
    </row>
    <row r="3372" spans="1:6">
      <c r="A3372" t="s">
        <v>4505</v>
      </c>
      <c r="B3372">
        <v>375</v>
      </c>
      <c r="C3372" t="s">
        <v>1138</v>
      </c>
      <c r="D3372">
        <v>133117</v>
      </c>
      <c r="E3372">
        <v>94802</v>
      </c>
      <c r="F3372">
        <v>39512</v>
      </c>
    </row>
    <row r="3373" spans="1:6">
      <c r="A3373" t="s">
        <v>4506</v>
      </c>
      <c r="B3373">
        <v>375</v>
      </c>
      <c r="C3373" t="s">
        <v>738</v>
      </c>
      <c r="D3373">
        <v>3549768</v>
      </c>
      <c r="E3373">
        <v>94802</v>
      </c>
      <c r="F3373">
        <v>39512</v>
      </c>
    </row>
    <row r="3374" spans="1:6">
      <c r="A3374" t="s">
        <v>4507</v>
      </c>
      <c r="B3374">
        <v>375</v>
      </c>
      <c r="C3374" t="s">
        <v>1141</v>
      </c>
      <c r="D3374">
        <v>7986978</v>
      </c>
      <c r="E3374">
        <v>94802</v>
      </c>
      <c r="F3374">
        <v>39512</v>
      </c>
    </row>
    <row r="3375" spans="1:6">
      <c r="A3375" t="s">
        <v>4508</v>
      </c>
      <c r="B3375">
        <v>375</v>
      </c>
      <c r="C3375" t="s">
        <v>159</v>
      </c>
      <c r="D3375">
        <v>106487461</v>
      </c>
      <c r="E3375">
        <v>94802</v>
      </c>
      <c r="F3375">
        <v>39512</v>
      </c>
    </row>
    <row r="3376" spans="1:6">
      <c r="A3376" t="s">
        <v>4509</v>
      </c>
      <c r="B3376">
        <v>375</v>
      </c>
      <c r="C3376" t="s">
        <v>642</v>
      </c>
      <c r="D3376">
        <v>53243730</v>
      </c>
      <c r="E3376">
        <v>94802</v>
      </c>
      <c r="F3376">
        <v>39512</v>
      </c>
    </row>
    <row r="3377" spans="1:6">
      <c r="A3377" t="s">
        <v>4510</v>
      </c>
      <c r="B3377">
        <v>376</v>
      </c>
      <c r="C3377" t="s">
        <v>149</v>
      </c>
      <c r="D3377">
        <v>894670</v>
      </c>
      <c r="E3377">
        <v>95432</v>
      </c>
      <c r="F3377">
        <v>39652</v>
      </c>
    </row>
    <row r="3378" spans="1:6">
      <c r="A3378" t="s">
        <v>4511</v>
      </c>
      <c r="B3378">
        <v>376</v>
      </c>
      <c r="C3378" t="s">
        <v>1132</v>
      </c>
      <c r="D3378">
        <v>2684010</v>
      </c>
      <c r="E3378">
        <v>95432</v>
      </c>
      <c r="F3378">
        <v>39652</v>
      </c>
    </row>
    <row r="3379" spans="1:6">
      <c r="A3379" t="s">
        <v>4512</v>
      </c>
      <c r="B3379">
        <v>376</v>
      </c>
      <c r="C3379" t="s">
        <v>1134</v>
      </c>
      <c r="D3379">
        <v>1610406</v>
      </c>
      <c r="E3379">
        <v>95432</v>
      </c>
      <c r="F3379">
        <v>39652</v>
      </c>
    </row>
    <row r="3380" spans="1:6">
      <c r="A3380" t="s">
        <v>4513</v>
      </c>
      <c r="B3380">
        <v>376</v>
      </c>
      <c r="C3380" t="s">
        <v>1136</v>
      </c>
      <c r="D3380">
        <v>447335</v>
      </c>
      <c r="E3380">
        <v>95432</v>
      </c>
      <c r="F3380">
        <v>39652</v>
      </c>
    </row>
    <row r="3381" spans="1:6">
      <c r="A3381" t="s">
        <v>4514</v>
      </c>
      <c r="B3381">
        <v>376</v>
      </c>
      <c r="C3381" t="s">
        <v>1138</v>
      </c>
      <c r="D3381">
        <v>134201</v>
      </c>
      <c r="E3381">
        <v>95432</v>
      </c>
      <c r="F3381">
        <v>39652</v>
      </c>
    </row>
    <row r="3382" spans="1:6">
      <c r="A3382" t="s">
        <v>4515</v>
      </c>
      <c r="B3382">
        <v>376</v>
      </c>
      <c r="C3382" t="s">
        <v>738</v>
      </c>
      <c r="D3382">
        <v>3578680</v>
      </c>
      <c r="E3382">
        <v>95432</v>
      </c>
      <c r="F3382">
        <v>39652</v>
      </c>
    </row>
    <row r="3383" spans="1:6">
      <c r="A3383" t="s">
        <v>4516</v>
      </c>
      <c r="B3383">
        <v>376</v>
      </c>
      <c r="C3383" t="s">
        <v>1141</v>
      </c>
      <c r="D3383">
        <v>8052030</v>
      </c>
      <c r="E3383">
        <v>95432</v>
      </c>
      <c r="F3383">
        <v>39652</v>
      </c>
    </row>
    <row r="3384" spans="1:6">
      <c r="A3384" t="s">
        <v>4517</v>
      </c>
      <c r="B3384">
        <v>376</v>
      </c>
      <c r="C3384" t="s">
        <v>159</v>
      </c>
      <c r="D3384">
        <v>107421241</v>
      </c>
      <c r="E3384">
        <v>95432</v>
      </c>
      <c r="F3384">
        <v>39652</v>
      </c>
    </row>
    <row r="3385" spans="1:6">
      <c r="A3385" t="s">
        <v>4518</v>
      </c>
      <c r="B3385">
        <v>376</v>
      </c>
      <c r="C3385" t="s">
        <v>642</v>
      </c>
      <c r="D3385">
        <v>53710620</v>
      </c>
      <c r="E3385">
        <v>95432</v>
      </c>
      <c r="F3385">
        <v>39652</v>
      </c>
    </row>
    <row r="3386" spans="1:6">
      <c r="A3386" t="s">
        <v>4519</v>
      </c>
      <c r="B3386">
        <v>377</v>
      </c>
      <c r="C3386" t="s">
        <v>149</v>
      </c>
      <c r="D3386">
        <v>901943</v>
      </c>
      <c r="E3386">
        <v>96064</v>
      </c>
      <c r="F3386">
        <v>39793</v>
      </c>
    </row>
    <row r="3387" spans="1:6">
      <c r="A3387" t="s">
        <v>4520</v>
      </c>
      <c r="B3387">
        <v>377</v>
      </c>
      <c r="C3387" t="s">
        <v>1132</v>
      </c>
      <c r="D3387">
        <v>2705829</v>
      </c>
      <c r="E3387">
        <v>96064</v>
      </c>
      <c r="F3387">
        <v>39793</v>
      </c>
    </row>
    <row r="3388" spans="1:6">
      <c r="A3388" t="s">
        <v>4521</v>
      </c>
      <c r="B3388">
        <v>377</v>
      </c>
      <c r="C3388" t="s">
        <v>1134</v>
      </c>
      <c r="D3388">
        <v>1623498</v>
      </c>
      <c r="E3388">
        <v>96064</v>
      </c>
      <c r="F3388">
        <v>39793</v>
      </c>
    </row>
    <row r="3389" spans="1:6">
      <c r="A3389" t="s">
        <v>4522</v>
      </c>
      <c r="B3389">
        <v>377</v>
      </c>
      <c r="C3389" t="s">
        <v>1136</v>
      </c>
      <c r="D3389">
        <v>450972</v>
      </c>
      <c r="E3389">
        <v>96064</v>
      </c>
      <c r="F3389">
        <v>39793</v>
      </c>
    </row>
    <row r="3390" spans="1:6">
      <c r="A3390" t="s">
        <v>4523</v>
      </c>
      <c r="B3390">
        <v>377</v>
      </c>
      <c r="C3390" t="s">
        <v>1138</v>
      </c>
      <c r="D3390">
        <v>135292</v>
      </c>
      <c r="E3390">
        <v>96064</v>
      </c>
      <c r="F3390">
        <v>39793</v>
      </c>
    </row>
    <row r="3391" spans="1:6">
      <c r="A3391" t="s">
        <v>4524</v>
      </c>
      <c r="B3391">
        <v>377</v>
      </c>
      <c r="C3391" t="s">
        <v>738</v>
      </c>
      <c r="D3391">
        <v>3607772</v>
      </c>
      <c r="E3391">
        <v>96064</v>
      </c>
      <c r="F3391">
        <v>39793</v>
      </c>
    </row>
    <row r="3392" spans="1:6">
      <c r="A3392" t="s">
        <v>4525</v>
      </c>
      <c r="B3392">
        <v>377</v>
      </c>
      <c r="C3392" t="s">
        <v>1141</v>
      </c>
      <c r="D3392">
        <v>8117487</v>
      </c>
      <c r="E3392">
        <v>96064</v>
      </c>
      <c r="F3392">
        <v>39793</v>
      </c>
    </row>
    <row r="3393" spans="1:6">
      <c r="A3393" t="s">
        <v>4526</v>
      </c>
      <c r="B3393">
        <v>377</v>
      </c>
      <c r="C3393" t="s">
        <v>159</v>
      </c>
      <c r="D3393">
        <v>108361681</v>
      </c>
      <c r="E3393">
        <v>96064</v>
      </c>
      <c r="F3393">
        <v>39793</v>
      </c>
    </row>
    <row r="3394" spans="1:6">
      <c r="A3394" t="s">
        <v>4527</v>
      </c>
      <c r="B3394">
        <v>377</v>
      </c>
      <c r="C3394" t="s">
        <v>642</v>
      </c>
      <c r="D3394">
        <v>54180840</v>
      </c>
      <c r="E3394">
        <v>96064</v>
      </c>
      <c r="F3394">
        <v>39793</v>
      </c>
    </row>
    <row r="3395" spans="1:6">
      <c r="A3395" t="s">
        <v>4528</v>
      </c>
      <c r="B3395">
        <v>378</v>
      </c>
      <c r="C3395" t="s">
        <v>149</v>
      </c>
      <c r="D3395">
        <v>909264</v>
      </c>
      <c r="E3395">
        <v>96700</v>
      </c>
      <c r="F3395">
        <v>39933</v>
      </c>
    </row>
    <row r="3396" spans="1:6">
      <c r="A3396" t="s">
        <v>4529</v>
      </c>
      <c r="B3396">
        <v>378</v>
      </c>
      <c r="C3396" t="s">
        <v>1132</v>
      </c>
      <c r="D3396">
        <v>2727792</v>
      </c>
      <c r="E3396">
        <v>96700</v>
      </c>
      <c r="F3396">
        <v>39933</v>
      </c>
    </row>
    <row r="3397" spans="1:6">
      <c r="A3397" t="s">
        <v>4530</v>
      </c>
      <c r="B3397">
        <v>378</v>
      </c>
      <c r="C3397" t="s">
        <v>1134</v>
      </c>
      <c r="D3397">
        <v>1636676</v>
      </c>
      <c r="E3397">
        <v>96700</v>
      </c>
      <c r="F3397">
        <v>39933</v>
      </c>
    </row>
    <row r="3398" spans="1:6">
      <c r="A3398" t="s">
        <v>4531</v>
      </c>
      <c r="B3398">
        <v>378</v>
      </c>
      <c r="C3398" t="s">
        <v>1136</v>
      </c>
      <c r="D3398">
        <v>454632</v>
      </c>
      <c r="E3398">
        <v>96700</v>
      </c>
      <c r="F3398">
        <v>39933</v>
      </c>
    </row>
    <row r="3399" spans="1:6">
      <c r="A3399" t="s">
        <v>4532</v>
      </c>
      <c r="B3399">
        <v>378</v>
      </c>
      <c r="C3399" t="s">
        <v>1138</v>
      </c>
      <c r="D3399">
        <v>136390</v>
      </c>
      <c r="E3399">
        <v>96700</v>
      </c>
      <c r="F3399">
        <v>39933</v>
      </c>
    </row>
    <row r="3400" spans="1:6">
      <c r="A3400" t="s">
        <v>4533</v>
      </c>
      <c r="B3400">
        <v>378</v>
      </c>
      <c r="C3400" t="s">
        <v>738</v>
      </c>
      <c r="D3400">
        <v>3637056</v>
      </c>
      <c r="E3400">
        <v>96700</v>
      </c>
      <c r="F3400">
        <v>39933</v>
      </c>
    </row>
    <row r="3401" spans="1:6">
      <c r="A3401" t="s">
        <v>4534</v>
      </c>
      <c r="B3401">
        <v>378</v>
      </c>
      <c r="C3401" t="s">
        <v>1141</v>
      </c>
      <c r="D3401">
        <v>8183376</v>
      </c>
      <c r="E3401">
        <v>96700</v>
      </c>
      <c r="F3401">
        <v>39933</v>
      </c>
    </row>
    <row r="3402" spans="1:6">
      <c r="A3402" t="s">
        <v>4535</v>
      </c>
      <c r="B3402">
        <v>378</v>
      </c>
      <c r="C3402" t="s">
        <v>159</v>
      </c>
      <c r="D3402">
        <v>109308781</v>
      </c>
      <c r="E3402">
        <v>96700</v>
      </c>
      <c r="F3402">
        <v>39933</v>
      </c>
    </row>
    <row r="3403" spans="1:6">
      <c r="A3403" t="s">
        <v>4536</v>
      </c>
      <c r="B3403">
        <v>378</v>
      </c>
      <c r="C3403" t="s">
        <v>642</v>
      </c>
      <c r="D3403">
        <v>54654390</v>
      </c>
      <c r="E3403">
        <v>96700</v>
      </c>
      <c r="F3403">
        <v>39933</v>
      </c>
    </row>
    <row r="3404" spans="1:6">
      <c r="A3404" t="s">
        <v>4537</v>
      </c>
      <c r="B3404">
        <v>379</v>
      </c>
      <c r="C3404" t="s">
        <v>149</v>
      </c>
      <c r="D3404">
        <v>916631</v>
      </c>
      <c r="E3404">
        <v>97339</v>
      </c>
      <c r="F3404">
        <v>40074</v>
      </c>
    </row>
    <row r="3405" spans="1:6">
      <c r="A3405" t="s">
        <v>4538</v>
      </c>
      <c r="B3405">
        <v>379</v>
      </c>
      <c r="C3405" t="s">
        <v>1132</v>
      </c>
      <c r="D3405">
        <v>2749893</v>
      </c>
      <c r="E3405">
        <v>97339</v>
      </c>
      <c r="F3405">
        <v>40074</v>
      </c>
    </row>
    <row r="3406" spans="1:6">
      <c r="A3406" t="s">
        <v>4539</v>
      </c>
      <c r="B3406">
        <v>379</v>
      </c>
      <c r="C3406" t="s">
        <v>1134</v>
      </c>
      <c r="D3406">
        <v>1649936</v>
      </c>
      <c r="E3406">
        <v>97339</v>
      </c>
      <c r="F3406">
        <v>40074</v>
      </c>
    </row>
    <row r="3407" spans="1:6">
      <c r="A3407" t="s">
        <v>4540</v>
      </c>
      <c r="B3407">
        <v>379</v>
      </c>
      <c r="C3407" t="s">
        <v>1136</v>
      </c>
      <c r="D3407">
        <v>458316</v>
      </c>
      <c r="E3407">
        <v>97339</v>
      </c>
      <c r="F3407">
        <v>40074</v>
      </c>
    </row>
    <row r="3408" spans="1:6">
      <c r="A3408" t="s">
        <v>4541</v>
      </c>
      <c r="B3408">
        <v>379</v>
      </c>
      <c r="C3408" t="s">
        <v>1138</v>
      </c>
      <c r="D3408">
        <v>137495</v>
      </c>
      <c r="E3408">
        <v>97339</v>
      </c>
      <c r="F3408">
        <v>40074</v>
      </c>
    </row>
    <row r="3409" spans="1:6">
      <c r="A3409" t="s">
        <v>4542</v>
      </c>
      <c r="B3409">
        <v>379</v>
      </c>
      <c r="C3409" t="s">
        <v>738</v>
      </c>
      <c r="D3409">
        <v>3666524</v>
      </c>
      <c r="E3409">
        <v>97339</v>
      </c>
      <c r="F3409">
        <v>40074</v>
      </c>
    </row>
    <row r="3410" spans="1:6">
      <c r="A3410" t="s">
        <v>4543</v>
      </c>
      <c r="B3410">
        <v>379</v>
      </c>
      <c r="C3410" t="s">
        <v>1141</v>
      </c>
      <c r="D3410">
        <v>8249679</v>
      </c>
      <c r="E3410">
        <v>97339</v>
      </c>
      <c r="F3410">
        <v>40074</v>
      </c>
    </row>
    <row r="3411" spans="1:6">
      <c r="A3411" t="s">
        <v>4544</v>
      </c>
      <c r="B3411">
        <v>379</v>
      </c>
      <c r="C3411" t="s">
        <v>159</v>
      </c>
      <c r="D3411">
        <v>110262600</v>
      </c>
      <c r="E3411">
        <v>97339</v>
      </c>
      <c r="F3411">
        <v>40074</v>
      </c>
    </row>
    <row r="3412" spans="1:6">
      <c r="A3412" t="s">
        <v>4545</v>
      </c>
      <c r="B3412">
        <v>379</v>
      </c>
      <c r="C3412" t="s">
        <v>642</v>
      </c>
      <c r="D3412">
        <v>55131300</v>
      </c>
      <c r="E3412">
        <v>97339</v>
      </c>
      <c r="F3412">
        <v>40074</v>
      </c>
    </row>
    <row r="3413" spans="1:6">
      <c r="A3413" t="s">
        <v>4546</v>
      </c>
      <c r="B3413">
        <v>380</v>
      </c>
      <c r="C3413" t="s">
        <v>149</v>
      </c>
      <c r="D3413">
        <v>924046</v>
      </c>
      <c r="E3413">
        <v>97981</v>
      </c>
      <c r="F3413">
        <v>40214</v>
      </c>
    </row>
    <row r="3414" spans="1:6">
      <c r="A3414" t="s">
        <v>4547</v>
      </c>
      <c r="B3414">
        <v>380</v>
      </c>
      <c r="C3414" t="s">
        <v>1132</v>
      </c>
      <c r="D3414">
        <v>2772138</v>
      </c>
      <c r="E3414">
        <v>97981</v>
      </c>
      <c r="F3414">
        <v>40214</v>
      </c>
    </row>
    <row r="3415" spans="1:6">
      <c r="A3415" t="s">
        <v>4548</v>
      </c>
      <c r="B3415">
        <v>380</v>
      </c>
      <c r="C3415" t="s">
        <v>1134</v>
      </c>
      <c r="D3415">
        <v>1663283</v>
      </c>
      <c r="E3415">
        <v>97981</v>
      </c>
      <c r="F3415">
        <v>40214</v>
      </c>
    </row>
    <row r="3416" spans="1:6">
      <c r="A3416" t="s">
        <v>4549</v>
      </c>
      <c r="B3416">
        <v>380</v>
      </c>
      <c r="C3416" t="s">
        <v>1136</v>
      </c>
      <c r="D3416">
        <v>462023</v>
      </c>
      <c r="E3416">
        <v>97981</v>
      </c>
      <c r="F3416">
        <v>40214</v>
      </c>
    </row>
    <row r="3417" spans="1:6">
      <c r="A3417" t="s">
        <v>4550</v>
      </c>
      <c r="B3417">
        <v>380</v>
      </c>
      <c r="C3417" t="s">
        <v>1138</v>
      </c>
      <c r="D3417">
        <v>138607</v>
      </c>
      <c r="E3417">
        <v>97981</v>
      </c>
      <c r="F3417">
        <v>40214</v>
      </c>
    </row>
    <row r="3418" spans="1:6">
      <c r="A3418" t="s">
        <v>4551</v>
      </c>
      <c r="B3418">
        <v>380</v>
      </c>
      <c r="C3418" t="s">
        <v>738</v>
      </c>
      <c r="D3418">
        <v>3696184</v>
      </c>
      <c r="E3418">
        <v>97981</v>
      </c>
      <c r="F3418">
        <v>40214</v>
      </c>
    </row>
    <row r="3419" spans="1:6">
      <c r="A3419" t="s">
        <v>4552</v>
      </c>
      <c r="B3419">
        <v>380</v>
      </c>
      <c r="C3419" t="s">
        <v>1141</v>
      </c>
      <c r="D3419">
        <v>8316414</v>
      </c>
      <c r="E3419">
        <v>97981</v>
      </c>
      <c r="F3419">
        <v>40214</v>
      </c>
    </row>
    <row r="3420" spans="1:6">
      <c r="A3420" t="s">
        <v>4553</v>
      </c>
      <c r="B3420">
        <v>380</v>
      </c>
      <c r="C3420" t="s">
        <v>159</v>
      </c>
      <c r="D3420">
        <v>111223140</v>
      </c>
      <c r="E3420">
        <v>97981</v>
      </c>
      <c r="F3420">
        <v>40214</v>
      </c>
    </row>
    <row r="3421" spans="1:6">
      <c r="A3421" t="s">
        <v>4554</v>
      </c>
      <c r="B3421">
        <v>380</v>
      </c>
      <c r="C3421" t="s">
        <v>642</v>
      </c>
      <c r="D3421">
        <v>55611570</v>
      </c>
      <c r="E3421">
        <v>97981</v>
      </c>
      <c r="F3421">
        <v>40214</v>
      </c>
    </row>
    <row r="3422" spans="1:6">
      <c r="A3422" t="s">
        <v>4555</v>
      </c>
      <c r="B3422">
        <v>381</v>
      </c>
      <c r="C3422" t="s">
        <v>149</v>
      </c>
      <c r="D3422">
        <v>931507</v>
      </c>
      <c r="E3422">
        <v>98626</v>
      </c>
      <c r="F3422">
        <v>40355</v>
      </c>
    </row>
    <row r="3423" spans="1:6">
      <c r="A3423" t="s">
        <v>4556</v>
      </c>
      <c r="B3423">
        <v>381</v>
      </c>
      <c r="C3423" t="s">
        <v>1132</v>
      </c>
      <c r="D3423">
        <v>2794521</v>
      </c>
      <c r="E3423">
        <v>98626</v>
      </c>
      <c r="F3423">
        <v>40355</v>
      </c>
    </row>
    <row r="3424" spans="1:6">
      <c r="A3424" t="s">
        <v>4557</v>
      </c>
      <c r="B3424">
        <v>381</v>
      </c>
      <c r="C3424" t="s">
        <v>1134</v>
      </c>
      <c r="D3424">
        <v>1676713</v>
      </c>
      <c r="E3424">
        <v>98626</v>
      </c>
      <c r="F3424">
        <v>40355</v>
      </c>
    </row>
    <row r="3425" spans="1:6">
      <c r="A3425" t="s">
        <v>4558</v>
      </c>
      <c r="B3425">
        <v>381</v>
      </c>
      <c r="C3425" t="s">
        <v>1136</v>
      </c>
      <c r="D3425">
        <v>465754</v>
      </c>
      <c r="E3425">
        <v>98626</v>
      </c>
      <c r="F3425">
        <v>40355</v>
      </c>
    </row>
    <row r="3426" spans="1:6">
      <c r="A3426" t="s">
        <v>4559</v>
      </c>
      <c r="B3426">
        <v>381</v>
      </c>
      <c r="C3426" t="s">
        <v>1138</v>
      </c>
      <c r="D3426">
        <v>139727</v>
      </c>
      <c r="E3426">
        <v>98626</v>
      </c>
      <c r="F3426">
        <v>40355</v>
      </c>
    </row>
    <row r="3427" spans="1:6">
      <c r="A3427" t="s">
        <v>4560</v>
      </c>
      <c r="B3427">
        <v>381</v>
      </c>
      <c r="C3427" t="s">
        <v>738</v>
      </c>
      <c r="D3427">
        <v>3726028</v>
      </c>
      <c r="E3427">
        <v>98626</v>
      </c>
      <c r="F3427">
        <v>40355</v>
      </c>
    </row>
    <row r="3428" spans="1:6">
      <c r="A3428" t="s">
        <v>4561</v>
      </c>
      <c r="B3428">
        <v>381</v>
      </c>
      <c r="C3428" t="s">
        <v>1141</v>
      </c>
      <c r="D3428">
        <v>8383563</v>
      </c>
      <c r="E3428">
        <v>98626</v>
      </c>
      <c r="F3428">
        <v>40355</v>
      </c>
    </row>
    <row r="3429" spans="1:6">
      <c r="A3429" t="s">
        <v>4562</v>
      </c>
      <c r="B3429">
        <v>381</v>
      </c>
      <c r="C3429" t="s">
        <v>159</v>
      </c>
      <c r="D3429">
        <v>112190460</v>
      </c>
      <c r="E3429">
        <v>98626</v>
      </c>
      <c r="F3429">
        <v>40355</v>
      </c>
    </row>
    <row r="3430" spans="1:6">
      <c r="A3430" t="s">
        <v>4563</v>
      </c>
      <c r="B3430">
        <v>381</v>
      </c>
      <c r="C3430" t="s">
        <v>642</v>
      </c>
      <c r="D3430">
        <v>56095230</v>
      </c>
      <c r="E3430">
        <v>98626</v>
      </c>
      <c r="F3430">
        <v>40355</v>
      </c>
    </row>
    <row r="3431" spans="1:6">
      <c r="A3431" t="s">
        <v>4564</v>
      </c>
      <c r="B3431">
        <v>382</v>
      </c>
      <c r="C3431" t="s">
        <v>149</v>
      </c>
      <c r="D3431">
        <v>939017</v>
      </c>
      <c r="E3431">
        <v>99275</v>
      </c>
      <c r="F3431">
        <v>40496</v>
      </c>
    </row>
    <row r="3432" spans="1:6">
      <c r="A3432" t="s">
        <v>4565</v>
      </c>
      <c r="B3432">
        <v>382</v>
      </c>
      <c r="C3432" t="s">
        <v>1132</v>
      </c>
      <c r="D3432">
        <v>2817051</v>
      </c>
      <c r="E3432">
        <v>99275</v>
      </c>
      <c r="F3432">
        <v>40496</v>
      </c>
    </row>
    <row r="3433" spans="1:6">
      <c r="A3433" t="s">
        <v>4566</v>
      </c>
      <c r="B3433">
        <v>382</v>
      </c>
      <c r="C3433" t="s">
        <v>1134</v>
      </c>
      <c r="D3433">
        <v>1690231</v>
      </c>
      <c r="E3433">
        <v>99275</v>
      </c>
      <c r="F3433">
        <v>40496</v>
      </c>
    </row>
    <row r="3434" spans="1:6">
      <c r="A3434" t="s">
        <v>4567</v>
      </c>
      <c r="B3434">
        <v>382</v>
      </c>
      <c r="C3434" t="s">
        <v>1136</v>
      </c>
      <c r="D3434">
        <v>469509</v>
      </c>
      <c r="E3434">
        <v>99275</v>
      </c>
      <c r="F3434">
        <v>40496</v>
      </c>
    </row>
    <row r="3435" spans="1:6">
      <c r="A3435" t="s">
        <v>4568</v>
      </c>
      <c r="B3435">
        <v>382</v>
      </c>
      <c r="C3435" t="s">
        <v>1138</v>
      </c>
      <c r="D3435">
        <v>140853</v>
      </c>
      <c r="E3435">
        <v>99275</v>
      </c>
      <c r="F3435">
        <v>40496</v>
      </c>
    </row>
    <row r="3436" spans="1:6">
      <c r="A3436" t="s">
        <v>4569</v>
      </c>
      <c r="B3436">
        <v>382</v>
      </c>
      <c r="C3436" t="s">
        <v>738</v>
      </c>
      <c r="D3436">
        <v>3756068</v>
      </c>
      <c r="E3436">
        <v>99275</v>
      </c>
      <c r="F3436">
        <v>40496</v>
      </c>
    </row>
    <row r="3437" spans="1:6">
      <c r="A3437" t="s">
        <v>4570</v>
      </c>
      <c r="B3437">
        <v>382</v>
      </c>
      <c r="C3437" t="s">
        <v>1141</v>
      </c>
      <c r="D3437">
        <v>8451153</v>
      </c>
      <c r="E3437">
        <v>99275</v>
      </c>
      <c r="F3437">
        <v>40496</v>
      </c>
    </row>
    <row r="3438" spans="1:6">
      <c r="A3438" t="s">
        <v>4571</v>
      </c>
      <c r="B3438">
        <v>382</v>
      </c>
      <c r="C3438" t="s">
        <v>159</v>
      </c>
      <c r="D3438">
        <v>113164620</v>
      </c>
      <c r="E3438">
        <v>99275</v>
      </c>
      <c r="F3438">
        <v>40496</v>
      </c>
    </row>
    <row r="3439" spans="1:6">
      <c r="A3439" t="s">
        <v>4572</v>
      </c>
      <c r="B3439">
        <v>382</v>
      </c>
      <c r="C3439" t="s">
        <v>642</v>
      </c>
      <c r="D3439">
        <v>56582310</v>
      </c>
      <c r="E3439">
        <v>99275</v>
      </c>
      <c r="F3439">
        <v>40496</v>
      </c>
    </row>
    <row r="3440" spans="1:6">
      <c r="A3440" t="s">
        <v>4573</v>
      </c>
      <c r="B3440">
        <v>383</v>
      </c>
      <c r="C3440" t="s">
        <v>149</v>
      </c>
      <c r="D3440">
        <v>946574</v>
      </c>
      <c r="E3440">
        <v>99926</v>
      </c>
      <c r="F3440">
        <v>40638</v>
      </c>
    </row>
    <row r="3441" spans="1:6">
      <c r="A3441" t="s">
        <v>4574</v>
      </c>
      <c r="B3441">
        <v>383</v>
      </c>
      <c r="C3441" t="s">
        <v>1132</v>
      </c>
      <c r="D3441">
        <v>2839722</v>
      </c>
      <c r="E3441">
        <v>99926</v>
      </c>
      <c r="F3441">
        <v>40638</v>
      </c>
    </row>
    <row r="3442" spans="1:6">
      <c r="A3442" t="s">
        <v>4575</v>
      </c>
      <c r="B3442">
        <v>383</v>
      </c>
      <c r="C3442" t="s">
        <v>1134</v>
      </c>
      <c r="D3442">
        <v>1703834</v>
      </c>
      <c r="E3442">
        <v>99926</v>
      </c>
      <c r="F3442">
        <v>40638</v>
      </c>
    </row>
    <row r="3443" spans="1:6">
      <c r="A3443" t="s">
        <v>4576</v>
      </c>
      <c r="B3443">
        <v>383</v>
      </c>
      <c r="C3443" t="s">
        <v>1136</v>
      </c>
      <c r="D3443">
        <v>473287</v>
      </c>
      <c r="E3443">
        <v>99926</v>
      </c>
      <c r="F3443">
        <v>40638</v>
      </c>
    </row>
    <row r="3444" spans="1:6">
      <c r="A3444" t="s">
        <v>4577</v>
      </c>
      <c r="B3444">
        <v>383</v>
      </c>
      <c r="C3444" t="s">
        <v>1138</v>
      </c>
      <c r="D3444">
        <v>141987</v>
      </c>
      <c r="E3444">
        <v>99926</v>
      </c>
      <c r="F3444">
        <v>40638</v>
      </c>
    </row>
    <row r="3445" spans="1:6">
      <c r="A3445" t="s">
        <v>4578</v>
      </c>
      <c r="B3445">
        <v>383</v>
      </c>
      <c r="C3445" t="s">
        <v>738</v>
      </c>
      <c r="D3445">
        <v>3786296</v>
      </c>
      <c r="E3445">
        <v>99926</v>
      </c>
      <c r="F3445">
        <v>40638</v>
      </c>
    </row>
    <row r="3446" spans="1:6">
      <c r="A3446" t="s">
        <v>4579</v>
      </c>
      <c r="B3446">
        <v>383</v>
      </c>
      <c r="C3446" t="s">
        <v>1141</v>
      </c>
      <c r="D3446">
        <v>8519166</v>
      </c>
      <c r="E3446">
        <v>99926</v>
      </c>
      <c r="F3446">
        <v>40638</v>
      </c>
    </row>
    <row r="3447" spans="1:6">
      <c r="A3447" t="s">
        <v>4580</v>
      </c>
      <c r="B3447">
        <v>383</v>
      </c>
      <c r="C3447" t="s">
        <v>159</v>
      </c>
      <c r="D3447">
        <v>114145560</v>
      </c>
      <c r="E3447">
        <v>99926</v>
      </c>
      <c r="F3447">
        <v>40638</v>
      </c>
    </row>
    <row r="3448" spans="1:6">
      <c r="A3448" t="s">
        <v>4581</v>
      </c>
      <c r="B3448">
        <v>383</v>
      </c>
      <c r="C3448" t="s">
        <v>642</v>
      </c>
      <c r="D3448">
        <v>57072780</v>
      </c>
      <c r="E3448">
        <v>99926</v>
      </c>
      <c r="F3448">
        <v>40638</v>
      </c>
    </row>
    <row r="3449" spans="1:6">
      <c r="A3449" t="s">
        <v>4582</v>
      </c>
      <c r="B3449">
        <v>384</v>
      </c>
      <c r="C3449" t="s">
        <v>149</v>
      </c>
      <c r="D3449">
        <v>954179</v>
      </c>
      <c r="E3449">
        <v>100581</v>
      </c>
      <c r="F3449">
        <v>40779</v>
      </c>
    </row>
    <row r="3450" spans="1:6">
      <c r="A3450" t="s">
        <v>4583</v>
      </c>
      <c r="B3450">
        <v>384</v>
      </c>
      <c r="C3450" t="s">
        <v>1132</v>
      </c>
      <c r="D3450">
        <v>2862537</v>
      </c>
      <c r="E3450">
        <v>100581</v>
      </c>
      <c r="F3450">
        <v>40779</v>
      </c>
    </row>
    <row r="3451" spans="1:6">
      <c r="A3451" t="s">
        <v>4584</v>
      </c>
      <c r="B3451">
        <v>384</v>
      </c>
      <c r="C3451" t="s">
        <v>1134</v>
      </c>
      <c r="D3451">
        <v>1717523</v>
      </c>
      <c r="E3451">
        <v>100581</v>
      </c>
      <c r="F3451">
        <v>40779</v>
      </c>
    </row>
    <row r="3452" spans="1:6">
      <c r="A3452" t="s">
        <v>4585</v>
      </c>
      <c r="B3452">
        <v>384</v>
      </c>
      <c r="C3452" t="s">
        <v>1136</v>
      </c>
      <c r="D3452">
        <v>477090</v>
      </c>
      <c r="E3452">
        <v>100581</v>
      </c>
      <c r="F3452">
        <v>40779</v>
      </c>
    </row>
    <row r="3453" spans="1:6">
      <c r="A3453" t="s">
        <v>4586</v>
      </c>
      <c r="B3453">
        <v>384</v>
      </c>
      <c r="C3453" t="s">
        <v>1138</v>
      </c>
      <c r="D3453">
        <v>143127</v>
      </c>
      <c r="E3453">
        <v>100581</v>
      </c>
      <c r="F3453">
        <v>40779</v>
      </c>
    </row>
    <row r="3454" spans="1:6">
      <c r="A3454" t="s">
        <v>4587</v>
      </c>
      <c r="B3454">
        <v>384</v>
      </c>
      <c r="C3454" t="s">
        <v>738</v>
      </c>
      <c r="D3454">
        <v>3816716</v>
      </c>
      <c r="E3454">
        <v>100581</v>
      </c>
      <c r="F3454">
        <v>40779</v>
      </c>
    </row>
    <row r="3455" spans="1:6">
      <c r="A3455" t="s">
        <v>4588</v>
      </c>
      <c r="B3455">
        <v>384</v>
      </c>
      <c r="C3455" t="s">
        <v>1141</v>
      </c>
      <c r="D3455">
        <v>8587611</v>
      </c>
      <c r="E3455">
        <v>100581</v>
      </c>
      <c r="F3455">
        <v>40779</v>
      </c>
    </row>
    <row r="3456" spans="1:6">
      <c r="A3456" t="s">
        <v>4589</v>
      </c>
      <c r="B3456">
        <v>384</v>
      </c>
      <c r="C3456" t="s">
        <v>159</v>
      </c>
      <c r="D3456">
        <v>115133460</v>
      </c>
      <c r="E3456">
        <v>100581</v>
      </c>
      <c r="F3456">
        <v>40779</v>
      </c>
    </row>
    <row r="3457" spans="1:6">
      <c r="A3457" t="s">
        <v>4590</v>
      </c>
      <c r="B3457">
        <v>384</v>
      </c>
      <c r="C3457" t="s">
        <v>642</v>
      </c>
      <c r="D3457">
        <v>57566730</v>
      </c>
      <c r="E3457">
        <v>100581</v>
      </c>
      <c r="F3457">
        <v>40779</v>
      </c>
    </row>
    <row r="3458" spans="1:6">
      <c r="A3458" t="s">
        <v>4591</v>
      </c>
      <c r="B3458">
        <v>385</v>
      </c>
      <c r="C3458" t="s">
        <v>149</v>
      </c>
      <c r="D3458">
        <v>961832</v>
      </c>
      <c r="E3458">
        <v>101239</v>
      </c>
      <c r="F3458">
        <v>40921</v>
      </c>
    </row>
    <row r="3459" spans="1:6">
      <c r="A3459" t="s">
        <v>4592</v>
      </c>
      <c r="B3459">
        <v>385</v>
      </c>
      <c r="C3459" t="s">
        <v>1132</v>
      </c>
      <c r="D3459">
        <v>2885496</v>
      </c>
      <c r="E3459">
        <v>101239</v>
      </c>
      <c r="F3459">
        <v>40921</v>
      </c>
    </row>
    <row r="3460" spans="1:6">
      <c r="A3460" t="s">
        <v>4593</v>
      </c>
      <c r="B3460">
        <v>385</v>
      </c>
      <c r="C3460" t="s">
        <v>1134</v>
      </c>
      <c r="D3460">
        <v>1731298</v>
      </c>
      <c r="E3460">
        <v>101239</v>
      </c>
      <c r="F3460">
        <v>40921</v>
      </c>
    </row>
    <row r="3461" spans="1:6">
      <c r="A3461" t="s">
        <v>4594</v>
      </c>
      <c r="B3461">
        <v>385</v>
      </c>
      <c r="C3461" t="s">
        <v>1136</v>
      </c>
      <c r="D3461">
        <v>480916</v>
      </c>
      <c r="E3461">
        <v>101239</v>
      </c>
      <c r="F3461">
        <v>40921</v>
      </c>
    </row>
    <row r="3462" spans="1:6">
      <c r="A3462" t="s">
        <v>4595</v>
      </c>
      <c r="B3462">
        <v>385</v>
      </c>
      <c r="C3462" t="s">
        <v>1138</v>
      </c>
      <c r="D3462">
        <v>144275</v>
      </c>
      <c r="E3462">
        <v>101239</v>
      </c>
      <c r="F3462">
        <v>40921</v>
      </c>
    </row>
    <row r="3463" spans="1:6">
      <c r="A3463" t="s">
        <v>4596</v>
      </c>
      <c r="B3463">
        <v>385</v>
      </c>
      <c r="C3463" t="s">
        <v>738</v>
      </c>
      <c r="D3463">
        <v>3847328</v>
      </c>
      <c r="E3463">
        <v>101239</v>
      </c>
      <c r="F3463">
        <v>40921</v>
      </c>
    </row>
    <row r="3464" spans="1:6">
      <c r="A3464" t="s">
        <v>4597</v>
      </c>
      <c r="B3464">
        <v>385</v>
      </c>
      <c r="C3464" t="s">
        <v>1141</v>
      </c>
      <c r="D3464">
        <v>8656488</v>
      </c>
      <c r="E3464">
        <v>101239</v>
      </c>
      <c r="F3464">
        <v>40921</v>
      </c>
    </row>
    <row r="3465" spans="1:6">
      <c r="A3465" t="s">
        <v>4598</v>
      </c>
      <c r="B3465">
        <v>385</v>
      </c>
      <c r="C3465" t="s">
        <v>159</v>
      </c>
      <c r="D3465">
        <v>116128260</v>
      </c>
      <c r="E3465">
        <v>101239</v>
      </c>
      <c r="F3465">
        <v>40921</v>
      </c>
    </row>
    <row r="3466" spans="1:6">
      <c r="A3466" t="s">
        <v>4599</v>
      </c>
      <c r="B3466">
        <v>385</v>
      </c>
      <c r="C3466" t="s">
        <v>642</v>
      </c>
      <c r="D3466">
        <v>58064130</v>
      </c>
      <c r="E3466">
        <v>101239</v>
      </c>
      <c r="F3466">
        <v>40921</v>
      </c>
    </row>
    <row r="3467" spans="1:6">
      <c r="A3467" t="s">
        <v>4600</v>
      </c>
      <c r="B3467">
        <v>386</v>
      </c>
      <c r="C3467" t="s">
        <v>149</v>
      </c>
      <c r="D3467">
        <v>969534</v>
      </c>
      <c r="E3467">
        <v>101901</v>
      </c>
      <c r="F3467">
        <v>41063</v>
      </c>
    </row>
    <row r="3468" spans="1:6">
      <c r="A3468" t="s">
        <v>4601</v>
      </c>
      <c r="B3468">
        <v>386</v>
      </c>
      <c r="C3468" t="s">
        <v>1132</v>
      </c>
      <c r="D3468">
        <v>2908602</v>
      </c>
      <c r="E3468">
        <v>101901</v>
      </c>
      <c r="F3468">
        <v>41063</v>
      </c>
    </row>
    <row r="3469" spans="1:6">
      <c r="A3469" t="s">
        <v>4602</v>
      </c>
      <c r="B3469">
        <v>386</v>
      </c>
      <c r="C3469" t="s">
        <v>1134</v>
      </c>
      <c r="D3469">
        <v>1745162</v>
      </c>
      <c r="E3469">
        <v>101901</v>
      </c>
      <c r="F3469">
        <v>41063</v>
      </c>
    </row>
    <row r="3470" spans="1:6">
      <c r="A3470" t="s">
        <v>4603</v>
      </c>
      <c r="B3470">
        <v>386</v>
      </c>
      <c r="C3470" t="s">
        <v>1136</v>
      </c>
      <c r="D3470">
        <v>484767</v>
      </c>
      <c r="E3470">
        <v>101901</v>
      </c>
      <c r="F3470">
        <v>41063</v>
      </c>
    </row>
    <row r="3471" spans="1:6">
      <c r="A3471" t="s">
        <v>4604</v>
      </c>
      <c r="B3471">
        <v>386</v>
      </c>
      <c r="C3471" t="s">
        <v>1138</v>
      </c>
      <c r="D3471">
        <v>145431</v>
      </c>
      <c r="E3471">
        <v>101901</v>
      </c>
      <c r="F3471">
        <v>41063</v>
      </c>
    </row>
    <row r="3472" spans="1:6">
      <c r="A3472" t="s">
        <v>4605</v>
      </c>
      <c r="B3472">
        <v>386</v>
      </c>
      <c r="C3472" t="s">
        <v>738</v>
      </c>
      <c r="D3472">
        <v>3878136</v>
      </c>
      <c r="E3472">
        <v>101901</v>
      </c>
      <c r="F3472">
        <v>41063</v>
      </c>
    </row>
    <row r="3473" spans="1:6">
      <c r="A3473" t="s">
        <v>4606</v>
      </c>
      <c r="B3473">
        <v>386</v>
      </c>
      <c r="C3473" t="s">
        <v>1141</v>
      </c>
      <c r="D3473">
        <v>8725806</v>
      </c>
      <c r="E3473">
        <v>101901</v>
      </c>
      <c r="F3473">
        <v>41063</v>
      </c>
    </row>
    <row r="3474" spans="1:6">
      <c r="A3474" t="s">
        <v>4607</v>
      </c>
      <c r="B3474">
        <v>386</v>
      </c>
      <c r="C3474" t="s">
        <v>159</v>
      </c>
      <c r="D3474">
        <v>117130080</v>
      </c>
      <c r="E3474">
        <v>101901</v>
      </c>
      <c r="F3474">
        <v>41063</v>
      </c>
    </row>
    <row r="3475" spans="1:6">
      <c r="A3475" t="s">
        <v>4608</v>
      </c>
      <c r="B3475">
        <v>386</v>
      </c>
      <c r="C3475" t="s">
        <v>642</v>
      </c>
      <c r="D3475">
        <v>58565040</v>
      </c>
      <c r="E3475">
        <v>101901</v>
      </c>
      <c r="F3475">
        <v>41063</v>
      </c>
    </row>
    <row r="3476" spans="1:6">
      <c r="A3476" t="s">
        <v>4609</v>
      </c>
      <c r="B3476">
        <v>387</v>
      </c>
      <c r="C3476" t="s">
        <v>149</v>
      </c>
      <c r="D3476">
        <v>977285</v>
      </c>
      <c r="E3476">
        <v>102565</v>
      </c>
      <c r="F3476">
        <v>41205</v>
      </c>
    </row>
    <row r="3477" spans="1:6">
      <c r="A3477" t="s">
        <v>4610</v>
      </c>
      <c r="B3477">
        <v>387</v>
      </c>
      <c r="C3477" t="s">
        <v>1132</v>
      </c>
      <c r="D3477">
        <v>2931855</v>
      </c>
      <c r="E3477">
        <v>102565</v>
      </c>
      <c r="F3477">
        <v>41205</v>
      </c>
    </row>
    <row r="3478" spans="1:6">
      <c r="A3478" t="s">
        <v>4611</v>
      </c>
      <c r="B3478">
        <v>387</v>
      </c>
      <c r="C3478" t="s">
        <v>1134</v>
      </c>
      <c r="D3478">
        <v>1759113</v>
      </c>
      <c r="E3478">
        <v>102565</v>
      </c>
      <c r="F3478">
        <v>41205</v>
      </c>
    </row>
    <row r="3479" spans="1:6">
      <c r="A3479" t="s">
        <v>4612</v>
      </c>
      <c r="B3479">
        <v>387</v>
      </c>
      <c r="C3479" t="s">
        <v>1136</v>
      </c>
      <c r="D3479">
        <v>488643</v>
      </c>
      <c r="E3479">
        <v>102565</v>
      </c>
      <c r="F3479">
        <v>41205</v>
      </c>
    </row>
    <row r="3480" spans="1:6">
      <c r="A3480" t="s">
        <v>4613</v>
      </c>
      <c r="B3480">
        <v>387</v>
      </c>
      <c r="C3480" t="s">
        <v>1138</v>
      </c>
      <c r="D3480">
        <v>146593</v>
      </c>
      <c r="E3480">
        <v>102565</v>
      </c>
      <c r="F3480">
        <v>41205</v>
      </c>
    </row>
    <row r="3481" spans="1:6">
      <c r="A3481" t="s">
        <v>4614</v>
      </c>
      <c r="B3481">
        <v>387</v>
      </c>
      <c r="C3481" t="s">
        <v>738</v>
      </c>
      <c r="D3481">
        <v>3909140</v>
      </c>
      <c r="E3481">
        <v>102565</v>
      </c>
      <c r="F3481">
        <v>41205</v>
      </c>
    </row>
    <row r="3482" spans="1:6">
      <c r="A3482" t="s">
        <v>4615</v>
      </c>
      <c r="B3482">
        <v>387</v>
      </c>
      <c r="C3482" t="s">
        <v>1141</v>
      </c>
      <c r="D3482">
        <v>8795565</v>
      </c>
      <c r="E3482">
        <v>102565</v>
      </c>
      <c r="F3482">
        <v>41205</v>
      </c>
    </row>
    <row r="3483" spans="1:6">
      <c r="A3483" t="s">
        <v>4616</v>
      </c>
      <c r="B3483">
        <v>387</v>
      </c>
      <c r="C3483" t="s">
        <v>159</v>
      </c>
      <c r="D3483">
        <v>118138860</v>
      </c>
      <c r="E3483">
        <v>102565</v>
      </c>
      <c r="F3483">
        <v>41205</v>
      </c>
    </row>
    <row r="3484" spans="1:6">
      <c r="A3484" t="s">
        <v>4617</v>
      </c>
      <c r="B3484">
        <v>387</v>
      </c>
      <c r="C3484" t="s">
        <v>642</v>
      </c>
      <c r="D3484">
        <v>59069430</v>
      </c>
      <c r="E3484">
        <v>102565</v>
      </c>
      <c r="F3484">
        <v>41205</v>
      </c>
    </row>
    <row r="3485" spans="1:6">
      <c r="A3485" t="s">
        <v>4618</v>
      </c>
      <c r="B3485">
        <v>388</v>
      </c>
      <c r="C3485" t="s">
        <v>149</v>
      </c>
      <c r="D3485">
        <v>985084</v>
      </c>
      <c r="E3485">
        <v>103233</v>
      </c>
      <c r="F3485">
        <v>41347</v>
      </c>
    </row>
    <row r="3486" spans="1:6">
      <c r="A3486" t="s">
        <v>4619</v>
      </c>
      <c r="B3486">
        <v>388</v>
      </c>
      <c r="C3486" t="s">
        <v>1132</v>
      </c>
      <c r="D3486">
        <v>2955252</v>
      </c>
      <c r="E3486">
        <v>103233</v>
      </c>
      <c r="F3486">
        <v>41347</v>
      </c>
    </row>
    <row r="3487" spans="1:6">
      <c r="A3487" t="s">
        <v>4620</v>
      </c>
      <c r="B3487">
        <v>388</v>
      </c>
      <c r="C3487" t="s">
        <v>1134</v>
      </c>
      <c r="D3487">
        <v>1773152</v>
      </c>
      <c r="E3487">
        <v>103233</v>
      </c>
      <c r="F3487">
        <v>41347</v>
      </c>
    </row>
    <row r="3488" spans="1:6">
      <c r="A3488" t="s">
        <v>4621</v>
      </c>
      <c r="B3488">
        <v>388</v>
      </c>
      <c r="C3488" t="s">
        <v>1136</v>
      </c>
      <c r="D3488">
        <v>492542</v>
      </c>
      <c r="E3488">
        <v>103233</v>
      </c>
      <c r="F3488">
        <v>41347</v>
      </c>
    </row>
    <row r="3489" spans="1:6">
      <c r="A3489" t="s">
        <v>4622</v>
      </c>
      <c r="B3489">
        <v>388</v>
      </c>
      <c r="C3489" t="s">
        <v>1138</v>
      </c>
      <c r="D3489">
        <v>147763</v>
      </c>
      <c r="E3489">
        <v>103233</v>
      </c>
      <c r="F3489">
        <v>41347</v>
      </c>
    </row>
    <row r="3490" spans="1:6">
      <c r="A3490" t="s">
        <v>4623</v>
      </c>
      <c r="B3490">
        <v>388</v>
      </c>
      <c r="C3490" t="s">
        <v>738</v>
      </c>
      <c r="D3490">
        <v>3940336</v>
      </c>
      <c r="E3490">
        <v>103233</v>
      </c>
      <c r="F3490">
        <v>41347</v>
      </c>
    </row>
    <row r="3491" spans="1:6">
      <c r="A3491" t="s">
        <v>4624</v>
      </c>
      <c r="B3491">
        <v>388</v>
      </c>
      <c r="C3491" t="s">
        <v>1141</v>
      </c>
      <c r="D3491">
        <v>8865756</v>
      </c>
      <c r="E3491">
        <v>103233</v>
      </c>
      <c r="F3491">
        <v>41347</v>
      </c>
    </row>
    <row r="3492" spans="1:6">
      <c r="A3492" t="s">
        <v>4625</v>
      </c>
      <c r="B3492">
        <v>388</v>
      </c>
      <c r="C3492" t="s">
        <v>159</v>
      </c>
      <c r="D3492">
        <v>119154720</v>
      </c>
      <c r="E3492">
        <v>103233</v>
      </c>
      <c r="F3492">
        <v>41347</v>
      </c>
    </row>
    <row r="3493" spans="1:6">
      <c r="A3493" t="s">
        <v>4626</v>
      </c>
      <c r="B3493">
        <v>388</v>
      </c>
      <c r="C3493" t="s">
        <v>642</v>
      </c>
      <c r="D3493">
        <v>59577360</v>
      </c>
      <c r="E3493">
        <v>103233</v>
      </c>
      <c r="F3493">
        <v>41347</v>
      </c>
    </row>
    <row r="3494" spans="1:6">
      <c r="A3494" t="s">
        <v>4627</v>
      </c>
      <c r="B3494">
        <v>389</v>
      </c>
      <c r="C3494" t="s">
        <v>149</v>
      </c>
      <c r="D3494">
        <v>992933</v>
      </c>
      <c r="E3494">
        <v>103904</v>
      </c>
      <c r="F3494">
        <v>41489</v>
      </c>
    </row>
    <row r="3495" spans="1:6">
      <c r="A3495" t="s">
        <v>4628</v>
      </c>
      <c r="B3495">
        <v>389</v>
      </c>
      <c r="C3495" t="s">
        <v>1132</v>
      </c>
      <c r="D3495">
        <v>2978799</v>
      </c>
      <c r="E3495">
        <v>103904</v>
      </c>
      <c r="F3495">
        <v>41489</v>
      </c>
    </row>
    <row r="3496" spans="1:6">
      <c r="A3496" t="s">
        <v>4629</v>
      </c>
      <c r="B3496">
        <v>389</v>
      </c>
      <c r="C3496" t="s">
        <v>1134</v>
      </c>
      <c r="D3496">
        <v>1787280</v>
      </c>
      <c r="E3496">
        <v>103904</v>
      </c>
      <c r="F3496">
        <v>41489</v>
      </c>
    </row>
    <row r="3497" spans="1:6">
      <c r="A3497" t="s">
        <v>4630</v>
      </c>
      <c r="B3497">
        <v>389</v>
      </c>
      <c r="C3497" t="s">
        <v>1136</v>
      </c>
      <c r="D3497">
        <v>496467</v>
      </c>
      <c r="E3497">
        <v>103904</v>
      </c>
      <c r="F3497">
        <v>41489</v>
      </c>
    </row>
    <row r="3498" spans="1:6">
      <c r="A3498" t="s">
        <v>4631</v>
      </c>
      <c r="B3498">
        <v>389</v>
      </c>
      <c r="C3498" t="s">
        <v>1138</v>
      </c>
      <c r="D3498">
        <v>148940</v>
      </c>
      <c r="E3498">
        <v>103904</v>
      </c>
      <c r="F3498">
        <v>41489</v>
      </c>
    </row>
    <row r="3499" spans="1:6">
      <c r="A3499" t="s">
        <v>4632</v>
      </c>
      <c r="B3499">
        <v>389</v>
      </c>
      <c r="C3499" t="s">
        <v>738</v>
      </c>
      <c r="D3499">
        <v>3971732</v>
      </c>
      <c r="E3499">
        <v>103904</v>
      </c>
      <c r="F3499">
        <v>41489</v>
      </c>
    </row>
    <row r="3500" spans="1:6">
      <c r="A3500" t="s">
        <v>4633</v>
      </c>
      <c r="B3500">
        <v>389</v>
      </c>
      <c r="C3500" t="s">
        <v>1141</v>
      </c>
      <c r="D3500">
        <v>8936397</v>
      </c>
      <c r="E3500">
        <v>103904</v>
      </c>
      <c r="F3500">
        <v>41489</v>
      </c>
    </row>
    <row r="3501" spans="1:6">
      <c r="A3501" t="s">
        <v>4634</v>
      </c>
      <c r="B3501">
        <v>389</v>
      </c>
      <c r="C3501" t="s">
        <v>159</v>
      </c>
      <c r="D3501">
        <v>120177660</v>
      </c>
      <c r="E3501">
        <v>103904</v>
      </c>
      <c r="F3501">
        <v>41489</v>
      </c>
    </row>
    <row r="3502" spans="1:6">
      <c r="A3502" t="s">
        <v>4635</v>
      </c>
      <c r="B3502">
        <v>389</v>
      </c>
      <c r="C3502" t="s">
        <v>642</v>
      </c>
      <c r="D3502">
        <v>60088830</v>
      </c>
      <c r="E3502">
        <v>103904</v>
      </c>
      <c r="F3502">
        <v>41489</v>
      </c>
    </row>
    <row r="3503" spans="1:6">
      <c r="A3503" t="s">
        <v>4636</v>
      </c>
      <c r="B3503">
        <v>390</v>
      </c>
      <c r="C3503" t="s">
        <v>149</v>
      </c>
      <c r="D3503">
        <v>1000831</v>
      </c>
      <c r="E3503">
        <v>104578</v>
      </c>
      <c r="F3503">
        <v>41632</v>
      </c>
    </row>
    <row r="3504" spans="1:6">
      <c r="A3504" t="s">
        <v>4637</v>
      </c>
      <c r="B3504">
        <v>390</v>
      </c>
      <c r="C3504" t="s">
        <v>1132</v>
      </c>
      <c r="D3504">
        <v>3002493</v>
      </c>
      <c r="E3504">
        <v>104578</v>
      </c>
      <c r="F3504">
        <v>41632</v>
      </c>
    </row>
    <row r="3505" spans="1:6">
      <c r="A3505" t="s">
        <v>4638</v>
      </c>
      <c r="B3505">
        <v>390</v>
      </c>
      <c r="C3505" t="s">
        <v>1134</v>
      </c>
      <c r="D3505">
        <v>1801496</v>
      </c>
      <c r="E3505">
        <v>104578</v>
      </c>
      <c r="F3505">
        <v>41632</v>
      </c>
    </row>
    <row r="3506" spans="1:6">
      <c r="A3506" t="s">
        <v>4639</v>
      </c>
      <c r="B3506">
        <v>390</v>
      </c>
      <c r="C3506" t="s">
        <v>1136</v>
      </c>
      <c r="D3506">
        <v>500416</v>
      </c>
      <c r="E3506">
        <v>104578</v>
      </c>
      <c r="F3506">
        <v>41632</v>
      </c>
    </row>
    <row r="3507" spans="1:6">
      <c r="A3507" t="s">
        <v>4640</v>
      </c>
      <c r="B3507">
        <v>390</v>
      </c>
      <c r="C3507" t="s">
        <v>1138</v>
      </c>
      <c r="D3507">
        <v>150125</v>
      </c>
      <c r="E3507">
        <v>104578</v>
      </c>
      <c r="F3507">
        <v>41632</v>
      </c>
    </row>
    <row r="3508" spans="1:6">
      <c r="A3508" t="s">
        <v>4641</v>
      </c>
      <c r="B3508">
        <v>390</v>
      </c>
      <c r="C3508" t="s">
        <v>738</v>
      </c>
      <c r="D3508">
        <v>4003324</v>
      </c>
      <c r="E3508">
        <v>104578</v>
      </c>
      <c r="F3508">
        <v>41632</v>
      </c>
    </row>
    <row r="3509" spans="1:6">
      <c r="A3509" t="s">
        <v>4642</v>
      </c>
      <c r="B3509">
        <v>390</v>
      </c>
      <c r="C3509" t="s">
        <v>1141</v>
      </c>
      <c r="D3509">
        <v>9007479</v>
      </c>
      <c r="E3509">
        <v>104578</v>
      </c>
      <c r="F3509">
        <v>41632</v>
      </c>
    </row>
    <row r="3510" spans="1:6">
      <c r="A3510" t="s">
        <v>4643</v>
      </c>
      <c r="B3510">
        <v>390</v>
      </c>
      <c r="C3510" t="s">
        <v>159</v>
      </c>
      <c r="D3510">
        <v>121207740</v>
      </c>
      <c r="E3510">
        <v>104578</v>
      </c>
      <c r="F3510">
        <v>41632</v>
      </c>
    </row>
    <row r="3511" spans="1:6">
      <c r="A3511" t="s">
        <v>4644</v>
      </c>
      <c r="B3511">
        <v>390</v>
      </c>
      <c r="C3511" t="s">
        <v>642</v>
      </c>
      <c r="D3511">
        <v>60603870</v>
      </c>
      <c r="E3511">
        <v>104578</v>
      </c>
      <c r="F3511">
        <v>41632</v>
      </c>
    </row>
    <row r="3512" spans="1:6">
      <c r="A3512" t="s">
        <v>4645</v>
      </c>
      <c r="B3512">
        <v>391</v>
      </c>
      <c r="C3512" t="s">
        <v>149</v>
      </c>
      <c r="D3512">
        <v>1008779</v>
      </c>
      <c r="E3512">
        <v>105255</v>
      </c>
      <c r="F3512">
        <v>41775</v>
      </c>
    </row>
    <row r="3513" spans="1:6">
      <c r="A3513" t="s">
        <v>4646</v>
      </c>
      <c r="B3513">
        <v>391</v>
      </c>
      <c r="C3513" t="s">
        <v>1132</v>
      </c>
      <c r="D3513">
        <v>3026337</v>
      </c>
      <c r="E3513">
        <v>105255</v>
      </c>
      <c r="F3513">
        <v>41775</v>
      </c>
    </row>
    <row r="3514" spans="1:6">
      <c r="A3514" t="s">
        <v>4647</v>
      </c>
      <c r="B3514">
        <v>391</v>
      </c>
      <c r="C3514" t="s">
        <v>1134</v>
      </c>
      <c r="D3514">
        <v>1815803</v>
      </c>
      <c r="E3514">
        <v>105255</v>
      </c>
      <c r="F3514">
        <v>41775</v>
      </c>
    </row>
    <row r="3515" spans="1:6">
      <c r="A3515" t="s">
        <v>4648</v>
      </c>
      <c r="B3515">
        <v>391</v>
      </c>
      <c r="C3515" t="s">
        <v>1136</v>
      </c>
      <c r="D3515">
        <v>504390</v>
      </c>
      <c r="E3515">
        <v>105255</v>
      </c>
      <c r="F3515">
        <v>41775</v>
      </c>
    </row>
    <row r="3516" spans="1:6">
      <c r="A3516" t="s">
        <v>4649</v>
      </c>
      <c r="B3516">
        <v>391</v>
      </c>
      <c r="C3516" t="s">
        <v>1138</v>
      </c>
      <c r="D3516">
        <v>151317</v>
      </c>
      <c r="E3516">
        <v>105255</v>
      </c>
      <c r="F3516">
        <v>41775</v>
      </c>
    </row>
    <row r="3517" spans="1:6">
      <c r="A3517" t="s">
        <v>4650</v>
      </c>
      <c r="B3517">
        <v>391</v>
      </c>
      <c r="C3517" t="s">
        <v>738</v>
      </c>
      <c r="D3517">
        <v>4035116</v>
      </c>
      <c r="E3517">
        <v>105255</v>
      </c>
      <c r="F3517">
        <v>41775</v>
      </c>
    </row>
    <row r="3518" spans="1:6">
      <c r="A3518" t="s">
        <v>4651</v>
      </c>
      <c r="B3518">
        <v>391</v>
      </c>
      <c r="C3518" t="s">
        <v>1141</v>
      </c>
      <c r="D3518">
        <v>9079011</v>
      </c>
      <c r="E3518">
        <v>105255</v>
      </c>
      <c r="F3518">
        <v>41775</v>
      </c>
    </row>
    <row r="3519" spans="1:6">
      <c r="A3519" t="s">
        <v>4652</v>
      </c>
      <c r="B3519">
        <v>391</v>
      </c>
      <c r="C3519" t="s">
        <v>159</v>
      </c>
      <c r="D3519">
        <v>122244960</v>
      </c>
      <c r="E3519">
        <v>105255</v>
      </c>
      <c r="F3519">
        <v>41775</v>
      </c>
    </row>
    <row r="3520" spans="1:6">
      <c r="A3520" t="s">
        <v>4653</v>
      </c>
      <c r="B3520">
        <v>391</v>
      </c>
      <c r="C3520" t="s">
        <v>642</v>
      </c>
      <c r="D3520">
        <v>61122480</v>
      </c>
      <c r="E3520">
        <v>105255</v>
      </c>
      <c r="F3520">
        <v>41775</v>
      </c>
    </row>
    <row r="3521" spans="1:6">
      <c r="A3521" t="s">
        <v>4654</v>
      </c>
      <c r="B3521">
        <v>392</v>
      </c>
      <c r="C3521" t="s">
        <v>149</v>
      </c>
      <c r="D3521">
        <v>1016777</v>
      </c>
      <c r="E3521">
        <v>105936</v>
      </c>
      <c r="F3521">
        <v>41918</v>
      </c>
    </row>
    <row r="3522" spans="1:6">
      <c r="A3522" t="s">
        <v>4655</v>
      </c>
      <c r="B3522">
        <v>392</v>
      </c>
      <c r="C3522" t="s">
        <v>1132</v>
      </c>
      <c r="D3522">
        <v>3050331</v>
      </c>
      <c r="E3522">
        <v>105936</v>
      </c>
      <c r="F3522">
        <v>41918</v>
      </c>
    </row>
    <row r="3523" spans="1:6">
      <c r="A3523" t="s">
        <v>4656</v>
      </c>
      <c r="B3523">
        <v>392</v>
      </c>
      <c r="C3523" t="s">
        <v>1134</v>
      </c>
      <c r="D3523">
        <v>1830199</v>
      </c>
      <c r="E3523">
        <v>105936</v>
      </c>
      <c r="F3523">
        <v>41918</v>
      </c>
    </row>
    <row r="3524" spans="1:6">
      <c r="A3524" t="s">
        <v>4657</v>
      </c>
      <c r="B3524">
        <v>392</v>
      </c>
      <c r="C3524" t="s">
        <v>1136</v>
      </c>
      <c r="D3524">
        <v>508389</v>
      </c>
      <c r="E3524">
        <v>105936</v>
      </c>
      <c r="F3524">
        <v>41918</v>
      </c>
    </row>
    <row r="3525" spans="1:6">
      <c r="A3525" t="s">
        <v>4658</v>
      </c>
      <c r="B3525">
        <v>392</v>
      </c>
      <c r="C3525" t="s">
        <v>1138</v>
      </c>
      <c r="D3525">
        <v>152517</v>
      </c>
      <c r="E3525">
        <v>105936</v>
      </c>
      <c r="F3525">
        <v>41918</v>
      </c>
    </row>
    <row r="3526" spans="1:6">
      <c r="A3526" t="s">
        <v>4659</v>
      </c>
      <c r="B3526">
        <v>392</v>
      </c>
      <c r="C3526" t="s">
        <v>738</v>
      </c>
      <c r="D3526">
        <v>4067108</v>
      </c>
      <c r="E3526">
        <v>105936</v>
      </c>
      <c r="F3526">
        <v>41918</v>
      </c>
    </row>
    <row r="3527" spans="1:6">
      <c r="A3527" t="s">
        <v>4660</v>
      </c>
      <c r="B3527">
        <v>392</v>
      </c>
      <c r="C3527" t="s">
        <v>1141</v>
      </c>
      <c r="D3527">
        <v>9150993</v>
      </c>
      <c r="E3527">
        <v>105936</v>
      </c>
      <c r="F3527">
        <v>41918</v>
      </c>
    </row>
    <row r="3528" spans="1:6">
      <c r="A3528" t="s">
        <v>4661</v>
      </c>
      <c r="B3528">
        <v>392</v>
      </c>
      <c r="C3528" t="s">
        <v>159</v>
      </c>
      <c r="D3528">
        <v>123289380</v>
      </c>
      <c r="E3528">
        <v>105936</v>
      </c>
      <c r="F3528">
        <v>41918</v>
      </c>
    </row>
    <row r="3529" spans="1:6">
      <c r="A3529" t="s">
        <v>4662</v>
      </c>
      <c r="B3529">
        <v>392</v>
      </c>
      <c r="C3529" t="s">
        <v>642</v>
      </c>
      <c r="D3529">
        <v>61644690</v>
      </c>
      <c r="E3529">
        <v>105936</v>
      </c>
      <c r="F3529">
        <v>41918</v>
      </c>
    </row>
    <row r="3530" spans="1:6">
      <c r="A3530" t="s">
        <v>4663</v>
      </c>
      <c r="B3530">
        <v>393</v>
      </c>
      <c r="C3530" t="s">
        <v>149</v>
      </c>
      <c r="D3530">
        <v>1024825</v>
      </c>
      <c r="E3530">
        <v>106620</v>
      </c>
      <c r="F3530">
        <v>42061</v>
      </c>
    </row>
    <row r="3531" spans="1:6">
      <c r="A3531" t="s">
        <v>4664</v>
      </c>
      <c r="B3531">
        <v>393</v>
      </c>
      <c r="C3531" t="s">
        <v>1132</v>
      </c>
      <c r="D3531">
        <v>3074475</v>
      </c>
      <c r="E3531">
        <v>106620</v>
      </c>
      <c r="F3531">
        <v>42061</v>
      </c>
    </row>
    <row r="3532" spans="1:6">
      <c r="A3532" t="s">
        <v>4665</v>
      </c>
      <c r="B3532">
        <v>393</v>
      </c>
      <c r="C3532" t="s">
        <v>1134</v>
      </c>
      <c r="D3532">
        <v>1844685</v>
      </c>
      <c r="E3532">
        <v>106620</v>
      </c>
      <c r="F3532">
        <v>42061</v>
      </c>
    </row>
    <row r="3533" spans="1:6">
      <c r="A3533" t="s">
        <v>4666</v>
      </c>
      <c r="B3533">
        <v>393</v>
      </c>
      <c r="C3533" t="s">
        <v>1136</v>
      </c>
      <c r="D3533">
        <v>512413</v>
      </c>
      <c r="E3533">
        <v>106620</v>
      </c>
      <c r="F3533">
        <v>42061</v>
      </c>
    </row>
    <row r="3534" spans="1:6">
      <c r="A3534" t="s">
        <v>4667</v>
      </c>
      <c r="B3534">
        <v>393</v>
      </c>
      <c r="C3534" t="s">
        <v>1138</v>
      </c>
      <c r="D3534">
        <v>153724</v>
      </c>
      <c r="E3534">
        <v>106620</v>
      </c>
      <c r="F3534">
        <v>42061</v>
      </c>
    </row>
    <row r="3535" spans="1:6">
      <c r="A3535" t="s">
        <v>4668</v>
      </c>
      <c r="B3535">
        <v>393</v>
      </c>
      <c r="C3535" t="s">
        <v>738</v>
      </c>
      <c r="D3535">
        <v>4099300</v>
      </c>
      <c r="E3535">
        <v>106620</v>
      </c>
      <c r="F3535">
        <v>42061</v>
      </c>
    </row>
    <row r="3536" spans="1:6">
      <c r="A3536" t="s">
        <v>4669</v>
      </c>
      <c r="B3536">
        <v>393</v>
      </c>
      <c r="C3536" t="s">
        <v>1141</v>
      </c>
      <c r="D3536">
        <v>9223425</v>
      </c>
      <c r="E3536">
        <v>106620</v>
      </c>
      <c r="F3536">
        <v>42061</v>
      </c>
    </row>
    <row r="3537" spans="1:6">
      <c r="A3537" t="s">
        <v>4670</v>
      </c>
      <c r="B3537">
        <v>393</v>
      </c>
      <c r="C3537" t="s">
        <v>159</v>
      </c>
      <c r="D3537">
        <v>124341120</v>
      </c>
      <c r="E3537">
        <v>106620</v>
      </c>
      <c r="F3537">
        <v>42061</v>
      </c>
    </row>
    <row r="3538" spans="1:6">
      <c r="A3538" t="s">
        <v>4671</v>
      </c>
      <c r="B3538">
        <v>393</v>
      </c>
      <c r="C3538" t="s">
        <v>642</v>
      </c>
      <c r="D3538">
        <v>62170560</v>
      </c>
      <c r="E3538">
        <v>106620</v>
      </c>
      <c r="F3538">
        <v>42061</v>
      </c>
    </row>
    <row r="3539" spans="1:6">
      <c r="A3539" t="s">
        <v>4672</v>
      </c>
      <c r="B3539">
        <v>394</v>
      </c>
      <c r="C3539" t="s">
        <v>149</v>
      </c>
      <c r="D3539">
        <v>1032924</v>
      </c>
      <c r="E3539">
        <v>107307</v>
      </c>
      <c r="F3539">
        <v>42204</v>
      </c>
    </row>
    <row r="3540" spans="1:6">
      <c r="A3540" t="s">
        <v>4673</v>
      </c>
      <c r="B3540">
        <v>394</v>
      </c>
      <c r="C3540" t="s">
        <v>1132</v>
      </c>
      <c r="D3540">
        <v>3098772</v>
      </c>
      <c r="E3540">
        <v>107307</v>
      </c>
      <c r="F3540">
        <v>42204</v>
      </c>
    </row>
    <row r="3541" spans="1:6">
      <c r="A3541" t="s">
        <v>4674</v>
      </c>
      <c r="B3541">
        <v>394</v>
      </c>
      <c r="C3541" t="s">
        <v>1134</v>
      </c>
      <c r="D3541">
        <v>1859264</v>
      </c>
      <c r="E3541">
        <v>107307</v>
      </c>
      <c r="F3541">
        <v>42204</v>
      </c>
    </row>
    <row r="3542" spans="1:6">
      <c r="A3542" t="s">
        <v>4675</v>
      </c>
      <c r="B3542">
        <v>394</v>
      </c>
      <c r="C3542" t="s">
        <v>1136</v>
      </c>
      <c r="D3542">
        <v>516462</v>
      </c>
      <c r="E3542">
        <v>107307</v>
      </c>
      <c r="F3542">
        <v>42204</v>
      </c>
    </row>
    <row r="3543" spans="1:6">
      <c r="A3543" t="s">
        <v>4676</v>
      </c>
      <c r="B3543">
        <v>394</v>
      </c>
      <c r="C3543" t="s">
        <v>1138</v>
      </c>
      <c r="D3543">
        <v>154939</v>
      </c>
      <c r="E3543">
        <v>107307</v>
      </c>
      <c r="F3543">
        <v>42204</v>
      </c>
    </row>
    <row r="3544" spans="1:6">
      <c r="A3544" t="s">
        <v>4677</v>
      </c>
      <c r="B3544">
        <v>394</v>
      </c>
      <c r="C3544" t="s">
        <v>738</v>
      </c>
      <c r="D3544">
        <v>4131696</v>
      </c>
      <c r="E3544">
        <v>107307</v>
      </c>
      <c r="F3544">
        <v>42204</v>
      </c>
    </row>
    <row r="3545" spans="1:6">
      <c r="A3545" t="s">
        <v>4678</v>
      </c>
      <c r="B3545">
        <v>394</v>
      </c>
      <c r="C3545" t="s">
        <v>1141</v>
      </c>
      <c r="D3545">
        <v>9296316</v>
      </c>
      <c r="E3545">
        <v>107307</v>
      </c>
      <c r="F3545">
        <v>42204</v>
      </c>
    </row>
    <row r="3546" spans="1:6">
      <c r="A3546" t="s">
        <v>4679</v>
      </c>
      <c r="B3546">
        <v>394</v>
      </c>
      <c r="C3546" t="s">
        <v>159</v>
      </c>
      <c r="D3546">
        <v>125400120</v>
      </c>
      <c r="E3546">
        <v>107307</v>
      </c>
      <c r="F3546">
        <v>42204</v>
      </c>
    </row>
    <row r="3547" spans="1:6">
      <c r="A3547" t="s">
        <v>4680</v>
      </c>
      <c r="B3547">
        <v>394</v>
      </c>
      <c r="C3547" t="s">
        <v>642</v>
      </c>
      <c r="D3547">
        <v>62700060</v>
      </c>
      <c r="E3547">
        <v>107307</v>
      </c>
      <c r="F3547">
        <v>42204</v>
      </c>
    </row>
    <row r="3548" spans="1:6">
      <c r="A3548" t="s">
        <v>4681</v>
      </c>
      <c r="B3548">
        <v>395</v>
      </c>
      <c r="C3548" t="s">
        <v>149</v>
      </c>
      <c r="D3548">
        <v>1041073</v>
      </c>
      <c r="E3548">
        <v>107998</v>
      </c>
      <c r="F3548">
        <v>42347</v>
      </c>
    </row>
    <row r="3549" spans="1:6">
      <c r="A3549" t="s">
        <v>4682</v>
      </c>
      <c r="B3549">
        <v>395</v>
      </c>
      <c r="C3549" t="s">
        <v>1132</v>
      </c>
      <c r="D3549">
        <v>3123219</v>
      </c>
      <c r="E3549">
        <v>107998</v>
      </c>
      <c r="F3549">
        <v>42347</v>
      </c>
    </row>
    <row r="3550" spans="1:6">
      <c r="A3550" t="s">
        <v>4683</v>
      </c>
      <c r="B3550">
        <v>395</v>
      </c>
      <c r="C3550" t="s">
        <v>1134</v>
      </c>
      <c r="D3550">
        <v>1873932</v>
      </c>
      <c r="E3550">
        <v>107998</v>
      </c>
      <c r="F3550">
        <v>42347</v>
      </c>
    </row>
    <row r="3551" spans="1:6">
      <c r="A3551" t="s">
        <v>4684</v>
      </c>
      <c r="B3551">
        <v>395</v>
      </c>
      <c r="C3551" t="s">
        <v>1136</v>
      </c>
      <c r="D3551">
        <v>520537</v>
      </c>
      <c r="E3551">
        <v>107998</v>
      </c>
      <c r="F3551">
        <v>42347</v>
      </c>
    </row>
    <row r="3552" spans="1:6">
      <c r="A3552" t="s">
        <v>4685</v>
      </c>
      <c r="B3552">
        <v>395</v>
      </c>
      <c r="C3552" t="s">
        <v>1138</v>
      </c>
      <c r="D3552">
        <v>156161</v>
      </c>
      <c r="E3552">
        <v>107998</v>
      </c>
      <c r="F3552">
        <v>42347</v>
      </c>
    </row>
    <row r="3553" spans="1:6">
      <c r="A3553" t="s">
        <v>4686</v>
      </c>
      <c r="B3553">
        <v>395</v>
      </c>
      <c r="C3553" t="s">
        <v>738</v>
      </c>
      <c r="D3553">
        <v>4164292</v>
      </c>
      <c r="E3553">
        <v>107998</v>
      </c>
      <c r="F3553">
        <v>42347</v>
      </c>
    </row>
    <row r="3554" spans="1:6">
      <c r="A3554" t="s">
        <v>4687</v>
      </c>
      <c r="B3554">
        <v>395</v>
      </c>
      <c r="C3554" t="s">
        <v>1141</v>
      </c>
      <c r="D3554">
        <v>9369657</v>
      </c>
      <c r="E3554">
        <v>107998</v>
      </c>
      <c r="F3554">
        <v>42347</v>
      </c>
    </row>
    <row r="3555" spans="1:6">
      <c r="A3555" t="s">
        <v>4688</v>
      </c>
      <c r="B3555">
        <v>395</v>
      </c>
      <c r="C3555" t="s">
        <v>159</v>
      </c>
      <c r="D3555">
        <v>126466440</v>
      </c>
      <c r="E3555">
        <v>107998</v>
      </c>
      <c r="F3555">
        <v>42347</v>
      </c>
    </row>
    <row r="3556" spans="1:6">
      <c r="A3556" t="s">
        <v>4689</v>
      </c>
      <c r="B3556">
        <v>395</v>
      </c>
      <c r="C3556" t="s">
        <v>642</v>
      </c>
      <c r="D3556">
        <v>63233220</v>
      </c>
      <c r="E3556">
        <v>107998</v>
      </c>
      <c r="F3556">
        <v>42347</v>
      </c>
    </row>
    <row r="3557" spans="1:6">
      <c r="A3557" t="s">
        <v>4690</v>
      </c>
      <c r="B3557">
        <v>396</v>
      </c>
      <c r="C3557" t="s">
        <v>149</v>
      </c>
      <c r="D3557">
        <v>1049274</v>
      </c>
      <c r="E3557">
        <v>108692</v>
      </c>
      <c r="F3557">
        <v>42491</v>
      </c>
    </row>
    <row r="3558" spans="1:6">
      <c r="A3558" t="s">
        <v>4691</v>
      </c>
      <c r="B3558">
        <v>396</v>
      </c>
      <c r="C3558" t="s">
        <v>1132</v>
      </c>
      <c r="D3558">
        <v>3147822</v>
      </c>
      <c r="E3558">
        <v>108692</v>
      </c>
      <c r="F3558">
        <v>42491</v>
      </c>
    </row>
    <row r="3559" spans="1:6">
      <c r="A3559" t="s">
        <v>4692</v>
      </c>
      <c r="B3559">
        <v>396</v>
      </c>
      <c r="C3559" t="s">
        <v>1134</v>
      </c>
      <c r="D3559">
        <v>1888694</v>
      </c>
      <c r="E3559">
        <v>108692</v>
      </c>
      <c r="F3559">
        <v>42491</v>
      </c>
    </row>
    <row r="3560" spans="1:6">
      <c r="A3560" t="s">
        <v>4693</v>
      </c>
      <c r="B3560">
        <v>396</v>
      </c>
      <c r="C3560" t="s">
        <v>1136</v>
      </c>
      <c r="D3560">
        <v>524637</v>
      </c>
      <c r="E3560">
        <v>108692</v>
      </c>
      <c r="F3560">
        <v>42491</v>
      </c>
    </row>
    <row r="3561" spans="1:6">
      <c r="A3561" t="s">
        <v>4694</v>
      </c>
      <c r="B3561">
        <v>396</v>
      </c>
      <c r="C3561" t="s">
        <v>1138</v>
      </c>
      <c r="D3561">
        <v>157392</v>
      </c>
      <c r="E3561">
        <v>108692</v>
      </c>
      <c r="F3561">
        <v>42491</v>
      </c>
    </row>
    <row r="3562" spans="1:6">
      <c r="A3562" t="s">
        <v>4695</v>
      </c>
      <c r="B3562">
        <v>396</v>
      </c>
      <c r="C3562" t="s">
        <v>738</v>
      </c>
      <c r="D3562">
        <v>4197096</v>
      </c>
      <c r="E3562">
        <v>108692</v>
      </c>
      <c r="F3562">
        <v>42491</v>
      </c>
    </row>
    <row r="3563" spans="1:6">
      <c r="A3563" t="s">
        <v>4696</v>
      </c>
      <c r="B3563">
        <v>396</v>
      </c>
      <c r="C3563" t="s">
        <v>1141</v>
      </c>
      <c r="D3563">
        <v>9443466</v>
      </c>
      <c r="E3563">
        <v>108692</v>
      </c>
      <c r="F3563">
        <v>42491</v>
      </c>
    </row>
    <row r="3564" spans="1:6">
      <c r="A3564" t="s">
        <v>4697</v>
      </c>
      <c r="B3564">
        <v>396</v>
      </c>
      <c r="C3564" t="s">
        <v>159</v>
      </c>
      <c r="D3564">
        <v>127540140</v>
      </c>
      <c r="E3564">
        <v>108692</v>
      </c>
      <c r="F3564">
        <v>42491</v>
      </c>
    </row>
    <row r="3565" spans="1:6">
      <c r="A3565" t="s">
        <v>4698</v>
      </c>
      <c r="B3565">
        <v>396</v>
      </c>
      <c r="C3565" t="s">
        <v>642</v>
      </c>
      <c r="D3565">
        <v>63770070</v>
      </c>
      <c r="E3565">
        <v>108692</v>
      </c>
      <c r="F3565">
        <v>42491</v>
      </c>
    </row>
    <row r="3566" spans="1:6">
      <c r="A3566" t="s">
        <v>4699</v>
      </c>
      <c r="B3566">
        <v>397</v>
      </c>
      <c r="C3566" t="s">
        <v>149</v>
      </c>
      <c r="D3566">
        <v>1057525</v>
      </c>
      <c r="E3566">
        <v>109389</v>
      </c>
      <c r="F3566">
        <v>42635</v>
      </c>
    </row>
    <row r="3567" spans="1:6">
      <c r="A3567" t="s">
        <v>4700</v>
      </c>
      <c r="B3567">
        <v>397</v>
      </c>
      <c r="C3567" t="s">
        <v>1132</v>
      </c>
      <c r="D3567">
        <v>3172575</v>
      </c>
      <c r="E3567">
        <v>109389</v>
      </c>
      <c r="F3567">
        <v>42635</v>
      </c>
    </row>
    <row r="3568" spans="1:6">
      <c r="A3568" t="s">
        <v>4701</v>
      </c>
      <c r="B3568">
        <v>397</v>
      </c>
      <c r="C3568" t="s">
        <v>1134</v>
      </c>
      <c r="D3568">
        <v>1903545</v>
      </c>
      <c r="E3568">
        <v>109389</v>
      </c>
      <c r="F3568">
        <v>42635</v>
      </c>
    </row>
    <row r="3569" spans="1:6">
      <c r="A3569" t="s">
        <v>4702</v>
      </c>
      <c r="B3569">
        <v>397</v>
      </c>
      <c r="C3569" t="s">
        <v>1136</v>
      </c>
      <c r="D3569">
        <v>528763</v>
      </c>
      <c r="E3569">
        <v>109389</v>
      </c>
      <c r="F3569">
        <v>42635</v>
      </c>
    </row>
    <row r="3570" spans="1:6">
      <c r="A3570" t="s">
        <v>4703</v>
      </c>
      <c r="B3570">
        <v>397</v>
      </c>
      <c r="C3570" t="s">
        <v>1138</v>
      </c>
      <c r="D3570">
        <v>158629</v>
      </c>
      <c r="E3570">
        <v>109389</v>
      </c>
      <c r="F3570">
        <v>42635</v>
      </c>
    </row>
    <row r="3571" spans="1:6">
      <c r="A3571" t="s">
        <v>4704</v>
      </c>
      <c r="B3571">
        <v>397</v>
      </c>
      <c r="C3571" t="s">
        <v>738</v>
      </c>
      <c r="D3571">
        <v>4230100</v>
      </c>
      <c r="E3571">
        <v>109389</v>
      </c>
      <c r="F3571">
        <v>42635</v>
      </c>
    </row>
    <row r="3572" spans="1:6">
      <c r="A3572" t="s">
        <v>4705</v>
      </c>
      <c r="B3572">
        <v>397</v>
      </c>
      <c r="C3572" t="s">
        <v>1141</v>
      </c>
      <c r="D3572">
        <v>9517725</v>
      </c>
      <c r="E3572">
        <v>109389</v>
      </c>
      <c r="F3572">
        <v>42635</v>
      </c>
    </row>
    <row r="3573" spans="1:6">
      <c r="A3573" t="s">
        <v>4706</v>
      </c>
      <c r="B3573">
        <v>397</v>
      </c>
      <c r="C3573" t="s">
        <v>159</v>
      </c>
      <c r="D3573">
        <v>128621280</v>
      </c>
      <c r="E3573">
        <v>109389</v>
      </c>
      <c r="F3573">
        <v>42635</v>
      </c>
    </row>
    <row r="3574" spans="1:6">
      <c r="A3574" t="s">
        <v>4707</v>
      </c>
      <c r="B3574">
        <v>397</v>
      </c>
      <c r="C3574" t="s">
        <v>642</v>
      </c>
      <c r="D3574">
        <v>64310640</v>
      </c>
      <c r="E3574">
        <v>109389</v>
      </c>
      <c r="F3574">
        <v>42635</v>
      </c>
    </row>
    <row r="3575" spans="1:6">
      <c r="A3575" t="s">
        <v>4708</v>
      </c>
      <c r="B3575">
        <v>398</v>
      </c>
      <c r="C3575" t="s">
        <v>149</v>
      </c>
      <c r="D3575">
        <v>1065828</v>
      </c>
      <c r="E3575">
        <v>110090</v>
      </c>
      <c r="F3575">
        <v>42779</v>
      </c>
    </row>
    <row r="3576" spans="1:6">
      <c r="A3576" t="s">
        <v>4709</v>
      </c>
      <c r="B3576">
        <v>398</v>
      </c>
      <c r="C3576" t="s">
        <v>1132</v>
      </c>
      <c r="D3576">
        <v>3197484</v>
      </c>
      <c r="E3576">
        <v>110090</v>
      </c>
      <c r="F3576">
        <v>42779</v>
      </c>
    </row>
    <row r="3577" spans="1:6">
      <c r="A3577" t="s">
        <v>4710</v>
      </c>
      <c r="B3577">
        <v>398</v>
      </c>
      <c r="C3577" t="s">
        <v>1134</v>
      </c>
      <c r="D3577">
        <v>1918491</v>
      </c>
      <c r="E3577">
        <v>110090</v>
      </c>
      <c r="F3577">
        <v>42779</v>
      </c>
    </row>
    <row r="3578" spans="1:6">
      <c r="A3578" t="s">
        <v>4711</v>
      </c>
      <c r="B3578">
        <v>398</v>
      </c>
      <c r="C3578" t="s">
        <v>1136</v>
      </c>
      <c r="D3578">
        <v>532914</v>
      </c>
      <c r="E3578">
        <v>110090</v>
      </c>
      <c r="F3578">
        <v>42779</v>
      </c>
    </row>
    <row r="3579" spans="1:6">
      <c r="A3579" t="s">
        <v>4712</v>
      </c>
      <c r="B3579">
        <v>398</v>
      </c>
      <c r="C3579" t="s">
        <v>1138</v>
      </c>
      <c r="D3579">
        <v>159875</v>
      </c>
      <c r="E3579">
        <v>110090</v>
      </c>
      <c r="F3579">
        <v>42779</v>
      </c>
    </row>
    <row r="3580" spans="1:6">
      <c r="A3580" t="s">
        <v>4713</v>
      </c>
      <c r="B3580">
        <v>398</v>
      </c>
      <c r="C3580" t="s">
        <v>738</v>
      </c>
      <c r="D3580">
        <v>4263312</v>
      </c>
      <c r="E3580">
        <v>110090</v>
      </c>
      <c r="F3580">
        <v>42779</v>
      </c>
    </row>
    <row r="3581" spans="1:6">
      <c r="A3581" t="s">
        <v>4714</v>
      </c>
      <c r="B3581">
        <v>398</v>
      </c>
      <c r="C3581" t="s">
        <v>1141</v>
      </c>
      <c r="D3581">
        <v>9592452</v>
      </c>
      <c r="E3581">
        <v>110090</v>
      </c>
      <c r="F3581">
        <v>42779</v>
      </c>
    </row>
    <row r="3582" spans="1:6">
      <c r="A3582" t="s">
        <v>4715</v>
      </c>
      <c r="B3582">
        <v>398</v>
      </c>
      <c r="C3582" t="s">
        <v>159</v>
      </c>
      <c r="D3582">
        <v>129709860</v>
      </c>
      <c r="E3582">
        <v>110090</v>
      </c>
      <c r="F3582">
        <v>42779</v>
      </c>
    </row>
    <row r="3583" spans="1:6">
      <c r="A3583" t="s">
        <v>4716</v>
      </c>
      <c r="B3583">
        <v>398</v>
      </c>
      <c r="C3583" t="s">
        <v>642</v>
      </c>
      <c r="D3583">
        <v>64854930</v>
      </c>
      <c r="E3583">
        <v>110090</v>
      </c>
      <c r="F3583">
        <v>42779</v>
      </c>
    </row>
    <row r="3584" spans="1:6">
      <c r="A3584" t="s">
        <v>4717</v>
      </c>
      <c r="B3584">
        <v>399</v>
      </c>
      <c r="C3584" t="s">
        <v>149</v>
      </c>
      <c r="D3584">
        <v>1074183</v>
      </c>
      <c r="E3584">
        <v>110794</v>
      </c>
      <c r="F3584">
        <v>42923</v>
      </c>
    </row>
    <row r="3585" spans="1:6">
      <c r="A3585" t="s">
        <v>4718</v>
      </c>
      <c r="B3585">
        <v>399</v>
      </c>
      <c r="C3585" t="s">
        <v>1132</v>
      </c>
      <c r="D3585">
        <v>3222549</v>
      </c>
      <c r="E3585">
        <v>110794</v>
      </c>
      <c r="F3585">
        <v>42923</v>
      </c>
    </row>
    <row r="3586" spans="1:6">
      <c r="A3586" t="s">
        <v>4719</v>
      </c>
      <c r="B3586">
        <v>399</v>
      </c>
      <c r="C3586" t="s">
        <v>1134</v>
      </c>
      <c r="D3586">
        <v>1933530</v>
      </c>
      <c r="E3586">
        <v>110794</v>
      </c>
      <c r="F3586">
        <v>42923</v>
      </c>
    </row>
    <row r="3587" spans="1:6">
      <c r="A3587" t="s">
        <v>4720</v>
      </c>
      <c r="B3587">
        <v>399</v>
      </c>
      <c r="C3587" t="s">
        <v>1136</v>
      </c>
      <c r="D3587">
        <v>537092</v>
      </c>
      <c r="E3587">
        <v>110794</v>
      </c>
      <c r="F3587">
        <v>42923</v>
      </c>
    </row>
    <row r="3588" spans="1:6">
      <c r="A3588" t="s">
        <v>4721</v>
      </c>
      <c r="B3588">
        <v>399</v>
      </c>
      <c r="C3588" t="s">
        <v>1138</v>
      </c>
      <c r="D3588">
        <v>161128</v>
      </c>
      <c r="E3588">
        <v>110794</v>
      </c>
      <c r="F3588">
        <v>42923</v>
      </c>
    </row>
    <row r="3589" spans="1:6">
      <c r="A3589" t="s">
        <v>4722</v>
      </c>
      <c r="B3589">
        <v>399</v>
      </c>
      <c r="C3589" t="s">
        <v>738</v>
      </c>
      <c r="D3589">
        <v>4296732</v>
      </c>
      <c r="E3589">
        <v>110794</v>
      </c>
      <c r="F3589">
        <v>42923</v>
      </c>
    </row>
    <row r="3590" spans="1:6">
      <c r="A3590" t="s">
        <v>4723</v>
      </c>
      <c r="B3590">
        <v>399</v>
      </c>
      <c r="C3590" t="s">
        <v>1141</v>
      </c>
      <c r="D3590">
        <v>9667647</v>
      </c>
      <c r="E3590">
        <v>110794</v>
      </c>
      <c r="F3590">
        <v>42923</v>
      </c>
    </row>
    <row r="3591" spans="1:6">
      <c r="A3591" t="s">
        <v>4724</v>
      </c>
      <c r="B3591">
        <v>399</v>
      </c>
      <c r="C3591" t="s">
        <v>159</v>
      </c>
      <c r="D3591">
        <v>130805940</v>
      </c>
      <c r="E3591">
        <v>110794</v>
      </c>
      <c r="F3591">
        <v>42923</v>
      </c>
    </row>
    <row r="3592" spans="1:6">
      <c r="A3592" t="s">
        <v>4725</v>
      </c>
      <c r="B3592">
        <v>399</v>
      </c>
      <c r="C3592" t="s">
        <v>642</v>
      </c>
      <c r="D3592">
        <v>65402970</v>
      </c>
      <c r="E3592">
        <v>110794</v>
      </c>
      <c r="F3592">
        <v>42923</v>
      </c>
    </row>
    <row r="3593" spans="1:6">
      <c r="A3593" t="s">
        <v>4726</v>
      </c>
      <c r="B3593">
        <v>400</v>
      </c>
      <c r="C3593" t="s">
        <v>149</v>
      </c>
      <c r="D3593">
        <v>1082590</v>
      </c>
      <c r="E3593">
        <v>111502</v>
      </c>
      <c r="F3593">
        <v>43068</v>
      </c>
    </row>
    <row r="3594" spans="1:6">
      <c r="A3594" t="s">
        <v>4727</v>
      </c>
      <c r="B3594">
        <v>400</v>
      </c>
      <c r="C3594" t="s">
        <v>1132</v>
      </c>
      <c r="D3594">
        <v>3247770</v>
      </c>
      <c r="E3594">
        <v>111502</v>
      </c>
      <c r="F3594">
        <v>43068</v>
      </c>
    </row>
    <row r="3595" spans="1:6">
      <c r="A3595" t="s">
        <v>4728</v>
      </c>
      <c r="B3595">
        <v>400</v>
      </c>
      <c r="C3595" t="s">
        <v>1134</v>
      </c>
      <c r="D3595">
        <v>1948662</v>
      </c>
      <c r="E3595">
        <v>111502</v>
      </c>
      <c r="F3595">
        <v>43068</v>
      </c>
    </row>
    <row r="3596" spans="1:6">
      <c r="A3596" t="s">
        <v>4729</v>
      </c>
      <c r="B3596">
        <v>400</v>
      </c>
      <c r="C3596" t="s">
        <v>1136</v>
      </c>
      <c r="D3596">
        <v>541295</v>
      </c>
      <c r="E3596">
        <v>111502</v>
      </c>
      <c r="F3596">
        <v>43068</v>
      </c>
    </row>
    <row r="3597" spans="1:6">
      <c r="A3597" t="s">
        <v>4730</v>
      </c>
      <c r="B3597">
        <v>400</v>
      </c>
      <c r="C3597" t="s">
        <v>1138</v>
      </c>
      <c r="D3597">
        <v>162389</v>
      </c>
      <c r="E3597">
        <v>111502</v>
      </c>
      <c r="F3597">
        <v>43068</v>
      </c>
    </row>
    <row r="3598" spans="1:6">
      <c r="A3598" t="s">
        <v>4731</v>
      </c>
      <c r="B3598">
        <v>400</v>
      </c>
      <c r="C3598" t="s">
        <v>738</v>
      </c>
      <c r="D3598">
        <v>4330360</v>
      </c>
      <c r="E3598">
        <v>111502</v>
      </c>
      <c r="F3598">
        <v>43068</v>
      </c>
    </row>
    <row r="3599" spans="1:6">
      <c r="A3599" t="s">
        <v>4732</v>
      </c>
      <c r="B3599">
        <v>400</v>
      </c>
      <c r="C3599" t="s">
        <v>1141</v>
      </c>
      <c r="D3599">
        <v>9743310</v>
      </c>
      <c r="E3599">
        <v>111502</v>
      </c>
      <c r="F3599">
        <v>43068</v>
      </c>
    </row>
    <row r="3600" spans="1:6">
      <c r="A3600" t="s">
        <v>4733</v>
      </c>
      <c r="B3600">
        <v>400</v>
      </c>
      <c r="C3600" t="s">
        <v>159</v>
      </c>
      <c r="D3600">
        <v>131909580</v>
      </c>
      <c r="E3600">
        <v>111502</v>
      </c>
      <c r="F3600">
        <v>43068</v>
      </c>
    </row>
    <row r="3601" spans="1:6">
      <c r="A3601" t="s">
        <v>4734</v>
      </c>
      <c r="B3601">
        <v>400</v>
      </c>
      <c r="C3601" t="s">
        <v>642</v>
      </c>
      <c r="D3601">
        <v>65954790</v>
      </c>
      <c r="E3601">
        <v>111502</v>
      </c>
      <c r="F3601">
        <v>43068</v>
      </c>
    </row>
    <row r="3602" spans="1:6">
      <c r="A3602" t="s">
        <v>4735</v>
      </c>
      <c r="B3602">
        <v>401</v>
      </c>
      <c r="C3602" t="s">
        <v>149</v>
      </c>
      <c r="D3602">
        <v>1091048</v>
      </c>
      <c r="E3602">
        <v>112212</v>
      </c>
      <c r="F3602">
        <v>43212</v>
      </c>
    </row>
    <row r="3603" spans="1:6">
      <c r="A3603" t="s">
        <v>4736</v>
      </c>
      <c r="B3603">
        <v>401</v>
      </c>
      <c r="C3603" t="s">
        <v>1132</v>
      </c>
      <c r="D3603">
        <v>3273144</v>
      </c>
      <c r="E3603">
        <v>112212</v>
      </c>
      <c r="F3603">
        <v>43212</v>
      </c>
    </row>
    <row r="3604" spans="1:6">
      <c r="A3604" t="s">
        <v>4737</v>
      </c>
      <c r="B3604">
        <v>401</v>
      </c>
      <c r="C3604" t="s">
        <v>1134</v>
      </c>
      <c r="D3604">
        <v>1963887</v>
      </c>
      <c r="E3604">
        <v>112212</v>
      </c>
      <c r="F3604">
        <v>43212</v>
      </c>
    </row>
    <row r="3605" spans="1:6">
      <c r="A3605" t="s">
        <v>4738</v>
      </c>
      <c r="B3605">
        <v>401</v>
      </c>
      <c r="C3605" t="s">
        <v>1136</v>
      </c>
      <c r="D3605">
        <v>545524</v>
      </c>
      <c r="E3605">
        <v>112212</v>
      </c>
      <c r="F3605">
        <v>43212</v>
      </c>
    </row>
    <row r="3606" spans="1:6">
      <c r="A3606" t="s">
        <v>4739</v>
      </c>
      <c r="B3606">
        <v>401</v>
      </c>
      <c r="C3606" t="s">
        <v>1138</v>
      </c>
      <c r="D3606">
        <v>163658</v>
      </c>
      <c r="E3606">
        <v>112212</v>
      </c>
      <c r="F3606">
        <v>43212</v>
      </c>
    </row>
    <row r="3607" spans="1:6">
      <c r="A3607" t="s">
        <v>4740</v>
      </c>
      <c r="B3607">
        <v>401</v>
      </c>
      <c r="C3607" t="s">
        <v>738</v>
      </c>
      <c r="D3607">
        <v>4364192</v>
      </c>
      <c r="E3607">
        <v>112212</v>
      </c>
      <c r="F3607">
        <v>43212</v>
      </c>
    </row>
    <row r="3608" spans="1:6">
      <c r="A3608" t="s">
        <v>4741</v>
      </c>
      <c r="B3608">
        <v>401</v>
      </c>
      <c r="C3608" t="s">
        <v>1141</v>
      </c>
      <c r="D3608">
        <v>9819432</v>
      </c>
      <c r="E3608">
        <v>112212</v>
      </c>
      <c r="F3608">
        <v>43212</v>
      </c>
    </row>
    <row r="3609" spans="1:6">
      <c r="A3609" t="s">
        <v>4742</v>
      </c>
      <c r="B3609">
        <v>401</v>
      </c>
      <c r="C3609" t="s">
        <v>159</v>
      </c>
      <c r="D3609">
        <v>133020840</v>
      </c>
      <c r="E3609">
        <v>112212</v>
      </c>
      <c r="F3609">
        <v>43212</v>
      </c>
    </row>
    <row r="3610" spans="1:6">
      <c r="A3610" t="s">
        <v>4743</v>
      </c>
      <c r="B3610">
        <v>401</v>
      </c>
      <c r="C3610" t="s">
        <v>642</v>
      </c>
      <c r="D3610">
        <v>66510420</v>
      </c>
      <c r="E3610">
        <v>112212</v>
      </c>
      <c r="F3610">
        <v>43212</v>
      </c>
    </row>
    <row r="3611" spans="1:6">
      <c r="A3611" t="s">
        <v>4744</v>
      </c>
      <c r="B3611">
        <v>402</v>
      </c>
      <c r="C3611" t="s">
        <v>149</v>
      </c>
      <c r="D3611">
        <v>1099560</v>
      </c>
      <c r="E3611">
        <v>112927</v>
      </c>
      <c r="F3611">
        <v>43357</v>
      </c>
    </row>
    <row r="3612" spans="1:6">
      <c r="A3612" t="s">
        <v>4745</v>
      </c>
      <c r="B3612">
        <v>402</v>
      </c>
      <c r="C3612" t="s">
        <v>1132</v>
      </c>
      <c r="D3612">
        <v>3298680</v>
      </c>
      <c r="E3612">
        <v>112927</v>
      </c>
      <c r="F3612">
        <v>43357</v>
      </c>
    </row>
    <row r="3613" spans="1:6">
      <c r="A3613" t="s">
        <v>4746</v>
      </c>
      <c r="B3613">
        <v>402</v>
      </c>
      <c r="C3613" t="s">
        <v>1134</v>
      </c>
      <c r="D3613">
        <v>1979208</v>
      </c>
      <c r="E3613">
        <v>112927</v>
      </c>
      <c r="F3613">
        <v>43357</v>
      </c>
    </row>
    <row r="3614" spans="1:6">
      <c r="A3614" t="s">
        <v>4747</v>
      </c>
      <c r="B3614">
        <v>402</v>
      </c>
      <c r="C3614" t="s">
        <v>1136</v>
      </c>
      <c r="D3614">
        <v>549780</v>
      </c>
      <c r="E3614">
        <v>112927</v>
      </c>
      <c r="F3614">
        <v>43357</v>
      </c>
    </row>
    <row r="3615" spans="1:6">
      <c r="A3615" t="s">
        <v>4748</v>
      </c>
      <c r="B3615">
        <v>402</v>
      </c>
      <c r="C3615" t="s">
        <v>1138</v>
      </c>
      <c r="D3615">
        <v>164934</v>
      </c>
      <c r="E3615">
        <v>112927</v>
      </c>
      <c r="F3615">
        <v>43357</v>
      </c>
    </row>
    <row r="3616" spans="1:6">
      <c r="A3616" t="s">
        <v>4749</v>
      </c>
      <c r="B3616">
        <v>402</v>
      </c>
      <c r="C3616" t="s">
        <v>738</v>
      </c>
      <c r="D3616">
        <v>4398240</v>
      </c>
      <c r="E3616">
        <v>112927</v>
      </c>
      <c r="F3616">
        <v>43357</v>
      </c>
    </row>
    <row r="3617" spans="1:6">
      <c r="A3617" t="s">
        <v>4750</v>
      </c>
      <c r="B3617">
        <v>402</v>
      </c>
      <c r="C3617" t="s">
        <v>1141</v>
      </c>
      <c r="D3617">
        <v>9896040</v>
      </c>
      <c r="E3617">
        <v>112927</v>
      </c>
      <c r="F3617">
        <v>43357</v>
      </c>
    </row>
    <row r="3618" spans="1:6">
      <c r="A3618" t="s">
        <v>4751</v>
      </c>
      <c r="B3618">
        <v>402</v>
      </c>
      <c r="C3618" t="s">
        <v>159</v>
      </c>
      <c r="D3618">
        <v>134139660</v>
      </c>
      <c r="E3618">
        <v>112927</v>
      </c>
      <c r="F3618">
        <v>43357</v>
      </c>
    </row>
    <row r="3619" spans="1:6">
      <c r="A3619" t="s">
        <v>4752</v>
      </c>
      <c r="B3619">
        <v>402</v>
      </c>
      <c r="C3619" t="s">
        <v>642</v>
      </c>
      <c r="D3619">
        <v>67069830</v>
      </c>
      <c r="E3619">
        <v>112927</v>
      </c>
      <c r="F3619">
        <v>43357</v>
      </c>
    </row>
    <row r="3620" spans="1:6">
      <c r="A3620" t="s">
        <v>4753</v>
      </c>
      <c r="B3620">
        <v>403</v>
      </c>
      <c r="C3620" t="s">
        <v>149</v>
      </c>
      <c r="D3620">
        <v>1108124</v>
      </c>
      <c r="E3620">
        <v>113644</v>
      </c>
      <c r="F3620">
        <v>43502</v>
      </c>
    </row>
    <row r="3621" spans="1:6">
      <c r="A3621" t="s">
        <v>4754</v>
      </c>
      <c r="B3621">
        <v>403</v>
      </c>
      <c r="C3621" t="s">
        <v>1132</v>
      </c>
      <c r="D3621">
        <v>3324372</v>
      </c>
      <c r="E3621">
        <v>113644</v>
      </c>
      <c r="F3621">
        <v>43502</v>
      </c>
    </row>
    <row r="3622" spans="1:6">
      <c r="A3622" t="s">
        <v>4755</v>
      </c>
      <c r="B3622">
        <v>403</v>
      </c>
      <c r="C3622" t="s">
        <v>1134</v>
      </c>
      <c r="D3622">
        <v>1994624</v>
      </c>
      <c r="E3622">
        <v>113644</v>
      </c>
      <c r="F3622">
        <v>43502</v>
      </c>
    </row>
    <row r="3623" spans="1:6">
      <c r="A3623" t="s">
        <v>4756</v>
      </c>
      <c r="B3623">
        <v>403</v>
      </c>
      <c r="C3623" t="s">
        <v>1136</v>
      </c>
      <c r="D3623">
        <v>554062</v>
      </c>
      <c r="E3623">
        <v>113644</v>
      </c>
      <c r="F3623">
        <v>43502</v>
      </c>
    </row>
    <row r="3624" spans="1:6">
      <c r="A3624" t="s">
        <v>4757</v>
      </c>
      <c r="B3624">
        <v>403</v>
      </c>
      <c r="C3624" t="s">
        <v>1138</v>
      </c>
      <c r="D3624">
        <v>166219</v>
      </c>
      <c r="E3624">
        <v>113644</v>
      </c>
      <c r="F3624">
        <v>43502</v>
      </c>
    </row>
    <row r="3625" spans="1:6">
      <c r="A3625" t="s">
        <v>4758</v>
      </c>
      <c r="B3625">
        <v>403</v>
      </c>
      <c r="C3625" t="s">
        <v>738</v>
      </c>
      <c r="D3625">
        <v>4432496</v>
      </c>
      <c r="E3625">
        <v>113644</v>
      </c>
      <c r="F3625">
        <v>43502</v>
      </c>
    </row>
    <row r="3626" spans="1:6">
      <c r="A3626" t="s">
        <v>4759</v>
      </c>
      <c r="B3626">
        <v>403</v>
      </c>
      <c r="C3626" t="s">
        <v>1141</v>
      </c>
      <c r="D3626">
        <v>9973116</v>
      </c>
      <c r="E3626">
        <v>113644</v>
      </c>
      <c r="F3626">
        <v>43502</v>
      </c>
    </row>
    <row r="3627" spans="1:6">
      <c r="A3627" t="s">
        <v>4760</v>
      </c>
      <c r="B3627">
        <v>403</v>
      </c>
      <c r="C3627" t="s">
        <v>159</v>
      </c>
      <c r="D3627">
        <v>135266160</v>
      </c>
      <c r="E3627">
        <v>113644</v>
      </c>
      <c r="F3627">
        <v>43502</v>
      </c>
    </row>
    <row r="3628" spans="1:6">
      <c r="A3628" t="s">
        <v>4761</v>
      </c>
      <c r="B3628">
        <v>403</v>
      </c>
      <c r="C3628" t="s">
        <v>642</v>
      </c>
      <c r="D3628">
        <v>67633080</v>
      </c>
      <c r="E3628">
        <v>113644</v>
      </c>
      <c r="F3628">
        <v>43502</v>
      </c>
    </row>
    <row r="3629" spans="1:6">
      <c r="A3629" t="s">
        <v>4762</v>
      </c>
      <c r="B3629">
        <v>404</v>
      </c>
      <c r="C3629" t="s">
        <v>149</v>
      </c>
      <c r="D3629">
        <v>1116741</v>
      </c>
      <c r="E3629">
        <v>114365</v>
      </c>
      <c r="F3629">
        <v>43647</v>
      </c>
    </row>
    <row r="3630" spans="1:6">
      <c r="A3630" t="s">
        <v>4763</v>
      </c>
      <c r="B3630">
        <v>404</v>
      </c>
      <c r="C3630" t="s">
        <v>1132</v>
      </c>
      <c r="D3630">
        <v>3350223</v>
      </c>
      <c r="E3630">
        <v>114365</v>
      </c>
      <c r="F3630">
        <v>43647</v>
      </c>
    </row>
    <row r="3631" spans="1:6">
      <c r="A3631" t="s">
        <v>4764</v>
      </c>
      <c r="B3631">
        <v>404</v>
      </c>
      <c r="C3631" t="s">
        <v>1134</v>
      </c>
      <c r="D3631">
        <v>2010134</v>
      </c>
      <c r="E3631">
        <v>114365</v>
      </c>
      <c r="F3631">
        <v>43647</v>
      </c>
    </row>
    <row r="3632" spans="1:6">
      <c r="A3632" t="s">
        <v>4765</v>
      </c>
      <c r="B3632">
        <v>404</v>
      </c>
      <c r="C3632" t="s">
        <v>1136</v>
      </c>
      <c r="D3632">
        <v>558371</v>
      </c>
      <c r="E3632">
        <v>114365</v>
      </c>
      <c r="F3632">
        <v>43647</v>
      </c>
    </row>
    <row r="3633" spans="1:6">
      <c r="A3633" t="s">
        <v>4766</v>
      </c>
      <c r="B3633">
        <v>404</v>
      </c>
      <c r="C3633" t="s">
        <v>1138</v>
      </c>
      <c r="D3633">
        <v>167512</v>
      </c>
      <c r="E3633">
        <v>114365</v>
      </c>
      <c r="F3633">
        <v>43647</v>
      </c>
    </row>
    <row r="3634" spans="1:6">
      <c r="A3634" t="s">
        <v>4767</v>
      </c>
      <c r="B3634">
        <v>404</v>
      </c>
      <c r="C3634" t="s">
        <v>738</v>
      </c>
      <c r="D3634">
        <v>4466964</v>
      </c>
      <c r="E3634">
        <v>114365</v>
      </c>
      <c r="F3634">
        <v>43647</v>
      </c>
    </row>
    <row r="3635" spans="1:6">
      <c r="A3635" t="s">
        <v>4768</v>
      </c>
      <c r="B3635">
        <v>404</v>
      </c>
      <c r="C3635" t="s">
        <v>1141</v>
      </c>
      <c r="D3635">
        <v>10050669</v>
      </c>
      <c r="E3635">
        <v>114365</v>
      </c>
      <c r="F3635">
        <v>43647</v>
      </c>
    </row>
    <row r="3636" spans="1:6">
      <c r="A3636" t="s">
        <v>4769</v>
      </c>
      <c r="B3636">
        <v>404</v>
      </c>
      <c r="C3636" t="s">
        <v>159</v>
      </c>
      <c r="D3636">
        <v>136400400</v>
      </c>
      <c r="E3636">
        <v>114365</v>
      </c>
      <c r="F3636">
        <v>43647</v>
      </c>
    </row>
    <row r="3637" spans="1:6">
      <c r="A3637" t="s">
        <v>4770</v>
      </c>
      <c r="B3637">
        <v>404</v>
      </c>
      <c r="C3637" t="s">
        <v>642</v>
      </c>
      <c r="D3637">
        <v>68200200</v>
      </c>
      <c r="E3637">
        <v>114365</v>
      </c>
      <c r="F3637">
        <v>43647</v>
      </c>
    </row>
    <row r="3638" spans="1:6">
      <c r="A3638" t="s">
        <v>4771</v>
      </c>
      <c r="B3638">
        <v>405</v>
      </c>
      <c r="C3638" t="s">
        <v>149</v>
      </c>
      <c r="D3638">
        <v>1125411</v>
      </c>
      <c r="E3638">
        <v>115090</v>
      </c>
      <c r="F3638">
        <v>43793</v>
      </c>
    </row>
    <row r="3639" spans="1:6">
      <c r="A3639" t="s">
        <v>4772</v>
      </c>
      <c r="B3639">
        <v>405</v>
      </c>
      <c r="C3639" t="s">
        <v>1132</v>
      </c>
      <c r="D3639">
        <v>3376233</v>
      </c>
      <c r="E3639">
        <v>115090</v>
      </c>
      <c r="F3639">
        <v>43793</v>
      </c>
    </row>
    <row r="3640" spans="1:6">
      <c r="A3640" t="s">
        <v>4773</v>
      </c>
      <c r="B3640">
        <v>405</v>
      </c>
      <c r="C3640" t="s">
        <v>1134</v>
      </c>
      <c r="D3640">
        <v>2025740</v>
      </c>
      <c r="E3640">
        <v>115090</v>
      </c>
      <c r="F3640">
        <v>43793</v>
      </c>
    </row>
    <row r="3641" spans="1:6">
      <c r="A3641" t="s">
        <v>4774</v>
      </c>
      <c r="B3641">
        <v>405</v>
      </c>
      <c r="C3641" t="s">
        <v>1136</v>
      </c>
      <c r="D3641">
        <v>562706</v>
      </c>
      <c r="E3641">
        <v>115090</v>
      </c>
      <c r="F3641">
        <v>43793</v>
      </c>
    </row>
    <row r="3642" spans="1:6">
      <c r="A3642" t="s">
        <v>4775</v>
      </c>
      <c r="B3642">
        <v>405</v>
      </c>
      <c r="C3642" t="s">
        <v>1138</v>
      </c>
      <c r="D3642">
        <v>168812</v>
      </c>
      <c r="E3642">
        <v>115090</v>
      </c>
      <c r="F3642">
        <v>43793</v>
      </c>
    </row>
    <row r="3643" spans="1:6">
      <c r="A3643" t="s">
        <v>4776</v>
      </c>
      <c r="B3643">
        <v>405</v>
      </c>
      <c r="C3643" t="s">
        <v>738</v>
      </c>
      <c r="D3643">
        <v>4501644</v>
      </c>
      <c r="E3643">
        <v>115090</v>
      </c>
      <c r="F3643">
        <v>43793</v>
      </c>
    </row>
    <row r="3644" spans="1:6">
      <c r="A3644" t="s">
        <v>4777</v>
      </c>
      <c r="B3644">
        <v>405</v>
      </c>
      <c r="C3644" t="s">
        <v>1141</v>
      </c>
      <c r="D3644">
        <v>10128699</v>
      </c>
      <c r="E3644">
        <v>115090</v>
      </c>
      <c r="F3644">
        <v>43793</v>
      </c>
    </row>
    <row r="3645" spans="1:6">
      <c r="A3645" t="s">
        <v>4778</v>
      </c>
      <c r="B3645">
        <v>405</v>
      </c>
      <c r="C3645" t="s">
        <v>159</v>
      </c>
      <c r="D3645">
        <v>137542380</v>
      </c>
      <c r="E3645">
        <v>115090</v>
      </c>
      <c r="F3645">
        <v>43793</v>
      </c>
    </row>
    <row r="3646" spans="1:6">
      <c r="A3646" t="s">
        <v>4779</v>
      </c>
      <c r="B3646">
        <v>405</v>
      </c>
      <c r="C3646" t="s">
        <v>642</v>
      </c>
      <c r="D3646">
        <v>68771190</v>
      </c>
      <c r="E3646">
        <v>115090</v>
      </c>
      <c r="F3646">
        <v>43793</v>
      </c>
    </row>
    <row r="3647" spans="1:6">
      <c r="A3647" t="s">
        <v>4780</v>
      </c>
      <c r="B3647">
        <v>406</v>
      </c>
      <c r="C3647" t="s">
        <v>149</v>
      </c>
      <c r="D3647">
        <v>1134135</v>
      </c>
      <c r="E3647">
        <v>115818</v>
      </c>
      <c r="F3647">
        <v>43938</v>
      </c>
    </row>
    <row r="3648" spans="1:6">
      <c r="A3648" t="s">
        <v>4781</v>
      </c>
      <c r="B3648">
        <v>406</v>
      </c>
      <c r="C3648" t="s">
        <v>1132</v>
      </c>
      <c r="D3648">
        <v>3402405</v>
      </c>
      <c r="E3648">
        <v>115818</v>
      </c>
      <c r="F3648">
        <v>43938</v>
      </c>
    </row>
    <row r="3649" spans="1:6">
      <c r="A3649" t="s">
        <v>4782</v>
      </c>
      <c r="B3649">
        <v>406</v>
      </c>
      <c r="C3649" t="s">
        <v>1134</v>
      </c>
      <c r="D3649">
        <v>2041443</v>
      </c>
      <c r="E3649">
        <v>115818</v>
      </c>
      <c r="F3649">
        <v>43938</v>
      </c>
    </row>
    <row r="3650" spans="1:6">
      <c r="A3650" t="s">
        <v>4783</v>
      </c>
      <c r="B3650">
        <v>406</v>
      </c>
      <c r="C3650" t="s">
        <v>1136</v>
      </c>
      <c r="D3650">
        <v>567068</v>
      </c>
      <c r="E3650">
        <v>115818</v>
      </c>
      <c r="F3650">
        <v>43938</v>
      </c>
    </row>
    <row r="3651" spans="1:6">
      <c r="A3651" t="s">
        <v>4784</v>
      </c>
      <c r="B3651">
        <v>406</v>
      </c>
      <c r="C3651" t="s">
        <v>1138</v>
      </c>
      <c r="D3651">
        <v>170121</v>
      </c>
      <c r="E3651">
        <v>115818</v>
      </c>
      <c r="F3651">
        <v>43938</v>
      </c>
    </row>
    <row r="3652" spans="1:6">
      <c r="A3652" t="s">
        <v>4785</v>
      </c>
      <c r="B3652">
        <v>406</v>
      </c>
      <c r="C3652" t="s">
        <v>738</v>
      </c>
      <c r="D3652">
        <v>4536540</v>
      </c>
      <c r="E3652">
        <v>115818</v>
      </c>
      <c r="F3652">
        <v>43938</v>
      </c>
    </row>
    <row r="3653" spans="1:6">
      <c r="A3653" t="s">
        <v>4786</v>
      </c>
      <c r="B3653">
        <v>406</v>
      </c>
      <c r="C3653" t="s">
        <v>1141</v>
      </c>
      <c r="D3653">
        <v>10207215</v>
      </c>
      <c r="E3653">
        <v>115818</v>
      </c>
      <c r="F3653">
        <v>43938</v>
      </c>
    </row>
    <row r="3654" spans="1:6">
      <c r="A3654" t="s">
        <v>4787</v>
      </c>
      <c r="B3654">
        <v>406</v>
      </c>
      <c r="C3654" t="s">
        <v>159</v>
      </c>
      <c r="D3654">
        <v>138692160</v>
      </c>
      <c r="E3654">
        <v>115818</v>
      </c>
      <c r="F3654">
        <v>43938</v>
      </c>
    </row>
    <row r="3655" spans="1:6">
      <c r="A3655" t="s">
        <v>4788</v>
      </c>
      <c r="B3655">
        <v>406</v>
      </c>
      <c r="C3655" t="s">
        <v>642</v>
      </c>
      <c r="D3655">
        <v>69346080</v>
      </c>
      <c r="E3655">
        <v>115818</v>
      </c>
      <c r="F3655">
        <v>43938</v>
      </c>
    </row>
    <row r="3656" spans="1:6">
      <c r="A3656" t="s">
        <v>4789</v>
      </c>
      <c r="B3656">
        <v>407</v>
      </c>
      <c r="C3656" t="s">
        <v>149</v>
      </c>
      <c r="D3656">
        <v>1142913</v>
      </c>
      <c r="E3656">
        <v>116550</v>
      </c>
      <c r="F3656">
        <v>44084</v>
      </c>
    </row>
    <row r="3657" spans="1:6">
      <c r="A3657" t="s">
        <v>4790</v>
      </c>
      <c r="B3657">
        <v>407</v>
      </c>
      <c r="C3657" t="s">
        <v>1132</v>
      </c>
      <c r="D3657">
        <v>3428739</v>
      </c>
      <c r="E3657">
        <v>116550</v>
      </c>
      <c r="F3657">
        <v>44084</v>
      </c>
    </row>
    <row r="3658" spans="1:6">
      <c r="A3658" t="s">
        <v>4791</v>
      </c>
      <c r="B3658">
        <v>407</v>
      </c>
      <c r="C3658" t="s">
        <v>1134</v>
      </c>
      <c r="D3658">
        <v>2057244</v>
      </c>
      <c r="E3658">
        <v>116550</v>
      </c>
      <c r="F3658">
        <v>44084</v>
      </c>
    </row>
    <row r="3659" spans="1:6">
      <c r="A3659" t="s">
        <v>4792</v>
      </c>
      <c r="B3659">
        <v>407</v>
      </c>
      <c r="C3659" t="s">
        <v>1136</v>
      </c>
      <c r="D3659">
        <v>571457</v>
      </c>
      <c r="E3659">
        <v>116550</v>
      </c>
      <c r="F3659">
        <v>44084</v>
      </c>
    </row>
    <row r="3660" spans="1:6">
      <c r="A3660" t="s">
        <v>4793</v>
      </c>
      <c r="B3660">
        <v>407</v>
      </c>
      <c r="C3660" t="s">
        <v>1138</v>
      </c>
      <c r="D3660">
        <v>171437</v>
      </c>
      <c r="E3660">
        <v>116550</v>
      </c>
      <c r="F3660">
        <v>44084</v>
      </c>
    </row>
    <row r="3661" spans="1:6">
      <c r="A3661" t="s">
        <v>4794</v>
      </c>
      <c r="B3661">
        <v>407</v>
      </c>
      <c r="C3661" t="s">
        <v>738</v>
      </c>
      <c r="D3661">
        <v>4571652</v>
      </c>
      <c r="E3661">
        <v>116550</v>
      </c>
      <c r="F3661">
        <v>44084</v>
      </c>
    </row>
    <row r="3662" spans="1:6">
      <c r="A3662" t="s">
        <v>4795</v>
      </c>
      <c r="B3662">
        <v>407</v>
      </c>
      <c r="C3662" t="s">
        <v>1141</v>
      </c>
      <c r="D3662">
        <v>10286217</v>
      </c>
      <c r="E3662">
        <v>116550</v>
      </c>
      <c r="F3662">
        <v>44084</v>
      </c>
    </row>
    <row r="3663" spans="1:6">
      <c r="A3663" t="s">
        <v>4796</v>
      </c>
      <c r="B3663">
        <v>407</v>
      </c>
      <c r="C3663" t="s">
        <v>159</v>
      </c>
      <c r="D3663">
        <v>139849800</v>
      </c>
      <c r="E3663">
        <v>116550</v>
      </c>
      <c r="F3663">
        <v>44084</v>
      </c>
    </row>
    <row r="3664" spans="1:6">
      <c r="A3664" t="s">
        <v>4797</v>
      </c>
      <c r="B3664">
        <v>407</v>
      </c>
      <c r="C3664" t="s">
        <v>642</v>
      </c>
      <c r="D3664">
        <v>69924900</v>
      </c>
      <c r="E3664">
        <v>116550</v>
      </c>
      <c r="F3664">
        <v>44084</v>
      </c>
    </row>
    <row r="3665" spans="1:6">
      <c r="A3665" t="s">
        <v>4798</v>
      </c>
      <c r="B3665">
        <v>408</v>
      </c>
      <c r="C3665" t="s">
        <v>149</v>
      </c>
      <c r="D3665">
        <v>1151744</v>
      </c>
      <c r="E3665">
        <v>117284</v>
      </c>
      <c r="F3665">
        <v>44230</v>
      </c>
    </row>
    <row r="3666" spans="1:6">
      <c r="A3666" t="s">
        <v>4799</v>
      </c>
      <c r="B3666">
        <v>408</v>
      </c>
      <c r="C3666" t="s">
        <v>1132</v>
      </c>
      <c r="D3666">
        <v>3455232</v>
      </c>
      <c r="E3666">
        <v>117284</v>
      </c>
      <c r="F3666">
        <v>44230</v>
      </c>
    </row>
    <row r="3667" spans="1:6">
      <c r="A3667" t="s">
        <v>4800</v>
      </c>
      <c r="B3667">
        <v>408</v>
      </c>
      <c r="C3667" t="s">
        <v>1134</v>
      </c>
      <c r="D3667">
        <v>2073140</v>
      </c>
      <c r="E3667">
        <v>117284</v>
      </c>
      <c r="F3667">
        <v>44230</v>
      </c>
    </row>
    <row r="3668" spans="1:6">
      <c r="A3668" t="s">
        <v>4801</v>
      </c>
      <c r="B3668">
        <v>408</v>
      </c>
      <c r="C3668" t="s">
        <v>1136</v>
      </c>
      <c r="D3668">
        <v>575872</v>
      </c>
      <c r="E3668">
        <v>117284</v>
      </c>
      <c r="F3668">
        <v>44230</v>
      </c>
    </row>
    <row r="3669" spans="1:6">
      <c r="A3669" t="s">
        <v>4802</v>
      </c>
      <c r="B3669">
        <v>408</v>
      </c>
      <c r="C3669" t="s">
        <v>1138</v>
      </c>
      <c r="D3669">
        <v>172762</v>
      </c>
      <c r="E3669">
        <v>117284</v>
      </c>
      <c r="F3669">
        <v>44230</v>
      </c>
    </row>
    <row r="3670" spans="1:6">
      <c r="A3670" t="s">
        <v>4803</v>
      </c>
      <c r="B3670">
        <v>408</v>
      </c>
      <c r="C3670" t="s">
        <v>738</v>
      </c>
      <c r="D3670">
        <v>4606976</v>
      </c>
      <c r="E3670">
        <v>117284</v>
      </c>
      <c r="F3670">
        <v>44230</v>
      </c>
    </row>
    <row r="3671" spans="1:6">
      <c r="A3671" t="s">
        <v>4804</v>
      </c>
      <c r="B3671">
        <v>408</v>
      </c>
      <c r="C3671" t="s">
        <v>1141</v>
      </c>
      <c r="D3671">
        <v>10365696</v>
      </c>
      <c r="E3671">
        <v>117284</v>
      </c>
      <c r="F3671">
        <v>44230</v>
      </c>
    </row>
    <row r="3672" spans="1:6">
      <c r="A3672" t="s">
        <v>4805</v>
      </c>
      <c r="B3672">
        <v>408</v>
      </c>
      <c r="C3672" t="s">
        <v>159</v>
      </c>
      <c r="D3672">
        <v>141015300</v>
      </c>
      <c r="E3672">
        <v>117284</v>
      </c>
      <c r="F3672">
        <v>44230</v>
      </c>
    </row>
    <row r="3673" spans="1:6">
      <c r="A3673" t="s">
        <v>4806</v>
      </c>
      <c r="B3673">
        <v>408</v>
      </c>
      <c r="C3673" t="s">
        <v>642</v>
      </c>
      <c r="D3673">
        <v>70507650</v>
      </c>
      <c r="E3673">
        <v>117284</v>
      </c>
      <c r="F3673">
        <v>44230</v>
      </c>
    </row>
    <row r="3674" spans="1:6">
      <c r="A3674" t="s">
        <v>4807</v>
      </c>
      <c r="B3674">
        <v>409</v>
      </c>
      <c r="C3674" t="s">
        <v>149</v>
      </c>
      <c r="D3674">
        <v>1160630</v>
      </c>
      <c r="E3674">
        <v>118023</v>
      </c>
      <c r="F3674">
        <v>44376</v>
      </c>
    </row>
    <row r="3675" spans="1:6">
      <c r="A3675" t="s">
        <v>4808</v>
      </c>
      <c r="B3675">
        <v>409</v>
      </c>
      <c r="C3675" t="s">
        <v>1132</v>
      </c>
      <c r="D3675">
        <v>3481890</v>
      </c>
      <c r="E3675">
        <v>118023</v>
      </c>
      <c r="F3675">
        <v>44376</v>
      </c>
    </row>
    <row r="3676" spans="1:6">
      <c r="A3676" t="s">
        <v>4809</v>
      </c>
      <c r="B3676">
        <v>409</v>
      </c>
      <c r="C3676" t="s">
        <v>1134</v>
      </c>
      <c r="D3676">
        <v>2089134</v>
      </c>
      <c r="E3676">
        <v>118023</v>
      </c>
      <c r="F3676">
        <v>44376</v>
      </c>
    </row>
    <row r="3677" spans="1:6">
      <c r="A3677" t="s">
        <v>4810</v>
      </c>
      <c r="B3677">
        <v>409</v>
      </c>
      <c r="C3677" t="s">
        <v>1136</v>
      </c>
      <c r="D3677">
        <v>580315</v>
      </c>
      <c r="E3677">
        <v>118023</v>
      </c>
      <c r="F3677">
        <v>44376</v>
      </c>
    </row>
    <row r="3678" spans="1:6">
      <c r="A3678" t="s">
        <v>4811</v>
      </c>
      <c r="B3678">
        <v>409</v>
      </c>
      <c r="C3678" t="s">
        <v>1138</v>
      </c>
      <c r="D3678">
        <v>174095</v>
      </c>
      <c r="E3678">
        <v>118023</v>
      </c>
      <c r="F3678">
        <v>44376</v>
      </c>
    </row>
    <row r="3679" spans="1:6">
      <c r="A3679" t="s">
        <v>4812</v>
      </c>
      <c r="B3679">
        <v>409</v>
      </c>
      <c r="C3679" t="s">
        <v>738</v>
      </c>
      <c r="D3679">
        <v>4642520</v>
      </c>
      <c r="E3679">
        <v>118023</v>
      </c>
      <c r="F3679">
        <v>44376</v>
      </c>
    </row>
    <row r="3680" spans="1:6">
      <c r="A3680" t="s">
        <v>4813</v>
      </c>
      <c r="B3680">
        <v>409</v>
      </c>
      <c r="C3680" t="s">
        <v>1141</v>
      </c>
      <c r="D3680">
        <v>10445670</v>
      </c>
      <c r="E3680">
        <v>118023</v>
      </c>
      <c r="F3680">
        <v>44376</v>
      </c>
    </row>
    <row r="3681" spans="1:6">
      <c r="A3681" t="s">
        <v>4814</v>
      </c>
      <c r="B3681">
        <v>409</v>
      </c>
      <c r="C3681" t="s">
        <v>159</v>
      </c>
      <c r="D3681">
        <v>142188780</v>
      </c>
      <c r="E3681">
        <v>118023</v>
      </c>
      <c r="F3681">
        <v>44376</v>
      </c>
    </row>
    <row r="3682" spans="1:6">
      <c r="A3682" t="s">
        <v>4815</v>
      </c>
      <c r="B3682">
        <v>409</v>
      </c>
      <c r="C3682" t="s">
        <v>642</v>
      </c>
      <c r="D3682">
        <v>71094390</v>
      </c>
      <c r="E3682">
        <v>118023</v>
      </c>
      <c r="F3682">
        <v>44376</v>
      </c>
    </row>
    <row r="3683" spans="1:6">
      <c r="A3683" t="s">
        <v>4816</v>
      </c>
      <c r="B3683">
        <v>410</v>
      </c>
      <c r="C3683" t="s">
        <v>149</v>
      </c>
      <c r="D3683">
        <v>1169570</v>
      </c>
      <c r="E3683">
        <v>118765</v>
      </c>
      <c r="F3683">
        <v>44522</v>
      </c>
    </row>
    <row r="3684" spans="1:6">
      <c r="A3684" t="s">
        <v>4817</v>
      </c>
      <c r="B3684">
        <v>410</v>
      </c>
      <c r="C3684" t="s">
        <v>1132</v>
      </c>
      <c r="D3684">
        <v>3508710</v>
      </c>
      <c r="E3684">
        <v>118765</v>
      </c>
      <c r="F3684">
        <v>44522</v>
      </c>
    </row>
    <row r="3685" spans="1:6">
      <c r="A3685" t="s">
        <v>4818</v>
      </c>
      <c r="B3685">
        <v>410</v>
      </c>
      <c r="C3685" t="s">
        <v>1134</v>
      </c>
      <c r="D3685">
        <v>2105226</v>
      </c>
      <c r="E3685">
        <v>118765</v>
      </c>
      <c r="F3685">
        <v>44522</v>
      </c>
    </row>
    <row r="3686" spans="1:6">
      <c r="A3686" t="s">
        <v>4819</v>
      </c>
      <c r="B3686">
        <v>410</v>
      </c>
      <c r="C3686" t="s">
        <v>1136</v>
      </c>
      <c r="D3686">
        <v>584785</v>
      </c>
      <c r="E3686">
        <v>118765</v>
      </c>
      <c r="F3686">
        <v>44522</v>
      </c>
    </row>
    <row r="3687" spans="1:6">
      <c r="A3687" t="s">
        <v>4820</v>
      </c>
      <c r="B3687">
        <v>410</v>
      </c>
      <c r="C3687" t="s">
        <v>1138</v>
      </c>
      <c r="D3687">
        <v>175436</v>
      </c>
      <c r="E3687">
        <v>118765</v>
      </c>
      <c r="F3687">
        <v>44522</v>
      </c>
    </row>
    <row r="3688" spans="1:6">
      <c r="A3688" t="s">
        <v>4821</v>
      </c>
      <c r="B3688">
        <v>410</v>
      </c>
      <c r="C3688" t="s">
        <v>738</v>
      </c>
      <c r="D3688">
        <v>4678280</v>
      </c>
      <c r="E3688">
        <v>118765</v>
      </c>
      <c r="F3688">
        <v>44522</v>
      </c>
    </row>
    <row r="3689" spans="1:6">
      <c r="A3689" t="s">
        <v>4822</v>
      </c>
      <c r="B3689">
        <v>410</v>
      </c>
      <c r="C3689" t="s">
        <v>1141</v>
      </c>
      <c r="D3689">
        <v>10526130</v>
      </c>
      <c r="E3689">
        <v>118765</v>
      </c>
      <c r="F3689">
        <v>44522</v>
      </c>
    </row>
    <row r="3690" spans="1:6">
      <c r="A3690" t="s">
        <v>4823</v>
      </c>
      <c r="B3690">
        <v>410</v>
      </c>
      <c r="C3690" t="s">
        <v>159</v>
      </c>
      <c r="D3690">
        <v>143370180</v>
      </c>
      <c r="E3690">
        <v>118765</v>
      </c>
      <c r="F3690">
        <v>44522</v>
      </c>
    </row>
    <row r="3691" spans="1:6">
      <c r="A3691" t="s">
        <v>4824</v>
      </c>
      <c r="B3691">
        <v>410</v>
      </c>
      <c r="C3691" t="s">
        <v>642</v>
      </c>
      <c r="D3691">
        <v>71685090</v>
      </c>
      <c r="E3691">
        <v>118765</v>
      </c>
      <c r="F3691">
        <v>44522</v>
      </c>
    </row>
    <row r="3692" spans="1:6">
      <c r="A3692" t="s">
        <v>4825</v>
      </c>
      <c r="B3692">
        <v>411</v>
      </c>
      <c r="C3692" t="s">
        <v>149</v>
      </c>
      <c r="D3692">
        <v>1178566</v>
      </c>
      <c r="E3692">
        <v>119510</v>
      </c>
      <c r="F3692">
        <v>44669</v>
      </c>
    </row>
    <row r="3693" spans="1:6">
      <c r="A3693" t="s">
        <v>4826</v>
      </c>
      <c r="B3693">
        <v>411</v>
      </c>
      <c r="C3693" t="s">
        <v>1132</v>
      </c>
      <c r="D3693">
        <v>3535698</v>
      </c>
      <c r="E3693">
        <v>119510</v>
      </c>
      <c r="F3693">
        <v>44669</v>
      </c>
    </row>
    <row r="3694" spans="1:6">
      <c r="A3694" t="s">
        <v>4827</v>
      </c>
      <c r="B3694">
        <v>411</v>
      </c>
      <c r="C3694" t="s">
        <v>1134</v>
      </c>
      <c r="D3694">
        <v>2121419</v>
      </c>
      <c r="E3694">
        <v>119510</v>
      </c>
      <c r="F3694">
        <v>44669</v>
      </c>
    </row>
    <row r="3695" spans="1:6">
      <c r="A3695" t="s">
        <v>4828</v>
      </c>
      <c r="B3695">
        <v>411</v>
      </c>
      <c r="C3695" t="s">
        <v>1136</v>
      </c>
      <c r="D3695">
        <v>589283</v>
      </c>
      <c r="E3695">
        <v>119510</v>
      </c>
      <c r="F3695">
        <v>44669</v>
      </c>
    </row>
    <row r="3696" spans="1:6">
      <c r="A3696" t="s">
        <v>4829</v>
      </c>
      <c r="B3696">
        <v>411</v>
      </c>
      <c r="C3696" t="s">
        <v>1138</v>
      </c>
      <c r="D3696">
        <v>176785</v>
      </c>
      <c r="E3696">
        <v>119510</v>
      </c>
      <c r="F3696">
        <v>44669</v>
      </c>
    </row>
    <row r="3697" spans="1:6">
      <c r="A3697" t="s">
        <v>4830</v>
      </c>
      <c r="B3697">
        <v>411</v>
      </c>
      <c r="C3697" t="s">
        <v>738</v>
      </c>
      <c r="D3697">
        <v>4714264</v>
      </c>
      <c r="E3697">
        <v>119510</v>
      </c>
      <c r="F3697">
        <v>44669</v>
      </c>
    </row>
    <row r="3698" spans="1:6">
      <c r="A3698" t="s">
        <v>4831</v>
      </c>
      <c r="B3698">
        <v>411</v>
      </c>
      <c r="C3698" t="s">
        <v>1141</v>
      </c>
      <c r="D3698">
        <v>10607094</v>
      </c>
      <c r="E3698">
        <v>119510</v>
      </c>
      <c r="F3698">
        <v>44669</v>
      </c>
    </row>
    <row r="3699" spans="1:6">
      <c r="A3699" t="s">
        <v>4832</v>
      </c>
      <c r="B3699">
        <v>411</v>
      </c>
      <c r="C3699" t="s">
        <v>159</v>
      </c>
      <c r="D3699">
        <v>144559620</v>
      </c>
      <c r="E3699">
        <v>119510</v>
      </c>
      <c r="F3699">
        <v>44669</v>
      </c>
    </row>
    <row r="3700" spans="1:6">
      <c r="A3700" t="s">
        <v>4833</v>
      </c>
      <c r="B3700">
        <v>411</v>
      </c>
      <c r="C3700" t="s">
        <v>642</v>
      </c>
      <c r="D3700">
        <v>72279810</v>
      </c>
      <c r="E3700">
        <v>119510</v>
      </c>
      <c r="F3700">
        <v>44669</v>
      </c>
    </row>
    <row r="3701" spans="1:6">
      <c r="A3701" t="s">
        <v>4834</v>
      </c>
      <c r="B3701">
        <v>412</v>
      </c>
      <c r="C3701" t="s">
        <v>149</v>
      </c>
      <c r="D3701">
        <v>1187616</v>
      </c>
      <c r="E3701">
        <v>120259</v>
      </c>
      <c r="F3701">
        <v>44815</v>
      </c>
    </row>
    <row r="3702" spans="1:6">
      <c r="A3702" t="s">
        <v>4835</v>
      </c>
      <c r="B3702">
        <v>412</v>
      </c>
      <c r="C3702" t="s">
        <v>1132</v>
      </c>
      <c r="D3702">
        <v>3562848</v>
      </c>
      <c r="E3702">
        <v>120259</v>
      </c>
      <c r="F3702">
        <v>44815</v>
      </c>
    </row>
    <row r="3703" spans="1:6">
      <c r="A3703" t="s">
        <v>4836</v>
      </c>
      <c r="B3703">
        <v>412</v>
      </c>
      <c r="C3703" t="s">
        <v>1134</v>
      </c>
      <c r="D3703">
        <v>2137709</v>
      </c>
      <c r="E3703">
        <v>120259</v>
      </c>
      <c r="F3703">
        <v>44815</v>
      </c>
    </row>
    <row r="3704" spans="1:6">
      <c r="A3704" t="s">
        <v>4837</v>
      </c>
      <c r="B3704">
        <v>412</v>
      </c>
      <c r="C3704" t="s">
        <v>1136</v>
      </c>
      <c r="D3704">
        <v>593808</v>
      </c>
      <c r="E3704">
        <v>120259</v>
      </c>
      <c r="F3704">
        <v>44815</v>
      </c>
    </row>
    <row r="3705" spans="1:6">
      <c r="A3705" t="s">
        <v>4838</v>
      </c>
      <c r="B3705">
        <v>412</v>
      </c>
      <c r="C3705" t="s">
        <v>1138</v>
      </c>
      <c r="D3705">
        <v>178143</v>
      </c>
      <c r="E3705">
        <v>120259</v>
      </c>
      <c r="F3705">
        <v>44815</v>
      </c>
    </row>
    <row r="3706" spans="1:6">
      <c r="A3706" t="s">
        <v>4839</v>
      </c>
      <c r="B3706">
        <v>412</v>
      </c>
      <c r="C3706" t="s">
        <v>738</v>
      </c>
      <c r="D3706">
        <v>4750464</v>
      </c>
      <c r="E3706">
        <v>120259</v>
      </c>
      <c r="F3706">
        <v>44815</v>
      </c>
    </row>
    <row r="3707" spans="1:6">
      <c r="A3707" t="s">
        <v>4840</v>
      </c>
      <c r="B3707">
        <v>412</v>
      </c>
      <c r="C3707" t="s">
        <v>1141</v>
      </c>
      <c r="D3707">
        <v>10688544</v>
      </c>
      <c r="E3707">
        <v>120259</v>
      </c>
      <c r="F3707">
        <v>44815</v>
      </c>
    </row>
    <row r="3708" spans="1:6">
      <c r="A3708" t="s">
        <v>4841</v>
      </c>
      <c r="B3708">
        <v>412</v>
      </c>
      <c r="C3708" t="s">
        <v>159</v>
      </c>
      <c r="D3708">
        <v>145757100</v>
      </c>
      <c r="E3708">
        <v>120259</v>
      </c>
      <c r="F3708">
        <v>44815</v>
      </c>
    </row>
    <row r="3709" spans="1:6">
      <c r="A3709" t="s">
        <v>4842</v>
      </c>
      <c r="B3709">
        <v>412</v>
      </c>
      <c r="C3709" t="s">
        <v>642</v>
      </c>
      <c r="D3709">
        <v>72878550</v>
      </c>
      <c r="E3709">
        <v>120259</v>
      </c>
      <c r="F3709">
        <v>44815</v>
      </c>
    </row>
    <row r="3710" spans="1:6">
      <c r="A3710" t="s">
        <v>4843</v>
      </c>
      <c r="B3710">
        <v>413</v>
      </c>
      <c r="C3710" t="s">
        <v>149</v>
      </c>
      <c r="D3710">
        <v>1196722</v>
      </c>
      <c r="E3710">
        <v>121012</v>
      </c>
      <c r="F3710">
        <v>44962</v>
      </c>
    </row>
    <row r="3711" spans="1:6">
      <c r="A3711" t="s">
        <v>4844</v>
      </c>
      <c r="B3711">
        <v>413</v>
      </c>
      <c r="C3711" t="s">
        <v>1132</v>
      </c>
      <c r="D3711">
        <v>3590166</v>
      </c>
      <c r="E3711">
        <v>121012</v>
      </c>
      <c r="F3711">
        <v>44962</v>
      </c>
    </row>
    <row r="3712" spans="1:6">
      <c r="A3712" t="s">
        <v>4845</v>
      </c>
      <c r="B3712">
        <v>413</v>
      </c>
      <c r="C3712" t="s">
        <v>1134</v>
      </c>
      <c r="D3712">
        <v>2154100</v>
      </c>
      <c r="E3712">
        <v>121012</v>
      </c>
      <c r="F3712">
        <v>44962</v>
      </c>
    </row>
    <row r="3713" spans="1:6">
      <c r="A3713" t="s">
        <v>4846</v>
      </c>
      <c r="B3713">
        <v>413</v>
      </c>
      <c r="C3713" t="s">
        <v>1136</v>
      </c>
      <c r="D3713">
        <v>598361</v>
      </c>
      <c r="E3713">
        <v>121012</v>
      </c>
      <c r="F3713">
        <v>44962</v>
      </c>
    </row>
    <row r="3714" spans="1:6">
      <c r="A3714" t="s">
        <v>4847</v>
      </c>
      <c r="B3714">
        <v>413</v>
      </c>
      <c r="C3714" t="s">
        <v>1138</v>
      </c>
      <c r="D3714">
        <v>179509</v>
      </c>
      <c r="E3714">
        <v>121012</v>
      </c>
      <c r="F3714">
        <v>44962</v>
      </c>
    </row>
    <row r="3715" spans="1:6">
      <c r="A3715" t="s">
        <v>4848</v>
      </c>
      <c r="B3715">
        <v>413</v>
      </c>
      <c r="C3715" t="s">
        <v>738</v>
      </c>
      <c r="D3715">
        <v>4786888</v>
      </c>
      <c r="E3715">
        <v>121012</v>
      </c>
      <c r="F3715">
        <v>44962</v>
      </c>
    </row>
    <row r="3716" spans="1:6">
      <c r="A3716" t="s">
        <v>4849</v>
      </c>
      <c r="B3716">
        <v>413</v>
      </c>
      <c r="C3716" t="s">
        <v>1141</v>
      </c>
      <c r="D3716">
        <v>10770498</v>
      </c>
      <c r="E3716">
        <v>121012</v>
      </c>
      <c r="F3716">
        <v>44962</v>
      </c>
    </row>
    <row r="3717" spans="1:6">
      <c r="A3717" t="s">
        <v>4850</v>
      </c>
      <c r="B3717">
        <v>413</v>
      </c>
      <c r="C3717" t="s">
        <v>159</v>
      </c>
      <c r="D3717">
        <v>146962680</v>
      </c>
      <c r="E3717">
        <v>121012</v>
      </c>
      <c r="F3717">
        <v>44962</v>
      </c>
    </row>
    <row r="3718" spans="1:6">
      <c r="A3718" t="s">
        <v>4851</v>
      </c>
      <c r="B3718">
        <v>413</v>
      </c>
      <c r="C3718" t="s">
        <v>642</v>
      </c>
      <c r="D3718">
        <v>73481340</v>
      </c>
      <c r="E3718">
        <v>121012</v>
      </c>
      <c r="F3718">
        <v>44962</v>
      </c>
    </row>
    <row r="3719" spans="1:6">
      <c r="A3719" t="s">
        <v>4852</v>
      </c>
      <c r="B3719">
        <v>414</v>
      </c>
      <c r="C3719" t="s">
        <v>149</v>
      </c>
      <c r="D3719">
        <v>1205883</v>
      </c>
      <c r="E3719">
        <v>121768</v>
      </c>
      <c r="F3719">
        <v>45109</v>
      </c>
    </row>
    <row r="3720" spans="1:6">
      <c r="A3720" t="s">
        <v>4853</v>
      </c>
      <c r="B3720">
        <v>414</v>
      </c>
      <c r="C3720" t="s">
        <v>1132</v>
      </c>
      <c r="D3720">
        <v>3617649</v>
      </c>
      <c r="E3720">
        <v>121768</v>
      </c>
      <c r="F3720">
        <v>45109</v>
      </c>
    </row>
    <row r="3721" spans="1:6">
      <c r="A3721" t="s">
        <v>4854</v>
      </c>
      <c r="B3721">
        <v>414</v>
      </c>
      <c r="C3721" t="s">
        <v>1134</v>
      </c>
      <c r="D3721">
        <v>2170590</v>
      </c>
      <c r="E3721">
        <v>121768</v>
      </c>
      <c r="F3721">
        <v>45109</v>
      </c>
    </row>
    <row r="3722" spans="1:6">
      <c r="A3722" t="s">
        <v>4855</v>
      </c>
      <c r="B3722">
        <v>414</v>
      </c>
      <c r="C3722" t="s">
        <v>1136</v>
      </c>
      <c r="D3722">
        <v>602942</v>
      </c>
      <c r="E3722">
        <v>121768</v>
      </c>
      <c r="F3722">
        <v>45109</v>
      </c>
    </row>
    <row r="3723" spans="1:6">
      <c r="A3723" t="s">
        <v>4856</v>
      </c>
      <c r="B3723">
        <v>414</v>
      </c>
      <c r="C3723" t="s">
        <v>1138</v>
      </c>
      <c r="D3723">
        <v>180883</v>
      </c>
      <c r="E3723">
        <v>121768</v>
      </c>
      <c r="F3723">
        <v>45109</v>
      </c>
    </row>
    <row r="3724" spans="1:6">
      <c r="A3724" t="s">
        <v>4857</v>
      </c>
      <c r="B3724">
        <v>414</v>
      </c>
      <c r="C3724" t="s">
        <v>738</v>
      </c>
      <c r="D3724">
        <v>4823532</v>
      </c>
      <c r="E3724">
        <v>121768</v>
      </c>
      <c r="F3724">
        <v>45109</v>
      </c>
    </row>
    <row r="3725" spans="1:6">
      <c r="A3725" t="s">
        <v>4858</v>
      </c>
      <c r="B3725">
        <v>414</v>
      </c>
      <c r="C3725" t="s">
        <v>1141</v>
      </c>
      <c r="D3725">
        <v>10852947</v>
      </c>
      <c r="E3725">
        <v>121768</v>
      </c>
      <c r="F3725">
        <v>45109</v>
      </c>
    </row>
    <row r="3726" spans="1:6">
      <c r="A3726" t="s">
        <v>4859</v>
      </c>
      <c r="B3726">
        <v>414</v>
      </c>
      <c r="C3726" t="s">
        <v>159</v>
      </c>
      <c r="D3726">
        <v>148176480</v>
      </c>
      <c r="E3726">
        <v>121768</v>
      </c>
      <c r="F3726">
        <v>45109</v>
      </c>
    </row>
    <row r="3727" spans="1:6">
      <c r="A3727" t="s">
        <v>4860</v>
      </c>
      <c r="B3727">
        <v>414</v>
      </c>
      <c r="C3727" t="s">
        <v>642</v>
      </c>
      <c r="D3727">
        <v>74088240</v>
      </c>
      <c r="E3727">
        <v>121768</v>
      </c>
      <c r="F3727">
        <v>45109</v>
      </c>
    </row>
    <row r="3728" spans="1:6">
      <c r="A3728" t="s">
        <v>4861</v>
      </c>
      <c r="B3728">
        <v>415</v>
      </c>
      <c r="C3728" t="s">
        <v>149</v>
      </c>
      <c r="D3728">
        <v>1215100</v>
      </c>
      <c r="E3728">
        <v>122528</v>
      </c>
      <c r="F3728">
        <v>45256</v>
      </c>
    </row>
    <row r="3729" spans="1:6">
      <c r="A3729" t="s">
        <v>4862</v>
      </c>
      <c r="B3729">
        <v>415</v>
      </c>
      <c r="C3729" t="s">
        <v>1132</v>
      </c>
      <c r="D3729">
        <v>3645300</v>
      </c>
      <c r="E3729">
        <v>122528</v>
      </c>
      <c r="F3729">
        <v>45256</v>
      </c>
    </row>
    <row r="3730" spans="1:6">
      <c r="A3730" t="s">
        <v>4863</v>
      </c>
      <c r="B3730">
        <v>415</v>
      </c>
      <c r="C3730" t="s">
        <v>1134</v>
      </c>
      <c r="D3730">
        <v>2187180</v>
      </c>
      <c r="E3730">
        <v>122528</v>
      </c>
      <c r="F3730">
        <v>45256</v>
      </c>
    </row>
    <row r="3731" spans="1:6">
      <c r="A3731" t="s">
        <v>4864</v>
      </c>
      <c r="B3731">
        <v>415</v>
      </c>
      <c r="C3731" t="s">
        <v>1136</v>
      </c>
      <c r="D3731">
        <v>607550</v>
      </c>
      <c r="E3731">
        <v>122528</v>
      </c>
      <c r="F3731">
        <v>45256</v>
      </c>
    </row>
    <row r="3732" spans="1:6">
      <c r="A3732" t="s">
        <v>4865</v>
      </c>
      <c r="B3732">
        <v>415</v>
      </c>
      <c r="C3732" t="s">
        <v>1138</v>
      </c>
      <c r="D3732">
        <v>182265</v>
      </c>
      <c r="E3732">
        <v>122528</v>
      </c>
      <c r="F3732">
        <v>45256</v>
      </c>
    </row>
    <row r="3733" spans="1:6">
      <c r="A3733" t="s">
        <v>4866</v>
      </c>
      <c r="B3733">
        <v>415</v>
      </c>
      <c r="C3733" t="s">
        <v>738</v>
      </c>
      <c r="D3733">
        <v>4860400</v>
      </c>
      <c r="E3733">
        <v>122528</v>
      </c>
      <c r="F3733">
        <v>45256</v>
      </c>
    </row>
    <row r="3734" spans="1:6">
      <c r="A3734" t="s">
        <v>4867</v>
      </c>
      <c r="B3734">
        <v>415</v>
      </c>
      <c r="C3734" t="s">
        <v>1141</v>
      </c>
      <c r="D3734">
        <v>10935900</v>
      </c>
      <c r="E3734">
        <v>122528</v>
      </c>
      <c r="F3734">
        <v>45256</v>
      </c>
    </row>
    <row r="3735" spans="1:6">
      <c r="A3735" t="s">
        <v>4868</v>
      </c>
      <c r="B3735">
        <v>415</v>
      </c>
      <c r="C3735" t="s">
        <v>159</v>
      </c>
      <c r="D3735">
        <v>149398440</v>
      </c>
      <c r="E3735">
        <v>122528</v>
      </c>
      <c r="F3735">
        <v>45256</v>
      </c>
    </row>
    <row r="3736" spans="1:6">
      <c r="A3736" t="s">
        <v>4869</v>
      </c>
      <c r="B3736">
        <v>415</v>
      </c>
      <c r="C3736" t="s">
        <v>642</v>
      </c>
      <c r="D3736">
        <v>74699220</v>
      </c>
      <c r="E3736">
        <v>122528</v>
      </c>
      <c r="F3736">
        <v>45256</v>
      </c>
    </row>
    <row r="3737" spans="1:6">
      <c r="A3737" t="s">
        <v>4870</v>
      </c>
      <c r="B3737">
        <v>416</v>
      </c>
      <c r="C3737" t="s">
        <v>149</v>
      </c>
      <c r="D3737">
        <v>1224374</v>
      </c>
      <c r="E3737">
        <v>123291</v>
      </c>
      <c r="F3737">
        <v>45404</v>
      </c>
    </row>
    <row r="3738" spans="1:6">
      <c r="A3738" t="s">
        <v>4871</v>
      </c>
      <c r="B3738">
        <v>416</v>
      </c>
      <c r="C3738" t="s">
        <v>1132</v>
      </c>
      <c r="D3738">
        <v>3673122</v>
      </c>
      <c r="E3738">
        <v>123291</v>
      </c>
      <c r="F3738">
        <v>45404</v>
      </c>
    </row>
    <row r="3739" spans="1:6">
      <c r="A3739" t="s">
        <v>4872</v>
      </c>
      <c r="B3739">
        <v>416</v>
      </c>
      <c r="C3739" t="s">
        <v>1134</v>
      </c>
      <c r="D3739">
        <v>2203874</v>
      </c>
      <c r="E3739">
        <v>123291</v>
      </c>
      <c r="F3739">
        <v>45404</v>
      </c>
    </row>
    <row r="3740" spans="1:6">
      <c r="A3740" t="s">
        <v>4873</v>
      </c>
      <c r="B3740">
        <v>416</v>
      </c>
      <c r="C3740" t="s">
        <v>1136</v>
      </c>
      <c r="D3740">
        <v>612187</v>
      </c>
      <c r="E3740">
        <v>123291</v>
      </c>
      <c r="F3740">
        <v>45404</v>
      </c>
    </row>
    <row r="3741" spans="1:6">
      <c r="A3741" t="s">
        <v>4874</v>
      </c>
      <c r="B3741">
        <v>416</v>
      </c>
      <c r="C3741" t="s">
        <v>1138</v>
      </c>
      <c r="D3741">
        <v>183657</v>
      </c>
      <c r="E3741">
        <v>123291</v>
      </c>
      <c r="F3741">
        <v>45404</v>
      </c>
    </row>
    <row r="3742" spans="1:6">
      <c r="A3742" t="s">
        <v>4875</v>
      </c>
      <c r="B3742">
        <v>416</v>
      </c>
      <c r="C3742" t="s">
        <v>738</v>
      </c>
      <c r="D3742">
        <v>4897496</v>
      </c>
      <c r="E3742">
        <v>123291</v>
      </c>
      <c r="F3742">
        <v>45404</v>
      </c>
    </row>
    <row r="3743" spans="1:6">
      <c r="A3743" t="s">
        <v>4876</v>
      </c>
      <c r="B3743">
        <v>416</v>
      </c>
      <c r="C3743" t="s">
        <v>1141</v>
      </c>
      <c r="D3743">
        <v>11019366</v>
      </c>
      <c r="E3743">
        <v>123291</v>
      </c>
      <c r="F3743">
        <v>45404</v>
      </c>
    </row>
    <row r="3744" spans="1:6">
      <c r="A3744" t="s">
        <v>4877</v>
      </c>
      <c r="B3744">
        <v>416</v>
      </c>
      <c r="C3744" t="s">
        <v>159</v>
      </c>
      <c r="D3744">
        <v>150628620</v>
      </c>
      <c r="E3744">
        <v>123291</v>
      </c>
      <c r="F3744">
        <v>45404</v>
      </c>
    </row>
    <row r="3745" spans="1:6">
      <c r="A3745" t="s">
        <v>4878</v>
      </c>
      <c r="B3745">
        <v>416</v>
      </c>
      <c r="C3745" t="s">
        <v>642</v>
      </c>
      <c r="D3745">
        <v>75314310</v>
      </c>
      <c r="E3745">
        <v>123291</v>
      </c>
      <c r="F3745">
        <v>45404</v>
      </c>
    </row>
    <row r="3746" spans="1:6">
      <c r="A3746" t="s">
        <v>4879</v>
      </c>
      <c r="B3746">
        <v>417</v>
      </c>
      <c r="C3746" t="s">
        <v>149</v>
      </c>
      <c r="D3746">
        <v>1233703</v>
      </c>
      <c r="E3746">
        <v>124058</v>
      </c>
      <c r="F3746">
        <v>45551</v>
      </c>
    </row>
    <row r="3747" spans="1:6">
      <c r="A3747" t="s">
        <v>4880</v>
      </c>
      <c r="B3747">
        <v>417</v>
      </c>
      <c r="C3747" t="s">
        <v>1132</v>
      </c>
      <c r="D3747">
        <v>3701109</v>
      </c>
      <c r="E3747">
        <v>124058</v>
      </c>
      <c r="F3747">
        <v>45551</v>
      </c>
    </row>
    <row r="3748" spans="1:6">
      <c r="A3748" t="s">
        <v>4881</v>
      </c>
      <c r="B3748">
        <v>417</v>
      </c>
      <c r="C3748" t="s">
        <v>1134</v>
      </c>
      <c r="D3748">
        <v>2220666</v>
      </c>
      <c r="E3748">
        <v>124058</v>
      </c>
      <c r="F3748">
        <v>45551</v>
      </c>
    </row>
    <row r="3749" spans="1:6">
      <c r="A3749" t="s">
        <v>4882</v>
      </c>
      <c r="B3749">
        <v>417</v>
      </c>
      <c r="C3749" t="s">
        <v>1136</v>
      </c>
      <c r="D3749">
        <v>616852</v>
      </c>
      <c r="E3749">
        <v>124058</v>
      </c>
      <c r="F3749">
        <v>45551</v>
      </c>
    </row>
    <row r="3750" spans="1:6">
      <c r="A3750" t="s">
        <v>4883</v>
      </c>
      <c r="B3750">
        <v>417</v>
      </c>
      <c r="C3750" t="s">
        <v>1138</v>
      </c>
      <c r="D3750">
        <v>185056</v>
      </c>
      <c r="E3750">
        <v>124058</v>
      </c>
      <c r="F3750">
        <v>45551</v>
      </c>
    </row>
    <row r="3751" spans="1:6">
      <c r="A3751" t="s">
        <v>4884</v>
      </c>
      <c r="B3751">
        <v>417</v>
      </c>
      <c r="C3751" t="s">
        <v>738</v>
      </c>
      <c r="D3751">
        <v>4934812</v>
      </c>
      <c r="E3751">
        <v>124058</v>
      </c>
      <c r="F3751">
        <v>45551</v>
      </c>
    </row>
    <row r="3752" spans="1:6">
      <c r="A3752" t="s">
        <v>4885</v>
      </c>
      <c r="B3752">
        <v>417</v>
      </c>
      <c r="C3752" t="s">
        <v>1141</v>
      </c>
      <c r="D3752">
        <v>11103327</v>
      </c>
      <c r="E3752">
        <v>124058</v>
      </c>
      <c r="F3752">
        <v>45551</v>
      </c>
    </row>
    <row r="3753" spans="1:6">
      <c r="A3753" t="s">
        <v>4886</v>
      </c>
      <c r="B3753">
        <v>417</v>
      </c>
      <c r="C3753" t="s">
        <v>159</v>
      </c>
      <c r="D3753">
        <v>151867080</v>
      </c>
      <c r="E3753">
        <v>124058</v>
      </c>
      <c r="F3753">
        <v>45551</v>
      </c>
    </row>
    <row r="3754" spans="1:6">
      <c r="A3754" t="s">
        <v>4887</v>
      </c>
      <c r="B3754">
        <v>417</v>
      </c>
      <c r="C3754" t="s">
        <v>642</v>
      </c>
      <c r="D3754">
        <v>75933540</v>
      </c>
      <c r="E3754">
        <v>124058</v>
      </c>
      <c r="F3754">
        <v>45551</v>
      </c>
    </row>
    <row r="3755" spans="1:6">
      <c r="A3755" t="s">
        <v>4888</v>
      </c>
      <c r="B3755">
        <v>418</v>
      </c>
      <c r="C3755" t="s">
        <v>149</v>
      </c>
      <c r="D3755">
        <v>1243090</v>
      </c>
      <c r="E3755">
        <v>124828</v>
      </c>
      <c r="F3755">
        <v>45699</v>
      </c>
    </row>
    <row r="3756" spans="1:6">
      <c r="A3756" t="s">
        <v>4889</v>
      </c>
      <c r="B3756">
        <v>418</v>
      </c>
      <c r="C3756" t="s">
        <v>1132</v>
      </c>
      <c r="D3756">
        <v>3729270</v>
      </c>
      <c r="E3756">
        <v>124828</v>
      </c>
      <c r="F3756">
        <v>45699</v>
      </c>
    </row>
    <row r="3757" spans="1:6">
      <c r="A3757" t="s">
        <v>4890</v>
      </c>
      <c r="B3757">
        <v>418</v>
      </c>
      <c r="C3757" t="s">
        <v>1134</v>
      </c>
      <c r="D3757">
        <v>2237562</v>
      </c>
      <c r="E3757">
        <v>124828</v>
      </c>
      <c r="F3757">
        <v>45699</v>
      </c>
    </row>
    <row r="3758" spans="1:6">
      <c r="A3758" t="s">
        <v>4891</v>
      </c>
      <c r="B3758">
        <v>418</v>
      </c>
      <c r="C3758" t="s">
        <v>1136</v>
      </c>
      <c r="D3758">
        <v>621545</v>
      </c>
      <c r="E3758">
        <v>124828</v>
      </c>
      <c r="F3758">
        <v>45699</v>
      </c>
    </row>
    <row r="3759" spans="1:6">
      <c r="A3759" t="s">
        <v>4892</v>
      </c>
      <c r="B3759">
        <v>418</v>
      </c>
      <c r="C3759" t="s">
        <v>1138</v>
      </c>
      <c r="D3759">
        <v>186464</v>
      </c>
      <c r="E3759">
        <v>124828</v>
      </c>
      <c r="F3759">
        <v>45699</v>
      </c>
    </row>
    <row r="3760" spans="1:6">
      <c r="A3760" t="s">
        <v>4893</v>
      </c>
      <c r="B3760">
        <v>418</v>
      </c>
      <c r="C3760" t="s">
        <v>738</v>
      </c>
      <c r="D3760">
        <v>4972360</v>
      </c>
      <c r="E3760">
        <v>124828</v>
      </c>
      <c r="F3760">
        <v>45699</v>
      </c>
    </row>
    <row r="3761" spans="1:6">
      <c r="A3761" t="s">
        <v>4894</v>
      </c>
      <c r="B3761">
        <v>418</v>
      </c>
      <c r="C3761" t="s">
        <v>1141</v>
      </c>
      <c r="D3761">
        <v>11187810</v>
      </c>
      <c r="E3761">
        <v>124828</v>
      </c>
      <c r="F3761">
        <v>45699</v>
      </c>
    </row>
    <row r="3762" spans="1:6">
      <c r="A3762" t="s">
        <v>4895</v>
      </c>
      <c r="B3762">
        <v>418</v>
      </c>
      <c r="C3762" t="s">
        <v>159</v>
      </c>
      <c r="D3762">
        <v>153113880</v>
      </c>
      <c r="E3762">
        <v>124828</v>
      </c>
      <c r="F3762">
        <v>45699</v>
      </c>
    </row>
    <row r="3763" spans="1:6">
      <c r="A3763" t="s">
        <v>4896</v>
      </c>
      <c r="B3763">
        <v>418</v>
      </c>
      <c r="C3763" t="s">
        <v>642</v>
      </c>
      <c r="D3763">
        <v>76556940</v>
      </c>
      <c r="E3763">
        <v>124828</v>
      </c>
      <c r="F3763">
        <v>45699</v>
      </c>
    </row>
    <row r="3764" spans="1:6">
      <c r="A3764" t="s">
        <v>4897</v>
      </c>
      <c r="B3764">
        <v>419</v>
      </c>
      <c r="C3764" t="s">
        <v>149</v>
      </c>
      <c r="D3764">
        <v>1252533</v>
      </c>
      <c r="E3764">
        <v>125603</v>
      </c>
      <c r="F3764">
        <v>45847</v>
      </c>
    </row>
    <row r="3765" spans="1:6">
      <c r="A3765" t="s">
        <v>4898</v>
      </c>
      <c r="B3765">
        <v>419</v>
      </c>
      <c r="C3765" t="s">
        <v>1132</v>
      </c>
      <c r="D3765">
        <v>3757599</v>
      </c>
      <c r="E3765">
        <v>125603</v>
      </c>
      <c r="F3765">
        <v>45847</v>
      </c>
    </row>
    <row r="3766" spans="1:6">
      <c r="A3766" t="s">
        <v>4899</v>
      </c>
      <c r="B3766">
        <v>419</v>
      </c>
      <c r="C3766" t="s">
        <v>1134</v>
      </c>
      <c r="D3766">
        <v>2254560</v>
      </c>
      <c r="E3766">
        <v>125603</v>
      </c>
      <c r="F3766">
        <v>45847</v>
      </c>
    </row>
    <row r="3767" spans="1:6">
      <c r="A3767" t="s">
        <v>4900</v>
      </c>
      <c r="B3767">
        <v>419</v>
      </c>
      <c r="C3767" t="s">
        <v>1136</v>
      </c>
      <c r="D3767">
        <v>626267</v>
      </c>
      <c r="E3767">
        <v>125603</v>
      </c>
      <c r="F3767">
        <v>45847</v>
      </c>
    </row>
    <row r="3768" spans="1:6">
      <c r="A3768" t="s">
        <v>4901</v>
      </c>
      <c r="B3768">
        <v>419</v>
      </c>
      <c r="C3768" t="s">
        <v>1138</v>
      </c>
      <c r="D3768">
        <v>187880</v>
      </c>
      <c r="E3768">
        <v>125603</v>
      </c>
      <c r="F3768">
        <v>45847</v>
      </c>
    </row>
    <row r="3769" spans="1:6">
      <c r="A3769" t="s">
        <v>4902</v>
      </c>
      <c r="B3769">
        <v>419</v>
      </c>
      <c r="C3769" t="s">
        <v>738</v>
      </c>
      <c r="D3769">
        <v>5010132</v>
      </c>
      <c r="E3769">
        <v>125603</v>
      </c>
      <c r="F3769">
        <v>45847</v>
      </c>
    </row>
    <row r="3770" spans="1:6">
      <c r="A3770" t="s">
        <v>4903</v>
      </c>
      <c r="B3770">
        <v>419</v>
      </c>
      <c r="C3770" t="s">
        <v>1141</v>
      </c>
      <c r="D3770">
        <v>11272797</v>
      </c>
      <c r="E3770">
        <v>125603</v>
      </c>
      <c r="F3770">
        <v>45847</v>
      </c>
    </row>
    <row r="3771" spans="1:6">
      <c r="A3771" t="s">
        <v>4904</v>
      </c>
      <c r="B3771">
        <v>419</v>
      </c>
      <c r="C3771" t="s">
        <v>159</v>
      </c>
      <c r="D3771">
        <v>154369080</v>
      </c>
      <c r="E3771">
        <v>125603</v>
      </c>
      <c r="F3771">
        <v>45847</v>
      </c>
    </row>
    <row r="3772" spans="1:6">
      <c r="A3772" t="s">
        <v>4905</v>
      </c>
      <c r="B3772">
        <v>419</v>
      </c>
      <c r="C3772" t="s">
        <v>642</v>
      </c>
      <c r="D3772">
        <v>77184540</v>
      </c>
      <c r="E3772">
        <v>125603</v>
      </c>
      <c r="F3772">
        <v>45847</v>
      </c>
    </row>
    <row r="3773" spans="1:6">
      <c r="A3773" t="s">
        <v>4906</v>
      </c>
      <c r="B3773">
        <v>420</v>
      </c>
      <c r="C3773" t="s">
        <v>149</v>
      </c>
      <c r="D3773">
        <v>1262034</v>
      </c>
      <c r="E3773">
        <v>126380</v>
      </c>
      <c r="F3773">
        <v>45995</v>
      </c>
    </row>
    <row r="3774" spans="1:6">
      <c r="A3774" t="s">
        <v>4907</v>
      </c>
      <c r="B3774">
        <v>420</v>
      </c>
      <c r="C3774" t="s">
        <v>1132</v>
      </c>
      <c r="D3774">
        <v>3786102</v>
      </c>
      <c r="E3774">
        <v>126380</v>
      </c>
      <c r="F3774">
        <v>45995</v>
      </c>
    </row>
    <row r="3775" spans="1:6">
      <c r="A3775" t="s">
        <v>4908</v>
      </c>
      <c r="B3775">
        <v>420</v>
      </c>
      <c r="C3775" t="s">
        <v>1134</v>
      </c>
      <c r="D3775">
        <v>2271662</v>
      </c>
      <c r="E3775">
        <v>126380</v>
      </c>
      <c r="F3775">
        <v>45995</v>
      </c>
    </row>
    <row r="3776" spans="1:6">
      <c r="A3776" t="s">
        <v>4909</v>
      </c>
      <c r="B3776">
        <v>420</v>
      </c>
      <c r="C3776" t="s">
        <v>1136</v>
      </c>
      <c r="D3776">
        <v>631017</v>
      </c>
      <c r="E3776">
        <v>126380</v>
      </c>
      <c r="F3776">
        <v>45995</v>
      </c>
    </row>
    <row r="3777" spans="1:6">
      <c r="A3777" t="s">
        <v>4910</v>
      </c>
      <c r="B3777">
        <v>420</v>
      </c>
      <c r="C3777" t="s">
        <v>1138</v>
      </c>
      <c r="D3777">
        <v>189306</v>
      </c>
      <c r="E3777">
        <v>126380</v>
      </c>
      <c r="F3777">
        <v>45995</v>
      </c>
    </row>
    <row r="3778" spans="1:6">
      <c r="A3778" t="s">
        <v>4911</v>
      </c>
      <c r="B3778">
        <v>420</v>
      </c>
      <c r="C3778" t="s">
        <v>738</v>
      </c>
      <c r="D3778">
        <v>5048136</v>
      </c>
      <c r="E3778">
        <v>126380</v>
      </c>
      <c r="F3778">
        <v>45995</v>
      </c>
    </row>
    <row r="3779" spans="1:6">
      <c r="A3779" t="s">
        <v>4912</v>
      </c>
      <c r="B3779">
        <v>420</v>
      </c>
      <c r="C3779" t="s">
        <v>1141</v>
      </c>
      <c r="D3779">
        <v>11358306</v>
      </c>
      <c r="E3779">
        <v>126380</v>
      </c>
      <c r="F3779">
        <v>45995</v>
      </c>
    </row>
    <row r="3780" spans="1:6">
      <c r="A3780" t="s">
        <v>4913</v>
      </c>
      <c r="B3780">
        <v>420</v>
      </c>
      <c r="C3780" t="s">
        <v>159</v>
      </c>
      <c r="D3780">
        <v>155632740</v>
      </c>
      <c r="E3780">
        <v>126380</v>
      </c>
      <c r="F3780">
        <v>45995</v>
      </c>
    </row>
    <row r="3781" spans="1:6">
      <c r="A3781" t="s">
        <v>4914</v>
      </c>
      <c r="B3781">
        <v>420</v>
      </c>
      <c r="C3781" t="s">
        <v>642</v>
      </c>
      <c r="D3781">
        <v>77816370</v>
      </c>
      <c r="E3781">
        <v>126380</v>
      </c>
      <c r="F3781">
        <v>45995</v>
      </c>
    </row>
    <row r="3782" spans="1:6">
      <c r="A3782" t="s">
        <v>4915</v>
      </c>
      <c r="B3782">
        <v>421</v>
      </c>
      <c r="C3782" t="s">
        <v>149</v>
      </c>
      <c r="D3782">
        <v>1271592</v>
      </c>
      <c r="E3782">
        <v>127162</v>
      </c>
      <c r="F3782">
        <v>46143</v>
      </c>
    </row>
    <row r="3783" spans="1:6">
      <c r="A3783" t="s">
        <v>4916</v>
      </c>
      <c r="B3783">
        <v>421</v>
      </c>
      <c r="C3783" t="s">
        <v>1132</v>
      </c>
      <c r="D3783">
        <v>3814776</v>
      </c>
      <c r="E3783">
        <v>127162</v>
      </c>
      <c r="F3783">
        <v>46143</v>
      </c>
    </row>
    <row r="3784" spans="1:6">
      <c r="A3784" t="s">
        <v>4917</v>
      </c>
      <c r="B3784">
        <v>421</v>
      </c>
      <c r="C3784" t="s">
        <v>1134</v>
      </c>
      <c r="D3784">
        <v>2288866</v>
      </c>
      <c r="E3784">
        <v>127162</v>
      </c>
      <c r="F3784">
        <v>46143</v>
      </c>
    </row>
    <row r="3785" spans="1:6">
      <c r="A3785" t="s">
        <v>4918</v>
      </c>
      <c r="B3785">
        <v>421</v>
      </c>
      <c r="C3785" t="s">
        <v>1136</v>
      </c>
      <c r="D3785">
        <v>635796</v>
      </c>
      <c r="E3785">
        <v>127162</v>
      </c>
      <c r="F3785">
        <v>46143</v>
      </c>
    </row>
    <row r="3786" spans="1:6">
      <c r="A3786" t="s">
        <v>4919</v>
      </c>
      <c r="B3786">
        <v>421</v>
      </c>
      <c r="C3786" t="s">
        <v>1138</v>
      </c>
      <c r="D3786">
        <v>190739</v>
      </c>
      <c r="E3786">
        <v>127162</v>
      </c>
      <c r="F3786">
        <v>46143</v>
      </c>
    </row>
    <row r="3787" spans="1:6">
      <c r="A3787" t="s">
        <v>4920</v>
      </c>
      <c r="B3787">
        <v>421</v>
      </c>
      <c r="C3787" t="s">
        <v>738</v>
      </c>
      <c r="D3787">
        <v>5086368</v>
      </c>
      <c r="E3787">
        <v>127162</v>
      </c>
      <c r="F3787">
        <v>46143</v>
      </c>
    </row>
    <row r="3788" spans="1:6">
      <c r="A3788" t="s">
        <v>4921</v>
      </c>
      <c r="B3788">
        <v>421</v>
      </c>
      <c r="C3788" t="s">
        <v>1141</v>
      </c>
      <c r="D3788">
        <v>11444328</v>
      </c>
      <c r="E3788">
        <v>127162</v>
      </c>
      <c r="F3788">
        <v>46143</v>
      </c>
    </row>
    <row r="3789" spans="1:6">
      <c r="A3789" t="s">
        <v>4922</v>
      </c>
      <c r="B3789">
        <v>421</v>
      </c>
      <c r="C3789" t="s">
        <v>159</v>
      </c>
      <c r="D3789">
        <v>156904800</v>
      </c>
      <c r="E3789">
        <v>127162</v>
      </c>
      <c r="F3789">
        <v>46143</v>
      </c>
    </row>
    <row r="3790" spans="1:6">
      <c r="A3790" t="s">
        <v>4923</v>
      </c>
      <c r="B3790">
        <v>421</v>
      </c>
      <c r="C3790" t="s">
        <v>642</v>
      </c>
      <c r="D3790">
        <v>78452400</v>
      </c>
      <c r="E3790">
        <v>127162</v>
      </c>
      <c r="F3790">
        <v>46143</v>
      </c>
    </row>
    <row r="3791" spans="1:6">
      <c r="A3791" t="s">
        <v>4924</v>
      </c>
      <c r="B3791">
        <v>422</v>
      </c>
      <c r="C3791" t="s">
        <v>149</v>
      </c>
      <c r="D3791">
        <v>1281208</v>
      </c>
      <c r="E3791">
        <v>127947</v>
      </c>
      <c r="F3791">
        <v>46292</v>
      </c>
    </row>
    <row r="3792" spans="1:6">
      <c r="A3792" t="s">
        <v>4925</v>
      </c>
      <c r="B3792">
        <v>422</v>
      </c>
      <c r="C3792" t="s">
        <v>1132</v>
      </c>
      <c r="D3792">
        <v>3843624</v>
      </c>
      <c r="E3792">
        <v>127947</v>
      </c>
      <c r="F3792">
        <v>46292</v>
      </c>
    </row>
    <row r="3793" spans="1:6">
      <c r="A3793" t="s">
        <v>4926</v>
      </c>
      <c r="B3793">
        <v>422</v>
      </c>
      <c r="C3793" t="s">
        <v>1134</v>
      </c>
      <c r="D3793">
        <v>2306175</v>
      </c>
      <c r="E3793">
        <v>127947</v>
      </c>
      <c r="F3793">
        <v>46292</v>
      </c>
    </row>
    <row r="3794" spans="1:6">
      <c r="A3794" t="s">
        <v>4927</v>
      </c>
      <c r="B3794">
        <v>422</v>
      </c>
      <c r="C3794" t="s">
        <v>1136</v>
      </c>
      <c r="D3794">
        <v>640604</v>
      </c>
      <c r="E3794">
        <v>127947</v>
      </c>
      <c r="F3794">
        <v>46292</v>
      </c>
    </row>
    <row r="3795" spans="1:6">
      <c r="A3795" t="s">
        <v>4928</v>
      </c>
      <c r="B3795">
        <v>422</v>
      </c>
      <c r="C3795" t="s">
        <v>1138</v>
      </c>
      <c r="D3795">
        <v>192182</v>
      </c>
      <c r="E3795">
        <v>127947</v>
      </c>
      <c r="F3795">
        <v>46292</v>
      </c>
    </row>
    <row r="3796" spans="1:6">
      <c r="A3796" t="s">
        <v>4929</v>
      </c>
      <c r="B3796">
        <v>422</v>
      </c>
      <c r="C3796" t="s">
        <v>738</v>
      </c>
      <c r="D3796">
        <v>5124832</v>
      </c>
      <c r="E3796">
        <v>127947</v>
      </c>
      <c r="F3796">
        <v>46292</v>
      </c>
    </row>
    <row r="3797" spans="1:6">
      <c r="A3797" t="s">
        <v>4930</v>
      </c>
      <c r="B3797">
        <v>422</v>
      </c>
      <c r="C3797" t="s">
        <v>1141</v>
      </c>
      <c r="D3797">
        <v>11530872</v>
      </c>
      <c r="E3797">
        <v>127947</v>
      </c>
      <c r="F3797">
        <v>46292</v>
      </c>
    </row>
    <row r="3798" spans="1:6">
      <c r="A3798" t="s">
        <v>4931</v>
      </c>
      <c r="B3798">
        <v>422</v>
      </c>
      <c r="C3798" t="s">
        <v>159</v>
      </c>
      <c r="D3798">
        <v>158185380</v>
      </c>
      <c r="E3798">
        <v>127947</v>
      </c>
      <c r="F3798">
        <v>46292</v>
      </c>
    </row>
    <row r="3799" spans="1:6">
      <c r="A3799" t="s">
        <v>4932</v>
      </c>
      <c r="B3799">
        <v>422</v>
      </c>
      <c r="C3799" t="s">
        <v>642</v>
      </c>
      <c r="D3799">
        <v>79092690</v>
      </c>
      <c r="E3799">
        <v>127947</v>
      </c>
      <c r="F3799">
        <v>46292</v>
      </c>
    </row>
    <row r="3800" spans="1:6">
      <c r="A3800" t="s">
        <v>4933</v>
      </c>
      <c r="B3800">
        <v>423</v>
      </c>
      <c r="C3800" t="s">
        <v>149</v>
      </c>
      <c r="D3800">
        <v>1290882</v>
      </c>
      <c r="E3800">
        <v>128735</v>
      </c>
      <c r="F3800">
        <v>46440</v>
      </c>
    </row>
    <row r="3801" spans="1:6">
      <c r="A3801" t="s">
        <v>4934</v>
      </c>
      <c r="B3801">
        <v>423</v>
      </c>
      <c r="C3801" t="s">
        <v>1132</v>
      </c>
      <c r="D3801">
        <v>3872646</v>
      </c>
      <c r="E3801">
        <v>128735</v>
      </c>
      <c r="F3801">
        <v>46440</v>
      </c>
    </row>
    <row r="3802" spans="1:6">
      <c r="A3802" t="s">
        <v>4935</v>
      </c>
      <c r="B3802">
        <v>423</v>
      </c>
      <c r="C3802" t="s">
        <v>1134</v>
      </c>
      <c r="D3802">
        <v>2323588</v>
      </c>
      <c r="E3802">
        <v>128735</v>
      </c>
      <c r="F3802">
        <v>46440</v>
      </c>
    </row>
    <row r="3803" spans="1:6">
      <c r="A3803" t="s">
        <v>4936</v>
      </c>
      <c r="B3803">
        <v>423</v>
      </c>
      <c r="C3803" t="s">
        <v>1136</v>
      </c>
      <c r="D3803">
        <v>645441</v>
      </c>
      <c r="E3803">
        <v>128735</v>
      </c>
      <c r="F3803">
        <v>46440</v>
      </c>
    </row>
    <row r="3804" spans="1:6">
      <c r="A3804" t="s">
        <v>4937</v>
      </c>
      <c r="B3804">
        <v>423</v>
      </c>
      <c r="C3804" t="s">
        <v>1138</v>
      </c>
      <c r="D3804">
        <v>193633</v>
      </c>
      <c r="E3804">
        <v>128735</v>
      </c>
      <c r="F3804">
        <v>46440</v>
      </c>
    </row>
    <row r="3805" spans="1:6">
      <c r="A3805" t="s">
        <v>4938</v>
      </c>
      <c r="B3805">
        <v>423</v>
      </c>
      <c r="C3805" t="s">
        <v>738</v>
      </c>
      <c r="D3805">
        <v>5163528</v>
      </c>
      <c r="E3805">
        <v>128735</v>
      </c>
      <c r="F3805">
        <v>46440</v>
      </c>
    </row>
    <row r="3806" spans="1:6">
      <c r="A3806" t="s">
        <v>4939</v>
      </c>
      <c r="B3806">
        <v>423</v>
      </c>
      <c r="C3806" t="s">
        <v>1141</v>
      </c>
      <c r="D3806">
        <v>11617938</v>
      </c>
      <c r="E3806">
        <v>128735</v>
      </c>
      <c r="F3806">
        <v>46440</v>
      </c>
    </row>
    <row r="3807" spans="1:6">
      <c r="A3807" t="s">
        <v>4940</v>
      </c>
      <c r="B3807">
        <v>423</v>
      </c>
      <c r="C3807" t="s">
        <v>159</v>
      </c>
      <c r="D3807">
        <v>159474600</v>
      </c>
      <c r="E3807">
        <v>128735</v>
      </c>
      <c r="F3807">
        <v>46440</v>
      </c>
    </row>
    <row r="3808" spans="1:6">
      <c r="A3808" t="s">
        <v>4941</v>
      </c>
      <c r="B3808">
        <v>423</v>
      </c>
      <c r="C3808" t="s">
        <v>642</v>
      </c>
      <c r="D3808">
        <v>79737300</v>
      </c>
      <c r="E3808">
        <v>128735</v>
      </c>
      <c r="F3808">
        <v>46440</v>
      </c>
    </row>
    <row r="3809" spans="1:6">
      <c r="A3809" t="s">
        <v>4942</v>
      </c>
      <c r="B3809">
        <v>424</v>
      </c>
      <c r="C3809" t="s">
        <v>149</v>
      </c>
      <c r="D3809">
        <v>1300615</v>
      </c>
      <c r="E3809">
        <v>129528</v>
      </c>
      <c r="F3809">
        <v>46589</v>
      </c>
    </row>
    <row r="3810" spans="1:6">
      <c r="A3810" t="s">
        <v>4943</v>
      </c>
      <c r="B3810">
        <v>424</v>
      </c>
      <c r="C3810" t="s">
        <v>1132</v>
      </c>
      <c r="D3810">
        <v>3901845</v>
      </c>
      <c r="E3810">
        <v>129528</v>
      </c>
      <c r="F3810">
        <v>46589</v>
      </c>
    </row>
    <row r="3811" spans="1:6">
      <c r="A3811" t="s">
        <v>4944</v>
      </c>
      <c r="B3811">
        <v>424</v>
      </c>
      <c r="C3811" t="s">
        <v>1134</v>
      </c>
      <c r="D3811">
        <v>2341107</v>
      </c>
      <c r="E3811">
        <v>129528</v>
      </c>
      <c r="F3811">
        <v>46589</v>
      </c>
    </row>
    <row r="3812" spans="1:6">
      <c r="A3812" t="s">
        <v>4945</v>
      </c>
      <c r="B3812">
        <v>424</v>
      </c>
      <c r="C3812" t="s">
        <v>1136</v>
      </c>
      <c r="D3812">
        <v>650308</v>
      </c>
      <c r="E3812">
        <v>129528</v>
      </c>
      <c r="F3812">
        <v>46589</v>
      </c>
    </row>
    <row r="3813" spans="1:6">
      <c r="A3813" t="s">
        <v>4946</v>
      </c>
      <c r="B3813">
        <v>424</v>
      </c>
      <c r="C3813" t="s">
        <v>1138</v>
      </c>
      <c r="D3813">
        <v>195093</v>
      </c>
      <c r="E3813">
        <v>129528</v>
      </c>
      <c r="F3813">
        <v>46589</v>
      </c>
    </row>
    <row r="3814" spans="1:6">
      <c r="A3814" t="s">
        <v>4947</v>
      </c>
      <c r="B3814">
        <v>424</v>
      </c>
      <c r="C3814" t="s">
        <v>738</v>
      </c>
      <c r="D3814">
        <v>5202460</v>
      </c>
      <c r="E3814">
        <v>129528</v>
      </c>
      <c r="F3814">
        <v>46589</v>
      </c>
    </row>
    <row r="3815" spans="1:6">
      <c r="A3815" t="s">
        <v>4948</v>
      </c>
      <c r="B3815">
        <v>424</v>
      </c>
      <c r="C3815" t="s">
        <v>1141</v>
      </c>
      <c r="D3815">
        <v>11705535</v>
      </c>
      <c r="E3815">
        <v>129528</v>
      </c>
      <c r="F3815">
        <v>46589</v>
      </c>
    </row>
    <row r="3816" spans="1:6">
      <c r="A3816" t="s">
        <v>4949</v>
      </c>
      <c r="B3816">
        <v>424</v>
      </c>
      <c r="C3816" t="s">
        <v>159</v>
      </c>
      <c r="D3816">
        <v>160772340</v>
      </c>
      <c r="E3816">
        <v>129528</v>
      </c>
      <c r="F3816">
        <v>46589</v>
      </c>
    </row>
    <row r="3817" spans="1:6">
      <c r="A3817" t="s">
        <v>4950</v>
      </c>
      <c r="B3817">
        <v>424</v>
      </c>
      <c r="C3817" t="s">
        <v>642</v>
      </c>
      <c r="D3817">
        <v>80386170</v>
      </c>
      <c r="E3817">
        <v>129528</v>
      </c>
      <c r="F3817">
        <v>46589</v>
      </c>
    </row>
    <row r="3818" spans="1:6">
      <c r="A3818" t="s">
        <v>4951</v>
      </c>
      <c r="B3818">
        <v>425</v>
      </c>
      <c r="C3818" t="s">
        <v>149</v>
      </c>
      <c r="D3818">
        <v>1310406</v>
      </c>
      <c r="E3818">
        <v>130324</v>
      </c>
      <c r="F3818">
        <v>46738</v>
      </c>
    </row>
    <row r="3819" spans="1:6">
      <c r="A3819" t="s">
        <v>4952</v>
      </c>
      <c r="B3819">
        <v>425</v>
      </c>
      <c r="C3819" t="s">
        <v>1132</v>
      </c>
      <c r="D3819">
        <v>3931218</v>
      </c>
      <c r="E3819">
        <v>130324</v>
      </c>
      <c r="F3819">
        <v>46738</v>
      </c>
    </row>
    <row r="3820" spans="1:6">
      <c r="A3820" t="s">
        <v>4953</v>
      </c>
      <c r="B3820">
        <v>425</v>
      </c>
      <c r="C3820" t="s">
        <v>1134</v>
      </c>
      <c r="D3820">
        <v>2358731</v>
      </c>
      <c r="E3820">
        <v>130324</v>
      </c>
      <c r="F3820">
        <v>46738</v>
      </c>
    </row>
    <row r="3821" spans="1:6">
      <c r="A3821" t="s">
        <v>4954</v>
      </c>
      <c r="B3821">
        <v>425</v>
      </c>
      <c r="C3821" t="s">
        <v>1136</v>
      </c>
      <c r="D3821">
        <v>655203</v>
      </c>
      <c r="E3821">
        <v>130324</v>
      </c>
      <c r="F3821">
        <v>46738</v>
      </c>
    </row>
    <row r="3822" spans="1:6">
      <c r="A3822" t="s">
        <v>4955</v>
      </c>
      <c r="B3822">
        <v>425</v>
      </c>
      <c r="C3822" t="s">
        <v>1138</v>
      </c>
      <c r="D3822">
        <v>196561</v>
      </c>
      <c r="E3822">
        <v>130324</v>
      </c>
      <c r="F3822">
        <v>46738</v>
      </c>
    </row>
    <row r="3823" spans="1:6">
      <c r="A3823" t="s">
        <v>4956</v>
      </c>
      <c r="B3823">
        <v>425</v>
      </c>
      <c r="C3823" t="s">
        <v>738</v>
      </c>
      <c r="D3823">
        <v>5241624</v>
      </c>
      <c r="E3823">
        <v>130324</v>
      </c>
      <c r="F3823">
        <v>46738</v>
      </c>
    </row>
    <row r="3824" spans="1:6">
      <c r="A3824" t="s">
        <v>4957</v>
      </c>
      <c r="B3824">
        <v>425</v>
      </c>
      <c r="C3824" t="s">
        <v>1141</v>
      </c>
      <c r="D3824">
        <v>11793654</v>
      </c>
      <c r="E3824">
        <v>130324</v>
      </c>
      <c r="F3824">
        <v>46738</v>
      </c>
    </row>
    <row r="3825" spans="1:6">
      <c r="A3825" t="s">
        <v>4958</v>
      </c>
      <c r="B3825">
        <v>425</v>
      </c>
      <c r="C3825" t="s">
        <v>159</v>
      </c>
      <c r="D3825">
        <v>162078780</v>
      </c>
      <c r="E3825">
        <v>130324</v>
      </c>
      <c r="F3825">
        <v>46738</v>
      </c>
    </row>
    <row r="3826" spans="1:6">
      <c r="A3826" t="s">
        <v>4959</v>
      </c>
      <c r="B3826">
        <v>425</v>
      </c>
      <c r="C3826" t="s">
        <v>642</v>
      </c>
      <c r="D3826">
        <v>81039390</v>
      </c>
      <c r="E3826">
        <v>130324</v>
      </c>
      <c r="F3826">
        <v>46738</v>
      </c>
    </row>
    <row r="3827" spans="1:6">
      <c r="A3827" t="s">
        <v>4960</v>
      </c>
      <c r="B3827">
        <v>426</v>
      </c>
      <c r="C3827" t="s">
        <v>149</v>
      </c>
      <c r="D3827">
        <v>1320256</v>
      </c>
      <c r="E3827">
        <v>131124</v>
      </c>
      <c r="F3827">
        <v>46887</v>
      </c>
    </row>
    <row r="3828" spans="1:6">
      <c r="A3828" t="s">
        <v>4961</v>
      </c>
      <c r="B3828">
        <v>426</v>
      </c>
      <c r="C3828" t="s">
        <v>1132</v>
      </c>
      <c r="D3828">
        <v>3960768</v>
      </c>
      <c r="E3828">
        <v>131124</v>
      </c>
      <c r="F3828">
        <v>46887</v>
      </c>
    </row>
    <row r="3829" spans="1:6">
      <c r="A3829" t="s">
        <v>4962</v>
      </c>
      <c r="B3829">
        <v>426</v>
      </c>
      <c r="C3829" t="s">
        <v>1134</v>
      </c>
      <c r="D3829">
        <v>2376461</v>
      </c>
      <c r="E3829">
        <v>131124</v>
      </c>
      <c r="F3829">
        <v>46887</v>
      </c>
    </row>
    <row r="3830" spans="1:6">
      <c r="A3830" t="s">
        <v>4963</v>
      </c>
      <c r="B3830">
        <v>426</v>
      </c>
      <c r="C3830" t="s">
        <v>1136</v>
      </c>
      <c r="D3830">
        <v>660128</v>
      </c>
      <c r="E3830">
        <v>131124</v>
      </c>
      <c r="F3830">
        <v>46887</v>
      </c>
    </row>
    <row r="3831" spans="1:6">
      <c r="A3831" t="s">
        <v>4964</v>
      </c>
      <c r="B3831">
        <v>426</v>
      </c>
      <c r="C3831" t="s">
        <v>1138</v>
      </c>
      <c r="D3831">
        <v>198039</v>
      </c>
      <c r="E3831">
        <v>131124</v>
      </c>
      <c r="F3831">
        <v>46887</v>
      </c>
    </row>
    <row r="3832" spans="1:6">
      <c r="A3832" t="s">
        <v>4965</v>
      </c>
      <c r="B3832">
        <v>426</v>
      </c>
      <c r="C3832" t="s">
        <v>738</v>
      </c>
      <c r="D3832">
        <v>5281024</v>
      </c>
      <c r="E3832">
        <v>131124</v>
      </c>
      <c r="F3832">
        <v>46887</v>
      </c>
    </row>
    <row r="3833" spans="1:6">
      <c r="A3833" t="s">
        <v>4966</v>
      </c>
      <c r="B3833">
        <v>426</v>
      </c>
      <c r="C3833" t="s">
        <v>1141</v>
      </c>
      <c r="D3833">
        <v>11882304</v>
      </c>
      <c r="E3833">
        <v>131124</v>
      </c>
      <c r="F3833">
        <v>46887</v>
      </c>
    </row>
    <row r="3834" spans="1:6">
      <c r="A3834" t="s">
        <v>4967</v>
      </c>
      <c r="B3834">
        <v>426</v>
      </c>
      <c r="C3834" t="s">
        <v>159</v>
      </c>
      <c r="D3834">
        <v>163393920</v>
      </c>
      <c r="E3834">
        <v>131124</v>
      </c>
      <c r="F3834">
        <v>46887</v>
      </c>
    </row>
    <row r="3835" spans="1:6">
      <c r="A3835" t="s">
        <v>4968</v>
      </c>
      <c r="B3835">
        <v>426</v>
      </c>
      <c r="C3835" t="s">
        <v>642</v>
      </c>
      <c r="D3835">
        <v>81696960</v>
      </c>
      <c r="E3835">
        <v>131124</v>
      </c>
      <c r="F3835">
        <v>46887</v>
      </c>
    </row>
    <row r="3836" spans="1:6">
      <c r="A3836" t="s">
        <v>4969</v>
      </c>
      <c r="B3836">
        <v>427</v>
      </c>
      <c r="C3836" t="s">
        <v>149</v>
      </c>
      <c r="D3836">
        <v>1330165</v>
      </c>
      <c r="E3836">
        <v>131927</v>
      </c>
      <c r="F3836">
        <v>47037</v>
      </c>
    </row>
    <row r="3837" spans="1:6">
      <c r="A3837" t="s">
        <v>4970</v>
      </c>
      <c r="B3837">
        <v>427</v>
      </c>
      <c r="C3837" t="s">
        <v>1132</v>
      </c>
      <c r="D3837">
        <v>3990495</v>
      </c>
      <c r="E3837">
        <v>131927</v>
      </c>
      <c r="F3837">
        <v>47037</v>
      </c>
    </row>
    <row r="3838" spans="1:6">
      <c r="A3838" t="s">
        <v>4971</v>
      </c>
      <c r="B3838">
        <v>427</v>
      </c>
      <c r="C3838" t="s">
        <v>1134</v>
      </c>
      <c r="D3838">
        <v>2394297</v>
      </c>
      <c r="E3838">
        <v>131927</v>
      </c>
      <c r="F3838">
        <v>47037</v>
      </c>
    </row>
    <row r="3839" spans="1:6">
      <c r="A3839" t="s">
        <v>4972</v>
      </c>
      <c r="B3839">
        <v>427</v>
      </c>
      <c r="C3839" t="s">
        <v>1136</v>
      </c>
      <c r="D3839">
        <v>665083</v>
      </c>
      <c r="E3839">
        <v>131927</v>
      </c>
      <c r="F3839">
        <v>47037</v>
      </c>
    </row>
    <row r="3840" spans="1:6">
      <c r="A3840" t="s">
        <v>4973</v>
      </c>
      <c r="B3840">
        <v>427</v>
      </c>
      <c r="C3840" t="s">
        <v>1138</v>
      </c>
      <c r="D3840">
        <v>199525</v>
      </c>
      <c r="E3840">
        <v>131927</v>
      </c>
      <c r="F3840">
        <v>47037</v>
      </c>
    </row>
    <row r="3841" spans="1:6">
      <c r="A3841" t="s">
        <v>4974</v>
      </c>
      <c r="B3841">
        <v>427</v>
      </c>
      <c r="C3841" t="s">
        <v>738</v>
      </c>
      <c r="D3841">
        <v>5320660</v>
      </c>
      <c r="E3841">
        <v>131927</v>
      </c>
      <c r="F3841">
        <v>47037</v>
      </c>
    </row>
    <row r="3842" spans="1:6">
      <c r="A3842" t="s">
        <v>4975</v>
      </c>
      <c r="B3842">
        <v>427</v>
      </c>
      <c r="C3842" t="s">
        <v>1141</v>
      </c>
      <c r="D3842">
        <v>11971485</v>
      </c>
      <c r="E3842">
        <v>131927</v>
      </c>
      <c r="F3842">
        <v>47037</v>
      </c>
    </row>
    <row r="3843" spans="1:6">
      <c r="A3843" t="s">
        <v>4976</v>
      </c>
      <c r="B3843">
        <v>427</v>
      </c>
      <c r="C3843" t="s">
        <v>159</v>
      </c>
      <c r="D3843">
        <v>164717820</v>
      </c>
      <c r="E3843">
        <v>131927</v>
      </c>
      <c r="F3843">
        <v>47037</v>
      </c>
    </row>
    <row r="3844" spans="1:6">
      <c r="A3844" t="s">
        <v>4977</v>
      </c>
      <c r="B3844">
        <v>427</v>
      </c>
      <c r="C3844" t="s">
        <v>642</v>
      </c>
      <c r="D3844">
        <v>82358910</v>
      </c>
      <c r="E3844">
        <v>131927</v>
      </c>
      <c r="F3844">
        <v>47037</v>
      </c>
    </row>
    <row r="3845" spans="1:6">
      <c r="A3845" t="s">
        <v>4978</v>
      </c>
      <c r="B3845">
        <v>428</v>
      </c>
      <c r="C3845" t="s">
        <v>149</v>
      </c>
      <c r="D3845">
        <v>1340134</v>
      </c>
      <c r="E3845">
        <v>132735</v>
      </c>
      <c r="F3845">
        <v>47186</v>
      </c>
    </row>
    <row r="3846" spans="1:6">
      <c r="A3846" t="s">
        <v>4979</v>
      </c>
      <c r="B3846">
        <v>428</v>
      </c>
      <c r="C3846" t="s">
        <v>1132</v>
      </c>
      <c r="D3846">
        <v>4020402</v>
      </c>
      <c r="E3846">
        <v>132735</v>
      </c>
      <c r="F3846">
        <v>47186</v>
      </c>
    </row>
    <row r="3847" spans="1:6">
      <c r="A3847" t="s">
        <v>4980</v>
      </c>
      <c r="B3847">
        <v>428</v>
      </c>
      <c r="C3847" t="s">
        <v>1134</v>
      </c>
      <c r="D3847">
        <v>2412242</v>
      </c>
      <c r="E3847">
        <v>132735</v>
      </c>
      <c r="F3847">
        <v>47186</v>
      </c>
    </row>
    <row r="3848" spans="1:6">
      <c r="A3848" t="s">
        <v>4981</v>
      </c>
      <c r="B3848">
        <v>428</v>
      </c>
      <c r="C3848" t="s">
        <v>1136</v>
      </c>
      <c r="D3848">
        <v>670067</v>
      </c>
      <c r="E3848">
        <v>132735</v>
      </c>
      <c r="F3848">
        <v>47186</v>
      </c>
    </row>
    <row r="3849" spans="1:6">
      <c r="A3849" t="s">
        <v>4982</v>
      </c>
      <c r="B3849">
        <v>428</v>
      </c>
      <c r="C3849" t="s">
        <v>1138</v>
      </c>
      <c r="D3849">
        <v>201021</v>
      </c>
      <c r="E3849">
        <v>132735</v>
      </c>
      <c r="F3849">
        <v>47186</v>
      </c>
    </row>
    <row r="3850" spans="1:6">
      <c r="A3850" t="s">
        <v>4983</v>
      </c>
      <c r="B3850">
        <v>428</v>
      </c>
      <c r="C3850" t="s">
        <v>738</v>
      </c>
      <c r="D3850">
        <v>5360536</v>
      </c>
      <c r="E3850">
        <v>132735</v>
      </c>
      <c r="F3850">
        <v>47186</v>
      </c>
    </row>
    <row r="3851" spans="1:6">
      <c r="A3851" t="s">
        <v>4984</v>
      </c>
      <c r="B3851">
        <v>428</v>
      </c>
      <c r="C3851" t="s">
        <v>1141</v>
      </c>
      <c r="D3851">
        <v>12061206</v>
      </c>
      <c r="E3851">
        <v>132735</v>
      </c>
      <c r="F3851">
        <v>47186</v>
      </c>
    </row>
    <row r="3852" spans="1:6">
      <c r="A3852" t="s">
        <v>4985</v>
      </c>
      <c r="B3852">
        <v>428</v>
      </c>
      <c r="C3852" t="s">
        <v>159</v>
      </c>
      <c r="D3852">
        <v>166050540</v>
      </c>
      <c r="E3852">
        <v>132735</v>
      </c>
      <c r="F3852">
        <v>47186</v>
      </c>
    </row>
    <row r="3853" spans="1:6">
      <c r="A3853" t="s">
        <v>4986</v>
      </c>
      <c r="B3853">
        <v>428</v>
      </c>
      <c r="C3853" t="s">
        <v>642</v>
      </c>
      <c r="D3853">
        <v>83025270</v>
      </c>
      <c r="E3853">
        <v>132735</v>
      </c>
      <c r="F3853">
        <v>47186</v>
      </c>
    </row>
    <row r="3854" spans="1:6">
      <c r="A3854" t="s">
        <v>4987</v>
      </c>
      <c r="B3854">
        <v>429</v>
      </c>
      <c r="C3854" t="s">
        <v>149</v>
      </c>
      <c r="D3854">
        <v>1350162</v>
      </c>
      <c r="E3854">
        <v>133546</v>
      </c>
      <c r="F3854">
        <v>47336</v>
      </c>
    </row>
    <row r="3855" spans="1:6">
      <c r="A3855" t="s">
        <v>4988</v>
      </c>
      <c r="B3855">
        <v>429</v>
      </c>
      <c r="C3855" t="s">
        <v>1132</v>
      </c>
      <c r="D3855">
        <v>4050486</v>
      </c>
      <c r="E3855">
        <v>133546</v>
      </c>
      <c r="F3855">
        <v>47336</v>
      </c>
    </row>
    <row r="3856" spans="1:6">
      <c r="A3856" t="s">
        <v>4989</v>
      </c>
      <c r="B3856">
        <v>429</v>
      </c>
      <c r="C3856" t="s">
        <v>1134</v>
      </c>
      <c r="D3856">
        <v>2430292</v>
      </c>
      <c r="E3856">
        <v>133546</v>
      </c>
      <c r="F3856">
        <v>47336</v>
      </c>
    </row>
    <row r="3857" spans="1:6">
      <c r="A3857" t="s">
        <v>4990</v>
      </c>
      <c r="B3857">
        <v>429</v>
      </c>
      <c r="C3857" t="s">
        <v>1136</v>
      </c>
      <c r="D3857">
        <v>675081</v>
      </c>
      <c r="E3857">
        <v>133546</v>
      </c>
      <c r="F3857">
        <v>47336</v>
      </c>
    </row>
    <row r="3858" spans="1:6">
      <c r="A3858" t="s">
        <v>4991</v>
      </c>
      <c r="B3858">
        <v>429</v>
      </c>
      <c r="C3858" t="s">
        <v>1138</v>
      </c>
      <c r="D3858">
        <v>202525</v>
      </c>
      <c r="E3858">
        <v>133546</v>
      </c>
      <c r="F3858">
        <v>47336</v>
      </c>
    </row>
    <row r="3859" spans="1:6">
      <c r="A3859" t="s">
        <v>4992</v>
      </c>
      <c r="B3859">
        <v>429</v>
      </c>
      <c r="C3859" t="s">
        <v>738</v>
      </c>
      <c r="D3859">
        <v>5400648</v>
      </c>
      <c r="E3859">
        <v>133546</v>
      </c>
      <c r="F3859">
        <v>47336</v>
      </c>
    </row>
    <row r="3860" spans="1:6">
      <c r="A3860" t="s">
        <v>4993</v>
      </c>
      <c r="B3860">
        <v>429</v>
      </c>
      <c r="C3860" t="s">
        <v>1141</v>
      </c>
      <c r="D3860">
        <v>12151458</v>
      </c>
      <c r="E3860">
        <v>133546</v>
      </c>
      <c r="F3860">
        <v>47336</v>
      </c>
    </row>
    <row r="3861" spans="1:6">
      <c r="A3861" t="s">
        <v>4994</v>
      </c>
      <c r="B3861">
        <v>429</v>
      </c>
      <c r="C3861" t="s">
        <v>159</v>
      </c>
      <c r="D3861">
        <v>167392080</v>
      </c>
      <c r="E3861">
        <v>133546</v>
      </c>
      <c r="F3861">
        <v>47336</v>
      </c>
    </row>
    <row r="3862" spans="1:6">
      <c r="A3862" t="s">
        <v>4995</v>
      </c>
      <c r="B3862">
        <v>429</v>
      </c>
      <c r="C3862" t="s">
        <v>642</v>
      </c>
      <c r="D3862">
        <v>83696040</v>
      </c>
      <c r="E3862">
        <v>133546</v>
      </c>
      <c r="F3862">
        <v>47336</v>
      </c>
    </row>
    <row r="3863" spans="1:6">
      <c r="A3863" t="s">
        <v>4996</v>
      </c>
      <c r="B3863">
        <v>430</v>
      </c>
      <c r="C3863" t="s">
        <v>149</v>
      </c>
      <c r="D3863">
        <v>1360251</v>
      </c>
      <c r="E3863">
        <v>134361</v>
      </c>
      <c r="F3863">
        <v>47486</v>
      </c>
    </row>
    <row r="3864" spans="1:6">
      <c r="A3864" t="s">
        <v>4997</v>
      </c>
      <c r="B3864">
        <v>430</v>
      </c>
      <c r="C3864" t="s">
        <v>1132</v>
      </c>
      <c r="D3864">
        <v>4080753</v>
      </c>
      <c r="E3864">
        <v>134361</v>
      </c>
      <c r="F3864">
        <v>47486</v>
      </c>
    </row>
    <row r="3865" spans="1:6">
      <c r="A3865" t="s">
        <v>4998</v>
      </c>
      <c r="B3865">
        <v>430</v>
      </c>
      <c r="C3865" t="s">
        <v>1134</v>
      </c>
      <c r="D3865">
        <v>2448452</v>
      </c>
      <c r="E3865">
        <v>134361</v>
      </c>
      <c r="F3865">
        <v>47486</v>
      </c>
    </row>
    <row r="3866" spans="1:6">
      <c r="A3866" t="s">
        <v>4999</v>
      </c>
      <c r="B3866">
        <v>430</v>
      </c>
      <c r="C3866" t="s">
        <v>1136</v>
      </c>
      <c r="D3866">
        <v>680126</v>
      </c>
      <c r="E3866">
        <v>134361</v>
      </c>
      <c r="F3866">
        <v>47486</v>
      </c>
    </row>
    <row r="3867" spans="1:6">
      <c r="A3867" t="s">
        <v>5000</v>
      </c>
      <c r="B3867">
        <v>430</v>
      </c>
      <c r="C3867" t="s">
        <v>1138</v>
      </c>
      <c r="D3867">
        <v>204038</v>
      </c>
      <c r="E3867">
        <v>134361</v>
      </c>
      <c r="F3867">
        <v>47486</v>
      </c>
    </row>
    <row r="3868" spans="1:6">
      <c r="A3868" t="s">
        <v>5001</v>
      </c>
      <c r="B3868">
        <v>430</v>
      </c>
      <c r="C3868" t="s">
        <v>738</v>
      </c>
      <c r="D3868">
        <v>5441004</v>
      </c>
      <c r="E3868">
        <v>134361</v>
      </c>
      <c r="F3868">
        <v>47486</v>
      </c>
    </row>
    <row r="3869" spans="1:6">
      <c r="A3869" t="s">
        <v>5002</v>
      </c>
      <c r="B3869">
        <v>430</v>
      </c>
      <c r="C3869" t="s">
        <v>1141</v>
      </c>
      <c r="D3869">
        <v>12242259</v>
      </c>
      <c r="E3869">
        <v>134361</v>
      </c>
      <c r="F3869">
        <v>47486</v>
      </c>
    </row>
    <row r="3870" spans="1:6">
      <c r="A3870" t="s">
        <v>5003</v>
      </c>
      <c r="B3870">
        <v>430</v>
      </c>
      <c r="C3870" t="s">
        <v>159</v>
      </c>
      <c r="D3870">
        <v>168742500</v>
      </c>
      <c r="E3870">
        <v>134361</v>
      </c>
      <c r="F3870">
        <v>47486</v>
      </c>
    </row>
    <row r="3871" spans="1:6">
      <c r="A3871" t="s">
        <v>5004</v>
      </c>
      <c r="B3871">
        <v>430</v>
      </c>
      <c r="C3871" t="s">
        <v>642</v>
      </c>
      <c r="D3871">
        <v>84371250</v>
      </c>
      <c r="E3871">
        <v>134361</v>
      </c>
      <c r="F3871">
        <v>47486</v>
      </c>
    </row>
    <row r="3872" spans="1:6">
      <c r="A3872" t="s">
        <v>5005</v>
      </c>
      <c r="B3872">
        <v>431</v>
      </c>
      <c r="C3872" t="s">
        <v>149</v>
      </c>
      <c r="D3872">
        <v>1370400</v>
      </c>
      <c r="E3872">
        <v>135179</v>
      </c>
      <c r="F3872">
        <v>47636</v>
      </c>
    </row>
    <row r="3873" spans="1:6">
      <c r="A3873" t="s">
        <v>5006</v>
      </c>
      <c r="B3873">
        <v>431</v>
      </c>
      <c r="C3873" t="s">
        <v>1132</v>
      </c>
      <c r="D3873">
        <v>4111200</v>
      </c>
      <c r="E3873">
        <v>135179</v>
      </c>
      <c r="F3873">
        <v>47636</v>
      </c>
    </row>
    <row r="3874" spans="1:6">
      <c r="A3874" t="s">
        <v>5007</v>
      </c>
      <c r="B3874">
        <v>431</v>
      </c>
      <c r="C3874" t="s">
        <v>1134</v>
      </c>
      <c r="D3874">
        <v>2466720</v>
      </c>
      <c r="E3874">
        <v>135179</v>
      </c>
      <c r="F3874">
        <v>47636</v>
      </c>
    </row>
    <row r="3875" spans="1:6">
      <c r="A3875" t="s">
        <v>5008</v>
      </c>
      <c r="B3875">
        <v>431</v>
      </c>
      <c r="C3875" t="s">
        <v>1136</v>
      </c>
      <c r="D3875">
        <v>685200</v>
      </c>
      <c r="E3875">
        <v>135179</v>
      </c>
      <c r="F3875">
        <v>47636</v>
      </c>
    </row>
    <row r="3876" spans="1:6">
      <c r="A3876" t="s">
        <v>5009</v>
      </c>
      <c r="B3876">
        <v>431</v>
      </c>
      <c r="C3876" t="s">
        <v>1138</v>
      </c>
      <c r="D3876">
        <v>205560</v>
      </c>
      <c r="E3876">
        <v>135179</v>
      </c>
      <c r="F3876">
        <v>47636</v>
      </c>
    </row>
    <row r="3877" spans="1:6">
      <c r="A3877" t="s">
        <v>5010</v>
      </c>
      <c r="B3877">
        <v>431</v>
      </c>
      <c r="C3877" t="s">
        <v>738</v>
      </c>
      <c r="D3877">
        <v>5481600</v>
      </c>
      <c r="E3877">
        <v>135179</v>
      </c>
      <c r="F3877">
        <v>47636</v>
      </c>
    </row>
    <row r="3878" spans="1:6">
      <c r="A3878" t="s">
        <v>5011</v>
      </c>
      <c r="B3878">
        <v>431</v>
      </c>
      <c r="C3878" t="s">
        <v>1141</v>
      </c>
      <c r="D3878">
        <v>12333600</v>
      </c>
      <c r="E3878">
        <v>135179</v>
      </c>
      <c r="F3878">
        <v>47636</v>
      </c>
    </row>
    <row r="3879" spans="1:6">
      <c r="A3879" t="s">
        <v>5012</v>
      </c>
      <c r="B3879">
        <v>431</v>
      </c>
      <c r="C3879" t="s">
        <v>159</v>
      </c>
      <c r="D3879">
        <v>170101860</v>
      </c>
      <c r="E3879">
        <v>135179</v>
      </c>
      <c r="F3879">
        <v>47636</v>
      </c>
    </row>
    <row r="3880" spans="1:6">
      <c r="A3880" t="s">
        <v>5013</v>
      </c>
      <c r="B3880">
        <v>431</v>
      </c>
      <c r="C3880" t="s">
        <v>642</v>
      </c>
      <c r="D3880">
        <v>85050930</v>
      </c>
      <c r="E3880">
        <v>135179</v>
      </c>
      <c r="F3880">
        <v>47636</v>
      </c>
    </row>
    <row r="3881" spans="1:6">
      <c r="A3881" t="s">
        <v>5014</v>
      </c>
      <c r="B3881">
        <v>432</v>
      </c>
      <c r="C3881" t="s">
        <v>149</v>
      </c>
      <c r="D3881">
        <v>1380609</v>
      </c>
      <c r="E3881">
        <v>136002</v>
      </c>
      <c r="F3881">
        <v>47786</v>
      </c>
    </row>
    <row r="3882" spans="1:6">
      <c r="A3882" t="s">
        <v>5015</v>
      </c>
      <c r="B3882">
        <v>432</v>
      </c>
      <c r="C3882" t="s">
        <v>1132</v>
      </c>
      <c r="D3882">
        <v>4141827</v>
      </c>
      <c r="E3882">
        <v>136002</v>
      </c>
      <c r="F3882">
        <v>47786</v>
      </c>
    </row>
    <row r="3883" spans="1:6">
      <c r="A3883" t="s">
        <v>5016</v>
      </c>
      <c r="B3883">
        <v>432</v>
      </c>
      <c r="C3883" t="s">
        <v>1134</v>
      </c>
      <c r="D3883">
        <v>2485097</v>
      </c>
      <c r="E3883">
        <v>136002</v>
      </c>
      <c r="F3883">
        <v>47786</v>
      </c>
    </row>
    <row r="3884" spans="1:6">
      <c r="A3884" t="s">
        <v>5017</v>
      </c>
      <c r="B3884">
        <v>432</v>
      </c>
      <c r="C3884" t="s">
        <v>1136</v>
      </c>
      <c r="D3884">
        <v>690305</v>
      </c>
      <c r="E3884">
        <v>136002</v>
      </c>
      <c r="F3884">
        <v>47786</v>
      </c>
    </row>
    <row r="3885" spans="1:6">
      <c r="A3885" t="s">
        <v>5018</v>
      </c>
      <c r="B3885">
        <v>432</v>
      </c>
      <c r="C3885" t="s">
        <v>1138</v>
      </c>
      <c r="D3885">
        <v>207092</v>
      </c>
      <c r="E3885">
        <v>136002</v>
      </c>
      <c r="F3885">
        <v>47786</v>
      </c>
    </row>
    <row r="3886" spans="1:6">
      <c r="A3886" t="s">
        <v>5019</v>
      </c>
      <c r="B3886">
        <v>432</v>
      </c>
      <c r="C3886" t="s">
        <v>738</v>
      </c>
      <c r="D3886">
        <v>5522436</v>
      </c>
      <c r="E3886">
        <v>136002</v>
      </c>
      <c r="F3886">
        <v>47786</v>
      </c>
    </row>
    <row r="3887" spans="1:6">
      <c r="A3887" t="s">
        <v>5020</v>
      </c>
      <c r="B3887">
        <v>432</v>
      </c>
      <c r="C3887" t="s">
        <v>1141</v>
      </c>
      <c r="D3887">
        <v>12425481</v>
      </c>
      <c r="E3887">
        <v>136002</v>
      </c>
      <c r="F3887">
        <v>47786</v>
      </c>
    </row>
    <row r="3888" spans="1:6">
      <c r="A3888" t="s">
        <v>5021</v>
      </c>
      <c r="B3888">
        <v>432</v>
      </c>
      <c r="C3888" t="s">
        <v>159</v>
      </c>
      <c r="D3888">
        <v>171470280</v>
      </c>
      <c r="E3888">
        <v>136002</v>
      </c>
      <c r="F3888">
        <v>47786</v>
      </c>
    </row>
    <row r="3889" spans="1:6">
      <c r="A3889" t="s">
        <v>5022</v>
      </c>
      <c r="B3889">
        <v>432</v>
      </c>
      <c r="C3889" t="s">
        <v>642</v>
      </c>
      <c r="D3889">
        <v>85735140</v>
      </c>
      <c r="E3889">
        <v>136002</v>
      </c>
      <c r="F3889">
        <v>47786</v>
      </c>
    </row>
    <row r="3890" spans="1:6">
      <c r="A3890" t="s">
        <v>5023</v>
      </c>
      <c r="B3890">
        <v>433</v>
      </c>
      <c r="C3890" t="s">
        <v>149</v>
      </c>
      <c r="D3890">
        <v>1390880</v>
      </c>
      <c r="E3890">
        <v>136828</v>
      </c>
      <c r="F3890">
        <v>47937</v>
      </c>
    </row>
    <row r="3891" spans="1:6">
      <c r="A3891" t="s">
        <v>5024</v>
      </c>
      <c r="B3891">
        <v>433</v>
      </c>
      <c r="C3891" t="s">
        <v>1132</v>
      </c>
      <c r="D3891">
        <v>4172640</v>
      </c>
      <c r="E3891">
        <v>136828</v>
      </c>
      <c r="F3891">
        <v>47937</v>
      </c>
    </row>
    <row r="3892" spans="1:6">
      <c r="A3892" t="s">
        <v>5025</v>
      </c>
      <c r="B3892">
        <v>433</v>
      </c>
      <c r="C3892" t="s">
        <v>1134</v>
      </c>
      <c r="D3892">
        <v>2503584</v>
      </c>
      <c r="E3892">
        <v>136828</v>
      </c>
      <c r="F3892">
        <v>47937</v>
      </c>
    </row>
    <row r="3893" spans="1:6">
      <c r="A3893" t="s">
        <v>5026</v>
      </c>
      <c r="B3893">
        <v>433</v>
      </c>
      <c r="C3893" t="s">
        <v>1136</v>
      </c>
      <c r="D3893">
        <v>695440</v>
      </c>
      <c r="E3893">
        <v>136828</v>
      </c>
      <c r="F3893">
        <v>47937</v>
      </c>
    </row>
    <row r="3894" spans="1:6">
      <c r="A3894" t="s">
        <v>5027</v>
      </c>
      <c r="B3894">
        <v>433</v>
      </c>
      <c r="C3894" t="s">
        <v>1138</v>
      </c>
      <c r="D3894">
        <v>208632</v>
      </c>
      <c r="E3894">
        <v>136828</v>
      </c>
      <c r="F3894">
        <v>47937</v>
      </c>
    </row>
    <row r="3895" spans="1:6">
      <c r="A3895" t="s">
        <v>5028</v>
      </c>
      <c r="B3895">
        <v>433</v>
      </c>
      <c r="C3895" t="s">
        <v>738</v>
      </c>
      <c r="D3895">
        <v>5563520</v>
      </c>
      <c r="E3895">
        <v>136828</v>
      </c>
      <c r="F3895">
        <v>47937</v>
      </c>
    </row>
    <row r="3896" spans="1:6">
      <c r="A3896" t="s">
        <v>5029</v>
      </c>
      <c r="B3896">
        <v>433</v>
      </c>
      <c r="C3896" t="s">
        <v>1141</v>
      </c>
      <c r="D3896">
        <v>12517920</v>
      </c>
      <c r="E3896">
        <v>136828</v>
      </c>
      <c r="F3896">
        <v>47937</v>
      </c>
    </row>
    <row r="3897" spans="1:6">
      <c r="A3897" t="s">
        <v>5030</v>
      </c>
      <c r="B3897">
        <v>433</v>
      </c>
      <c r="C3897" t="s">
        <v>159</v>
      </c>
      <c r="D3897">
        <v>172847700</v>
      </c>
      <c r="E3897">
        <v>136828</v>
      </c>
      <c r="F3897">
        <v>47937</v>
      </c>
    </row>
    <row r="3898" spans="1:6">
      <c r="A3898" t="s">
        <v>5031</v>
      </c>
      <c r="B3898">
        <v>433</v>
      </c>
      <c r="C3898" t="s">
        <v>642</v>
      </c>
      <c r="D3898">
        <v>86423850</v>
      </c>
      <c r="E3898">
        <v>136828</v>
      </c>
      <c r="F3898">
        <v>47937</v>
      </c>
    </row>
    <row r="3899" spans="1:6">
      <c r="A3899" t="s">
        <v>5032</v>
      </c>
      <c r="B3899">
        <v>434</v>
      </c>
      <c r="C3899" t="s">
        <v>149</v>
      </c>
      <c r="D3899">
        <v>1401211</v>
      </c>
      <c r="E3899">
        <v>137658</v>
      </c>
      <c r="F3899">
        <v>48088</v>
      </c>
    </row>
    <row r="3900" spans="1:6">
      <c r="A3900" t="s">
        <v>5033</v>
      </c>
      <c r="B3900">
        <v>434</v>
      </c>
      <c r="C3900" t="s">
        <v>1132</v>
      </c>
      <c r="D3900">
        <v>4203633</v>
      </c>
      <c r="E3900">
        <v>137658</v>
      </c>
      <c r="F3900">
        <v>48088</v>
      </c>
    </row>
    <row r="3901" spans="1:6">
      <c r="A3901" t="s">
        <v>5034</v>
      </c>
      <c r="B3901">
        <v>434</v>
      </c>
      <c r="C3901" t="s">
        <v>1134</v>
      </c>
      <c r="D3901">
        <v>2522180</v>
      </c>
      <c r="E3901">
        <v>137658</v>
      </c>
      <c r="F3901">
        <v>48088</v>
      </c>
    </row>
    <row r="3902" spans="1:6">
      <c r="A3902" t="s">
        <v>5035</v>
      </c>
      <c r="B3902">
        <v>434</v>
      </c>
      <c r="C3902" t="s">
        <v>1136</v>
      </c>
      <c r="D3902">
        <v>700606</v>
      </c>
      <c r="E3902">
        <v>137658</v>
      </c>
      <c r="F3902">
        <v>48088</v>
      </c>
    </row>
    <row r="3903" spans="1:6">
      <c r="A3903" t="s">
        <v>5036</v>
      </c>
      <c r="B3903">
        <v>434</v>
      </c>
      <c r="C3903" t="s">
        <v>1138</v>
      </c>
      <c r="D3903">
        <v>210182</v>
      </c>
      <c r="E3903">
        <v>137658</v>
      </c>
      <c r="F3903">
        <v>48088</v>
      </c>
    </row>
    <row r="3904" spans="1:6">
      <c r="A3904" t="s">
        <v>5037</v>
      </c>
      <c r="B3904">
        <v>434</v>
      </c>
      <c r="C3904" t="s">
        <v>738</v>
      </c>
      <c r="D3904">
        <v>5604844</v>
      </c>
      <c r="E3904">
        <v>137658</v>
      </c>
      <c r="F3904">
        <v>48088</v>
      </c>
    </row>
    <row r="3905" spans="1:6">
      <c r="A3905" t="s">
        <v>5038</v>
      </c>
      <c r="B3905">
        <v>434</v>
      </c>
      <c r="C3905" t="s">
        <v>1141</v>
      </c>
      <c r="D3905">
        <v>12610899</v>
      </c>
      <c r="E3905">
        <v>137658</v>
      </c>
      <c r="F3905">
        <v>48088</v>
      </c>
    </row>
    <row r="3906" spans="1:6">
      <c r="A3906" t="s">
        <v>5039</v>
      </c>
      <c r="B3906">
        <v>434</v>
      </c>
      <c r="C3906" t="s">
        <v>159</v>
      </c>
      <c r="D3906">
        <v>174234180</v>
      </c>
      <c r="E3906">
        <v>137658</v>
      </c>
      <c r="F3906">
        <v>48088</v>
      </c>
    </row>
    <row r="3907" spans="1:6">
      <c r="A3907" t="s">
        <v>5040</v>
      </c>
      <c r="B3907">
        <v>434</v>
      </c>
      <c r="C3907" t="s">
        <v>642</v>
      </c>
      <c r="D3907">
        <v>87117090</v>
      </c>
      <c r="E3907">
        <v>137658</v>
      </c>
      <c r="F3907">
        <v>48088</v>
      </c>
    </row>
    <row r="3908" spans="1:6">
      <c r="A3908" t="s">
        <v>5041</v>
      </c>
      <c r="B3908">
        <v>435</v>
      </c>
      <c r="C3908" t="s">
        <v>149</v>
      </c>
      <c r="D3908">
        <v>1411604</v>
      </c>
      <c r="E3908">
        <v>138492</v>
      </c>
      <c r="F3908">
        <v>48239</v>
      </c>
    </row>
    <row r="3909" spans="1:6">
      <c r="A3909" t="s">
        <v>5042</v>
      </c>
      <c r="B3909">
        <v>435</v>
      </c>
      <c r="C3909" t="s">
        <v>1132</v>
      </c>
      <c r="D3909">
        <v>4234812</v>
      </c>
      <c r="E3909">
        <v>138492</v>
      </c>
      <c r="F3909">
        <v>48239</v>
      </c>
    </row>
    <row r="3910" spans="1:6">
      <c r="A3910" t="s">
        <v>5043</v>
      </c>
      <c r="B3910">
        <v>435</v>
      </c>
      <c r="C3910" t="s">
        <v>1134</v>
      </c>
      <c r="D3910">
        <v>2540888</v>
      </c>
      <c r="E3910">
        <v>138492</v>
      </c>
      <c r="F3910">
        <v>48239</v>
      </c>
    </row>
    <row r="3911" spans="1:6">
      <c r="A3911" t="s">
        <v>5044</v>
      </c>
      <c r="B3911">
        <v>435</v>
      </c>
      <c r="C3911" t="s">
        <v>1136</v>
      </c>
      <c r="D3911">
        <v>705802</v>
      </c>
      <c r="E3911">
        <v>138492</v>
      </c>
      <c r="F3911">
        <v>48239</v>
      </c>
    </row>
    <row r="3912" spans="1:6">
      <c r="A3912" t="s">
        <v>5045</v>
      </c>
      <c r="B3912">
        <v>435</v>
      </c>
      <c r="C3912" t="s">
        <v>1138</v>
      </c>
      <c r="D3912">
        <v>211741</v>
      </c>
      <c r="E3912">
        <v>138492</v>
      </c>
      <c r="F3912">
        <v>48239</v>
      </c>
    </row>
    <row r="3913" spans="1:6">
      <c r="A3913" t="s">
        <v>5046</v>
      </c>
      <c r="B3913">
        <v>435</v>
      </c>
      <c r="C3913" t="s">
        <v>738</v>
      </c>
      <c r="D3913">
        <v>5646416</v>
      </c>
      <c r="E3913">
        <v>138492</v>
      </c>
      <c r="F3913">
        <v>48239</v>
      </c>
    </row>
    <row r="3914" spans="1:6">
      <c r="A3914" t="s">
        <v>5047</v>
      </c>
      <c r="B3914">
        <v>435</v>
      </c>
      <c r="C3914" t="s">
        <v>1141</v>
      </c>
      <c r="D3914">
        <v>12704436</v>
      </c>
      <c r="E3914">
        <v>138492</v>
      </c>
      <c r="F3914">
        <v>48239</v>
      </c>
    </row>
    <row r="3915" spans="1:6">
      <c r="A3915" t="s">
        <v>5048</v>
      </c>
      <c r="B3915">
        <v>435</v>
      </c>
      <c r="C3915" t="s">
        <v>159</v>
      </c>
      <c r="D3915">
        <v>175629840</v>
      </c>
      <c r="E3915">
        <v>138492</v>
      </c>
      <c r="F3915">
        <v>48239</v>
      </c>
    </row>
    <row r="3916" spans="1:6">
      <c r="A3916" t="s">
        <v>5049</v>
      </c>
      <c r="B3916">
        <v>435</v>
      </c>
      <c r="C3916" t="s">
        <v>642</v>
      </c>
      <c r="D3916">
        <v>87814920</v>
      </c>
      <c r="E3916">
        <v>138492</v>
      </c>
      <c r="F3916">
        <v>48239</v>
      </c>
    </row>
    <row r="3917" spans="1:6">
      <c r="A3917" t="s">
        <v>5050</v>
      </c>
      <c r="B3917">
        <v>436</v>
      </c>
      <c r="C3917" t="s">
        <v>149</v>
      </c>
      <c r="D3917">
        <v>1422059</v>
      </c>
      <c r="E3917">
        <v>139330</v>
      </c>
      <c r="F3917">
        <v>48390</v>
      </c>
    </row>
    <row r="3918" spans="1:6">
      <c r="A3918" t="s">
        <v>5051</v>
      </c>
      <c r="B3918">
        <v>436</v>
      </c>
      <c r="C3918" t="s">
        <v>1132</v>
      </c>
      <c r="D3918">
        <v>4266177</v>
      </c>
      <c r="E3918">
        <v>139330</v>
      </c>
      <c r="F3918">
        <v>48390</v>
      </c>
    </row>
    <row r="3919" spans="1:6">
      <c r="A3919" t="s">
        <v>5052</v>
      </c>
      <c r="B3919">
        <v>436</v>
      </c>
      <c r="C3919" t="s">
        <v>1134</v>
      </c>
      <c r="D3919">
        <v>2559707</v>
      </c>
      <c r="E3919">
        <v>139330</v>
      </c>
      <c r="F3919">
        <v>48390</v>
      </c>
    </row>
    <row r="3920" spans="1:6">
      <c r="A3920" t="s">
        <v>5053</v>
      </c>
      <c r="B3920">
        <v>436</v>
      </c>
      <c r="C3920" t="s">
        <v>1136</v>
      </c>
      <c r="D3920">
        <v>711030</v>
      </c>
      <c r="E3920">
        <v>139330</v>
      </c>
      <c r="F3920">
        <v>48390</v>
      </c>
    </row>
    <row r="3921" spans="1:6">
      <c r="A3921" t="s">
        <v>5054</v>
      </c>
      <c r="B3921">
        <v>436</v>
      </c>
      <c r="C3921" t="s">
        <v>1138</v>
      </c>
      <c r="D3921">
        <v>213309</v>
      </c>
      <c r="E3921">
        <v>139330</v>
      </c>
      <c r="F3921">
        <v>48390</v>
      </c>
    </row>
    <row r="3922" spans="1:6">
      <c r="A3922" t="s">
        <v>5055</v>
      </c>
      <c r="B3922">
        <v>436</v>
      </c>
      <c r="C3922" t="s">
        <v>738</v>
      </c>
      <c r="D3922">
        <v>5688236</v>
      </c>
      <c r="E3922">
        <v>139330</v>
      </c>
      <c r="F3922">
        <v>48390</v>
      </c>
    </row>
    <row r="3923" spans="1:6">
      <c r="A3923" t="s">
        <v>5056</v>
      </c>
      <c r="B3923">
        <v>436</v>
      </c>
      <c r="C3923" t="s">
        <v>1141</v>
      </c>
      <c r="D3923">
        <v>12798531</v>
      </c>
      <c r="E3923">
        <v>139330</v>
      </c>
      <c r="F3923">
        <v>48390</v>
      </c>
    </row>
    <row r="3924" spans="1:6">
      <c r="A3924" t="s">
        <v>5057</v>
      </c>
      <c r="B3924">
        <v>436</v>
      </c>
      <c r="C3924" t="s">
        <v>159</v>
      </c>
      <c r="D3924">
        <v>177034680</v>
      </c>
      <c r="E3924">
        <v>139330</v>
      </c>
      <c r="F3924">
        <v>48390</v>
      </c>
    </row>
    <row r="3925" spans="1:6">
      <c r="A3925" t="s">
        <v>5058</v>
      </c>
      <c r="B3925">
        <v>436</v>
      </c>
      <c r="C3925" t="s">
        <v>642</v>
      </c>
      <c r="D3925">
        <v>88517340</v>
      </c>
      <c r="E3925">
        <v>139330</v>
      </c>
      <c r="F3925">
        <v>48390</v>
      </c>
    </row>
    <row r="3926" spans="1:6">
      <c r="A3926" t="s">
        <v>5059</v>
      </c>
      <c r="B3926">
        <v>437</v>
      </c>
      <c r="C3926" t="s">
        <v>149</v>
      </c>
      <c r="D3926">
        <v>1432576</v>
      </c>
      <c r="E3926">
        <v>140171</v>
      </c>
      <c r="F3926">
        <v>48541</v>
      </c>
    </row>
    <row r="3927" spans="1:6">
      <c r="A3927" t="s">
        <v>5060</v>
      </c>
      <c r="B3927">
        <v>437</v>
      </c>
      <c r="C3927" t="s">
        <v>1132</v>
      </c>
      <c r="D3927">
        <v>4297728</v>
      </c>
      <c r="E3927">
        <v>140171</v>
      </c>
      <c r="F3927">
        <v>48541</v>
      </c>
    </row>
    <row r="3928" spans="1:6">
      <c r="A3928" t="s">
        <v>5061</v>
      </c>
      <c r="B3928">
        <v>437</v>
      </c>
      <c r="C3928" t="s">
        <v>1134</v>
      </c>
      <c r="D3928">
        <v>2578637</v>
      </c>
      <c r="E3928">
        <v>140171</v>
      </c>
      <c r="F3928">
        <v>48541</v>
      </c>
    </row>
    <row r="3929" spans="1:6">
      <c r="A3929" t="s">
        <v>5062</v>
      </c>
      <c r="B3929">
        <v>437</v>
      </c>
      <c r="C3929" t="s">
        <v>1136</v>
      </c>
      <c r="D3929">
        <v>716288</v>
      </c>
      <c r="E3929">
        <v>140171</v>
      </c>
      <c r="F3929">
        <v>48541</v>
      </c>
    </row>
    <row r="3930" spans="1:6">
      <c r="A3930" t="s">
        <v>5063</v>
      </c>
      <c r="B3930">
        <v>437</v>
      </c>
      <c r="C3930" t="s">
        <v>1138</v>
      </c>
      <c r="D3930">
        <v>214887</v>
      </c>
      <c r="E3930">
        <v>140171</v>
      </c>
      <c r="F3930">
        <v>48541</v>
      </c>
    </row>
    <row r="3931" spans="1:6">
      <c r="A3931" t="s">
        <v>5064</v>
      </c>
      <c r="B3931">
        <v>437</v>
      </c>
      <c r="C3931" t="s">
        <v>738</v>
      </c>
      <c r="D3931">
        <v>5730304</v>
      </c>
      <c r="E3931">
        <v>140171</v>
      </c>
      <c r="F3931">
        <v>48541</v>
      </c>
    </row>
    <row r="3932" spans="1:6">
      <c r="A3932" t="s">
        <v>5065</v>
      </c>
      <c r="B3932">
        <v>437</v>
      </c>
      <c r="C3932" t="s">
        <v>1141</v>
      </c>
      <c r="D3932">
        <v>12893184</v>
      </c>
      <c r="E3932">
        <v>140171</v>
      </c>
      <c r="F3932">
        <v>48541</v>
      </c>
    </row>
    <row r="3933" spans="1:6">
      <c r="A3933" t="s">
        <v>5066</v>
      </c>
      <c r="B3933">
        <v>437</v>
      </c>
      <c r="C3933" t="s">
        <v>159</v>
      </c>
      <c r="D3933">
        <v>178448760</v>
      </c>
      <c r="E3933">
        <v>140171</v>
      </c>
      <c r="F3933">
        <v>48541</v>
      </c>
    </row>
    <row r="3934" spans="1:6">
      <c r="A3934" t="s">
        <v>5067</v>
      </c>
      <c r="B3934">
        <v>437</v>
      </c>
      <c r="C3934" t="s">
        <v>642</v>
      </c>
      <c r="D3934">
        <v>89224380</v>
      </c>
      <c r="E3934">
        <v>140171</v>
      </c>
      <c r="F3934">
        <v>48541</v>
      </c>
    </row>
    <row r="3935" spans="1:6">
      <c r="A3935" t="s">
        <v>5068</v>
      </c>
      <c r="B3935">
        <v>438</v>
      </c>
      <c r="C3935" t="s">
        <v>149</v>
      </c>
      <c r="D3935">
        <v>1443155</v>
      </c>
      <c r="E3935">
        <v>141017</v>
      </c>
      <c r="F3935">
        <v>48692</v>
      </c>
    </row>
    <row r="3936" spans="1:6">
      <c r="A3936" t="s">
        <v>5069</v>
      </c>
      <c r="B3936">
        <v>438</v>
      </c>
      <c r="C3936" t="s">
        <v>1132</v>
      </c>
      <c r="D3936">
        <v>4329465</v>
      </c>
      <c r="E3936">
        <v>141017</v>
      </c>
      <c r="F3936">
        <v>48692</v>
      </c>
    </row>
    <row r="3937" spans="1:6">
      <c r="A3937" t="s">
        <v>5070</v>
      </c>
      <c r="B3937">
        <v>438</v>
      </c>
      <c r="C3937" t="s">
        <v>1134</v>
      </c>
      <c r="D3937">
        <v>2597679</v>
      </c>
      <c r="E3937">
        <v>141017</v>
      </c>
      <c r="F3937">
        <v>48692</v>
      </c>
    </row>
    <row r="3938" spans="1:6">
      <c r="A3938" t="s">
        <v>5071</v>
      </c>
      <c r="B3938">
        <v>438</v>
      </c>
      <c r="C3938" t="s">
        <v>1136</v>
      </c>
      <c r="D3938">
        <v>721578</v>
      </c>
      <c r="E3938">
        <v>141017</v>
      </c>
      <c r="F3938">
        <v>48692</v>
      </c>
    </row>
    <row r="3939" spans="1:6">
      <c r="A3939" t="s">
        <v>5072</v>
      </c>
      <c r="B3939">
        <v>438</v>
      </c>
      <c r="C3939" t="s">
        <v>1138</v>
      </c>
      <c r="D3939">
        <v>216474</v>
      </c>
      <c r="E3939">
        <v>141017</v>
      </c>
      <c r="F3939">
        <v>48692</v>
      </c>
    </row>
    <row r="3940" spans="1:6">
      <c r="A3940" t="s">
        <v>5073</v>
      </c>
      <c r="B3940">
        <v>438</v>
      </c>
      <c r="C3940" t="s">
        <v>738</v>
      </c>
      <c r="D3940">
        <v>5772620</v>
      </c>
      <c r="E3940">
        <v>141017</v>
      </c>
      <c r="F3940">
        <v>48692</v>
      </c>
    </row>
    <row r="3941" spans="1:6">
      <c r="A3941" t="s">
        <v>5074</v>
      </c>
      <c r="B3941">
        <v>438</v>
      </c>
      <c r="C3941" t="s">
        <v>1141</v>
      </c>
      <c r="D3941">
        <v>12988395</v>
      </c>
      <c r="E3941">
        <v>141017</v>
      </c>
      <c r="F3941">
        <v>48692</v>
      </c>
    </row>
    <row r="3942" spans="1:6">
      <c r="A3942" t="s">
        <v>5075</v>
      </c>
      <c r="B3942">
        <v>438</v>
      </c>
      <c r="C3942" t="s">
        <v>159</v>
      </c>
      <c r="D3942">
        <v>179872080</v>
      </c>
      <c r="E3942">
        <v>141017</v>
      </c>
      <c r="F3942">
        <v>48692</v>
      </c>
    </row>
    <row r="3943" spans="1:6">
      <c r="A3943" t="s">
        <v>5076</v>
      </c>
      <c r="B3943">
        <v>438</v>
      </c>
      <c r="C3943" t="s">
        <v>642</v>
      </c>
      <c r="D3943">
        <v>89936040</v>
      </c>
      <c r="E3943">
        <v>141017</v>
      </c>
      <c r="F3943">
        <v>48692</v>
      </c>
    </row>
    <row r="3944" spans="1:6">
      <c r="A3944" t="s">
        <v>5077</v>
      </c>
      <c r="B3944">
        <v>439</v>
      </c>
      <c r="C3944" t="s">
        <v>149</v>
      </c>
      <c r="D3944">
        <v>1453797</v>
      </c>
      <c r="E3944">
        <v>141866</v>
      </c>
      <c r="F3944">
        <v>48844</v>
      </c>
    </row>
    <row r="3945" spans="1:6">
      <c r="A3945" t="s">
        <v>5078</v>
      </c>
      <c r="B3945">
        <v>439</v>
      </c>
      <c r="C3945" t="s">
        <v>1132</v>
      </c>
      <c r="D3945">
        <v>4361391</v>
      </c>
      <c r="E3945">
        <v>141866</v>
      </c>
      <c r="F3945">
        <v>48844</v>
      </c>
    </row>
    <row r="3946" spans="1:6">
      <c r="A3946" t="s">
        <v>5079</v>
      </c>
      <c r="B3946">
        <v>439</v>
      </c>
      <c r="C3946" t="s">
        <v>1134</v>
      </c>
      <c r="D3946">
        <v>2616835</v>
      </c>
      <c r="E3946">
        <v>141866</v>
      </c>
      <c r="F3946">
        <v>48844</v>
      </c>
    </row>
    <row r="3947" spans="1:6">
      <c r="A3947" t="s">
        <v>5080</v>
      </c>
      <c r="B3947">
        <v>439</v>
      </c>
      <c r="C3947" t="s">
        <v>1136</v>
      </c>
      <c r="D3947">
        <v>726899</v>
      </c>
      <c r="E3947">
        <v>141866</v>
      </c>
      <c r="F3947">
        <v>48844</v>
      </c>
    </row>
    <row r="3948" spans="1:6">
      <c r="A3948" t="s">
        <v>5081</v>
      </c>
      <c r="B3948">
        <v>439</v>
      </c>
      <c r="C3948" t="s">
        <v>1138</v>
      </c>
      <c r="D3948">
        <v>218070</v>
      </c>
      <c r="E3948">
        <v>141866</v>
      </c>
      <c r="F3948">
        <v>48844</v>
      </c>
    </row>
    <row r="3949" spans="1:6">
      <c r="A3949" t="s">
        <v>5082</v>
      </c>
      <c r="B3949">
        <v>439</v>
      </c>
      <c r="C3949" t="s">
        <v>738</v>
      </c>
      <c r="D3949">
        <v>5815188</v>
      </c>
      <c r="E3949">
        <v>141866</v>
      </c>
      <c r="F3949">
        <v>48844</v>
      </c>
    </row>
    <row r="3950" spans="1:6">
      <c r="A3950" t="s">
        <v>5083</v>
      </c>
      <c r="B3950">
        <v>439</v>
      </c>
      <c r="C3950" t="s">
        <v>1141</v>
      </c>
      <c r="D3950">
        <v>13084173</v>
      </c>
      <c r="E3950">
        <v>141866</v>
      </c>
      <c r="F3950">
        <v>48844</v>
      </c>
    </row>
    <row r="3951" spans="1:6">
      <c r="A3951" t="s">
        <v>5084</v>
      </c>
      <c r="B3951">
        <v>439</v>
      </c>
      <c r="C3951" t="s">
        <v>159</v>
      </c>
      <c r="D3951">
        <v>181304820</v>
      </c>
      <c r="E3951">
        <v>141866</v>
      </c>
      <c r="F3951">
        <v>48844</v>
      </c>
    </row>
    <row r="3952" spans="1:6">
      <c r="A3952" t="s">
        <v>5085</v>
      </c>
      <c r="B3952">
        <v>439</v>
      </c>
      <c r="C3952" t="s">
        <v>642</v>
      </c>
      <c r="D3952">
        <v>90652410</v>
      </c>
      <c r="E3952">
        <v>141866</v>
      </c>
      <c r="F3952">
        <v>48844</v>
      </c>
    </row>
    <row r="3953" spans="1:6">
      <c r="A3953" t="s">
        <v>5086</v>
      </c>
      <c r="B3953">
        <v>440</v>
      </c>
      <c r="C3953" t="s">
        <v>149</v>
      </c>
      <c r="D3953">
        <v>1464502</v>
      </c>
      <c r="E3953">
        <v>142719</v>
      </c>
      <c r="F3953">
        <v>48996</v>
      </c>
    </row>
    <row r="3954" spans="1:6">
      <c r="A3954" t="s">
        <v>5087</v>
      </c>
      <c r="B3954">
        <v>440</v>
      </c>
      <c r="C3954" t="s">
        <v>1132</v>
      </c>
      <c r="D3954">
        <v>4393506</v>
      </c>
      <c r="E3954">
        <v>142719</v>
      </c>
      <c r="F3954">
        <v>48996</v>
      </c>
    </row>
    <row r="3955" spans="1:6">
      <c r="A3955" t="s">
        <v>5088</v>
      </c>
      <c r="B3955">
        <v>440</v>
      </c>
      <c r="C3955" t="s">
        <v>1134</v>
      </c>
      <c r="D3955">
        <v>2636104</v>
      </c>
      <c r="E3955">
        <v>142719</v>
      </c>
      <c r="F3955">
        <v>48996</v>
      </c>
    </row>
    <row r="3956" spans="1:6">
      <c r="A3956" t="s">
        <v>5089</v>
      </c>
      <c r="B3956">
        <v>440</v>
      </c>
      <c r="C3956" t="s">
        <v>1136</v>
      </c>
      <c r="D3956">
        <v>732251</v>
      </c>
      <c r="E3956">
        <v>142719</v>
      </c>
      <c r="F3956">
        <v>48996</v>
      </c>
    </row>
    <row r="3957" spans="1:6">
      <c r="A3957" t="s">
        <v>5090</v>
      </c>
      <c r="B3957">
        <v>440</v>
      </c>
      <c r="C3957" t="s">
        <v>1138</v>
      </c>
      <c r="D3957">
        <v>219676</v>
      </c>
      <c r="E3957">
        <v>142719</v>
      </c>
      <c r="F3957">
        <v>48996</v>
      </c>
    </row>
    <row r="3958" spans="1:6">
      <c r="A3958" t="s">
        <v>5091</v>
      </c>
      <c r="B3958">
        <v>440</v>
      </c>
      <c r="C3958" t="s">
        <v>738</v>
      </c>
      <c r="D3958">
        <v>5858008</v>
      </c>
      <c r="E3958">
        <v>142719</v>
      </c>
      <c r="F3958">
        <v>48996</v>
      </c>
    </row>
    <row r="3959" spans="1:6">
      <c r="A3959" t="s">
        <v>5092</v>
      </c>
      <c r="B3959">
        <v>440</v>
      </c>
      <c r="C3959" t="s">
        <v>1141</v>
      </c>
      <c r="D3959">
        <v>13180518</v>
      </c>
      <c r="E3959">
        <v>142719</v>
      </c>
      <c r="F3959">
        <v>48996</v>
      </c>
    </row>
    <row r="3960" spans="1:6">
      <c r="A3960" t="s">
        <v>5093</v>
      </c>
      <c r="B3960">
        <v>440</v>
      </c>
      <c r="C3960" t="s">
        <v>159</v>
      </c>
      <c r="D3960">
        <v>182746920</v>
      </c>
      <c r="E3960">
        <v>142719</v>
      </c>
      <c r="F3960">
        <v>48996</v>
      </c>
    </row>
    <row r="3961" spans="1:6">
      <c r="A3961" t="s">
        <v>5094</v>
      </c>
      <c r="B3961">
        <v>440</v>
      </c>
      <c r="C3961" t="s">
        <v>642</v>
      </c>
      <c r="D3961">
        <v>91373460</v>
      </c>
      <c r="E3961">
        <v>142719</v>
      </c>
      <c r="F3961">
        <v>48996</v>
      </c>
    </row>
    <row r="3962" spans="1:6">
      <c r="A3962" t="s">
        <v>5095</v>
      </c>
      <c r="B3962">
        <v>441</v>
      </c>
      <c r="C3962" t="s">
        <v>149</v>
      </c>
      <c r="D3962">
        <v>1475270</v>
      </c>
      <c r="E3962">
        <v>143577</v>
      </c>
      <c r="F3962">
        <v>49148</v>
      </c>
    </row>
    <row r="3963" spans="1:6">
      <c r="A3963" t="s">
        <v>5096</v>
      </c>
      <c r="B3963">
        <v>441</v>
      </c>
      <c r="C3963" t="s">
        <v>1132</v>
      </c>
      <c r="D3963">
        <v>4425810</v>
      </c>
      <c r="E3963">
        <v>143577</v>
      </c>
      <c r="F3963">
        <v>49148</v>
      </c>
    </row>
    <row r="3964" spans="1:6">
      <c r="A3964" t="s">
        <v>5097</v>
      </c>
      <c r="B3964">
        <v>441</v>
      </c>
      <c r="C3964" t="s">
        <v>1134</v>
      </c>
      <c r="D3964">
        <v>2655486</v>
      </c>
      <c r="E3964">
        <v>143577</v>
      </c>
      <c r="F3964">
        <v>49148</v>
      </c>
    </row>
    <row r="3965" spans="1:6">
      <c r="A3965" t="s">
        <v>5098</v>
      </c>
      <c r="B3965">
        <v>441</v>
      </c>
      <c r="C3965" t="s">
        <v>1136</v>
      </c>
      <c r="D3965">
        <v>737635</v>
      </c>
      <c r="E3965">
        <v>143577</v>
      </c>
      <c r="F3965">
        <v>49148</v>
      </c>
    </row>
    <row r="3966" spans="1:6">
      <c r="A3966" t="s">
        <v>5099</v>
      </c>
      <c r="B3966">
        <v>441</v>
      </c>
      <c r="C3966" t="s">
        <v>1138</v>
      </c>
      <c r="D3966">
        <v>221291</v>
      </c>
      <c r="E3966">
        <v>143577</v>
      </c>
      <c r="F3966">
        <v>49148</v>
      </c>
    </row>
    <row r="3967" spans="1:6">
      <c r="A3967" t="s">
        <v>5100</v>
      </c>
      <c r="B3967">
        <v>441</v>
      </c>
      <c r="C3967" t="s">
        <v>738</v>
      </c>
      <c r="D3967">
        <v>5901080</v>
      </c>
      <c r="E3967">
        <v>143577</v>
      </c>
      <c r="F3967">
        <v>49148</v>
      </c>
    </row>
    <row r="3968" spans="1:6">
      <c r="A3968" t="s">
        <v>5101</v>
      </c>
      <c r="B3968">
        <v>441</v>
      </c>
      <c r="C3968" t="s">
        <v>1141</v>
      </c>
      <c r="D3968">
        <v>13277430</v>
      </c>
      <c r="E3968">
        <v>143577</v>
      </c>
      <c r="F3968">
        <v>49148</v>
      </c>
    </row>
    <row r="3969" spans="1:6">
      <c r="A3969" t="s">
        <v>5102</v>
      </c>
      <c r="B3969">
        <v>441</v>
      </c>
      <c r="C3969" t="s">
        <v>159</v>
      </c>
      <c r="D3969">
        <v>184198440</v>
      </c>
      <c r="E3969">
        <v>143577</v>
      </c>
      <c r="F3969">
        <v>49148</v>
      </c>
    </row>
    <row r="3970" spans="1:6">
      <c r="A3970" t="s">
        <v>5103</v>
      </c>
      <c r="B3970">
        <v>441</v>
      </c>
      <c r="C3970" t="s">
        <v>642</v>
      </c>
      <c r="D3970">
        <v>92099220</v>
      </c>
      <c r="E3970">
        <v>143577</v>
      </c>
      <c r="F3970">
        <v>49148</v>
      </c>
    </row>
    <row r="3971" spans="1:6">
      <c r="A3971" t="s">
        <v>5104</v>
      </c>
      <c r="B3971">
        <v>442</v>
      </c>
      <c r="C3971" t="s">
        <v>149</v>
      </c>
      <c r="D3971">
        <v>1486102</v>
      </c>
      <c r="E3971">
        <v>144438</v>
      </c>
      <c r="F3971">
        <v>49300</v>
      </c>
    </row>
    <row r="3972" spans="1:6">
      <c r="A3972" t="s">
        <v>5105</v>
      </c>
      <c r="B3972">
        <v>442</v>
      </c>
      <c r="C3972" t="s">
        <v>1132</v>
      </c>
      <c r="D3972">
        <v>4458306</v>
      </c>
      <c r="E3972">
        <v>144438</v>
      </c>
      <c r="F3972">
        <v>49300</v>
      </c>
    </row>
    <row r="3973" spans="1:6">
      <c r="A3973" t="s">
        <v>5106</v>
      </c>
      <c r="B3973">
        <v>442</v>
      </c>
      <c r="C3973" t="s">
        <v>1134</v>
      </c>
      <c r="D3973">
        <v>2674984</v>
      </c>
      <c r="E3973">
        <v>144438</v>
      </c>
      <c r="F3973">
        <v>49300</v>
      </c>
    </row>
    <row r="3974" spans="1:6">
      <c r="A3974" t="s">
        <v>5107</v>
      </c>
      <c r="B3974">
        <v>442</v>
      </c>
      <c r="C3974" t="s">
        <v>1136</v>
      </c>
      <c r="D3974">
        <v>743051</v>
      </c>
      <c r="E3974">
        <v>144438</v>
      </c>
      <c r="F3974">
        <v>49300</v>
      </c>
    </row>
    <row r="3975" spans="1:6">
      <c r="A3975" t="s">
        <v>5108</v>
      </c>
      <c r="B3975">
        <v>442</v>
      </c>
      <c r="C3975" t="s">
        <v>1138</v>
      </c>
      <c r="D3975">
        <v>222916</v>
      </c>
      <c r="E3975">
        <v>144438</v>
      </c>
      <c r="F3975">
        <v>49300</v>
      </c>
    </row>
    <row r="3976" spans="1:6">
      <c r="A3976" t="s">
        <v>5109</v>
      </c>
      <c r="B3976">
        <v>442</v>
      </c>
      <c r="C3976" t="s">
        <v>738</v>
      </c>
      <c r="D3976">
        <v>5944408</v>
      </c>
      <c r="E3976">
        <v>144438</v>
      </c>
      <c r="F3976">
        <v>49300</v>
      </c>
    </row>
    <row r="3977" spans="1:6">
      <c r="A3977" t="s">
        <v>5110</v>
      </c>
      <c r="B3977">
        <v>442</v>
      </c>
      <c r="C3977" t="s">
        <v>1141</v>
      </c>
      <c r="D3977">
        <v>13374918</v>
      </c>
      <c r="E3977">
        <v>144438</v>
      </c>
      <c r="F3977">
        <v>49300</v>
      </c>
    </row>
    <row r="3978" spans="1:6">
      <c r="A3978" t="s">
        <v>5111</v>
      </c>
      <c r="B3978">
        <v>442</v>
      </c>
      <c r="C3978" t="s">
        <v>159</v>
      </c>
      <c r="D3978">
        <v>185659440</v>
      </c>
      <c r="E3978">
        <v>144438</v>
      </c>
      <c r="F3978">
        <v>49300</v>
      </c>
    </row>
    <row r="3979" spans="1:6">
      <c r="A3979" t="s">
        <v>5112</v>
      </c>
      <c r="B3979">
        <v>442</v>
      </c>
      <c r="C3979" t="s">
        <v>642</v>
      </c>
      <c r="D3979">
        <v>92829720</v>
      </c>
      <c r="E3979">
        <v>144438</v>
      </c>
      <c r="F3979">
        <v>49300</v>
      </c>
    </row>
    <row r="3980" spans="1:6">
      <c r="A3980" t="s">
        <v>5113</v>
      </c>
      <c r="B3980">
        <v>443</v>
      </c>
      <c r="C3980" t="s">
        <v>149</v>
      </c>
      <c r="D3980">
        <v>1496997</v>
      </c>
      <c r="E3980">
        <v>145303</v>
      </c>
      <c r="F3980">
        <v>49452</v>
      </c>
    </row>
    <row r="3981" spans="1:6">
      <c r="A3981" t="s">
        <v>5114</v>
      </c>
      <c r="B3981">
        <v>443</v>
      </c>
      <c r="C3981" t="s">
        <v>1132</v>
      </c>
      <c r="D3981">
        <v>4490991</v>
      </c>
      <c r="E3981">
        <v>145303</v>
      </c>
      <c r="F3981">
        <v>49452</v>
      </c>
    </row>
    <row r="3982" spans="1:6">
      <c r="A3982" t="s">
        <v>5115</v>
      </c>
      <c r="B3982">
        <v>443</v>
      </c>
      <c r="C3982" t="s">
        <v>1134</v>
      </c>
      <c r="D3982">
        <v>2694595</v>
      </c>
      <c r="E3982">
        <v>145303</v>
      </c>
      <c r="F3982">
        <v>49452</v>
      </c>
    </row>
    <row r="3983" spans="1:6">
      <c r="A3983" t="s">
        <v>5116</v>
      </c>
      <c r="B3983">
        <v>443</v>
      </c>
      <c r="C3983" t="s">
        <v>1136</v>
      </c>
      <c r="D3983">
        <v>748499</v>
      </c>
      <c r="E3983">
        <v>145303</v>
      </c>
      <c r="F3983">
        <v>49452</v>
      </c>
    </row>
    <row r="3984" spans="1:6">
      <c r="A3984" t="s">
        <v>5117</v>
      </c>
      <c r="B3984">
        <v>443</v>
      </c>
      <c r="C3984" t="s">
        <v>1138</v>
      </c>
      <c r="D3984">
        <v>224550</v>
      </c>
      <c r="E3984">
        <v>145303</v>
      </c>
      <c r="F3984">
        <v>49452</v>
      </c>
    </row>
    <row r="3985" spans="1:6">
      <c r="A3985" t="s">
        <v>5118</v>
      </c>
      <c r="B3985">
        <v>443</v>
      </c>
      <c r="C3985" t="s">
        <v>738</v>
      </c>
      <c r="D3985">
        <v>5987988</v>
      </c>
      <c r="E3985">
        <v>145303</v>
      </c>
      <c r="F3985">
        <v>49452</v>
      </c>
    </row>
    <row r="3986" spans="1:6">
      <c r="A3986" t="s">
        <v>5119</v>
      </c>
      <c r="B3986">
        <v>443</v>
      </c>
      <c r="C3986" t="s">
        <v>1141</v>
      </c>
      <c r="D3986">
        <v>13472973</v>
      </c>
      <c r="E3986">
        <v>145303</v>
      </c>
      <c r="F3986">
        <v>49452</v>
      </c>
    </row>
    <row r="3987" spans="1:6">
      <c r="A3987" t="s">
        <v>5120</v>
      </c>
      <c r="B3987">
        <v>443</v>
      </c>
      <c r="C3987" t="s">
        <v>159</v>
      </c>
      <c r="D3987">
        <v>187129980</v>
      </c>
      <c r="E3987">
        <v>145303</v>
      </c>
      <c r="F3987">
        <v>49452</v>
      </c>
    </row>
    <row r="3988" spans="1:6">
      <c r="A3988" t="s">
        <v>5121</v>
      </c>
      <c r="B3988">
        <v>443</v>
      </c>
      <c r="C3988" t="s">
        <v>642</v>
      </c>
      <c r="D3988">
        <v>93564990</v>
      </c>
      <c r="E3988">
        <v>145303</v>
      </c>
      <c r="F3988">
        <v>49452</v>
      </c>
    </row>
    <row r="3989" spans="1:6">
      <c r="A3989" t="s">
        <v>5122</v>
      </c>
      <c r="B3989">
        <v>444</v>
      </c>
      <c r="C3989" t="s">
        <v>149</v>
      </c>
      <c r="D3989">
        <v>1507957</v>
      </c>
      <c r="E3989">
        <v>146172</v>
      </c>
      <c r="F3989">
        <v>49605</v>
      </c>
    </row>
    <row r="3990" spans="1:6">
      <c r="A3990" t="s">
        <v>5123</v>
      </c>
      <c r="B3990">
        <v>444</v>
      </c>
      <c r="C3990" t="s">
        <v>1132</v>
      </c>
      <c r="D3990">
        <v>4523871</v>
      </c>
      <c r="E3990">
        <v>146172</v>
      </c>
      <c r="F3990">
        <v>49605</v>
      </c>
    </row>
    <row r="3991" spans="1:6">
      <c r="A3991" t="s">
        <v>5124</v>
      </c>
      <c r="B3991">
        <v>444</v>
      </c>
      <c r="C3991" t="s">
        <v>1134</v>
      </c>
      <c r="D3991">
        <v>2714323</v>
      </c>
      <c r="E3991">
        <v>146172</v>
      </c>
      <c r="F3991">
        <v>49605</v>
      </c>
    </row>
    <row r="3992" spans="1:6">
      <c r="A3992" t="s">
        <v>5125</v>
      </c>
      <c r="B3992">
        <v>444</v>
      </c>
      <c r="C3992" t="s">
        <v>1136</v>
      </c>
      <c r="D3992">
        <v>753979</v>
      </c>
      <c r="E3992">
        <v>146172</v>
      </c>
      <c r="F3992">
        <v>49605</v>
      </c>
    </row>
    <row r="3993" spans="1:6">
      <c r="A3993" t="s">
        <v>5126</v>
      </c>
      <c r="B3993">
        <v>444</v>
      </c>
      <c r="C3993" t="s">
        <v>1138</v>
      </c>
      <c r="D3993">
        <v>226194</v>
      </c>
      <c r="E3993">
        <v>146172</v>
      </c>
      <c r="F3993">
        <v>49605</v>
      </c>
    </row>
    <row r="3994" spans="1:6">
      <c r="A3994" t="s">
        <v>5127</v>
      </c>
      <c r="B3994">
        <v>444</v>
      </c>
      <c r="C3994" t="s">
        <v>738</v>
      </c>
      <c r="D3994">
        <v>6031828</v>
      </c>
      <c r="E3994">
        <v>146172</v>
      </c>
      <c r="F3994">
        <v>49605</v>
      </c>
    </row>
    <row r="3995" spans="1:6">
      <c r="A3995" t="s">
        <v>5128</v>
      </c>
      <c r="B3995">
        <v>444</v>
      </c>
      <c r="C3995" t="s">
        <v>1141</v>
      </c>
      <c r="D3995">
        <v>13571613</v>
      </c>
      <c r="E3995">
        <v>146172</v>
      </c>
      <c r="F3995">
        <v>49605</v>
      </c>
    </row>
    <row r="3996" spans="1:6">
      <c r="A3996" t="s">
        <v>5129</v>
      </c>
      <c r="B3996">
        <v>444</v>
      </c>
      <c r="C3996" t="s">
        <v>159</v>
      </c>
      <c r="D3996">
        <v>188610180</v>
      </c>
      <c r="E3996">
        <v>146172</v>
      </c>
      <c r="F3996">
        <v>49605</v>
      </c>
    </row>
    <row r="3997" spans="1:6">
      <c r="A3997" t="s">
        <v>5130</v>
      </c>
      <c r="B3997">
        <v>444</v>
      </c>
      <c r="C3997" t="s">
        <v>642</v>
      </c>
      <c r="D3997">
        <v>94305090</v>
      </c>
      <c r="E3997">
        <v>146172</v>
      </c>
      <c r="F3997">
        <v>49605</v>
      </c>
    </row>
    <row r="3998" spans="1:6">
      <c r="A3998" t="s">
        <v>5131</v>
      </c>
      <c r="B3998">
        <v>445</v>
      </c>
      <c r="C3998" t="s">
        <v>149</v>
      </c>
      <c r="D3998">
        <v>1518981</v>
      </c>
      <c r="E3998">
        <v>147045</v>
      </c>
      <c r="F3998">
        <v>49757</v>
      </c>
    </row>
    <row r="3999" spans="1:6">
      <c r="A3999" t="s">
        <v>5132</v>
      </c>
      <c r="B3999">
        <v>445</v>
      </c>
      <c r="C3999" t="s">
        <v>1132</v>
      </c>
      <c r="D3999">
        <v>4556943</v>
      </c>
      <c r="E3999">
        <v>147045</v>
      </c>
      <c r="F3999">
        <v>49757</v>
      </c>
    </row>
    <row r="4000" spans="1:6">
      <c r="A4000" t="s">
        <v>5133</v>
      </c>
      <c r="B4000">
        <v>445</v>
      </c>
      <c r="C4000" t="s">
        <v>1134</v>
      </c>
      <c r="D4000">
        <v>2734166</v>
      </c>
      <c r="E4000">
        <v>147045</v>
      </c>
      <c r="F4000">
        <v>49757</v>
      </c>
    </row>
    <row r="4001" spans="1:6">
      <c r="A4001" t="s">
        <v>5134</v>
      </c>
      <c r="B4001">
        <v>445</v>
      </c>
      <c r="C4001" t="s">
        <v>1136</v>
      </c>
      <c r="D4001">
        <v>759491</v>
      </c>
      <c r="E4001">
        <v>147045</v>
      </c>
      <c r="F4001">
        <v>49757</v>
      </c>
    </row>
    <row r="4002" spans="1:6">
      <c r="A4002" t="s">
        <v>5135</v>
      </c>
      <c r="B4002">
        <v>445</v>
      </c>
      <c r="C4002" t="s">
        <v>1138</v>
      </c>
      <c r="D4002">
        <v>227848</v>
      </c>
      <c r="E4002">
        <v>147045</v>
      </c>
      <c r="F4002">
        <v>49757</v>
      </c>
    </row>
    <row r="4003" spans="1:6">
      <c r="A4003" t="s">
        <v>5136</v>
      </c>
      <c r="B4003">
        <v>445</v>
      </c>
      <c r="C4003" t="s">
        <v>738</v>
      </c>
      <c r="D4003">
        <v>6075924</v>
      </c>
      <c r="E4003">
        <v>147045</v>
      </c>
      <c r="F4003">
        <v>49757</v>
      </c>
    </row>
    <row r="4004" spans="1:6">
      <c r="A4004" t="s">
        <v>5137</v>
      </c>
      <c r="B4004">
        <v>445</v>
      </c>
      <c r="C4004" t="s">
        <v>1141</v>
      </c>
      <c r="D4004">
        <v>13670829</v>
      </c>
      <c r="E4004">
        <v>147045</v>
      </c>
      <c r="F4004">
        <v>49757</v>
      </c>
    </row>
    <row r="4005" spans="1:6">
      <c r="A4005" t="s">
        <v>5138</v>
      </c>
      <c r="B4005">
        <v>445</v>
      </c>
      <c r="C4005" t="s">
        <v>159</v>
      </c>
      <c r="D4005">
        <v>190099920</v>
      </c>
      <c r="E4005">
        <v>147045</v>
      </c>
      <c r="F4005">
        <v>49757</v>
      </c>
    </row>
    <row r="4006" spans="1:6">
      <c r="A4006" t="s">
        <v>5139</v>
      </c>
      <c r="B4006">
        <v>445</v>
      </c>
      <c r="C4006" t="s">
        <v>642</v>
      </c>
      <c r="D4006">
        <v>95049960</v>
      </c>
      <c r="E4006">
        <v>147045</v>
      </c>
      <c r="F4006">
        <v>49757</v>
      </c>
    </row>
    <row r="4007" spans="1:6">
      <c r="A4007" t="s">
        <v>5140</v>
      </c>
      <c r="B4007">
        <v>446</v>
      </c>
      <c r="C4007" t="s">
        <v>149</v>
      </c>
      <c r="D4007">
        <v>1530070</v>
      </c>
      <c r="E4007">
        <v>147922</v>
      </c>
      <c r="F4007">
        <v>49910</v>
      </c>
    </row>
    <row r="4008" spans="1:6">
      <c r="A4008" t="s">
        <v>5141</v>
      </c>
      <c r="B4008">
        <v>446</v>
      </c>
      <c r="C4008" t="s">
        <v>1132</v>
      </c>
      <c r="D4008">
        <v>4590210</v>
      </c>
      <c r="E4008">
        <v>147922</v>
      </c>
      <c r="F4008">
        <v>49910</v>
      </c>
    </row>
    <row r="4009" spans="1:6">
      <c r="A4009" t="s">
        <v>5142</v>
      </c>
      <c r="B4009">
        <v>446</v>
      </c>
      <c r="C4009" t="s">
        <v>1134</v>
      </c>
      <c r="D4009">
        <v>2754126</v>
      </c>
      <c r="E4009">
        <v>147922</v>
      </c>
      <c r="F4009">
        <v>49910</v>
      </c>
    </row>
    <row r="4010" spans="1:6">
      <c r="A4010" t="s">
        <v>5143</v>
      </c>
      <c r="B4010">
        <v>446</v>
      </c>
      <c r="C4010" t="s">
        <v>1136</v>
      </c>
      <c r="D4010">
        <v>765035</v>
      </c>
      <c r="E4010">
        <v>147922</v>
      </c>
      <c r="F4010">
        <v>49910</v>
      </c>
    </row>
    <row r="4011" spans="1:6">
      <c r="A4011" t="s">
        <v>5144</v>
      </c>
      <c r="B4011">
        <v>446</v>
      </c>
      <c r="C4011" t="s">
        <v>1138</v>
      </c>
      <c r="D4011">
        <v>229511</v>
      </c>
      <c r="E4011">
        <v>147922</v>
      </c>
      <c r="F4011">
        <v>49910</v>
      </c>
    </row>
    <row r="4012" spans="1:6">
      <c r="A4012" t="s">
        <v>5145</v>
      </c>
      <c r="B4012">
        <v>446</v>
      </c>
      <c r="C4012" t="s">
        <v>738</v>
      </c>
      <c r="D4012">
        <v>6120280</v>
      </c>
      <c r="E4012">
        <v>147922</v>
      </c>
      <c r="F4012">
        <v>49910</v>
      </c>
    </row>
    <row r="4013" spans="1:6">
      <c r="A4013" t="s">
        <v>5146</v>
      </c>
      <c r="B4013">
        <v>446</v>
      </c>
      <c r="C4013" t="s">
        <v>1141</v>
      </c>
      <c r="D4013">
        <v>13770630</v>
      </c>
      <c r="E4013">
        <v>147922</v>
      </c>
      <c r="F4013">
        <v>49910</v>
      </c>
    </row>
    <row r="4014" spans="1:6">
      <c r="A4014" t="s">
        <v>5147</v>
      </c>
      <c r="B4014">
        <v>446</v>
      </c>
      <c r="C4014" t="s">
        <v>159</v>
      </c>
      <c r="D4014">
        <v>191599440</v>
      </c>
      <c r="E4014">
        <v>147922</v>
      </c>
      <c r="F4014">
        <v>49910</v>
      </c>
    </row>
    <row r="4015" spans="1:6">
      <c r="A4015" t="s">
        <v>5148</v>
      </c>
      <c r="B4015">
        <v>446</v>
      </c>
      <c r="C4015" t="s">
        <v>642</v>
      </c>
      <c r="D4015">
        <v>95799720</v>
      </c>
      <c r="E4015">
        <v>147922</v>
      </c>
      <c r="F4015">
        <v>49910</v>
      </c>
    </row>
    <row r="4016" spans="1:6">
      <c r="A4016" t="s">
        <v>5149</v>
      </c>
      <c r="B4016">
        <v>447</v>
      </c>
      <c r="C4016" t="s">
        <v>149</v>
      </c>
      <c r="D4016">
        <v>1541224</v>
      </c>
      <c r="E4016">
        <v>148803</v>
      </c>
      <c r="F4016">
        <v>50063</v>
      </c>
    </row>
    <row r="4017" spans="1:6">
      <c r="A4017" t="s">
        <v>5150</v>
      </c>
      <c r="B4017">
        <v>447</v>
      </c>
      <c r="C4017" t="s">
        <v>1132</v>
      </c>
      <c r="D4017">
        <v>4623672</v>
      </c>
      <c r="E4017">
        <v>148803</v>
      </c>
      <c r="F4017">
        <v>50063</v>
      </c>
    </row>
    <row r="4018" spans="1:6">
      <c r="A4018" t="s">
        <v>5151</v>
      </c>
      <c r="B4018">
        <v>447</v>
      </c>
      <c r="C4018" t="s">
        <v>1134</v>
      </c>
      <c r="D4018">
        <v>2774204</v>
      </c>
      <c r="E4018">
        <v>148803</v>
      </c>
      <c r="F4018">
        <v>50063</v>
      </c>
    </row>
    <row r="4019" spans="1:6">
      <c r="A4019" t="s">
        <v>5152</v>
      </c>
      <c r="B4019">
        <v>447</v>
      </c>
      <c r="C4019" t="s">
        <v>1136</v>
      </c>
      <c r="D4019">
        <v>770612</v>
      </c>
      <c r="E4019">
        <v>148803</v>
      </c>
      <c r="F4019">
        <v>50063</v>
      </c>
    </row>
    <row r="4020" spans="1:6">
      <c r="A4020" t="s">
        <v>5153</v>
      </c>
      <c r="B4020">
        <v>447</v>
      </c>
      <c r="C4020" t="s">
        <v>1138</v>
      </c>
      <c r="D4020">
        <v>231184</v>
      </c>
      <c r="E4020">
        <v>148803</v>
      </c>
      <c r="F4020">
        <v>50063</v>
      </c>
    </row>
    <row r="4021" spans="1:6">
      <c r="A4021" t="s">
        <v>5154</v>
      </c>
      <c r="B4021">
        <v>447</v>
      </c>
      <c r="C4021" t="s">
        <v>738</v>
      </c>
      <c r="D4021">
        <v>6164896</v>
      </c>
      <c r="E4021">
        <v>148803</v>
      </c>
      <c r="F4021">
        <v>50063</v>
      </c>
    </row>
    <row r="4022" spans="1:6">
      <c r="A4022" t="s">
        <v>5155</v>
      </c>
      <c r="B4022">
        <v>447</v>
      </c>
      <c r="C4022" t="s">
        <v>1141</v>
      </c>
      <c r="D4022">
        <v>13871016</v>
      </c>
      <c r="E4022">
        <v>148803</v>
      </c>
      <c r="F4022">
        <v>50063</v>
      </c>
    </row>
    <row r="4023" spans="1:6">
      <c r="A4023" t="s">
        <v>5156</v>
      </c>
      <c r="B4023">
        <v>447</v>
      </c>
      <c r="C4023" t="s">
        <v>159</v>
      </c>
      <c r="D4023">
        <v>193108680</v>
      </c>
      <c r="E4023">
        <v>148803</v>
      </c>
      <c r="F4023">
        <v>50063</v>
      </c>
    </row>
    <row r="4024" spans="1:6">
      <c r="A4024" t="s">
        <v>5157</v>
      </c>
      <c r="B4024">
        <v>447</v>
      </c>
      <c r="C4024" t="s">
        <v>642</v>
      </c>
      <c r="D4024">
        <v>96554340</v>
      </c>
      <c r="E4024">
        <v>148803</v>
      </c>
      <c r="F4024">
        <v>50063</v>
      </c>
    </row>
    <row r="4025" spans="1:6">
      <c r="A4025" t="s">
        <v>5158</v>
      </c>
      <c r="B4025">
        <v>448</v>
      </c>
      <c r="C4025" t="s">
        <v>149</v>
      </c>
      <c r="D4025">
        <v>1552443</v>
      </c>
      <c r="E4025">
        <v>149688</v>
      </c>
      <c r="F4025">
        <v>50217</v>
      </c>
    </row>
    <row r="4026" spans="1:6">
      <c r="A4026" t="s">
        <v>5159</v>
      </c>
      <c r="B4026">
        <v>448</v>
      </c>
      <c r="C4026" t="s">
        <v>1132</v>
      </c>
      <c r="D4026">
        <v>4657329</v>
      </c>
      <c r="E4026">
        <v>149688</v>
      </c>
      <c r="F4026">
        <v>50217</v>
      </c>
    </row>
    <row r="4027" spans="1:6">
      <c r="A4027" t="s">
        <v>5160</v>
      </c>
      <c r="B4027">
        <v>448</v>
      </c>
      <c r="C4027" t="s">
        <v>1134</v>
      </c>
      <c r="D4027">
        <v>2794398</v>
      </c>
      <c r="E4027">
        <v>149688</v>
      </c>
      <c r="F4027">
        <v>50217</v>
      </c>
    </row>
    <row r="4028" spans="1:6">
      <c r="A4028" t="s">
        <v>5161</v>
      </c>
      <c r="B4028">
        <v>448</v>
      </c>
      <c r="C4028" t="s">
        <v>1136</v>
      </c>
      <c r="D4028">
        <v>776222</v>
      </c>
      <c r="E4028">
        <v>149688</v>
      </c>
      <c r="F4028">
        <v>50217</v>
      </c>
    </row>
    <row r="4029" spans="1:6">
      <c r="A4029" t="s">
        <v>5162</v>
      </c>
      <c r="B4029">
        <v>448</v>
      </c>
      <c r="C4029" t="s">
        <v>1138</v>
      </c>
      <c r="D4029">
        <v>232867</v>
      </c>
      <c r="E4029">
        <v>149688</v>
      </c>
      <c r="F4029">
        <v>50217</v>
      </c>
    </row>
    <row r="4030" spans="1:6">
      <c r="A4030" t="s">
        <v>5163</v>
      </c>
      <c r="B4030">
        <v>448</v>
      </c>
      <c r="C4030" t="s">
        <v>738</v>
      </c>
      <c r="D4030">
        <v>6209772</v>
      </c>
      <c r="E4030">
        <v>149688</v>
      </c>
      <c r="F4030">
        <v>50217</v>
      </c>
    </row>
    <row r="4031" spans="1:6">
      <c r="A4031" t="s">
        <v>5164</v>
      </c>
      <c r="B4031">
        <v>448</v>
      </c>
      <c r="C4031" t="s">
        <v>1141</v>
      </c>
      <c r="D4031">
        <v>13971987</v>
      </c>
      <c r="E4031">
        <v>149688</v>
      </c>
      <c r="F4031">
        <v>50217</v>
      </c>
    </row>
    <row r="4032" spans="1:6">
      <c r="A4032" t="s">
        <v>5165</v>
      </c>
      <c r="B4032">
        <v>448</v>
      </c>
      <c r="C4032" t="s">
        <v>159</v>
      </c>
      <c r="D4032">
        <v>194627700</v>
      </c>
      <c r="E4032">
        <v>149688</v>
      </c>
      <c r="F4032">
        <v>50217</v>
      </c>
    </row>
    <row r="4033" spans="1:6">
      <c r="A4033" t="s">
        <v>5166</v>
      </c>
      <c r="B4033">
        <v>448</v>
      </c>
      <c r="C4033" t="s">
        <v>642</v>
      </c>
      <c r="D4033">
        <v>97313850</v>
      </c>
      <c r="E4033">
        <v>149688</v>
      </c>
      <c r="F4033">
        <v>50217</v>
      </c>
    </row>
    <row r="4034" spans="1:6">
      <c r="A4034" t="s">
        <v>5167</v>
      </c>
      <c r="B4034">
        <v>449</v>
      </c>
      <c r="C4034" t="s">
        <v>149</v>
      </c>
      <c r="D4034">
        <v>1563728</v>
      </c>
      <c r="E4034">
        <v>150577</v>
      </c>
      <c r="F4034">
        <v>50370</v>
      </c>
    </row>
    <row r="4035" spans="1:6">
      <c r="A4035" t="s">
        <v>5168</v>
      </c>
      <c r="B4035">
        <v>449</v>
      </c>
      <c r="C4035" t="s">
        <v>1132</v>
      </c>
      <c r="D4035">
        <v>4691184</v>
      </c>
      <c r="E4035">
        <v>150577</v>
      </c>
      <c r="F4035">
        <v>50370</v>
      </c>
    </row>
    <row r="4036" spans="1:6">
      <c r="A4036" t="s">
        <v>5169</v>
      </c>
      <c r="B4036">
        <v>449</v>
      </c>
      <c r="C4036" t="s">
        <v>1134</v>
      </c>
      <c r="D4036">
        <v>2814711</v>
      </c>
      <c r="E4036">
        <v>150577</v>
      </c>
      <c r="F4036">
        <v>50370</v>
      </c>
    </row>
    <row r="4037" spans="1:6">
      <c r="A4037" t="s">
        <v>5170</v>
      </c>
      <c r="B4037">
        <v>449</v>
      </c>
      <c r="C4037" t="s">
        <v>1136</v>
      </c>
      <c r="D4037">
        <v>781864</v>
      </c>
      <c r="E4037">
        <v>150577</v>
      </c>
      <c r="F4037">
        <v>50370</v>
      </c>
    </row>
    <row r="4038" spans="1:6">
      <c r="A4038" t="s">
        <v>5171</v>
      </c>
      <c r="B4038">
        <v>449</v>
      </c>
      <c r="C4038" t="s">
        <v>1138</v>
      </c>
      <c r="D4038">
        <v>234560</v>
      </c>
      <c r="E4038">
        <v>150577</v>
      </c>
      <c r="F4038">
        <v>50370</v>
      </c>
    </row>
    <row r="4039" spans="1:6">
      <c r="A4039" t="s">
        <v>5172</v>
      </c>
      <c r="B4039">
        <v>449</v>
      </c>
      <c r="C4039" t="s">
        <v>738</v>
      </c>
      <c r="D4039">
        <v>6254912</v>
      </c>
      <c r="E4039">
        <v>150577</v>
      </c>
      <c r="F4039">
        <v>50370</v>
      </c>
    </row>
    <row r="4040" spans="1:6">
      <c r="A4040" t="s">
        <v>5173</v>
      </c>
      <c r="B4040">
        <v>449</v>
      </c>
      <c r="C4040" t="s">
        <v>1141</v>
      </c>
      <c r="D4040">
        <v>14073552</v>
      </c>
      <c r="E4040">
        <v>150577</v>
      </c>
      <c r="F4040">
        <v>50370</v>
      </c>
    </row>
    <row r="4041" spans="1:6">
      <c r="A4041" t="s">
        <v>5174</v>
      </c>
      <c r="B4041">
        <v>449</v>
      </c>
      <c r="C4041" t="s">
        <v>159</v>
      </c>
      <c r="D4041">
        <v>196156620</v>
      </c>
      <c r="E4041">
        <v>150577</v>
      </c>
      <c r="F4041">
        <v>50370</v>
      </c>
    </row>
    <row r="4042" spans="1:6">
      <c r="A4042" t="s">
        <v>5175</v>
      </c>
      <c r="B4042">
        <v>449</v>
      </c>
      <c r="C4042" t="s">
        <v>642</v>
      </c>
      <c r="D4042">
        <v>98078310</v>
      </c>
      <c r="E4042">
        <v>150577</v>
      </c>
      <c r="F4042">
        <v>50370</v>
      </c>
    </row>
    <row r="4043" spans="1:6">
      <c r="A4043" t="s">
        <v>5176</v>
      </c>
      <c r="B4043">
        <v>450</v>
      </c>
      <c r="C4043" t="s">
        <v>149</v>
      </c>
      <c r="D4043">
        <v>1575079</v>
      </c>
      <c r="E4043">
        <v>151470</v>
      </c>
      <c r="F4043">
        <v>50524</v>
      </c>
    </row>
    <row r="4044" spans="1:6">
      <c r="A4044" t="s">
        <v>5177</v>
      </c>
      <c r="B4044">
        <v>450</v>
      </c>
      <c r="C4044" t="s">
        <v>1132</v>
      </c>
      <c r="D4044">
        <v>4725237</v>
      </c>
      <c r="E4044">
        <v>151470</v>
      </c>
      <c r="F4044">
        <v>50524</v>
      </c>
    </row>
    <row r="4045" spans="1:6">
      <c r="A4045" t="s">
        <v>5178</v>
      </c>
      <c r="B4045">
        <v>450</v>
      </c>
      <c r="C4045" t="s">
        <v>1134</v>
      </c>
      <c r="D4045">
        <v>2835143</v>
      </c>
      <c r="E4045">
        <v>151470</v>
      </c>
      <c r="F4045">
        <v>50524</v>
      </c>
    </row>
    <row r="4046" spans="1:6">
      <c r="A4046" t="s">
        <v>5179</v>
      </c>
      <c r="B4046">
        <v>450</v>
      </c>
      <c r="C4046" t="s">
        <v>1136</v>
      </c>
      <c r="D4046">
        <v>787540</v>
      </c>
      <c r="E4046">
        <v>151470</v>
      </c>
      <c r="F4046">
        <v>50524</v>
      </c>
    </row>
    <row r="4047" spans="1:6">
      <c r="A4047" t="s">
        <v>5180</v>
      </c>
      <c r="B4047">
        <v>450</v>
      </c>
      <c r="C4047" t="s">
        <v>1138</v>
      </c>
      <c r="D4047">
        <v>236262</v>
      </c>
      <c r="E4047">
        <v>151470</v>
      </c>
      <c r="F4047">
        <v>50524</v>
      </c>
    </row>
    <row r="4048" spans="1:6">
      <c r="A4048" t="s">
        <v>5181</v>
      </c>
      <c r="B4048">
        <v>450</v>
      </c>
      <c r="C4048" t="s">
        <v>738</v>
      </c>
      <c r="D4048">
        <v>6300316</v>
      </c>
      <c r="E4048">
        <v>151470</v>
      </c>
      <c r="F4048">
        <v>50524</v>
      </c>
    </row>
    <row r="4049" spans="1:6">
      <c r="A4049" t="s">
        <v>5182</v>
      </c>
      <c r="B4049">
        <v>450</v>
      </c>
      <c r="C4049" t="s">
        <v>1141</v>
      </c>
      <c r="D4049">
        <v>14175711</v>
      </c>
      <c r="E4049">
        <v>151470</v>
      </c>
      <c r="F4049">
        <v>50524</v>
      </c>
    </row>
    <row r="4050" spans="1:6">
      <c r="A4050" t="s">
        <v>5183</v>
      </c>
      <c r="B4050">
        <v>450</v>
      </c>
      <c r="C4050" t="s">
        <v>159</v>
      </c>
      <c r="D4050">
        <v>197695380</v>
      </c>
      <c r="E4050">
        <v>151470</v>
      </c>
      <c r="F4050">
        <v>50524</v>
      </c>
    </row>
    <row r="4051" spans="1:6">
      <c r="A4051" t="s">
        <v>5184</v>
      </c>
      <c r="B4051">
        <v>450</v>
      </c>
      <c r="C4051" t="s">
        <v>642</v>
      </c>
      <c r="D4051">
        <v>98847690</v>
      </c>
      <c r="E4051">
        <v>151470</v>
      </c>
      <c r="F4051">
        <v>50524</v>
      </c>
    </row>
    <row r="4052" spans="1:6">
      <c r="A4052" t="s">
        <v>5185</v>
      </c>
      <c r="B4052">
        <v>451</v>
      </c>
      <c r="C4052" t="s">
        <v>149</v>
      </c>
      <c r="D4052">
        <v>1586497</v>
      </c>
      <c r="E4052">
        <v>152367</v>
      </c>
      <c r="F4052">
        <v>50677</v>
      </c>
    </row>
    <row r="4053" spans="1:6">
      <c r="A4053" t="s">
        <v>5186</v>
      </c>
      <c r="B4053">
        <v>451</v>
      </c>
      <c r="C4053" t="s">
        <v>1132</v>
      </c>
      <c r="D4053">
        <v>4759491</v>
      </c>
      <c r="E4053">
        <v>152367</v>
      </c>
      <c r="F4053">
        <v>50677</v>
      </c>
    </row>
    <row r="4054" spans="1:6">
      <c r="A4054" t="s">
        <v>5187</v>
      </c>
      <c r="B4054">
        <v>451</v>
      </c>
      <c r="C4054" t="s">
        <v>1134</v>
      </c>
      <c r="D4054">
        <v>2855695</v>
      </c>
      <c r="E4054">
        <v>152367</v>
      </c>
      <c r="F4054">
        <v>50677</v>
      </c>
    </row>
    <row r="4055" spans="1:6">
      <c r="A4055" t="s">
        <v>5188</v>
      </c>
      <c r="B4055">
        <v>451</v>
      </c>
      <c r="C4055" t="s">
        <v>1136</v>
      </c>
      <c r="D4055">
        <v>793249</v>
      </c>
      <c r="E4055">
        <v>152367</v>
      </c>
      <c r="F4055">
        <v>50677</v>
      </c>
    </row>
    <row r="4056" spans="1:6">
      <c r="A4056" t="s">
        <v>5189</v>
      </c>
      <c r="B4056">
        <v>451</v>
      </c>
      <c r="C4056" t="s">
        <v>1138</v>
      </c>
      <c r="D4056">
        <v>237975</v>
      </c>
      <c r="E4056">
        <v>152367</v>
      </c>
      <c r="F4056">
        <v>50677</v>
      </c>
    </row>
    <row r="4057" spans="1:6">
      <c r="A4057" t="s">
        <v>5190</v>
      </c>
      <c r="B4057">
        <v>451</v>
      </c>
      <c r="C4057" t="s">
        <v>738</v>
      </c>
      <c r="D4057">
        <v>6345988</v>
      </c>
      <c r="E4057">
        <v>152367</v>
      </c>
      <c r="F4057">
        <v>50677</v>
      </c>
    </row>
    <row r="4058" spans="1:6">
      <c r="A4058" t="s">
        <v>5191</v>
      </c>
      <c r="B4058">
        <v>451</v>
      </c>
      <c r="C4058" t="s">
        <v>1141</v>
      </c>
      <c r="D4058">
        <v>14278473</v>
      </c>
      <c r="E4058">
        <v>152367</v>
      </c>
      <c r="F4058">
        <v>50677</v>
      </c>
    </row>
    <row r="4059" spans="1:6">
      <c r="A4059" t="s">
        <v>5192</v>
      </c>
      <c r="B4059">
        <v>451</v>
      </c>
      <c r="C4059" t="s">
        <v>159</v>
      </c>
      <c r="D4059">
        <v>199244100</v>
      </c>
      <c r="E4059">
        <v>152367</v>
      </c>
      <c r="F4059">
        <v>50677</v>
      </c>
    </row>
    <row r="4060" spans="1:6">
      <c r="A4060" t="s">
        <v>5193</v>
      </c>
      <c r="B4060">
        <v>451</v>
      </c>
      <c r="C4060" t="s">
        <v>642</v>
      </c>
      <c r="D4060">
        <v>99622050</v>
      </c>
      <c r="E4060">
        <v>152367</v>
      </c>
      <c r="F4060">
        <v>50677</v>
      </c>
    </row>
    <row r="4061" spans="1:6">
      <c r="A4061" t="s">
        <v>5194</v>
      </c>
      <c r="B4061">
        <v>452</v>
      </c>
      <c r="C4061" t="s">
        <v>149</v>
      </c>
      <c r="D4061">
        <v>1597980</v>
      </c>
      <c r="E4061">
        <v>153269</v>
      </c>
      <c r="F4061">
        <v>50831</v>
      </c>
    </row>
    <row r="4062" spans="1:6">
      <c r="A4062" t="s">
        <v>5195</v>
      </c>
      <c r="B4062">
        <v>452</v>
      </c>
      <c r="C4062" t="s">
        <v>1132</v>
      </c>
      <c r="D4062">
        <v>4793940</v>
      </c>
      <c r="E4062">
        <v>153269</v>
      </c>
      <c r="F4062">
        <v>50831</v>
      </c>
    </row>
    <row r="4063" spans="1:6">
      <c r="A4063" t="s">
        <v>5196</v>
      </c>
      <c r="B4063">
        <v>452</v>
      </c>
      <c r="C4063" t="s">
        <v>1134</v>
      </c>
      <c r="D4063">
        <v>2876364</v>
      </c>
      <c r="E4063">
        <v>153269</v>
      </c>
      <c r="F4063">
        <v>50831</v>
      </c>
    </row>
    <row r="4064" spans="1:6">
      <c r="A4064" t="s">
        <v>5197</v>
      </c>
      <c r="B4064">
        <v>452</v>
      </c>
      <c r="C4064" t="s">
        <v>1136</v>
      </c>
      <c r="D4064">
        <v>798990</v>
      </c>
      <c r="E4064">
        <v>153269</v>
      </c>
      <c r="F4064">
        <v>50831</v>
      </c>
    </row>
    <row r="4065" spans="1:6">
      <c r="A4065" t="s">
        <v>5198</v>
      </c>
      <c r="B4065">
        <v>452</v>
      </c>
      <c r="C4065" t="s">
        <v>1138</v>
      </c>
      <c r="D4065">
        <v>239697</v>
      </c>
      <c r="E4065">
        <v>153269</v>
      </c>
      <c r="F4065">
        <v>50831</v>
      </c>
    </row>
    <row r="4066" spans="1:6">
      <c r="A4066" t="s">
        <v>5199</v>
      </c>
      <c r="B4066">
        <v>452</v>
      </c>
      <c r="C4066" t="s">
        <v>738</v>
      </c>
      <c r="D4066">
        <v>6391920</v>
      </c>
      <c r="E4066">
        <v>153269</v>
      </c>
      <c r="F4066">
        <v>50831</v>
      </c>
    </row>
    <row r="4067" spans="1:6">
      <c r="A4067" t="s">
        <v>5200</v>
      </c>
      <c r="B4067">
        <v>452</v>
      </c>
      <c r="C4067" t="s">
        <v>1141</v>
      </c>
      <c r="D4067">
        <v>14381820</v>
      </c>
      <c r="E4067">
        <v>153269</v>
      </c>
      <c r="F4067">
        <v>50831</v>
      </c>
    </row>
    <row r="4068" spans="1:6">
      <c r="A4068" t="s">
        <v>5201</v>
      </c>
      <c r="B4068">
        <v>452</v>
      </c>
      <c r="C4068" t="s">
        <v>159</v>
      </c>
      <c r="D4068">
        <v>200802900</v>
      </c>
      <c r="E4068">
        <v>153269</v>
      </c>
      <c r="F4068">
        <v>50831</v>
      </c>
    </row>
    <row r="4069" spans="1:6">
      <c r="A4069" t="s">
        <v>5202</v>
      </c>
      <c r="B4069">
        <v>452</v>
      </c>
      <c r="C4069" t="s">
        <v>642</v>
      </c>
      <c r="D4069">
        <v>100401450</v>
      </c>
      <c r="E4069">
        <v>153269</v>
      </c>
      <c r="F4069">
        <v>50831</v>
      </c>
    </row>
    <row r="4070" spans="1:6">
      <c r="A4070" t="s">
        <v>5203</v>
      </c>
      <c r="B4070">
        <v>453</v>
      </c>
      <c r="C4070" t="s">
        <v>149</v>
      </c>
      <c r="D4070">
        <v>1609531</v>
      </c>
      <c r="E4070">
        <v>154174</v>
      </c>
      <c r="F4070">
        <v>50986</v>
      </c>
    </row>
    <row r="4071" spans="1:6">
      <c r="A4071" t="s">
        <v>5204</v>
      </c>
      <c r="B4071">
        <v>453</v>
      </c>
      <c r="C4071" t="s">
        <v>1132</v>
      </c>
      <c r="D4071">
        <v>4828593</v>
      </c>
      <c r="E4071">
        <v>154174</v>
      </c>
      <c r="F4071">
        <v>50986</v>
      </c>
    </row>
    <row r="4072" spans="1:6">
      <c r="A4072" t="s">
        <v>5205</v>
      </c>
      <c r="B4072">
        <v>453</v>
      </c>
      <c r="C4072" t="s">
        <v>1134</v>
      </c>
      <c r="D4072">
        <v>2897156</v>
      </c>
      <c r="E4072">
        <v>154174</v>
      </c>
      <c r="F4072">
        <v>50986</v>
      </c>
    </row>
    <row r="4073" spans="1:6">
      <c r="A4073" t="s">
        <v>5206</v>
      </c>
      <c r="B4073">
        <v>453</v>
      </c>
      <c r="C4073" t="s">
        <v>1136</v>
      </c>
      <c r="D4073">
        <v>804766</v>
      </c>
      <c r="E4073">
        <v>154174</v>
      </c>
      <c r="F4073">
        <v>50986</v>
      </c>
    </row>
    <row r="4074" spans="1:6">
      <c r="A4074" t="s">
        <v>5207</v>
      </c>
      <c r="B4074">
        <v>453</v>
      </c>
      <c r="C4074" t="s">
        <v>1138</v>
      </c>
      <c r="D4074">
        <v>241430</v>
      </c>
      <c r="E4074">
        <v>154174</v>
      </c>
      <c r="F4074">
        <v>50986</v>
      </c>
    </row>
    <row r="4075" spans="1:6">
      <c r="A4075" t="s">
        <v>5208</v>
      </c>
      <c r="B4075">
        <v>453</v>
      </c>
      <c r="C4075" t="s">
        <v>738</v>
      </c>
      <c r="D4075">
        <v>6438124</v>
      </c>
      <c r="E4075">
        <v>154174</v>
      </c>
      <c r="F4075">
        <v>50986</v>
      </c>
    </row>
    <row r="4076" spans="1:6">
      <c r="A4076" t="s">
        <v>5209</v>
      </c>
      <c r="B4076">
        <v>453</v>
      </c>
      <c r="C4076" t="s">
        <v>1141</v>
      </c>
      <c r="D4076">
        <v>14485779</v>
      </c>
      <c r="E4076">
        <v>154174</v>
      </c>
      <c r="F4076">
        <v>50986</v>
      </c>
    </row>
    <row r="4077" spans="1:6">
      <c r="A4077" t="s">
        <v>5210</v>
      </c>
      <c r="B4077">
        <v>453</v>
      </c>
      <c r="C4077" t="s">
        <v>159</v>
      </c>
      <c r="D4077">
        <v>202371720</v>
      </c>
      <c r="E4077">
        <v>154174</v>
      </c>
      <c r="F4077">
        <v>50986</v>
      </c>
    </row>
    <row r="4078" spans="1:6">
      <c r="A4078" t="s">
        <v>5211</v>
      </c>
      <c r="B4078">
        <v>453</v>
      </c>
      <c r="C4078" t="s">
        <v>642</v>
      </c>
      <c r="D4078">
        <v>101185860</v>
      </c>
      <c r="E4078">
        <v>154174</v>
      </c>
      <c r="F4078">
        <v>50986</v>
      </c>
    </row>
    <row r="4079" spans="1:6">
      <c r="A4079" t="s">
        <v>5212</v>
      </c>
      <c r="B4079">
        <v>454</v>
      </c>
      <c r="C4079" t="s">
        <v>149</v>
      </c>
      <c r="D4079">
        <v>1621149</v>
      </c>
      <c r="E4079">
        <v>155083</v>
      </c>
      <c r="F4079">
        <v>51140</v>
      </c>
    </row>
    <row r="4080" spans="1:6">
      <c r="A4080" t="s">
        <v>5213</v>
      </c>
      <c r="B4080">
        <v>454</v>
      </c>
      <c r="C4080" t="s">
        <v>1132</v>
      </c>
      <c r="D4080">
        <v>4863447</v>
      </c>
      <c r="E4080">
        <v>155083</v>
      </c>
      <c r="F4080">
        <v>51140</v>
      </c>
    </row>
    <row r="4081" spans="1:6">
      <c r="A4081" t="s">
        <v>5214</v>
      </c>
      <c r="B4081">
        <v>454</v>
      </c>
      <c r="C4081" t="s">
        <v>1134</v>
      </c>
      <c r="D4081">
        <v>2918069</v>
      </c>
      <c r="E4081">
        <v>155083</v>
      </c>
      <c r="F4081">
        <v>51140</v>
      </c>
    </row>
    <row r="4082" spans="1:6">
      <c r="A4082" t="s">
        <v>5215</v>
      </c>
      <c r="B4082">
        <v>454</v>
      </c>
      <c r="C4082" t="s">
        <v>1136</v>
      </c>
      <c r="D4082">
        <v>810575</v>
      </c>
      <c r="E4082">
        <v>155083</v>
      </c>
      <c r="F4082">
        <v>51140</v>
      </c>
    </row>
    <row r="4083" spans="1:6">
      <c r="A4083" t="s">
        <v>5216</v>
      </c>
      <c r="B4083">
        <v>454</v>
      </c>
      <c r="C4083" t="s">
        <v>1138</v>
      </c>
      <c r="D4083">
        <v>243173</v>
      </c>
      <c r="E4083">
        <v>155083</v>
      </c>
      <c r="F4083">
        <v>51140</v>
      </c>
    </row>
    <row r="4084" spans="1:6">
      <c r="A4084" t="s">
        <v>5217</v>
      </c>
      <c r="B4084">
        <v>454</v>
      </c>
      <c r="C4084" t="s">
        <v>738</v>
      </c>
      <c r="D4084">
        <v>6484596</v>
      </c>
      <c r="E4084">
        <v>155083</v>
      </c>
      <c r="F4084">
        <v>51140</v>
      </c>
    </row>
    <row r="4085" spans="1:6">
      <c r="A4085" t="s">
        <v>5218</v>
      </c>
      <c r="B4085">
        <v>454</v>
      </c>
      <c r="C4085" t="s">
        <v>1141</v>
      </c>
      <c r="D4085">
        <v>14590341</v>
      </c>
      <c r="E4085">
        <v>155083</v>
      </c>
      <c r="F4085">
        <v>51140</v>
      </c>
    </row>
    <row r="4086" spans="1:6">
      <c r="A4086" t="s">
        <v>5219</v>
      </c>
      <c r="B4086">
        <v>454</v>
      </c>
      <c r="C4086" t="s">
        <v>159</v>
      </c>
      <c r="D4086">
        <v>203950620</v>
      </c>
      <c r="E4086">
        <v>155083</v>
      </c>
      <c r="F4086">
        <v>51140</v>
      </c>
    </row>
    <row r="4087" spans="1:6">
      <c r="A4087" t="s">
        <v>5220</v>
      </c>
      <c r="B4087">
        <v>454</v>
      </c>
      <c r="C4087" t="s">
        <v>642</v>
      </c>
      <c r="D4087">
        <v>101975310</v>
      </c>
      <c r="E4087">
        <v>155083</v>
      </c>
      <c r="F4087">
        <v>51140</v>
      </c>
    </row>
    <row r="4088" spans="1:6">
      <c r="A4088" t="s">
        <v>5221</v>
      </c>
      <c r="B4088">
        <v>455</v>
      </c>
      <c r="C4088" t="s">
        <v>149</v>
      </c>
      <c r="D4088">
        <v>1632835</v>
      </c>
      <c r="E4088">
        <v>155997</v>
      </c>
      <c r="F4088">
        <v>51295</v>
      </c>
    </row>
    <row r="4089" spans="1:6">
      <c r="A4089" t="s">
        <v>5222</v>
      </c>
      <c r="B4089">
        <v>455</v>
      </c>
      <c r="C4089" t="s">
        <v>1132</v>
      </c>
      <c r="D4089">
        <v>4898505</v>
      </c>
      <c r="E4089">
        <v>155997</v>
      </c>
      <c r="F4089">
        <v>51295</v>
      </c>
    </row>
    <row r="4090" spans="1:6">
      <c r="A4090" t="s">
        <v>5223</v>
      </c>
      <c r="B4090">
        <v>455</v>
      </c>
      <c r="C4090" t="s">
        <v>1134</v>
      </c>
      <c r="D4090">
        <v>2939103</v>
      </c>
      <c r="E4090">
        <v>155997</v>
      </c>
      <c r="F4090">
        <v>51295</v>
      </c>
    </row>
    <row r="4091" spans="1:6">
      <c r="A4091" t="s">
        <v>5224</v>
      </c>
      <c r="B4091">
        <v>455</v>
      </c>
      <c r="C4091" t="s">
        <v>1136</v>
      </c>
      <c r="D4091">
        <v>816418</v>
      </c>
      <c r="E4091">
        <v>155997</v>
      </c>
      <c r="F4091">
        <v>51295</v>
      </c>
    </row>
    <row r="4092" spans="1:6">
      <c r="A4092" t="s">
        <v>5225</v>
      </c>
      <c r="B4092">
        <v>455</v>
      </c>
      <c r="C4092" t="s">
        <v>1138</v>
      </c>
      <c r="D4092">
        <v>244926</v>
      </c>
      <c r="E4092">
        <v>155997</v>
      </c>
      <c r="F4092">
        <v>51295</v>
      </c>
    </row>
    <row r="4093" spans="1:6">
      <c r="A4093" t="s">
        <v>5226</v>
      </c>
      <c r="B4093">
        <v>455</v>
      </c>
      <c r="C4093" t="s">
        <v>738</v>
      </c>
      <c r="D4093">
        <v>6531340</v>
      </c>
      <c r="E4093">
        <v>155997</v>
      </c>
      <c r="F4093">
        <v>51295</v>
      </c>
    </row>
    <row r="4094" spans="1:6">
      <c r="A4094" t="s">
        <v>5227</v>
      </c>
      <c r="B4094">
        <v>455</v>
      </c>
      <c r="C4094" t="s">
        <v>1141</v>
      </c>
      <c r="D4094">
        <v>14695515</v>
      </c>
      <c r="E4094">
        <v>155997</v>
      </c>
      <c r="F4094">
        <v>51295</v>
      </c>
    </row>
    <row r="4095" spans="1:6">
      <c r="A4095" t="s">
        <v>5228</v>
      </c>
      <c r="B4095">
        <v>455</v>
      </c>
      <c r="C4095" t="s">
        <v>159</v>
      </c>
      <c r="D4095">
        <v>205539720</v>
      </c>
      <c r="E4095">
        <v>155997</v>
      </c>
      <c r="F4095">
        <v>51295</v>
      </c>
    </row>
    <row r="4096" spans="1:6">
      <c r="A4096" t="s">
        <v>5229</v>
      </c>
      <c r="B4096">
        <v>455</v>
      </c>
      <c r="C4096" t="s">
        <v>642</v>
      </c>
      <c r="D4096">
        <v>102769860</v>
      </c>
      <c r="E4096">
        <v>155997</v>
      </c>
      <c r="F4096">
        <v>51295</v>
      </c>
    </row>
    <row r="4097" spans="1:6">
      <c r="A4097" t="s">
        <v>5230</v>
      </c>
      <c r="B4097">
        <v>456</v>
      </c>
      <c r="C4097" t="s">
        <v>149</v>
      </c>
      <c r="D4097">
        <v>1644588</v>
      </c>
      <c r="E4097">
        <v>156915</v>
      </c>
      <c r="F4097">
        <v>51449</v>
      </c>
    </row>
    <row r="4098" spans="1:6">
      <c r="A4098" t="s">
        <v>5231</v>
      </c>
      <c r="B4098">
        <v>456</v>
      </c>
      <c r="C4098" t="s">
        <v>1132</v>
      </c>
      <c r="D4098">
        <v>4933764</v>
      </c>
      <c r="E4098">
        <v>156915</v>
      </c>
      <c r="F4098">
        <v>51449</v>
      </c>
    </row>
    <row r="4099" spans="1:6">
      <c r="A4099" t="s">
        <v>5232</v>
      </c>
      <c r="B4099">
        <v>456</v>
      </c>
      <c r="C4099" t="s">
        <v>1134</v>
      </c>
      <c r="D4099">
        <v>2960259</v>
      </c>
      <c r="E4099">
        <v>156915</v>
      </c>
      <c r="F4099">
        <v>51449</v>
      </c>
    </row>
    <row r="4100" spans="1:6">
      <c r="A4100" t="s">
        <v>5233</v>
      </c>
      <c r="B4100">
        <v>456</v>
      </c>
      <c r="C4100" t="s">
        <v>1136</v>
      </c>
      <c r="D4100">
        <v>822294</v>
      </c>
      <c r="E4100">
        <v>156915</v>
      </c>
      <c r="F4100">
        <v>51449</v>
      </c>
    </row>
    <row r="4101" spans="1:6">
      <c r="A4101" t="s">
        <v>5234</v>
      </c>
      <c r="B4101">
        <v>456</v>
      </c>
      <c r="C4101" t="s">
        <v>1138</v>
      </c>
      <c r="D4101">
        <v>246689</v>
      </c>
      <c r="E4101">
        <v>156915</v>
      </c>
      <c r="F4101">
        <v>51449</v>
      </c>
    </row>
    <row r="4102" spans="1:6">
      <c r="A4102" t="s">
        <v>5235</v>
      </c>
      <c r="B4102">
        <v>456</v>
      </c>
      <c r="C4102" t="s">
        <v>738</v>
      </c>
      <c r="D4102">
        <v>6578352</v>
      </c>
      <c r="E4102">
        <v>156915</v>
      </c>
      <c r="F4102">
        <v>51449</v>
      </c>
    </row>
    <row r="4103" spans="1:6">
      <c r="A4103" t="s">
        <v>5236</v>
      </c>
      <c r="B4103">
        <v>456</v>
      </c>
      <c r="C4103" t="s">
        <v>1141</v>
      </c>
      <c r="D4103">
        <v>14801292</v>
      </c>
      <c r="E4103">
        <v>156915</v>
      </c>
      <c r="F4103">
        <v>51449</v>
      </c>
    </row>
    <row r="4104" spans="1:6">
      <c r="A4104" t="s">
        <v>5237</v>
      </c>
      <c r="B4104">
        <v>456</v>
      </c>
      <c r="C4104" t="s">
        <v>159</v>
      </c>
      <c r="D4104">
        <v>207139080</v>
      </c>
      <c r="E4104">
        <v>156915</v>
      </c>
      <c r="F4104">
        <v>51449</v>
      </c>
    </row>
    <row r="4105" spans="1:6">
      <c r="A4105" t="s">
        <v>5238</v>
      </c>
      <c r="B4105">
        <v>456</v>
      </c>
      <c r="C4105" t="s">
        <v>642</v>
      </c>
      <c r="D4105">
        <v>103569540</v>
      </c>
      <c r="E4105">
        <v>156915</v>
      </c>
      <c r="F4105">
        <v>51449</v>
      </c>
    </row>
    <row r="4106" spans="1:6">
      <c r="A4106" t="s">
        <v>5239</v>
      </c>
      <c r="B4106">
        <v>457</v>
      </c>
      <c r="C4106" t="s">
        <v>149</v>
      </c>
      <c r="D4106">
        <v>1656410</v>
      </c>
      <c r="E4106">
        <v>157837</v>
      </c>
      <c r="F4106">
        <v>51604</v>
      </c>
    </row>
    <row r="4107" spans="1:6">
      <c r="A4107" t="s">
        <v>5240</v>
      </c>
      <c r="B4107">
        <v>457</v>
      </c>
      <c r="C4107" t="s">
        <v>1132</v>
      </c>
      <c r="D4107">
        <v>4969230</v>
      </c>
      <c r="E4107">
        <v>157837</v>
      </c>
      <c r="F4107">
        <v>51604</v>
      </c>
    </row>
    <row r="4108" spans="1:6">
      <c r="A4108" t="s">
        <v>5241</v>
      </c>
      <c r="B4108">
        <v>457</v>
      </c>
      <c r="C4108" t="s">
        <v>1134</v>
      </c>
      <c r="D4108">
        <v>2981538</v>
      </c>
      <c r="E4108">
        <v>157837</v>
      </c>
      <c r="F4108">
        <v>51604</v>
      </c>
    </row>
    <row r="4109" spans="1:6">
      <c r="A4109" t="s">
        <v>5242</v>
      </c>
      <c r="B4109">
        <v>457</v>
      </c>
      <c r="C4109" t="s">
        <v>1136</v>
      </c>
      <c r="D4109">
        <v>828205</v>
      </c>
      <c r="E4109">
        <v>157837</v>
      </c>
      <c r="F4109">
        <v>51604</v>
      </c>
    </row>
    <row r="4110" spans="1:6">
      <c r="A4110" t="s">
        <v>5243</v>
      </c>
      <c r="B4110">
        <v>457</v>
      </c>
      <c r="C4110" t="s">
        <v>1138</v>
      </c>
      <c r="D4110">
        <v>248462</v>
      </c>
      <c r="E4110">
        <v>157837</v>
      </c>
      <c r="F4110">
        <v>51604</v>
      </c>
    </row>
    <row r="4111" spans="1:6">
      <c r="A4111" t="s">
        <v>5244</v>
      </c>
      <c r="B4111">
        <v>457</v>
      </c>
      <c r="C4111" t="s">
        <v>738</v>
      </c>
      <c r="D4111">
        <v>6625640</v>
      </c>
      <c r="E4111">
        <v>157837</v>
      </c>
      <c r="F4111">
        <v>51604</v>
      </c>
    </row>
    <row r="4112" spans="1:6">
      <c r="A4112" t="s">
        <v>5245</v>
      </c>
      <c r="B4112">
        <v>457</v>
      </c>
      <c r="C4112" t="s">
        <v>1141</v>
      </c>
      <c r="D4112">
        <v>14907690</v>
      </c>
      <c r="E4112">
        <v>157837</v>
      </c>
      <c r="F4112">
        <v>51604</v>
      </c>
    </row>
    <row r="4113" spans="1:6">
      <c r="A4113" t="s">
        <v>5246</v>
      </c>
      <c r="B4113">
        <v>457</v>
      </c>
      <c r="C4113" t="s">
        <v>159</v>
      </c>
      <c r="D4113">
        <v>208748640</v>
      </c>
      <c r="E4113">
        <v>157837</v>
      </c>
      <c r="F4113">
        <v>51604</v>
      </c>
    </row>
    <row r="4114" spans="1:6">
      <c r="A4114" t="s">
        <v>5247</v>
      </c>
      <c r="B4114">
        <v>457</v>
      </c>
      <c r="C4114" t="s">
        <v>642</v>
      </c>
      <c r="D4114">
        <v>104374320</v>
      </c>
      <c r="E4114">
        <v>157837</v>
      </c>
      <c r="F4114">
        <v>51604</v>
      </c>
    </row>
    <row r="4115" spans="1:6">
      <c r="A4115" t="s">
        <v>5248</v>
      </c>
      <c r="B4115">
        <v>458</v>
      </c>
      <c r="C4115" t="s">
        <v>149</v>
      </c>
      <c r="D4115">
        <v>1668300</v>
      </c>
      <c r="E4115">
        <v>158763</v>
      </c>
      <c r="F4115">
        <v>51759</v>
      </c>
    </row>
    <row r="4116" spans="1:6">
      <c r="A4116" t="s">
        <v>5249</v>
      </c>
      <c r="B4116">
        <v>458</v>
      </c>
      <c r="C4116" t="s">
        <v>1132</v>
      </c>
      <c r="D4116">
        <v>5004900</v>
      </c>
      <c r="E4116">
        <v>158763</v>
      </c>
      <c r="F4116">
        <v>51759</v>
      </c>
    </row>
    <row r="4117" spans="1:6">
      <c r="A4117" t="s">
        <v>5250</v>
      </c>
      <c r="B4117">
        <v>458</v>
      </c>
      <c r="C4117" t="s">
        <v>1134</v>
      </c>
      <c r="D4117">
        <v>3002940</v>
      </c>
      <c r="E4117">
        <v>158763</v>
      </c>
      <c r="F4117">
        <v>51759</v>
      </c>
    </row>
    <row r="4118" spans="1:6">
      <c r="A4118" t="s">
        <v>5251</v>
      </c>
      <c r="B4118">
        <v>458</v>
      </c>
      <c r="C4118" t="s">
        <v>1136</v>
      </c>
      <c r="D4118">
        <v>834150</v>
      </c>
      <c r="E4118">
        <v>158763</v>
      </c>
      <c r="F4118">
        <v>51759</v>
      </c>
    </row>
    <row r="4119" spans="1:6">
      <c r="A4119" t="s">
        <v>5252</v>
      </c>
      <c r="B4119">
        <v>458</v>
      </c>
      <c r="C4119" t="s">
        <v>1138</v>
      </c>
      <c r="D4119">
        <v>250245</v>
      </c>
      <c r="E4119">
        <v>158763</v>
      </c>
      <c r="F4119">
        <v>51759</v>
      </c>
    </row>
    <row r="4120" spans="1:6">
      <c r="A4120" t="s">
        <v>5253</v>
      </c>
      <c r="B4120">
        <v>458</v>
      </c>
      <c r="C4120" t="s">
        <v>738</v>
      </c>
      <c r="D4120">
        <v>6673200</v>
      </c>
      <c r="E4120">
        <v>158763</v>
      </c>
      <c r="F4120">
        <v>51759</v>
      </c>
    </row>
    <row r="4121" spans="1:6">
      <c r="A4121" t="s">
        <v>5254</v>
      </c>
      <c r="B4121">
        <v>458</v>
      </c>
      <c r="C4121" t="s">
        <v>1141</v>
      </c>
      <c r="D4121">
        <v>15014700</v>
      </c>
      <c r="E4121">
        <v>158763</v>
      </c>
      <c r="F4121">
        <v>51759</v>
      </c>
    </row>
    <row r="4122" spans="1:6">
      <c r="A4122" t="s">
        <v>5255</v>
      </c>
      <c r="B4122">
        <v>458</v>
      </c>
      <c r="C4122" t="s">
        <v>159</v>
      </c>
      <c r="D4122">
        <v>210368580</v>
      </c>
      <c r="E4122">
        <v>158763</v>
      </c>
      <c r="F4122">
        <v>51759</v>
      </c>
    </row>
    <row r="4123" spans="1:6">
      <c r="A4123" t="s">
        <v>5256</v>
      </c>
      <c r="B4123">
        <v>458</v>
      </c>
      <c r="C4123" t="s">
        <v>642</v>
      </c>
      <c r="D4123">
        <v>105184290</v>
      </c>
      <c r="E4123">
        <v>158763</v>
      </c>
      <c r="F4123">
        <v>51759</v>
      </c>
    </row>
    <row r="4124" spans="1:6">
      <c r="A4124" t="s">
        <v>5257</v>
      </c>
      <c r="B4124">
        <v>459</v>
      </c>
      <c r="C4124" t="s">
        <v>149</v>
      </c>
      <c r="D4124">
        <v>1680259</v>
      </c>
      <c r="E4124">
        <v>159693</v>
      </c>
      <c r="F4124">
        <v>51915</v>
      </c>
    </row>
    <row r="4125" spans="1:6">
      <c r="A4125" t="s">
        <v>5258</v>
      </c>
      <c r="B4125">
        <v>459</v>
      </c>
      <c r="C4125" t="s">
        <v>1132</v>
      </c>
      <c r="D4125">
        <v>5040777</v>
      </c>
      <c r="E4125">
        <v>159693</v>
      </c>
      <c r="F4125">
        <v>51915</v>
      </c>
    </row>
    <row r="4126" spans="1:6">
      <c r="A4126" t="s">
        <v>5259</v>
      </c>
      <c r="B4126">
        <v>459</v>
      </c>
      <c r="C4126" t="s">
        <v>1134</v>
      </c>
      <c r="D4126">
        <v>3024467</v>
      </c>
      <c r="E4126">
        <v>159693</v>
      </c>
      <c r="F4126">
        <v>51915</v>
      </c>
    </row>
    <row r="4127" spans="1:6">
      <c r="A4127" t="s">
        <v>5260</v>
      </c>
      <c r="B4127">
        <v>459</v>
      </c>
      <c r="C4127" t="s">
        <v>1136</v>
      </c>
      <c r="D4127">
        <v>840130</v>
      </c>
      <c r="E4127">
        <v>159693</v>
      </c>
      <c r="F4127">
        <v>51915</v>
      </c>
    </row>
    <row r="4128" spans="1:6">
      <c r="A4128" t="s">
        <v>5261</v>
      </c>
      <c r="B4128">
        <v>459</v>
      </c>
      <c r="C4128" t="s">
        <v>1138</v>
      </c>
      <c r="D4128">
        <v>252039</v>
      </c>
      <c r="E4128">
        <v>159693</v>
      </c>
      <c r="F4128">
        <v>51915</v>
      </c>
    </row>
    <row r="4129" spans="1:6">
      <c r="A4129" t="s">
        <v>5262</v>
      </c>
      <c r="B4129">
        <v>459</v>
      </c>
      <c r="C4129" t="s">
        <v>738</v>
      </c>
      <c r="D4129">
        <v>6721036</v>
      </c>
      <c r="E4129">
        <v>159693</v>
      </c>
      <c r="F4129">
        <v>51915</v>
      </c>
    </row>
    <row r="4130" spans="1:6">
      <c r="A4130" t="s">
        <v>5263</v>
      </c>
      <c r="B4130">
        <v>459</v>
      </c>
      <c r="C4130" t="s">
        <v>1141</v>
      </c>
      <c r="D4130">
        <v>15122331</v>
      </c>
      <c r="E4130">
        <v>159693</v>
      </c>
      <c r="F4130">
        <v>51915</v>
      </c>
    </row>
    <row r="4131" spans="1:6">
      <c r="A4131" t="s">
        <v>5264</v>
      </c>
      <c r="B4131">
        <v>459</v>
      </c>
      <c r="C4131" t="s">
        <v>159</v>
      </c>
      <c r="D4131">
        <v>211998900</v>
      </c>
      <c r="E4131">
        <v>159693</v>
      </c>
      <c r="F4131">
        <v>51915</v>
      </c>
    </row>
    <row r="4132" spans="1:6">
      <c r="A4132" t="s">
        <v>5265</v>
      </c>
      <c r="B4132">
        <v>459</v>
      </c>
      <c r="C4132" t="s">
        <v>642</v>
      </c>
      <c r="D4132">
        <v>105999450</v>
      </c>
      <c r="E4132">
        <v>159693</v>
      </c>
      <c r="F4132">
        <v>51915</v>
      </c>
    </row>
    <row r="4133" spans="1:6">
      <c r="A4133" t="s">
        <v>5266</v>
      </c>
      <c r="B4133">
        <v>460</v>
      </c>
      <c r="C4133" t="s">
        <v>149</v>
      </c>
      <c r="D4133">
        <v>1692287</v>
      </c>
      <c r="E4133">
        <v>160627</v>
      </c>
      <c r="F4133">
        <v>52070</v>
      </c>
    </row>
    <row r="4134" spans="1:6">
      <c r="A4134" t="s">
        <v>5267</v>
      </c>
      <c r="B4134">
        <v>460</v>
      </c>
      <c r="C4134" t="s">
        <v>1132</v>
      </c>
      <c r="D4134">
        <v>5076861</v>
      </c>
      <c r="E4134">
        <v>160627</v>
      </c>
      <c r="F4134">
        <v>52070</v>
      </c>
    </row>
    <row r="4135" spans="1:6">
      <c r="A4135" t="s">
        <v>5268</v>
      </c>
      <c r="B4135">
        <v>460</v>
      </c>
      <c r="C4135" t="s">
        <v>1134</v>
      </c>
      <c r="D4135">
        <v>3046117</v>
      </c>
      <c r="E4135">
        <v>160627</v>
      </c>
      <c r="F4135">
        <v>52070</v>
      </c>
    </row>
    <row r="4136" spans="1:6">
      <c r="A4136" t="s">
        <v>5269</v>
      </c>
      <c r="B4136">
        <v>460</v>
      </c>
      <c r="C4136" t="s">
        <v>1136</v>
      </c>
      <c r="D4136">
        <v>846144</v>
      </c>
      <c r="E4136">
        <v>160627</v>
      </c>
      <c r="F4136">
        <v>52070</v>
      </c>
    </row>
    <row r="4137" spans="1:6">
      <c r="A4137" t="s">
        <v>5270</v>
      </c>
      <c r="B4137">
        <v>460</v>
      </c>
      <c r="C4137" t="s">
        <v>1138</v>
      </c>
      <c r="D4137">
        <v>253844</v>
      </c>
      <c r="E4137">
        <v>160627</v>
      </c>
      <c r="F4137">
        <v>52070</v>
      </c>
    </row>
    <row r="4138" spans="1:6">
      <c r="A4138" t="s">
        <v>5271</v>
      </c>
      <c r="B4138">
        <v>460</v>
      </c>
      <c r="C4138" t="s">
        <v>738</v>
      </c>
      <c r="D4138">
        <v>6769148</v>
      </c>
      <c r="E4138">
        <v>160627</v>
      </c>
      <c r="F4138">
        <v>52070</v>
      </c>
    </row>
    <row r="4139" spans="1:6">
      <c r="A4139" t="s">
        <v>5272</v>
      </c>
      <c r="B4139">
        <v>460</v>
      </c>
      <c r="C4139" t="s">
        <v>1141</v>
      </c>
      <c r="D4139">
        <v>15230583</v>
      </c>
      <c r="E4139">
        <v>160627</v>
      </c>
      <c r="F4139">
        <v>52070</v>
      </c>
    </row>
    <row r="4140" spans="1:6">
      <c r="A4140" t="s">
        <v>5273</v>
      </c>
      <c r="B4140">
        <v>460</v>
      </c>
      <c r="C4140" t="s">
        <v>159</v>
      </c>
      <c r="D4140">
        <v>213639660</v>
      </c>
      <c r="E4140">
        <v>160627</v>
      </c>
      <c r="F4140">
        <v>52070</v>
      </c>
    </row>
    <row r="4141" spans="1:6">
      <c r="A4141" t="s">
        <v>5274</v>
      </c>
      <c r="B4141">
        <v>460</v>
      </c>
      <c r="C4141" t="s">
        <v>642</v>
      </c>
      <c r="D4141">
        <v>106819830</v>
      </c>
      <c r="E4141">
        <v>160627</v>
      </c>
      <c r="F4141">
        <v>52070</v>
      </c>
    </row>
    <row r="4142" spans="1:6">
      <c r="A4142" t="s">
        <v>5275</v>
      </c>
      <c r="B4142">
        <v>461</v>
      </c>
      <c r="C4142" t="s">
        <v>149</v>
      </c>
      <c r="D4142">
        <v>1704384</v>
      </c>
      <c r="E4142">
        <v>161566</v>
      </c>
      <c r="F4142">
        <v>52226</v>
      </c>
    </row>
    <row r="4143" spans="1:6">
      <c r="A4143" t="s">
        <v>5276</v>
      </c>
      <c r="B4143">
        <v>461</v>
      </c>
      <c r="C4143" t="s">
        <v>1132</v>
      </c>
      <c r="D4143">
        <v>5113152</v>
      </c>
      <c r="E4143">
        <v>161566</v>
      </c>
      <c r="F4143">
        <v>52226</v>
      </c>
    </row>
    <row r="4144" spans="1:6">
      <c r="A4144" t="s">
        <v>5277</v>
      </c>
      <c r="B4144">
        <v>461</v>
      </c>
      <c r="C4144" t="s">
        <v>1134</v>
      </c>
      <c r="D4144">
        <v>3067892</v>
      </c>
      <c r="E4144">
        <v>161566</v>
      </c>
      <c r="F4144">
        <v>52226</v>
      </c>
    </row>
    <row r="4145" spans="1:6">
      <c r="A4145" t="s">
        <v>5278</v>
      </c>
      <c r="B4145">
        <v>461</v>
      </c>
      <c r="C4145" t="s">
        <v>1136</v>
      </c>
      <c r="D4145">
        <v>852192</v>
      </c>
      <c r="E4145">
        <v>161566</v>
      </c>
      <c r="F4145">
        <v>52226</v>
      </c>
    </row>
    <row r="4146" spans="1:6">
      <c r="A4146" t="s">
        <v>5279</v>
      </c>
      <c r="B4146">
        <v>461</v>
      </c>
      <c r="C4146" t="s">
        <v>1138</v>
      </c>
      <c r="D4146">
        <v>255658</v>
      </c>
      <c r="E4146">
        <v>161566</v>
      </c>
      <c r="F4146">
        <v>52226</v>
      </c>
    </row>
    <row r="4147" spans="1:6">
      <c r="A4147" t="s">
        <v>5280</v>
      </c>
      <c r="B4147">
        <v>461</v>
      </c>
      <c r="C4147" t="s">
        <v>738</v>
      </c>
      <c r="D4147">
        <v>6817536</v>
      </c>
      <c r="E4147">
        <v>161566</v>
      </c>
      <c r="F4147">
        <v>52226</v>
      </c>
    </row>
    <row r="4148" spans="1:6">
      <c r="A4148" t="s">
        <v>5281</v>
      </c>
      <c r="B4148">
        <v>461</v>
      </c>
      <c r="C4148" t="s">
        <v>1141</v>
      </c>
      <c r="D4148">
        <v>15339456</v>
      </c>
      <c r="E4148">
        <v>161566</v>
      </c>
      <c r="F4148">
        <v>52226</v>
      </c>
    </row>
    <row r="4149" spans="1:6">
      <c r="A4149" t="s">
        <v>5282</v>
      </c>
      <c r="B4149">
        <v>461</v>
      </c>
      <c r="C4149" t="s">
        <v>159</v>
      </c>
      <c r="D4149">
        <v>215290920</v>
      </c>
      <c r="E4149">
        <v>161566</v>
      </c>
      <c r="F4149">
        <v>52226</v>
      </c>
    </row>
    <row r="4150" spans="1:6">
      <c r="A4150" t="s">
        <v>5283</v>
      </c>
      <c r="B4150">
        <v>461</v>
      </c>
      <c r="C4150" t="s">
        <v>642</v>
      </c>
      <c r="D4150">
        <v>107645460</v>
      </c>
      <c r="E4150">
        <v>161566</v>
      </c>
      <c r="F4150">
        <v>52226</v>
      </c>
    </row>
    <row r="4151" spans="1:6">
      <c r="A4151" t="s">
        <v>5284</v>
      </c>
      <c r="B4151">
        <v>462</v>
      </c>
      <c r="C4151" t="s">
        <v>149</v>
      </c>
      <c r="D4151">
        <v>1716551</v>
      </c>
      <c r="E4151">
        <v>162509</v>
      </c>
      <c r="F4151">
        <v>52382</v>
      </c>
    </row>
    <row r="4152" spans="1:6">
      <c r="A4152" t="s">
        <v>5285</v>
      </c>
      <c r="B4152">
        <v>462</v>
      </c>
      <c r="C4152" t="s">
        <v>1132</v>
      </c>
      <c r="D4152">
        <v>5149653</v>
      </c>
      <c r="E4152">
        <v>162509</v>
      </c>
      <c r="F4152">
        <v>52382</v>
      </c>
    </row>
    <row r="4153" spans="1:6">
      <c r="A4153" t="s">
        <v>5286</v>
      </c>
      <c r="B4153">
        <v>462</v>
      </c>
      <c r="C4153" t="s">
        <v>1134</v>
      </c>
      <c r="D4153">
        <v>3089792</v>
      </c>
      <c r="E4153">
        <v>162509</v>
      </c>
      <c r="F4153">
        <v>52382</v>
      </c>
    </row>
    <row r="4154" spans="1:6">
      <c r="A4154" t="s">
        <v>5287</v>
      </c>
      <c r="B4154">
        <v>462</v>
      </c>
      <c r="C4154" t="s">
        <v>1136</v>
      </c>
      <c r="D4154">
        <v>858276</v>
      </c>
      <c r="E4154">
        <v>162509</v>
      </c>
      <c r="F4154">
        <v>52382</v>
      </c>
    </row>
    <row r="4155" spans="1:6">
      <c r="A4155" t="s">
        <v>5288</v>
      </c>
      <c r="B4155">
        <v>462</v>
      </c>
      <c r="C4155" t="s">
        <v>1138</v>
      </c>
      <c r="D4155">
        <v>257483</v>
      </c>
      <c r="E4155">
        <v>162509</v>
      </c>
      <c r="F4155">
        <v>52382</v>
      </c>
    </row>
    <row r="4156" spans="1:6">
      <c r="A4156" t="s">
        <v>5289</v>
      </c>
      <c r="B4156">
        <v>462</v>
      </c>
      <c r="C4156" t="s">
        <v>738</v>
      </c>
      <c r="D4156">
        <v>6866204</v>
      </c>
      <c r="E4156">
        <v>162509</v>
      </c>
      <c r="F4156">
        <v>52382</v>
      </c>
    </row>
    <row r="4157" spans="1:6">
      <c r="A4157" t="s">
        <v>5290</v>
      </c>
      <c r="B4157">
        <v>462</v>
      </c>
      <c r="C4157" t="s">
        <v>1141</v>
      </c>
      <c r="D4157">
        <v>15448959</v>
      </c>
      <c r="E4157">
        <v>162509</v>
      </c>
      <c r="F4157">
        <v>52382</v>
      </c>
    </row>
    <row r="4158" spans="1:6">
      <c r="A4158" t="s">
        <v>5291</v>
      </c>
      <c r="B4158">
        <v>462</v>
      </c>
      <c r="C4158" t="s">
        <v>159</v>
      </c>
      <c r="D4158">
        <v>216952740</v>
      </c>
      <c r="E4158">
        <v>162509</v>
      </c>
      <c r="F4158">
        <v>52382</v>
      </c>
    </row>
    <row r="4159" spans="1:6">
      <c r="A4159" t="s">
        <v>5292</v>
      </c>
      <c r="B4159">
        <v>462</v>
      </c>
      <c r="C4159" t="s">
        <v>642</v>
      </c>
      <c r="D4159">
        <v>108476370</v>
      </c>
      <c r="E4159">
        <v>162509</v>
      </c>
      <c r="F4159">
        <v>52382</v>
      </c>
    </row>
    <row r="4160" spans="1:6">
      <c r="A4160" t="s">
        <v>5293</v>
      </c>
      <c r="B4160">
        <v>463</v>
      </c>
      <c r="C4160" t="s">
        <v>149</v>
      </c>
      <c r="D4160">
        <v>1728788</v>
      </c>
      <c r="E4160">
        <v>163456</v>
      </c>
      <c r="F4160">
        <v>52538</v>
      </c>
    </row>
    <row r="4161" spans="1:6">
      <c r="A4161" t="s">
        <v>5294</v>
      </c>
      <c r="B4161">
        <v>463</v>
      </c>
      <c r="C4161" t="s">
        <v>1132</v>
      </c>
      <c r="D4161">
        <v>5186364</v>
      </c>
      <c r="E4161">
        <v>163456</v>
      </c>
      <c r="F4161">
        <v>52538</v>
      </c>
    </row>
    <row r="4162" spans="1:6">
      <c r="A4162" t="s">
        <v>5295</v>
      </c>
      <c r="B4162">
        <v>463</v>
      </c>
      <c r="C4162" t="s">
        <v>1134</v>
      </c>
      <c r="D4162">
        <v>3111819</v>
      </c>
      <c r="E4162">
        <v>163456</v>
      </c>
      <c r="F4162">
        <v>52538</v>
      </c>
    </row>
    <row r="4163" spans="1:6">
      <c r="A4163" t="s">
        <v>5296</v>
      </c>
      <c r="B4163">
        <v>463</v>
      </c>
      <c r="C4163" t="s">
        <v>1136</v>
      </c>
      <c r="D4163">
        <v>864394</v>
      </c>
      <c r="E4163">
        <v>163456</v>
      </c>
      <c r="F4163">
        <v>52538</v>
      </c>
    </row>
    <row r="4164" spans="1:6">
      <c r="A4164" t="s">
        <v>5297</v>
      </c>
      <c r="B4164">
        <v>463</v>
      </c>
      <c r="C4164" t="s">
        <v>1138</v>
      </c>
      <c r="D4164">
        <v>259319</v>
      </c>
      <c r="E4164">
        <v>163456</v>
      </c>
      <c r="F4164">
        <v>52538</v>
      </c>
    </row>
    <row r="4165" spans="1:6">
      <c r="A4165" t="s">
        <v>5298</v>
      </c>
      <c r="B4165">
        <v>463</v>
      </c>
      <c r="C4165" t="s">
        <v>738</v>
      </c>
      <c r="D4165">
        <v>6915152</v>
      </c>
      <c r="E4165">
        <v>163456</v>
      </c>
      <c r="F4165">
        <v>52538</v>
      </c>
    </row>
    <row r="4166" spans="1:6">
      <c r="A4166" t="s">
        <v>5299</v>
      </c>
      <c r="B4166">
        <v>463</v>
      </c>
      <c r="C4166" t="s">
        <v>1141</v>
      </c>
      <c r="D4166">
        <v>15559092</v>
      </c>
      <c r="E4166">
        <v>163456</v>
      </c>
      <c r="F4166">
        <v>52538</v>
      </c>
    </row>
    <row r="4167" spans="1:6">
      <c r="A4167" t="s">
        <v>5300</v>
      </c>
      <c r="B4167">
        <v>463</v>
      </c>
      <c r="C4167" t="s">
        <v>159</v>
      </c>
      <c r="D4167">
        <v>218625180</v>
      </c>
      <c r="E4167">
        <v>163456</v>
      </c>
      <c r="F4167">
        <v>52538</v>
      </c>
    </row>
    <row r="4168" spans="1:6">
      <c r="A4168" t="s">
        <v>5301</v>
      </c>
      <c r="B4168">
        <v>463</v>
      </c>
      <c r="C4168" t="s">
        <v>642</v>
      </c>
      <c r="D4168">
        <v>109312590</v>
      </c>
      <c r="E4168">
        <v>163456</v>
      </c>
      <c r="F4168">
        <v>52538</v>
      </c>
    </row>
    <row r="4169" spans="1:6">
      <c r="A4169" t="s">
        <v>5302</v>
      </c>
      <c r="B4169">
        <v>464</v>
      </c>
      <c r="C4169" t="s">
        <v>149</v>
      </c>
      <c r="D4169">
        <v>1741096</v>
      </c>
      <c r="E4169">
        <v>164407</v>
      </c>
      <c r="F4169">
        <v>52694</v>
      </c>
    </row>
    <row r="4170" spans="1:6">
      <c r="A4170" t="s">
        <v>5303</v>
      </c>
      <c r="B4170">
        <v>464</v>
      </c>
      <c r="C4170" t="s">
        <v>1132</v>
      </c>
      <c r="D4170">
        <v>5223288</v>
      </c>
      <c r="E4170">
        <v>164407</v>
      </c>
      <c r="F4170">
        <v>52694</v>
      </c>
    </row>
    <row r="4171" spans="1:6">
      <c r="A4171" t="s">
        <v>5304</v>
      </c>
      <c r="B4171">
        <v>464</v>
      </c>
      <c r="C4171" t="s">
        <v>1134</v>
      </c>
      <c r="D4171">
        <v>3133973</v>
      </c>
      <c r="E4171">
        <v>164407</v>
      </c>
      <c r="F4171">
        <v>52694</v>
      </c>
    </row>
    <row r="4172" spans="1:6">
      <c r="A4172" t="s">
        <v>5305</v>
      </c>
      <c r="B4172">
        <v>464</v>
      </c>
      <c r="C4172" t="s">
        <v>1136</v>
      </c>
      <c r="D4172">
        <v>870548</v>
      </c>
      <c r="E4172">
        <v>164407</v>
      </c>
      <c r="F4172">
        <v>52694</v>
      </c>
    </row>
    <row r="4173" spans="1:6">
      <c r="A4173" t="s">
        <v>5306</v>
      </c>
      <c r="B4173">
        <v>464</v>
      </c>
      <c r="C4173" t="s">
        <v>1138</v>
      </c>
      <c r="D4173">
        <v>261165</v>
      </c>
      <c r="E4173">
        <v>164407</v>
      </c>
      <c r="F4173">
        <v>52694</v>
      </c>
    </row>
    <row r="4174" spans="1:6">
      <c r="A4174" t="s">
        <v>5307</v>
      </c>
      <c r="B4174">
        <v>464</v>
      </c>
      <c r="C4174" t="s">
        <v>738</v>
      </c>
      <c r="D4174">
        <v>6964384</v>
      </c>
      <c r="E4174">
        <v>164407</v>
      </c>
      <c r="F4174">
        <v>52694</v>
      </c>
    </row>
    <row r="4175" spans="1:6">
      <c r="A4175" t="s">
        <v>5308</v>
      </c>
      <c r="B4175">
        <v>464</v>
      </c>
      <c r="C4175" t="s">
        <v>1141</v>
      </c>
      <c r="D4175">
        <v>15669864</v>
      </c>
      <c r="E4175">
        <v>164407</v>
      </c>
      <c r="F4175">
        <v>52694</v>
      </c>
    </row>
    <row r="4176" spans="1:6">
      <c r="A4176" t="s">
        <v>5309</v>
      </c>
      <c r="B4176">
        <v>464</v>
      </c>
      <c r="C4176" t="s">
        <v>159</v>
      </c>
      <c r="D4176">
        <v>220308240</v>
      </c>
      <c r="E4176">
        <v>164407</v>
      </c>
      <c r="F4176">
        <v>52694</v>
      </c>
    </row>
    <row r="4177" spans="1:6">
      <c r="A4177" t="s">
        <v>5310</v>
      </c>
      <c r="B4177">
        <v>464</v>
      </c>
      <c r="C4177" t="s">
        <v>642</v>
      </c>
      <c r="D4177">
        <v>110154120</v>
      </c>
      <c r="E4177">
        <v>164407</v>
      </c>
      <c r="F4177">
        <v>52694</v>
      </c>
    </row>
    <row r="4178" spans="1:6">
      <c r="A4178" t="s">
        <v>5311</v>
      </c>
      <c r="B4178">
        <v>465</v>
      </c>
      <c r="C4178" t="s">
        <v>149</v>
      </c>
      <c r="D4178">
        <v>1753474</v>
      </c>
      <c r="E4178">
        <v>165363</v>
      </c>
      <c r="F4178">
        <v>52850</v>
      </c>
    </row>
    <row r="4179" spans="1:6">
      <c r="A4179" t="s">
        <v>5312</v>
      </c>
      <c r="B4179">
        <v>465</v>
      </c>
      <c r="C4179" t="s">
        <v>1132</v>
      </c>
      <c r="D4179">
        <v>5260422</v>
      </c>
      <c r="E4179">
        <v>165363</v>
      </c>
      <c r="F4179">
        <v>52850</v>
      </c>
    </row>
    <row r="4180" spans="1:6">
      <c r="A4180" t="s">
        <v>5313</v>
      </c>
      <c r="B4180">
        <v>465</v>
      </c>
      <c r="C4180" t="s">
        <v>1134</v>
      </c>
      <c r="D4180">
        <v>3156254</v>
      </c>
      <c r="E4180">
        <v>165363</v>
      </c>
      <c r="F4180">
        <v>52850</v>
      </c>
    </row>
    <row r="4181" spans="1:6">
      <c r="A4181" t="s">
        <v>5314</v>
      </c>
      <c r="B4181">
        <v>465</v>
      </c>
      <c r="C4181" t="s">
        <v>1136</v>
      </c>
      <c r="D4181">
        <v>876737</v>
      </c>
      <c r="E4181">
        <v>165363</v>
      </c>
      <c r="F4181">
        <v>52850</v>
      </c>
    </row>
    <row r="4182" spans="1:6">
      <c r="A4182" t="s">
        <v>5315</v>
      </c>
      <c r="B4182">
        <v>465</v>
      </c>
      <c r="C4182" t="s">
        <v>1138</v>
      </c>
      <c r="D4182">
        <v>263022</v>
      </c>
      <c r="E4182">
        <v>165363</v>
      </c>
      <c r="F4182">
        <v>52850</v>
      </c>
    </row>
    <row r="4183" spans="1:6">
      <c r="A4183" t="s">
        <v>5316</v>
      </c>
      <c r="B4183">
        <v>465</v>
      </c>
      <c r="C4183" t="s">
        <v>738</v>
      </c>
      <c r="D4183">
        <v>7013896</v>
      </c>
      <c r="E4183">
        <v>165363</v>
      </c>
      <c r="F4183">
        <v>52850</v>
      </c>
    </row>
    <row r="4184" spans="1:6">
      <c r="A4184" t="s">
        <v>5317</v>
      </c>
      <c r="B4184">
        <v>465</v>
      </c>
      <c r="C4184" t="s">
        <v>1141</v>
      </c>
      <c r="D4184">
        <v>15781266</v>
      </c>
      <c r="E4184">
        <v>165363</v>
      </c>
      <c r="F4184">
        <v>52850</v>
      </c>
    </row>
    <row r="4185" spans="1:6">
      <c r="A4185" t="s">
        <v>5318</v>
      </c>
      <c r="B4185">
        <v>465</v>
      </c>
      <c r="C4185" t="s">
        <v>159</v>
      </c>
      <c r="D4185">
        <v>222002040</v>
      </c>
      <c r="E4185">
        <v>165363</v>
      </c>
      <c r="F4185">
        <v>52850</v>
      </c>
    </row>
    <row r="4186" spans="1:6">
      <c r="A4186" t="s">
        <v>5319</v>
      </c>
      <c r="B4186">
        <v>465</v>
      </c>
      <c r="C4186" t="s">
        <v>642</v>
      </c>
      <c r="D4186">
        <v>111001020</v>
      </c>
      <c r="E4186">
        <v>165363</v>
      </c>
      <c r="F4186">
        <v>52850</v>
      </c>
    </row>
    <row r="4187" spans="1:6">
      <c r="A4187" t="s">
        <v>5320</v>
      </c>
      <c r="B4187">
        <v>466</v>
      </c>
      <c r="C4187" t="s">
        <v>149</v>
      </c>
      <c r="D4187">
        <v>1765924</v>
      </c>
      <c r="E4187">
        <v>166323</v>
      </c>
      <c r="F4187">
        <v>53007</v>
      </c>
    </row>
    <row r="4188" spans="1:6">
      <c r="A4188" t="s">
        <v>5321</v>
      </c>
      <c r="B4188">
        <v>466</v>
      </c>
      <c r="C4188" t="s">
        <v>1132</v>
      </c>
      <c r="D4188">
        <v>5297772</v>
      </c>
      <c r="E4188">
        <v>166323</v>
      </c>
      <c r="F4188">
        <v>53007</v>
      </c>
    </row>
    <row r="4189" spans="1:6">
      <c r="A4189" t="s">
        <v>5322</v>
      </c>
      <c r="B4189">
        <v>466</v>
      </c>
      <c r="C4189" t="s">
        <v>1134</v>
      </c>
      <c r="D4189">
        <v>3178664</v>
      </c>
      <c r="E4189">
        <v>166323</v>
      </c>
      <c r="F4189">
        <v>53007</v>
      </c>
    </row>
    <row r="4190" spans="1:6">
      <c r="A4190" t="s">
        <v>5323</v>
      </c>
      <c r="B4190">
        <v>466</v>
      </c>
      <c r="C4190" t="s">
        <v>1136</v>
      </c>
      <c r="D4190">
        <v>882962</v>
      </c>
      <c r="E4190">
        <v>166323</v>
      </c>
      <c r="F4190">
        <v>53007</v>
      </c>
    </row>
    <row r="4191" spans="1:6">
      <c r="A4191" t="s">
        <v>5324</v>
      </c>
      <c r="B4191">
        <v>466</v>
      </c>
      <c r="C4191" t="s">
        <v>1138</v>
      </c>
      <c r="D4191">
        <v>264889</v>
      </c>
      <c r="E4191">
        <v>166323</v>
      </c>
      <c r="F4191">
        <v>53007</v>
      </c>
    </row>
    <row r="4192" spans="1:6">
      <c r="A4192" t="s">
        <v>5325</v>
      </c>
      <c r="B4192">
        <v>466</v>
      </c>
      <c r="C4192" t="s">
        <v>738</v>
      </c>
      <c r="D4192">
        <v>7063696</v>
      </c>
      <c r="E4192">
        <v>166323</v>
      </c>
      <c r="F4192">
        <v>53007</v>
      </c>
    </row>
    <row r="4193" spans="1:6">
      <c r="A4193" t="s">
        <v>5326</v>
      </c>
      <c r="B4193">
        <v>466</v>
      </c>
      <c r="C4193" t="s">
        <v>1141</v>
      </c>
      <c r="D4193">
        <v>15893316</v>
      </c>
      <c r="E4193">
        <v>166323</v>
      </c>
      <c r="F4193">
        <v>53007</v>
      </c>
    </row>
    <row r="4194" spans="1:6">
      <c r="A4194" t="s">
        <v>5327</v>
      </c>
      <c r="B4194">
        <v>466</v>
      </c>
      <c r="C4194" t="s">
        <v>159</v>
      </c>
      <c r="D4194">
        <v>223706640</v>
      </c>
      <c r="E4194">
        <v>166323</v>
      </c>
      <c r="F4194">
        <v>53007</v>
      </c>
    </row>
    <row r="4195" spans="1:6">
      <c r="A4195" t="s">
        <v>5328</v>
      </c>
      <c r="B4195">
        <v>466</v>
      </c>
      <c r="C4195" t="s">
        <v>642</v>
      </c>
      <c r="D4195">
        <v>111853320</v>
      </c>
      <c r="E4195">
        <v>166323</v>
      </c>
      <c r="F4195">
        <v>53007</v>
      </c>
    </row>
    <row r="4196" spans="1:6">
      <c r="A4196" t="s">
        <v>5329</v>
      </c>
      <c r="B4196">
        <v>467</v>
      </c>
      <c r="C4196" t="s">
        <v>149</v>
      </c>
      <c r="D4196">
        <v>1778444</v>
      </c>
      <c r="E4196">
        <v>167287</v>
      </c>
      <c r="F4196">
        <v>53164</v>
      </c>
    </row>
    <row r="4197" spans="1:6">
      <c r="A4197" t="s">
        <v>5330</v>
      </c>
      <c r="B4197">
        <v>467</v>
      </c>
      <c r="C4197" t="s">
        <v>1132</v>
      </c>
      <c r="D4197">
        <v>5335332</v>
      </c>
      <c r="E4197">
        <v>167287</v>
      </c>
      <c r="F4197">
        <v>53164</v>
      </c>
    </row>
    <row r="4198" spans="1:6">
      <c r="A4198" t="s">
        <v>5331</v>
      </c>
      <c r="B4198">
        <v>467</v>
      </c>
      <c r="C4198" t="s">
        <v>1134</v>
      </c>
      <c r="D4198">
        <v>3201200</v>
      </c>
      <c r="E4198">
        <v>167287</v>
      </c>
      <c r="F4198">
        <v>53164</v>
      </c>
    </row>
    <row r="4199" spans="1:6">
      <c r="A4199" t="s">
        <v>5332</v>
      </c>
      <c r="B4199">
        <v>467</v>
      </c>
      <c r="C4199" t="s">
        <v>1136</v>
      </c>
      <c r="D4199">
        <v>889222</v>
      </c>
      <c r="E4199">
        <v>167287</v>
      </c>
      <c r="F4199">
        <v>53164</v>
      </c>
    </row>
    <row r="4200" spans="1:6">
      <c r="A4200" t="s">
        <v>5333</v>
      </c>
      <c r="B4200">
        <v>467</v>
      </c>
      <c r="C4200" t="s">
        <v>1138</v>
      </c>
      <c r="D4200">
        <v>266767</v>
      </c>
      <c r="E4200">
        <v>167287</v>
      </c>
      <c r="F4200">
        <v>53164</v>
      </c>
    </row>
    <row r="4201" spans="1:6">
      <c r="A4201" t="s">
        <v>5334</v>
      </c>
      <c r="B4201">
        <v>467</v>
      </c>
      <c r="C4201" t="s">
        <v>738</v>
      </c>
      <c r="D4201">
        <v>7113776</v>
      </c>
      <c r="E4201">
        <v>167287</v>
      </c>
      <c r="F4201">
        <v>53164</v>
      </c>
    </row>
    <row r="4202" spans="1:6">
      <c r="A4202" t="s">
        <v>5335</v>
      </c>
      <c r="B4202">
        <v>467</v>
      </c>
      <c r="C4202" t="s">
        <v>1141</v>
      </c>
      <c r="D4202">
        <v>16005996</v>
      </c>
      <c r="E4202">
        <v>167287</v>
      </c>
      <c r="F4202">
        <v>53164</v>
      </c>
    </row>
    <row r="4203" spans="1:6">
      <c r="A4203" t="s">
        <v>5336</v>
      </c>
      <c r="B4203">
        <v>467</v>
      </c>
      <c r="C4203" t="s">
        <v>159</v>
      </c>
      <c r="D4203">
        <v>225422040</v>
      </c>
      <c r="E4203">
        <v>167287</v>
      </c>
      <c r="F4203">
        <v>53164</v>
      </c>
    </row>
    <row r="4204" spans="1:6">
      <c r="A4204" t="s">
        <v>5337</v>
      </c>
      <c r="B4204">
        <v>467</v>
      </c>
      <c r="C4204" t="s">
        <v>642</v>
      </c>
      <c r="D4204">
        <v>112711020</v>
      </c>
      <c r="E4204">
        <v>167287</v>
      </c>
      <c r="F4204">
        <v>53164</v>
      </c>
    </row>
    <row r="4205" spans="1:6">
      <c r="A4205" t="s">
        <v>5338</v>
      </c>
      <c r="B4205">
        <v>468</v>
      </c>
      <c r="C4205" t="s">
        <v>149</v>
      </c>
      <c r="D4205">
        <v>1791037</v>
      </c>
      <c r="E4205">
        <v>168255</v>
      </c>
      <c r="F4205">
        <v>53321</v>
      </c>
    </row>
    <row r="4206" spans="1:6">
      <c r="A4206" t="s">
        <v>5339</v>
      </c>
      <c r="B4206">
        <v>468</v>
      </c>
      <c r="C4206" t="s">
        <v>1132</v>
      </c>
      <c r="D4206">
        <v>5373111</v>
      </c>
      <c r="E4206">
        <v>168255</v>
      </c>
      <c r="F4206">
        <v>53321</v>
      </c>
    </row>
    <row r="4207" spans="1:6">
      <c r="A4207" t="s">
        <v>5340</v>
      </c>
      <c r="B4207">
        <v>468</v>
      </c>
      <c r="C4207" t="s">
        <v>1134</v>
      </c>
      <c r="D4207">
        <v>3223867</v>
      </c>
      <c r="E4207">
        <v>168255</v>
      </c>
      <c r="F4207">
        <v>53321</v>
      </c>
    </row>
    <row r="4208" spans="1:6">
      <c r="A4208" t="s">
        <v>5341</v>
      </c>
      <c r="B4208">
        <v>468</v>
      </c>
      <c r="C4208" t="s">
        <v>1136</v>
      </c>
      <c r="D4208">
        <v>895519</v>
      </c>
      <c r="E4208">
        <v>168255</v>
      </c>
      <c r="F4208">
        <v>53321</v>
      </c>
    </row>
    <row r="4209" spans="1:6">
      <c r="A4209" t="s">
        <v>5342</v>
      </c>
      <c r="B4209">
        <v>468</v>
      </c>
      <c r="C4209" t="s">
        <v>1138</v>
      </c>
      <c r="D4209">
        <v>268656</v>
      </c>
      <c r="E4209">
        <v>168255</v>
      </c>
      <c r="F4209">
        <v>53321</v>
      </c>
    </row>
    <row r="4210" spans="1:6">
      <c r="A4210" t="s">
        <v>5343</v>
      </c>
      <c r="B4210">
        <v>468</v>
      </c>
      <c r="C4210" t="s">
        <v>738</v>
      </c>
      <c r="D4210">
        <v>7164148</v>
      </c>
      <c r="E4210">
        <v>168255</v>
      </c>
      <c r="F4210">
        <v>53321</v>
      </c>
    </row>
    <row r="4211" spans="1:6">
      <c r="A4211" t="s">
        <v>5344</v>
      </c>
      <c r="B4211">
        <v>468</v>
      </c>
      <c r="C4211" t="s">
        <v>1141</v>
      </c>
      <c r="D4211">
        <v>16119333</v>
      </c>
      <c r="E4211">
        <v>168255</v>
      </c>
      <c r="F4211">
        <v>53321</v>
      </c>
    </row>
    <row r="4212" spans="1:6">
      <c r="A4212" t="s">
        <v>5345</v>
      </c>
      <c r="B4212">
        <v>468</v>
      </c>
      <c r="C4212" t="s">
        <v>159</v>
      </c>
      <c r="D4212">
        <v>227148360</v>
      </c>
      <c r="E4212">
        <v>168255</v>
      </c>
      <c r="F4212">
        <v>53321</v>
      </c>
    </row>
    <row r="4213" spans="1:6">
      <c r="A4213" t="s">
        <v>5346</v>
      </c>
      <c r="B4213">
        <v>468</v>
      </c>
      <c r="C4213" t="s">
        <v>642</v>
      </c>
      <c r="D4213">
        <v>113574180</v>
      </c>
      <c r="E4213">
        <v>168255</v>
      </c>
      <c r="F4213">
        <v>53321</v>
      </c>
    </row>
    <row r="4214" spans="1:6">
      <c r="A4214" t="s">
        <v>5347</v>
      </c>
      <c r="B4214">
        <v>469</v>
      </c>
      <c r="C4214" t="s">
        <v>149</v>
      </c>
      <c r="D4214">
        <v>1803702</v>
      </c>
      <c r="E4214">
        <v>169228</v>
      </c>
      <c r="F4214">
        <v>53478</v>
      </c>
    </row>
    <row r="4215" spans="1:6">
      <c r="A4215" t="s">
        <v>5348</v>
      </c>
      <c r="B4215">
        <v>469</v>
      </c>
      <c r="C4215" t="s">
        <v>1132</v>
      </c>
      <c r="D4215">
        <v>5411106</v>
      </c>
      <c r="E4215">
        <v>169228</v>
      </c>
      <c r="F4215">
        <v>53478</v>
      </c>
    </row>
    <row r="4216" spans="1:6">
      <c r="A4216" t="s">
        <v>5349</v>
      </c>
      <c r="B4216">
        <v>469</v>
      </c>
      <c r="C4216" t="s">
        <v>1134</v>
      </c>
      <c r="D4216">
        <v>3246664</v>
      </c>
      <c r="E4216">
        <v>169228</v>
      </c>
      <c r="F4216">
        <v>53478</v>
      </c>
    </row>
    <row r="4217" spans="1:6">
      <c r="A4217" t="s">
        <v>5350</v>
      </c>
      <c r="B4217">
        <v>469</v>
      </c>
      <c r="C4217" t="s">
        <v>1136</v>
      </c>
      <c r="D4217">
        <v>901851</v>
      </c>
      <c r="E4217">
        <v>169228</v>
      </c>
      <c r="F4217">
        <v>53478</v>
      </c>
    </row>
    <row r="4218" spans="1:6">
      <c r="A4218" t="s">
        <v>5351</v>
      </c>
      <c r="B4218">
        <v>469</v>
      </c>
      <c r="C4218" t="s">
        <v>1138</v>
      </c>
      <c r="D4218">
        <v>270556</v>
      </c>
      <c r="E4218">
        <v>169228</v>
      </c>
      <c r="F4218">
        <v>53478</v>
      </c>
    </row>
    <row r="4219" spans="1:6">
      <c r="A4219" t="s">
        <v>5352</v>
      </c>
      <c r="B4219">
        <v>469</v>
      </c>
      <c r="C4219" t="s">
        <v>738</v>
      </c>
      <c r="D4219">
        <v>7214808</v>
      </c>
      <c r="E4219">
        <v>169228</v>
      </c>
      <c r="F4219">
        <v>53478</v>
      </c>
    </row>
    <row r="4220" spans="1:6">
      <c r="A4220" t="s">
        <v>5353</v>
      </c>
      <c r="B4220">
        <v>469</v>
      </c>
      <c r="C4220" t="s">
        <v>1141</v>
      </c>
      <c r="D4220">
        <v>16233318</v>
      </c>
      <c r="E4220">
        <v>169228</v>
      </c>
      <c r="F4220">
        <v>53478</v>
      </c>
    </row>
    <row r="4221" spans="1:6">
      <c r="A4221" t="s">
        <v>5354</v>
      </c>
      <c r="B4221">
        <v>469</v>
      </c>
      <c r="C4221" t="s">
        <v>159</v>
      </c>
      <c r="D4221">
        <v>228885600</v>
      </c>
      <c r="E4221">
        <v>169228</v>
      </c>
      <c r="F4221">
        <v>53478</v>
      </c>
    </row>
    <row r="4222" spans="1:6">
      <c r="A4222" t="s">
        <v>5355</v>
      </c>
      <c r="B4222">
        <v>469</v>
      </c>
      <c r="C4222" t="s">
        <v>642</v>
      </c>
      <c r="D4222">
        <v>114442800</v>
      </c>
      <c r="E4222">
        <v>169228</v>
      </c>
      <c r="F4222">
        <v>53478</v>
      </c>
    </row>
    <row r="4223" spans="1:6">
      <c r="A4223" t="s">
        <v>5356</v>
      </c>
      <c r="B4223">
        <v>470</v>
      </c>
      <c r="C4223" t="s">
        <v>149</v>
      </c>
      <c r="D4223">
        <v>1816439</v>
      </c>
      <c r="E4223">
        <v>170205</v>
      </c>
      <c r="F4223">
        <v>53635</v>
      </c>
    </row>
    <row r="4224" spans="1:6">
      <c r="A4224" t="s">
        <v>5357</v>
      </c>
      <c r="B4224">
        <v>470</v>
      </c>
      <c r="C4224" t="s">
        <v>1132</v>
      </c>
      <c r="D4224">
        <v>5449317</v>
      </c>
      <c r="E4224">
        <v>170205</v>
      </c>
      <c r="F4224">
        <v>53635</v>
      </c>
    </row>
    <row r="4225" spans="1:6">
      <c r="A4225" t="s">
        <v>5358</v>
      </c>
      <c r="B4225">
        <v>470</v>
      </c>
      <c r="C4225" t="s">
        <v>1134</v>
      </c>
      <c r="D4225">
        <v>3269591</v>
      </c>
      <c r="E4225">
        <v>170205</v>
      </c>
      <c r="F4225">
        <v>53635</v>
      </c>
    </row>
    <row r="4226" spans="1:6">
      <c r="A4226" t="s">
        <v>5359</v>
      </c>
      <c r="B4226">
        <v>470</v>
      </c>
      <c r="C4226" t="s">
        <v>1136</v>
      </c>
      <c r="D4226">
        <v>908220</v>
      </c>
      <c r="E4226">
        <v>170205</v>
      </c>
      <c r="F4226">
        <v>53635</v>
      </c>
    </row>
    <row r="4227" spans="1:6">
      <c r="A4227" t="s">
        <v>5360</v>
      </c>
      <c r="B4227">
        <v>470</v>
      </c>
      <c r="C4227" t="s">
        <v>1138</v>
      </c>
      <c r="D4227">
        <v>272466</v>
      </c>
      <c r="E4227">
        <v>170205</v>
      </c>
      <c r="F4227">
        <v>53635</v>
      </c>
    </row>
    <row r="4228" spans="1:6">
      <c r="A4228" t="s">
        <v>5361</v>
      </c>
      <c r="B4228">
        <v>470</v>
      </c>
      <c r="C4228" t="s">
        <v>738</v>
      </c>
      <c r="D4228">
        <v>7265756</v>
      </c>
      <c r="E4228">
        <v>170205</v>
      </c>
      <c r="F4228">
        <v>53635</v>
      </c>
    </row>
    <row r="4229" spans="1:6">
      <c r="A4229" t="s">
        <v>5362</v>
      </c>
      <c r="B4229">
        <v>470</v>
      </c>
      <c r="C4229" t="s">
        <v>1141</v>
      </c>
      <c r="D4229">
        <v>16347951</v>
      </c>
      <c r="E4229">
        <v>170205</v>
      </c>
      <c r="F4229">
        <v>53635</v>
      </c>
    </row>
    <row r="4230" spans="1:6">
      <c r="A4230" t="s">
        <v>5363</v>
      </c>
      <c r="B4230">
        <v>470</v>
      </c>
      <c r="C4230" t="s">
        <v>159</v>
      </c>
      <c r="D4230">
        <v>230633820</v>
      </c>
      <c r="E4230">
        <v>170205</v>
      </c>
      <c r="F4230">
        <v>53635</v>
      </c>
    </row>
    <row r="4231" spans="1:6">
      <c r="A4231" t="s">
        <v>5364</v>
      </c>
      <c r="B4231">
        <v>470</v>
      </c>
      <c r="C4231" t="s">
        <v>642</v>
      </c>
      <c r="D4231">
        <v>115316910</v>
      </c>
      <c r="E4231">
        <v>170205</v>
      </c>
      <c r="F4231">
        <v>53635</v>
      </c>
    </row>
    <row r="4232" spans="1:6">
      <c r="A4232" t="s">
        <v>5365</v>
      </c>
      <c r="B4232">
        <v>471</v>
      </c>
      <c r="C4232" t="s">
        <v>149</v>
      </c>
      <c r="D4232">
        <v>1829248</v>
      </c>
      <c r="E4232">
        <v>171187</v>
      </c>
      <c r="F4232">
        <v>53792</v>
      </c>
    </row>
    <row r="4233" spans="1:6">
      <c r="A4233" t="s">
        <v>5366</v>
      </c>
      <c r="B4233">
        <v>471</v>
      </c>
      <c r="C4233" t="s">
        <v>1132</v>
      </c>
      <c r="D4233">
        <v>5487744</v>
      </c>
      <c r="E4233">
        <v>171187</v>
      </c>
      <c r="F4233">
        <v>53792</v>
      </c>
    </row>
    <row r="4234" spans="1:6">
      <c r="A4234" t="s">
        <v>5367</v>
      </c>
      <c r="B4234">
        <v>471</v>
      </c>
      <c r="C4234" t="s">
        <v>1134</v>
      </c>
      <c r="D4234">
        <v>3292647</v>
      </c>
      <c r="E4234">
        <v>171187</v>
      </c>
      <c r="F4234">
        <v>53792</v>
      </c>
    </row>
    <row r="4235" spans="1:6">
      <c r="A4235" t="s">
        <v>5368</v>
      </c>
      <c r="B4235">
        <v>471</v>
      </c>
      <c r="C4235" t="s">
        <v>1136</v>
      </c>
      <c r="D4235">
        <v>914624</v>
      </c>
      <c r="E4235">
        <v>171187</v>
      </c>
      <c r="F4235">
        <v>53792</v>
      </c>
    </row>
    <row r="4236" spans="1:6">
      <c r="A4236" t="s">
        <v>5369</v>
      </c>
      <c r="B4236">
        <v>471</v>
      </c>
      <c r="C4236" t="s">
        <v>1138</v>
      </c>
      <c r="D4236">
        <v>274388</v>
      </c>
      <c r="E4236">
        <v>171187</v>
      </c>
      <c r="F4236">
        <v>53792</v>
      </c>
    </row>
    <row r="4237" spans="1:6">
      <c r="A4237" t="s">
        <v>5370</v>
      </c>
      <c r="B4237">
        <v>471</v>
      </c>
      <c r="C4237" t="s">
        <v>738</v>
      </c>
      <c r="D4237">
        <v>7316992</v>
      </c>
      <c r="E4237">
        <v>171187</v>
      </c>
      <c r="F4237">
        <v>53792</v>
      </c>
    </row>
    <row r="4238" spans="1:6">
      <c r="A4238" t="s">
        <v>5371</v>
      </c>
      <c r="B4238">
        <v>471</v>
      </c>
      <c r="C4238" t="s">
        <v>1141</v>
      </c>
      <c r="D4238">
        <v>16463232</v>
      </c>
      <c r="E4238">
        <v>171187</v>
      </c>
      <c r="F4238">
        <v>53792</v>
      </c>
    </row>
    <row r="4239" spans="1:6">
      <c r="A4239" t="s">
        <v>5372</v>
      </c>
      <c r="B4239">
        <v>471</v>
      </c>
      <c r="C4239" t="s">
        <v>159</v>
      </c>
      <c r="D4239">
        <v>232393140</v>
      </c>
      <c r="E4239">
        <v>171187</v>
      </c>
      <c r="F4239">
        <v>53792</v>
      </c>
    </row>
    <row r="4240" spans="1:6">
      <c r="A4240" t="s">
        <v>5373</v>
      </c>
      <c r="B4240">
        <v>471</v>
      </c>
      <c r="C4240" t="s">
        <v>642</v>
      </c>
      <c r="D4240">
        <v>116196570</v>
      </c>
      <c r="E4240">
        <v>171187</v>
      </c>
      <c r="F4240">
        <v>53792</v>
      </c>
    </row>
    <row r="4241" spans="1:6">
      <c r="A4241" t="s">
        <v>5374</v>
      </c>
      <c r="B4241">
        <v>472</v>
      </c>
      <c r="C4241" t="s">
        <v>149</v>
      </c>
      <c r="D4241">
        <v>1842131</v>
      </c>
      <c r="E4241">
        <v>172173</v>
      </c>
      <c r="F4241">
        <v>53950</v>
      </c>
    </row>
    <row r="4242" spans="1:6">
      <c r="A4242" t="s">
        <v>5375</v>
      </c>
      <c r="B4242">
        <v>472</v>
      </c>
      <c r="C4242" t="s">
        <v>1132</v>
      </c>
      <c r="D4242">
        <v>5526393</v>
      </c>
      <c r="E4242">
        <v>172173</v>
      </c>
      <c r="F4242">
        <v>53950</v>
      </c>
    </row>
    <row r="4243" spans="1:6">
      <c r="A4243" t="s">
        <v>5376</v>
      </c>
      <c r="B4243">
        <v>472</v>
      </c>
      <c r="C4243" t="s">
        <v>1134</v>
      </c>
      <c r="D4243">
        <v>3315836</v>
      </c>
      <c r="E4243">
        <v>172173</v>
      </c>
      <c r="F4243">
        <v>53950</v>
      </c>
    </row>
    <row r="4244" spans="1:6">
      <c r="A4244" t="s">
        <v>5377</v>
      </c>
      <c r="B4244">
        <v>472</v>
      </c>
      <c r="C4244" t="s">
        <v>1136</v>
      </c>
      <c r="D4244">
        <v>921066</v>
      </c>
      <c r="E4244">
        <v>172173</v>
      </c>
      <c r="F4244">
        <v>53950</v>
      </c>
    </row>
    <row r="4245" spans="1:6">
      <c r="A4245" t="s">
        <v>5378</v>
      </c>
      <c r="B4245">
        <v>472</v>
      </c>
      <c r="C4245" t="s">
        <v>1138</v>
      </c>
      <c r="D4245">
        <v>276320</v>
      </c>
      <c r="E4245">
        <v>172173</v>
      </c>
      <c r="F4245">
        <v>53950</v>
      </c>
    </row>
    <row r="4246" spans="1:6">
      <c r="A4246" t="s">
        <v>5379</v>
      </c>
      <c r="B4246">
        <v>472</v>
      </c>
      <c r="C4246" t="s">
        <v>738</v>
      </c>
      <c r="D4246">
        <v>7368524</v>
      </c>
      <c r="E4246">
        <v>172173</v>
      </c>
      <c r="F4246">
        <v>53950</v>
      </c>
    </row>
    <row r="4247" spans="1:6">
      <c r="A4247" t="s">
        <v>5380</v>
      </c>
      <c r="B4247">
        <v>472</v>
      </c>
      <c r="C4247" t="s">
        <v>1141</v>
      </c>
      <c r="D4247">
        <v>16579179</v>
      </c>
      <c r="E4247">
        <v>172173</v>
      </c>
      <c r="F4247">
        <v>53950</v>
      </c>
    </row>
    <row r="4248" spans="1:6">
      <c r="A4248" t="s">
        <v>5381</v>
      </c>
      <c r="B4248">
        <v>472</v>
      </c>
      <c r="C4248" t="s">
        <v>159</v>
      </c>
      <c r="D4248">
        <v>234163560</v>
      </c>
      <c r="E4248">
        <v>172173</v>
      </c>
      <c r="F4248">
        <v>53950</v>
      </c>
    </row>
    <row r="4249" spans="1:6">
      <c r="A4249" t="s">
        <v>5382</v>
      </c>
      <c r="B4249">
        <v>472</v>
      </c>
      <c r="C4249" t="s">
        <v>642</v>
      </c>
      <c r="D4249">
        <v>117081780</v>
      </c>
      <c r="E4249">
        <v>172173</v>
      </c>
      <c r="F4249">
        <v>53950</v>
      </c>
    </row>
    <row r="4250" spans="1:6">
      <c r="A4250" t="s">
        <v>5383</v>
      </c>
      <c r="B4250">
        <v>473</v>
      </c>
      <c r="C4250" t="s">
        <v>149</v>
      </c>
      <c r="D4250">
        <v>1855087</v>
      </c>
      <c r="E4250">
        <v>173163</v>
      </c>
      <c r="F4250">
        <v>54108</v>
      </c>
    </row>
    <row r="4251" spans="1:6">
      <c r="A4251" t="s">
        <v>5384</v>
      </c>
      <c r="B4251">
        <v>473</v>
      </c>
      <c r="C4251" t="s">
        <v>1132</v>
      </c>
      <c r="D4251">
        <v>5565261</v>
      </c>
      <c r="E4251">
        <v>173163</v>
      </c>
      <c r="F4251">
        <v>54108</v>
      </c>
    </row>
    <row r="4252" spans="1:6">
      <c r="A4252" t="s">
        <v>5385</v>
      </c>
      <c r="B4252">
        <v>473</v>
      </c>
      <c r="C4252" t="s">
        <v>1134</v>
      </c>
      <c r="D4252">
        <v>3339157</v>
      </c>
      <c r="E4252">
        <v>173163</v>
      </c>
      <c r="F4252">
        <v>54108</v>
      </c>
    </row>
    <row r="4253" spans="1:6">
      <c r="A4253" t="s">
        <v>5386</v>
      </c>
      <c r="B4253">
        <v>473</v>
      </c>
      <c r="C4253" t="s">
        <v>1136</v>
      </c>
      <c r="D4253">
        <v>927544</v>
      </c>
      <c r="E4253">
        <v>173163</v>
      </c>
      <c r="F4253">
        <v>54108</v>
      </c>
    </row>
    <row r="4254" spans="1:6">
      <c r="A4254" t="s">
        <v>5387</v>
      </c>
      <c r="B4254">
        <v>473</v>
      </c>
      <c r="C4254" t="s">
        <v>1138</v>
      </c>
      <c r="D4254">
        <v>278264</v>
      </c>
      <c r="E4254">
        <v>173163</v>
      </c>
      <c r="F4254">
        <v>54108</v>
      </c>
    </row>
    <row r="4255" spans="1:6">
      <c r="A4255" t="s">
        <v>5388</v>
      </c>
      <c r="B4255">
        <v>473</v>
      </c>
      <c r="C4255" t="s">
        <v>738</v>
      </c>
      <c r="D4255">
        <v>7420348</v>
      </c>
      <c r="E4255">
        <v>173163</v>
      </c>
      <c r="F4255">
        <v>54108</v>
      </c>
    </row>
    <row r="4256" spans="1:6">
      <c r="A4256" t="s">
        <v>5389</v>
      </c>
      <c r="B4256">
        <v>473</v>
      </c>
      <c r="C4256" t="s">
        <v>1141</v>
      </c>
      <c r="D4256">
        <v>16695783</v>
      </c>
      <c r="E4256">
        <v>173163</v>
      </c>
      <c r="F4256">
        <v>54108</v>
      </c>
    </row>
    <row r="4257" spans="1:6">
      <c r="A4257" t="s">
        <v>5390</v>
      </c>
      <c r="B4257">
        <v>473</v>
      </c>
      <c r="C4257" t="s">
        <v>159</v>
      </c>
      <c r="D4257">
        <v>235945200</v>
      </c>
      <c r="E4257">
        <v>173163</v>
      </c>
      <c r="F4257">
        <v>54108</v>
      </c>
    </row>
    <row r="4258" spans="1:6">
      <c r="A4258" t="s">
        <v>5391</v>
      </c>
      <c r="B4258">
        <v>473</v>
      </c>
      <c r="C4258" t="s">
        <v>642</v>
      </c>
      <c r="D4258">
        <v>117972600</v>
      </c>
      <c r="E4258">
        <v>173163</v>
      </c>
      <c r="F4258">
        <v>54108</v>
      </c>
    </row>
    <row r="4259" spans="1:6">
      <c r="A4259" t="s">
        <v>5392</v>
      </c>
      <c r="B4259">
        <v>474</v>
      </c>
      <c r="C4259" t="s">
        <v>149</v>
      </c>
      <c r="D4259">
        <v>1868117</v>
      </c>
      <c r="E4259">
        <v>174158</v>
      </c>
      <c r="F4259">
        <v>54266</v>
      </c>
    </row>
    <row r="4260" spans="1:6">
      <c r="A4260" t="s">
        <v>5393</v>
      </c>
      <c r="B4260">
        <v>474</v>
      </c>
      <c r="C4260" t="s">
        <v>1132</v>
      </c>
      <c r="D4260">
        <v>5604351</v>
      </c>
      <c r="E4260">
        <v>174158</v>
      </c>
      <c r="F4260">
        <v>54266</v>
      </c>
    </row>
    <row r="4261" spans="1:6">
      <c r="A4261" t="s">
        <v>5394</v>
      </c>
      <c r="B4261">
        <v>474</v>
      </c>
      <c r="C4261" t="s">
        <v>1134</v>
      </c>
      <c r="D4261">
        <v>3362611</v>
      </c>
      <c r="E4261">
        <v>174158</v>
      </c>
      <c r="F4261">
        <v>54266</v>
      </c>
    </row>
    <row r="4262" spans="1:6">
      <c r="A4262" t="s">
        <v>5395</v>
      </c>
      <c r="B4262">
        <v>474</v>
      </c>
      <c r="C4262" t="s">
        <v>1136</v>
      </c>
      <c r="D4262">
        <v>934059</v>
      </c>
      <c r="E4262">
        <v>174158</v>
      </c>
      <c r="F4262">
        <v>54266</v>
      </c>
    </row>
    <row r="4263" spans="1:6">
      <c r="A4263" t="s">
        <v>5396</v>
      </c>
      <c r="B4263">
        <v>474</v>
      </c>
      <c r="C4263" t="s">
        <v>1138</v>
      </c>
      <c r="D4263">
        <v>280218</v>
      </c>
      <c r="E4263">
        <v>174158</v>
      </c>
      <c r="F4263">
        <v>54266</v>
      </c>
    </row>
    <row r="4264" spans="1:6">
      <c r="A4264" t="s">
        <v>5397</v>
      </c>
      <c r="B4264">
        <v>474</v>
      </c>
      <c r="C4264" t="s">
        <v>738</v>
      </c>
      <c r="D4264">
        <v>7472468</v>
      </c>
      <c r="E4264">
        <v>174158</v>
      </c>
      <c r="F4264">
        <v>54266</v>
      </c>
    </row>
    <row r="4265" spans="1:6">
      <c r="A4265" t="s">
        <v>5398</v>
      </c>
      <c r="B4265">
        <v>474</v>
      </c>
      <c r="C4265" t="s">
        <v>1141</v>
      </c>
      <c r="D4265">
        <v>16813053</v>
      </c>
      <c r="E4265">
        <v>174158</v>
      </c>
      <c r="F4265">
        <v>54266</v>
      </c>
    </row>
    <row r="4266" spans="1:6">
      <c r="A4266" t="s">
        <v>5399</v>
      </c>
      <c r="B4266">
        <v>474</v>
      </c>
      <c r="C4266" t="s">
        <v>159</v>
      </c>
      <c r="D4266">
        <v>237738000</v>
      </c>
      <c r="E4266">
        <v>174158</v>
      </c>
      <c r="F4266">
        <v>54266</v>
      </c>
    </row>
    <row r="4267" spans="1:6">
      <c r="A4267" t="s">
        <v>5400</v>
      </c>
      <c r="B4267">
        <v>474</v>
      </c>
      <c r="C4267" t="s">
        <v>642</v>
      </c>
      <c r="D4267">
        <v>118869000</v>
      </c>
      <c r="E4267">
        <v>174158</v>
      </c>
      <c r="F4267">
        <v>54266</v>
      </c>
    </row>
    <row r="4268" spans="1:6">
      <c r="A4268" t="s">
        <v>5401</v>
      </c>
      <c r="B4268">
        <v>475</v>
      </c>
      <c r="C4268" t="s">
        <v>149</v>
      </c>
      <c r="D4268">
        <v>1881221</v>
      </c>
      <c r="E4268">
        <v>175157</v>
      </c>
      <c r="F4268">
        <v>54424</v>
      </c>
    </row>
    <row r="4269" spans="1:6">
      <c r="A4269" t="s">
        <v>5402</v>
      </c>
      <c r="B4269">
        <v>475</v>
      </c>
      <c r="C4269" t="s">
        <v>1132</v>
      </c>
      <c r="D4269">
        <v>5643663</v>
      </c>
      <c r="E4269">
        <v>175157</v>
      </c>
      <c r="F4269">
        <v>54424</v>
      </c>
    </row>
    <row r="4270" spans="1:6">
      <c r="A4270" t="s">
        <v>5403</v>
      </c>
      <c r="B4270">
        <v>475</v>
      </c>
      <c r="C4270" t="s">
        <v>1134</v>
      </c>
      <c r="D4270">
        <v>3386198</v>
      </c>
      <c r="E4270">
        <v>175157</v>
      </c>
      <c r="F4270">
        <v>54424</v>
      </c>
    </row>
    <row r="4271" spans="1:6">
      <c r="A4271" t="s">
        <v>5404</v>
      </c>
      <c r="B4271">
        <v>475</v>
      </c>
      <c r="C4271" t="s">
        <v>1136</v>
      </c>
      <c r="D4271">
        <v>940611</v>
      </c>
      <c r="E4271">
        <v>175157</v>
      </c>
      <c r="F4271">
        <v>54424</v>
      </c>
    </row>
    <row r="4272" spans="1:6">
      <c r="A4272" t="s">
        <v>5405</v>
      </c>
      <c r="B4272">
        <v>475</v>
      </c>
      <c r="C4272" t="s">
        <v>1138</v>
      </c>
      <c r="D4272">
        <v>282184</v>
      </c>
      <c r="E4272">
        <v>175157</v>
      </c>
      <c r="F4272">
        <v>54424</v>
      </c>
    </row>
    <row r="4273" spans="1:6">
      <c r="A4273" t="s">
        <v>5406</v>
      </c>
      <c r="B4273">
        <v>475</v>
      </c>
      <c r="C4273" t="s">
        <v>738</v>
      </c>
      <c r="D4273">
        <v>7524884</v>
      </c>
      <c r="E4273">
        <v>175157</v>
      </c>
      <c r="F4273">
        <v>54424</v>
      </c>
    </row>
    <row r="4274" spans="1:6">
      <c r="A4274" t="s">
        <v>5407</v>
      </c>
      <c r="B4274">
        <v>475</v>
      </c>
      <c r="C4274" t="s">
        <v>1141</v>
      </c>
      <c r="D4274">
        <v>16930989</v>
      </c>
      <c r="E4274">
        <v>175157</v>
      </c>
      <c r="F4274">
        <v>54424</v>
      </c>
    </row>
    <row r="4275" spans="1:6">
      <c r="A4275" t="s">
        <v>5408</v>
      </c>
      <c r="B4275">
        <v>475</v>
      </c>
      <c r="C4275" t="s">
        <v>159</v>
      </c>
      <c r="D4275">
        <v>239542140</v>
      </c>
      <c r="E4275">
        <v>175157</v>
      </c>
      <c r="F4275">
        <v>54424</v>
      </c>
    </row>
    <row r="4276" spans="1:6">
      <c r="A4276" t="s">
        <v>5409</v>
      </c>
      <c r="B4276">
        <v>475</v>
      </c>
      <c r="C4276" t="s">
        <v>642</v>
      </c>
      <c r="D4276">
        <v>119771070</v>
      </c>
      <c r="E4276">
        <v>175157</v>
      </c>
      <c r="F4276">
        <v>54424</v>
      </c>
    </row>
    <row r="4277" spans="1:6">
      <c r="A4277" t="s">
        <v>5410</v>
      </c>
      <c r="B4277">
        <v>476</v>
      </c>
      <c r="C4277" t="s">
        <v>149</v>
      </c>
      <c r="D4277">
        <v>1894399</v>
      </c>
      <c r="E4277">
        <v>176160</v>
      </c>
      <c r="F4277">
        <v>54583</v>
      </c>
    </row>
    <row r="4278" spans="1:6">
      <c r="A4278" t="s">
        <v>5411</v>
      </c>
      <c r="B4278">
        <v>476</v>
      </c>
      <c r="C4278" t="s">
        <v>1132</v>
      </c>
      <c r="D4278">
        <v>5683197</v>
      </c>
      <c r="E4278">
        <v>176160</v>
      </c>
      <c r="F4278">
        <v>54583</v>
      </c>
    </row>
    <row r="4279" spans="1:6">
      <c r="A4279" t="s">
        <v>5412</v>
      </c>
      <c r="B4279">
        <v>476</v>
      </c>
      <c r="C4279" t="s">
        <v>1134</v>
      </c>
      <c r="D4279">
        <v>3409919</v>
      </c>
      <c r="E4279">
        <v>176160</v>
      </c>
      <c r="F4279">
        <v>54583</v>
      </c>
    </row>
    <row r="4280" spans="1:6">
      <c r="A4280" t="s">
        <v>5413</v>
      </c>
      <c r="B4280">
        <v>476</v>
      </c>
      <c r="C4280" t="s">
        <v>1136</v>
      </c>
      <c r="D4280">
        <v>947200</v>
      </c>
      <c r="E4280">
        <v>176160</v>
      </c>
      <c r="F4280">
        <v>54583</v>
      </c>
    </row>
    <row r="4281" spans="1:6">
      <c r="A4281" t="s">
        <v>5414</v>
      </c>
      <c r="B4281">
        <v>476</v>
      </c>
      <c r="C4281" t="s">
        <v>1138</v>
      </c>
      <c r="D4281">
        <v>284160</v>
      </c>
      <c r="E4281">
        <v>176160</v>
      </c>
      <c r="F4281">
        <v>54583</v>
      </c>
    </row>
    <row r="4282" spans="1:6">
      <c r="A4282" t="s">
        <v>5415</v>
      </c>
      <c r="B4282">
        <v>476</v>
      </c>
      <c r="C4282" t="s">
        <v>738</v>
      </c>
      <c r="D4282">
        <v>7577596</v>
      </c>
      <c r="E4282">
        <v>176160</v>
      </c>
      <c r="F4282">
        <v>54583</v>
      </c>
    </row>
    <row r="4283" spans="1:6">
      <c r="A4283" t="s">
        <v>5416</v>
      </c>
      <c r="B4283">
        <v>476</v>
      </c>
      <c r="C4283" t="s">
        <v>1141</v>
      </c>
      <c r="D4283">
        <v>17049591</v>
      </c>
      <c r="E4283">
        <v>176160</v>
      </c>
      <c r="F4283">
        <v>54583</v>
      </c>
    </row>
    <row r="4284" spans="1:6">
      <c r="A4284" t="s">
        <v>5417</v>
      </c>
      <c r="B4284">
        <v>476</v>
      </c>
      <c r="C4284" t="s">
        <v>159</v>
      </c>
      <c r="D4284">
        <v>241357620</v>
      </c>
      <c r="E4284">
        <v>176160</v>
      </c>
      <c r="F4284">
        <v>54583</v>
      </c>
    </row>
    <row r="4285" spans="1:6">
      <c r="A4285" t="s">
        <v>5418</v>
      </c>
      <c r="B4285">
        <v>476</v>
      </c>
      <c r="C4285" t="s">
        <v>642</v>
      </c>
      <c r="D4285">
        <v>120678810</v>
      </c>
      <c r="E4285">
        <v>176160</v>
      </c>
      <c r="F4285">
        <v>54583</v>
      </c>
    </row>
    <row r="4286" spans="1:6">
      <c r="A4286" t="s">
        <v>5419</v>
      </c>
      <c r="B4286">
        <v>477</v>
      </c>
      <c r="C4286" t="s">
        <v>149</v>
      </c>
      <c r="D4286">
        <v>1907652</v>
      </c>
      <c r="E4286">
        <v>177168</v>
      </c>
      <c r="F4286">
        <v>54741</v>
      </c>
    </row>
    <row r="4287" spans="1:6">
      <c r="A4287" t="s">
        <v>5420</v>
      </c>
      <c r="B4287">
        <v>477</v>
      </c>
      <c r="C4287" t="s">
        <v>1132</v>
      </c>
      <c r="D4287">
        <v>5722956</v>
      </c>
      <c r="E4287">
        <v>177168</v>
      </c>
      <c r="F4287">
        <v>54741</v>
      </c>
    </row>
    <row r="4288" spans="1:6">
      <c r="A4288" t="s">
        <v>5421</v>
      </c>
      <c r="B4288">
        <v>477</v>
      </c>
      <c r="C4288" t="s">
        <v>1134</v>
      </c>
      <c r="D4288">
        <v>3433774</v>
      </c>
      <c r="E4288">
        <v>177168</v>
      </c>
      <c r="F4288">
        <v>54741</v>
      </c>
    </row>
    <row r="4289" spans="1:6">
      <c r="A4289" t="s">
        <v>5422</v>
      </c>
      <c r="B4289">
        <v>477</v>
      </c>
      <c r="C4289" t="s">
        <v>1136</v>
      </c>
      <c r="D4289">
        <v>953826</v>
      </c>
      <c r="E4289">
        <v>177168</v>
      </c>
      <c r="F4289">
        <v>54741</v>
      </c>
    </row>
    <row r="4290" spans="1:6">
      <c r="A4290" t="s">
        <v>5423</v>
      </c>
      <c r="B4290">
        <v>477</v>
      </c>
      <c r="C4290" t="s">
        <v>1138</v>
      </c>
      <c r="D4290">
        <v>286148</v>
      </c>
      <c r="E4290">
        <v>177168</v>
      </c>
      <c r="F4290">
        <v>54741</v>
      </c>
    </row>
    <row r="4291" spans="1:6">
      <c r="A4291" t="s">
        <v>5424</v>
      </c>
      <c r="B4291">
        <v>477</v>
      </c>
      <c r="C4291" t="s">
        <v>738</v>
      </c>
      <c r="D4291">
        <v>7630608</v>
      </c>
      <c r="E4291">
        <v>177168</v>
      </c>
      <c r="F4291">
        <v>54741</v>
      </c>
    </row>
    <row r="4292" spans="1:6">
      <c r="A4292" t="s">
        <v>5425</v>
      </c>
      <c r="B4292">
        <v>477</v>
      </c>
      <c r="C4292" t="s">
        <v>1141</v>
      </c>
      <c r="D4292">
        <v>17168868</v>
      </c>
      <c r="E4292">
        <v>177168</v>
      </c>
      <c r="F4292">
        <v>54741</v>
      </c>
    </row>
    <row r="4293" spans="1:6">
      <c r="A4293" t="s">
        <v>5426</v>
      </c>
      <c r="B4293">
        <v>477</v>
      </c>
      <c r="C4293" t="s">
        <v>159</v>
      </c>
      <c r="D4293">
        <v>243184500</v>
      </c>
      <c r="E4293">
        <v>177168</v>
      </c>
      <c r="F4293">
        <v>54741</v>
      </c>
    </row>
    <row r="4294" spans="1:6">
      <c r="A4294" t="s">
        <v>5427</v>
      </c>
      <c r="B4294">
        <v>477</v>
      </c>
      <c r="C4294" t="s">
        <v>642</v>
      </c>
      <c r="D4294">
        <v>121592250</v>
      </c>
      <c r="E4294">
        <v>177168</v>
      </c>
      <c r="F4294">
        <v>54741</v>
      </c>
    </row>
    <row r="4295" spans="1:6">
      <c r="A4295" t="s">
        <v>5428</v>
      </c>
      <c r="B4295">
        <v>478</v>
      </c>
      <c r="C4295" t="s">
        <v>149</v>
      </c>
      <c r="D4295">
        <v>1920980</v>
      </c>
      <c r="E4295">
        <v>178181</v>
      </c>
      <c r="F4295">
        <v>54900</v>
      </c>
    </row>
    <row r="4296" spans="1:6">
      <c r="A4296" t="s">
        <v>5429</v>
      </c>
      <c r="B4296">
        <v>478</v>
      </c>
      <c r="C4296" t="s">
        <v>1132</v>
      </c>
      <c r="D4296">
        <v>5762940</v>
      </c>
      <c r="E4296">
        <v>178181</v>
      </c>
      <c r="F4296">
        <v>54900</v>
      </c>
    </row>
    <row r="4297" spans="1:6">
      <c r="A4297" t="s">
        <v>5430</v>
      </c>
      <c r="B4297">
        <v>478</v>
      </c>
      <c r="C4297" t="s">
        <v>1134</v>
      </c>
      <c r="D4297">
        <v>3457764</v>
      </c>
      <c r="E4297">
        <v>178181</v>
      </c>
      <c r="F4297">
        <v>54900</v>
      </c>
    </row>
    <row r="4298" spans="1:6">
      <c r="A4298" t="s">
        <v>5431</v>
      </c>
      <c r="B4298">
        <v>478</v>
      </c>
      <c r="C4298" t="s">
        <v>1136</v>
      </c>
      <c r="D4298">
        <v>960490</v>
      </c>
      <c r="E4298">
        <v>178181</v>
      </c>
      <c r="F4298">
        <v>54900</v>
      </c>
    </row>
    <row r="4299" spans="1:6">
      <c r="A4299" t="s">
        <v>5432</v>
      </c>
      <c r="B4299">
        <v>478</v>
      </c>
      <c r="C4299" t="s">
        <v>1138</v>
      </c>
      <c r="D4299">
        <v>288147</v>
      </c>
      <c r="E4299">
        <v>178181</v>
      </c>
      <c r="F4299">
        <v>54900</v>
      </c>
    </row>
    <row r="4300" spans="1:6">
      <c r="A4300" t="s">
        <v>5433</v>
      </c>
      <c r="B4300">
        <v>478</v>
      </c>
      <c r="C4300" t="s">
        <v>738</v>
      </c>
      <c r="D4300">
        <v>7683920</v>
      </c>
      <c r="E4300">
        <v>178181</v>
      </c>
      <c r="F4300">
        <v>54900</v>
      </c>
    </row>
    <row r="4301" spans="1:6">
      <c r="A4301" t="s">
        <v>5434</v>
      </c>
      <c r="B4301">
        <v>478</v>
      </c>
      <c r="C4301" t="s">
        <v>1141</v>
      </c>
      <c r="D4301">
        <v>17288820</v>
      </c>
      <c r="E4301">
        <v>178181</v>
      </c>
      <c r="F4301">
        <v>54900</v>
      </c>
    </row>
    <row r="4302" spans="1:6">
      <c r="A4302" t="s">
        <v>5435</v>
      </c>
      <c r="B4302">
        <v>478</v>
      </c>
      <c r="C4302" t="s">
        <v>159</v>
      </c>
      <c r="D4302">
        <v>245022900</v>
      </c>
      <c r="E4302">
        <v>178181</v>
      </c>
      <c r="F4302">
        <v>54900</v>
      </c>
    </row>
    <row r="4303" spans="1:6">
      <c r="A4303" t="s">
        <v>5436</v>
      </c>
      <c r="B4303">
        <v>478</v>
      </c>
      <c r="C4303" t="s">
        <v>642</v>
      </c>
      <c r="D4303">
        <v>122511450</v>
      </c>
      <c r="E4303">
        <v>178181</v>
      </c>
      <c r="F4303">
        <v>54900</v>
      </c>
    </row>
    <row r="4304" spans="1:6">
      <c r="A4304" t="s">
        <v>5437</v>
      </c>
      <c r="B4304">
        <v>479</v>
      </c>
      <c r="C4304" t="s">
        <v>149</v>
      </c>
      <c r="D4304">
        <v>1934383</v>
      </c>
      <c r="E4304">
        <v>179198</v>
      </c>
      <c r="F4304">
        <v>55059</v>
      </c>
    </row>
    <row r="4305" spans="1:6">
      <c r="A4305" t="s">
        <v>5438</v>
      </c>
      <c r="B4305">
        <v>479</v>
      </c>
      <c r="C4305" t="s">
        <v>1132</v>
      </c>
      <c r="D4305">
        <v>5803149</v>
      </c>
      <c r="E4305">
        <v>179198</v>
      </c>
      <c r="F4305">
        <v>55059</v>
      </c>
    </row>
    <row r="4306" spans="1:6">
      <c r="A4306" t="s">
        <v>5439</v>
      </c>
      <c r="B4306">
        <v>479</v>
      </c>
      <c r="C4306" t="s">
        <v>1134</v>
      </c>
      <c r="D4306">
        <v>3481890</v>
      </c>
      <c r="E4306">
        <v>179198</v>
      </c>
      <c r="F4306">
        <v>55059</v>
      </c>
    </row>
    <row r="4307" spans="1:6">
      <c r="A4307" t="s">
        <v>5440</v>
      </c>
      <c r="B4307">
        <v>479</v>
      </c>
      <c r="C4307" t="s">
        <v>1136</v>
      </c>
      <c r="D4307">
        <v>967192</v>
      </c>
      <c r="E4307">
        <v>179198</v>
      </c>
      <c r="F4307">
        <v>55059</v>
      </c>
    </row>
    <row r="4308" spans="1:6">
      <c r="A4308" t="s">
        <v>5441</v>
      </c>
      <c r="B4308">
        <v>479</v>
      </c>
      <c r="C4308" t="s">
        <v>1138</v>
      </c>
      <c r="D4308">
        <v>290158</v>
      </c>
      <c r="E4308">
        <v>179198</v>
      </c>
      <c r="F4308">
        <v>55059</v>
      </c>
    </row>
    <row r="4309" spans="1:6">
      <c r="A4309" t="s">
        <v>5442</v>
      </c>
      <c r="B4309">
        <v>479</v>
      </c>
      <c r="C4309" t="s">
        <v>738</v>
      </c>
      <c r="D4309">
        <v>7737532</v>
      </c>
      <c r="E4309">
        <v>179198</v>
      </c>
      <c r="F4309">
        <v>55059</v>
      </c>
    </row>
    <row r="4310" spans="1:6">
      <c r="A4310" t="s">
        <v>5443</v>
      </c>
      <c r="B4310">
        <v>479</v>
      </c>
      <c r="C4310" t="s">
        <v>1141</v>
      </c>
      <c r="D4310">
        <v>17409447</v>
      </c>
      <c r="E4310">
        <v>179198</v>
      </c>
      <c r="F4310">
        <v>55059</v>
      </c>
    </row>
    <row r="4311" spans="1:6">
      <c r="A4311" t="s">
        <v>5444</v>
      </c>
      <c r="B4311">
        <v>479</v>
      </c>
      <c r="C4311" t="s">
        <v>159</v>
      </c>
      <c r="D4311">
        <v>246872760</v>
      </c>
      <c r="E4311">
        <v>179198</v>
      </c>
      <c r="F4311">
        <v>55059</v>
      </c>
    </row>
    <row r="4312" spans="1:6">
      <c r="A4312" t="s">
        <v>5445</v>
      </c>
      <c r="B4312">
        <v>479</v>
      </c>
      <c r="C4312" t="s">
        <v>642</v>
      </c>
      <c r="D4312">
        <v>123436380</v>
      </c>
      <c r="E4312">
        <v>179198</v>
      </c>
      <c r="F4312">
        <v>55059</v>
      </c>
    </row>
    <row r="4313" spans="1:6">
      <c r="A4313" t="s">
        <v>5446</v>
      </c>
      <c r="B4313">
        <v>480</v>
      </c>
      <c r="C4313" t="s">
        <v>149</v>
      </c>
      <c r="D4313">
        <v>1947863</v>
      </c>
      <c r="E4313">
        <v>180219</v>
      </c>
      <c r="F4313">
        <v>55218</v>
      </c>
    </row>
    <row r="4314" spans="1:6">
      <c r="A4314" t="s">
        <v>5447</v>
      </c>
      <c r="B4314">
        <v>480</v>
      </c>
      <c r="C4314" t="s">
        <v>1132</v>
      </c>
      <c r="D4314">
        <v>5843589</v>
      </c>
      <c r="E4314">
        <v>180219</v>
      </c>
      <c r="F4314">
        <v>55218</v>
      </c>
    </row>
    <row r="4315" spans="1:6">
      <c r="A4315" t="s">
        <v>5448</v>
      </c>
      <c r="B4315">
        <v>480</v>
      </c>
      <c r="C4315" t="s">
        <v>1134</v>
      </c>
      <c r="D4315">
        <v>3506154</v>
      </c>
      <c r="E4315">
        <v>180219</v>
      </c>
      <c r="F4315">
        <v>55218</v>
      </c>
    </row>
    <row r="4316" spans="1:6">
      <c r="A4316" t="s">
        <v>5449</v>
      </c>
      <c r="B4316">
        <v>480</v>
      </c>
      <c r="C4316" t="s">
        <v>1136</v>
      </c>
      <c r="D4316">
        <v>973932</v>
      </c>
      <c r="E4316">
        <v>180219</v>
      </c>
      <c r="F4316">
        <v>55218</v>
      </c>
    </row>
    <row r="4317" spans="1:6">
      <c r="A4317" t="s">
        <v>5450</v>
      </c>
      <c r="B4317">
        <v>480</v>
      </c>
      <c r="C4317" t="s">
        <v>1138</v>
      </c>
      <c r="D4317">
        <v>292180</v>
      </c>
      <c r="E4317">
        <v>180219</v>
      </c>
      <c r="F4317">
        <v>55218</v>
      </c>
    </row>
    <row r="4318" spans="1:6">
      <c r="A4318" t="s">
        <v>5451</v>
      </c>
      <c r="B4318">
        <v>480</v>
      </c>
      <c r="C4318" t="s">
        <v>738</v>
      </c>
      <c r="D4318">
        <v>7791452</v>
      </c>
      <c r="E4318">
        <v>180219</v>
      </c>
      <c r="F4318">
        <v>55218</v>
      </c>
    </row>
    <row r="4319" spans="1:6">
      <c r="A4319" t="s">
        <v>5452</v>
      </c>
      <c r="B4319">
        <v>480</v>
      </c>
      <c r="C4319" t="s">
        <v>1141</v>
      </c>
      <c r="D4319">
        <v>17530767</v>
      </c>
      <c r="E4319">
        <v>180219</v>
      </c>
      <c r="F4319">
        <v>55218</v>
      </c>
    </row>
    <row r="4320" spans="1:6">
      <c r="A4320" t="s">
        <v>5453</v>
      </c>
      <c r="B4320">
        <v>480</v>
      </c>
      <c r="C4320" t="s">
        <v>159</v>
      </c>
      <c r="D4320">
        <v>248734260</v>
      </c>
      <c r="E4320">
        <v>180219</v>
      </c>
      <c r="F4320">
        <v>55218</v>
      </c>
    </row>
    <row r="4321" spans="1:6">
      <c r="A4321" t="s">
        <v>5454</v>
      </c>
      <c r="B4321">
        <v>480</v>
      </c>
      <c r="C4321" t="s">
        <v>642</v>
      </c>
      <c r="D4321">
        <v>124367130</v>
      </c>
      <c r="E4321">
        <v>180219</v>
      </c>
      <c r="F4321">
        <v>55218</v>
      </c>
    </row>
    <row r="4322" spans="1:6">
      <c r="A4322" t="s">
        <v>5455</v>
      </c>
      <c r="B4322">
        <v>481</v>
      </c>
      <c r="C4322" t="s">
        <v>149</v>
      </c>
      <c r="D4322">
        <v>1961418</v>
      </c>
      <c r="E4322">
        <v>181245</v>
      </c>
      <c r="F4322">
        <v>55378</v>
      </c>
    </row>
    <row r="4323" spans="1:6">
      <c r="A4323" t="s">
        <v>5456</v>
      </c>
      <c r="B4323">
        <v>481</v>
      </c>
      <c r="C4323" t="s">
        <v>1132</v>
      </c>
      <c r="D4323">
        <v>5884254</v>
      </c>
      <c r="E4323">
        <v>181245</v>
      </c>
      <c r="F4323">
        <v>55378</v>
      </c>
    </row>
    <row r="4324" spans="1:6">
      <c r="A4324" t="s">
        <v>5457</v>
      </c>
      <c r="B4324">
        <v>481</v>
      </c>
      <c r="C4324" t="s">
        <v>1134</v>
      </c>
      <c r="D4324">
        <v>3530553</v>
      </c>
      <c r="E4324">
        <v>181245</v>
      </c>
      <c r="F4324">
        <v>55378</v>
      </c>
    </row>
    <row r="4325" spans="1:6">
      <c r="A4325" t="s">
        <v>5458</v>
      </c>
      <c r="B4325">
        <v>481</v>
      </c>
      <c r="C4325" t="s">
        <v>1136</v>
      </c>
      <c r="D4325">
        <v>980709</v>
      </c>
      <c r="E4325">
        <v>181245</v>
      </c>
      <c r="F4325">
        <v>55378</v>
      </c>
    </row>
    <row r="4326" spans="1:6">
      <c r="A4326" t="s">
        <v>5459</v>
      </c>
      <c r="B4326">
        <v>481</v>
      </c>
      <c r="C4326" t="s">
        <v>1138</v>
      </c>
      <c r="D4326">
        <v>294213</v>
      </c>
      <c r="E4326">
        <v>181245</v>
      </c>
      <c r="F4326">
        <v>55378</v>
      </c>
    </row>
    <row r="4327" spans="1:6">
      <c r="A4327" t="s">
        <v>5460</v>
      </c>
      <c r="B4327">
        <v>481</v>
      </c>
      <c r="C4327" t="s">
        <v>738</v>
      </c>
      <c r="D4327">
        <v>7845672</v>
      </c>
      <c r="E4327">
        <v>181245</v>
      </c>
      <c r="F4327">
        <v>55378</v>
      </c>
    </row>
    <row r="4328" spans="1:6">
      <c r="A4328" t="s">
        <v>5461</v>
      </c>
      <c r="B4328">
        <v>481</v>
      </c>
      <c r="C4328" t="s">
        <v>1141</v>
      </c>
      <c r="D4328">
        <v>17652762</v>
      </c>
      <c r="E4328">
        <v>181245</v>
      </c>
      <c r="F4328">
        <v>55378</v>
      </c>
    </row>
    <row r="4329" spans="1:6">
      <c r="A4329" t="s">
        <v>5462</v>
      </c>
      <c r="B4329">
        <v>481</v>
      </c>
      <c r="C4329" t="s">
        <v>159</v>
      </c>
      <c r="D4329">
        <v>250607400</v>
      </c>
      <c r="E4329">
        <v>181245</v>
      </c>
      <c r="F4329">
        <v>55378</v>
      </c>
    </row>
    <row r="4330" spans="1:6">
      <c r="A4330" t="s">
        <v>5463</v>
      </c>
      <c r="B4330">
        <v>481</v>
      </c>
      <c r="C4330" t="s">
        <v>642</v>
      </c>
      <c r="D4330">
        <v>125303700</v>
      </c>
      <c r="E4330">
        <v>181245</v>
      </c>
      <c r="F4330">
        <v>55378</v>
      </c>
    </row>
    <row r="4331" spans="1:6">
      <c r="A4331" t="s">
        <v>5464</v>
      </c>
      <c r="B4331">
        <v>482</v>
      </c>
      <c r="C4331" t="s">
        <v>149</v>
      </c>
      <c r="D4331">
        <v>1975050</v>
      </c>
      <c r="E4331">
        <v>182276</v>
      </c>
      <c r="F4331">
        <v>55537</v>
      </c>
    </row>
    <row r="4332" spans="1:6">
      <c r="A4332" t="s">
        <v>5465</v>
      </c>
      <c r="B4332">
        <v>482</v>
      </c>
      <c r="C4332" t="s">
        <v>1132</v>
      </c>
      <c r="D4332">
        <v>5925150</v>
      </c>
      <c r="E4332">
        <v>182276</v>
      </c>
      <c r="F4332">
        <v>55537</v>
      </c>
    </row>
    <row r="4333" spans="1:6">
      <c r="A4333" t="s">
        <v>5466</v>
      </c>
      <c r="B4333">
        <v>482</v>
      </c>
      <c r="C4333" t="s">
        <v>1134</v>
      </c>
      <c r="D4333">
        <v>3555090</v>
      </c>
      <c r="E4333">
        <v>182276</v>
      </c>
      <c r="F4333">
        <v>55537</v>
      </c>
    </row>
    <row r="4334" spans="1:6">
      <c r="A4334" t="s">
        <v>5467</v>
      </c>
      <c r="B4334">
        <v>482</v>
      </c>
      <c r="C4334" t="s">
        <v>1136</v>
      </c>
      <c r="D4334">
        <v>987525</v>
      </c>
      <c r="E4334">
        <v>182276</v>
      </c>
      <c r="F4334">
        <v>55537</v>
      </c>
    </row>
    <row r="4335" spans="1:6">
      <c r="A4335" t="s">
        <v>5468</v>
      </c>
      <c r="B4335">
        <v>482</v>
      </c>
      <c r="C4335" t="s">
        <v>1138</v>
      </c>
      <c r="D4335">
        <v>296258</v>
      </c>
      <c r="E4335">
        <v>182276</v>
      </c>
      <c r="F4335">
        <v>55537</v>
      </c>
    </row>
    <row r="4336" spans="1:6">
      <c r="A4336" t="s">
        <v>5469</v>
      </c>
      <c r="B4336">
        <v>482</v>
      </c>
      <c r="C4336" t="s">
        <v>738</v>
      </c>
      <c r="D4336">
        <v>7900200</v>
      </c>
      <c r="E4336">
        <v>182276</v>
      </c>
      <c r="F4336">
        <v>55537</v>
      </c>
    </row>
    <row r="4337" spans="1:6">
      <c r="A4337" t="s">
        <v>5470</v>
      </c>
      <c r="B4337">
        <v>482</v>
      </c>
      <c r="C4337" t="s">
        <v>1141</v>
      </c>
      <c r="D4337">
        <v>17775450</v>
      </c>
      <c r="E4337">
        <v>182276</v>
      </c>
      <c r="F4337">
        <v>55537</v>
      </c>
    </row>
    <row r="4338" spans="1:6">
      <c r="A4338" t="s">
        <v>5471</v>
      </c>
      <c r="B4338">
        <v>482</v>
      </c>
      <c r="C4338" t="s">
        <v>159</v>
      </c>
      <c r="D4338">
        <v>252492240</v>
      </c>
      <c r="E4338">
        <v>182276</v>
      </c>
      <c r="F4338">
        <v>55537</v>
      </c>
    </row>
    <row r="4339" spans="1:6">
      <c r="A4339" t="s">
        <v>5472</v>
      </c>
      <c r="B4339">
        <v>482</v>
      </c>
      <c r="C4339" t="s">
        <v>642</v>
      </c>
      <c r="D4339">
        <v>126246120</v>
      </c>
      <c r="E4339">
        <v>182276</v>
      </c>
      <c r="F4339">
        <v>55537</v>
      </c>
    </row>
    <row r="4340" spans="1:6">
      <c r="A4340" t="s">
        <v>5473</v>
      </c>
      <c r="B4340">
        <v>483</v>
      </c>
      <c r="C4340" t="s">
        <v>149</v>
      </c>
      <c r="D4340">
        <v>1988758</v>
      </c>
      <c r="E4340">
        <v>183311</v>
      </c>
      <c r="F4340">
        <v>55697</v>
      </c>
    </row>
    <row r="4341" spans="1:6">
      <c r="A4341" t="s">
        <v>5474</v>
      </c>
      <c r="B4341">
        <v>483</v>
      </c>
      <c r="C4341" t="s">
        <v>1132</v>
      </c>
      <c r="D4341">
        <v>5966274</v>
      </c>
      <c r="E4341">
        <v>183311</v>
      </c>
      <c r="F4341">
        <v>55697</v>
      </c>
    </row>
    <row r="4342" spans="1:6">
      <c r="A4342" t="s">
        <v>5475</v>
      </c>
      <c r="B4342">
        <v>483</v>
      </c>
      <c r="C4342" t="s">
        <v>1134</v>
      </c>
      <c r="D4342">
        <v>3579765</v>
      </c>
      <c r="E4342">
        <v>183311</v>
      </c>
      <c r="F4342">
        <v>55697</v>
      </c>
    </row>
    <row r="4343" spans="1:6">
      <c r="A4343" t="s">
        <v>5476</v>
      </c>
      <c r="B4343">
        <v>483</v>
      </c>
      <c r="C4343" t="s">
        <v>1136</v>
      </c>
      <c r="D4343">
        <v>994379</v>
      </c>
      <c r="E4343">
        <v>183311</v>
      </c>
      <c r="F4343">
        <v>55697</v>
      </c>
    </row>
    <row r="4344" spans="1:6">
      <c r="A4344" t="s">
        <v>5477</v>
      </c>
      <c r="B4344">
        <v>483</v>
      </c>
      <c r="C4344" t="s">
        <v>1138</v>
      </c>
      <c r="D4344">
        <v>298314</v>
      </c>
      <c r="E4344">
        <v>183311</v>
      </c>
      <c r="F4344">
        <v>55697</v>
      </c>
    </row>
    <row r="4345" spans="1:6">
      <c r="A4345" t="s">
        <v>5478</v>
      </c>
      <c r="B4345">
        <v>483</v>
      </c>
      <c r="C4345" t="s">
        <v>738</v>
      </c>
      <c r="D4345">
        <v>7955032</v>
      </c>
      <c r="E4345">
        <v>183311</v>
      </c>
      <c r="F4345">
        <v>55697</v>
      </c>
    </row>
    <row r="4346" spans="1:6">
      <c r="A4346" t="s">
        <v>5479</v>
      </c>
      <c r="B4346">
        <v>483</v>
      </c>
      <c r="C4346" t="s">
        <v>1141</v>
      </c>
      <c r="D4346">
        <v>17898822</v>
      </c>
      <c r="E4346">
        <v>183311</v>
      </c>
      <c r="F4346">
        <v>55697</v>
      </c>
    </row>
    <row r="4347" spans="1:6">
      <c r="A4347" t="s">
        <v>5480</v>
      </c>
      <c r="B4347">
        <v>483</v>
      </c>
      <c r="C4347" t="s">
        <v>159</v>
      </c>
      <c r="D4347">
        <v>254388840</v>
      </c>
      <c r="E4347">
        <v>183311</v>
      </c>
      <c r="F4347">
        <v>55697</v>
      </c>
    </row>
    <row r="4348" spans="1:6">
      <c r="A4348" t="s">
        <v>5481</v>
      </c>
      <c r="B4348">
        <v>483</v>
      </c>
      <c r="C4348" t="s">
        <v>642</v>
      </c>
      <c r="D4348">
        <v>127194420</v>
      </c>
      <c r="E4348">
        <v>183311</v>
      </c>
      <c r="F4348">
        <v>55697</v>
      </c>
    </row>
    <row r="4349" spans="1:6">
      <c r="A4349" t="s">
        <v>5482</v>
      </c>
      <c r="B4349">
        <v>484</v>
      </c>
      <c r="C4349" t="s">
        <v>149</v>
      </c>
      <c r="D4349">
        <v>2002544</v>
      </c>
      <c r="E4349">
        <v>184351</v>
      </c>
      <c r="F4349">
        <v>55857</v>
      </c>
    </row>
    <row r="4350" spans="1:6">
      <c r="A4350" t="s">
        <v>5483</v>
      </c>
      <c r="B4350">
        <v>484</v>
      </c>
      <c r="C4350" t="s">
        <v>1132</v>
      </c>
      <c r="D4350">
        <v>6007632</v>
      </c>
      <c r="E4350">
        <v>184351</v>
      </c>
      <c r="F4350">
        <v>55857</v>
      </c>
    </row>
    <row r="4351" spans="1:6">
      <c r="A4351" t="s">
        <v>5484</v>
      </c>
      <c r="B4351">
        <v>484</v>
      </c>
      <c r="C4351" t="s">
        <v>1134</v>
      </c>
      <c r="D4351">
        <v>3604580</v>
      </c>
      <c r="E4351">
        <v>184351</v>
      </c>
      <c r="F4351">
        <v>55857</v>
      </c>
    </row>
    <row r="4352" spans="1:6">
      <c r="A4352" t="s">
        <v>5485</v>
      </c>
      <c r="B4352">
        <v>484</v>
      </c>
      <c r="C4352" t="s">
        <v>1136</v>
      </c>
      <c r="D4352">
        <v>1001272</v>
      </c>
      <c r="E4352">
        <v>184351</v>
      </c>
      <c r="F4352">
        <v>55857</v>
      </c>
    </row>
    <row r="4353" spans="1:6">
      <c r="A4353" t="s">
        <v>5486</v>
      </c>
      <c r="B4353">
        <v>484</v>
      </c>
      <c r="C4353" t="s">
        <v>1138</v>
      </c>
      <c r="D4353">
        <v>300382</v>
      </c>
      <c r="E4353">
        <v>184351</v>
      </c>
      <c r="F4353">
        <v>55857</v>
      </c>
    </row>
    <row r="4354" spans="1:6">
      <c r="A4354" t="s">
        <v>5487</v>
      </c>
      <c r="B4354">
        <v>484</v>
      </c>
      <c r="C4354" t="s">
        <v>738</v>
      </c>
      <c r="D4354">
        <v>8010176</v>
      </c>
      <c r="E4354">
        <v>184351</v>
      </c>
      <c r="F4354">
        <v>55857</v>
      </c>
    </row>
    <row r="4355" spans="1:6">
      <c r="A4355" t="s">
        <v>5488</v>
      </c>
      <c r="B4355">
        <v>484</v>
      </c>
      <c r="C4355" t="s">
        <v>1141</v>
      </c>
      <c r="D4355">
        <v>18022896</v>
      </c>
      <c r="E4355">
        <v>184351</v>
      </c>
      <c r="F4355">
        <v>55857</v>
      </c>
    </row>
    <row r="4356" spans="1:6">
      <c r="A4356" t="s">
        <v>5489</v>
      </c>
      <c r="B4356">
        <v>484</v>
      </c>
      <c r="C4356" t="s">
        <v>159</v>
      </c>
      <c r="D4356">
        <v>256297260</v>
      </c>
      <c r="E4356">
        <v>184351</v>
      </c>
      <c r="F4356">
        <v>55857</v>
      </c>
    </row>
    <row r="4357" spans="1:6">
      <c r="A4357" t="s">
        <v>5490</v>
      </c>
      <c r="B4357">
        <v>484</v>
      </c>
      <c r="C4357" t="s">
        <v>642</v>
      </c>
      <c r="D4357">
        <v>128148630</v>
      </c>
      <c r="E4357">
        <v>184351</v>
      </c>
      <c r="F4357">
        <v>55857</v>
      </c>
    </row>
    <row r="4358" spans="1:6">
      <c r="A4358" t="s">
        <v>5491</v>
      </c>
      <c r="B4358">
        <v>485</v>
      </c>
      <c r="C4358" t="s">
        <v>149</v>
      </c>
      <c r="D4358">
        <v>2016407</v>
      </c>
      <c r="E4358">
        <v>185395</v>
      </c>
      <c r="F4358">
        <v>56017</v>
      </c>
    </row>
    <row r="4359" spans="1:6">
      <c r="A4359" t="s">
        <v>5492</v>
      </c>
      <c r="B4359">
        <v>485</v>
      </c>
      <c r="C4359" t="s">
        <v>1132</v>
      </c>
      <c r="D4359">
        <v>6049221</v>
      </c>
      <c r="E4359">
        <v>185395</v>
      </c>
      <c r="F4359">
        <v>56017</v>
      </c>
    </row>
    <row r="4360" spans="1:6">
      <c r="A4360" t="s">
        <v>5493</v>
      </c>
      <c r="B4360">
        <v>485</v>
      </c>
      <c r="C4360" t="s">
        <v>1134</v>
      </c>
      <c r="D4360">
        <v>3629533</v>
      </c>
      <c r="E4360">
        <v>185395</v>
      </c>
      <c r="F4360">
        <v>56017</v>
      </c>
    </row>
    <row r="4361" spans="1:6">
      <c r="A4361" t="s">
        <v>5494</v>
      </c>
      <c r="B4361">
        <v>485</v>
      </c>
      <c r="C4361" t="s">
        <v>1136</v>
      </c>
      <c r="D4361">
        <v>1008204</v>
      </c>
      <c r="E4361">
        <v>185395</v>
      </c>
      <c r="F4361">
        <v>56017</v>
      </c>
    </row>
    <row r="4362" spans="1:6">
      <c r="A4362" t="s">
        <v>5495</v>
      </c>
      <c r="B4362">
        <v>485</v>
      </c>
      <c r="C4362" t="s">
        <v>1138</v>
      </c>
      <c r="D4362">
        <v>302462</v>
      </c>
      <c r="E4362">
        <v>185395</v>
      </c>
      <c r="F4362">
        <v>56017</v>
      </c>
    </row>
    <row r="4363" spans="1:6">
      <c r="A4363" t="s">
        <v>5496</v>
      </c>
      <c r="B4363">
        <v>485</v>
      </c>
      <c r="C4363" t="s">
        <v>738</v>
      </c>
      <c r="D4363">
        <v>8065628</v>
      </c>
      <c r="E4363">
        <v>185395</v>
      </c>
      <c r="F4363">
        <v>56017</v>
      </c>
    </row>
    <row r="4364" spans="1:6">
      <c r="A4364" t="s">
        <v>5497</v>
      </c>
      <c r="B4364">
        <v>485</v>
      </c>
      <c r="C4364" t="s">
        <v>1141</v>
      </c>
      <c r="D4364">
        <v>18147663</v>
      </c>
      <c r="E4364">
        <v>185395</v>
      </c>
      <c r="F4364">
        <v>56017</v>
      </c>
    </row>
    <row r="4365" spans="1:6">
      <c r="A4365" t="s">
        <v>5498</v>
      </c>
      <c r="B4365">
        <v>485</v>
      </c>
      <c r="C4365" t="s">
        <v>159</v>
      </c>
      <c r="D4365">
        <v>258217620</v>
      </c>
      <c r="E4365">
        <v>185395</v>
      </c>
      <c r="F4365">
        <v>56017</v>
      </c>
    </row>
    <row r="4366" spans="1:6">
      <c r="A4366" t="s">
        <v>5499</v>
      </c>
      <c r="B4366">
        <v>485</v>
      </c>
      <c r="C4366" t="s">
        <v>642</v>
      </c>
      <c r="D4366">
        <v>129108810</v>
      </c>
      <c r="E4366">
        <v>185395</v>
      </c>
      <c r="F4366">
        <v>56017</v>
      </c>
    </row>
    <row r="4367" spans="1:6">
      <c r="A4367" t="s">
        <v>5500</v>
      </c>
      <c r="B4367">
        <v>486</v>
      </c>
      <c r="C4367" t="s">
        <v>149</v>
      </c>
      <c r="D4367">
        <v>2030348</v>
      </c>
      <c r="E4367">
        <v>186443</v>
      </c>
      <c r="F4367">
        <v>56177</v>
      </c>
    </row>
    <row r="4368" spans="1:6">
      <c r="A4368" t="s">
        <v>5501</v>
      </c>
      <c r="B4368">
        <v>486</v>
      </c>
      <c r="C4368" t="s">
        <v>1132</v>
      </c>
      <c r="D4368">
        <v>6091044</v>
      </c>
      <c r="E4368">
        <v>186443</v>
      </c>
      <c r="F4368">
        <v>56177</v>
      </c>
    </row>
    <row r="4369" spans="1:6">
      <c r="A4369" t="s">
        <v>5502</v>
      </c>
      <c r="B4369">
        <v>486</v>
      </c>
      <c r="C4369" t="s">
        <v>1134</v>
      </c>
      <c r="D4369">
        <v>3654627</v>
      </c>
      <c r="E4369">
        <v>186443</v>
      </c>
      <c r="F4369">
        <v>56177</v>
      </c>
    </row>
    <row r="4370" spans="1:6">
      <c r="A4370" t="s">
        <v>5503</v>
      </c>
      <c r="B4370">
        <v>486</v>
      </c>
      <c r="C4370" t="s">
        <v>1136</v>
      </c>
      <c r="D4370">
        <v>1015174</v>
      </c>
      <c r="E4370">
        <v>186443</v>
      </c>
      <c r="F4370">
        <v>56177</v>
      </c>
    </row>
    <row r="4371" spans="1:6">
      <c r="A4371" t="s">
        <v>5504</v>
      </c>
      <c r="B4371">
        <v>486</v>
      </c>
      <c r="C4371" t="s">
        <v>1138</v>
      </c>
      <c r="D4371">
        <v>304553</v>
      </c>
      <c r="E4371">
        <v>186443</v>
      </c>
      <c r="F4371">
        <v>56177</v>
      </c>
    </row>
    <row r="4372" spans="1:6">
      <c r="A4372" t="s">
        <v>5505</v>
      </c>
      <c r="B4372">
        <v>486</v>
      </c>
      <c r="C4372" t="s">
        <v>738</v>
      </c>
      <c r="D4372">
        <v>8121392</v>
      </c>
      <c r="E4372">
        <v>186443</v>
      </c>
      <c r="F4372">
        <v>56177</v>
      </c>
    </row>
    <row r="4373" spans="1:6">
      <c r="A4373" t="s">
        <v>5506</v>
      </c>
      <c r="B4373">
        <v>486</v>
      </c>
      <c r="C4373" t="s">
        <v>1141</v>
      </c>
      <c r="D4373">
        <v>18273132</v>
      </c>
      <c r="E4373">
        <v>186443</v>
      </c>
      <c r="F4373">
        <v>56177</v>
      </c>
    </row>
    <row r="4374" spans="1:6">
      <c r="A4374" t="s">
        <v>5507</v>
      </c>
      <c r="B4374">
        <v>486</v>
      </c>
      <c r="C4374" t="s">
        <v>159</v>
      </c>
      <c r="D4374">
        <v>260149920</v>
      </c>
      <c r="E4374">
        <v>186443</v>
      </c>
      <c r="F4374">
        <v>56177</v>
      </c>
    </row>
    <row r="4375" spans="1:6">
      <c r="A4375" t="s">
        <v>5508</v>
      </c>
      <c r="B4375">
        <v>486</v>
      </c>
      <c r="C4375" t="s">
        <v>642</v>
      </c>
      <c r="D4375">
        <v>130074960</v>
      </c>
      <c r="E4375">
        <v>186443</v>
      </c>
      <c r="F4375">
        <v>56177</v>
      </c>
    </row>
    <row r="4376" spans="1:6">
      <c r="A4376" t="s">
        <v>5509</v>
      </c>
      <c r="B4376">
        <v>487</v>
      </c>
      <c r="C4376" t="s">
        <v>149</v>
      </c>
      <c r="D4376">
        <v>2044368</v>
      </c>
      <c r="E4376">
        <v>187497</v>
      </c>
      <c r="F4376">
        <v>56337</v>
      </c>
    </row>
    <row r="4377" spans="1:6">
      <c r="A4377" t="s">
        <v>5510</v>
      </c>
      <c r="B4377">
        <v>487</v>
      </c>
      <c r="C4377" t="s">
        <v>1132</v>
      </c>
      <c r="D4377">
        <v>6133104</v>
      </c>
      <c r="E4377">
        <v>187497</v>
      </c>
      <c r="F4377">
        <v>56337</v>
      </c>
    </row>
    <row r="4378" spans="1:6">
      <c r="A4378" t="s">
        <v>5511</v>
      </c>
      <c r="B4378">
        <v>487</v>
      </c>
      <c r="C4378" t="s">
        <v>1134</v>
      </c>
      <c r="D4378">
        <v>3679863</v>
      </c>
      <c r="E4378">
        <v>187497</v>
      </c>
      <c r="F4378">
        <v>56337</v>
      </c>
    </row>
    <row r="4379" spans="1:6">
      <c r="A4379" t="s">
        <v>5512</v>
      </c>
      <c r="B4379">
        <v>487</v>
      </c>
      <c r="C4379" t="s">
        <v>1136</v>
      </c>
      <c r="D4379">
        <v>1022184</v>
      </c>
      <c r="E4379">
        <v>187497</v>
      </c>
      <c r="F4379">
        <v>56337</v>
      </c>
    </row>
    <row r="4380" spans="1:6">
      <c r="A4380" t="s">
        <v>5513</v>
      </c>
      <c r="B4380">
        <v>487</v>
      </c>
      <c r="C4380" t="s">
        <v>1138</v>
      </c>
      <c r="D4380">
        <v>306656</v>
      </c>
      <c r="E4380">
        <v>187497</v>
      </c>
      <c r="F4380">
        <v>56337</v>
      </c>
    </row>
    <row r="4381" spans="1:6">
      <c r="A4381" t="s">
        <v>5514</v>
      </c>
      <c r="B4381">
        <v>487</v>
      </c>
      <c r="C4381" t="s">
        <v>738</v>
      </c>
      <c r="D4381">
        <v>8177472</v>
      </c>
      <c r="E4381">
        <v>187497</v>
      </c>
      <c r="F4381">
        <v>56337</v>
      </c>
    </row>
    <row r="4382" spans="1:6">
      <c r="A4382" t="s">
        <v>5515</v>
      </c>
      <c r="B4382">
        <v>487</v>
      </c>
      <c r="C4382" t="s">
        <v>1141</v>
      </c>
      <c r="D4382">
        <v>18399312</v>
      </c>
      <c r="E4382">
        <v>187497</v>
      </c>
      <c r="F4382">
        <v>56337</v>
      </c>
    </row>
    <row r="4383" spans="1:6">
      <c r="A4383" t="s">
        <v>5516</v>
      </c>
      <c r="B4383">
        <v>487</v>
      </c>
      <c r="C4383" t="s">
        <v>159</v>
      </c>
      <c r="D4383">
        <v>262094220</v>
      </c>
      <c r="E4383">
        <v>187497</v>
      </c>
      <c r="F4383">
        <v>56337</v>
      </c>
    </row>
    <row r="4384" spans="1:6">
      <c r="A4384" t="s">
        <v>5517</v>
      </c>
      <c r="B4384">
        <v>487</v>
      </c>
      <c r="C4384" t="s">
        <v>642</v>
      </c>
      <c r="D4384">
        <v>131047110</v>
      </c>
      <c r="E4384">
        <v>187497</v>
      </c>
      <c r="F4384">
        <v>56337</v>
      </c>
    </row>
    <row r="4385" spans="1:6">
      <c r="A4385" t="s">
        <v>5518</v>
      </c>
      <c r="B4385">
        <v>488</v>
      </c>
      <c r="C4385" t="s">
        <v>149</v>
      </c>
      <c r="D4385">
        <v>2058466</v>
      </c>
      <c r="E4385">
        <v>188555</v>
      </c>
      <c r="F4385">
        <v>56498</v>
      </c>
    </row>
    <row r="4386" spans="1:6">
      <c r="A4386" t="s">
        <v>5519</v>
      </c>
      <c r="B4386">
        <v>488</v>
      </c>
      <c r="C4386" t="s">
        <v>1132</v>
      </c>
      <c r="D4386">
        <v>6175398</v>
      </c>
      <c r="E4386">
        <v>188555</v>
      </c>
      <c r="F4386">
        <v>56498</v>
      </c>
    </row>
    <row r="4387" spans="1:6">
      <c r="A4387" t="s">
        <v>5520</v>
      </c>
      <c r="B4387">
        <v>488</v>
      </c>
      <c r="C4387" t="s">
        <v>1134</v>
      </c>
      <c r="D4387">
        <v>3705239</v>
      </c>
      <c r="E4387">
        <v>188555</v>
      </c>
      <c r="F4387">
        <v>56498</v>
      </c>
    </row>
    <row r="4388" spans="1:6">
      <c r="A4388" t="s">
        <v>5521</v>
      </c>
      <c r="B4388">
        <v>488</v>
      </c>
      <c r="C4388" t="s">
        <v>1136</v>
      </c>
      <c r="D4388">
        <v>1029233</v>
      </c>
      <c r="E4388">
        <v>188555</v>
      </c>
      <c r="F4388">
        <v>56498</v>
      </c>
    </row>
    <row r="4389" spans="1:6">
      <c r="A4389" t="s">
        <v>5522</v>
      </c>
      <c r="B4389">
        <v>488</v>
      </c>
      <c r="C4389" t="s">
        <v>1138</v>
      </c>
      <c r="D4389">
        <v>308770</v>
      </c>
      <c r="E4389">
        <v>188555</v>
      </c>
      <c r="F4389">
        <v>56498</v>
      </c>
    </row>
    <row r="4390" spans="1:6">
      <c r="A4390" t="s">
        <v>5523</v>
      </c>
      <c r="B4390">
        <v>488</v>
      </c>
      <c r="C4390" t="s">
        <v>738</v>
      </c>
      <c r="D4390">
        <v>8233864</v>
      </c>
      <c r="E4390">
        <v>188555</v>
      </c>
      <c r="F4390">
        <v>56498</v>
      </c>
    </row>
    <row r="4391" spans="1:6">
      <c r="A4391" t="s">
        <v>5524</v>
      </c>
      <c r="B4391">
        <v>488</v>
      </c>
      <c r="C4391" t="s">
        <v>1141</v>
      </c>
      <c r="D4391">
        <v>18526194</v>
      </c>
      <c r="E4391">
        <v>188555</v>
      </c>
      <c r="F4391">
        <v>56498</v>
      </c>
    </row>
    <row r="4392" spans="1:6">
      <c r="A4392" t="s">
        <v>5525</v>
      </c>
      <c r="B4392">
        <v>488</v>
      </c>
      <c r="C4392" t="s">
        <v>159</v>
      </c>
      <c r="D4392">
        <v>264050580</v>
      </c>
      <c r="E4392">
        <v>188555</v>
      </c>
      <c r="F4392">
        <v>56498</v>
      </c>
    </row>
    <row r="4393" spans="1:6">
      <c r="A4393" t="s">
        <v>5526</v>
      </c>
      <c r="B4393">
        <v>488</v>
      </c>
      <c r="C4393" t="s">
        <v>642</v>
      </c>
      <c r="D4393">
        <v>132025290</v>
      </c>
      <c r="E4393">
        <v>188555</v>
      </c>
      <c r="F4393">
        <v>56498</v>
      </c>
    </row>
    <row r="4394" spans="1:6">
      <c r="A4394" t="s">
        <v>5527</v>
      </c>
      <c r="B4394">
        <v>489</v>
      </c>
      <c r="C4394" t="s">
        <v>149</v>
      </c>
      <c r="D4394">
        <v>2072642</v>
      </c>
      <c r="E4394">
        <v>189618</v>
      </c>
      <c r="F4394">
        <v>56659</v>
      </c>
    </row>
    <row r="4395" spans="1:6">
      <c r="A4395" t="s">
        <v>5528</v>
      </c>
      <c r="B4395">
        <v>489</v>
      </c>
      <c r="C4395" t="s">
        <v>1132</v>
      </c>
      <c r="D4395">
        <v>6217926</v>
      </c>
      <c r="E4395">
        <v>189618</v>
      </c>
      <c r="F4395">
        <v>56659</v>
      </c>
    </row>
    <row r="4396" spans="1:6">
      <c r="A4396" t="s">
        <v>5529</v>
      </c>
      <c r="B4396">
        <v>489</v>
      </c>
      <c r="C4396" t="s">
        <v>1134</v>
      </c>
      <c r="D4396">
        <v>3730756</v>
      </c>
      <c r="E4396">
        <v>189618</v>
      </c>
      <c r="F4396">
        <v>56659</v>
      </c>
    </row>
    <row r="4397" spans="1:6">
      <c r="A4397" t="s">
        <v>5530</v>
      </c>
      <c r="B4397">
        <v>489</v>
      </c>
      <c r="C4397" t="s">
        <v>1136</v>
      </c>
      <c r="D4397">
        <v>1036321</v>
      </c>
      <c r="E4397">
        <v>189618</v>
      </c>
      <c r="F4397">
        <v>56659</v>
      </c>
    </row>
    <row r="4398" spans="1:6">
      <c r="A4398" t="s">
        <v>5531</v>
      </c>
      <c r="B4398">
        <v>489</v>
      </c>
      <c r="C4398" t="s">
        <v>1138</v>
      </c>
      <c r="D4398">
        <v>310897</v>
      </c>
      <c r="E4398">
        <v>189618</v>
      </c>
      <c r="F4398">
        <v>56659</v>
      </c>
    </row>
    <row r="4399" spans="1:6">
      <c r="A4399" t="s">
        <v>5532</v>
      </c>
      <c r="B4399">
        <v>489</v>
      </c>
      <c r="C4399" t="s">
        <v>738</v>
      </c>
      <c r="D4399">
        <v>8290568</v>
      </c>
      <c r="E4399">
        <v>189618</v>
      </c>
      <c r="F4399">
        <v>56659</v>
      </c>
    </row>
    <row r="4400" spans="1:6">
      <c r="A4400" t="s">
        <v>5533</v>
      </c>
      <c r="B4400">
        <v>489</v>
      </c>
      <c r="C4400" t="s">
        <v>1141</v>
      </c>
      <c r="D4400">
        <v>18653778</v>
      </c>
      <c r="E4400">
        <v>189618</v>
      </c>
      <c r="F4400">
        <v>56659</v>
      </c>
    </row>
    <row r="4401" spans="1:6">
      <c r="A4401" t="s">
        <v>5534</v>
      </c>
      <c r="B4401">
        <v>489</v>
      </c>
      <c r="C4401" t="s">
        <v>159</v>
      </c>
      <c r="D4401">
        <v>266019120</v>
      </c>
      <c r="E4401">
        <v>189618</v>
      </c>
      <c r="F4401">
        <v>56659</v>
      </c>
    </row>
    <row r="4402" spans="1:6">
      <c r="A4402" t="s">
        <v>5535</v>
      </c>
      <c r="B4402">
        <v>489</v>
      </c>
      <c r="C4402" t="s">
        <v>642</v>
      </c>
      <c r="D4402">
        <v>133009560</v>
      </c>
      <c r="E4402">
        <v>189618</v>
      </c>
      <c r="F4402">
        <v>56659</v>
      </c>
    </row>
    <row r="4403" spans="1:6">
      <c r="A4403" t="s">
        <v>5536</v>
      </c>
      <c r="B4403">
        <v>490</v>
      </c>
      <c r="C4403" t="s">
        <v>149</v>
      </c>
      <c r="D4403">
        <v>2086898</v>
      </c>
      <c r="E4403">
        <v>190685</v>
      </c>
      <c r="F4403">
        <v>56820</v>
      </c>
    </row>
    <row r="4404" spans="1:6">
      <c r="A4404" t="s">
        <v>5537</v>
      </c>
      <c r="B4404">
        <v>490</v>
      </c>
      <c r="C4404" t="s">
        <v>1132</v>
      </c>
      <c r="D4404">
        <v>6260694</v>
      </c>
      <c r="E4404">
        <v>190685</v>
      </c>
      <c r="F4404">
        <v>56820</v>
      </c>
    </row>
    <row r="4405" spans="1:6">
      <c r="A4405" t="s">
        <v>5538</v>
      </c>
      <c r="B4405">
        <v>490</v>
      </c>
      <c r="C4405" t="s">
        <v>1134</v>
      </c>
      <c r="D4405">
        <v>3756417</v>
      </c>
      <c r="E4405">
        <v>190685</v>
      </c>
      <c r="F4405">
        <v>56820</v>
      </c>
    </row>
    <row r="4406" spans="1:6">
      <c r="A4406" t="s">
        <v>5539</v>
      </c>
      <c r="B4406">
        <v>490</v>
      </c>
      <c r="C4406" t="s">
        <v>1136</v>
      </c>
      <c r="D4406">
        <v>1043449</v>
      </c>
      <c r="E4406">
        <v>190685</v>
      </c>
      <c r="F4406">
        <v>56820</v>
      </c>
    </row>
    <row r="4407" spans="1:6">
      <c r="A4407" t="s">
        <v>5540</v>
      </c>
      <c r="B4407">
        <v>490</v>
      </c>
      <c r="C4407" t="s">
        <v>1138</v>
      </c>
      <c r="D4407">
        <v>313035</v>
      </c>
      <c r="E4407">
        <v>190685</v>
      </c>
      <c r="F4407">
        <v>56820</v>
      </c>
    </row>
    <row r="4408" spans="1:6">
      <c r="A4408" t="s">
        <v>5541</v>
      </c>
      <c r="B4408">
        <v>490</v>
      </c>
      <c r="C4408" t="s">
        <v>738</v>
      </c>
      <c r="D4408">
        <v>8347592</v>
      </c>
      <c r="E4408">
        <v>190685</v>
      </c>
      <c r="F4408">
        <v>56820</v>
      </c>
    </row>
    <row r="4409" spans="1:6">
      <c r="A4409" t="s">
        <v>5542</v>
      </c>
      <c r="B4409">
        <v>490</v>
      </c>
      <c r="C4409" t="s">
        <v>1141</v>
      </c>
      <c r="D4409">
        <v>18782082</v>
      </c>
      <c r="E4409">
        <v>190685</v>
      </c>
      <c r="F4409">
        <v>56820</v>
      </c>
    </row>
    <row r="4410" spans="1:6">
      <c r="A4410" t="s">
        <v>5543</v>
      </c>
      <c r="B4410">
        <v>490</v>
      </c>
      <c r="C4410" t="s">
        <v>159</v>
      </c>
      <c r="D4410">
        <v>267999840</v>
      </c>
      <c r="E4410">
        <v>190685</v>
      </c>
      <c r="F4410">
        <v>56820</v>
      </c>
    </row>
    <row r="4411" spans="1:6">
      <c r="A4411" t="s">
        <v>5544</v>
      </c>
      <c r="B4411">
        <v>490</v>
      </c>
      <c r="C4411" t="s">
        <v>642</v>
      </c>
      <c r="D4411">
        <v>133999920</v>
      </c>
      <c r="E4411">
        <v>190685</v>
      </c>
      <c r="F4411">
        <v>56820</v>
      </c>
    </row>
    <row r="4412" spans="1:6">
      <c r="A4412" t="s">
        <v>5545</v>
      </c>
      <c r="B4412">
        <v>491</v>
      </c>
      <c r="C4412" t="s">
        <v>149</v>
      </c>
      <c r="D4412">
        <v>2101234</v>
      </c>
      <c r="E4412">
        <v>191757</v>
      </c>
      <c r="F4412">
        <v>56981</v>
      </c>
    </row>
    <row r="4413" spans="1:6">
      <c r="A4413" t="s">
        <v>5546</v>
      </c>
      <c r="B4413">
        <v>491</v>
      </c>
      <c r="C4413" t="s">
        <v>1132</v>
      </c>
      <c r="D4413">
        <v>6303702</v>
      </c>
      <c r="E4413">
        <v>191757</v>
      </c>
      <c r="F4413">
        <v>56981</v>
      </c>
    </row>
    <row r="4414" spans="1:6">
      <c r="A4414" t="s">
        <v>5547</v>
      </c>
      <c r="B4414">
        <v>491</v>
      </c>
      <c r="C4414" t="s">
        <v>1134</v>
      </c>
      <c r="D4414">
        <v>3782222</v>
      </c>
      <c r="E4414">
        <v>191757</v>
      </c>
      <c r="F4414">
        <v>56981</v>
      </c>
    </row>
    <row r="4415" spans="1:6">
      <c r="A4415" t="s">
        <v>5548</v>
      </c>
      <c r="B4415">
        <v>491</v>
      </c>
      <c r="C4415" t="s">
        <v>1136</v>
      </c>
      <c r="D4415">
        <v>1050617</v>
      </c>
      <c r="E4415">
        <v>191757</v>
      </c>
      <c r="F4415">
        <v>56981</v>
      </c>
    </row>
    <row r="4416" spans="1:6">
      <c r="A4416" t="s">
        <v>5549</v>
      </c>
      <c r="B4416">
        <v>491</v>
      </c>
      <c r="C4416" t="s">
        <v>1138</v>
      </c>
      <c r="D4416">
        <v>315186</v>
      </c>
      <c r="E4416">
        <v>191757</v>
      </c>
      <c r="F4416">
        <v>56981</v>
      </c>
    </row>
    <row r="4417" spans="1:6">
      <c r="A4417" t="s">
        <v>5550</v>
      </c>
      <c r="B4417">
        <v>491</v>
      </c>
      <c r="C4417" t="s">
        <v>738</v>
      </c>
      <c r="D4417">
        <v>8404936</v>
      </c>
      <c r="E4417">
        <v>191757</v>
      </c>
      <c r="F4417">
        <v>56981</v>
      </c>
    </row>
    <row r="4418" spans="1:6">
      <c r="A4418" t="s">
        <v>5551</v>
      </c>
      <c r="B4418">
        <v>491</v>
      </c>
      <c r="C4418" t="s">
        <v>1141</v>
      </c>
      <c r="D4418">
        <v>18911106</v>
      </c>
      <c r="E4418">
        <v>191757</v>
      </c>
      <c r="F4418">
        <v>56981</v>
      </c>
    </row>
    <row r="4419" spans="1:6">
      <c r="A4419" t="s">
        <v>5552</v>
      </c>
      <c r="B4419">
        <v>491</v>
      </c>
      <c r="C4419" t="s">
        <v>159</v>
      </c>
      <c r="D4419">
        <v>269992800</v>
      </c>
      <c r="E4419">
        <v>191757</v>
      </c>
      <c r="F4419">
        <v>56981</v>
      </c>
    </row>
    <row r="4420" spans="1:6">
      <c r="A4420" t="s">
        <v>5553</v>
      </c>
      <c r="B4420">
        <v>491</v>
      </c>
      <c r="C4420" t="s">
        <v>642</v>
      </c>
      <c r="D4420">
        <v>134996400</v>
      </c>
      <c r="E4420">
        <v>191757</v>
      </c>
      <c r="F4420">
        <v>56981</v>
      </c>
    </row>
    <row r="4421" spans="1:6">
      <c r="A4421" t="s">
        <v>5554</v>
      </c>
      <c r="B4421">
        <v>492</v>
      </c>
      <c r="C4421" t="s">
        <v>149</v>
      </c>
      <c r="D4421">
        <v>2115650</v>
      </c>
      <c r="E4421">
        <v>192834</v>
      </c>
      <c r="F4421">
        <v>57142</v>
      </c>
    </row>
    <row r="4422" spans="1:6">
      <c r="A4422" t="s">
        <v>5555</v>
      </c>
      <c r="B4422">
        <v>492</v>
      </c>
      <c r="C4422" t="s">
        <v>1132</v>
      </c>
      <c r="D4422">
        <v>6346950</v>
      </c>
      <c r="E4422">
        <v>192834</v>
      </c>
      <c r="F4422">
        <v>57142</v>
      </c>
    </row>
    <row r="4423" spans="1:6">
      <c r="A4423" t="s">
        <v>5556</v>
      </c>
      <c r="B4423">
        <v>492</v>
      </c>
      <c r="C4423" t="s">
        <v>1134</v>
      </c>
      <c r="D4423">
        <v>3808170</v>
      </c>
      <c r="E4423">
        <v>192834</v>
      </c>
      <c r="F4423">
        <v>57142</v>
      </c>
    </row>
    <row r="4424" spans="1:6">
      <c r="A4424" t="s">
        <v>5557</v>
      </c>
      <c r="B4424">
        <v>492</v>
      </c>
      <c r="C4424" t="s">
        <v>1136</v>
      </c>
      <c r="D4424">
        <v>1057825</v>
      </c>
      <c r="E4424">
        <v>192834</v>
      </c>
      <c r="F4424">
        <v>57142</v>
      </c>
    </row>
    <row r="4425" spans="1:6">
      <c r="A4425" t="s">
        <v>5558</v>
      </c>
      <c r="B4425">
        <v>492</v>
      </c>
      <c r="C4425" t="s">
        <v>1138</v>
      </c>
      <c r="D4425">
        <v>317348</v>
      </c>
      <c r="E4425">
        <v>192834</v>
      </c>
      <c r="F4425">
        <v>57142</v>
      </c>
    </row>
    <row r="4426" spans="1:6">
      <c r="A4426" t="s">
        <v>5559</v>
      </c>
      <c r="B4426">
        <v>492</v>
      </c>
      <c r="C4426" t="s">
        <v>738</v>
      </c>
      <c r="D4426">
        <v>8462600</v>
      </c>
      <c r="E4426">
        <v>192834</v>
      </c>
      <c r="F4426">
        <v>57142</v>
      </c>
    </row>
    <row r="4427" spans="1:6">
      <c r="A4427" t="s">
        <v>5560</v>
      </c>
      <c r="B4427">
        <v>492</v>
      </c>
      <c r="C4427" t="s">
        <v>1141</v>
      </c>
      <c r="D4427">
        <v>19040850</v>
      </c>
      <c r="E4427">
        <v>192834</v>
      </c>
      <c r="F4427">
        <v>57142</v>
      </c>
    </row>
    <row r="4428" spans="1:6">
      <c r="A4428" t="s">
        <v>5561</v>
      </c>
      <c r="B4428">
        <v>492</v>
      </c>
      <c r="C4428" t="s">
        <v>159</v>
      </c>
      <c r="D4428">
        <v>271998120</v>
      </c>
      <c r="E4428">
        <v>192834</v>
      </c>
      <c r="F4428">
        <v>57142</v>
      </c>
    </row>
    <row r="4429" spans="1:6">
      <c r="A4429" t="s">
        <v>5562</v>
      </c>
      <c r="B4429">
        <v>492</v>
      </c>
      <c r="C4429" t="s">
        <v>642</v>
      </c>
      <c r="D4429">
        <v>135999060</v>
      </c>
      <c r="E4429">
        <v>192834</v>
      </c>
      <c r="F4429">
        <v>57142</v>
      </c>
    </row>
    <row r="4430" spans="1:6">
      <c r="A4430" t="s">
        <v>5563</v>
      </c>
      <c r="B4430">
        <v>493</v>
      </c>
      <c r="C4430" t="s">
        <v>149</v>
      </c>
      <c r="D4430">
        <v>2130146</v>
      </c>
      <c r="E4430">
        <v>193915</v>
      </c>
      <c r="F4430">
        <v>57304</v>
      </c>
    </row>
    <row r="4431" spans="1:6">
      <c r="A4431" t="s">
        <v>5564</v>
      </c>
      <c r="B4431">
        <v>493</v>
      </c>
      <c r="C4431" t="s">
        <v>1132</v>
      </c>
      <c r="D4431">
        <v>6390438</v>
      </c>
      <c r="E4431">
        <v>193915</v>
      </c>
      <c r="F4431">
        <v>57304</v>
      </c>
    </row>
    <row r="4432" spans="1:6">
      <c r="A4432" t="s">
        <v>5565</v>
      </c>
      <c r="B4432">
        <v>493</v>
      </c>
      <c r="C4432" t="s">
        <v>1134</v>
      </c>
      <c r="D4432">
        <v>3834263</v>
      </c>
      <c r="E4432">
        <v>193915</v>
      </c>
      <c r="F4432">
        <v>57304</v>
      </c>
    </row>
    <row r="4433" spans="1:6">
      <c r="A4433" t="s">
        <v>5566</v>
      </c>
      <c r="B4433">
        <v>493</v>
      </c>
      <c r="C4433" t="s">
        <v>1136</v>
      </c>
      <c r="D4433">
        <v>1065073</v>
      </c>
      <c r="E4433">
        <v>193915</v>
      </c>
      <c r="F4433">
        <v>57304</v>
      </c>
    </row>
    <row r="4434" spans="1:6">
      <c r="A4434" t="s">
        <v>5567</v>
      </c>
      <c r="B4434">
        <v>493</v>
      </c>
      <c r="C4434" t="s">
        <v>1138</v>
      </c>
      <c r="D4434">
        <v>319522</v>
      </c>
      <c r="E4434">
        <v>193915</v>
      </c>
      <c r="F4434">
        <v>57304</v>
      </c>
    </row>
    <row r="4435" spans="1:6">
      <c r="A4435" t="s">
        <v>5568</v>
      </c>
      <c r="B4435">
        <v>493</v>
      </c>
      <c r="C4435" t="s">
        <v>738</v>
      </c>
      <c r="D4435">
        <v>8520584</v>
      </c>
      <c r="E4435">
        <v>193915</v>
      </c>
      <c r="F4435">
        <v>57304</v>
      </c>
    </row>
    <row r="4436" spans="1:6">
      <c r="A4436" t="s">
        <v>5569</v>
      </c>
      <c r="B4436">
        <v>493</v>
      </c>
      <c r="C4436" t="s">
        <v>1141</v>
      </c>
      <c r="D4436">
        <v>19171314</v>
      </c>
      <c r="E4436">
        <v>193915</v>
      </c>
      <c r="F4436">
        <v>57304</v>
      </c>
    </row>
    <row r="4437" spans="1:6">
      <c r="A4437" t="s">
        <v>5570</v>
      </c>
      <c r="B4437">
        <v>493</v>
      </c>
      <c r="C4437" t="s">
        <v>159</v>
      </c>
      <c r="D4437">
        <v>274015800</v>
      </c>
      <c r="E4437">
        <v>193915</v>
      </c>
      <c r="F4437">
        <v>57304</v>
      </c>
    </row>
    <row r="4438" spans="1:6">
      <c r="A4438" t="s">
        <v>5571</v>
      </c>
      <c r="B4438">
        <v>493</v>
      </c>
      <c r="C4438" t="s">
        <v>642</v>
      </c>
      <c r="D4438">
        <v>137007900</v>
      </c>
      <c r="E4438">
        <v>193915</v>
      </c>
      <c r="F4438">
        <v>57304</v>
      </c>
    </row>
    <row r="4439" spans="1:6">
      <c r="A4439" t="s">
        <v>5572</v>
      </c>
      <c r="B4439">
        <v>494</v>
      </c>
      <c r="C4439" t="s">
        <v>149</v>
      </c>
      <c r="D4439">
        <v>2144723</v>
      </c>
      <c r="E4439">
        <v>195001</v>
      </c>
      <c r="F4439">
        <v>57466</v>
      </c>
    </row>
    <row r="4440" spans="1:6">
      <c r="A4440" t="s">
        <v>5573</v>
      </c>
      <c r="B4440">
        <v>494</v>
      </c>
      <c r="C4440" t="s">
        <v>1132</v>
      </c>
      <c r="D4440">
        <v>6434169</v>
      </c>
      <c r="E4440">
        <v>195001</v>
      </c>
      <c r="F4440">
        <v>57466</v>
      </c>
    </row>
    <row r="4441" spans="1:6">
      <c r="A4441" t="s">
        <v>5574</v>
      </c>
      <c r="B4441">
        <v>494</v>
      </c>
      <c r="C4441" t="s">
        <v>1134</v>
      </c>
      <c r="D4441">
        <v>3860502</v>
      </c>
      <c r="E4441">
        <v>195001</v>
      </c>
      <c r="F4441">
        <v>57466</v>
      </c>
    </row>
    <row r="4442" spans="1:6">
      <c r="A4442" t="s">
        <v>5575</v>
      </c>
      <c r="B4442">
        <v>494</v>
      </c>
      <c r="C4442" t="s">
        <v>1136</v>
      </c>
      <c r="D4442">
        <v>1072362</v>
      </c>
      <c r="E4442">
        <v>195001</v>
      </c>
      <c r="F4442">
        <v>57466</v>
      </c>
    </row>
    <row r="4443" spans="1:6">
      <c r="A4443" t="s">
        <v>5576</v>
      </c>
      <c r="B4443">
        <v>494</v>
      </c>
      <c r="C4443" t="s">
        <v>1138</v>
      </c>
      <c r="D4443">
        <v>321709</v>
      </c>
      <c r="E4443">
        <v>195001</v>
      </c>
      <c r="F4443">
        <v>57466</v>
      </c>
    </row>
    <row r="4444" spans="1:6">
      <c r="A4444" t="s">
        <v>5577</v>
      </c>
      <c r="B4444">
        <v>494</v>
      </c>
      <c r="C4444" t="s">
        <v>738</v>
      </c>
      <c r="D4444">
        <v>8578892</v>
      </c>
      <c r="E4444">
        <v>195001</v>
      </c>
      <c r="F4444">
        <v>57466</v>
      </c>
    </row>
    <row r="4445" spans="1:6">
      <c r="A4445" t="s">
        <v>5578</v>
      </c>
      <c r="B4445">
        <v>494</v>
      </c>
      <c r="C4445" t="s">
        <v>1141</v>
      </c>
      <c r="D4445">
        <v>19302507</v>
      </c>
      <c r="E4445">
        <v>195001</v>
      </c>
      <c r="F4445">
        <v>57466</v>
      </c>
    </row>
    <row r="4446" spans="1:6">
      <c r="A4446" t="s">
        <v>5579</v>
      </c>
      <c r="B4446">
        <v>494</v>
      </c>
      <c r="C4446" t="s">
        <v>159</v>
      </c>
      <c r="D4446">
        <v>276045960</v>
      </c>
      <c r="E4446">
        <v>195001</v>
      </c>
      <c r="F4446">
        <v>57466</v>
      </c>
    </row>
    <row r="4447" spans="1:6">
      <c r="A4447" t="s">
        <v>5580</v>
      </c>
      <c r="B4447">
        <v>494</v>
      </c>
      <c r="C4447" t="s">
        <v>642</v>
      </c>
      <c r="D4447">
        <v>138022980</v>
      </c>
      <c r="E4447">
        <v>195001</v>
      </c>
      <c r="F4447">
        <v>57466</v>
      </c>
    </row>
    <row r="4448" spans="1:6">
      <c r="A4448" t="s">
        <v>5581</v>
      </c>
      <c r="B4448">
        <v>495</v>
      </c>
      <c r="C4448" t="s">
        <v>149</v>
      </c>
      <c r="D4448">
        <v>2159380</v>
      </c>
      <c r="E4448">
        <v>196092</v>
      </c>
      <c r="F4448">
        <v>57628</v>
      </c>
    </row>
    <row r="4449" spans="1:6">
      <c r="A4449" t="s">
        <v>5582</v>
      </c>
      <c r="B4449">
        <v>495</v>
      </c>
      <c r="C4449" t="s">
        <v>1132</v>
      </c>
      <c r="D4449">
        <v>6478140</v>
      </c>
      <c r="E4449">
        <v>196092</v>
      </c>
      <c r="F4449">
        <v>57628</v>
      </c>
    </row>
    <row r="4450" spans="1:6">
      <c r="A4450" t="s">
        <v>5583</v>
      </c>
      <c r="B4450">
        <v>495</v>
      </c>
      <c r="C4450" t="s">
        <v>1134</v>
      </c>
      <c r="D4450">
        <v>3886884</v>
      </c>
      <c r="E4450">
        <v>196092</v>
      </c>
      <c r="F4450">
        <v>57628</v>
      </c>
    </row>
    <row r="4451" spans="1:6">
      <c r="A4451" t="s">
        <v>5584</v>
      </c>
      <c r="B4451">
        <v>495</v>
      </c>
      <c r="C4451" t="s">
        <v>1136</v>
      </c>
      <c r="D4451">
        <v>1079690</v>
      </c>
      <c r="E4451">
        <v>196092</v>
      </c>
      <c r="F4451">
        <v>57628</v>
      </c>
    </row>
    <row r="4452" spans="1:6">
      <c r="A4452" t="s">
        <v>5585</v>
      </c>
      <c r="B4452">
        <v>495</v>
      </c>
      <c r="C4452" t="s">
        <v>1138</v>
      </c>
      <c r="D4452">
        <v>323907</v>
      </c>
      <c r="E4452">
        <v>196092</v>
      </c>
      <c r="F4452">
        <v>57628</v>
      </c>
    </row>
    <row r="4453" spans="1:6">
      <c r="A4453" t="s">
        <v>5586</v>
      </c>
      <c r="B4453">
        <v>495</v>
      </c>
      <c r="C4453" t="s">
        <v>738</v>
      </c>
      <c r="D4453">
        <v>8637520</v>
      </c>
      <c r="E4453">
        <v>196092</v>
      </c>
      <c r="F4453">
        <v>57628</v>
      </c>
    </row>
    <row r="4454" spans="1:6">
      <c r="A4454" t="s">
        <v>5587</v>
      </c>
      <c r="B4454">
        <v>495</v>
      </c>
      <c r="C4454" t="s">
        <v>1141</v>
      </c>
      <c r="D4454">
        <v>19434420</v>
      </c>
      <c r="E4454">
        <v>196092</v>
      </c>
      <c r="F4454">
        <v>57628</v>
      </c>
    </row>
    <row r="4455" spans="1:6">
      <c r="A4455" t="s">
        <v>5588</v>
      </c>
      <c r="B4455">
        <v>495</v>
      </c>
      <c r="C4455" t="s">
        <v>159</v>
      </c>
      <c r="D4455">
        <v>278088660</v>
      </c>
      <c r="E4455">
        <v>196092</v>
      </c>
      <c r="F4455">
        <v>57628</v>
      </c>
    </row>
    <row r="4456" spans="1:6">
      <c r="A4456" t="s">
        <v>5589</v>
      </c>
      <c r="B4456">
        <v>495</v>
      </c>
      <c r="C4456" t="s">
        <v>642</v>
      </c>
      <c r="D4456">
        <v>139044330</v>
      </c>
      <c r="E4456">
        <v>196092</v>
      </c>
      <c r="F4456">
        <v>57628</v>
      </c>
    </row>
    <row r="4457" spans="1:6">
      <c r="A4457" t="s">
        <v>5590</v>
      </c>
      <c r="B4457">
        <v>496</v>
      </c>
      <c r="C4457" t="s">
        <v>149</v>
      </c>
      <c r="D4457">
        <v>2174120</v>
      </c>
      <c r="E4457">
        <v>197188</v>
      </c>
      <c r="F4457">
        <v>57790</v>
      </c>
    </row>
    <row r="4458" spans="1:6">
      <c r="A4458" t="s">
        <v>5591</v>
      </c>
      <c r="B4458">
        <v>496</v>
      </c>
      <c r="C4458" t="s">
        <v>1132</v>
      </c>
      <c r="D4458">
        <v>6522360</v>
      </c>
      <c r="E4458">
        <v>197188</v>
      </c>
      <c r="F4458">
        <v>57790</v>
      </c>
    </row>
    <row r="4459" spans="1:6">
      <c r="A4459" t="s">
        <v>5592</v>
      </c>
      <c r="B4459">
        <v>496</v>
      </c>
      <c r="C4459" t="s">
        <v>1134</v>
      </c>
      <c r="D4459">
        <v>3913416</v>
      </c>
      <c r="E4459">
        <v>197188</v>
      </c>
      <c r="F4459">
        <v>57790</v>
      </c>
    </row>
    <row r="4460" spans="1:6">
      <c r="A4460" t="s">
        <v>5593</v>
      </c>
      <c r="B4460">
        <v>496</v>
      </c>
      <c r="C4460" t="s">
        <v>1136</v>
      </c>
      <c r="D4460">
        <v>1087060</v>
      </c>
      <c r="E4460">
        <v>197188</v>
      </c>
      <c r="F4460">
        <v>57790</v>
      </c>
    </row>
    <row r="4461" spans="1:6">
      <c r="A4461" t="s">
        <v>5594</v>
      </c>
      <c r="B4461">
        <v>496</v>
      </c>
      <c r="C4461" t="s">
        <v>1138</v>
      </c>
      <c r="D4461">
        <v>326118</v>
      </c>
      <c r="E4461">
        <v>197188</v>
      </c>
      <c r="F4461">
        <v>57790</v>
      </c>
    </row>
    <row r="4462" spans="1:6">
      <c r="A4462" t="s">
        <v>5595</v>
      </c>
      <c r="B4462">
        <v>496</v>
      </c>
      <c r="C4462" t="s">
        <v>738</v>
      </c>
      <c r="D4462">
        <v>8696480</v>
      </c>
      <c r="E4462">
        <v>197188</v>
      </c>
      <c r="F4462">
        <v>57790</v>
      </c>
    </row>
    <row r="4463" spans="1:6">
      <c r="A4463" t="s">
        <v>5596</v>
      </c>
      <c r="B4463">
        <v>496</v>
      </c>
      <c r="C4463" t="s">
        <v>1141</v>
      </c>
      <c r="D4463">
        <v>19567080</v>
      </c>
      <c r="E4463">
        <v>197188</v>
      </c>
      <c r="F4463">
        <v>57790</v>
      </c>
    </row>
    <row r="4464" spans="1:6">
      <c r="A4464" t="s">
        <v>5597</v>
      </c>
      <c r="B4464">
        <v>496</v>
      </c>
      <c r="C4464" t="s">
        <v>159</v>
      </c>
      <c r="D4464">
        <v>280143900</v>
      </c>
      <c r="E4464">
        <v>197188</v>
      </c>
      <c r="F4464">
        <v>57790</v>
      </c>
    </row>
    <row r="4465" spans="1:6">
      <c r="A4465" t="s">
        <v>5598</v>
      </c>
      <c r="B4465">
        <v>496</v>
      </c>
      <c r="C4465" t="s">
        <v>642</v>
      </c>
      <c r="D4465">
        <v>140071950</v>
      </c>
      <c r="E4465">
        <v>197188</v>
      </c>
      <c r="F4465">
        <v>57790</v>
      </c>
    </row>
    <row r="4466" spans="1:6">
      <c r="A4466" t="s">
        <v>5599</v>
      </c>
      <c r="B4466">
        <v>497</v>
      </c>
      <c r="C4466" t="s">
        <v>149</v>
      </c>
      <c r="D4466">
        <v>2188941</v>
      </c>
      <c r="E4466">
        <v>198288</v>
      </c>
      <c r="F4466">
        <v>57952</v>
      </c>
    </row>
    <row r="4467" spans="1:6">
      <c r="A4467" t="s">
        <v>5600</v>
      </c>
      <c r="B4467">
        <v>497</v>
      </c>
      <c r="C4467" t="s">
        <v>1132</v>
      </c>
      <c r="D4467">
        <v>6566823</v>
      </c>
      <c r="E4467">
        <v>198288</v>
      </c>
      <c r="F4467">
        <v>57952</v>
      </c>
    </row>
    <row r="4468" spans="1:6">
      <c r="A4468" t="s">
        <v>5601</v>
      </c>
      <c r="B4468">
        <v>497</v>
      </c>
      <c r="C4468" t="s">
        <v>1134</v>
      </c>
      <c r="D4468">
        <v>3940094</v>
      </c>
      <c r="E4468">
        <v>198288</v>
      </c>
      <c r="F4468">
        <v>57952</v>
      </c>
    </row>
    <row r="4469" spans="1:6">
      <c r="A4469" t="s">
        <v>5602</v>
      </c>
      <c r="B4469">
        <v>497</v>
      </c>
      <c r="C4469" t="s">
        <v>1136</v>
      </c>
      <c r="D4469">
        <v>1094471</v>
      </c>
      <c r="E4469">
        <v>198288</v>
      </c>
      <c r="F4469">
        <v>57952</v>
      </c>
    </row>
    <row r="4470" spans="1:6">
      <c r="A4470" t="s">
        <v>5603</v>
      </c>
      <c r="B4470">
        <v>497</v>
      </c>
      <c r="C4470" t="s">
        <v>1138</v>
      </c>
      <c r="D4470">
        <v>328342</v>
      </c>
      <c r="E4470">
        <v>198288</v>
      </c>
      <c r="F4470">
        <v>57952</v>
      </c>
    </row>
    <row r="4471" spans="1:6">
      <c r="A4471" t="s">
        <v>5604</v>
      </c>
      <c r="B4471">
        <v>497</v>
      </c>
      <c r="C4471" t="s">
        <v>738</v>
      </c>
      <c r="D4471">
        <v>8755764</v>
      </c>
      <c r="E4471">
        <v>198288</v>
      </c>
      <c r="F4471">
        <v>57952</v>
      </c>
    </row>
    <row r="4472" spans="1:6">
      <c r="A4472" t="s">
        <v>5605</v>
      </c>
      <c r="B4472">
        <v>497</v>
      </c>
      <c r="C4472" t="s">
        <v>1141</v>
      </c>
      <c r="D4472">
        <v>19700469</v>
      </c>
      <c r="E4472">
        <v>198288</v>
      </c>
      <c r="F4472">
        <v>57952</v>
      </c>
    </row>
    <row r="4473" spans="1:6">
      <c r="A4473" t="s">
        <v>5606</v>
      </c>
      <c r="B4473">
        <v>497</v>
      </c>
      <c r="C4473" t="s">
        <v>159</v>
      </c>
      <c r="D4473">
        <v>282211800</v>
      </c>
      <c r="E4473">
        <v>198288</v>
      </c>
      <c r="F4473">
        <v>57952</v>
      </c>
    </row>
    <row r="4474" spans="1:6">
      <c r="A4474" t="s">
        <v>5607</v>
      </c>
      <c r="B4474">
        <v>497</v>
      </c>
      <c r="C4474" t="s">
        <v>642</v>
      </c>
      <c r="D4474">
        <v>141105900</v>
      </c>
      <c r="E4474">
        <v>198288</v>
      </c>
      <c r="F4474">
        <v>57952</v>
      </c>
    </row>
    <row r="4475" spans="1:6">
      <c r="A4475" t="s">
        <v>5608</v>
      </c>
      <c r="B4475">
        <v>498</v>
      </c>
      <c r="C4475" t="s">
        <v>149</v>
      </c>
      <c r="D4475">
        <v>2203844</v>
      </c>
      <c r="E4475">
        <v>199393</v>
      </c>
      <c r="F4475">
        <v>58115</v>
      </c>
    </row>
    <row r="4476" spans="1:6">
      <c r="A4476" t="s">
        <v>5609</v>
      </c>
      <c r="B4476">
        <v>498</v>
      </c>
      <c r="C4476" t="s">
        <v>1132</v>
      </c>
      <c r="D4476">
        <v>6611532</v>
      </c>
      <c r="E4476">
        <v>199393</v>
      </c>
      <c r="F4476">
        <v>58115</v>
      </c>
    </row>
    <row r="4477" spans="1:6">
      <c r="A4477" t="s">
        <v>5610</v>
      </c>
      <c r="B4477">
        <v>498</v>
      </c>
      <c r="C4477" t="s">
        <v>1134</v>
      </c>
      <c r="D4477">
        <v>3966920</v>
      </c>
      <c r="E4477">
        <v>199393</v>
      </c>
      <c r="F4477">
        <v>58115</v>
      </c>
    </row>
    <row r="4478" spans="1:6">
      <c r="A4478" t="s">
        <v>5611</v>
      </c>
      <c r="B4478">
        <v>498</v>
      </c>
      <c r="C4478" t="s">
        <v>1136</v>
      </c>
      <c r="D4478">
        <v>1101922</v>
      </c>
      <c r="E4478">
        <v>199393</v>
      </c>
      <c r="F4478">
        <v>58115</v>
      </c>
    </row>
    <row r="4479" spans="1:6">
      <c r="A4479" t="s">
        <v>5612</v>
      </c>
      <c r="B4479">
        <v>498</v>
      </c>
      <c r="C4479" t="s">
        <v>1138</v>
      </c>
      <c r="D4479">
        <v>330577</v>
      </c>
      <c r="E4479">
        <v>199393</v>
      </c>
      <c r="F4479">
        <v>58115</v>
      </c>
    </row>
    <row r="4480" spans="1:6">
      <c r="A4480" t="s">
        <v>5613</v>
      </c>
      <c r="B4480">
        <v>498</v>
      </c>
      <c r="C4480" t="s">
        <v>738</v>
      </c>
      <c r="D4480">
        <v>8815376</v>
      </c>
      <c r="E4480">
        <v>199393</v>
      </c>
      <c r="F4480">
        <v>58115</v>
      </c>
    </row>
    <row r="4481" spans="1:6">
      <c r="A4481" t="s">
        <v>5614</v>
      </c>
      <c r="B4481">
        <v>498</v>
      </c>
      <c r="C4481" t="s">
        <v>1141</v>
      </c>
      <c r="D4481">
        <v>19834596</v>
      </c>
      <c r="E4481">
        <v>199393</v>
      </c>
      <c r="F4481">
        <v>58115</v>
      </c>
    </row>
    <row r="4482" spans="1:6">
      <c r="A4482" t="s">
        <v>5615</v>
      </c>
      <c r="B4482">
        <v>498</v>
      </c>
      <c r="C4482" t="s">
        <v>159</v>
      </c>
      <c r="D4482">
        <v>284292420</v>
      </c>
      <c r="E4482">
        <v>199393</v>
      </c>
      <c r="F4482">
        <v>58115</v>
      </c>
    </row>
    <row r="4483" spans="1:6">
      <c r="A4483" t="s">
        <v>5616</v>
      </c>
      <c r="B4483">
        <v>498</v>
      </c>
      <c r="C4483" t="s">
        <v>642</v>
      </c>
      <c r="D4483">
        <v>142146210</v>
      </c>
      <c r="E4483">
        <v>199393</v>
      </c>
      <c r="F4483">
        <v>58115</v>
      </c>
    </row>
    <row r="4484" spans="1:6">
      <c r="A4484" t="s">
        <v>5617</v>
      </c>
      <c r="B4484">
        <v>499</v>
      </c>
      <c r="C4484" t="s">
        <v>149</v>
      </c>
      <c r="D4484">
        <v>2218830</v>
      </c>
      <c r="E4484">
        <v>200503</v>
      </c>
      <c r="F4484">
        <v>58277</v>
      </c>
    </row>
    <row r="4485" spans="1:6">
      <c r="A4485" t="s">
        <v>5618</v>
      </c>
      <c r="B4485">
        <v>499</v>
      </c>
      <c r="C4485" t="s">
        <v>1132</v>
      </c>
      <c r="D4485">
        <v>6656490</v>
      </c>
      <c r="E4485">
        <v>200503</v>
      </c>
      <c r="F4485">
        <v>58277</v>
      </c>
    </row>
    <row r="4486" spans="1:6">
      <c r="A4486" t="s">
        <v>5619</v>
      </c>
      <c r="B4486">
        <v>499</v>
      </c>
      <c r="C4486" t="s">
        <v>1134</v>
      </c>
      <c r="D4486">
        <v>3993894</v>
      </c>
      <c r="E4486">
        <v>200503</v>
      </c>
      <c r="F4486">
        <v>58277</v>
      </c>
    </row>
    <row r="4487" spans="1:6">
      <c r="A4487" t="s">
        <v>5620</v>
      </c>
      <c r="B4487">
        <v>499</v>
      </c>
      <c r="C4487" t="s">
        <v>1136</v>
      </c>
      <c r="D4487">
        <v>1109415</v>
      </c>
      <c r="E4487">
        <v>200503</v>
      </c>
      <c r="F4487">
        <v>58277</v>
      </c>
    </row>
    <row r="4488" spans="1:6">
      <c r="A4488" t="s">
        <v>5621</v>
      </c>
      <c r="B4488">
        <v>499</v>
      </c>
      <c r="C4488" t="s">
        <v>1138</v>
      </c>
      <c r="D4488">
        <v>332825</v>
      </c>
      <c r="E4488">
        <v>200503</v>
      </c>
      <c r="F4488">
        <v>58277</v>
      </c>
    </row>
    <row r="4489" spans="1:6">
      <c r="A4489" t="s">
        <v>5622</v>
      </c>
      <c r="B4489">
        <v>499</v>
      </c>
      <c r="C4489" t="s">
        <v>738</v>
      </c>
      <c r="D4489">
        <v>8875320</v>
      </c>
      <c r="E4489">
        <v>200503</v>
      </c>
      <c r="F4489">
        <v>58277</v>
      </c>
    </row>
    <row r="4490" spans="1:6">
      <c r="A4490" t="s">
        <v>5623</v>
      </c>
      <c r="B4490">
        <v>499</v>
      </c>
      <c r="C4490" t="s">
        <v>1141</v>
      </c>
      <c r="D4490">
        <v>19969470</v>
      </c>
      <c r="E4490">
        <v>200503</v>
      </c>
      <c r="F4490">
        <v>58277</v>
      </c>
    </row>
    <row r="4491" spans="1:6">
      <c r="A4491" t="s">
        <v>5624</v>
      </c>
      <c r="B4491">
        <v>499</v>
      </c>
      <c r="C4491" t="s">
        <v>159</v>
      </c>
      <c r="D4491">
        <v>286385820</v>
      </c>
      <c r="E4491">
        <v>200503</v>
      </c>
      <c r="F4491">
        <v>58277</v>
      </c>
    </row>
    <row r="4492" spans="1:6">
      <c r="A4492" t="s">
        <v>5625</v>
      </c>
      <c r="B4492">
        <v>499</v>
      </c>
      <c r="C4492" t="s">
        <v>642</v>
      </c>
      <c r="D4492">
        <v>143192910</v>
      </c>
      <c r="E4492">
        <v>200503</v>
      </c>
      <c r="F4492">
        <v>58277</v>
      </c>
    </row>
    <row r="4493" spans="1:6">
      <c r="A4493" t="s">
        <v>5626</v>
      </c>
      <c r="B4493">
        <v>500</v>
      </c>
      <c r="C4493" t="s">
        <v>149</v>
      </c>
      <c r="D4493">
        <v>2233898</v>
      </c>
      <c r="E4493">
        <v>201618</v>
      </c>
      <c r="F4493">
        <v>58440</v>
      </c>
    </row>
    <row r="4494" spans="1:6">
      <c r="A4494" t="s">
        <v>5627</v>
      </c>
      <c r="B4494">
        <v>500</v>
      </c>
      <c r="C4494" t="s">
        <v>1132</v>
      </c>
      <c r="D4494">
        <v>6701694</v>
      </c>
      <c r="E4494">
        <v>201618</v>
      </c>
      <c r="F4494">
        <v>58440</v>
      </c>
    </row>
    <row r="4495" spans="1:6">
      <c r="A4495" t="s">
        <v>5628</v>
      </c>
      <c r="B4495">
        <v>500</v>
      </c>
      <c r="C4495" t="s">
        <v>1134</v>
      </c>
      <c r="D4495">
        <v>4021017</v>
      </c>
      <c r="E4495">
        <v>201618</v>
      </c>
      <c r="F4495">
        <v>58440</v>
      </c>
    </row>
    <row r="4496" spans="1:6">
      <c r="A4496" t="s">
        <v>5629</v>
      </c>
      <c r="B4496">
        <v>500</v>
      </c>
      <c r="C4496" t="s">
        <v>1136</v>
      </c>
      <c r="D4496">
        <v>1116949</v>
      </c>
      <c r="E4496">
        <v>201618</v>
      </c>
      <c r="F4496">
        <v>58440</v>
      </c>
    </row>
    <row r="4497" spans="1:6">
      <c r="A4497" t="s">
        <v>5630</v>
      </c>
      <c r="B4497">
        <v>500</v>
      </c>
      <c r="C4497" t="s">
        <v>1138</v>
      </c>
      <c r="D4497">
        <v>335085</v>
      </c>
      <c r="E4497">
        <v>201618</v>
      </c>
      <c r="F4497">
        <v>58440</v>
      </c>
    </row>
    <row r="4498" spans="1:6">
      <c r="A4498" t="s">
        <v>5631</v>
      </c>
      <c r="B4498">
        <v>500</v>
      </c>
      <c r="C4498" t="s">
        <v>738</v>
      </c>
      <c r="D4498">
        <v>8935592</v>
      </c>
      <c r="E4498">
        <v>201618</v>
      </c>
      <c r="F4498">
        <v>58440</v>
      </c>
    </row>
    <row r="4499" spans="1:6">
      <c r="A4499" t="s">
        <v>5632</v>
      </c>
      <c r="B4499">
        <v>500</v>
      </c>
      <c r="C4499" t="s">
        <v>1141</v>
      </c>
      <c r="D4499">
        <v>20105082</v>
      </c>
      <c r="E4499">
        <v>201618</v>
      </c>
      <c r="F4499">
        <v>58440</v>
      </c>
    </row>
    <row r="4500" spans="1:6">
      <c r="A4500" t="s">
        <v>5633</v>
      </c>
      <c r="B4500">
        <v>500</v>
      </c>
      <c r="C4500" t="s">
        <v>159</v>
      </c>
      <c r="D4500">
        <v>288492000</v>
      </c>
      <c r="E4500">
        <v>201618</v>
      </c>
      <c r="F4500">
        <v>58440</v>
      </c>
    </row>
    <row r="4501" spans="1:6">
      <c r="A4501" t="s">
        <v>5634</v>
      </c>
      <c r="B4501">
        <v>500</v>
      </c>
      <c r="C4501" t="s">
        <v>642</v>
      </c>
      <c r="D4501">
        <v>144246000</v>
      </c>
      <c r="E4501">
        <v>201618</v>
      </c>
      <c r="F4501">
        <v>58440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sheetData>
    <row r="1" ht="15" customHeight="1" spans="1:1">
      <c r="A1" s="1" t="s">
        <v>121</v>
      </c>
    </row>
    <row r="2" spans="1:1">
      <c r="A2" t="s">
        <v>149</v>
      </c>
    </row>
    <row r="3" spans="1:1">
      <c r="A3" t="s">
        <v>1132</v>
      </c>
    </row>
    <row r="4" spans="1:1">
      <c r="A4" t="s">
        <v>1134</v>
      </c>
    </row>
    <row r="5" spans="1:1">
      <c r="A5" t="s">
        <v>1136</v>
      </c>
    </row>
    <row r="6" spans="1:1">
      <c r="A6" t="s">
        <v>1138</v>
      </c>
    </row>
    <row r="7" spans="1:1">
      <c r="A7" t="s">
        <v>738</v>
      </c>
    </row>
    <row r="8" spans="1:1">
      <c r="A8" t="s">
        <v>1141</v>
      </c>
    </row>
    <row r="9" spans="1:1">
      <c r="A9" t="s">
        <v>159</v>
      </c>
    </row>
    <row r="10" spans="1:1">
      <c r="A10" t="s">
        <v>642</v>
      </c>
    </row>
    <row r="11" spans="1:1">
      <c r="A11" t="s">
        <v>1113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使用说明</vt:lpstr>
      <vt:lpstr>玩法汇总</vt:lpstr>
      <vt:lpstr>主线</vt:lpstr>
      <vt:lpstr>困难主线</vt:lpstr>
      <vt:lpstr>角色经验</vt:lpstr>
      <vt:lpstr>金币</vt:lpstr>
      <vt:lpstr>收容经验</vt:lpstr>
      <vt:lpstr>旅券</vt:lpstr>
      <vt:lpstr>映射</vt:lpstr>
      <vt:lpstr>爬塔</vt:lpstr>
      <vt:lpstr>Boss挑战</vt:lpstr>
      <vt:lpstr>肉鸽</vt:lpstr>
      <vt:lpstr>大秘境</vt:lpstr>
      <vt:lpstr>PVPVE</vt:lpstr>
      <vt:lpstr>_玩家曲线</vt:lpstr>
      <vt:lpstr>_怪物模型</vt:lpstr>
      <vt:lpstr>_字典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Vgame 全玩法难度填写表</dc:title>
  <dc:subject>填写怪物等级，自动计算玩家快照、怪物属性、TTK与生存校验</dc:subject>
  <dc:creator>Codex</dc:creator>
  <dc:description>自包含玩家战力曲线与战斗公式怪物标准模型；无限挑战不纳入，PVPVE按双方属性对算。</dc:description>
  <cp:lastModifiedBy>企业用户_251728386</cp:lastModifiedBy>
  <dcterms:created xsi:type="dcterms:W3CDTF">2026-08-06T02:53:00Z</dcterms:created>
  <dcterms:modified xsi:type="dcterms:W3CDTF">2026-08-17T08:24:31Z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B0FFC18D199547549E7C962565DC1ABC_12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