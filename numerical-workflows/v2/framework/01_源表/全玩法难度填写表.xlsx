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comments/comment9.xml" ContentType="application/vnd.openxmlformats-officedocument.spreadsheetml.comments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comments/comment10.xml" ContentType="application/vnd.openxmlformats-officedocument.spreadsheetml.comments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comments/comment11.xml" ContentType="application/vnd.openxmlformats-officedocument.spreadsheetml.comments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omments/comment12.xml" ContentType="application/vnd.openxmlformats-officedocument.spreadsheetml.comments+xml"/>
  <Override PartName="/xl/worksheets/sheet28.xml" ContentType="application/vnd.openxmlformats-officedocument.spreadsheetml.worksheet+xml"/>
  <Override PartName="/xl/comments/comment13.xml" ContentType="application/vnd.openxmlformats-officedocument.spreadsheetml.comments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玩法汇总" sheetId="2" state="visible" r:id="rId2"/>
    <sheet xmlns:r="http://schemas.openxmlformats.org/officeDocument/2006/relationships" name="主线" sheetId="3" state="visible" r:id="rId3"/>
    <sheet xmlns:r="http://schemas.openxmlformats.org/officeDocument/2006/relationships" name="困难主线" sheetId="4" state="visible" r:id="rId4"/>
    <sheet xmlns:r="http://schemas.openxmlformats.org/officeDocument/2006/relationships" name="角色经验" sheetId="5" state="visible" r:id="rId5"/>
    <sheet xmlns:r="http://schemas.openxmlformats.org/officeDocument/2006/relationships" name="金币" sheetId="6" state="visible" r:id="rId6"/>
    <sheet xmlns:r="http://schemas.openxmlformats.org/officeDocument/2006/relationships" name="收容经验" sheetId="7" state="visible" r:id="rId7"/>
    <sheet xmlns:r="http://schemas.openxmlformats.org/officeDocument/2006/relationships" name="旅券" sheetId="8" state="visible" r:id="rId8"/>
    <sheet xmlns:r="http://schemas.openxmlformats.org/officeDocument/2006/relationships" name="映射" sheetId="9" state="visible" r:id="rId9"/>
    <sheet xmlns:r="http://schemas.openxmlformats.org/officeDocument/2006/relationships" name="爬塔" sheetId="10" state="visible" r:id="rId10"/>
    <sheet xmlns:r="http://schemas.openxmlformats.org/officeDocument/2006/relationships" name="Boss挑战" sheetId="11" state="visible" r:id="rId11"/>
    <sheet xmlns:r="http://schemas.openxmlformats.org/officeDocument/2006/relationships" name="大秘境" sheetId="12" state="visible" r:id="rId12"/>
    <sheet xmlns:r="http://schemas.openxmlformats.org/officeDocument/2006/relationships" name="PVPVE" sheetId="13" state="visible" r:id="rId13"/>
    <sheet xmlns:r="http://schemas.openxmlformats.org/officeDocument/2006/relationships" name="_玩家曲线" sheetId="14" state="visible" r:id="rId14"/>
    <sheet xmlns:r="http://schemas.openxmlformats.org/officeDocument/2006/relationships" name="_怪物模型" sheetId="15" state="visible" r:id="rId15"/>
    <sheet xmlns:r="http://schemas.openxmlformats.org/officeDocument/2006/relationships" name="_字典" sheetId="16" state="visible" r:id="rId16"/>
    <sheet xmlns:r="http://schemas.openxmlformats.org/officeDocument/2006/relationships" name="舱室材料" sheetId="17" state="visible" r:id="rId17"/>
    <sheet xmlns:r="http://schemas.openxmlformats.org/officeDocument/2006/relationships" name="无限之旅" sheetId="18" state="visible" r:id="rId18"/>
    <sheet xmlns:r="http://schemas.openxmlformats.org/officeDocument/2006/relationships" name="其他战斗玩法" sheetId="19" state="visible" r:id="rId19"/>
    <sheet xmlns:r="http://schemas.openxmlformats.org/officeDocument/2006/relationships" name="_统一战力" sheetId="20" state="visible" r:id="rId20"/>
    <sheet xmlns:r="http://schemas.openxmlformats.org/officeDocument/2006/relationships" name="_爬塔队伍" sheetId="21" state="visible" r:id="rId21"/>
    <sheet xmlns:r="http://schemas.openxmlformats.org/officeDocument/2006/relationships" name="本轮统一对比" sheetId="22" state="visible" r:id="rId22"/>
    <sheet xmlns:r="http://schemas.openxmlformats.org/officeDocument/2006/relationships" name="统一口径说明" sheetId="23" state="visible" r:id="rId23"/>
    <sheet xmlns:r="http://schemas.openxmlformats.org/officeDocument/2006/relationships" name="_怪物类型" sheetId="24" state="visible" r:id="rId24"/>
    <sheet xmlns:r="http://schemas.openxmlformats.org/officeDocument/2006/relationships" name="映射等级节点" sheetId="25" state="visible" r:id="rId25"/>
    <sheet xmlns:r="http://schemas.openxmlformats.org/officeDocument/2006/relationships" name="爬塔本次调整" sheetId="26" state="visible" r:id="rId26"/>
    <sheet xmlns:r="http://schemas.openxmlformats.org/officeDocument/2006/relationships" name="推荐战力参数" sheetId="27" state="visible" r:id="rId27"/>
    <sheet xmlns:r="http://schemas.openxmlformats.org/officeDocument/2006/relationships" name="爬塔战力校准" sheetId="28" state="visible" r:id="rId28"/>
    <sheet xmlns:r="http://schemas.openxmlformats.org/officeDocument/2006/relationships" name="肉鸽" sheetId="29" state="visible" r:id="rId29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00"/>
    <numFmt numFmtId="166" formatCode="0.000&quot;倍&quot;"/>
    <numFmt numFmtId="167" formatCode="#,##0.00;[Red]\(#,##0.00\);\-"/>
    <numFmt numFmtId="168" formatCode="0.00#"/>
    <numFmt numFmtId="169" formatCode="yyyy\-mm\-dd\ hh:mm"/>
  </numFmts>
  <fonts count="44">
    <font>
      <name val="宋体"/>
      <charset val="134"/>
      <color theme="1"/>
      <sz val="11"/>
    </font>
    <font>
      <name val="宋体"/>
      <charset val="134"/>
      <b val="1"/>
      <color rgb="FFFFFFFF"/>
      <sz val="11"/>
    </font>
    <font>
      <name val="宋体"/>
      <charset val="134"/>
      <color rgb="FF008000"/>
      <sz val="11"/>
    </font>
    <font>
      <name val="宋体"/>
      <charset val="134"/>
      <b val="1"/>
      <color theme="1"/>
      <sz val="11"/>
    </font>
    <font>
      <name val="宋体"/>
      <charset val="134"/>
      <color rgb="FF0000FF"/>
      <sz val="11"/>
    </font>
    <font>
      <name val="Microsoft YaHei"/>
      <charset val="134"/>
      <b val="1"/>
      <color rgb="FFFFFFFF"/>
      <sz val="10"/>
    </font>
    <font>
      <name val="Microsoft YaHei"/>
      <charset val="134"/>
      <color theme="1"/>
      <sz val="10"/>
    </font>
    <font>
      <name val="Microsoft YaHei"/>
      <charset val="134"/>
      <b val="1"/>
      <color rgb="FFFFFFFF"/>
      <sz val="11"/>
    </font>
    <font>
      <name val="Microsoft YaHei"/>
      <charset val="134"/>
      <b val="1"/>
      <color rgb="FFFFFFFF"/>
      <sz val="18"/>
    </font>
    <font>
      <name val="Microsoft YaHei"/>
      <charset val="134"/>
      <b val="1"/>
      <color rgb="FF17365D"/>
      <sz val="11"/>
    </font>
    <font>
      <name val="Microsoft YaHei"/>
      <charset val="134"/>
      <color rgb="FF595959"/>
      <sz val="9"/>
    </font>
    <font>
      <name val="Microsoft YaHei"/>
      <charset val="134"/>
      <color rgb="FF000000"/>
      <sz val="9"/>
    </font>
    <font>
      <name val="Microsoft YaHei"/>
      <charset val="134"/>
      <color rgb="FF008000"/>
      <sz val="9"/>
    </font>
    <font>
      <name val="Microsoft YaHei"/>
      <charset val="134"/>
      <color rgb="FF0000FF"/>
      <sz val="9"/>
    </font>
    <font>
      <name val="Microsoft YaHei"/>
      <charset val="134"/>
      <b val="1"/>
      <color rgb="FF0000FF"/>
      <sz val="9"/>
    </font>
    <font>
      <name val="宋体"/>
      <charset val="134"/>
      <color rgb="FFFFFFFF"/>
      <sz val="11"/>
    </font>
    <font>
      <name val="宋体"/>
      <charset val="134"/>
      <color theme="10"/>
      <sz val="12"/>
    </font>
    <font>
      <name val="Microsoft YaHei"/>
      <charset val="134"/>
      <color rgb="FF000000"/>
      <sz val="10"/>
    </font>
    <font>
      <name val="Microsoft YaHei"/>
      <charset val="134"/>
      <b val="1"/>
      <color rgb="FF17365D"/>
      <sz val="12"/>
    </font>
    <font>
      <name val="Microsoft YaHei"/>
      <charset val="134"/>
      <b val="1"/>
      <color rgb="FF1F4E78"/>
      <sz val="11"/>
    </font>
    <font>
      <name val="Microsoft YaHei"/>
      <charset val="134"/>
      <color rgb="FF000000"/>
      <sz val="11"/>
    </font>
    <font>
      <name val="Microsoft YaHei"/>
      <charset val="134"/>
      <b val="1"/>
      <color rgb="FF0000FF"/>
      <sz val="11"/>
    </font>
    <font>
      <name val="Microsoft YaHei"/>
      <charset val="134"/>
      <sz val="11"/>
    </font>
    <font>
      <name val="Microsoft YaHei"/>
      <charset val="134"/>
      <b val="1"/>
      <color rgb="FF008000"/>
      <sz val="11"/>
    </font>
    <font>
      <name val="Microsoft YaHei"/>
      <charset val="134"/>
      <b val="1"/>
      <color rgb="FF000000"/>
      <sz val="11"/>
    </font>
    <font>
      <name val="Microsoft YaHei"/>
      <charset val="134"/>
      <sz val="9"/>
    </font>
    <font>
      <name val="Microsoft YaHei"/>
      <charset val="134"/>
      <b val="1"/>
      <color rgb="FF0563C1"/>
      <sz val="11"/>
    </font>
    <font>
      <name val="Microsoft YaHei"/>
      <charset val="134"/>
      <color rgb="FF595959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color rgb="FFFA7D00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  <font>
      <name val="宋体"/>
      <charset val="134"/>
      <sz val="10"/>
    </font>
  </fonts>
  <fills count="43">
    <fill>
      <patternFill/>
    </fill>
    <fill>
      <patternFill patternType="gray125"/>
    </fill>
    <fill>
      <patternFill patternType="solid">
        <fgColor rgb="FF243E5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E8EDF2"/>
        <bgColor indexed="64"/>
      </patternFill>
    </fill>
    <fill>
      <patternFill patternType="solid">
        <fgColor rgb="FFD9E5E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6" fillId="0" borderId="0"/>
    <xf numFmtId="0" fontId="28" fillId="0" borderId="0" applyAlignment="1">
      <alignment vertical="center"/>
    </xf>
    <xf numFmtId="0" fontId="0" fillId="13" borderId="4" applyAlignment="1">
      <alignment vertical="center"/>
    </xf>
    <xf numFmtId="0" fontId="29" fillId="0" borderId="0" applyAlignment="1">
      <alignment vertical="center"/>
    </xf>
    <xf numFmtId="0" fontId="30" fillId="0" borderId="0" applyAlignment="1">
      <alignment vertical="center"/>
    </xf>
    <xf numFmtId="0" fontId="31" fillId="0" borderId="0" applyAlignment="1">
      <alignment vertical="center"/>
    </xf>
    <xf numFmtId="0" fontId="32" fillId="0" borderId="5" applyAlignment="1">
      <alignment vertical="center"/>
    </xf>
    <xf numFmtId="0" fontId="33" fillId="0" borderId="5" applyAlignment="1">
      <alignment vertical="center"/>
    </xf>
    <xf numFmtId="0" fontId="34" fillId="0" borderId="6" applyAlignment="1">
      <alignment vertical="center"/>
    </xf>
    <xf numFmtId="0" fontId="34" fillId="0" borderId="0" applyAlignment="1">
      <alignment vertical="center"/>
    </xf>
    <xf numFmtId="0" fontId="35" fillId="14" borderId="7" applyAlignment="1">
      <alignment vertical="center"/>
    </xf>
    <xf numFmtId="0" fontId="36" fillId="10" borderId="8" applyAlignment="1">
      <alignment vertical="center"/>
    </xf>
    <xf numFmtId="0" fontId="37" fillId="10" borderId="7" applyAlignment="1">
      <alignment vertical="center"/>
    </xf>
    <xf numFmtId="0" fontId="1" fillId="15" borderId="9" applyAlignment="1">
      <alignment vertical="center"/>
    </xf>
    <xf numFmtId="0" fontId="38" fillId="0" borderId="10" applyAlignment="1">
      <alignment vertical="center"/>
    </xf>
    <xf numFmtId="0" fontId="3" fillId="0" borderId="11" applyAlignment="1">
      <alignment vertical="center"/>
    </xf>
    <xf numFmtId="0" fontId="39" fillId="16" borderId="0" applyAlignment="1">
      <alignment vertical="center"/>
    </xf>
    <xf numFmtId="0" fontId="40" fillId="17" borderId="0" applyAlignment="1">
      <alignment vertical="center"/>
    </xf>
    <xf numFmtId="0" fontId="41" fillId="18" borderId="0" applyAlignment="1">
      <alignment vertical="center"/>
    </xf>
    <xf numFmtId="0" fontId="42" fillId="19" borderId="0" applyAlignment="1">
      <alignment vertical="center"/>
    </xf>
    <xf numFmtId="0" fontId="0" fillId="20" borderId="0" applyAlignment="1">
      <alignment vertical="center"/>
    </xf>
    <xf numFmtId="0" fontId="0" fillId="21" borderId="0" applyAlignment="1">
      <alignment vertical="center"/>
    </xf>
    <xf numFmtId="0" fontId="42" fillId="22" borderId="0" applyAlignment="1">
      <alignment vertical="center"/>
    </xf>
    <xf numFmtId="0" fontId="42" fillId="23" borderId="0" applyAlignment="1">
      <alignment vertical="center"/>
    </xf>
    <xf numFmtId="0" fontId="0" fillId="24" borderId="0" applyAlignment="1">
      <alignment vertical="center"/>
    </xf>
    <xf numFmtId="0" fontId="0" fillId="25" borderId="0" applyAlignment="1">
      <alignment vertical="center"/>
    </xf>
    <xf numFmtId="0" fontId="42" fillId="26" borderId="0" applyAlignment="1">
      <alignment vertical="center"/>
    </xf>
    <xf numFmtId="0" fontId="42" fillId="27" borderId="0" applyAlignment="1">
      <alignment vertical="center"/>
    </xf>
    <xf numFmtId="0" fontId="0" fillId="28" borderId="0" applyAlignment="1">
      <alignment vertical="center"/>
    </xf>
    <xf numFmtId="0" fontId="0" fillId="29" borderId="0" applyAlignment="1">
      <alignment vertical="center"/>
    </xf>
    <xf numFmtId="0" fontId="42" fillId="30" borderId="0" applyAlignment="1">
      <alignment vertical="center"/>
    </xf>
    <xf numFmtId="0" fontId="42" fillId="31" borderId="0" applyAlignment="1">
      <alignment vertical="center"/>
    </xf>
    <xf numFmtId="0" fontId="0" fillId="32" borderId="0" applyAlignment="1">
      <alignment vertical="center"/>
    </xf>
    <xf numFmtId="0" fontId="0" fillId="33" borderId="0" applyAlignment="1">
      <alignment vertical="center"/>
    </xf>
    <xf numFmtId="0" fontId="42" fillId="34" borderId="0" applyAlignment="1">
      <alignment vertical="center"/>
    </xf>
    <xf numFmtId="0" fontId="42" fillId="35" borderId="0" applyAlignment="1">
      <alignment vertical="center"/>
    </xf>
    <xf numFmtId="0" fontId="0" fillId="36" borderId="0" applyAlignment="1">
      <alignment vertical="center"/>
    </xf>
    <xf numFmtId="0" fontId="0" fillId="37" borderId="0" applyAlignment="1">
      <alignment vertical="center"/>
    </xf>
    <xf numFmtId="0" fontId="42" fillId="38" borderId="0" applyAlignment="1">
      <alignment vertical="center"/>
    </xf>
    <xf numFmtId="0" fontId="42" fillId="39" borderId="0" applyAlignment="1">
      <alignment vertical="center"/>
    </xf>
    <xf numFmtId="0" fontId="0" fillId="40" borderId="0" applyAlignment="1">
      <alignment vertical="center"/>
    </xf>
    <xf numFmtId="0" fontId="0" fillId="41" borderId="0" applyAlignment="1">
      <alignment vertical="center"/>
    </xf>
    <xf numFmtId="0" fontId="42" fillId="42" borderId="0" applyAlignment="1">
      <alignment vertical="center"/>
    </xf>
  </cellStyleXfs>
  <cellXfs count="8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wrapText="1"/>
    </xf>
    <xf numFmtId="3" fontId="0" fillId="0" borderId="0" pivotButton="0" quotePrefix="0" xfId="0"/>
    <xf numFmtId="3" fontId="2" fillId="3" borderId="0" pivotButton="0" quotePrefix="0" xfId="0"/>
    <xf numFmtId="164" fontId="0" fillId="0" borderId="0" pivotButton="0" quotePrefix="0" xfId="0"/>
    <xf numFmtId="2" fontId="0" fillId="4" borderId="0" pivotButton="0" quotePrefix="0" xfId="0"/>
    <xf numFmtId="0" fontId="1" fillId="2" borderId="0" pivotButton="0" quotePrefix="0" xfId="0"/>
    <xf numFmtId="0" fontId="3" fillId="5" borderId="0" pivotButton="0" quotePrefix="0" xfId="0"/>
    <xf numFmtId="2" fontId="4" fillId="6" borderId="0" pivotButton="0" quotePrefix="0" xfId="0"/>
    <xf numFmtId="1" fontId="0" fillId="0" borderId="0" pivotButton="0" quotePrefix="0" xfId="0"/>
    <xf numFmtId="0" fontId="5" fillId="2" borderId="0" applyAlignment="1" pivotButton="0" quotePrefix="0" xfId="0">
      <alignment wrapText="1"/>
    </xf>
    <xf numFmtId="1" fontId="6" fillId="0" borderId="0" pivotButton="0" quotePrefix="0" xfId="0"/>
    <xf numFmtId="2" fontId="6" fillId="0" borderId="0" pivotButton="0" quotePrefix="0" xfId="0"/>
    <xf numFmtId="164" fontId="6" fillId="0" borderId="0" pivotButton="0" quotePrefix="0" xfId="0"/>
    <xf numFmtId="0" fontId="4" fillId="6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5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7" fillId="7" borderId="0" pivotButton="0" quotePrefix="0" xfId="0"/>
    <xf numFmtId="0" fontId="8" fillId="8" borderId="0" applyAlignment="1" pivotButton="0" quotePrefix="0" xfId="0">
      <alignment horizontal="left" vertical="center"/>
    </xf>
    <xf numFmtId="0" fontId="9" fillId="9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0" fontId="5" fillId="7" borderId="1" applyAlignment="1" pivotButton="0" quotePrefix="0" xfId="0">
      <alignment horizontal="center" vertical="center" wrapText="1"/>
    </xf>
    <xf numFmtId="0" fontId="11" fillId="0" borderId="2" applyAlignment="1" pivotButton="0" quotePrefix="0" xfId="0">
      <alignment vertical="center"/>
    </xf>
    <xf numFmtId="0" fontId="11" fillId="0" borderId="2" applyAlignment="1" pivotButton="0" quotePrefix="0" xfId="0">
      <alignment vertical="center" wrapText="1"/>
    </xf>
    <xf numFmtId="1" fontId="10" fillId="10" borderId="2" applyAlignment="1" pivotButton="0" quotePrefix="0" xfId="0">
      <alignment vertical="center"/>
    </xf>
    <xf numFmtId="1" fontId="11" fillId="10" borderId="2" applyAlignment="1" pivotButton="0" quotePrefix="0" xfId="0">
      <alignment vertical="center"/>
    </xf>
    <xf numFmtId="167" fontId="10" fillId="10" borderId="2" applyAlignment="1" pivotButton="0" quotePrefix="0" xfId="0">
      <alignment vertical="center"/>
    </xf>
    <xf numFmtId="167" fontId="12" fillId="10" borderId="2" applyAlignment="1" pivotButton="0" quotePrefix="0" xfId="0">
      <alignment vertical="center"/>
    </xf>
    <xf numFmtId="164" fontId="11" fillId="10" borderId="2" applyAlignment="1" pivotButton="0" quotePrefix="0" xfId="0">
      <alignment vertical="center"/>
    </xf>
    <xf numFmtId="167" fontId="11" fillId="10" borderId="2" applyAlignment="1" pivotButton="0" quotePrefix="0" xfId="0">
      <alignment vertical="center"/>
    </xf>
    <xf numFmtId="168" fontId="11" fillId="10" borderId="2" applyAlignment="1" pivotButton="0" quotePrefix="0" xfId="0">
      <alignment vertical="center"/>
    </xf>
    <xf numFmtId="0" fontId="11" fillId="10" borderId="2" applyAlignment="1" pivotButton="0" quotePrefix="0" xfId="0">
      <alignment vertical="center"/>
    </xf>
    <xf numFmtId="1" fontId="13" fillId="0" borderId="2" applyAlignment="1" pivotButton="0" quotePrefix="0" xfId="0">
      <alignment vertical="center"/>
    </xf>
    <xf numFmtId="1" fontId="13" fillId="11" borderId="2" applyAlignment="1" pivotButton="0" quotePrefix="0" xfId="0">
      <alignment vertical="center"/>
    </xf>
    <xf numFmtId="1" fontId="11" fillId="0" borderId="2" applyAlignment="1" pivotButton="0" quotePrefix="0" xfId="0">
      <alignment vertical="center"/>
    </xf>
    <xf numFmtId="1" fontId="14" fillId="6" borderId="2" applyAlignment="1" pivotButton="0" quotePrefix="0" xfId="0">
      <alignment vertical="center"/>
    </xf>
    <xf numFmtId="166" fontId="13" fillId="11" borderId="2" applyAlignment="1" pivotButton="0" quotePrefix="0" xfId="0">
      <alignment vertical="center"/>
    </xf>
    <xf numFmtId="167" fontId="13" fillId="11" borderId="2" applyAlignment="1" pivotButton="0" quotePrefix="0" xfId="0">
      <alignment vertical="center"/>
    </xf>
    <xf numFmtId="167" fontId="12" fillId="0" borderId="2" applyAlignment="1" pivotButton="0" quotePrefix="0" xfId="0">
      <alignment vertical="center"/>
    </xf>
    <xf numFmtId="164" fontId="11" fillId="0" borderId="2" applyAlignment="1" pivotButton="0" quotePrefix="0" xfId="0">
      <alignment vertical="center"/>
    </xf>
    <xf numFmtId="167" fontId="11" fillId="0" borderId="2" applyAlignment="1" pivotButton="0" quotePrefix="0" xfId="0">
      <alignment vertical="center"/>
    </xf>
    <xf numFmtId="168" fontId="11" fillId="0" borderId="2" applyAlignment="1" pivotButton="0" quotePrefix="0" xfId="0">
      <alignment vertical="center"/>
    </xf>
    <xf numFmtId="0" fontId="15" fillId="2" borderId="0" applyAlignment="1" pivotButton="0" quotePrefix="0" xfId="0">
      <alignment vertical="center" wrapText="1"/>
    </xf>
    <xf numFmtId="1" fontId="14" fillId="3" borderId="2" applyAlignment="1" pivotButton="0" quotePrefix="0" xfId="0">
      <alignment vertical="center"/>
    </xf>
    <xf numFmtId="0" fontId="16" fillId="0" borderId="0" pivotButton="0" quotePrefix="0" xfId="6"/>
    <xf numFmtId="0" fontId="17" fillId="0" borderId="2" applyAlignment="1" pivotButton="0" quotePrefix="0" xfId="0">
      <alignment vertical="center"/>
    </xf>
    <xf numFmtId="0" fontId="17" fillId="0" borderId="2" applyAlignment="1" pivotButton="0" quotePrefix="0" xfId="0">
      <alignment vertical="center" wrapText="1"/>
    </xf>
    <xf numFmtId="164" fontId="17" fillId="0" borderId="2" applyAlignment="1" pivotButton="0" quotePrefix="0" xfId="0">
      <alignment vertical="center"/>
    </xf>
    <xf numFmtId="0" fontId="7" fillId="8" borderId="3" pivotButton="0" quotePrefix="0" xfId="0"/>
    <xf numFmtId="164" fontId="7" fillId="8" borderId="3" pivotButton="0" quotePrefix="0" xfId="0"/>
    <xf numFmtId="0" fontId="18" fillId="6" borderId="0" applyAlignment="1" pivotButton="0" quotePrefix="0" xfId="0">
      <alignment vertical="center" wrapText="1"/>
    </xf>
    <xf numFmtId="0" fontId="19" fillId="0" borderId="0" pivotButton="0" quotePrefix="0" xfId="0"/>
    <xf numFmtId="0" fontId="20" fillId="0" borderId="0" applyAlignment="1" pivotButton="0" quotePrefix="0" xfId="0">
      <alignment vertical="center" wrapText="1"/>
    </xf>
    <xf numFmtId="0" fontId="21" fillId="6" borderId="0" pivotButton="0" quotePrefix="0" xfId="0"/>
    <xf numFmtId="0" fontId="22" fillId="0" borderId="0" pivotButton="0" quotePrefix="0" xfId="0"/>
    <xf numFmtId="0" fontId="21" fillId="11" borderId="0" pivotButton="0" quotePrefix="0" xfId="0"/>
    <xf numFmtId="0" fontId="23" fillId="12" borderId="0" pivotButton="0" quotePrefix="0" xfId="0"/>
    <xf numFmtId="0" fontId="24" fillId="12" borderId="0" pivotButton="0" quotePrefix="0" xfId="0"/>
    <xf numFmtId="0" fontId="25" fillId="0" borderId="2" applyAlignment="1" pivotButton="0" quotePrefix="0" xfId="0">
      <alignment vertical="top" wrapText="1"/>
    </xf>
    <xf numFmtId="169" fontId="25" fillId="0" borderId="2" applyAlignment="1" pivotButton="0" quotePrefix="0" xfId="0">
      <alignment vertical="top" wrapText="1"/>
    </xf>
    <xf numFmtId="0" fontId="22" fillId="0" borderId="0" applyAlignment="1" pivotButton="0" quotePrefix="0" xfId="0">
      <alignment vertical="center" wrapText="1"/>
    </xf>
    <xf numFmtId="0" fontId="26" fillId="9" borderId="0" pivotButton="0" quotePrefix="0" xfId="6"/>
    <xf numFmtId="0" fontId="27" fillId="0" borderId="0" pivotButton="0" quotePrefix="0" xfId="0"/>
    <xf numFmtId="0" fontId="2" fillId="0" borderId="0" applyAlignment="1" pivotButton="0" quotePrefix="0" xfId="0">
      <alignment wrapText="1"/>
    </xf>
    <xf numFmtId="169" fontId="25" fillId="0" borderId="2" applyAlignment="1" pivotButton="0" quotePrefix="0" xfId="0">
      <alignment vertical="top" wrapText="1"/>
    </xf>
    <xf numFmtId="164" fontId="17" fillId="0" borderId="2" applyAlignment="1" pivotButton="0" quotePrefix="0" xfId="0">
      <alignment vertical="center"/>
    </xf>
    <xf numFmtId="164" fontId="7" fillId="8" borderId="3" pivotButton="0" quotePrefix="0" xfId="0"/>
    <xf numFmtId="166" fontId="13" fillId="11" borderId="2" applyAlignment="1" pivotButton="0" quotePrefix="0" xfId="0">
      <alignment vertical="center"/>
    </xf>
    <xf numFmtId="167" fontId="13" fillId="11" borderId="2" applyAlignment="1" pivotButton="0" quotePrefix="0" xfId="0">
      <alignment vertical="center"/>
    </xf>
    <xf numFmtId="167" fontId="12" fillId="0" borderId="2" applyAlignment="1" pivotButton="0" quotePrefix="0" xfId="0">
      <alignment vertical="center"/>
    </xf>
    <xf numFmtId="164" fontId="11" fillId="0" borderId="2" applyAlignment="1" pivotButton="0" quotePrefix="0" xfId="0">
      <alignment vertical="center"/>
    </xf>
    <xf numFmtId="167" fontId="11" fillId="0" borderId="2" applyAlignment="1" pivotButton="0" quotePrefix="0" xfId="0">
      <alignment vertical="center"/>
    </xf>
    <xf numFmtId="168" fontId="11" fillId="0" borderId="2" applyAlignment="1" pivotButton="0" quotePrefix="0" xfId="0">
      <alignment vertical="center"/>
    </xf>
    <xf numFmtId="167" fontId="10" fillId="10" borderId="2" applyAlignment="1" pivotButton="0" quotePrefix="0" xfId="0">
      <alignment vertical="center"/>
    </xf>
    <xf numFmtId="167" fontId="12" fillId="10" borderId="2" applyAlignment="1" pivotButton="0" quotePrefix="0" xfId="0">
      <alignment vertical="center"/>
    </xf>
    <xf numFmtId="164" fontId="11" fillId="10" borderId="2" applyAlignment="1" pivotButton="0" quotePrefix="0" xfId="0">
      <alignment vertical="center"/>
    </xf>
    <xf numFmtId="167" fontId="11" fillId="10" borderId="2" applyAlignment="1" pivotButton="0" quotePrefix="0" xfId="0">
      <alignment vertical="center"/>
    </xf>
    <xf numFmtId="168" fontId="11" fillId="10" borderId="2" applyAlignment="1" pivotButton="0" quotePrefix="0" xfId="0">
      <alignment vertical="center"/>
    </xf>
    <xf numFmtId="166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6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3">
    <dxf>
      <fill>
        <patternFill patternType="solid">
          <bgColor rgb="FFE2F0D9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8CBAD"/>
        </patternFill>
      </fill>
    </dxf>
    <dxf>
      <font>
        <name val="Microsoft YaHei"/>
        <b val="1"/>
        <color rgb="FFC00000"/>
      </font>
      <fill>
        <patternFill patternType="solid">
          <bgColor rgb="FFFCE4D6"/>
        </patternFill>
      </fill>
    </dxf>
    <dxf>
      <font>
        <color rgb="FFC00000"/>
      </font>
      <fill>
        <patternFill patternType="solid">
          <bgColor rgb="FFFCE4D6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comments/comment1.xml><?xml version="1.0" encoding="utf-8"?>
<comments xmlns="http://schemas.openxmlformats.org/spreadsheetml/2006/main">
  <authors>
    <author>Codex</author>
  </authors>
  <commentList>
    <comment ref="E4" authorId="0" shapeId="0">
      <text>
        <t>同一行可映射多个配置LevelId；表示这些关卡共用同一档怪物等级。</t>
      </text>
    </comment>
    <comment ref="F4" authorId="0" shapeId="0">
      <text>
        <t>选择战斗公式怪物标准模型中的怪物类型；主表已按玩法内容给出默认类型。</t>
      </text>
    </comment>
    <comment ref="G4" authorId="0" shapeId="0">
      <text>
        <t>主线使用同关玩家快照；其他玩法使用开放节点或共用档位的默认快照。</t>
      </text>
    </comment>
    <comment ref="H4" authorId="0" shapeId="0">
      <text>
        <t>可选覆盖。填1-285；留空时使用G列默认对照关卡。</t>
      </text>
    </comment>
    <comment ref="J4" authorId="0" shapeId="0">
      <text>
        <t>主要输入项。填战斗公式“怪物标准模型”的Lv1-Lv500整数等级。</t>
      </text>
    </comment>
    <comment ref="N4" authorId="0" shapeId="0">
      <text>
        <t>整关所有敌人/波次总EHP相对一只标准怪EHP的倍数；留空按1。</t>
      </text>
    </comment>
    <comment ref="O4" authorId="0" shapeId="0">
      <text>
        <t>用来近似多怪同时攻击、技能频率等压力；留空按1。</t>
      </text>
    </comment>
    <comment ref="P4" authorId="0" shapeId="0">
      <text>
        <t>可选目标TTK/目标通关时间。填写后AA列才会给出简单/适中/困难判断。</t>
      </text>
    </comment>
    <comment ref="X4" authorId="0" shapeId="0">
      <text>
        <t>整关目标EHP÷玩家DPS。N列为空时等于一只标准怪的TTK。</t>
      </text>
    </comment>
    <comment ref="Y4" authorId="0" shapeId="0">
      <text>
        <t>玩家队伍EHP÷(怪物实际攻击×攻击压力倍率)，仅作生存压力近似。</t>
      </text>
    </comment>
  </commentList>
</comments>
</file>

<file path=xl/comments/comment2.xml><?xml version="1.0" encoding="utf-8"?>
<comments xmlns="http://schemas.openxmlformats.org/spreadsheetml/2006/main">
  <authors>
    <author>Codex</author>
  </authors>
  <commentList>
    <comment ref="E4" authorId="0" shapeId="0">
      <text>
        <t>同一行可映射多个配置LevelId；表示这些关卡共用同一档怪物等级。</t>
      </text>
    </comment>
    <comment ref="F4" authorId="0" shapeId="0">
      <text>
        <t>选择战斗公式怪物标准模型中的怪物类型；主表已按玩法内容给出默认类型。</t>
      </text>
    </comment>
    <comment ref="G4" authorId="0" shapeId="0">
      <text>
        <t>主线使用同关玩家快照；其他玩法使用开放节点或共用档位的默认快照。</t>
      </text>
    </comment>
    <comment ref="H4" authorId="0" shapeId="0">
      <text>
        <t>可选覆盖。填1-285；留空时使用G列默认对照关卡。</t>
      </text>
    </comment>
    <comment ref="J4" authorId="0" shapeId="0">
      <text>
        <t>主要输入项。填战斗公式“怪物标准模型”的Lv1-Lv500整数等级。</t>
      </text>
    </comment>
    <comment ref="N4" authorId="0" shapeId="0">
      <text>
        <t>整关所有敌人/波次总EHP相对一只标准怪EHP的倍数；留空按1。</t>
      </text>
    </comment>
    <comment ref="O4" authorId="0" shapeId="0">
      <text>
        <t>用来近似多怪同时攻击、技能频率等压力；留空按1。</t>
      </text>
    </comment>
    <comment ref="P4" authorId="0" shapeId="0">
      <text>
        <t>可选目标TTK/目标通关时间。填写后AA列才会给出简单/适中/困难判断。</t>
      </text>
    </comment>
    <comment ref="X4" authorId="0" shapeId="0">
      <text>
        <t>整关目标EHP÷玩家DPS。N列为空时等于一只标准怪的TTK。</t>
      </text>
    </comment>
    <comment ref="Y4" authorId="0" shapeId="0">
      <text>
        <t>玩家队伍EHP÷(怪物实际攻击×攻击压力倍率)，仅作生存压力近似。</t>
      </text>
    </comment>
  </commentList>
</comments>
</file>

<file path=xl/comments/comment3.xml><?xml version="1.0" encoding="utf-8"?>
<comments xmlns="http://schemas.openxmlformats.org/spreadsheetml/2006/main">
  <authors>
    <author>Codex</author>
  </authors>
  <commentList>
    <comment ref="E4" authorId="0" shapeId="0">
      <text>
        <t>同一行可映射多个配置LevelId；表示这些关卡共用同一档怪物等级。</t>
      </text>
    </comment>
    <comment ref="F4" authorId="0" shapeId="0">
      <text>
        <t>选择战斗公式怪物标准模型中的怪物类型；主表已按玩法内容给出默认类型。</t>
      </text>
    </comment>
    <comment ref="G4" authorId="0" shapeId="0">
      <text>
        <t>主线使用同关玩家快照；其他玩法使用开放节点或共用档位的默认快照。</t>
      </text>
    </comment>
    <comment ref="H4" authorId="0" shapeId="0">
      <text>
        <t>可选覆盖。填1-285；留空时使用G列默认对照关卡。</t>
      </text>
    </comment>
    <comment ref="J4" authorId="0" shapeId="0">
      <text>
        <t>主要输入项。填战斗公式“怪物标准模型”的Lv1-Lv500整数等级。</t>
      </text>
    </comment>
    <comment ref="N4" authorId="0" shapeId="0">
      <text>
        <t>整关所有敌人/波次总EHP相对一只标准怪EHP的倍数；留空按1。</t>
      </text>
    </comment>
    <comment ref="O4" authorId="0" shapeId="0">
      <text>
        <t>用来近似多怪同时攻击、技能频率等压力；留空按1。</t>
      </text>
    </comment>
    <comment ref="P4" authorId="0" shapeId="0">
      <text>
        <t>可选目标TTK/目标通关时间。填写后AA列才会给出简单/适中/困难判断。</t>
      </text>
    </comment>
    <comment ref="X4" authorId="0" shapeId="0">
      <text>
        <t>整关目标EHP÷玩家DPS。N列为空时等于一只标准怪的TTK。</t>
      </text>
    </comment>
    <comment ref="Y4" authorId="0" shapeId="0">
      <text>
        <t>玩家队伍EHP÷(怪物实际攻击×攻击压力倍率)，仅作生存压力近似。</t>
      </text>
    </comment>
  </commentList>
</comments>
</file>

<file path=xl/comments/comment4.xml><?xml version="1.0" encoding="utf-8"?>
<comments xmlns="http://schemas.openxmlformats.org/spreadsheetml/2006/main">
  <authors>
    <author>Codex</author>
  </authors>
  <commentList>
    <comment ref="E4" authorId="0" shapeId="0">
      <text>
        <t>同一行可映射多个配置LevelId；表示这些关卡共用同一档怪物等级。</t>
      </text>
    </comment>
    <comment ref="F4" authorId="0" shapeId="0">
      <text>
        <t>选择战斗公式怪物标准模型中的怪物类型；主表已按玩法内容给出默认类型。</t>
      </text>
    </comment>
    <comment ref="G4" authorId="0" shapeId="0">
      <text>
        <t>主线使用同关玩家快照；其他玩法使用开放节点或共用档位的默认快照。</t>
      </text>
    </comment>
    <comment ref="H4" authorId="0" shapeId="0">
      <text>
        <t>可选覆盖。填1-285；留空时使用G列默认对照关卡。</t>
      </text>
    </comment>
    <comment ref="J4" authorId="0" shapeId="0">
      <text>
        <t>主要输入项。填战斗公式“怪物标准模型”的Lv1-Lv500整数等级。</t>
      </text>
    </comment>
    <comment ref="N4" authorId="0" shapeId="0">
      <text>
        <t>整关所有敌人/波次总EHP相对一只标准怪EHP的倍数；留空按1。</t>
      </text>
    </comment>
    <comment ref="O4" authorId="0" shapeId="0">
      <text>
        <t>用来近似多怪同时攻击、技能频率等压力；留空按1。</t>
      </text>
    </comment>
    <comment ref="P4" authorId="0" shapeId="0">
      <text>
        <t>可选目标TTK/目标通关时间。填写后AA列才会给出简单/适中/困难判断。</t>
      </text>
    </comment>
    <comment ref="X4" authorId="0" shapeId="0">
      <text>
        <t>整关目标EHP÷玩家DPS。N列为空时等于一只标准怪的TTK。</t>
      </text>
    </comment>
    <comment ref="Y4" authorId="0" shapeId="0">
      <text>
        <t>玩家队伍EHP÷(怪物实际攻击×攻击压力倍率)，仅作生存压力近似。</t>
      </text>
    </comment>
  </commentList>
</comments>
</file>

<file path=xl/comments/comment5.xml><?xml version="1.0" encoding="utf-8"?>
<comments xmlns="http://schemas.openxmlformats.org/spreadsheetml/2006/main">
  <authors>
    <author>Codex</author>
  </authors>
  <commentList>
    <comment ref="E4" authorId="0" shapeId="0">
      <text>
        <t>同一行可映射多个配置LevelId；表示这些关卡共用同一档怪物等级。</t>
      </text>
    </comment>
    <comment ref="F4" authorId="0" shapeId="0">
      <text>
        <t>选择战斗公式怪物标准模型中的怪物类型；主表已按玩法内容给出默认类型。</t>
      </text>
    </comment>
    <comment ref="G4" authorId="0" shapeId="0">
      <text>
        <t>主线使用同关玩家快照；其他玩法使用开放节点或共用档位的默认快照。</t>
      </text>
    </comment>
    <comment ref="H4" authorId="0" shapeId="0">
      <text>
        <t>可选覆盖。填1-285；留空时使用G列默认对照关卡。</t>
      </text>
    </comment>
    <comment ref="J4" authorId="0" shapeId="0">
      <text>
        <t>主要输入项。填战斗公式“怪物标准模型”的Lv1-Lv500整数等级。</t>
      </text>
    </comment>
    <comment ref="N4" authorId="0" shapeId="0">
      <text>
        <t>整关所有敌人/波次总EHP相对一只标准怪EHP的倍数；留空按1。</t>
      </text>
    </comment>
    <comment ref="O4" authorId="0" shapeId="0">
      <text>
        <t>用来近似多怪同时攻击、技能频率等压力；留空按1。</t>
      </text>
    </comment>
    <comment ref="P4" authorId="0" shapeId="0">
      <text>
        <t>可选目标TTK/目标通关时间。填写后AA列才会给出简单/适中/困难判断。</t>
      </text>
    </comment>
    <comment ref="X4" authorId="0" shapeId="0">
      <text>
        <t>整关目标EHP÷玩家DPS。N列为空时等于一只标准怪的TTK。</t>
      </text>
    </comment>
    <comment ref="Y4" authorId="0" shapeId="0">
      <text>
        <t>玩家队伍EHP÷(怪物实际攻击×攻击压力倍率)，仅作生存压力近似。</t>
      </text>
    </comment>
  </commentList>
</comments>
</file>

<file path=xl/comments/comment6.xml><?xml version="1.0" encoding="utf-8"?>
<comments xmlns="http://schemas.openxmlformats.org/spreadsheetml/2006/main">
  <authors>
    <author>Codex</author>
  </authors>
  <commentList>
    <comment ref="E4" authorId="0" shapeId="0">
      <text>
        <t>同一行可映射多个配置LevelId；表示这些关卡共用同一档怪物等级。</t>
      </text>
    </comment>
    <comment ref="F4" authorId="0" shapeId="0">
      <text>
        <t>选择战斗公式怪物标准模型中的怪物类型；主表已按玩法内容给出默认类型。</t>
      </text>
    </comment>
    <comment ref="G4" authorId="0" shapeId="0">
      <text>
        <t>主线使用同关玩家快照；其他玩法使用开放节点或共用档位的默认快照。</t>
      </text>
    </comment>
    <comment ref="H4" authorId="0" shapeId="0">
      <text>
        <t>可选覆盖。填1-285；留空时使用G列默认对照关卡。</t>
      </text>
    </comment>
    <comment ref="J4" authorId="0" shapeId="0">
      <text>
        <t>主要输入项。填战斗公式“怪物标准模型”的Lv1-Lv500整数等级。</t>
      </text>
    </comment>
    <comment ref="N4" authorId="0" shapeId="0">
      <text>
        <t>整关所有敌人/波次总EHP相对一只标准怪EHP的倍数；留空按1。</t>
      </text>
    </comment>
    <comment ref="O4" authorId="0" shapeId="0">
      <text>
        <t>用来近似多怪同时攻击、技能频率等压力；留空按1。</t>
      </text>
    </comment>
    <comment ref="P4" authorId="0" shapeId="0">
      <text>
        <t>可选目标TTK/目标通关时间。填写后AA列才会给出简单/适中/困难判断。</t>
      </text>
    </comment>
    <comment ref="X4" authorId="0" shapeId="0">
      <text>
        <t>整关目标EHP÷玩家DPS。N列为空时等于一只标准怪的TTK。</t>
      </text>
    </comment>
    <comment ref="Y4" authorId="0" shapeId="0">
      <text>
        <t>玩家队伍EHP÷(怪物实际攻击×攻击压力倍率)，仅作生存压力近似。</t>
      </text>
    </comment>
  </commentList>
</comments>
</file>

<file path=xl/comments/comment7.xml><?xml version="1.0" encoding="utf-8"?>
<comments xmlns="http://schemas.openxmlformats.org/spreadsheetml/2006/main">
  <authors>
    <author>Codex</author>
  </authors>
  <commentList>
    <comment ref="E4" authorId="0" shapeId="0">
      <text>
        <t>同一行可映射多个配置LevelId；表示这些关卡共用同一档怪物等级。</t>
      </text>
    </comment>
    <comment ref="F4" authorId="0" shapeId="0">
      <text>
        <t>选择战斗公式怪物标准模型中的怪物类型；主表已按玩法内容给出默认类型。</t>
      </text>
    </comment>
    <comment ref="G4" authorId="0" shapeId="0">
      <text>
        <t>主线使用同关玩家快照；其他玩法使用开放节点或共用档位的默认快照。</t>
      </text>
    </comment>
    <comment ref="H4" authorId="0" shapeId="0">
      <text>
        <t>可选覆盖。填1-285；留空时使用G列默认对照关卡。</t>
      </text>
    </comment>
    <comment ref="J4" authorId="0" shapeId="0">
      <text>
        <t>主要输入项。填战斗公式“怪物标准模型”的Lv1-Lv500整数等级。</t>
      </text>
    </comment>
    <comment ref="N4" authorId="0" shapeId="0">
      <text>
        <t>整关所有敌人/波次总EHP相对一只标准怪EHP的倍数；留空按1。</t>
      </text>
    </comment>
    <comment ref="O4" authorId="0" shapeId="0">
      <text>
        <t>用来近似多怪同时攻击、技能频率等压力；留空按1。</t>
      </text>
    </comment>
    <comment ref="P4" authorId="0" shapeId="0">
      <text>
        <t>可选目标TTK/目标通关时间。填写后AA列才会给出简单/适中/困难判断。</t>
      </text>
    </comment>
    <comment ref="X4" authorId="0" shapeId="0">
      <text>
        <t>整关目标EHP÷玩家DPS。N列为空时等于一只标准怪的TTK。</t>
      </text>
    </comment>
    <comment ref="Y4" authorId="0" shapeId="0">
      <text>
        <t>玩家队伍EHP÷(怪物实际攻击×攻击压力倍率)，仅作生存压力近似。</t>
      </text>
    </comment>
  </commentList>
</comments>
</file>

<file path=xl/comments/comment8.xml><?xml version="1.0" encoding="utf-8"?>
<comments xmlns="http://schemas.openxmlformats.org/spreadsheetml/2006/main">
  <authors>
    <author>Codex</author>
  </authors>
  <commentList>
    <comment ref="E4" authorId="0" shapeId="0">
      <text>
        <t>同一行可映射多个配置LevelId；表示这些关卡共用同一档怪物等级。</t>
      </text>
    </comment>
    <comment ref="F4" authorId="0" shapeId="0">
      <text>
        <t>选择战斗公式怪物标准模型中的怪物类型；主表已按玩法内容给出默认类型。</t>
      </text>
    </comment>
    <comment ref="G4" authorId="0" shapeId="0">
      <text>
        <t>主线使用同关玩家快照；其他玩法使用开放节点或共用档位的默认快照。</t>
      </text>
    </comment>
    <comment ref="H4" authorId="0" shapeId="0">
      <text>
        <t>可选覆盖。填1-285；留空时使用G列默认对照关卡。</t>
      </text>
    </comment>
    <comment ref="J4" authorId="0" shapeId="0">
      <text>
        <t>主要输入项。填战斗公式“怪物标准模型”的Lv1-Lv500整数等级。</t>
      </text>
    </comment>
    <comment ref="N4" authorId="0" shapeId="0">
      <text>
        <t>整关所有敌人/波次总EHP相对一只标准怪EHP的倍数；留空按1。</t>
      </text>
    </comment>
    <comment ref="O4" authorId="0" shapeId="0">
      <text>
        <t>用来近似多怪同时攻击、技能频率等压力；留空按1。</t>
      </text>
    </comment>
    <comment ref="P4" authorId="0" shapeId="0">
      <text>
        <t>可选目标TTK/目标通关时间。填写后AA列才会给出简单/适中/困难判断。</t>
      </text>
    </comment>
    <comment ref="X4" authorId="0" shapeId="0">
      <text>
        <t>整关目标EHP÷玩家DPS。N列为空时等于一只标准怪的TTK。</t>
      </text>
    </comment>
    <comment ref="Y4" authorId="0" shapeId="0">
      <text>
        <t>玩家队伍EHP÷(怪物实际攻击×攻击压力倍率)，仅作生存压力近似。</t>
      </text>
    </comment>
  </commentList>
</comments>
</file>

<file path=xl/comments/comment9.xml><?xml version="1.0" encoding="utf-8"?>
<comments xmlns="http://schemas.openxmlformats.org/spreadsheetml/2006/main">
  <authors>
    <author>Codex</author>
  </authors>
  <commentList>
    <comment ref="E4" authorId="0" shapeId="0">
      <text>
        <t>同一行可映射多个配置LevelId；表示这些关卡共用同一档怪物等级。</t>
      </text>
    </comment>
    <comment ref="F4" authorId="0" shapeId="0">
      <text>
        <t>选择战斗公式怪物标准模型中的怪物类型；主表已按玩法内容给出默认类型。</t>
      </text>
    </comment>
    <comment ref="G4" authorId="0" shapeId="0">
      <text>
        <t>主线使用同关玩家快照；其他玩法使用开放节点或共用档位的默认快照。</t>
      </text>
    </comment>
    <comment ref="H4" authorId="0" shapeId="0">
      <text>
        <t>可选覆盖。填1-285；留空时使用G列默认对照关卡。</t>
      </text>
    </comment>
    <comment ref="J4" authorId="0" shapeId="0">
      <text>
        <t>主要输入项。填战斗公式“怪物标准模型”的Lv1-Lv500整数等级。</t>
      </text>
    </comment>
    <comment ref="N4" authorId="0" shapeId="0">
      <text>
        <t>整关所有敌人/波次总EHP相对一只标准怪EHP的倍数；留空按1。</t>
      </text>
    </comment>
    <comment ref="O4" authorId="0" shapeId="0">
      <text>
        <t>用来近似多怪同时攻击、技能频率等压力；留空按1。</t>
      </text>
    </comment>
    <comment ref="P4" authorId="0" shapeId="0">
      <text>
        <t>可选目标TTK/目标通关时间。填写后AA列才会给出简单/适中/困难判断。</t>
      </text>
    </comment>
    <comment ref="X4" authorId="0" shapeId="0">
      <text>
        <t>整关目标EHP÷玩家DPS。N列为空时等于一只标准怪的TTK。</t>
      </text>
    </comment>
    <comment ref="Y4" authorId="0" shapeId="0">
      <text>
        <t>玩家队伍EHP÷(怪物实际攻击×攻击压力倍率)，仅作生存压力近似。</t>
      </text>
    </comment>
  </commentList>
</comments>
</file>

<file path=xl/comments/comment10.xml><?xml version="1.0" encoding="utf-8"?>
<comments xmlns="http://schemas.openxmlformats.org/spreadsheetml/2006/main">
  <authors>
    <author>Codex</author>
  </authors>
  <commentList>
    <comment ref="E4" authorId="0" shapeId="0">
      <text>
        <t>同一行可映射多个配置LevelId；表示这些关卡共用同一档怪物等级。</t>
      </text>
    </comment>
    <comment ref="F4" authorId="0" shapeId="0">
      <text>
        <t>选择战斗公式怪物标准模型中的怪物类型；主表已按玩法内容给出默认类型。</t>
      </text>
    </comment>
    <comment ref="G4" authorId="0" shapeId="0">
      <text>
        <t>主线使用同关玩家快照；其他玩法使用开放节点或共用档位的默认快照。</t>
      </text>
    </comment>
    <comment ref="H4" authorId="0" shapeId="0">
      <text>
        <t>可选覆盖。填1-285；留空时使用G列默认对照关卡。</t>
      </text>
    </comment>
    <comment ref="J4" authorId="0" shapeId="0">
      <text>
        <t>主要输入项。填战斗公式“怪物标准模型”的Lv1-Lv500整数等级。</t>
      </text>
    </comment>
    <comment ref="N4" authorId="0" shapeId="0">
      <text>
        <t>整关所有敌人/波次总EHP相对一只标准怪EHP的倍数；留空按1。</t>
      </text>
    </comment>
    <comment ref="O4" authorId="0" shapeId="0">
      <text>
        <t>用来近似多怪同时攻击、技能频率等压力；留空按1。</t>
      </text>
    </comment>
    <comment ref="P4" authorId="0" shapeId="0">
      <text>
        <t>可选目标TTK/目标通关时间。填写后AA列才会给出简单/适中/困难判断。</t>
      </text>
    </comment>
    <comment ref="X4" authorId="0" shapeId="0">
      <text>
        <t>整关目标EHP÷玩家DPS。N列为空时等于一只标准怪的TTK。</t>
      </text>
    </comment>
    <comment ref="Y4" authorId="0" shapeId="0">
      <text>
        <t>玩家队伍EHP÷(怪物实际攻击×攻击压力倍率)，仅作生存压力近似。</t>
      </text>
    </comment>
  </commentList>
</comments>
</file>

<file path=xl/comments/comment11.xml><?xml version="1.0" encoding="utf-8"?>
<comments xmlns="http://schemas.openxmlformats.org/spreadsheetml/2006/main">
  <authors>
    <author>Codex</author>
  </authors>
  <commentList>
    <comment ref="E4" authorId="0" shapeId="0">
      <text>
        <t>同一行可映射多个配置LevelId；表示这些关卡共用同一档怪物等级。</t>
      </text>
    </comment>
    <comment ref="F4" authorId="0" shapeId="0">
      <text>
        <t>选择战斗公式怪物标准模型中的怪物类型；主表已按玩法内容给出默认类型。</t>
      </text>
    </comment>
    <comment ref="G4" authorId="0" shapeId="0">
      <text>
        <t>主线使用同关玩家快照；其他玩法使用开放节点或共用档位的默认快照。</t>
      </text>
    </comment>
    <comment ref="H4" authorId="0" shapeId="0">
      <text>
        <t>可选覆盖。填1-285；留空时使用G列默认对照关卡。</t>
      </text>
    </comment>
    <comment ref="J4" authorId="0" shapeId="0">
      <text>
        <t>主要输入项。填战斗公式“怪物标准模型”的Lv1-Lv500整数等级。</t>
      </text>
    </comment>
    <comment ref="N4" authorId="0" shapeId="0">
      <text>
        <t>整关所有敌人/波次总EHP相对一只标准怪EHP的倍数；留空按1。</t>
      </text>
    </comment>
    <comment ref="O4" authorId="0" shapeId="0">
      <text>
        <t>用来近似多怪同时攻击、技能频率等压力；留空按1。</t>
      </text>
    </comment>
    <comment ref="P4" authorId="0" shapeId="0">
      <text>
        <t>可选目标TTK/目标通关时间。填写后AA列才会给出简单/适中/困难判断。</t>
      </text>
    </comment>
    <comment ref="X4" authorId="0" shapeId="0">
      <text>
        <t>整关目标EHP÷玩家DPS。N列为空时等于一只标准怪的TTK。</t>
      </text>
    </comment>
    <comment ref="Y4" authorId="0" shapeId="0">
      <text>
        <t>玩家队伍EHP÷(怪物实际攻击×攻击压力倍率)，仅作生存压力近似。</t>
      </text>
    </comment>
  </commentList>
</comments>
</file>

<file path=xl/comments/comment12.xml><?xml version="1.0" encoding="utf-8"?>
<comments xmlns="http://schemas.openxmlformats.org/spreadsheetml/2006/main">
  <authors>
    <author>tc={2B79EE48-970E-C406-6E82-9DA33AA690E0}</author>
  </authors>
  <commentList>
    <comment ref="B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来源：2026-08-27用户确认映射装备推荐战力乘0.5；只作用于推荐战力，保留现有等级与怪物属性。</t>
      </text>
    </comment>
  </commentList>
</comments>
</file>

<file path=xl/comments/comment13.xml><?xml version="1.0" encoding="utf-8"?>
<comments xmlns="http://schemas.openxmlformats.org/spreadsheetml/2006/main">
  <authors>
    <author>tc={283822B6-EB47-6272-1443-BEDE88265D80}</author>
  </authors>
  <commentList>
    <comment ref="I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基准：爬塔280级首次调参前快照，原31～326级、五人整队属性。由每人HP/(1-减伤)求和后除以当时玩家DPS；生存秒由玩家EHP/整队攻击计算。历史基准固定，不随当前难度重置。</t>
      </text>
    </comment>
  </commentList>
</comments>
</file>

<file path=xl/tables/table1.xml><?xml version="1.0" encoding="utf-8"?>
<table xmlns="http://schemas.openxmlformats.org/spreadsheetml/2006/main" id="1" name="ModeSummary" displayName="ModeSummary" ref="A4:L16" headerRowCount="1">
  <autoFilter ref="A4:L16"/>
  <tableColumns count="12">
    <tableColumn id="1" name="玩法"/>
    <tableColumn id="2" name="状态"/>
    <tableColumn id="3" name="节点口径"/>
    <tableColumn id="4" name="节点数"/>
    <tableColumn id="5" name="需填等级"/>
    <tableColumn id="6" name="已填有效"/>
    <tableColumn id="7" name="完成率"/>
    <tableColumn id="8" name="最低等级"/>
    <tableColumn id="9" name="最高等级"/>
    <tableColumn id="10" name="等级下降"/>
    <tableColumn id="11" name="超范围"/>
    <tableColumn id="12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ifficulty_Main" displayName="Difficulty_Main" ref="A4:AD103" headerRowCount="1">
  <autoFilter ref="A4:AD103"/>
  <tableColumns count="30">
    <tableColumn id="1" name="状态"/>
    <tableColumn id="2" name="玩法"/>
    <tableColumn id="3" name="子玩法/共用范围"/>
    <tableColumn id="4" name="节点名称"/>
    <tableColumn id="5" name="LevelId/配置映射"/>
    <tableColumn id="6" name="怪物类型"/>
    <tableColumn id="7" name="默认对照关卡"/>
    <tableColumn id="8" name="手动对照关卡"/>
    <tableColumn id="9" name="实际对照关卡"/>
    <tableColumn id="10" name="怪物等级"/>
    <tableColumn id="11" name="生命系数"/>
    <tableColumn id="12" name="攻击系数"/>
    <tableColumn id="13" name="防御系数"/>
    <tableColumn id="14" name="整关EHP倍率"/>
    <tableColumn id="15" name="攻击压力倍率"/>
    <tableColumn id="16" name="目标时间(s)"/>
    <tableColumn id="17" name="玩家DPS"/>
    <tableColumn id="18" name="玩家队伍EHP"/>
    <tableColumn id="19" name="怪物实际生命"/>
    <tableColumn id="20" name="怪物实际攻击"/>
    <tableColumn id="21" name="怪物实际防御"/>
    <tableColumn id="22" name="怪物减伤率"/>
    <tableColumn id="23" name="整关目标EHP"/>
    <tableColumn id="24" name="预测TTK(s)"/>
    <tableColumn id="25" name="预测存活(s)"/>
    <tableColumn id="26" name="TTK/目标"/>
    <tableColumn id="27" name="难度判断"/>
    <tableColumn id="28" name="等级检查"/>
    <tableColumn id="29" name="等级趋势">
      <calculatedColumnFormula>IF(OR($J5="",ROW()=5,$B5&lt;&gt;$B4,$J4=""),"",IF($J5&lt;$J4,"下降",""))</calculatedColumnFormula>
    </tableColumn>
    <tableColumn id="30" name="备注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ifficulty_HardMain" displayName="Difficulty_HardMain" ref="A4:AD39" headerRowCount="1">
  <autoFilter ref="A4:AD39"/>
  <tableColumns count="30">
    <tableColumn id="1" name="状态"/>
    <tableColumn id="2" name="玩法"/>
    <tableColumn id="3" name="子玩法/共用范围"/>
    <tableColumn id="4" name="节点名称"/>
    <tableColumn id="5" name="LevelId/配置映射"/>
    <tableColumn id="6" name="怪物类型"/>
    <tableColumn id="7" name="默认对照关卡"/>
    <tableColumn id="8" name="手动对照关卡"/>
    <tableColumn id="9" name="实际对照关卡"/>
    <tableColumn id="10" name="怪物等级"/>
    <tableColumn id="11" name="生命系数"/>
    <tableColumn id="12" name="攻击系数"/>
    <tableColumn id="13" name="防御系数"/>
    <tableColumn id="14" name="整关EHP倍率"/>
    <tableColumn id="15" name="攻击压力倍率"/>
    <tableColumn id="16" name="目标时间(s)"/>
    <tableColumn id="17" name="玩家DPS"/>
    <tableColumn id="18" name="玩家队伍EHP"/>
    <tableColumn id="19" name="怪物实际生命"/>
    <tableColumn id="20" name="怪物实际攻击"/>
    <tableColumn id="21" name="怪物实际防御"/>
    <tableColumn id="22" name="怪物减伤率"/>
    <tableColumn id="23" name="整关目标EHP"/>
    <tableColumn id="24" name="预测TTK(s)"/>
    <tableColumn id="25" name="预测存活(s)"/>
    <tableColumn id="26" name="TTK/目标"/>
    <tableColumn id="27" name="难度判断"/>
    <tableColumn id="28" name="等级检查"/>
    <tableColumn id="29" name="等级趋势"/>
    <tableColumn id="30" name="备注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ifficulty_RoleExp" displayName="Difficulty_RoleExp" ref="A4:AD13" headerRowCount="1">
  <autoFilter ref="A4:AD13"/>
  <tableColumns count="30">
    <tableColumn id="1" name="状态"/>
    <tableColumn id="2" name="玩法"/>
    <tableColumn id="3" name="子玩法/共用范围"/>
    <tableColumn id="4" name="节点名称"/>
    <tableColumn id="5" name="LevelId/配置映射"/>
    <tableColumn id="6" name="怪物类型"/>
    <tableColumn id="7" name="默认对照关卡"/>
    <tableColumn id="8" name="手动对照关卡"/>
    <tableColumn id="9" name="实际对照关卡"/>
    <tableColumn id="10" name="怪物等级"/>
    <tableColumn id="11" name="生命系数"/>
    <tableColumn id="12" name="攻击系数"/>
    <tableColumn id="13" name="防御系数"/>
    <tableColumn id="14" name="整关EHP倍率"/>
    <tableColumn id="15" name="攻击压力倍率"/>
    <tableColumn id="16" name="目标时间(s)"/>
    <tableColumn id="17" name="玩家DPS"/>
    <tableColumn id="18" name="玩家队伍EHP"/>
    <tableColumn id="19" name="怪物实际生命"/>
    <tableColumn id="20" name="怪物实际攻击"/>
    <tableColumn id="21" name="怪物实际防御"/>
    <tableColumn id="22" name="怪物减伤率"/>
    <tableColumn id="23" name="整关目标EHP"/>
    <tableColumn id="24" name="预测TTK(s)"/>
    <tableColumn id="25" name="预测存活(s)"/>
    <tableColumn id="26" name="TTK/目标"/>
    <tableColumn id="27" name="难度判断"/>
    <tableColumn id="28" name="等级检查"/>
    <tableColumn id="29" name="等级趋势"/>
    <tableColumn id="30" name="备注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ifficulty_Coin" displayName="Difficulty_Coin" ref="A4:AD13" headerRowCount="1">
  <autoFilter ref="A4:AD13"/>
  <tableColumns count="30">
    <tableColumn id="1" name="状态"/>
    <tableColumn id="2" name="玩法"/>
    <tableColumn id="3" name="子玩法/共用范围"/>
    <tableColumn id="4" name="节点名称"/>
    <tableColumn id="5" name="LevelId/配置映射"/>
    <tableColumn id="6" name="怪物类型"/>
    <tableColumn id="7" name="默认对照关卡"/>
    <tableColumn id="8" name="手动对照关卡"/>
    <tableColumn id="9" name="实际对照关卡"/>
    <tableColumn id="10" name="怪物等级"/>
    <tableColumn id="11" name="生命系数"/>
    <tableColumn id="12" name="攻击系数"/>
    <tableColumn id="13" name="防御系数"/>
    <tableColumn id="14" name="整关EHP倍率"/>
    <tableColumn id="15" name="攻击压力倍率"/>
    <tableColumn id="16" name="目标时间(s)"/>
    <tableColumn id="17" name="玩家DPS"/>
    <tableColumn id="18" name="玩家队伍EHP"/>
    <tableColumn id="19" name="怪物实际生命"/>
    <tableColumn id="20" name="怪物实际攻击"/>
    <tableColumn id="21" name="怪物实际防御"/>
    <tableColumn id="22" name="怪物减伤率"/>
    <tableColumn id="23" name="整关目标EHP"/>
    <tableColumn id="24" name="预测TTK(s)"/>
    <tableColumn id="25" name="预测存活(s)"/>
    <tableColumn id="26" name="TTK/目标"/>
    <tableColumn id="27" name="难度判断"/>
    <tableColumn id="28" name="等级检查"/>
    <tableColumn id="29" name="等级趋势"/>
    <tableColumn id="30" name="备注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Difficulty_ContainmentExp" displayName="Difficulty_ContainmentExp" ref="A4:AD13" headerRowCount="1">
  <autoFilter ref="A4:AD13"/>
  <tableColumns count="30">
    <tableColumn id="1" name="状态"/>
    <tableColumn id="2" name="玩法"/>
    <tableColumn id="3" name="子玩法/共用范围"/>
    <tableColumn id="4" name="节点名称"/>
    <tableColumn id="5" name="LevelId/配置映射"/>
    <tableColumn id="6" name="怪物类型"/>
    <tableColumn id="7" name="默认对照关卡"/>
    <tableColumn id="8" name="手动对照关卡"/>
    <tableColumn id="9" name="实际对照关卡"/>
    <tableColumn id="10" name="怪物等级"/>
    <tableColumn id="11" name="生命系数"/>
    <tableColumn id="12" name="攻击系数"/>
    <tableColumn id="13" name="防御系数"/>
    <tableColumn id="14" name="整关EHP倍率"/>
    <tableColumn id="15" name="攻击压力倍率"/>
    <tableColumn id="16" name="目标时间(s)"/>
    <tableColumn id="17" name="玩家DPS"/>
    <tableColumn id="18" name="玩家队伍EHP"/>
    <tableColumn id="19" name="怪物实际生命"/>
    <tableColumn id="20" name="怪物实际攻击"/>
    <tableColumn id="21" name="怪物实际防御"/>
    <tableColumn id="22" name="怪物减伤率"/>
    <tableColumn id="23" name="整关目标EHP"/>
    <tableColumn id="24" name="预测TTK(s)"/>
    <tableColumn id="25" name="预测存活(s)"/>
    <tableColumn id="26" name="TTK/目标"/>
    <tableColumn id="27" name="难度判断"/>
    <tableColumn id="28" name="等级检查"/>
    <tableColumn id="29" name="等级趋势"/>
    <tableColumn id="30" name="备注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fficulty_Travel" displayName="Difficulty_Travel" ref="A4:AD14" headerRowCount="1">
  <autoFilter ref="A4:AD14"/>
  <tableColumns count="30">
    <tableColumn id="1" name="状态"/>
    <tableColumn id="2" name="玩法"/>
    <tableColumn id="3" name="子玩法/共用范围"/>
    <tableColumn id="4" name="节点名称"/>
    <tableColumn id="5" name="LevelId/配置映射"/>
    <tableColumn id="6" name="怪物类型"/>
    <tableColumn id="7" name="默认对照关卡"/>
    <tableColumn id="8" name="手动对照关卡"/>
    <tableColumn id="9" name="实际对照关卡"/>
    <tableColumn id="10" name="怪物等级"/>
    <tableColumn id="11" name="生命系数"/>
    <tableColumn id="12" name="攻击系数"/>
    <tableColumn id="13" name="防御系数"/>
    <tableColumn id="14" name="整关EHP倍率"/>
    <tableColumn id="15" name="攻击压力倍率"/>
    <tableColumn id="16" name="目标时间(s)"/>
    <tableColumn id="17" name="玩家DPS"/>
    <tableColumn id="18" name="玩家队伍EHP"/>
    <tableColumn id="19" name="怪物实际生命"/>
    <tableColumn id="20" name="怪物实际攻击"/>
    <tableColumn id="21" name="怪物实际防御"/>
    <tableColumn id="22" name="怪物减伤率"/>
    <tableColumn id="23" name="整关目标EHP"/>
    <tableColumn id="24" name="预测TTK(s)"/>
    <tableColumn id="25" name="预测存活(s)"/>
    <tableColumn id="26" name="TTK/目标"/>
    <tableColumn id="27" name="难度判断"/>
    <tableColumn id="28" name="等级检查"/>
    <tableColumn id="29" name="等级趋势"/>
    <tableColumn id="30" name="备注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fficulty_Mapping" displayName="Difficulty_Mapping" ref="A4:AD34" headerRowCount="1">
  <autoFilter ref="A4:AD34"/>
  <tableColumns count="30">
    <tableColumn id="1" name="状态"/>
    <tableColumn id="2" name="玩法"/>
    <tableColumn id="3" name="子玩法/共用范围"/>
    <tableColumn id="4" name="节点名称"/>
    <tableColumn id="5" name="LevelId/配置映射"/>
    <tableColumn id="6" name="怪物类型"/>
    <tableColumn id="7" name="默认对照关卡"/>
    <tableColumn id="8" name="手动对照关卡"/>
    <tableColumn id="9" name="实际对照关卡"/>
    <tableColumn id="10" name="怪物等级"/>
    <tableColumn id="11" name="生命系数"/>
    <tableColumn id="12" name="攻击系数"/>
    <tableColumn id="13" name="防御系数"/>
    <tableColumn id="14" name="整关EHP倍率"/>
    <tableColumn id="15" name="攻击压力倍率"/>
    <tableColumn id="16" name="目标时间(s)"/>
    <tableColumn id="17" name="玩家DPS"/>
    <tableColumn id="18" name="玩家队伍EHP"/>
    <tableColumn id="19" name="怪物实际生命"/>
    <tableColumn id="20" name="怪物实际攻击"/>
    <tableColumn id="21" name="怪物实际防御"/>
    <tableColumn id="22" name="怪物减伤率"/>
    <tableColumn id="23" name="整关目标EHP"/>
    <tableColumn id="24" name="预测TTK(s)"/>
    <tableColumn id="25" name="预测存活(s)"/>
    <tableColumn id="26" name="TTK/目标"/>
    <tableColumn id="27" name="难度判断"/>
    <tableColumn id="28" name="等级检查"/>
    <tableColumn id="29" name="等级趋势"/>
    <tableColumn id="30" name="备注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fficulty_Tower" displayName="Difficulty_Tower" ref="A4:AD104" headerRowCount="1">
  <autoFilter ref="A4:AD104"/>
  <tableColumns count="30">
    <tableColumn id="1" name="状态"/>
    <tableColumn id="2" name="玩法"/>
    <tableColumn id="3" name="子玩法/共用范围"/>
    <tableColumn id="4" name="节点名称"/>
    <tableColumn id="5" name="LevelId/配置映射"/>
    <tableColumn id="6" name="怪物类型"/>
    <tableColumn id="7" name="默认对照关卡"/>
    <tableColumn id="8" name="手动对照关卡"/>
    <tableColumn id="9" name="实际对照关卡"/>
    <tableColumn id="10" name="怪物等级"/>
    <tableColumn id="11" name="生命系数"/>
    <tableColumn id="12" name="攻击系数"/>
    <tableColumn id="13" name="防御系数"/>
    <tableColumn id="14" name="整关EHP倍率"/>
    <tableColumn id="15" name="攻击压力倍率"/>
    <tableColumn id="16" name="目标时间(s)"/>
    <tableColumn id="17" name="玩家DPS"/>
    <tableColumn id="18" name="玩家队伍EHP"/>
    <tableColumn id="19" name="怪物实际生命"/>
    <tableColumn id="20" name="怪物实际攻击"/>
    <tableColumn id="21" name="怪物实际防御"/>
    <tableColumn id="22" name="怪物减伤率"/>
    <tableColumn id="23" name="整关目标EHP"/>
    <tableColumn id="24" name="预测TTK(s)"/>
    <tableColumn id="25" name="预测存活(s)"/>
    <tableColumn id="26" name="TTK/目标"/>
    <tableColumn id="27" name="难度判断"/>
    <tableColumn id="28" name="等级检查"/>
    <tableColumn id="29" name="等级趋势"/>
    <tableColumn id="30" name="备注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Difficulty_BossChallenge" displayName="Difficulty_BossChallenge" ref="A4:AD14" headerRowCount="1">
  <autoFilter ref="A4:AD14"/>
  <tableColumns count="30">
    <tableColumn id="1" name="状态"/>
    <tableColumn id="2" name="玩法"/>
    <tableColumn id="3" name="子玩法/共用范围"/>
    <tableColumn id="4" name="节点名称"/>
    <tableColumn id="5" name="LevelId/配置映射"/>
    <tableColumn id="6" name="怪物类型"/>
    <tableColumn id="7" name="默认对照关卡"/>
    <tableColumn id="8" name="手动对照关卡"/>
    <tableColumn id="9" name="实际对照关卡"/>
    <tableColumn id="10" name="怪物等级"/>
    <tableColumn id="11" name="生命系数"/>
    <tableColumn id="12" name="攻击系数"/>
    <tableColumn id="13" name="防御系数"/>
    <tableColumn id="14" name="整关EHP倍率"/>
    <tableColumn id="15" name="攻击压力倍率"/>
    <tableColumn id="16" name="目标时间(s)"/>
    <tableColumn id="17" name="玩家DPS"/>
    <tableColumn id="18" name="玩家队伍EHP"/>
    <tableColumn id="19" name="怪物实际生命"/>
    <tableColumn id="20" name="怪物实际攻击"/>
    <tableColumn id="21" name="怪物实际防御"/>
    <tableColumn id="22" name="怪物减伤率"/>
    <tableColumn id="23" name="整关目标EHP"/>
    <tableColumn id="24" name="预测TTK(s)"/>
    <tableColumn id="25" name="预测存活(s)"/>
    <tableColumn id="26" name="TTK/目标"/>
    <tableColumn id="27" name="难度判断"/>
    <tableColumn id="28" name="等级检查"/>
    <tableColumn id="29" name="等级趋势"/>
    <tableColumn id="30" name="备注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Difficulty_Mythic" displayName="Difficulty_Mythic" ref="A4:AD29" headerRowCount="1">
  <autoFilter ref="A4:AD29"/>
  <tableColumns count="30">
    <tableColumn id="1" name="状态"/>
    <tableColumn id="2" name="玩法"/>
    <tableColumn id="3" name="子玩法/共用范围"/>
    <tableColumn id="4" name="节点名称"/>
    <tableColumn id="5" name="LevelId/配置映射"/>
    <tableColumn id="6" name="怪物类型"/>
    <tableColumn id="7" name="默认对照关卡"/>
    <tableColumn id="8" name="手动对照关卡"/>
    <tableColumn id="9" name="实际对照关卡"/>
    <tableColumn id="10" name="怪物等级"/>
    <tableColumn id="11" name="生命系数"/>
    <tableColumn id="12" name="攻击系数"/>
    <tableColumn id="13" name="防御系数"/>
    <tableColumn id="14" name="整关EHP倍率"/>
    <tableColumn id="15" name="攻击压力倍率"/>
    <tableColumn id="16" name="目标时间(s)"/>
    <tableColumn id="17" name="玩家DPS"/>
    <tableColumn id="18" name="玩家队伍EHP"/>
    <tableColumn id="19" name="怪物实际生命"/>
    <tableColumn id="20" name="怪物实际攻击"/>
    <tableColumn id="21" name="怪物实际防御"/>
    <tableColumn id="22" name="怪物减伤率"/>
    <tableColumn id="23" name="整关目标EHP"/>
    <tableColumn id="24" name="预测TTK(s)"/>
    <tableColumn id="25" name="预测存活(s)"/>
    <tableColumn id="26" name="TTK/目标"/>
    <tableColumn id="27" name="难度判断"/>
    <tableColumn id="28" name="等级检查"/>
    <tableColumn id="29" name="等级趋势"/>
    <tableColumn id="30" name="备注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Difficulty_PVPVE" displayName="Difficulty_PVPVE" ref="A4:AD6" headerRowCount="1">
  <autoFilter ref="A4:AD6"/>
  <tableColumns count="30">
    <tableColumn id="1" name="状态"/>
    <tableColumn id="2" name="玩法"/>
    <tableColumn id="3" name="子玩法/共用范围"/>
    <tableColumn id="4" name="节点名称"/>
    <tableColumn id="5" name="LevelId/配置映射"/>
    <tableColumn id="6" name="怪物类型"/>
    <tableColumn id="7" name="默认对照关卡"/>
    <tableColumn id="8" name="手动对照关卡"/>
    <tableColumn id="9" name="实际对照关卡"/>
    <tableColumn id="10" name="怪物等级"/>
    <tableColumn id="11" name="生命系数"/>
    <tableColumn id="12" name="攻击系数"/>
    <tableColumn id="13" name="防御系数"/>
    <tableColumn id="14" name="整关EHP倍率"/>
    <tableColumn id="15" name="攻击压力倍率"/>
    <tableColumn id="16" name="目标时间(s)"/>
    <tableColumn id="17" name="玩家DPS"/>
    <tableColumn id="18" name="玩家队伍EHP"/>
    <tableColumn id="19" name="怪物实际生命"/>
    <tableColumn id="20" name="怪物实际攻击"/>
    <tableColumn id="21" name="怪物实际防御"/>
    <tableColumn id="22" name="怪物减伤率"/>
    <tableColumn id="23" name="整关目标EHP"/>
    <tableColumn id="24" name="预测TTK(s)"/>
    <tableColumn id="25" name="预测存活(s)"/>
    <tableColumn id="26" name="TTK/目标"/>
    <tableColumn id="27" name="难度判断"/>
    <tableColumn id="28" name="等级检查"/>
    <tableColumn id="29" name="等级趋势"/>
    <tableColumn id="30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hyperlink" Target="#'&#20027;&#32447;'!A1" TargetMode="External" Id="rId1"/><Relationship Type="http://schemas.openxmlformats.org/officeDocument/2006/relationships/hyperlink" Target="#'&#22256;&#38590;&#20027;&#32447;'!A1" TargetMode="External" Id="rId2"/><Relationship Type="http://schemas.openxmlformats.org/officeDocument/2006/relationships/hyperlink" Target="#'&#35282;&#33394;&#32463;&#39564;'!A1" TargetMode="External" Id="rId3"/><Relationship Type="http://schemas.openxmlformats.org/officeDocument/2006/relationships/hyperlink" Target="#'&#37329;&#24065;'!A1" TargetMode="External" Id="rId4"/><Relationship Type="http://schemas.openxmlformats.org/officeDocument/2006/relationships/hyperlink" Target="#'&#25910;&#23481;&#32463;&#39564;'!A1" TargetMode="External" Id="rId5"/><Relationship Type="http://schemas.openxmlformats.org/officeDocument/2006/relationships/hyperlink" Target="#'&#26053;&#21048;'!A1" TargetMode="External" Id="rId6"/><Relationship Type="http://schemas.openxmlformats.org/officeDocument/2006/relationships/hyperlink" Target="#'&#26144;&#23556;'!A1" TargetMode="External" Id="rId7"/><Relationship Type="http://schemas.openxmlformats.org/officeDocument/2006/relationships/hyperlink" Target="#'&#29228;&#22612;'!A1" TargetMode="External" Id="rId8"/><Relationship Type="http://schemas.openxmlformats.org/officeDocument/2006/relationships/hyperlink" Target="#'Boss&#25361;&#25112;'!A1" TargetMode="External" Id="rId9"/><Relationship Type="http://schemas.openxmlformats.org/officeDocument/2006/relationships/hyperlink" Target="#'&#32905;&#40509;'!A1" TargetMode="External" Id="rId10"/><Relationship Type="http://schemas.openxmlformats.org/officeDocument/2006/relationships/hyperlink" Target="#'&#22823;&#31192;&#22659;'!A1" TargetMode="External" Id="rId11"/><Relationship Type="http://schemas.openxmlformats.org/officeDocument/2006/relationships/hyperlink" Target="#'PVPVE'!A1" TargetMode="External" Id="rId12"/></Relationships>
</file>

<file path=xl/worksheets/_rels/sheet2.xml.rels><Relationships xmlns="http://schemas.openxmlformats.org/package/2006/relationships"><Relationship Type="http://schemas.openxmlformats.org/officeDocument/2006/relationships/hyperlink" Target="#'&#20027;&#32447;'!A1" TargetMode="External" Id="rId1"/><Relationship Type="http://schemas.openxmlformats.org/officeDocument/2006/relationships/hyperlink" Target="#'&#22256;&#38590;&#20027;&#32447;'!A1" TargetMode="External" Id="rId2"/><Relationship Type="http://schemas.openxmlformats.org/officeDocument/2006/relationships/hyperlink" Target="#'&#35282;&#33394;&#32463;&#39564;'!A1" TargetMode="External" Id="rId3"/><Relationship Type="http://schemas.openxmlformats.org/officeDocument/2006/relationships/hyperlink" Target="#'&#37329;&#24065;'!A1" TargetMode="External" Id="rId4"/><Relationship Type="http://schemas.openxmlformats.org/officeDocument/2006/relationships/hyperlink" Target="#'&#25910;&#23481;&#32463;&#39564;'!A1" TargetMode="External" Id="rId5"/><Relationship Type="http://schemas.openxmlformats.org/officeDocument/2006/relationships/hyperlink" Target="#'&#26053;&#21048;'!A1" TargetMode="External" Id="rId6"/><Relationship Type="http://schemas.openxmlformats.org/officeDocument/2006/relationships/hyperlink" Target="#'&#26144;&#23556;'!A1" TargetMode="External" Id="rId7"/><Relationship Type="http://schemas.openxmlformats.org/officeDocument/2006/relationships/hyperlink" Target="#'&#29228;&#22612;'!A1" TargetMode="External" Id="rId8"/><Relationship Type="http://schemas.openxmlformats.org/officeDocument/2006/relationships/hyperlink" Target="#'Boss&#25361;&#25112;'!A1" TargetMode="External" Id="rId9"/><Relationship Type="http://schemas.openxmlformats.org/officeDocument/2006/relationships/hyperlink" Target="#'&#32905;&#40509;'!A1" TargetMode="External" Id="rId10"/><Relationship Type="http://schemas.openxmlformats.org/officeDocument/2006/relationships/hyperlink" Target="#'&#22823;&#31192;&#22659;'!A1" TargetMode="External" Id="rId11"/><Relationship Type="http://schemas.openxmlformats.org/officeDocument/2006/relationships/hyperlink" Target="#'PVPVE'!A1" TargetMode="External" Id="rId12"/><Relationship Type="http://schemas.openxmlformats.org/officeDocument/2006/relationships/table" Target="/xl/tables/table1.xml" Id="rId13"/></Relationships>
</file>

<file path=xl/worksheets/_rels/sheet3.xml.rels><Relationships xmlns="http://schemas.openxmlformats.org/package/2006/relationships"><Relationship Type="http://schemas.openxmlformats.org/officeDocument/2006/relationships/hyperlink" Target="#'&#29609;&#27861;&#27719;&#24635;'!A1" TargetMode="External" Id="rId1"/><Relationship Type="http://schemas.openxmlformats.org/officeDocument/2006/relationships/table" Target="/xl/tables/table2.xm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#'&#29609;&#27861;&#27719;&#24635;'!A1" TargetMode="External" Id="rId1"/><Relationship Type="http://schemas.openxmlformats.org/officeDocument/2006/relationships/table" Target="/xl/tables/table3.xml" Id="rId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#'&#29609;&#27861;&#27719;&#24635;'!A1" TargetMode="External" Id="rId1"/><Relationship Type="http://schemas.openxmlformats.org/officeDocument/2006/relationships/table" Target="/xl/tables/table4.xml" Id="rId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#'&#29609;&#27861;&#27719;&#24635;'!A1" TargetMode="External" Id="rId1"/><Relationship Type="http://schemas.openxmlformats.org/officeDocument/2006/relationships/table" Target="/xl/tables/table5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#'&#29609;&#27861;&#27719;&#24635;'!A1" TargetMode="External" Id="rId1"/><Relationship Type="http://schemas.openxmlformats.org/officeDocument/2006/relationships/table" Target="/xl/tables/table6.xml" Id="rId2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#'&#29609;&#27861;&#27719;&#24635;'!A1" TargetMode="External" Id="rId1"/><Relationship Type="http://schemas.openxmlformats.org/officeDocument/2006/relationships/table" Target="/xl/tables/table7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#'&#29609;&#27861;&#27719;&#24635;'!A1" TargetMode="External" Id="rId1"/><Relationship Type="http://schemas.openxmlformats.org/officeDocument/2006/relationships/table" Target="/xl/tables/table8.xml" Id="rId2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#'&#29609;&#27861;&#27719;&#24635;'!A1" TargetMode="External" Id="rId1"/><Relationship Type="http://schemas.openxmlformats.org/officeDocument/2006/relationships/table" Target="/xl/tables/table9.xml" Id="rId2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1.xml.rels><Relationships xmlns="http://schemas.openxmlformats.org/package/2006/relationships"><Relationship Type="http://schemas.openxmlformats.org/officeDocument/2006/relationships/hyperlink" Target="#'&#29609;&#27861;&#27719;&#24635;'!A1" TargetMode="External" Id="rId1"/><Relationship Type="http://schemas.openxmlformats.org/officeDocument/2006/relationships/table" Target="/xl/tables/table10.xml" Id="rId2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2.xml.rels><Relationships xmlns="http://schemas.openxmlformats.org/package/2006/relationships"><Relationship Type="http://schemas.openxmlformats.org/officeDocument/2006/relationships/hyperlink" Target="#'&#29609;&#27861;&#27719;&#24635;'!A1" TargetMode="External" Id="rId1"/><Relationship Type="http://schemas.openxmlformats.org/officeDocument/2006/relationships/table" Target="/xl/tables/table11.xml" Id="rId2"/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#'&#29609;&#27861;&#27719;&#24635;'!A1" TargetMode="External" Id="rId1"/><Relationship Type="http://schemas.openxmlformats.org/officeDocument/2006/relationships/table" Target="/xl/tables/table12.xml" Id="rId2"/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"/>
  <sheetViews>
    <sheetView showGridLines="0" tabSelected="1" workbookViewId="0">
      <selection activeCell="A1" sqref="A1:I1"/>
    </sheetView>
  </sheetViews>
  <sheetFormatPr baseColWidth="8" defaultColWidth="9" defaultRowHeight="13.5"/>
  <cols>
    <col width="17" customWidth="1" min="1" max="1"/>
    <col width="34" customWidth="1" min="2" max="3"/>
    <col width="67" customWidth="1" min="4" max="4"/>
    <col width="20" customWidth="1" min="5" max="5"/>
    <col width="12" customWidth="1" min="6" max="9"/>
  </cols>
  <sheetData>
    <row r="1" ht="34" customHeight="1">
      <c r="A1" s="23" t="inlineStr">
        <is>
          <t>Vgame 全玩法难度填写表｜使用说明</t>
        </is>
      </c>
    </row>
    <row r="3" ht="42" customHeight="1">
      <c r="A3" s="55" t="inlineStr">
        <is>
          <t>修正版V4已同步最新养成分配与平滑有效人数系数，并按原TTK/生存压力反推全部玩法怪物等级。黄色J列仍可直接覆盖，公式会自动更新；PVPVE继续使用双方属性对算。</t>
        </is>
      </c>
    </row>
    <row r="5" ht="27" customHeight="1">
      <c r="A5" s="56" t="inlineStr">
        <is>
          <t>① 必填</t>
        </is>
      </c>
      <c r="B5" s="57" t="inlineStr">
        <is>
          <t>J列已填首版怪物等级，范围Lv1～Lv500；PVPVE不使用怪物等级，无限挑战本轮不纳入。</t>
        </is>
      </c>
    </row>
    <row r="6" ht="27" customHeight="1">
      <c r="A6" s="56" t="inlineStr">
        <is>
          <t>② 可选</t>
        </is>
      </c>
      <c r="B6" s="57" t="inlineStr">
        <is>
          <t>G列是首版使用的玩家对照节点；H列仍可手动覆盖。F列怪物类型和K～P系数/目标时间保持可选。</t>
        </is>
      </c>
    </row>
    <row r="7" ht="27" customHeight="1">
      <c r="A7" s="56" t="inlineStr">
        <is>
          <t>③ 结果</t>
        </is>
      </c>
      <c r="B7" s="57" t="inlineStr">
        <is>
          <t>Q～AC列是公式。X为预测TTK；Y为按怪物攻击估算的玩家存活时间；AA给出简要判断。</t>
        </is>
      </c>
    </row>
    <row r="8" ht="27" customHeight="1">
      <c r="A8" s="56" t="inlineStr">
        <is>
          <t>④ 整关</t>
        </is>
      </c>
      <c r="B8" s="57" t="inlineStr">
        <is>
          <t>标准模型是一只怪。若要估整关，把N列【整关EHP倍率】填成波次总EHP÷标准怪EHP；攻击压力用O列修正。</t>
        </is>
      </c>
    </row>
    <row r="9" ht="27" customHeight="1">
      <c r="A9" s="56" t="inlineStr">
        <is>
          <t>⑤ 对照</t>
        </is>
      </c>
      <c r="B9" s="57" t="inlineStr">
        <is>
          <t>G列是默认玩家养成快照，主线按同关；其他玩法按开放节点/共用档位预置。若你不同意，直接在H列覆盖。</t>
        </is>
      </c>
    </row>
    <row r="10" ht="27" customHeight="1">
      <c r="A10" s="56" t="inlineStr">
        <is>
          <t>⑥ 汇总</t>
        </is>
      </c>
      <c r="B10" s="57" t="inlineStr">
        <is>
          <t>“玩法汇总”会跨页签检查完成率、最低/最高等级、等级倒退和超范围。</t>
        </is>
      </c>
    </row>
    <row r="12" ht="15" customHeight="1">
      <c r="A12" s="22" t="inlineStr">
        <is>
          <t>颜色约定</t>
        </is>
      </c>
    </row>
    <row r="13" ht="16.5" customHeight="1">
      <c r="A13" s="58" t="inlineStr">
        <is>
          <t>黄色 + 蓝字</t>
        </is>
      </c>
      <c r="B13" s="59" t="inlineStr">
        <is>
          <t>怪物等级：主要填写区</t>
        </is>
      </c>
    </row>
    <row r="14" ht="16.5" customHeight="1">
      <c r="A14" s="60" t="inlineStr">
        <is>
          <t>浅蓝 + 蓝字</t>
        </is>
      </c>
      <c r="B14" s="59" t="inlineStr">
        <is>
          <t>可选输入/覆盖项</t>
        </is>
      </c>
    </row>
    <row r="15" ht="16.5" customHeight="1">
      <c r="A15" s="61" t="inlineStr">
        <is>
          <t>绿字</t>
        </is>
      </c>
      <c r="B15" s="59" t="inlineStr">
        <is>
          <t>引用本工作簿隐藏基线的公式</t>
        </is>
      </c>
    </row>
    <row r="16" ht="16.5" customHeight="1">
      <c r="A16" s="62" t="inlineStr">
        <is>
          <t>黑字</t>
        </is>
      </c>
      <c r="B16" s="59" t="inlineStr">
        <is>
          <t>普通计算公式</t>
        </is>
      </c>
    </row>
    <row r="18" ht="15" customHeight="1">
      <c r="A18" s="22" t="inlineStr">
        <is>
          <t>数据来源（复制为 VeryHidden 静态基线，工作簿无外链）</t>
        </is>
      </c>
    </row>
    <row r="19" ht="36" customHeight="1">
      <c r="A19" s="26" t="inlineStr">
        <is>
          <t>用途</t>
        </is>
      </c>
      <c r="B19" s="26" t="inlineStr">
        <is>
          <t>文件</t>
        </is>
      </c>
      <c r="C19" s="26" t="inlineStr">
        <is>
          <t>页签/字段</t>
        </is>
      </c>
      <c r="D19" s="26" t="inlineStr">
        <is>
          <t>SHA256</t>
        </is>
      </c>
      <c r="E19" s="26" t="inlineStr">
        <is>
          <t>更新时间</t>
        </is>
      </c>
    </row>
    <row r="20" ht="42" customHeight="1">
      <c r="A20" s="63" t="inlineStr">
        <is>
          <t>玩家曲线</t>
        </is>
      </c>
      <c r="B20" s="63" t="inlineStr">
        <is>
          <t>D:\数值文档\数值文档\框架v2\01_源表\养成属性分配.xlsx</t>
        </is>
      </c>
      <c r="C20" s="63" t="inlineStr">
        <is>
          <t>玩家战力曲线 B/AL/AN/AO；关卡S1-279；有效人数系数见F；等价怪物等级按AO目标EHP重新匹配</t>
        </is>
      </c>
      <c r="D20" s="63" t="inlineStr">
        <is>
          <t>3453bacda197ab04334c73cf1f2e1e856f21e5be683d7537720aa68af2e6b0ec</t>
        </is>
      </c>
      <c r="E20" s="69" t="n">
        <v>46244.61392879629</v>
      </c>
    </row>
    <row r="21" ht="42" customHeight="1">
      <c r="A21" s="63" t="inlineStr">
        <is>
          <t>怪物模型</t>
        </is>
      </c>
      <c r="B21" s="63" t="inlineStr">
        <is>
          <t>D:\数值文档\数值文档\框架v2\01_源表\战斗公式.xlsx</t>
        </is>
      </c>
      <c r="C21" s="63" t="inlineStr">
        <is>
          <t>怪物标准模型 Lv1-500 / AS:BA</t>
        </is>
      </c>
      <c r="D21" s="63" t="inlineStr">
        <is>
          <t>8c573a872e8e3b1029b738b372c1fc5d652d0d256da8197d768a4bfca6776c69</t>
        </is>
      </c>
      <c r="E21" s="69" t="n">
        <v>46239.71934337963</v>
      </c>
    </row>
    <row r="22" ht="42" customHeight="1">
      <c r="A22" s="63" t="inlineStr">
        <is>
          <t>关卡节点</t>
        </is>
      </c>
      <c r="B22" s="63" t="inlineStr">
        <is>
          <t>D:\Vgame\Config\GameConfig\Datas\level\LevelNode.xlsx</t>
        </is>
      </c>
      <c r="C22" s="63" t="inlineStr">
        <is>
          <t>LevelNode / LevelId / IsBoss</t>
        </is>
      </c>
      <c r="D22" s="63" t="inlineStr">
        <is>
          <t>5546d887be1fec3387c6f1c5e973b2eac02afb36e5914621807b43783192a360</t>
        </is>
      </c>
      <c r="E22" s="69" t="n">
        <v>46240.41528016204</v>
      </c>
    </row>
    <row r="23" ht="42" customHeight="1">
      <c r="A23" s="63" t="inlineStr">
        <is>
          <t>开放条件</t>
        </is>
      </c>
      <c r="B23" s="63" t="inlineStr">
        <is>
          <t>D:\Vgame\Config\GameConfig\Datas\system_open\SystemOpen.xlsx</t>
        </is>
      </c>
      <c r="C23" s="63" t="inlineStr">
        <is>
          <t>SystemOpen / UnlockId / CloseSys</t>
        </is>
      </c>
      <c r="D23" s="63" t="inlineStr">
        <is>
          <t>7d50f24030fbb173425c5f62ea28d4f0662d64d928be28dc05de27c716b27bf5</t>
        </is>
      </c>
      <c r="E23" s="69" t="n">
        <v>46240.41528027778</v>
      </c>
    </row>
    <row r="26" ht="15" customHeight="1">
      <c r="A26" s="22" t="inlineStr">
        <is>
          <t>口径边界</t>
        </is>
      </c>
    </row>
    <row r="27" ht="27" customHeight="1">
      <c r="A27" s="65" t="inlineStr">
        <is>
          <t>• 本表共有343个节点行：主线99关、其余玩法244行；需要怪物等级的节点341个，PVPVE 2个入口不使用等级。</t>
        </is>
      </c>
    </row>
    <row r="28" ht="27" customHeight="1">
      <c r="A28" s="65" t="inlineStr">
        <is>
          <t>• 旅券按10档×4主题共用、映射按30档×5类型共用、爬塔按100层×4赛季包共用、Boss挑战按10档×7个Boss共用。</t>
        </is>
      </c>
    </row>
    <row r="29" ht="27" customHeight="1">
      <c r="A29" s="65" t="inlineStr">
        <is>
          <t>• 肉鸽按5个难度行；大秘境按25层×4环境共用；PVPVE只保留入口，不使用怪物等级。</t>
        </is>
      </c>
    </row>
    <row r="30" ht="27" customHeight="1">
      <c r="A30" s="65" t="inlineStr">
        <is>
          <t>• 本表是MVP静态基线。玩家源表或怪物公式更新后，需要重新同步隐藏基线，工作簿不会自动外链更新。</t>
        </is>
      </c>
    </row>
    <row r="33" ht="15" customHeight="1">
      <c r="A33" s="22" t="inlineStr">
        <is>
          <t>玩法页签快捷入口</t>
        </is>
      </c>
    </row>
    <row r="34" ht="24" customHeight="1">
      <c r="A34" s="66" t="inlineStr">
        <is>
          <t>主线</t>
        </is>
      </c>
      <c r="B34" s="67" t="inlineStr">
        <is>
          <t>点击进入</t>
        </is>
      </c>
      <c r="C34" s="66" t="inlineStr">
        <is>
          <t>困难主线</t>
        </is>
      </c>
      <c r="D34" s="67" t="inlineStr">
        <is>
          <t>点击进入</t>
        </is>
      </c>
      <c r="E34" s="66" t="inlineStr">
        <is>
          <t>角色经验</t>
        </is>
      </c>
      <c r="F34" s="67" t="inlineStr">
        <is>
          <t>点击进入</t>
        </is>
      </c>
      <c r="G34" s="66" t="inlineStr">
        <is>
          <t>金币</t>
        </is>
      </c>
      <c r="H34" s="67" t="inlineStr">
        <is>
          <t>点击进入</t>
        </is>
      </c>
    </row>
    <row r="35" ht="24" customHeight="1">
      <c r="A35" s="66" t="inlineStr">
        <is>
          <t>收容经验</t>
        </is>
      </c>
      <c r="B35" s="67" t="inlineStr">
        <is>
          <t>点击进入</t>
        </is>
      </c>
      <c r="C35" s="66" t="inlineStr">
        <is>
          <t>旅券</t>
        </is>
      </c>
      <c r="D35" s="67" t="inlineStr">
        <is>
          <t>点击进入</t>
        </is>
      </c>
      <c r="E35" s="66" t="inlineStr">
        <is>
          <t>映射</t>
        </is>
      </c>
      <c r="F35" s="67" t="inlineStr">
        <is>
          <t>点击进入</t>
        </is>
      </c>
      <c r="G35" s="66" t="inlineStr">
        <is>
          <t>爬塔</t>
        </is>
      </c>
      <c r="H35" s="67" t="inlineStr">
        <is>
          <t>点击进入</t>
        </is>
      </c>
    </row>
    <row r="36" ht="24" customHeight="1">
      <c r="A36" s="66" t="inlineStr">
        <is>
          <t>Boss挑战</t>
        </is>
      </c>
      <c r="B36" s="67" t="inlineStr">
        <is>
          <t>点击进入</t>
        </is>
      </c>
      <c r="C36" s="66" t="inlineStr">
        <is>
          <t>肉鸽</t>
        </is>
      </c>
      <c r="D36" s="67" t="inlineStr">
        <is>
          <t>点击进入</t>
        </is>
      </c>
      <c r="E36" s="66" t="inlineStr">
        <is>
          <t>大秘境</t>
        </is>
      </c>
      <c r="F36" s="67" t="inlineStr">
        <is>
          <t>点击进入</t>
        </is>
      </c>
      <c r="G36" s="66" t="inlineStr">
        <is>
          <t>PVPVE</t>
        </is>
      </c>
      <c r="H36" s="67" t="inlineStr">
        <is>
          <t>点击进入</t>
        </is>
      </c>
    </row>
    <row r="39" ht="15" customHeight="1">
      <c r="A39" s="22" t="inlineStr">
        <is>
          <t>修正版V4难度同步口径｜2026-08-10</t>
        </is>
      </c>
    </row>
    <row r="40" ht="28" customHeight="1">
      <c r="A40" s="56" t="inlineStr">
        <is>
          <t>主线</t>
        </is>
      </c>
      <c r="B40" s="57" t="inlineStr">
        <is>
          <t>主线按当前99关顺序逐关对齐玩家曲线S1-S99；V4怪物等级Lv5-Lv236，保留原逐关TTK与Boss生存压力。</t>
        </is>
      </c>
    </row>
    <row r="41" ht="28" customHeight="1">
      <c r="A41" s="56" t="inlineStr">
        <is>
          <t>困难主线</t>
        </is>
      </c>
      <c r="B41" s="57" t="inlineStr">
        <is>
          <t>困难主线在5-15/S69后统一开放；35关连续对照S71-S105，V4使用Lv186-Lv247，仍略高于同期主线。</t>
        </is>
      </c>
    </row>
    <row r="42" ht="28" customHeight="1">
      <c r="A42" s="56" t="inlineStr">
        <is>
          <t>基础资源本</t>
        </is>
      </c>
      <c r="B42" s="57" t="inlineStr">
        <is>
          <t>角色经验、金币、收容经验定位为稳定供给；9档使用Lv27/Lv32/Lv51/Lv67/Lv85/Lv104/Lv126/Lv148/Lv171缓升，首档继续送进度。</t>
        </is>
      </c>
    </row>
    <row r="43" ht="28" customHeight="1">
      <c r="A43" s="56" t="inlineStr">
        <is>
          <t>旅券/映射</t>
        </is>
      </c>
      <c r="B43" s="57" t="inlineStr">
        <is>
          <t>旅券使用Lv169-Lv369；映射使用Lv37-Lv370。两者保留原开放顺序、前段赠送进度与长期定位。</t>
        </is>
      </c>
    </row>
    <row r="44" ht="28" customHeight="1">
      <c r="A44" s="56" t="inlineStr">
        <is>
          <t>爬塔/Boss</t>
        </is>
      </c>
      <c r="B44" s="57" t="inlineStr">
        <is>
          <t>爬塔前20层由Lv37缓升至Lv169、100层Lv370；Boss挑战使用Lv111-Lv361。</t>
        </is>
      </c>
    </row>
    <row r="45" ht="28" customHeight="1">
      <c r="A45" s="56" t="inlineStr">
        <is>
          <t>肉鸽</t>
        </is>
      </c>
      <c r="B45" s="57" t="inlineStr">
        <is>
          <t>肉鸽5档使用Lv140/Lv199/Lv274/Lv330/Lv351，继续为玩法开启与局内成长预留容错。</t>
        </is>
      </c>
    </row>
    <row r="46" ht="28" customHeight="1">
      <c r="A46" s="56" t="inlineStr">
        <is>
          <t>大秘境</t>
        </is>
      </c>
      <c r="B46" s="57" t="inlineStr">
        <is>
          <t>大秘境按Lv37/S95开放口径，25层使用Lv234-Lv370；当前系统关闭状态不变。</t>
        </is>
      </c>
    </row>
    <row r="47" ht="28" customHeight="1">
      <c r="A47" s="56" t="inlineStr">
        <is>
          <t>边界</t>
        </is>
      </c>
      <c r="B47" s="57" t="inlineStr">
        <is>
          <t>本版只同步怪物等级与派生属性，不改波次、技能和玩法系数。养成源表AP46当前为手填2，本表按AO目标EHP重匹配为Lv93，未修改养成源表。</t>
        </is>
      </c>
    </row>
    <row r="49" ht="36" customHeight="1">
      <c r="A49" s="68" t="inlineStr">
        <is>
          <t>推荐战力更新：映射系数在“推荐战力参数”B4修改；爬塔计算过程见“爬塔战力校准”。仅源表，未同步SVN。</t>
        </is>
      </c>
    </row>
  </sheetData>
  <mergeCells count="30">
    <mergeCell ref="B7:I7"/>
    <mergeCell ref="B47:I47"/>
    <mergeCell ref="B16:I16"/>
    <mergeCell ref="A18:I18"/>
    <mergeCell ref="A27:I27"/>
    <mergeCell ref="A3:I3"/>
    <mergeCell ref="B46:I46"/>
    <mergeCell ref="A12:I12"/>
    <mergeCell ref="A26:I26"/>
    <mergeCell ref="B43:I43"/>
    <mergeCell ref="A33:I33"/>
    <mergeCell ref="B42:I42"/>
    <mergeCell ref="B14:I14"/>
    <mergeCell ref="B8:I8"/>
    <mergeCell ref="A29:I29"/>
    <mergeCell ref="B13:I13"/>
    <mergeCell ref="B44:I44"/>
    <mergeCell ref="A28:I28"/>
    <mergeCell ref="B10:I10"/>
    <mergeCell ref="A39:I39"/>
    <mergeCell ref="A30:I30"/>
    <mergeCell ref="B40:I40"/>
    <mergeCell ref="B9:I9"/>
    <mergeCell ref="A49:I49"/>
    <mergeCell ref="B15:I15"/>
    <mergeCell ref="B6:I6"/>
    <mergeCell ref="A1:I1"/>
    <mergeCell ref="B5:I5"/>
    <mergeCell ref="B45:I45"/>
    <mergeCell ref="B41:I41"/>
  </mergeCells>
  <hyperlinks>
    <hyperlink xmlns:r="http://schemas.openxmlformats.org/officeDocument/2006/relationships" ref="A34" display="主线" r:id="rId1"/>
    <hyperlink xmlns:r="http://schemas.openxmlformats.org/officeDocument/2006/relationships" ref="C34" display="困难主线" r:id="rId2"/>
    <hyperlink xmlns:r="http://schemas.openxmlformats.org/officeDocument/2006/relationships" ref="E34" display="角色经验" r:id="rId3"/>
    <hyperlink xmlns:r="http://schemas.openxmlformats.org/officeDocument/2006/relationships" ref="G34" display="金币" r:id="rId4"/>
    <hyperlink xmlns:r="http://schemas.openxmlformats.org/officeDocument/2006/relationships" ref="A35" display="收容经验" r:id="rId5"/>
    <hyperlink xmlns:r="http://schemas.openxmlformats.org/officeDocument/2006/relationships" ref="C35" display="旅券" r:id="rId6"/>
    <hyperlink xmlns:r="http://schemas.openxmlformats.org/officeDocument/2006/relationships" ref="E35" display="映射" r:id="rId7"/>
    <hyperlink xmlns:r="http://schemas.openxmlformats.org/officeDocument/2006/relationships" ref="G35" display="爬塔" r:id="rId8"/>
    <hyperlink xmlns:r="http://schemas.openxmlformats.org/officeDocument/2006/relationships" ref="A36" display="Boss挑战" r:id="rId9"/>
    <hyperlink xmlns:r="http://schemas.openxmlformats.org/officeDocument/2006/relationships" ref="C36" display="肉鸽" r:id="rId10"/>
    <hyperlink xmlns:r="http://schemas.openxmlformats.org/officeDocument/2006/relationships" ref="E36" display="大秘境" r:id="rId11"/>
    <hyperlink xmlns:r="http://schemas.openxmlformats.org/officeDocument/2006/relationships" ref="G36" display="PVPVE" r:id="rId1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selection activeCell="A1" sqref="A1:L1"/>
    </sheetView>
  </sheetViews>
  <sheetFormatPr baseColWidth="8" defaultColWidth="9" defaultRowHeight="13.5"/>
  <cols>
    <col width="15" customWidth="1" min="1" max="1"/>
    <col width="14" customWidth="1" min="2" max="2"/>
    <col width="23" customWidth="1" min="3" max="3"/>
    <col width="10" customWidth="1" min="4" max="4"/>
    <col width="12" customWidth="1" min="5" max="11"/>
    <col width="55" customWidth="1" min="12" max="12"/>
  </cols>
  <sheetData>
    <row r="1" ht="34" customHeight="1">
      <c r="A1" s="23" t="inlineStr">
        <is>
          <t>全玩法难度填写进度</t>
        </is>
      </c>
    </row>
    <row r="2" ht="15" customHeight="1">
      <c r="A2" s="24" t="inlineStr">
        <is>
          <t>每个玩法已拆成独立页签。点击A列玩法名可直接跳转；这里统一检查完成率、等级范围和同玩法内的等级倒退。</t>
        </is>
      </c>
    </row>
    <row r="4" ht="36" customHeight="1">
      <c r="A4" s="26" t="inlineStr">
        <is>
          <t>玩法</t>
        </is>
      </c>
      <c r="B4" s="26" t="inlineStr">
        <is>
          <t>状态</t>
        </is>
      </c>
      <c r="C4" s="26" t="inlineStr">
        <is>
          <t>节点口径</t>
        </is>
      </c>
      <c r="D4" s="26" t="inlineStr">
        <is>
          <t>节点数</t>
        </is>
      </c>
      <c r="E4" s="26" t="inlineStr">
        <is>
          <t>需填等级</t>
        </is>
      </c>
      <c r="F4" s="26" t="inlineStr">
        <is>
          <t>已填有效</t>
        </is>
      </c>
      <c r="G4" s="26" t="inlineStr">
        <is>
          <t>完成率</t>
        </is>
      </c>
      <c r="H4" s="26" t="inlineStr">
        <is>
          <t>最低等级</t>
        </is>
      </c>
      <c r="I4" s="26" t="inlineStr">
        <is>
          <t>最高等级</t>
        </is>
      </c>
      <c r="J4" s="26" t="inlineStr">
        <is>
          <t>等级下降</t>
        </is>
      </c>
      <c r="K4" s="26" t="inlineStr">
        <is>
          <t>超范围</t>
        </is>
      </c>
      <c r="L4" s="26" t="inlineStr">
        <is>
          <t>备注</t>
        </is>
      </c>
    </row>
    <row r="5" ht="30" customHeight="1">
      <c r="A5" s="49" t="inlineStr">
        <is>
          <t>主线</t>
        </is>
      </c>
      <c r="B5" s="50" t="inlineStr">
        <is>
          <t>修正版V4已同步</t>
        </is>
      </c>
      <c r="C5" s="51" t="inlineStr">
        <is>
          <t>99个当前关卡</t>
        </is>
      </c>
      <c r="D5" s="50">
        <f>ROWS(主线!$B$5:$B$103)</f>
        <v/>
      </c>
      <c r="E5" s="50">
        <f>D5</f>
        <v/>
      </c>
      <c r="F5" s="50">
        <f>COUNTIFS(主线!$J$5:$J$103,"&gt;=1",主线!$J$5:$J$103,"&lt;=500")</f>
        <v/>
      </c>
      <c r="G5" s="70">
        <f>IF($E5=0,1,$F5/$E5)</f>
        <v/>
      </c>
      <c r="H5" s="50">
        <f>IF($F5=0,"",_xlfn.MINIFS(主线!$J$5:$J$103,主线!$J$5:$J$103,"&gt;=1",主线!$J$5:$J$103,"&lt;=500"))</f>
        <v/>
      </c>
      <c r="I5" s="50">
        <f>IF($F5=0,"",_xlfn.MAXIFS(主线!$J$5:$J$103,主线!$J$5:$J$103,"&gt;=1",主线!$J$5:$J$103,"&lt;=500"))</f>
        <v/>
      </c>
      <c r="J5" s="50">
        <f>COUNTIF(主线!$AC$5:$AC$103,"下降")</f>
        <v/>
      </c>
      <c r="K5" s="50">
        <f>COUNTIF(主线!$AB$5:$AB$103,"超范围")</f>
        <v/>
      </c>
      <c r="L5" s="51" t="inlineStr">
        <is>
          <t>当前99关轴S1-S99，怪物等级Lv5-Lv236；V4已同步最新玩家曲线</t>
        </is>
      </c>
    </row>
    <row r="6" ht="30" customHeight="1">
      <c r="A6" s="49" t="inlineStr">
        <is>
          <t>困难主线</t>
        </is>
      </c>
      <c r="B6" s="50" t="inlineStr">
        <is>
          <t>修正版V4已同步</t>
        </is>
      </c>
      <c r="C6" s="51" t="inlineStr">
        <is>
          <t>35个LevelNode</t>
        </is>
      </c>
      <c r="D6" s="50">
        <f>ROWS(困难主线!$B$5:$B$39)</f>
        <v/>
      </c>
      <c r="E6" s="50">
        <f>D6</f>
        <v/>
      </c>
      <c r="F6" s="50">
        <f>COUNTIFS(困难主线!$J$5:$J$39,"&gt;=1",困难主线!$J$5:$J$39,"&lt;=500")</f>
        <v/>
      </c>
      <c r="G6" s="70">
        <f>IF($E6=0,1,$F6/$E6)</f>
        <v/>
      </c>
      <c r="H6" s="50">
        <f>IF($F6=0,"",_xlfn.MINIFS(困难主线!$J$5:$J$39,困难主线!$J$5:$J$39,"&gt;=1",困难主线!$J$5:$J$39,"&lt;=500"))</f>
        <v/>
      </c>
      <c r="I6" s="50">
        <f>IF($F6=0,"",_xlfn.MAXIFS(困难主线!$J$5:$J$39,困难主线!$J$5:$J$39,"&gt;=1",困难主线!$J$5:$J$39,"&lt;=500"))</f>
        <v/>
      </c>
      <c r="J6" s="50">
        <f>COUNTIF(困难主线!$AC$5:$AC$39,"下降")</f>
        <v/>
      </c>
      <c r="K6" s="50">
        <f>COUNTIF(困难主线!$AB$5:$AB$39,"超范围")</f>
        <v/>
      </c>
      <c r="L6" s="51" t="inlineStr">
        <is>
          <t>通关5-15/S69后开放；35关对照S71-S105，Lv186-Lv247，略高于同期主线</t>
        </is>
      </c>
    </row>
    <row r="7" ht="30" customHeight="1">
      <c r="A7" s="49" t="inlineStr">
        <is>
          <t>角色经验</t>
        </is>
      </c>
      <c r="B7" s="50" t="inlineStr">
        <is>
          <t>修正版V4已同步</t>
        </is>
      </c>
      <c r="C7" s="51" t="inlineStr">
        <is>
          <t>9档</t>
        </is>
      </c>
      <c r="D7" s="50">
        <f>ROWS(角色经验!$B$5:$B$13)</f>
        <v/>
      </c>
      <c r="E7" s="50">
        <f>D7</f>
        <v/>
      </c>
      <c r="F7" s="50">
        <f>COUNTIFS(角色经验!$J$5:$J$13,"&gt;=1",角色经验!$J$5:$J$13,"&lt;=500")</f>
        <v/>
      </c>
      <c r="G7" s="70">
        <f>IF($E7=0,1,$F7/$E7)</f>
        <v/>
      </c>
      <c r="H7" s="50">
        <f>IF($F7=0,"",_xlfn.MINIFS(角色经验!$J$5:$J$13,角色经验!$J$5:$J$13,"&gt;=1",角色经验!$J$5:$J$13,"&lt;=500"))</f>
        <v/>
      </c>
      <c r="I7" s="50">
        <f>IF($F7=0,"",_xlfn.MAXIFS(角色经验!$J$5:$J$13,角色经验!$J$5:$J$13,"&gt;=1",角色经验!$J$5:$J$13,"&lt;=500"))</f>
        <v/>
      </c>
      <c r="J7" s="50">
        <f>COUNTIF(角色经验!$AC$5:$AC$13,"下降")</f>
        <v/>
      </c>
      <c r="K7" s="50">
        <f>COUNTIF(角色经验!$AB$5:$AB$13,"超范围")</f>
        <v/>
      </c>
      <c r="L7" s="51" t="inlineStr">
        <is>
          <t>2-4后开放；首档送进度，9档Lv27-Lv171缓升，定位稳定刷取</t>
        </is>
      </c>
    </row>
    <row r="8" ht="30" customHeight="1">
      <c r="A8" s="49" t="inlineStr">
        <is>
          <t>金币</t>
        </is>
      </c>
      <c r="B8" s="50" t="inlineStr">
        <is>
          <t>修正版V4已同步</t>
        </is>
      </c>
      <c r="C8" s="51" t="inlineStr">
        <is>
          <t>9档</t>
        </is>
      </c>
      <c r="D8" s="50">
        <f>ROWS(金币!$B$5:$B$13)</f>
        <v/>
      </c>
      <c r="E8" s="50">
        <f>D8</f>
        <v/>
      </c>
      <c r="F8" s="50">
        <f>COUNTIFS(金币!$J$5:$J$13,"&gt;=1",金币!$J$5:$J$13,"&lt;=500")</f>
        <v/>
      </c>
      <c r="G8" s="70">
        <f>IF($E8=0,1,$F8/$E8)</f>
        <v/>
      </c>
      <c r="H8" s="50">
        <f>IF($F8=0,"",_xlfn.MINIFS(金币!$J$5:$J$13,金币!$J$5:$J$13,"&gt;=1",金币!$J$5:$J$13,"&lt;=500"))</f>
        <v/>
      </c>
      <c r="I8" s="50">
        <f>IF($F8=0,"",_xlfn.MAXIFS(金币!$J$5:$J$13,金币!$J$5:$J$13,"&gt;=1",金币!$J$5:$J$13,"&lt;=500"))</f>
        <v/>
      </c>
      <c r="J8" s="50">
        <f>COUNTIF(金币!$AC$5:$AC$13,"下降")</f>
        <v/>
      </c>
      <c r="K8" s="50">
        <f>COUNTIF(金币!$AB$5:$AB$13,"超范围")</f>
        <v/>
      </c>
      <c r="L8" s="51" t="inlineStr">
        <is>
          <t>2-4后开放；首档送进度，9档Lv27-Lv171缓升，定位稳定刷取</t>
        </is>
      </c>
    </row>
    <row r="9" ht="30" customHeight="1">
      <c r="A9" s="49" t="inlineStr">
        <is>
          <t>收容经验</t>
        </is>
      </c>
      <c r="B9" s="50" t="inlineStr">
        <is>
          <t>修正版V4已同步</t>
        </is>
      </c>
      <c r="C9" s="51" t="inlineStr">
        <is>
          <t>9档</t>
        </is>
      </c>
      <c r="D9" s="50">
        <f>ROWS(收容经验!$B$5:$B$13)</f>
        <v/>
      </c>
      <c r="E9" s="50">
        <f>D9</f>
        <v/>
      </c>
      <c r="F9" s="50">
        <f>COUNTIFS(收容经验!$J$5:$J$13,"&gt;=1",收容经验!$J$5:$J$13,"&lt;=500")</f>
        <v/>
      </c>
      <c r="G9" s="70">
        <f>IF($E9=0,1,$F9/$E9)</f>
        <v/>
      </c>
      <c r="H9" s="50">
        <f>IF($F9=0,"",_xlfn.MINIFS(收容经验!$J$5:$J$13,收容经验!$J$5:$J$13,"&gt;=1",收容经验!$J$5:$J$13,"&lt;=500"))</f>
        <v/>
      </c>
      <c r="I9" s="50">
        <f>IF($F9=0,"",_xlfn.MAXIFS(收容经验!$J$5:$J$13,收容经验!$J$5:$J$13,"&gt;=1",收容经验!$J$5:$J$13,"&lt;=500"))</f>
        <v/>
      </c>
      <c r="J9" s="50">
        <f>COUNTIF(收容经验!$AC$5:$AC$13,"下降")</f>
        <v/>
      </c>
      <c r="K9" s="50">
        <f>COUNTIF(收容经验!$AB$5:$AB$13,"超范围")</f>
        <v/>
      </c>
      <c r="L9" s="51" t="inlineStr">
        <is>
          <t>2-4后开放；首档送进度，9档Lv27-Lv171缓升，定位稳定刷取</t>
        </is>
      </c>
    </row>
    <row r="10" ht="30" customHeight="1">
      <c r="A10" s="49" t="inlineStr">
        <is>
          <t>旅券</t>
        </is>
      </c>
      <c r="B10" s="50" t="inlineStr">
        <is>
          <t>修正版V4已同步</t>
        </is>
      </c>
      <c r="C10" s="51" t="inlineStr">
        <is>
          <t>10档×4主题共用</t>
        </is>
      </c>
      <c r="D10" s="50">
        <f>ROWS(旅券!$B$5:$B$14)</f>
        <v/>
      </c>
      <c r="E10" s="50">
        <f>D10</f>
        <v/>
      </c>
      <c r="F10" s="50">
        <f>COUNTIFS(旅券!$J$5:$J$14,"&gt;=1",旅券!$J$5:$J$14,"&lt;=500")</f>
        <v/>
      </c>
      <c r="G10" s="70">
        <f>IF($E10=0,1,$F10/$E10)</f>
        <v/>
      </c>
      <c r="H10" s="50">
        <f>IF($F10=0,"",_xlfn.MINIFS(旅券!$J$5:$J$14,旅券!$J$5:$J$14,"&gt;=1",旅券!$J$5:$J$14,"&lt;=500"))</f>
        <v/>
      </c>
      <c r="I10" s="50">
        <f>IF($F10=0,"",_xlfn.MAXIFS(旅券!$J$5:$J$14,旅券!$J$5:$J$14,"&gt;=1",旅券!$J$5:$J$14,"&lt;=500"))</f>
        <v/>
      </c>
      <c r="J10" s="50">
        <f>COUNTIF(旅券!$AC$5:$AC$14,"下降")</f>
        <v/>
      </c>
      <c r="K10" s="50">
        <f>COUNTIF(旅券!$AB$5:$AB$14,"超范围")</f>
        <v/>
      </c>
      <c r="L10" s="51" t="inlineStr">
        <is>
          <t>Lv38/S100开放；首档Lv169送进度，前3档缓升，10档Lv369</t>
        </is>
      </c>
    </row>
    <row r="11" ht="30" customHeight="1">
      <c r="A11" s="49" t="inlineStr">
        <is>
          <t>映射</t>
        </is>
      </c>
      <c r="B11" s="50" t="inlineStr">
        <is>
          <t>修正版V4已同步</t>
        </is>
      </c>
      <c r="C11" s="51" t="inlineStr">
        <is>
          <t>30档×5类型共用</t>
        </is>
      </c>
      <c r="D11" s="50">
        <f>ROWS(映射!$B$5:$B$34)</f>
        <v/>
      </c>
      <c r="E11" s="50">
        <f>D11</f>
        <v/>
      </c>
      <c r="F11" s="50">
        <f>COUNTIFS(映射!$J$5:$J$34,"&gt;=1",映射!$J$5:$J$34,"&lt;=500")</f>
        <v/>
      </c>
      <c r="G11" s="70">
        <f>IF($E11=0,1,$F11/$E11)</f>
        <v/>
      </c>
      <c r="H11" s="50">
        <f>IF($F11=0,"",_xlfn.MINIFS(映射!$J$5:$J$34,映射!$J$5:$J$34,"&gt;=1",映射!$J$5:$J$34,"&lt;=500"))</f>
        <v/>
      </c>
      <c r="I11" s="50">
        <f>IF($F11=0,"",_xlfn.MAXIFS(映射!$J$5:$J$34,映射!$J$5:$J$34,"&gt;=1",映射!$J$5:$J$34,"&lt;=500"))</f>
        <v/>
      </c>
      <c r="J11" s="50">
        <f>COUNTIF(映射!$AC$5:$AC$34,"下降")</f>
        <v/>
      </c>
      <c r="K11" s="50">
        <f>COUNTIF(映射!$AB$5:$AB$34,"超范围")</f>
        <v/>
      </c>
      <c r="L11" s="51" t="inlineStr">
        <is>
          <t>2-12/S24开放；首档Lv37送进度，前5档缓升，30档Lv370</t>
        </is>
      </c>
    </row>
    <row r="12" ht="30" customHeight="1">
      <c r="A12" s="49" t="inlineStr">
        <is>
          <t>爬塔</t>
        </is>
      </c>
      <c r="B12" s="50" t="inlineStr">
        <is>
          <t>修正版V4已同步</t>
        </is>
      </c>
      <c r="C12" s="51" t="inlineStr">
        <is>
          <t>100层×4赛季包共用</t>
        </is>
      </c>
      <c r="D12" s="50">
        <f>ROWS(爬塔!$B$5:$B$104)</f>
        <v/>
      </c>
      <c r="E12" s="50">
        <f>D12</f>
        <v/>
      </c>
      <c r="F12" s="50">
        <f>COUNTIFS(爬塔!$J$5:$J$104,"&gt;=1",爬塔!$J$5:$J$104,"&lt;=500")</f>
        <v/>
      </c>
      <c r="G12" s="70">
        <f>IF($E12=0,1,$F12/$E12)</f>
        <v/>
      </c>
      <c r="H12" s="50">
        <f>IF($F12=0,"",_xlfn.MINIFS(爬塔!$J$5:$J$104,爬塔!$J$5:$J$104,"&gt;=1",爬塔!$J$5:$J$104,"&lt;=500"))</f>
        <v/>
      </c>
      <c r="I12" s="50">
        <f>IF($F12=0,"",_xlfn.MAXIFS(爬塔!$J$5:$J$104,爬塔!$J$5:$J$104,"&gt;=1",爬塔!$J$5:$J$104,"&lt;=500"))</f>
        <v/>
      </c>
      <c r="J12" s="50">
        <f>COUNTIF(爬塔!$AC$5:$AC$104,"下降")</f>
        <v/>
      </c>
      <c r="K12" s="50">
        <f>COUNTIF(爬塔!$AB$5:$AB$104,"超范围")</f>
        <v/>
      </c>
      <c r="L12" s="51" t="inlineStr">
        <is>
          <t>2-12/S24开放；前20层Lv37-Lv169缓升，100层Lv370</t>
        </is>
      </c>
    </row>
    <row r="13" ht="30" customHeight="1">
      <c r="A13" s="49" t="inlineStr">
        <is>
          <t>Boss挑战</t>
        </is>
      </c>
      <c r="B13" s="50" t="inlineStr">
        <is>
          <t>修正版V4已同步</t>
        </is>
      </c>
      <c r="C13" s="51" t="inlineStr">
        <is>
          <t>10档×7个Boss共用</t>
        </is>
      </c>
      <c r="D13" s="50">
        <f>ROWS(Boss挑战!$B$5:$B$14)</f>
        <v/>
      </c>
      <c r="E13" s="50">
        <f>D13</f>
        <v/>
      </c>
      <c r="F13" s="50">
        <f>COUNTIFS(Boss挑战!$J$5:$J$14,"&gt;=1",Boss挑战!$J$5:$J$14,"&lt;=500")</f>
        <v/>
      </c>
      <c r="G13" s="70">
        <f>IF($E13=0,1,$F13/$E13)</f>
        <v/>
      </c>
      <c r="H13" s="50">
        <f>IF($F13=0,"",_xlfn.MINIFS(Boss挑战!$J$5:$J$14,Boss挑战!$J$5:$J$14,"&gt;=1",Boss挑战!$J$5:$J$14,"&lt;=500"))</f>
        <v/>
      </c>
      <c r="I13" s="50">
        <f>IF($F13=0,"",_xlfn.MAXIFS(Boss挑战!$J$5:$J$14,Boss挑战!$J$5:$J$14,"&gt;=1",Boss挑战!$J$5:$J$14,"&lt;=500"))</f>
        <v/>
      </c>
      <c r="J13" s="50">
        <f>COUNTIF(Boss挑战!$AC$5:$AC$14,"下降")</f>
        <v/>
      </c>
      <c r="K13" s="50">
        <f>COUNTIF(Boss挑战!$AB$5:$AB$14,"超范围")</f>
        <v/>
      </c>
      <c r="L13" s="51" t="inlineStr">
        <is>
          <t>4-15/S54开放；首档Lv111送进度，前5档缓升，10档Lv361</t>
        </is>
      </c>
    </row>
    <row r="14" ht="30" customHeight="1">
      <c r="A14" s="49" t="inlineStr">
        <is>
          <t>肉鸽</t>
        </is>
      </c>
      <c r="B14" s="50" t="inlineStr">
        <is>
          <t>修正版V4已同步</t>
        </is>
      </c>
      <c r="C14" s="51" t="inlineStr">
        <is>
          <t>5档</t>
        </is>
      </c>
      <c r="D14" s="50">
        <f>ROWS(肉鸽!$B$5:$B$9)</f>
        <v/>
      </c>
      <c r="E14" s="50">
        <f>D14</f>
        <v/>
      </c>
      <c r="F14" s="50">
        <f>COUNTIFS(肉鸽!$J$5:$J$9,"&gt;=1",肉鸽!$J$5:$J$9,"&lt;=500")</f>
        <v/>
      </c>
      <c r="G14" s="70">
        <f>IF($E14=0,1,$F14/$E14)</f>
        <v/>
      </c>
      <c r="H14" s="50">
        <f>IF($F14=0,"",_xlfn.MINIFS(肉鸽!$J$5:$J$9,肉鸽!$J$5:$J$9,"&gt;=1",肉鸽!$J$5:$J$9,"&lt;=500"))</f>
        <v/>
      </c>
      <c r="I14" s="50">
        <f>IF($F14=0,"",_xlfn.MAXIFS(肉鸽!$J$5:$J$9,肉鸽!$J$5:$J$9,"&gt;=1",肉鸽!$J$5:$J$9,"&lt;=500"))</f>
        <v/>
      </c>
      <c r="J14" s="50">
        <f>COUNTIF(肉鸽!$AC$5:$AC$9,"下降")</f>
        <v/>
      </c>
      <c r="K14" s="50">
        <f>COUNTIF(肉鸽!$AB$5:$AB$9,"超范围")</f>
        <v/>
      </c>
      <c r="L14" s="51" t="inlineStr">
        <is>
          <t>Lv35/S85开放；5档Lv140/Lv199/Lv274/Lv330/Lv351，保留局内成长空间</t>
        </is>
      </c>
    </row>
    <row r="15" ht="30" customHeight="1">
      <c r="A15" s="49" t="inlineStr">
        <is>
          <t>大秘境</t>
        </is>
      </c>
      <c r="B15" s="50" t="inlineStr">
        <is>
          <t>当前关闭｜修正版V4已同步</t>
        </is>
      </c>
      <c r="C15" s="51" t="inlineStr">
        <is>
          <t>25层×4环境共用</t>
        </is>
      </c>
      <c r="D15" s="50">
        <f>ROWS(大秘境!$B$5:$B$29)</f>
        <v/>
      </c>
      <c r="E15" s="50">
        <f>D15</f>
        <v/>
      </c>
      <c r="F15" s="50">
        <f>COUNTIFS(大秘境!$J$5:$J$29,"&gt;=1",大秘境!$J$5:$J$29,"&lt;=500")</f>
        <v/>
      </c>
      <c r="G15" s="70">
        <f>IF($E15=0,1,$F15/$E15)</f>
        <v/>
      </c>
      <c r="H15" s="50">
        <f>IF($F15=0,"",_xlfn.MINIFS(大秘境!$J$5:$J$29,大秘境!$J$5:$J$29,"&gt;=1",大秘境!$J$5:$J$29,"&lt;=500"))</f>
        <v/>
      </c>
      <c r="I15" s="50">
        <f>IF($F15=0,"",_xlfn.MAXIFS(大秘境!$J$5:$J$29,大秘境!$J$5:$J$29,"&gt;=1",大秘境!$J$5:$J$29,"&lt;=500"))</f>
        <v/>
      </c>
      <c r="J15" s="50">
        <f>COUNTIF(大秘境!$AC$5:$AC$29,"下降")</f>
        <v/>
      </c>
      <c r="K15" s="50">
        <f>COUNTIF(大秘境!$AB$5:$AB$29,"超范围")</f>
        <v/>
      </c>
      <c r="L15" s="51" t="inlineStr">
        <is>
          <t>Lv37/S95开放；25层Lv234-Lv370，关闭状态不变</t>
        </is>
      </c>
    </row>
    <row r="16" ht="30" customHeight="1">
      <c r="A16" s="49" t="inlineStr">
        <is>
          <t>PVPVE</t>
        </is>
      </c>
      <c r="B16" s="50" t="inlineStr">
        <is>
          <t>特殊口径</t>
        </is>
      </c>
      <c r="C16" s="51" t="inlineStr">
        <is>
          <t>2个入口</t>
        </is>
      </c>
      <c r="D16" s="50">
        <f>ROWS(PVPVE!$B$5:$B$6)</f>
        <v/>
      </c>
      <c r="E16" s="50">
        <f>0</f>
        <v/>
      </c>
      <c r="F16" s="50">
        <f>COUNTIFS(PVPVE!$J$5:$J$6,"&gt;=1",PVPVE!$J$5:$J$6,"&lt;=500")</f>
        <v/>
      </c>
      <c r="G16" s="70">
        <f>IF($E16=0,1,$F16/$E16)</f>
        <v/>
      </c>
      <c r="H16" s="50">
        <f>IF($F16=0,"",_xlfn.MINIFS(PVPVE!$J$5:$J$6,PVPVE!$J$5:$J$6,"&gt;=1",PVPVE!$J$5:$J$6,"&lt;=500"))</f>
        <v/>
      </c>
      <c r="I16" s="50">
        <f>IF($F16=0,"",_xlfn.MAXIFS(PVPVE!$J$5:$J$6,PVPVE!$J$5:$J$6,"&gt;=1",PVPVE!$J$5:$J$6,"&lt;=500"))</f>
        <v/>
      </c>
      <c r="J16" s="50">
        <f>COUNTIF(PVPVE!$AC$5:$AC$6,"下降")</f>
        <v/>
      </c>
      <c r="K16" s="50">
        <f>COUNTIF(PVPVE!$AB$5:$AB$6,"超范围")</f>
        <v/>
      </c>
      <c r="L16" s="51" t="inlineStr">
        <is>
          <t>双方属性对算，不使用怪物等级</t>
        </is>
      </c>
    </row>
    <row r="17" ht="15" customHeight="1">
      <c r="A17" s="53" t="inlineStr">
        <is>
          <t>合计</t>
        </is>
      </c>
      <c r="B17" s="53" t="n"/>
      <c r="C17" s="53" t="n"/>
      <c r="D17" s="53">
        <f>SUM(D5:D16)</f>
        <v/>
      </c>
      <c r="E17" s="53">
        <f>SUM(E5:E16)</f>
        <v/>
      </c>
      <c r="F17" s="53">
        <f>SUM(F5:F16)</f>
        <v/>
      </c>
      <c r="G17" s="71">
        <f>IF(E17=0,1,F17/E17)</f>
        <v/>
      </c>
      <c r="H17" s="53" t="n"/>
      <c r="I17" s="53" t="n"/>
      <c r="J17" s="53">
        <f>SUM(J5:J16)</f>
        <v/>
      </c>
      <c r="K17" s="53">
        <f>SUM(K5:K16)</f>
        <v/>
      </c>
      <c r="L17" s="53" t="n"/>
    </row>
    <row r="19" ht="32" customHeight="1">
      <c r="A19" t="inlineStr">
        <is>
          <t>本轮新增</t>
        </is>
      </c>
      <c r="B19" t="inlineStr">
        <is>
          <t>舱室材料 / 无限之旅 / 其他战斗玩法，详见对应页及本轮统一对比</t>
        </is>
      </c>
    </row>
  </sheetData>
  <mergeCells count="3">
    <mergeCell ref="B19:L19"/>
    <mergeCell ref="A2:L2"/>
    <mergeCell ref="A1:L1"/>
  </mergeCells>
  <conditionalFormatting sqref="G5:G16">
    <cfRule type="expression" priority="1" dxfId="0">
      <formula>$G5=1</formula>
    </cfRule>
  </conditionalFormatting>
  <conditionalFormatting sqref="J5:K16">
    <cfRule type="expression" priority="2" dxfId="1">
      <formula>J5&gt;0</formula>
    </cfRule>
  </conditionalFormatting>
  <hyperlinks>
    <hyperlink xmlns:r="http://schemas.openxmlformats.org/officeDocument/2006/relationships" ref="A5" display="主线" r:id="rId1"/>
    <hyperlink xmlns:r="http://schemas.openxmlformats.org/officeDocument/2006/relationships" ref="A6" display="困难主线" r:id="rId2"/>
    <hyperlink xmlns:r="http://schemas.openxmlformats.org/officeDocument/2006/relationships" ref="A7" display="角色经验" r:id="rId3"/>
    <hyperlink xmlns:r="http://schemas.openxmlformats.org/officeDocument/2006/relationships" ref="A8" display="金币" r:id="rId4"/>
    <hyperlink xmlns:r="http://schemas.openxmlformats.org/officeDocument/2006/relationships" ref="A9" display="收容经验" r:id="rId5"/>
    <hyperlink xmlns:r="http://schemas.openxmlformats.org/officeDocument/2006/relationships" ref="A10" display="旅券" r:id="rId6"/>
    <hyperlink xmlns:r="http://schemas.openxmlformats.org/officeDocument/2006/relationships" ref="A11" display="映射" r:id="rId7"/>
    <hyperlink xmlns:r="http://schemas.openxmlformats.org/officeDocument/2006/relationships" ref="A12" display="爬塔" r:id="rId8"/>
    <hyperlink xmlns:r="http://schemas.openxmlformats.org/officeDocument/2006/relationships" ref="A13" display="Boss挑战" r:id="rId9"/>
    <hyperlink xmlns:r="http://schemas.openxmlformats.org/officeDocument/2006/relationships" ref="A14" display="肉鸽" r:id="rId10"/>
    <hyperlink xmlns:r="http://schemas.openxmlformats.org/officeDocument/2006/relationships" ref="A15" display="大秘境" r:id="rId11"/>
    <hyperlink xmlns:r="http://schemas.openxmlformats.org/officeDocument/2006/relationships" ref="A16" display="PVPVE" r:id="rId12"/>
  </hyperlinks>
  <pageMargins left="0.7" right="0.7" top="0.75" bottom="0.75" header="0.3" footer="0.3"/>
  <tableParts count="1">
    <tablePart xmlns:r="http://schemas.openxmlformats.org/officeDocument/2006/relationships" r:id="rId13"/>
  </tableParts>
</worksheet>
</file>

<file path=xl/worksheets/sheet3.xml><?xml version="1.0" encoding="utf-8"?>
<worksheet xmlns="http://schemas.openxmlformats.org/spreadsheetml/2006/main">
  <sheetPr>
    <tabColor rgb="FF4472C4"/>
    <outlinePr summaryBelow="1" summaryRight="1"/>
    <pageSetUpPr/>
  </sheetPr>
  <dimension ref="A1:AF103"/>
  <sheetViews>
    <sheetView showGridLines="0" workbookViewId="0">
      <selection activeCell="A1" sqref="A1:AD1"/>
    </sheetView>
  </sheetViews>
  <sheetFormatPr baseColWidth="8" defaultColWidth="9" defaultRowHeight="13.5"/>
  <cols>
    <col width="12" customWidth="1" min="1" max="1"/>
    <col width="13" customWidth="1" min="2" max="2"/>
    <col width="18" customWidth="1" min="3" max="3"/>
    <col width="15" customWidth="1" min="4" max="4"/>
    <col width="35" customWidth="1" min="5" max="5"/>
    <col width="14" customWidth="1" min="6" max="9"/>
    <col width="12" customWidth="1" min="10" max="10"/>
    <col width="11" customWidth="1" min="11" max="13"/>
    <col width="13" customWidth="1" min="14" max="15"/>
    <col width="12" customWidth="1" min="16" max="16"/>
    <col width="16" customWidth="1" min="17" max="21"/>
    <col width="12" customWidth="1" min="22" max="22"/>
    <col width="17" customWidth="1" min="23" max="23"/>
    <col width="14" customWidth="1" min="24" max="25"/>
    <col width="12" customWidth="1" min="26" max="26"/>
    <col width="15" customWidth="1" min="27" max="27"/>
    <col width="12" customWidth="1" min="28" max="29"/>
    <col width="46" customWidth="1" min="30" max="30"/>
    <col width="22" customWidth="1" min="31" max="32"/>
  </cols>
  <sheetData>
    <row r="1" ht="34" customHeight="1">
      <c r="A1" s="23" t="inlineStr">
        <is>
          <t>全玩法难度填写｜主线</t>
        </is>
      </c>
    </row>
    <row r="2" ht="30" customHeight="1">
      <c r="A2" s="24" t="inlineStr">
        <is>
          <t>当前页已按开启顺序和玩法定位填入首版怪物等级。黄色J列可直接覆盖；G列是本版使用的玩家曲线对照节点。</t>
        </is>
      </c>
    </row>
    <row r="3" ht="14.25" customHeight="1">
      <c r="A3" s="25" t="inlineStr">
        <is>
          <t>公式口径：怪物实际属性=战斗公式标准模型×可选系数；怪物EHP=实际生命÷(1-防御减伤)×整关EHP倍率；TTK=怪物EHP÷玩家DPS。</t>
        </is>
      </c>
    </row>
    <row r="4" ht="30" customHeight="1">
      <c r="A4" s="26" t="inlineStr">
        <is>
          <t>状态</t>
        </is>
      </c>
      <c r="B4" s="26" t="inlineStr">
        <is>
          <t>玩法</t>
        </is>
      </c>
      <c r="C4" s="26" t="inlineStr">
        <is>
          <t>子玩法/共用范围</t>
        </is>
      </c>
      <c r="D4" s="26" t="inlineStr">
        <is>
          <t>节点名称</t>
        </is>
      </c>
      <c r="E4" s="26" t="inlineStr">
        <is>
          <t>LevelId/配置映射</t>
        </is>
      </c>
      <c r="F4" s="26" t="inlineStr">
        <is>
          <t>怪物类型</t>
        </is>
      </c>
      <c r="G4" s="26" t="inlineStr">
        <is>
          <t>默认对照关卡</t>
        </is>
      </c>
      <c r="H4" s="26" t="inlineStr">
        <is>
          <t>手动对照关卡</t>
        </is>
      </c>
      <c r="I4" s="26" t="inlineStr">
        <is>
          <t>实际对照关卡</t>
        </is>
      </c>
      <c r="J4" s="26" t="inlineStr">
        <is>
          <t>怪物等级</t>
        </is>
      </c>
      <c r="K4" s="26" t="inlineStr">
        <is>
          <t>生命系数</t>
        </is>
      </c>
      <c r="L4" s="26" t="inlineStr">
        <is>
          <t>攻击系数</t>
        </is>
      </c>
      <c r="M4" s="26" t="inlineStr">
        <is>
          <t>防御系数</t>
        </is>
      </c>
      <c r="N4" s="26" t="inlineStr">
        <is>
          <t>整关EHP倍率</t>
        </is>
      </c>
      <c r="O4" s="26" t="inlineStr">
        <is>
          <t>攻击压力倍率</t>
        </is>
      </c>
      <c r="P4" s="26" t="inlineStr">
        <is>
          <t>目标时间(s)</t>
        </is>
      </c>
      <c r="Q4" s="26" t="inlineStr">
        <is>
          <t>玩家DPS</t>
        </is>
      </c>
      <c r="R4" s="26" t="inlineStr">
        <is>
          <t>玩家队伍EHP</t>
        </is>
      </c>
      <c r="S4" s="26" t="inlineStr">
        <is>
          <t>怪物实际生命</t>
        </is>
      </c>
      <c r="T4" s="26" t="inlineStr">
        <is>
          <t>怪物实际攻击</t>
        </is>
      </c>
      <c r="U4" s="26" t="inlineStr">
        <is>
          <t>怪物实际防御</t>
        </is>
      </c>
      <c r="V4" s="26" t="inlineStr">
        <is>
          <t>怪物减伤率</t>
        </is>
      </c>
      <c r="W4" s="26" t="inlineStr">
        <is>
          <t>整关目标EHP</t>
        </is>
      </c>
      <c r="X4" s="26" t="inlineStr">
        <is>
          <t>预测TTK(s)</t>
        </is>
      </c>
      <c r="Y4" s="26" t="inlineStr">
        <is>
          <t>预测存活(s)</t>
        </is>
      </c>
      <c r="Z4" s="26" t="inlineStr">
        <is>
          <t>TTK/目标</t>
        </is>
      </c>
      <c r="AA4" s="26" t="inlineStr">
        <is>
          <t>难度判断</t>
        </is>
      </c>
      <c r="AB4" s="26" t="inlineStr">
        <is>
          <t>等级检查</t>
        </is>
      </c>
      <c r="AC4" s="26" t="inlineStr">
        <is>
          <t>等级趋势</t>
        </is>
      </c>
      <c r="AD4" s="26" t="inlineStr">
        <is>
          <t>备注</t>
        </is>
      </c>
      <c r="AE4" s="8" t="inlineStr">
        <is>
          <t>玩法推荐战力</t>
        </is>
      </c>
      <c r="AF4" s="8" t="inlineStr">
        <is>
          <t>标准等级战力</t>
        </is>
      </c>
    </row>
    <row r="5" ht="25" customHeight="1">
      <c r="A5" s="27" t="inlineStr">
        <is>
          <t>当前配置</t>
        </is>
      </c>
      <c r="B5" s="27" t="inlineStr">
        <is>
          <t>主线</t>
        </is>
      </c>
      <c r="C5" s="28" t="inlineStr">
        <is>
          <t>序章</t>
        </is>
      </c>
      <c r="D5" s="28" t="inlineStr">
        <is>
          <t>0-1</t>
        </is>
      </c>
      <c r="E5" s="28" t="inlineStr">
        <is>
          <t>100001</t>
        </is>
      </c>
      <c r="F5" s="27" t="inlineStr">
        <is>
          <t>普通怪</t>
        </is>
      </c>
      <c r="G5" s="37" t="n">
        <v>1</v>
      </c>
      <c r="H5" s="38" t="n"/>
      <c r="I5" s="39">
        <f>IF($H5="",$G5,$H5)</f>
        <v/>
      </c>
      <c r="J5" s="40" t="n">
        <v>5</v>
      </c>
      <c r="K5" s="72" t="n">
        <v>0.958483754512635</v>
      </c>
      <c r="L5" s="72" t="n">
        <v>0.7333333333333329</v>
      </c>
      <c r="M5" s="72" t="n">
        <v>0.956989247311828</v>
      </c>
      <c r="N5" s="73" t="n"/>
      <c r="O5" s="73" t="n"/>
      <c r="P5" s="73" t="n"/>
      <c r="Q5" s="74">
        <f>IF($I5="","",IFERROR(INDEX(_玩家曲线!$H$2:$H$286,MATCH($I5,_玩家曲线!$A$2:$A$286,0)),""))</f>
        <v/>
      </c>
      <c r="R5" s="74">
        <f>IF($I5="","",IFERROR(INDEX(_玩家曲线!$I$2:$I$286,MATCH($I5,_玩家曲线!$A$2:$A$286,0)),""))</f>
        <v/>
      </c>
      <c r="S5" s="74">
        <f>IF(OR($J5="",$F5="不适用"),"",IFERROR(INDEX(_怪物模型!$D$2:$D$4501,(INT($J5)-1)*ROWS(_怪物类型!$A$2:$A$10)+MATCH($F5,_怪物类型!$A$2:$A$10,0))*IF($K5="",1,$K5),""))</f>
        <v/>
      </c>
      <c r="T5" s="74">
        <f>IF(OR($J5="",$F5="不适用"),"",IFERROR(INDEX(_怪物模型!$E$2:$E$4501,(INT($J5)-1)*ROWS(_怪物类型!$A$2:$A$10)+MATCH($F5,_怪物类型!$A$2:$A$10,0))*IF($L5="",1,$L5),""))</f>
        <v/>
      </c>
      <c r="U5" s="74">
        <f>IF(OR($J5="",$F5="不适用"),"",IFERROR(INDEX(_怪物模型!$F$2:$F$4501,(INT($J5)-1)*ROWS(_怪物类型!$A$2:$A$10)+MATCH($F5,_怪物类型!$A$2:$A$10,0))*IF($M5="",1,$M5),""))</f>
        <v/>
      </c>
      <c r="V5" s="75">
        <f>IF($U5="","",MIN(0.75,$U5/($U5+24000)))</f>
        <v/>
      </c>
      <c r="W5" s="76">
        <f>IF($S5="","",$S5/(1-$V5)*IF($N5="",1,$N5))</f>
        <v/>
      </c>
      <c r="X5" s="76">
        <f>IF(OR($W5="",$Q5="",$Q5=0),"",$W5/$Q5)</f>
        <v/>
      </c>
      <c r="Y5" s="76">
        <f>IF(OR($R5="",$T5="",$T5=0),"",$R5/($T5*IF($O5="",1,$O5)))</f>
        <v/>
      </c>
      <c r="Z5" s="77">
        <f>IF(OR($X5="",$P5="",$P5=0),"",$X5/$P5)</f>
        <v/>
      </c>
      <c r="AA5" s="27">
        <f>IF($J5="","待填怪物等级",IF(OR($I5="",$Q5=""),"待填对照关卡",IF($P5="","已计算",IF(AND($Y5&lt;&gt;"",$Y5&lt;$X5),"生存不成立",IF($Z5&lt;0.5,"碾压",IF($Z5&lt;0.8,"偏简单",IF($Z5&lt;=1.2,"适中",IF($Z5&lt;=1.5,"偏难","过难"))))))))</f>
        <v/>
      </c>
      <c r="AB5" s="27">
        <f>IF($J5="","待填",IF(AND(ISNUMBER($J5),$J5&gt;=1,$J5&lt;=500,MOD($J5,1)=0),"有效","超范围"))</f>
        <v/>
      </c>
      <c r="AC5" s="27">
        <f>IF(OR($J5="",ROW()=5,$B5&lt;&gt;$B4,$J4=""),"",IF($J5&lt;$J4,"下降",""))</f>
        <v/>
      </c>
      <c r="AD5" s="28" t="inlineStr">
        <is>
          <t>2026-08-27 新玩家节点曲线校准；对照S1；等级5→5；保留原难度定位。  2026-08-31 推荐战力：本章Boss反查锚点p1-&gt;p2线性递增（60s击杀/扛20s）；</t>
        </is>
      </c>
      <c r="AE5" t="n">
        <v>2280</v>
      </c>
      <c r="AF5">
        <f>INDEX(_统一战力!$B$2:$B$501,J5)</f>
        <v/>
      </c>
    </row>
    <row r="6" ht="25" customHeight="1">
      <c r="A6" s="27" t="inlineStr">
        <is>
          <t>当前配置</t>
        </is>
      </c>
      <c r="B6" s="27" t="inlineStr">
        <is>
          <t>主线</t>
        </is>
      </c>
      <c r="C6" s="28" t="inlineStr">
        <is>
          <t>序章</t>
        </is>
      </c>
      <c r="D6" s="28" t="inlineStr">
        <is>
          <t>0-2</t>
        </is>
      </c>
      <c r="E6" s="28" t="inlineStr">
        <is>
          <t>100002</t>
        </is>
      </c>
      <c r="F6" s="27" t="inlineStr">
        <is>
          <t>普通怪</t>
        </is>
      </c>
      <c r="G6" s="37" t="n">
        <v>2</v>
      </c>
      <c r="H6" s="38" t="n"/>
      <c r="I6" s="39">
        <f>IF($H6="",$G6,$H6)</f>
        <v/>
      </c>
      <c r="J6" s="40" t="n">
        <v>6</v>
      </c>
      <c r="K6" s="72" t="n">
        <v>0.9589442815249269</v>
      </c>
      <c r="L6" s="72" t="n">
        <v>0.738007380073801</v>
      </c>
      <c r="M6" s="72" t="n">
        <v>0.957494407158837</v>
      </c>
      <c r="N6" s="73" t="n"/>
      <c r="O6" s="73" t="n"/>
      <c r="P6" s="73" t="n"/>
      <c r="Q6" s="74">
        <f>IF($I6="","",IFERROR(INDEX(_玩家曲线!$H$2:$H$286,MATCH($I6,_玩家曲线!$A$2:$A$286,0)),""))</f>
        <v/>
      </c>
      <c r="R6" s="74">
        <f>IF($I6="","",IFERROR(INDEX(_玩家曲线!$I$2:$I$286,MATCH($I6,_玩家曲线!$A$2:$A$286,0)),""))</f>
        <v/>
      </c>
      <c r="S6" s="74">
        <f>IF(OR($J6="",$F6="不适用"),"",IFERROR(INDEX(_怪物模型!$D$2:$D$4501,(INT($J6)-1)*ROWS(_怪物类型!$A$2:$A$10)+MATCH($F6,_怪物类型!$A$2:$A$10,0))*IF($K6="",1,$K6),""))</f>
        <v/>
      </c>
      <c r="T6" s="74">
        <f>IF(OR($J6="",$F6="不适用"),"",IFERROR(INDEX(_怪物模型!$E$2:$E$4501,(INT($J6)-1)*ROWS(_怪物类型!$A$2:$A$10)+MATCH($F6,_怪物类型!$A$2:$A$10,0))*IF($L6="",1,$L6),""))</f>
        <v/>
      </c>
      <c r="U6" s="74">
        <f>IF(OR($J6="",$F6="不适用"),"",IFERROR(INDEX(_怪物模型!$F$2:$F$4501,(INT($J6)-1)*ROWS(_怪物类型!$A$2:$A$10)+MATCH($F6,_怪物类型!$A$2:$A$10,0))*IF($M6="",1,$M6),""))</f>
        <v/>
      </c>
      <c r="V6" s="75">
        <f>IF($U6="","",MIN(0.75,$U6/($U6+24000)))</f>
        <v/>
      </c>
      <c r="W6" s="76">
        <f>IF($S6="","",$S6/(1-$V6)*IF($N6="",1,$N6))</f>
        <v/>
      </c>
      <c r="X6" s="76">
        <f>IF(OR($W6="",$Q6="",$Q6=0),"",$W6/$Q6)</f>
        <v/>
      </c>
      <c r="Y6" s="76">
        <f>IF(OR($R6="",$T6="",$T6=0),"",$R6/($T6*IF($O6="",1,$O6)))</f>
        <v/>
      </c>
      <c r="Z6" s="77">
        <f>IF(OR($X6="",$P6="",$P6=0),"",$X6/$P6)</f>
        <v/>
      </c>
      <c r="AA6" s="27">
        <f>IF($J6="","待填怪物等级",IF(OR($I6="",$Q6=""),"待填对照关卡",IF($P6="","已计算",IF(AND($Y6&lt;&gt;"",$Y6&lt;$X6),"生存不成立",IF($Z6&lt;0.5,"碾压",IF($Z6&lt;0.8,"偏简单",IF($Z6&lt;=1.2,"适中",IF($Z6&lt;=1.5,"偏难","过难"))))))))</f>
        <v/>
      </c>
      <c r="AB6" s="27">
        <f>IF($J6="","待填",IF(AND(ISNUMBER($J6),$J6&gt;=1,$J6&lt;=500,MOD($J6,1)=0),"有效","超范围"))</f>
        <v/>
      </c>
      <c r="AC6" s="27">
        <f>IF(OR($J6="",ROW()=5,$B6&lt;&gt;$B5,$J5=""),"",IF($J6&lt;$J5,"下降",""))</f>
        <v/>
      </c>
      <c r="AD6" s="28" t="inlineStr">
        <is>
          <t>2026-08-27 新玩家节点曲线校准；对照S2；等级6→6；保留原难度定位。  2026-08-31 推荐战力：本章Boss反查锚点p1-&gt;p2线性递增（60s击杀/扛20s）；</t>
        </is>
      </c>
      <c r="AE6" t="n">
        <v>2320</v>
      </c>
      <c r="AF6">
        <f>INDEX(_统一战力!$B$2:$B$501,J6)</f>
        <v/>
      </c>
    </row>
    <row r="7" ht="25" customHeight="1">
      <c r="A7" s="27" t="inlineStr">
        <is>
          <t>当前配置</t>
        </is>
      </c>
      <c r="B7" s="27" t="inlineStr">
        <is>
          <t>主线</t>
        </is>
      </c>
      <c r="C7" s="28" t="inlineStr">
        <is>
          <t>序章</t>
        </is>
      </c>
      <c r="D7" s="28" t="inlineStr">
        <is>
          <t>0-3</t>
        </is>
      </c>
      <c r="E7" s="28" t="inlineStr">
        <is>
          <t>100003</t>
        </is>
      </c>
      <c r="F7" s="27" t="inlineStr">
        <is>
          <t>普通怪</t>
        </is>
      </c>
      <c r="G7" s="37" t="n">
        <v>3</v>
      </c>
      <c r="H7" s="38" t="n"/>
      <c r="I7" s="39">
        <f>IF($H7="",$G7,$H7)</f>
        <v/>
      </c>
      <c r="J7" s="40" t="n">
        <v>8</v>
      </c>
      <c r="K7" s="72" t="n">
        <v>0.959076600209864</v>
      </c>
      <c r="L7" s="72" t="n">
        <v>0.745205479452055</v>
      </c>
      <c r="M7" s="72" t="n">
        <v>0.956521739130435</v>
      </c>
      <c r="N7" s="73" t="n"/>
      <c r="O7" s="73" t="n"/>
      <c r="P7" s="73" t="n"/>
      <c r="Q7" s="74">
        <f>IF($I7="","",IFERROR(INDEX(_玩家曲线!$H$2:$H$286,MATCH($I7,_玩家曲线!$A$2:$A$286,0)),""))</f>
        <v/>
      </c>
      <c r="R7" s="74">
        <f>IF($I7="","",IFERROR(INDEX(_玩家曲线!$I$2:$I$286,MATCH($I7,_玩家曲线!$A$2:$A$286,0)),""))</f>
        <v/>
      </c>
      <c r="S7" s="74">
        <f>IF(OR($J7="",$F7="不适用"),"",IFERROR(INDEX(_怪物模型!$D$2:$D$4501,(INT($J7)-1)*ROWS(_怪物类型!$A$2:$A$10)+MATCH($F7,_怪物类型!$A$2:$A$10,0))*IF($K7="",1,$K7),""))</f>
        <v/>
      </c>
      <c r="T7" s="74">
        <f>IF(OR($J7="",$F7="不适用"),"",IFERROR(INDEX(_怪物模型!$E$2:$E$4501,(INT($J7)-1)*ROWS(_怪物类型!$A$2:$A$10)+MATCH($F7,_怪物类型!$A$2:$A$10,0))*IF($L7="",1,$L7),""))</f>
        <v/>
      </c>
      <c r="U7" s="74">
        <f>IF(OR($J7="",$F7="不适用"),"",IFERROR(INDEX(_怪物模型!$F$2:$F$4501,(INT($J7)-1)*ROWS(_怪物类型!$A$2:$A$10)+MATCH($F7,_怪物类型!$A$2:$A$10,0))*IF($M7="",1,$M7),""))</f>
        <v/>
      </c>
      <c r="V7" s="75">
        <f>IF($U7="","",MIN(0.75,$U7/($U7+24000)))</f>
        <v/>
      </c>
      <c r="W7" s="76">
        <f>IF($S7="","",$S7/(1-$V7)*IF($N7="",1,$N7))</f>
        <v/>
      </c>
      <c r="X7" s="76">
        <f>IF(OR($W7="",$Q7="",$Q7=0),"",$W7/$Q7)</f>
        <v/>
      </c>
      <c r="Y7" s="76">
        <f>IF(OR($R7="",$T7="",$T7=0),"",$R7/($T7*IF($O7="",1,$O7)))</f>
        <v/>
      </c>
      <c r="Z7" s="77">
        <f>IF(OR($X7="",$P7="",$P7=0),"",$X7/$P7)</f>
        <v/>
      </c>
      <c r="AA7" s="27">
        <f>IF($J7="","待填怪物等级",IF(OR($I7="",$Q7=""),"待填对照关卡",IF($P7="","已计算",IF(AND($Y7&lt;&gt;"",$Y7&lt;$X7),"生存不成立",IF($Z7&lt;0.5,"碾压",IF($Z7&lt;0.8,"偏简单",IF($Z7&lt;=1.2,"适中",IF($Z7&lt;=1.5,"偏难","过难"))))))))</f>
        <v/>
      </c>
      <c r="AB7" s="27">
        <f>IF($J7="","待填",IF(AND(ISNUMBER($J7),$J7&gt;=1,$J7&lt;=500,MOD($J7,1)=0),"有效","超范围"))</f>
        <v/>
      </c>
      <c r="AC7" s="27">
        <f>IF(OR($J7="",ROW()=5,$B7&lt;&gt;$B6,$J6=""),"",IF($J7&lt;$J6,"下降",""))</f>
        <v/>
      </c>
      <c r="AD7" s="28" t="inlineStr">
        <is>
          <t>2026-08-27 新玩家节点曲线校准；对照S3；等级8→8；保留原难度定位。  2026-08-31 推荐战力：本章Boss反查锚点p1-&gt;p2线性递增（60s击杀/扛20s）；</t>
        </is>
      </c>
      <c r="AE7" t="n">
        <v>2350</v>
      </c>
      <c r="AF7">
        <f>INDEX(_统一战力!$B$2:$B$501,J7)</f>
        <v/>
      </c>
    </row>
    <row r="8" ht="25" customHeight="1">
      <c r="A8" s="27" t="inlineStr">
        <is>
          <t>当前配置</t>
        </is>
      </c>
      <c r="B8" s="27" t="inlineStr">
        <is>
          <t>主线</t>
        </is>
      </c>
      <c r="C8" s="28" t="inlineStr">
        <is>
          <t>序章</t>
        </is>
      </c>
      <c r="D8" s="28" t="inlineStr">
        <is>
          <t>0-4</t>
        </is>
      </c>
      <c r="E8" s="28" t="inlineStr">
        <is>
          <t>100004</t>
        </is>
      </c>
      <c r="F8" s="27" t="inlineStr">
        <is>
          <t>Boss</t>
        </is>
      </c>
      <c r="G8" s="37" t="n">
        <v>4</v>
      </c>
      <c r="H8" s="38" t="n"/>
      <c r="I8" s="39">
        <f>IF($H8="",$G8,$H8)</f>
        <v/>
      </c>
      <c r="J8" s="40" t="n">
        <v>8</v>
      </c>
      <c r="K8" s="72" t="n">
        <v>0.983591652956966</v>
      </c>
      <c r="L8" s="72" t="n">
        <v>0.599118942731278</v>
      </c>
      <c r="M8" s="72" t="n">
        <v>0.956521739130435</v>
      </c>
      <c r="N8" s="73" t="n"/>
      <c r="O8" s="73" t="n"/>
      <c r="P8" s="73" t="n"/>
      <c r="Q8" s="74">
        <f>IF($I8="","",IFERROR(INDEX(_玩家曲线!$H$2:$H$286,MATCH($I8,_玩家曲线!$A$2:$A$286,0)),""))</f>
        <v/>
      </c>
      <c r="R8" s="74">
        <f>IF($I8="","",IFERROR(INDEX(_玩家曲线!$I$2:$I$286,MATCH($I8,_玩家曲线!$A$2:$A$286,0)),""))</f>
        <v/>
      </c>
      <c r="S8" s="74">
        <f>IF(OR($J8="",$F8="不适用"),"",IFERROR(INDEX(_怪物模型!$D$2:$D$4501,(INT($J8)-1)*ROWS(_怪物类型!$A$2:$A$10)+MATCH($F8,_怪物类型!$A$2:$A$10,0))*IF($K8="",1,$K8),""))</f>
        <v/>
      </c>
      <c r="T8" s="74">
        <f>IF(OR($J8="",$F8="不适用"),"",IFERROR(INDEX(_怪物模型!$E$2:$E$4501,(INT($J8)-1)*ROWS(_怪物类型!$A$2:$A$10)+MATCH($F8,_怪物类型!$A$2:$A$10,0))*IF($L8="",1,$L8),""))</f>
        <v/>
      </c>
      <c r="U8" s="74">
        <f>IF(OR($J8="",$F8="不适用"),"",IFERROR(INDEX(_怪物模型!$F$2:$F$4501,(INT($J8)-1)*ROWS(_怪物类型!$A$2:$A$10)+MATCH($F8,_怪物类型!$A$2:$A$10,0))*IF($M8="",1,$M8),""))</f>
        <v/>
      </c>
      <c r="V8" s="75">
        <f>IF($U8="","",MIN(0.75,$U8/($U8+24000)))</f>
        <v/>
      </c>
      <c r="W8" s="76">
        <f>IF($S8="","",$S8/(1-$V8)*IF($N8="",1,$N8))</f>
        <v/>
      </c>
      <c r="X8" s="76">
        <f>IF(OR($W8="",$Q8="",$Q8=0),"",$W8/$Q8)</f>
        <v/>
      </c>
      <c r="Y8" s="76">
        <f>IF(OR($R8="",$T8="",$T8=0),"",$R8/($T8*IF($O8="",1,$O8)))</f>
        <v/>
      </c>
      <c r="Z8" s="77">
        <f>IF(OR($X8="",$P8="",$P8=0),"",$X8/$P8)</f>
        <v/>
      </c>
      <c r="AA8" s="27">
        <f>IF($J8="","待填怪物等级",IF(OR($I8="",$Q8=""),"待填对照关卡",IF($P8="","已计算",IF(AND($Y8&lt;&gt;"",$Y8&lt;$X8),"生存不成立",IF($Z8&lt;0.5,"碾压",IF($Z8&lt;0.8,"偏简单",IF($Z8&lt;=1.2,"适中",IF($Z8&lt;=1.5,"偏难","过难"))))))))</f>
        <v/>
      </c>
      <c r="AB8" s="27">
        <f>IF($J8="","待填",IF(AND(ISNUMBER($J8),$J8&gt;=1,$J8&lt;=500,MOD($J8,1)=0),"有效","超范围"))</f>
        <v/>
      </c>
      <c r="AC8" s="27">
        <f>IF(OR($J8="",ROW()=5,$B8&lt;&gt;$B7,$J7=""),"",IF($J8&lt;$J7,"下降",""))</f>
        <v/>
      </c>
      <c r="AD8" s="28" t="inlineStr">
        <is>
          <t>2026-08-27 新玩家节点曲线校准；对照S4；等级8→8；保留原难度定位。  2026-08-31 推荐战力：本章Boss反查锚点p1-&gt;p2线性递增（60s击杀/扛20s）；</t>
        </is>
      </c>
      <c r="AE8" t="n">
        <v>2390</v>
      </c>
      <c r="AF8">
        <f>INDEX(_统一战力!$B$2:$B$501,J8)</f>
        <v/>
      </c>
    </row>
    <row r="9" ht="25" customHeight="1">
      <c r="A9" s="27" t="inlineStr">
        <is>
          <t>当前配置</t>
        </is>
      </c>
      <c r="B9" s="27" t="inlineStr">
        <is>
          <t>主线</t>
        </is>
      </c>
      <c r="C9" s="28" t="inlineStr">
        <is>
          <t>第一章</t>
        </is>
      </c>
      <c r="D9" s="28" t="inlineStr">
        <is>
          <t>1-1</t>
        </is>
      </c>
      <c r="E9" s="28" t="inlineStr">
        <is>
          <t>100101</t>
        </is>
      </c>
      <c r="F9" s="27" t="inlineStr">
        <is>
          <t>普通怪</t>
        </is>
      </c>
      <c r="G9" s="37" t="n">
        <v>5</v>
      </c>
      <c r="H9" s="38" t="n"/>
      <c r="I9" s="39">
        <f>IF($H9="",$G9,$H9)</f>
        <v/>
      </c>
      <c r="J9" s="40" t="n">
        <v>11</v>
      </c>
      <c r="K9" s="72" t="n">
        <v>0.958571428571429</v>
      </c>
      <c r="L9" s="72" t="n">
        <v>0.7559055118110239</v>
      </c>
      <c r="M9" s="72" t="n">
        <v>0.956416464891041</v>
      </c>
      <c r="N9" s="73" t="n"/>
      <c r="O9" s="73" t="n"/>
      <c r="P9" s="73" t="n"/>
      <c r="Q9" s="74">
        <f>IF($I9="","",IFERROR(INDEX(_玩家曲线!$H$2:$H$286,MATCH($I9,_玩家曲线!$A$2:$A$286,0)),""))</f>
        <v/>
      </c>
      <c r="R9" s="74">
        <f>IF($I9="","",IFERROR(INDEX(_玩家曲线!$I$2:$I$286,MATCH($I9,_玩家曲线!$A$2:$A$286,0)),""))</f>
        <v/>
      </c>
      <c r="S9" s="74">
        <f>IF(OR($J9="",$F9="不适用"),"",IFERROR(INDEX(_怪物模型!$D$2:$D$4501,(INT($J9)-1)*ROWS(_怪物类型!$A$2:$A$10)+MATCH($F9,_怪物类型!$A$2:$A$10,0))*IF($K9="",1,$K9),""))</f>
        <v/>
      </c>
      <c r="T9" s="74">
        <f>IF(OR($J9="",$F9="不适用"),"",IFERROR(INDEX(_怪物模型!$E$2:$E$4501,(INT($J9)-1)*ROWS(_怪物类型!$A$2:$A$10)+MATCH($F9,_怪物类型!$A$2:$A$10,0))*IF($L9="",1,$L9),""))</f>
        <v/>
      </c>
      <c r="U9" s="74">
        <f>IF(OR($J9="",$F9="不适用"),"",IFERROR(INDEX(_怪物模型!$F$2:$F$4501,(INT($J9)-1)*ROWS(_怪物类型!$A$2:$A$10)+MATCH($F9,_怪物类型!$A$2:$A$10,0))*IF($M9="",1,$M9),""))</f>
        <v/>
      </c>
      <c r="V9" s="75">
        <f>IF($U9="","",MIN(0.75,$U9/($U9+24000)))</f>
        <v/>
      </c>
      <c r="W9" s="76">
        <f>IF($S9="","",$S9/(1-$V9)*IF($N9="",1,$N9))</f>
        <v/>
      </c>
      <c r="X9" s="76">
        <f>IF(OR($W9="",$Q9="",$Q9=0),"",$W9/$Q9)</f>
        <v/>
      </c>
      <c r="Y9" s="76">
        <f>IF(OR($R9="",$T9="",$T9=0),"",$R9/($T9*IF($O9="",1,$O9)))</f>
        <v/>
      </c>
      <c r="Z9" s="77">
        <f>IF(OR($X9="",$P9="",$P9=0),"",$X9/$P9)</f>
        <v/>
      </c>
      <c r="AA9" s="27">
        <f>IF($J9="","待填怪物等级",IF(OR($I9="",$Q9=""),"待填对照关卡",IF($P9="","已计算",IF(AND($Y9&lt;&gt;"",$Y9&lt;$X9),"生存不成立",IF($Z9&lt;0.5,"碾压",IF($Z9&lt;0.8,"偏简单",IF($Z9&lt;=1.2,"适中",IF($Z9&lt;=1.5,"偏难","过难"))))))))</f>
        <v/>
      </c>
      <c r="AB9" s="27">
        <f>IF($J9="","待填",IF(AND(ISNUMBER($J9),$J9&gt;=1,$J9&lt;=500,MOD($J9,1)=0),"有效","超范围"))</f>
        <v/>
      </c>
      <c r="AC9" s="27">
        <f>IF(OR($J9="",ROW()=5,$B9&lt;&gt;$B8,$J8=""),"",IF($J9&lt;$J8,"下降",""))</f>
        <v/>
      </c>
      <c r="AD9" s="28" t="inlineStr">
        <is>
          <t>2026-08-27 新玩家节点曲线校准；对照S5；等级11→11；保留原难度定位。  2026-08-31 推荐战力：本章Boss反查锚点p2-&gt;p8线性递增（60s击杀/扛20s）；</t>
        </is>
      </c>
      <c r="AE9" t="n">
        <v>3170</v>
      </c>
      <c r="AF9">
        <f>INDEX(_统一战力!$B$2:$B$501,J9)</f>
        <v/>
      </c>
    </row>
    <row r="10" ht="25" customHeight="1">
      <c r="A10" s="27" t="inlineStr">
        <is>
          <t>当前配置</t>
        </is>
      </c>
      <c r="B10" s="27" t="inlineStr">
        <is>
          <t>主线</t>
        </is>
      </c>
      <c r="C10" s="28" t="inlineStr">
        <is>
          <t>第一章</t>
        </is>
      </c>
      <c r="D10" s="28" t="inlineStr">
        <is>
          <t>1-2</t>
        </is>
      </c>
      <c r="E10" s="28" t="inlineStr">
        <is>
          <t>100102</t>
        </is>
      </c>
      <c r="F10" s="27" t="inlineStr">
        <is>
          <t>普通怪</t>
        </is>
      </c>
      <c r="G10" s="37" t="n">
        <v>6</v>
      </c>
      <c r="H10" s="38" t="n"/>
      <c r="I10" s="39">
        <f>IF($H10="",$G10,$H10)</f>
        <v/>
      </c>
      <c r="J10" s="40" t="n">
        <v>13</v>
      </c>
      <c r="K10" s="72" t="n">
        <v>0.958236658932715</v>
      </c>
      <c r="L10" s="72" t="n">
        <v>0.760726072607261</v>
      </c>
      <c r="M10" s="72" t="n">
        <v>0.956077630234934</v>
      </c>
      <c r="N10" s="73" t="n"/>
      <c r="O10" s="73" t="n"/>
      <c r="P10" s="73" t="n"/>
      <c r="Q10" s="74">
        <f>IF($I10="","",IFERROR(INDEX(_玩家曲线!$H$2:$H$286,MATCH($I10,_玩家曲线!$A$2:$A$286,0)),""))</f>
        <v/>
      </c>
      <c r="R10" s="74">
        <f>IF($I10="","",IFERROR(INDEX(_玩家曲线!$I$2:$I$286,MATCH($I10,_玩家曲线!$A$2:$A$286,0)),""))</f>
        <v/>
      </c>
      <c r="S10" s="74">
        <f>IF(OR($J10="",$F10="不适用"),"",IFERROR(INDEX(_怪物模型!$D$2:$D$4501,(INT($J10)-1)*ROWS(_怪物类型!$A$2:$A$10)+MATCH($F10,_怪物类型!$A$2:$A$10,0))*IF($K10="",1,$K10),""))</f>
        <v/>
      </c>
      <c r="T10" s="74">
        <f>IF(OR($J10="",$F10="不适用"),"",IFERROR(INDEX(_怪物模型!$E$2:$E$4501,(INT($J10)-1)*ROWS(_怪物类型!$A$2:$A$10)+MATCH($F10,_怪物类型!$A$2:$A$10,0))*IF($L10="",1,$L10),""))</f>
        <v/>
      </c>
      <c r="U10" s="74">
        <f>IF(OR($J10="",$F10="不适用"),"",IFERROR(INDEX(_怪物模型!$F$2:$F$4501,(INT($J10)-1)*ROWS(_怪物类型!$A$2:$A$10)+MATCH($F10,_怪物类型!$A$2:$A$10,0))*IF($M10="",1,$M10),""))</f>
        <v/>
      </c>
      <c r="V10" s="75">
        <f>IF($U10="","",MIN(0.75,$U10/($U10+24000)))</f>
        <v/>
      </c>
      <c r="W10" s="76">
        <f>IF($S10="","",$S10/(1-$V10)*IF($N10="",1,$N10))</f>
        <v/>
      </c>
      <c r="X10" s="76">
        <f>IF(OR($W10="",$Q10="",$Q10=0),"",$W10/$Q10)</f>
        <v/>
      </c>
      <c r="Y10" s="76">
        <f>IF(OR($R10="",$T10="",$T10=0),"",$R10/($T10*IF($O10="",1,$O10)))</f>
        <v/>
      </c>
      <c r="Z10" s="77">
        <f>IF(OR($X10="",$P10="",$P10=0),"",$X10/$P10)</f>
        <v/>
      </c>
      <c r="AA10" s="27">
        <f>IF($J10="","待填怪物等级",IF(OR($I10="",$Q10=""),"待填对照关卡",IF($P10="","已计算",IF(AND($Y10&lt;&gt;"",$Y10&lt;$X10),"生存不成立",IF($Z10&lt;0.5,"碾压",IF($Z10&lt;0.8,"偏简单",IF($Z10&lt;=1.2,"适中",IF($Z10&lt;=1.5,"偏难","过难"))))))))</f>
        <v/>
      </c>
      <c r="AB10" s="27">
        <f>IF($J10="","待填",IF(AND(ISNUMBER($J10),$J10&gt;=1,$J10&lt;=500,MOD($J10,1)=0),"有效","超范围"))</f>
        <v/>
      </c>
      <c r="AC10" s="27">
        <f>IF(OR($J10="",ROW()=5,$B10&lt;&gt;$B9,$J9=""),"",IF($J10&lt;$J9,"下降",""))</f>
        <v/>
      </c>
      <c r="AD10" s="28" t="inlineStr">
        <is>
          <t>2026-08-27 新玩家节点曲线校准；对照S6；等级13→13；保留原难度定位。  2026-08-31 推荐战力：本章Boss反查锚点p2-&gt;p8线性递增（60s击杀/扛20s）；</t>
        </is>
      </c>
      <c r="AE10" t="n">
        <v>3940</v>
      </c>
      <c r="AF10">
        <f>INDEX(_统一战力!$B$2:$B$501,J10)</f>
        <v/>
      </c>
    </row>
    <row r="11" ht="25" customHeight="1">
      <c r="A11" s="27" t="inlineStr">
        <is>
          <t>当前配置</t>
        </is>
      </c>
      <c r="B11" s="27" t="inlineStr">
        <is>
          <t>主线</t>
        </is>
      </c>
      <c r="C11" s="28" t="inlineStr">
        <is>
          <t>第一章</t>
        </is>
      </c>
      <c r="D11" s="28" t="inlineStr">
        <is>
          <t>1-3</t>
        </is>
      </c>
      <c r="E11" s="28" t="inlineStr">
        <is>
          <t>100103</t>
        </is>
      </c>
      <c r="F11" s="27" t="inlineStr">
        <is>
          <t>普通怪</t>
        </is>
      </c>
      <c r="G11" s="37" t="n">
        <v>7</v>
      </c>
      <c r="H11" s="38" t="n"/>
      <c r="I11" s="39">
        <f>IF($H11="",$G11,$H11)</f>
        <v/>
      </c>
      <c r="J11" s="40" t="n">
        <v>15</v>
      </c>
      <c r="K11" s="72" t="n">
        <v>0.957950700821653</v>
      </c>
      <c r="L11" s="72" t="n">
        <v>0.767375886524823</v>
      </c>
      <c r="M11" s="72" t="n">
        <v>0.955869373345101</v>
      </c>
      <c r="N11" s="73" t="n"/>
      <c r="O11" s="73" t="n"/>
      <c r="P11" s="73" t="n"/>
      <c r="Q11" s="74">
        <f>IF($I11="","",IFERROR(INDEX(_玩家曲线!$H$2:$H$286,MATCH($I11,_玩家曲线!$A$2:$A$286,0)),""))</f>
        <v/>
      </c>
      <c r="R11" s="74">
        <f>IF($I11="","",IFERROR(INDEX(_玩家曲线!$I$2:$I$286,MATCH($I11,_玩家曲线!$A$2:$A$286,0)),""))</f>
        <v/>
      </c>
      <c r="S11" s="74">
        <f>IF(OR($J11="",$F11="不适用"),"",IFERROR(INDEX(_怪物模型!$D$2:$D$4501,(INT($J11)-1)*ROWS(_怪物类型!$A$2:$A$10)+MATCH($F11,_怪物类型!$A$2:$A$10,0))*IF($K11="",1,$K11),""))</f>
        <v/>
      </c>
      <c r="T11" s="74">
        <f>IF(OR($J11="",$F11="不适用"),"",IFERROR(INDEX(_怪物模型!$E$2:$E$4501,(INT($J11)-1)*ROWS(_怪物类型!$A$2:$A$10)+MATCH($F11,_怪物类型!$A$2:$A$10,0))*IF($L11="",1,$L11),""))</f>
        <v/>
      </c>
      <c r="U11" s="74">
        <f>IF(OR($J11="",$F11="不适用"),"",IFERROR(INDEX(_怪物模型!$F$2:$F$4501,(INT($J11)-1)*ROWS(_怪物类型!$A$2:$A$10)+MATCH($F11,_怪物类型!$A$2:$A$10,0))*IF($M11="",1,$M11),""))</f>
        <v/>
      </c>
      <c r="V11" s="75">
        <f>IF($U11="","",MIN(0.75,$U11/($U11+24000)))</f>
        <v/>
      </c>
      <c r="W11" s="76">
        <f>IF($S11="","",$S11/(1-$V11)*IF($N11="",1,$N11))</f>
        <v/>
      </c>
      <c r="X11" s="76">
        <f>IF(OR($W11="",$Q11="",$Q11=0),"",$W11/$Q11)</f>
        <v/>
      </c>
      <c r="Y11" s="76">
        <f>IF(OR($R11="",$T11="",$T11=0),"",$R11/($T11*IF($O11="",1,$O11)))</f>
        <v/>
      </c>
      <c r="Z11" s="77">
        <f>IF(OR($X11="",$P11="",$P11=0),"",$X11/$P11)</f>
        <v/>
      </c>
      <c r="AA11" s="27">
        <f>IF($J11="","待填怪物等级",IF(OR($I11="",$Q11=""),"待填对照关卡",IF($P11="","已计算",IF(AND($Y11&lt;&gt;"",$Y11&lt;$X11),"生存不成立",IF($Z11&lt;0.5,"碾压",IF($Z11&lt;0.8,"偏简单",IF($Z11&lt;=1.2,"适中",IF($Z11&lt;=1.5,"偏难","过难"))))))))</f>
        <v/>
      </c>
      <c r="AB11" s="27">
        <f>IF($J11="","待填",IF(AND(ISNUMBER($J11),$J11&gt;=1,$J11&lt;=500,MOD($J11,1)=0),"有效","超范围"))</f>
        <v/>
      </c>
      <c r="AC11" s="27">
        <f>IF(OR($J11="",ROW()=5,$B11&lt;&gt;$B10,$J10=""),"",IF($J11&lt;$J10,"下降",""))</f>
        <v/>
      </c>
      <c r="AD11" s="28" t="inlineStr">
        <is>
          <t>2026-08-27 新玩家节点曲线校准；对照S7；等级15→15；保留原难度定位。  2026-08-31 推荐战力：本章Boss反查锚点p2-&gt;p8线性递增（60s击杀/扛20s）；</t>
        </is>
      </c>
      <c r="AE11" t="n">
        <v>4720</v>
      </c>
      <c r="AF11">
        <f>INDEX(_统一战力!$B$2:$B$501,J11)</f>
        <v/>
      </c>
    </row>
    <row r="12" ht="25" customHeight="1">
      <c r="A12" s="27" t="inlineStr">
        <is>
          <t>当前配置</t>
        </is>
      </c>
      <c r="B12" s="27" t="inlineStr">
        <is>
          <t>主线</t>
        </is>
      </c>
      <c r="C12" s="28" t="inlineStr">
        <is>
          <t>第一章</t>
        </is>
      </c>
      <c r="D12" s="28" t="inlineStr">
        <is>
          <t>1-4</t>
        </is>
      </c>
      <c r="E12" s="28" t="inlineStr">
        <is>
          <t>100104</t>
        </is>
      </c>
      <c r="F12" s="27" t="inlineStr">
        <is>
          <t>普通怪</t>
        </is>
      </c>
      <c r="G12" s="37" t="n">
        <v>8</v>
      </c>
      <c r="H12" s="38" t="n"/>
      <c r="I12" s="39">
        <f>IF($H12="",$G12,$H12)</f>
        <v/>
      </c>
      <c r="J12" s="40" t="n">
        <v>16</v>
      </c>
      <c r="K12" s="72" t="n">
        <v>0.957759004001779</v>
      </c>
      <c r="L12" s="72" t="n">
        <v>0.770860927152318</v>
      </c>
      <c r="M12" s="72" t="n">
        <v>0.956198347107438</v>
      </c>
      <c r="N12" s="73" t="n"/>
      <c r="O12" s="73" t="n"/>
      <c r="P12" s="73" t="n"/>
      <c r="Q12" s="74">
        <f>IF($I12="","",IFERROR(INDEX(_玩家曲线!$H$2:$H$286,MATCH($I12,_玩家曲线!$A$2:$A$286,0)),""))</f>
        <v/>
      </c>
      <c r="R12" s="74">
        <f>IF($I12="","",IFERROR(INDEX(_玩家曲线!$I$2:$I$286,MATCH($I12,_玩家曲线!$A$2:$A$286,0)),""))</f>
        <v/>
      </c>
      <c r="S12" s="74">
        <f>IF(OR($J12="",$F12="不适用"),"",IFERROR(INDEX(_怪物模型!$D$2:$D$4501,(INT($J12)-1)*ROWS(_怪物类型!$A$2:$A$10)+MATCH($F12,_怪物类型!$A$2:$A$10,0))*IF($K12="",1,$K12),""))</f>
        <v/>
      </c>
      <c r="T12" s="74">
        <f>IF(OR($J12="",$F12="不适用"),"",IFERROR(INDEX(_怪物模型!$E$2:$E$4501,(INT($J12)-1)*ROWS(_怪物类型!$A$2:$A$10)+MATCH($F12,_怪物类型!$A$2:$A$10,0))*IF($L12="",1,$L12),""))</f>
        <v/>
      </c>
      <c r="U12" s="74">
        <f>IF(OR($J12="",$F12="不适用"),"",IFERROR(INDEX(_怪物模型!$F$2:$F$4501,(INT($J12)-1)*ROWS(_怪物类型!$A$2:$A$10)+MATCH($F12,_怪物类型!$A$2:$A$10,0))*IF($M12="",1,$M12),""))</f>
        <v/>
      </c>
      <c r="V12" s="75">
        <f>IF($U12="","",MIN(0.75,$U12/($U12+24000)))</f>
        <v/>
      </c>
      <c r="W12" s="76">
        <f>IF($S12="","",$S12/(1-$V12)*IF($N12="",1,$N12))</f>
        <v/>
      </c>
      <c r="X12" s="76">
        <f>IF(OR($W12="",$Q12="",$Q12=0),"",$W12/$Q12)</f>
        <v/>
      </c>
      <c r="Y12" s="76">
        <f>IF(OR($R12="",$T12="",$T12=0),"",$R12/($T12*IF($O12="",1,$O12)))</f>
        <v/>
      </c>
      <c r="Z12" s="77">
        <f>IF(OR($X12="",$P12="",$P12=0),"",$X12/$P12)</f>
        <v/>
      </c>
      <c r="AA12" s="27">
        <f>IF($J12="","待填怪物等级",IF(OR($I12="",$Q12=""),"待填对照关卡",IF($P12="","已计算",IF(AND($Y12&lt;&gt;"",$Y12&lt;$X12),"生存不成立",IF($Z12&lt;0.5,"碾压",IF($Z12&lt;0.8,"偏简单",IF($Z12&lt;=1.2,"适中",IF($Z12&lt;=1.5,"偏难","过难"))))))))</f>
        <v/>
      </c>
      <c r="AB12" s="27">
        <f>IF($J12="","待填",IF(AND(ISNUMBER($J12),$J12&gt;=1,$J12&lt;=500,MOD($J12,1)=0),"有效","超范围"))</f>
        <v/>
      </c>
      <c r="AC12" s="27">
        <f>IF(OR($J12="",ROW()=5,$B12&lt;&gt;$B11,$J11=""),"",IF($J12&lt;$J11,"下降",""))</f>
        <v/>
      </c>
      <c r="AD12" s="28" t="inlineStr">
        <is>
          <t>2026-08-27 新玩家节点曲线校准；对照S8；等级16→16；保留原难度定位。  2026-08-31 推荐战力：本章Boss反查锚点p2-&gt;p8线性递增（60s击杀/扛20s）；</t>
        </is>
      </c>
      <c r="AE12" t="n">
        <v>5500</v>
      </c>
      <c r="AF12">
        <f>INDEX(_统一战力!$B$2:$B$501,J12)</f>
        <v/>
      </c>
    </row>
    <row r="13" ht="25" customHeight="1">
      <c r="A13" s="27" t="inlineStr">
        <is>
          <t>当前配置</t>
        </is>
      </c>
      <c r="B13" s="27" t="inlineStr">
        <is>
          <t>主线</t>
        </is>
      </c>
      <c r="C13" s="28" t="inlineStr">
        <is>
          <t>第一章</t>
        </is>
      </c>
      <c r="D13" s="28" t="inlineStr">
        <is>
          <t>1-5</t>
        </is>
      </c>
      <c r="E13" s="28" t="inlineStr">
        <is>
          <t>100105</t>
        </is>
      </c>
      <c r="F13" s="27" t="inlineStr">
        <is>
          <t>普通怪</t>
        </is>
      </c>
      <c r="G13" s="37" t="n">
        <v>9</v>
      </c>
      <c r="H13" s="38" t="n"/>
      <c r="I13" s="39">
        <f>IF($H13="",$G13,$H13)</f>
        <v/>
      </c>
      <c r="J13" s="40" t="n">
        <v>19</v>
      </c>
      <c r="K13" s="72" t="n">
        <v>0.957446808510638</v>
      </c>
      <c r="L13" s="72" t="n">
        <v>0.780837004405286</v>
      </c>
      <c r="M13" s="72" t="n">
        <v>0.954986149584488</v>
      </c>
      <c r="N13" s="73" t="n"/>
      <c r="O13" s="73" t="n"/>
      <c r="P13" s="73" t="n"/>
      <c r="Q13" s="74">
        <f>IF($I13="","",IFERROR(INDEX(_玩家曲线!$H$2:$H$286,MATCH($I13,_玩家曲线!$A$2:$A$286,0)),""))</f>
        <v/>
      </c>
      <c r="R13" s="74">
        <f>IF($I13="","",IFERROR(INDEX(_玩家曲线!$I$2:$I$286,MATCH($I13,_玩家曲线!$A$2:$A$286,0)),""))</f>
        <v/>
      </c>
      <c r="S13" s="74">
        <f>IF(OR($J13="",$F13="不适用"),"",IFERROR(INDEX(_怪物模型!$D$2:$D$4501,(INT($J13)-1)*ROWS(_怪物类型!$A$2:$A$10)+MATCH($F13,_怪物类型!$A$2:$A$10,0))*IF($K13="",1,$K13),""))</f>
        <v/>
      </c>
      <c r="T13" s="74">
        <f>IF(OR($J13="",$F13="不适用"),"",IFERROR(INDEX(_怪物模型!$E$2:$E$4501,(INT($J13)-1)*ROWS(_怪物类型!$A$2:$A$10)+MATCH($F13,_怪物类型!$A$2:$A$10,0))*IF($L13="",1,$L13),""))</f>
        <v/>
      </c>
      <c r="U13" s="74">
        <f>IF(OR($J13="",$F13="不适用"),"",IFERROR(INDEX(_怪物模型!$F$2:$F$4501,(INT($J13)-1)*ROWS(_怪物类型!$A$2:$A$10)+MATCH($F13,_怪物类型!$A$2:$A$10,0))*IF($M13="",1,$M13),""))</f>
        <v/>
      </c>
      <c r="V13" s="75">
        <f>IF($U13="","",MIN(0.75,$U13/($U13+24000)))</f>
        <v/>
      </c>
      <c r="W13" s="76">
        <f>IF($S13="","",$S13/(1-$V13)*IF($N13="",1,$N13))</f>
        <v/>
      </c>
      <c r="X13" s="76">
        <f>IF(OR($W13="",$Q13="",$Q13=0),"",$W13/$Q13)</f>
        <v/>
      </c>
      <c r="Y13" s="76">
        <f>IF(OR($R13="",$T13="",$T13=0),"",$R13/($T13*IF($O13="",1,$O13)))</f>
        <v/>
      </c>
      <c r="Z13" s="77">
        <f>IF(OR($X13="",$P13="",$P13=0),"",$X13/$P13)</f>
        <v/>
      </c>
      <c r="AA13" s="27">
        <f>IF($J13="","待填怪物等级",IF(OR($I13="",$Q13=""),"待填对照关卡",IF($P13="","已计算",IF(AND($Y13&lt;&gt;"",$Y13&lt;$X13),"生存不成立",IF($Z13&lt;0.5,"碾压",IF($Z13&lt;0.8,"偏简单",IF($Z13&lt;=1.2,"适中",IF($Z13&lt;=1.5,"偏难","过难"))))))))</f>
        <v/>
      </c>
      <c r="AB13" s="27">
        <f>IF($J13="","待填",IF(AND(ISNUMBER($J13),$J13&gt;=1,$J13&lt;=500,MOD($J13,1)=0),"有效","超范围"))</f>
        <v/>
      </c>
      <c r="AC13" s="27">
        <f>IF(OR($J13="",ROW()=5,$B13&lt;&gt;$B12,$J12=""),"",IF($J13&lt;$J12,"下降",""))</f>
        <v/>
      </c>
      <c r="AD13" s="28" t="inlineStr">
        <is>
          <t>2026-08-27 新玩家节点曲线校准；对照S9；等级19→19；保留原难度定位。  2026-08-31 推荐战力：本章Boss反查锚点p2-&gt;p8线性递增（60s击杀/扛20s）；</t>
        </is>
      </c>
      <c r="AE13" t="n">
        <v>6280</v>
      </c>
      <c r="AF13">
        <f>INDEX(_统一战力!$B$2:$B$501,J13)</f>
        <v/>
      </c>
    </row>
    <row r="14" ht="25" customHeight="1">
      <c r="A14" s="27" t="inlineStr">
        <is>
          <t>当前配置</t>
        </is>
      </c>
      <c r="B14" s="27" t="inlineStr">
        <is>
          <t>主线</t>
        </is>
      </c>
      <c r="C14" s="28" t="inlineStr">
        <is>
          <t>第一章</t>
        </is>
      </c>
      <c r="D14" s="28" t="inlineStr">
        <is>
          <t>1-6</t>
        </is>
      </c>
      <c r="E14" s="28" t="inlineStr">
        <is>
          <t>100106</t>
        </is>
      </c>
      <c r="F14" s="27" t="inlineStr">
        <is>
          <t>普通怪</t>
        </is>
      </c>
      <c r="G14" s="37" t="n">
        <v>10</v>
      </c>
      <c r="H14" s="38" t="n"/>
      <c r="I14" s="39">
        <f>IF($H14="",$G14,$H14)</f>
        <v/>
      </c>
      <c r="J14" s="40" t="n">
        <v>21</v>
      </c>
      <c r="K14" s="72" t="n">
        <v>0.957519379844961</v>
      </c>
      <c r="L14" s="72" t="n">
        <v>0.787549407114625</v>
      </c>
      <c r="M14" s="72" t="n">
        <v>0.955</v>
      </c>
      <c r="N14" s="73" t="n"/>
      <c r="O14" s="73" t="n"/>
      <c r="P14" s="73" t="n"/>
      <c r="Q14" s="74">
        <f>IF($I14="","",IFERROR(INDEX(_玩家曲线!$H$2:$H$286,MATCH($I14,_玩家曲线!$A$2:$A$286,0)),""))</f>
        <v/>
      </c>
      <c r="R14" s="74">
        <f>IF($I14="","",IFERROR(INDEX(_玩家曲线!$I$2:$I$286,MATCH($I14,_玩家曲线!$A$2:$A$286,0)),""))</f>
        <v/>
      </c>
      <c r="S14" s="74">
        <f>IF(OR($J14="",$F14="不适用"),"",IFERROR(INDEX(_怪物模型!$D$2:$D$4501,(INT($J14)-1)*ROWS(_怪物类型!$A$2:$A$10)+MATCH($F14,_怪物类型!$A$2:$A$10,0))*IF($K14="",1,$K14),""))</f>
        <v/>
      </c>
      <c r="T14" s="74">
        <f>IF(OR($J14="",$F14="不适用"),"",IFERROR(INDEX(_怪物模型!$E$2:$E$4501,(INT($J14)-1)*ROWS(_怪物类型!$A$2:$A$10)+MATCH($F14,_怪物类型!$A$2:$A$10,0))*IF($L14="",1,$L14),""))</f>
        <v/>
      </c>
      <c r="U14" s="74">
        <f>IF(OR($J14="",$F14="不适用"),"",IFERROR(INDEX(_怪物模型!$F$2:$F$4501,(INT($J14)-1)*ROWS(_怪物类型!$A$2:$A$10)+MATCH($F14,_怪物类型!$A$2:$A$10,0))*IF($M14="",1,$M14),""))</f>
        <v/>
      </c>
      <c r="V14" s="75">
        <f>IF($U14="","",MIN(0.75,$U14/($U14+24000)))</f>
        <v/>
      </c>
      <c r="W14" s="76">
        <f>IF($S14="","",$S14/(1-$V14)*IF($N14="",1,$N14))</f>
        <v/>
      </c>
      <c r="X14" s="76">
        <f>IF(OR($W14="",$Q14="",$Q14=0),"",$W14/$Q14)</f>
        <v/>
      </c>
      <c r="Y14" s="76">
        <f>IF(OR($R14="",$T14="",$T14=0),"",$R14/($T14*IF($O14="",1,$O14)))</f>
        <v/>
      </c>
      <c r="Z14" s="77">
        <f>IF(OR($X14="",$P14="",$P14=0),"",$X14/$P14)</f>
        <v/>
      </c>
      <c r="AA14" s="27">
        <f>IF($J14="","待填怪物等级",IF(OR($I14="",$Q14=""),"待填对照关卡",IF($P14="","已计算",IF(AND($Y14&lt;&gt;"",$Y14&lt;$X14),"生存不成立",IF($Z14&lt;0.5,"碾压",IF($Z14&lt;0.8,"偏简单",IF($Z14&lt;=1.2,"适中",IF($Z14&lt;=1.5,"偏难","过难"))))))))</f>
        <v/>
      </c>
      <c r="AB14" s="27">
        <f>IF($J14="","待填",IF(AND(ISNUMBER($J14),$J14&gt;=1,$J14&lt;=500,MOD($J14,1)=0),"有效","超范围"))</f>
        <v/>
      </c>
      <c r="AC14" s="27">
        <f>IF(OR($J14="",ROW()=5,$B14&lt;&gt;$B13,$J13=""),"",IF($J14&lt;$J13,"下降",""))</f>
        <v/>
      </c>
      <c r="AD14" s="28" t="inlineStr">
        <is>
          <t>2026-08-27 新玩家节点曲线校准；对照S10；等级21→21；保留原难度定位。  2026-08-31 推荐战力：本章Boss反查锚点p2-&gt;p8线性递增（60s击杀/扛20s）；</t>
        </is>
      </c>
      <c r="AE14" t="n">
        <v>7050</v>
      </c>
      <c r="AF14">
        <f>INDEX(_统一战力!$B$2:$B$501,J14)</f>
        <v/>
      </c>
    </row>
    <row r="15" ht="25" customHeight="1">
      <c r="A15" s="27" t="inlineStr">
        <is>
          <t>当前配置</t>
        </is>
      </c>
      <c r="B15" s="27" t="inlineStr">
        <is>
          <t>主线</t>
        </is>
      </c>
      <c r="C15" s="28" t="inlineStr">
        <is>
          <t>第一章</t>
        </is>
      </c>
      <c r="D15" s="28" t="inlineStr">
        <is>
          <t>1-7</t>
        </is>
      </c>
      <c r="E15" s="28" t="inlineStr">
        <is>
          <t>100107</t>
        </is>
      </c>
      <c r="F15" s="27" t="inlineStr">
        <is>
          <t>普通怪</t>
        </is>
      </c>
      <c r="G15" s="37" t="n">
        <v>11</v>
      </c>
      <c r="H15" s="38" t="n"/>
      <c r="I15" s="39">
        <f>IF($H15="",$G15,$H15)</f>
        <v/>
      </c>
      <c r="J15" s="40" t="n">
        <v>22</v>
      </c>
      <c r="K15" s="72" t="n">
        <v>0.957205240174672</v>
      </c>
      <c r="L15" s="72" t="n">
        <v>0.791353383458647</v>
      </c>
      <c r="M15" s="72" t="n">
        <v>0.9547349612864801</v>
      </c>
      <c r="N15" s="73" t="n"/>
      <c r="O15" s="73" t="n"/>
      <c r="P15" s="73" t="n"/>
      <c r="Q15" s="74">
        <f>IF($I15="","",IFERROR(INDEX(_玩家曲线!$H$2:$H$286,MATCH($I15,_玩家曲线!$A$2:$A$286,0)),""))</f>
        <v/>
      </c>
      <c r="R15" s="74">
        <f>IF($I15="","",IFERROR(INDEX(_玩家曲线!$I$2:$I$286,MATCH($I15,_玩家曲线!$A$2:$A$286,0)),""))</f>
        <v/>
      </c>
      <c r="S15" s="74">
        <f>IF(OR($J15="",$F15="不适用"),"",IFERROR(INDEX(_怪物模型!$D$2:$D$4501,(INT($J15)-1)*ROWS(_怪物类型!$A$2:$A$10)+MATCH($F15,_怪物类型!$A$2:$A$10,0))*IF($K15="",1,$K15),""))</f>
        <v/>
      </c>
      <c r="T15" s="74">
        <f>IF(OR($J15="",$F15="不适用"),"",IFERROR(INDEX(_怪物模型!$E$2:$E$4501,(INT($J15)-1)*ROWS(_怪物类型!$A$2:$A$10)+MATCH($F15,_怪物类型!$A$2:$A$10,0))*IF($L15="",1,$L15),""))</f>
        <v/>
      </c>
      <c r="U15" s="74">
        <f>IF(OR($J15="",$F15="不适用"),"",IFERROR(INDEX(_怪物模型!$F$2:$F$4501,(INT($J15)-1)*ROWS(_怪物类型!$A$2:$A$10)+MATCH($F15,_怪物类型!$A$2:$A$10,0))*IF($M15="",1,$M15),""))</f>
        <v/>
      </c>
      <c r="V15" s="75">
        <f>IF($U15="","",MIN(0.75,$U15/($U15+24000)))</f>
        <v/>
      </c>
      <c r="W15" s="76">
        <f>IF($S15="","",$S15/(1-$V15)*IF($N15="",1,$N15))</f>
        <v/>
      </c>
      <c r="X15" s="76">
        <f>IF(OR($W15="",$Q15="",$Q15=0),"",$W15/$Q15)</f>
        <v/>
      </c>
      <c r="Y15" s="76">
        <f>IF(OR($R15="",$T15="",$T15=0),"",$R15/($T15*IF($O15="",1,$O15)))</f>
        <v/>
      </c>
      <c r="Z15" s="77">
        <f>IF(OR($X15="",$P15="",$P15=0),"",$X15/$P15)</f>
        <v/>
      </c>
      <c r="AA15" s="27">
        <f>IF($J15="","待填怪物等级",IF(OR($I15="",$Q15=""),"待填对照关卡",IF($P15="","已计算",IF(AND($Y15&lt;&gt;"",$Y15&lt;$X15),"生存不成立",IF($Z15&lt;0.5,"碾压",IF($Z15&lt;0.8,"偏简单",IF($Z15&lt;=1.2,"适中",IF($Z15&lt;=1.5,"偏难","过难"))))))))</f>
        <v/>
      </c>
      <c r="AB15" s="27">
        <f>IF($J15="","待填",IF(AND(ISNUMBER($J15),$J15&gt;=1,$J15&lt;=500,MOD($J15,1)=0),"有效","超范围"))</f>
        <v/>
      </c>
      <c r="AC15" s="27">
        <f>IF(OR($J15="",ROW()=5,$B15&lt;&gt;$B14,$J14=""),"",IF($J15&lt;$J14,"下降",""))</f>
        <v/>
      </c>
      <c r="AD15" s="28" t="inlineStr">
        <is>
          <t>2026-08-27 新玩家节点曲线校准；对照S11；等级22→22；保留原难度定位。  2026-08-31 推荐战力：本章Boss反查锚点p2-&gt;p8线性递增（60s击杀/扛20s）；</t>
        </is>
      </c>
      <c r="AE15" t="n">
        <v>7830</v>
      </c>
      <c r="AF15">
        <f>INDEX(_统一战力!$B$2:$B$501,J15)</f>
        <v/>
      </c>
    </row>
    <row r="16" ht="25" customHeight="1">
      <c r="A16" s="27" t="inlineStr">
        <is>
          <t>当前配置</t>
        </is>
      </c>
      <c r="B16" s="27" t="inlineStr">
        <is>
          <t>主线</t>
        </is>
      </c>
      <c r="C16" s="28" t="inlineStr">
        <is>
          <t>第一章</t>
        </is>
      </c>
      <c r="D16" s="28" t="inlineStr">
        <is>
          <t>1-8</t>
        </is>
      </c>
      <c r="E16" s="28" t="inlineStr">
        <is>
          <t>100108</t>
        </is>
      </c>
      <c r="F16" s="27" t="inlineStr">
        <is>
          <t>Boss</t>
        </is>
      </c>
      <c r="G16" s="37" t="n">
        <v>12</v>
      </c>
      <c r="H16" s="38" t="n"/>
      <c r="I16" s="39">
        <f>IF($H16="",$G16,$H16)</f>
        <v/>
      </c>
      <c r="J16" s="40" t="n">
        <v>23</v>
      </c>
      <c r="K16" s="72" t="n">
        <v>1.03381338931493</v>
      </c>
      <c r="L16" s="72" t="n">
        <v>0.644622093023256</v>
      </c>
      <c r="M16" s="72" t="n">
        <v>0.9544937428896469</v>
      </c>
      <c r="N16" s="73" t="n"/>
      <c r="O16" s="73" t="n"/>
      <c r="P16" s="73" t="n"/>
      <c r="Q16" s="74">
        <f>IF($I16="","",IFERROR(INDEX(_玩家曲线!$H$2:$H$286,MATCH($I16,_玩家曲线!$A$2:$A$286,0)),""))</f>
        <v/>
      </c>
      <c r="R16" s="74">
        <f>IF($I16="","",IFERROR(INDEX(_玩家曲线!$I$2:$I$286,MATCH($I16,_玩家曲线!$A$2:$A$286,0)),""))</f>
        <v/>
      </c>
      <c r="S16" s="74">
        <f>IF(OR($J16="",$F16="不适用"),"",IFERROR(INDEX(_怪物模型!$D$2:$D$4501,(INT($J16)-1)*ROWS(_怪物类型!$A$2:$A$10)+MATCH($F16,_怪物类型!$A$2:$A$10,0))*IF($K16="",1,$K16),""))</f>
        <v/>
      </c>
      <c r="T16" s="74">
        <f>IF(OR($J16="",$F16="不适用"),"",IFERROR(INDEX(_怪物模型!$E$2:$E$4501,(INT($J16)-1)*ROWS(_怪物类型!$A$2:$A$10)+MATCH($F16,_怪物类型!$A$2:$A$10,0))*IF($L16="",1,$L16),""))</f>
        <v/>
      </c>
      <c r="U16" s="74">
        <f>IF(OR($J16="",$F16="不适用"),"",IFERROR(INDEX(_怪物模型!$F$2:$F$4501,(INT($J16)-1)*ROWS(_怪物类型!$A$2:$A$10)+MATCH($F16,_怪物类型!$A$2:$A$10,0))*IF($M16="",1,$M16),""))</f>
        <v/>
      </c>
      <c r="V16" s="75">
        <f>IF($U16="","",MIN(0.75,$U16/($U16+24000)))</f>
        <v/>
      </c>
      <c r="W16" s="76">
        <f>IF($S16="","",$S16/(1-$V16)*IF($N16="",1,$N16))</f>
        <v/>
      </c>
      <c r="X16" s="76">
        <f>IF(OR($W16="",$Q16="",$Q16=0),"",$W16/$Q16)</f>
        <v/>
      </c>
      <c r="Y16" s="76">
        <f>IF(OR($R16="",$T16="",$T16=0),"",$R16/($T16*IF($O16="",1,$O16)))</f>
        <v/>
      </c>
      <c r="Z16" s="77">
        <f>IF(OR($X16="",$P16="",$P16=0),"",$X16/$P16)</f>
        <v/>
      </c>
      <c r="AA16" s="27">
        <f>IF($J16="","待填怪物等级",IF(OR($I16="",$Q16=""),"待填对照关卡",IF($P16="","已计算",IF(AND($Y16&lt;&gt;"",$Y16&lt;$X16),"生存不成立",IF($Z16&lt;0.5,"碾压",IF($Z16&lt;0.8,"偏简单",IF($Z16&lt;=1.2,"适中",IF($Z16&lt;=1.5,"偏难","过难"))))))))</f>
        <v/>
      </c>
      <c r="AB16" s="27">
        <f>IF($J16="","待填",IF(AND(ISNUMBER($J16),$J16&gt;=1,$J16&lt;=500,MOD($J16,1)=0),"有效","超范围"))</f>
        <v/>
      </c>
      <c r="AC16" s="27">
        <f>IF(OR($J16="",ROW()=5,$B16&lt;&gt;$B15,$J15=""),"",IF($J16&lt;$J15,"下降",""))</f>
        <v/>
      </c>
      <c r="AD16" s="28" t="inlineStr">
        <is>
          <t>2026-08-27 新玩家节点曲线校准；对照S12；等级23→23；保留原难度定位。  2026-08-31 推荐战力：本章Boss反查锚点p2-&gt;p8线性递增（60s击杀/扛20s）；</t>
        </is>
      </c>
      <c r="AE16" t="n">
        <v>8610</v>
      </c>
      <c r="AF16">
        <f>INDEX(_统一战力!$B$2:$B$501,J16)</f>
        <v/>
      </c>
    </row>
    <row r="17" ht="25" customHeight="1">
      <c r="A17" s="27" t="inlineStr">
        <is>
          <t>当前配置</t>
        </is>
      </c>
      <c r="B17" s="27" t="inlineStr">
        <is>
          <t>主线</t>
        </is>
      </c>
      <c r="C17" s="28" t="inlineStr">
        <is>
          <t>第二章</t>
        </is>
      </c>
      <c r="D17" s="28" t="inlineStr">
        <is>
          <t>2-1</t>
        </is>
      </c>
      <c r="E17" s="28" t="inlineStr">
        <is>
          <t>100201</t>
        </is>
      </c>
      <c r="F17" s="27" t="inlineStr">
        <is>
          <t>普通怪</t>
        </is>
      </c>
      <c r="G17" s="37" t="n">
        <v>13</v>
      </c>
      <c r="H17" s="38" t="n"/>
      <c r="I17" s="39">
        <f>IF($H17="",$G17,$H17)</f>
        <v/>
      </c>
      <c r="J17" s="40" t="n">
        <v>25</v>
      </c>
      <c r="K17" s="72" t="n">
        <v>0.95703125</v>
      </c>
      <c r="L17" s="72" t="n">
        <v>0.8</v>
      </c>
      <c r="M17" s="72" t="n">
        <v>0.953573291601461</v>
      </c>
      <c r="N17" s="73" t="n"/>
      <c r="O17" s="73" t="n"/>
      <c r="P17" s="73" t="n"/>
      <c r="Q17" s="74">
        <f>IF($I17="","",IFERROR(INDEX(_玩家曲线!$H$2:$H$286,MATCH($I17,_玩家曲线!$A$2:$A$286,0)),""))</f>
        <v/>
      </c>
      <c r="R17" s="74">
        <f>IF($I17="","",IFERROR(INDEX(_玩家曲线!$I$2:$I$286,MATCH($I17,_玩家曲线!$A$2:$A$286,0)),""))</f>
        <v/>
      </c>
      <c r="S17" s="74">
        <f>IF(OR($J17="",$F17="不适用"),"",IFERROR(INDEX(_怪物模型!$D$2:$D$4501,(INT($J17)-1)*ROWS(_怪物类型!$A$2:$A$10)+MATCH($F17,_怪物类型!$A$2:$A$10,0))*IF($K17="",1,$K17),""))</f>
        <v/>
      </c>
      <c r="T17" s="74">
        <f>IF(OR($J17="",$F17="不适用"),"",IFERROR(INDEX(_怪物模型!$E$2:$E$4501,(INT($J17)-1)*ROWS(_怪物类型!$A$2:$A$10)+MATCH($F17,_怪物类型!$A$2:$A$10,0))*IF($L17="",1,$L17),""))</f>
        <v/>
      </c>
      <c r="U17" s="74">
        <f>IF(OR($J17="",$F17="不适用"),"",IFERROR(INDEX(_怪物模型!$F$2:$F$4501,(INT($J17)-1)*ROWS(_怪物类型!$A$2:$A$10)+MATCH($F17,_怪物类型!$A$2:$A$10,0))*IF($M17="",1,$M17),""))</f>
        <v/>
      </c>
      <c r="V17" s="75">
        <f>IF($U17="","",MIN(0.75,$U17/($U17+24000)))</f>
        <v/>
      </c>
      <c r="W17" s="76">
        <f>IF($S17="","",$S17/(1-$V17)*IF($N17="",1,$N17))</f>
        <v/>
      </c>
      <c r="X17" s="76">
        <f>IF(OR($W17="",$Q17="",$Q17=0),"",$W17/$Q17)</f>
        <v/>
      </c>
      <c r="Y17" s="76">
        <f>IF(OR($R17="",$T17="",$T17=0),"",$R17/($T17*IF($O17="",1,$O17)))</f>
        <v/>
      </c>
      <c r="Z17" s="77">
        <f>IF(OR($X17="",$P17="",$P17=0),"",$X17/$P17)</f>
        <v/>
      </c>
      <c r="AA17" s="27">
        <f>IF($J17="","待填怪物等级",IF(OR($I17="",$Q17=""),"待填对照关卡",IF($P17="","已计算",IF(AND($Y17&lt;&gt;"",$Y17&lt;$X17),"生存不成立",IF($Z17&lt;0.5,"碾压",IF($Z17&lt;0.8,"偏简单",IF($Z17&lt;=1.2,"适中",IF($Z17&lt;=1.5,"偏难","过难"))))))))</f>
        <v/>
      </c>
      <c r="AB17" s="27">
        <f>IF($J17="","待填",IF(AND(ISNUMBER($J17),$J17&gt;=1,$J17&lt;=500,MOD($J17,1)=0),"有效","超范围"))</f>
        <v/>
      </c>
      <c r="AC17" s="27">
        <f>IF(OR($J17="",ROW()=5,$B17&lt;&gt;$B16,$J16=""),"",IF($J17&lt;$J16,"下降",""))</f>
        <v/>
      </c>
      <c r="AD17" s="28" t="inlineStr">
        <is>
          <t>2026-08-27 新玩家节点曲线校准；对照S13；等级25→25；保留原难度定位。  2026-08-31 推荐战力：本章Boss反查锚点p8-&gt;p17线性递增（60s击杀/扛20s）；</t>
        </is>
      </c>
      <c r="AE17" t="n">
        <v>9540</v>
      </c>
      <c r="AF17">
        <f>INDEX(_统一战力!$B$2:$B$501,J17)</f>
        <v/>
      </c>
    </row>
    <row r="18" ht="25" customHeight="1">
      <c r="A18" s="27" t="inlineStr">
        <is>
          <t>当前配置</t>
        </is>
      </c>
      <c r="B18" s="27" t="inlineStr">
        <is>
          <t>主线</t>
        </is>
      </c>
      <c r="C18" s="28" t="inlineStr">
        <is>
          <t>第二章</t>
        </is>
      </c>
      <c r="D18" s="28" t="inlineStr">
        <is>
          <t>2-2</t>
        </is>
      </c>
      <c r="E18" s="28" t="inlineStr">
        <is>
          <t>100202</t>
        </is>
      </c>
      <c r="F18" s="27" t="inlineStr">
        <is>
          <t>普通怪</t>
        </is>
      </c>
      <c r="G18" s="37" t="n">
        <v>14</v>
      </c>
      <c r="H18" s="38" t="n"/>
      <c r="I18" s="39">
        <f>IF($H18="",$G18,$H18)</f>
        <v/>
      </c>
      <c r="J18" s="40" t="n">
        <v>27</v>
      </c>
      <c r="K18" s="72" t="n">
        <v>0.957026967770226</v>
      </c>
      <c r="L18" s="72" t="n">
        <v>0.807201800450113</v>
      </c>
      <c r="M18" s="72" t="n">
        <v>0.953275529865125</v>
      </c>
      <c r="N18" s="73" t="n"/>
      <c r="O18" s="73" t="n"/>
      <c r="P18" s="73" t="n"/>
      <c r="Q18" s="74">
        <f>IF($I18="","",IFERROR(INDEX(_玩家曲线!$H$2:$H$286,MATCH($I18,_玩家曲线!$A$2:$A$286,0)),""))</f>
        <v/>
      </c>
      <c r="R18" s="74">
        <f>IF($I18="","",IFERROR(INDEX(_玩家曲线!$I$2:$I$286,MATCH($I18,_玩家曲线!$A$2:$A$286,0)),""))</f>
        <v/>
      </c>
      <c r="S18" s="74">
        <f>IF(OR($J18="",$F18="不适用"),"",IFERROR(INDEX(_怪物模型!$D$2:$D$4501,(INT($J18)-1)*ROWS(_怪物类型!$A$2:$A$10)+MATCH($F18,_怪物类型!$A$2:$A$10,0))*IF($K18="",1,$K18),""))</f>
        <v/>
      </c>
      <c r="T18" s="74">
        <f>IF(OR($J18="",$F18="不适用"),"",IFERROR(INDEX(_怪物模型!$E$2:$E$4501,(INT($J18)-1)*ROWS(_怪物类型!$A$2:$A$10)+MATCH($F18,_怪物类型!$A$2:$A$10,0))*IF($L18="",1,$L18),""))</f>
        <v/>
      </c>
      <c r="U18" s="74">
        <f>IF(OR($J18="",$F18="不适用"),"",IFERROR(INDEX(_怪物模型!$F$2:$F$4501,(INT($J18)-1)*ROWS(_怪物类型!$A$2:$A$10)+MATCH($F18,_怪物类型!$A$2:$A$10,0))*IF($M18="",1,$M18),""))</f>
        <v/>
      </c>
      <c r="V18" s="75">
        <f>IF($U18="","",MIN(0.75,$U18/($U18+24000)))</f>
        <v/>
      </c>
      <c r="W18" s="76">
        <f>IF($S18="","",$S18/(1-$V18)*IF($N18="",1,$N18))</f>
        <v/>
      </c>
      <c r="X18" s="76">
        <f>IF(OR($W18="",$Q18="",$Q18=0),"",$W18/$Q18)</f>
        <v/>
      </c>
      <c r="Y18" s="76">
        <f>IF(OR($R18="",$T18="",$T18=0),"",$R18/($T18*IF($O18="",1,$O18)))</f>
        <v/>
      </c>
      <c r="Z18" s="77">
        <f>IF(OR($X18="",$P18="",$P18=0),"",$X18/$P18)</f>
        <v/>
      </c>
      <c r="AA18" s="27">
        <f>IF($J18="","待填怪物等级",IF(OR($I18="",$Q18=""),"待填对照关卡",IF($P18="","已计算",IF(AND($Y18&lt;&gt;"",$Y18&lt;$X18),"生存不成立",IF($Z18&lt;0.5,"碾压",IF($Z18&lt;0.8,"偏简单",IF($Z18&lt;=1.2,"适中",IF($Z18&lt;=1.5,"偏难","过难"))))))))</f>
        <v/>
      </c>
      <c r="AB18" s="27">
        <f>IF($J18="","待填",IF(AND(ISNUMBER($J18),$J18&gt;=1,$J18&lt;=500,MOD($J18,1)=0),"有效","超范围"))</f>
        <v/>
      </c>
      <c r="AC18" s="27">
        <f>IF(OR($J18="",ROW()=5,$B18&lt;&gt;$B17,$J17=""),"",IF($J18&lt;$J17,"下降",""))</f>
        <v/>
      </c>
      <c r="AD18" s="28" t="inlineStr">
        <is>
          <t>2026-08-27 新玩家节点曲线校准；对照S14；等级27→27；保留原难度定位。  2026-08-31 推荐战力：本章Boss反查锚点p8-&gt;p17线性递增（60s击杀/扛20s）；</t>
        </is>
      </c>
      <c r="AE18" t="n">
        <v>10500</v>
      </c>
      <c r="AF18">
        <f>INDEX(_统一战力!$B$2:$B$501,J18)</f>
        <v/>
      </c>
    </row>
    <row r="19" ht="25" customHeight="1">
      <c r="A19" s="27" t="inlineStr">
        <is>
          <t>当前配置</t>
        </is>
      </c>
      <c r="B19" s="27" t="inlineStr">
        <is>
          <t>主线</t>
        </is>
      </c>
      <c r="C19" s="28" t="inlineStr">
        <is>
          <t>第二章</t>
        </is>
      </c>
      <c r="D19" s="28" t="inlineStr">
        <is>
          <t>2-3</t>
        </is>
      </c>
      <c r="E19" s="28" t="inlineStr">
        <is>
          <t>100203</t>
        </is>
      </c>
      <c r="F19" s="27" t="inlineStr">
        <is>
          <t>普通怪</t>
        </is>
      </c>
      <c r="G19" s="37" t="n">
        <v>15</v>
      </c>
      <c r="H19" s="38" t="n"/>
      <c r="I19" s="39">
        <f>IF($H19="",$G19,$H19)</f>
        <v/>
      </c>
      <c r="J19" s="40" t="n">
        <v>28</v>
      </c>
      <c r="K19" s="72" t="n">
        <v>0.956883982503645</v>
      </c>
      <c r="L19" s="72" t="n">
        <v>0.809935205183585</v>
      </c>
      <c r="M19" s="72" t="n">
        <v>0.953153988868275</v>
      </c>
      <c r="N19" s="73" t="n"/>
      <c r="O19" s="73" t="n"/>
      <c r="P19" s="73" t="n"/>
      <c r="Q19" s="74">
        <f>IF($I19="","",IFERROR(INDEX(_玩家曲线!$H$2:$H$286,MATCH($I19,_玩家曲线!$A$2:$A$286,0)),""))</f>
        <v/>
      </c>
      <c r="R19" s="74">
        <f>IF($I19="","",IFERROR(INDEX(_玩家曲线!$I$2:$I$286,MATCH($I19,_玩家曲线!$A$2:$A$286,0)),""))</f>
        <v/>
      </c>
      <c r="S19" s="74">
        <f>IF(OR($J19="",$F19="不适用"),"",IFERROR(INDEX(_怪物模型!$D$2:$D$4501,(INT($J19)-1)*ROWS(_怪物类型!$A$2:$A$10)+MATCH($F19,_怪物类型!$A$2:$A$10,0))*IF($K19="",1,$K19),""))</f>
        <v/>
      </c>
      <c r="T19" s="74">
        <f>IF(OR($J19="",$F19="不适用"),"",IFERROR(INDEX(_怪物模型!$E$2:$E$4501,(INT($J19)-1)*ROWS(_怪物类型!$A$2:$A$10)+MATCH($F19,_怪物类型!$A$2:$A$10,0))*IF($L19="",1,$L19),""))</f>
        <v/>
      </c>
      <c r="U19" s="74">
        <f>IF(OR($J19="",$F19="不适用"),"",IFERROR(INDEX(_怪物模型!$F$2:$F$4501,(INT($J19)-1)*ROWS(_怪物类型!$A$2:$A$10)+MATCH($F19,_怪物类型!$A$2:$A$10,0))*IF($M19="",1,$M19),""))</f>
        <v/>
      </c>
      <c r="V19" s="75">
        <f>IF($U19="","",MIN(0.75,$U19/($U19+24000)))</f>
        <v/>
      </c>
      <c r="W19" s="76">
        <f>IF($S19="","",$S19/(1-$V19)*IF($N19="",1,$N19))</f>
        <v/>
      </c>
      <c r="X19" s="76">
        <f>IF(OR($W19="",$Q19="",$Q19=0),"",$W19/$Q19)</f>
        <v/>
      </c>
      <c r="Y19" s="76">
        <f>IF(OR($R19="",$T19="",$T19=0),"",$R19/($T19*IF($O19="",1,$O19)))</f>
        <v/>
      </c>
      <c r="Z19" s="77">
        <f>IF(OR($X19="",$P19="",$P19=0),"",$X19/$P19)</f>
        <v/>
      </c>
      <c r="AA19" s="27">
        <f>IF($J19="","待填怪物等级",IF(OR($I19="",$Q19=""),"待填对照关卡",IF($P19="","已计算",IF(AND($Y19&lt;&gt;"",$Y19&lt;$X19),"生存不成立",IF($Z19&lt;0.5,"碾压",IF($Z19&lt;0.8,"偏简单",IF($Z19&lt;=1.2,"适中",IF($Z19&lt;=1.5,"偏难","过难"))))))))</f>
        <v/>
      </c>
      <c r="AB19" s="27">
        <f>IF($J19="","待填",IF(AND(ISNUMBER($J19),$J19&gt;=1,$J19&lt;=500,MOD($J19,1)=0),"有效","超范围"))</f>
        <v/>
      </c>
      <c r="AC19" s="27">
        <f>IF(OR($J19="",ROW()=5,$B19&lt;&gt;$B18,$J18=""),"",IF($J19&lt;$J18,"下降",""))</f>
        <v/>
      </c>
      <c r="AD19" s="28" t="inlineStr">
        <is>
          <t>2026-08-27 新玩家节点曲线校准；对照S15；等级28→28；保留原难度定位。  2026-08-31 推荐战力：本章Boss反查锚点p8-&gt;p17线性递增（60s击杀/扛20s）；</t>
        </is>
      </c>
      <c r="AE19" t="n">
        <v>11400</v>
      </c>
      <c r="AF19">
        <f>INDEX(_统一战力!$B$2:$B$501,J19)</f>
        <v/>
      </c>
    </row>
    <row r="20" ht="25" customHeight="1">
      <c r="A20" s="27" t="inlineStr">
        <is>
          <t>当前配置</t>
        </is>
      </c>
      <c r="B20" s="27" t="inlineStr">
        <is>
          <t>主线</t>
        </is>
      </c>
      <c r="C20" s="28" t="inlineStr">
        <is>
          <t>第二章</t>
        </is>
      </c>
      <c r="D20" s="28" t="inlineStr">
        <is>
          <t>2-4</t>
        </is>
      </c>
      <c r="E20" s="28" t="inlineStr">
        <is>
          <t>100204</t>
        </is>
      </c>
      <c r="F20" s="27" t="inlineStr">
        <is>
          <t>普通怪</t>
        </is>
      </c>
      <c r="G20" s="37" t="n">
        <v>16</v>
      </c>
      <c r="H20" s="38" t="n"/>
      <c r="I20" s="39">
        <f>IF($H20="",$G20,$H20)</f>
        <v/>
      </c>
      <c r="J20" s="40" t="n">
        <v>30</v>
      </c>
      <c r="K20" s="72" t="n">
        <v>0.956767981876534</v>
      </c>
      <c r="L20" s="72" t="n">
        <v>0.8159999999999999</v>
      </c>
      <c r="M20" s="72" t="n">
        <v>0.952524816573155</v>
      </c>
      <c r="N20" s="73" t="n"/>
      <c r="O20" s="73" t="n"/>
      <c r="P20" s="73" t="n"/>
      <c r="Q20" s="74">
        <f>IF($I20="","",IFERROR(INDEX(_玩家曲线!$H$2:$H$286,MATCH($I20,_玩家曲线!$A$2:$A$286,0)),""))</f>
        <v/>
      </c>
      <c r="R20" s="74">
        <f>IF($I20="","",IFERROR(INDEX(_玩家曲线!$I$2:$I$286,MATCH($I20,_玩家曲线!$A$2:$A$286,0)),""))</f>
        <v/>
      </c>
      <c r="S20" s="74">
        <f>IF(OR($J20="",$F20="不适用"),"",IFERROR(INDEX(_怪物模型!$D$2:$D$4501,(INT($J20)-1)*ROWS(_怪物类型!$A$2:$A$10)+MATCH($F20,_怪物类型!$A$2:$A$10,0))*IF($K20="",1,$K20),""))</f>
        <v/>
      </c>
      <c r="T20" s="74">
        <f>IF(OR($J20="",$F20="不适用"),"",IFERROR(INDEX(_怪物模型!$E$2:$E$4501,(INT($J20)-1)*ROWS(_怪物类型!$A$2:$A$10)+MATCH($F20,_怪物类型!$A$2:$A$10,0))*IF($L20="",1,$L20),""))</f>
        <v/>
      </c>
      <c r="U20" s="74">
        <f>IF(OR($J20="",$F20="不适用"),"",IFERROR(INDEX(_怪物模型!$F$2:$F$4501,(INT($J20)-1)*ROWS(_怪物类型!$A$2:$A$10)+MATCH($F20,_怪物类型!$A$2:$A$10,0))*IF($M20="",1,$M20),""))</f>
        <v/>
      </c>
      <c r="V20" s="75">
        <f>IF($U20="","",MIN(0.75,$U20/($U20+24000)))</f>
        <v/>
      </c>
      <c r="W20" s="76">
        <f>IF($S20="","",$S20/(1-$V20)*IF($N20="",1,$N20))</f>
        <v/>
      </c>
      <c r="X20" s="76">
        <f>IF(OR($W20="",$Q20="",$Q20=0),"",$W20/$Q20)</f>
        <v/>
      </c>
      <c r="Y20" s="76">
        <f>IF(OR($R20="",$T20="",$T20=0),"",$R20/($T20*IF($O20="",1,$O20)))</f>
        <v/>
      </c>
      <c r="Z20" s="77">
        <f>IF(OR($X20="",$P20="",$P20=0),"",$X20/$P20)</f>
        <v/>
      </c>
      <c r="AA20" s="27">
        <f>IF($J20="","待填怪物等级",IF(OR($I20="",$Q20=""),"待填对照关卡",IF($P20="","已计算",IF(AND($Y20&lt;&gt;"",$Y20&lt;$X20),"生存不成立",IF($Z20&lt;0.5,"碾压",IF($Z20&lt;0.8,"偏简单",IF($Z20&lt;=1.2,"适中",IF($Z20&lt;=1.5,"偏难","过难"))))))))</f>
        <v/>
      </c>
      <c r="AB20" s="27">
        <f>IF($J20="","待填",IF(AND(ISNUMBER($J20),$J20&gt;=1,$J20&lt;=500,MOD($J20,1)=0),"有效","超范围"))</f>
        <v/>
      </c>
      <c r="AC20" s="27">
        <f>IF(OR($J20="",ROW()=5,$B20&lt;&gt;$B19,$J19=""),"",IF($J20&lt;$J19,"下降",""))</f>
        <v/>
      </c>
      <c r="AD20" s="28" t="inlineStr">
        <is>
          <t>2026-08-27 新玩家节点曲线校准；对照S16；等级30→30；保留原难度定位。  2026-08-31 推荐战力：本章Boss反查锚点p8-&gt;p17线性递增（60s击杀/扛20s）；</t>
        </is>
      </c>
      <c r="AE20" t="n">
        <v>12300</v>
      </c>
      <c r="AF20">
        <f>INDEX(_统一战力!$B$2:$B$501,J20)</f>
        <v/>
      </c>
    </row>
    <row r="21" ht="25" customHeight="1">
      <c r="A21" s="27" t="inlineStr">
        <is>
          <t>当前配置</t>
        </is>
      </c>
      <c r="B21" s="27" t="inlineStr">
        <is>
          <t>主线</t>
        </is>
      </c>
      <c r="C21" s="28" t="inlineStr">
        <is>
          <t>第二章</t>
        </is>
      </c>
      <c r="D21" s="28" t="inlineStr">
        <is>
          <t>2-5</t>
        </is>
      </c>
      <c r="E21" s="28" t="inlineStr">
        <is>
          <t>100205</t>
        </is>
      </c>
      <c r="F21" s="27" t="inlineStr">
        <is>
          <t>普通怪</t>
        </is>
      </c>
      <c r="G21" s="37" t="n">
        <v>17</v>
      </c>
      <c r="H21" s="38" t="n"/>
      <c r="I21" s="39">
        <f>IF($H21="",$G21,$H21)</f>
        <v/>
      </c>
      <c r="J21" s="40" t="n">
        <v>32</v>
      </c>
      <c r="K21" s="72" t="n">
        <v>0.956641431520991</v>
      </c>
      <c r="L21" s="72" t="n">
        <v>0.822690638561686</v>
      </c>
      <c r="M21" s="72" t="n">
        <v>0.952400161355385</v>
      </c>
      <c r="N21" s="73" t="n"/>
      <c r="O21" s="73" t="n"/>
      <c r="P21" s="73" t="n"/>
      <c r="Q21" s="74">
        <f>IF($I21="","",IFERROR(INDEX(_玩家曲线!$H$2:$H$286,MATCH($I21,_玩家曲线!$A$2:$A$286,0)),""))</f>
        <v/>
      </c>
      <c r="R21" s="74">
        <f>IF($I21="","",IFERROR(INDEX(_玩家曲线!$I$2:$I$286,MATCH($I21,_玩家曲线!$A$2:$A$286,0)),""))</f>
        <v/>
      </c>
      <c r="S21" s="74">
        <f>IF(OR($J21="",$F21="不适用"),"",IFERROR(INDEX(_怪物模型!$D$2:$D$4501,(INT($J21)-1)*ROWS(_怪物类型!$A$2:$A$10)+MATCH($F21,_怪物类型!$A$2:$A$10,0))*IF($K21="",1,$K21),""))</f>
        <v/>
      </c>
      <c r="T21" s="74">
        <f>IF(OR($J21="",$F21="不适用"),"",IFERROR(INDEX(_怪物模型!$E$2:$E$4501,(INT($J21)-1)*ROWS(_怪物类型!$A$2:$A$10)+MATCH($F21,_怪物类型!$A$2:$A$10,0))*IF($L21="",1,$L21),""))</f>
        <v/>
      </c>
      <c r="U21" s="74">
        <f>IF(OR($J21="",$F21="不适用"),"",IFERROR(INDEX(_怪物模型!$F$2:$F$4501,(INT($J21)-1)*ROWS(_怪物类型!$A$2:$A$10)+MATCH($F21,_怪物类型!$A$2:$A$10,0))*IF($M21="",1,$M21),""))</f>
        <v/>
      </c>
      <c r="V21" s="75">
        <f>IF($U21="","",MIN(0.75,$U21/($U21+24000)))</f>
        <v/>
      </c>
      <c r="W21" s="76">
        <f>IF($S21="","",$S21/(1-$V21)*IF($N21="",1,$N21))</f>
        <v/>
      </c>
      <c r="X21" s="76">
        <f>IF(OR($W21="",$Q21="",$Q21=0),"",$W21/$Q21)</f>
        <v/>
      </c>
      <c r="Y21" s="76">
        <f>IF(OR($R21="",$T21="",$T21=0),"",$R21/($T21*IF($O21="",1,$O21)))</f>
        <v/>
      </c>
      <c r="Z21" s="77">
        <f>IF(OR($X21="",$P21="",$P21=0),"",$X21/$P21)</f>
        <v/>
      </c>
      <c r="AA21" s="27">
        <f>IF($J21="","待填怪物等级",IF(OR($I21="",$Q21=""),"待填对照关卡",IF($P21="","已计算",IF(AND($Y21&lt;&gt;"",$Y21&lt;$X21),"生存不成立",IF($Z21&lt;0.5,"碾压",IF($Z21&lt;0.8,"偏简单",IF($Z21&lt;=1.2,"适中",IF($Z21&lt;=1.5,"偏难","过难"))))))))</f>
        <v/>
      </c>
      <c r="AB21" s="27">
        <f>IF($J21="","待填",IF(AND(ISNUMBER($J21),$J21&gt;=1,$J21&lt;=500,MOD($J21,1)=0),"有效","超范围"))</f>
        <v/>
      </c>
      <c r="AC21" s="27">
        <f>IF(OR($J21="",ROW()=5,$B21&lt;&gt;$B20,$J20=""),"",IF($J21&lt;$J20,"下降",""))</f>
        <v/>
      </c>
      <c r="AD21" s="28" t="inlineStr">
        <is>
          <t>2026-08-27 新玩家节点曲线校准；对照S17；等级32→32；保留原难度定位。  2026-08-31 推荐战力：本章Boss反查锚点p8-&gt;p17线性递增（60s击杀/扛20s）；</t>
        </is>
      </c>
      <c r="AE21" t="n">
        <v>13300</v>
      </c>
      <c r="AF21">
        <f>INDEX(_统一战力!$B$2:$B$501,J21)</f>
        <v/>
      </c>
    </row>
    <row r="22" ht="25" customHeight="1">
      <c r="A22" s="27" t="inlineStr">
        <is>
          <t>当前配置</t>
        </is>
      </c>
      <c r="B22" s="27" t="inlineStr">
        <is>
          <t>主线</t>
        </is>
      </c>
      <c r="C22" s="28" t="inlineStr">
        <is>
          <t>第二章</t>
        </is>
      </c>
      <c r="D22" s="28" t="inlineStr">
        <is>
          <t>2-6</t>
        </is>
      </c>
      <c r="E22" s="28" t="inlineStr">
        <is>
          <t>100206</t>
        </is>
      </c>
      <c r="F22" s="27" t="inlineStr">
        <is>
          <t>普通怪</t>
        </is>
      </c>
      <c r="G22" s="37" t="n">
        <v>18</v>
      </c>
      <c r="H22" s="38" t="n"/>
      <c r="I22" s="39">
        <f>IF($H22="",$G22,$H22)</f>
        <v/>
      </c>
      <c r="J22" s="40" t="n">
        <v>33</v>
      </c>
      <c r="K22" s="72" t="n">
        <v>0.956564659427443</v>
      </c>
      <c r="L22" s="72" t="n">
        <v>0.82525433871933</v>
      </c>
      <c r="M22" s="72" t="n">
        <v>0.951953125</v>
      </c>
      <c r="N22" s="73" t="n"/>
      <c r="O22" s="73" t="n"/>
      <c r="P22" s="73" t="n"/>
      <c r="Q22" s="74">
        <f>IF($I22="","",IFERROR(INDEX(_玩家曲线!$H$2:$H$286,MATCH($I22,_玩家曲线!$A$2:$A$286,0)),""))</f>
        <v/>
      </c>
      <c r="R22" s="74">
        <f>IF($I22="","",IFERROR(INDEX(_玩家曲线!$I$2:$I$286,MATCH($I22,_玩家曲线!$A$2:$A$286,0)),""))</f>
        <v/>
      </c>
      <c r="S22" s="74">
        <f>IF(OR($J22="",$F22="不适用"),"",IFERROR(INDEX(_怪物模型!$D$2:$D$4501,(INT($J22)-1)*ROWS(_怪物类型!$A$2:$A$10)+MATCH($F22,_怪物类型!$A$2:$A$10,0))*IF($K22="",1,$K22),""))</f>
        <v/>
      </c>
      <c r="T22" s="74">
        <f>IF(OR($J22="",$F22="不适用"),"",IFERROR(INDEX(_怪物模型!$E$2:$E$4501,(INT($J22)-1)*ROWS(_怪物类型!$A$2:$A$10)+MATCH($F22,_怪物类型!$A$2:$A$10,0))*IF($L22="",1,$L22),""))</f>
        <v/>
      </c>
      <c r="U22" s="74">
        <f>IF(OR($J22="",$F22="不适用"),"",IFERROR(INDEX(_怪物模型!$F$2:$F$4501,(INT($J22)-1)*ROWS(_怪物类型!$A$2:$A$10)+MATCH($F22,_怪物类型!$A$2:$A$10,0))*IF($M22="",1,$M22),""))</f>
        <v/>
      </c>
      <c r="V22" s="75">
        <f>IF($U22="","",MIN(0.75,$U22/($U22+24000)))</f>
        <v/>
      </c>
      <c r="W22" s="76">
        <f>IF($S22="","",$S22/(1-$V22)*IF($N22="",1,$N22))</f>
        <v/>
      </c>
      <c r="X22" s="76">
        <f>IF(OR($W22="",$Q22="",$Q22=0),"",$W22/$Q22)</f>
        <v/>
      </c>
      <c r="Y22" s="76">
        <f>IF(OR($R22="",$T22="",$T22=0),"",$R22/($T22*IF($O22="",1,$O22)))</f>
        <v/>
      </c>
      <c r="Z22" s="77">
        <f>IF(OR($X22="",$P22="",$P22=0),"",$X22/$P22)</f>
        <v/>
      </c>
      <c r="AA22" s="27">
        <f>IF($J22="","待填怪物等级",IF(OR($I22="",$Q22=""),"待填对照关卡",IF($P22="","已计算",IF(AND($Y22&lt;&gt;"",$Y22&lt;$X22),"生存不成立",IF($Z22&lt;0.5,"碾压",IF($Z22&lt;0.8,"偏简单",IF($Z22&lt;=1.2,"适中",IF($Z22&lt;=1.5,"偏难","过难"))))))))</f>
        <v/>
      </c>
      <c r="AB22" s="27">
        <f>IF($J22="","待填",IF(AND(ISNUMBER($J22),$J22&gt;=1,$J22&lt;=500,MOD($J22,1)=0),"有效","超范围"))</f>
        <v/>
      </c>
      <c r="AC22" s="27">
        <f>IF(OR($J22="",ROW()=5,$B22&lt;&gt;$B21,$J21=""),"",IF($J22&lt;$J21,"下降",""))</f>
        <v/>
      </c>
      <c r="AD22" s="28" t="inlineStr">
        <is>
          <t>2026-08-27 新玩家节点曲线校准；对照S18；等级33→33；保留原难度定位。  2026-08-31 推荐战力：本章Boss反查锚点p8-&gt;p17线性递增（60s击杀/扛20s）；</t>
        </is>
      </c>
      <c r="AE22" t="n">
        <v>14200</v>
      </c>
      <c r="AF22">
        <f>INDEX(_统一战力!$B$2:$B$501,J22)</f>
        <v/>
      </c>
    </row>
    <row r="23" ht="25" customHeight="1">
      <c r="A23" s="27" t="inlineStr">
        <is>
          <t>当前配置</t>
        </is>
      </c>
      <c r="B23" s="27" t="inlineStr">
        <is>
          <t>主线</t>
        </is>
      </c>
      <c r="C23" s="28" t="inlineStr">
        <is>
          <t>第二章</t>
        </is>
      </c>
      <c r="D23" s="28" t="inlineStr">
        <is>
          <t>2-7</t>
        </is>
      </c>
      <c r="E23" s="28" t="inlineStr">
        <is>
          <t>100207</t>
        </is>
      </c>
      <c r="F23" s="27" t="inlineStr">
        <is>
          <t>普通怪</t>
        </is>
      </c>
      <c r="G23" s="37" t="n">
        <v>19</v>
      </c>
      <c r="H23" s="38" t="n"/>
      <c r="I23" s="39">
        <f>IF($H23="",$G23,$H23)</f>
        <v/>
      </c>
      <c r="J23" s="40" t="n">
        <v>36</v>
      </c>
      <c r="K23" s="72" t="n">
        <v>0.956402085747393</v>
      </c>
      <c r="L23" s="72" t="n">
        <v>0.834688346883469</v>
      </c>
      <c r="M23" s="72" t="n">
        <v>0.951515151515152</v>
      </c>
      <c r="N23" s="73" t="n"/>
      <c r="O23" s="73" t="n"/>
      <c r="P23" s="73" t="n"/>
      <c r="Q23" s="74">
        <f>IF($I23="","",IFERROR(INDEX(_玩家曲线!$H$2:$H$286,MATCH($I23,_玩家曲线!$A$2:$A$286,0)),""))</f>
        <v/>
      </c>
      <c r="R23" s="74">
        <f>IF($I23="","",IFERROR(INDEX(_玩家曲线!$I$2:$I$286,MATCH($I23,_玩家曲线!$A$2:$A$286,0)),""))</f>
        <v/>
      </c>
      <c r="S23" s="74">
        <f>IF(OR($J23="",$F23="不适用"),"",IFERROR(INDEX(_怪物模型!$D$2:$D$4501,(INT($J23)-1)*ROWS(_怪物类型!$A$2:$A$10)+MATCH($F23,_怪物类型!$A$2:$A$10,0))*IF($K23="",1,$K23),""))</f>
        <v/>
      </c>
      <c r="T23" s="74">
        <f>IF(OR($J23="",$F23="不适用"),"",IFERROR(INDEX(_怪物模型!$E$2:$E$4501,(INT($J23)-1)*ROWS(_怪物类型!$A$2:$A$10)+MATCH($F23,_怪物类型!$A$2:$A$10,0))*IF($L23="",1,$L23),""))</f>
        <v/>
      </c>
      <c r="U23" s="74">
        <f>IF(OR($J23="",$F23="不适用"),"",IFERROR(INDEX(_怪物模型!$F$2:$F$4501,(INT($J23)-1)*ROWS(_怪物类型!$A$2:$A$10)+MATCH($F23,_怪物类型!$A$2:$A$10,0))*IF($M23="",1,$M23),""))</f>
        <v/>
      </c>
      <c r="V23" s="75">
        <f>IF($U23="","",MIN(0.75,$U23/($U23+24000)))</f>
        <v/>
      </c>
      <c r="W23" s="76">
        <f>IF($S23="","",$S23/(1-$V23)*IF($N23="",1,$N23))</f>
        <v/>
      </c>
      <c r="X23" s="76">
        <f>IF(OR($W23="",$Q23="",$Q23=0),"",$W23/$Q23)</f>
        <v/>
      </c>
      <c r="Y23" s="76">
        <f>IF(OR($R23="",$T23="",$T23=0),"",$R23/($T23*IF($O23="",1,$O23)))</f>
        <v/>
      </c>
      <c r="Z23" s="77">
        <f>IF(OR($X23="",$P23="",$P23=0),"",$X23/$P23)</f>
        <v/>
      </c>
      <c r="AA23" s="27">
        <f>IF($J23="","待填怪物等级",IF(OR($I23="",$Q23=""),"待填对照关卡",IF($P23="","已计算",IF(AND($Y23&lt;&gt;"",$Y23&lt;$X23),"生存不成立",IF($Z23&lt;0.5,"碾压",IF($Z23&lt;0.8,"偏简单",IF($Z23&lt;=1.2,"适中",IF($Z23&lt;=1.5,"偏难","过难"))))))))</f>
        <v/>
      </c>
      <c r="AB23" s="27">
        <f>IF($J23="","待填",IF(AND(ISNUMBER($J23),$J23&gt;=1,$J23&lt;=500,MOD($J23,1)=0),"有效","超范围"))</f>
        <v/>
      </c>
      <c r="AC23" s="27">
        <f>IF(OR($J23="",ROW()=5,$B23&lt;&gt;$B22,$J22=""),"",IF($J23&lt;$J22,"下降",""))</f>
        <v/>
      </c>
      <c r="AD23" s="28" t="inlineStr">
        <is>
          <t>2026-08-27 新玩家节点曲线校准；对照S19；等级36→36；保留原难度定位。  2026-08-31 推荐战力：本章Boss反查锚点p8-&gt;p17线性递增（60s击杀/扛20s）；</t>
        </is>
      </c>
      <c r="AE23" t="n">
        <v>15100</v>
      </c>
      <c r="AF23">
        <f>INDEX(_统一战力!$B$2:$B$501,J23)</f>
        <v/>
      </c>
    </row>
    <row r="24" ht="25" customHeight="1">
      <c r="A24" s="27" t="inlineStr">
        <is>
          <t>当前配置</t>
        </is>
      </c>
      <c r="B24" s="27" t="inlineStr">
        <is>
          <t>主线</t>
        </is>
      </c>
      <c r="C24" s="28" t="inlineStr">
        <is>
          <t>第二章</t>
        </is>
      </c>
      <c r="D24" s="28" t="inlineStr">
        <is>
          <t>2-8</t>
        </is>
      </c>
      <c r="E24" s="28" t="inlineStr">
        <is>
          <t>100208</t>
        </is>
      </c>
      <c r="F24" s="27" t="inlineStr">
        <is>
          <t>普通怪</t>
        </is>
      </c>
      <c r="G24" s="37" t="n">
        <v>20</v>
      </c>
      <c r="H24" s="38" t="n"/>
      <c r="I24" s="39">
        <f>IF($H24="",$G24,$H24)</f>
        <v/>
      </c>
      <c r="J24" s="40" t="n">
        <v>37</v>
      </c>
      <c r="K24" s="72" t="n">
        <v>0.956328233657858</v>
      </c>
      <c r="L24" s="72" t="n">
        <v>0.837710084033613</v>
      </c>
      <c r="M24" s="72" t="n">
        <v>0.951160374090752</v>
      </c>
      <c r="N24" s="73" t="n"/>
      <c r="O24" s="73" t="n"/>
      <c r="P24" s="73" t="n"/>
      <c r="Q24" s="74">
        <f>IF($I24="","",IFERROR(INDEX(_玩家曲线!$H$2:$H$286,MATCH($I24,_玩家曲线!$A$2:$A$286,0)),""))</f>
        <v/>
      </c>
      <c r="R24" s="74">
        <f>IF($I24="","",IFERROR(INDEX(_玩家曲线!$I$2:$I$286,MATCH($I24,_玩家曲线!$A$2:$A$286,0)),""))</f>
        <v/>
      </c>
      <c r="S24" s="74">
        <f>IF(OR($J24="",$F24="不适用"),"",IFERROR(INDEX(_怪物模型!$D$2:$D$4501,(INT($J24)-1)*ROWS(_怪物类型!$A$2:$A$10)+MATCH($F24,_怪物类型!$A$2:$A$10,0))*IF($K24="",1,$K24),""))</f>
        <v/>
      </c>
      <c r="T24" s="74">
        <f>IF(OR($J24="",$F24="不适用"),"",IFERROR(INDEX(_怪物模型!$E$2:$E$4501,(INT($J24)-1)*ROWS(_怪物类型!$A$2:$A$10)+MATCH($F24,_怪物类型!$A$2:$A$10,0))*IF($L24="",1,$L24),""))</f>
        <v/>
      </c>
      <c r="U24" s="74">
        <f>IF(OR($J24="",$F24="不适用"),"",IFERROR(INDEX(_怪物模型!$F$2:$F$4501,(INT($J24)-1)*ROWS(_怪物类型!$A$2:$A$10)+MATCH($F24,_怪物类型!$A$2:$A$10,0))*IF($M24="",1,$M24),""))</f>
        <v/>
      </c>
      <c r="V24" s="75">
        <f>IF($U24="","",MIN(0.75,$U24/($U24+24000)))</f>
        <v/>
      </c>
      <c r="W24" s="76">
        <f>IF($S24="","",$S24/(1-$V24)*IF($N24="",1,$N24))</f>
        <v/>
      </c>
      <c r="X24" s="76">
        <f>IF(OR($W24="",$Q24="",$Q24=0),"",$W24/$Q24)</f>
        <v/>
      </c>
      <c r="Y24" s="76">
        <f>IF(OR($R24="",$T24="",$T24=0),"",$R24/($T24*IF($O24="",1,$O24)))</f>
        <v/>
      </c>
      <c r="Z24" s="77">
        <f>IF(OR($X24="",$P24="",$P24=0),"",$X24/$P24)</f>
        <v/>
      </c>
      <c r="AA24" s="27">
        <f>IF($J24="","待填怪物等级",IF(OR($I24="",$Q24=""),"待填对照关卡",IF($P24="","已计算",IF(AND($Y24&lt;&gt;"",$Y24&lt;$X24),"生存不成立",IF($Z24&lt;0.5,"碾压",IF($Z24&lt;0.8,"偏简单",IF($Z24&lt;=1.2,"适中",IF($Z24&lt;=1.5,"偏难","过难"))))))))</f>
        <v/>
      </c>
      <c r="AB24" s="27">
        <f>IF($J24="","待填",IF(AND(ISNUMBER($J24),$J24&gt;=1,$J24&lt;=500,MOD($J24,1)=0),"有效","超范围"))</f>
        <v/>
      </c>
      <c r="AC24" s="27">
        <f>IF(OR($J24="",ROW()=5,$B24&lt;&gt;$B23,$J23=""),"",IF($J24&lt;$J23,"下降",""))</f>
        <v/>
      </c>
      <c r="AD24" s="28" t="inlineStr">
        <is>
          <t>2026-08-27 新玩家节点曲线校准；对照S20；等级37→37；保留原难度定位。  2026-08-31 推荐战力：本章Boss反查锚点p8-&gt;p17线性递增（60s击杀/扛20s）；</t>
        </is>
      </c>
      <c r="AE24" t="n">
        <v>16100</v>
      </c>
      <c r="AF24">
        <f>INDEX(_统一战力!$B$2:$B$501,J24)</f>
        <v/>
      </c>
    </row>
    <row r="25" ht="25" customHeight="1">
      <c r="A25" s="27" t="inlineStr">
        <is>
          <t>当前配置</t>
        </is>
      </c>
      <c r="B25" s="27" t="inlineStr">
        <is>
          <t>主线</t>
        </is>
      </c>
      <c r="C25" s="28" t="inlineStr">
        <is>
          <t>第二章</t>
        </is>
      </c>
      <c r="D25" s="28" t="inlineStr">
        <is>
          <t>2-9</t>
        </is>
      </c>
      <c r="E25" s="28" t="inlineStr">
        <is>
          <t>100209</t>
        </is>
      </c>
      <c r="F25" s="27" t="inlineStr">
        <is>
          <t>普通怪</t>
        </is>
      </c>
      <c r="G25" s="37" t="n">
        <v>21</v>
      </c>
      <c r="H25" s="38" t="n"/>
      <c r="I25" s="39">
        <f>IF($H25="",$G25,$H25)</f>
        <v/>
      </c>
      <c r="J25" s="40" t="n">
        <v>39</v>
      </c>
      <c r="K25" s="72" t="n">
        <v>0.956281342419956</v>
      </c>
      <c r="L25" s="72" t="n">
        <v>0.843796342066238</v>
      </c>
      <c r="M25" s="72" t="n">
        <v>0.950851900393185</v>
      </c>
      <c r="N25" s="73" t="n"/>
      <c r="O25" s="73" t="n"/>
      <c r="P25" s="73" t="n"/>
      <c r="Q25" s="74">
        <f>IF($I25="","",IFERROR(INDEX(_玩家曲线!$H$2:$H$286,MATCH($I25,_玩家曲线!$A$2:$A$286,0)),""))</f>
        <v/>
      </c>
      <c r="R25" s="74">
        <f>IF($I25="","",IFERROR(INDEX(_玩家曲线!$I$2:$I$286,MATCH($I25,_玩家曲线!$A$2:$A$286,0)),""))</f>
        <v/>
      </c>
      <c r="S25" s="74">
        <f>IF(OR($J25="",$F25="不适用"),"",IFERROR(INDEX(_怪物模型!$D$2:$D$4501,(INT($J25)-1)*ROWS(_怪物类型!$A$2:$A$10)+MATCH($F25,_怪物类型!$A$2:$A$10,0))*IF($K25="",1,$K25),""))</f>
        <v/>
      </c>
      <c r="T25" s="74">
        <f>IF(OR($J25="",$F25="不适用"),"",IFERROR(INDEX(_怪物模型!$E$2:$E$4501,(INT($J25)-1)*ROWS(_怪物类型!$A$2:$A$10)+MATCH($F25,_怪物类型!$A$2:$A$10,0))*IF($L25="",1,$L25),""))</f>
        <v/>
      </c>
      <c r="U25" s="74">
        <f>IF(OR($J25="",$F25="不适用"),"",IFERROR(INDEX(_怪物模型!$F$2:$F$4501,(INT($J25)-1)*ROWS(_怪物类型!$A$2:$A$10)+MATCH($F25,_怪物类型!$A$2:$A$10,0))*IF($M25="",1,$M25),""))</f>
        <v/>
      </c>
      <c r="V25" s="75">
        <f>IF($U25="","",MIN(0.75,$U25/($U25+24000)))</f>
        <v/>
      </c>
      <c r="W25" s="76">
        <f>IF($S25="","",$S25/(1-$V25)*IF($N25="",1,$N25))</f>
        <v/>
      </c>
      <c r="X25" s="76">
        <f>IF(OR($W25="",$Q25="",$Q25=0),"",$W25/$Q25)</f>
        <v/>
      </c>
      <c r="Y25" s="76">
        <f>IF(OR($R25="",$T25="",$T25=0),"",$R25/($T25*IF($O25="",1,$O25)))</f>
        <v/>
      </c>
      <c r="Z25" s="77">
        <f>IF(OR($X25="",$P25="",$P25=0),"",$X25/$P25)</f>
        <v/>
      </c>
      <c r="AA25" s="27">
        <f>IF($J25="","待填怪物等级",IF(OR($I25="",$Q25=""),"待填对照关卡",IF($P25="","已计算",IF(AND($Y25&lt;&gt;"",$Y25&lt;$X25),"生存不成立",IF($Z25&lt;0.5,"碾压",IF($Z25&lt;0.8,"偏简单",IF($Z25&lt;=1.2,"适中",IF($Z25&lt;=1.5,"偏难","过难"))))))))</f>
        <v/>
      </c>
      <c r="AB25" s="27">
        <f>IF($J25="","待填",IF(AND(ISNUMBER($J25),$J25&gt;=1,$J25&lt;=500,MOD($J25,1)=0),"有效","超范围"))</f>
        <v/>
      </c>
      <c r="AC25" s="27">
        <f>IF(OR($J25="",ROW()=5,$B25&lt;&gt;$B24,$J24=""),"",IF($J25&lt;$J24,"下降",""))</f>
        <v/>
      </c>
      <c r="AD25" s="28" t="inlineStr">
        <is>
          <t>2026-08-27 新玩家节点曲线校准；对照S21；等级39→39；保留原难度定位。  2026-08-31 推荐战力：本章Boss反查锚点p8-&gt;p17线性递增（60s击杀/扛20s）；</t>
        </is>
      </c>
      <c r="AE25" t="n">
        <v>17000</v>
      </c>
      <c r="AF25">
        <f>INDEX(_统一战力!$B$2:$B$501,J25)</f>
        <v/>
      </c>
    </row>
    <row r="26" ht="25" customHeight="1">
      <c r="A26" s="27" t="inlineStr">
        <is>
          <t>当前配置</t>
        </is>
      </c>
      <c r="B26" s="27" t="inlineStr">
        <is>
          <t>主线</t>
        </is>
      </c>
      <c r="C26" s="28" t="inlineStr">
        <is>
          <t>第二章</t>
        </is>
      </c>
      <c r="D26" s="28" t="inlineStr">
        <is>
          <t>2-10</t>
        </is>
      </c>
      <c r="E26" s="28" t="inlineStr">
        <is>
          <t>100210</t>
        </is>
      </c>
      <c r="F26" s="27" t="inlineStr">
        <is>
          <t>普通怪</t>
        </is>
      </c>
      <c r="G26" s="37" t="n">
        <v>22</v>
      </c>
      <c r="H26" s="38" t="n"/>
      <c r="I26" s="39">
        <f>IF($H26="",$G26,$H26)</f>
        <v/>
      </c>
      <c r="J26" s="40" t="n">
        <v>41</v>
      </c>
      <c r="K26" s="72" t="n">
        <v>0.955998092058192</v>
      </c>
      <c r="L26" s="72" t="n">
        <v>0.850279850746269</v>
      </c>
      <c r="M26" s="72" t="n">
        <v>0.950279676817899</v>
      </c>
      <c r="N26" s="73" t="n"/>
      <c r="O26" s="73" t="n"/>
      <c r="P26" s="73" t="n"/>
      <c r="Q26" s="74">
        <f>IF($I26="","",IFERROR(INDEX(_玩家曲线!$H$2:$H$286,MATCH($I26,_玩家曲线!$A$2:$A$286,0)),""))</f>
        <v/>
      </c>
      <c r="R26" s="74">
        <f>IF($I26="","",IFERROR(INDEX(_玩家曲线!$I$2:$I$286,MATCH($I26,_玩家曲线!$A$2:$A$286,0)),""))</f>
        <v/>
      </c>
      <c r="S26" s="74">
        <f>IF(OR($J26="",$F26="不适用"),"",IFERROR(INDEX(_怪物模型!$D$2:$D$4501,(INT($J26)-1)*ROWS(_怪物类型!$A$2:$A$10)+MATCH($F26,_怪物类型!$A$2:$A$10,0))*IF($K26="",1,$K26),""))</f>
        <v/>
      </c>
      <c r="T26" s="74">
        <f>IF(OR($J26="",$F26="不适用"),"",IFERROR(INDEX(_怪物模型!$E$2:$E$4501,(INT($J26)-1)*ROWS(_怪物类型!$A$2:$A$10)+MATCH($F26,_怪物类型!$A$2:$A$10,0))*IF($L26="",1,$L26),""))</f>
        <v/>
      </c>
      <c r="U26" s="74">
        <f>IF(OR($J26="",$F26="不适用"),"",IFERROR(INDEX(_怪物模型!$F$2:$F$4501,(INT($J26)-1)*ROWS(_怪物类型!$A$2:$A$10)+MATCH($F26,_怪物类型!$A$2:$A$10,0))*IF($M26="",1,$M26),""))</f>
        <v/>
      </c>
      <c r="V26" s="75">
        <f>IF($U26="","",MIN(0.75,$U26/($U26+24000)))</f>
        <v/>
      </c>
      <c r="W26" s="76">
        <f>IF($S26="","",$S26/(1-$V26)*IF($N26="",1,$N26))</f>
        <v/>
      </c>
      <c r="X26" s="76">
        <f>IF(OR($W26="",$Q26="",$Q26=0),"",$W26/$Q26)</f>
        <v/>
      </c>
      <c r="Y26" s="76">
        <f>IF(OR($R26="",$T26="",$T26=0),"",$R26/($T26*IF($O26="",1,$O26)))</f>
        <v/>
      </c>
      <c r="Z26" s="77">
        <f>IF(OR($X26="",$P26="",$P26=0),"",$X26/$P26)</f>
        <v/>
      </c>
      <c r="AA26" s="27">
        <f>IF($J26="","待填怪物等级",IF(OR($I26="",$Q26=""),"待填对照关卡",IF($P26="","已计算",IF(AND($Y26&lt;&gt;"",$Y26&lt;$X26),"生存不成立",IF($Z26&lt;0.5,"碾压",IF($Z26&lt;0.8,"偏简单",IF($Z26&lt;=1.2,"适中",IF($Z26&lt;=1.5,"偏难","过难"))))))))</f>
        <v/>
      </c>
      <c r="AB26" s="27">
        <f>IF($J26="","待填",IF(AND(ISNUMBER($J26),$J26&gt;=1,$J26&lt;=500,MOD($J26,1)=0),"有效","超范围"))</f>
        <v/>
      </c>
      <c r="AC26" s="27">
        <f>IF(OR($J26="",ROW()=5,$B26&lt;&gt;$B25,$J25=""),"",IF($J26&lt;$J25,"下降",""))</f>
        <v/>
      </c>
      <c r="AD26" s="28" t="inlineStr">
        <is>
          <t>2026-08-27 新玩家节点曲线校准；对照S22；等级41→41；保留原难度定位。  2026-08-31 推荐战力：本章Boss反查锚点p8-&gt;p17线性递增（60s击杀/扛20s）；</t>
        </is>
      </c>
      <c r="AE26" t="n">
        <v>17900</v>
      </c>
      <c r="AF26">
        <f>INDEX(_统一战力!$B$2:$B$501,J26)</f>
        <v/>
      </c>
    </row>
    <row r="27" ht="25" customHeight="1">
      <c r="A27" s="27" t="inlineStr">
        <is>
          <t>当前配置</t>
        </is>
      </c>
      <c r="B27" s="27" t="inlineStr">
        <is>
          <t>主线</t>
        </is>
      </c>
      <c r="C27" s="28" t="inlineStr">
        <is>
          <t>第二章</t>
        </is>
      </c>
      <c r="D27" s="28" t="inlineStr">
        <is>
          <t>2-11</t>
        </is>
      </c>
      <c r="E27" s="28" t="inlineStr">
        <is>
          <t>100211</t>
        </is>
      </c>
      <c r="F27" s="27" t="inlineStr">
        <is>
          <t>普通怪</t>
        </is>
      </c>
      <c r="G27" s="37" t="n">
        <v>23</v>
      </c>
      <c r="H27" s="38" t="n"/>
      <c r="I27" s="39">
        <f>IF($H27="",$G27,$H27)</f>
        <v/>
      </c>
      <c r="J27" s="40" t="n">
        <v>44</v>
      </c>
      <c r="K27" s="72" t="n">
        <v>0.955879203255515</v>
      </c>
      <c r="L27" s="72" t="n">
        <v>0.859167024474023</v>
      </c>
      <c r="M27" s="72" t="n">
        <v>0.9498269896193769</v>
      </c>
      <c r="N27" s="73" t="n"/>
      <c r="O27" s="73" t="n"/>
      <c r="P27" s="73" t="n"/>
      <c r="Q27" s="74">
        <f>IF($I27="","",IFERROR(INDEX(_玩家曲线!$H$2:$H$286,MATCH($I27,_玩家曲线!$A$2:$A$286,0)),""))</f>
        <v/>
      </c>
      <c r="R27" s="74">
        <f>IF($I27="","",IFERROR(INDEX(_玩家曲线!$I$2:$I$286,MATCH($I27,_玩家曲线!$A$2:$A$286,0)),""))</f>
        <v/>
      </c>
      <c r="S27" s="74">
        <f>IF(OR($J27="",$F27="不适用"),"",IFERROR(INDEX(_怪物模型!$D$2:$D$4501,(INT($J27)-1)*ROWS(_怪物类型!$A$2:$A$10)+MATCH($F27,_怪物类型!$A$2:$A$10,0))*IF($K27="",1,$K27),""))</f>
        <v/>
      </c>
      <c r="T27" s="74">
        <f>IF(OR($J27="",$F27="不适用"),"",IFERROR(INDEX(_怪物模型!$E$2:$E$4501,(INT($J27)-1)*ROWS(_怪物类型!$A$2:$A$10)+MATCH($F27,_怪物类型!$A$2:$A$10,0))*IF($L27="",1,$L27),""))</f>
        <v/>
      </c>
      <c r="U27" s="74">
        <f>IF(OR($J27="",$F27="不适用"),"",IFERROR(INDEX(_怪物模型!$F$2:$F$4501,(INT($J27)-1)*ROWS(_怪物类型!$A$2:$A$10)+MATCH($F27,_怪物类型!$A$2:$A$10,0))*IF($M27="",1,$M27),""))</f>
        <v/>
      </c>
      <c r="V27" s="75">
        <f>IF($U27="","",MIN(0.75,$U27/($U27+24000)))</f>
        <v/>
      </c>
      <c r="W27" s="76">
        <f>IF($S27="","",$S27/(1-$V27)*IF($N27="",1,$N27))</f>
        <v/>
      </c>
      <c r="X27" s="76">
        <f>IF(OR($W27="",$Q27="",$Q27=0),"",$W27/$Q27)</f>
        <v/>
      </c>
      <c r="Y27" s="76">
        <f>IF(OR($R27="",$T27="",$T27=0),"",$R27/($T27*IF($O27="",1,$O27)))</f>
        <v/>
      </c>
      <c r="Z27" s="77">
        <f>IF(OR($X27="",$P27="",$P27=0),"",$X27/$P27)</f>
        <v/>
      </c>
      <c r="AA27" s="27">
        <f>IF($J27="","待填怪物等级",IF(OR($I27="",$Q27=""),"待填对照关卡",IF($P27="","已计算",IF(AND($Y27&lt;&gt;"",$Y27&lt;$X27),"生存不成立",IF($Z27&lt;0.5,"碾压",IF($Z27&lt;0.8,"偏简单",IF($Z27&lt;=1.2,"适中",IF($Z27&lt;=1.5,"偏难","过难"))))))))</f>
        <v/>
      </c>
      <c r="AB27" s="27">
        <f>IF($J27="","待填",IF(AND(ISNUMBER($J27),$J27&gt;=1,$J27&lt;=500,MOD($J27,1)=0),"有效","超范围"))</f>
        <v/>
      </c>
      <c r="AC27" s="27">
        <f>IF(OR($J27="",ROW()=5,$B27&lt;&gt;$B26,$J26=""),"",IF($J27&lt;$J26,"下降",""))</f>
        <v/>
      </c>
      <c r="AD27" s="28" t="inlineStr">
        <is>
          <t>2026-08-27 新玩家节点曲线校准；对照S23；等级44→44；保留原难度定位。  2026-08-31 推荐战力：本章Boss反查锚点p8-&gt;p17线性递增（60s击杀/扛20s）；</t>
        </is>
      </c>
      <c r="AE27" t="n">
        <v>18900</v>
      </c>
      <c r="AF27">
        <f>INDEX(_统一战力!$B$2:$B$501,J27)</f>
        <v/>
      </c>
    </row>
    <row r="28" ht="25" customHeight="1">
      <c r="A28" s="27" t="inlineStr">
        <is>
          <t>当前配置</t>
        </is>
      </c>
      <c r="B28" s="27" t="inlineStr">
        <is>
          <t>主线</t>
        </is>
      </c>
      <c r="C28" s="28" t="inlineStr">
        <is>
          <t>第二章</t>
        </is>
      </c>
      <c r="D28" s="28" t="inlineStr">
        <is>
          <t>2-12</t>
        </is>
      </c>
      <c r="E28" s="28" t="inlineStr">
        <is>
          <t>100212</t>
        </is>
      </c>
      <c r="F28" s="27" t="inlineStr">
        <is>
          <t>Boss</t>
        </is>
      </c>
      <c r="G28" s="37" t="n">
        <v>24</v>
      </c>
      <c r="H28" s="38" t="n"/>
      <c r="I28" s="39">
        <f>IF($H28="",$G28,$H28)</f>
        <v/>
      </c>
      <c r="J28" s="40" t="n">
        <v>46</v>
      </c>
      <c r="K28" s="72" t="n">
        <v>1.08765450496553</v>
      </c>
      <c r="L28" s="72" t="n">
        <v>0.712894560107455</v>
      </c>
      <c r="M28" s="72" t="n">
        <v>0.9496699669967</v>
      </c>
      <c r="N28" s="73" t="n"/>
      <c r="O28" s="73" t="n"/>
      <c r="P28" s="73" t="n"/>
      <c r="Q28" s="74">
        <f>IF($I28="","",IFERROR(INDEX(_玩家曲线!$H$2:$H$286,MATCH($I28,_玩家曲线!$A$2:$A$286,0)),""))</f>
        <v/>
      </c>
      <c r="R28" s="74">
        <f>IF($I28="","",IFERROR(INDEX(_玩家曲线!$I$2:$I$286,MATCH($I28,_玩家曲线!$A$2:$A$286,0)),""))</f>
        <v/>
      </c>
      <c r="S28" s="74">
        <f>IF(OR($J28="",$F28="不适用"),"",IFERROR(INDEX(_怪物模型!$D$2:$D$4501,(INT($J28)-1)*ROWS(_怪物类型!$A$2:$A$10)+MATCH($F28,_怪物类型!$A$2:$A$10,0))*IF($K28="",1,$K28),""))</f>
        <v/>
      </c>
      <c r="T28" s="74">
        <f>IF(OR($J28="",$F28="不适用"),"",IFERROR(INDEX(_怪物模型!$E$2:$E$4501,(INT($J28)-1)*ROWS(_怪物类型!$A$2:$A$10)+MATCH($F28,_怪物类型!$A$2:$A$10,0))*IF($L28="",1,$L28),""))</f>
        <v/>
      </c>
      <c r="U28" s="74">
        <f>IF(OR($J28="",$F28="不适用"),"",IFERROR(INDEX(_怪物模型!$F$2:$F$4501,(INT($J28)-1)*ROWS(_怪物类型!$A$2:$A$10)+MATCH($F28,_怪物类型!$A$2:$A$10,0))*IF($M28="",1,$M28),""))</f>
        <v/>
      </c>
      <c r="V28" s="75">
        <f>IF($U28="","",MIN(0.75,$U28/($U28+24000)))</f>
        <v/>
      </c>
      <c r="W28" s="76">
        <f>IF($S28="","",$S28/(1-$V28)*IF($N28="",1,$N28))</f>
        <v/>
      </c>
      <c r="X28" s="76">
        <f>IF(OR($W28="",$Q28="",$Q28=0),"",$W28/$Q28)</f>
        <v/>
      </c>
      <c r="Y28" s="76">
        <f>IF(OR($R28="",$T28="",$T28=0),"",$R28/($T28*IF($O28="",1,$O28)))</f>
        <v/>
      </c>
      <c r="Z28" s="77">
        <f>IF(OR($X28="",$P28="",$P28=0),"",$X28/$P28)</f>
        <v/>
      </c>
      <c r="AA28" s="27">
        <f>IF($J28="","待填怪物等级",IF(OR($I28="",$Q28=""),"待填对照关卡",IF($P28="","已计算",IF(AND($Y28&lt;&gt;"",$Y28&lt;$X28),"生存不成立",IF($Z28&lt;0.5,"碾压",IF($Z28&lt;0.8,"偏简单",IF($Z28&lt;=1.2,"适中",IF($Z28&lt;=1.5,"偏难","过难"))))))))</f>
        <v/>
      </c>
      <c r="AB28" s="27">
        <f>IF($J28="","待填",IF(AND(ISNUMBER($J28),$J28&gt;=1,$J28&lt;=500,MOD($J28,1)=0),"有效","超范围"))</f>
        <v/>
      </c>
      <c r="AC28" s="27">
        <f>IF(OR($J28="",ROW()=5,$B28&lt;&gt;$B27,$J27=""),"",IF($J28&lt;$J27,"下降",""))</f>
        <v/>
      </c>
      <c r="AD28" s="28" t="inlineStr">
        <is>
          <t>2026-08-27 新玩家节点曲线校准；对照S24；等级46→46；保留原难度定位。  2026-08-31 推荐战力：本章Boss反查锚点p8-&gt;p17线性递增（60s击杀/扛20s）；</t>
        </is>
      </c>
      <c r="AE28" t="n">
        <v>19800</v>
      </c>
      <c r="AF28">
        <f>INDEX(_统一战力!$B$2:$B$501,J28)</f>
        <v/>
      </c>
    </row>
    <row r="29" ht="25" customHeight="1">
      <c r="A29" s="27" t="inlineStr">
        <is>
          <t>当前配置</t>
        </is>
      </c>
      <c r="B29" s="27" t="inlineStr">
        <is>
          <t>主线</t>
        </is>
      </c>
      <c r="C29" s="28" t="inlineStr">
        <is>
          <t>第三章</t>
        </is>
      </c>
      <c r="D29" s="28" t="inlineStr">
        <is>
          <t>3-1</t>
        </is>
      </c>
      <c r="E29" s="28" t="inlineStr">
        <is>
          <t>100301</t>
        </is>
      </c>
      <c r="F29" s="27" t="inlineStr">
        <is>
          <t>普通怪</t>
        </is>
      </c>
      <c r="G29" s="37" t="n">
        <v>25</v>
      </c>
      <c r="H29" s="38" t="n"/>
      <c r="I29" s="39">
        <f>IF($H29="",$G29,$H29)</f>
        <v/>
      </c>
      <c r="J29" s="40" t="n">
        <v>46</v>
      </c>
      <c r="K29" s="72" t="n">
        <v>0.995247515763884</v>
      </c>
      <c r="L29" s="72" t="n">
        <v>0.898688261763338</v>
      </c>
      <c r="M29" s="72" t="n">
        <v>1</v>
      </c>
      <c r="N29" s="73" t="n"/>
      <c r="O29" s="73" t="n"/>
      <c r="P29" s="73" t="n"/>
      <c r="Q29" s="74">
        <f>IF($I29="","",IFERROR(INDEX(_玩家曲线!$H$2:$H$286,MATCH($I29,_玩家曲线!$A$2:$A$286,0)),""))</f>
        <v/>
      </c>
      <c r="R29" s="74">
        <f>IF($I29="","",IFERROR(INDEX(_玩家曲线!$I$2:$I$286,MATCH($I29,_玩家曲线!$A$2:$A$286,0)),""))</f>
        <v/>
      </c>
      <c r="S29" s="74">
        <f>IF(OR($J29="",$F29="不适用"),"",IFERROR(INDEX(_怪物模型!$D$2:$D$4501,(INT($J29)-1)*ROWS(_怪物类型!$A$2:$A$10)+MATCH($F29,_怪物类型!$A$2:$A$10,0))*IF($K29="",1,$K29),""))</f>
        <v/>
      </c>
      <c r="T29" s="74">
        <f>IF(OR($J29="",$F29="不适用"),"",IFERROR(INDEX(_怪物模型!$E$2:$E$4501,(INT($J29)-1)*ROWS(_怪物类型!$A$2:$A$10)+MATCH($F29,_怪物类型!$A$2:$A$10,0))*IF($L29="",1,$L29),""))</f>
        <v/>
      </c>
      <c r="U29" s="74">
        <f>IF(OR($J29="",$F29="不适用"),"",IFERROR(INDEX(_怪物模型!$F$2:$F$4501,(INT($J29)-1)*ROWS(_怪物类型!$A$2:$A$10)+MATCH($F29,_怪物类型!$A$2:$A$10,0))*IF($M29="",1,$M29),""))</f>
        <v/>
      </c>
      <c r="V29" s="75">
        <f>IF($U29="","",MIN(0.75,$U29/($U29+24000)))</f>
        <v/>
      </c>
      <c r="W29" s="76">
        <f>IF($S29="","",$S29/(1-$V29)*IF($N29="",1,$N29))</f>
        <v/>
      </c>
      <c r="X29" s="76">
        <f>IF(OR($W29="",$Q29="",$Q29=0),"",$W29/$Q29)</f>
        <v/>
      </c>
      <c r="Y29" s="76">
        <f>IF(OR($R29="",$T29="",$T29=0),"",$R29/($T29*IF($O29="",1,$O29)))</f>
        <v/>
      </c>
      <c r="Z29" s="77">
        <f>IF(OR($X29="",$P29="",$P29=0),"",$X29/$P29)</f>
        <v/>
      </c>
      <c r="AA29" s="27">
        <f>IF($J29="","待填怪物等级",IF(OR($I29="",$Q29=""),"待填对照关卡",IF($P29="","已计算",IF(AND($Y29&lt;&gt;"",$Y29&lt;$X29),"生存不成立",IF($Z29&lt;0.5,"碾压",IF($Z29&lt;0.8,"偏简单",IF($Z29&lt;=1.2,"适中",IF($Z29&lt;=1.5,"偏难","过难"))))))))</f>
        <v/>
      </c>
      <c r="AB29" s="27">
        <f>IF($J29="","待填",IF(AND(ISNUMBER($J29),$J29&gt;=1,$J29&lt;=500,MOD($J29,1)=0),"有效","超范围"))</f>
        <v/>
      </c>
      <c r="AC29" s="27">
        <f>IF(OR($J29="",ROW()=5,$B29&lt;&gt;$B28,$J28=""),"",IF($J29&lt;$J28,"下降",""))</f>
        <v/>
      </c>
      <c r="AD29" s="28" t="inlineStr">
        <is>
          <t>2026-08-27 新玩家节点曲线校准；对照S25；等级48→46；保留原难度定位。  2026-08-31 推荐战力：本章Boss反查锚点p17-&gt;p24线性递增（60s击杀/扛20s）；</t>
        </is>
      </c>
      <c r="AE29" t="n">
        <v>20900</v>
      </c>
      <c r="AF29">
        <f>INDEX(_统一战力!$B$2:$B$501,J29)</f>
        <v/>
      </c>
    </row>
    <row r="30" ht="25" customHeight="1">
      <c r="A30" s="27" t="inlineStr">
        <is>
          <t>当前配置</t>
        </is>
      </c>
      <c r="B30" s="27" t="inlineStr">
        <is>
          <t>主线</t>
        </is>
      </c>
      <c r="C30" s="28" t="inlineStr">
        <is>
          <t>第三章</t>
        </is>
      </c>
      <c r="D30" s="28" t="inlineStr">
        <is>
          <t>3-2</t>
        </is>
      </c>
      <c r="E30" s="28" t="inlineStr">
        <is>
          <t>100302</t>
        </is>
      </c>
      <c r="F30" s="27" t="inlineStr">
        <is>
          <t>普通怪</t>
        </is>
      </c>
      <c r="G30" s="37" t="n">
        <v>26</v>
      </c>
      <c r="H30" s="38" t="n"/>
      <c r="I30" s="39">
        <f>IF($H30="",$G30,$H30)</f>
        <v/>
      </c>
      <c r="J30" s="40" t="n">
        <v>46</v>
      </c>
      <c r="K30" s="72" t="n">
        <v>1.04185770084872</v>
      </c>
      <c r="L30" s="72" t="n">
        <v>0.933036391630041</v>
      </c>
      <c r="M30" s="72" t="n">
        <v>1</v>
      </c>
      <c r="N30" s="73" t="n"/>
      <c r="O30" s="73" t="n"/>
      <c r="P30" s="73" t="n"/>
      <c r="Q30" s="74">
        <f>IF($I30="","",IFERROR(INDEX(_玩家曲线!$H$2:$H$286,MATCH($I30,_玩家曲线!$A$2:$A$286,0)),""))</f>
        <v/>
      </c>
      <c r="R30" s="74">
        <f>IF($I30="","",IFERROR(INDEX(_玩家曲线!$I$2:$I$286,MATCH($I30,_玩家曲线!$A$2:$A$286,0)),""))</f>
        <v/>
      </c>
      <c r="S30" s="74">
        <f>IF(OR($J30="",$F30="不适用"),"",IFERROR(INDEX(_怪物模型!$D$2:$D$4501,(INT($J30)-1)*ROWS(_怪物类型!$A$2:$A$10)+MATCH($F30,_怪物类型!$A$2:$A$10,0))*IF($K30="",1,$K30),""))</f>
        <v/>
      </c>
      <c r="T30" s="74">
        <f>IF(OR($J30="",$F30="不适用"),"",IFERROR(INDEX(_怪物模型!$E$2:$E$4501,(INT($J30)-1)*ROWS(_怪物类型!$A$2:$A$10)+MATCH($F30,_怪物类型!$A$2:$A$10,0))*IF($L30="",1,$L30),""))</f>
        <v/>
      </c>
      <c r="U30" s="74">
        <f>IF(OR($J30="",$F30="不适用"),"",IFERROR(INDEX(_怪物模型!$F$2:$F$4501,(INT($J30)-1)*ROWS(_怪物类型!$A$2:$A$10)+MATCH($F30,_怪物类型!$A$2:$A$10,0))*IF($M30="",1,$M30),""))</f>
        <v/>
      </c>
      <c r="V30" s="75">
        <f>IF($U30="","",MIN(0.75,$U30/($U30+24000)))</f>
        <v/>
      </c>
      <c r="W30" s="76">
        <f>IF($S30="","",$S30/(1-$V30)*IF($N30="",1,$N30))</f>
        <v/>
      </c>
      <c r="X30" s="76">
        <f>IF(OR($W30="",$Q30="",$Q30=0),"",$W30/$Q30)</f>
        <v/>
      </c>
      <c r="Y30" s="76">
        <f>IF(OR($R30="",$T30="",$T30=0),"",$R30/($T30*IF($O30="",1,$O30)))</f>
        <v/>
      </c>
      <c r="Z30" s="77">
        <f>IF(OR($X30="",$P30="",$P30=0),"",$X30/$P30)</f>
        <v/>
      </c>
      <c r="AA30" s="27">
        <f>IF($J30="","待填怪物等级",IF(OR($I30="",$Q30=""),"待填对照关卡",IF($P30="","已计算",IF(AND($Y30&lt;&gt;"",$Y30&lt;$X30),"生存不成立",IF($Z30&lt;0.5,"碾压",IF($Z30&lt;0.8,"偏简单",IF($Z30&lt;=1.2,"适中",IF($Z30&lt;=1.5,"偏难","过难"))))))))</f>
        <v/>
      </c>
      <c r="AB30" s="27">
        <f>IF($J30="","待填",IF(AND(ISNUMBER($J30),$J30&gt;=1,$J30&lt;=500,MOD($J30,1)=0),"有效","超范围"))</f>
        <v/>
      </c>
      <c r="AC30" s="27">
        <f>IF(OR($J30="",ROW()=5,$B30&lt;&gt;$B29,$J29=""),"",IF($J30&lt;$J29,"下降",""))</f>
        <v/>
      </c>
      <c r="AD30" s="28" t="inlineStr">
        <is>
          <t>2026-08-27 新玩家节点曲线校准；对照S26；等级50→46；保留原难度定位。  2026-08-31 推荐战力：本章Boss反查锚点p17-&gt;p24线性递增（60s击杀/扛20s）；</t>
        </is>
      </c>
      <c r="AE30" t="n">
        <v>21900</v>
      </c>
      <c r="AF30">
        <f>INDEX(_统一战力!$B$2:$B$501,J30)</f>
        <v/>
      </c>
    </row>
    <row r="31" ht="25" customHeight="1">
      <c r="A31" s="27" t="inlineStr">
        <is>
          <t>当前配置</t>
        </is>
      </c>
      <c r="B31" s="27" t="inlineStr">
        <is>
          <t>主线</t>
        </is>
      </c>
      <c r="C31" s="28" t="inlineStr">
        <is>
          <t>第三章</t>
        </is>
      </c>
      <c r="D31" s="28" t="inlineStr">
        <is>
          <t>3-3</t>
        </is>
      </c>
      <c r="E31" s="28" t="inlineStr">
        <is>
          <t>100303</t>
        </is>
      </c>
      <c r="F31" s="27" t="inlineStr">
        <is>
          <t>普通怪</t>
        </is>
      </c>
      <c r="G31" s="37" t="n">
        <v>27</v>
      </c>
      <c r="H31" s="38" t="n"/>
      <c r="I31" s="39">
        <f>IF($H31="",$G31,$H31)</f>
        <v/>
      </c>
      <c r="J31" s="40" t="n">
        <v>48</v>
      </c>
      <c r="K31" s="72" t="n">
        <v>1.01470841809104</v>
      </c>
      <c r="L31" s="72" t="n">
        <v>0.920572447773597</v>
      </c>
      <c r="M31" s="72" t="n">
        <v>1</v>
      </c>
      <c r="N31" s="73" t="n"/>
      <c r="O31" s="73" t="n"/>
      <c r="P31" s="73" t="n"/>
      <c r="Q31" s="74">
        <f>IF($I31="","",IFERROR(INDEX(_玩家曲线!$H$2:$H$286,MATCH($I31,_玩家曲线!$A$2:$A$286,0)),""))</f>
        <v/>
      </c>
      <c r="R31" s="74">
        <f>IF($I31="","",IFERROR(INDEX(_玩家曲线!$I$2:$I$286,MATCH($I31,_玩家曲线!$A$2:$A$286,0)),""))</f>
        <v/>
      </c>
      <c r="S31" s="74">
        <f>IF(OR($J31="",$F31="不适用"),"",IFERROR(INDEX(_怪物模型!$D$2:$D$4501,(INT($J31)-1)*ROWS(_怪物类型!$A$2:$A$10)+MATCH($F31,_怪物类型!$A$2:$A$10,0))*IF($K31="",1,$K31),""))</f>
        <v/>
      </c>
      <c r="T31" s="74">
        <f>IF(OR($J31="",$F31="不适用"),"",IFERROR(INDEX(_怪物模型!$E$2:$E$4501,(INT($J31)-1)*ROWS(_怪物类型!$A$2:$A$10)+MATCH($F31,_怪物类型!$A$2:$A$10,0))*IF($L31="",1,$L31),""))</f>
        <v/>
      </c>
      <c r="U31" s="74">
        <f>IF(OR($J31="",$F31="不适用"),"",IFERROR(INDEX(_怪物模型!$F$2:$F$4501,(INT($J31)-1)*ROWS(_怪物类型!$A$2:$A$10)+MATCH($F31,_怪物类型!$A$2:$A$10,0))*IF($M31="",1,$M31),""))</f>
        <v/>
      </c>
      <c r="V31" s="75">
        <f>IF($U31="","",MIN(0.75,$U31/($U31+24000)))</f>
        <v/>
      </c>
      <c r="W31" s="76">
        <f>IF($S31="","",$S31/(1-$V31)*IF($N31="",1,$N31))</f>
        <v/>
      </c>
      <c r="X31" s="76">
        <f>IF(OR($W31="",$Q31="",$Q31=0),"",$W31/$Q31)</f>
        <v/>
      </c>
      <c r="Y31" s="76">
        <f>IF(OR($R31="",$T31="",$T31=0),"",$R31/($T31*IF($O31="",1,$O31)))</f>
        <v/>
      </c>
      <c r="Z31" s="77">
        <f>IF(OR($X31="",$P31="",$P31=0),"",$X31/$P31)</f>
        <v/>
      </c>
      <c r="AA31" s="27">
        <f>IF($J31="","待填怪物等级",IF(OR($I31="",$Q31=""),"待填对照关卡",IF($P31="","已计算",IF(AND($Y31&lt;&gt;"",$Y31&lt;$X31),"生存不成立",IF($Z31&lt;0.5,"碾压",IF($Z31&lt;0.8,"偏简单",IF($Z31&lt;=1.2,"适中",IF($Z31&lt;=1.5,"偏难","过难"))))))))</f>
        <v/>
      </c>
      <c r="AB31" s="27">
        <f>IF($J31="","待填",IF(AND(ISNUMBER($J31),$J31&gt;=1,$J31&lt;=500,MOD($J31,1)=0),"有效","超范围"))</f>
        <v/>
      </c>
      <c r="AC31" s="27">
        <f>IF(OR($J31="",ROW()=5,$B31&lt;&gt;$B30,$J30=""),"",IF($J31&lt;$J30,"下降",""))</f>
        <v/>
      </c>
      <c r="AD31" s="28" t="inlineStr">
        <is>
          <t>2026-08-27 新玩家节点曲线校准；对照S27；等级52→48；保留原难度定位。  2026-08-31 推荐战力：本章Boss反查锚点p17-&gt;p24线性递增（60s击杀/扛20s）；</t>
        </is>
      </c>
      <c r="AE31" t="n">
        <v>22900</v>
      </c>
      <c r="AF31">
        <f>INDEX(_统一战力!$B$2:$B$501,J31)</f>
        <v/>
      </c>
    </row>
    <row r="32" ht="25" customHeight="1">
      <c r="A32" s="27" t="inlineStr">
        <is>
          <t>当前配置</t>
        </is>
      </c>
      <c r="B32" s="27" t="inlineStr">
        <is>
          <t>主线</t>
        </is>
      </c>
      <c r="C32" s="28" t="inlineStr">
        <is>
          <t>第三章</t>
        </is>
      </c>
      <c r="D32" s="28" t="inlineStr">
        <is>
          <t>3-4</t>
        </is>
      </c>
      <c r="E32" s="28" t="inlineStr">
        <is>
          <t>100304</t>
        </is>
      </c>
      <c r="F32" s="27" t="inlineStr">
        <is>
          <t>普通怪</t>
        </is>
      </c>
      <c r="G32" s="37" t="n">
        <v>28</v>
      </c>
      <c r="H32" s="38" t="n"/>
      <c r="I32" s="39">
        <f>IF($H32="",$G32,$H32)</f>
        <v/>
      </c>
      <c r="J32" s="40" t="n">
        <v>49</v>
      </c>
      <c r="K32" s="72" t="n">
        <v>1.02546294314921</v>
      </c>
      <c r="L32" s="72" t="n">
        <v>0.932056523767833</v>
      </c>
      <c r="M32" s="72" t="n">
        <v>1</v>
      </c>
      <c r="N32" s="73" t="n"/>
      <c r="O32" s="73" t="n"/>
      <c r="P32" s="73" t="n"/>
      <c r="Q32" s="74">
        <f>IF($I32="","",IFERROR(INDEX(_玩家曲线!$H$2:$H$286,MATCH($I32,_玩家曲线!$A$2:$A$286,0)),""))</f>
        <v/>
      </c>
      <c r="R32" s="74">
        <f>IF($I32="","",IFERROR(INDEX(_玩家曲线!$I$2:$I$286,MATCH($I32,_玩家曲线!$A$2:$A$286,0)),""))</f>
        <v/>
      </c>
      <c r="S32" s="74">
        <f>IF(OR($J32="",$F32="不适用"),"",IFERROR(INDEX(_怪物模型!$D$2:$D$4501,(INT($J32)-1)*ROWS(_怪物类型!$A$2:$A$10)+MATCH($F32,_怪物类型!$A$2:$A$10,0))*IF($K32="",1,$K32),""))</f>
        <v/>
      </c>
      <c r="T32" s="74">
        <f>IF(OR($J32="",$F32="不适用"),"",IFERROR(INDEX(_怪物模型!$E$2:$E$4501,(INT($J32)-1)*ROWS(_怪物类型!$A$2:$A$10)+MATCH($F32,_怪物类型!$A$2:$A$10,0))*IF($L32="",1,$L32),""))</f>
        <v/>
      </c>
      <c r="U32" s="74">
        <f>IF(OR($J32="",$F32="不适用"),"",IFERROR(INDEX(_怪物模型!$F$2:$F$4501,(INT($J32)-1)*ROWS(_怪物类型!$A$2:$A$10)+MATCH($F32,_怪物类型!$A$2:$A$10,0))*IF($M32="",1,$M32),""))</f>
        <v/>
      </c>
      <c r="V32" s="75">
        <f>IF($U32="","",MIN(0.75,$U32/($U32+24000)))</f>
        <v/>
      </c>
      <c r="W32" s="76">
        <f>IF($S32="","",$S32/(1-$V32)*IF($N32="",1,$N32))</f>
        <v/>
      </c>
      <c r="X32" s="76">
        <f>IF(OR($W32="",$Q32="",$Q32=0),"",$W32/$Q32)</f>
        <v/>
      </c>
      <c r="Y32" s="76">
        <f>IF(OR($R32="",$T32="",$T32=0),"",$R32/($T32*IF($O32="",1,$O32)))</f>
        <v/>
      </c>
      <c r="Z32" s="77">
        <f>IF(OR($X32="",$P32="",$P32=0),"",$X32/$P32)</f>
        <v/>
      </c>
      <c r="AA32" s="27">
        <f>IF($J32="","待填怪物等级",IF(OR($I32="",$Q32=""),"待填对照关卡",IF($P32="","已计算",IF(AND($Y32&lt;&gt;"",$Y32&lt;$X32),"生存不成立",IF($Z32&lt;0.5,"碾压",IF($Z32&lt;0.8,"偏简单",IF($Z32&lt;=1.2,"适中",IF($Z32&lt;=1.5,"偏难","过难"))))))))</f>
        <v/>
      </c>
      <c r="AB32" s="27">
        <f>IF($J32="","待填",IF(AND(ISNUMBER($J32),$J32&gt;=1,$J32&lt;=500,MOD($J32,1)=0),"有效","超范围"))</f>
        <v/>
      </c>
      <c r="AC32" s="27">
        <f>IF(OR($J32="",ROW()=5,$B32&lt;&gt;$B31,$J31=""),"",IF($J32&lt;$J31,"下降",""))</f>
        <v/>
      </c>
      <c r="AD32" s="28" t="inlineStr">
        <is>
          <t>2026-08-27 新玩家节点曲线校准；对照S28；等级54→49；保留原难度定位。  2026-08-31 推荐战力：本章Boss反查锚点p17-&gt;p24线性递增（60s击杀/扛20s）；</t>
        </is>
      </c>
      <c r="AE32" t="n">
        <v>24000</v>
      </c>
      <c r="AF32">
        <f>INDEX(_统一战力!$B$2:$B$501,J32)</f>
        <v/>
      </c>
    </row>
    <row r="33" ht="25" customHeight="1">
      <c r="A33" s="27" t="inlineStr">
        <is>
          <t>当前配置</t>
        </is>
      </c>
      <c r="B33" s="27" t="inlineStr">
        <is>
          <t>主线</t>
        </is>
      </c>
      <c r="C33" s="28" t="inlineStr">
        <is>
          <t>第三章</t>
        </is>
      </c>
      <c r="D33" s="28" t="inlineStr">
        <is>
          <t>3-5</t>
        </is>
      </c>
      <c r="E33" s="28" t="inlineStr">
        <is>
          <t>100305</t>
        </is>
      </c>
      <c r="F33" s="27" t="inlineStr">
        <is>
          <t>普通怪</t>
        </is>
      </c>
      <c r="G33" s="37" t="n">
        <v>29</v>
      </c>
      <c r="H33" s="38" t="n"/>
      <c r="I33" s="39">
        <f>IF($H33="",$G33,$H33)</f>
        <v/>
      </c>
      <c r="J33" s="40" t="n">
        <v>52</v>
      </c>
      <c r="K33" s="72" t="n">
        <v>1.031096821489</v>
      </c>
      <c r="L33" s="72" t="n">
        <v>0.9462351462210949</v>
      </c>
      <c r="M33" s="72" t="n">
        <v>1</v>
      </c>
      <c r="N33" s="73" t="n"/>
      <c r="O33" s="73" t="n"/>
      <c r="P33" s="73" t="n"/>
      <c r="Q33" s="74">
        <f>IF($I33="","",IFERROR(INDEX(_玩家曲线!$H$2:$H$286,MATCH($I33,_玩家曲线!$A$2:$A$286,0)),""))</f>
        <v/>
      </c>
      <c r="R33" s="74">
        <f>IF($I33="","",IFERROR(INDEX(_玩家曲线!$I$2:$I$286,MATCH($I33,_玩家曲线!$A$2:$A$286,0)),""))</f>
        <v/>
      </c>
      <c r="S33" s="74">
        <f>IF(OR($J33="",$F33="不适用"),"",IFERROR(INDEX(_怪物模型!$D$2:$D$4501,(INT($J33)-1)*ROWS(_怪物类型!$A$2:$A$10)+MATCH($F33,_怪物类型!$A$2:$A$10,0))*IF($K33="",1,$K33),""))</f>
        <v/>
      </c>
      <c r="T33" s="74">
        <f>IF(OR($J33="",$F33="不适用"),"",IFERROR(INDEX(_怪物模型!$E$2:$E$4501,(INT($J33)-1)*ROWS(_怪物类型!$A$2:$A$10)+MATCH($F33,_怪物类型!$A$2:$A$10,0))*IF($L33="",1,$L33),""))</f>
        <v/>
      </c>
      <c r="U33" s="74">
        <f>IF(OR($J33="",$F33="不适用"),"",IFERROR(INDEX(_怪物模型!$F$2:$F$4501,(INT($J33)-1)*ROWS(_怪物类型!$A$2:$A$10)+MATCH($F33,_怪物类型!$A$2:$A$10,0))*IF($M33="",1,$M33),""))</f>
        <v/>
      </c>
      <c r="V33" s="75">
        <f>IF($U33="","",MIN(0.75,$U33/($U33+24000)))</f>
        <v/>
      </c>
      <c r="W33" s="76">
        <f>IF($S33="","",$S33/(1-$V33)*IF($N33="",1,$N33))</f>
        <v/>
      </c>
      <c r="X33" s="76">
        <f>IF(OR($W33="",$Q33="",$Q33=0),"",$W33/$Q33)</f>
        <v/>
      </c>
      <c r="Y33" s="76">
        <f>IF(OR($R33="",$T33="",$T33=0),"",$R33/($T33*IF($O33="",1,$O33)))</f>
        <v/>
      </c>
      <c r="Z33" s="77">
        <f>IF(OR($X33="",$P33="",$P33=0),"",$X33/$P33)</f>
        <v/>
      </c>
      <c r="AA33" s="27">
        <f>IF($J33="","待填怪物等级",IF(OR($I33="",$Q33=""),"待填对照关卡",IF($P33="","已计算",IF(AND($Y33&lt;&gt;"",$Y33&lt;$X33),"生存不成立",IF($Z33&lt;0.5,"碾压",IF($Z33&lt;0.8,"偏简单",IF($Z33&lt;=1.2,"适中",IF($Z33&lt;=1.5,"偏难","过难"))))))))</f>
        <v/>
      </c>
      <c r="AB33" s="27">
        <f>IF($J33="","待填",IF(AND(ISNUMBER($J33),$J33&gt;=1,$J33&lt;=500,MOD($J33,1)=0),"有效","超范围"))</f>
        <v/>
      </c>
      <c r="AC33" s="27">
        <f>IF(OR($J33="",ROW()=5,$B33&lt;&gt;$B32,$J32=""),"",IF($J33&lt;$J32,"下降",""))</f>
        <v/>
      </c>
      <c r="AD33" s="28" t="inlineStr">
        <is>
          <t>2026-08-27 新玩家节点曲线校准；对照S29；等级58→52；保留原难度定位。  2026-08-31 推荐战力：本章Boss反查锚点p17-&gt;p24线性递增（60s击杀/扛20s）；</t>
        </is>
      </c>
      <c r="AE33" t="n">
        <v>25000</v>
      </c>
      <c r="AF33">
        <f>INDEX(_统一战力!$B$2:$B$501,J33)</f>
        <v/>
      </c>
    </row>
    <row r="34" ht="25" customHeight="1">
      <c r="A34" s="27" t="inlineStr">
        <is>
          <t>当前配置</t>
        </is>
      </c>
      <c r="B34" s="27" t="inlineStr">
        <is>
          <t>主线</t>
        </is>
      </c>
      <c r="C34" s="28" t="inlineStr">
        <is>
          <t>第三章</t>
        </is>
      </c>
      <c r="D34" s="28" t="inlineStr">
        <is>
          <t>3-6</t>
        </is>
      </c>
      <c r="E34" s="28" t="inlineStr">
        <is>
          <t>100306</t>
        </is>
      </c>
      <c r="F34" s="27" t="inlineStr">
        <is>
          <t>普通怪</t>
        </is>
      </c>
      <c r="G34" s="37" t="n">
        <v>30</v>
      </c>
      <c r="H34" s="38" t="n"/>
      <c r="I34" s="39">
        <f>IF($H34="",$G34,$H34)</f>
        <v/>
      </c>
      <c r="J34" s="40" t="n">
        <v>52</v>
      </c>
      <c r="K34" s="72" t="n">
        <v>1.01295849298037</v>
      </c>
      <c r="L34" s="72" t="n">
        <v>0.933772995657108</v>
      </c>
      <c r="M34" s="72" t="n">
        <v>1</v>
      </c>
      <c r="N34" s="73" t="n"/>
      <c r="O34" s="73" t="n"/>
      <c r="P34" s="73" t="n"/>
      <c r="Q34" s="74">
        <f>IF($I34="","",IFERROR(INDEX(_玩家曲线!$H$2:$H$286,MATCH($I34,_玩家曲线!$A$2:$A$286,0)),""))</f>
        <v/>
      </c>
      <c r="R34" s="74">
        <f>IF($I34="","",IFERROR(INDEX(_玩家曲线!$I$2:$I$286,MATCH($I34,_玩家曲线!$A$2:$A$286,0)),""))</f>
        <v/>
      </c>
      <c r="S34" s="74">
        <f>IF(OR($J34="",$F34="不适用"),"",IFERROR(INDEX(_怪物模型!$D$2:$D$4501,(INT($J34)-1)*ROWS(_怪物类型!$A$2:$A$10)+MATCH($F34,_怪物类型!$A$2:$A$10,0))*IF($K34="",1,$K34),""))</f>
        <v/>
      </c>
      <c r="T34" s="74">
        <f>IF(OR($J34="",$F34="不适用"),"",IFERROR(INDEX(_怪物模型!$E$2:$E$4501,(INT($J34)-1)*ROWS(_怪物类型!$A$2:$A$10)+MATCH($F34,_怪物类型!$A$2:$A$10,0))*IF($L34="",1,$L34),""))</f>
        <v/>
      </c>
      <c r="U34" s="74">
        <f>IF(OR($J34="",$F34="不适用"),"",IFERROR(INDEX(_怪物模型!$F$2:$F$4501,(INT($J34)-1)*ROWS(_怪物类型!$A$2:$A$10)+MATCH($F34,_怪物类型!$A$2:$A$10,0))*IF($M34="",1,$M34),""))</f>
        <v/>
      </c>
      <c r="V34" s="75">
        <f>IF($U34="","",MIN(0.75,$U34/($U34+24000)))</f>
        <v/>
      </c>
      <c r="W34" s="76">
        <f>IF($S34="","",$S34/(1-$V34)*IF($N34="",1,$N34))</f>
        <v/>
      </c>
      <c r="X34" s="76">
        <f>IF(OR($W34="",$Q34="",$Q34=0),"",$W34/$Q34)</f>
        <v/>
      </c>
      <c r="Y34" s="76">
        <f>IF(OR($R34="",$T34="",$T34=0),"",$R34/($T34*IF($O34="",1,$O34)))</f>
        <v/>
      </c>
      <c r="Z34" s="77">
        <f>IF(OR($X34="",$P34="",$P34=0),"",$X34/$P34)</f>
        <v/>
      </c>
      <c r="AA34" s="27">
        <f>IF($J34="","待填怪物等级",IF(OR($I34="",$Q34=""),"待填对照关卡",IF($P34="","已计算",IF(AND($Y34&lt;&gt;"",$Y34&lt;$X34),"生存不成立",IF($Z34&lt;0.5,"碾压",IF($Z34&lt;0.8,"偏简单",IF($Z34&lt;=1.2,"适中",IF($Z34&lt;=1.5,"偏难","过难"))))))))</f>
        <v/>
      </c>
      <c r="AB34" s="27">
        <f>IF($J34="","待填",IF(AND(ISNUMBER($J34),$J34&gt;=1,$J34&lt;=500,MOD($J34,1)=0),"有效","超范围"))</f>
        <v/>
      </c>
      <c r="AC34" s="27">
        <f>IF(OR($J34="",ROW()=5,$B34&lt;&gt;$B33,$J33=""),"",IF($J34&lt;$J33,"下降",""))</f>
        <v/>
      </c>
      <c r="AD34" s="28" t="inlineStr">
        <is>
          <t>2026-08-27 新玩家节点曲线校准；对照S30；等级58→52；保留原难度定位。  2026-08-31 推荐战力：本章Boss反查锚点p17-&gt;p24线性递增（60s击杀/扛20s）；</t>
        </is>
      </c>
      <c r="AE34" t="n">
        <v>26100</v>
      </c>
      <c r="AF34">
        <f>INDEX(_统一战力!$B$2:$B$501,J34)</f>
        <v/>
      </c>
    </row>
    <row r="35" ht="25" customHeight="1">
      <c r="A35" s="27" t="inlineStr">
        <is>
          <t>当前配置</t>
        </is>
      </c>
      <c r="B35" s="27" t="inlineStr">
        <is>
          <t>主线</t>
        </is>
      </c>
      <c r="C35" s="28" t="inlineStr">
        <is>
          <t>第三章</t>
        </is>
      </c>
      <c r="D35" s="28" t="inlineStr">
        <is>
          <t>3-7</t>
        </is>
      </c>
      <c r="E35" s="28" t="inlineStr">
        <is>
          <t>100307</t>
        </is>
      </c>
      <c r="F35" s="27" t="inlineStr">
        <is>
          <t>普通怪</t>
        </is>
      </c>
      <c r="G35" s="37" t="n">
        <v>31</v>
      </c>
      <c r="H35" s="38" t="n"/>
      <c r="I35" s="39">
        <f>IF($H35="",$G35,$H35)</f>
        <v/>
      </c>
      <c r="J35" s="40" t="n">
        <v>54</v>
      </c>
      <c r="K35" s="72" t="n">
        <v>1.01407856301834</v>
      </c>
      <c r="L35" s="72" t="n">
        <v>0.93915380372989</v>
      </c>
      <c r="M35" s="72" t="n">
        <v>1</v>
      </c>
      <c r="N35" s="73" t="n"/>
      <c r="O35" s="73" t="n"/>
      <c r="P35" s="73" t="n"/>
      <c r="Q35" s="74">
        <f>IF($I35="","",IFERROR(INDEX(_玩家曲线!$H$2:$H$286,MATCH($I35,_玩家曲线!$A$2:$A$286,0)),""))</f>
        <v/>
      </c>
      <c r="R35" s="74">
        <f>IF($I35="","",IFERROR(INDEX(_玩家曲线!$I$2:$I$286,MATCH($I35,_玩家曲线!$A$2:$A$286,0)),""))</f>
        <v/>
      </c>
      <c r="S35" s="74">
        <f>IF(OR($J35="",$F35="不适用"),"",IFERROR(INDEX(_怪物模型!$D$2:$D$4501,(INT($J35)-1)*ROWS(_怪物类型!$A$2:$A$10)+MATCH($F35,_怪物类型!$A$2:$A$10,0))*IF($K35="",1,$K35),""))</f>
        <v/>
      </c>
      <c r="T35" s="74">
        <f>IF(OR($J35="",$F35="不适用"),"",IFERROR(INDEX(_怪物模型!$E$2:$E$4501,(INT($J35)-1)*ROWS(_怪物类型!$A$2:$A$10)+MATCH($F35,_怪物类型!$A$2:$A$10,0))*IF($L35="",1,$L35),""))</f>
        <v/>
      </c>
      <c r="U35" s="74">
        <f>IF(OR($J35="",$F35="不适用"),"",IFERROR(INDEX(_怪物模型!$F$2:$F$4501,(INT($J35)-1)*ROWS(_怪物类型!$A$2:$A$10)+MATCH($F35,_怪物类型!$A$2:$A$10,0))*IF($M35="",1,$M35),""))</f>
        <v/>
      </c>
      <c r="V35" s="75">
        <f>IF($U35="","",MIN(0.75,$U35/($U35+24000)))</f>
        <v/>
      </c>
      <c r="W35" s="76">
        <f>IF($S35="","",$S35/(1-$V35)*IF($N35="",1,$N35))</f>
        <v/>
      </c>
      <c r="X35" s="76">
        <f>IF(OR($W35="",$Q35="",$Q35=0),"",$W35/$Q35)</f>
        <v/>
      </c>
      <c r="Y35" s="76">
        <f>IF(OR($R35="",$T35="",$T35=0),"",$R35/($T35*IF($O35="",1,$O35)))</f>
        <v/>
      </c>
      <c r="Z35" s="77">
        <f>IF(OR($X35="",$P35="",$P35=0),"",$X35/$P35)</f>
        <v/>
      </c>
      <c r="AA35" s="27">
        <f>IF($J35="","待填怪物等级",IF(OR($I35="",$Q35=""),"待填对照关卡",IF($P35="","已计算",IF(AND($Y35&lt;&gt;"",$Y35&lt;$X35),"生存不成立",IF($Z35&lt;0.5,"碾压",IF($Z35&lt;0.8,"偏简单",IF($Z35&lt;=1.2,"适中",IF($Z35&lt;=1.5,"偏难","过难"))))))))</f>
        <v/>
      </c>
      <c r="AB35" s="27">
        <f>IF($J35="","待填",IF(AND(ISNUMBER($J35),$J35&gt;=1,$J35&lt;=500,MOD($J35,1)=0),"有效","超范围"))</f>
        <v/>
      </c>
      <c r="AC35" s="27">
        <f>IF(OR($J35="",ROW()=5,$B35&lt;&gt;$B34,$J34=""),"",IF($J35&lt;$J34,"下降",""))</f>
        <v/>
      </c>
      <c r="AD35" s="28" t="inlineStr">
        <is>
          <t>2026-08-27 新玩家节点曲线校准；对照S31；等级62→54；保留原难度定位。  2026-08-31 推荐战力：本章Boss反查锚点p17-&gt;p24线性递增（60s击杀/扛20s）；</t>
        </is>
      </c>
      <c r="AE35" t="n">
        <v>27100</v>
      </c>
      <c r="AF35">
        <f>INDEX(_统一战力!$B$2:$B$501,J35)</f>
        <v/>
      </c>
    </row>
    <row r="36" ht="25" customHeight="1">
      <c r="A36" s="27" t="inlineStr">
        <is>
          <t>当前配置</t>
        </is>
      </c>
      <c r="B36" s="27" t="inlineStr">
        <is>
          <t>主线</t>
        </is>
      </c>
      <c r="C36" s="28" t="inlineStr">
        <is>
          <t>第三章</t>
        </is>
      </c>
      <c r="D36" s="28" t="inlineStr">
        <is>
          <t>3-8</t>
        </is>
      </c>
      <c r="E36" s="28" t="inlineStr">
        <is>
          <t>100308</t>
        </is>
      </c>
      <c r="F36" s="27" t="inlineStr">
        <is>
          <t>普通怪</t>
        </is>
      </c>
      <c r="G36" s="37" t="n">
        <v>32</v>
      </c>
      <c r="H36" s="38" t="n"/>
      <c r="I36" s="39">
        <f>IF($H36="",$G36,$H36)</f>
        <v/>
      </c>
      <c r="J36" s="40" t="n">
        <v>54</v>
      </c>
      <c r="K36" s="72" t="n">
        <v>1.02479606281563</v>
      </c>
      <c r="L36" s="72" t="n">
        <v>0.945720651600419</v>
      </c>
      <c r="M36" s="72" t="n">
        <v>1</v>
      </c>
      <c r="N36" s="73" t="n"/>
      <c r="O36" s="73" t="n"/>
      <c r="P36" s="73" t="n"/>
      <c r="Q36" s="74">
        <f>IF($I36="","",IFERROR(INDEX(_玩家曲线!$H$2:$H$286,MATCH($I36,_玩家曲线!$A$2:$A$286,0)),""))</f>
        <v/>
      </c>
      <c r="R36" s="74">
        <f>IF($I36="","",IFERROR(INDEX(_玩家曲线!$I$2:$I$286,MATCH($I36,_玩家曲线!$A$2:$A$286,0)),""))</f>
        <v/>
      </c>
      <c r="S36" s="74">
        <f>IF(OR($J36="",$F36="不适用"),"",IFERROR(INDEX(_怪物模型!$D$2:$D$4501,(INT($J36)-1)*ROWS(_怪物类型!$A$2:$A$10)+MATCH($F36,_怪物类型!$A$2:$A$10,0))*IF($K36="",1,$K36),""))</f>
        <v/>
      </c>
      <c r="T36" s="74">
        <f>IF(OR($J36="",$F36="不适用"),"",IFERROR(INDEX(_怪物模型!$E$2:$E$4501,(INT($J36)-1)*ROWS(_怪物类型!$A$2:$A$10)+MATCH($F36,_怪物类型!$A$2:$A$10,0))*IF($L36="",1,$L36),""))</f>
        <v/>
      </c>
      <c r="U36" s="74">
        <f>IF(OR($J36="",$F36="不适用"),"",IFERROR(INDEX(_怪物模型!$F$2:$F$4501,(INT($J36)-1)*ROWS(_怪物类型!$A$2:$A$10)+MATCH($F36,_怪物类型!$A$2:$A$10,0))*IF($M36="",1,$M36),""))</f>
        <v/>
      </c>
      <c r="V36" s="75">
        <f>IF($U36="","",MIN(0.75,$U36/($U36+24000)))</f>
        <v/>
      </c>
      <c r="W36" s="76">
        <f>IF($S36="","",$S36/(1-$V36)*IF($N36="",1,$N36))</f>
        <v/>
      </c>
      <c r="X36" s="76">
        <f>IF(OR($W36="",$Q36="",$Q36=0),"",$W36/$Q36)</f>
        <v/>
      </c>
      <c r="Y36" s="76">
        <f>IF(OR($R36="",$T36="",$T36=0),"",$R36/($T36*IF($O36="",1,$O36)))</f>
        <v/>
      </c>
      <c r="Z36" s="77">
        <f>IF(OR($X36="",$P36="",$P36=0),"",$X36/$P36)</f>
        <v/>
      </c>
      <c r="AA36" s="27">
        <f>IF($J36="","待填怪物等级",IF(OR($I36="",$Q36=""),"待填对照关卡",IF($P36="","已计算",IF(AND($Y36&lt;&gt;"",$Y36&lt;$X36),"生存不成立",IF($Z36&lt;0.5,"碾压",IF($Z36&lt;0.8,"偏简单",IF($Z36&lt;=1.2,"适中",IF($Z36&lt;=1.5,"偏难","过难"))))))))</f>
        <v/>
      </c>
      <c r="AB36" s="27">
        <f>IF($J36="","待填",IF(AND(ISNUMBER($J36),$J36&gt;=1,$J36&lt;=500,MOD($J36,1)=0),"有效","超范围"))</f>
        <v/>
      </c>
      <c r="AC36" s="27">
        <f>IF(OR($J36="",ROW()=5,$B36&lt;&gt;$B35,$J35=""),"",IF($J36&lt;$J35,"下降",""))</f>
        <v/>
      </c>
      <c r="AD36" s="28" t="inlineStr">
        <is>
          <t>2026-08-27 新玩家节点曲线校准；对照S32；等级64→54；保留原难度定位。  2026-08-31 推荐战力：本章Boss反查锚点p17-&gt;p24线性递增（60s击杀/扛20s）；</t>
        </is>
      </c>
      <c r="AE36" t="n">
        <v>28200</v>
      </c>
      <c r="AF36">
        <f>INDEX(_统一战力!$B$2:$B$501,J36)</f>
        <v/>
      </c>
    </row>
    <row r="37" ht="25" customHeight="1">
      <c r="A37" s="27" t="inlineStr">
        <is>
          <t>当前配置</t>
        </is>
      </c>
      <c r="B37" s="27" t="inlineStr">
        <is>
          <t>主线</t>
        </is>
      </c>
      <c r="C37" s="28" t="inlineStr">
        <is>
          <t>第三章</t>
        </is>
      </c>
      <c r="D37" s="28" t="inlineStr">
        <is>
          <t>3-9</t>
        </is>
      </c>
      <c r="E37" s="28" t="inlineStr">
        <is>
          <t>100309</t>
        </is>
      </c>
      <c r="F37" s="27" t="inlineStr">
        <is>
          <t>普通怪</t>
        </is>
      </c>
      <c r="G37" s="37" t="n">
        <v>33</v>
      </c>
      <c r="H37" s="38" t="n"/>
      <c r="I37" s="39">
        <f>IF($H37="",$G37,$H37)</f>
        <v/>
      </c>
      <c r="J37" s="40" t="n">
        <v>55</v>
      </c>
      <c r="K37" s="72" t="n">
        <v>1.03486849074803</v>
      </c>
      <c r="L37" s="72" t="n">
        <v>0.954392190249066</v>
      </c>
      <c r="M37" s="72" t="n">
        <v>1</v>
      </c>
      <c r="N37" s="73" t="n"/>
      <c r="O37" s="73" t="n"/>
      <c r="P37" s="73" t="n"/>
      <c r="Q37" s="74">
        <f>IF($I37="","",IFERROR(INDEX(_玩家曲线!$H$2:$H$286,MATCH($I37,_玩家曲线!$A$2:$A$286,0)),""))</f>
        <v/>
      </c>
      <c r="R37" s="74">
        <f>IF($I37="","",IFERROR(INDEX(_玩家曲线!$I$2:$I$286,MATCH($I37,_玩家曲线!$A$2:$A$286,0)),""))</f>
        <v/>
      </c>
      <c r="S37" s="74">
        <f>IF(OR($J37="",$F37="不适用"),"",IFERROR(INDEX(_怪物模型!$D$2:$D$4501,(INT($J37)-1)*ROWS(_怪物类型!$A$2:$A$10)+MATCH($F37,_怪物类型!$A$2:$A$10,0))*IF($K37="",1,$K37),""))</f>
        <v/>
      </c>
      <c r="T37" s="74">
        <f>IF(OR($J37="",$F37="不适用"),"",IFERROR(INDEX(_怪物模型!$E$2:$E$4501,(INT($J37)-1)*ROWS(_怪物类型!$A$2:$A$10)+MATCH($F37,_怪物类型!$A$2:$A$10,0))*IF($L37="",1,$L37),""))</f>
        <v/>
      </c>
      <c r="U37" s="74">
        <f>IF(OR($J37="",$F37="不适用"),"",IFERROR(INDEX(_怪物模型!$F$2:$F$4501,(INT($J37)-1)*ROWS(_怪物类型!$A$2:$A$10)+MATCH($F37,_怪物类型!$A$2:$A$10,0))*IF($M37="",1,$M37),""))</f>
        <v/>
      </c>
      <c r="V37" s="75">
        <f>IF($U37="","",MIN(0.75,$U37/($U37+24000)))</f>
        <v/>
      </c>
      <c r="W37" s="76">
        <f>IF($S37="","",$S37/(1-$V37)*IF($N37="",1,$N37))</f>
        <v/>
      </c>
      <c r="X37" s="76">
        <f>IF(OR($W37="",$Q37="",$Q37=0),"",$W37/$Q37)</f>
        <v/>
      </c>
      <c r="Y37" s="76">
        <f>IF(OR($R37="",$T37="",$T37=0),"",$R37/($T37*IF($O37="",1,$O37)))</f>
        <v/>
      </c>
      <c r="Z37" s="77">
        <f>IF(OR($X37="",$P37="",$P37=0),"",$X37/$P37)</f>
        <v/>
      </c>
      <c r="AA37" s="27">
        <f>IF($J37="","待填怪物等级",IF(OR($I37="",$Q37=""),"待填对照关卡",IF($P37="","已计算",IF(AND($Y37&lt;&gt;"",$Y37&lt;$X37),"生存不成立",IF($Z37&lt;0.5,"碾压",IF($Z37&lt;0.8,"偏简单",IF($Z37&lt;=1.2,"适中",IF($Z37&lt;=1.5,"偏难","过难"))))))))</f>
        <v/>
      </c>
      <c r="AB37" s="27">
        <f>IF($J37="","待填",IF(AND(ISNUMBER($J37),$J37&gt;=1,$J37&lt;=500,MOD($J37,1)=0),"有效","超范围"))</f>
        <v/>
      </c>
      <c r="AC37" s="27">
        <f>IF(OR($J37="",ROW()=5,$B37&lt;&gt;$B36,$J36=""),"",IF($J37&lt;$J36,"下降",""))</f>
        <v/>
      </c>
      <c r="AD37" s="28" t="inlineStr">
        <is>
          <t>2026-08-27 新玩家节点曲线校准；对照S33；等级67→55；保留原难度定位。  2026-08-31 推荐战力：本章Boss反查锚点p17-&gt;p24线性递增（60s击杀/扛20s）；</t>
        </is>
      </c>
      <c r="AE37" t="n">
        <v>29200</v>
      </c>
      <c r="AF37">
        <f>INDEX(_统一战力!$B$2:$B$501,J37)</f>
        <v/>
      </c>
    </row>
    <row r="38" ht="25" customHeight="1">
      <c r="A38" s="27" t="inlineStr">
        <is>
          <t>当前配置</t>
        </is>
      </c>
      <c r="B38" s="27" t="inlineStr">
        <is>
          <t>主线</t>
        </is>
      </c>
      <c r="C38" s="28" t="inlineStr">
        <is>
          <t>第三章</t>
        </is>
      </c>
      <c r="D38" s="28" t="inlineStr">
        <is>
          <t>3-10</t>
        </is>
      </c>
      <c r="E38" s="28" t="inlineStr">
        <is>
          <t>100310</t>
        </is>
      </c>
      <c r="F38" s="27" t="inlineStr">
        <is>
          <t>普通怪</t>
        </is>
      </c>
      <c r="G38" s="37" t="n">
        <v>34</v>
      </c>
      <c r="H38" s="38" t="n"/>
      <c r="I38" s="39">
        <f>IF($H38="",$G38,$H38)</f>
        <v/>
      </c>
      <c r="J38" s="40" t="n">
        <v>58</v>
      </c>
      <c r="K38" s="72" t="n">
        <v>1.01031394247642</v>
      </c>
      <c r="L38" s="72" t="n">
        <v>0.943249492157452</v>
      </c>
      <c r="M38" s="72" t="n">
        <v>1</v>
      </c>
      <c r="N38" s="73" t="n"/>
      <c r="O38" s="73" t="n"/>
      <c r="P38" s="73" t="n"/>
      <c r="Q38" s="74">
        <f>IF($I38="","",IFERROR(INDEX(_玩家曲线!$H$2:$H$286,MATCH($I38,_玩家曲线!$A$2:$A$286,0)),""))</f>
        <v/>
      </c>
      <c r="R38" s="74">
        <f>IF($I38="","",IFERROR(INDEX(_玩家曲线!$I$2:$I$286,MATCH($I38,_玩家曲线!$A$2:$A$286,0)),""))</f>
        <v/>
      </c>
      <c r="S38" s="74">
        <f>IF(OR($J38="",$F38="不适用"),"",IFERROR(INDEX(_怪物模型!$D$2:$D$4501,(INT($J38)-1)*ROWS(_怪物类型!$A$2:$A$10)+MATCH($F38,_怪物类型!$A$2:$A$10,0))*IF($K38="",1,$K38),""))</f>
        <v/>
      </c>
      <c r="T38" s="74">
        <f>IF(OR($J38="",$F38="不适用"),"",IFERROR(INDEX(_怪物模型!$E$2:$E$4501,(INT($J38)-1)*ROWS(_怪物类型!$A$2:$A$10)+MATCH($F38,_怪物类型!$A$2:$A$10,0))*IF($L38="",1,$L38),""))</f>
        <v/>
      </c>
      <c r="U38" s="74">
        <f>IF(OR($J38="",$F38="不适用"),"",IFERROR(INDEX(_怪物模型!$F$2:$F$4501,(INT($J38)-1)*ROWS(_怪物类型!$A$2:$A$10)+MATCH($F38,_怪物类型!$A$2:$A$10,0))*IF($M38="",1,$M38),""))</f>
        <v/>
      </c>
      <c r="V38" s="75">
        <f>IF($U38="","",MIN(0.75,$U38/($U38+24000)))</f>
        <v/>
      </c>
      <c r="W38" s="76">
        <f>IF($S38="","",$S38/(1-$V38)*IF($N38="",1,$N38))</f>
        <v/>
      </c>
      <c r="X38" s="76">
        <f>IF(OR($W38="",$Q38="",$Q38=0),"",$W38/$Q38)</f>
        <v/>
      </c>
      <c r="Y38" s="76">
        <f>IF(OR($R38="",$T38="",$T38=0),"",$R38/($T38*IF($O38="",1,$O38)))</f>
        <v/>
      </c>
      <c r="Z38" s="77">
        <f>IF(OR($X38="",$P38="",$P38=0),"",$X38/$P38)</f>
        <v/>
      </c>
      <c r="AA38" s="27">
        <f>IF($J38="","待填怪物等级",IF(OR($I38="",$Q38=""),"待填对照关卡",IF($P38="","已计算",IF(AND($Y38&lt;&gt;"",$Y38&lt;$X38),"生存不成立",IF($Z38&lt;0.5,"碾压",IF($Z38&lt;0.8,"偏简单",IF($Z38&lt;=1.2,"适中",IF($Z38&lt;=1.5,"偏难","过难"))))))))</f>
        <v/>
      </c>
      <c r="AB38" s="27">
        <f>IF($J38="","待填",IF(AND(ISNUMBER($J38),$J38&gt;=1,$J38&lt;=500,MOD($J38,1)=0),"有效","超范围"))</f>
        <v/>
      </c>
      <c r="AC38" s="27">
        <f>IF(OR($J38="",ROW()=5,$B38&lt;&gt;$B37,$J37=""),"",IF($J38&lt;$J37,"下降",""))</f>
        <v/>
      </c>
      <c r="AD38" s="28" t="inlineStr">
        <is>
          <t>2026-08-27 新玩家节点曲线校准；对照S34；等级71→58；保留原难度定位。  2026-08-31 推荐战力：本章Boss反查锚点p17-&gt;p24线性递增（60s击杀/扛20s）；</t>
        </is>
      </c>
      <c r="AE38" t="n">
        <v>30300</v>
      </c>
      <c r="AF38">
        <f>INDEX(_统一战力!$B$2:$B$501,J38)</f>
        <v/>
      </c>
    </row>
    <row r="39" ht="25" customHeight="1">
      <c r="A39" s="27" t="inlineStr">
        <is>
          <t>当前配置</t>
        </is>
      </c>
      <c r="B39" s="27" t="inlineStr">
        <is>
          <t>主线</t>
        </is>
      </c>
      <c r="C39" s="28" t="inlineStr">
        <is>
          <t>第三章</t>
        </is>
      </c>
      <c r="D39" s="28" t="inlineStr">
        <is>
          <t>3-11</t>
        </is>
      </c>
      <c r="E39" s="28" t="inlineStr">
        <is>
          <t>100311</t>
        </is>
      </c>
      <c r="F39" s="27" t="inlineStr">
        <is>
          <t>普通怪</t>
        </is>
      </c>
      <c r="G39" s="37" t="n">
        <v>35</v>
      </c>
      <c r="H39" s="38" t="n"/>
      <c r="I39" s="39">
        <f>IF($H39="",$G39,$H39)</f>
        <v/>
      </c>
      <c r="J39" s="40" t="n">
        <v>58</v>
      </c>
      <c r="K39" s="72" t="n">
        <v>1.03008918982032</v>
      </c>
      <c r="L39" s="72" t="n">
        <v>0.95608688234005</v>
      </c>
      <c r="M39" s="72" t="n">
        <v>1</v>
      </c>
      <c r="N39" s="73" t="n"/>
      <c r="O39" s="73" t="n"/>
      <c r="P39" s="73" t="n"/>
      <c r="Q39" s="74">
        <f>IF($I39="","",IFERROR(INDEX(_玩家曲线!$H$2:$H$286,MATCH($I39,_玩家曲线!$A$2:$A$286,0)),""))</f>
        <v/>
      </c>
      <c r="R39" s="74">
        <f>IF($I39="","",IFERROR(INDEX(_玩家曲线!$I$2:$I$286,MATCH($I39,_玩家曲线!$A$2:$A$286,0)),""))</f>
        <v/>
      </c>
      <c r="S39" s="74">
        <f>IF(OR($J39="",$F39="不适用"),"",IFERROR(INDEX(_怪物模型!$D$2:$D$4501,(INT($J39)-1)*ROWS(_怪物类型!$A$2:$A$10)+MATCH($F39,_怪物类型!$A$2:$A$10,0))*IF($K39="",1,$K39),""))</f>
        <v/>
      </c>
      <c r="T39" s="74">
        <f>IF(OR($J39="",$F39="不适用"),"",IFERROR(INDEX(_怪物模型!$E$2:$E$4501,(INT($J39)-1)*ROWS(_怪物类型!$A$2:$A$10)+MATCH($F39,_怪物类型!$A$2:$A$10,0))*IF($L39="",1,$L39),""))</f>
        <v/>
      </c>
      <c r="U39" s="74">
        <f>IF(OR($J39="",$F39="不适用"),"",IFERROR(INDEX(_怪物模型!$F$2:$F$4501,(INT($J39)-1)*ROWS(_怪物类型!$A$2:$A$10)+MATCH($F39,_怪物类型!$A$2:$A$10,0))*IF($M39="",1,$M39),""))</f>
        <v/>
      </c>
      <c r="V39" s="75">
        <f>IF($U39="","",MIN(0.75,$U39/($U39+24000)))</f>
        <v/>
      </c>
      <c r="W39" s="76">
        <f>IF($S39="","",$S39/(1-$V39)*IF($N39="",1,$N39))</f>
        <v/>
      </c>
      <c r="X39" s="76">
        <f>IF(OR($W39="",$Q39="",$Q39=0),"",$W39/$Q39)</f>
        <v/>
      </c>
      <c r="Y39" s="76">
        <f>IF(OR($R39="",$T39="",$T39=0),"",$R39/($T39*IF($O39="",1,$O39)))</f>
        <v/>
      </c>
      <c r="Z39" s="77">
        <f>IF(OR($X39="",$P39="",$P39=0),"",$X39/$P39)</f>
        <v/>
      </c>
      <c r="AA39" s="27">
        <f>IF($J39="","待填怪物等级",IF(OR($I39="",$Q39=""),"待填对照关卡",IF($P39="","已计算",IF(AND($Y39&lt;&gt;"",$Y39&lt;$X39),"生存不成立",IF($Z39&lt;0.5,"碾压",IF($Z39&lt;0.8,"偏简单",IF($Z39&lt;=1.2,"适中",IF($Z39&lt;=1.5,"偏难","过难"))))))))</f>
        <v/>
      </c>
      <c r="AB39" s="27">
        <f>IF($J39="","待填",IF(AND(ISNUMBER($J39),$J39&gt;=1,$J39&lt;=500,MOD($J39,1)=0),"有效","超范围"))</f>
        <v/>
      </c>
      <c r="AC39" s="27">
        <f>IF(OR($J39="",ROW()=5,$B39&lt;&gt;$B38,$J38=""),"",IF($J39&lt;$J38,"下降",""))</f>
        <v/>
      </c>
      <c r="AD39" s="28" t="inlineStr">
        <is>
          <t>2026-08-27 新玩家节点曲线校准；对照S35；等级73→58；保留原难度定位。  2026-08-31 推荐战力：本章Boss反查锚点p17-&gt;p24线性递增（60s击杀/扛20s）；</t>
        </is>
      </c>
      <c r="AE39" t="n">
        <v>31300</v>
      </c>
      <c r="AF39">
        <f>INDEX(_统一战力!$B$2:$B$501,J39)</f>
        <v/>
      </c>
    </row>
    <row r="40" ht="25" customHeight="1">
      <c r="A40" s="27" t="inlineStr">
        <is>
          <t>当前配置</t>
        </is>
      </c>
      <c r="B40" s="27" t="inlineStr">
        <is>
          <t>主线</t>
        </is>
      </c>
      <c r="C40" s="28" t="inlineStr">
        <is>
          <t>第三章</t>
        </is>
      </c>
      <c r="D40" s="28" t="inlineStr">
        <is>
          <t>3-12</t>
        </is>
      </c>
      <c r="E40" s="28" t="inlineStr">
        <is>
          <t>100312</t>
        </is>
      </c>
      <c r="F40" s="27" t="inlineStr">
        <is>
          <t>普通怪</t>
        </is>
      </c>
      <c r="G40" s="37" t="n">
        <v>36</v>
      </c>
      <c r="H40" s="38" t="n"/>
      <c r="I40" s="39">
        <f>IF($H40="",$G40,$H40)</f>
        <v/>
      </c>
      <c r="J40" s="40" t="n">
        <v>59</v>
      </c>
      <c r="K40" s="72" t="n">
        <v>1.0205778647667</v>
      </c>
      <c r="L40" s="72" t="n">
        <v>0.950182228975009</v>
      </c>
      <c r="M40" s="72" t="n">
        <v>1</v>
      </c>
      <c r="N40" s="73" t="n"/>
      <c r="O40" s="73" t="n"/>
      <c r="P40" s="73" t="n"/>
      <c r="Q40" s="74">
        <f>IF($I40="","",IFERROR(INDEX(_玩家曲线!$H$2:$H$286,MATCH($I40,_玩家曲线!$A$2:$A$286,0)),""))</f>
        <v/>
      </c>
      <c r="R40" s="74">
        <f>IF($I40="","",IFERROR(INDEX(_玩家曲线!$I$2:$I$286,MATCH($I40,_玩家曲线!$A$2:$A$286,0)),""))</f>
        <v/>
      </c>
      <c r="S40" s="74">
        <f>IF(OR($J40="",$F40="不适用"),"",IFERROR(INDEX(_怪物模型!$D$2:$D$4501,(INT($J40)-1)*ROWS(_怪物类型!$A$2:$A$10)+MATCH($F40,_怪物类型!$A$2:$A$10,0))*IF($K40="",1,$K40),""))</f>
        <v/>
      </c>
      <c r="T40" s="74">
        <f>IF(OR($J40="",$F40="不适用"),"",IFERROR(INDEX(_怪物模型!$E$2:$E$4501,(INT($J40)-1)*ROWS(_怪物类型!$A$2:$A$10)+MATCH($F40,_怪物类型!$A$2:$A$10,0))*IF($L40="",1,$L40),""))</f>
        <v/>
      </c>
      <c r="U40" s="74">
        <f>IF(OR($J40="",$F40="不适用"),"",IFERROR(INDEX(_怪物模型!$F$2:$F$4501,(INT($J40)-1)*ROWS(_怪物类型!$A$2:$A$10)+MATCH($F40,_怪物类型!$A$2:$A$10,0))*IF($M40="",1,$M40),""))</f>
        <v/>
      </c>
      <c r="V40" s="75">
        <f>IF($U40="","",MIN(0.75,$U40/($U40+24000)))</f>
        <v/>
      </c>
      <c r="W40" s="76">
        <f>IF($S40="","",$S40/(1-$V40)*IF($N40="",1,$N40))</f>
        <v/>
      </c>
      <c r="X40" s="76">
        <f>IF(OR($W40="",$Q40="",$Q40=0),"",$W40/$Q40)</f>
        <v/>
      </c>
      <c r="Y40" s="76">
        <f>IF(OR($R40="",$T40="",$T40=0),"",$R40/($T40*IF($O40="",1,$O40)))</f>
        <v/>
      </c>
      <c r="Z40" s="77">
        <f>IF(OR($X40="",$P40="",$P40=0),"",$X40/$P40)</f>
        <v/>
      </c>
      <c r="AA40" s="27">
        <f>IF($J40="","待填怪物等级",IF(OR($I40="",$Q40=""),"待填对照关卡",IF($P40="","已计算",IF(AND($Y40&lt;&gt;"",$Y40&lt;$X40),"生存不成立",IF($Z40&lt;0.5,"碾压",IF($Z40&lt;0.8,"偏简单",IF($Z40&lt;=1.2,"适中",IF($Z40&lt;=1.5,"偏难","过难"))))))))</f>
        <v/>
      </c>
      <c r="AB40" s="27">
        <f>IF($J40="","待填",IF(AND(ISNUMBER($J40),$J40&gt;=1,$J40&lt;=500,MOD($J40,1)=0),"有效","超范围"))</f>
        <v/>
      </c>
      <c r="AC40" s="27">
        <f>IF(OR($J40="",ROW()=5,$B40&lt;&gt;$B39,$J39=""),"",IF($J40&lt;$J39,"下降",""))</f>
        <v/>
      </c>
      <c r="AD40" s="28" t="inlineStr">
        <is>
          <t>2026-08-27 新玩家节点曲线校准；对照S36；等级75→59；保留原难度定位。  2026-08-31 推荐战力：本章Boss反查锚点p17-&gt;p24线性递增（60s击杀/扛20s）；</t>
        </is>
      </c>
      <c r="AE40" t="n">
        <v>32400</v>
      </c>
      <c r="AF40">
        <f>INDEX(_统一战力!$B$2:$B$501,J40)</f>
        <v/>
      </c>
    </row>
    <row r="41" ht="25" customHeight="1">
      <c r="A41" s="27" t="inlineStr">
        <is>
          <t>当前配置</t>
        </is>
      </c>
      <c r="B41" s="27" t="inlineStr">
        <is>
          <t>主线</t>
        </is>
      </c>
      <c r="C41" s="28" t="inlineStr">
        <is>
          <t>第三章</t>
        </is>
      </c>
      <c r="D41" s="28" t="inlineStr">
        <is>
          <t>3-13</t>
        </is>
      </c>
      <c r="E41" s="28" t="inlineStr">
        <is>
          <t>100313</t>
        </is>
      </c>
      <c r="F41" s="27" t="inlineStr">
        <is>
          <t>普通怪</t>
        </is>
      </c>
      <c r="G41" s="37" t="n">
        <v>37</v>
      </c>
      <c r="H41" s="38" t="n"/>
      <c r="I41" s="39">
        <f>IF($H41="",$G41,$H41)</f>
        <v/>
      </c>
      <c r="J41" s="40" t="n">
        <v>61</v>
      </c>
      <c r="K41" s="72" t="n">
        <v>1.00870656053944</v>
      </c>
      <c r="L41" s="72" t="n">
        <v>0.945620056204626</v>
      </c>
      <c r="M41" s="72" t="n">
        <v>1</v>
      </c>
      <c r="N41" s="73" t="n"/>
      <c r="O41" s="73" t="n"/>
      <c r="P41" s="73" t="n"/>
      <c r="Q41" s="74">
        <f>IF($I41="","",IFERROR(INDEX(_玩家曲线!$H$2:$H$286,MATCH($I41,_玩家曲线!$A$2:$A$286,0)),""))</f>
        <v/>
      </c>
      <c r="R41" s="74">
        <f>IF($I41="","",IFERROR(INDEX(_玩家曲线!$I$2:$I$286,MATCH($I41,_玩家曲线!$A$2:$A$286,0)),""))</f>
        <v/>
      </c>
      <c r="S41" s="74">
        <f>IF(OR($J41="",$F41="不适用"),"",IFERROR(INDEX(_怪物模型!$D$2:$D$4501,(INT($J41)-1)*ROWS(_怪物类型!$A$2:$A$10)+MATCH($F41,_怪物类型!$A$2:$A$10,0))*IF($K41="",1,$K41),""))</f>
        <v/>
      </c>
      <c r="T41" s="74">
        <f>IF(OR($J41="",$F41="不适用"),"",IFERROR(INDEX(_怪物模型!$E$2:$E$4501,(INT($J41)-1)*ROWS(_怪物类型!$A$2:$A$10)+MATCH($F41,_怪物类型!$A$2:$A$10,0))*IF($L41="",1,$L41),""))</f>
        <v/>
      </c>
      <c r="U41" s="74">
        <f>IF(OR($J41="",$F41="不适用"),"",IFERROR(INDEX(_怪物模型!$F$2:$F$4501,(INT($J41)-1)*ROWS(_怪物类型!$A$2:$A$10)+MATCH($F41,_怪物类型!$A$2:$A$10,0))*IF($M41="",1,$M41),""))</f>
        <v/>
      </c>
      <c r="V41" s="75">
        <f>IF($U41="","",MIN(0.75,$U41/($U41+24000)))</f>
        <v/>
      </c>
      <c r="W41" s="76">
        <f>IF($S41="","",$S41/(1-$V41)*IF($N41="",1,$N41))</f>
        <v/>
      </c>
      <c r="X41" s="76">
        <f>IF(OR($W41="",$Q41="",$Q41=0),"",$W41/$Q41)</f>
        <v/>
      </c>
      <c r="Y41" s="76">
        <f>IF(OR($R41="",$T41="",$T41=0),"",$R41/($T41*IF($O41="",1,$O41)))</f>
        <v/>
      </c>
      <c r="Z41" s="77">
        <f>IF(OR($X41="",$P41="",$P41=0),"",$X41/$P41)</f>
        <v/>
      </c>
      <c r="AA41" s="27">
        <f>IF($J41="","待填怪物等级",IF(OR($I41="",$Q41=""),"待填对照关卡",IF($P41="","已计算",IF(AND($Y41&lt;&gt;"",$Y41&lt;$X41),"生存不成立",IF($Z41&lt;0.5,"碾压",IF($Z41&lt;0.8,"偏简单",IF($Z41&lt;=1.2,"适中",IF($Z41&lt;=1.5,"偏难","过难"))))))))</f>
        <v/>
      </c>
      <c r="AB41" s="27">
        <f>IF($J41="","待填",IF(AND(ISNUMBER($J41),$J41&gt;=1,$J41&lt;=500,MOD($J41,1)=0),"有效","超范围"))</f>
        <v/>
      </c>
      <c r="AC41" s="27">
        <f>IF(OR($J41="",ROW()=5,$B41&lt;&gt;$B40,$J40=""),"",IF($J41&lt;$J40,"下降",""))</f>
        <v/>
      </c>
      <c r="AD41" s="28" t="inlineStr">
        <is>
          <t>2026-08-27 新玩家节点曲线校准；对照S37；等级78→61；保留原难度定位。  2026-08-31 推荐战力：本章Boss反查锚点p17-&gt;p24线性递增（60s击杀/扛20s）；</t>
        </is>
      </c>
      <c r="AE41" t="n">
        <v>33400</v>
      </c>
      <c r="AF41">
        <f>INDEX(_统一战力!$B$2:$B$501,J41)</f>
        <v/>
      </c>
    </row>
    <row r="42" ht="25" customHeight="1">
      <c r="A42" s="27" t="inlineStr">
        <is>
          <t>当前配置</t>
        </is>
      </c>
      <c r="B42" s="27" t="inlineStr">
        <is>
          <t>主线</t>
        </is>
      </c>
      <c r="C42" s="28" t="inlineStr">
        <is>
          <t>第三章</t>
        </is>
      </c>
      <c r="D42" s="28" t="inlineStr">
        <is>
          <t>3-14</t>
        </is>
      </c>
      <c r="E42" s="28" t="inlineStr">
        <is>
          <t>100314</t>
        </is>
      </c>
      <c r="F42" s="27" t="inlineStr">
        <is>
          <t>普通怪</t>
        </is>
      </c>
      <c r="G42" s="37" t="n">
        <v>38</v>
      </c>
      <c r="H42" s="38" t="n"/>
      <c r="I42" s="39">
        <f>IF($H42="",$G42,$H42)</f>
        <v/>
      </c>
      <c r="J42" s="40" t="n">
        <v>61</v>
      </c>
      <c r="K42" s="72" t="n">
        <v>1.03415839674241</v>
      </c>
      <c r="L42" s="72" t="n">
        <v>0.962458090679925</v>
      </c>
      <c r="M42" s="72" t="n">
        <v>1</v>
      </c>
      <c r="N42" s="73" t="n"/>
      <c r="O42" s="73" t="n"/>
      <c r="P42" s="73" t="n"/>
      <c r="Q42" s="74">
        <f>IF($I42="","",IFERROR(INDEX(_玩家曲线!$H$2:$H$286,MATCH($I42,_玩家曲线!$A$2:$A$286,0)),""))</f>
        <v/>
      </c>
      <c r="R42" s="74">
        <f>IF($I42="","",IFERROR(INDEX(_玩家曲线!$I$2:$I$286,MATCH($I42,_玩家曲线!$A$2:$A$286,0)),""))</f>
        <v/>
      </c>
      <c r="S42" s="74">
        <f>IF(OR($J42="",$F42="不适用"),"",IFERROR(INDEX(_怪物模型!$D$2:$D$4501,(INT($J42)-1)*ROWS(_怪物类型!$A$2:$A$10)+MATCH($F42,_怪物类型!$A$2:$A$10,0))*IF($K42="",1,$K42),""))</f>
        <v/>
      </c>
      <c r="T42" s="74">
        <f>IF(OR($J42="",$F42="不适用"),"",IFERROR(INDEX(_怪物模型!$E$2:$E$4501,(INT($J42)-1)*ROWS(_怪物类型!$A$2:$A$10)+MATCH($F42,_怪物类型!$A$2:$A$10,0))*IF($L42="",1,$L42),""))</f>
        <v/>
      </c>
      <c r="U42" s="74">
        <f>IF(OR($J42="",$F42="不适用"),"",IFERROR(INDEX(_怪物模型!$F$2:$F$4501,(INT($J42)-1)*ROWS(_怪物类型!$A$2:$A$10)+MATCH($F42,_怪物类型!$A$2:$A$10,0))*IF($M42="",1,$M42),""))</f>
        <v/>
      </c>
      <c r="V42" s="75">
        <f>IF($U42="","",MIN(0.75,$U42/($U42+24000)))</f>
        <v/>
      </c>
      <c r="W42" s="76">
        <f>IF($S42="","",$S42/(1-$V42)*IF($N42="",1,$N42))</f>
        <v/>
      </c>
      <c r="X42" s="76">
        <f>IF(OR($W42="",$Q42="",$Q42=0),"",$W42/$Q42)</f>
        <v/>
      </c>
      <c r="Y42" s="76">
        <f>IF(OR($R42="",$T42="",$T42=0),"",$R42/($T42*IF($O42="",1,$O42)))</f>
        <v/>
      </c>
      <c r="Z42" s="77">
        <f>IF(OR($X42="",$P42="",$P42=0),"",$X42/$P42)</f>
        <v/>
      </c>
      <c r="AA42" s="27">
        <f>IF($J42="","待填怪物等级",IF(OR($I42="",$Q42=""),"待填对照关卡",IF($P42="","已计算",IF(AND($Y42&lt;&gt;"",$Y42&lt;$X42),"生存不成立",IF($Z42&lt;0.5,"碾压",IF($Z42&lt;0.8,"偏简单",IF($Z42&lt;=1.2,"适中",IF($Z42&lt;=1.5,"偏难","过难"))))))))</f>
        <v/>
      </c>
      <c r="AB42" s="27">
        <f>IF($J42="","待填",IF(AND(ISNUMBER($J42),$J42&gt;=1,$J42&lt;=500,MOD($J42,1)=0),"有效","超范围"))</f>
        <v/>
      </c>
      <c r="AC42" s="27">
        <f>IF(OR($J42="",ROW()=5,$B42&lt;&gt;$B41,$J41=""),"",IF($J42&lt;$J41,"下降",""))</f>
        <v/>
      </c>
      <c r="AD42" s="28" t="inlineStr">
        <is>
          <t>2026-08-27 新玩家节点曲线校准；对照S38；等级80→61；保留原难度定位。  2026-08-31 推荐战力：本章Boss反查锚点p17-&gt;p24线性递增（60s击杀/扛20s）；</t>
        </is>
      </c>
      <c r="AE42" t="n">
        <v>34400</v>
      </c>
      <c r="AF42">
        <f>INDEX(_统一战力!$B$2:$B$501,J42)</f>
        <v/>
      </c>
    </row>
    <row r="43" ht="25" customHeight="1">
      <c r="A43" s="27" t="inlineStr">
        <is>
          <t>当前配置</t>
        </is>
      </c>
      <c r="B43" s="27" t="inlineStr">
        <is>
          <t>主线</t>
        </is>
      </c>
      <c r="C43" s="28" t="inlineStr">
        <is>
          <t>第三章</t>
        </is>
      </c>
      <c r="D43" s="28" t="inlineStr">
        <is>
          <t>3-15</t>
        </is>
      </c>
      <c r="E43" s="28" t="inlineStr">
        <is>
          <t>100315</t>
        </is>
      </c>
      <c r="F43" s="27" t="inlineStr">
        <is>
          <t>Boss</t>
        </is>
      </c>
      <c r="G43" s="37" t="n">
        <v>39</v>
      </c>
      <c r="H43" s="38" t="n"/>
      <c r="I43" s="39">
        <f>IF($H43="",$G43,$H43)</f>
        <v/>
      </c>
      <c r="J43" s="40" t="n">
        <v>66</v>
      </c>
      <c r="K43" s="72" t="n">
        <v>1.20115586857662</v>
      </c>
      <c r="L43" s="72" t="n">
        <v>0.783500558195154</v>
      </c>
      <c r="M43" s="72" t="n">
        <v>1</v>
      </c>
      <c r="N43" s="73" t="n"/>
      <c r="O43" s="73" t="n"/>
      <c r="P43" s="73" t="n"/>
      <c r="Q43" s="74">
        <f>IF($I43="","",IFERROR(INDEX(_玩家曲线!$H$2:$H$286,MATCH($I43,_玩家曲线!$A$2:$A$286,0)),""))</f>
        <v/>
      </c>
      <c r="R43" s="74">
        <f>IF($I43="","",IFERROR(INDEX(_玩家曲线!$I$2:$I$286,MATCH($I43,_玩家曲线!$A$2:$A$286,0)),""))</f>
        <v/>
      </c>
      <c r="S43" s="74">
        <f>IF(OR($J43="",$F43="不适用"),"",IFERROR(INDEX(_怪物模型!$D$2:$D$4501,(INT($J43)-1)*ROWS(_怪物类型!$A$2:$A$10)+MATCH($F43,_怪物类型!$A$2:$A$10,0))*IF($K43="",1,$K43),""))</f>
        <v/>
      </c>
      <c r="T43" s="74">
        <f>IF(OR($J43="",$F43="不适用"),"",IFERROR(INDEX(_怪物模型!$E$2:$E$4501,(INT($J43)-1)*ROWS(_怪物类型!$A$2:$A$10)+MATCH($F43,_怪物类型!$A$2:$A$10,0))*IF($L43="",1,$L43),""))</f>
        <v/>
      </c>
      <c r="U43" s="74">
        <f>IF(OR($J43="",$F43="不适用"),"",IFERROR(INDEX(_怪物模型!$F$2:$F$4501,(INT($J43)-1)*ROWS(_怪物类型!$A$2:$A$10)+MATCH($F43,_怪物类型!$A$2:$A$10,0))*IF($M43="",1,$M43),""))</f>
        <v/>
      </c>
      <c r="V43" s="75">
        <f>IF($U43="","",MIN(0.75,$U43/($U43+24000)))</f>
        <v/>
      </c>
      <c r="W43" s="76">
        <f>IF($S43="","",$S43/(1-$V43)*IF($N43="",1,$N43))</f>
        <v/>
      </c>
      <c r="X43" s="76">
        <f>IF(OR($W43="",$Q43="",$Q43=0),"",$W43/$Q43)</f>
        <v/>
      </c>
      <c r="Y43" s="76">
        <f>IF(OR($R43="",$T43="",$T43=0),"",$R43/($T43*IF($O43="",1,$O43)))</f>
        <v/>
      </c>
      <c r="Z43" s="77">
        <f>IF(OR($X43="",$P43="",$P43=0),"",$X43/$P43)</f>
        <v/>
      </c>
      <c r="AA43" s="27">
        <f>IF($J43="","待填怪物等级",IF(OR($I43="",$Q43=""),"待填对照关卡",IF($P43="","已计算",IF(AND($Y43&lt;&gt;"",$Y43&lt;$X43),"生存不成立",IF($Z43&lt;0.5,"碾压",IF($Z43&lt;0.8,"偏简单",IF($Z43&lt;=1.2,"适中",IF($Z43&lt;=1.5,"偏难","过难"))))))))</f>
        <v/>
      </c>
      <c r="AB43" s="27">
        <f>IF($J43="","待填",IF(AND(ISNUMBER($J43),$J43&gt;=1,$J43&lt;=500,MOD($J43,1)=0),"有效","超范围"))</f>
        <v/>
      </c>
      <c r="AC43" s="27">
        <f>IF(OR($J43="",ROW()=5,$B43&lt;&gt;$B42,$J42=""),"",IF($J43&lt;$J42,"下降",""))</f>
        <v/>
      </c>
      <c r="AD43" s="28" t="inlineStr">
        <is>
          <t>2026-08-27 新玩家节点曲线校准；对照S39；等级85→66；保留原难度定位。  2026-08-31 推荐战力：本章Boss反查锚点p17-&gt;p24线性递增（60s击杀/扛20s）；</t>
        </is>
      </c>
      <c r="AE43" t="n">
        <v>35500</v>
      </c>
      <c r="AF43">
        <f>INDEX(_统一战力!$B$2:$B$501,J43)</f>
        <v/>
      </c>
    </row>
    <row r="44" ht="25" customHeight="1">
      <c r="A44" s="27" t="inlineStr">
        <is>
          <t>当前配置</t>
        </is>
      </c>
      <c r="B44" s="27" t="inlineStr">
        <is>
          <t>主线</t>
        </is>
      </c>
      <c r="C44" s="28" t="inlineStr">
        <is>
          <t>第四章</t>
        </is>
      </c>
      <c r="D44" s="28" t="inlineStr">
        <is>
          <t>4-1</t>
        </is>
      </c>
      <c r="E44" s="28" t="inlineStr">
        <is>
          <t>100401</t>
        </is>
      </c>
      <c r="F44" s="27" t="inlineStr">
        <is>
          <t>普通怪</t>
        </is>
      </c>
      <c r="G44" s="37" t="n">
        <v>40</v>
      </c>
      <c r="H44" s="38" t="n"/>
      <c r="I44" s="39">
        <f>IF($H44="",$G44,$H44)</f>
        <v/>
      </c>
      <c r="J44" s="40" t="n">
        <v>66</v>
      </c>
      <c r="K44" s="72" t="n">
        <v>0.966414568673658</v>
      </c>
      <c r="L44" s="72" t="n">
        <v>0.923000839932547</v>
      </c>
      <c r="M44" s="72" t="n">
        <v>1</v>
      </c>
      <c r="N44" s="73" t="n"/>
      <c r="O44" s="73" t="n"/>
      <c r="P44" s="73" t="n"/>
      <c r="Q44" s="74">
        <f>IF($I44="","",IFERROR(INDEX(_玩家曲线!$H$2:$H$286,MATCH($I44,_玩家曲线!$A$2:$A$286,0)),""))</f>
        <v/>
      </c>
      <c r="R44" s="74">
        <f>IF($I44="","",IFERROR(INDEX(_玩家曲线!$I$2:$I$286,MATCH($I44,_玩家曲线!$A$2:$A$286,0)),""))</f>
        <v/>
      </c>
      <c r="S44" s="74">
        <f>IF(OR($J44="",$F44="不适用"),"",IFERROR(INDEX(_怪物模型!$D$2:$D$4501,(INT($J44)-1)*ROWS(_怪物类型!$A$2:$A$10)+MATCH($F44,_怪物类型!$A$2:$A$10,0))*IF($K44="",1,$K44),""))</f>
        <v/>
      </c>
      <c r="T44" s="74">
        <f>IF(OR($J44="",$F44="不适用"),"",IFERROR(INDEX(_怪物模型!$E$2:$E$4501,(INT($J44)-1)*ROWS(_怪物类型!$A$2:$A$10)+MATCH($F44,_怪物类型!$A$2:$A$10,0))*IF($L44="",1,$L44),""))</f>
        <v/>
      </c>
      <c r="U44" s="74">
        <f>IF(OR($J44="",$F44="不适用"),"",IFERROR(INDEX(_怪物模型!$F$2:$F$4501,(INT($J44)-1)*ROWS(_怪物类型!$A$2:$A$10)+MATCH($F44,_怪物类型!$A$2:$A$10,0))*IF($M44="",1,$M44),""))</f>
        <v/>
      </c>
      <c r="V44" s="75">
        <f>IF($U44="","",MIN(0.75,$U44/($U44+24000)))</f>
        <v/>
      </c>
      <c r="W44" s="76">
        <f>IF($S44="","",$S44/(1-$V44)*IF($N44="",1,$N44))</f>
        <v/>
      </c>
      <c r="X44" s="76">
        <f>IF(OR($W44="",$Q44="",$Q44=0),"",$W44/$Q44)</f>
        <v/>
      </c>
      <c r="Y44" s="76">
        <f>IF(OR($R44="",$T44="",$T44=0),"",$R44/($T44*IF($O44="",1,$O44)))</f>
        <v/>
      </c>
      <c r="Z44" s="77">
        <f>IF(OR($X44="",$P44="",$P44=0),"",$X44/$P44)</f>
        <v/>
      </c>
      <c r="AA44" s="27">
        <f>IF($J44="","待填怪物等级",IF(OR($I44="",$Q44=""),"待填对照关卡",IF($P44="","已计算",IF(AND($Y44&lt;&gt;"",$Y44&lt;$X44),"生存不成立",IF($Z44&lt;0.5,"碾压",IF($Z44&lt;0.8,"偏简单",IF($Z44&lt;=1.2,"适中",IF($Z44&lt;=1.5,"偏难","过难"))))))))</f>
        <v/>
      </c>
      <c r="AB44" s="27">
        <f>IF($J44="","待填",IF(AND(ISNUMBER($J44),$J44&gt;=1,$J44&lt;=500,MOD($J44,1)=0),"有效","超范围"))</f>
        <v/>
      </c>
      <c r="AC44" s="27">
        <f>IF(OR($J44="",ROW()=5,$B44&lt;&gt;$B43,$J43=""),"",IF($J44&lt;$J43,"下降",""))</f>
        <v/>
      </c>
      <c r="AD44" s="28" t="inlineStr">
        <is>
          <t>2026-08-27 新玩家节点曲线校准；对照S40；等级85→66；保留原难度定位。  2026-08-31 推荐战力：本章Boss反查锚点p24-&gt;p36线性递增（60s击杀/扛20s）；</t>
        </is>
      </c>
      <c r="AE44" t="n">
        <v>37300</v>
      </c>
      <c r="AF44">
        <f>INDEX(_统一战力!$B$2:$B$501,J44)</f>
        <v/>
      </c>
    </row>
    <row r="45" ht="25" customHeight="1">
      <c r="A45" s="27" t="inlineStr">
        <is>
          <t>当前配置</t>
        </is>
      </c>
      <c r="B45" s="27" t="inlineStr">
        <is>
          <t>主线</t>
        </is>
      </c>
      <c r="C45" s="28" t="inlineStr">
        <is>
          <t>第四章</t>
        </is>
      </c>
      <c r="D45" s="28" t="inlineStr">
        <is>
          <t>4-2</t>
        </is>
      </c>
      <c r="E45" s="28" t="inlineStr">
        <is>
          <t>100402</t>
        </is>
      </c>
      <c r="F45" s="27" t="inlineStr">
        <is>
          <t>普通怪</t>
        </is>
      </c>
      <c r="G45" s="37" t="n">
        <v>41</v>
      </c>
      <c r="H45" s="38" t="n"/>
      <c r="I45" s="39">
        <f>IF($H45="",$G45,$H45)</f>
        <v/>
      </c>
      <c r="J45" s="40" t="n">
        <v>66</v>
      </c>
      <c r="K45" s="72" t="n">
        <v>1.027997342752</v>
      </c>
      <c r="L45" s="72" t="n">
        <v>0.96713492442955</v>
      </c>
      <c r="M45" s="72" t="n">
        <v>1</v>
      </c>
      <c r="N45" s="73" t="n"/>
      <c r="O45" s="73" t="n"/>
      <c r="P45" s="73" t="n"/>
      <c r="Q45" s="74">
        <f>IF($I45="","",IFERROR(INDEX(_玩家曲线!$H$2:$H$286,MATCH($I45,_玩家曲线!$A$2:$A$286,0)),""))</f>
        <v/>
      </c>
      <c r="R45" s="74">
        <f>IF($I45="","",IFERROR(INDEX(_玩家曲线!$I$2:$I$286,MATCH($I45,_玩家曲线!$A$2:$A$286,0)),""))</f>
        <v/>
      </c>
      <c r="S45" s="74">
        <f>IF(OR($J45="",$F45="不适用"),"",IFERROR(INDEX(_怪物模型!$D$2:$D$4501,(INT($J45)-1)*ROWS(_怪物类型!$A$2:$A$10)+MATCH($F45,_怪物类型!$A$2:$A$10,0))*IF($K45="",1,$K45),""))</f>
        <v/>
      </c>
      <c r="T45" s="74">
        <f>IF(OR($J45="",$F45="不适用"),"",IFERROR(INDEX(_怪物模型!$E$2:$E$4501,(INT($J45)-1)*ROWS(_怪物类型!$A$2:$A$10)+MATCH($F45,_怪物类型!$A$2:$A$10,0))*IF($L45="",1,$L45),""))</f>
        <v/>
      </c>
      <c r="U45" s="74">
        <f>IF(OR($J45="",$F45="不适用"),"",IFERROR(INDEX(_怪物模型!$F$2:$F$4501,(INT($J45)-1)*ROWS(_怪物类型!$A$2:$A$10)+MATCH($F45,_怪物类型!$A$2:$A$10,0))*IF($M45="",1,$M45),""))</f>
        <v/>
      </c>
      <c r="V45" s="75">
        <f>IF($U45="","",MIN(0.75,$U45/($U45+24000)))</f>
        <v/>
      </c>
      <c r="W45" s="76">
        <f>IF($S45="","",$S45/(1-$V45)*IF($N45="",1,$N45))</f>
        <v/>
      </c>
      <c r="X45" s="76">
        <f>IF(OR($W45="",$Q45="",$Q45=0),"",$W45/$Q45)</f>
        <v/>
      </c>
      <c r="Y45" s="76">
        <f>IF(OR($R45="",$T45="",$T45=0),"",$R45/($T45*IF($O45="",1,$O45)))</f>
        <v/>
      </c>
      <c r="Z45" s="77">
        <f>IF(OR($X45="",$P45="",$P45=0),"",$X45/$P45)</f>
        <v/>
      </c>
      <c r="AA45" s="27">
        <f>IF($J45="","待填怪物等级",IF(OR($I45="",$Q45=""),"待填对照关卡",IF($P45="","已计算",IF(AND($Y45&lt;&gt;"",$Y45&lt;$X45),"生存不成立",IF($Z45&lt;0.5,"碾压",IF($Z45&lt;0.8,"偏简单",IF($Z45&lt;=1.2,"适中",IF($Z45&lt;=1.5,"偏难","过难"))))))))</f>
        <v/>
      </c>
      <c r="AB45" s="27">
        <f>IF($J45="","待填",IF(AND(ISNUMBER($J45),$J45&gt;=1,$J45&lt;=500,MOD($J45,1)=0),"有效","超范围"))</f>
        <v/>
      </c>
      <c r="AC45" s="27">
        <f>IF(OR($J45="",ROW()=5,$B45&lt;&gt;$B44,$J44=""),"",IF($J45&lt;$J44,"下降",""))</f>
        <v/>
      </c>
      <c r="AD45" s="28" t="inlineStr">
        <is>
          <t>2026-08-27 新玩家节点曲线校准；对照S41；等级88→66；保留原难度定位。  2026-08-31 推荐战力：本章Boss反查锚点p24-&gt;p36线性递增（60s击杀/扛20s）；</t>
        </is>
      </c>
      <c r="AE45" t="n">
        <v>39100</v>
      </c>
      <c r="AF45">
        <f>INDEX(_统一战力!$B$2:$B$501,J45)</f>
        <v/>
      </c>
    </row>
    <row r="46" ht="25" customHeight="1">
      <c r="A46" s="27" t="inlineStr">
        <is>
          <t>当前配置</t>
        </is>
      </c>
      <c r="B46" s="27" t="inlineStr">
        <is>
          <t>主线</t>
        </is>
      </c>
      <c r="C46" s="28" t="inlineStr">
        <is>
          <t>第四章</t>
        </is>
      </c>
      <c r="D46" s="28" t="inlineStr">
        <is>
          <t>4-3</t>
        </is>
      </c>
      <c r="E46" s="28" t="inlineStr">
        <is>
          <t>100403</t>
        </is>
      </c>
      <c r="F46" s="27" t="inlineStr">
        <is>
          <t>普通怪</t>
        </is>
      </c>
      <c r="G46" s="37" t="n">
        <v>42</v>
      </c>
      <c r="H46" s="38" t="n"/>
      <c r="I46" s="39">
        <f>IF($H46="",$G46,$H46)</f>
        <v/>
      </c>
      <c r="J46" s="40" t="n">
        <v>68</v>
      </c>
      <c r="K46" s="72" t="n">
        <v>1.00973869551656</v>
      </c>
      <c r="L46" s="72" t="n">
        <v>0.95855742863271</v>
      </c>
      <c r="M46" s="72" t="n">
        <v>1</v>
      </c>
      <c r="N46" s="73" t="n"/>
      <c r="O46" s="73" t="n"/>
      <c r="P46" s="73" t="n"/>
      <c r="Q46" s="74">
        <f>IF($I46="","",IFERROR(INDEX(_玩家曲线!$H$2:$H$286,MATCH($I46,_玩家曲线!$A$2:$A$286,0)),""))</f>
        <v/>
      </c>
      <c r="R46" s="74">
        <f>IF($I46="","",IFERROR(INDEX(_玩家曲线!$I$2:$I$286,MATCH($I46,_玩家曲线!$A$2:$A$286,0)),""))</f>
        <v/>
      </c>
      <c r="S46" s="74">
        <f>IF(OR($J46="",$F46="不适用"),"",IFERROR(INDEX(_怪物模型!$D$2:$D$4501,(INT($J46)-1)*ROWS(_怪物类型!$A$2:$A$10)+MATCH($F46,_怪物类型!$A$2:$A$10,0))*IF($K46="",1,$K46),""))</f>
        <v/>
      </c>
      <c r="T46" s="74">
        <f>IF(OR($J46="",$F46="不适用"),"",IFERROR(INDEX(_怪物模型!$E$2:$E$4501,(INT($J46)-1)*ROWS(_怪物类型!$A$2:$A$10)+MATCH($F46,_怪物类型!$A$2:$A$10,0))*IF($L46="",1,$L46),""))</f>
        <v/>
      </c>
      <c r="U46" s="74">
        <f>IF(OR($J46="",$F46="不适用"),"",IFERROR(INDEX(_怪物模型!$F$2:$F$4501,(INT($J46)-1)*ROWS(_怪物类型!$A$2:$A$10)+MATCH($F46,_怪物类型!$A$2:$A$10,0))*IF($M46="",1,$M46),""))</f>
        <v/>
      </c>
      <c r="V46" s="75">
        <f>IF($U46="","",MIN(0.75,$U46/($U46+24000)))</f>
        <v/>
      </c>
      <c r="W46" s="76">
        <f>IF($S46="","",$S46/(1-$V46)*IF($N46="",1,$N46))</f>
        <v/>
      </c>
      <c r="X46" s="76">
        <f>IF(OR($W46="",$Q46="",$Q46=0),"",$W46/$Q46)</f>
        <v/>
      </c>
      <c r="Y46" s="76">
        <f>IF(OR($R46="",$T46="",$T46=0),"",$R46/($T46*IF($O46="",1,$O46)))</f>
        <v/>
      </c>
      <c r="Z46" s="77">
        <f>IF(OR($X46="",$P46="",$P46=0),"",$X46/$P46)</f>
        <v/>
      </c>
      <c r="AA46" s="27">
        <f>IF($J46="","待填怪物等级",IF(OR($I46="",$Q46=""),"待填对照关卡",IF($P46="","已计算",IF(AND($Y46&lt;&gt;"",$Y46&lt;$X46),"生存不成立",IF($Z46&lt;0.5,"碾压",IF($Z46&lt;0.8,"偏简单",IF($Z46&lt;=1.2,"适中",IF($Z46&lt;=1.5,"偏难","过难"))))))))</f>
        <v/>
      </c>
      <c r="AB46" s="27">
        <f>IF($J46="","待填",IF(AND(ISNUMBER($J46),$J46&gt;=1,$J46&lt;=500,MOD($J46,1)=0),"有效","超范围"))</f>
        <v/>
      </c>
      <c r="AC46" s="27">
        <f>IF(OR($J46="",ROW()=5,$B46&lt;&gt;$B45,$J45=""),"",IF($J46&lt;$J45,"下降",""))</f>
        <v/>
      </c>
      <c r="AD46" s="28" t="inlineStr">
        <is>
          <t>2026-08-27 新玩家节点曲线校准；对照S42；等级90→68；保留原难度定位。  2026-08-31 推荐战力：本章Boss反查锚点p24-&gt;p36线性递增（60s击杀/扛20s）；</t>
        </is>
      </c>
      <c r="AE46" t="n">
        <v>40900</v>
      </c>
      <c r="AF46">
        <f>INDEX(_统一战力!$B$2:$B$501,J46)</f>
        <v/>
      </c>
    </row>
    <row r="47" ht="25" customHeight="1">
      <c r="A47" s="27" t="inlineStr">
        <is>
          <t>当前配置</t>
        </is>
      </c>
      <c r="B47" s="27" t="inlineStr">
        <is>
          <t>主线</t>
        </is>
      </c>
      <c r="C47" s="28" t="inlineStr">
        <is>
          <t>第四章</t>
        </is>
      </c>
      <c r="D47" s="28" t="inlineStr">
        <is>
          <t>4-4</t>
        </is>
      </c>
      <c r="E47" s="28" t="inlineStr">
        <is>
          <t>100404</t>
        </is>
      </c>
      <c r="F47" s="27" t="inlineStr">
        <is>
          <t>普通怪</t>
        </is>
      </c>
      <c r="G47" s="37" t="n">
        <v>43</v>
      </c>
      <c r="H47" s="38" t="n"/>
      <c r="I47" s="39">
        <f>IF($H47="",$G47,$H47)</f>
        <v/>
      </c>
      <c r="J47" s="40" t="n">
        <v>70</v>
      </c>
      <c r="K47" s="72" t="n">
        <v>1.01648031153562</v>
      </c>
      <c r="L47" s="72" t="n">
        <v>0.967658956158599</v>
      </c>
      <c r="M47" s="72" t="n">
        <v>1</v>
      </c>
      <c r="N47" s="73" t="n"/>
      <c r="O47" s="73" t="n"/>
      <c r="P47" s="73" t="n"/>
      <c r="Q47" s="74">
        <f>IF($I47="","",IFERROR(INDEX(_玩家曲线!$H$2:$H$286,MATCH($I47,_玩家曲线!$A$2:$A$286,0)),""))</f>
        <v/>
      </c>
      <c r="R47" s="74">
        <f>IF($I47="","",IFERROR(INDEX(_玩家曲线!$I$2:$I$286,MATCH($I47,_玩家曲线!$A$2:$A$286,0)),""))</f>
        <v/>
      </c>
      <c r="S47" s="74">
        <f>IF(OR($J47="",$F47="不适用"),"",IFERROR(INDEX(_怪物模型!$D$2:$D$4501,(INT($J47)-1)*ROWS(_怪物类型!$A$2:$A$10)+MATCH($F47,_怪物类型!$A$2:$A$10,0))*IF($K47="",1,$K47),""))</f>
        <v/>
      </c>
      <c r="T47" s="74">
        <f>IF(OR($J47="",$F47="不适用"),"",IFERROR(INDEX(_怪物模型!$E$2:$E$4501,(INT($J47)-1)*ROWS(_怪物类型!$A$2:$A$10)+MATCH($F47,_怪物类型!$A$2:$A$10,0))*IF($L47="",1,$L47),""))</f>
        <v/>
      </c>
      <c r="U47" s="74">
        <f>IF(OR($J47="",$F47="不适用"),"",IFERROR(INDEX(_怪物模型!$F$2:$F$4501,(INT($J47)-1)*ROWS(_怪物类型!$A$2:$A$10)+MATCH($F47,_怪物类型!$A$2:$A$10,0))*IF($M47="",1,$M47),""))</f>
        <v/>
      </c>
      <c r="V47" s="75">
        <f>IF($U47="","",MIN(0.75,$U47/($U47+24000)))</f>
        <v/>
      </c>
      <c r="W47" s="76">
        <f>IF($S47="","",$S47/(1-$V47)*IF($N47="",1,$N47))</f>
        <v/>
      </c>
      <c r="X47" s="76">
        <f>IF(OR($W47="",$Q47="",$Q47=0),"",$W47/$Q47)</f>
        <v/>
      </c>
      <c r="Y47" s="76">
        <f>IF(OR($R47="",$T47="",$T47=0),"",$R47/($T47*IF($O47="",1,$O47)))</f>
        <v/>
      </c>
      <c r="Z47" s="77">
        <f>IF(OR($X47="",$P47="",$P47=0),"",$X47/$P47)</f>
        <v/>
      </c>
      <c r="AA47" s="27">
        <f>IF($J47="","待填怪物等级",IF(OR($I47="",$Q47=""),"待填对照关卡",IF($P47="","已计算",IF(AND($Y47&lt;&gt;"",$Y47&lt;$X47),"生存不成立",IF($Z47&lt;0.5,"碾压",IF($Z47&lt;0.8,"偏简单",IF($Z47&lt;=1.2,"适中",IF($Z47&lt;=1.5,"偏难","过难"))))))))</f>
        <v/>
      </c>
      <c r="AB47" s="27">
        <f>IF($J47="","待填",IF(AND(ISNUMBER($J47),$J47&gt;=1,$J47&lt;=500,MOD($J47,1)=0),"有效","超范围"))</f>
        <v/>
      </c>
      <c r="AC47" s="27">
        <f>IF(OR($J47="",ROW()=5,$B47&lt;&gt;$B46,$J46=""),"",IF($J47&lt;$J46,"下降",""))</f>
        <v/>
      </c>
      <c r="AD47" s="28" t="inlineStr">
        <is>
          <t>2026-08-27 新玩家节点曲线校准；对照S43；等级93→70；保留原难度定位。  2026-08-31 推荐战力：本章Boss反查锚点p24-&gt;p36线性递增（60s击杀/扛20s）；</t>
        </is>
      </c>
      <c r="AE47" t="n">
        <v>42700</v>
      </c>
      <c r="AF47">
        <f>INDEX(_统一战力!$B$2:$B$501,J47)</f>
        <v/>
      </c>
    </row>
    <row r="48" ht="25" customHeight="1">
      <c r="A48" s="27" t="inlineStr">
        <is>
          <t>当前配置</t>
        </is>
      </c>
      <c r="B48" s="27" t="inlineStr">
        <is>
          <t>主线</t>
        </is>
      </c>
      <c r="C48" s="28" t="inlineStr">
        <is>
          <t>第四章</t>
        </is>
      </c>
      <c r="D48" s="28" t="inlineStr">
        <is>
          <t>4-5</t>
        </is>
      </c>
      <c r="E48" s="28" t="inlineStr">
        <is>
          <t>100405</t>
        </is>
      </c>
      <c r="F48" s="27" t="inlineStr">
        <is>
          <t>普通怪</t>
        </is>
      </c>
      <c r="G48" s="37" t="n">
        <v>44</v>
      </c>
      <c r="H48" s="38" t="n"/>
      <c r="I48" s="39">
        <f>IF($H48="",$G48,$H48)</f>
        <v/>
      </c>
      <c r="J48" s="40" t="n">
        <v>72</v>
      </c>
      <c r="K48" s="72" t="n">
        <v>1.00143688848163</v>
      </c>
      <c r="L48" s="72" t="n">
        <v>0.9613476174628039</v>
      </c>
      <c r="M48" s="72" t="n">
        <v>1</v>
      </c>
      <c r="N48" s="73" t="n"/>
      <c r="O48" s="73" t="n"/>
      <c r="P48" s="73" t="n"/>
      <c r="Q48" s="74">
        <f>IF($I48="","",IFERROR(INDEX(_玩家曲线!$H$2:$H$286,MATCH($I48,_玩家曲线!$A$2:$A$286,0)),""))</f>
        <v/>
      </c>
      <c r="R48" s="74">
        <f>IF($I48="","",IFERROR(INDEX(_玩家曲线!$I$2:$I$286,MATCH($I48,_玩家曲线!$A$2:$A$286,0)),""))</f>
        <v/>
      </c>
      <c r="S48" s="74">
        <f>IF(OR($J48="",$F48="不适用"),"",IFERROR(INDEX(_怪物模型!$D$2:$D$4501,(INT($J48)-1)*ROWS(_怪物类型!$A$2:$A$10)+MATCH($F48,_怪物类型!$A$2:$A$10,0))*IF($K48="",1,$K48),""))</f>
        <v/>
      </c>
      <c r="T48" s="74">
        <f>IF(OR($J48="",$F48="不适用"),"",IFERROR(INDEX(_怪物模型!$E$2:$E$4501,(INT($J48)-1)*ROWS(_怪物类型!$A$2:$A$10)+MATCH($F48,_怪物类型!$A$2:$A$10,0))*IF($L48="",1,$L48),""))</f>
        <v/>
      </c>
      <c r="U48" s="74">
        <f>IF(OR($J48="",$F48="不适用"),"",IFERROR(INDEX(_怪物模型!$F$2:$F$4501,(INT($J48)-1)*ROWS(_怪物类型!$A$2:$A$10)+MATCH($F48,_怪物类型!$A$2:$A$10,0))*IF($M48="",1,$M48),""))</f>
        <v/>
      </c>
      <c r="V48" s="75">
        <f>IF($U48="","",MIN(0.75,$U48/($U48+24000)))</f>
        <v/>
      </c>
      <c r="W48" s="76">
        <f>IF($S48="","",$S48/(1-$V48)*IF($N48="",1,$N48))</f>
        <v/>
      </c>
      <c r="X48" s="76">
        <f>IF(OR($W48="",$Q48="",$Q48=0),"",$W48/$Q48)</f>
        <v/>
      </c>
      <c r="Y48" s="76">
        <f>IF(OR($R48="",$T48="",$T48=0),"",$R48/($T48*IF($O48="",1,$O48)))</f>
        <v/>
      </c>
      <c r="Z48" s="77">
        <f>IF(OR($X48="",$P48="",$P48=0),"",$X48/$P48)</f>
        <v/>
      </c>
      <c r="AA48" s="27">
        <f>IF($J48="","待填怪物等级",IF(OR($I48="",$Q48=""),"待填对照关卡",IF($P48="","已计算",IF(AND($Y48&lt;&gt;"",$Y48&lt;$X48),"生存不成立",IF($Z48&lt;0.5,"碾压",IF($Z48&lt;0.8,"偏简单",IF($Z48&lt;=1.2,"适中",IF($Z48&lt;=1.5,"偏难","过难"))))))))</f>
        <v/>
      </c>
      <c r="AB48" s="27">
        <f>IF($J48="","待填",IF(AND(ISNUMBER($J48),$J48&gt;=1,$J48&lt;=500,MOD($J48,1)=0),"有效","超范围"))</f>
        <v/>
      </c>
      <c r="AC48" s="27">
        <f>IF(OR($J48="",ROW()=5,$B48&lt;&gt;$B47,$J47=""),"",IF($J48&lt;$J47,"下降",""))</f>
        <v/>
      </c>
      <c r="AD48" s="28" t="inlineStr">
        <is>
          <t>2026-08-27 新玩家节点曲线校准；对照S44；等级95→72；保留原难度定位。  2026-08-31 推荐战力：本章Boss反查锚点p24-&gt;p36线性递增（60s击杀/扛20s）；</t>
        </is>
      </c>
      <c r="AE48" t="n">
        <v>44400</v>
      </c>
      <c r="AF48">
        <f>INDEX(_统一战力!$B$2:$B$501,J48)</f>
        <v/>
      </c>
    </row>
    <row r="49" ht="25" customHeight="1">
      <c r="A49" s="27" t="inlineStr">
        <is>
          <t>当前配置</t>
        </is>
      </c>
      <c r="B49" s="27" t="inlineStr">
        <is>
          <t>主线</t>
        </is>
      </c>
      <c r="C49" s="28" t="inlineStr">
        <is>
          <t>第四章</t>
        </is>
      </c>
      <c r="D49" s="28" t="inlineStr">
        <is>
          <t>4-6</t>
        </is>
      </c>
      <c r="E49" s="28" t="inlineStr">
        <is>
          <t>100406</t>
        </is>
      </c>
      <c r="F49" s="27" t="inlineStr">
        <is>
          <t>普通怪</t>
        </is>
      </c>
      <c r="G49" s="37" t="n">
        <v>45</v>
      </c>
      <c r="H49" s="38" t="n"/>
      <c r="I49" s="39">
        <f>IF($H49="",$G49,$H49)</f>
        <v/>
      </c>
      <c r="J49" s="40" t="n">
        <v>73</v>
      </c>
      <c r="K49" s="72" t="n">
        <v>1.01466557751559</v>
      </c>
      <c r="L49" s="72" t="n">
        <v>0.973152503103764</v>
      </c>
      <c r="M49" s="72" t="n">
        <v>1</v>
      </c>
      <c r="N49" s="73" t="n"/>
      <c r="O49" s="73" t="n"/>
      <c r="P49" s="73" t="n"/>
      <c r="Q49" s="74">
        <f>IF($I49="","",IFERROR(INDEX(_玩家曲线!$H$2:$H$286,MATCH($I49,_玩家曲线!$A$2:$A$286,0)),""))</f>
        <v/>
      </c>
      <c r="R49" s="74">
        <f>IF($I49="","",IFERROR(INDEX(_玩家曲线!$I$2:$I$286,MATCH($I49,_玩家曲线!$A$2:$A$286,0)),""))</f>
        <v/>
      </c>
      <c r="S49" s="74">
        <f>IF(OR($J49="",$F49="不适用"),"",IFERROR(INDEX(_怪物模型!$D$2:$D$4501,(INT($J49)-1)*ROWS(_怪物类型!$A$2:$A$10)+MATCH($F49,_怪物类型!$A$2:$A$10,0))*IF($K49="",1,$K49),""))</f>
        <v/>
      </c>
      <c r="T49" s="74">
        <f>IF(OR($J49="",$F49="不适用"),"",IFERROR(INDEX(_怪物模型!$E$2:$E$4501,(INT($J49)-1)*ROWS(_怪物类型!$A$2:$A$10)+MATCH($F49,_怪物类型!$A$2:$A$10,0))*IF($L49="",1,$L49),""))</f>
        <v/>
      </c>
      <c r="U49" s="74">
        <f>IF(OR($J49="",$F49="不适用"),"",IFERROR(INDEX(_怪物模型!$F$2:$F$4501,(INT($J49)-1)*ROWS(_怪物类型!$A$2:$A$10)+MATCH($F49,_怪物类型!$A$2:$A$10,0))*IF($M49="",1,$M49),""))</f>
        <v/>
      </c>
      <c r="V49" s="75">
        <f>IF($U49="","",MIN(0.75,$U49/($U49+24000)))</f>
        <v/>
      </c>
      <c r="W49" s="76">
        <f>IF($S49="","",$S49/(1-$V49)*IF($N49="",1,$N49))</f>
        <v/>
      </c>
      <c r="X49" s="76">
        <f>IF(OR($W49="",$Q49="",$Q49=0),"",$W49/$Q49)</f>
        <v/>
      </c>
      <c r="Y49" s="76">
        <f>IF(OR($R49="",$T49="",$T49=0),"",$R49/($T49*IF($O49="",1,$O49)))</f>
        <v/>
      </c>
      <c r="Z49" s="77">
        <f>IF(OR($X49="",$P49="",$P49=0),"",$X49/$P49)</f>
        <v/>
      </c>
      <c r="AA49" s="27">
        <f>IF($J49="","待填怪物等级",IF(OR($I49="",$Q49=""),"待填对照关卡",IF($P49="","已计算",IF(AND($Y49&lt;&gt;"",$Y49&lt;$X49),"生存不成立",IF($Z49&lt;0.5,"碾压",IF($Z49&lt;0.8,"偏简单",IF($Z49&lt;=1.2,"适中",IF($Z49&lt;=1.5,"偏难","过难"))))))))</f>
        <v/>
      </c>
      <c r="AB49" s="27">
        <f>IF($J49="","待填",IF(AND(ISNUMBER($J49),$J49&gt;=1,$J49&lt;=500,MOD($J49,1)=0),"有效","超范围"))</f>
        <v/>
      </c>
      <c r="AC49" s="27">
        <f>IF(OR($J49="",ROW()=5,$B49&lt;&gt;$B48,$J48=""),"",IF($J49&lt;$J48,"下降",""))</f>
        <v/>
      </c>
      <c r="AD49" s="28" t="inlineStr">
        <is>
          <t>2026-08-27 新玩家节点曲线校准；对照S45；等级97→73；保留原难度定位。  2026-08-31 推荐战力：本章Boss反查锚点p24-&gt;p36线性递增（60s击杀/扛20s）；</t>
        </is>
      </c>
      <c r="AE49" t="n">
        <v>46200</v>
      </c>
      <c r="AF49">
        <f>INDEX(_统一战力!$B$2:$B$501,J49)</f>
        <v/>
      </c>
    </row>
    <row r="50" ht="25" customHeight="1">
      <c r="A50" s="27" t="inlineStr">
        <is>
          <t>当前配置</t>
        </is>
      </c>
      <c r="B50" s="27" t="inlineStr">
        <is>
          <t>主线</t>
        </is>
      </c>
      <c r="C50" s="28" t="inlineStr">
        <is>
          <t>第四章</t>
        </is>
      </c>
      <c r="D50" s="28" t="inlineStr">
        <is>
          <t>4-7</t>
        </is>
      </c>
      <c r="E50" s="28" t="inlineStr">
        <is>
          <t>100407</t>
        </is>
      </c>
      <c r="F50" s="27" t="inlineStr">
        <is>
          <t>普通怪</t>
        </is>
      </c>
      <c r="G50" s="37" t="n">
        <v>46</v>
      </c>
      <c r="H50" s="38" t="n"/>
      <c r="I50" s="39">
        <f>IF($H50="",$G50,$H50)</f>
        <v/>
      </c>
      <c r="J50" s="40" t="n">
        <v>75</v>
      </c>
      <c r="K50" s="72" t="n">
        <v>1.00209151416643</v>
      </c>
      <c r="L50" s="72" t="n">
        <v>0.968759000830661</v>
      </c>
      <c r="M50" s="72" t="n">
        <v>1</v>
      </c>
      <c r="N50" s="73" t="n"/>
      <c r="O50" s="73" t="n"/>
      <c r="P50" s="73" t="n"/>
      <c r="Q50" s="74">
        <f>IF($I50="","",IFERROR(INDEX(_玩家曲线!$H$2:$H$286,MATCH($I50,_玩家曲线!$A$2:$A$286,0)),""))</f>
        <v/>
      </c>
      <c r="R50" s="74">
        <f>IF($I50="","",IFERROR(INDEX(_玩家曲线!$I$2:$I$286,MATCH($I50,_玩家曲线!$A$2:$A$286,0)),""))</f>
        <v/>
      </c>
      <c r="S50" s="74">
        <f>IF(OR($J50="",$F50="不适用"),"",IFERROR(INDEX(_怪物模型!$D$2:$D$4501,(INT($J50)-1)*ROWS(_怪物类型!$A$2:$A$10)+MATCH($F50,_怪物类型!$A$2:$A$10,0))*IF($K50="",1,$K50),""))</f>
        <v/>
      </c>
      <c r="T50" s="74">
        <f>IF(OR($J50="",$F50="不适用"),"",IFERROR(INDEX(_怪物模型!$E$2:$E$4501,(INT($J50)-1)*ROWS(_怪物类型!$A$2:$A$10)+MATCH($F50,_怪物类型!$A$2:$A$10,0))*IF($L50="",1,$L50),""))</f>
        <v/>
      </c>
      <c r="U50" s="74">
        <f>IF(OR($J50="",$F50="不适用"),"",IFERROR(INDEX(_怪物模型!$F$2:$F$4501,(INT($J50)-1)*ROWS(_怪物类型!$A$2:$A$10)+MATCH($F50,_怪物类型!$A$2:$A$10,0))*IF($M50="",1,$M50),""))</f>
        <v/>
      </c>
      <c r="V50" s="75">
        <f>IF($U50="","",MIN(0.75,$U50/($U50+24000)))</f>
        <v/>
      </c>
      <c r="W50" s="76">
        <f>IF($S50="","",$S50/(1-$V50)*IF($N50="",1,$N50))</f>
        <v/>
      </c>
      <c r="X50" s="76">
        <f>IF(OR($W50="",$Q50="",$Q50=0),"",$W50/$Q50)</f>
        <v/>
      </c>
      <c r="Y50" s="76">
        <f>IF(OR($R50="",$T50="",$T50=0),"",$R50/($T50*IF($O50="",1,$O50)))</f>
        <v/>
      </c>
      <c r="Z50" s="77">
        <f>IF(OR($X50="",$P50="",$P50=0),"",$X50/$P50)</f>
        <v/>
      </c>
      <c r="AA50" s="27">
        <f>IF($J50="","待填怪物等级",IF(OR($I50="",$Q50=""),"待填对照关卡",IF($P50="","已计算",IF(AND($Y50&lt;&gt;"",$Y50&lt;$X50),"生存不成立",IF($Z50&lt;0.5,"碾压",IF($Z50&lt;0.8,"偏简单",IF($Z50&lt;=1.2,"适中",IF($Z50&lt;=1.5,"偏难","过难"))))))))</f>
        <v/>
      </c>
      <c r="AB50" s="27">
        <f>IF($J50="","待填",IF(AND(ISNUMBER($J50),$J50&gt;=1,$J50&lt;=500,MOD($J50,1)=0),"有效","超范围"))</f>
        <v/>
      </c>
      <c r="AC50" s="27">
        <f>IF(OR($J50="",ROW()=5,$B50&lt;&gt;$B49,$J49=""),"",IF($J50&lt;$J49,"下降",""))</f>
        <v/>
      </c>
      <c r="AD50" s="28" t="inlineStr">
        <is>
          <t>2026-08-27 新玩家节点曲线校准；对照S46；等级99→75；保留原难度定位。  2026-08-31 推荐战力：本章Boss反查锚点p24-&gt;p36线性递增（60s击杀/扛20s）；</t>
        </is>
      </c>
      <c r="AE50" t="n">
        <v>48000</v>
      </c>
      <c r="AF50">
        <f>INDEX(_统一战力!$B$2:$B$501,J50)</f>
        <v/>
      </c>
    </row>
    <row r="51" ht="25" customHeight="1">
      <c r="A51" s="27" t="inlineStr">
        <is>
          <t>当前配置</t>
        </is>
      </c>
      <c r="B51" s="27" t="inlineStr">
        <is>
          <t>主线</t>
        </is>
      </c>
      <c r="C51" s="28" t="inlineStr">
        <is>
          <t>第四章</t>
        </is>
      </c>
      <c r="D51" s="28" t="inlineStr">
        <is>
          <t>4-8</t>
        </is>
      </c>
      <c r="E51" s="28" t="inlineStr">
        <is>
          <t>100408</t>
        </is>
      </c>
      <c r="F51" s="27" t="inlineStr">
        <is>
          <t>普通怪</t>
        </is>
      </c>
      <c r="G51" s="37" t="n">
        <v>47</v>
      </c>
      <c r="H51" s="38" t="n"/>
      <c r="I51" s="39">
        <f>IF($H51="",$G51,$H51)</f>
        <v/>
      </c>
      <c r="J51" s="40" t="n">
        <v>76</v>
      </c>
      <c r="K51" s="72" t="n">
        <v>1.01688047334457</v>
      </c>
      <c r="L51" s="72" t="n">
        <v>0.98167914664588</v>
      </c>
      <c r="M51" s="72" t="n">
        <v>1</v>
      </c>
      <c r="N51" s="73" t="n"/>
      <c r="O51" s="73" t="n"/>
      <c r="P51" s="73" t="n"/>
      <c r="Q51" s="74">
        <f>IF($I51="","",IFERROR(INDEX(_玩家曲线!$H$2:$H$286,MATCH($I51,_玩家曲线!$A$2:$A$286,0)),""))</f>
        <v/>
      </c>
      <c r="R51" s="74">
        <f>IF($I51="","",IFERROR(INDEX(_玩家曲线!$I$2:$I$286,MATCH($I51,_玩家曲线!$A$2:$A$286,0)),""))</f>
        <v/>
      </c>
      <c r="S51" s="74">
        <f>IF(OR($J51="",$F51="不适用"),"",IFERROR(INDEX(_怪物模型!$D$2:$D$4501,(INT($J51)-1)*ROWS(_怪物类型!$A$2:$A$10)+MATCH($F51,_怪物类型!$A$2:$A$10,0))*IF($K51="",1,$K51),""))</f>
        <v/>
      </c>
      <c r="T51" s="74">
        <f>IF(OR($J51="",$F51="不适用"),"",IFERROR(INDEX(_怪物模型!$E$2:$E$4501,(INT($J51)-1)*ROWS(_怪物类型!$A$2:$A$10)+MATCH($F51,_怪物类型!$A$2:$A$10,0))*IF($L51="",1,$L51),""))</f>
        <v/>
      </c>
      <c r="U51" s="74">
        <f>IF(OR($J51="",$F51="不适用"),"",IFERROR(INDEX(_怪物模型!$F$2:$F$4501,(INT($J51)-1)*ROWS(_怪物类型!$A$2:$A$10)+MATCH($F51,_怪物类型!$A$2:$A$10,0))*IF($M51="",1,$M51),""))</f>
        <v/>
      </c>
      <c r="V51" s="75">
        <f>IF($U51="","",MIN(0.75,$U51/($U51+24000)))</f>
        <v/>
      </c>
      <c r="W51" s="76">
        <f>IF($S51="","",$S51/(1-$V51)*IF($N51="",1,$N51))</f>
        <v/>
      </c>
      <c r="X51" s="76">
        <f>IF(OR($W51="",$Q51="",$Q51=0),"",$W51/$Q51)</f>
        <v/>
      </c>
      <c r="Y51" s="76">
        <f>IF(OR($R51="",$T51="",$T51=0),"",$R51/($T51*IF($O51="",1,$O51)))</f>
        <v/>
      </c>
      <c r="Z51" s="77">
        <f>IF(OR($X51="",$P51="",$P51=0),"",$X51/$P51)</f>
        <v/>
      </c>
      <c r="AA51" s="27">
        <f>IF($J51="","待填怪物等级",IF(OR($I51="",$Q51=""),"待填对照关卡",IF($P51="","已计算",IF(AND($Y51&lt;&gt;"",$Y51&lt;$X51),"生存不成立",IF($Z51&lt;0.5,"碾压",IF($Z51&lt;0.8,"偏简单",IF($Z51&lt;=1.2,"适中",IF($Z51&lt;=1.5,"偏难","过难"))))))))</f>
        <v/>
      </c>
      <c r="AB51" s="27">
        <f>IF($J51="","待填",IF(AND(ISNUMBER($J51),$J51&gt;=1,$J51&lt;=500,MOD($J51,1)=0),"有效","超范围"))</f>
        <v/>
      </c>
      <c r="AC51" s="27">
        <f>IF(OR($J51="",ROW()=5,$B51&lt;&gt;$B50,$J50=""),"",IF($J51&lt;$J50,"下降",""))</f>
        <v/>
      </c>
      <c r="AD51" s="28" t="inlineStr">
        <is>
          <t>2026-08-27 新玩家节点曲线校准；对照S47；等级101→76；保留原难度定位。  2026-08-31 推荐战力：本章Boss反查锚点p24-&gt;p36线性递增（60s击杀/扛20s）；</t>
        </is>
      </c>
      <c r="AE51" t="n">
        <v>49800</v>
      </c>
      <c r="AF51">
        <f>INDEX(_统一战力!$B$2:$B$501,J51)</f>
        <v/>
      </c>
    </row>
    <row r="52" ht="25" customHeight="1">
      <c r="A52" s="27" t="inlineStr">
        <is>
          <t>当前配置</t>
        </is>
      </c>
      <c r="B52" s="27" t="inlineStr">
        <is>
          <t>主线</t>
        </is>
      </c>
      <c r="C52" s="28" t="inlineStr">
        <is>
          <t>第四章</t>
        </is>
      </c>
      <c r="D52" s="28" t="inlineStr">
        <is>
          <t>4-9</t>
        </is>
      </c>
      <c r="E52" s="28" t="inlineStr">
        <is>
          <t>100409</t>
        </is>
      </c>
      <c r="F52" s="27" t="inlineStr">
        <is>
          <t>普通怪</t>
        </is>
      </c>
      <c r="G52" s="37" t="n">
        <v>48</v>
      </c>
      <c r="H52" s="38" t="n"/>
      <c r="I52" s="39">
        <f>IF($H52="",$G52,$H52)</f>
        <v/>
      </c>
      <c r="J52" s="40" t="n">
        <v>78</v>
      </c>
      <c r="K52" s="72" t="n">
        <v>1.00639702733761</v>
      </c>
      <c r="L52" s="72" t="n">
        <v>0.978758285734352</v>
      </c>
      <c r="M52" s="72" t="n">
        <v>1</v>
      </c>
      <c r="N52" s="73" t="n"/>
      <c r="O52" s="73" t="n"/>
      <c r="P52" s="73" t="n"/>
      <c r="Q52" s="74">
        <f>IF($I52="","",IFERROR(INDEX(_玩家曲线!$H$2:$H$286,MATCH($I52,_玩家曲线!$A$2:$A$286,0)),""))</f>
        <v/>
      </c>
      <c r="R52" s="74">
        <f>IF($I52="","",IFERROR(INDEX(_玩家曲线!$I$2:$I$286,MATCH($I52,_玩家曲线!$A$2:$A$286,0)),""))</f>
        <v/>
      </c>
      <c r="S52" s="74">
        <f>IF(OR($J52="",$F52="不适用"),"",IFERROR(INDEX(_怪物模型!$D$2:$D$4501,(INT($J52)-1)*ROWS(_怪物类型!$A$2:$A$10)+MATCH($F52,_怪物类型!$A$2:$A$10,0))*IF($K52="",1,$K52),""))</f>
        <v/>
      </c>
      <c r="T52" s="74">
        <f>IF(OR($J52="",$F52="不适用"),"",IFERROR(INDEX(_怪物模型!$E$2:$E$4501,(INT($J52)-1)*ROWS(_怪物类型!$A$2:$A$10)+MATCH($F52,_怪物类型!$A$2:$A$10,0))*IF($L52="",1,$L52),""))</f>
        <v/>
      </c>
      <c r="U52" s="74">
        <f>IF(OR($J52="",$F52="不适用"),"",IFERROR(INDEX(_怪物模型!$F$2:$F$4501,(INT($J52)-1)*ROWS(_怪物类型!$A$2:$A$10)+MATCH($F52,_怪物类型!$A$2:$A$10,0))*IF($M52="",1,$M52),""))</f>
        <v/>
      </c>
      <c r="V52" s="75">
        <f>IF($U52="","",MIN(0.75,$U52/($U52+24000)))</f>
        <v/>
      </c>
      <c r="W52" s="76">
        <f>IF($S52="","",$S52/(1-$V52)*IF($N52="",1,$N52))</f>
        <v/>
      </c>
      <c r="X52" s="76">
        <f>IF(OR($W52="",$Q52="",$Q52=0),"",$W52/$Q52)</f>
        <v/>
      </c>
      <c r="Y52" s="76">
        <f>IF(OR($R52="",$T52="",$T52=0),"",$R52/($T52*IF($O52="",1,$O52)))</f>
        <v/>
      </c>
      <c r="Z52" s="77">
        <f>IF(OR($X52="",$P52="",$P52=0),"",$X52/$P52)</f>
        <v/>
      </c>
      <c r="AA52" s="27">
        <f>IF($J52="","待填怪物等级",IF(OR($I52="",$Q52=""),"待填对照关卡",IF($P52="","已计算",IF(AND($Y52&lt;&gt;"",$Y52&lt;$X52),"生存不成立",IF($Z52&lt;0.5,"碾压",IF($Z52&lt;0.8,"偏简单",IF($Z52&lt;=1.2,"适中",IF($Z52&lt;=1.5,"偏难","过难"))))))))</f>
        <v/>
      </c>
      <c r="AB52" s="27">
        <f>IF($J52="","待填",IF(AND(ISNUMBER($J52),$J52&gt;=1,$J52&lt;=500,MOD($J52,1)=0),"有效","超范围"))</f>
        <v/>
      </c>
      <c r="AC52" s="27">
        <f>IF(OR($J52="",ROW()=5,$B52&lt;&gt;$B51,$J51=""),"",IF($J52&lt;$J51,"下降",""))</f>
        <v/>
      </c>
      <c r="AD52" s="28" t="inlineStr">
        <is>
          <t>2026-08-27 新玩家节点曲线校准；对照S48；等级103→78；保留原难度定位。  2026-08-31 推荐战力：本章Boss反查锚点p24-&gt;p36线性递增（60s击杀/扛20s）；</t>
        </is>
      </c>
      <c r="AE52" t="n">
        <v>51600</v>
      </c>
      <c r="AF52">
        <f>INDEX(_统一战力!$B$2:$B$501,J52)</f>
        <v/>
      </c>
    </row>
    <row r="53" ht="25" customHeight="1">
      <c r="A53" s="27" t="inlineStr">
        <is>
          <t>当前配置</t>
        </is>
      </c>
      <c r="B53" s="27" t="inlineStr">
        <is>
          <t>主线</t>
        </is>
      </c>
      <c r="C53" s="28" t="inlineStr">
        <is>
          <t>第四章</t>
        </is>
      </c>
      <c r="D53" s="28" t="inlineStr">
        <is>
          <t>4-10</t>
        </is>
      </c>
      <c r="E53" s="28" t="inlineStr">
        <is>
          <t>100410</t>
        </is>
      </c>
      <c r="F53" s="27" t="inlineStr">
        <is>
          <t>普通怪</t>
        </is>
      </c>
      <c r="G53" s="37" t="n">
        <v>49</v>
      </c>
      <c r="H53" s="38" t="n"/>
      <c r="I53" s="39">
        <f>IF($H53="",$G53,$H53)</f>
        <v/>
      </c>
      <c r="J53" s="40" t="n">
        <v>80</v>
      </c>
      <c r="K53" s="72" t="n">
        <v>0.997206516604958</v>
      </c>
      <c r="L53" s="72" t="n">
        <v>0.97712924235548</v>
      </c>
      <c r="M53" s="72" t="n">
        <v>1</v>
      </c>
      <c r="N53" s="73" t="n"/>
      <c r="O53" s="73" t="n"/>
      <c r="P53" s="73" t="n"/>
      <c r="Q53" s="74">
        <f>IF($I53="","",IFERROR(INDEX(_玩家曲线!$H$2:$H$286,MATCH($I53,_玩家曲线!$A$2:$A$286,0)),""))</f>
        <v/>
      </c>
      <c r="R53" s="74">
        <f>IF($I53="","",IFERROR(INDEX(_玩家曲线!$I$2:$I$286,MATCH($I53,_玩家曲线!$A$2:$A$286,0)),""))</f>
        <v/>
      </c>
      <c r="S53" s="74">
        <f>IF(OR($J53="",$F53="不适用"),"",IFERROR(INDEX(_怪物模型!$D$2:$D$4501,(INT($J53)-1)*ROWS(_怪物类型!$A$2:$A$10)+MATCH($F53,_怪物类型!$A$2:$A$10,0))*IF($K53="",1,$K53),""))</f>
        <v/>
      </c>
      <c r="T53" s="74">
        <f>IF(OR($J53="",$F53="不适用"),"",IFERROR(INDEX(_怪物模型!$E$2:$E$4501,(INT($J53)-1)*ROWS(_怪物类型!$A$2:$A$10)+MATCH($F53,_怪物类型!$A$2:$A$10,0))*IF($L53="",1,$L53),""))</f>
        <v/>
      </c>
      <c r="U53" s="74">
        <f>IF(OR($J53="",$F53="不适用"),"",IFERROR(INDEX(_怪物模型!$F$2:$F$4501,(INT($J53)-1)*ROWS(_怪物类型!$A$2:$A$10)+MATCH($F53,_怪物类型!$A$2:$A$10,0))*IF($M53="",1,$M53),""))</f>
        <v/>
      </c>
      <c r="V53" s="75">
        <f>IF($U53="","",MIN(0.75,$U53/($U53+24000)))</f>
        <v/>
      </c>
      <c r="W53" s="76">
        <f>IF($S53="","",$S53/(1-$V53)*IF($N53="",1,$N53))</f>
        <v/>
      </c>
      <c r="X53" s="76">
        <f>IF(OR($W53="",$Q53="",$Q53=0),"",$W53/$Q53)</f>
        <v/>
      </c>
      <c r="Y53" s="76">
        <f>IF(OR($R53="",$T53="",$T53=0),"",$R53/($T53*IF($O53="",1,$O53)))</f>
        <v/>
      </c>
      <c r="Z53" s="77">
        <f>IF(OR($X53="",$P53="",$P53=0),"",$X53/$P53)</f>
        <v/>
      </c>
      <c r="AA53" s="27">
        <f>IF($J53="","待填怪物等级",IF(OR($I53="",$Q53=""),"待填对照关卡",IF($P53="","已计算",IF(AND($Y53&lt;&gt;"",$Y53&lt;$X53),"生存不成立",IF($Z53&lt;0.5,"碾压",IF($Z53&lt;0.8,"偏简单",IF($Z53&lt;=1.2,"适中",IF($Z53&lt;=1.5,"偏难","过难"))))))))</f>
        <v/>
      </c>
      <c r="AB53" s="27">
        <f>IF($J53="","待填",IF(AND(ISNUMBER($J53),$J53&gt;=1,$J53&lt;=500,MOD($J53,1)=0),"有效","超范围"))</f>
        <v/>
      </c>
      <c r="AC53" s="27">
        <f>IF(OR($J53="",ROW()=5,$B53&lt;&gt;$B52,$J52=""),"",IF($J53&lt;$J52,"下降",""))</f>
        <v/>
      </c>
      <c r="AD53" s="28" t="inlineStr">
        <is>
          <t>2026-08-27 新玩家节点曲线校准；对照S49；等级105→80；保留原难度定位。  2026-08-31 推荐战力：本章Boss反查锚点p24-&gt;p36线性递增（60s击杀/扛20s）；</t>
        </is>
      </c>
      <c r="AE53" t="n">
        <v>53400</v>
      </c>
      <c r="AF53">
        <f>INDEX(_统一战力!$B$2:$B$501,J53)</f>
        <v/>
      </c>
    </row>
    <row r="54" ht="25" customHeight="1">
      <c r="A54" s="27" t="inlineStr">
        <is>
          <t>当前配置</t>
        </is>
      </c>
      <c r="B54" s="27" t="inlineStr">
        <is>
          <t>主线</t>
        </is>
      </c>
      <c r="C54" s="28" t="inlineStr">
        <is>
          <t>第四章</t>
        </is>
      </c>
      <c r="D54" s="28" t="inlineStr">
        <is>
          <t>4-11</t>
        </is>
      </c>
      <c r="E54" s="28" t="inlineStr">
        <is>
          <t>100411</t>
        </is>
      </c>
      <c r="F54" s="27" t="inlineStr">
        <is>
          <t>普通怪</t>
        </is>
      </c>
      <c r="G54" s="37" t="n">
        <v>50</v>
      </c>
      <c r="H54" s="38" t="n"/>
      <c r="I54" s="39">
        <f>IF($H54="",$G54,$H54)</f>
        <v/>
      </c>
      <c r="J54" s="40" t="n">
        <v>81</v>
      </c>
      <c r="K54" s="72" t="n">
        <v>1.01403379544631</v>
      </c>
      <c r="L54" s="72" t="n">
        <v>0.991937230662311</v>
      </c>
      <c r="M54" s="72" t="n">
        <v>1</v>
      </c>
      <c r="N54" s="73" t="n"/>
      <c r="O54" s="73" t="n"/>
      <c r="P54" s="73" t="n"/>
      <c r="Q54" s="74">
        <f>IF($I54="","",IFERROR(INDEX(_玩家曲线!$H$2:$H$286,MATCH($I54,_玩家曲线!$A$2:$A$286,0)),""))</f>
        <v/>
      </c>
      <c r="R54" s="74">
        <f>IF($I54="","",IFERROR(INDEX(_玩家曲线!$I$2:$I$286,MATCH($I54,_玩家曲线!$A$2:$A$286,0)),""))</f>
        <v/>
      </c>
      <c r="S54" s="74">
        <f>IF(OR($J54="",$F54="不适用"),"",IFERROR(INDEX(_怪物模型!$D$2:$D$4501,(INT($J54)-1)*ROWS(_怪物类型!$A$2:$A$10)+MATCH($F54,_怪物类型!$A$2:$A$10,0))*IF($K54="",1,$K54),""))</f>
        <v/>
      </c>
      <c r="T54" s="74">
        <f>IF(OR($J54="",$F54="不适用"),"",IFERROR(INDEX(_怪物模型!$E$2:$E$4501,(INT($J54)-1)*ROWS(_怪物类型!$A$2:$A$10)+MATCH($F54,_怪物类型!$A$2:$A$10,0))*IF($L54="",1,$L54),""))</f>
        <v/>
      </c>
      <c r="U54" s="74">
        <f>IF(OR($J54="",$F54="不适用"),"",IFERROR(INDEX(_怪物模型!$F$2:$F$4501,(INT($J54)-1)*ROWS(_怪物类型!$A$2:$A$10)+MATCH($F54,_怪物类型!$A$2:$A$10,0))*IF($M54="",1,$M54),""))</f>
        <v/>
      </c>
      <c r="V54" s="75">
        <f>IF($U54="","",MIN(0.75,$U54/($U54+24000)))</f>
        <v/>
      </c>
      <c r="W54" s="76">
        <f>IF($S54="","",$S54/(1-$V54)*IF($N54="",1,$N54))</f>
        <v/>
      </c>
      <c r="X54" s="76">
        <f>IF(OR($W54="",$Q54="",$Q54=0),"",$W54/$Q54)</f>
        <v/>
      </c>
      <c r="Y54" s="76">
        <f>IF(OR($R54="",$T54="",$T54=0),"",$R54/($T54*IF($O54="",1,$O54)))</f>
        <v/>
      </c>
      <c r="Z54" s="77">
        <f>IF(OR($X54="",$P54="",$P54=0),"",$X54/$P54)</f>
        <v/>
      </c>
      <c r="AA54" s="27">
        <f>IF($J54="","待填怪物等级",IF(OR($I54="",$Q54=""),"待填对照关卡",IF($P54="","已计算",IF(AND($Y54&lt;&gt;"",$Y54&lt;$X54),"生存不成立",IF($Z54&lt;0.5,"碾压",IF($Z54&lt;0.8,"偏简单",IF($Z54&lt;=1.2,"适中",IF($Z54&lt;=1.5,"偏难","过难"))))))))</f>
        <v/>
      </c>
      <c r="AB54" s="27">
        <f>IF($J54="","待填",IF(AND(ISNUMBER($J54),$J54&gt;=1,$J54&lt;=500,MOD($J54,1)=0),"有效","超范围"))</f>
        <v/>
      </c>
      <c r="AC54" s="27">
        <f>IF(OR($J54="",ROW()=5,$B54&lt;&gt;$B53,$J53=""),"",IF($J54&lt;$J53,"下降",""))</f>
        <v/>
      </c>
      <c r="AD54" s="28" t="inlineStr">
        <is>
          <t>2026-08-27 新玩家节点曲线校准；对照S50；等级107→81；保留原难度定位。  2026-08-31 推荐战力：本章Boss反查锚点p24-&gt;p36线性递增（60s击杀/扛20s）；</t>
        </is>
      </c>
      <c r="AE54" t="n">
        <v>55200</v>
      </c>
      <c r="AF54">
        <f>INDEX(_统一战力!$B$2:$B$501,J54)</f>
        <v/>
      </c>
    </row>
    <row r="55" ht="25" customHeight="1">
      <c r="A55" s="27" t="inlineStr">
        <is>
          <t>当前配置</t>
        </is>
      </c>
      <c r="B55" s="27" t="inlineStr">
        <is>
          <t>主线</t>
        </is>
      </c>
      <c r="C55" s="28" t="inlineStr">
        <is>
          <t>第四章</t>
        </is>
      </c>
      <c r="D55" s="28" t="inlineStr">
        <is>
          <t>4-12</t>
        </is>
      </c>
      <c r="E55" s="28" t="inlineStr">
        <is>
          <t>100412</t>
        </is>
      </c>
      <c r="F55" s="27" t="inlineStr">
        <is>
          <t>普通怪</t>
        </is>
      </c>
      <c r="G55" s="37" t="n">
        <v>51</v>
      </c>
      <c r="H55" s="38" t="n"/>
      <c r="I55" s="39">
        <f>IF($H55="",$G55,$H55)</f>
        <v/>
      </c>
      <c r="J55" s="40" t="n">
        <v>83</v>
      </c>
      <c r="K55" s="72" t="n">
        <v>1.00660220959022</v>
      </c>
      <c r="L55" s="72" t="n">
        <v>0.9911678609842119</v>
      </c>
      <c r="M55" s="72" t="n">
        <v>1</v>
      </c>
      <c r="N55" s="73" t="n"/>
      <c r="O55" s="73" t="n"/>
      <c r="P55" s="73" t="n"/>
      <c r="Q55" s="74">
        <f>IF($I55="","",IFERROR(INDEX(_玩家曲线!$H$2:$H$286,MATCH($I55,_玩家曲线!$A$2:$A$286,0)),""))</f>
        <v/>
      </c>
      <c r="R55" s="74">
        <f>IF($I55="","",IFERROR(INDEX(_玩家曲线!$I$2:$I$286,MATCH($I55,_玩家曲线!$A$2:$A$286,0)),""))</f>
        <v/>
      </c>
      <c r="S55" s="74">
        <f>IF(OR($J55="",$F55="不适用"),"",IFERROR(INDEX(_怪物模型!$D$2:$D$4501,(INT($J55)-1)*ROWS(_怪物类型!$A$2:$A$10)+MATCH($F55,_怪物类型!$A$2:$A$10,0))*IF($K55="",1,$K55),""))</f>
        <v/>
      </c>
      <c r="T55" s="74">
        <f>IF(OR($J55="",$F55="不适用"),"",IFERROR(INDEX(_怪物模型!$E$2:$E$4501,(INT($J55)-1)*ROWS(_怪物类型!$A$2:$A$10)+MATCH($F55,_怪物类型!$A$2:$A$10,0))*IF($L55="",1,$L55),""))</f>
        <v/>
      </c>
      <c r="U55" s="74">
        <f>IF(OR($J55="",$F55="不适用"),"",IFERROR(INDEX(_怪物模型!$F$2:$F$4501,(INT($J55)-1)*ROWS(_怪物类型!$A$2:$A$10)+MATCH($F55,_怪物类型!$A$2:$A$10,0))*IF($M55="",1,$M55),""))</f>
        <v/>
      </c>
      <c r="V55" s="75">
        <f>IF($U55="","",MIN(0.75,$U55/($U55+24000)))</f>
        <v/>
      </c>
      <c r="W55" s="76">
        <f>IF($S55="","",$S55/(1-$V55)*IF($N55="",1,$N55))</f>
        <v/>
      </c>
      <c r="X55" s="76">
        <f>IF(OR($W55="",$Q55="",$Q55=0),"",$W55/$Q55)</f>
        <v/>
      </c>
      <c r="Y55" s="76">
        <f>IF(OR($R55="",$T55="",$T55=0),"",$R55/($T55*IF($O55="",1,$O55)))</f>
        <v/>
      </c>
      <c r="Z55" s="77">
        <f>IF(OR($X55="",$P55="",$P55=0),"",$X55/$P55)</f>
        <v/>
      </c>
      <c r="AA55" s="27">
        <f>IF($J55="","待填怪物等级",IF(OR($I55="",$Q55=""),"待填对照关卡",IF($P55="","已计算",IF(AND($Y55&lt;&gt;"",$Y55&lt;$X55),"生存不成立",IF($Z55&lt;0.5,"碾压",IF($Z55&lt;0.8,"偏简单",IF($Z55&lt;=1.2,"适中",IF($Z55&lt;=1.5,"偏难","过难"))))))))</f>
        <v/>
      </c>
      <c r="AB55" s="27">
        <f>IF($J55="","待填",IF(AND(ISNUMBER($J55),$J55&gt;=1,$J55&lt;=500,MOD($J55,1)=0),"有效","超范围"))</f>
        <v/>
      </c>
      <c r="AC55" s="27">
        <f>IF(OR($J55="",ROW()=5,$B55&lt;&gt;$B54,$J54=""),"",IF($J55&lt;$J54,"下降",""))</f>
        <v/>
      </c>
      <c r="AD55" s="28" t="inlineStr">
        <is>
          <t>2026-08-27 新玩家节点曲线校准；对照S51；等级109→83；保留原难度定位。  2026-08-31 推荐战力：本章Boss反查锚点p24-&gt;p36线性递增（60s击杀/扛20s）；</t>
        </is>
      </c>
      <c r="AE55" t="n">
        <v>57000</v>
      </c>
      <c r="AF55">
        <f>INDEX(_统一战力!$B$2:$B$501,J55)</f>
        <v/>
      </c>
    </row>
    <row r="56" ht="25" customHeight="1">
      <c r="A56" s="27" t="inlineStr">
        <is>
          <t>当前配置</t>
        </is>
      </c>
      <c r="B56" s="27" t="inlineStr">
        <is>
          <t>主线</t>
        </is>
      </c>
      <c r="C56" s="28" t="inlineStr">
        <is>
          <t>第四章</t>
        </is>
      </c>
      <c r="D56" s="28" t="inlineStr">
        <is>
          <t>4-13</t>
        </is>
      </c>
      <c r="E56" s="28" t="inlineStr">
        <is>
          <t>100413</t>
        </is>
      </c>
      <c r="F56" s="27" t="inlineStr">
        <is>
          <t>普通怪</t>
        </is>
      </c>
      <c r="G56" s="37" t="n">
        <v>52</v>
      </c>
      <c r="H56" s="38" t="n"/>
      <c r="I56" s="39">
        <f>IF($H56="",$G56,$H56)</f>
        <v/>
      </c>
      <c r="J56" s="40" t="n">
        <v>85</v>
      </c>
      <c r="K56" s="72" t="n">
        <v>1.00026325484935</v>
      </c>
      <c r="L56" s="72" t="n">
        <v>0.991211638477307</v>
      </c>
      <c r="M56" s="72" t="n">
        <v>1</v>
      </c>
      <c r="N56" s="73" t="n"/>
      <c r="O56" s="73" t="n"/>
      <c r="P56" s="73" t="n"/>
      <c r="Q56" s="74">
        <f>IF($I56="","",IFERROR(INDEX(_玩家曲线!$H$2:$H$286,MATCH($I56,_玩家曲线!$A$2:$A$286,0)),""))</f>
        <v/>
      </c>
      <c r="R56" s="74">
        <f>IF($I56="","",IFERROR(INDEX(_玩家曲线!$I$2:$I$286,MATCH($I56,_玩家曲线!$A$2:$A$286,0)),""))</f>
        <v/>
      </c>
      <c r="S56" s="74">
        <f>IF(OR($J56="",$F56="不适用"),"",IFERROR(INDEX(_怪物模型!$D$2:$D$4501,(INT($J56)-1)*ROWS(_怪物类型!$A$2:$A$10)+MATCH($F56,_怪物类型!$A$2:$A$10,0))*IF($K56="",1,$K56),""))</f>
        <v/>
      </c>
      <c r="T56" s="74">
        <f>IF(OR($J56="",$F56="不适用"),"",IFERROR(INDEX(_怪物模型!$E$2:$E$4501,(INT($J56)-1)*ROWS(_怪物类型!$A$2:$A$10)+MATCH($F56,_怪物类型!$A$2:$A$10,0))*IF($L56="",1,$L56),""))</f>
        <v/>
      </c>
      <c r="U56" s="74">
        <f>IF(OR($J56="",$F56="不适用"),"",IFERROR(INDEX(_怪物模型!$F$2:$F$4501,(INT($J56)-1)*ROWS(_怪物类型!$A$2:$A$10)+MATCH($F56,_怪物类型!$A$2:$A$10,0))*IF($M56="",1,$M56),""))</f>
        <v/>
      </c>
      <c r="V56" s="75">
        <f>IF($U56="","",MIN(0.75,$U56/($U56+24000)))</f>
        <v/>
      </c>
      <c r="W56" s="76">
        <f>IF($S56="","",$S56/(1-$V56)*IF($N56="",1,$N56))</f>
        <v/>
      </c>
      <c r="X56" s="76">
        <f>IF(OR($W56="",$Q56="",$Q56=0),"",$W56/$Q56)</f>
        <v/>
      </c>
      <c r="Y56" s="76">
        <f>IF(OR($R56="",$T56="",$T56=0),"",$R56/($T56*IF($O56="",1,$O56)))</f>
        <v/>
      </c>
      <c r="Z56" s="77">
        <f>IF(OR($X56="",$P56="",$P56=0),"",$X56/$P56)</f>
        <v/>
      </c>
      <c r="AA56" s="27">
        <f>IF($J56="","待填怪物等级",IF(OR($I56="",$Q56=""),"待填对照关卡",IF($P56="","已计算",IF(AND($Y56&lt;&gt;"",$Y56&lt;$X56),"生存不成立",IF($Z56&lt;0.5,"碾压",IF($Z56&lt;0.8,"偏简单",IF($Z56&lt;=1.2,"适中",IF($Z56&lt;=1.5,"偏难","过难"))))))))</f>
        <v/>
      </c>
      <c r="AB56" s="27">
        <f>IF($J56="","待填",IF(AND(ISNUMBER($J56),$J56&gt;=1,$J56&lt;=500,MOD($J56,1)=0),"有效","超范围"))</f>
        <v/>
      </c>
      <c r="AC56" s="27">
        <f>IF(OR($J56="",ROW()=5,$B56&lt;&gt;$B55,$J55=""),"",IF($J56&lt;$J55,"下降",""))</f>
        <v/>
      </c>
      <c r="AD56" s="28" t="inlineStr">
        <is>
          <t>2026-08-27 新玩家节点曲线校准；对照S52；等级111→85；保留原难度定位。  2026-08-31 推荐战力：本章Boss反查锚点p24-&gt;p36线性递增（60s击杀/扛20s）；</t>
        </is>
      </c>
      <c r="AE56" t="n">
        <v>58800</v>
      </c>
      <c r="AF56">
        <f>INDEX(_统一战力!$B$2:$B$501,J56)</f>
        <v/>
      </c>
    </row>
    <row r="57" ht="25" customHeight="1">
      <c r="A57" s="27" t="inlineStr">
        <is>
          <t>当前配置</t>
        </is>
      </c>
      <c r="B57" s="27" t="inlineStr">
        <is>
          <t>主线</t>
        </is>
      </c>
      <c r="C57" s="28" t="inlineStr">
        <is>
          <t>第四章</t>
        </is>
      </c>
      <c r="D57" s="28" t="inlineStr">
        <is>
          <t>4-14</t>
        </is>
      </c>
      <c r="E57" s="28" t="inlineStr">
        <is>
          <t>100414</t>
        </is>
      </c>
      <c r="F57" s="27" t="inlineStr">
        <is>
          <t>普通怪</t>
        </is>
      </c>
      <c r="G57" s="37" t="n">
        <v>53</v>
      </c>
      <c r="H57" s="38" t="n"/>
      <c r="I57" s="39">
        <f>IF($H57="",$G57,$H57)</f>
        <v/>
      </c>
      <c r="J57" s="40" t="n">
        <v>87</v>
      </c>
      <c r="K57" s="72" t="n">
        <v>0.994876590867858</v>
      </c>
      <c r="L57" s="72" t="n">
        <v>0.99232065736176</v>
      </c>
      <c r="M57" s="72" t="n">
        <v>1</v>
      </c>
      <c r="N57" s="73" t="n"/>
      <c r="O57" s="73" t="n"/>
      <c r="P57" s="73" t="n"/>
      <c r="Q57" s="74">
        <f>IF($I57="","",IFERROR(INDEX(_玩家曲线!$H$2:$H$286,MATCH($I57,_玩家曲线!$A$2:$A$286,0)),""))</f>
        <v/>
      </c>
      <c r="R57" s="74">
        <f>IF($I57="","",IFERROR(INDEX(_玩家曲线!$I$2:$I$286,MATCH($I57,_玩家曲线!$A$2:$A$286,0)),""))</f>
        <v/>
      </c>
      <c r="S57" s="74">
        <f>IF(OR($J57="",$F57="不适用"),"",IFERROR(INDEX(_怪物模型!$D$2:$D$4501,(INT($J57)-1)*ROWS(_怪物类型!$A$2:$A$10)+MATCH($F57,_怪物类型!$A$2:$A$10,0))*IF($K57="",1,$K57),""))</f>
        <v/>
      </c>
      <c r="T57" s="74">
        <f>IF(OR($J57="",$F57="不适用"),"",IFERROR(INDEX(_怪物模型!$E$2:$E$4501,(INT($J57)-1)*ROWS(_怪物类型!$A$2:$A$10)+MATCH($F57,_怪物类型!$A$2:$A$10,0))*IF($L57="",1,$L57),""))</f>
        <v/>
      </c>
      <c r="U57" s="74">
        <f>IF(OR($J57="",$F57="不适用"),"",IFERROR(INDEX(_怪物模型!$F$2:$F$4501,(INT($J57)-1)*ROWS(_怪物类型!$A$2:$A$10)+MATCH($F57,_怪物类型!$A$2:$A$10,0))*IF($M57="",1,$M57),""))</f>
        <v/>
      </c>
      <c r="V57" s="75">
        <f>IF($U57="","",MIN(0.75,$U57/($U57+24000)))</f>
        <v/>
      </c>
      <c r="W57" s="76">
        <f>IF($S57="","",$S57/(1-$V57)*IF($N57="",1,$N57))</f>
        <v/>
      </c>
      <c r="X57" s="76">
        <f>IF(OR($W57="",$Q57="",$Q57=0),"",$W57/$Q57)</f>
        <v/>
      </c>
      <c r="Y57" s="76">
        <f>IF(OR($R57="",$T57="",$T57=0),"",$R57/($T57*IF($O57="",1,$O57)))</f>
        <v/>
      </c>
      <c r="Z57" s="77">
        <f>IF(OR($X57="",$P57="",$P57=0),"",$X57/$P57)</f>
        <v/>
      </c>
      <c r="AA57" s="27">
        <f>IF($J57="","待填怪物等级",IF(OR($I57="",$Q57=""),"待填对照关卡",IF($P57="","已计算",IF(AND($Y57&lt;&gt;"",$Y57&lt;$X57),"生存不成立",IF($Z57&lt;0.5,"碾压",IF($Z57&lt;0.8,"偏简单",IF($Z57&lt;=1.2,"适中",IF($Z57&lt;=1.5,"偏难","过难"))))))))</f>
        <v/>
      </c>
      <c r="AB57" s="27">
        <f>IF($J57="","待填",IF(AND(ISNUMBER($J57),$J57&gt;=1,$J57&lt;=500,MOD($J57,1)=0),"有效","超范围"))</f>
        <v/>
      </c>
      <c r="AC57" s="27">
        <f>IF(OR($J57="",ROW()=5,$B57&lt;&gt;$B56,$J56=""),"",IF($J57&lt;$J56,"下降",""))</f>
        <v/>
      </c>
      <c r="AD57" s="28" t="inlineStr">
        <is>
          <t>2026-08-27 新玩家节点曲线校准；对照S53；等级113→87；保留原难度定位。  2026-08-31 推荐战力：本章Boss反查锚点p24-&gt;p36线性递增（60s击杀/扛20s）；</t>
        </is>
      </c>
      <c r="AE57" t="n">
        <v>60600</v>
      </c>
      <c r="AF57">
        <f>INDEX(_统一战力!$B$2:$B$501,J57)</f>
        <v/>
      </c>
    </row>
    <row r="58" ht="25" customHeight="1">
      <c r="A58" s="27" t="inlineStr">
        <is>
          <t>当前配置</t>
        </is>
      </c>
      <c r="B58" s="27" t="inlineStr">
        <is>
          <t>主线</t>
        </is>
      </c>
      <c r="C58" s="28" t="inlineStr">
        <is>
          <t>第四章</t>
        </is>
      </c>
      <c r="D58" s="28" t="inlineStr">
        <is>
          <t>4-15</t>
        </is>
      </c>
      <c r="E58" s="28" t="inlineStr">
        <is>
          <t>100415</t>
        </is>
      </c>
      <c r="F58" s="27" t="inlineStr">
        <is>
          <t>Boss</t>
        </is>
      </c>
      <c r="G58" s="37" t="n">
        <v>54</v>
      </c>
      <c r="H58" s="38" t="n"/>
      <c r="I58" s="39">
        <f>IF($H58="",$G58,$H58)</f>
        <v/>
      </c>
      <c r="J58" s="40" t="n">
        <v>93</v>
      </c>
      <c r="K58" s="72" t="n">
        <v>1.16195319678902</v>
      </c>
      <c r="L58" s="72" t="n">
        <v>0.815943846076271</v>
      </c>
      <c r="M58" s="72" t="n">
        <v>1</v>
      </c>
      <c r="N58" s="73" t="n"/>
      <c r="O58" s="73" t="n"/>
      <c r="P58" s="73" t="n"/>
      <c r="Q58" s="74">
        <f>IF($I58="","",IFERROR(INDEX(_玩家曲线!$H$2:$H$286,MATCH($I58,_玩家曲线!$A$2:$A$286,0)),""))</f>
        <v/>
      </c>
      <c r="R58" s="74">
        <f>IF($I58="","",IFERROR(INDEX(_玩家曲线!$I$2:$I$286,MATCH($I58,_玩家曲线!$A$2:$A$286,0)),""))</f>
        <v/>
      </c>
      <c r="S58" s="74">
        <f>IF(OR($J58="",$F58="不适用"),"",IFERROR(INDEX(_怪物模型!$D$2:$D$4501,(INT($J58)-1)*ROWS(_怪物类型!$A$2:$A$10)+MATCH($F58,_怪物类型!$A$2:$A$10,0))*IF($K58="",1,$K58),""))</f>
        <v/>
      </c>
      <c r="T58" s="74">
        <f>IF(OR($J58="",$F58="不适用"),"",IFERROR(INDEX(_怪物模型!$E$2:$E$4501,(INT($J58)-1)*ROWS(_怪物类型!$A$2:$A$10)+MATCH($F58,_怪物类型!$A$2:$A$10,0))*IF($L58="",1,$L58),""))</f>
        <v/>
      </c>
      <c r="U58" s="74">
        <f>IF(OR($J58="",$F58="不适用"),"",IFERROR(INDEX(_怪物模型!$F$2:$F$4501,(INT($J58)-1)*ROWS(_怪物类型!$A$2:$A$10)+MATCH($F58,_怪物类型!$A$2:$A$10,0))*IF($M58="",1,$M58),""))</f>
        <v/>
      </c>
      <c r="V58" s="75">
        <f>IF($U58="","",MIN(0.75,$U58/($U58+24000)))</f>
        <v/>
      </c>
      <c r="W58" s="76">
        <f>IF($S58="","",$S58/(1-$V58)*IF($N58="",1,$N58))</f>
        <v/>
      </c>
      <c r="X58" s="76">
        <f>IF(OR($W58="",$Q58="",$Q58=0),"",$W58/$Q58)</f>
        <v/>
      </c>
      <c r="Y58" s="76">
        <f>IF(OR($R58="",$T58="",$T58=0),"",$R58/($T58*IF($O58="",1,$O58)))</f>
        <v/>
      </c>
      <c r="Z58" s="77">
        <f>IF(OR($X58="",$P58="",$P58=0),"",$X58/$P58)</f>
        <v/>
      </c>
      <c r="AA58" s="27">
        <f>IF($J58="","待填怪物等级",IF(OR($I58="",$Q58=""),"待填对照关卡",IF($P58="","已计算",IF(AND($Y58&lt;&gt;"",$Y58&lt;$X58),"生存不成立",IF($Z58&lt;0.5,"碾压",IF($Z58&lt;0.8,"偏简单",IF($Z58&lt;=1.2,"适中",IF($Z58&lt;=1.5,"偏难","过难"))))))))</f>
        <v/>
      </c>
      <c r="AB58" s="27">
        <f>IF($J58="","待填",IF(AND(ISNUMBER($J58),$J58&gt;=1,$J58&lt;=500,MOD($J58,1)=0),"有效","超范围"))</f>
        <v/>
      </c>
      <c r="AC58" s="27">
        <f>IF(OR($J58="",ROW()=5,$B58&lt;&gt;$B57,$J57=""),"",IF($J58&lt;$J57,"下降",""))</f>
        <v/>
      </c>
      <c r="AD58" s="28" t="inlineStr">
        <is>
          <t>2026-08-27 新玩家节点曲线校准；对照S54；等级117→93；保留原难度定位。  2026-08-31 推荐战力：本章Boss反查锚点p24-&gt;p36线性递增（60s击杀/扛20s）；</t>
        </is>
      </c>
      <c r="AE58" t="n">
        <v>62400</v>
      </c>
      <c r="AF58">
        <f>INDEX(_统一战力!$B$2:$B$501,J58)</f>
        <v/>
      </c>
    </row>
    <row r="59" ht="25" customHeight="1">
      <c r="A59" s="27" t="inlineStr">
        <is>
          <t>当前配置</t>
        </is>
      </c>
      <c r="B59" s="27" t="inlineStr">
        <is>
          <t>主线</t>
        </is>
      </c>
      <c r="C59" s="28" t="inlineStr">
        <is>
          <t>第五章</t>
        </is>
      </c>
      <c r="D59" s="28" t="inlineStr">
        <is>
          <t>5-1</t>
        </is>
      </c>
      <c r="E59" s="28" t="inlineStr">
        <is>
          <t>100501</t>
        </is>
      </c>
      <c r="F59" s="27" t="inlineStr">
        <is>
          <t>普通怪</t>
        </is>
      </c>
      <c r="G59" s="37" t="n">
        <v>55</v>
      </c>
      <c r="H59" s="38" t="n"/>
      <c r="I59" s="39">
        <f>IF($H59="",$G59,$H59)</f>
        <v/>
      </c>
      <c r="J59" s="40" t="n">
        <v>93</v>
      </c>
      <c r="K59" s="72" t="n">
        <v>0.936658371360033</v>
      </c>
      <c r="L59" s="72" t="n">
        <v>0.9620595818426551</v>
      </c>
      <c r="M59" s="72" t="n">
        <v>1</v>
      </c>
      <c r="N59" s="73" t="n"/>
      <c r="O59" s="73" t="n"/>
      <c r="P59" s="73" t="n"/>
      <c r="Q59" s="74">
        <f>IF($I59="","",IFERROR(INDEX(_玩家曲线!$H$2:$H$286,MATCH($I59,_玩家曲线!$A$2:$A$286,0)),""))</f>
        <v/>
      </c>
      <c r="R59" s="74">
        <f>IF($I59="","",IFERROR(INDEX(_玩家曲线!$I$2:$I$286,MATCH($I59,_玩家曲线!$A$2:$A$286,0)),""))</f>
        <v/>
      </c>
      <c r="S59" s="74">
        <f>IF(OR($J59="",$F59="不适用"),"",IFERROR(INDEX(_怪物模型!$D$2:$D$4501,(INT($J59)-1)*ROWS(_怪物类型!$A$2:$A$10)+MATCH($F59,_怪物类型!$A$2:$A$10,0))*IF($K59="",1,$K59),""))</f>
        <v/>
      </c>
      <c r="T59" s="74">
        <f>IF(OR($J59="",$F59="不适用"),"",IFERROR(INDEX(_怪物模型!$E$2:$E$4501,(INT($J59)-1)*ROWS(_怪物类型!$A$2:$A$10)+MATCH($F59,_怪物类型!$A$2:$A$10,0))*IF($L59="",1,$L59),""))</f>
        <v/>
      </c>
      <c r="U59" s="74">
        <f>IF(OR($J59="",$F59="不适用"),"",IFERROR(INDEX(_怪物模型!$F$2:$F$4501,(INT($J59)-1)*ROWS(_怪物类型!$A$2:$A$10)+MATCH($F59,_怪物类型!$A$2:$A$10,0))*IF($M59="",1,$M59),""))</f>
        <v/>
      </c>
      <c r="V59" s="75">
        <f>IF($U59="","",MIN(0.75,$U59/($U59+24000)))</f>
        <v/>
      </c>
      <c r="W59" s="76">
        <f>IF($S59="","",$S59/(1-$V59)*IF($N59="",1,$N59))</f>
        <v/>
      </c>
      <c r="X59" s="76">
        <f>IF(OR($W59="",$Q59="",$Q59=0),"",$W59/$Q59)</f>
        <v/>
      </c>
      <c r="Y59" s="76">
        <f>IF(OR($R59="",$T59="",$T59=0),"",$R59/($T59*IF($O59="",1,$O59)))</f>
        <v/>
      </c>
      <c r="Z59" s="77">
        <f>IF(OR($X59="",$P59="",$P59=0),"",$X59/$P59)</f>
        <v/>
      </c>
      <c r="AA59" s="27">
        <f>IF($J59="","待填怪物等级",IF(OR($I59="",$Q59=""),"待填对照关卡",IF($P59="","已计算",IF(AND($Y59&lt;&gt;"",$Y59&lt;$X59),"生存不成立",IF($Z59&lt;0.5,"碾压",IF($Z59&lt;0.8,"偏简单",IF($Z59&lt;=1.2,"适中",IF($Z59&lt;=1.5,"偏难","过难"))))))))</f>
        <v/>
      </c>
      <c r="AB59" s="27">
        <f>IF($J59="","待填",IF(AND(ISNUMBER($J59),$J59&gt;=1,$J59&lt;=500,MOD($J59,1)=0),"有效","超范围"))</f>
        <v/>
      </c>
      <c r="AC59" s="27">
        <f>IF(OR($J59="",ROW()=5,$B59&lt;&gt;$B58,$J58=""),"",IF($J59&lt;$J58,"下降",""))</f>
        <v/>
      </c>
      <c r="AD59" s="28" t="inlineStr">
        <is>
          <t>2026-08-27 新玩家节点曲线校准；对照S55；等级117→93；保留原难度定位。  2026-08-31 推荐战力：本章Boss反查锚点p36-&gt;p45线性递增（60s击杀/扛20s）；</t>
        </is>
      </c>
      <c r="AE59" t="n">
        <v>64600</v>
      </c>
      <c r="AF59">
        <f>INDEX(_统一战力!$B$2:$B$501,J59)</f>
        <v/>
      </c>
    </row>
    <row r="60" ht="25" customHeight="1">
      <c r="A60" s="27" t="inlineStr">
        <is>
          <t>当前配置</t>
        </is>
      </c>
      <c r="B60" s="27" t="inlineStr">
        <is>
          <t>主线</t>
        </is>
      </c>
      <c r="C60" s="28" t="inlineStr">
        <is>
          <t>第五章</t>
        </is>
      </c>
      <c r="D60" s="28" t="inlineStr">
        <is>
          <t>5-2</t>
        </is>
      </c>
      <c r="E60" s="28" t="inlineStr">
        <is>
          <t>100502</t>
        </is>
      </c>
      <c r="F60" s="27" t="inlineStr">
        <is>
          <t>普通怪</t>
        </is>
      </c>
      <c r="G60" s="37" t="n">
        <v>56</v>
      </c>
      <c r="H60" s="38" t="n"/>
      <c r="I60" s="39">
        <f>IF($H60="",$G60,$H60)</f>
        <v/>
      </c>
      <c r="J60" s="40" t="n">
        <v>93</v>
      </c>
      <c r="K60" s="72" t="n">
        <v>0.969095971372215</v>
      </c>
      <c r="L60" s="72" t="n">
        <v>0.986555548364361</v>
      </c>
      <c r="M60" s="72" t="n">
        <v>1</v>
      </c>
      <c r="N60" s="73" t="n"/>
      <c r="O60" s="73" t="n"/>
      <c r="P60" s="73" t="n"/>
      <c r="Q60" s="74">
        <f>IF($I60="","",IFERROR(INDEX(_玩家曲线!$H$2:$H$286,MATCH($I60,_玩家曲线!$A$2:$A$286,0)),""))</f>
        <v/>
      </c>
      <c r="R60" s="74">
        <f>IF($I60="","",IFERROR(INDEX(_玩家曲线!$I$2:$I$286,MATCH($I60,_玩家曲线!$A$2:$A$286,0)),""))</f>
        <v/>
      </c>
      <c r="S60" s="74">
        <f>IF(OR($J60="",$F60="不适用"),"",IFERROR(INDEX(_怪物模型!$D$2:$D$4501,(INT($J60)-1)*ROWS(_怪物类型!$A$2:$A$10)+MATCH($F60,_怪物类型!$A$2:$A$10,0))*IF($K60="",1,$K60),""))</f>
        <v/>
      </c>
      <c r="T60" s="74">
        <f>IF(OR($J60="",$F60="不适用"),"",IFERROR(INDEX(_怪物模型!$E$2:$E$4501,(INT($J60)-1)*ROWS(_怪物类型!$A$2:$A$10)+MATCH($F60,_怪物类型!$A$2:$A$10,0))*IF($L60="",1,$L60),""))</f>
        <v/>
      </c>
      <c r="U60" s="74">
        <f>IF(OR($J60="",$F60="不适用"),"",IFERROR(INDEX(_怪物模型!$F$2:$F$4501,(INT($J60)-1)*ROWS(_怪物类型!$A$2:$A$10)+MATCH($F60,_怪物类型!$A$2:$A$10,0))*IF($M60="",1,$M60),""))</f>
        <v/>
      </c>
      <c r="V60" s="75">
        <f>IF($U60="","",MIN(0.75,$U60/($U60+24000)))</f>
        <v/>
      </c>
      <c r="W60" s="76">
        <f>IF($S60="","",$S60/(1-$V60)*IF($N60="",1,$N60))</f>
        <v/>
      </c>
      <c r="X60" s="76">
        <f>IF(OR($W60="",$Q60="",$Q60=0),"",$W60/$Q60)</f>
        <v/>
      </c>
      <c r="Y60" s="76">
        <f>IF(OR($R60="",$T60="",$T60=0),"",$R60/($T60*IF($O60="",1,$O60)))</f>
        <v/>
      </c>
      <c r="Z60" s="77">
        <f>IF(OR($X60="",$P60="",$P60=0),"",$X60/$P60)</f>
        <v/>
      </c>
      <c r="AA60" s="27">
        <f>IF($J60="","待填怪物等级",IF(OR($I60="",$Q60=""),"待填对照关卡",IF($P60="","已计算",IF(AND($Y60&lt;&gt;"",$Y60&lt;$X60),"生存不成立",IF($Z60&lt;0.5,"碾压",IF($Z60&lt;0.8,"偏简单",IF($Z60&lt;=1.2,"适中",IF($Z60&lt;=1.5,"偏难","过难"))))))))</f>
        <v/>
      </c>
      <c r="AB60" s="27">
        <f>IF($J60="","待填",IF(AND(ISNUMBER($J60),$J60&gt;=1,$J60&lt;=500,MOD($J60,1)=0),"有效","超范围"))</f>
        <v/>
      </c>
      <c r="AC60" s="27">
        <f>IF(OR($J60="",ROW()=5,$B60&lt;&gt;$B59,$J59=""),"",IF($J60&lt;$J59,"下降",""))</f>
        <v/>
      </c>
      <c r="AD60" s="28" t="inlineStr">
        <is>
          <t>2026-08-27 新玩家节点曲线校准；对照S56；等级119→93；保留原难度定位。  2026-08-31 推荐战力：本章Boss反查锚点p36-&gt;p45线性递增（60s击杀/扛20s）；</t>
        </is>
      </c>
      <c r="AE60" t="n">
        <v>66800</v>
      </c>
      <c r="AF60">
        <f>INDEX(_统一战力!$B$2:$B$501,J60)</f>
        <v/>
      </c>
    </row>
    <row r="61" ht="25" customHeight="1">
      <c r="A61" s="27" t="inlineStr">
        <is>
          <t>当前配置</t>
        </is>
      </c>
      <c r="B61" s="27" t="inlineStr">
        <is>
          <t>主线</t>
        </is>
      </c>
      <c r="C61" s="28" t="inlineStr">
        <is>
          <t>第五章</t>
        </is>
      </c>
      <c r="D61" s="28" t="inlineStr">
        <is>
          <t>5-3</t>
        </is>
      </c>
      <c r="E61" s="28" t="inlineStr">
        <is>
          <t>100503</t>
        </is>
      </c>
      <c r="F61" s="27" t="inlineStr">
        <is>
          <t>普通怪</t>
        </is>
      </c>
      <c r="G61" s="37" t="n">
        <v>57</v>
      </c>
      <c r="H61" s="38" t="n"/>
      <c r="I61" s="39">
        <f>IF($H61="",$G61,$H61)</f>
        <v/>
      </c>
      <c r="J61" s="40" t="n">
        <v>93</v>
      </c>
      <c r="K61" s="72" t="n">
        <v>0.983631847188018</v>
      </c>
      <c r="L61" s="72" t="n">
        <v>0.997481495768458</v>
      </c>
      <c r="M61" s="72" t="n">
        <v>1</v>
      </c>
      <c r="N61" s="73" t="n"/>
      <c r="O61" s="73" t="n"/>
      <c r="P61" s="73" t="n"/>
      <c r="Q61" s="74">
        <f>IF($I61="","",IFERROR(INDEX(_玩家曲线!$H$2:$H$286,MATCH($I61,_玩家曲线!$A$2:$A$286,0)),""))</f>
        <v/>
      </c>
      <c r="R61" s="74">
        <f>IF($I61="","",IFERROR(INDEX(_玩家曲线!$I$2:$I$286,MATCH($I61,_玩家曲线!$A$2:$A$286,0)),""))</f>
        <v/>
      </c>
      <c r="S61" s="74">
        <f>IF(OR($J61="",$F61="不适用"),"",IFERROR(INDEX(_怪物模型!$D$2:$D$4501,(INT($J61)-1)*ROWS(_怪物类型!$A$2:$A$10)+MATCH($F61,_怪物类型!$A$2:$A$10,0))*IF($K61="",1,$K61),""))</f>
        <v/>
      </c>
      <c r="T61" s="74">
        <f>IF(OR($J61="",$F61="不适用"),"",IFERROR(INDEX(_怪物模型!$E$2:$E$4501,(INT($J61)-1)*ROWS(_怪物类型!$A$2:$A$10)+MATCH($F61,_怪物类型!$A$2:$A$10,0))*IF($L61="",1,$L61),""))</f>
        <v/>
      </c>
      <c r="U61" s="74">
        <f>IF(OR($J61="",$F61="不适用"),"",IFERROR(INDEX(_怪物模型!$F$2:$F$4501,(INT($J61)-1)*ROWS(_怪物类型!$A$2:$A$10)+MATCH($F61,_怪物类型!$A$2:$A$10,0))*IF($M61="",1,$M61),""))</f>
        <v/>
      </c>
      <c r="V61" s="75">
        <f>IF($U61="","",MIN(0.75,$U61/($U61+24000)))</f>
        <v/>
      </c>
      <c r="W61" s="76">
        <f>IF($S61="","",$S61/(1-$V61)*IF($N61="",1,$N61))</f>
        <v/>
      </c>
      <c r="X61" s="76">
        <f>IF(OR($W61="",$Q61="",$Q61=0),"",$W61/$Q61)</f>
        <v/>
      </c>
      <c r="Y61" s="76">
        <f>IF(OR($R61="",$T61="",$T61=0),"",$R61/($T61*IF($O61="",1,$O61)))</f>
        <v/>
      </c>
      <c r="Z61" s="77">
        <f>IF(OR($X61="",$P61="",$P61=0),"",$X61/$P61)</f>
        <v/>
      </c>
      <c r="AA61" s="27">
        <f>IF($J61="","待填怪物等级",IF(OR($I61="",$Q61=""),"待填对照关卡",IF($P61="","已计算",IF(AND($Y61&lt;&gt;"",$Y61&lt;$X61),"生存不成立",IF($Z61&lt;0.5,"碾压",IF($Z61&lt;0.8,"偏简单",IF($Z61&lt;=1.2,"适中",IF($Z61&lt;=1.5,"偏难","过难"))))))))</f>
        <v/>
      </c>
      <c r="AB61" s="27">
        <f>IF($J61="","待填",IF(AND(ISNUMBER($J61),$J61&gt;=1,$J61&lt;=500,MOD($J61,1)=0),"有效","超范围"))</f>
        <v/>
      </c>
      <c r="AC61" s="27">
        <f>IF(OR($J61="",ROW()=5,$B61&lt;&gt;$B60,$J60=""),"",IF($J61&lt;$J60,"下降",""))</f>
        <v/>
      </c>
      <c r="AD61" s="28" t="inlineStr">
        <is>
          <t>2026-08-27 新玩家节点曲线校准；对照S57；等级120→93；保留原难度定位。  2026-08-31 推荐战力：本章Boss反查锚点p36-&gt;p45线性递增（60s击杀/扛20s）；</t>
        </is>
      </c>
      <c r="AE61" t="n">
        <v>69100</v>
      </c>
      <c r="AF61">
        <f>INDEX(_统一战力!$B$2:$B$501,J61)</f>
        <v/>
      </c>
    </row>
    <row r="62" ht="25" customHeight="1">
      <c r="A62" s="27" t="inlineStr">
        <is>
          <t>当前配置</t>
        </is>
      </c>
      <c r="B62" s="27" t="inlineStr">
        <is>
          <t>主线</t>
        </is>
      </c>
      <c r="C62" s="28" t="inlineStr">
        <is>
          <t>第五章</t>
        </is>
      </c>
      <c r="D62" s="28" t="inlineStr">
        <is>
          <t>5-4</t>
        </is>
      </c>
      <c r="E62" s="28" t="inlineStr">
        <is>
          <t>100504</t>
        </is>
      </c>
      <c r="F62" s="27" t="inlineStr">
        <is>
          <t>普通怪</t>
        </is>
      </c>
      <c r="G62" s="37" t="n">
        <v>58</v>
      </c>
      <c r="H62" s="38" t="n"/>
      <c r="I62" s="39">
        <f>IF($H62="",$G62,$H62)</f>
        <v/>
      </c>
      <c r="J62" s="40" t="n">
        <v>94</v>
      </c>
      <c r="K62" s="72" t="n">
        <v>0.99564345599446</v>
      </c>
      <c r="L62" s="72" t="n">
        <v>1.00856960862941</v>
      </c>
      <c r="M62" s="72" t="n">
        <v>1</v>
      </c>
      <c r="N62" s="73" t="n"/>
      <c r="O62" s="73" t="n"/>
      <c r="P62" s="73" t="n"/>
      <c r="Q62" s="74">
        <f>IF($I62="","",IFERROR(INDEX(_玩家曲线!$H$2:$H$286,MATCH($I62,_玩家曲线!$A$2:$A$286,0)),""))</f>
        <v/>
      </c>
      <c r="R62" s="74">
        <f>IF($I62="","",IFERROR(INDEX(_玩家曲线!$I$2:$I$286,MATCH($I62,_玩家曲线!$A$2:$A$286,0)),""))</f>
        <v/>
      </c>
      <c r="S62" s="74">
        <f>IF(OR($J62="",$F62="不适用"),"",IFERROR(INDEX(_怪物模型!$D$2:$D$4501,(INT($J62)-1)*ROWS(_怪物类型!$A$2:$A$10)+MATCH($F62,_怪物类型!$A$2:$A$10,0))*IF($K62="",1,$K62),""))</f>
        <v/>
      </c>
      <c r="T62" s="74">
        <f>IF(OR($J62="",$F62="不适用"),"",IFERROR(INDEX(_怪物模型!$E$2:$E$4501,(INT($J62)-1)*ROWS(_怪物类型!$A$2:$A$10)+MATCH($F62,_怪物类型!$A$2:$A$10,0))*IF($L62="",1,$L62),""))</f>
        <v/>
      </c>
      <c r="U62" s="74">
        <f>IF(OR($J62="",$F62="不适用"),"",IFERROR(INDEX(_怪物模型!$F$2:$F$4501,(INT($J62)-1)*ROWS(_怪物类型!$A$2:$A$10)+MATCH($F62,_怪物类型!$A$2:$A$10,0))*IF($M62="",1,$M62),""))</f>
        <v/>
      </c>
      <c r="V62" s="75">
        <f>IF($U62="","",MIN(0.75,$U62/($U62+24000)))</f>
        <v/>
      </c>
      <c r="W62" s="76">
        <f>IF($S62="","",$S62/(1-$V62)*IF($N62="",1,$N62))</f>
        <v/>
      </c>
      <c r="X62" s="76">
        <f>IF(OR($W62="",$Q62="",$Q62=0),"",$W62/$Q62)</f>
        <v/>
      </c>
      <c r="Y62" s="76">
        <f>IF(OR($R62="",$T62="",$T62=0),"",$R62/($T62*IF($O62="",1,$O62)))</f>
        <v/>
      </c>
      <c r="Z62" s="77">
        <f>IF(OR($X62="",$P62="",$P62=0),"",$X62/$P62)</f>
        <v/>
      </c>
      <c r="AA62" s="27">
        <f>IF($J62="","待填怪物等级",IF(OR($I62="",$Q62=""),"待填对照关卡",IF($P62="","已计算",IF(AND($Y62&lt;&gt;"",$Y62&lt;$X62),"生存不成立",IF($Z62&lt;0.5,"碾压",IF($Z62&lt;0.8,"偏简单",IF($Z62&lt;=1.2,"适中",IF($Z62&lt;=1.5,"偏难","过难"))))))))</f>
        <v/>
      </c>
      <c r="AB62" s="27">
        <f>IF($J62="","待填",IF(AND(ISNUMBER($J62),$J62&gt;=1,$J62&lt;=500,MOD($J62,1)=0),"有效","超范围"))</f>
        <v/>
      </c>
      <c r="AC62" s="27">
        <f>IF(OR($J62="",ROW()=5,$B62&lt;&gt;$B61,$J61=""),"",IF($J62&lt;$J61,"下降",""))</f>
        <v/>
      </c>
      <c r="AD62" s="28" t="inlineStr">
        <is>
          <t>2026-08-27 新玩家节点曲线校准；对照S58；等级122→94；保留原难度定位。  2026-08-31 推荐战力：本章Boss反查锚点p36-&gt;p45线性递增（60s击杀/扛20s）；</t>
        </is>
      </c>
      <c r="AE62" t="n">
        <v>71300</v>
      </c>
      <c r="AF62">
        <f>INDEX(_统一战力!$B$2:$B$501,J62)</f>
        <v/>
      </c>
    </row>
    <row r="63" ht="25" customHeight="1">
      <c r="A63" s="27" t="inlineStr">
        <is>
          <t>当前配置</t>
        </is>
      </c>
      <c r="B63" s="27" t="inlineStr">
        <is>
          <t>主线</t>
        </is>
      </c>
      <c r="C63" s="28" t="inlineStr">
        <is>
          <t>第五章</t>
        </is>
      </c>
      <c r="D63" s="28" t="inlineStr">
        <is>
          <t>5-5</t>
        </is>
      </c>
      <c r="E63" s="28" t="inlineStr">
        <is>
          <t>100505</t>
        </is>
      </c>
      <c r="F63" s="27" t="inlineStr">
        <is>
          <t>普通怪</t>
        </is>
      </c>
      <c r="G63" s="37" t="n">
        <v>59</v>
      </c>
      <c r="H63" s="38" t="n"/>
      <c r="I63" s="39">
        <f>IF($H63="",$G63,$H63)</f>
        <v/>
      </c>
      <c r="J63" s="40" t="n">
        <v>96</v>
      </c>
      <c r="K63" s="72" t="n">
        <v>0.985825707965177</v>
      </c>
      <c r="L63" s="72" t="n">
        <v>1.00569285499113</v>
      </c>
      <c r="M63" s="72" t="n">
        <v>1</v>
      </c>
      <c r="N63" s="73" t="n"/>
      <c r="O63" s="73" t="n"/>
      <c r="P63" s="73" t="n"/>
      <c r="Q63" s="74">
        <f>IF($I63="","",IFERROR(INDEX(_玩家曲线!$H$2:$H$286,MATCH($I63,_玩家曲线!$A$2:$A$286,0)),""))</f>
        <v/>
      </c>
      <c r="R63" s="74">
        <f>IF($I63="","",IFERROR(INDEX(_玩家曲线!$I$2:$I$286,MATCH($I63,_玩家曲线!$A$2:$A$286,0)),""))</f>
        <v/>
      </c>
      <c r="S63" s="74">
        <f>IF(OR($J63="",$F63="不适用"),"",IFERROR(INDEX(_怪物模型!$D$2:$D$4501,(INT($J63)-1)*ROWS(_怪物类型!$A$2:$A$10)+MATCH($F63,_怪物类型!$A$2:$A$10,0))*IF($K63="",1,$K63),""))</f>
        <v/>
      </c>
      <c r="T63" s="74">
        <f>IF(OR($J63="",$F63="不适用"),"",IFERROR(INDEX(_怪物模型!$E$2:$E$4501,(INT($J63)-1)*ROWS(_怪物类型!$A$2:$A$10)+MATCH($F63,_怪物类型!$A$2:$A$10,0))*IF($L63="",1,$L63),""))</f>
        <v/>
      </c>
      <c r="U63" s="74">
        <f>IF(OR($J63="",$F63="不适用"),"",IFERROR(INDEX(_怪物模型!$F$2:$F$4501,(INT($J63)-1)*ROWS(_怪物类型!$A$2:$A$10)+MATCH($F63,_怪物类型!$A$2:$A$10,0))*IF($M63="",1,$M63),""))</f>
        <v/>
      </c>
      <c r="V63" s="75">
        <f>IF($U63="","",MIN(0.75,$U63/($U63+24000)))</f>
        <v/>
      </c>
      <c r="W63" s="76">
        <f>IF($S63="","",$S63/(1-$V63)*IF($N63="",1,$N63))</f>
        <v/>
      </c>
      <c r="X63" s="76">
        <f>IF(OR($W63="",$Q63="",$Q63=0),"",$W63/$Q63)</f>
        <v/>
      </c>
      <c r="Y63" s="76">
        <f>IF(OR($R63="",$T63="",$T63=0),"",$R63/($T63*IF($O63="",1,$O63)))</f>
        <v/>
      </c>
      <c r="Z63" s="77">
        <f>IF(OR($X63="",$P63="",$P63=0),"",$X63/$P63)</f>
        <v/>
      </c>
      <c r="AA63" s="27">
        <f>IF($J63="","待填怪物等级",IF(OR($I63="",$Q63=""),"待填对照关卡",IF($P63="","已计算",IF(AND($Y63&lt;&gt;"",$Y63&lt;$X63),"生存不成立",IF($Z63&lt;0.5,"碾压",IF($Z63&lt;0.8,"偏简单",IF($Z63&lt;=1.2,"适中",IF($Z63&lt;=1.5,"偏难","过难"))))))))</f>
        <v/>
      </c>
      <c r="AB63" s="27">
        <f>IF($J63="","待填",IF(AND(ISNUMBER($J63),$J63&gt;=1,$J63&lt;=500,MOD($J63,1)=0),"有效","超范围"))</f>
        <v/>
      </c>
      <c r="AC63" s="27">
        <f>IF(OR($J63="",ROW()=5,$B63&lt;&gt;$B62,$J62=""),"",IF($J63&lt;$J62,"下降",""))</f>
        <v/>
      </c>
      <c r="AD63" s="28" t="inlineStr">
        <is>
          <t>2026-08-27 新玩家节点曲线校准；对照S59；等级124→96；保留原难度定位。  2026-08-31 推荐战力：本章Boss反查锚点p36-&gt;p45线性递增（60s击杀/扛20s）；</t>
        </is>
      </c>
      <c r="AE63" t="n">
        <v>73500</v>
      </c>
      <c r="AF63">
        <f>INDEX(_统一战力!$B$2:$B$501,J63)</f>
        <v/>
      </c>
    </row>
    <row r="64" ht="25" customHeight="1">
      <c r="A64" s="27" t="inlineStr">
        <is>
          <t>当前配置</t>
        </is>
      </c>
      <c r="B64" s="27" t="inlineStr">
        <is>
          <t>主线</t>
        </is>
      </c>
      <c r="C64" s="28" t="inlineStr">
        <is>
          <t>第五章</t>
        </is>
      </c>
      <c r="D64" s="28" t="inlineStr">
        <is>
          <t>5-6</t>
        </is>
      </c>
      <c r="E64" s="28" t="inlineStr">
        <is>
          <t>100506</t>
        </is>
      </c>
      <c r="F64" s="27" t="inlineStr">
        <is>
          <t>普通怪</t>
        </is>
      </c>
      <c r="G64" s="37" t="n">
        <v>60</v>
      </c>
      <c r="H64" s="38" t="n"/>
      <c r="I64" s="39">
        <f>IF($H64="",$G64,$H64)</f>
        <v/>
      </c>
      <c r="J64" s="40" t="n">
        <v>97</v>
      </c>
      <c r="K64" s="72" t="n">
        <v>0.999010565688931</v>
      </c>
      <c r="L64" s="72" t="n">
        <v>1.01784087196355</v>
      </c>
      <c r="M64" s="72" t="n">
        <v>1</v>
      </c>
      <c r="N64" s="73" t="n"/>
      <c r="O64" s="73" t="n"/>
      <c r="P64" s="73" t="n"/>
      <c r="Q64" s="74">
        <f>IF($I64="","",IFERROR(INDEX(_玩家曲线!$H$2:$H$286,MATCH($I64,_玩家曲线!$A$2:$A$286,0)),""))</f>
        <v/>
      </c>
      <c r="R64" s="74">
        <f>IF($I64="","",IFERROR(INDEX(_玩家曲线!$I$2:$I$286,MATCH($I64,_玩家曲线!$A$2:$A$286,0)),""))</f>
        <v/>
      </c>
      <c r="S64" s="74">
        <f>IF(OR($J64="",$F64="不适用"),"",IFERROR(INDEX(_怪物模型!$D$2:$D$4501,(INT($J64)-1)*ROWS(_怪物类型!$A$2:$A$10)+MATCH($F64,_怪物类型!$A$2:$A$10,0))*IF($K64="",1,$K64),""))</f>
        <v/>
      </c>
      <c r="T64" s="74">
        <f>IF(OR($J64="",$F64="不适用"),"",IFERROR(INDEX(_怪物模型!$E$2:$E$4501,(INT($J64)-1)*ROWS(_怪物类型!$A$2:$A$10)+MATCH($F64,_怪物类型!$A$2:$A$10,0))*IF($L64="",1,$L64),""))</f>
        <v/>
      </c>
      <c r="U64" s="74">
        <f>IF(OR($J64="",$F64="不适用"),"",IFERROR(INDEX(_怪物模型!$F$2:$F$4501,(INT($J64)-1)*ROWS(_怪物类型!$A$2:$A$10)+MATCH($F64,_怪物类型!$A$2:$A$10,0))*IF($M64="",1,$M64),""))</f>
        <v/>
      </c>
      <c r="V64" s="75">
        <f>IF($U64="","",MIN(0.75,$U64/($U64+24000)))</f>
        <v/>
      </c>
      <c r="W64" s="76">
        <f>IF($S64="","",$S64/(1-$V64)*IF($N64="",1,$N64))</f>
        <v/>
      </c>
      <c r="X64" s="76">
        <f>IF(OR($W64="",$Q64="",$Q64=0),"",$W64/$Q64)</f>
        <v/>
      </c>
      <c r="Y64" s="76">
        <f>IF(OR($R64="",$T64="",$T64=0),"",$R64/($T64*IF($O64="",1,$O64)))</f>
        <v/>
      </c>
      <c r="Z64" s="77">
        <f>IF(OR($X64="",$P64="",$P64=0),"",$X64/$P64)</f>
        <v/>
      </c>
      <c r="AA64" s="27">
        <f>IF($J64="","待填怪物等级",IF(OR($I64="",$Q64=""),"待填对照关卡",IF($P64="","已计算",IF(AND($Y64&lt;&gt;"",$Y64&lt;$X64),"生存不成立",IF($Z64&lt;0.5,"碾压",IF($Z64&lt;0.8,"偏简单",IF($Z64&lt;=1.2,"适中",IF($Z64&lt;=1.5,"偏难","过难"))))))))</f>
        <v/>
      </c>
      <c r="AB64" s="27">
        <f>IF($J64="","待填",IF(AND(ISNUMBER($J64),$J64&gt;=1,$J64&lt;=500,MOD($J64,1)=0),"有效","超范围"))</f>
        <v/>
      </c>
      <c r="AC64" s="27">
        <f>IF(OR($J64="",ROW()=5,$B64&lt;&gt;$B63,$J63=""),"",IF($J64&lt;$J63,"下降",""))</f>
        <v/>
      </c>
      <c r="AD64" s="28" t="inlineStr">
        <is>
          <t>2026-08-27 新玩家节点曲线校准；对照S60；等级126→97；保留原难度定位。  2026-08-31 推荐战力：本章Boss反查锚点p36-&gt;p45线性递增（60s击杀/扛20s）；</t>
        </is>
      </c>
      <c r="AE64" t="n">
        <v>75800</v>
      </c>
      <c r="AF64">
        <f>INDEX(_统一战力!$B$2:$B$501,J64)</f>
        <v/>
      </c>
    </row>
    <row r="65" ht="25" customHeight="1">
      <c r="A65" s="27" t="inlineStr">
        <is>
          <t>当前配置</t>
        </is>
      </c>
      <c r="B65" s="27" t="inlineStr">
        <is>
          <t>主线</t>
        </is>
      </c>
      <c r="C65" s="28" t="inlineStr">
        <is>
          <t>第五章</t>
        </is>
      </c>
      <c r="D65" s="28" t="inlineStr">
        <is>
          <t>5-7</t>
        </is>
      </c>
      <c r="E65" s="28" t="inlineStr">
        <is>
          <t>100507</t>
        </is>
      </c>
      <c r="F65" s="27" t="inlineStr">
        <is>
          <t>普通怪</t>
        </is>
      </c>
      <c r="G65" s="37" t="n">
        <v>61</v>
      </c>
      <c r="H65" s="38" t="n"/>
      <c r="I65" s="39">
        <f>IF($H65="",$G65,$H65)</f>
        <v/>
      </c>
      <c r="J65" s="40" t="n">
        <v>99</v>
      </c>
      <c r="K65" s="72" t="n">
        <v>0.990624652227943</v>
      </c>
      <c r="L65" s="72" t="n">
        <v>1.01588660377241</v>
      </c>
      <c r="M65" s="72" t="n">
        <v>1</v>
      </c>
      <c r="N65" s="73" t="n"/>
      <c r="O65" s="73" t="n"/>
      <c r="P65" s="73" t="n"/>
      <c r="Q65" s="74">
        <f>IF($I65="","",IFERROR(INDEX(_玩家曲线!$H$2:$H$286,MATCH($I65,_玩家曲线!$A$2:$A$286,0)),""))</f>
        <v/>
      </c>
      <c r="R65" s="74">
        <f>IF($I65="","",IFERROR(INDEX(_玩家曲线!$I$2:$I$286,MATCH($I65,_玩家曲线!$A$2:$A$286,0)),""))</f>
        <v/>
      </c>
      <c r="S65" s="74">
        <f>IF(OR($J65="",$F65="不适用"),"",IFERROR(INDEX(_怪物模型!$D$2:$D$4501,(INT($J65)-1)*ROWS(_怪物类型!$A$2:$A$10)+MATCH($F65,_怪物类型!$A$2:$A$10,0))*IF($K65="",1,$K65),""))</f>
        <v/>
      </c>
      <c r="T65" s="74">
        <f>IF(OR($J65="",$F65="不适用"),"",IFERROR(INDEX(_怪物模型!$E$2:$E$4501,(INT($J65)-1)*ROWS(_怪物类型!$A$2:$A$10)+MATCH($F65,_怪物类型!$A$2:$A$10,0))*IF($L65="",1,$L65),""))</f>
        <v/>
      </c>
      <c r="U65" s="74">
        <f>IF(OR($J65="",$F65="不适用"),"",IFERROR(INDEX(_怪物模型!$F$2:$F$4501,(INT($J65)-1)*ROWS(_怪物类型!$A$2:$A$10)+MATCH($F65,_怪物类型!$A$2:$A$10,0))*IF($M65="",1,$M65),""))</f>
        <v/>
      </c>
      <c r="V65" s="75">
        <f>IF($U65="","",MIN(0.75,$U65/($U65+24000)))</f>
        <v/>
      </c>
      <c r="W65" s="76">
        <f>IF($S65="","",$S65/(1-$V65)*IF($N65="",1,$N65))</f>
        <v/>
      </c>
      <c r="X65" s="76">
        <f>IF(OR($W65="",$Q65="",$Q65=0),"",$W65/$Q65)</f>
        <v/>
      </c>
      <c r="Y65" s="76">
        <f>IF(OR($R65="",$T65="",$T65=0),"",$R65/($T65*IF($O65="",1,$O65)))</f>
        <v/>
      </c>
      <c r="Z65" s="77">
        <f>IF(OR($X65="",$P65="",$P65=0),"",$X65/$P65)</f>
        <v/>
      </c>
      <c r="AA65" s="27">
        <f>IF($J65="","待填怪物等级",IF(OR($I65="",$Q65=""),"待填对照关卡",IF($P65="","已计算",IF(AND($Y65&lt;&gt;"",$Y65&lt;$X65),"生存不成立",IF($Z65&lt;0.5,"碾压",IF($Z65&lt;0.8,"偏简单",IF($Z65&lt;=1.2,"适中",IF($Z65&lt;=1.5,"偏难","过难"))))))))</f>
        <v/>
      </c>
      <c r="AB65" s="27">
        <f>IF($J65="","待填",IF(AND(ISNUMBER($J65),$J65&gt;=1,$J65&lt;=500,MOD($J65,1)=0),"有效","超范围"))</f>
        <v/>
      </c>
      <c r="AC65" s="27">
        <f>IF(OR($J65="",ROW()=5,$B65&lt;&gt;$B64,$J64=""),"",IF($J65&lt;$J64,"下降",""))</f>
        <v/>
      </c>
      <c r="AD65" s="28" t="inlineStr">
        <is>
          <t>2026-08-27 新玩家节点曲线校准；对照S61；等级128→99；保留原难度定位。  2026-08-31 推荐战力：本章Boss反查锚点p36-&gt;p45线性递增（60s击杀/扛20s）；</t>
        </is>
      </c>
      <c r="AE65" t="n">
        <v>78000</v>
      </c>
      <c r="AF65">
        <f>INDEX(_统一战力!$B$2:$B$501,J65)</f>
        <v/>
      </c>
    </row>
    <row r="66" ht="25" customHeight="1">
      <c r="A66" s="27" t="inlineStr">
        <is>
          <t>当前配置</t>
        </is>
      </c>
      <c r="B66" s="27" t="inlineStr">
        <is>
          <t>主线</t>
        </is>
      </c>
      <c r="C66" s="28" t="inlineStr">
        <is>
          <t>第五章</t>
        </is>
      </c>
      <c r="D66" s="28" t="inlineStr">
        <is>
          <t>5-8</t>
        </is>
      </c>
      <c r="E66" s="28" t="inlineStr">
        <is>
          <t>100508</t>
        </is>
      </c>
      <c r="F66" s="27" t="inlineStr">
        <is>
          <t>普通怪</t>
        </is>
      </c>
      <c r="G66" s="37" t="n">
        <v>62</v>
      </c>
      <c r="H66" s="38" t="n"/>
      <c r="I66" s="39">
        <f>IF($H66="",$G66,$H66)</f>
        <v/>
      </c>
      <c r="J66" s="40" t="n">
        <v>100</v>
      </c>
      <c r="K66" s="72" t="n">
        <v>0.9862133847040651</v>
      </c>
      <c r="L66" s="72" t="n">
        <v>1.01486036890052</v>
      </c>
      <c r="M66" s="72" t="n">
        <v>1</v>
      </c>
      <c r="N66" s="73" t="n"/>
      <c r="O66" s="73" t="n"/>
      <c r="P66" s="73" t="n"/>
      <c r="Q66" s="74">
        <f>IF($I66="","",IFERROR(INDEX(_玩家曲线!$H$2:$H$286,MATCH($I66,_玩家曲线!$A$2:$A$286,0)),""))</f>
        <v/>
      </c>
      <c r="R66" s="74">
        <f>IF($I66="","",IFERROR(INDEX(_玩家曲线!$I$2:$I$286,MATCH($I66,_玩家曲线!$A$2:$A$286,0)),""))</f>
        <v/>
      </c>
      <c r="S66" s="74">
        <f>IF(OR($J66="",$F66="不适用"),"",IFERROR(INDEX(_怪物模型!$D$2:$D$4501,(INT($J66)-1)*ROWS(_怪物类型!$A$2:$A$10)+MATCH($F66,_怪物类型!$A$2:$A$10,0))*IF($K66="",1,$K66),""))</f>
        <v/>
      </c>
      <c r="T66" s="74">
        <f>IF(OR($J66="",$F66="不适用"),"",IFERROR(INDEX(_怪物模型!$E$2:$E$4501,(INT($J66)-1)*ROWS(_怪物类型!$A$2:$A$10)+MATCH($F66,_怪物类型!$A$2:$A$10,0))*IF($L66="",1,$L66),""))</f>
        <v/>
      </c>
      <c r="U66" s="74">
        <f>IF(OR($J66="",$F66="不适用"),"",IFERROR(INDEX(_怪物模型!$F$2:$F$4501,(INT($J66)-1)*ROWS(_怪物类型!$A$2:$A$10)+MATCH($F66,_怪物类型!$A$2:$A$10,0))*IF($M66="",1,$M66),""))</f>
        <v/>
      </c>
      <c r="V66" s="75">
        <f>IF($U66="","",MIN(0.75,$U66/($U66+24000)))</f>
        <v/>
      </c>
      <c r="W66" s="76">
        <f>IF($S66="","",$S66/(1-$V66)*IF($N66="",1,$N66))</f>
        <v/>
      </c>
      <c r="X66" s="76">
        <f>IF(OR($W66="",$Q66="",$Q66=0),"",$W66/$Q66)</f>
        <v/>
      </c>
      <c r="Y66" s="76">
        <f>IF(OR($R66="",$T66="",$T66=0),"",$R66/($T66*IF($O66="",1,$O66)))</f>
        <v/>
      </c>
      <c r="Z66" s="77">
        <f>IF(OR($X66="",$P66="",$P66=0),"",$X66/$P66)</f>
        <v/>
      </c>
      <c r="AA66" s="27">
        <f>IF($J66="","待填怪物等级",IF(OR($I66="",$Q66=""),"待填对照关卡",IF($P66="","已计算",IF(AND($Y66&lt;&gt;"",$Y66&lt;$X66),"生存不成立",IF($Z66&lt;0.5,"碾压",IF($Z66&lt;0.8,"偏简单",IF($Z66&lt;=1.2,"适中",IF($Z66&lt;=1.5,"偏难","过难"))))))))</f>
        <v/>
      </c>
      <c r="AB66" s="27">
        <f>IF($J66="","待填",IF(AND(ISNUMBER($J66),$J66&gt;=1,$J66&lt;=500,MOD($J66,1)=0),"有效","超范围"))</f>
        <v/>
      </c>
      <c r="AC66" s="27">
        <f>IF(OR($J66="",ROW()=5,$B66&lt;&gt;$B65,$J65=""),"",IF($J66&lt;$J65,"下降",""))</f>
        <v/>
      </c>
      <c r="AD66" s="28" t="inlineStr">
        <is>
          <t>2026-08-27 新玩家节点曲线校准；对照S62；等级129→100；保留原难度定位。  2026-08-31 推荐战力：本章Boss反查锚点p36-&gt;p45线性递增（60s击杀/扛20s）；</t>
        </is>
      </c>
      <c r="AE66" t="n">
        <v>80300</v>
      </c>
      <c r="AF66">
        <f>INDEX(_统一战力!$B$2:$B$501,J66)</f>
        <v/>
      </c>
    </row>
    <row r="67" ht="25" customHeight="1">
      <c r="A67" s="27" t="inlineStr">
        <is>
          <t>当前配置</t>
        </is>
      </c>
      <c r="B67" s="27" t="inlineStr">
        <is>
          <t>主线</t>
        </is>
      </c>
      <c r="C67" s="28" t="inlineStr">
        <is>
          <t>第五章</t>
        </is>
      </c>
      <c r="D67" s="28" t="inlineStr">
        <is>
          <t>5-9</t>
        </is>
      </c>
      <c r="E67" s="28" t="inlineStr">
        <is>
          <t>100509</t>
        </is>
      </c>
      <c r="F67" s="27" t="inlineStr">
        <is>
          <t>普通怪</t>
        </is>
      </c>
      <c r="G67" s="37" t="n">
        <v>63</v>
      </c>
      <c r="H67" s="38" t="n"/>
      <c r="I67" s="39">
        <f>IF($H67="",$G67,$H67)</f>
        <v/>
      </c>
      <c r="J67" s="40" t="n">
        <v>101</v>
      </c>
      <c r="K67" s="72" t="n">
        <v>1.00094452750324</v>
      </c>
      <c r="L67" s="72" t="n">
        <v>1.02833807451501</v>
      </c>
      <c r="M67" s="72" t="n">
        <v>1</v>
      </c>
      <c r="N67" s="73" t="n"/>
      <c r="O67" s="73" t="n"/>
      <c r="P67" s="73" t="n"/>
      <c r="Q67" s="74">
        <f>IF($I67="","",IFERROR(INDEX(_玩家曲线!$H$2:$H$286,MATCH($I67,_玩家曲线!$A$2:$A$286,0)),""))</f>
        <v/>
      </c>
      <c r="R67" s="74">
        <f>IF($I67="","",IFERROR(INDEX(_玩家曲线!$I$2:$I$286,MATCH($I67,_玩家曲线!$A$2:$A$286,0)),""))</f>
        <v/>
      </c>
      <c r="S67" s="74">
        <f>IF(OR($J67="",$F67="不适用"),"",IFERROR(INDEX(_怪物模型!$D$2:$D$4501,(INT($J67)-1)*ROWS(_怪物类型!$A$2:$A$10)+MATCH($F67,_怪物类型!$A$2:$A$10,0))*IF($K67="",1,$K67),""))</f>
        <v/>
      </c>
      <c r="T67" s="74">
        <f>IF(OR($J67="",$F67="不适用"),"",IFERROR(INDEX(_怪物模型!$E$2:$E$4501,(INT($J67)-1)*ROWS(_怪物类型!$A$2:$A$10)+MATCH($F67,_怪物类型!$A$2:$A$10,0))*IF($L67="",1,$L67),""))</f>
        <v/>
      </c>
      <c r="U67" s="74">
        <f>IF(OR($J67="",$F67="不适用"),"",IFERROR(INDEX(_怪物模型!$F$2:$F$4501,(INT($J67)-1)*ROWS(_怪物类型!$A$2:$A$10)+MATCH($F67,_怪物类型!$A$2:$A$10,0))*IF($M67="",1,$M67),""))</f>
        <v/>
      </c>
      <c r="V67" s="75">
        <f>IF($U67="","",MIN(0.75,$U67/($U67+24000)))</f>
        <v/>
      </c>
      <c r="W67" s="76">
        <f>IF($S67="","",$S67/(1-$V67)*IF($N67="",1,$N67))</f>
        <v/>
      </c>
      <c r="X67" s="76">
        <f>IF(OR($W67="",$Q67="",$Q67=0),"",$W67/$Q67)</f>
        <v/>
      </c>
      <c r="Y67" s="76">
        <f>IF(OR($R67="",$T67="",$T67=0),"",$R67/($T67*IF($O67="",1,$O67)))</f>
        <v/>
      </c>
      <c r="Z67" s="77">
        <f>IF(OR($X67="",$P67="",$P67=0),"",$X67/$P67)</f>
        <v/>
      </c>
      <c r="AA67" s="27">
        <f>IF($J67="","待填怪物等级",IF(OR($I67="",$Q67=""),"待填对照关卡",IF($P67="","已计算",IF(AND($Y67&lt;&gt;"",$Y67&lt;$X67),"生存不成立",IF($Z67&lt;0.5,"碾压",IF($Z67&lt;0.8,"偏简单",IF($Z67&lt;=1.2,"适中",IF($Z67&lt;=1.5,"偏难","过难"))))))))</f>
        <v/>
      </c>
      <c r="AB67" s="27">
        <f>IF($J67="","待填",IF(AND(ISNUMBER($J67),$J67&gt;=1,$J67&lt;=500,MOD($J67,1)=0),"有效","超范围"))</f>
        <v/>
      </c>
      <c r="AC67" s="27">
        <f>IF(OR($J67="",ROW()=5,$B67&lt;&gt;$B66,$J66=""),"",IF($J67&lt;$J66,"下降",""))</f>
        <v/>
      </c>
      <c r="AD67" s="28" t="inlineStr">
        <is>
          <t>2026-08-27 新玩家节点曲线校准；对照S63；等级131→101；保留原难度定位。  2026-08-31 推荐战力：本章Boss反查锚点p36-&gt;p45线性递增（60s击杀/扛20s）；</t>
        </is>
      </c>
      <c r="AE67" t="n">
        <v>82500</v>
      </c>
      <c r="AF67">
        <f>INDEX(_统一战力!$B$2:$B$501,J67)</f>
        <v/>
      </c>
    </row>
    <row r="68" ht="25" customHeight="1">
      <c r="A68" s="27" t="inlineStr">
        <is>
          <t>当前配置</t>
        </is>
      </c>
      <c r="B68" s="27" t="inlineStr">
        <is>
          <t>主线</t>
        </is>
      </c>
      <c r="C68" s="28" t="inlineStr">
        <is>
          <t>第五章</t>
        </is>
      </c>
      <c r="D68" s="28" t="inlineStr">
        <is>
          <t>5-10</t>
        </is>
      </c>
      <c r="E68" s="28" t="inlineStr">
        <is>
          <t>100510</t>
        </is>
      </c>
      <c r="F68" s="27" t="inlineStr">
        <is>
          <t>普通怪</t>
        </is>
      </c>
      <c r="G68" s="37" t="n">
        <v>64</v>
      </c>
      <c r="H68" s="38" t="n"/>
      <c r="I68" s="39">
        <f>IF($H68="",$G68,$H68)</f>
        <v/>
      </c>
      <c r="J68" s="40" t="n">
        <v>102</v>
      </c>
      <c r="K68" s="72" t="n">
        <v>0.997635415447049</v>
      </c>
      <c r="L68" s="72" t="n">
        <v>1.02837922978113</v>
      </c>
      <c r="M68" s="72" t="n">
        <v>1</v>
      </c>
      <c r="N68" s="73" t="n"/>
      <c r="O68" s="73" t="n"/>
      <c r="P68" s="73" t="n"/>
      <c r="Q68" s="74">
        <f>IF($I68="","",IFERROR(INDEX(_玩家曲线!$H$2:$H$286,MATCH($I68,_玩家曲线!$A$2:$A$286,0)),""))</f>
        <v/>
      </c>
      <c r="R68" s="74">
        <f>IF($I68="","",IFERROR(INDEX(_玩家曲线!$I$2:$I$286,MATCH($I68,_玩家曲线!$A$2:$A$286,0)),""))</f>
        <v/>
      </c>
      <c r="S68" s="74">
        <f>IF(OR($J68="",$F68="不适用"),"",IFERROR(INDEX(_怪物模型!$D$2:$D$4501,(INT($J68)-1)*ROWS(_怪物类型!$A$2:$A$10)+MATCH($F68,_怪物类型!$A$2:$A$10,0))*IF($K68="",1,$K68),""))</f>
        <v/>
      </c>
      <c r="T68" s="74">
        <f>IF(OR($J68="",$F68="不适用"),"",IFERROR(INDEX(_怪物模型!$E$2:$E$4501,(INT($J68)-1)*ROWS(_怪物类型!$A$2:$A$10)+MATCH($F68,_怪物类型!$A$2:$A$10,0))*IF($L68="",1,$L68),""))</f>
        <v/>
      </c>
      <c r="U68" s="74">
        <f>IF(OR($J68="",$F68="不适用"),"",IFERROR(INDEX(_怪物模型!$F$2:$F$4501,(INT($J68)-1)*ROWS(_怪物类型!$A$2:$A$10)+MATCH($F68,_怪物类型!$A$2:$A$10,0))*IF($M68="",1,$M68),""))</f>
        <v/>
      </c>
      <c r="V68" s="75">
        <f>IF($U68="","",MIN(0.75,$U68/($U68+24000)))</f>
        <v/>
      </c>
      <c r="W68" s="76">
        <f>IF($S68="","",$S68/(1-$V68)*IF($N68="",1,$N68))</f>
        <v/>
      </c>
      <c r="X68" s="76">
        <f>IF(OR($W68="",$Q68="",$Q68=0),"",$W68/$Q68)</f>
        <v/>
      </c>
      <c r="Y68" s="76">
        <f>IF(OR($R68="",$T68="",$T68=0),"",$R68/($T68*IF($O68="",1,$O68)))</f>
        <v/>
      </c>
      <c r="Z68" s="77">
        <f>IF(OR($X68="",$P68="",$P68=0),"",$X68/$P68)</f>
        <v/>
      </c>
      <c r="AA68" s="27">
        <f>IF($J68="","待填怪物等级",IF(OR($I68="",$Q68=""),"待填对照关卡",IF($P68="","已计算",IF(AND($Y68&lt;&gt;"",$Y68&lt;$X68),"生存不成立",IF($Z68&lt;0.5,"碾压",IF($Z68&lt;0.8,"偏简单",IF($Z68&lt;=1.2,"适中",IF($Z68&lt;=1.5,"偏难","过难"))))))))</f>
        <v/>
      </c>
      <c r="AB68" s="27">
        <f>IF($J68="","待填",IF(AND(ISNUMBER($J68),$J68&gt;=1,$J68&lt;=500,MOD($J68,1)=0),"有效","超范围"))</f>
        <v/>
      </c>
      <c r="AC68" s="27">
        <f>IF(OR($J68="",ROW()=5,$B68&lt;&gt;$B67,$J67=""),"",IF($J68&lt;$J67,"下降",""))</f>
        <v/>
      </c>
      <c r="AD68" s="28" t="inlineStr">
        <is>
          <t>2026-08-27 新玩家节点曲线校准；对照S64；等级132→102；保留原难度定位。  2026-08-31 推荐战力：本章Boss反查锚点p36-&gt;p45线性递增（60s击杀/扛20s）；</t>
        </is>
      </c>
      <c r="AE68" t="n">
        <v>84700</v>
      </c>
      <c r="AF68">
        <f>INDEX(_统一战力!$B$2:$B$501,J68)</f>
        <v/>
      </c>
    </row>
    <row r="69" ht="25" customHeight="1">
      <c r="A69" s="27" t="inlineStr">
        <is>
          <t>当前配置</t>
        </is>
      </c>
      <c r="B69" s="27" t="inlineStr">
        <is>
          <t>主线</t>
        </is>
      </c>
      <c r="C69" s="28" t="inlineStr">
        <is>
          <t>第五章</t>
        </is>
      </c>
      <c r="D69" s="28" t="inlineStr">
        <is>
          <t>5-11</t>
        </is>
      </c>
      <c r="E69" s="28" t="inlineStr">
        <is>
          <t>100511</t>
        </is>
      </c>
      <c r="F69" s="27" t="inlineStr">
        <is>
          <t>普通怪</t>
        </is>
      </c>
      <c r="G69" s="37" t="n">
        <v>65</v>
      </c>
      <c r="H69" s="38" t="n"/>
      <c r="I69" s="39">
        <f>IF($H69="",$G69,$H69)</f>
        <v/>
      </c>
      <c r="J69" s="40" t="n">
        <v>104</v>
      </c>
      <c r="K69" s="72" t="n">
        <v>0.987040511775901</v>
      </c>
      <c r="L69" s="72" t="n">
        <v>1.02360876153592</v>
      </c>
      <c r="M69" s="72" t="n">
        <v>1</v>
      </c>
      <c r="N69" s="73" t="n"/>
      <c r="O69" s="73" t="n"/>
      <c r="P69" s="73" t="n"/>
      <c r="Q69" s="74">
        <f>IF($I69="","",IFERROR(INDEX(_玩家曲线!$H$2:$H$286,MATCH($I69,_玩家曲线!$A$2:$A$286,0)),""))</f>
        <v/>
      </c>
      <c r="R69" s="74">
        <f>IF($I69="","",IFERROR(INDEX(_玩家曲线!$I$2:$I$286,MATCH($I69,_玩家曲线!$A$2:$A$286,0)),""))</f>
        <v/>
      </c>
      <c r="S69" s="74">
        <f>IF(OR($J69="",$F69="不适用"),"",IFERROR(INDEX(_怪物模型!$D$2:$D$4501,(INT($J69)-1)*ROWS(_怪物类型!$A$2:$A$10)+MATCH($F69,_怪物类型!$A$2:$A$10,0))*IF($K69="",1,$K69),""))</f>
        <v/>
      </c>
      <c r="T69" s="74">
        <f>IF(OR($J69="",$F69="不适用"),"",IFERROR(INDEX(_怪物模型!$E$2:$E$4501,(INT($J69)-1)*ROWS(_怪物类型!$A$2:$A$10)+MATCH($F69,_怪物类型!$A$2:$A$10,0))*IF($L69="",1,$L69),""))</f>
        <v/>
      </c>
      <c r="U69" s="74">
        <f>IF(OR($J69="",$F69="不适用"),"",IFERROR(INDEX(_怪物模型!$F$2:$F$4501,(INT($J69)-1)*ROWS(_怪物类型!$A$2:$A$10)+MATCH($F69,_怪物类型!$A$2:$A$10,0))*IF($M69="",1,$M69),""))</f>
        <v/>
      </c>
      <c r="V69" s="75">
        <f>IF($U69="","",MIN(0.75,$U69/($U69+24000)))</f>
        <v/>
      </c>
      <c r="W69" s="76">
        <f>IF($S69="","",$S69/(1-$V69)*IF($N69="",1,$N69))</f>
        <v/>
      </c>
      <c r="X69" s="76">
        <f>IF(OR($W69="",$Q69="",$Q69=0),"",$W69/$Q69)</f>
        <v/>
      </c>
      <c r="Y69" s="76">
        <f>IF(OR($R69="",$T69="",$T69=0),"",$R69/($T69*IF($O69="",1,$O69)))</f>
        <v/>
      </c>
      <c r="Z69" s="77">
        <f>IF(OR($X69="",$P69="",$P69=0),"",$X69/$P69)</f>
        <v/>
      </c>
      <c r="AA69" s="27">
        <f>IF($J69="","待填怪物等级",IF(OR($I69="",$Q69=""),"待填对照关卡",IF($P69="","已计算",IF(AND($Y69&lt;&gt;"",$Y69&lt;$X69),"生存不成立",IF($Z69&lt;0.5,"碾压",IF($Z69&lt;0.8,"偏简单",IF($Z69&lt;=1.2,"适中",IF($Z69&lt;=1.5,"偏难","过难"))))))))</f>
        <v/>
      </c>
      <c r="AB69" s="27">
        <f>IF($J69="","待填",IF(AND(ISNUMBER($J69),$J69&gt;=1,$J69&lt;=500,MOD($J69,1)=0),"有效","超范围"))</f>
        <v/>
      </c>
      <c r="AC69" s="27">
        <f>IF(OR($J69="",ROW()=5,$B69&lt;&gt;$B68,$J68=""),"",IF($J69&lt;$J68,"下降",""))</f>
        <v/>
      </c>
      <c r="AD69" s="28" t="inlineStr">
        <is>
          <t>2026-08-27 新玩家节点曲线校准；对照S65；等级134→104；保留原难度定位。  2026-08-31 推荐战力：本章Boss反查锚点p36-&gt;p45线性递增（60s击杀/扛20s）；</t>
        </is>
      </c>
      <c r="AE69" t="n">
        <v>87000</v>
      </c>
      <c r="AF69">
        <f>INDEX(_统一战力!$B$2:$B$501,J69)</f>
        <v/>
      </c>
    </row>
    <row r="70" ht="25" customHeight="1">
      <c r="A70" s="27" t="inlineStr">
        <is>
          <t>当前配置</t>
        </is>
      </c>
      <c r="B70" s="27" t="inlineStr">
        <is>
          <t>主线</t>
        </is>
      </c>
      <c r="C70" s="28" t="inlineStr">
        <is>
          <t>第五章</t>
        </is>
      </c>
      <c r="D70" s="28" t="inlineStr">
        <is>
          <t>5-12</t>
        </is>
      </c>
      <c r="E70" s="28" t="inlineStr">
        <is>
          <t>100512</t>
        </is>
      </c>
      <c r="F70" s="27" t="inlineStr">
        <is>
          <t>普通怪</t>
        </is>
      </c>
      <c r="G70" s="37" t="n">
        <v>66</v>
      </c>
      <c r="H70" s="38" t="n"/>
      <c r="I70" s="39">
        <f>IF($H70="",$G70,$H70)</f>
        <v/>
      </c>
      <c r="J70" s="40" t="n">
        <v>105</v>
      </c>
      <c r="K70" s="72" t="n">
        <v>0.998550138916637</v>
      </c>
      <c r="L70" s="72" t="n">
        <v>1.03376514973803</v>
      </c>
      <c r="M70" s="72" t="n">
        <v>1</v>
      </c>
      <c r="N70" s="73" t="n"/>
      <c r="O70" s="73" t="n"/>
      <c r="P70" s="73" t="n"/>
      <c r="Q70" s="74">
        <f>IF($I70="","",IFERROR(INDEX(_玩家曲线!$H$2:$H$286,MATCH($I70,_玩家曲线!$A$2:$A$286,0)),""))</f>
        <v/>
      </c>
      <c r="R70" s="74">
        <f>IF($I70="","",IFERROR(INDEX(_玩家曲线!$I$2:$I$286,MATCH($I70,_玩家曲线!$A$2:$A$286,0)),""))</f>
        <v/>
      </c>
      <c r="S70" s="74">
        <f>IF(OR($J70="",$F70="不适用"),"",IFERROR(INDEX(_怪物模型!$D$2:$D$4501,(INT($J70)-1)*ROWS(_怪物类型!$A$2:$A$10)+MATCH($F70,_怪物类型!$A$2:$A$10,0))*IF($K70="",1,$K70),""))</f>
        <v/>
      </c>
      <c r="T70" s="74">
        <f>IF(OR($J70="",$F70="不适用"),"",IFERROR(INDEX(_怪物模型!$E$2:$E$4501,(INT($J70)-1)*ROWS(_怪物类型!$A$2:$A$10)+MATCH($F70,_怪物类型!$A$2:$A$10,0))*IF($L70="",1,$L70),""))</f>
        <v/>
      </c>
      <c r="U70" s="74">
        <f>IF(OR($J70="",$F70="不适用"),"",IFERROR(INDEX(_怪物模型!$F$2:$F$4501,(INT($J70)-1)*ROWS(_怪物类型!$A$2:$A$10)+MATCH($F70,_怪物类型!$A$2:$A$10,0))*IF($M70="",1,$M70),""))</f>
        <v/>
      </c>
      <c r="V70" s="75">
        <f>IF($U70="","",MIN(0.75,$U70/($U70+24000)))</f>
        <v/>
      </c>
      <c r="W70" s="76">
        <f>IF($S70="","",$S70/(1-$V70)*IF($N70="",1,$N70))</f>
        <v/>
      </c>
      <c r="X70" s="76">
        <f>IF(OR($W70="",$Q70="",$Q70=0),"",$W70/$Q70)</f>
        <v/>
      </c>
      <c r="Y70" s="76">
        <f>IF(OR($R70="",$T70="",$T70=0),"",$R70/($T70*IF($O70="",1,$O70)))</f>
        <v/>
      </c>
      <c r="Z70" s="77">
        <f>IF(OR($X70="",$P70="",$P70=0),"",$X70/$P70)</f>
        <v/>
      </c>
      <c r="AA70" s="27">
        <f>IF($J70="","待填怪物等级",IF(OR($I70="",$Q70=""),"待填对照关卡",IF($P70="","已计算",IF(AND($Y70&lt;&gt;"",$Y70&lt;$X70),"生存不成立",IF($Z70&lt;0.5,"碾压",IF($Z70&lt;0.8,"偏简单",IF($Z70&lt;=1.2,"适中",IF($Z70&lt;=1.5,"偏难","过难"))))))))</f>
        <v/>
      </c>
      <c r="AB70" s="27">
        <f>IF($J70="","待填",IF(AND(ISNUMBER($J70),$J70&gt;=1,$J70&lt;=500,MOD($J70,1)=0),"有效","超范围"))</f>
        <v/>
      </c>
      <c r="AC70" s="27">
        <f>IF(OR($J70="",ROW()=5,$B70&lt;&gt;$B69,$J69=""),"",IF($J70&lt;$J69,"下降",""))</f>
        <v/>
      </c>
      <c r="AD70" s="28" t="inlineStr">
        <is>
          <t>2026-08-27 新玩家节点曲线校准；对照S66；等级136→105；保留原难度定位。  2026-08-31 推荐战力：本章Boss反查锚点p36-&gt;p45线性递增（60s击杀/扛20s）；</t>
        </is>
      </c>
      <c r="AE70" t="n">
        <v>89200</v>
      </c>
      <c r="AF70">
        <f>INDEX(_统一战力!$B$2:$B$501,J70)</f>
        <v/>
      </c>
    </row>
    <row r="71" ht="25" customHeight="1">
      <c r="A71" s="27" t="inlineStr">
        <is>
          <t>当前配置</t>
        </is>
      </c>
      <c r="B71" s="27" t="inlineStr">
        <is>
          <t>主线</t>
        </is>
      </c>
      <c r="C71" s="28" t="inlineStr">
        <is>
          <t>第五章</t>
        </is>
      </c>
      <c r="D71" s="28" t="inlineStr">
        <is>
          <t>5-13</t>
        </is>
      </c>
      <c r="E71" s="28" t="inlineStr">
        <is>
          <t>100513</t>
        </is>
      </c>
      <c r="F71" s="27" t="inlineStr">
        <is>
          <t>普通怪</t>
        </is>
      </c>
      <c r="G71" s="37" t="n">
        <v>67</v>
      </c>
      <c r="H71" s="38" t="n"/>
      <c r="I71" s="39">
        <f>IF($H71="",$G71,$H71)</f>
        <v/>
      </c>
      <c r="J71" s="40" t="n">
        <v>107</v>
      </c>
      <c r="K71" s="72" t="n">
        <v>0.98965806705272</v>
      </c>
      <c r="L71" s="72" t="n">
        <v>1.03062118712493</v>
      </c>
      <c r="M71" s="72" t="n">
        <v>1</v>
      </c>
      <c r="N71" s="73" t="n"/>
      <c r="O71" s="73" t="n"/>
      <c r="P71" s="73" t="n"/>
      <c r="Q71" s="74">
        <f>IF($I71="","",IFERROR(INDEX(_玩家曲线!$H$2:$H$286,MATCH($I71,_玩家曲线!$A$2:$A$286,0)),""))</f>
        <v/>
      </c>
      <c r="R71" s="74">
        <f>IF($I71="","",IFERROR(INDEX(_玩家曲线!$I$2:$I$286,MATCH($I71,_玩家曲线!$A$2:$A$286,0)),""))</f>
        <v/>
      </c>
      <c r="S71" s="74">
        <f>IF(OR($J71="",$F71="不适用"),"",IFERROR(INDEX(_怪物模型!$D$2:$D$4501,(INT($J71)-1)*ROWS(_怪物类型!$A$2:$A$10)+MATCH($F71,_怪物类型!$A$2:$A$10,0))*IF($K71="",1,$K71),""))</f>
        <v/>
      </c>
      <c r="T71" s="74">
        <f>IF(OR($J71="",$F71="不适用"),"",IFERROR(INDEX(_怪物模型!$E$2:$E$4501,(INT($J71)-1)*ROWS(_怪物类型!$A$2:$A$10)+MATCH($F71,_怪物类型!$A$2:$A$10,0))*IF($L71="",1,$L71),""))</f>
        <v/>
      </c>
      <c r="U71" s="74">
        <f>IF(OR($J71="",$F71="不适用"),"",IFERROR(INDEX(_怪物模型!$F$2:$F$4501,(INT($J71)-1)*ROWS(_怪物类型!$A$2:$A$10)+MATCH($F71,_怪物类型!$A$2:$A$10,0))*IF($M71="",1,$M71),""))</f>
        <v/>
      </c>
      <c r="V71" s="75">
        <f>IF($U71="","",MIN(0.75,$U71/($U71+24000)))</f>
        <v/>
      </c>
      <c r="W71" s="76">
        <f>IF($S71="","",$S71/(1-$V71)*IF($N71="",1,$N71))</f>
        <v/>
      </c>
      <c r="X71" s="76">
        <f>IF(OR($W71="",$Q71="",$Q71=0),"",$W71/$Q71)</f>
        <v/>
      </c>
      <c r="Y71" s="76">
        <f>IF(OR($R71="",$T71="",$T71=0),"",$R71/($T71*IF($O71="",1,$O71)))</f>
        <v/>
      </c>
      <c r="Z71" s="77">
        <f>IF(OR($X71="",$P71="",$P71=0),"",$X71/$P71)</f>
        <v/>
      </c>
      <c r="AA71" s="27">
        <f>IF($J71="","待填怪物等级",IF(OR($I71="",$Q71=""),"待填对照关卡",IF($P71="","已计算",IF(AND($Y71&lt;&gt;"",$Y71&lt;$X71),"生存不成立",IF($Z71&lt;0.5,"碾压",IF($Z71&lt;0.8,"偏简单",IF($Z71&lt;=1.2,"适中",IF($Z71&lt;=1.5,"偏难","过难"))))))))</f>
        <v/>
      </c>
      <c r="AB71" s="27">
        <f>IF($J71="","待填",IF(AND(ISNUMBER($J71),$J71&gt;=1,$J71&lt;=500,MOD($J71,1)=0),"有效","超范围"))</f>
        <v/>
      </c>
      <c r="AC71" s="27">
        <f>IF(OR($J71="",ROW()=5,$B71&lt;&gt;$B70,$J70=""),"",IF($J71&lt;$J70,"下降",""))</f>
        <v/>
      </c>
      <c r="AD71" s="28" t="inlineStr">
        <is>
          <t>2026-08-27 新玩家节点曲线校准；对照S67；等级138→107；保留原难度定位。  2026-08-31 推荐战力：本章Boss反查锚点p36-&gt;p45线性递增（60s击杀/扛20s）；</t>
        </is>
      </c>
      <c r="AE71" t="n">
        <v>91400</v>
      </c>
      <c r="AF71">
        <f>INDEX(_统一战力!$B$2:$B$501,J71)</f>
        <v/>
      </c>
    </row>
    <row r="72" ht="25" customHeight="1">
      <c r="A72" s="27" t="inlineStr">
        <is>
          <t>当前配置</t>
        </is>
      </c>
      <c r="B72" s="27" t="inlineStr">
        <is>
          <t>主线</t>
        </is>
      </c>
      <c r="C72" s="28" t="inlineStr">
        <is>
          <t>第五章</t>
        </is>
      </c>
      <c r="D72" s="28" t="inlineStr">
        <is>
          <t>5-14</t>
        </is>
      </c>
      <c r="E72" s="28" t="inlineStr">
        <is>
          <t>100514</t>
        </is>
      </c>
      <c r="F72" s="27" t="inlineStr">
        <is>
          <t>普通怪</t>
        </is>
      </c>
      <c r="G72" s="37" t="n">
        <v>68</v>
      </c>
      <c r="H72" s="38" t="n"/>
      <c r="I72" s="39">
        <f>IF($H72="",$G72,$H72)</f>
        <v/>
      </c>
      <c r="J72" s="40" t="n">
        <v>108</v>
      </c>
      <c r="K72" s="72" t="n">
        <v>0.984610536180902</v>
      </c>
      <c r="L72" s="72" t="n">
        <v>1.02872117476586</v>
      </c>
      <c r="M72" s="72" t="n">
        <v>1</v>
      </c>
      <c r="N72" s="73" t="n"/>
      <c r="O72" s="73" t="n"/>
      <c r="P72" s="73" t="n"/>
      <c r="Q72" s="74">
        <f>IF($I72="","",IFERROR(INDEX(_玩家曲线!$H$2:$H$286,MATCH($I72,_玩家曲线!$A$2:$A$286,0)),""))</f>
        <v/>
      </c>
      <c r="R72" s="74">
        <f>IF($I72="","",IFERROR(INDEX(_玩家曲线!$I$2:$I$286,MATCH($I72,_玩家曲线!$A$2:$A$286,0)),""))</f>
        <v/>
      </c>
      <c r="S72" s="74">
        <f>IF(OR($J72="",$F72="不适用"),"",IFERROR(INDEX(_怪物模型!$D$2:$D$4501,(INT($J72)-1)*ROWS(_怪物类型!$A$2:$A$10)+MATCH($F72,_怪物类型!$A$2:$A$10,0))*IF($K72="",1,$K72),""))</f>
        <v/>
      </c>
      <c r="T72" s="74">
        <f>IF(OR($J72="",$F72="不适用"),"",IFERROR(INDEX(_怪物模型!$E$2:$E$4501,(INT($J72)-1)*ROWS(_怪物类型!$A$2:$A$10)+MATCH($F72,_怪物类型!$A$2:$A$10,0))*IF($L72="",1,$L72),""))</f>
        <v/>
      </c>
      <c r="U72" s="74">
        <f>IF(OR($J72="",$F72="不适用"),"",IFERROR(INDEX(_怪物模型!$F$2:$F$4501,(INT($J72)-1)*ROWS(_怪物类型!$A$2:$A$10)+MATCH($F72,_怪物类型!$A$2:$A$10,0))*IF($M72="",1,$M72),""))</f>
        <v/>
      </c>
      <c r="V72" s="75">
        <f>IF($U72="","",MIN(0.75,$U72/($U72+24000)))</f>
        <v/>
      </c>
      <c r="W72" s="76">
        <f>IF($S72="","",$S72/(1-$V72)*IF($N72="",1,$N72))</f>
        <v/>
      </c>
      <c r="X72" s="76">
        <f>IF(OR($W72="",$Q72="",$Q72=0),"",$W72/$Q72)</f>
        <v/>
      </c>
      <c r="Y72" s="76">
        <f>IF(OR($R72="",$T72="",$T72=0),"",$R72/($T72*IF($O72="",1,$O72)))</f>
        <v/>
      </c>
      <c r="Z72" s="77">
        <f>IF(OR($X72="",$P72="",$P72=0),"",$X72/$P72)</f>
        <v/>
      </c>
      <c r="AA72" s="27">
        <f>IF($J72="","待填怪物等级",IF(OR($I72="",$Q72=""),"待填对照关卡",IF($P72="","已计算",IF(AND($Y72&lt;&gt;"",$Y72&lt;$X72),"生存不成立",IF($Z72&lt;0.5,"碾压",IF($Z72&lt;0.8,"偏简单",IF($Z72&lt;=1.2,"适中",IF($Z72&lt;=1.5,"偏难","过难"))))))))</f>
        <v/>
      </c>
      <c r="AB72" s="27">
        <f>IF($J72="","待填",IF(AND(ISNUMBER($J72),$J72&gt;=1,$J72&lt;=500,MOD($J72,1)=0),"有效","超范围"))</f>
        <v/>
      </c>
      <c r="AC72" s="27">
        <f>IF(OR($J72="",ROW()=5,$B72&lt;&gt;$B71,$J71=""),"",IF($J72&lt;$J71,"下降",""))</f>
        <v/>
      </c>
      <c r="AD72" s="28" t="inlineStr">
        <is>
          <t>2026-08-27 新玩家节点曲线校准；对照S68；等级139→108；保留原难度定位。  2026-08-31 推荐战力：本章Boss反查锚点p36-&gt;p45线性递增（60s击杀/扛20s）；</t>
        </is>
      </c>
      <c r="AE72" t="n">
        <v>93700</v>
      </c>
      <c r="AF72">
        <f>INDEX(_统一战力!$B$2:$B$501,J72)</f>
        <v/>
      </c>
    </row>
    <row r="73" ht="25" customHeight="1">
      <c r="A73" s="27" t="inlineStr">
        <is>
          <t>当前配置</t>
        </is>
      </c>
      <c r="B73" s="27" t="inlineStr">
        <is>
          <t>主线</t>
        </is>
      </c>
      <c r="C73" s="28" t="inlineStr">
        <is>
          <t>第五章</t>
        </is>
      </c>
      <c r="D73" s="28" t="inlineStr">
        <is>
          <t>5-15</t>
        </is>
      </c>
      <c r="E73" s="28" t="inlineStr">
        <is>
          <t>100515</t>
        </is>
      </c>
      <c r="F73" s="27" t="inlineStr">
        <is>
          <t>Boss</t>
        </is>
      </c>
      <c r="G73" s="37" t="n">
        <v>69</v>
      </c>
      <c r="H73" s="38" t="n"/>
      <c r="I73" s="39">
        <f>IF($H73="",$G73,$H73)</f>
        <v/>
      </c>
      <c r="J73" s="40" t="n">
        <v>114</v>
      </c>
      <c r="K73" s="72" t="n">
        <v>1.1772020151162</v>
      </c>
      <c r="L73" s="72" t="n">
        <v>0.867020194582327</v>
      </c>
      <c r="M73" s="72" t="n">
        <v>1</v>
      </c>
      <c r="N73" s="73" t="n"/>
      <c r="O73" s="73" t="n"/>
      <c r="P73" s="73" t="n"/>
      <c r="Q73" s="74">
        <f>IF($I73="","",IFERROR(INDEX(_玩家曲线!$H$2:$H$286,MATCH($I73,_玩家曲线!$A$2:$A$286,0)),""))</f>
        <v/>
      </c>
      <c r="R73" s="74">
        <f>IF($I73="","",IFERROR(INDEX(_玩家曲线!$I$2:$I$286,MATCH($I73,_玩家曲线!$A$2:$A$286,0)),""))</f>
        <v/>
      </c>
      <c r="S73" s="74">
        <f>IF(OR($J73="",$F73="不适用"),"",IFERROR(INDEX(_怪物模型!$D$2:$D$4501,(INT($J73)-1)*ROWS(_怪物类型!$A$2:$A$10)+MATCH($F73,_怪物类型!$A$2:$A$10,0))*IF($K73="",1,$K73),""))</f>
        <v/>
      </c>
      <c r="T73" s="74">
        <f>IF(OR($J73="",$F73="不适用"),"",IFERROR(INDEX(_怪物模型!$E$2:$E$4501,(INT($J73)-1)*ROWS(_怪物类型!$A$2:$A$10)+MATCH($F73,_怪物类型!$A$2:$A$10,0))*IF($L73="",1,$L73),""))</f>
        <v/>
      </c>
      <c r="U73" s="74">
        <f>IF(OR($J73="",$F73="不适用"),"",IFERROR(INDEX(_怪物模型!$F$2:$F$4501,(INT($J73)-1)*ROWS(_怪物类型!$A$2:$A$10)+MATCH($F73,_怪物类型!$A$2:$A$10,0))*IF($M73="",1,$M73),""))</f>
        <v/>
      </c>
      <c r="V73" s="75">
        <f>IF($U73="","",MIN(0.75,$U73/($U73+24000)))</f>
        <v/>
      </c>
      <c r="W73" s="76">
        <f>IF($S73="","",$S73/(1-$V73)*IF($N73="",1,$N73))</f>
        <v/>
      </c>
      <c r="X73" s="76">
        <f>IF(OR($W73="",$Q73="",$Q73=0),"",$W73/$Q73)</f>
        <v/>
      </c>
      <c r="Y73" s="76">
        <f>IF(OR($R73="",$T73="",$T73=0),"",$R73/($T73*IF($O73="",1,$O73)))</f>
        <v/>
      </c>
      <c r="Z73" s="77">
        <f>IF(OR($X73="",$P73="",$P73=0),"",$X73/$P73)</f>
        <v/>
      </c>
      <c r="AA73" s="27">
        <f>IF($J73="","待填怪物等级",IF(OR($I73="",$Q73=""),"待填对照关卡",IF($P73="","已计算",IF(AND($Y73&lt;&gt;"",$Y73&lt;$X73),"生存不成立",IF($Z73&lt;0.5,"碾压",IF($Z73&lt;0.8,"偏简单",IF($Z73&lt;=1.2,"适中",IF($Z73&lt;=1.5,"偏难","过难"))))))))</f>
        <v/>
      </c>
      <c r="AB73" s="27">
        <f>IF($J73="","待填",IF(AND(ISNUMBER($J73),$J73&gt;=1,$J73&lt;=500,MOD($J73,1)=0),"有效","超范围"))</f>
        <v/>
      </c>
      <c r="AC73" s="27">
        <f>IF(OR($J73="",ROW()=5,$B73&lt;&gt;$B72,$J72=""),"",IF($J73&lt;$J72,"下降",""))</f>
        <v/>
      </c>
      <c r="AD73" s="28" t="inlineStr">
        <is>
          <t>2026-08-27 新玩家节点曲线校准；对照S69；等级144→114；保留原难度定位。  2026-08-31 推荐战力：本章Boss反查锚点p36-&gt;p45线性递增（60s击杀/扛20s）；</t>
        </is>
      </c>
      <c r="AE73" t="n">
        <v>95900</v>
      </c>
      <c r="AF73">
        <f>INDEX(_统一战力!$B$2:$B$501,J73)</f>
        <v/>
      </c>
    </row>
    <row r="74" ht="25" customHeight="1">
      <c r="A74" s="27" t="inlineStr">
        <is>
          <t>当前配置</t>
        </is>
      </c>
      <c r="B74" s="27" t="inlineStr">
        <is>
          <t>主线</t>
        </is>
      </c>
      <c r="C74" s="28" t="inlineStr">
        <is>
          <t>第六章</t>
        </is>
      </c>
      <c r="D74" s="28" t="inlineStr">
        <is>
          <t>6-1</t>
        </is>
      </c>
      <c r="E74" s="28" t="inlineStr">
        <is>
          <t>100601</t>
        </is>
      </c>
      <c r="F74" s="27" t="inlineStr">
        <is>
          <t>普通怪</t>
        </is>
      </c>
      <c r="G74" s="37" t="n">
        <v>70</v>
      </c>
      <c r="H74" s="38" t="n"/>
      <c r="I74" s="39">
        <f>IF($H74="",$G74,$H74)</f>
        <v/>
      </c>
      <c r="J74" s="40" t="n">
        <v>114</v>
      </c>
      <c r="K74" s="72" t="n">
        <v>0.946973186351584</v>
      </c>
      <c r="L74" s="72" t="n">
        <v>1.01118595207737</v>
      </c>
      <c r="M74" s="72" t="n">
        <v>1</v>
      </c>
      <c r="N74" s="73" t="n"/>
      <c r="O74" s="73" t="n"/>
      <c r="P74" s="73" t="n"/>
      <c r="Q74" s="74">
        <f>IF($I74="","",IFERROR(INDEX(_玩家曲线!$H$2:$H$286,MATCH($I74,_玩家曲线!$A$2:$A$286,0)),""))</f>
        <v/>
      </c>
      <c r="R74" s="74">
        <f>IF($I74="","",IFERROR(INDEX(_玩家曲线!$I$2:$I$286,MATCH($I74,_玩家曲线!$A$2:$A$286,0)),""))</f>
        <v/>
      </c>
      <c r="S74" s="74">
        <f>IF(OR($J74="",$F74="不适用"),"",IFERROR(INDEX(_怪物模型!$D$2:$D$4501,(INT($J74)-1)*ROWS(_怪物类型!$A$2:$A$10)+MATCH($F74,_怪物类型!$A$2:$A$10,0))*IF($K74="",1,$K74),""))</f>
        <v/>
      </c>
      <c r="T74" s="74">
        <f>IF(OR($J74="",$F74="不适用"),"",IFERROR(INDEX(_怪物模型!$E$2:$E$4501,(INT($J74)-1)*ROWS(_怪物类型!$A$2:$A$10)+MATCH($F74,_怪物类型!$A$2:$A$10,0))*IF($L74="",1,$L74),""))</f>
        <v/>
      </c>
      <c r="U74" s="74">
        <f>IF(OR($J74="",$F74="不适用"),"",IFERROR(INDEX(_怪物模型!$F$2:$F$4501,(INT($J74)-1)*ROWS(_怪物类型!$A$2:$A$10)+MATCH($F74,_怪物类型!$A$2:$A$10,0))*IF($M74="",1,$M74),""))</f>
        <v/>
      </c>
      <c r="V74" s="75">
        <f>IF($U74="","",MIN(0.75,$U74/($U74+24000)))</f>
        <v/>
      </c>
      <c r="W74" s="76">
        <f>IF($S74="","",$S74/(1-$V74)*IF($N74="",1,$N74))</f>
        <v/>
      </c>
      <c r="X74" s="76">
        <f>IF(OR($W74="",$Q74="",$Q74=0),"",$W74/$Q74)</f>
        <v/>
      </c>
      <c r="Y74" s="76">
        <f>IF(OR($R74="",$T74="",$T74=0),"",$R74/($T74*IF($O74="",1,$O74)))</f>
        <v/>
      </c>
      <c r="Z74" s="77">
        <f>IF(OR($X74="",$P74="",$P74=0),"",$X74/$P74)</f>
        <v/>
      </c>
      <c r="AA74" s="27">
        <f>IF($J74="","待填怪物等级",IF(OR($I74="",$Q74=""),"待填对照关卡",IF($P74="","已计算",IF(AND($Y74&lt;&gt;"",$Y74&lt;$X74),"生存不成立",IF($Z74&lt;0.5,"碾压",IF($Z74&lt;0.8,"偏简单",IF($Z74&lt;=1.2,"适中",IF($Z74&lt;=1.5,"偏难","过难"))))))))</f>
        <v/>
      </c>
      <c r="AB74" s="27">
        <f>IF($J74="","待填",IF(AND(ISNUMBER($J74),$J74&gt;=1,$J74&lt;=500,MOD($J74,1)=0),"有效","超范围"))</f>
        <v/>
      </c>
      <c r="AC74" s="27">
        <f>IF(OR($J74="",ROW()=5,$B74&lt;&gt;$B73,$J73=""),"",IF($J74&lt;$J73,"下降",""))</f>
        <v/>
      </c>
      <c r="AD74" s="28" t="inlineStr">
        <is>
          <t>2026-08-27 新玩家节点曲线校准；对照S70；等级144→114；保留原难度定位。  2026-08-31 推荐战力：本章Boss反查锚点p45-&gt;p52线性递增（60s击杀/扛20s）；</t>
        </is>
      </c>
      <c r="AE74" t="n">
        <v>98200</v>
      </c>
      <c r="AF74">
        <f>INDEX(_统一战力!$B$2:$B$501,J74)</f>
        <v/>
      </c>
    </row>
    <row r="75" ht="25" customHeight="1">
      <c r="A75" s="27" t="inlineStr">
        <is>
          <t>当前配置</t>
        </is>
      </c>
      <c r="B75" s="27" t="inlineStr">
        <is>
          <t>主线</t>
        </is>
      </c>
      <c r="C75" s="28" t="inlineStr">
        <is>
          <t>第六章</t>
        </is>
      </c>
      <c r="D75" s="28" t="inlineStr">
        <is>
          <t>6-2</t>
        </is>
      </c>
      <c r="E75" s="28" t="inlineStr">
        <is>
          <t>100602</t>
        </is>
      </c>
      <c r="F75" s="27" t="inlineStr">
        <is>
          <t>普通怪</t>
        </is>
      </c>
      <c r="G75" s="37" t="n">
        <v>71</v>
      </c>
      <c r="H75" s="38" t="n"/>
      <c r="I75" s="39">
        <f>IF($H75="",$G75,$H75)</f>
        <v/>
      </c>
      <c r="J75" s="40" t="n">
        <v>114</v>
      </c>
      <c r="K75" s="72" t="n">
        <v>0.957673556884445</v>
      </c>
      <c r="L75" s="72" t="n">
        <v>1.01852776467842</v>
      </c>
      <c r="M75" s="72" t="n">
        <v>1</v>
      </c>
      <c r="N75" s="73" t="n"/>
      <c r="O75" s="73" t="n"/>
      <c r="P75" s="73" t="n"/>
      <c r="Q75" s="74">
        <f>IF($I75="","",IFERROR(INDEX(_玩家曲线!$H$2:$H$286,MATCH($I75,_玩家曲线!$A$2:$A$286,0)),""))</f>
        <v/>
      </c>
      <c r="R75" s="74">
        <f>IF($I75="","",IFERROR(INDEX(_玩家曲线!$I$2:$I$286,MATCH($I75,_玩家曲线!$A$2:$A$286,0)),""))</f>
        <v/>
      </c>
      <c r="S75" s="74">
        <f>IF(OR($J75="",$F75="不适用"),"",IFERROR(INDEX(_怪物模型!$D$2:$D$4501,(INT($J75)-1)*ROWS(_怪物类型!$A$2:$A$10)+MATCH($F75,_怪物类型!$A$2:$A$10,0))*IF($K75="",1,$K75),""))</f>
        <v/>
      </c>
      <c r="T75" s="74">
        <f>IF(OR($J75="",$F75="不适用"),"",IFERROR(INDEX(_怪物模型!$E$2:$E$4501,(INT($J75)-1)*ROWS(_怪物类型!$A$2:$A$10)+MATCH($F75,_怪物类型!$A$2:$A$10,0))*IF($L75="",1,$L75),""))</f>
        <v/>
      </c>
      <c r="U75" s="74">
        <f>IF(OR($J75="",$F75="不适用"),"",IFERROR(INDEX(_怪物模型!$F$2:$F$4501,(INT($J75)-1)*ROWS(_怪物类型!$A$2:$A$10)+MATCH($F75,_怪物类型!$A$2:$A$10,0))*IF($M75="",1,$M75),""))</f>
        <v/>
      </c>
      <c r="V75" s="75">
        <f>IF($U75="","",MIN(0.75,$U75/($U75+24000)))</f>
        <v/>
      </c>
      <c r="W75" s="76">
        <f>IF($S75="","",$S75/(1-$V75)*IF($N75="",1,$N75))</f>
        <v/>
      </c>
      <c r="X75" s="76">
        <f>IF(OR($W75="",$Q75="",$Q75=0),"",$W75/$Q75)</f>
        <v/>
      </c>
      <c r="Y75" s="76">
        <f>IF(OR($R75="",$T75="",$T75=0),"",$R75/($T75*IF($O75="",1,$O75)))</f>
        <v/>
      </c>
      <c r="Z75" s="77">
        <f>IF(OR($X75="",$P75="",$P75=0),"",$X75/$P75)</f>
        <v/>
      </c>
      <c r="AA75" s="27">
        <f>IF($J75="","待填怪物等级",IF(OR($I75="",$Q75=""),"待填对照关卡",IF($P75="","已计算",IF(AND($Y75&lt;&gt;"",$Y75&lt;$X75),"生存不成立",IF($Z75&lt;0.5,"碾压",IF($Z75&lt;0.8,"偏简单",IF($Z75&lt;=1.2,"适中",IF($Z75&lt;=1.5,"偏难","过难"))))))))</f>
        <v/>
      </c>
      <c r="AB75" s="27">
        <f>IF($J75="","待填",IF(AND(ISNUMBER($J75),$J75&gt;=1,$J75&lt;=500,MOD($J75,1)=0),"有效","超范围"))</f>
        <v/>
      </c>
      <c r="AC75" s="27">
        <f>IF(OR($J75="",ROW()=5,$B75&lt;&gt;$B74,$J74=""),"",IF($J75&lt;$J74,"下降",""))</f>
        <v/>
      </c>
      <c r="AD75" s="28" t="inlineStr">
        <is>
          <t>2026-08-27 新玩家节点曲线校准；对照S71；等级145→114；保留原难度定位。  2026-08-31 推荐战力：本章Boss反查锚点p45-&gt;p52线性递增（60s击杀/扛20s）；</t>
        </is>
      </c>
      <c r="AE75" t="n">
        <v>101000</v>
      </c>
      <c r="AF75">
        <f>INDEX(_统一战力!$B$2:$B$501,J75)</f>
        <v/>
      </c>
    </row>
    <row r="76" ht="25" customHeight="1">
      <c r="A76" s="27" t="inlineStr">
        <is>
          <t>当前配置</t>
        </is>
      </c>
      <c r="B76" s="27" t="inlineStr">
        <is>
          <t>主线</t>
        </is>
      </c>
      <c r="C76" s="28" t="inlineStr">
        <is>
          <t>第六章</t>
        </is>
      </c>
      <c r="D76" s="28" t="inlineStr">
        <is>
          <t>6-3</t>
        </is>
      </c>
      <c r="E76" s="28" t="inlineStr">
        <is>
          <t>100603</t>
        </is>
      </c>
      <c r="F76" s="27" t="inlineStr">
        <is>
          <t>普通怪</t>
        </is>
      </c>
      <c r="G76" s="37" t="n">
        <v>72</v>
      </c>
      <c r="H76" s="38" t="n"/>
      <c r="I76" s="39">
        <f>IF($H76="",$G76,$H76)</f>
        <v/>
      </c>
      <c r="J76" s="40" t="n">
        <v>114</v>
      </c>
      <c r="K76" s="72" t="n">
        <v>0.986274409053558</v>
      </c>
      <c r="L76" s="72" t="n">
        <v>1.03929643780796</v>
      </c>
      <c r="M76" s="72" t="n">
        <v>1</v>
      </c>
      <c r="N76" s="73" t="n"/>
      <c r="O76" s="73" t="n"/>
      <c r="P76" s="73" t="n"/>
      <c r="Q76" s="74">
        <f>IF($I76="","",IFERROR(INDEX(_玩家曲线!$H$2:$H$286,MATCH($I76,_玩家曲线!$A$2:$A$286,0)),""))</f>
        <v/>
      </c>
      <c r="R76" s="74">
        <f>IF($I76="","",IFERROR(INDEX(_玩家曲线!$I$2:$I$286,MATCH($I76,_玩家曲线!$A$2:$A$286,0)),""))</f>
        <v/>
      </c>
      <c r="S76" s="74">
        <f>IF(OR($J76="",$F76="不适用"),"",IFERROR(INDEX(_怪物模型!$D$2:$D$4501,(INT($J76)-1)*ROWS(_怪物类型!$A$2:$A$10)+MATCH($F76,_怪物类型!$A$2:$A$10,0))*IF($K76="",1,$K76),""))</f>
        <v/>
      </c>
      <c r="T76" s="74">
        <f>IF(OR($J76="",$F76="不适用"),"",IFERROR(INDEX(_怪物模型!$E$2:$E$4501,(INT($J76)-1)*ROWS(_怪物类型!$A$2:$A$10)+MATCH($F76,_怪物类型!$A$2:$A$10,0))*IF($L76="",1,$L76),""))</f>
        <v/>
      </c>
      <c r="U76" s="74">
        <f>IF(OR($J76="",$F76="不适用"),"",IFERROR(INDEX(_怪物模型!$F$2:$F$4501,(INT($J76)-1)*ROWS(_怪物类型!$A$2:$A$10)+MATCH($F76,_怪物类型!$A$2:$A$10,0))*IF($M76="",1,$M76),""))</f>
        <v/>
      </c>
      <c r="V76" s="75">
        <f>IF($U76="","",MIN(0.75,$U76/($U76+24000)))</f>
        <v/>
      </c>
      <c r="W76" s="76">
        <f>IF($S76="","",$S76/(1-$V76)*IF($N76="",1,$N76))</f>
        <v/>
      </c>
      <c r="X76" s="76">
        <f>IF(OR($W76="",$Q76="",$Q76=0),"",$W76/$Q76)</f>
        <v/>
      </c>
      <c r="Y76" s="76">
        <f>IF(OR($R76="",$T76="",$T76=0),"",$R76/($T76*IF($O76="",1,$O76)))</f>
        <v/>
      </c>
      <c r="Z76" s="77">
        <f>IF(OR($X76="",$P76="",$P76=0),"",$X76/$P76)</f>
        <v/>
      </c>
      <c r="AA76" s="27">
        <f>IF($J76="","待填怪物等级",IF(OR($I76="",$Q76=""),"待填对照关卡",IF($P76="","已计算",IF(AND($Y76&lt;&gt;"",$Y76&lt;$X76),"生存不成立",IF($Z76&lt;0.5,"碾压",IF($Z76&lt;0.8,"偏简单",IF($Z76&lt;=1.2,"适中",IF($Z76&lt;=1.5,"偏难","过难"))))))))</f>
        <v/>
      </c>
      <c r="AB76" s="27">
        <f>IF($J76="","待填",IF(AND(ISNUMBER($J76),$J76&gt;=1,$J76&lt;=500,MOD($J76,1)=0),"有效","超范围"))</f>
        <v/>
      </c>
      <c r="AC76" s="27">
        <f>IF(OR($J76="",ROW()=5,$B76&lt;&gt;$B75,$J75=""),"",IF($J76&lt;$J75,"下降",""))</f>
        <v/>
      </c>
      <c r="AD76" s="28" t="inlineStr">
        <is>
          <t>2026-08-27 新玩家节点曲线校准；对照S72；等级147→114；保留原难度定位。  2026-08-31 推荐战力：本章Boss反查锚点p45-&gt;p52线性递增（60s击杀/扛20s）；</t>
        </is>
      </c>
      <c r="AE76" t="n">
        <v>103000</v>
      </c>
      <c r="AF76">
        <f>INDEX(_统一战力!$B$2:$B$501,J76)</f>
        <v/>
      </c>
    </row>
    <row r="77" ht="25" customHeight="1">
      <c r="A77" s="27" t="inlineStr">
        <is>
          <t>当前配置</t>
        </is>
      </c>
      <c r="B77" s="27" t="inlineStr">
        <is>
          <t>主线</t>
        </is>
      </c>
      <c r="C77" s="28" t="inlineStr">
        <is>
          <t>第六章</t>
        </is>
      </c>
      <c r="D77" s="28" t="inlineStr">
        <is>
          <t>6-4</t>
        </is>
      </c>
      <c r="E77" s="28" t="inlineStr">
        <is>
          <t>100604</t>
        </is>
      </c>
      <c r="F77" s="27" t="inlineStr">
        <is>
          <t>普通怪</t>
        </is>
      </c>
      <c r="G77" s="37" t="n">
        <v>73</v>
      </c>
      <c r="H77" s="38" t="n"/>
      <c r="I77" s="39">
        <f>IF($H77="",$G77,$H77)</f>
        <v/>
      </c>
      <c r="J77" s="40" t="n">
        <v>115</v>
      </c>
      <c r="K77" s="72" t="n">
        <v>0.978576143487475</v>
      </c>
      <c r="L77" s="72" t="n">
        <v>1.03487220189035</v>
      </c>
      <c r="M77" s="72" t="n">
        <v>1</v>
      </c>
      <c r="N77" s="73" t="n"/>
      <c r="O77" s="73" t="n"/>
      <c r="P77" s="73" t="n"/>
      <c r="Q77" s="74">
        <f>IF($I77="","",IFERROR(INDEX(_玩家曲线!$H$2:$H$286,MATCH($I77,_玩家曲线!$A$2:$A$286,0)),""))</f>
        <v/>
      </c>
      <c r="R77" s="74">
        <f>IF($I77="","",IFERROR(INDEX(_玩家曲线!$I$2:$I$286,MATCH($I77,_玩家曲线!$A$2:$A$286,0)),""))</f>
        <v/>
      </c>
      <c r="S77" s="74">
        <f>IF(OR($J77="",$F77="不适用"),"",IFERROR(INDEX(_怪物模型!$D$2:$D$4501,(INT($J77)-1)*ROWS(_怪物类型!$A$2:$A$10)+MATCH($F77,_怪物类型!$A$2:$A$10,0))*IF($K77="",1,$K77),""))</f>
        <v/>
      </c>
      <c r="T77" s="74">
        <f>IF(OR($J77="",$F77="不适用"),"",IFERROR(INDEX(_怪物模型!$E$2:$E$4501,(INT($J77)-1)*ROWS(_怪物类型!$A$2:$A$10)+MATCH($F77,_怪物类型!$A$2:$A$10,0))*IF($L77="",1,$L77),""))</f>
        <v/>
      </c>
      <c r="U77" s="74">
        <f>IF(OR($J77="",$F77="不适用"),"",IFERROR(INDEX(_怪物模型!$F$2:$F$4501,(INT($J77)-1)*ROWS(_怪物类型!$A$2:$A$10)+MATCH($F77,_怪物类型!$A$2:$A$10,0))*IF($M77="",1,$M77),""))</f>
        <v/>
      </c>
      <c r="V77" s="75">
        <f>IF($U77="","",MIN(0.75,$U77/($U77+24000)))</f>
        <v/>
      </c>
      <c r="W77" s="76">
        <f>IF($S77="","",$S77/(1-$V77)*IF($N77="",1,$N77))</f>
        <v/>
      </c>
      <c r="X77" s="76">
        <f>IF(OR($W77="",$Q77="",$Q77=0),"",$W77/$Q77)</f>
        <v/>
      </c>
      <c r="Y77" s="76">
        <f>IF(OR($R77="",$T77="",$T77=0),"",$R77/($T77*IF($O77="",1,$O77)))</f>
        <v/>
      </c>
      <c r="Z77" s="77">
        <f>IF(OR($X77="",$P77="",$P77=0),"",$X77/$P77)</f>
        <v/>
      </c>
      <c r="AA77" s="27">
        <f>IF($J77="","待填怪物等级",IF(OR($I77="",$Q77=""),"待填对照关卡",IF($P77="","已计算",IF(AND($Y77&lt;&gt;"",$Y77&lt;$X77),"生存不成立",IF($Z77&lt;0.5,"碾压",IF($Z77&lt;0.8,"偏简单",IF($Z77&lt;=1.2,"适中",IF($Z77&lt;=1.5,"偏难","过难"))))))))</f>
        <v/>
      </c>
      <c r="AB77" s="27">
        <f>IF($J77="","待填",IF(AND(ISNUMBER($J77),$J77&gt;=1,$J77&lt;=500,MOD($J77,1)=0),"有效","超范围"))</f>
        <v/>
      </c>
      <c r="AC77" s="27">
        <f>IF(OR($J77="",ROW()=5,$B77&lt;&gt;$B76,$J76=""),"",IF($J77&lt;$J76,"下降",""))</f>
        <v/>
      </c>
      <c r="AD77" s="28" t="inlineStr">
        <is>
          <t>2026-08-27 新玩家节点曲线校准；对照S73；等级148→115；保留原难度定位。  2026-08-31 推荐战力：本章Boss反查锚点p45-&gt;p52线性递增（60s击杀/扛20s）；</t>
        </is>
      </c>
      <c r="AE77" t="n">
        <v>105000</v>
      </c>
      <c r="AF77">
        <f>INDEX(_统一战力!$B$2:$B$501,J77)</f>
        <v/>
      </c>
    </row>
    <row r="78" ht="25" customHeight="1">
      <c r="A78" s="27" t="inlineStr">
        <is>
          <t>当前配置</t>
        </is>
      </c>
      <c r="B78" s="27" t="inlineStr">
        <is>
          <t>主线</t>
        </is>
      </c>
      <c r="C78" s="28" t="inlineStr">
        <is>
          <t>第六章</t>
        </is>
      </c>
      <c r="D78" s="28" t="inlineStr">
        <is>
          <t>6-5</t>
        </is>
      </c>
      <c r="E78" s="28" t="inlineStr">
        <is>
          <t>100605</t>
        </is>
      </c>
      <c r="F78" s="27" t="inlineStr">
        <is>
          <t>普通怪</t>
        </is>
      </c>
      <c r="G78" s="37" t="n">
        <v>74</v>
      </c>
      <c r="H78" s="38" t="n"/>
      <c r="I78" s="39">
        <f>IF($H78="",$G78,$H78)</f>
        <v/>
      </c>
      <c r="J78" s="40" t="n">
        <v>116</v>
      </c>
      <c r="K78" s="72" t="n">
        <v>0.988628986659005</v>
      </c>
      <c r="L78" s="72" t="n">
        <v>1.04366231164812</v>
      </c>
      <c r="M78" s="72" t="n">
        <v>1</v>
      </c>
      <c r="N78" s="73" t="n"/>
      <c r="O78" s="73" t="n"/>
      <c r="P78" s="73" t="n"/>
      <c r="Q78" s="74">
        <f>IF($I78="","",IFERROR(INDEX(_玩家曲线!$H$2:$H$286,MATCH($I78,_玩家曲线!$A$2:$A$286,0)),""))</f>
        <v/>
      </c>
      <c r="R78" s="74">
        <f>IF($I78="","",IFERROR(INDEX(_玩家曲线!$I$2:$I$286,MATCH($I78,_玩家曲线!$A$2:$A$286,0)),""))</f>
        <v/>
      </c>
      <c r="S78" s="74">
        <f>IF(OR($J78="",$F78="不适用"),"",IFERROR(INDEX(_怪物模型!$D$2:$D$4501,(INT($J78)-1)*ROWS(_怪物类型!$A$2:$A$10)+MATCH($F78,_怪物类型!$A$2:$A$10,0))*IF($K78="",1,$K78),""))</f>
        <v/>
      </c>
      <c r="T78" s="74">
        <f>IF(OR($J78="",$F78="不适用"),"",IFERROR(INDEX(_怪物模型!$E$2:$E$4501,(INT($J78)-1)*ROWS(_怪物类型!$A$2:$A$10)+MATCH($F78,_怪物类型!$A$2:$A$10,0))*IF($L78="",1,$L78),""))</f>
        <v/>
      </c>
      <c r="U78" s="74">
        <f>IF(OR($J78="",$F78="不适用"),"",IFERROR(INDEX(_怪物模型!$F$2:$F$4501,(INT($J78)-1)*ROWS(_怪物类型!$A$2:$A$10)+MATCH($F78,_怪物类型!$A$2:$A$10,0))*IF($M78="",1,$M78),""))</f>
        <v/>
      </c>
      <c r="V78" s="75">
        <f>IF($U78="","",MIN(0.75,$U78/($U78+24000)))</f>
        <v/>
      </c>
      <c r="W78" s="76">
        <f>IF($S78="","",$S78/(1-$V78)*IF($N78="",1,$N78))</f>
        <v/>
      </c>
      <c r="X78" s="76">
        <f>IF(OR($W78="",$Q78="",$Q78=0),"",$W78/$Q78)</f>
        <v/>
      </c>
      <c r="Y78" s="76">
        <f>IF(OR($R78="",$T78="",$T78=0),"",$R78/($T78*IF($O78="",1,$O78)))</f>
        <v/>
      </c>
      <c r="Z78" s="77">
        <f>IF(OR($X78="",$P78="",$P78=0),"",$X78/$P78)</f>
        <v/>
      </c>
      <c r="AA78" s="27">
        <f>IF($J78="","待填怪物等级",IF(OR($I78="",$Q78=""),"待填对照关卡",IF($P78="","已计算",IF(AND($Y78&lt;&gt;"",$Y78&lt;$X78),"生存不成立",IF($Z78&lt;0.5,"碾压",IF($Z78&lt;0.8,"偏简单",IF($Z78&lt;=1.2,"适中",IF($Z78&lt;=1.5,"偏难","过难"))))))))</f>
        <v/>
      </c>
      <c r="AB78" s="27">
        <f>IF($J78="","待填",IF(AND(ISNUMBER($J78),$J78&gt;=1,$J78&lt;=500,MOD($J78,1)=0),"有效","超范围"))</f>
        <v/>
      </c>
      <c r="AC78" s="27">
        <f>IF(OR($J78="",ROW()=5,$B78&lt;&gt;$B77,$J77=""),"",IF($J78&lt;$J77,"下降",""))</f>
        <v/>
      </c>
      <c r="AD78" s="28" t="inlineStr">
        <is>
          <t>2026-08-27 新玩家节点曲线校准；对照S74；等级150→116；保留原难度定位。  2026-08-31 推荐战力：本章Boss反查锚点p45-&gt;p52线性递增（60s击杀/扛20s）；</t>
        </is>
      </c>
      <c r="AE78" t="n">
        <v>108000</v>
      </c>
      <c r="AF78">
        <f>INDEX(_统一战力!$B$2:$B$501,J78)</f>
        <v/>
      </c>
    </row>
    <row r="79" ht="25" customHeight="1">
      <c r="A79" s="27" t="inlineStr">
        <is>
          <t>当前配置</t>
        </is>
      </c>
      <c r="B79" s="27" t="inlineStr">
        <is>
          <t>主线</t>
        </is>
      </c>
      <c r="C79" s="28" t="inlineStr">
        <is>
          <t>第六章</t>
        </is>
      </c>
      <c r="D79" s="28" t="inlineStr">
        <is>
          <t>6-6</t>
        </is>
      </c>
      <c r="E79" s="28" t="inlineStr">
        <is>
          <t>100606</t>
        </is>
      </c>
      <c r="F79" s="27" t="inlineStr">
        <is>
          <t>普通怪</t>
        </is>
      </c>
      <c r="G79" s="37" t="n">
        <v>75</v>
      </c>
      <c r="H79" s="38" t="n"/>
      <c r="I79" s="39">
        <f>IF($H79="",$G79,$H79)</f>
        <v/>
      </c>
      <c r="J79" s="40" t="n">
        <v>119</v>
      </c>
      <c r="K79" s="72" t="n">
        <v>0.9767031930946</v>
      </c>
      <c r="L79" s="72" t="n">
        <v>1.03985025416137</v>
      </c>
      <c r="M79" s="72" t="n">
        <v>1</v>
      </c>
      <c r="N79" s="73" t="n"/>
      <c r="O79" s="73" t="n"/>
      <c r="P79" s="73" t="n"/>
      <c r="Q79" s="74">
        <f>IF($I79="","",IFERROR(INDEX(_玩家曲线!$H$2:$H$286,MATCH($I79,_玩家曲线!$A$2:$A$286,0)),""))</f>
        <v/>
      </c>
      <c r="R79" s="74">
        <f>IF($I79="","",IFERROR(INDEX(_玩家曲线!$I$2:$I$286,MATCH($I79,_玩家曲线!$A$2:$A$286,0)),""))</f>
        <v/>
      </c>
      <c r="S79" s="74">
        <f>IF(OR($J79="",$F79="不适用"),"",IFERROR(INDEX(_怪物模型!$D$2:$D$4501,(INT($J79)-1)*ROWS(_怪物类型!$A$2:$A$10)+MATCH($F79,_怪物类型!$A$2:$A$10,0))*IF($K79="",1,$K79),""))</f>
        <v/>
      </c>
      <c r="T79" s="74">
        <f>IF(OR($J79="",$F79="不适用"),"",IFERROR(INDEX(_怪物模型!$E$2:$E$4501,(INT($J79)-1)*ROWS(_怪物类型!$A$2:$A$10)+MATCH($F79,_怪物类型!$A$2:$A$10,0))*IF($L79="",1,$L79),""))</f>
        <v/>
      </c>
      <c r="U79" s="74">
        <f>IF(OR($J79="",$F79="不适用"),"",IFERROR(INDEX(_怪物模型!$F$2:$F$4501,(INT($J79)-1)*ROWS(_怪物类型!$A$2:$A$10)+MATCH($F79,_怪物类型!$A$2:$A$10,0))*IF($M79="",1,$M79),""))</f>
        <v/>
      </c>
      <c r="V79" s="75">
        <f>IF($U79="","",MIN(0.75,$U79/($U79+24000)))</f>
        <v/>
      </c>
      <c r="W79" s="76">
        <f>IF($S79="","",$S79/(1-$V79)*IF($N79="",1,$N79))</f>
        <v/>
      </c>
      <c r="X79" s="76">
        <f>IF(OR($W79="",$Q79="",$Q79=0),"",$W79/$Q79)</f>
        <v/>
      </c>
      <c r="Y79" s="76">
        <f>IF(OR($R79="",$T79="",$T79=0),"",$R79/($T79*IF($O79="",1,$O79)))</f>
        <v/>
      </c>
      <c r="Z79" s="77">
        <f>IF(OR($X79="",$P79="",$P79=0),"",$X79/$P79)</f>
        <v/>
      </c>
      <c r="AA79" s="27">
        <f>IF($J79="","待填怪物等级",IF(OR($I79="",$Q79=""),"待填对照关卡",IF($P79="","已计算",IF(AND($Y79&lt;&gt;"",$Y79&lt;$X79),"生存不成立",IF($Z79&lt;0.5,"碾压",IF($Z79&lt;0.8,"偏简单",IF($Z79&lt;=1.2,"适中",IF($Z79&lt;=1.5,"偏难","过难"))))))))</f>
        <v/>
      </c>
      <c r="AB79" s="27">
        <f>IF($J79="","待填",IF(AND(ISNUMBER($J79),$J79&gt;=1,$J79&lt;=500,MOD($J79,1)=0),"有效","超范围"))</f>
        <v/>
      </c>
      <c r="AC79" s="27">
        <f>IF(OR($J79="",ROW()=5,$B79&lt;&gt;$B78,$J78=""),"",IF($J79&lt;$J78,"下降",""))</f>
        <v/>
      </c>
      <c r="AD79" s="28" t="inlineStr">
        <is>
          <t>2026-08-27 新玩家节点曲线校准；对照S75；等级153→119；保留原难度定位。  2026-08-31 推荐战力：本章Boss反查锚点p45-&gt;p52线性递增（60s击杀/扛20s）；</t>
        </is>
      </c>
      <c r="AE79" t="n">
        <v>110000</v>
      </c>
      <c r="AF79">
        <f>INDEX(_统一战力!$B$2:$B$501,J79)</f>
        <v/>
      </c>
    </row>
    <row r="80" ht="25" customHeight="1">
      <c r="A80" s="27" t="inlineStr">
        <is>
          <t>当前配置</t>
        </is>
      </c>
      <c r="B80" s="27" t="inlineStr">
        <is>
          <t>主线</t>
        </is>
      </c>
      <c r="C80" s="28" t="inlineStr">
        <is>
          <t>第六章</t>
        </is>
      </c>
      <c r="D80" s="28" t="inlineStr">
        <is>
          <t>6-7</t>
        </is>
      </c>
      <c r="E80" s="28" t="inlineStr">
        <is>
          <t>100607</t>
        </is>
      </c>
      <c r="F80" s="27" t="inlineStr">
        <is>
          <t>普通怪</t>
        </is>
      </c>
      <c r="G80" s="37" t="n">
        <v>76</v>
      </c>
      <c r="H80" s="38" t="n"/>
      <c r="I80" s="39">
        <f>IF($H80="",$G80,$H80)</f>
        <v/>
      </c>
      <c r="J80" s="40" t="n">
        <v>119</v>
      </c>
      <c r="K80" s="72" t="n">
        <v>0.990472025846035</v>
      </c>
      <c r="L80" s="72" t="n">
        <v>1.04996037606877</v>
      </c>
      <c r="M80" s="72" t="n">
        <v>1</v>
      </c>
      <c r="N80" s="73" t="n"/>
      <c r="O80" s="73" t="n"/>
      <c r="P80" s="73" t="n"/>
      <c r="Q80" s="74">
        <f>IF($I80="","",IFERROR(INDEX(_玩家曲线!$H$2:$H$286,MATCH($I80,_玩家曲线!$A$2:$A$286,0)),""))</f>
        <v/>
      </c>
      <c r="R80" s="74">
        <f>IF($I80="","",IFERROR(INDEX(_玩家曲线!$I$2:$I$286,MATCH($I80,_玩家曲线!$A$2:$A$286,0)),""))</f>
        <v/>
      </c>
      <c r="S80" s="74">
        <f>IF(OR($J80="",$F80="不适用"),"",IFERROR(INDEX(_怪物模型!$D$2:$D$4501,(INT($J80)-1)*ROWS(_怪物类型!$A$2:$A$10)+MATCH($F80,_怪物类型!$A$2:$A$10,0))*IF($K80="",1,$K80),""))</f>
        <v/>
      </c>
      <c r="T80" s="74">
        <f>IF(OR($J80="",$F80="不适用"),"",IFERROR(INDEX(_怪物模型!$E$2:$E$4501,(INT($J80)-1)*ROWS(_怪物类型!$A$2:$A$10)+MATCH($F80,_怪物类型!$A$2:$A$10,0))*IF($L80="",1,$L80),""))</f>
        <v/>
      </c>
      <c r="U80" s="74">
        <f>IF(OR($J80="",$F80="不适用"),"",IFERROR(INDEX(_怪物模型!$F$2:$F$4501,(INT($J80)-1)*ROWS(_怪物类型!$A$2:$A$10)+MATCH($F80,_怪物类型!$A$2:$A$10,0))*IF($M80="",1,$M80),""))</f>
        <v/>
      </c>
      <c r="V80" s="75">
        <f>IF($U80="","",MIN(0.75,$U80/($U80+24000)))</f>
        <v/>
      </c>
      <c r="W80" s="76">
        <f>IF($S80="","",$S80/(1-$V80)*IF($N80="",1,$N80))</f>
        <v/>
      </c>
      <c r="X80" s="76">
        <f>IF(OR($W80="",$Q80="",$Q80=0),"",$W80/$Q80)</f>
        <v/>
      </c>
      <c r="Y80" s="76">
        <f>IF(OR($R80="",$T80="",$T80=0),"",$R80/($T80*IF($O80="",1,$O80)))</f>
        <v/>
      </c>
      <c r="Z80" s="77">
        <f>IF(OR($X80="",$P80="",$P80=0),"",$X80/$P80)</f>
        <v/>
      </c>
      <c r="AA80" s="27">
        <f>IF($J80="","待填怪物等级",IF(OR($I80="",$Q80=""),"待填对照关卡",IF($P80="","已计算",IF(AND($Y80&lt;&gt;"",$Y80&lt;$X80),"生存不成立",IF($Z80&lt;0.5,"碾压",IF($Z80&lt;0.8,"偏简单",IF($Z80&lt;=1.2,"适中",IF($Z80&lt;=1.5,"偏难","过难"))))))))</f>
        <v/>
      </c>
      <c r="AB80" s="27">
        <f>IF($J80="","待填",IF(AND(ISNUMBER($J80),$J80&gt;=1,$J80&lt;=500,MOD($J80,1)=0),"有效","超范围"))</f>
        <v/>
      </c>
      <c r="AC80" s="27">
        <f>IF(OR($J80="",ROW()=5,$B80&lt;&gt;$B79,$J79=""),"",IF($J80&lt;$J79,"下降",""))</f>
        <v/>
      </c>
      <c r="AD80" s="28" t="inlineStr">
        <is>
          <t>2026-08-27 新玩家节点曲线校准；对照S76；等级154→119；保留原难度定位。  2026-08-31 推荐战力：本章Boss反查锚点p45-&gt;p52线性递增（60s击杀/扛20s）；</t>
        </is>
      </c>
      <c r="AE80" t="n">
        <v>112000</v>
      </c>
      <c r="AF80">
        <f>INDEX(_统一战力!$B$2:$B$501,J80)</f>
        <v/>
      </c>
    </row>
    <row r="81" ht="25" customHeight="1">
      <c r="A81" s="27" t="inlineStr">
        <is>
          <t>当前配置</t>
        </is>
      </c>
      <c r="B81" s="27" t="inlineStr">
        <is>
          <t>主线</t>
        </is>
      </c>
      <c r="C81" s="28" t="inlineStr">
        <is>
          <t>第六章</t>
        </is>
      </c>
      <c r="D81" s="28" t="inlineStr">
        <is>
          <t>6-8</t>
        </is>
      </c>
      <c r="E81" s="28" t="inlineStr">
        <is>
          <t>100608</t>
        </is>
      </c>
      <c r="F81" s="27" t="inlineStr">
        <is>
          <t>普通怪</t>
        </is>
      </c>
      <c r="G81" s="37" t="n">
        <v>77</v>
      </c>
      <c r="H81" s="38" t="n"/>
      <c r="I81" s="39">
        <f>IF($H81="",$G81,$H81)</f>
        <v/>
      </c>
      <c r="J81" s="40" t="n">
        <v>120</v>
      </c>
      <c r="K81" s="72" t="n">
        <v>0.985226928267657</v>
      </c>
      <c r="L81" s="72" t="n">
        <v>1.04776127087879</v>
      </c>
      <c r="M81" s="72" t="n">
        <v>1</v>
      </c>
      <c r="N81" s="73" t="n"/>
      <c r="O81" s="73" t="n"/>
      <c r="P81" s="73" t="n"/>
      <c r="Q81" s="74">
        <f>IF($I81="","",IFERROR(INDEX(_玩家曲线!$H$2:$H$286,MATCH($I81,_玩家曲线!$A$2:$A$286,0)),""))</f>
        <v/>
      </c>
      <c r="R81" s="74">
        <f>IF($I81="","",IFERROR(INDEX(_玩家曲线!$I$2:$I$286,MATCH($I81,_玩家曲线!$A$2:$A$286,0)),""))</f>
        <v/>
      </c>
      <c r="S81" s="74">
        <f>IF(OR($J81="",$F81="不适用"),"",IFERROR(INDEX(_怪物模型!$D$2:$D$4501,(INT($J81)-1)*ROWS(_怪物类型!$A$2:$A$10)+MATCH($F81,_怪物类型!$A$2:$A$10,0))*IF($K81="",1,$K81),""))</f>
        <v/>
      </c>
      <c r="T81" s="74">
        <f>IF(OR($J81="",$F81="不适用"),"",IFERROR(INDEX(_怪物模型!$E$2:$E$4501,(INT($J81)-1)*ROWS(_怪物类型!$A$2:$A$10)+MATCH($F81,_怪物类型!$A$2:$A$10,0))*IF($L81="",1,$L81),""))</f>
        <v/>
      </c>
      <c r="U81" s="74">
        <f>IF(OR($J81="",$F81="不适用"),"",IFERROR(INDEX(_怪物模型!$F$2:$F$4501,(INT($J81)-1)*ROWS(_怪物类型!$A$2:$A$10)+MATCH($F81,_怪物类型!$A$2:$A$10,0))*IF($M81="",1,$M81),""))</f>
        <v/>
      </c>
      <c r="V81" s="75">
        <f>IF($U81="","",MIN(0.75,$U81/($U81+24000)))</f>
        <v/>
      </c>
      <c r="W81" s="76">
        <f>IF($S81="","",$S81/(1-$V81)*IF($N81="",1,$N81))</f>
        <v/>
      </c>
      <c r="X81" s="76">
        <f>IF(OR($W81="",$Q81="",$Q81=0),"",$W81/$Q81)</f>
        <v/>
      </c>
      <c r="Y81" s="76">
        <f>IF(OR($R81="",$T81="",$T81=0),"",$R81/($T81*IF($O81="",1,$O81)))</f>
        <v/>
      </c>
      <c r="Z81" s="77">
        <f>IF(OR($X81="",$P81="",$P81=0),"",$X81/$P81)</f>
        <v/>
      </c>
      <c r="AA81" s="27">
        <f>IF($J81="","待填怪物等级",IF(OR($I81="",$Q81=""),"待填对照关卡",IF($P81="","已计算",IF(AND($Y81&lt;&gt;"",$Y81&lt;$X81),"生存不成立",IF($Z81&lt;0.5,"碾压",IF($Z81&lt;0.8,"偏简单",IF($Z81&lt;=1.2,"适中",IF($Z81&lt;=1.5,"偏难","过难"))))))))</f>
        <v/>
      </c>
      <c r="AB81" s="27">
        <f>IF($J81="","待填",IF(AND(ISNUMBER($J81),$J81&gt;=1,$J81&lt;=500,MOD($J81,1)=0),"有效","超范围"))</f>
        <v/>
      </c>
      <c r="AC81" s="27">
        <f>IF(OR($J81="",ROW()=5,$B81&lt;&gt;$B80,$J80=""),"",IF($J81&lt;$J80,"下降",""))</f>
        <v/>
      </c>
      <c r="AD81" s="28" t="inlineStr">
        <is>
          <t>2026-08-27 新玩家节点曲线校准；对照S77；等级155→120；保留原难度定位。  2026-08-31 推荐战力：本章Boss反查锚点p45-&gt;p52线性递增（60s击杀/扛20s）；</t>
        </is>
      </c>
      <c r="AE81" t="n">
        <v>115000</v>
      </c>
      <c r="AF81">
        <f>INDEX(_统一战力!$B$2:$B$501,J81)</f>
        <v/>
      </c>
    </row>
    <row r="82" ht="25" customHeight="1">
      <c r="A82" s="27" t="inlineStr">
        <is>
          <t>当前配置</t>
        </is>
      </c>
      <c r="B82" s="27" t="inlineStr">
        <is>
          <t>主线</t>
        </is>
      </c>
      <c r="C82" s="28" t="inlineStr">
        <is>
          <t>第六章</t>
        </is>
      </c>
      <c r="D82" s="28" t="inlineStr">
        <is>
          <t>6-9</t>
        </is>
      </c>
      <c r="E82" s="28" t="inlineStr">
        <is>
          <t>100609</t>
        </is>
      </c>
      <c r="F82" s="27" t="inlineStr">
        <is>
          <t>普通怪</t>
        </is>
      </c>
      <c r="G82" s="37" t="n">
        <v>78</v>
      </c>
      <c r="H82" s="38" t="n"/>
      <c r="I82" s="39">
        <f>IF($H82="",$G82,$H82)</f>
        <v/>
      </c>
      <c r="J82" s="40" t="n">
        <v>122</v>
      </c>
      <c r="K82" s="72" t="n">
        <v>0.977938453546373</v>
      </c>
      <c r="L82" s="72" t="n">
        <v>1.04583440656595</v>
      </c>
      <c r="M82" s="72" t="n">
        <v>1</v>
      </c>
      <c r="N82" s="73" t="n"/>
      <c r="O82" s="73" t="n"/>
      <c r="P82" s="73" t="n"/>
      <c r="Q82" s="74">
        <f>IF($I82="","",IFERROR(INDEX(_玩家曲线!$H$2:$H$286,MATCH($I82,_玩家曲线!$A$2:$A$286,0)),""))</f>
        <v/>
      </c>
      <c r="R82" s="74">
        <f>IF($I82="","",IFERROR(INDEX(_玩家曲线!$I$2:$I$286,MATCH($I82,_玩家曲线!$A$2:$A$286,0)),""))</f>
        <v/>
      </c>
      <c r="S82" s="74">
        <f>IF(OR($J82="",$F82="不适用"),"",IFERROR(INDEX(_怪物模型!$D$2:$D$4501,(INT($J82)-1)*ROWS(_怪物类型!$A$2:$A$10)+MATCH($F82,_怪物类型!$A$2:$A$10,0))*IF($K82="",1,$K82),""))</f>
        <v/>
      </c>
      <c r="T82" s="74">
        <f>IF(OR($J82="",$F82="不适用"),"",IFERROR(INDEX(_怪物模型!$E$2:$E$4501,(INT($J82)-1)*ROWS(_怪物类型!$A$2:$A$10)+MATCH($F82,_怪物类型!$A$2:$A$10,0))*IF($L82="",1,$L82),""))</f>
        <v/>
      </c>
      <c r="U82" s="74">
        <f>IF(OR($J82="",$F82="不适用"),"",IFERROR(INDEX(_怪物模型!$F$2:$F$4501,(INT($J82)-1)*ROWS(_怪物类型!$A$2:$A$10)+MATCH($F82,_怪物类型!$A$2:$A$10,0))*IF($M82="",1,$M82),""))</f>
        <v/>
      </c>
      <c r="V82" s="75">
        <f>IF($U82="","",MIN(0.75,$U82/($U82+24000)))</f>
        <v/>
      </c>
      <c r="W82" s="76">
        <f>IF($S82="","",$S82/(1-$V82)*IF($N82="",1,$N82))</f>
        <v/>
      </c>
      <c r="X82" s="76">
        <f>IF(OR($W82="",$Q82="",$Q82=0),"",$W82/$Q82)</f>
        <v/>
      </c>
      <c r="Y82" s="76">
        <f>IF(OR($R82="",$T82="",$T82=0),"",$R82/($T82*IF($O82="",1,$O82)))</f>
        <v/>
      </c>
      <c r="Z82" s="77">
        <f>IF(OR($X82="",$P82="",$P82=0),"",$X82/$P82)</f>
        <v/>
      </c>
      <c r="AA82" s="27">
        <f>IF($J82="","待填怪物等级",IF(OR($I82="",$Q82=""),"待填对照关卡",IF($P82="","已计算",IF(AND($Y82&lt;&gt;"",$Y82&lt;$X82),"生存不成立",IF($Z82&lt;0.5,"碾压",IF($Z82&lt;0.8,"偏简单",IF($Z82&lt;=1.2,"适中",IF($Z82&lt;=1.5,"偏难","过难"))))))))</f>
        <v/>
      </c>
      <c r="AB82" s="27">
        <f>IF($J82="","待填",IF(AND(ISNUMBER($J82),$J82&gt;=1,$J82&lt;=500,MOD($J82,1)=0),"有效","超范围"))</f>
        <v/>
      </c>
      <c r="AC82" s="27">
        <f>IF(OR($J82="",ROW()=5,$B82&lt;&gt;$B81,$J81=""),"",IF($J82&lt;$J81,"下降",""))</f>
        <v/>
      </c>
      <c r="AD82" s="28" t="inlineStr">
        <is>
          <t>2026-08-27 新玩家节点曲线校准；对照S78；等级157→122；保留原难度定位。  2026-08-31 推荐战力：本章Boss反查锚点p45-&gt;p52线性递增（60s击杀/扛20s）；</t>
        </is>
      </c>
      <c r="AE82" t="n">
        <v>117000</v>
      </c>
      <c r="AF82">
        <f>INDEX(_统一战力!$B$2:$B$501,J82)</f>
        <v/>
      </c>
    </row>
    <row r="83" ht="25" customHeight="1">
      <c r="A83" s="27" t="inlineStr">
        <is>
          <t>当前配置</t>
        </is>
      </c>
      <c r="B83" s="27" t="inlineStr">
        <is>
          <t>主线</t>
        </is>
      </c>
      <c r="C83" s="28" t="inlineStr">
        <is>
          <t>第六章</t>
        </is>
      </c>
      <c r="D83" s="28" t="inlineStr">
        <is>
          <t>6-10</t>
        </is>
      </c>
      <c r="E83" s="28" t="inlineStr">
        <is>
          <t>100610</t>
        </is>
      </c>
      <c r="F83" s="27" t="inlineStr">
        <is>
          <t>普通怪</t>
        </is>
      </c>
      <c r="G83" s="37" t="n">
        <v>79</v>
      </c>
      <c r="H83" s="38" t="n"/>
      <c r="I83" s="39">
        <f>IF($H83="",$G83,$H83)</f>
        <v/>
      </c>
      <c r="J83" s="40" t="n">
        <v>122</v>
      </c>
      <c r="K83" s="72" t="n">
        <v>0.97656530637776</v>
      </c>
      <c r="L83" s="72" t="n">
        <v>1.04497844412362</v>
      </c>
      <c r="M83" s="72" t="n">
        <v>1</v>
      </c>
      <c r="N83" s="73" t="n"/>
      <c r="O83" s="73" t="n"/>
      <c r="P83" s="73" t="n"/>
      <c r="Q83" s="74">
        <f>IF($I83="","",IFERROR(INDEX(_玩家曲线!$H$2:$H$286,MATCH($I83,_玩家曲线!$A$2:$A$286,0)),""))</f>
        <v/>
      </c>
      <c r="R83" s="74">
        <f>IF($I83="","",IFERROR(INDEX(_玩家曲线!$I$2:$I$286,MATCH($I83,_玩家曲线!$A$2:$A$286,0)),""))</f>
        <v/>
      </c>
      <c r="S83" s="74">
        <f>IF(OR($J83="",$F83="不适用"),"",IFERROR(INDEX(_怪物模型!$D$2:$D$4501,(INT($J83)-1)*ROWS(_怪物类型!$A$2:$A$10)+MATCH($F83,_怪物类型!$A$2:$A$10,0))*IF($K83="",1,$K83),""))</f>
        <v/>
      </c>
      <c r="T83" s="74">
        <f>IF(OR($J83="",$F83="不适用"),"",IFERROR(INDEX(_怪物模型!$E$2:$E$4501,(INT($J83)-1)*ROWS(_怪物类型!$A$2:$A$10)+MATCH($F83,_怪物类型!$A$2:$A$10,0))*IF($L83="",1,$L83),""))</f>
        <v/>
      </c>
      <c r="U83" s="74">
        <f>IF(OR($J83="",$F83="不适用"),"",IFERROR(INDEX(_怪物模型!$F$2:$F$4501,(INT($J83)-1)*ROWS(_怪物类型!$A$2:$A$10)+MATCH($F83,_怪物类型!$A$2:$A$10,0))*IF($M83="",1,$M83),""))</f>
        <v/>
      </c>
      <c r="V83" s="75">
        <f>IF($U83="","",MIN(0.75,$U83/($U83+24000)))</f>
        <v/>
      </c>
      <c r="W83" s="76">
        <f>IF($S83="","",$S83/(1-$V83)*IF($N83="",1,$N83))</f>
        <v/>
      </c>
      <c r="X83" s="76">
        <f>IF(OR($W83="",$Q83="",$Q83=0),"",$W83/$Q83)</f>
        <v/>
      </c>
      <c r="Y83" s="76">
        <f>IF(OR($R83="",$T83="",$T83=0),"",$R83/($T83*IF($O83="",1,$O83)))</f>
        <v/>
      </c>
      <c r="Z83" s="77">
        <f>IF(OR($X83="",$P83="",$P83=0),"",$X83/$P83)</f>
        <v/>
      </c>
      <c r="AA83" s="27">
        <f>IF($J83="","待填怪物等级",IF(OR($I83="",$Q83=""),"待填对照关卡",IF($P83="","已计算",IF(AND($Y83&lt;&gt;"",$Y83&lt;$X83),"生存不成立",IF($Z83&lt;0.5,"碾压",IF($Z83&lt;0.8,"偏简单",IF($Z83&lt;=1.2,"适中",IF($Z83&lt;=1.5,"偏难","过难"))))))))</f>
        <v/>
      </c>
      <c r="AB83" s="27">
        <f>IF($J83="","待填",IF(AND(ISNUMBER($J83),$J83&gt;=1,$J83&lt;=500,MOD($J83,1)=0),"有效","超范围"))</f>
        <v/>
      </c>
      <c r="AC83" s="27">
        <f>IF(OR($J83="",ROW()=5,$B83&lt;&gt;$B82,$J82=""),"",IF($J83&lt;$J82,"下降",""))</f>
        <v/>
      </c>
      <c r="AD83" s="28" t="inlineStr">
        <is>
          <t>2026-08-27 新玩家节点曲线校准；对照S79；等级157→122；保留原难度定位。  2026-08-31 推荐战力：本章Boss反查锚点p45-&gt;p52线性递增（60s击杀/扛20s）；</t>
        </is>
      </c>
      <c r="AE83" t="n">
        <v>119000</v>
      </c>
      <c r="AF83">
        <f>INDEX(_统一战力!$B$2:$B$501,J83)</f>
        <v/>
      </c>
    </row>
    <row r="84" ht="25" customHeight="1">
      <c r="A84" s="27" t="inlineStr">
        <is>
          <t>当前配置</t>
        </is>
      </c>
      <c r="B84" s="27" t="inlineStr">
        <is>
          <t>主线</t>
        </is>
      </c>
      <c r="C84" s="28" t="inlineStr">
        <is>
          <t>第六章</t>
        </is>
      </c>
      <c r="D84" s="28" t="inlineStr">
        <is>
          <t>6-11</t>
        </is>
      </c>
      <c r="E84" s="28" t="inlineStr">
        <is>
          <t>100611</t>
        </is>
      </c>
      <c r="F84" s="27" t="inlineStr">
        <is>
          <t>普通怪</t>
        </is>
      </c>
      <c r="G84" s="37" t="n">
        <v>80</v>
      </c>
      <c r="H84" s="38" t="n"/>
      <c r="I84" s="39">
        <f>IF($H84="",$G84,$H84)</f>
        <v/>
      </c>
      <c r="J84" s="40" t="n">
        <v>123</v>
      </c>
      <c r="K84" s="72" t="n">
        <v>0.98955674988599</v>
      </c>
      <c r="L84" s="72" t="n">
        <v>1.05662820165562</v>
      </c>
      <c r="M84" s="72" t="n">
        <v>1</v>
      </c>
      <c r="N84" s="73" t="n"/>
      <c r="O84" s="73" t="n"/>
      <c r="P84" s="73" t="n"/>
      <c r="Q84" s="74">
        <f>IF($I84="","",IFERROR(INDEX(_玩家曲线!$H$2:$H$286,MATCH($I84,_玩家曲线!$A$2:$A$286,0)),""))</f>
        <v/>
      </c>
      <c r="R84" s="74">
        <f>IF($I84="","",IFERROR(INDEX(_玩家曲线!$I$2:$I$286,MATCH($I84,_玩家曲线!$A$2:$A$286,0)),""))</f>
        <v/>
      </c>
      <c r="S84" s="74">
        <f>IF(OR($J84="",$F84="不适用"),"",IFERROR(INDEX(_怪物模型!$D$2:$D$4501,(INT($J84)-1)*ROWS(_怪物类型!$A$2:$A$10)+MATCH($F84,_怪物类型!$A$2:$A$10,0))*IF($K84="",1,$K84),""))</f>
        <v/>
      </c>
      <c r="T84" s="74">
        <f>IF(OR($J84="",$F84="不适用"),"",IFERROR(INDEX(_怪物模型!$E$2:$E$4501,(INT($J84)-1)*ROWS(_怪物类型!$A$2:$A$10)+MATCH($F84,_怪物类型!$A$2:$A$10,0))*IF($L84="",1,$L84),""))</f>
        <v/>
      </c>
      <c r="U84" s="74">
        <f>IF(OR($J84="",$F84="不适用"),"",IFERROR(INDEX(_怪物模型!$F$2:$F$4501,(INT($J84)-1)*ROWS(_怪物类型!$A$2:$A$10)+MATCH($F84,_怪物类型!$A$2:$A$10,0))*IF($M84="",1,$M84),""))</f>
        <v/>
      </c>
      <c r="V84" s="75">
        <f>IF($U84="","",MIN(0.75,$U84/($U84+24000)))</f>
        <v/>
      </c>
      <c r="W84" s="76">
        <f>IF($S84="","",$S84/(1-$V84)*IF($N84="",1,$N84))</f>
        <v/>
      </c>
      <c r="X84" s="76">
        <f>IF(OR($W84="",$Q84="",$Q84=0),"",$W84/$Q84)</f>
        <v/>
      </c>
      <c r="Y84" s="76">
        <f>IF(OR($R84="",$T84="",$T84=0),"",$R84/($T84*IF($O84="",1,$O84)))</f>
        <v/>
      </c>
      <c r="Z84" s="77">
        <f>IF(OR($X84="",$P84="",$P84=0),"",$X84/$P84)</f>
        <v/>
      </c>
      <c r="AA84" s="27">
        <f>IF($J84="","待填怪物等级",IF(OR($I84="",$Q84=""),"待填对照关卡",IF($P84="","已计算",IF(AND($Y84&lt;&gt;"",$Y84&lt;$X84),"生存不成立",IF($Z84&lt;0.5,"碾压",IF($Z84&lt;0.8,"偏简单",IF($Z84&lt;=1.2,"适中",IF($Z84&lt;=1.5,"偏难","过难"))))))))</f>
        <v/>
      </c>
      <c r="AB84" s="27">
        <f>IF($J84="","待填",IF(AND(ISNUMBER($J84),$J84&gt;=1,$J84&lt;=500,MOD($J84,1)=0),"有效","超范围"))</f>
        <v/>
      </c>
      <c r="AC84" s="27">
        <f>IF(OR($J84="",ROW()=5,$B84&lt;&gt;$B83,$J83=""),"",IF($J84&lt;$J83,"下降",""))</f>
        <v/>
      </c>
      <c r="AD84" s="28" t="inlineStr">
        <is>
          <t>2026-08-27 新玩家节点曲线校准；对照S80；等级159→123；保留原难度定位。  2026-08-31 推荐战力：本章Boss反查锚点p45-&gt;p52线性递增（60s击杀/扛20s）；</t>
        </is>
      </c>
      <c r="AE84" t="n">
        <v>122000</v>
      </c>
      <c r="AF84">
        <f>INDEX(_统一战力!$B$2:$B$501,J84)</f>
        <v/>
      </c>
    </row>
    <row r="85" ht="25" customHeight="1">
      <c r="A85" s="27" t="inlineStr">
        <is>
          <t>当前配置</t>
        </is>
      </c>
      <c r="B85" s="27" t="inlineStr">
        <is>
          <t>主线</t>
        </is>
      </c>
      <c r="C85" s="28" t="inlineStr">
        <is>
          <t>第六章</t>
        </is>
      </c>
      <c r="D85" s="28" t="inlineStr">
        <is>
          <t>6-12</t>
        </is>
      </c>
      <c r="E85" s="28" t="inlineStr">
        <is>
          <t>100612</t>
        </is>
      </c>
      <c r="F85" s="27" t="inlineStr">
        <is>
          <t>普通怪</t>
        </is>
      </c>
      <c r="G85" s="37" t="n">
        <v>81</v>
      </c>
      <c r="H85" s="38" t="n"/>
      <c r="I85" s="39">
        <f>IF($H85="",$G85,$H85)</f>
        <v/>
      </c>
      <c r="J85" s="40" t="n">
        <v>125</v>
      </c>
      <c r="K85" s="72" t="n">
        <v>0.9837893643033651</v>
      </c>
      <c r="L85" s="72" t="n">
        <v>1.05610178247524</v>
      </c>
      <c r="M85" s="72" t="n">
        <v>1</v>
      </c>
      <c r="N85" s="73" t="n"/>
      <c r="O85" s="73" t="n"/>
      <c r="P85" s="73" t="n"/>
      <c r="Q85" s="74">
        <f>IF($I85="","",IFERROR(INDEX(_玩家曲线!$H$2:$H$286,MATCH($I85,_玩家曲线!$A$2:$A$286,0)),""))</f>
        <v/>
      </c>
      <c r="R85" s="74">
        <f>IF($I85="","",IFERROR(INDEX(_玩家曲线!$I$2:$I$286,MATCH($I85,_玩家曲线!$A$2:$A$286,0)),""))</f>
        <v/>
      </c>
      <c r="S85" s="74">
        <f>IF(OR($J85="",$F85="不适用"),"",IFERROR(INDEX(_怪物模型!$D$2:$D$4501,(INT($J85)-1)*ROWS(_怪物类型!$A$2:$A$10)+MATCH($F85,_怪物类型!$A$2:$A$10,0))*IF($K85="",1,$K85),""))</f>
        <v/>
      </c>
      <c r="T85" s="74">
        <f>IF(OR($J85="",$F85="不适用"),"",IFERROR(INDEX(_怪物模型!$E$2:$E$4501,(INT($J85)-1)*ROWS(_怪物类型!$A$2:$A$10)+MATCH($F85,_怪物类型!$A$2:$A$10,0))*IF($L85="",1,$L85),""))</f>
        <v/>
      </c>
      <c r="U85" s="74">
        <f>IF(OR($J85="",$F85="不适用"),"",IFERROR(INDEX(_怪物模型!$F$2:$F$4501,(INT($J85)-1)*ROWS(_怪物类型!$A$2:$A$10)+MATCH($F85,_怪物类型!$A$2:$A$10,0))*IF($M85="",1,$M85),""))</f>
        <v/>
      </c>
      <c r="V85" s="75">
        <f>IF($U85="","",MIN(0.75,$U85/($U85+24000)))</f>
        <v/>
      </c>
      <c r="W85" s="76">
        <f>IF($S85="","",$S85/(1-$V85)*IF($N85="",1,$N85))</f>
        <v/>
      </c>
      <c r="X85" s="76">
        <f>IF(OR($W85="",$Q85="",$Q85=0),"",$W85/$Q85)</f>
        <v/>
      </c>
      <c r="Y85" s="76">
        <f>IF(OR($R85="",$T85="",$T85=0),"",$R85/($T85*IF($O85="",1,$O85)))</f>
        <v/>
      </c>
      <c r="Z85" s="77">
        <f>IF(OR($X85="",$P85="",$P85=0),"",$X85/$P85)</f>
        <v/>
      </c>
      <c r="AA85" s="27">
        <f>IF($J85="","待填怪物等级",IF(OR($I85="",$Q85=""),"待填对照关卡",IF($P85="","已计算",IF(AND($Y85&lt;&gt;"",$Y85&lt;$X85),"生存不成立",IF($Z85&lt;0.5,"碾压",IF($Z85&lt;0.8,"偏简单",IF($Z85&lt;=1.2,"适中",IF($Z85&lt;=1.5,"偏难","过难"))))))))</f>
        <v/>
      </c>
      <c r="AB85" s="27">
        <f>IF($J85="","待填",IF(AND(ISNUMBER($J85),$J85&gt;=1,$J85&lt;=500,MOD($J85,1)=0),"有效","超范围"))</f>
        <v/>
      </c>
      <c r="AC85" s="27">
        <f>IF(OR($J85="",ROW()=5,$B85&lt;&gt;$B84,$J84=""),"",IF($J85&lt;$J84,"下降",""))</f>
        <v/>
      </c>
      <c r="AD85" s="28" t="inlineStr">
        <is>
          <t>2026-08-27 新玩家节点曲线校准；对照S81；等级161→125；保留原难度定位。  2026-08-31 推荐战力：本章Boss反查锚点p45-&gt;p52线性递增（60s击杀/扛20s）；</t>
        </is>
      </c>
      <c r="AE85" t="n">
        <v>124000</v>
      </c>
      <c r="AF85">
        <f>INDEX(_统一战力!$B$2:$B$501,J85)</f>
        <v/>
      </c>
    </row>
    <row r="86" ht="25" customHeight="1">
      <c r="A86" s="27" t="inlineStr">
        <is>
          <t>当前配置</t>
        </is>
      </c>
      <c r="B86" s="27" t="inlineStr">
        <is>
          <t>主线</t>
        </is>
      </c>
      <c r="C86" s="28" t="inlineStr">
        <is>
          <t>第六章</t>
        </is>
      </c>
      <c r="D86" s="28" t="inlineStr">
        <is>
          <t>6-13</t>
        </is>
      </c>
      <c r="E86" s="28" t="inlineStr">
        <is>
          <t>100613</t>
        </is>
      </c>
      <c r="F86" s="27" t="inlineStr">
        <is>
          <t>普通怪</t>
        </is>
      </c>
      <c r="G86" s="37" t="n">
        <v>82</v>
      </c>
      <c r="H86" s="38" t="n"/>
      <c r="I86" s="39">
        <f>IF($H86="",$G86,$H86)</f>
        <v/>
      </c>
      <c r="J86" s="40" t="n">
        <v>127</v>
      </c>
      <c r="K86" s="72" t="n">
        <v>0.978639490283494</v>
      </c>
      <c r="L86" s="72" t="n">
        <v>1.05603496423753</v>
      </c>
      <c r="M86" s="72" t="n">
        <v>1</v>
      </c>
      <c r="N86" s="73" t="n"/>
      <c r="O86" s="73" t="n"/>
      <c r="P86" s="73" t="n"/>
      <c r="Q86" s="74">
        <f>IF($I86="","",IFERROR(INDEX(_玩家曲线!$H$2:$H$286,MATCH($I86,_玩家曲线!$A$2:$A$286,0)),""))</f>
        <v/>
      </c>
      <c r="R86" s="74">
        <f>IF($I86="","",IFERROR(INDEX(_玩家曲线!$I$2:$I$286,MATCH($I86,_玩家曲线!$A$2:$A$286,0)),""))</f>
        <v/>
      </c>
      <c r="S86" s="74">
        <f>IF(OR($J86="",$F86="不适用"),"",IFERROR(INDEX(_怪物模型!$D$2:$D$4501,(INT($J86)-1)*ROWS(_怪物类型!$A$2:$A$10)+MATCH($F86,_怪物类型!$A$2:$A$10,0))*IF($K86="",1,$K86),""))</f>
        <v/>
      </c>
      <c r="T86" s="74">
        <f>IF(OR($J86="",$F86="不适用"),"",IFERROR(INDEX(_怪物模型!$E$2:$E$4501,(INT($J86)-1)*ROWS(_怪物类型!$A$2:$A$10)+MATCH($F86,_怪物类型!$A$2:$A$10,0))*IF($L86="",1,$L86),""))</f>
        <v/>
      </c>
      <c r="U86" s="74">
        <f>IF(OR($J86="",$F86="不适用"),"",IFERROR(INDEX(_怪物模型!$F$2:$F$4501,(INT($J86)-1)*ROWS(_怪物类型!$A$2:$A$10)+MATCH($F86,_怪物类型!$A$2:$A$10,0))*IF($M86="",1,$M86),""))</f>
        <v/>
      </c>
      <c r="V86" s="75">
        <f>IF($U86="","",MIN(0.75,$U86/($U86+24000)))</f>
        <v/>
      </c>
      <c r="W86" s="76">
        <f>IF($S86="","",$S86/(1-$V86)*IF($N86="",1,$N86))</f>
        <v/>
      </c>
      <c r="X86" s="76">
        <f>IF(OR($W86="",$Q86="",$Q86=0),"",$W86/$Q86)</f>
        <v/>
      </c>
      <c r="Y86" s="76">
        <f>IF(OR($R86="",$T86="",$T86=0),"",$R86/($T86*IF($O86="",1,$O86)))</f>
        <v/>
      </c>
      <c r="Z86" s="77">
        <f>IF(OR($X86="",$P86="",$P86=0),"",$X86/$P86)</f>
        <v/>
      </c>
      <c r="AA86" s="27">
        <f>IF($J86="","待填怪物等级",IF(OR($I86="",$Q86=""),"待填对照关卡",IF($P86="","已计算",IF(AND($Y86&lt;&gt;"",$Y86&lt;$X86),"生存不成立",IF($Z86&lt;0.5,"碾压",IF($Z86&lt;0.8,"偏简单",IF($Z86&lt;=1.2,"适中",IF($Z86&lt;=1.5,"偏难","过难"))))))))</f>
        <v/>
      </c>
      <c r="AB86" s="27">
        <f>IF($J86="","待填",IF(AND(ISNUMBER($J86),$J86&gt;=1,$J86&lt;=500,MOD($J86,1)=0),"有效","超范围"))</f>
        <v/>
      </c>
      <c r="AC86" s="27">
        <f>IF(OR($J86="",ROW()=5,$B86&lt;&gt;$B85,$J85=""),"",IF($J86&lt;$J85,"下降",""))</f>
        <v/>
      </c>
      <c r="AD86" s="28" t="inlineStr">
        <is>
          <t>2026-08-27 新玩家节点曲线校准；对照S82；等级163→127；保留原难度定位。  2026-08-31 推荐战力：本章Boss反查锚点p45-&gt;p52线性递增（60s击杀/扛20s）；</t>
        </is>
      </c>
      <c r="AE86" t="n">
        <v>126000</v>
      </c>
      <c r="AF86">
        <f>INDEX(_统一战力!$B$2:$B$501,J86)</f>
        <v/>
      </c>
    </row>
    <row r="87" ht="25" customHeight="1">
      <c r="A87" s="27" t="inlineStr">
        <is>
          <t>当前配置</t>
        </is>
      </c>
      <c r="B87" s="27" t="inlineStr">
        <is>
          <t>主线</t>
        </is>
      </c>
      <c r="C87" s="28" t="inlineStr">
        <is>
          <t>第六章</t>
        </is>
      </c>
      <c r="D87" s="28" t="inlineStr">
        <is>
          <t>6-14</t>
        </is>
      </c>
      <c r="E87" s="28" t="inlineStr">
        <is>
          <t>100614</t>
        </is>
      </c>
      <c r="F87" s="27" t="inlineStr">
        <is>
          <t>普通怪</t>
        </is>
      </c>
      <c r="G87" s="37" t="n">
        <v>83</v>
      </c>
      <c r="H87" s="38" t="n"/>
      <c r="I87" s="39">
        <f>IF($H87="",$G87,$H87)</f>
        <v/>
      </c>
      <c r="J87" s="40" t="n">
        <v>128</v>
      </c>
      <c r="K87" s="72" t="n">
        <v>0.976636235090301</v>
      </c>
      <c r="L87" s="72" t="n">
        <v>1.05672129853038</v>
      </c>
      <c r="M87" s="72" t="n">
        <v>1</v>
      </c>
      <c r="N87" s="73" t="n"/>
      <c r="O87" s="73" t="n"/>
      <c r="P87" s="73" t="n"/>
      <c r="Q87" s="74">
        <f>IF($I87="","",IFERROR(INDEX(_玩家曲线!$H$2:$H$286,MATCH($I87,_玩家曲线!$A$2:$A$286,0)),""))</f>
        <v/>
      </c>
      <c r="R87" s="74">
        <f>IF($I87="","",IFERROR(INDEX(_玩家曲线!$I$2:$I$286,MATCH($I87,_玩家曲线!$A$2:$A$286,0)),""))</f>
        <v/>
      </c>
      <c r="S87" s="74">
        <f>IF(OR($J87="",$F87="不适用"),"",IFERROR(INDEX(_怪物模型!$D$2:$D$4501,(INT($J87)-1)*ROWS(_怪物类型!$A$2:$A$10)+MATCH($F87,_怪物类型!$A$2:$A$10,0))*IF($K87="",1,$K87),""))</f>
        <v/>
      </c>
      <c r="T87" s="74">
        <f>IF(OR($J87="",$F87="不适用"),"",IFERROR(INDEX(_怪物模型!$E$2:$E$4501,(INT($J87)-1)*ROWS(_怪物类型!$A$2:$A$10)+MATCH($F87,_怪物类型!$A$2:$A$10,0))*IF($L87="",1,$L87),""))</f>
        <v/>
      </c>
      <c r="U87" s="74">
        <f>IF(OR($J87="",$F87="不适用"),"",IFERROR(INDEX(_怪物模型!$F$2:$F$4501,(INT($J87)-1)*ROWS(_怪物类型!$A$2:$A$10)+MATCH($F87,_怪物类型!$A$2:$A$10,0))*IF($M87="",1,$M87),""))</f>
        <v/>
      </c>
      <c r="V87" s="75">
        <f>IF($U87="","",MIN(0.75,$U87/($U87+24000)))</f>
        <v/>
      </c>
      <c r="W87" s="76">
        <f>IF($S87="","",$S87/(1-$V87)*IF($N87="",1,$N87))</f>
        <v/>
      </c>
      <c r="X87" s="76">
        <f>IF(OR($W87="",$Q87="",$Q87=0),"",$W87/$Q87)</f>
        <v/>
      </c>
      <c r="Y87" s="76">
        <f>IF(OR($R87="",$T87="",$T87=0),"",$R87/($T87*IF($O87="",1,$O87)))</f>
        <v/>
      </c>
      <c r="Z87" s="77">
        <f>IF(OR($X87="",$P87="",$P87=0),"",$X87/$P87)</f>
        <v/>
      </c>
      <c r="AA87" s="27">
        <f>IF($J87="","待填怪物等级",IF(OR($I87="",$Q87=""),"待填对照关卡",IF($P87="","已计算",IF(AND($Y87&lt;&gt;"",$Y87&lt;$X87),"生存不成立",IF($Z87&lt;0.5,"碾压",IF($Z87&lt;0.8,"偏简单",IF($Z87&lt;=1.2,"适中",IF($Z87&lt;=1.5,"偏难","过难"))))))))</f>
        <v/>
      </c>
      <c r="AB87" s="27">
        <f>IF($J87="","待填",IF(AND(ISNUMBER($J87),$J87&gt;=1,$J87&lt;=500,MOD($J87,1)=0),"有效","超范围"))</f>
        <v/>
      </c>
      <c r="AC87" s="27">
        <f>IF(OR($J87="",ROW()=5,$B87&lt;&gt;$B86,$J86=""),"",IF($J87&lt;$J86,"下降",""))</f>
        <v/>
      </c>
      <c r="AD87" s="28" t="inlineStr">
        <is>
          <t>2026-08-27 新玩家节点曲线校准；对照S83；等级164→128；保留原难度定位。  2026-08-31 推荐战力：本章Boss反查锚点p45-&gt;p52线性递增（60s击杀/扛20s）；</t>
        </is>
      </c>
      <c r="AE87" t="n">
        <v>128000</v>
      </c>
      <c r="AF87">
        <f>INDEX(_统一战力!$B$2:$B$501,J87)</f>
        <v/>
      </c>
    </row>
    <row r="88" ht="25" customHeight="1">
      <c r="A88" s="27" t="inlineStr">
        <is>
          <t>当前配置</t>
        </is>
      </c>
      <c r="B88" s="27" t="inlineStr">
        <is>
          <t>主线</t>
        </is>
      </c>
      <c r="C88" s="28" t="inlineStr">
        <is>
          <t>第六章</t>
        </is>
      </c>
      <c r="D88" s="28" t="inlineStr">
        <is>
          <t>6-15</t>
        </is>
      </c>
      <c r="E88" s="28" t="inlineStr">
        <is>
          <t>100615</t>
        </is>
      </c>
      <c r="F88" s="27" t="inlineStr">
        <is>
          <t>Boss</t>
        </is>
      </c>
      <c r="G88" s="37" t="n">
        <v>84</v>
      </c>
      <c r="H88" s="38" t="n"/>
      <c r="I88" s="39">
        <f>IF($H88="",$G88,$H88)</f>
        <v/>
      </c>
      <c r="J88" s="40" t="n">
        <v>133</v>
      </c>
      <c r="K88" s="72" t="n">
        <v>1.1748150808859</v>
      </c>
      <c r="L88" s="72" t="n">
        <v>0.902183217916966</v>
      </c>
      <c r="M88" s="72" t="n">
        <v>1</v>
      </c>
      <c r="N88" s="73" t="n"/>
      <c r="O88" s="73" t="n"/>
      <c r="P88" s="73" t="n"/>
      <c r="Q88" s="74">
        <f>IF($I88="","",IFERROR(INDEX(_玩家曲线!$H$2:$H$286,MATCH($I88,_玩家曲线!$A$2:$A$286,0)),""))</f>
        <v/>
      </c>
      <c r="R88" s="74">
        <f>IF($I88="","",IFERROR(INDEX(_玩家曲线!$I$2:$I$286,MATCH($I88,_玩家曲线!$A$2:$A$286,0)),""))</f>
        <v/>
      </c>
      <c r="S88" s="74">
        <f>IF(OR($J88="",$F88="不适用"),"",IFERROR(INDEX(_怪物模型!$D$2:$D$4501,(INT($J88)-1)*ROWS(_怪物类型!$A$2:$A$10)+MATCH($F88,_怪物类型!$A$2:$A$10,0))*IF($K88="",1,$K88),""))</f>
        <v/>
      </c>
      <c r="T88" s="74">
        <f>IF(OR($J88="",$F88="不适用"),"",IFERROR(INDEX(_怪物模型!$E$2:$E$4501,(INT($J88)-1)*ROWS(_怪物类型!$A$2:$A$10)+MATCH($F88,_怪物类型!$A$2:$A$10,0))*IF($L88="",1,$L88),""))</f>
        <v/>
      </c>
      <c r="U88" s="74">
        <f>IF(OR($J88="",$F88="不适用"),"",IFERROR(INDEX(_怪物模型!$F$2:$F$4501,(INT($J88)-1)*ROWS(_怪物类型!$A$2:$A$10)+MATCH($F88,_怪物类型!$A$2:$A$10,0))*IF($M88="",1,$M88),""))</f>
        <v/>
      </c>
      <c r="V88" s="75">
        <f>IF($U88="","",MIN(0.75,$U88/($U88+24000)))</f>
        <v/>
      </c>
      <c r="W88" s="76">
        <f>IF($S88="","",$S88/(1-$V88)*IF($N88="",1,$N88))</f>
        <v/>
      </c>
      <c r="X88" s="76">
        <f>IF(OR($W88="",$Q88="",$Q88=0),"",$W88/$Q88)</f>
        <v/>
      </c>
      <c r="Y88" s="76">
        <f>IF(OR($R88="",$T88="",$T88=0),"",$R88/($T88*IF($O88="",1,$O88)))</f>
        <v/>
      </c>
      <c r="Z88" s="77">
        <f>IF(OR($X88="",$P88="",$P88=0),"",$X88/$P88)</f>
        <v/>
      </c>
      <c r="AA88" s="27">
        <f>IF($J88="","待填怪物等级",IF(OR($I88="",$Q88=""),"待填对照关卡",IF($P88="","已计算",IF(AND($Y88&lt;&gt;"",$Y88&lt;$X88),"生存不成立",IF($Z88&lt;0.5,"碾压",IF($Z88&lt;0.8,"偏简单",IF($Z88&lt;=1.2,"适中",IF($Z88&lt;=1.5,"偏难","过难"))))))))</f>
        <v/>
      </c>
      <c r="AB88" s="27">
        <f>IF($J88="","待填",IF(AND(ISNUMBER($J88),$J88&gt;=1,$J88&lt;=500,MOD($J88,1)=0),"有效","超范围"))</f>
        <v/>
      </c>
      <c r="AC88" s="27">
        <f>IF(OR($J88="",ROW()=5,$B88&lt;&gt;$B87,$J87=""),"",IF($J88&lt;$J87,"下降",""))</f>
        <v/>
      </c>
      <c r="AD88" s="28" t="inlineStr">
        <is>
          <t>2026-08-27 新玩家节点曲线校准；对照S84；等级168→133；保留原难度定位。  2026-08-31 推荐战力：本章Boss反查锚点p45-&gt;p52线性递增（60s击杀/扛20s）；</t>
        </is>
      </c>
      <c r="AE88" t="n">
        <v>131000</v>
      </c>
      <c r="AF88">
        <f>INDEX(_统一战力!$B$2:$B$501,J88)</f>
        <v/>
      </c>
    </row>
    <row r="89" ht="25" customHeight="1">
      <c r="A89" s="27" t="inlineStr">
        <is>
          <t>当前配置</t>
        </is>
      </c>
      <c r="B89" s="27" t="inlineStr">
        <is>
          <t>主线</t>
        </is>
      </c>
      <c r="C89" s="28" t="inlineStr">
        <is>
          <t>第七章</t>
        </is>
      </c>
      <c r="D89" s="28" t="inlineStr">
        <is>
          <t>7-1</t>
        </is>
      </c>
      <c r="E89" s="28" t="inlineStr">
        <is>
          <t>100701</t>
        </is>
      </c>
      <c r="F89" s="27" t="inlineStr">
        <is>
          <t>普通怪</t>
        </is>
      </c>
      <c r="G89" s="37" t="n">
        <v>85</v>
      </c>
      <c r="H89" s="38" t="n"/>
      <c r="I89" s="39">
        <f>IF($H89="",$G89,$H89)</f>
        <v/>
      </c>
      <c r="J89" s="40" t="n">
        <v>133</v>
      </c>
      <c r="K89" s="72" t="n">
        <v>0.947775043967154</v>
      </c>
      <c r="L89" s="72" t="n">
        <v>1.0436561233515</v>
      </c>
      <c r="M89" s="72" t="n">
        <v>1</v>
      </c>
      <c r="N89" s="73" t="n"/>
      <c r="O89" s="73" t="n"/>
      <c r="P89" s="73" t="n"/>
      <c r="Q89" s="74">
        <f>IF($I89="","",IFERROR(INDEX(_玩家曲线!$H$2:$H$286,MATCH($I89,_玩家曲线!$A$2:$A$286,0)),""))</f>
        <v/>
      </c>
      <c r="R89" s="74">
        <f>IF($I89="","",IFERROR(INDEX(_玩家曲线!$I$2:$I$286,MATCH($I89,_玩家曲线!$A$2:$A$286,0)),""))</f>
        <v/>
      </c>
      <c r="S89" s="74">
        <f>IF(OR($J89="",$F89="不适用"),"",IFERROR(INDEX(_怪物模型!$D$2:$D$4501,(INT($J89)-1)*ROWS(_怪物类型!$A$2:$A$10)+MATCH($F89,_怪物类型!$A$2:$A$10,0))*IF($K89="",1,$K89),""))</f>
        <v/>
      </c>
      <c r="T89" s="74">
        <f>IF(OR($J89="",$F89="不适用"),"",IFERROR(INDEX(_怪物模型!$E$2:$E$4501,(INT($J89)-1)*ROWS(_怪物类型!$A$2:$A$10)+MATCH($F89,_怪物类型!$A$2:$A$10,0))*IF($L89="",1,$L89),""))</f>
        <v/>
      </c>
      <c r="U89" s="74">
        <f>IF(OR($J89="",$F89="不适用"),"",IFERROR(INDEX(_怪物模型!$F$2:$F$4501,(INT($J89)-1)*ROWS(_怪物类型!$A$2:$A$10)+MATCH($F89,_怪物类型!$A$2:$A$10,0))*IF($M89="",1,$M89),""))</f>
        <v/>
      </c>
      <c r="V89" s="75">
        <f>IF($U89="","",MIN(0.75,$U89/($U89+24000)))</f>
        <v/>
      </c>
      <c r="W89" s="76">
        <f>IF($S89="","",$S89/(1-$V89)*IF($N89="",1,$N89))</f>
        <v/>
      </c>
      <c r="X89" s="76">
        <f>IF(OR($W89="",$Q89="",$Q89=0),"",$W89/$Q89)</f>
        <v/>
      </c>
      <c r="Y89" s="76">
        <f>IF(OR($R89="",$T89="",$T89=0),"",$R89/($T89*IF($O89="",1,$O89)))</f>
        <v/>
      </c>
      <c r="Z89" s="77">
        <f>IF(OR($X89="",$P89="",$P89=0),"",$X89/$P89)</f>
        <v/>
      </c>
      <c r="AA89" s="27">
        <f>IF($J89="","待填怪物等级",IF(OR($I89="",$Q89=""),"待填对照关卡",IF($P89="","已计算",IF(AND($Y89&lt;&gt;"",$Y89&lt;$X89),"生存不成立",IF($Z89&lt;0.5,"碾压",IF($Z89&lt;0.8,"偏简单",IF($Z89&lt;=1.2,"适中",IF($Z89&lt;=1.5,"偏难","过难"))))))))</f>
        <v/>
      </c>
      <c r="AB89" s="27">
        <f>IF($J89="","待填",IF(AND(ISNUMBER($J89),$J89&gt;=1,$J89&lt;=500,MOD($J89,1)=0),"有效","超范围"))</f>
        <v/>
      </c>
      <c r="AC89" s="27">
        <f>IF(OR($J89="",ROW()=5,$B89&lt;&gt;$B88,$J88=""),"",IF($J89&lt;$J88,"下降",""))</f>
        <v/>
      </c>
      <c r="AD89" s="28" t="inlineStr">
        <is>
          <t>2026-08-27 新玩家节点曲线校准；对照S85；等级168→133；保留原难度定位。  2026-08-31 推荐战力：本章Boss反查锚点p52-&gt;p58线性递增（60s击杀/扛20s）；</t>
        </is>
      </c>
      <c r="AE89" t="n">
        <v>133000</v>
      </c>
      <c r="AF89">
        <f>INDEX(_统一战力!$B$2:$B$501,J89)</f>
        <v/>
      </c>
    </row>
    <row r="90" ht="25" customHeight="1">
      <c r="A90" s="27" t="inlineStr">
        <is>
          <t>当前配置</t>
        </is>
      </c>
      <c r="B90" s="27" t="inlineStr">
        <is>
          <t>主线</t>
        </is>
      </c>
      <c r="C90" s="28" t="inlineStr">
        <is>
          <t>第七章</t>
        </is>
      </c>
      <c r="D90" s="28" t="inlineStr">
        <is>
          <t>7-2</t>
        </is>
      </c>
      <c r="E90" s="28" t="inlineStr">
        <is>
          <t>100702</t>
        </is>
      </c>
      <c r="F90" s="27" t="inlineStr">
        <is>
          <t>普通怪</t>
        </is>
      </c>
      <c r="G90" s="37" t="n">
        <v>86</v>
      </c>
      <c r="H90" s="38" t="n"/>
      <c r="I90" s="39">
        <f>IF($H90="",$G90,$H90)</f>
        <v/>
      </c>
      <c r="J90" s="40" t="n">
        <v>133</v>
      </c>
      <c r="K90" s="72" t="n">
        <v>0.9435493601528619</v>
      </c>
      <c r="L90" s="72" t="n">
        <v>1.04000711171875</v>
      </c>
      <c r="M90" s="72" t="n">
        <v>1</v>
      </c>
      <c r="N90" s="73" t="n"/>
      <c r="O90" s="73" t="n"/>
      <c r="P90" s="73" t="n"/>
      <c r="Q90" s="74">
        <f>IF($I90="","",IFERROR(INDEX(_玩家曲线!$H$2:$H$286,MATCH($I90,_玩家曲线!$A$2:$A$286,0)),""))</f>
        <v/>
      </c>
      <c r="R90" s="74">
        <f>IF($I90="","",IFERROR(INDEX(_玩家曲线!$I$2:$I$286,MATCH($I90,_玩家曲线!$A$2:$A$286,0)),""))</f>
        <v/>
      </c>
      <c r="S90" s="74">
        <f>IF(OR($J90="",$F90="不适用"),"",IFERROR(INDEX(_怪物模型!$D$2:$D$4501,(INT($J90)-1)*ROWS(_怪物类型!$A$2:$A$10)+MATCH($F90,_怪物类型!$A$2:$A$10,0))*IF($K90="",1,$K90),""))</f>
        <v/>
      </c>
      <c r="T90" s="74">
        <f>IF(OR($J90="",$F90="不适用"),"",IFERROR(INDEX(_怪物模型!$E$2:$E$4501,(INT($J90)-1)*ROWS(_怪物类型!$A$2:$A$10)+MATCH($F90,_怪物类型!$A$2:$A$10,0))*IF($L90="",1,$L90),""))</f>
        <v/>
      </c>
      <c r="U90" s="74">
        <f>IF(OR($J90="",$F90="不适用"),"",IFERROR(INDEX(_怪物模型!$F$2:$F$4501,(INT($J90)-1)*ROWS(_怪物类型!$A$2:$A$10)+MATCH($F90,_怪物类型!$A$2:$A$10,0))*IF($M90="",1,$M90),""))</f>
        <v/>
      </c>
      <c r="V90" s="75">
        <f>IF($U90="","",MIN(0.75,$U90/($U90+24000)))</f>
        <v/>
      </c>
      <c r="W90" s="76">
        <f>IF($S90="","",$S90/(1-$V90)*IF($N90="",1,$N90))</f>
        <v/>
      </c>
      <c r="X90" s="76">
        <f>IF(OR($W90="",$Q90="",$Q90=0),"",$W90/$Q90)</f>
        <v/>
      </c>
      <c r="Y90" s="76">
        <f>IF(OR($R90="",$T90="",$T90=0),"",$R90/($T90*IF($O90="",1,$O90)))</f>
        <v/>
      </c>
      <c r="Z90" s="77">
        <f>IF(OR($X90="",$P90="",$P90=0),"",$X90/$P90)</f>
        <v/>
      </c>
      <c r="AA90" s="27">
        <f>IF($J90="","待填怪物等级",IF(OR($I90="",$Q90=""),"待填对照关卡",IF($P90="","已计算",IF(AND($Y90&lt;&gt;"",$Y90&lt;$X90),"生存不成立",IF($Z90&lt;0.5,"碾压",IF($Z90&lt;0.8,"偏简单",IF($Z90&lt;=1.2,"适中",IF($Z90&lt;=1.5,"偏难","过难"))))))))</f>
        <v/>
      </c>
      <c r="AB90" s="27">
        <f>IF($J90="","待填",IF(AND(ISNUMBER($J90),$J90&gt;=1,$J90&lt;=500,MOD($J90,1)=0),"有效","超范围"))</f>
        <v/>
      </c>
      <c r="AC90" s="27">
        <f>IF(OR($J90="",ROW()=5,$B90&lt;&gt;$B89,$J89=""),"",IF($J90&lt;$J89,"下降",""))</f>
        <v/>
      </c>
      <c r="AD90" s="28" t="inlineStr">
        <is>
          <t>2026-08-27 新玩家节点曲线校准；对照S86；等级168→133；保留原难度定位。  2026-08-31 推荐战力：本章Boss反查锚点p52-&gt;p58线性递增（60s击杀/扛20s）；</t>
        </is>
      </c>
      <c r="AE90" t="n">
        <v>135000</v>
      </c>
      <c r="AF90">
        <f>INDEX(_统一战力!$B$2:$B$501,J90)</f>
        <v/>
      </c>
    </row>
    <row r="91" ht="25" customHeight="1">
      <c r="A91" s="27" t="inlineStr">
        <is>
          <t>当前配置</t>
        </is>
      </c>
      <c r="B91" s="27" t="inlineStr">
        <is>
          <t>主线</t>
        </is>
      </c>
      <c r="C91" s="28" t="inlineStr">
        <is>
          <t>第七章</t>
        </is>
      </c>
      <c r="D91" s="28" t="inlineStr">
        <is>
          <t>7-3</t>
        </is>
      </c>
      <c r="E91" s="28" t="inlineStr">
        <is>
          <t>100703</t>
        </is>
      </c>
      <c r="F91" s="27" t="inlineStr">
        <is>
          <t>普通怪</t>
        </is>
      </c>
      <c r="G91" s="37" t="n">
        <v>87</v>
      </c>
      <c r="H91" s="38" t="n"/>
      <c r="I91" s="39">
        <f>IF($H91="",$G91,$H91)</f>
        <v/>
      </c>
      <c r="J91" s="40" t="n">
        <v>133</v>
      </c>
      <c r="K91" s="72" t="n">
        <v>0.970768482890477</v>
      </c>
      <c r="L91" s="72" t="n">
        <v>1.06041226003755</v>
      </c>
      <c r="M91" s="72" t="n">
        <v>1</v>
      </c>
      <c r="N91" s="73" t="n"/>
      <c r="O91" s="73" t="n"/>
      <c r="P91" s="73" t="n"/>
      <c r="Q91" s="74">
        <f>IF($I91="","",IFERROR(INDEX(_玩家曲线!$H$2:$H$286,MATCH($I91,_玩家曲线!$A$2:$A$286,0)),""))</f>
        <v/>
      </c>
      <c r="R91" s="74">
        <f>IF($I91="","",IFERROR(INDEX(_玩家曲线!$I$2:$I$286,MATCH($I91,_玩家曲线!$A$2:$A$286,0)),""))</f>
        <v/>
      </c>
      <c r="S91" s="74">
        <f>IF(OR($J91="",$F91="不适用"),"",IFERROR(INDEX(_怪物模型!$D$2:$D$4501,(INT($J91)-1)*ROWS(_怪物类型!$A$2:$A$10)+MATCH($F91,_怪物类型!$A$2:$A$10,0))*IF($K91="",1,$K91),""))</f>
        <v/>
      </c>
      <c r="T91" s="74">
        <f>IF(OR($J91="",$F91="不适用"),"",IFERROR(INDEX(_怪物模型!$E$2:$E$4501,(INT($J91)-1)*ROWS(_怪物类型!$A$2:$A$10)+MATCH($F91,_怪物类型!$A$2:$A$10,0))*IF($L91="",1,$L91),""))</f>
        <v/>
      </c>
      <c r="U91" s="74">
        <f>IF(OR($J91="",$F91="不适用"),"",IFERROR(INDEX(_怪物模型!$F$2:$F$4501,(INT($J91)-1)*ROWS(_怪物类型!$A$2:$A$10)+MATCH($F91,_怪物类型!$A$2:$A$10,0))*IF($M91="",1,$M91),""))</f>
        <v/>
      </c>
      <c r="V91" s="75">
        <f>IF($U91="","",MIN(0.75,$U91/($U91+24000)))</f>
        <v/>
      </c>
      <c r="W91" s="76">
        <f>IF($S91="","",$S91/(1-$V91)*IF($N91="",1,$N91))</f>
        <v/>
      </c>
      <c r="X91" s="76">
        <f>IF(OR($W91="",$Q91="",$Q91=0),"",$W91/$Q91)</f>
        <v/>
      </c>
      <c r="Y91" s="76">
        <f>IF(OR($R91="",$T91="",$T91=0),"",$R91/($T91*IF($O91="",1,$O91)))</f>
        <v/>
      </c>
      <c r="Z91" s="77">
        <f>IF(OR($X91="",$P91="",$P91=0),"",$X91/$P91)</f>
        <v/>
      </c>
      <c r="AA91" s="27">
        <f>IF($J91="","待填怪物等级",IF(OR($I91="",$Q91=""),"待填对照关卡",IF($P91="","已计算",IF(AND($Y91&lt;&gt;"",$Y91&lt;$X91),"生存不成立",IF($Z91&lt;0.5,"碾压",IF($Z91&lt;0.8,"偏简单",IF($Z91&lt;=1.2,"适中",IF($Z91&lt;=1.5,"偏难","过难"))))))))</f>
        <v/>
      </c>
      <c r="AB91" s="27">
        <f>IF($J91="","待填",IF(AND(ISNUMBER($J91),$J91&gt;=1,$J91&lt;=500,MOD($J91,1)=0),"有效","超范围"))</f>
        <v/>
      </c>
      <c r="AC91" s="27">
        <f>IF(OR($J91="",ROW()=5,$B91&lt;&gt;$B90,$J90=""),"",IF($J91&lt;$J90,"下降",""))</f>
        <v/>
      </c>
      <c r="AD91" s="28" t="inlineStr">
        <is>
          <t>2026-08-27 新玩家节点曲线校准；对照S87；等级170→133；保留原难度定位。  2026-08-31 推荐战力：本章Boss反查锚点p52-&gt;p58线性递增（60s击杀/扛20s）；</t>
        </is>
      </c>
      <c r="AE91" t="n">
        <v>137000</v>
      </c>
      <c r="AF91">
        <f>INDEX(_统一战力!$B$2:$B$501,J91)</f>
        <v/>
      </c>
    </row>
    <row r="92" ht="25" customHeight="1">
      <c r="A92" s="27" t="inlineStr">
        <is>
          <t>当前配置</t>
        </is>
      </c>
      <c r="B92" s="27" t="inlineStr">
        <is>
          <t>主线</t>
        </is>
      </c>
      <c r="C92" s="28" t="inlineStr">
        <is>
          <t>第七章</t>
        </is>
      </c>
      <c r="D92" s="28" t="inlineStr">
        <is>
          <t>7-4</t>
        </is>
      </c>
      <c r="E92" s="28" t="inlineStr">
        <is>
          <t>100704</t>
        </is>
      </c>
      <c r="F92" s="27" t="inlineStr">
        <is>
          <t>普通怪</t>
        </is>
      </c>
      <c r="G92" s="37" t="n">
        <v>88</v>
      </c>
      <c r="H92" s="38" t="n"/>
      <c r="I92" s="39">
        <f>IF($H92="",$G92,$H92)</f>
        <v/>
      </c>
      <c r="J92" s="40" t="n">
        <v>133</v>
      </c>
      <c r="K92" s="72" t="n">
        <v>0.967339578171009</v>
      </c>
      <c r="L92" s="72" t="n">
        <v>1.05756079087802</v>
      </c>
      <c r="M92" s="72" t="n">
        <v>1</v>
      </c>
      <c r="N92" s="73" t="n"/>
      <c r="O92" s="73" t="n"/>
      <c r="P92" s="73" t="n"/>
      <c r="Q92" s="74">
        <f>IF($I92="","",IFERROR(INDEX(_玩家曲线!$H$2:$H$286,MATCH($I92,_玩家曲线!$A$2:$A$286,0)),""))</f>
        <v/>
      </c>
      <c r="R92" s="74">
        <f>IF($I92="","",IFERROR(INDEX(_玩家曲线!$I$2:$I$286,MATCH($I92,_玩家曲线!$A$2:$A$286,0)),""))</f>
        <v/>
      </c>
      <c r="S92" s="74">
        <f>IF(OR($J92="",$F92="不适用"),"",IFERROR(INDEX(_怪物模型!$D$2:$D$4501,(INT($J92)-1)*ROWS(_怪物类型!$A$2:$A$10)+MATCH($F92,_怪物类型!$A$2:$A$10,0))*IF($K92="",1,$K92),""))</f>
        <v/>
      </c>
      <c r="T92" s="74">
        <f>IF(OR($J92="",$F92="不适用"),"",IFERROR(INDEX(_怪物模型!$E$2:$E$4501,(INT($J92)-1)*ROWS(_怪物类型!$A$2:$A$10)+MATCH($F92,_怪物类型!$A$2:$A$10,0))*IF($L92="",1,$L92),""))</f>
        <v/>
      </c>
      <c r="U92" s="74">
        <f>IF(OR($J92="",$F92="不适用"),"",IFERROR(INDEX(_怪物模型!$F$2:$F$4501,(INT($J92)-1)*ROWS(_怪物类型!$A$2:$A$10)+MATCH($F92,_怪物类型!$A$2:$A$10,0))*IF($M92="",1,$M92),""))</f>
        <v/>
      </c>
      <c r="V92" s="75">
        <f>IF($U92="","",MIN(0.75,$U92/($U92+24000)))</f>
        <v/>
      </c>
      <c r="W92" s="76">
        <f>IF($S92="","",$S92/(1-$V92)*IF($N92="",1,$N92))</f>
        <v/>
      </c>
      <c r="X92" s="76">
        <f>IF(OR($W92="",$Q92="",$Q92=0),"",$W92/$Q92)</f>
        <v/>
      </c>
      <c r="Y92" s="76">
        <f>IF(OR($R92="",$T92="",$T92=0),"",$R92/($T92*IF($O92="",1,$O92)))</f>
        <v/>
      </c>
      <c r="Z92" s="77">
        <f>IF(OR($X92="",$P92="",$P92=0),"",$X92/$P92)</f>
        <v/>
      </c>
      <c r="AA92" s="27">
        <f>IF($J92="","待填怪物等级",IF(OR($I92="",$Q92=""),"待填对照关卡",IF($P92="","已计算",IF(AND($Y92&lt;&gt;"",$Y92&lt;$X92),"生存不成立",IF($Z92&lt;0.5,"碾压",IF($Z92&lt;0.8,"偏简单",IF($Z92&lt;=1.2,"适中",IF($Z92&lt;=1.5,"偏难","过难"))))))))</f>
        <v/>
      </c>
      <c r="AB92" s="27">
        <f>IF($J92="","待填",IF(AND(ISNUMBER($J92),$J92&gt;=1,$J92&lt;=500,MOD($J92,1)=0),"有效","超范围"))</f>
        <v/>
      </c>
      <c r="AC92" s="27">
        <f>IF(OR($J92="",ROW()=5,$B92&lt;&gt;$B91,$J91=""),"",IF($J92&lt;$J91,"下降",""))</f>
        <v/>
      </c>
      <c r="AD92" s="28" t="inlineStr">
        <is>
          <t>2026-08-27 新玩家节点曲线校准；对照S88；等级170→133；保留原难度定位。  2026-08-31 推荐战力：本章Boss反查锚点p52-&gt;p58线性递增（60s击杀/扛20s）；</t>
        </is>
      </c>
      <c r="AE92" t="n">
        <v>139000</v>
      </c>
      <c r="AF92">
        <f>INDEX(_统一战力!$B$2:$B$501,J92)</f>
        <v/>
      </c>
    </row>
    <row r="93" ht="25" customHeight="1">
      <c r="A93" s="27" t="inlineStr">
        <is>
          <t>当前配置</t>
        </is>
      </c>
      <c r="B93" s="27" t="inlineStr">
        <is>
          <t>主线</t>
        </is>
      </c>
      <c r="C93" s="28" t="inlineStr">
        <is>
          <t>第七章</t>
        </is>
      </c>
      <c r="D93" s="28" t="inlineStr">
        <is>
          <t>7-5</t>
        </is>
      </c>
      <c r="E93" s="28" t="inlineStr">
        <is>
          <t>100705</t>
        </is>
      </c>
      <c r="F93" s="27" t="inlineStr">
        <is>
          <t>普通怪</t>
        </is>
      </c>
      <c r="G93" s="37" t="n">
        <v>89</v>
      </c>
      <c r="H93" s="38" t="n"/>
      <c r="I93" s="39">
        <f>IF($H93="",$G93,$H93)</f>
        <v/>
      </c>
      <c r="J93" s="40" t="n">
        <v>134</v>
      </c>
      <c r="K93" s="72" t="n">
        <v>0.977506048617982</v>
      </c>
      <c r="L93" s="72" t="n">
        <v>1.06679101480297</v>
      </c>
      <c r="M93" s="72" t="n">
        <v>1</v>
      </c>
      <c r="N93" s="73" t="n"/>
      <c r="O93" s="73" t="n"/>
      <c r="P93" s="73" t="n"/>
      <c r="Q93" s="74">
        <f>IF($I93="","",IFERROR(INDEX(_玩家曲线!$H$2:$H$286,MATCH($I93,_玩家曲线!$A$2:$A$286,0)),""))</f>
        <v/>
      </c>
      <c r="R93" s="74">
        <f>IF($I93="","",IFERROR(INDEX(_玩家曲线!$I$2:$I$286,MATCH($I93,_玩家曲线!$A$2:$A$286,0)),""))</f>
        <v/>
      </c>
      <c r="S93" s="74">
        <f>IF(OR($J93="",$F93="不适用"),"",IFERROR(INDEX(_怪物模型!$D$2:$D$4501,(INT($J93)-1)*ROWS(_怪物类型!$A$2:$A$10)+MATCH($F93,_怪物类型!$A$2:$A$10,0))*IF($K93="",1,$K93),""))</f>
        <v/>
      </c>
      <c r="T93" s="74">
        <f>IF(OR($J93="",$F93="不适用"),"",IFERROR(INDEX(_怪物模型!$E$2:$E$4501,(INT($J93)-1)*ROWS(_怪物类型!$A$2:$A$10)+MATCH($F93,_怪物类型!$A$2:$A$10,0))*IF($L93="",1,$L93),""))</f>
        <v/>
      </c>
      <c r="U93" s="74">
        <f>IF(OR($J93="",$F93="不适用"),"",IFERROR(INDEX(_怪物模型!$F$2:$F$4501,(INT($J93)-1)*ROWS(_怪物类型!$A$2:$A$10)+MATCH($F93,_怪物类型!$A$2:$A$10,0))*IF($M93="",1,$M93),""))</f>
        <v/>
      </c>
      <c r="V93" s="75">
        <f>IF($U93="","",MIN(0.75,$U93/($U93+24000)))</f>
        <v/>
      </c>
      <c r="W93" s="76">
        <f>IF($S93="","",$S93/(1-$V93)*IF($N93="",1,$N93))</f>
        <v/>
      </c>
      <c r="X93" s="76">
        <f>IF(OR($W93="",$Q93="",$Q93=0),"",$W93/$Q93)</f>
        <v/>
      </c>
      <c r="Y93" s="76">
        <f>IF(OR($R93="",$T93="",$T93=0),"",$R93/($T93*IF($O93="",1,$O93)))</f>
        <v/>
      </c>
      <c r="Z93" s="77">
        <f>IF(OR($X93="",$P93="",$P93=0),"",$X93/$P93)</f>
        <v/>
      </c>
      <c r="AA93" s="27">
        <f>IF($J93="","待填怪物等级",IF(OR($I93="",$Q93=""),"待填对照关卡",IF($P93="","已计算",IF(AND($Y93&lt;&gt;"",$Y93&lt;$X93),"生存不成立",IF($Z93&lt;0.5,"碾压",IF($Z93&lt;0.8,"偏简单",IF($Z93&lt;=1.2,"适中",IF($Z93&lt;=1.5,"偏难","过难"))))))))</f>
        <v/>
      </c>
      <c r="AB93" s="27">
        <f>IF($J93="","待填",IF(AND(ISNUMBER($J93),$J93&gt;=1,$J93&lt;=500,MOD($J93,1)=0),"有效","超范围"))</f>
        <v/>
      </c>
      <c r="AC93" s="27">
        <f>IF(OR($J93="",ROW()=5,$B93&lt;&gt;$B92,$J92=""),"",IF($J93&lt;$J92,"下降",""))</f>
        <v/>
      </c>
      <c r="AD93" s="28" t="inlineStr">
        <is>
          <t>2026-08-27 新玩家节点曲线校准；对照S89；等级172→134；保留原难度定位。  2026-08-31 推荐战力：本章Boss反查锚点p52-&gt;p58线性递增（60s击杀/扛20s）；</t>
        </is>
      </c>
      <c r="AE93" t="n">
        <v>141000</v>
      </c>
      <c r="AF93">
        <f>INDEX(_统一战力!$B$2:$B$501,J93)</f>
        <v/>
      </c>
    </row>
    <row r="94" ht="25" customHeight="1">
      <c r="A94" s="27" t="inlineStr">
        <is>
          <t>当前配置</t>
        </is>
      </c>
      <c r="B94" s="27" t="inlineStr">
        <is>
          <t>主线</t>
        </is>
      </c>
      <c r="C94" s="28" t="inlineStr">
        <is>
          <t>第七章</t>
        </is>
      </c>
      <c r="D94" s="28" t="inlineStr">
        <is>
          <t>7-6</t>
        </is>
      </c>
      <c r="E94" s="28" t="inlineStr">
        <is>
          <t>100706</t>
        </is>
      </c>
      <c r="F94" s="27" t="inlineStr">
        <is>
          <t>普通怪</t>
        </is>
      </c>
      <c r="G94" s="37" t="n">
        <v>90</v>
      </c>
      <c r="H94" s="38" t="n"/>
      <c r="I94" s="39">
        <f>IF($H94="",$G94,$H94)</f>
        <v/>
      </c>
      <c r="J94" s="40" t="n">
        <v>135</v>
      </c>
      <c r="K94" s="72" t="n">
        <v>0.97245051663214</v>
      </c>
      <c r="L94" s="72" t="n">
        <v>1.0644370418593</v>
      </c>
      <c r="M94" s="72" t="n">
        <v>1</v>
      </c>
      <c r="N94" s="73" t="n"/>
      <c r="O94" s="73" t="n"/>
      <c r="P94" s="73" t="n"/>
      <c r="Q94" s="74">
        <f>IF($I94="","",IFERROR(INDEX(_玩家曲线!$H$2:$H$286,MATCH($I94,_玩家曲线!$A$2:$A$286,0)),""))</f>
        <v/>
      </c>
      <c r="R94" s="74">
        <f>IF($I94="","",IFERROR(INDEX(_玩家曲线!$I$2:$I$286,MATCH($I94,_玩家曲线!$A$2:$A$286,0)),""))</f>
        <v/>
      </c>
      <c r="S94" s="74">
        <f>IF(OR($J94="",$F94="不适用"),"",IFERROR(INDEX(_怪物模型!$D$2:$D$4501,(INT($J94)-1)*ROWS(_怪物类型!$A$2:$A$10)+MATCH($F94,_怪物类型!$A$2:$A$10,0))*IF($K94="",1,$K94),""))</f>
        <v/>
      </c>
      <c r="T94" s="74">
        <f>IF(OR($J94="",$F94="不适用"),"",IFERROR(INDEX(_怪物模型!$E$2:$E$4501,(INT($J94)-1)*ROWS(_怪物类型!$A$2:$A$10)+MATCH($F94,_怪物类型!$A$2:$A$10,0))*IF($L94="",1,$L94),""))</f>
        <v/>
      </c>
      <c r="U94" s="74">
        <f>IF(OR($J94="",$F94="不适用"),"",IFERROR(INDEX(_怪物模型!$F$2:$F$4501,(INT($J94)-1)*ROWS(_怪物类型!$A$2:$A$10)+MATCH($F94,_怪物类型!$A$2:$A$10,0))*IF($M94="",1,$M94),""))</f>
        <v/>
      </c>
      <c r="V94" s="75">
        <f>IF($U94="","",MIN(0.75,$U94/($U94+24000)))</f>
        <v/>
      </c>
      <c r="W94" s="76">
        <f>IF($S94="","",$S94/(1-$V94)*IF($N94="",1,$N94))</f>
        <v/>
      </c>
      <c r="X94" s="76">
        <f>IF(OR($W94="",$Q94="",$Q94=0),"",$W94/$Q94)</f>
        <v/>
      </c>
      <c r="Y94" s="76">
        <f>IF(OR($R94="",$T94="",$T94=0),"",$R94/($T94*IF($O94="",1,$O94)))</f>
        <v/>
      </c>
      <c r="Z94" s="77">
        <f>IF(OR($X94="",$P94="",$P94=0),"",$X94/$P94)</f>
        <v/>
      </c>
      <c r="AA94" s="27">
        <f>IF($J94="","待填怪物等级",IF(OR($I94="",$Q94=""),"待填对照关卡",IF($P94="","已计算",IF(AND($Y94&lt;&gt;"",$Y94&lt;$X94),"生存不成立",IF($Z94&lt;0.5,"碾压",IF($Z94&lt;0.8,"偏简单",IF($Z94&lt;=1.2,"适中",IF($Z94&lt;=1.5,"偏难","过难"))))))))</f>
        <v/>
      </c>
      <c r="AB94" s="27">
        <f>IF($J94="","待填",IF(AND(ISNUMBER($J94),$J94&gt;=1,$J94&lt;=500,MOD($J94,1)=0),"有效","超范围"))</f>
        <v/>
      </c>
      <c r="AC94" s="27">
        <f>IF(OR($J94="",ROW()=5,$B94&lt;&gt;$B93,$J93=""),"",IF($J94&lt;$J93,"下降",""))</f>
        <v/>
      </c>
      <c r="AD94" s="28" t="inlineStr">
        <is>
          <t>2026-08-27 新玩家节点曲线校准；对照S90；等级173→135；保留原难度定位。  2026-08-31 推荐战力：本章Boss反查锚点p52-&gt;p58线性递增（60s击杀/扛20s）；</t>
        </is>
      </c>
      <c r="AE94" t="n">
        <v>143000</v>
      </c>
      <c r="AF94">
        <f>INDEX(_统一战力!$B$2:$B$501,J94)</f>
        <v/>
      </c>
    </row>
    <row r="95" ht="25" customHeight="1">
      <c r="A95" s="27" t="inlineStr">
        <is>
          <t>当前配置</t>
        </is>
      </c>
      <c r="B95" s="27" t="inlineStr">
        <is>
          <t>主线</t>
        </is>
      </c>
      <c r="C95" s="28" t="inlineStr">
        <is>
          <t>第七章</t>
        </is>
      </c>
      <c r="D95" s="28" t="inlineStr">
        <is>
          <t>7-7</t>
        </is>
      </c>
      <c r="E95" s="28" t="inlineStr">
        <is>
          <t>100707</t>
        </is>
      </c>
      <c r="F95" s="27" t="inlineStr">
        <is>
          <t>普通怪</t>
        </is>
      </c>
      <c r="G95" s="37" t="n">
        <v>91</v>
      </c>
      <c r="H95" s="38" t="n"/>
      <c r="I95" s="39">
        <f>IF($H95="",$G95,$H95)</f>
        <v/>
      </c>
      <c r="J95" s="40" t="n">
        <v>136</v>
      </c>
      <c r="K95" s="72" t="n">
        <v>0.967815583254906</v>
      </c>
      <c r="L95" s="72" t="n">
        <v>1.0625295132139</v>
      </c>
      <c r="M95" s="72" t="n">
        <v>1</v>
      </c>
      <c r="N95" s="73" t="n"/>
      <c r="O95" s="73" t="n"/>
      <c r="P95" s="73" t="n"/>
      <c r="Q95" s="74">
        <f>IF($I95="","",IFERROR(INDEX(_玩家曲线!$H$2:$H$286,MATCH($I95,_玩家曲线!$A$2:$A$286,0)),""))</f>
        <v/>
      </c>
      <c r="R95" s="74">
        <f>IF($I95="","",IFERROR(INDEX(_玩家曲线!$I$2:$I$286,MATCH($I95,_玩家曲线!$A$2:$A$286,0)),""))</f>
        <v/>
      </c>
      <c r="S95" s="74">
        <f>IF(OR($J95="",$F95="不适用"),"",IFERROR(INDEX(_怪物模型!$D$2:$D$4501,(INT($J95)-1)*ROWS(_怪物类型!$A$2:$A$10)+MATCH($F95,_怪物类型!$A$2:$A$10,0))*IF($K95="",1,$K95),""))</f>
        <v/>
      </c>
      <c r="T95" s="74">
        <f>IF(OR($J95="",$F95="不适用"),"",IFERROR(INDEX(_怪物模型!$E$2:$E$4501,(INT($J95)-1)*ROWS(_怪物类型!$A$2:$A$10)+MATCH($F95,_怪物类型!$A$2:$A$10,0))*IF($L95="",1,$L95),""))</f>
        <v/>
      </c>
      <c r="U95" s="74">
        <f>IF(OR($J95="",$F95="不适用"),"",IFERROR(INDEX(_怪物模型!$F$2:$F$4501,(INT($J95)-1)*ROWS(_怪物类型!$A$2:$A$10)+MATCH($F95,_怪物类型!$A$2:$A$10,0))*IF($M95="",1,$M95),""))</f>
        <v/>
      </c>
      <c r="V95" s="75">
        <f>IF($U95="","",MIN(0.75,$U95/($U95+24000)))</f>
        <v/>
      </c>
      <c r="W95" s="76">
        <f>IF($S95="","",$S95/(1-$V95)*IF($N95="",1,$N95))</f>
        <v/>
      </c>
      <c r="X95" s="76">
        <f>IF(OR($W95="",$Q95="",$Q95=0),"",$W95/$Q95)</f>
        <v/>
      </c>
      <c r="Y95" s="76">
        <f>IF(OR($R95="",$T95="",$T95=0),"",$R95/($T95*IF($O95="",1,$O95)))</f>
        <v/>
      </c>
      <c r="Z95" s="77">
        <f>IF(OR($X95="",$P95="",$P95=0),"",$X95/$P95)</f>
        <v/>
      </c>
      <c r="AA95" s="27">
        <f>IF($J95="","待填怪物等级",IF(OR($I95="",$Q95=""),"待填对照关卡",IF($P95="","已计算",IF(AND($Y95&lt;&gt;"",$Y95&lt;$X95),"生存不成立",IF($Z95&lt;0.5,"碾压",IF($Z95&lt;0.8,"偏简单",IF($Z95&lt;=1.2,"适中",IF($Z95&lt;=1.5,"偏难","过难"))))))))</f>
        <v/>
      </c>
      <c r="AB95" s="27">
        <f>IF($J95="","待填",IF(AND(ISNUMBER($J95),$J95&gt;=1,$J95&lt;=500,MOD($J95,1)=0),"有效","超范围"))</f>
        <v/>
      </c>
      <c r="AC95" s="27">
        <f>IF(OR($J95="",ROW()=5,$B95&lt;&gt;$B94,$J94=""),"",IF($J95&lt;$J94,"下降",""))</f>
        <v/>
      </c>
      <c r="AD95" s="28" t="inlineStr">
        <is>
          <t>2026-08-27 新玩家节点曲线校准；对照S91；等级174→136；保留原难度定位。  2026-08-31 推荐战力：本章Boss反查锚点p52-&gt;p58线性递增（60s击杀/扛20s）；</t>
        </is>
      </c>
      <c r="AE95" t="n">
        <v>145000</v>
      </c>
      <c r="AF95">
        <f>INDEX(_统一战力!$B$2:$B$501,J95)</f>
        <v/>
      </c>
    </row>
    <row r="96" ht="25" customHeight="1">
      <c r="A96" s="27" t="inlineStr">
        <is>
          <t>当前配置</t>
        </is>
      </c>
      <c r="B96" s="27" t="inlineStr">
        <is>
          <t>主线</t>
        </is>
      </c>
      <c r="C96" s="28" t="inlineStr">
        <is>
          <t>第七章</t>
        </is>
      </c>
      <c r="D96" s="28" t="inlineStr">
        <is>
          <t>7-8</t>
        </is>
      </c>
      <c r="E96" s="28" t="inlineStr">
        <is>
          <t>100708</t>
        </is>
      </c>
      <c r="F96" s="27" t="inlineStr">
        <is>
          <t>普通怪</t>
        </is>
      </c>
      <c r="G96" s="37" t="n">
        <v>92</v>
      </c>
      <c r="H96" s="38" t="n"/>
      <c r="I96" s="39">
        <f>IF($H96="",$G96,$H96)</f>
        <v/>
      </c>
      <c r="J96" s="40" t="n">
        <v>136</v>
      </c>
      <c r="K96" s="72" t="n">
        <v>0.981523350475477</v>
      </c>
      <c r="L96" s="72" t="n">
        <v>1.07292121318402</v>
      </c>
      <c r="M96" s="72" t="n">
        <v>1</v>
      </c>
      <c r="N96" s="73" t="n"/>
      <c r="O96" s="73" t="n"/>
      <c r="P96" s="73" t="n"/>
      <c r="Q96" s="74">
        <f>IF($I96="","",IFERROR(INDEX(_玩家曲线!$H$2:$H$286,MATCH($I96,_玩家曲线!$A$2:$A$286,0)),""))</f>
        <v/>
      </c>
      <c r="R96" s="74">
        <f>IF($I96="","",IFERROR(INDEX(_玩家曲线!$I$2:$I$286,MATCH($I96,_玩家曲线!$A$2:$A$286,0)),""))</f>
        <v/>
      </c>
      <c r="S96" s="74">
        <f>IF(OR($J96="",$F96="不适用"),"",IFERROR(INDEX(_怪物模型!$D$2:$D$4501,(INT($J96)-1)*ROWS(_怪物类型!$A$2:$A$10)+MATCH($F96,_怪物类型!$A$2:$A$10,0))*IF($K96="",1,$K96),""))</f>
        <v/>
      </c>
      <c r="T96" s="74">
        <f>IF(OR($J96="",$F96="不适用"),"",IFERROR(INDEX(_怪物模型!$E$2:$E$4501,(INT($J96)-1)*ROWS(_怪物类型!$A$2:$A$10)+MATCH($F96,_怪物类型!$A$2:$A$10,0))*IF($L96="",1,$L96),""))</f>
        <v/>
      </c>
      <c r="U96" s="74">
        <f>IF(OR($J96="",$F96="不适用"),"",IFERROR(INDEX(_怪物模型!$F$2:$F$4501,(INT($J96)-1)*ROWS(_怪物类型!$A$2:$A$10)+MATCH($F96,_怪物类型!$A$2:$A$10,0))*IF($M96="",1,$M96),""))</f>
        <v/>
      </c>
      <c r="V96" s="75">
        <f>IF($U96="","",MIN(0.75,$U96/($U96+24000)))</f>
        <v/>
      </c>
      <c r="W96" s="76">
        <f>IF($S96="","",$S96/(1-$V96)*IF($N96="",1,$N96))</f>
        <v/>
      </c>
      <c r="X96" s="76">
        <f>IF(OR($W96="",$Q96="",$Q96=0),"",$W96/$Q96)</f>
        <v/>
      </c>
      <c r="Y96" s="76">
        <f>IF(OR($R96="",$T96="",$T96=0),"",$R96/($T96*IF($O96="",1,$O96)))</f>
        <v/>
      </c>
      <c r="Z96" s="77">
        <f>IF(OR($X96="",$P96="",$P96=0),"",$X96/$P96)</f>
        <v/>
      </c>
      <c r="AA96" s="27">
        <f>IF($J96="","待填怪物等级",IF(OR($I96="",$Q96=""),"待填对照关卡",IF($P96="","已计算",IF(AND($Y96&lt;&gt;"",$Y96&lt;$X96),"生存不成立",IF($Z96&lt;0.5,"碾压",IF($Z96&lt;0.8,"偏简单",IF($Z96&lt;=1.2,"适中",IF($Z96&lt;=1.5,"偏难","过难"))))))))</f>
        <v/>
      </c>
      <c r="AB96" s="27">
        <f>IF($J96="","待填",IF(AND(ISNUMBER($J96),$J96&gt;=1,$J96&lt;=500,MOD($J96,1)=0),"有效","超范围"))</f>
        <v/>
      </c>
      <c r="AC96" s="27">
        <f>IF(OR($J96="",ROW()=5,$B96&lt;&gt;$B95,$J95=""),"",IF($J96&lt;$J95,"下降",""))</f>
        <v/>
      </c>
      <c r="AD96" s="28" t="inlineStr">
        <is>
          <t>2026-08-27 新玩家节点曲线校准；对照S92；等级175→136；保留原难度定位。  2026-08-31 推荐战力：本章Boss反查锚点p52-&gt;p58线性递增（60s击杀/扛20s）；</t>
        </is>
      </c>
      <c r="AE96" t="n">
        <v>147000</v>
      </c>
      <c r="AF96">
        <f>INDEX(_统一战力!$B$2:$B$501,J96)</f>
        <v/>
      </c>
    </row>
    <row r="97" ht="25" customHeight="1">
      <c r="A97" s="27" t="inlineStr">
        <is>
          <t>当前配置</t>
        </is>
      </c>
      <c r="B97" s="27" t="inlineStr">
        <is>
          <t>主线</t>
        </is>
      </c>
      <c r="C97" s="28" t="inlineStr">
        <is>
          <t>第七章</t>
        </is>
      </c>
      <c r="D97" s="28" t="inlineStr">
        <is>
          <t>7-9</t>
        </is>
      </c>
      <c r="E97" s="28" t="inlineStr">
        <is>
          <t>100709</t>
        </is>
      </c>
      <c r="F97" s="27" t="inlineStr">
        <is>
          <t>普通怪</t>
        </is>
      </c>
      <c r="G97" s="37" t="n">
        <v>93</v>
      </c>
      <c r="H97" s="38" t="n"/>
      <c r="I97" s="39">
        <f>IF($H97="",$G97,$H97)</f>
        <v/>
      </c>
      <c r="J97" s="40" t="n">
        <v>138</v>
      </c>
      <c r="K97" s="72" t="n">
        <v>0.975114032609106</v>
      </c>
      <c r="L97" s="72" t="n">
        <v>1.07136448187043</v>
      </c>
      <c r="M97" s="72" t="n">
        <v>1</v>
      </c>
      <c r="N97" s="73" t="n"/>
      <c r="O97" s="73" t="n"/>
      <c r="P97" s="73" t="n"/>
      <c r="Q97" s="74">
        <f>IF($I97="","",IFERROR(INDEX(_玩家曲线!$H$2:$H$286,MATCH($I97,_玩家曲线!$A$2:$A$286,0)),""))</f>
        <v/>
      </c>
      <c r="R97" s="74">
        <f>IF($I97="","",IFERROR(INDEX(_玩家曲线!$I$2:$I$286,MATCH($I97,_玩家曲线!$A$2:$A$286,0)),""))</f>
        <v/>
      </c>
      <c r="S97" s="74">
        <f>IF(OR($J97="",$F97="不适用"),"",IFERROR(INDEX(_怪物模型!$D$2:$D$4501,(INT($J97)-1)*ROWS(_怪物类型!$A$2:$A$10)+MATCH($F97,_怪物类型!$A$2:$A$10,0))*IF($K97="",1,$K97),""))</f>
        <v/>
      </c>
      <c r="T97" s="74">
        <f>IF(OR($J97="",$F97="不适用"),"",IFERROR(INDEX(_怪物模型!$E$2:$E$4501,(INT($J97)-1)*ROWS(_怪物类型!$A$2:$A$10)+MATCH($F97,_怪物类型!$A$2:$A$10,0))*IF($L97="",1,$L97),""))</f>
        <v/>
      </c>
      <c r="U97" s="74">
        <f>IF(OR($J97="",$F97="不适用"),"",IFERROR(INDEX(_怪物模型!$F$2:$F$4501,(INT($J97)-1)*ROWS(_怪物类型!$A$2:$A$10)+MATCH($F97,_怪物类型!$A$2:$A$10,0))*IF($M97="",1,$M97),""))</f>
        <v/>
      </c>
      <c r="V97" s="75">
        <f>IF($U97="","",MIN(0.75,$U97/($U97+24000)))</f>
        <v/>
      </c>
      <c r="W97" s="76">
        <f>IF($S97="","",$S97/(1-$V97)*IF($N97="",1,$N97))</f>
        <v/>
      </c>
      <c r="X97" s="76">
        <f>IF(OR($W97="",$Q97="",$Q97=0),"",$W97/$Q97)</f>
        <v/>
      </c>
      <c r="Y97" s="76">
        <f>IF(OR($R97="",$T97="",$T97=0),"",$R97/($T97*IF($O97="",1,$O97)))</f>
        <v/>
      </c>
      <c r="Z97" s="77">
        <f>IF(OR($X97="",$P97="",$P97=0),"",$X97/$P97)</f>
        <v/>
      </c>
      <c r="AA97" s="27">
        <f>IF($J97="","待填怪物等级",IF(OR($I97="",$Q97=""),"待填对照关卡",IF($P97="","已计算",IF(AND($Y97&lt;&gt;"",$Y97&lt;$X97),"生存不成立",IF($Z97&lt;0.5,"碾压",IF($Z97&lt;0.8,"偏简单",IF($Z97&lt;=1.2,"适中",IF($Z97&lt;=1.5,"偏难","过难"))))))))</f>
        <v/>
      </c>
      <c r="AB97" s="27">
        <f>IF($J97="","待填",IF(AND(ISNUMBER($J97),$J97&gt;=1,$J97&lt;=500,MOD($J97,1)=0),"有效","超范围"))</f>
        <v/>
      </c>
      <c r="AC97" s="27">
        <f>IF(OR($J97="",ROW()=5,$B97&lt;&gt;$B96,$J96=""),"",IF($J97&lt;$J96,"下降",""))</f>
        <v/>
      </c>
      <c r="AD97" s="28" t="inlineStr">
        <is>
          <t>2026-08-27 新玩家节点曲线校准；对照S93；等级177→138；保留原难度定位。  2026-08-31 推荐战力：本章Boss反查锚点p52-&gt;p58线性递增（60s击杀/扛20s）；</t>
        </is>
      </c>
      <c r="AE97" t="n">
        <v>149000</v>
      </c>
      <c r="AF97">
        <f>INDEX(_统一战力!$B$2:$B$501,J97)</f>
        <v/>
      </c>
    </row>
    <row r="98" ht="25" customHeight="1">
      <c r="A98" s="27" t="inlineStr">
        <is>
          <t>当前配置</t>
        </is>
      </c>
      <c r="B98" s="27" t="inlineStr">
        <is>
          <t>主线</t>
        </is>
      </c>
      <c r="C98" s="28" t="inlineStr">
        <is>
          <t>第七章</t>
        </is>
      </c>
      <c r="D98" s="28" t="inlineStr">
        <is>
          <t>7-10</t>
        </is>
      </c>
      <c r="E98" s="28" t="inlineStr">
        <is>
          <t>100710</t>
        </is>
      </c>
      <c r="F98" s="27" t="inlineStr">
        <is>
          <t>普通怪</t>
        </is>
      </c>
      <c r="G98" s="37" t="n">
        <v>94</v>
      </c>
      <c r="H98" s="38" t="n"/>
      <c r="I98" s="39">
        <f>IF($H98="",$G98,$H98)</f>
        <v/>
      </c>
      <c r="J98" s="40" t="n">
        <v>139</v>
      </c>
      <c r="K98" s="72" t="n">
        <v>0.97164172118924</v>
      </c>
      <c r="L98" s="72" t="n">
        <v>1.07037632595104</v>
      </c>
      <c r="M98" s="72" t="n">
        <v>1</v>
      </c>
      <c r="N98" s="73" t="n"/>
      <c r="O98" s="73" t="n"/>
      <c r="P98" s="73" t="n"/>
      <c r="Q98" s="74">
        <f>IF($I98="","",IFERROR(INDEX(_玩家曲线!$H$2:$H$286,MATCH($I98,_玩家曲线!$A$2:$A$286,0)),""))</f>
        <v/>
      </c>
      <c r="R98" s="74">
        <f>IF($I98="","",IFERROR(INDEX(_玩家曲线!$I$2:$I$286,MATCH($I98,_玩家曲线!$A$2:$A$286,0)),""))</f>
        <v/>
      </c>
      <c r="S98" s="74">
        <f>IF(OR($J98="",$F98="不适用"),"",IFERROR(INDEX(_怪物模型!$D$2:$D$4501,(INT($J98)-1)*ROWS(_怪物类型!$A$2:$A$10)+MATCH($F98,_怪物类型!$A$2:$A$10,0))*IF($K98="",1,$K98),""))</f>
        <v/>
      </c>
      <c r="T98" s="74">
        <f>IF(OR($J98="",$F98="不适用"),"",IFERROR(INDEX(_怪物模型!$E$2:$E$4501,(INT($J98)-1)*ROWS(_怪物类型!$A$2:$A$10)+MATCH($F98,_怪物类型!$A$2:$A$10,0))*IF($L98="",1,$L98),""))</f>
        <v/>
      </c>
      <c r="U98" s="74">
        <f>IF(OR($J98="",$F98="不适用"),"",IFERROR(INDEX(_怪物模型!$F$2:$F$4501,(INT($J98)-1)*ROWS(_怪物类型!$A$2:$A$10)+MATCH($F98,_怪物类型!$A$2:$A$10,0))*IF($M98="",1,$M98),""))</f>
        <v/>
      </c>
      <c r="V98" s="75">
        <f>IF($U98="","",MIN(0.75,$U98/($U98+24000)))</f>
        <v/>
      </c>
      <c r="W98" s="76">
        <f>IF($S98="","",$S98/(1-$V98)*IF($N98="",1,$N98))</f>
        <v/>
      </c>
      <c r="X98" s="76">
        <f>IF(OR($W98="",$Q98="",$Q98=0),"",$W98/$Q98)</f>
        <v/>
      </c>
      <c r="Y98" s="76">
        <f>IF(OR($R98="",$T98="",$T98=0),"",$R98/($T98*IF($O98="",1,$O98)))</f>
        <v/>
      </c>
      <c r="Z98" s="77">
        <f>IF(OR($X98="",$P98="",$P98=0),"",$X98/$P98)</f>
        <v/>
      </c>
      <c r="AA98" s="27">
        <f>IF($J98="","待填怪物等级",IF(OR($I98="",$Q98=""),"待填对照关卡",IF($P98="","已计算",IF(AND($Y98&lt;&gt;"",$Y98&lt;$X98),"生存不成立",IF($Z98&lt;0.5,"碾压",IF($Z98&lt;0.8,"偏简单",IF($Z98&lt;=1.2,"适中",IF($Z98&lt;=1.5,"偏难","过难"))))))))</f>
        <v/>
      </c>
      <c r="AB98" s="27">
        <f>IF($J98="","待填",IF(AND(ISNUMBER($J98),$J98&gt;=1,$J98&lt;=500,MOD($J98,1)=0),"有效","超范围"))</f>
        <v/>
      </c>
      <c r="AC98" s="27">
        <f>IF(OR($J98="",ROW()=5,$B98&lt;&gt;$B97,$J97=""),"",IF($J98&lt;$J97,"下降",""))</f>
        <v/>
      </c>
      <c r="AD98" s="28" t="inlineStr">
        <is>
          <t>2026-08-27 新玩家节点曲线校准；对照S94；等级178→139；保留原难度定位。  2026-08-31 推荐战力：本章Boss反查锚点p52-&gt;p58线性递增（60s击杀/扛20s）；</t>
        </is>
      </c>
      <c r="AE98" t="n">
        <v>151000</v>
      </c>
      <c r="AF98">
        <f>INDEX(_统一战力!$B$2:$B$501,J98)</f>
        <v/>
      </c>
    </row>
    <row r="99" ht="25" customHeight="1">
      <c r="A99" s="27" t="inlineStr">
        <is>
          <t>当前配置</t>
        </is>
      </c>
      <c r="B99" s="27" t="inlineStr">
        <is>
          <t>主线</t>
        </is>
      </c>
      <c r="C99" s="28" t="inlineStr">
        <is>
          <t>第七章</t>
        </is>
      </c>
      <c r="D99" s="28" t="inlineStr">
        <is>
          <t>7-11</t>
        </is>
      </c>
      <c r="E99" s="28" t="inlineStr">
        <is>
          <t>100711</t>
        </is>
      </c>
      <c r="F99" s="27" t="inlineStr">
        <is>
          <t>普通怪</t>
        </is>
      </c>
      <c r="G99" s="37" t="n">
        <v>95</v>
      </c>
      <c r="H99" s="38" t="n"/>
      <c r="I99" s="39">
        <f>IF($H99="",$G99,$H99)</f>
        <v/>
      </c>
      <c r="J99" s="40" t="n">
        <v>141</v>
      </c>
      <c r="K99" s="72" t="n">
        <v>0.966132979675865</v>
      </c>
      <c r="L99" s="72" t="n">
        <v>1.06964047849819</v>
      </c>
      <c r="M99" s="72" t="n">
        <v>1</v>
      </c>
      <c r="N99" s="73" t="n"/>
      <c r="O99" s="73" t="n"/>
      <c r="P99" s="73" t="n"/>
      <c r="Q99" s="74">
        <f>IF($I99="","",IFERROR(INDEX(_玩家曲线!$H$2:$H$286,MATCH($I99,_玩家曲线!$A$2:$A$286,0)),""))</f>
        <v/>
      </c>
      <c r="R99" s="74">
        <f>IF($I99="","",IFERROR(INDEX(_玩家曲线!$I$2:$I$286,MATCH($I99,_玩家曲线!$A$2:$A$286,0)),""))</f>
        <v/>
      </c>
      <c r="S99" s="74">
        <f>IF(OR($J99="",$F99="不适用"),"",IFERROR(INDEX(_怪物模型!$D$2:$D$4501,(INT($J99)-1)*ROWS(_怪物类型!$A$2:$A$10)+MATCH($F99,_怪物类型!$A$2:$A$10,0))*IF($K99="",1,$K99),""))</f>
        <v/>
      </c>
      <c r="T99" s="74">
        <f>IF(OR($J99="",$F99="不适用"),"",IFERROR(INDEX(_怪物模型!$E$2:$E$4501,(INT($J99)-1)*ROWS(_怪物类型!$A$2:$A$10)+MATCH($F99,_怪物类型!$A$2:$A$10,0))*IF($L99="",1,$L99),""))</f>
        <v/>
      </c>
      <c r="U99" s="74">
        <f>IF(OR($J99="",$F99="不适用"),"",IFERROR(INDEX(_怪物模型!$F$2:$F$4501,(INT($J99)-1)*ROWS(_怪物类型!$A$2:$A$10)+MATCH($F99,_怪物类型!$A$2:$A$10,0))*IF($M99="",1,$M99),""))</f>
        <v/>
      </c>
      <c r="V99" s="75">
        <f>IF($U99="","",MIN(0.75,$U99/($U99+24000)))</f>
        <v/>
      </c>
      <c r="W99" s="76">
        <f>IF($S99="","",$S99/(1-$V99)*IF($N99="",1,$N99))</f>
        <v/>
      </c>
      <c r="X99" s="76">
        <f>IF(OR($W99="",$Q99="",$Q99=0),"",$W99/$Q99)</f>
        <v/>
      </c>
      <c r="Y99" s="76">
        <f>IF(OR($R99="",$T99="",$T99=0),"",$R99/($T99*IF($O99="",1,$O99)))</f>
        <v/>
      </c>
      <c r="Z99" s="77">
        <f>IF(OR($X99="",$P99="",$P99=0),"",$X99/$P99)</f>
        <v/>
      </c>
      <c r="AA99" s="27">
        <f>IF($J99="","待填怪物等级",IF(OR($I99="",$Q99=""),"待填对照关卡",IF($P99="","已计算",IF(AND($Y99&lt;&gt;"",$Y99&lt;$X99),"生存不成立",IF($Z99&lt;0.5,"碾压",IF($Z99&lt;0.8,"偏简单",IF($Z99&lt;=1.2,"适中",IF($Z99&lt;=1.5,"偏难","过难"))))))))</f>
        <v/>
      </c>
      <c r="AB99" s="27">
        <f>IF($J99="","待填",IF(AND(ISNUMBER($J99),$J99&gt;=1,$J99&lt;=500,MOD($J99,1)=0),"有效","超范围"))</f>
        <v/>
      </c>
      <c r="AC99" s="27">
        <f>IF(OR($J99="",ROW()=5,$B99&lt;&gt;$B98,$J98=""),"",IF($J99&lt;$J98,"下降",""))</f>
        <v/>
      </c>
      <c r="AD99" s="28" t="inlineStr">
        <is>
          <t>2026-08-27 新玩家节点曲线校准；对照S95；等级180→141；保留原难度定位。  2026-08-31 推荐战力：本章Boss反查锚点p52-&gt;p58线性递增（60s击杀/扛20s）；</t>
        </is>
      </c>
      <c r="AE99" t="n">
        <v>153000</v>
      </c>
      <c r="AF99">
        <f>INDEX(_统一战力!$B$2:$B$501,J99)</f>
        <v/>
      </c>
    </row>
    <row r="100" ht="25" customHeight="1">
      <c r="A100" s="27" t="inlineStr">
        <is>
          <t>当前配置</t>
        </is>
      </c>
      <c r="B100" s="27" t="inlineStr">
        <is>
          <t>主线</t>
        </is>
      </c>
      <c r="C100" s="28" t="inlineStr">
        <is>
          <t>第七章</t>
        </is>
      </c>
      <c r="D100" s="28" t="inlineStr">
        <is>
          <t>7-12</t>
        </is>
      </c>
      <c r="E100" s="28" t="inlineStr">
        <is>
          <t>100712</t>
        </is>
      </c>
      <c r="F100" s="27" t="inlineStr">
        <is>
          <t>普通怪</t>
        </is>
      </c>
      <c r="G100" s="37" t="n">
        <v>96</v>
      </c>
      <c r="H100" s="38" t="n"/>
      <c r="I100" s="39">
        <f>IF($H100="",$G100,$H100)</f>
        <v/>
      </c>
      <c r="J100" s="40" t="n">
        <v>141</v>
      </c>
      <c r="K100" s="72" t="n">
        <v>0.965746738910535</v>
      </c>
      <c r="L100" s="72" t="n">
        <v>1.06962858695769</v>
      </c>
      <c r="M100" s="72" t="n">
        <v>1</v>
      </c>
      <c r="N100" s="73" t="n"/>
      <c r="O100" s="73" t="n"/>
      <c r="P100" s="73" t="n"/>
      <c r="Q100" s="74">
        <f>IF($I100="","",IFERROR(INDEX(_玩家曲线!$H$2:$H$286,MATCH($I100,_玩家曲线!$A$2:$A$286,0)),""))</f>
        <v/>
      </c>
      <c r="R100" s="74">
        <f>IF($I100="","",IFERROR(INDEX(_玩家曲线!$I$2:$I$286,MATCH($I100,_玩家曲线!$A$2:$A$286,0)),""))</f>
        <v/>
      </c>
      <c r="S100" s="74">
        <f>IF(OR($J100="",$F100="不适用"),"",IFERROR(INDEX(_怪物模型!$D$2:$D$4501,(INT($J100)-1)*ROWS(_怪物类型!$A$2:$A$10)+MATCH($F100,_怪物类型!$A$2:$A$10,0))*IF($K100="",1,$K100),""))</f>
        <v/>
      </c>
      <c r="T100" s="74">
        <f>IF(OR($J100="",$F100="不适用"),"",IFERROR(INDEX(_怪物模型!$E$2:$E$4501,(INT($J100)-1)*ROWS(_怪物类型!$A$2:$A$10)+MATCH($F100,_怪物类型!$A$2:$A$10,0))*IF($L100="",1,$L100),""))</f>
        <v/>
      </c>
      <c r="U100" s="74">
        <f>IF(OR($J100="",$F100="不适用"),"",IFERROR(INDEX(_怪物模型!$F$2:$F$4501,(INT($J100)-1)*ROWS(_怪物类型!$A$2:$A$10)+MATCH($F100,_怪物类型!$A$2:$A$10,0))*IF($M100="",1,$M100),""))</f>
        <v/>
      </c>
      <c r="V100" s="75">
        <f>IF($U100="","",MIN(0.75,$U100/($U100+24000)))</f>
        <v/>
      </c>
      <c r="W100" s="76">
        <f>IF($S100="","",$S100/(1-$V100)*IF($N100="",1,$N100))</f>
        <v/>
      </c>
      <c r="X100" s="76">
        <f>IF(OR($W100="",$Q100="",$Q100=0),"",$W100/$Q100)</f>
        <v/>
      </c>
      <c r="Y100" s="76">
        <f>IF(OR($R100="",$T100="",$T100=0),"",$R100/($T100*IF($O100="",1,$O100)))</f>
        <v/>
      </c>
      <c r="Z100" s="77">
        <f>IF(OR($X100="",$P100="",$P100=0),"",$X100/$P100)</f>
        <v/>
      </c>
      <c r="AA100" s="27">
        <f>IF($J100="","待填怪物等级",IF(OR($I100="",$Q100=""),"待填对照关卡",IF($P100="","已计算",IF(AND($Y100&lt;&gt;"",$Y100&lt;$X100),"生存不成立",IF($Z100&lt;0.5,"碾压",IF($Z100&lt;0.8,"偏简单",IF($Z100&lt;=1.2,"适中",IF($Z100&lt;=1.5,"偏难","过难"))))))))</f>
        <v/>
      </c>
      <c r="AB100" s="27">
        <f>IF($J100="","待填",IF(AND(ISNUMBER($J100),$J100&gt;=1,$J100&lt;=500,MOD($J100,1)=0),"有效","超范围"))</f>
        <v/>
      </c>
      <c r="AC100" s="27">
        <f>IF(OR($J100="",ROW()=5,$B100&lt;&gt;$B99,$J99=""),"",IF($J100&lt;$J99,"下降",""))</f>
        <v/>
      </c>
      <c r="AD100" s="28" t="inlineStr">
        <is>
          <t>2026-08-27 新玩家节点曲线校准；对照S96；等级180→141；保留原难度定位。  2026-08-31 推荐战力：本章Boss反查锚点p52-&gt;p58线性递增（60s击杀/扛20s）；</t>
        </is>
      </c>
      <c r="AE100" t="n">
        <v>155000</v>
      </c>
      <c r="AF100">
        <f>INDEX(_统一战力!$B$2:$B$501,J100)</f>
        <v/>
      </c>
    </row>
    <row r="101" ht="25" customHeight="1">
      <c r="A101" s="27" t="inlineStr">
        <is>
          <t>当前配置</t>
        </is>
      </c>
      <c r="B101" s="27" t="inlineStr">
        <is>
          <t>主线</t>
        </is>
      </c>
      <c r="C101" s="28" t="inlineStr">
        <is>
          <t>第七章</t>
        </is>
      </c>
      <c r="D101" s="28" t="inlineStr">
        <is>
          <t>7-13</t>
        </is>
      </c>
      <c r="E101" s="28" t="inlineStr">
        <is>
          <t>100713</t>
        </is>
      </c>
      <c r="F101" s="27" t="inlineStr">
        <is>
          <t>普通怪</t>
        </is>
      </c>
      <c r="G101" s="37" t="n">
        <v>97</v>
      </c>
      <c r="H101" s="38" t="n"/>
      <c r="I101" s="39">
        <f>IF($H101="",$G101,$H101)</f>
        <v/>
      </c>
      <c r="J101" s="40" t="n">
        <v>142</v>
      </c>
      <c r="K101" s="72" t="n">
        <v>0.963366110748191</v>
      </c>
      <c r="L101" s="72" t="n">
        <v>1.06972801368831</v>
      </c>
      <c r="M101" s="72" t="n">
        <v>1</v>
      </c>
      <c r="N101" s="73" t="n"/>
      <c r="O101" s="73" t="n"/>
      <c r="P101" s="73" t="n"/>
      <c r="Q101" s="74">
        <f>IF($I101="","",IFERROR(INDEX(_玩家曲线!$H$2:$H$286,MATCH($I101,_玩家曲线!$A$2:$A$286,0)),""))</f>
        <v/>
      </c>
      <c r="R101" s="74">
        <f>IF($I101="","",IFERROR(INDEX(_玩家曲线!$I$2:$I$286,MATCH($I101,_玩家曲线!$A$2:$A$286,0)),""))</f>
        <v/>
      </c>
      <c r="S101" s="74">
        <f>IF(OR($J101="",$F101="不适用"),"",IFERROR(INDEX(_怪物模型!$D$2:$D$4501,(INT($J101)-1)*ROWS(_怪物类型!$A$2:$A$10)+MATCH($F101,_怪物类型!$A$2:$A$10,0))*IF($K101="",1,$K101),""))</f>
        <v/>
      </c>
      <c r="T101" s="74">
        <f>IF(OR($J101="",$F101="不适用"),"",IFERROR(INDEX(_怪物模型!$E$2:$E$4501,(INT($J101)-1)*ROWS(_怪物类型!$A$2:$A$10)+MATCH($F101,_怪物类型!$A$2:$A$10,0))*IF($L101="",1,$L101),""))</f>
        <v/>
      </c>
      <c r="U101" s="74">
        <f>IF(OR($J101="",$F101="不适用"),"",IFERROR(INDEX(_怪物模型!$F$2:$F$4501,(INT($J101)-1)*ROWS(_怪物类型!$A$2:$A$10)+MATCH($F101,_怪物类型!$A$2:$A$10,0))*IF($M101="",1,$M101),""))</f>
        <v/>
      </c>
      <c r="V101" s="75">
        <f>IF($U101="","",MIN(0.75,$U101/($U101+24000)))</f>
        <v/>
      </c>
      <c r="W101" s="76">
        <f>IF($S101="","",$S101/(1-$V101)*IF($N101="",1,$N101))</f>
        <v/>
      </c>
      <c r="X101" s="76">
        <f>IF(OR($W101="",$Q101="",$Q101=0),"",$W101/$Q101)</f>
        <v/>
      </c>
      <c r="Y101" s="76">
        <f>IF(OR($R101="",$T101="",$T101=0),"",$R101/($T101*IF($O101="",1,$O101)))</f>
        <v/>
      </c>
      <c r="Z101" s="77">
        <f>IF(OR($X101="",$P101="",$P101=0),"",$X101/$P101)</f>
        <v/>
      </c>
      <c r="AA101" s="27">
        <f>IF($J101="","待填怪物等级",IF(OR($I101="",$Q101=""),"待填对照关卡",IF($P101="","已计算",IF(AND($Y101&lt;&gt;"",$Y101&lt;$X101),"生存不成立",IF($Z101&lt;0.5,"碾压",IF($Z101&lt;0.8,"偏简单",IF($Z101&lt;=1.2,"适中",IF($Z101&lt;=1.5,"偏难","过难"))))))))</f>
        <v/>
      </c>
      <c r="AB101" s="27">
        <f>IF($J101="","待填",IF(AND(ISNUMBER($J101),$J101&gt;=1,$J101&lt;=500,MOD($J101,1)=0),"有效","超范围"))</f>
        <v/>
      </c>
      <c r="AC101" s="27">
        <f>IF(OR($J101="",ROW()=5,$B101&lt;&gt;$B100,$J100=""),"",IF($J101&lt;$J100,"下降",""))</f>
        <v/>
      </c>
      <c r="AD101" s="28" t="inlineStr">
        <is>
          <t>2026-08-27 新玩家节点曲线校准；对照S97；等级181→142；保留原难度定位。  2026-08-31 推荐战力：本章Boss反查锚点p52-&gt;p58线性递增（60s击杀/扛20s）；</t>
        </is>
      </c>
      <c r="AE101" t="n">
        <v>157000</v>
      </c>
      <c r="AF101">
        <f>INDEX(_统一战力!$B$2:$B$501,J101)</f>
        <v/>
      </c>
    </row>
    <row r="102" ht="25" customHeight="1">
      <c r="A102" s="27" t="inlineStr">
        <is>
          <t>当前配置</t>
        </is>
      </c>
      <c r="B102" s="27" t="inlineStr">
        <is>
          <t>主线</t>
        </is>
      </c>
      <c r="C102" s="28" t="inlineStr">
        <is>
          <t>第七章</t>
        </is>
      </c>
      <c r="D102" s="28" t="inlineStr">
        <is>
          <t>7-14</t>
        </is>
      </c>
      <c r="E102" s="28" t="inlineStr">
        <is>
          <t>100714</t>
        </is>
      </c>
      <c r="F102" s="27" t="inlineStr">
        <is>
          <t>普通怪</t>
        </is>
      </c>
      <c r="G102" s="37" t="n">
        <v>98</v>
      </c>
      <c r="H102" s="38" t="n"/>
      <c r="I102" s="39">
        <f>IF($H102="",$G102,$H102)</f>
        <v/>
      </c>
      <c r="J102" s="40" t="n">
        <v>143</v>
      </c>
      <c r="K102" s="72" t="n">
        <v>0.9763457264832029</v>
      </c>
      <c r="L102" s="72" t="n">
        <v>1.08154140586632</v>
      </c>
      <c r="M102" s="72" t="n">
        <v>1</v>
      </c>
      <c r="N102" s="73" t="n"/>
      <c r="O102" s="73" t="n"/>
      <c r="P102" s="73" t="n"/>
      <c r="Q102" s="74">
        <f>IF($I102="","",IFERROR(INDEX(_玩家曲线!$H$2:$H$286,MATCH($I102,_玩家曲线!$A$2:$A$286,0)),""))</f>
        <v/>
      </c>
      <c r="R102" s="74">
        <f>IF($I102="","",IFERROR(INDEX(_玩家曲线!$I$2:$I$286,MATCH($I102,_玩家曲线!$A$2:$A$286,0)),""))</f>
        <v/>
      </c>
      <c r="S102" s="74">
        <f>IF(OR($J102="",$F102="不适用"),"",IFERROR(INDEX(_怪物模型!$D$2:$D$4501,(INT($J102)-1)*ROWS(_怪物类型!$A$2:$A$10)+MATCH($F102,_怪物类型!$A$2:$A$10,0))*IF($K102="",1,$K102),""))</f>
        <v/>
      </c>
      <c r="T102" s="74">
        <f>IF(OR($J102="",$F102="不适用"),"",IFERROR(INDEX(_怪物模型!$E$2:$E$4501,(INT($J102)-1)*ROWS(_怪物类型!$A$2:$A$10)+MATCH($F102,_怪物类型!$A$2:$A$10,0))*IF($L102="",1,$L102),""))</f>
        <v/>
      </c>
      <c r="U102" s="74">
        <f>IF(OR($J102="",$F102="不适用"),"",IFERROR(INDEX(_怪物模型!$F$2:$F$4501,(INT($J102)-1)*ROWS(_怪物类型!$A$2:$A$10)+MATCH($F102,_怪物类型!$A$2:$A$10,0))*IF($M102="",1,$M102),""))</f>
        <v/>
      </c>
      <c r="V102" s="75">
        <f>IF($U102="","",MIN(0.75,$U102/($U102+24000)))</f>
        <v/>
      </c>
      <c r="W102" s="76">
        <f>IF($S102="","",$S102/(1-$V102)*IF($N102="",1,$N102))</f>
        <v/>
      </c>
      <c r="X102" s="76">
        <f>IF(OR($W102="",$Q102="",$Q102=0),"",$W102/$Q102)</f>
        <v/>
      </c>
      <c r="Y102" s="76">
        <f>IF(OR($R102="",$T102="",$T102=0),"",$R102/($T102*IF($O102="",1,$O102)))</f>
        <v/>
      </c>
      <c r="Z102" s="77">
        <f>IF(OR($X102="",$P102="",$P102=0),"",$X102/$P102)</f>
        <v/>
      </c>
      <c r="AA102" s="27">
        <f>IF($J102="","待填怪物等级",IF(OR($I102="",$Q102=""),"待填对照关卡",IF($P102="","已计算",IF(AND($Y102&lt;&gt;"",$Y102&lt;$X102),"生存不成立",IF($Z102&lt;0.5,"碾压",IF($Z102&lt;0.8,"偏简单",IF($Z102&lt;=1.2,"适中",IF($Z102&lt;=1.5,"偏难","过难"))))))))</f>
        <v/>
      </c>
      <c r="AB102" s="27">
        <f>IF($J102="","待填",IF(AND(ISNUMBER($J102),$J102&gt;=1,$J102&lt;=500,MOD($J102,1)=0),"有效","超范围"))</f>
        <v/>
      </c>
      <c r="AC102" s="27">
        <f>IF(OR($J102="",ROW()=5,$B102&lt;&gt;$B101,$J101=""),"",IF($J102&lt;$J101,"下降",""))</f>
        <v/>
      </c>
      <c r="AD102" s="28" t="inlineStr">
        <is>
          <t>2026-08-27 新玩家节点曲线校准；对照S98；等级183→143；保留原难度定位。  2026-08-31 推荐战力：本章Boss反查锚点p52-&gt;p58线性递增（60s击杀/扛20s）；</t>
        </is>
      </c>
      <c r="AE102" t="n">
        <v>159000</v>
      </c>
      <c r="AF102">
        <f>INDEX(_统一战力!$B$2:$B$501,J102)</f>
        <v/>
      </c>
    </row>
    <row r="103" ht="25" customHeight="1">
      <c r="A103" s="27" t="inlineStr">
        <is>
          <t>当前配置</t>
        </is>
      </c>
      <c r="B103" s="27" t="inlineStr">
        <is>
          <t>主线</t>
        </is>
      </c>
      <c r="C103" s="28" t="inlineStr">
        <is>
          <t>第七章</t>
        </is>
      </c>
      <c r="D103" s="28" t="inlineStr">
        <is>
          <t>7-15</t>
        </is>
      </c>
      <c r="E103" s="28" t="inlineStr">
        <is>
          <t>100715</t>
        </is>
      </c>
      <c r="F103" s="27" t="inlineStr">
        <is>
          <t>Boss</t>
        </is>
      </c>
      <c r="G103" s="37" t="n">
        <v>99</v>
      </c>
      <c r="H103" s="38" t="n"/>
      <c r="I103" s="39">
        <f>IF($H103="",$G103,$H103)</f>
        <v/>
      </c>
      <c r="J103" s="40" t="n">
        <v>154</v>
      </c>
      <c r="K103" s="72" t="n">
        <v>1.04827330321245</v>
      </c>
      <c r="L103" s="72" t="n">
        <v>0.875375075636608</v>
      </c>
      <c r="M103" s="72" t="n">
        <v>1</v>
      </c>
      <c r="N103" s="73" t="n"/>
      <c r="O103" s="73" t="n"/>
      <c r="P103" s="73" t="n"/>
      <c r="Q103" s="74">
        <f>IF($I103="","",IFERROR(INDEX(_玩家曲线!$H$2:$H$286,MATCH($I103,_玩家曲线!$A$2:$A$286,0)),""))</f>
        <v/>
      </c>
      <c r="R103" s="74">
        <f>IF($I103="","",IFERROR(INDEX(_玩家曲线!$I$2:$I$286,MATCH($I103,_玩家曲线!$A$2:$A$286,0)),""))</f>
        <v/>
      </c>
      <c r="S103" s="74">
        <f>IF(OR($J103="",$F103="不适用"),"",IFERROR(INDEX(_怪物模型!$D$2:$D$4501,(INT($J103)-1)*ROWS(_怪物类型!$A$2:$A$10)+MATCH($F103,_怪物类型!$A$2:$A$10,0))*IF($K103="",1,$K103),""))</f>
        <v/>
      </c>
      <c r="T103" s="74">
        <f>IF(OR($J103="",$F103="不适用"),"",IFERROR(INDEX(_怪物模型!$E$2:$E$4501,(INT($J103)-1)*ROWS(_怪物类型!$A$2:$A$10)+MATCH($F103,_怪物类型!$A$2:$A$10,0))*IF($L103="",1,$L103),""))</f>
        <v/>
      </c>
      <c r="U103" s="74">
        <f>IF(OR($J103="",$F103="不适用"),"",IFERROR(INDEX(_怪物模型!$F$2:$F$4501,(INT($J103)-1)*ROWS(_怪物类型!$A$2:$A$10)+MATCH($F103,_怪物类型!$A$2:$A$10,0))*IF($M103="",1,$M103),""))</f>
        <v/>
      </c>
      <c r="V103" s="75">
        <f>IF($U103="","",MIN(0.75,$U103/($U103+24000)))</f>
        <v/>
      </c>
      <c r="W103" s="76">
        <f>IF($S103="","",$S103/(1-$V103)*IF($N103="",1,$N103))</f>
        <v/>
      </c>
      <c r="X103" s="76">
        <f>IF(OR($W103="",$Q103="",$Q103=0),"",$W103/$Q103)</f>
        <v/>
      </c>
      <c r="Y103" s="76">
        <f>IF(OR($R103="",$T103="",$T103=0),"",$R103/($T103*IF($O103="",1,$O103)))</f>
        <v/>
      </c>
      <c r="Z103" s="77">
        <f>IF(OR($X103="",$P103="",$P103=0),"",$X103/$P103)</f>
        <v/>
      </c>
      <c r="AA103" s="27">
        <f>IF($J103="","待填怪物等级",IF(OR($I103="",$Q103=""),"待填对照关卡",IF($P103="","已计算",IF(AND($Y103&lt;&gt;"",$Y103&lt;$X103),"生存不成立",IF($Z103&lt;0.5,"碾压",IF($Z103&lt;0.8,"偏简单",IF($Z103&lt;=1.2,"适中",IF($Z103&lt;=1.5,"偏难","过难"))))))))</f>
        <v/>
      </c>
      <c r="AB103" s="27">
        <f>IF($J103="","待填",IF(AND(ISNUMBER($J103),$J103&gt;=1,$J103&lt;=500,MOD($J103,1)=0),"有效","超范围"))</f>
        <v/>
      </c>
      <c r="AC103" s="27">
        <f>IF(OR($J103="",ROW()=5,$B103&lt;&gt;$B102,$J102=""),"",IF($J103&lt;$J102,"下降",""))</f>
        <v/>
      </c>
      <c r="AD103" s="28" t="inlineStr">
        <is>
          <t>2026-08-27 新玩家节点曲线校准；对照S99；等级187→154；保留原难度定位。  2026-08-31 推荐战力：本章Boss反查锚点p52-&gt;p58线性递增（60s击杀/扛20s）；</t>
        </is>
      </c>
      <c r="AE103" t="n">
        <v>161000</v>
      </c>
      <c r="AF103">
        <f>INDEX(_统一战力!$B$2:$B$501,J103)</f>
        <v/>
      </c>
    </row>
    <row r="104" ht="25" customHeight="1"/>
    <row r="105" ht="25" customHeight="1"/>
    <row r="106" ht="25" customHeight="1"/>
    <row r="107" ht="25" customHeight="1"/>
    <row r="108" ht="25" customHeight="1"/>
    <row r="109" ht="25" customHeight="1"/>
  </sheetData>
  <mergeCells count="3">
    <mergeCell ref="A3:AD3"/>
    <mergeCell ref="A2:AD2"/>
    <mergeCell ref="A1:AD1"/>
  </mergeCells>
  <conditionalFormatting sqref="J5:J103">
    <cfRule type="expression" priority="1" dxfId="2">
      <formula>AND($A5&lt;&gt;"特殊：双方属性对算",$J5="")</formula>
    </cfRule>
  </conditionalFormatting>
  <conditionalFormatting sqref="AA5:AA103">
    <cfRule type="expression" priority="3" dxfId="0">
      <formula>$AA5="适中"</formula>
    </cfRule>
    <cfRule type="expression" priority="4" dxfId="3">
      <formula>$AA5="偏难"</formula>
    </cfRule>
    <cfRule type="expression" priority="5" dxfId="1">
      <formula>$AA5="过难"</formula>
    </cfRule>
    <cfRule type="expression" priority="6" dxfId="1">
      <formula>$AA5="生存不成立"</formula>
    </cfRule>
  </conditionalFormatting>
  <conditionalFormatting sqref="AB5:AB103">
    <cfRule type="expression" priority="2" dxfId="4">
      <formula>$AB5="超范围"</formula>
    </cfRule>
  </conditionalFormatting>
  <conditionalFormatting sqref="AC5:AC103">
    <cfRule type="expression" priority="7" dxfId="4">
      <formula>$AC5="下降"</formula>
    </cfRule>
  </conditionalFormatting>
  <dataValidations count="5">
    <dataValidation sqref="F5:F103" showDropDown="0" showInputMessage="0" showErrorMessage="0" allowBlank="0" type="list">
      <formula1>_字典!$A$2:$A$11</formula1>
    </dataValidation>
    <dataValidation sqref="H5:H103" showDropDown="0" showInputMessage="0" showErrorMessage="0" allowBlank="1" type="whole" operator="between">
      <formula1>1</formula1>
      <formula2>285</formula2>
    </dataValidation>
    <dataValidation sqref="J5:J103" showDropDown="0" showInputMessage="0" showErrorMessage="0" allowBlank="1" type="whole" operator="between">
      <formula1>1</formula1>
      <formula2>500</formula2>
    </dataValidation>
    <dataValidation sqref="P5:P103" showDropDown="0" showInputMessage="0" showErrorMessage="0" allowBlank="1" type="decimal" operator="between">
      <formula1>0.01</formula1>
      <formula2>3600</formula2>
    </dataValidation>
    <dataValidation sqref="K5:O103" showDropDown="0" showInputMessage="0" showErrorMessage="0" allowBlank="1" type="decimal" operator="between">
      <formula1>0</formula1>
      <formula2>100</formula2>
    </dataValidation>
  </dataValidations>
  <hyperlinks>
    <hyperlink xmlns:r="http://schemas.openxmlformats.org/officeDocument/2006/relationships" ref="A1" display="全玩法难度填写｜主线" r:id="rId1"/>
  </hyperlink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tabColor rgb="FF2F5597"/>
    <outlinePr summaryBelow="1" summaryRight="1"/>
    <pageSetUpPr/>
  </sheetPr>
  <dimension ref="A1:AF39"/>
  <sheetViews>
    <sheetView showGridLines="0" workbookViewId="0">
      <selection activeCell="A1" sqref="A1:AD1"/>
    </sheetView>
  </sheetViews>
  <sheetFormatPr baseColWidth="8" defaultColWidth="9" defaultRowHeight="13.5"/>
  <cols>
    <col width="12" customWidth="1" min="1" max="1"/>
    <col width="13" customWidth="1" min="2" max="2"/>
    <col width="18" customWidth="1" min="3" max="3"/>
    <col width="15" customWidth="1" min="4" max="4"/>
    <col width="35" customWidth="1" min="5" max="5"/>
    <col width="14" customWidth="1" min="6" max="9"/>
    <col width="12" customWidth="1" min="10" max="10"/>
    <col width="11" customWidth="1" min="11" max="13"/>
    <col width="13" customWidth="1" min="14" max="15"/>
    <col width="12" customWidth="1" min="16" max="16"/>
    <col width="16" customWidth="1" min="17" max="21"/>
    <col width="12" customWidth="1" min="22" max="22"/>
    <col width="17" customWidth="1" min="23" max="23"/>
    <col width="14" customWidth="1" min="24" max="25"/>
    <col width="12" customWidth="1" min="26" max="26"/>
    <col width="15" customWidth="1" min="27" max="27"/>
    <col width="12" customWidth="1" min="28" max="29"/>
    <col width="46" customWidth="1" min="30" max="30"/>
    <col width="22" customWidth="1" min="31" max="32"/>
  </cols>
  <sheetData>
    <row r="1" ht="34" customHeight="1">
      <c r="A1" s="23" t="inlineStr">
        <is>
          <t>全玩法难度填写｜困难主线</t>
        </is>
      </c>
    </row>
    <row r="2" ht="30" customHeight="1">
      <c r="A2" s="24" t="inlineStr">
        <is>
          <t>当前页已按开启顺序和玩法定位填入首版怪物等级。黄色J列可直接覆盖；G列是本版使用的玩家曲线对照节点。</t>
        </is>
      </c>
    </row>
    <row r="3" ht="14.25" customHeight="1">
      <c r="A3" s="25" t="inlineStr">
        <is>
          <t>公式口径：怪物实际属性=战斗公式标准模型×可选系数；怪物EHP=实际生命÷(1-防御减伤)×整关EHP倍率；TTK=怪物EHP÷玩家DPS。</t>
        </is>
      </c>
    </row>
    <row r="4" ht="30" customHeight="1">
      <c r="A4" s="26" t="inlineStr">
        <is>
          <t>状态</t>
        </is>
      </c>
      <c r="B4" s="26" t="inlineStr">
        <is>
          <t>玩法</t>
        </is>
      </c>
      <c r="C4" s="26" t="inlineStr">
        <is>
          <t>子玩法/共用范围</t>
        </is>
      </c>
      <c r="D4" s="26" t="inlineStr">
        <is>
          <t>节点名称</t>
        </is>
      </c>
      <c r="E4" s="26" t="inlineStr">
        <is>
          <t>LevelId/配置映射</t>
        </is>
      </c>
      <c r="F4" s="26" t="inlineStr">
        <is>
          <t>怪物类型</t>
        </is>
      </c>
      <c r="G4" s="26" t="inlineStr">
        <is>
          <t>默认对照关卡</t>
        </is>
      </c>
      <c r="H4" s="26" t="inlineStr">
        <is>
          <t>手动对照关卡</t>
        </is>
      </c>
      <c r="I4" s="26" t="inlineStr">
        <is>
          <t>实际对照关卡</t>
        </is>
      </c>
      <c r="J4" s="26" t="inlineStr">
        <is>
          <t>怪物等级</t>
        </is>
      </c>
      <c r="K4" s="26" t="inlineStr">
        <is>
          <t>生命系数</t>
        </is>
      </c>
      <c r="L4" s="26" t="inlineStr">
        <is>
          <t>攻击系数</t>
        </is>
      </c>
      <c r="M4" s="26" t="inlineStr">
        <is>
          <t>防御系数</t>
        </is>
      </c>
      <c r="N4" s="26" t="inlineStr">
        <is>
          <t>整关EHP倍率</t>
        </is>
      </c>
      <c r="O4" s="26" t="inlineStr">
        <is>
          <t>攻击压力倍率</t>
        </is>
      </c>
      <c r="P4" s="26" t="inlineStr">
        <is>
          <t>目标时间(s)</t>
        </is>
      </c>
      <c r="Q4" s="26" t="inlineStr">
        <is>
          <t>玩家DPS</t>
        </is>
      </c>
      <c r="R4" s="26" t="inlineStr">
        <is>
          <t>玩家队伍EHP</t>
        </is>
      </c>
      <c r="S4" s="26" t="inlineStr">
        <is>
          <t>怪物实际生命</t>
        </is>
      </c>
      <c r="T4" s="26" t="inlineStr">
        <is>
          <t>怪物实际攻击</t>
        </is>
      </c>
      <c r="U4" s="26" t="inlineStr">
        <is>
          <t>怪物实际防御</t>
        </is>
      </c>
      <c r="V4" s="26" t="inlineStr">
        <is>
          <t>怪物减伤率</t>
        </is>
      </c>
      <c r="W4" s="26" t="inlineStr">
        <is>
          <t>整关目标EHP</t>
        </is>
      </c>
      <c r="X4" s="26" t="inlineStr">
        <is>
          <t>预测TTK(s)</t>
        </is>
      </c>
      <c r="Y4" s="26" t="inlineStr">
        <is>
          <t>预测存活(s)</t>
        </is>
      </c>
      <c r="Z4" s="26" t="inlineStr">
        <is>
          <t>TTK/目标</t>
        </is>
      </c>
      <c r="AA4" s="26" t="inlineStr">
        <is>
          <t>难度判断</t>
        </is>
      </c>
      <c r="AB4" s="26" t="inlineStr">
        <is>
          <t>等级检查</t>
        </is>
      </c>
      <c r="AC4" s="26" t="inlineStr">
        <is>
          <t>等级趋势</t>
        </is>
      </c>
      <c r="AD4" s="26" t="inlineStr">
        <is>
          <t>备注</t>
        </is>
      </c>
      <c r="AE4" s="8" t="inlineStr">
        <is>
          <t>玩法推荐战力</t>
        </is>
      </c>
      <c r="AF4" s="8" t="inlineStr">
        <is>
          <t>标准等级战力</t>
        </is>
      </c>
    </row>
    <row r="5" ht="25" customHeight="1">
      <c r="A5" s="27" t="inlineStr">
        <is>
          <t>当前配置</t>
        </is>
      </c>
      <c r="B5" s="27" t="inlineStr">
        <is>
          <t>困难主线</t>
        </is>
      </c>
      <c r="C5" s="28" t="inlineStr">
        <is>
          <t>第1章</t>
        </is>
      </c>
      <c r="D5" s="28" t="inlineStr">
        <is>
          <t>高难1-1</t>
        </is>
      </c>
      <c r="E5" s="28" t="inlineStr">
        <is>
          <t>110101</t>
        </is>
      </c>
      <c r="F5" s="27" t="inlineStr">
        <is>
          <t>普通怪</t>
        </is>
      </c>
      <c r="G5" s="37" t="n">
        <v>71</v>
      </c>
      <c r="H5" s="38" t="n"/>
      <c r="I5" s="39">
        <f>IF($H5="",$G5,$H5)</f>
        <v/>
      </c>
      <c r="J5" s="40" t="n">
        <v>116</v>
      </c>
      <c r="K5" s="72" t="n">
        <v>0.935978845415059</v>
      </c>
      <c r="L5" s="72" t="n">
        <v>1.00554975854801</v>
      </c>
      <c r="M5" s="72" t="n">
        <v>1</v>
      </c>
      <c r="N5" s="73" t="n"/>
      <c r="O5" s="73" t="n"/>
      <c r="P5" s="73" t="n"/>
      <c r="Q5" s="74">
        <f>IF($I5="","",IFERROR(INDEX(_玩家曲线!$H$2:$H$286,MATCH($I5,_玩家曲线!$A$2:$A$286,0)),""))</f>
        <v/>
      </c>
      <c r="R5" s="74">
        <f>IF($I5="","",IFERROR(INDEX(_玩家曲线!$I$2:$I$286,MATCH($I5,_玩家曲线!$A$2:$A$286,0)),""))</f>
        <v/>
      </c>
      <c r="S5" s="74">
        <f>IF(OR($J5="",$F5="不适用"),"",IFERROR(INDEX(_怪物模型!$D$2:$D$4501,(INT($J5)-1)*ROWS(_怪物类型!$A$2:$A$10)+MATCH($F5,_怪物类型!$A$2:$A$10,0))*IF($K5="",1,$K5),""))</f>
        <v/>
      </c>
      <c r="T5" s="74">
        <f>IF(OR($J5="",$F5="不适用"),"",IFERROR(INDEX(_怪物模型!$E$2:$E$4501,(INT($J5)-1)*ROWS(_怪物类型!$A$2:$A$10)+MATCH($F5,_怪物类型!$A$2:$A$10,0))*IF($L5="",1,$L5),""))</f>
        <v/>
      </c>
      <c r="U5" s="74">
        <f>IF(OR($J5="",$F5="不适用"),"",IFERROR(INDEX(_怪物模型!$F$2:$F$4501,(INT($J5)-1)*ROWS(_怪物类型!$A$2:$A$10)+MATCH($F5,_怪物类型!$A$2:$A$10,0))*IF($M5="",1,$M5),""))</f>
        <v/>
      </c>
      <c r="V5" s="75">
        <f>IF($U5="","",MIN(0.75,$U5/($U5+24000)))</f>
        <v/>
      </c>
      <c r="W5" s="76">
        <f>IF($S5="","",$S5/(1-$V5)*IF($N5="",1,$N5))</f>
        <v/>
      </c>
      <c r="X5" s="76">
        <f>IF(OR($W5="",$Q5="",$Q5=0),"",$W5/$Q5)</f>
        <v/>
      </c>
      <c r="Y5" s="76">
        <f>IF(OR($R5="",$T5="",$T5=0),"",$R5/($T5*IF($O5="",1,$O5)))</f>
        <v/>
      </c>
      <c r="Z5" s="77">
        <f>IF(OR($X5="",$P5="",$P5=0),"",$X5/$P5)</f>
        <v/>
      </c>
      <c r="AA5" s="27">
        <f>IF($J5="","待填怪物等级",IF(OR($I5="",$Q5=""),"待填对照关卡",IF($P5="","已计算",IF(AND($Y5&lt;&gt;"",$Y5&lt;$X5),"生存不成立",IF($Z5&lt;0.5,"碾压",IF($Z5&lt;0.8,"偏简单",IF($Z5&lt;=1.2,"适中",IF($Z5&lt;=1.5,"偏难","过难"))))))))</f>
        <v/>
      </c>
      <c r="AB5" s="27">
        <f>IF($J5="","待填",IF(AND(ISNUMBER($J5),$J5&gt;=1,$J5&lt;=500,MOD($J5,1)=0),"有效","超范围"))</f>
        <v/>
      </c>
      <c r="AC5" s="27">
        <f>IF(OR($J5="",ROW()=5,$B5&lt;&gt;$B4,$J4=""),"",IF($J5&lt;$J4,"下降",""))</f>
        <v/>
      </c>
      <c r="AD5" s="28" t="inlineStr">
        <is>
          <t>2026-08-27 新玩家节点曲线校准；对照S71；等级146→116；保留原难度定位。</t>
        </is>
      </c>
      <c r="AE5" t="n">
        <v>82700</v>
      </c>
      <c r="AF5">
        <f>INDEX(_统一战力!$B$2:$B$501,J5)</f>
        <v/>
      </c>
    </row>
    <row r="6" ht="25" customHeight="1">
      <c r="A6" s="27" t="inlineStr">
        <is>
          <t>当前配置</t>
        </is>
      </c>
      <c r="B6" s="27" t="inlineStr">
        <is>
          <t>困难主线</t>
        </is>
      </c>
      <c r="C6" s="28" t="inlineStr">
        <is>
          <t>第1章</t>
        </is>
      </c>
      <c r="D6" s="28" t="inlineStr">
        <is>
          <t>高难1-2</t>
        </is>
      </c>
      <c r="E6" s="28" t="inlineStr">
        <is>
          <t>110102</t>
        </is>
      </c>
      <c r="F6" s="27" t="inlineStr">
        <is>
          <t>普通怪</t>
        </is>
      </c>
      <c r="G6" s="37" t="n">
        <v>72</v>
      </c>
      <c r="H6" s="38" t="n"/>
      <c r="I6" s="39">
        <f>IF($H6="",$G6,$H6)</f>
        <v/>
      </c>
      <c r="J6" s="40" t="n">
        <v>119</v>
      </c>
      <c r="K6" s="72" t="n">
        <v>0.947115733768273</v>
      </c>
      <c r="L6" s="72" t="n">
        <v>1.01337755353988</v>
      </c>
      <c r="M6" s="72" t="n">
        <v>1</v>
      </c>
      <c r="N6" s="73" t="n"/>
      <c r="O6" s="73" t="n"/>
      <c r="P6" s="73" t="n"/>
      <c r="Q6" s="74">
        <f>IF($I6="","",IFERROR(INDEX(_玩家曲线!$H$2:$H$286,MATCH($I6,_玩家曲线!$A$2:$A$286,0)),""))</f>
        <v/>
      </c>
      <c r="R6" s="74">
        <f>IF($I6="","",IFERROR(INDEX(_玩家曲线!$I$2:$I$286,MATCH($I6,_玩家曲线!$A$2:$A$286,0)),""))</f>
        <v/>
      </c>
      <c r="S6" s="74">
        <f>IF(OR($J6="",$F6="不适用"),"",IFERROR(INDEX(_怪物模型!$D$2:$D$4501,(INT($J6)-1)*ROWS(_怪物类型!$A$2:$A$10)+MATCH($F6,_怪物类型!$A$2:$A$10,0))*IF($K6="",1,$K6),""))</f>
        <v/>
      </c>
      <c r="T6" s="74">
        <f>IF(OR($J6="",$F6="不适用"),"",IFERROR(INDEX(_怪物模型!$E$2:$E$4501,(INT($J6)-1)*ROWS(_怪物类型!$A$2:$A$10)+MATCH($F6,_怪物类型!$A$2:$A$10,0))*IF($L6="",1,$L6),""))</f>
        <v/>
      </c>
      <c r="U6" s="74">
        <f>IF(OR($J6="",$F6="不适用"),"",IFERROR(INDEX(_怪物模型!$F$2:$F$4501,(INT($J6)-1)*ROWS(_怪物类型!$A$2:$A$10)+MATCH($F6,_怪物类型!$A$2:$A$10,0))*IF($M6="",1,$M6),""))</f>
        <v/>
      </c>
      <c r="V6" s="75">
        <f>IF($U6="","",MIN(0.75,$U6/($U6+24000)))</f>
        <v/>
      </c>
      <c r="W6" s="76">
        <f>IF($S6="","",$S6/(1-$V6)*IF($N6="",1,$N6))</f>
        <v/>
      </c>
      <c r="X6" s="76">
        <f>IF(OR($W6="",$Q6="",$Q6=0),"",$W6/$Q6)</f>
        <v/>
      </c>
      <c r="Y6" s="76">
        <f>IF(OR($R6="",$T6="",$T6=0),"",$R6/($T6*IF($O6="",1,$O6)))</f>
        <v/>
      </c>
      <c r="Z6" s="77">
        <f>IF(OR($X6="",$P6="",$P6=0),"",$X6/$P6)</f>
        <v/>
      </c>
      <c r="AA6" s="27">
        <f>IF($J6="","待填怪物等级",IF(OR($I6="",$Q6=""),"待填对照关卡",IF($P6="","已计算",IF(AND($Y6&lt;&gt;"",$Y6&lt;$X6),"生存不成立",IF($Z6&lt;0.5,"碾压",IF($Z6&lt;0.8,"偏简单",IF($Z6&lt;=1.2,"适中",IF($Z6&lt;=1.5,"偏难","过难"))))))))</f>
        <v/>
      </c>
      <c r="AB6" s="27">
        <f>IF($J6="","待填",IF(AND(ISNUMBER($J6),$J6&gt;=1,$J6&lt;=500,MOD($J6,1)=0),"有效","超范围"))</f>
        <v/>
      </c>
      <c r="AC6" s="27">
        <f>IF(OR($J6="",ROW()=5,$B6&lt;&gt;$B5,$J5=""),"",IF($J6&lt;$J5,"下降",""))</f>
        <v/>
      </c>
      <c r="AD6" s="28" t="inlineStr">
        <is>
          <t>2026-08-27 新玩家节点曲线校准；对照S72；等级147→116；保留原难度定位。</t>
        </is>
      </c>
      <c r="AE6" t="n">
        <v>87000</v>
      </c>
      <c r="AF6">
        <f>INDEX(_统一战力!$B$2:$B$501,J6)</f>
        <v/>
      </c>
    </row>
    <row r="7" ht="25" customHeight="1">
      <c r="A7" s="27" t="inlineStr">
        <is>
          <t>当前配置</t>
        </is>
      </c>
      <c r="B7" s="27" t="inlineStr">
        <is>
          <t>困难主线</t>
        </is>
      </c>
      <c r="C7" s="28" t="inlineStr">
        <is>
          <t>第1章</t>
        </is>
      </c>
      <c r="D7" s="28" t="inlineStr">
        <is>
          <t>高难1-3</t>
        </is>
      </c>
      <c r="E7" s="28" t="inlineStr">
        <is>
          <t>110103</t>
        </is>
      </c>
      <c r="F7" s="27" t="inlineStr">
        <is>
          <t>普通怪</t>
        </is>
      </c>
      <c r="G7" s="37" t="n">
        <v>73</v>
      </c>
      <c r="H7" s="38" t="n"/>
      <c r="I7" s="39">
        <f>IF($H7="",$G7,$H7)</f>
        <v/>
      </c>
      <c r="J7" s="40" t="n">
        <v>121</v>
      </c>
      <c r="K7" s="72" t="n">
        <v>0.958989463663426</v>
      </c>
      <c r="L7" s="72" t="n">
        <v>1.02184141499613</v>
      </c>
      <c r="M7" s="72" t="n">
        <v>1</v>
      </c>
      <c r="N7" s="73" t="n"/>
      <c r="O7" s="73" t="n"/>
      <c r="P7" s="73" t="n"/>
      <c r="Q7" s="74">
        <f>IF($I7="","",IFERROR(INDEX(_玩家曲线!$H$2:$H$286,MATCH($I7,_玩家曲线!$A$2:$A$286,0)),""))</f>
        <v/>
      </c>
      <c r="R7" s="74">
        <f>IF($I7="","",IFERROR(INDEX(_玩家曲线!$I$2:$I$286,MATCH($I7,_玩家曲线!$A$2:$A$286,0)),""))</f>
        <v/>
      </c>
      <c r="S7" s="74">
        <f>IF(OR($J7="",$F7="不适用"),"",IFERROR(INDEX(_怪物模型!$D$2:$D$4501,(INT($J7)-1)*ROWS(_怪物类型!$A$2:$A$10)+MATCH($F7,_怪物类型!$A$2:$A$10,0))*IF($K7="",1,$K7),""))</f>
        <v/>
      </c>
      <c r="T7" s="74">
        <f>IF(OR($J7="",$F7="不适用"),"",IFERROR(INDEX(_怪物模型!$E$2:$E$4501,(INT($J7)-1)*ROWS(_怪物类型!$A$2:$A$10)+MATCH($F7,_怪物类型!$A$2:$A$10,0))*IF($L7="",1,$L7),""))</f>
        <v/>
      </c>
      <c r="U7" s="74">
        <f>IF(OR($J7="",$F7="不适用"),"",IFERROR(INDEX(_怪物模型!$F$2:$F$4501,(INT($J7)-1)*ROWS(_怪物类型!$A$2:$A$10)+MATCH($F7,_怪物类型!$A$2:$A$10,0))*IF($M7="",1,$M7),""))</f>
        <v/>
      </c>
      <c r="V7" s="75">
        <f>IF($U7="","",MIN(0.75,$U7/($U7+24000)))</f>
        <v/>
      </c>
      <c r="W7" s="76">
        <f>IF($S7="","",$S7/(1-$V7)*IF($N7="",1,$N7))</f>
        <v/>
      </c>
      <c r="X7" s="76">
        <f>IF(OR($W7="",$Q7="",$Q7=0),"",$W7/$Q7)</f>
        <v/>
      </c>
      <c r="Y7" s="76">
        <f>IF(OR($R7="",$T7="",$T7=0),"",$R7/($T7*IF($O7="",1,$O7)))</f>
        <v/>
      </c>
      <c r="Z7" s="77">
        <f>IF(OR($X7="",$P7="",$P7=0),"",$X7/$P7)</f>
        <v/>
      </c>
      <c r="AA7" s="27">
        <f>IF($J7="","待填怪物等级",IF(OR($I7="",$Q7=""),"待填对照关卡",IF($P7="","已计算",IF(AND($Y7&lt;&gt;"",$Y7&lt;$X7),"生存不成立",IF($Z7&lt;0.5,"碾压",IF($Z7&lt;0.8,"偏简单",IF($Z7&lt;=1.2,"适中",IF($Z7&lt;=1.5,"偏难","过难"))))))))</f>
        <v/>
      </c>
      <c r="AB7" s="27">
        <f>IF($J7="","待填",IF(AND(ISNUMBER($J7),$J7&gt;=1,$J7&lt;=500,MOD($J7,1)=0),"有效","超范围"))</f>
        <v/>
      </c>
      <c r="AC7" s="27">
        <f>IF(OR($J7="",ROW()=5,$B7&lt;&gt;$B6,$J6=""),"",IF($J7&lt;$J6,"下降",""))</f>
        <v/>
      </c>
      <c r="AD7" s="28" t="inlineStr">
        <is>
          <t>2026-08-27 新玩家节点曲线校准；对照S73；等级148→116；保留原难度定位。</t>
        </is>
      </c>
      <c r="AE7" t="n">
        <v>91400</v>
      </c>
      <c r="AF7">
        <f>INDEX(_统一战力!$B$2:$B$501,J7)</f>
        <v/>
      </c>
    </row>
    <row r="8" ht="25" customHeight="1">
      <c r="A8" s="27" t="inlineStr">
        <is>
          <t>当前配置</t>
        </is>
      </c>
      <c r="B8" s="27" t="inlineStr">
        <is>
          <t>困难主线</t>
        </is>
      </c>
      <c r="C8" s="28" t="inlineStr">
        <is>
          <t>第1章</t>
        </is>
      </c>
      <c r="D8" s="28" t="inlineStr">
        <is>
          <t>高难1-4</t>
        </is>
      </c>
      <c r="E8" s="28" t="inlineStr">
        <is>
          <t>110104</t>
        </is>
      </c>
      <c r="F8" s="27" t="inlineStr">
        <is>
          <t>普通怪</t>
        </is>
      </c>
      <c r="G8" s="37" t="n">
        <v>74</v>
      </c>
      <c r="H8" s="38" t="n"/>
      <c r="I8" s="39">
        <f>IF($H8="",$G8,$H8)</f>
        <v/>
      </c>
      <c r="J8" s="40" t="n">
        <v>124</v>
      </c>
      <c r="K8" s="72" t="n">
        <v>0.988628986659005</v>
      </c>
      <c r="L8" s="72" t="n">
        <v>1.04366231164812</v>
      </c>
      <c r="M8" s="72" t="n">
        <v>1</v>
      </c>
      <c r="N8" s="73" t="n"/>
      <c r="O8" s="73" t="n"/>
      <c r="P8" s="73" t="n"/>
      <c r="Q8" s="74">
        <f>IF($I8="","",IFERROR(INDEX(_玩家曲线!$H$2:$H$286,MATCH($I8,_玩家曲线!$A$2:$A$286,0)),""))</f>
        <v/>
      </c>
      <c r="R8" s="74">
        <f>IF($I8="","",IFERROR(INDEX(_玩家曲线!$I$2:$I$286,MATCH($I8,_玩家曲线!$A$2:$A$286,0)),""))</f>
        <v/>
      </c>
      <c r="S8" s="74">
        <f>IF(OR($J8="",$F8="不适用"),"",IFERROR(INDEX(_怪物模型!$D$2:$D$4501,(INT($J8)-1)*ROWS(_怪物类型!$A$2:$A$10)+MATCH($F8,_怪物类型!$A$2:$A$10,0))*IF($K8="",1,$K8),""))</f>
        <v/>
      </c>
      <c r="T8" s="74">
        <f>IF(OR($J8="",$F8="不适用"),"",IFERROR(INDEX(_怪物模型!$E$2:$E$4501,(INT($J8)-1)*ROWS(_怪物类型!$A$2:$A$10)+MATCH($F8,_怪物类型!$A$2:$A$10,0))*IF($L8="",1,$L8),""))</f>
        <v/>
      </c>
      <c r="U8" s="74">
        <f>IF(OR($J8="",$F8="不适用"),"",IFERROR(INDEX(_怪物模型!$F$2:$F$4501,(INT($J8)-1)*ROWS(_怪物类型!$A$2:$A$10)+MATCH($F8,_怪物类型!$A$2:$A$10,0))*IF($M8="",1,$M8),""))</f>
        <v/>
      </c>
      <c r="V8" s="75">
        <f>IF($U8="","",MIN(0.75,$U8/($U8+24000)))</f>
        <v/>
      </c>
      <c r="W8" s="76">
        <f>IF($S8="","",$S8/(1-$V8)*IF($N8="",1,$N8))</f>
        <v/>
      </c>
      <c r="X8" s="76">
        <f>IF(OR($W8="",$Q8="",$Q8=0),"",$W8/$Q8)</f>
        <v/>
      </c>
      <c r="Y8" s="76">
        <f>IF(OR($R8="",$T8="",$T8=0),"",$R8/($T8*IF($O8="",1,$O8)))</f>
        <v/>
      </c>
      <c r="Z8" s="77">
        <f>IF(OR($X8="",$P8="",$P8=0),"",$X8/$P8)</f>
        <v/>
      </c>
      <c r="AA8" s="27">
        <f>IF($J8="","待填怪物等级",IF(OR($I8="",$Q8=""),"待填对照关卡",IF($P8="","已计算",IF(AND($Y8&lt;&gt;"",$Y8&lt;$X8),"生存不成立",IF($Z8&lt;0.5,"碾压",IF($Z8&lt;0.8,"偏简单",IF($Z8&lt;=1.2,"适中",IF($Z8&lt;=1.5,"偏难","过难"))))))))</f>
        <v/>
      </c>
      <c r="AB8" s="27">
        <f>IF($J8="","待填",IF(AND(ISNUMBER($J8),$J8&gt;=1,$J8&lt;=500,MOD($J8,1)=0),"有效","超范围"))</f>
        <v/>
      </c>
      <c r="AC8" s="27">
        <f>IF(OR($J8="",ROW()=5,$B8&lt;&gt;$B7,$J7=""),"",IF($J8&lt;$J7,"下降",""))</f>
        <v/>
      </c>
      <c r="AD8" s="28" t="inlineStr">
        <is>
          <t>2026-08-27 新玩家节点曲线校准；对照S74；等级150→116；保留原难度定位。</t>
        </is>
      </c>
      <c r="AE8" t="n">
        <v>95900</v>
      </c>
      <c r="AF8">
        <f>INDEX(_统一战力!$B$2:$B$501,J8)</f>
        <v/>
      </c>
    </row>
    <row r="9" ht="25" customHeight="1">
      <c r="A9" s="27" t="inlineStr">
        <is>
          <t>当前配置</t>
        </is>
      </c>
      <c r="B9" s="27" t="inlineStr">
        <is>
          <t>困难主线</t>
        </is>
      </c>
      <c r="C9" s="28" t="inlineStr">
        <is>
          <t>第1章</t>
        </is>
      </c>
      <c r="D9" s="28" t="inlineStr">
        <is>
          <t>高难1-5</t>
        </is>
      </c>
      <c r="E9" s="28" t="inlineStr">
        <is>
          <t>110105</t>
        </is>
      </c>
      <c r="F9" s="27" t="inlineStr">
        <is>
          <t>普通怪</t>
        </is>
      </c>
      <c r="G9" s="37" t="n">
        <v>75</v>
      </c>
      <c r="H9" s="38" t="n"/>
      <c r="I9" s="39">
        <f>IF($H9="",$G9,$H9)</f>
        <v/>
      </c>
      <c r="J9" s="40" t="n">
        <v>127</v>
      </c>
      <c r="K9" s="72" t="n">
        <v>0.9767031930946</v>
      </c>
      <c r="L9" s="72" t="n">
        <v>1.03985025416137</v>
      </c>
      <c r="M9" s="72" t="n">
        <v>1</v>
      </c>
      <c r="N9" s="73" t="n"/>
      <c r="O9" s="73" t="n"/>
      <c r="P9" s="73" t="n"/>
      <c r="Q9" s="74">
        <f>IF($I9="","",IFERROR(INDEX(_玩家曲线!$H$2:$H$286,MATCH($I9,_玩家曲线!$A$2:$A$286,0)),""))</f>
        <v/>
      </c>
      <c r="R9" s="74">
        <f>IF($I9="","",IFERROR(INDEX(_玩家曲线!$I$2:$I$286,MATCH($I9,_玩家曲线!$A$2:$A$286,0)),""))</f>
        <v/>
      </c>
      <c r="S9" s="74">
        <f>IF(OR($J9="",$F9="不适用"),"",IFERROR(INDEX(_怪物模型!$D$2:$D$4501,(INT($J9)-1)*ROWS(_怪物类型!$A$2:$A$10)+MATCH($F9,_怪物类型!$A$2:$A$10,0))*IF($K9="",1,$K9),""))</f>
        <v/>
      </c>
      <c r="T9" s="74">
        <f>IF(OR($J9="",$F9="不适用"),"",IFERROR(INDEX(_怪物模型!$E$2:$E$4501,(INT($J9)-1)*ROWS(_怪物类型!$A$2:$A$10)+MATCH($F9,_怪物类型!$A$2:$A$10,0))*IF($L9="",1,$L9),""))</f>
        <v/>
      </c>
      <c r="U9" s="74">
        <f>IF(OR($J9="",$F9="不适用"),"",IFERROR(INDEX(_怪物模型!$F$2:$F$4501,(INT($J9)-1)*ROWS(_怪物类型!$A$2:$A$10)+MATCH($F9,_怪物类型!$A$2:$A$10,0))*IF($M9="",1,$M9),""))</f>
        <v/>
      </c>
      <c r="V9" s="75">
        <f>IF($U9="","",MIN(0.75,$U9/($U9+24000)))</f>
        <v/>
      </c>
      <c r="W9" s="76">
        <f>IF($S9="","",$S9/(1-$V9)*IF($N9="",1,$N9))</f>
        <v/>
      </c>
      <c r="X9" s="76">
        <f>IF(OR($W9="",$Q9="",$Q9=0),"",$W9/$Q9)</f>
        <v/>
      </c>
      <c r="Y9" s="76">
        <f>IF(OR($R9="",$T9="",$T9=0),"",$R9/($T9*IF($O9="",1,$O9)))</f>
        <v/>
      </c>
      <c r="Z9" s="77">
        <f>IF(OR($X9="",$P9="",$P9=0),"",$X9/$P9)</f>
        <v/>
      </c>
      <c r="AA9" s="27">
        <f>IF($J9="","待填怪物等级",IF(OR($I9="",$Q9=""),"待填对照关卡",IF($P9="","已计算",IF(AND($Y9&lt;&gt;"",$Y9&lt;$X9),"生存不成立",IF($Z9&lt;0.5,"碾压",IF($Z9&lt;0.8,"偏简单",IF($Z9&lt;=1.2,"适中",IF($Z9&lt;=1.5,"偏难","过难"))))))))</f>
        <v/>
      </c>
      <c r="AB9" s="27">
        <f>IF($J9="","待填",IF(AND(ISNUMBER($J9),$J9&gt;=1,$J9&lt;=500,MOD($J9,1)=0),"有效","超范围"))</f>
        <v/>
      </c>
      <c r="AC9" s="27">
        <f>IF(OR($J9="",ROW()=5,$B9&lt;&gt;$B8,$J8=""),"",IF($J9&lt;$J8,"下降",""))</f>
        <v/>
      </c>
      <c r="AD9" s="28" t="inlineStr">
        <is>
          <t>2026-08-27 新玩家节点曲线校准；对照S75；等级153→119；保留原难度定位。</t>
        </is>
      </c>
      <c r="AE9" t="n">
        <v>101000</v>
      </c>
      <c r="AF9">
        <f>INDEX(_统一战力!$B$2:$B$501,J9)</f>
        <v/>
      </c>
    </row>
    <row r="10" ht="25" customHeight="1">
      <c r="A10" s="27" t="inlineStr">
        <is>
          <t>当前配置</t>
        </is>
      </c>
      <c r="B10" s="27" t="inlineStr">
        <is>
          <t>困难主线</t>
        </is>
      </c>
      <c r="C10" s="28" t="inlineStr">
        <is>
          <t>第2章</t>
        </is>
      </c>
      <c r="D10" s="28" t="inlineStr">
        <is>
          <t>高难2-1</t>
        </is>
      </c>
      <c r="E10" s="28" t="inlineStr">
        <is>
          <t>110201</t>
        </is>
      </c>
      <c r="F10" s="27" t="inlineStr">
        <is>
          <t>普通怪</t>
        </is>
      </c>
      <c r="G10" s="37" t="n">
        <v>76</v>
      </c>
      <c r="H10" s="38" t="n"/>
      <c r="I10" s="39">
        <f>IF($H10="",$G10,$H10)</f>
        <v/>
      </c>
      <c r="J10" s="40" t="n">
        <v>130</v>
      </c>
      <c r="K10" s="72" t="n">
        <v>0.990472025846035</v>
      </c>
      <c r="L10" s="72" t="n">
        <v>1.04996037606877</v>
      </c>
      <c r="M10" s="72" t="n">
        <v>1</v>
      </c>
      <c r="N10" s="73" t="n"/>
      <c r="O10" s="73" t="n"/>
      <c r="P10" s="73" t="n"/>
      <c r="Q10" s="74">
        <f>IF($I10="","",IFERROR(INDEX(_玩家曲线!$H$2:$H$286,MATCH($I10,_玩家曲线!$A$2:$A$286,0)),""))</f>
        <v/>
      </c>
      <c r="R10" s="74">
        <f>IF($I10="","",IFERROR(INDEX(_玩家曲线!$I$2:$I$286,MATCH($I10,_玩家曲线!$A$2:$A$286,0)),""))</f>
        <v/>
      </c>
      <c r="S10" s="74">
        <f>IF(OR($J10="",$F10="不适用"),"",IFERROR(INDEX(_怪物模型!$D$2:$D$4501,(INT($J10)-1)*ROWS(_怪物类型!$A$2:$A$10)+MATCH($F10,_怪物类型!$A$2:$A$10,0))*IF($K10="",1,$K10),""))</f>
        <v/>
      </c>
      <c r="T10" s="74">
        <f>IF(OR($J10="",$F10="不适用"),"",IFERROR(INDEX(_怪物模型!$E$2:$E$4501,(INT($J10)-1)*ROWS(_怪物类型!$A$2:$A$10)+MATCH($F10,_怪物类型!$A$2:$A$10,0))*IF($L10="",1,$L10),""))</f>
        <v/>
      </c>
      <c r="U10" s="74">
        <f>IF(OR($J10="",$F10="不适用"),"",IFERROR(INDEX(_怪物模型!$F$2:$F$4501,(INT($J10)-1)*ROWS(_怪物类型!$A$2:$A$10)+MATCH($F10,_怪物类型!$A$2:$A$10,0))*IF($M10="",1,$M10),""))</f>
        <v/>
      </c>
      <c r="V10" s="75">
        <f>IF($U10="","",MIN(0.75,$U10/($U10+24000)))</f>
        <v/>
      </c>
      <c r="W10" s="76">
        <f>IF($S10="","",$S10/(1-$V10)*IF($N10="",1,$N10))</f>
        <v/>
      </c>
      <c r="X10" s="76">
        <f>IF(OR($W10="",$Q10="",$Q10=0),"",$W10/$Q10)</f>
        <v/>
      </c>
      <c r="Y10" s="76">
        <f>IF(OR($R10="",$T10="",$T10=0),"",$R10/($T10*IF($O10="",1,$O10)))</f>
        <v/>
      </c>
      <c r="Z10" s="77">
        <f>IF(OR($X10="",$P10="",$P10=0),"",$X10/$P10)</f>
        <v/>
      </c>
      <c r="AA10" s="27">
        <f>IF($J10="","待填怪物等级",IF(OR($I10="",$Q10=""),"待填对照关卡",IF($P10="","已计算",IF(AND($Y10&lt;&gt;"",$Y10&lt;$X10),"生存不成立",IF($Z10&lt;0.5,"碾压",IF($Z10&lt;0.8,"偏简单",IF($Z10&lt;=1.2,"适中",IF($Z10&lt;=1.5,"偏难","过难"))))))))</f>
        <v/>
      </c>
      <c r="AB10" s="27">
        <f>IF($J10="","待填",IF(AND(ISNUMBER($J10),$J10&gt;=1,$J10&lt;=500,MOD($J10,1)=0),"有效","超范围"))</f>
        <v/>
      </c>
      <c r="AC10" s="27">
        <f>IF(OR($J10="",ROW()=5,$B10&lt;&gt;$B9,$J9=""),"",IF($J10&lt;$J9,"下降",""))</f>
        <v/>
      </c>
      <c r="AD10" s="28" t="inlineStr">
        <is>
          <t>2026-08-27 新玩家节点曲线校准；对照S76；等级154→119；保留原难度定位。</t>
        </is>
      </c>
      <c r="AE10" t="n">
        <v>105000</v>
      </c>
      <c r="AF10">
        <f>INDEX(_统一战力!$B$2:$B$501,J10)</f>
        <v/>
      </c>
    </row>
    <row r="11" ht="25" customHeight="1">
      <c r="A11" s="27" t="inlineStr">
        <is>
          <t>当前配置</t>
        </is>
      </c>
      <c r="B11" s="27" t="inlineStr">
        <is>
          <t>困难主线</t>
        </is>
      </c>
      <c r="C11" s="28" t="inlineStr">
        <is>
          <t>第2章</t>
        </is>
      </c>
      <c r="D11" s="28" t="inlineStr">
        <is>
          <t>高难2-2</t>
        </is>
      </c>
      <c r="E11" s="28" t="inlineStr">
        <is>
          <t>110202</t>
        </is>
      </c>
      <c r="F11" s="27" t="inlineStr">
        <is>
          <t>普通怪</t>
        </is>
      </c>
      <c r="G11" s="37" t="n">
        <v>77</v>
      </c>
      <c r="H11" s="38" t="n"/>
      <c r="I11" s="39">
        <f>IF($H11="",$G11,$H11)</f>
        <v/>
      </c>
      <c r="J11" s="40" t="n">
        <v>132</v>
      </c>
      <c r="K11" s="72" t="n">
        <v>0.985226928267657</v>
      </c>
      <c r="L11" s="72" t="n">
        <v>1.04776127087879</v>
      </c>
      <c r="M11" s="72" t="n">
        <v>1</v>
      </c>
      <c r="N11" s="73" t="n"/>
      <c r="O11" s="73" t="n"/>
      <c r="P11" s="73" t="n"/>
      <c r="Q11" s="74">
        <f>IF($I11="","",IFERROR(INDEX(_玩家曲线!$H$2:$H$286,MATCH($I11,_玩家曲线!$A$2:$A$286,0)),""))</f>
        <v/>
      </c>
      <c r="R11" s="74">
        <f>IF($I11="","",IFERROR(INDEX(_玩家曲线!$I$2:$I$286,MATCH($I11,_玩家曲线!$A$2:$A$286,0)),""))</f>
        <v/>
      </c>
      <c r="S11" s="74">
        <f>IF(OR($J11="",$F11="不适用"),"",IFERROR(INDEX(_怪物模型!$D$2:$D$4501,(INT($J11)-1)*ROWS(_怪物类型!$A$2:$A$10)+MATCH($F11,_怪物类型!$A$2:$A$10,0))*IF($K11="",1,$K11),""))</f>
        <v/>
      </c>
      <c r="T11" s="74">
        <f>IF(OR($J11="",$F11="不适用"),"",IFERROR(INDEX(_怪物模型!$E$2:$E$4501,(INT($J11)-1)*ROWS(_怪物类型!$A$2:$A$10)+MATCH($F11,_怪物类型!$A$2:$A$10,0))*IF($L11="",1,$L11),""))</f>
        <v/>
      </c>
      <c r="U11" s="74">
        <f>IF(OR($J11="",$F11="不适用"),"",IFERROR(INDEX(_怪物模型!$F$2:$F$4501,(INT($J11)-1)*ROWS(_怪物类型!$A$2:$A$10)+MATCH($F11,_怪物类型!$A$2:$A$10,0))*IF($M11="",1,$M11),""))</f>
        <v/>
      </c>
      <c r="V11" s="75">
        <f>IF($U11="","",MIN(0.75,$U11/($U11+24000)))</f>
        <v/>
      </c>
      <c r="W11" s="76">
        <f>IF($S11="","",$S11/(1-$V11)*IF($N11="",1,$N11))</f>
        <v/>
      </c>
      <c r="X11" s="76">
        <f>IF(OR($W11="",$Q11="",$Q11=0),"",$W11/$Q11)</f>
        <v/>
      </c>
      <c r="Y11" s="76">
        <f>IF(OR($R11="",$T11="",$T11=0),"",$R11/($T11*IF($O11="",1,$O11)))</f>
        <v/>
      </c>
      <c r="Z11" s="77">
        <f>IF(OR($X11="",$P11="",$P11=0),"",$X11/$P11)</f>
        <v/>
      </c>
      <c r="AA11" s="27">
        <f>IF($J11="","待填怪物等级",IF(OR($I11="",$Q11=""),"待填对照关卡",IF($P11="","已计算",IF(AND($Y11&lt;&gt;"",$Y11&lt;$X11),"生存不成立",IF($Z11&lt;0.5,"碾压",IF($Z11&lt;0.8,"偏简单",IF($Z11&lt;=1.2,"适中",IF($Z11&lt;=1.5,"偏难","过难"))))))))</f>
        <v/>
      </c>
      <c r="AB11" s="27">
        <f>IF($J11="","待填",IF(AND(ISNUMBER($J11),$J11&gt;=1,$J11&lt;=500,MOD($J11,1)=0),"有效","超范围"))</f>
        <v/>
      </c>
      <c r="AC11" s="27">
        <f>IF(OR($J11="",ROW()=5,$B11&lt;&gt;$B10,$J10=""),"",IF($J11&lt;$J10,"下降",""))</f>
        <v/>
      </c>
      <c r="AD11" s="28" t="inlineStr">
        <is>
          <t>2026-08-27 新玩家节点曲线校准；对照S77；等级155→120；保留原难度定位。</t>
        </is>
      </c>
      <c r="AE11" t="n">
        <v>105000</v>
      </c>
      <c r="AF11">
        <f>INDEX(_统一战力!$B$2:$B$501,J11)</f>
        <v/>
      </c>
    </row>
    <row r="12" ht="25" customHeight="1">
      <c r="A12" s="27" t="inlineStr">
        <is>
          <t>当前配置</t>
        </is>
      </c>
      <c r="B12" s="27" t="inlineStr">
        <is>
          <t>困难主线</t>
        </is>
      </c>
      <c r="C12" s="28" t="inlineStr">
        <is>
          <t>第2章</t>
        </is>
      </c>
      <c r="D12" s="28" t="inlineStr">
        <is>
          <t>高难2-3</t>
        </is>
      </c>
      <c r="E12" s="28" t="inlineStr">
        <is>
          <t>110203</t>
        </is>
      </c>
      <c r="F12" s="27" t="inlineStr">
        <is>
          <t>普通怪</t>
        </is>
      </c>
      <c r="G12" s="37" t="n">
        <v>78</v>
      </c>
      <c r="H12" s="38" t="n"/>
      <c r="I12" s="39">
        <f>IF($H12="",$G12,$H12)</f>
        <v/>
      </c>
      <c r="J12" s="40" t="n">
        <v>135</v>
      </c>
      <c r="K12" s="72" t="n">
        <v>0.977938453546373</v>
      </c>
      <c r="L12" s="72" t="n">
        <v>1.04583440656595</v>
      </c>
      <c r="M12" s="72" t="n">
        <v>1</v>
      </c>
      <c r="N12" s="73" t="n"/>
      <c r="O12" s="73" t="n"/>
      <c r="P12" s="73" t="n"/>
      <c r="Q12" s="74">
        <f>IF($I12="","",IFERROR(INDEX(_玩家曲线!$H$2:$H$286,MATCH($I12,_玩家曲线!$A$2:$A$286,0)),""))</f>
        <v/>
      </c>
      <c r="R12" s="74">
        <f>IF($I12="","",IFERROR(INDEX(_玩家曲线!$I$2:$I$286,MATCH($I12,_玩家曲线!$A$2:$A$286,0)),""))</f>
        <v/>
      </c>
      <c r="S12" s="74">
        <f>IF(OR($J12="",$F12="不适用"),"",IFERROR(INDEX(_怪物模型!$D$2:$D$4501,(INT($J12)-1)*ROWS(_怪物类型!$A$2:$A$10)+MATCH($F12,_怪物类型!$A$2:$A$10,0))*IF($K12="",1,$K12),""))</f>
        <v/>
      </c>
      <c r="T12" s="74">
        <f>IF(OR($J12="",$F12="不适用"),"",IFERROR(INDEX(_怪物模型!$E$2:$E$4501,(INT($J12)-1)*ROWS(_怪物类型!$A$2:$A$10)+MATCH($F12,_怪物类型!$A$2:$A$10,0))*IF($L12="",1,$L12),""))</f>
        <v/>
      </c>
      <c r="U12" s="74">
        <f>IF(OR($J12="",$F12="不适用"),"",IFERROR(INDEX(_怪物模型!$F$2:$F$4501,(INT($J12)-1)*ROWS(_怪物类型!$A$2:$A$10)+MATCH($F12,_怪物类型!$A$2:$A$10,0))*IF($M12="",1,$M12),""))</f>
        <v/>
      </c>
      <c r="V12" s="75">
        <f>IF($U12="","",MIN(0.75,$U12/($U12+24000)))</f>
        <v/>
      </c>
      <c r="W12" s="76">
        <f>IF($S12="","",$S12/(1-$V12)*IF($N12="",1,$N12))</f>
        <v/>
      </c>
      <c r="X12" s="76">
        <f>IF(OR($W12="",$Q12="",$Q12=0),"",$W12/$Q12)</f>
        <v/>
      </c>
      <c r="Y12" s="76">
        <f>IF(OR($R12="",$T12="",$T12=0),"",$R12/($T12*IF($O12="",1,$O12)))</f>
        <v/>
      </c>
      <c r="Z12" s="77">
        <f>IF(OR($X12="",$P12="",$P12=0),"",$X12/$P12)</f>
        <v/>
      </c>
      <c r="AA12" s="27">
        <f>IF($J12="","待填怪物等级",IF(OR($I12="",$Q12=""),"待填对照关卡",IF($P12="","已计算",IF(AND($Y12&lt;&gt;"",$Y12&lt;$X12),"生存不成立",IF($Z12&lt;0.5,"碾压",IF($Z12&lt;0.8,"偏简单",IF($Z12&lt;=1.2,"适中",IF($Z12&lt;=1.5,"偏难","过难"))))))))</f>
        <v/>
      </c>
      <c r="AB12" s="27">
        <f>IF($J12="","待填",IF(AND(ISNUMBER($J12),$J12&gt;=1,$J12&lt;=500,MOD($J12,1)=0),"有效","超范围"))</f>
        <v/>
      </c>
      <c r="AC12" s="27">
        <f>IF(OR($J12="",ROW()=5,$B12&lt;&gt;$B11,$J11=""),"",IF($J12&lt;$J11,"下降",""))</f>
        <v/>
      </c>
      <c r="AD12" s="28" t="inlineStr">
        <is>
          <t>2026-08-27 新玩家节点曲线校准；对照S78；等级157→122；保留原难度定位。</t>
        </is>
      </c>
      <c r="AE12" t="n">
        <v>110000</v>
      </c>
      <c r="AF12">
        <f>INDEX(_统一战力!$B$2:$B$501,J12)</f>
        <v/>
      </c>
    </row>
    <row r="13" ht="25" customHeight="1">
      <c r="A13" s="27" t="inlineStr">
        <is>
          <t>当前配置</t>
        </is>
      </c>
      <c r="B13" s="27" t="inlineStr">
        <is>
          <t>困难主线</t>
        </is>
      </c>
      <c r="C13" s="28" t="inlineStr">
        <is>
          <t>第2章</t>
        </is>
      </c>
      <c r="D13" s="28" t="inlineStr">
        <is>
          <t>高难2-4</t>
        </is>
      </c>
      <c r="E13" s="28" t="inlineStr">
        <is>
          <t>110204</t>
        </is>
      </c>
      <c r="F13" s="27" t="inlineStr">
        <is>
          <t>普通怪</t>
        </is>
      </c>
      <c r="G13" s="37" t="n">
        <v>79</v>
      </c>
      <c r="H13" s="38" t="n"/>
      <c r="I13" s="39">
        <f>IF($H13="",$G13,$H13)</f>
        <v/>
      </c>
      <c r="J13" s="40" t="n">
        <v>138</v>
      </c>
      <c r="K13" s="72" t="n">
        <v>0.97656530637776</v>
      </c>
      <c r="L13" s="72" t="n">
        <v>1.04497844412362</v>
      </c>
      <c r="M13" s="72" t="n">
        <v>1</v>
      </c>
      <c r="N13" s="73" t="n"/>
      <c r="O13" s="73" t="n"/>
      <c r="P13" s="73" t="n"/>
      <c r="Q13" s="74">
        <f>IF($I13="","",IFERROR(INDEX(_玩家曲线!$H$2:$H$286,MATCH($I13,_玩家曲线!$A$2:$A$286,0)),""))</f>
        <v/>
      </c>
      <c r="R13" s="74">
        <f>IF($I13="","",IFERROR(INDEX(_玩家曲线!$I$2:$I$286,MATCH($I13,_玩家曲线!$A$2:$A$286,0)),""))</f>
        <v/>
      </c>
      <c r="S13" s="74">
        <f>IF(OR($J13="",$F13="不适用"),"",IFERROR(INDEX(_怪物模型!$D$2:$D$4501,(INT($J13)-1)*ROWS(_怪物类型!$A$2:$A$10)+MATCH($F13,_怪物类型!$A$2:$A$10,0))*IF($K13="",1,$K13),""))</f>
        <v/>
      </c>
      <c r="T13" s="74">
        <f>IF(OR($J13="",$F13="不适用"),"",IFERROR(INDEX(_怪物模型!$E$2:$E$4501,(INT($J13)-1)*ROWS(_怪物类型!$A$2:$A$10)+MATCH($F13,_怪物类型!$A$2:$A$10,0))*IF($L13="",1,$L13),""))</f>
        <v/>
      </c>
      <c r="U13" s="74">
        <f>IF(OR($J13="",$F13="不适用"),"",IFERROR(INDEX(_怪物模型!$F$2:$F$4501,(INT($J13)-1)*ROWS(_怪物类型!$A$2:$A$10)+MATCH($F13,_怪物类型!$A$2:$A$10,0))*IF($M13="",1,$M13),""))</f>
        <v/>
      </c>
      <c r="V13" s="75">
        <f>IF($U13="","",MIN(0.75,$U13/($U13+24000)))</f>
        <v/>
      </c>
      <c r="W13" s="76">
        <f>IF($S13="","",$S13/(1-$V13)*IF($N13="",1,$N13))</f>
        <v/>
      </c>
      <c r="X13" s="76">
        <f>IF(OR($W13="",$Q13="",$Q13=0),"",$W13/$Q13)</f>
        <v/>
      </c>
      <c r="Y13" s="76">
        <f>IF(OR($R13="",$T13="",$T13=0),"",$R13/($T13*IF($O13="",1,$O13)))</f>
        <v/>
      </c>
      <c r="Z13" s="77">
        <f>IF(OR($X13="",$P13="",$P13=0),"",$X13/$P13)</f>
        <v/>
      </c>
      <c r="AA13" s="27">
        <f>IF($J13="","待填怪物等级",IF(OR($I13="",$Q13=""),"待填对照关卡",IF($P13="","已计算",IF(AND($Y13&lt;&gt;"",$Y13&lt;$X13),"生存不成立",IF($Z13&lt;0.5,"碾压",IF($Z13&lt;0.8,"偏简单",IF($Z13&lt;=1.2,"适中",IF($Z13&lt;=1.5,"偏难","过难"))))))))</f>
        <v/>
      </c>
      <c r="AB13" s="27">
        <f>IF($J13="","待填",IF(AND(ISNUMBER($J13),$J13&gt;=1,$J13&lt;=500,MOD($J13,1)=0),"有效","超范围"))</f>
        <v/>
      </c>
      <c r="AC13" s="27">
        <f>IF(OR($J13="",ROW()=5,$B13&lt;&gt;$B12,$J12=""),"",IF($J13&lt;$J12,"下降",""))</f>
        <v/>
      </c>
      <c r="AD13" s="28" t="inlineStr">
        <is>
          <t>2026-08-27 新玩家节点曲线校准；对照S79；等级157→122；保留原难度定位。</t>
        </is>
      </c>
      <c r="AE13" t="n">
        <v>115000</v>
      </c>
      <c r="AF13">
        <f>INDEX(_统一战力!$B$2:$B$501,J13)</f>
        <v/>
      </c>
    </row>
    <row r="14" ht="25" customHeight="1">
      <c r="A14" s="27" t="inlineStr">
        <is>
          <t>当前配置</t>
        </is>
      </c>
      <c r="B14" s="27" t="inlineStr">
        <is>
          <t>困难主线</t>
        </is>
      </c>
      <c r="C14" s="28" t="inlineStr">
        <is>
          <t>第2章</t>
        </is>
      </c>
      <c r="D14" s="28" t="inlineStr">
        <is>
          <t>高难2-5</t>
        </is>
      </c>
      <c r="E14" s="28" t="inlineStr">
        <is>
          <t>110205</t>
        </is>
      </c>
      <c r="F14" s="27" t="inlineStr">
        <is>
          <t>普通怪</t>
        </is>
      </c>
      <c r="G14" s="37" t="n">
        <v>80</v>
      </c>
      <c r="H14" s="38" t="n"/>
      <c r="I14" s="39">
        <f>IF($H14="",$G14,$H14)</f>
        <v/>
      </c>
      <c r="J14" s="40" t="n">
        <v>140</v>
      </c>
      <c r="K14" s="72" t="n">
        <v>0.98955674988599</v>
      </c>
      <c r="L14" s="72" t="n">
        <v>1.05662820165562</v>
      </c>
      <c r="M14" s="72" t="n">
        <v>1</v>
      </c>
      <c r="N14" s="73" t="n"/>
      <c r="O14" s="73" t="n"/>
      <c r="P14" s="73" t="n"/>
      <c r="Q14" s="74">
        <f>IF($I14="","",IFERROR(INDEX(_玩家曲线!$H$2:$H$286,MATCH($I14,_玩家曲线!$A$2:$A$286,0)),""))</f>
        <v/>
      </c>
      <c r="R14" s="74">
        <f>IF($I14="","",IFERROR(INDEX(_玩家曲线!$I$2:$I$286,MATCH($I14,_玩家曲线!$A$2:$A$286,0)),""))</f>
        <v/>
      </c>
      <c r="S14" s="74">
        <f>IF(OR($J14="",$F14="不适用"),"",IFERROR(INDEX(_怪物模型!$D$2:$D$4501,(INT($J14)-1)*ROWS(_怪物类型!$A$2:$A$10)+MATCH($F14,_怪物类型!$A$2:$A$10,0))*IF($K14="",1,$K14),""))</f>
        <v/>
      </c>
      <c r="T14" s="74">
        <f>IF(OR($J14="",$F14="不适用"),"",IFERROR(INDEX(_怪物模型!$E$2:$E$4501,(INT($J14)-1)*ROWS(_怪物类型!$A$2:$A$10)+MATCH($F14,_怪物类型!$A$2:$A$10,0))*IF($L14="",1,$L14),""))</f>
        <v/>
      </c>
      <c r="U14" s="74">
        <f>IF(OR($J14="",$F14="不适用"),"",IFERROR(INDEX(_怪物模型!$F$2:$F$4501,(INT($J14)-1)*ROWS(_怪物类型!$A$2:$A$10)+MATCH($F14,_怪物类型!$A$2:$A$10,0))*IF($M14="",1,$M14),""))</f>
        <v/>
      </c>
      <c r="V14" s="75">
        <f>IF($U14="","",MIN(0.75,$U14/($U14+24000)))</f>
        <v/>
      </c>
      <c r="W14" s="76">
        <f>IF($S14="","",$S14/(1-$V14)*IF($N14="",1,$N14))</f>
        <v/>
      </c>
      <c r="X14" s="76">
        <f>IF(OR($W14="",$Q14="",$Q14=0),"",$W14/$Q14)</f>
        <v/>
      </c>
      <c r="Y14" s="76">
        <f>IF(OR($R14="",$T14="",$T14=0),"",$R14/($T14*IF($O14="",1,$O14)))</f>
        <v/>
      </c>
      <c r="Z14" s="77">
        <f>IF(OR($X14="",$P14="",$P14=0),"",$X14/$P14)</f>
        <v/>
      </c>
      <c r="AA14" s="27">
        <f>IF($J14="","待填怪物等级",IF(OR($I14="",$Q14=""),"待填对照关卡",IF($P14="","已计算",IF(AND($Y14&lt;&gt;"",$Y14&lt;$X14),"生存不成立",IF($Z14&lt;0.5,"碾压",IF($Z14&lt;0.8,"偏简单",IF($Z14&lt;=1.2,"适中",IF($Z14&lt;=1.5,"偏难","过难"))))))))</f>
        <v/>
      </c>
      <c r="AB14" s="27">
        <f>IF($J14="","待填",IF(AND(ISNUMBER($J14),$J14&gt;=1,$J14&lt;=500,MOD($J14,1)=0),"有效","超范围"))</f>
        <v/>
      </c>
      <c r="AC14" s="27">
        <f>IF(OR($J14="",ROW()=5,$B14&lt;&gt;$B13,$J13=""),"",IF($J14&lt;$J13,"下降",""))</f>
        <v/>
      </c>
      <c r="AD14" s="28" t="inlineStr">
        <is>
          <t>2026-08-27 新玩家节点曲线校准；对照S80；等级159→123；保留原难度定位。</t>
        </is>
      </c>
      <c r="AE14" t="n">
        <v>120000</v>
      </c>
      <c r="AF14">
        <f>INDEX(_统一战力!$B$2:$B$501,J14)</f>
        <v/>
      </c>
    </row>
    <row r="15" ht="25" customHeight="1">
      <c r="A15" s="27" t="inlineStr">
        <is>
          <t>当前配置</t>
        </is>
      </c>
      <c r="B15" s="27" t="inlineStr">
        <is>
          <t>困难主线</t>
        </is>
      </c>
      <c r="C15" s="28" t="inlineStr">
        <is>
          <t>第3章</t>
        </is>
      </c>
      <c r="D15" s="28" t="inlineStr">
        <is>
          <t>高难3-1</t>
        </is>
      </c>
      <c r="E15" s="28" t="inlineStr">
        <is>
          <t>110301</t>
        </is>
      </c>
      <c r="F15" s="27" t="inlineStr">
        <is>
          <t>普通怪</t>
        </is>
      </c>
      <c r="G15" s="37" t="n">
        <v>81</v>
      </c>
      <c r="H15" s="38" t="n"/>
      <c r="I15" s="39">
        <f>IF($H15="",$G15,$H15)</f>
        <v/>
      </c>
      <c r="J15" s="40" t="n">
        <v>143</v>
      </c>
      <c r="K15" s="72" t="n">
        <v>0.9837893643033651</v>
      </c>
      <c r="L15" s="72" t="n">
        <v>1.05610178247524</v>
      </c>
      <c r="M15" s="72" t="n">
        <v>1</v>
      </c>
      <c r="N15" s="73" t="n"/>
      <c r="O15" s="73" t="n"/>
      <c r="P15" s="73" t="n"/>
      <c r="Q15" s="74">
        <f>IF($I15="","",IFERROR(INDEX(_玩家曲线!$H$2:$H$286,MATCH($I15,_玩家曲线!$A$2:$A$286,0)),""))</f>
        <v/>
      </c>
      <c r="R15" s="74">
        <f>IF($I15="","",IFERROR(INDEX(_玩家曲线!$I$2:$I$286,MATCH($I15,_玩家曲线!$A$2:$A$286,0)),""))</f>
        <v/>
      </c>
      <c r="S15" s="74">
        <f>IF(OR($J15="",$F15="不适用"),"",IFERROR(INDEX(_怪物模型!$D$2:$D$4501,(INT($J15)-1)*ROWS(_怪物类型!$A$2:$A$10)+MATCH($F15,_怪物类型!$A$2:$A$10,0))*IF($K15="",1,$K15),""))</f>
        <v/>
      </c>
      <c r="T15" s="74">
        <f>IF(OR($J15="",$F15="不适用"),"",IFERROR(INDEX(_怪物模型!$E$2:$E$4501,(INT($J15)-1)*ROWS(_怪物类型!$A$2:$A$10)+MATCH($F15,_怪物类型!$A$2:$A$10,0))*IF($L15="",1,$L15),""))</f>
        <v/>
      </c>
      <c r="U15" s="74">
        <f>IF(OR($J15="",$F15="不适用"),"",IFERROR(INDEX(_怪物模型!$F$2:$F$4501,(INT($J15)-1)*ROWS(_怪物类型!$A$2:$A$10)+MATCH($F15,_怪物类型!$A$2:$A$10,0))*IF($M15="",1,$M15),""))</f>
        <v/>
      </c>
      <c r="V15" s="75">
        <f>IF($U15="","",MIN(0.75,$U15/($U15+24000)))</f>
        <v/>
      </c>
      <c r="W15" s="76">
        <f>IF($S15="","",$S15/(1-$V15)*IF($N15="",1,$N15))</f>
        <v/>
      </c>
      <c r="X15" s="76">
        <f>IF(OR($W15="",$Q15="",$Q15=0),"",$W15/$Q15)</f>
        <v/>
      </c>
      <c r="Y15" s="76">
        <f>IF(OR($R15="",$T15="",$T15=0),"",$R15/($T15*IF($O15="",1,$O15)))</f>
        <v/>
      </c>
      <c r="Z15" s="77">
        <f>IF(OR($X15="",$P15="",$P15=0),"",$X15/$P15)</f>
        <v/>
      </c>
      <c r="AA15" s="27">
        <f>IF($J15="","待填怪物等级",IF(OR($I15="",$Q15=""),"待填对照关卡",IF($P15="","已计算",IF(AND($Y15&lt;&gt;"",$Y15&lt;$X15),"生存不成立",IF($Z15&lt;0.5,"碾压",IF($Z15&lt;0.8,"偏简单",IF($Z15&lt;=1.2,"适中",IF($Z15&lt;=1.5,"偏难","过难"))))))))</f>
        <v/>
      </c>
      <c r="AB15" s="27">
        <f>IF($J15="","待填",IF(AND(ISNUMBER($J15),$J15&gt;=1,$J15&lt;=500,MOD($J15,1)=0),"有效","超范围"))</f>
        <v/>
      </c>
      <c r="AC15" s="27">
        <f>IF(OR($J15="",ROW()=5,$B15&lt;&gt;$B14,$J14=""),"",IF($J15&lt;$J14,"下降",""))</f>
        <v/>
      </c>
      <c r="AD15" s="28" t="inlineStr">
        <is>
          <t>2026-08-27 新玩家节点曲线校准；对照S81；等级161→125；保留原难度定位。</t>
        </is>
      </c>
      <c r="AE15" t="n">
        <v>125000</v>
      </c>
      <c r="AF15">
        <f>INDEX(_统一战力!$B$2:$B$501,J15)</f>
        <v/>
      </c>
    </row>
    <row r="16" ht="25" customHeight="1">
      <c r="A16" s="27" t="inlineStr">
        <is>
          <t>当前配置</t>
        </is>
      </c>
      <c r="B16" s="27" t="inlineStr">
        <is>
          <t>困难主线</t>
        </is>
      </c>
      <c r="C16" s="28" t="inlineStr">
        <is>
          <t>第3章</t>
        </is>
      </c>
      <c r="D16" s="28" t="inlineStr">
        <is>
          <t>高难3-2</t>
        </is>
      </c>
      <c r="E16" s="28" t="inlineStr">
        <is>
          <t>110302</t>
        </is>
      </c>
      <c r="F16" s="27" t="inlineStr">
        <is>
          <t>普通怪</t>
        </is>
      </c>
      <c r="G16" s="37" t="n">
        <v>82</v>
      </c>
      <c r="H16" s="38" t="n"/>
      <c r="I16" s="39">
        <f>IF($H16="",$G16,$H16)</f>
        <v/>
      </c>
      <c r="J16" s="40" t="n">
        <v>146</v>
      </c>
      <c r="K16" s="72" t="n">
        <v>0.978639490283494</v>
      </c>
      <c r="L16" s="72" t="n">
        <v>1.05603496423753</v>
      </c>
      <c r="M16" s="72" t="n">
        <v>1</v>
      </c>
      <c r="N16" s="73" t="n"/>
      <c r="O16" s="73" t="n"/>
      <c r="P16" s="73" t="n"/>
      <c r="Q16" s="74">
        <f>IF($I16="","",IFERROR(INDEX(_玩家曲线!$H$2:$H$286,MATCH($I16,_玩家曲线!$A$2:$A$286,0)),""))</f>
        <v/>
      </c>
      <c r="R16" s="74">
        <f>IF($I16="","",IFERROR(INDEX(_玩家曲线!$I$2:$I$286,MATCH($I16,_玩家曲线!$A$2:$A$286,0)),""))</f>
        <v/>
      </c>
      <c r="S16" s="74">
        <f>IF(OR($J16="",$F16="不适用"),"",IFERROR(INDEX(_怪物模型!$D$2:$D$4501,(INT($J16)-1)*ROWS(_怪物类型!$A$2:$A$10)+MATCH($F16,_怪物类型!$A$2:$A$10,0))*IF($K16="",1,$K16),""))</f>
        <v/>
      </c>
      <c r="T16" s="74">
        <f>IF(OR($J16="",$F16="不适用"),"",IFERROR(INDEX(_怪物模型!$E$2:$E$4501,(INT($J16)-1)*ROWS(_怪物类型!$A$2:$A$10)+MATCH($F16,_怪物类型!$A$2:$A$10,0))*IF($L16="",1,$L16),""))</f>
        <v/>
      </c>
      <c r="U16" s="74">
        <f>IF(OR($J16="",$F16="不适用"),"",IFERROR(INDEX(_怪物模型!$F$2:$F$4501,(INT($J16)-1)*ROWS(_怪物类型!$A$2:$A$10)+MATCH($F16,_怪物类型!$A$2:$A$10,0))*IF($M16="",1,$M16),""))</f>
        <v/>
      </c>
      <c r="V16" s="75">
        <f>IF($U16="","",MIN(0.75,$U16/($U16+24000)))</f>
        <v/>
      </c>
      <c r="W16" s="76">
        <f>IF($S16="","",$S16/(1-$V16)*IF($N16="",1,$N16))</f>
        <v/>
      </c>
      <c r="X16" s="76">
        <f>IF(OR($W16="",$Q16="",$Q16=0),"",$W16/$Q16)</f>
        <v/>
      </c>
      <c r="Y16" s="76">
        <f>IF(OR($R16="",$T16="",$T16=0),"",$R16/($T16*IF($O16="",1,$O16)))</f>
        <v/>
      </c>
      <c r="Z16" s="77">
        <f>IF(OR($X16="",$P16="",$P16=0),"",$X16/$P16)</f>
        <v/>
      </c>
      <c r="AA16" s="27">
        <f>IF($J16="","待填怪物等级",IF(OR($I16="",$Q16=""),"待填对照关卡",IF($P16="","已计算",IF(AND($Y16&lt;&gt;"",$Y16&lt;$X16),"生存不成立",IF($Z16&lt;0.5,"碾压",IF($Z16&lt;0.8,"偏简单",IF($Z16&lt;=1.2,"适中",IF($Z16&lt;=1.5,"偏难","过难"))))))))</f>
        <v/>
      </c>
      <c r="AB16" s="27">
        <f>IF($J16="","待填",IF(AND(ISNUMBER($J16),$J16&gt;=1,$J16&lt;=500,MOD($J16,1)=0),"有效","超范围"))</f>
        <v/>
      </c>
      <c r="AC16" s="27">
        <f>IF(OR($J16="",ROW()=5,$B16&lt;&gt;$B15,$J15=""),"",IF($J16&lt;$J15,"下降",""))</f>
        <v/>
      </c>
      <c r="AD16" s="28" t="inlineStr">
        <is>
          <t>2026-08-27 新玩家节点曲线校准；对照S82；等级163→127；保留原难度定位。</t>
        </is>
      </c>
      <c r="AE16" t="n">
        <v>131000</v>
      </c>
      <c r="AF16">
        <f>INDEX(_统一战力!$B$2:$B$501,J16)</f>
        <v/>
      </c>
    </row>
    <row r="17" ht="25" customHeight="1">
      <c r="A17" s="27" t="inlineStr">
        <is>
          <t>当前配置</t>
        </is>
      </c>
      <c r="B17" s="27" t="inlineStr">
        <is>
          <t>困难主线</t>
        </is>
      </c>
      <c r="C17" s="28" t="inlineStr">
        <is>
          <t>第3章</t>
        </is>
      </c>
      <c r="D17" s="28" t="inlineStr">
        <is>
          <t>高难3-3</t>
        </is>
      </c>
      <c r="E17" s="28" t="inlineStr">
        <is>
          <t>110303</t>
        </is>
      </c>
      <c r="F17" s="27" t="inlineStr">
        <is>
          <t>普通怪</t>
        </is>
      </c>
      <c r="G17" s="37" t="n">
        <v>83</v>
      </c>
      <c r="H17" s="38" t="n"/>
      <c r="I17" s="39">
        <f>IF($H17="",$G17,$H17)</f>
        <v/>
      </c>
      <c r="J17" s="40" t="n">
        <v>148</v>
      </c>
      <c r="K17" s="72" t="n">
        <v>0.976636235090301</v>
      </c>
      <c r="L17" s="72" t="n">
        <v>1.05672129853038</v>
      </c>
      <c r="M17" s="72" t="n">
        <v>1</v>
      </c>
      <c r="N17" s="73" t="n"/>
      <c r="O17" s="73" t="n"/>
      <c r="P17" s="73" t="n"/>
      <c r="Q17" s="74">
        <f>IF($I17="","",IFERROR(INDEX(_玩家曲线!$H$2:$H$286,MATCH($I17,_玩家曲线!$A$2:$A$286,0)),""))</f>
        <v/>
      </c>
      <c r="R17" s="74">
        <f>IF($I17="","",IFERROR(INDEX(_玩家曲线!$I$2:$I$286,MATCH($I17,_玩家曲线!$A$2:$A$286,0)),""))</f>
        <v/>
      </c>
      <c r="S17" s="74">
        <f>IF(OR($J17="",$F17="不适用"),"",IFERROR(INDEX(_怪物模型!$D$2:$D$4501,(INT($J17)-1)*ROWS(_怪物类型!$A$2:$A$10)+MATCH($F17,_怪物类型!$A$2:$A$10,0))*IF($K17="",1,$K17),""))</f>
        <v/>
      </c>
      <c r="T17" s="74">
        <f>IF(OR($J17="",$F17="不适用"),"",IFERROR(INDEX(_怪物模型!$E$2:$E$4501,(INT($J17)-1)*ROWS(_怪物类型!$A$2:$A$10)+MATCH($F17,_怪物类型!$A$2:$A$10,0))*IF($L17="",1,$L17),""))</f>
        <v/>
      </c>
      <c r="U17" s="74">
        <f>IF(OR($J17="",$F17="不适用"),"",IFERROR(INDEX(_怪物模型!$F$2:$F$4501,(INT($J17)-1)*ROWS(_怪物类型!$A$2:$A$10)+MATCH($F17,_怪物类型!$A$2:$A$10,0))*IF($M17="",1,$M17),""))</f>
        <v/>
      </c>
      <c r="V17" s="75">
        <f>IF($U17="","",MIN(0.75,$U17/($U17+24000)))</f>
        <v/>
      </c>
      <c r="W17" s="76">
        <f>IF($S17="","",$S17/(1-$V17)*IF($N17="",1,$N17))</f>
        <v/>
      </c>
      <c r="X17" s="76">
        <f>IF(OR($W17="",$Q17="",$Q17=0),"",$W17/$Q17)</f>
        <v/>
      </c>
      <c r="Y17" s="76">
        <f>IF(OR($R17="",$T17="",$T17=0),"",$R17/($T17*IF($O17="",1,$O17)))</f>
        <v/>
      </c>
      <c r="Z17" s="77">
        <f>IF(OR($X17="",$P17="",$P17=0),"",$X17/$P17)</f>
        <v/>
      </c>
      <c r="AA17" s="27">
        <f>IF($J17="","待填怪物等级",IF(OR($I17="",$Q17=""),"待填对照关卡",IF($P17="","已计算",IF(AND($Y17&lt;&gt;"",$Y17&lt;$X17),"生存不成立",IF($Z17&lt;0.5,"碾压",IF($Z17&lt;0.8,"偏简单",IF($Z17&lt;=1.2,"适中",IF($Z17&lt;=1.5,"偏难","过难"))))))))</f>
        <v/>
      </c>
      <c r="AB17" s="27">
        <f>IF($J17="","待填",IF(AND(ISNUMBER($J17),$J17&gt;=1,$J17&lt;=500,MOD($J17,1)=0),"有效","超范围"))</f>
        <v/>
      </c>
      <c r="AC17" s="27">
        <f>IF(OR($J17="",ROW()=5,$B17&lt;&gt;$B16,$J16=""),"",IF($J17&lt;$J16,"下降",""))</f>
        <v/>
      </c>
      <c r="AD17" s="28" t="inlineStr">
        <is>
          <t>2026-08-27 新玩家节点曲线校准；对照S83；等级164→128；保留原难度定位。</t>
        </is>
      </c>
      <c r="AE17" t="n">
        <v>131000</v>
      </c>
      <c r="AF17">
        <f>INDEX(_统一战力!$B$2:$B$501,J17)</f>
        <v/>
      </c>
    </row>
    <row r="18" ht="25" customHeight="1">
      <c r="A18" s="27" t="inlineStr">
        <is>
          <t>当前配置</t>
        </is>
      </c>
      <c r="B18" s="27" t="inlineStr">
        <is>
          <t>困难主线</t>
        </is>
      </c>
      <c r="C18" s="28" t="inlineStr">
        <is>
          <t>第3章</t>
        </is>
      </c>
      <c r="D18" s="28" t="inlineStr">
        <is>
          <t>高难3-4</t>
        </is>
      </c>
      <c r="E18" s="28" t="inlineStr">
        <is>
          <t>110304</t>
        </is>
      </c>
      <c r="F18" s="27" t="inlineStr">
        <is>
          <t>普通怪</t>
        </is>
      </c>
      <c r="G18" s="37" t="n">
        <v>84</v>
      </c>
      <c r="H18" s="38" t="n"/>
      <c r="I18" s="39">
        <f>IF($H18="",$G18,$H18)</f>
        <v/>
      </c>
      <c r="J18" s="40" t="n">
        <v>151</v>
      </c>
      <c r="K18" s="72" t="n">
        <v>0.972577565403843</v>
      </c>
      <c r="L18" s="72" t="n">
        <v>1.0575891755814</v>
      </c>
      <c r="M18" s="72" t="n">
        <v>1</v>
      </c>
      <c r="N18" s="73" t="n"/>
      <c r="O18" s="73" t="n"/>
      <c r="P18" s="73" t="n"/>
      <c r="Q18" s="74">
        <f>IF($I18="","",IFERROR(INDEX(_玩家曲线!$H$2:$H$286,MATCH($I18,_玩家曲线!$A$2:$A$286,0)),""))</f>
        <v/>
      </c>
      <c r="R18" s="74">
        <f>IF($I18="","",IFERROR(INDEX(_玩家曲线!$I$2:$I$286,MATCH($I18,_玩家曲线!$A$2:$A$286,0)),""))</f>
        <v/>
      </c>
      <c r="S18" s="74">
        <f>IF(OR($J18="",$F18="不适用"),"",IFERROR(INDEX(_怪物模型!$D$2:$D$4501,(INT($J18)-1)*ROWS(_怪物类型!$A$2:$A$10)+MATCH($F18,_怪物类型!$A$2:$A$10,0))*IF($K18="",1,$K18),""))</f>
        <v/>
      </c>
      <c r="T18" s="74">
        <f>IF(OR($J18="",$F18="不适用"),"",IFERROR(INDEX(_怪物模型!$E$2:$E$4501,(INT($J18)-1)*ROWS(_怪物类型!$A$2:$A$10)+MATCH($F18,_怪物类型!$A$2:$A$10,0))*IF($L18="",1,$L18),""))</f>
        <v/>
      </c>
      <c r="U18" s="74">
        <f>IF(OR($J18="",$F18="不适用"),"",IFERROR(INDEX(_怪物模型!$F$2:$F$4501,(INT($J18)-1)*ROWS(_怪物类型!$A$2:$A$10)+MATCH($F18,_怪物类型!$A$2:$A$10,0))*IF($M18="",1,$M18),""))</f>
        <v/>
      </c>
      <c r="V18" s="75">
        <f>IF($U18="","",MIN(0.75,$U18/($U18+24000)))</f>
        <v/>
      </c>
      <c r="W18" s="76">
        <f>IF($S18="","",$S18/(1-$V18)*IF($N18="",1,$N18))</f>
        <v/>
      </c>
      <c r="X18" s="76">
        <f>IF(OR($W18="",$Q18="",$Q18=0),"",$W18/$Q18)</f>
        <v/>
      </c>
      <c r="Y18" s="76">
        <f>IF(OR($R18="",$T18="",$T18=0),"",$R18/($T18*IF($O18="",1,$O18)))</f>
        <v/>
      </c>
      <c r="Z18" s="77">
        <f>IF(OR($X18="",$P18="",$P18=0),"",$X18/$P18)</f>
        <v/>
      </c>
      <c r="AA18" s="27">
        <f>IF($J18="","待填怪物等级",IF(OR($I18="",$Q18=""),"待填对照关卡",IF($P18="","已计算",IF(AND($Y18&lt;&gt;"",$Y18&lt;$X18),"生存不成立",IF($Z18&lt;0.5,"碾压",IF($Z18&lt;0.8,"偏简单",IF($Z18&lt;=1.2,"适中",IF($Z18&lt;=1.5,"偏难","过难"))))))))</f>
        <v/>
      </c>
      <c r="AB18" s="27">
        <f>IF($J18="","待填",IF(AND(ISNUMBER($J18),$J18&gt;=1,$J18&lt;=500,MOD($J18,1)=0),"有效","超范围"))</f>
        <v/>
      </c>
      <c r="AC18" s="27">
        <f>IF(OR($J18="",ROW()=5,$B18&lt;&gt;$B17,$J17=""),"",IF($J18&lt;$J17,"下降",""))</f>
        <v/>
      </c>
      <c r="AD18" s="28" t="inlineStr">
        <is>
          <t>2026-08-27 新玩家节点曲线校准；对照S84；等级166→130；保留原难度定位。</t>
        </is>
      </c>
      <c r="AE18" t="n">
        <v>136000</v>
      </c>
      <c r="AF18">
        <f>INDEX(_统一战力!$B$2:$B$501,J18)</f>
        <v/>
      </c>
    </row>
    <row r="19" ht="25" customHeight="1">
      <c r="A19" s="27" t="inlineStr">
        <is>
          <t>当前配置</t>
        </is>
      </c>
      <c r="B19" s="27" t="inlineStr">
        <is>
          <t>困难主线</t>
        </is>
      </c>
      <c r="C19" s="28" t="inlineStr">
        <is>
          <t>第3章</t>
        </is>
      </c>
      <c r="D19" s="28" t="inlineStr">
        <is>
          <t>高难3-5</t>
        </is>
      </c>
      <c r="E19" s="28" t="inlineStr">
        <is>
          <t>110305</t>
        </is>
      </c>
      <c r="F19" s="27" t="inlineStr">
        <is>
          <t>普通怪</t>
        </is>
      </c>
      <c r="G19" s="37" t="n">
        <v>85</v>
      </c>
      <c r="H19" s="38" t="n"/>
      <c r="I19" s="39">
        <f>IF($H19="",$G19,$H19)</f>
        <v/>
      </c>
      <c r="J19" s="40" t="n">
        <v>154</v>
      </c>
      <c r="K19" s="72" t="n">
        <v>0.968118441910819</v>
      </c>
      <c r="L19" s="72" t="n">
        <v>1.0558757972632</v>
      </c>
      <c r="M19" s="72" t="n">
        <v>1</v>
      </c>
      <c r="N19" s="73" t="n"/>
      <c r="O19" s="73" t="n"/>
      <c r="P19" s="73" t="n"/>
      <c r="Q19" s="74">
        <f>IF($I19="","",IFERROR(INDEX(_玩家曲线!$H$2:$H$286,MATCH($I19,_玩家曲线!$A$2:$A$286,0)),""))</f>
        <v/>
      </c>
      <c r="R19" s="74">
        <f>IF($I19="","",IFERROR(INDEX(_玩家曲线!$I$2:$I$286,MATCH($I19,_玩家曲线!$A$2:$A$286,0)),""))</f>
        <v/>
      </c>
      <c r="S19" s="74">
        <f>IF(OR($J19="",$F19="不适用"),"",IFERROR(INDEX(_怪物模型!$D$2:$D$4501,(INT($J19)-1)*ROWS(_怪物类型!$A$2:$A$10)+MATCH($F19,_怪物类型!$A$2:$A$10,0))*IF($K19="",1,$K19),""))</f>
        <v/>
      </c>
      <c r="T19" s="74">
        <f>IF(OR($J19="",$F19="不适用"),"",IFERROR(INDEX(_怪物模型!$E$2:$E$4501,(INT($J19)-1)*ROWS(_怪物类型!$A$2:$A$10)+MATCH($F19,_怪物类型!$A$2:$A$10,0))*IF($L19="",1,$L19),""))</f>
        <v/>
      </c>
      <c r="U19" s="74">
        <f>IF(OR($J19="",$F19="不适用"),"",IFERROR(INDEX(_怪物模型!$F$2:$F$4501,(INT($J19)-1)*ROWS(_怪物类型!$A$2:$A$10)+MATCH($F19,_怪物类型!$A$2:$A$10,0))*IF($M19="",1,$M19),""))</f>
        <v/>
      </c>
      <c r="V19" s="75">
        <f>IF($U19="","",MIN(0.75,$U19/($U19+24000)))</f>
        <v/>
      </c>
      <c r="W19" s="76">
        <f>IF($S19="","",$S19/(1-$V19)*IF($N19="",1,$N19))</f>
        <v/>
      </c>
      <c r="X19" s="76">
        <f>IF(OR($W19="",$Q19="",$Q19=0),"",$W19/$Q19)</f>
        <v/>
      </c>
      <c r="Y19" s="76">
        <f>IF(OR($R19="",$T19="",$T19=0),"",$R19/($T19*IF($O19="",1,$O19)))</f>
        <v/>
      </c>
      <c r="Z19" s="77">
        <f>IF(OR($X19="",$P19="",$P19=0),"",$X19/$P19)</f>
        <v/>
      </c>
      <c r="AA19" s="27">
        <f>IF($J19="","待填怪物等级",IF(OR($I19="",$Q19=""),"待填对照关卡",IF($P19="","已计算",IF(AND($Y19&lt;&gt;"",$Y19&lt;$X19),"生存不成立",IF($Z19&lt;0.5,"碾压",IF($Z19&lt;0.8,"偏简单",IF($Z19&lt;=1.2,"适中",IF($Z19&lt;=1.5,"偏难","过难"))))))))</f>
        <v/>
      </c>
      <c r="AB19" s="27">
        <f>IF($J19="","待填",IF(AND(ISNUMBER($J19),$J19&gt;=1,$J19&lt;=500,MOD($J19,1)=0),"有效","超范围"))</f>
        <v/>
      </c>
      <c r="AC19" s="27">
        <f>IF(OR($J19="",ROW()=5,$B19&lt;&gt;$B18,$J18=""),"",IF($J19&lt;$J18,"下降",""))</f>
        <v/>
      </c>
      <c r="AD19" s="28" t="inlineStr">
        <is>
          <t>2026-08-27 新玩家节点曲线校准；对照S85；等级167→131；保留原难度定位。</t>
        </is>
      </c>
      <c r="AE19" t="n">
        <v>142000</v>
      </c>
      <c r="AF19">
        <f>INDEX(_统一战力!$B$2:$B$501,J19)</f>
        <v/>
      </c>
    </row>
    <row r="20" ht="25" customHeight="1">
      <c r="A20" s="27" t="inlineStr">
        <is>
          <t>当前配置</t>
        </is>
      </c>
      <c r="B20" s="27" t="inlineStr">
        <is>
          <t>困难主线</t>
        </is>
      </c>
      <c r="C20" s="28" t="inlineStr">
        <is>
          <t>第4章</t>
        </is>
      </c>
      <c r="D20" s="28" t="inlineStr">
        <is>
          <t>高难4-1</t>
        </is>
      </c>
      <c r="E20" s="28" t="inlineStr">
        <is>
          <t>110401</t>
        </is>
      </c>
      <c r="F20" s="27" t="inlineStr">
        <is>
          <t>普通怪</t>
        </is>
      </c>
      <c r="G20" s="37" t="n">
        <v>86</v>
      </c>
      <c r="H20" s="38" t="n"/>
      <c r="I20" s="39">
        <f>IF($H20="",$G20,$H20)</f>
        <v/>
      </c>
      <c r="J20" s="40" t="n">
        <v>157</v>
      </c>
      <c r="K20" s="72" t="n">
        <v>0.979643587371965</v>
      </c>
      <c r="L20" s="72" t="n">
        <v>1.06410936943801</v>
      </c>
      <c r="M20" s="72" t="n">
        <v>1</v>
      </c>
      <c r="N20" s="73" t="n"/>
      <c r="O20" s="73" t="n"/>
      <c r="P20" s="73" t="n"/>
      <c r="Q20" s="74">
        <f>IF($I20="","",IFERROR(INDEX(_玩家曲线!$H$2:$H$286,MATCH($I20,_玩家曲线!$A$2:$A$286,0)),""))</f>
        <v/>
      </c>
      <c r="R20" s="74">
        <f>IF($I20="","",IFERROR(INDEX(_玩家曲线!$I$2:$I$286,MATCH($I20,_玩家曲线!$A$2:$A$286,0)),""))</f>
        <v/>
      </c>
      <c r="S20" s="74">
        <f>IF(OR($J20="",$F20="不适用"),"",IFERROR(INDEX(_怪物模型!$D$2:$D$4501,(INT($J20)-1)*ROWS(_怪物类型!$A$2:$A$10)+MATCH($F20,_怪物类型!$A$2:$A$10,0))*IF($K20="",1,$K20),""))</f>
        <v/>
      </c>
      <c r="T20" s="74">
        <f>IF(OR($J20="",$F20="不适用"),"",IFERROR(INDEX(_怪物模型!$E$2:$E$4501,(INT($J20)-1)*ROWS(_怪物类型!$A$2:$A$10)+MATCH($F20,_怪物类型!$A$2:$A$10,0))*IF($L20="",1,$L20),""))</f>
        <v/>
      </c>
      <c r="U20" s="74">
        <f>IF(OR($J20="",$F20="不适用"),"",IFERROR(INDEX(_怪物模型!$F$2:$F$4501,(INT($J20)-1)*ROWS(_怪物类型!$A$2:$A$10)+MATCH($F20,_怪物类型!$A$2:$A$10,0))*IF($M20="",1,$M20),""))</f>
        <v/>
      </c>
      <c r="V20" s="75">
        <f>IF($U20="","",MIN(0.75,$U20/($U20+24000)))</f>
        <v/>
      </c>
      <c r="W20" s="76">
        <f>IF($S20="","",$S20/(1-$V20)*IF($N20="",1,$N20))</f>
        <v/>
      </c>
      <c r="X20" s="76">
        <f>IF(OR($W20="",$Q20="",$Q20=0),"",$W20/$Q20)</f>
        <v/>
      </c>
      <c r="Y20" s="76">
        <f>IF(OR($R20="",$T20="",$T20=0),"",$R20/($T20*IF($O20="",1,$O20)))</f>
        <v/>
      </c>
      <c r="Z20" s="77">
        <f>IF(OR($X20="",$P20="",$P20=0),"",$X20/$P20)</f>
        <v/>
      </c>
      <c r="AA20" s="27">
        <f>IF($J20="","待填怪物等级",IF(OR($I20="",$Q20=""),"待填对照关卡",IF($P20="","已计算",IF(AND($Y20&lt;&gt;"",$Y20&lt;$X20),"生存不成立",IF($Z20&lt;0.5,"碾压",IF($Z20&lt;0.8,"偏简单",IF($Z20&lt;=1.2,"适中",IF($Z20&lt;=1.5,"偏难","过难"))))))))</f>
        <v/>
      </c>
      <c r="AB20" s="27">
        <f>IF($J20="","待填",IF(AND(ISNUMBER($J20),$J20&gt;=1,$J20&lt;=500,MOD($J20,1)=0),"有效","超范围"))</f>
        <v/>
      </c>
      <c r="AC20" s="27">
        <f>IF(OR($J20="",ROW()=5,$B20&lt;&gt;$B19,$J19=""),"",IF($J20&lt;$J19,"下降",""))</f>
        <v/>
      </c>
      <c r="AD20" s="28" t="inlineStr">
        <is>
          <t>2026-08-27 新玩家节点曲线校准；对照S86；等级168→131；保留原难度定位。</t>
        </is>
      </c>
      <c r="AE20" t="n">
        <v>147000</v>
      </c>
      <c r="AF20">
        <f>INDEX(_统一战力!$B$2:$B$501,J20)</f>
        <v/>
      </c>
    </row>
    <row r="21" ht="25" customHeight="1">
      <c r="A21" s="27" t="inlineStr">
        <is>
          <t>当前配置</t>
        </is>
      </c>
      <c r="B21" s="27" t="inlineStr">
        <is>
          <t>困难主线</t>
        </is>
      </c>
      <c r="C21" s="28" t="inlineStr">
        <is>
          <t>第4章</t>
        </is>
      </c>
      <c r="D21" s="28" t="inlineStr">
        <is>
          <t>高难4-2</t>
        </is>
      </c>
      <c r="E21" s="28" t="inlineStr">
        <is>
          <t>110402</t>
        </is>
      </c>
      <c r="F21" s="27" t="inlineStr">
        <is>
          <t>普通怪</t>
        </is>
      </c>
      <c r="G21" s="37" t="n">
        <v>87</v>
      </c>
      <c r="H21" s="38" t="n"/>
      <c r="I21" s="39">
        <f>IF($H21="",$G21,$H21)</f>
        <v/>
      </c>
      <c r="J21" s="40" t="n">
        <v>159</v>
      </c>
      <c r="K21" s="72" t="n">
        <v>0.970768482890477</v>
      </c>
      <c r="L21" s="72" t="n">
        <v>1.06041226003755</v>
      </c>
      <c r="M21" s="72" t="n">
        <v>1</v>
      </c>
      <c r="N21" s="73" t="n"/>
      <c r="O21" s="73" t="n"/>
      <c r="P21" s="73" t="n"/>
      <c r="Q21" s="74">
        <f>IF($I21="","",IFERROR(INDEX(_玩家曲线!$H$2:$H$286,MATCH($I21,_玩家曲线!$A$2:$A$286,0)),""))</f>
        <v/>
      </c>
      <c r="R21" s="74">
        <f>IF($I21="","",IFERROR(INDEX(_玩家曲线!$I$2:$I$286,MATCH($I21,_玩家曲线!$A$2:$A$286,0)),""))</f>
        <v/>
      </c>
      <c r="S21" s="74">
        <f>IF(OR($J21="",$F21="不适用"),"",IFERROR(INDEX(_怪物模型!$D$2:$D$4501,(INT($J21)-1)*ROWS(_怪物类型!$A$2:$A$10)+MATCH($F21,_怪物类型!$A$2:$A$10,0))*IF($K21="",1,$K21),""))</f>
        <v/>
      </c>
      <c r="T21" s="74">
        <f>IF(OR($J21="",$F21="不适用"),"",IFERROR(INDEX(_怪物模型!$E$2:$E$4501,(INT($J21)-1)*ROWS(_怪物类型!$A$2:$A$10)+MATCH($F21,_怪物类型!$A$2:$A$10,0))*IF($L21="",1,$L21),""))</f>
        <v/>
      </c>
      <c r="U21" s="74">
        <f>IF(OR($J21="",$F21="不适用"),"",IFERROR(INDEX(_怪物模型!$F$2:$F$4501,(INT($J21)-1)*ROWS(_怪物类型!$A$2:$A$10)+MATCH($F21,_怪物类型!$A$2:$A$10,0))*IF($M21="",1,$M21),""))</f>
        <v/>
      </c>
      <c r="V21" s="75">
        <f>IF($U21="","",MIN(0.75,$U21/($U21+24000)))</f>
        <v/>
      </c>
      <c r="W21" s="76">
        <f>IF($S21="","",$S21/(1-$V21)*IF($N21="",1,$N21))</f>
        <v/>
      </c>
      <c r="X21" s="76">
        <f>IF(OR($W21="",$Q21="",$Q21=0),"",$W21/$Q21)</f>
        <v/>
      </c>
      <c r="Y21" s="76">
        <f>IF(OR($R21="",$T21="",$T21=0),"",$R21/($T21*IF($O21="",1,$O21)))</f>
        <v/>
      </c>
      <c r="Z21" s="77">
        <f>IF(OR($X21="",$P21="",$P21=0),"",$X21/$P21)</f>
        <v/>
      </c>
      <c r="AA21" s="27">
        <f>IF($J21="","待填怪物等级",IF(OR($I21="",$Q21=""),"待填对照关卡",IF($P21="","已计算",IF(AND($Y21&lt;&gt;"",$Y21&lt;$X21),"生存不成立",IF($Z21&lt;0.5,"碾压",IF($Z21&lt;0.8,"偏简单",IF($Z21&lt;=1.2,"适中",IF($Z21&lt;=1.5,"偏难","过难"))))))))</f>
        <v/>
      </c>
      <c r="AB21" s="27">
        <f>IF($J21="","待填",IF(AND(ISNUMBER($J21),$J21&gt;=1,$J21&lt;=500,MOD($J21,1)=0),"有效","超范围"))</f>
        <v/>
      </c>
      <c r="AC21" s="27">
        <f>IF(OR($J21="",ROW()=5,$B21&lt;&gt;$B20,$J20=""),"",IF($J21&lt;$J20,"下降",""))</f>
        <v/>
      </c>
      <c r="AD21" s="28" t="inlineStr">
        <is>
          <t>2026-08-27 新玩家节点曲线校准；对照S87；等级170→133；保留原难度定位。</t>
        </is>
      </c>
      <c r="AE21" t="n">
        <v>151000</v>
      </c>
      <c r="AF21">
        <f>INDEX(_统一战力!$B$2:$B$501,J21)</f>
        <v/>
      </c>
    </row>
    <row r="22" ht="25" customHeight="1">
      <c r="A22" s="27" t="inlineStr">
        <is>
          <t>当前配置</t>
        </is>
      </c>
      <c r="B22" s="27" t="inlineStr">
        <is>
          <t>困难主线</t>
        </is>
      </c>
      <c r="C22" s="28" t="inlineStr">
        <is>
          <t>第4章</t>
        </is>
      </c>
      <c r="D22" s="28" t="inlineStr">
        <is>
          <t>高难4-3</t>
        </is>
      </c>
      <c r="E22" s="28" t="inlineStr">
        <is>
          <t>110403</t>
        </is>
      </c>
      <c r="F22" s="27" t="inlineStr">
        <is>
          <t>普通怪</t>
        </is>
      </c>
      <c r="G22" s="37" t="n">
        <v>88</v>
      </c>
      <c r="H22" s="38" t="n"/>
      <c r="I22" s="39">
        <f>IF($H22="",$G22,$H22)</f>
        <v/>
      </c>
      <c r="J22" s="40" t="n">
        <v>162</v>
      </c>
      <c r="K22" s="72" t="n">
        <v>0.967339578171009</v>
      </c>
      <c r="L22" s="72" t="n">
        <v>1.05756079087802</v>
      </c>
      <c r="M22" s="72" t="n">
        <v>1</v>
      </c>
      <c r="N22" s="73" t="n"/>
      <c r="O22" s="73" t="n"/>
      <c r="P22" s="73" t="n"/>
      <c r="Q22" s="74">
        <f>IF($I22="","",IFERROR(INDEX(_玩家曲线!$H$2:$H$286,MATCH($I22,_玩家曲线!$A$2:$A$286,0)),""))</f>
        <v/>
      </c>
      <c r="R22" s="74">
        <f>IF($I22="","",IFERROR(INDEX(_玩家曲线!$I$2:$I$286,MATCH($I22,_玩家曲线!$A$2:$A$286,0)),""))</f>
        <v/>
      </c>
      <c r="S22" s="74">
        <f>IF(OR($J22="",$F22="不适用"),"",IFERROR(INDEX(_怪物模型!$D$2:$D$4501,(INT($J22)-1)*ROWS(_怪物类型!$A$2:$A$10)+MATCH($F22,_怪物类型!$A$2:$A$10,0))*IF($K22="",1,$K22),""))</f>
        <v/>
      </c>
      <c r="T22" s="74">
        <f>IF(OR($J22="",$F22="不适用"),"",IFERROR(INDEX(_怪物模型!$E$2:$E$4501,(INT($J22)-1)*ROWS(_怪物类型!$A$2:$A$10)+MATCH($F22,_怪物类型!$A$2:$A$10,0))*IF($L22="",1,$L22),""))</f>
        <v/>
      </c>
      <c r="U22" s="74">
        <f>IF(OR($J22="",$F22="不适用"),"",IFERROR(INDEX(_怪物模型!$F$2:$F$4501,(INT($J22)-1)*ROWS(_怪物类型!$A$2:$A$10)+MATCH($F22,_怪物类型!$A$2:$A$10,0))*IF($M22="",1,$M22),""))</f>
        <v/>
      </c>
      <c r="V22" s="75">
        <f>IF($U22="","",MIN(0.75,$U22/($U22+24000)))</f>
        <v/>
      </c>
      <c r="W22" s="76">
        <f>IF($S22="","",$S22/(1-$V22)*IF($N22="",1,$N22))</f>
        <v/>
      </c>
      <c r="X22" s="76">
        <f>IF(OR($W22="",$Q22="",$Q22=0),"",$W22/$Q22)</f>
        <v/>
      </c>
      <c r="Y22" s="76">
        <f>IF(OR($R22="",$T22="",$T22=0),"",$R22/($T22*IF($O22="",1,$O22)))</f>
        <v/>
      </c>
      <c r="Z22" s="77">
        <f>IF(OR($X22="",$P22="",$P22=0),"",$X22/$P22)</f>
        <v/>
      </c>
      <c r="AA22" s="27">
        <f>IF($J22="","待填怪物等级",IF(OR($I22="",$Q22=""),"待填对照关卡",IF($P22="","已计算",IF(AND($Y22&lt;&gt;"",$Y22&lt;$X22),"生存不成立",IF($Z22&lt;0.5,"碾压",IF($Z22&lt;0.8,"偏简单",IF($Z22&lt;=1.2,"适中",IF($Z22&lt;=1.5,"偏难","过难"))))))))</f>
        <v/>
      </c>
      <c r="AB22" s="27">
        <f>IF($J22="","待填",IF(AND(ISNUMBER($J22),$J22&gt;=1,$J22&lt;=500,MOD($J22,1)=0),"有效","超范围"))</f>
        <v/>
      </c>
      <c r="AC22" s="27">
        <f>IF(OR($J22="",ROW()=5,$B22&lt;&gt;$B21,$J21=""),"",IF($J22&lt;$J21,"下降",""))</f>
        <v/>
      </c>
      <c r="AD22" s="28" t="inlineStr">
        <is>
          <t>2026-08-27 新玩家节点曲线校准；对照S88；等级170→133；保留原难度定位。</t>
        </is>
      </c>
      <c r="AE22" t="n">
        <v>156000</v>
      </c>
      <c r="AF22">
        <f>INDEX(_统一战力!$B$2:$B$501,J22)</f>
        <v/>
      </c>
    </row>
    <row r="23" ht="25" customHeight="1">
      <c r="A23" s="27" t="inlineStr">
        <is>
          <t>当前配置</t>
        </is>
      </c>
      <c r="B23" s="27" t="inlineStr">
        <is>
          <t>困难主线</t>
        </is>
      </c>
      <c r="C23" s="28" t="inlineStr">
        <is>
          <t>第4章</t>
        </is>
      </c>
      <c r="D23" s="28" t="inlineStr">
        <is>
          <t>高难4-4</t>
        </is>
      </c>
      <c r="E23" s="28" t="inlineStr">
        <is>
          <t>110404</t>
        </is>
      </c>
      <c r="F23" s="27" t="inlineStr">
        <is>
          <t>普通怪</t>
        </is>
      </c>
      <c r="G23" s="37" t="n">
        <v>89</v>
      </c>
      <c r="H23" s="38" t="n"/>
      <c r="I23" s="39">
        <f>IF($H23="",$G23,$H23)</f>
        <v/>
      </c>
      <c r="J23" s="40" t="n">
        <v>165</v>
      </c>
      <c r="K23" s="72" t="n">
        <v>0.977506048617982</v>
      </c>
      <c r="L23" s="72" t="n">
        <v>1.06679101480297</v>
      </c>
      <c r="M23" s="72" t="n">
        <v>1</v>
      </c>
      <c r="N23" s="73" t="n"/>
      <c r="O23" s="73" t="n"/>
      <c r="P23" s="73" t="n"/>
      <c r="Q23" s="74">
        <f>IF($I23="","",IFERROR(INDEX(_玩家曲线!$H$2:$H$286,MATCH($I23,_玩家曲线!$A$2:$A$286,0)),""))</f>
        <v/>
      </c>
      <c r="R23" s="74">
        <f>IF($I23="","",IFERROR(INDEX(_玩家曲线!$I$2:$I$286,MATCH($I23,_玩家曲线!$A$2:$A$286,0)),""))</f>
        <v/>
      </c>
      <c r="S23" s="74">
        <f>IF(OR($J23="",$F23="不适用"),"",IFERROR(INDEX(_怪物模型!$D$2:$D$4501,(INT($J23)-1)*ROWS(_怪物类型!$A$2:$A$10)+MATCH($F23,_怪物类型!$A$2:$A$10,0))*IF($K23="",1,$K23),""))</f>
        <v/>
      </c>
      <c r="T23" s="74">
        <f>IF(OR($J23="",$F23="不适用"),"",IFERROR(INDEX(_怪物模型!$E$2:$E$4501,(INT($J23)-1)*ROWS(_怪物类型!$A$2:$A$10)+MATCH($F23,_怪物类型!$A$2:$A$10,0))*IF($L23="",1,$L23),""))</f>
        <v/>
      </c>
      <c r="U23" s="74">
        <f>IF(OR($J23="",$F23="不适用"),"",IFERROR(INDEX(_怪物模型!$F$2:$F$4501,(INT($J23)-1)*ROWS(_怪物类型!$A$2:$A$10)+MATCH($F23,_怪物类型!$A$2:$A$10,0))*IF($M23="",1,$M23),""))</f>
        <v/>
      </c>
      <c r="V23" s="75">
        <f>IF($U23="","",MIN(0.75,$U23/($U23+24000)))</f>
        <v/>
      </c>
      <c r="W23" s="76">
        <f>IF($S23="","",$S23/(1-$V23)*IF($N23="",1,$N23))</f>
        <v/>
      </c>
      <c r="X23" s="76">
        <f>IF(OR($W23="",$Q23="",$Q23=0),"",$W23/$Q23)</f>
        <v/>
      </c>
      <c r="Y23" s="76">
        <f>IF(OR($R23="",$T23="",$T23=0),"",$R23/($T23*IF($O23="",1,$O23)))</f>
        <v/>
      </c>
      <c r="Z23" s="77">
        <f>IF(OR($X23="",$P23="",$P23=0),"",$X23/$P23)</f>
        <v/>
      </c>
      <c r="AA23" s="27">
        <f>IF($J23="","待填怪物等级",IF(OR($I23="",$Q23=""),"待填对照关卡",IF($P23="","已计算",IF(AND($Y23&lt;&gt;"",$Y23&lt;$X23),"生存不成立",IF($Z23&lt;0.5,"碾压",IF($Z23&lt;0.8,"偏简单",IF($Z23&lt;=1.2,"适中",IF($Z23&lt;=1.5,"偏难","过难"))))))))</f>
        <v/>
      </c>
      <c r="AB23" s="27">
        <f>IF($J23="","待填",IF(AND(ISNUMBER($J23),$J23&gt;=1,$J23&lt;=500,MOD($J23,1)=0),"有效","超范围"))</f>
        <v/>
      </c>
      <c r="AC23" s="27">
        <f>IF(OR($J23="",ROW()=5,$B23&lt;&gt;$B22,$J22=""),"",IF($J23&lt;$J22,"下降",""))</f>
        <v/>
      </c>
      <c r="AD23" s="28" t="inlineStr">
        <is>
          <t>2026-08-27 新玩家节点曲线校准；对照S89；等级172→134；保留原难度定位。</t>
        </is>
      </c>
      <c r="AE23" t="n">
        <v>161000</v>
      </c>
      <c r="AF23">
        <f>INDEX(_统一战力!$B$2:$B$501,J23)</f>
        <v/>
      </c>
    </row>
    <row r="24" ht="25" customHeight="1">
      <c r="A24" s="27" t="inlineStr">
        <is>
          <t>当前配置</t>
        </is>
      </c>
      <c r="B24" s="27" t="inlineStr">
        <is>
          <t>困难主线</t>
        </is>
      </c>
      <c r="C24" s="28" t="inlineStr">
        <is>
          <t>第4章</t>
        </is>
      </c>
      <c r="D24" s="28" t="inlineStr">
        <is>
          <t>高难4-5</t>
        </is>
      </c>
      <c r="E24" s="28" t="inlineStr">
        <is>
          <t>110405</t>
        </is>
      </c>
      <c r="F24" s="27" t="inlineStr">
        <is>
          <t>普通怪</t>
        </is>
      </c>
      <c r="G24" s="37" t="n">
        <v>90</v>
      </c>
      <c r="H24" s="38" t="n"/>
      <c r="I24" s="39">
        <f>IF($H24="",$G24,$H24)</f>
        <v/>
      </c>
      <c r="J24" s="40" t="n">
        <v>167</v>
      </c>
      <c r="K24" s="72" t="n">
        <v>0.97245051663214</v>
      </c>
      <c r="L24" s="72" t="n">
        <v>1.0644370418593</v>
      </c>
      <c r="M24" s="72" t="n">
        <v>1</v>
      </c>
      <c r="N24" s="73" t="n"/>
      <c r="O24" s="73" t="n"/>
      <c r="P24" s="73" t="n"/>
      <c r="Q24" s="74">
        <f>IF($I24="","",IFERROR(INDEX(_玩家曲线!$H$2:$H$286,MATCH($I24,_玩家曲线!$A$2:$A$286,0)),""))</f>
        <v/>
      </c>
      <c r="R24" s="74">
        <f>IF($I24="","",IFERROR(INDEX(_玩家曲线!$I$2:$I$286,MATCH($I24,_玩家曲线!$A$2:$A$286,0)),""))</f>
        <v/>
      </c>
      <c r="S24" s="74">
        <f>IF(OR($J24="",$F24="不适用"),"",IFERROR(INDEX(_怪物模型!$D$2:$D$4501,(INT($J24)-1)*ROWS(_怪物类型!$A$2:$A$10)+MATCH($F24,_怪物类型!$A$2:$A$10,0))*IF($K24="",1,$K24),""))</f>
        <v/>
      </c>
      <c r="T24" s="74">
        <f>IF(OR($J24="",$F24="不适用"),"",IFERROR(INDEX(_怪物模型!$E$2:$E$4501,(INT($J24)-1)*ROWS(_怪物类型!$A$2:$A$10)+MATCH($F24,_怪物类型!$A$2:$A$10,0))*IF($L24="",1,$L24),""))</f>
        <v/>
      </c>
      <c r="U24" s="74">
        <f>IF(OR($J24="",$F24="不适用"),"",IFERROR(INDEX(_怪物模型!$F$2:$F$4501,(INT($J24)-1)*ROWS(_怪物类型!$A$2:$A$10)+MATCH($F24,_怪物类型!$A$2:$A$10,0))*IF($M24="",1,$M24),""))</f>
        <v/>
      </c>
      <c r="V24" s="75">
        <f>IF($U24="","",MIN(0.75,$U24/($U24+24000)))</f>
        <v/>
      </c>
      <c r="W24" s="76">
        <f>IF($S24="","",$S24/(1-$V24)*IF($N24="",1,$N24))</f>
        <v/>
      </c>
      <c r="X24" s="76">
        <f>IF(OR($W24="",$Q24="",$Q24=0),"",$W24/$Q24)</f>
        <v/>
      </c>
      <c r="Y24" s="76">
        <f>IF(OR($R24="",$T24="",$T24=0),"",$R24/($T24*IF($O24="",1,$O24)))</f>
        <v/>
      </c>
      <c r="Z24" s="77">
        <f>IF(OR($X24="",$P24="",$P24=0),"",$X24/$P24)</f>
        <v/>
      </c>
      <c r="AA24" s="27">
        <f>IF($J24="","待填怪物等级",IF(OR($I24="",$Q24=""),"待填对照关卡",IF($P24="","已计算",IF(AND($Y24&lt;&gt;"",$Y24&lt;$X24),"生存不成立",IF($Z24&lt;0.5,"碾压",IF($Z24&lt;0.8,"偏简单",IF($Z24&lt;=1.2,"适中",IF($Z24&lt;=1.5,"偏难","过难"))))))))</f>
        <v/>
      </c>
      <c r="AB24" s="27">
        <f>IF($J24="","待填",IF(AND(ISNUMBER($J24),$J24&gt;=1,$J24&lt;=500,MOD($J24,1)=0),"有效","超范围"))</f>
        <v/>
      </c>
      <c r="AC24" s="27">
        <f>IF(OR($J24="",ROW()=5,$B24&lt;&gt;$B23,$J23=""),"",IF($J24&lt;$J23,"下降",""))</f>
        <v/>
      </c>
      <c r="AD24" s="28" t="inlineStr">
        <is>
          <t>2026-08-27 新玩家节点曲线校准；对照S90；等级173→135；保留原难度定位。</t>
        </is>
      </c>
      <c r="AE24" t="n">
        <v>166000</v>
      </c>
      <c r="AF24">
        <f>INDEX(_统一战力!$B$2:$B$501,J24)</f>
        <v/>
      </c>
    </row>
    <row r="25" ht="25" customHeight="1">
      <c r="A25" s="27" t="inlineStr">
        <is>
          <t>当前配置</t>
        </is>
      </c>
      <c r="B25" s="27" t="inlineStr">
        <is>
          <t>困难主线</t>
        </is>
      </c>
      <c r="C25" s="28" t="inlineStr">
        <is>
          <t>第5章</t>
        </is>
      </c>
      <c r="D25" s="28" t="inlineStr">
        <is>
          <t>高难5-1</t>
        </is>
      </c>
      <c r="E25" s="28" t="inlineStr">
        <is>
          <t>110501</t>
        </is>
      </c>
      <c r="F25" s="27" t="inlineStr">
        <is>
          <t>普通怪</t>
        </is>
      </c>
      <c r="G25" s="37" t="n">
        <v>91</v>
      </c>
      <c r="H25" s="38" t="n"/>
      <c r="I25" s="39">
        <f>IF($H25="",$G25,$H25)</f>
        <v/>
      </c>
      <c r="J25" s="40" t="n">
        <v>170</v>
      </c>
      <c r="K25" s="72" t="n">
        <v>0.967815583254906</v>
      </c>
      <c r="L25" s="72" t="n">
        <v>1.0625295132139</v>
      </c>
      <c r="M25" s="72" t="n">
        <v>1</v>
      </c>
      <c r="N25" s="73" t="n"/>
      <c r="O25" s="73" t="n"/>
      <c r="P25" s="73" t="n"/>
      <c r="Q25" s="74">
        <f>IF($I25="","",IFERROR(INDEX(_玩家曲线!$H$2:$H$286,MATCH($I25,_玩家曲线!$A$2:$A$286,0)),""))</f>
        <v/>
      </c>
      <c r="R25" s="74">
        <f>IF($I25="","",IFERROR(INDEX(_玩家曲线!$I$2:$I$286,MATCH($I25,_玩家曲线!$A$2:$A$286,0)),""))</f>
        <v/>
      </c>
      <c r="S25" s="74">
        <f>IF(OR($J25="",$F25="不适用"),"",IFERROR(INDEX(_怪物模型!$D$2:$D$4501,(INT($J25)-1)*ROWS(_怪物类型!$A$2:$A$10)+MATCH($F25,_怪物类型!$A$2:$A$10,0))*IF($K25="",1,$K25),""))</f>
        <v/>
      </c>
      <c r="T25" s="74">
        <f>IF(OR($J25="",$F25="不适用"),"",IFERROR(INDEX(_怪物模型!$E$2:$E$4501,(INT($J25)-1)*ROWS(_怪物类型!$A$2:$A$10)+MATCH($F25,_怪物类型!$A$2:$A$10,0))*IF($L25="",1,$L25),""))</f>
        <v/>
      </c>
      <c r="U25" s="74">
        <f>IF(OR($J25="",$F25="不适用"),"",IFERROR(INDEX(_怪物模型!$F$2:$F$4501,(INT($J25)-1)*ROWS(_怪物类型!$A$2:$A$10)+MATCH($F25,_怪物类型!$A$2:$A$10,0))*IF($M25="",1,$M25),""))</f>
        <v/>
      </c>
      <c r="V25" s="75">
        <f>IF($U25="","",MIN(0.75,$U25/($U25+24000)))</f>
        <v/>
      </c>
      <c r="W25" s="76">
        <f>IF($S25="","",$S25/(1-$V25)*IF($N25="",1,$N25))</f>
        <v/>
      </c>
      <c r="X25" s="76">
        <f>IF(OR($W25="",$Q25="",$Q25=0),"",$W25/$Q25)</f>
        <v/>
      </c>
      <c r="Y25" s="76">
        <f>IF(OR($R25="",$T25="",$T25=0),"",$R25/($T25*IF($O25="",1,$O25)))</f>
        <v/>
      </c>
      <c r="Z25" s="77">
        <f>IF(OR($X25="",$P25="",$P25=0),"",$X25/$P25)</f>
        <v/>
      </c>
      <c r="AA25" s="27">
        <f>IF($J25="","待填怪物等级",IF(OR($I25="",$Q25=""),"待填对照关卡",IF($P25="","已计算",IF(AND($Y25&lt;&gt;"",$Y25&lt;$X25),"生存不成立",IF($Z25&lt;0.5,"碾压",IF($Z25&lt;0.8,"偏简单",IF($Z25&lt;=1.2,"适中",IF($Z25&lt;=1.5,"偏难","过难"))))))))</f>
        <v/>
      </c>
      <c r="AB25" s="27">
        <f>IF($J25="","待填",IF(AND(ISNUMBER($J25),$J25&gt;=1,$J25&lt;=500,MOD($J25,1)=0),"有效","超范围"))</f>
        <v/>
      </c>
      <c r="AC25" s="27">
        <f>IF(OR($J25="",ROW()=5,$B25&lt;&gt;$B24,$J24=""),"",IF($J25&lt;$J24,"下降",""))</f>
        <v/>
      </c>
      <c r="AD25" s="28" t="inlineStr">
        <is>
          <t>2026-08-27 新玩家节点曲线校准；对照S91；等级174→136；保留原难度定位。</t>
        </is>
      </c>
      <c r="AE25" t="n">
        <v>170000</v>
      </c>
      <c r="AF25">
        <f>INDEX(_统一战力!$B$2:$B$501,J25)</f>
        <v/>
      </c>
    </row>
    <row r="26" ht="25" customHeight="1">
      <c r="A26" s="27" t="inlineStr">
        <is>
          <t>当前配置</t>
        </is>
      </c>
      <c r="B26" s="27" t="inlineStr">
        <is>
          <t>困难主线</t>
        </is>
      </c>
      <c r="C26" s="28" t="inlineStr">
        <is>
          <t>第5章</t>
        </is>
      </c>
      <c r="D26" s="28" t="inlineStr">
        <is>
          <t>高难5-2</t>
        </is>
      </c>
      <c r="E26" s="28" t="inlineStr">
        <is>
          <t>110502</t>
        </is>
      </c>
      <c r="F26" s="27" t="inlineStr">
        <is>
          <t>普通怪</t>
        </is>
      </c>
      <c r="G26" s="37" t="n">
        <v>92</v>
      </c>
      <c r="H26" s="38" t="n"/>
      <c r="I26" s="39">
        <f>IF($H26="",$G26,$H26)</f>
        <v/>
      </c>
      <c r="J26" s="40" t="n">
        <v>173</v>
      </c>
      <c r="K26" s="72" t="n">
        <v>0.981523350475477</v>
      </c>
      <c r="L26" s="72" t="n">
        <v>1.07292121318402</v>
      </c>
      <c r="M26" s="72" t="n">
        <v>1</v>
      </c>
      <c r="N26" s="73" t="n"/>
      <c r="O26" s="73" t="n"/>
      <c r="P26" s="73" t="n"/>
      <c r="Q26" s="74">
        <f>IF($I26="","",IFERROR(INDEX(_玩家曲线!$H$2:$H$286,MATCH($I26,_玩家曲线!$A$2:$A$286,0)),""))</f>
        <v/>
      </c>
      <c r="R26" s="74">
        <f>IF($I26="","",IFERROR(INDEX(_玩家曲线!$I$2:$I$286,MATCH($I26,_玩家曲线!$A$2:$A$286,0)),""))</f>
        <v/>
      </c>
      <c r="S26" s="74">
        <f>IF(OR($J26="",$F26="不适用"),"",IFERROR(INDEX(_怪物模型!$D$2:$D$4501,(INT($J26)-1)*ROWS(_怪物类型!$A$2:$A$10)+MATCH($F26,_怪物类型!$A$2:$A$10,0))*IF($K26="",1,$K26),""))</f>
        <v/>
      </c>
      <c r="T26" s="74">
        <f>IF(OR($J26="",$F26="不适用"),"",IFERROR(INDEX(_怪物模型!$E$2:$E$4501,(INT($J26)-1)*ROWS(_怪物类型!$A$2:$A$10)+MATCH($F26,_怪物类型!$A$2:$A$10,0))*IF($L26="",1,$L26),""))</f>
        <v/>
      </c>
      <c r="U26" s="74">
        <f>IF(OR($J26="",$F26="不适用"),"",IFERROR(INDEX(_怪物模型!$F$2:$F$4501,(INT($J26)-1)*ROWS(_怪物类型!$A$2:$A$10)+MATCH($F26,_怪物类型!$A$2:$A$10,0))*IF($M26="",1,$M26),""))</f>
        <v/>
      </c>
      <c r="V26" s="75">
        <f>IF($U26="","",MIN(0.75,$U26/($U26+24000)))</f>
        <v/>
      </c>
      <c r="W26" s="76">
        <f>IF($S26="","",$S26/(1-$V26)*IF($N26="",1,$N26))</f>
        <v/>
      </c>
      <c r="X26" s="76">
        <f>IF(OR($W26="",$Q26="",$Q26=0),"",$W26/$Q26)</f>
        <v/>
      </c>
      <c r="Y26" s="76">
        <f>IF(OR($R26="",$T26="",$T26=0),"",$R26/($T26*IF($O26="",1,$O26)))</f>
        <v/>
      </c>
      <c r="Z26" s="77">
        <f>IF(OR($X26="",$P26="",$P26=0),"",$X26/$P26)</f>
        <v/>
      </c>
      <c r="AA26" s="27">
        <f>IF($J26="","待填怪物等级",IF(OR($I26="",$Q26=""),"待填对照关卡",IF($P26="","已计算",IF(AND($Y26&lt;&gt;"",$Y26&lt;$X26),"生存不成立",IF($Z26&lt;0.5,"碾压",IF($Z26&lt;0.8,"偏简单",IF($Z26&lt;=1.2,"适中",IF($Z26&lt;=1.5,"偏难","过难"))))))))</f>
        <v/>
      </c>
      <c r="AB26" s="27">
        <f>IF($J26="","待填",IF(AND(ISNUMBER($J26),$J26&gt;=1,$J26&lt;=500,MOD($J26,1)=0),"有效","超范围"))</f>
        <v/>
      </c>
      <c r="AC26" s="27">
        <f>IF(OR($J26="",ROW()=5,$B26&lt;&gt;$B25,$J25=""),"",IF($J26&lt;$J25,"下降",""))</f>
        <v/>
      </c>
      <c r="AD26" s="28" t="inlineStr">
        <is>
          <t>2026-08-27 新玩家节点曲线校准；对照S92；等级175→136；保留原难度定位。</t>
        </is>
      </c>
      <c r="AE26" t="n">
        <v>175000</v>
      </c>
      <c r="AF26">
        <f>INDEX(_统一战力!$B$2:$B$501,J26)</f>
        <v/>
      </c>
    </row>
    <row r="27" ht="25" customHeight="1">
      <c r="A27" s="27" t="inlineStr">
        <is>
          <t>当前配置</t>
        </is>
      </c>
      <c r="B27" s="27" t="inlineStr">
        <is>
          <t>困难主线</t>
        </is>
      </c>
      <c r="C27" s="28" t="inlineStr">
        <is>
          <t>第5章</t>
        </is>
      </c>
      <c r="D27" s="28" t="inlineStr">
        <is>
          <t>高难5-3</t>
        </is>
      </c>
      <c r="E27" s="28" t="inlineStr">
        <is>
          <t>110503</t>
        </is>
      </c>
      <c r="F27" s="27" t="inlineStr">
        <is>
          <t>普通怪</t>
        </is>
      </c>
      <c r="G27" s="37" t="n">
        <v>93</v>
      </c>
      <c r="H27" s="38" t="n"/>
      <c r="I27" s="39">
        <f>IF($H27="",$G27,$H27)</f>
        <v/>
      </c>
      <c r="J27" s="40" t="n">
        <v>175</v>
      </c>
      <c r="K27" s="72" t="n">
        <v>0.975114032609106</v>
      </c>
      <c r="L27" s="72" t="n">
        <v>1.07136448187043</v>
      </c>
      <c r="M27" s="72" t="n">
        <v>1</v>
      </c>
      <c r="N27" s="73" t="n"/>
      <c r="O27" s="73" t="n"/>
      <c r="P27" s="73" t="n"/>
      <c r="Q27" s="74">
        <f>IF($I27="","",IFERROR(INDEX(_玩家曲线!$H$2:$H$286,MATCH($I27,_玩家曲线!$A$2:$A$286,0)),""))</f>
        <v/>
      </c>
      <c r="R27" s="74">
        <f>IF($I27="","",IFERROR(INDEX(_玩家曲线!$I$2:$I$286,MATCH($I27,_玩家曲线!$A$2:$A$286,0)),""))</f>
        <v/>
      </c>
      <c r="S27" s="74">
        <f>IF(OR($J27="",$F27="不适用"),"",IFERROR(INDEX(_怪物模型!$D$2:$D$4501,(INT($J27)-1)*ROWS(_怪物类型!$A$2:$A$10)+MATCH($F27,_怪物类型!$A$2:$A$10,0))*IF($K27="",1,$K27),""))</f>
        <v/>
      </c>
      <c r="T27" s="74">
        <f>IF(OR($J27="",$F27="不适用"),"",IFERROR(INDEX(_怪物模型!$E$2:$E$4501,(INT($J27)-1)*ROWS(_怪物类型!$A$2:$A$10)+MATCH($F27,_怪物类型!$A$2:$A$10,0))*IF($L27="",1,$L27),""))</f>
        <v/>
      </c>
      <c r="U27" s="74">
        <f>IF(OR($J27="",$F27="不适用"),"",IFERROR(INDEX(_怪物模型!$F$2:$F$4501,(INT($J27)-1)*ROWS(_怪物类型!$A$2:$A$10)+MATCH($F27,_怪物类型!$A$2:$A$10,0))*IF($M27="",1,$M27),""))</f>
        <v/>
      </c>
      <c r="V27" s="75">
        <f>IF($U27="","",MIN(0.75,$U27/($U27+24000)))</f>
        <v/>
      </c>
      <c r="W27" s="76">
        <f>IF($S27="","",$S27/(1-$V27)*IF($N27="",1,$N27))</f>
        <v/>
      </c>
      <c r="X27" s="76">
        <f>IF(OR($W27="",$Q27="",$Q27=0),"",$W27/$Q27)</f>
        <v/>
      </c>
      <c r="Y27" s="76">
        <f>IF(OR($R27="",$T27="",$T27=0),"",$R27/($T27*IF($O27="",1,$O27)))</f>
        <v/>
      </c>
      <c r="Z27" s="77">
        <f>IF(OR($X27="",$P27="",$P27=0),"",$X27/$P27)</f>
        <v/>
      </c>
      <c r="AA27" s="27">
        <f>IF($J27="","待填怪物等级",IF(OR($I27="",$Q27=""),"待填对照关卡",IF($P27="","已计算",IF(AND($Y27&lt;&gt;"",$Y27&lt;$X27),"生存不成立",IF($Z27&lt;0.5,"碾压",IF($Z27&lt;0.8,"偏简单",IF($Z27&lt;=1.2,"适中",IF($Z27&lt;=1.5,"偏难","过难"))))))))</f>
        <v/>
      </c>
      <c r="AB27" s="27">
        <f>IF($J27="","待填",IF(AND(ISNUMBER($J27),$J27&gt;=1,$J27&lt;=500,MOD($J27,1)=0),"有效","超范围"))</f>
        <v/>
      </c>
      <c r="AC27" s="27">
        <f>IF(OR($J27="",ROW()=5,$B27&lt;&gt;$B26,$J26=""),"",IF($J27&lt;$J26,"下降",""))</f>
        <v/>
      </c>
      <c r="AD27" s="28" t="inlineStr">
        <is>
          <t>2026-08-27 新玩家节点曲线校准；对照S93；等级177→138；保留原难度定位。</t>
        </is>
      </c>
      <c r="AE27" t="n">
        <v>180000</v>
      </c>
      <c r="AF27">
        <f>INDEX(_统一战力!$B$2:$B$501,J27)</f>
        <v/>
      </c>
    </row>
    <row r="28" ht="25" customHeight="1">
      <c r="A28" s="27" t="inlineStr">
        <is>
          <t>当前配置</t>
        </is>
      </c>
      <c r="B28" s="27" t="inlineStr">
        <is>
          <t>困难主线</t>
        </is>
      </c>
      <c r="C28" s="28" t="inlineStr">
        <is>
          <t>第5章</t>
        </is>
      </c>
      <c r="D28" s="28" t="inlineStr">
        <is>
          <t>高难5-4</t>
        </is>
      </c>
      <c r="E28" s="28" t="inlineStr">
        <is>
          <t>110504</t>
        </is>
      </c>
      <c r="F28" s="27" t="inlineStr">
        <is>
          <t>普通怪</t>
        </is>
      </c>
      <c r="G28" s="37" t="n">
        <v>94</v>
      </c>
      <c r="H28" s="38" t="n"/>
      <c r="I28" s="39">
        <f>IF($H28="",$G28,$H28)</f>
        <v/>
      </c>
      <c r="J28" s="40" t="n">
        <v>178</v>
      </c>
      <c r="K28" s="72" t="n">
        <v>0.97164172118924</v>
      </c>
      <c r="L28" s="72" t="n">
        <v>1.07037632595104</v>
      </c>
      <c r="M28" s="72" t="n">
        <v>1</v>
      </c>
      <c r="N28" s="73" t="n"/>
      <c r="O28" s="73" t="n"/>
      <c r="P28" s="73" t="n"/>
      <c r="Q28" s="74">
        <f>IF($I28="","",IFERROR(INDEX(_玩家曲线!$H$2:$H$286,MATCH($I28,_玩家曲线!$A$2:$A$286,0)),""))</f>
        <v/>
      </c>
      <c r="R28" s="74">
        <f>IF($I28="","",IFERROR(INDEX(_玩家曲线!$I$2:$I$286,MATCH($I28,_玩家曲线!$A$2:$A$286,0)),""))</f>
        <v/>
      </c>
      <c r="S28" s="74">
        <f>IF(OR($J28="",$F28="不适用"),"",IFERROR(INDEX(_怪物模型!$D$2:$D$4501,(INT($J28)-1)*ROWS(_怪物类型!$A$2:$A$10)+MATCH($F28,_怪物类型!$A$2:$A$10,0))*IF($K28="",1,$K28),""))</f>
        <v/>
      </c>
      <c r="T28" s="74">
        <f>IF(OR($J28="",$F28="不适用"),"",IFERROR(INDEX(_怪物模型!$E$2:$E$4501,(INT($J28)-1)*ROWS(_怪物类型!$A$2:$A$10)+MATCH($F28,_怪物类型!$A$2:$A$10,0))*IF($L28="",1,$L28),""))</f>
        <v/>
      </c>
      <c r="U28" s="74">
        <f>IF(OR($J28="",$F28="不适用"),"",IFERROR(INDEX(_怪物模型!$F$2:$F$4501,(INT($J28)-1)*ROWS(_怪物类型!$A$2:$A$10)+MATCH($F28,_怪物类型!$A$2:$A$10,0))*IF($M28="",1,$M28),""))</f>
        <v/>
      </c>
      <c r="V28" s="75">
        <f>IF($U28="","",MIN(0.75,$U28/($U28+24000)))</f>
        <v/>
      </c>
      <c r="W28" s="76">
        <f>IF($S28="","",$S28/(1-$V28)*IF($N28="",1,$N28))</f>
        <v/>
      </c>
      <c r="X28" s="76">
        <f>IF(OR($W28="",$Q28="",$Q28=0),"",$W28/$Q28)</f>
        <v/>
      </c>
      <c r="Y28" s="76">
        <f>IF(OR($R28="",$T28="",$T28=0),"",$R28/($T28*IF($O28="",1,$O28)))</f>
        <v/>
      </c>
      <c r="Z28" s="77">
        <f>IF(OR($X28="",$P28="",$P28=0),"",$X28/$P28)</f>
        <v/>
      </c>
      <c r="AA28" s="27">
        <f>IF($J28="","待填怪物等级",IF(OR($I28="",$Q28=""),"待填对照关卡",IF($P28="","已计算",IF(AND($Y28&lt;&gt;"",$Y28&lt;$X28),"生存不成立",IF($Z28&lt;0.5,"碾压",IF($Z28&lt;0.8,"偏简单",IF($Z28&lt;=1.2,"适中",IF($Z28&lt;=1.5,"偏难","过难"))))))))</f>
        <v/>
      </c>
      <c r="AB28" s="27">
        <f>IF($J28="","待填",IF(AND(ISNUMBER($J28),$J28&gt;=1,$J28&lt;=500,MOD($J28,1)=0),"有效","超范围"))</f>
        <v/>
      </c>
      <c r="AC28" s="27">
        <f>IF(OR($J28="",ROW()=5,$B28&lt;&gt;$B27,$J27=""),"",IF($J28&lt;$J27,"下降",""))</f>
        <v/>
      </c>
      <c r="AD28" s="28" t="inlineStr">
        <is>
          <t>2026-08-27 新玩家节点曲线校准；对照S94；等级178→139；保留原难度定位。</t>
        </is>
      </c>
      <c r="AE28" t="n">
        <v>185000</v>
      </c>
      <c r="AF28">
        <f>INDEX(_统一战力!$B$2:$B$501,J28)</f>
        <v/>
      </c>
    </row>
    <row r="29" ht="25" customHeight="1">
      <c r="A29" s="27" t="inlineStr">
        <is>
          <t>当前配置</t>
        </is>
      </c>
      <c r="B29" s="27" t="inlineStr">
        <is>
          <t>困难主线</t>
        </is>
      </c>
      <c r="C29" s="28" t="inlineStr">
        <is>
          <t>第5章</t>
        </is>
      </c>
      <c r="D29" s="28" t="inlineStr">
        <is>
          <t>高难5-5</t>
        </is>
      </c>
      <c r="E29" s="28" t="inlineStr">
        <is>
          <t>110505</t>
        </is>
      </c>
      <c r="F29" s="27" t="inlineStr">
        <is>
          <t>普通怪</t>
        </is>
      </c>
      <c r="G29" s="37" t="n">
        <v>95</v>
      </c>
      <c r="H29" s="38" t="n"/>
      <c r="I29" s="39">
        <f>IF($H29="",$G29,$H29)</f>
        <v/>
      </c>
      <c r="J29" s="40" t="n">
        <v>180</v>
      </c>
      <c r="K29" s="72" t="n">
        <v>0.966132979675865</v>
      </c>
      <c r="L29" s="72" t="n">
        <v>1.06964047849819</v>
      </c>
      <c r="M29" s="72" t="n">
        <v>1</v>
      </c>
      <c r="N29" s="73" t="n"/>
      <c r="O29" s="73" t="n"/>
      <c r="P29" s="73" t="n"/>
      <c r="Q29" s="74">
        <f>IF($I29="","",IFERROR(INDEX(_玩家曲线!$H$2:$H$286,MATCH($I29,_玩家曲线!$A$2:$A$286,0)),""))</f>
        <v/>
      </c>
      <c r="R29" s="74">
        <f>IF($I29="","",IFERROR(INDEX(_玩家曲线!$I$2:$I$286,MATCH($I29,_玩家曲线!$A$2:$A$286,0)),""))</f>
        <v/>
      </c>
      <c r="S29" s="74">
        <f>IF(OR($J29="",$F29="不适用"),"",IFERROR(INDEX(_怪物模型!$D$2:$D$4501,(INT($J29)-1)*ROWS(_怪物类型!$A$2:$A$10)+MATCH($F29,_怪物类型!$A$2:$A$10,0))*IF($K29="",1,$K29),""))</f>
        <v/>
      </c>
      <c r="T29" s="74">
        <f>IF(OR($J29="",$F29="不适用"),"",IFERROR(INDEX(_怪物模型!$E$2:$E$4501,(INT($J29)-1)*ROWS(_怪物类型!$A$2:$A$10)+MATCH($F29,_怪物类型!$A$2:$A$10,0))*IF($L29="",1,$L29),""))</f>
        <v/>
      </c>
      <c r="U29" s="74">
        <f>IF(OR($J29="",$F29="不适用"),"",IFERROR(INDEX(_怪物模型!$F$2:$F$4501,(INT($J29)-1)*ROWS(_怪物类型!$A$2:$A$10)+MATCH($F29,_怪物类型!$A$2:$A$10,0))*IF($M29="",1,$M29),""))</f>
        <v/>
      </c>
      <c r="V29" s="75">
        <f>IF($U29="","",MIN(0.75,$U29/($U29+24000)))</f>
        <v/>
      </c>
      <c r="W29" s="76">
        <f>IF($S29="","",$S29/(1-$V29)*IF($N29="",1,$N29))</f>
        <v/>
      </c>
      <c r="X29" s="76">
        <f>IF(OR($W29="",$Q29="",$Q29=0),"",$W29/$Q29)</f>
        <v/>
      </c>
      <c r="Y29" s="76">
        <f>IF(OR($R29="",$T29="",$T29=0),"",$R29/($T29*IF($O29="",1,$O29)))</f>
        <v/>
      </c>
      <c r="Z29" s="77">
        <f>IF(OR($X29="",$P29="",$P29=0),"",$X29/$P29)</f>
        <v/>
      </c>
      <c r="AA29" s="27">
        <f>IF($J29="","待填怪物等级",IF(OR($I29="",$Q29=""),"待填对照关卡",IF($P29="","已计算",IF(AND($Y29&lt;&gt;"",$Y29&lt;$X29),"生存不成立",IF($Z29&lt;0.5,"碾压",IF($Z29&lt;0.8,"偏简单",IF($Z29&lt;=1.2,"适中",IF($Z29&lt;=1.5,"偏难","过难"))))))))</f>
        <v/>
      </c>
      <c r="AB29" s="27">
        <f>IF($J29="","待填",IF(AND(ISNUMBER($J29),$J29&gt;=1,$J29&lt;=500,MOD($J29,1)=0),"有效","超范围"))</f>
        <v/>
      </c>
      <c r="AC29" s="27">
        <f>IF(OR($J29="",ROW()=5,$B29&lt;&gt;$B28,$J28=""),"",IF($J29&lt;$J28,"下降",""))</f>
        <v/>
      </c>
      <c r="AD29" s="28" t="inlineStr">
        <is>
          <t>2026-08-27 新玩家节点曲线校准；对照S95；等级180→141；保留原难度定位。</t>
        </is>
      </c>
      <c r="AE29" t="n">
        <v>191000</v>
      </c>
      <c r="AF29">
        <f>INDEX(_统一战力!$B$2:$B$501,J29)</f>
        <v/>
      </c>
    </row>
    <row r="30" ht="25" customHeight="1">
      <c r="A30" s="27" t="inlineStr">
        <is>
          <t>当前配置</t>
        </is>
      </c>
      <c r="B30" s="27" t="inlineStr">
        <is>
          <t>困难主线</t>
        </is>
      </c>
      <c r="C30" s="28" t="inlineStr">
        <is>
          <t>第6章</t>
        </is>
      </c>
      <c r="D30" s="28" t="inlineStr">
        <is>
          <t>高难6-1</t>
        </is>
      </c>
      <c r="E30" s="28" t="inlineStr">
        <is>
          <t>110601</t>
        </is>
      </c>
      <c r="F30" s="27" t="inlineStr">
        <is>
          <t>普通怪</t>
        </is>
      </c>
      <c r="G30" s="37" t="n">
        <v>96</v>
      </c>
      <c r="H30" s="38" t="n"/>
      <c r="I30" s="39">
        <f>IF($H30="",$G30,$H30)</f>
        <v/>
      </c>
      <c r="J30" s="40" t="n">
        <v>183</v>
      </c>
      <c r="K30" s="72" t="n">
        <v>0.965746738910535</v>
      </c>
      <c r="L30" s="72" t="n">
        <v>1.06962858695769</v>
      </c>
      <c r="M30" s="72" t="n">
        <v>1</v>
      </c>
      <c r="N30" s="73" t="n"/>
      <c r="O30" s="73" t="n"/>
      <c r="P30" s="73" t="n"/>
      <c r="Q30" s="74">
        <f>IF($I30="","",IFERROR(INDEX(_玩家曲线!$H$2:$H$286,MATCH($I30,_玩家曲线!$A$2:$A$286,0)),""))</f>
        <v/>
      </c>
      <c r="R30" s="74">
        <f>IF($I30="","",IFERROR(INDEX(_玩家曲线!$I$2:$I$286,MATCH($I30,_玩家曲线!$A$2:$A$286,0)),""))</f>
        <v/>
      </c>
      <c r="S30" s="74">
        <f>IF(OR($J30="",$F30="不适用"),"",IFERROR(INDEX(_怪物模型!$D$2:$D$4501,(INT($J30)-1)*ROWS(_怪物类型!$A$2:$A$10)+MATCH($F30,_怪物类型!$A$2:$A$10,0))*IF($K30="",1,$K30),""))</f>
        <v/>
      </c>
      <c r="T30" s="74">
        <f>IF(OR($J30="",$F30="不适用"),"",IFERROR(INDEX(_怪物模型!$E$2:$E$4501,(INT($J30)-1)*ROWS(_怪物类型!$A$2:$A$10)+MATCH($F30,_怪物类型!$A$2:$A$10,0))*IF($L30="",1,$L30),""))</f>
        <v/>
      </c>
      <c r="U30" s="74">
        <f>IF(OR($J30="",$F30="不适用"),"",IFERROR(INDEX(_怪物模型!$F$2:$F$4501,(INT($J30)-1)*ROWS(_怪物类型!$A$2:$A$10)+MATCH($F30,_怪物类型!$A$2:$A$10,0))*IF($M30="",1,$M30),""))</f>
        <v/>
      </c>
      <c r="V30" s="75">
        <f>IF($U30="","",MIN(0.75,$U30/($U30+24000)))</f>
        <v/>
      </c>
      <c r="W30" s="76">
        <f>IF($S30="","",$S30/(1-$V30)*IF($N30="",1,$N30))</f>
        <v/>
      </c>
      <c r="X30" s="76">
        <f>IF(OR($W30="",$Q30="",$Q30=0),"",$W30/$Q30)</f>
        <v/>
      </c>
      <c r="Y30" s="76">
        <f>IF(OR($R30="",$T30="",$T30=0),"",$R30/($T30*IF($O30="",1,$O30)))</f>
        <v/>
      </c>
      <c r="Z30" s="77">
        <f>IF(OR($X30="",$P30="",$P30=0),"",$X30/$P30)</f>
        <v/>
      </c>
      <c r="AA30" s="27">
        <f>IF($J30="","待填怪物等级",IF(OR($I30="",$Q30=""),"待填对照关卡",IF($P30="","已计算",IF(AND($Y30&lt;&gt;"",$Y30&lt;$X30),"生存不成立",IF($Z30&lt;0.5,"碾压",IF($Z30&lt;0.8,"偏简单",IF($Z30&lt;=1.2,"适中",IF($Z30&lt;=1.5,"偏难","过难"))))))))</f>
        <v/>
      </c>
      <c r="AB30" s="27">
        <f>IF($J30="","待填",IF(AND(ISNUMBER($J30),$J30&gt;=1,$J30&lt;=500,MOD($J30,1)=0),"有效","超范围"))</f>
        <v/>
      </c>
      <c r="AC30" s="27">
        <f>IF(OR($J30="",ROW()=5,$B30&lt;&gt;$B29,$J29=""),"",IF($J30&lt;$J29,"下降",""))</f>
        <v/>
      </c>
      <c r="AD30" s="28" t="inlineStr">
        <is>
          <t>2026-08-27 新玩家节点曲线校准；对照S96；等级180→141；保留原难度定位。</t>
        </is>
      </c>
      <c r="AE30" t="n">
        <v>197000</v>
      </c>
      <c r="AF30">
        <f>INDEX(_统一战力!$B$2:$B$501,J30)</f>
        <v/>
      </c>
    </row>
    <row r="31" ht="25" customHeight="1">
      <c r="A31" s="27" t="inlineStr">
        <is>
          <t>当前配置</t>
        </is>
      </c>
      <c r="B31" s="27" t="inlineStr">
        <is>
          <t>困难主线</t>
        </is>
      </c>
      <c r="C31" s="28" t="inlineStr">
        <is>
          <t>第6章</t>
        </is>
      </c>
      <c r="D31" s="28" t="inlineStr">
        <is>
          <t>高难6-2</t>
        </is>
      </c>
      <c r="E31" s="28" t="inlineStr">
        <is>
          <t>110602</t>
        </is>
      </c>
      <c r="F31" s="27" t="inlineStr">
        <is>
          <t>普通怪</t>
        </is>
      </c>
      <c r="G31" s="37" t="n">
        <v>97</v>
      </c>
      <c r="H31" s="38" t="n"/>
      <c r="I31" s="39">
        <f>IF($H31="",$G31,$H31)</f>
        <v/>
      </c>
      <c r="J31" s="40" t="n">
        <v>186</v>
      </c>
      <c r="K31" s="72" t="n">
        <v>0.963366110748191</v>
      </c>
      <c r="L31" s="72" t="n">
        <v>1.06972801368831</v>
      </c>
      <c r="M31" s="72" t="n">
        <v>1</v>
      </c>
      <c r="N31" s="73" t="n"/>
      <c r="O31" s="73" t="n"/>
      <c r="P31" s="73" t="n"/>
      <c r="Q31" s="74">
        <f>IF($I31="","",IFERROR(INDEX(_玩家曲线!$H$2:$H$286,MATCH($I31,_玩家曲线!$A$2:$A$286,0)),""))</f>
        <v/>
      </c>
      <c r="R31" s="74">
        <f>IF($I31="","",IFERROR(INDEX(_玩家曲线!$I$2:$I$286,MATCH($I31,_玩家曲线!$A$2:$A$286,0)),""))</f>
        <v/>
      </c>
      <c r="S31" s="74">
        <f>IF(OR($J31="",$F31="不适用"),"",IFERROR(INDEX(_怪物模型!$D$2:$D$4501,(INT($J31)-1)*ROWS(_怪物类型!$A$2:$A$10)+MATCH($F31,_怪物类型!$A$2:$A$10,0))*IF($K31="",1,$K31),""))</f>
        <v/>
      </c>
      <c r="T31" s="74">
        <f>IF(OR($J31="",$F31="不适用"),"",IFERROR(INDEX(_怪物模型!$E$2:$E$4501,(INT($J31)-1)*ROWS(_怪物类型!$A$2:$A$10)+MATCH($F31,_怪物类型!$A$2:$A$10,0))*IF($L31="",1,$L31),""))</f>
        <v/>
      </c>
      <c r="U31" s="74">
        <f>IF(OR($J31="",$F31="不适用"),"",IFERROR(INDEX(_怪物模型!$F$2:$F$4501,(INT($J31)-1)*ROWS(_怪物类型!$A$2:$A$10)+MATCH($F31,_怪物类型!$A$2:$A$10,0))*IF($M31="",1,$M31),""))</f>
        <v/>
      </c>
      <c r="V31" s="75">
        <f>IF($U31="","",MIN(0.75,$U31/($U31+24000)))</f>
        <v/>
      </c>
      <c r="W31" s="76">
        <f>IF($S31="","",$S31/(1-$V31)*IF($N31="",1,$N31))</f>
        <v/>
      </c>
      <c r="X31" s="76">
        <f>IF(OR($W31="",$Q31="",$Q31=0),"",$W31/$Q31)</f>
        <v/>
      </c>
      <c r="Y31" s="76">
        <f>IF(OR($R31="",$T31="",$T31=0),"",$R31/($T31*IF($O31="",1,$O31)))</f>
        <v/>
      </c>
      <c r="Z31" s="77">
        <f>IF(OR($X31="",$P31="",$P31=0),"",$X31/$P31)</f>
        <v/>
      </c>
      <c r="AA31" s="27">
        <f>IF($J31="","待填怪物等级",IF(OR($I31="",$Q31=""),"待填对照关卡",IF($P31="","已计算",IF(AND($Y31&lt;&gt;"",$Y31&lt;$X31),"生存不成立",IF($Z31&lt;0.5,"碾压",IF($Z31&lt;0.8,"偏简单",IF($Z31&lt;=1.2,"适中",IF($Z31&lt;=1.5,"偏难","过难"))))))))</f>
        <v/>
      </c>
      <c r="AB31" s="27">
        <f>IF($J31="","待填",IF(AND(ISNUMBER($J31),$J31&gt;=1,$J31&lt;=500,MOD($J31,1)=0),"有效","超范围"))</f>
        <v/>
      </c>
      <c r="AC31" s="27">
        <f>IF(OR($J31="",ROW()=5,$B31&lt;&gt;$B30,$J30=""),"",IF($J31&lt;$J30,"下降",""))</f>
        <v/>
      </c>
      <c r="AD31" s="28" t="inlineStr">
        <is>
          <t>2026-08-27 新玩家节点曲线校准；对照S97；等级181→142；保留原难度定位。</t>
        </is>
      </c>
      <c r="AE31" t="n">
        <v>204000</v>
      </c>
      <c r="AF31">
        <f>INDEX(_统一战力!$B$2:$B$501,J31)</f>
        <v/>
      </c>
    </row>
    <row r="32" ht="25" customHeight="1">
      <c r="A32" s="27" t="inlineStr">
        <is>
          <t>当前配置</t>
        </is>
      </c>
      <c r="B32" s="27" t="inlineStr">
        <is>
          <t>困难主线</t>
        </is>
      </c>
      <c r="C32" s="28" t="inlineStr">
        <is>
          <t>第6章</t>
        </is>
      </c>
      <c r="D32" s="28" t="inlineStr">
        <is>
          <t>高难6-3</t>
        </is>
      </c>
      <c r="E32" s="28" t="inlineStr">
        <is>
          <t>110603</t>
        </is>
      </c>
      <c r="F32" s="27" t="inlineStr">
        <is>
          <t>普通怪</t>
        </is>
      </c>
      <c r="G32" s="37" t="n">
        <v>98</v>
      </c>
      <c r="H32" s="38" t="n"/>
      <c r="I32" s="39">
        <f>IF($H32="",$G32,$H32)</f>
        <v/>
      </c>
      <c r="J32" s="40" t="n">
        <v>188</v>
      </c>
      <c r="K32" s="72" t="n">
        <v>0.9763457264832029</v>
      </c>
      <c r="L32" s="72" t="n">
        <v>1.08154140586632</v>
      </c>
      <c r="M32" s="72" t="n">
        <v>1</v>
      </c>
      <c r="N32" s="73" t="n"/>
      <c r="O32" s="73" t="n"/>
      <c r="P32" s="73" t="n"/>
      <c r="Q32" s="74">
        <f>IF($I32="","",IFERROR(INDEX(_玩家曲线!$H$2:$H$286,MATCH($I32,_玩家曲线!$A$2:$A$286,0)),""))</f>
        <v/>
      </c>
      <c r="R32" s="74">
        <f>IF($I32="","",IFERROR(INDEX(_玩家曲线!$I$2:$I$286,MATCH($I32,_玩家曲线!$A$2:$A$286,0)),""))</f>
        <v/>
      </c>
      <c r="S32" s="74">
        <f>IF(OR($J32="",$F32="不适用"),"",IFERROR(INDEX(_怪物模型!$D$2:$D$4501,(INT($J32)-1)*ROWS(_怪物类型!$A$2:$A$10)+MATCH($F32,_怪物类型!$A$2:$A$10,0))*IF($K32="",1,$K32),""))</f>
        <v/>
      </c>
      <c r="T32" s="74">
        <f>IF(OR($J32="",$F32="不适用"),"",IFERROR(INDEX(_怪物模型!$E$2:$E$4501,(INT($J32)-1)*ROWS(_怪物类型!$A$2:$A$10)+MATCH($F32,_怪物类型!$A$2:$A$10,0))*IF($L32="",1,$L32),""))</f>
        <v/>
      </c>
      <c r="U32" s="74">
        <f>IF(OR($J32="",$F32="不适用"),"",IFERROR(INDEX(_怪物模型!$F$2:$F$4501,(INT($J32)-1)*ROWS(_怪物类型!$A$2:$A$10)+MATCH($F32,_怪物类型!$A$2:$A$10,0))*IF($M32="",1,$M32),""))</f>
        <v/>
      </c>
      <c r="V32" s="75">
        <f>IF($U32="","",MIN(0.75,$U32/($U32+24000)))</f>
        <v/>
      </c>
      <c r="W32" s="76">
        <f>IF($S32="","",$S32/(1-$V32)*IF($N32="",1,$N32))</f>
        <v/>
      </c>
      <c r="X32" s="76">
        <f>IF(OR($W32="",$Q32="",$Q32=0),"",$W32/$Q32)</f>
        <v/>
      </c>
      <c r="Y32" s="76">
        <f>IF(OR($R32="",$T32="",$T32=0),"",$R32/($T32*IF($O32="",1,$O32)))</f>
        <v/>
      </c>
      <c r="Z32" s="77">
        <f>IF(OR($X32="",$P32="",$P32=0),"",$X32/$P32)</f>
        <v/>
      </c>
      <c r="AA32" s="27">
        <f>IF($J32="","待填怪物等级",IF(OR($I32="",$Q32=""),"待填对照关卡",IF($P32="","已计算",IF(AND($Y32&lt;&gt;"",$Y32&lt;$X32),"生存不成立",IF($Z32&lt;0.5,"碾压",IF($Z32&lt;0.8,"偏简单",IF($Z32&lt;=1.2,"适中",IF($Z32&lt;=1.5,"偏难","过难"))))))))</f>
        <v/>
      </c>
      <c r="AB32" s="27">
        <f>IF($J32="","待填",IF(AND(ISNUMBER($J32),$J32&gt;=1,$J32&lt;=500,MOD($J32,1)=0),"有效","超范围"))</f>
        <v/>
      </c>
      <c r="AC32" s="27">
        <f>IF(OR($J32="",ROW()=5,$B32&lt;&gt;$B31,$J31=""),"",IF($J32&lt;$J31,"下降",""))</f>
        <v/>
      </c>
      <c r="AD32" s="28" t="inlineStr">
        <is>
          <t>2026-08-27 新玩家节点曲线校准；对照S98；等级183→143；保留原难度定位。</t>
        </is>
      </c>
      <c r="AE32" t="n">
        <v>211000</v>
      </c>
      <c r="AF32">
        <f>INDEX(_统一战力!$B$2:$B$501,J32)</f>
        <v/>
      </c>
    </row>
    <row r="33" ht="25" customHeight="1">
      <c r="A33" s="27" t="inlineStr">
        <is>
          <t>当前配置</t>
        </is>
      </c>
      <c r="B33" s="27" t="inlineStr">
        <is>
          <t>困难主线</t>
        </is>
      </c>
      <c r="C33" s="28" t="inlineStr">
        <is>
          <t>第6章</t>
        </is>
      </c>
      <c r="D33" s="28" t="inlineStr">
        <is>
          <t>高难6-4</t>
        </is>
      </c>
      <c r="E33" s="28" t="inlineStr">
        <is>
          <t>110604</t>
        </is>
      </c>
      <c r="F33" s="27" t="inlineStr">
        <is>
          <t>普通怪</t>
        </is>
      </c>
      <c r="G33" s="37" t="n">
        <v>99</v>
      </c>
      <c r="H33" s="38" t="n"/>
      <c r="I33" s="39">
        <f>IF($H33="",$G33,$H33)</f>
        <v/>
      </c>
      <c r="J33" s="40" t="n">
        <v>191</v>
      </c>
      <c r="K33" s="72" t="n">
        <v>0.974570086574435</v>
      </c>
      <c r="L33" s="72" t="n">
        <v>1.08219296878179</v>
      </c>
      <c r="M33" s="72" t="n">
        <v>1</v>
      </c>
      <c r="N33" s="73" t="n"/>
      <c r="O33" s="73" t="n"/>
      <c r="P33" s="73" t="n"/>
      <c r="Q33" s="74">
        <f>IF($I33="","",IFERROR(INDEX(_玩家曲线!$H$2:$H$286,MATCH($I33,_玩家曲线!$A$2:$A$286,0)),""))</f>
        <v/>
      </c>
      <c r="R33" s="74">
        <f>IF($I33="","",IFERROR(INDEX(_玩家曲线!$I$2:$I$286,MATCH($I33,_玩家曲线!$A$2:$A$286,0)),""))</f>
        <v/>
      </c>
      <c r="S33" s="74">
        <f>IF(OR($J33="",$F33="不适用"),"",IFERROR(INDEX(_怪物模型!$D$2:$D$4501,(INT($J33)-1)*ROWS(_怪物类型!$A$2:$A$10)+MATCH($F33,_怪物类型!$A$2:$A$10,0))*IF($K33="",1,$K33),""))</f>
        <v/>
      </c>
      <c r="T33" s="74">
        <f>IF(OR($J33="",$F33="不适用"),"",IFERROR(INDEX(_怪物模型!$E$2:$E$4501,(INT($J33)-1)*ROWS(_怪物类型!$A$2:$A$10)+MATCH($F33,_怪物类型!$A$2:$A$10,0))*IF($L33="",1,$L33),""))</f>
        <v/>
      </c>
      <c r="U33" s="74">
        <f>IF(OR($J33="",$F33="不适用"),"",IFERROR(INDEX(_怪物模型!$F$2:$F$4501,(INT($J33)-1)*ROWS(_怪物类型!$A$2:$A$10)+MATCH($F33,_怪物类型!$A$2:$A$10,0))*IF($M33="",1,$M33),""))</f>
        <v/>
      </c>
      <c r="V33" s="75">
        <f>IF($U33="","",MIN(0.75,$U33/($U33+24000)))</f>
        <v/>
      </c>
      <c r="W33" s="76">
        <f>IF($S33="","",$S33/(1-$V33)*IF($N33="",1,$N33))</f>
        <v/>
      </c>
      <c r="X33" s="76">
        <f>IF(OR($W33="",$Q33="",$Q33=0),"",$W33/$Q33)</f>
        <v/>
      </c>
      <c r="Y33" s="76">
        <f>IF(OR($R33="",$T33="",$T33=0),"",$R33/($T33*IF($O33="",1,$O33)))</f>
        <v/>
      </c>
      <c r="Z33" s="77">
        <f>IF(OR($X33="",$P33="",$P33=0),"",$X33/$P33)</f>
        <v/>
      </c>
      <c r="AA33" s="27">
        <f>IF($J33="","待填怪物等级",IF(OR($I33="",$Q33=""),"待填对照关卡",IF($P33="","已计算",IF(AND($Y33&lt;&gt;"",$Y33&lt;$X33),"生存不成立",IF($Z33&lt;0.5,"碾压",IF($Z33&lt;0.8,"偏简单",IF($Z33&lt;=1.2,"适中",IF($Z33&lt;=1.5,"偏难","过难"))))))))</f>
        <v/>
      </c>
      <c r="AB33" s="27">
        <f>IF($J33="","待填",IF(AND(ISNUMBER($J33),$J33&gt;=1,$J33&lt;=500,MOD($J33,1)=0),"有效","超范围"))</f>
        <v/>
      </c>
      <c r="AC33" s="27">
        <f>IF(OR($J33="",ROW()=5,$B33&lt;&gt;$B32,$J32=""),"",IF($J33&lt;$J32,"下降",""))</f>
        <v/>
      </c>
      <c r="AD33" s="28" t="inlineStr">
        <is>
          <t>2026-08-27 新玩家节点曲线校准；对照S99；等级184→144；保留原难度定位。</t>
        </is>
      </c>
      <c r="AE33" t="n">
        <v>218000</v>
      </c>
      <c r="AF33">
        <f>INDEX(_统一战力!$B$2:$B$501,J33)</f>
        <v/>
      </c>
    </row>
    <row r="34" ht="25" customHeight="1">
      <c r="A34" s="27" t="inlineStr">
        <is>
          <t>当前配置</t>
        </is>
      </c>
      <c r="B34" s="27" t="inlineStr">
        <is>
          <t>困难主线</t>
        </is>
      </c>
      <c r="C34" s="28" t="inlineStr">
        <is>
          <t>第6章</t>
        </is>
      </c>
      <c r="D34" s="28" t="inlineStr">
        <is>
          <t>高难6-5</t>
        </is>
      </c>
      <c r="E34" s="28" t="inlineStr">
        <is>
          <t>110605</t>
        </is>
      </c>
      <c r="F34" s="27" t="inlineStr">
        <is>
          <t>普通怪</t>
        </is>
      </c>
      <c r="G34" s="37" t="n">
        <v>100</v>
      </c>
      <c r="H34" s="38" t="n"/>
      <c r="I34" s="39">
        <f>IF($H34="",$G34,$H34)</f>
        <v/>
      </c>
      <c r="J34" s="40" t="n">
        <v>193</v>
      </c>
      <c r="K34" s="72" t="n">
        <v>0.9707695127185449</v>
      </c>
      <c r="L34" s="72" t="n">
        <v>1.08091881331408</v>
      </c>
      <c r="M34" s="72" t="n">
        <v>1</v>
      </c>
      <c r="N34" s="73" t="n"/>
      <c r="O34" s="73" t="n"/>
      <c r="P34" s="73" t="n"/>
      <c r="Q34" s="74">
        <f>IF($I34="","",IFERROR(INDEX(_玩家曲线!$H$2:$H$286,MATCH($I34,_玩家曲线!$A$2:$A$286,0)),""))</f>
        <v/>
      </c>
      <c r="R34" s="74">
        <f>IF($I34="","",IFERROR(INDEX(_玩家曲线!$I$2:$I$286,MATCH($I34,_玩家曲线!$A$2:$A$286,0)),""))</f>
        <v/>
      </c>
      <c r="S34" s="74">
        <f>IF(OR($J34="",$F34="不适用"),"",IFERROR(INDEX(_怪物模型!$D$2:$D$4501,(INT($J34)-1)*ROWS(_怪物类型!$A$2:$A$10)+MATCH($F34,_怪物类型!$A$2:$A$10,0))*IF($K34="",1,$K34),""))</f>
        <v/>
      </c>
      <c r="T34" s="74">
        <f>IF(OR($J34="",$F34="不适用"),"",IFERROR(INDEX(_怪物模型!$E$2:$E$4501,(INT($J34)-1)*ROWS(_怪物类型!$A$2:$A$10)+MATCH($F34,_怪物类型!$A$2:$A$10,0))*IF($L34="",1,$L34),""))</f>
        <v/>
      </c>
      <c r="U34" s="74">
        <f>IF(OR($J34="",$F34="不适用"),"",IFERROR(INDEX(_怪物模型!$F$2:$F$4501,(INT($J34)-1)*ROWS(_怪物类型!$A$2:$A$10)+MATCH($F34,_怪物类型!$A$2:$A$10,0))*IF($M34="",1,$M34),""))</f>
        <v/>
      </c>
      <c r="V34" s="75">
        <f>IF($U34="","",MIN(0.75,$U34/($U34+24000)))</f>
        <v/>
      </c>
      <c r="W34" s="76">
        <f>IF($S34="","",$S34/(1-$V34)*IF($N34="",1,$N34))</f>
        <v/>
      </c>
      <c r="X34" s="76">
        <f>IF(OR($W34="",$Q34="",$Q34=0),"",$W34/$Q34)</f>
        <v/>
      </c>
      <c r="Y34" s="76">
        <f>IF(OR($R34="",$T34="",$T34=0),"",$R34/($T34*IF($O34="",1,$O34)))</f>
        <v/>
      </c>
      <c r="Z34" s="77">
        <f>IF(OR($X34="",$P34="",$P34=0),"",$X34/$P34)</f>
        <v/>
      </c>
      <c r="AA34" s="27">
        <f>IF($J34="","待填怪物等级",IF(OR($I34="",$Q34=""),"待填对照关卡",IF($P34="","已计算",IF(AND($Y34&lt;&gt;"",$Y34&lt;$X34),"生存不成立",IF($Z34&lt;0.5,"碾压",IF($Z34&lt;0.8,"偏简单",IF($Z34&lt;=1.2,"适中",IF($Z34&lt;=1.5,"偏难","过难"))))))))</f>
        <v/>
      </c>
      <c r="AB34" s="27">
        <f>IF($J34="","待填",IF(AND(ISNUMBER($J34),$J34&gt;=1,$J34&lt;=500,MOD($J34,1)=0),"有效","超范围"))</f>
        <v/>
      </c>
      <c r="AC34" s="27">
        <f>IF(OR($J34="",ROW()=5,$B34&lt;&gt;$B33,$J33=""),"",IF($J34&lt;$J33,"下降",""))</f>
        <v/>
      </c>
      <c r="AD34" s="28" t="inlineStr">
        <is>
          <t>2026-08-27 新玩家节点曲线校准；对照S100；等级185→145；保留原难度定位。</t>
        </is>
      </c>
      <c r="AE34" t="n">
        <v>218000</v>
      </c>
      <c r="AF34">
        <f>INDEX(_统一战力!$B$2:$B$501,J34)</f>
        <v/>
      </c>
    </row>
    <row r="35" ht="25" customHeight="1">
      <c r="A35" s="27" t="inlineStr">
        <is>
          <t>当前配置</t>
        </is>
      </c>
      <c r="B35" s="27" t="inlineStr">
        <is>
          <t>困难主线</t>
        </is>
      </c>
      <c r="C35" s="28" t="inlineStr">
        <is>
          <t>第7章</t>
        </is>
      </c>
      <c r="D35" s="28" t="inlineStr">
        <is>
          <t>高难7-1</t>
        </is>
      </c>
      <c r="E35" s="28" t="inlineStr">
        <is>
          <t>110701</t>
        </is>
      </c>
      <c r="F35" s="27" t="inlineStr">
        <is>
          <t>普通怪</t>
        </is>
      </c>
      <c r="G35" s="37" t="n">
        <v>101</v>
      </c>
      <c r="H35" s="38" t="n"/>
      <c r="I35" s="39">
        <f>IF($H35="",$G35,$H35)</f>
        <v/>
      </c>
      <c r="J35" s="40" t="n">
        <v>196</v>
      </c>
      <c r="K35" s="72" t="n">
        <v>0.966323352032524</v>
      </c>
      <c r="L35" s="72" t="n">
        <v>1.07993654361155</v>
      </c>
      <c r="M35" s="72" t="n">
        <v>1</v>
      </c>
      <c r="N35" s="73" t="n"/>
      <c r="O35" s="73" t="n"/>
      <c r="P35" s="73" t="n"/>
      <c r="Q35" s="74">
        <f>IF($I35="","",IFERROR(INDEX(_玩家曲线!$H$2:$H$286,MATCH($I35,_玩家曲线!$A$2:$A$286,0)),""))</f>
        <v/>
      </c>
      <c r="R35" s="74">
        <f>IF($I35="","",IFERROR(INDEX(_玩家曲线!$I$2:$I$286,MATCH($I35,_玩家曲线!$A$2:$A$286,0)),""))</f>
        <v/>
      </c>
      <c r="S35" s="74">
        <f>IF(OR($J35="",$F35="不适用"),"",IFERROR(INDEX(_怪物模型!$D$2:$D$4501,(INT($J35)-1)*ROWS(_怪物类型!$A$2:$A$10)+MATCH($F35,_怪物类型!$A$2:$A$10,0))*IF($K35="",1,$K35),""))</f>
        <v/>
      </c>
      <c r="T35" s="74">
        <f>IF(OR($J35="",$F35="不适用"),"",IFERROR(INDEX(_怪物模型!$E$2:$E$4501,(INT($J35)-1)*ROWS(_怪物类型!$A$2:$A$10)+MATCH($F35,_怪物类型!$A$2:$A$10,0))*IF($L35="",1,$L35),""))</f>
        <v/>
      </c>
      <c r="U35" s="74">
        <f>IF(OR($J35="",$F35="不适用"),"",IFERROR(INDEX(_怪物模型!$F$2:$F$4501,(INT($J35)-1)*ROWS(_怪物类型!$A$2:$A$10)+MATCH($F35,_怪物类型!$A$2:$A$10,0))*IF($M35="",1,$M35),""))</f>
        <v/>
      </c>
      <c r="V35" s="75">
        <f>IF($U35="","",MIN(0.75,$U35/($U35+24000)))</f>
        <v/>
      </c>
      <c r="W35" s="76">
        <f>IF($S35="","",$S35/(1-$V35)*IF($N35="",1,$N35))</f>
        <v/>
      </c>
      <c r="X35" s="76">
        <f>IF(OR($W35="",$Q35="",$Q35=0),"",$W35/$Q35)</f>
        <v/>
      </c>
      <c r="Y35" s="76">
        <f>IF(OR($R35="",$T35="",$T35=0),"",$R35/($T35*IF($O35="",1,$O35)))</f>
        <v/>
      </c>
      <c r="Z35" s="77">
        <f>IF(OR($X35="",$P35="",$P35=0),"",$X35/$P35)</f>
        <v/>
      </c>
      <c r="AA35" s="27">
        <f>IF($J35="","待填怪物等级",IF(OR($I35="",$Q35=""),"待填对照关卡",IF($P35="","已计算",IF(AND($Y35&lt;&gt;"",$Y35&lt;$X35),"生存不成立",IF($Z35&lt;0.5,"碾压",IF($Z35&lt;0.8,"偏简单",IF($Z35&lt;=1.2,"适中",IF($Z35&lt;=1.5,"偏难","过难"))))))))</f>
        <v/>
      </c>
      <c r="AB35" s="27">
        <f>IF($J35="","待填",IF(AND(ISNUMBER($J35),$J35&gt;=1,$J35&lt;=500,MOD($J35,1)=0),"有效","超范围"))</f>
        <v/>
      </c>
      <c r="AC35" s="27">
        <f>IF(OR($J35="",ROW()=5,$B35&lt;&gt;$B34,$J34=""),"",IF($J35&lt;$J34,"下降",""))</f>
        <v/>
      </c>
      <c r="AD35" s="28" t="inlineStr">
        <is>
          <t>2026-08-27 新玩家节点曲线校准；对照S101；等级186→146；保留原难度定位。</t>
        </is>
      </c>
      <c r="AE35" t="n">
        <v>225000</v>
      </c>
      <c r="AF35">
        <f>INDEX(_统一战力!$B$2:$B$501,J35)</f>
        <v/>
      </c>
    </row>
    <row r="36" ht="25" customHeight="1">
      <c r="A36" s="27" t="inlineStr">
        <is>
          <t>当前配置</t>
        </is>
      </c>
      <c r="B36" s="27" t="inlineStr">
        <is>
          <t>困难主线</t>
        </is>
      </c>
      <c r="C36" s="28" t="inlineStr">
        <is>
          <t>第7章</t>
        </is>
      </c>
      <c r="D36" s="28" t="inlineStr">
        <is>
          <t>高难7-2</t>
        </is>
      </c>
      <c r="E36" s="28" t="inlineStr">
        <is>
          <t>110702</t>
        </is>
      </c>
      <c r="F36" s="27" t="inlineStr">
        <is>
          <t>普通怪</t>
        </is>
      </c>
      <c r="G36" s="37" t="n">
        <v>102</v>
      </c>
      <c r="H36" s="38" t="n"/>
      <c r="I36" s="39">
        <f>IF($H36="",$G36,$H36)</f>
        <v/>
      </c>
      <c r="J36" s="40" t="n">
        <v>199</v>
      </c>
      <c r="K36" s="72" t="n">
        <v>0.960198177882008</v>
      </c>
      <c r="L36" s="72" t="n">
        <v>1.07910429146781</v>
      </c>
      <c r="M36" s="72" t="n">
        <v>1</v>
      </c>
      <c r="N36" s="73" t="n"/>
      <c r="O36" s="73" t="n"/>
      <c r="P36" s="73" t="n"/>
      <c r="Q36" s="74">
        <f>IF($I36="","",IFERROR(INDEX(_玩家曲线!$H$2:$H$286,MATCH($I36,_玩家曲线!$A$2:$A$286,0)),""))</f>
        <v/>
      </c>
      <c r="R36" s="74">
        <f>IF($I36="","",IFERROR(INDEX(_玩家曲线!$I$2:$I$286,MATCH($I36,_玩家曲线!$A$2:$A$286,0)),""))</f>
        <v/>
      </c>
      <c r="S36" s="74">
        <f>IF(OR($J36="",$F36="不适用"),"",IFERROR(INDEX(_怪物模型!$D$2:$D$4501,(INT($J36)-1)*ROWS(_怪物类型!$A$2:$A$10)+MATCH($F36,_怪物类型!$A$2:$A$10,0))*IF($K36="",1,$K36),""))</f>
        <v/>
      </c>
      <c r="T36" s="74">
        <f>IF(OR($J36="",$F36="不适用"),"",IFERROR(INDEX(_怪物模型!$E$2:$E$4501,(INT($J36)-1)*ROWS(_怪物类型!$A$2:$A$10)+MATCH($F36,_怪物类型!$A$2:$A$10,0))*IF($L36="",1,$L36),""))</f>
        <v/>
      </c>
      <c r="U36" s="74">
        <f>IF(OR($J36="",$F36="不适用"),"",IFERROR(INDEX(_怪物模型!$F$2:$F$4501,(INT($J36)-1)*ROWS(_怪物类型!$A$2:$A$10)+MATCH($F36,_怪物类型!$A$2:$A$10,0))*IF($M36="",1,$M36),""))</f>
        <v/>
      </c>
      <c r="V36" s="75">
        <f>IF($U36="","",MIN(0.75,$U36/($U36+24000)))</f>
        <v/>
      </c>
      <c r="W36" s="76">
        <f>IF($S36="","",$S36/(1-$V36)*IF($N36="",1,$N36))</f>
        <v/>
      </c>
      <c r="X36" s="76">
        <f>IF(OR($W36="",$Q36="",$Q36=0),"",$W36/$Q36)</f>
        <v/>
      </c>
      <c r="Y36" s="76">
        <f>IF(OR($R36="",$T36="",$T36=0),"",$R36/($T36*IF($O36="",1,$O36)))</f>
        <v/>
      </c>
      <c r="Z36" s="77">
        <f>IF(OR($X36="",$P36="",$P36=0),"",$X36/$P36)</f>
        <v/>
      </c>
      <c r="AA36" s="27">
        <f>IF($J36="","待填怪物等级",IF(OR($I36="",$Q36=""),"待填对照关卡",IF($P36="","已计算",IF(AND($Y36&lt;&gt;"",$Y36&lt;$X36),"生存不成立",IF($Z36&lt;0.5,"碾压",IF($Z36&lt;0.8,"偏简单",IF($Z36&lt;=1.2,"适中",IF($Z36&lt;=1.5,"偏难","过难"))))))))</f>
        <v/>
      </c>
      <c r="AB36" s="27">
        <f>IF($J36="","待填",IF(AND(ISNUMBER($J36),$J36&gt;=1,$J36&lt;=500,MOD($J36,1)=0),"有效","超范围"))</f>
        <v/>
      </c>
      <c r="AC36" s="27">
        <f>IF(OR($J36="",ROW()=5,$B36&lt;&gt;$B35,$J35=""),"",IF($J36&lt;$J35,"下降",""))</f>
        <v/>
      </c>
      <c r="AD36" s="28" t="inlineStr">
        <is>
          <t>2026-08-27 新玩家节点曲线校准；对照S102；等级188→148；保留原难度定位。</t>
        </is>
      </c>
      <c r="AE36" t="n">
        <v>231000</v>
      </c>
      <c r="AF36">
        <f>INDEX(_统一战力!$B$2:$B$501,J36)</f>
        <v/>
      </c>
    </row>
    <row r="37" ht="25" customHeight="1">
      <c r="A37" s="27" t="inlineStr">
        <is>
          <t>当前配置</t>
        </is>
      </c>
      <c r="B37" s="27" t="inlineStr">
        <is>
          <t>困难主线</t>
        </is>
      </c>
      <c r="C37" s="28" t="inlineStr">
        <is>
          <t>第7章</t>
        </is>
      </c>
      <c r="D37" s="28" t="inlineStr">
        <is>
          <t>高难7-3</t>
        </is>
      </c>
      <c r="E37" s="28" t="inlineStr">
        <is>
          <t>110703</t>
        </is>
      </c>
      <c r="F37" s="27" t="inlineStr">
        <is>
          <t>普通怪</t>
        </is>
      </c>
      <c r="G37" s="37" t="n">
        <v>103</v>
      </c>
      <c r="H37" s="38" t="n"/>
      <c r="I37" s="39">
        <f>IF($H37="",$G37,$H37)</f>
        <v/>
      </c>
      <c r="J37" s="40" t="n">
        <v>201</v>
      </c>
      <c r="K37" s="72" t="n">
        <v>0.971630637566757</v>
      </c>
      <c r="L37" s="72" t="n">
        <v>1.09027077260927</v>
      </c>
      <c r="M37" s="72" t="n">
        <v>1</v>
      </c>
      <c r="N37" s="73" t="n"/>
      <c r="O37" s="73" t="n"/>
      <c r="P37" s="73" t="n"/>
      <c r="Q37" s="74">
        <f>IF($I37="","",IFERROR(INDEX(_玩家曲线!$H$2:$H$286,MATCH($I37,_玩家曲线!$A$2:$A$286,0)),""))</f>
        <v/>
      </c>
      <c r="R37" s="74">
        <f>IF($I37="","",IFERROR(INDEX(_玩家曲线!$I$2:$I$286,MATCH($I37,_玩家曲线!$A$2:$A$286,0)),""))</f>
        <v/>
      </c>
      <c r="S37" s="74">
        <f>IF(OR($J37="",$F37="不适用"),"",IFERROR(INDEX(_怪物模型!$D$2:$D$4501,(INT($J37)-1)*ROWS(_怪物类型!$A$2:$A$10)+MATCH($F37,_怪物类型!$A$2:$A$10,0))*IF($K37="",1,$K37),""))</f>
        <v/>
      </c>
      <c r="T37" s="74">
        <f>IF(OR($J37="",$F37="不适用"),"",IFERROR(INDEX(_怪物模型!$E$2:$E$4501,(INT($J37)-1)*ROWS(_怪物类型!$A$2:$A$10)+MATCH($F37,_怪物类型!$A$2:$A$10,0))*IF($L37="",1,$L37),""))</f>
        <v/>
      </c>
      <c r="U37" s="74">
        <f>IF(OR($J37="",$F37="不适用"),"",IFERROR(INDEX(_怪物模型!$F$2:$F$4501,(INT($J37)-1)*ROWS(_怪物类型!$A$2:$A$10)+MATCH($F37,_怪物类型!$A$2:$A$10,0))*IF($M37="",1,$M37),""))</f>
        <v/>
      </c>
      <c r="V37" s="75">
        <f>IF($U37="","",MIN(0.75,$U37/($U37+24000)))</f>
        <v/>
      </c>
      <c r="W37" s="76">
        <f>IF($S37="","",$S37/(1-$V37)*IF($N37="",1,$N37))</f>
        <v/>
      </c>
      <c r="X37" s="76">
        <f>IF(OR($W37="",$Q37="",$Q37=0),"",$W37/$Q37)</f>
        <v/>
      </c>
      <c r="Y37" s="76">
        <f>IF(OR($R37="",$T37="",$T37=0),"",$R37/($T37*IF($O37="",1,$O37)))</f>
        <v/>
      </c>
      <c r="Z37" s="77">
        <f>IF(OR($X37="",$P37="",$P37=0),"",$X37/$P37)</f>
        <v/>
      </c>
      <c r="AA37" s="27">
        <f>IF($J37="","待填怪物等级",IF(OR($I37="",$Q37=""),"待填对照关卡",IF($P37="","已计算",IF(AND($Y37&lt;&gt;"",$Y37&lt;$X37),"生存不成立",IF($Z37&lt;0.5,"碾压",IF($Z37&lt;0.8,"偏简单",IF($Z37&lt;=1.2,"适中",IF($Z37&lt;=1.5,"偏难","过难"))))))))</f>
        <v/>
      </c>
      <c r="AB37" s="27">
        <f>IF($J37="","待填",IF(AND(ISNUMBER($J37),$J37&gt;=1,$J37&lt;=500,MOD($J37,1)=0),"有效","超范围"))</f>
        <v/>
      </c>
      <c r="AC37" s="27">
        <f>IF(OR($J37="",ROW()=5,$B37&lt;&gt;$B36,$J36=""),"",IF($J37&lt;$J36,"下降",""))</f>
        <v/>
      </c>
      <c r="AD37" s="28" t="inlineStr">
        <is>
          <t>2026-08-27 新玩家节点曲线校准；对照S103；等级190→149；保留原难度定位。</t>
        </is>
      </c>
      <c r="AE37" t="n">
        <v>237000</v>
      </c>
      <c r="AF37">
        <f>INDEX(_统一战力!$B$2:$B$501,J37)</f>
        <v/>
      </c>
    </row>
    <row r="38" ht="25" customHeight="1">
      <c r="A38" s="27" t="inlineStr">
        <is>
          <t>当前配置</t>
        </is>
      </c>
      <c r="B38" s="27" t="inlineStr">
        <is>
          <t>困难主线</t>
        </is>
      </c>
      <c r="C38" s="28" t="inlineStr">
        <is>
          <t>第7章</t>
        </is>
      </c>
      <c r="D38" s="28" t="inlineStr">
        <is>
          <t>高难7-4</t>
        </is>
      </c>
      <c r="E38" s="28" t="inlineStr">
        <is>
          <t>110704</t>
        </is>
      </c>
      <c r="F38" s="27" t="inlineStr">
        <is>
          <t>普通怪</t>
        </is>
      </c>
      <c r="G38" s="37" t="n">
        <v>104</v>
      </c>
      <c r="H38" s="38" t="n"/>
      <c r="I38" s="39">
        <f>IF($H38="",$G38,$H38)</f>
        <v/>
      </c>
      <c r="J38" s="40" t="n">
        <v>204</v>
      </c>
      <c r="K38" s="72" t="n">
        <v>0.966528329515162</v>
      </c>
      <c r="L38" s="72" t="n">
        <v>1.09022464851023</v>
      </c>
      <c r="M38" s="72" t="n">
        <v>1</v>
      </c>
      <c r="N38" s="73" t="n"/>
      <c r="O38" s="73" t="n"/>
      <c r="P38" s="73" t="n"/>
      <c r="Q38" s="74">
        <f>IF($I38="","",IFERROR(INDEX(_玩家曲线!$H$2:$H$286,MATCH($I38,_玩家曲线!$A$2:$A$286,0)),""))</f>
        <v/>
      </c>
      <c r="R38" s="74">
        <f>IF($I38="","",IFERROR(INDEX(_玩家曲线!$I$2:$I$286,MATCH($I38,_玩家曲线!$A$2:$A$286,0)),""))</f>
        <v/>
      </c>
      <c r="S38" s="74">
        <f>IF(OR($J38="",$F38="不适用"),"",IFERROR(INDEX(_怪物模型!$D$2:$D$4501,(INT($J38)-1)*ROWS(_怪物类型!$A$2:$A$10)+MATCH($F38,_怪物类型!$A$2:$A$10,0))*IF($K38="",1,$K38),""))</f>
        <v/>
      </c>
      <c r="T38" s="74">
        <f>IF(OR($J38="",$F38="不适用"),"",IFERROR(INDEX(_怪物模型!$E$2:$E$4501,(INT($J38)-1)*ROWS(_怪物类型!$A$2:$A$10)+MATCH($F38,_怪物类型!$A$2:$A$10,0))*IF($L38="",1,$L38),""))</f>
        <v/>
      </c>
      <c r="U38" s="74">
        <f>IF(OR($J38="",$F38="不适用"),"",IFERROR(INDEX(_怪物模型!$F$2:$F$4501,(INT($J38)-1)*ROWS(_怪物类型!$A$2:$A$10)+MATCH($F38,_怪物类型!$A$2:$A$10,0))*IF($M38="",1,$M38),""))</f>
        <v/>
      </c>
      <c r="V38" s="75">
        <f>IF($U38="","",MIN(0.75,$U38/($U38+24000)))</f>
        <v/>
      </c>
      <c r="W38" s="76">
        <f>IF($S38="","",$S38/(1-$V38)*IF($N38="",1,$N38))</f>
        <v/>
      </c>
      <c r="X38" s="76">
        <f>IF(OR($W38="",$Q38="",$Q38=0),"",$W38/$Q38)</f>
        <v/>
      </c>
      <c r="Y38" s="76">
        <f>IF(OR($R38="",$T38="",$T38=0),"",$R38/($T38*IF($O38="",1,$O38)))</f>
        <v/>
      </c>
      <c r="Z38" s="77">
        <f>IF(OR($X38="",$P38="",$P38=0),"",$X38/$P38)</f>
        <v/>
      </c>
      <c r="AA38" s="27">
        <f>IF($J38="","待填怪物等级",IF(OR($I38="",$Q38=""),"待填对照关卡",IF($P38="","已计算",IF(AND($Y38&lt;&gt;"",$Y38&lt;$X38),"生存不成立",IF($Z38&lt;0.5,"碾压",IF($Z38&lt;0.8,"偏简单",IF($Z38&lt;=1.2,"适中",IF($Z38&lt;=1.5,"偏难","过难"))))))))</f>
        <v/>
      </c>
      <c r="AB38" s="27">
        <f>IF($J38="","待填",IF(AND(ISNUMBER($J38),$J38&gt;=1,$J38&lt;=500,MOD($J38,1)=0),"有效","超范围"))</f>
        <v/>
      </c>
      <c r="AC38" s="27">
        <f>IF(OR($J38="",ROW()=5,$B38&lt;&gt;$B37,$J37=""),"",IF($J38&lt;$J37,"下降",""))</f>
        <v/>
      </c>
      <c r="AD38" s="28" t="inlineStr">
        <is>
          <t>2026-08-27 新玩家节点曲线校准；对照S104；等级192→151；保留原难度定位。</t>
        </is>
      </c>
      <c r="AE38" t="n">
        <v>243000</v>
      </c>
      <c r="AF38">
        <f>INDEX(_统一战力!$B$2:$B$501,J38)</f>
        <v/>
      </c>
    </row>
    <row r="39" ht="25" customHeight="1">
      <c r="A39" s="27" t="inlineStr">
        <is>
          <t>当前配置</t>
        </is>
      </c>
      <c r="B39" s="27" t="inlineStr">
        <is>
          <t>困难主线</t>
        </is>
      </c>
      <c r="C39" s="28" t="inlineStr">
        <is>
          <t>第7章</t>
        </is>
      </c>
      <c r="D39" s="28" t="inlineStr">
        <is>
          <t>高难7-5</t>
        </is>
      </c>
      <c r="E39" s="28" t="inlineStr">
        <is>
          <t>110705</t>
        </is>
      </c>
      <c r="F39" s="27" t="inlineStr">
        <is>
          <t>普通怪</t>
        </is>
      </c>
      <c r="G39" s="37" t="n">
        <v>105</v>
      </c>
      <c r="H39" s="38" t="n"/>
      <c r="I39" s="39">
        <f>IF($H39="",$G39,$H39)</f>
        <v/>
      </c>
      <c r="J39" s="40" t="n">
        <v>207</v>
      </c>
      <c r="K39" s="72" t="n">
        <v>0.964219015410545</v>
      </c>
      <c r="L39" s="72" t="n">
        <v>1.09087353806124</v>
      </c>
      <c r="M39" s="72" t="n">
        <v>1</v>
      </c>
      <c r="N39" s="73" t="n"/>
      <c r="O39" s="73" t="n"/>
      <c r="P39" s="73" t="n"/>
      <c r="Q39" s="74">
        <f>IF($I39="","",IFERROR(INDEX(_玩家曲线!$H$2:$H$286,MATCH($I39,_玩家曲线!$A$2:$A$286,0)),""))</f>
        <v/>
      </c>
      <c r="R39" s="74">
        <f>IF($I39="","",IFERROR(INDEX(_玩家曲线!$I$2:$I$286,MATCH($I39,_玩家曲线!$A$2:$A$286,0)),""))</f>
        <v/>
      </c>
      <c r="S39" s="74">
        <f>IF(OR($J39="",$F39="不适用"),"",IFERROR(INDEX(_怪物模型!$D$2:$D$4501,(INT($J39)-1)*ROWS(_怪物类型!$A$2:$A$10)+MATCH($F39,_怪物类型!$A$2:$A$10,0))*IF($K39="",1,$K39),""))</f>
        <v/>
      </c>
      <c r="T39" s="74">
        <f>IF(OR($J39="",$F39="不适用"),"",IFERROR(INDEX(_怪物模型!$E$2:$E$4501,(INT($J39)-1)*ROWS(_怪物类型!$A$2:$A$10)+MATCH($F39,_怪物类型!$A$2:$A$10,0))*IF($L39="",1,$L39),""))</f>
        <v/>
      </c>
      <c r="U39" s="74">
        <f>IF(OR($J39="",$F39="不适用"),"",IFERROR(INDEX(_怪物模型!$F$2:$F$4501,(INT($J39)-1)*ROWS(_怪物类型!$A$2:$A$10)+MATCH($F39,_怪物类型!$A$2:$A$10,0))*IF($M39="",1,$M39),""))</f>
        <v/>
      </c>
      <c r="V39" s="75">
        <f>IF($U39="","",MIN(0.75,$U39/($U39+24000)))</f>
        <v/>
      </c>
      <c r="W39" s="76">
        <f>IF($S39="","",$S39/(1-$V39)*IF($N39="",1,$N39))</f>
        <v/>
      </c>
      <c r="X39" s="76">
        <f>IF(OR($W39="",$Q39="",$Q39=0),"",$W39/$Q39)</f>
        <v/>
      </c>
      <c r="Y39" s="76">
        <f>IF(OR($R39="",$T39="",$T39=0),"",$R39/($T39*IF($O39="",1,$O39)))</f>
        <v/>
      </c>
      <c r="Z39" s="77">
        <f>IF(OR($X39="",$P39="",$P39=0),"",$X39/$P39)</f>
        <v/>
      </c>
      <c r="AA39" s="27">
        <f>IF($J39="","待填怪物等级",IF(OR($I39="",$Q39=""),"待填对照关卡",IF($P39="","已计算",IF(AND($Y39&lt;&gt;"",$Y39&lt;$X39),"生存不成立",IF($Z39&lt;0.5,"碾压",IF($Z39&lt;0.8,"偏简单",IF($Z39&lt;=1.2,"适中",IF($Z39&lt;=1.5,"偏难","过难"))))))))</f>
        <v/>
      </c>
      <c r="AB39" s="27">
        <f>IF($J39="","待填",IF(AND(ISNUMBER($J39),$J39&gt;=1,$J39&lt;=500,MOD($J39,1)=0),"有效","超范围"))</f>
        <v/>
      </c>
      <c r="AC39" s="27">
        <f>IF(OR($J39="",ROW()=5,$B39&lt;&gt;$B38,$J38=""),"",IF($J39&lt;$J38,"下降",""))</f>
        <v/>
      </c>
      <c r="AD39" s="28" t="inlineStr">
        <is>
          <t>2026-08-27 新玩家节点曲线校准；对照S105；等级193→152；保留原难度定位。</t>
        </is>
      </c>
      <c r="AE39" t="n">
        <v>249000</v>
      </c>
      <c r="AF39">
        <f>INDEX(_统一战力!$B$2:$B$501,J39)</f>
        <v/>
      </c>
    </row>
  </sheetData>
  <mergeCells count="3">
    <mergeCell ref="A3:AD3"/>
    <mergeCell ref="A2:AD2"/>
    <mergeCell ref="A1:AD1"/>
  </mergeCells>
  <conditionalFormatting sqref="J5:J39">
    <cfRule type="expression" priority="1" dxfId="2">
      <formula>AND($A5&lt;&gt;"特殊：双方属性对算",$J5="")</formula>
    </cfRule>
  </conditionalFormatting>
  <conditionalFormatting sqref="AA5:AA39">
    <cfRule type="expression" priority="3" dxfId="0">
      <formula>$AA5="适中"</formula>
    </cfRule>
    <cfRule type="expression" priority="4" dxfId="3">
      <formula>$AA5="偏难"</formula>
    </cfRule>
    <cfRule type="expression" priority="5" dxfId="1">
      <formula>$AA5="过难"</formula>
    </cfRule>
    <cfRule type="expression" priority="6" dxfId="1">
      <formula>$AA5="生存不成立"</formula>
    </cfRule>
  </conditionalFormatting>
  <conditionalFormatting sqref="AB5:AB39">
    <cfRule type="expression" priority="2" dxfId="4">
      <formula>$AB5="超范围"</formula>
    </cfRule>
  </conditionalFormatting>
  <conditionalFormatting sqref="AC5:AC39">
    <cfRule type="expression" priority="7" dxfId="4">
      <formula>$AC5="下降"</formula>
    </cfRule>
  </conditionalFormatting>
  <dataValidations count="5">
    <dataValidation sqref="F5:F39" showDropDown="0" showInputMessage="0" showErrorMessage="0" allowBlank="0" type="list">
      <formula1>_字典!$A$2:$A$11</formula1>
    </dataValidation>
    <dataValidation sqref="H5:H39" showDropDown="0" showInputMessage="0" showErrorMessage="0" allowBlank="1" type="whole" operator="between">
      <formula1>1</formula1>
      <formula2>285</formula2>
    </dataValidation>
    <dataValidation sqref="J5:J39" showDropDown="0" showInputMessage="0" showErrorMessage="0" allowBlank="1" type="whole" operator="between">
      <formula1>1</formula1>
      <formula2>500</formula2>
    </dataValidation>
    <dataValidation sqref="P5:P39" showDropDown="0" showInputMessage="0" showErrorMessage="0" allowBlank="1" type="decimal" operator="between">
      <formula1>0.01</formula1>
      <formula2>3600</formula2>
    </dataValidation>
    <dataValidation sqref="K5:O39" showDropDown="0" showInputMessage="0" showErrorMessage="0" allowBlank="1" type="decimal" operator="between">
      <formula1>0</formula1>
      <formula2>100</formula2>
    </dataValidation>
  </dataValidations>
  <hyperlinks>
    <hyperlink xmlns:r="http://schemas.openxmlformats.org/officeDocument/2006/relationships" ref="A1" display="全玩法难度填写｜困难主线" r:id="rId1"/>
  </hyperlink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tabColor rgb="FF70AD47"/>
    <outlinePr summaryBelow="1" summaryRight="1"/>
    <pageSetUpPr/>
  </sheetPr>
  <dimension ref="A1:AF13"/>
  <sheetViews>
    <sheetView showGridLines="0" workbookViewId="0">
      <selection activeCell="A1" sqref="A1:AD1"/>
    </sheetView>
  </sheetViews>
  <sheetFormatPr baseColWidth="8" defaultColWidth="9" defaultRowHeight="13.5"/>
  <cols>
    <col width="12" customWidth="1" min="1" max="1"/>
    <col width="13" customWidth="1" min="2" max="2"/>
    <col width="18" customWidth="1" min="3" max="3"/>
    <col width="15" customWidth="1" min="4" max="4"/>
    <col width="35" customWidth="1" min="5" max="5"/>
    <col width="14" customWidth="1" min="6" max="9"/>
    <col width="12" customWidth="1" min="10" max="10"/>
    <col width="11" customWidth="1" min="11" max="13"/>
    <col width="13" customWidth="1" min="14" max="15"/>
    <col width="12" customWidth="1" min="16" max="16"/>
    <col width="16" customWidth="1" min="17" max="21"/>
    <col width="12" customWidth="1" min="22" max="22"/>
    <col width="17" customWidth="1" min="23" max="23"/>
    <col width="14" customWidth="1" min="24" max="25"/>
    <col width="12" customWidth="1" min="26" max="26"/>
    <col width="15" customWidth="1" min="27" max="27"/>
    <col width="12" customWidth="1" min="28" max="29"/>
    <col width="46" customWidth="1" min="30" max="30"/>
    <col width="22" customWidth="1" min="31" max="32"/>
  </cols>
  <sheetData>
    <row r="1" ht="34" customHeight="1">
      <c r="A1" s="23" t="inlineStr">
        <is>
          <t>全玩法难度填写｜角色经验</t>
        </is>
      </c>
    </row>
    <row r="2" ht="30" customHeight="1">
      <c r="A2" s="24" t="inlineStr">
        <is>
          <t>当前页已按开启顺序和玩法定位填入首版怪物等级。黄色J列可直接覆盖；G列是本版使用的玩家曲线对照节点。</t>
        </is>
      </c>
    </row>
    <row r="3" ht="14.25" customHeight="1">
      <c r="A3" s="25" t="inlineStr">
        <is>
          <t>公式口径：怪物实际属性=战斗公式标准模型×可选系数；怪物EHP=实际生命÷(1-防御减伤)×整关EHP倍率；TTK=怪物EHP÷玩家DPS。</t>
        </is>
      </c>
    </row>
    <row r="4" ht="30" customHeight="1">
      <c r="A4" s="26" t="inlineStr">
        <is>
          <t>状态</t>
        </is>
      </c>
      <c r="B4" s="26" t="inlineStr">
        <is>
          <t>玩法</t>
        </is>
      </c>
      <c r="C4" s="26" t="inlineStr">
        <is>
          <t>子玩法/共用范围</t>
        </is>
      </c>
      <c r="D4" s="26" t="inlineStr">
        <is>
          <t>节点名称</t>
        </is>
      </c>
      <c r="E4" s="26" t="inlineStr">
        <is>
          <t>LevelId/配置映射</t>
        </is>
      </c>
      <c r="F4" s="26" t="inlineStr">
        <is>
          <t>怪物类型</t>
        </is>
      </c>
      <c r="G4" s="26" t="inlineStr">
        <is>
          <t>默认对照关卡</t>
        </is>
      </c>
      <c r="H4" s="26" t="inlineStr">
        <is>
          <t>手动对照关卡</t>
        </is>
      </c>
      <c r="I4" s="26" t="inlineStr">
        <is>
          <t>实际对照关卡</t>
        </is>
      </c>
      <c r="J4" s="26" t="inlineStr">
        <is>
          <t>怪物等级</t>
        </is>
      </c>
      <c r="K4" s="26" t="inlineStr">
        <is>
          <t>生命系数</t>
        </is>
      </c>
      <c r="L4" s="26" t="inlineStr">
        <is>
          <t>攻击系数</t>
        </is>
      </c>
      <c r="M4" s="26" t="inlineStr">
        <is>
          <t>防御系数</t>
        </is>
      </c>
      <c r="N4" s="26" t="inlineStr">
        <is>
          <t>整关EHP倍率</t>
        </is>
      </c>
      <c r="O4" s="26" t="inlineStr">
        <is>
          <t>攻击压力倍率</t>
        </is>
      </c>
      <c r="P4" s="26" t="inlineStr">
        <is>
          <t>目标时间(s)</t>
        </is>
      </c>
      <c r="Q4" s="26" t="inlineStr">
        <is>
          <t>玩家DPS</t>
        </is>
      </c>
      <c r="R4" s="26" t="inlineStr">
        <is>
          <t>玩家队伍EHP</t>
        </is>
      </c>
      <c r="S4" s="26" t="inlineStr">
        <is>
          <t>怪物实际生命</t>
        </is>
      </c>
      <c r="T4" s="26" t="inlineStr">
        <is>
          <t>怪物实际攻击</t>
        </is>
      </c>
      <c r="U4" s="26" t="inlineStr">
        <is>
          <t>怪物实际防御</t>
        </is>
      </c>
      <c r="V4" s="26" t="inlineStr">
        <is>
          <t>怪物减伤率</t>
        </is>
      </c>
      <c r="W4" s="26" t="inlineStr">
        <is>
          <t>整关目标EHP</t>
        </is>
      </c>
      <c r="X4" s="26" t="inlineStr">
        <is>
          <t>预测TTK(s)</t>
        </is>
      </c>
      <c r="Y4" s="26" t="inlineStr">
        <is>
          <t>预测存活(s)</t>
        </is>
      </c>
      <c r="Z4" s="26" t="inlineStr">
        <is>
          <t>TTK/目标</t>
        </is>
      </c>
      <c r="AA4" s="26" t="inlineStr">
        <is>
          <t>难度判断</t>
        </is>
      </c>
      <c r="AB4" s="26" t="inlineStr">
        <is>
          <t>等级检查</t>
        </is>
      </c>
      <c r="AC4" s="26" t="inlineStr">
        <is>
          <t>等级趋势</t>
        </is>
      </c>
      <c r="AD4" s="26" t="inlineStr">
        <is>
          <t>备注</t>
        </is>
      </c>
      <c r="AE4" s="8" t="inlineStr">
        <is>
          <t>玩法推荐战力</t>
        </is>
      </c>
      <c r="AF4" s="8" t="inlineStr">
        <is>
          <t>标准等级战力</t>
        </is>
      </c>
    </row>
    <row r="5" ht="25" customHeight="1">
      <c r="A5" s="27" t="inlineStr">
        <is>
          <t>当前配置</t>
        </is>
      </c>
      <c r="B5" s="27" t="inlineStr">
        <is>
          <t>角色经验</t>
        </is>
      </c>
      <c r="C5" s="28" t="inlineStr">
        <is>
          <t>资源副本</t>
        </is>
      </c>
      <c r="D5" s="28" t="inlineStr">
        <is>
          <t>难度1</t>
        </is>
      </c>
      <c r="E5" s="28" t="inlineStr">
        <is>
          <t>210001</t>
        </is>
      </c>
      <c r="F5" s="27" t="inlineStr">
        <is>
          <t>普通怪</t>
        </is>
      </c>
      <c r="G5" s="37" t="n">
        <v>9</v>
      </c>
      <c r="H5" s="38" t="n"/>
      <c r="I5" s="39" t="n">
        <v>9</v>
      </c>
      <c r="J5" s="40" t="n">
        <v>25</v>
      </c>
      <c r="K5" s="72" t="n">
        <v>0.9</v>
      </c>
      <c r="L5" s="72" t="n">
        <v>0.85</v>
      </c>
      <c r="M5" s="72" t="n">
        <v>1</v>
      </c>
      <c r="N5" s="73" t="n"/>
      <c r="O5" s="73" t="n"/>
      <c r="P5" s="73" t="n"/>
      <c r="Q5" s="74">
        <f>IF($I5="","",IFERROR(INDEX(_玩家曲线!$H$2:$H$286,MATCH($I5,_玩家曲线!$A$2:$A$286,0)),""))</f>
        <v/>
      </c>
      <c r="R5" s="74">
        <f>IF($I5="","",IFERROR(INDEX(_玩家曲线!$I$2:$I$286,MATCH($I5,_玩家曲线!$A$2:$A$286,0)),""))</f>
        <v/>
      </c>
      <c r="S5" s="74">
        <f>IF(OR($J5="",$F5="不适用"),"",IFERROR(INDEX(_怪物模型!$D$2:$D$4501,(INT($J5)-1)*ROWS(_怪物类型!$A$2:$A$10)+MATCH($F5,_怪物类型!$A$2:$A$10,0))*IF($K5="",1,$K5),""))</f>
        <v/>
      </c>
      <c r="T5" s="74">
        <f>IF(OR($J5="",$F5="不适用"),"",IFERROR(INDEX(_怪物模型!$E$2:$E$4501,(INT($J5)-1)*ROWS(_怪物类型!$A$2:$A$10)+MATCH($F5,_怪物类型!$A$2:$A$10,0))*IF($L5="",1,$L5),""))</f>
        <v/>
      </c>
      <c r="U5" s="74">
        <f>IF(OR($J5="",$F5="不适用"),"",IFERROR(INDEX(_怪物模型!$F$2:$F$4501,(INT($J5)-1)*ROWS(_怪物类型!$A$2:$A$10)+MATCH($F5,_怪物类型!$A$2:$A$10,0))*IF($M5="",1,$M5),""))</f>
        <v/>
      </c>
      <c r="V5" s="75">
        <f>IF($U5="","",MIN(0.75,$U5/($U5+24000)))</f>
        <v/>
      </c>
      <c r="W5" s="76">
        <f>IF($S5="","",$S5/(1-$V5)*IF($N5="",1,$N5))</f>
        <v/>
      </c>
      <c r="X5" s="76">
        <f>IF(OR($W5="",$Q5="",$Q5=0),"",$W5/$Q5)</f>
        <v/>
      </c>
      <c r="Y5" s="76">
        <f>IF(OR($R5="",$T5="",$T5=0),"",$R5/($T5*IF($O5="",1,$O5)))</f>
        <v/>
      </c>
      <c r="Z5" s="77">
        <f>IF(OR($X5="",$P5="",$P5=0),"",$X5/$P5)</f>
        <v/>
      </c>
      <c r="AA5" s="27">
        <f>IF($J5="","待填怪物等级",IF(OR($I5="",$Q5=""),"待填对照关卡",IF($P5="","已计算",IF(AND($Y5&lt;&gt;"",$Y5&lt;$X5),"生存不成立",IF($Z5&lt;0.5,"碾压",IF($Z5&lt;0.8,"偏简单",IF($Z5&lt;=1.2,"适中",IF($Z5&lt;=1.5,"偏难","过难"))))))))</f>
        <v/>
      </c>
      <c r="AB5" s="27">
        <f>IF($J5="","待填",IF(AND(ISNUMBER($J5),$J5&gt;=1,$J5&lt;=500,MOD($J5,1)=0),"有效","超范围"))</f>
        <v/>
      </c>
      <c r="AC5" s="27">
        <f>IF(OR($J5="",ROW()=5,$B5&lt;&gt;$B4,$J4=""),"",IF($J5&lt;$J4,"下降",""))</f>
        <v/>
      </c>
      <c r="AD5" s="28" t="inlineStr">
        <is>
          <t>2026-09-14 定稿v2（用户裁决：维持5档、第5档150级）：25/60/95/120/150，K/L=0.9/0.85；锚点进度9~47。</t>
        </is>
      </c>
      <c r="AE5" t="n">
        <v>10100</v>
      </c>
      <c r="AF5">
        <f>INDEX(_统一战力!$B$2:$B$501,J5)</f>
        <v/>
      </c>
    </row>
    <row r="6" ht="25" customHeight="1">
      <c r="A6" s="27" t="inlineStr">
        <is>
          <t>当前配置</t>
        </is>
      </c>
      <c r="B6" s="27" t="inlineStr">
        <is>
          <t>角色经验</t>
        </is>
      </c>
      <c r="C6" s="28" t="inlineStr">
        <is>
          <t>资源副本</t>
        </is>
      </c>
      <c r="D6" s="28" t="inlineStr">
        <is>
          <t>难度2</t>
        </is>
      </c>
      <c r="E6" s="28" t="inlineStr">
        <is>
          <t>210002</t>
        </is>
      </c>
      <c r="F6" s="27" t="inlineStr">
        <is>
          <t>普通怪</t>
        </is>
      </c>
      <c r="G6" s="37" t="n">
        <v>20</v>
      </c>
      <c r="H6" s="38" t="n"/>
      <c r="I6" s="39" t="n">
        <v>20</v>
      </c>
      <c r="J6" s="40" t="n">
        <v>60</v>
      </c>
      <c r="K6" s="72" t="n">
        <v>0.9</v>
      </c>
      <c r="L6" s="72" t="n">
        <v>0.85</v>
      </c>
      <c r="M6" s="72" t="n">
        <v>1</v>
      </c>
      <c r="N6" s="73" t="n"/>
      <c r="O6" s="73" t="n"/>
      <c r="P6" s="73" t="n"/>
      <c r="Q6" s="74">
        <f>IF($I6="","",IFERROR(INDEX(_玩家曲线!$H$2:$H$286,MATCH($I6,_玩家曲线!$A$2:$A$286,0)),""))</f>
        <v/>
      </c>
      <c r="R6" s="74">
        <f>IF($I6="","",IFERROR(INDEX(_玩家曲线!$I$2:$I$286,MATCH($I6,_玩家曲线!$A$2:$A$286,0)),""))</f>
        <v/>
      </c>
      <c r="S6" s="74">
        <f>IF(OR($J6="",$F6="不适用"),"",IFERROR(INDEX(_怪物模型!$D$2:$D$4501,(INT($J6)-1)*ROWS(_怪物类型!$A$2:$A$10)+MATCH($F6,_怪物类型!$A$2:$A$10,0))*IF($K6="",1,$K6),""))</f>
        <v/>
      </c>
      <c r="T6" s="74">
        <f>IF(OR($J6="",$F6="不适用"),"",IFERROR(INDEX(_怪物模型!$E$2:$E$4501,(INT($J6)-1)*ROWS(_怪物类型!$A$2:$A$10)+MATCH($F6,_怪物类型!$A$2:$A$10,0))*IF($L6="",1,$L6),""))</f>
        <v/>
      </c>
      <c r="U6" s="74">
        <f>IF(OR($J6="",$F6="不适用"),"",IFERROR(INDEX(_怪物模型!$F$2:$F$4501,(INT($J6)-1)*ROWS(_怪物类型!$A$2:$A$10)+MATCH($F6,_怪物类型!$A$2:$A$10,0))*IF($M6="",1,$M6),""))</f>
        <v/>
      </c>
      <c r="V6" s="75">
        <f>IF($U6="","",MIN(0.75,$U6/($U6+24000)))</f>
        <v/>
      </c>
      <c r="W6" s="76">
        <f>IF($S6="","",$S6/(1-$V6)*IF($N6="",1,$N6))</f>
        <v/>
      </c>
      <c r="X6" s="76">
        <f>IF(OR($W6="",$Q6="",$Q6=0),"",$W6/$Q6)</f>
        <v/>
      </c>
      <c r="Y6" s="76">
        <f>IF(OR($R6="",$T6="",$T6=0),"",$R6/($T6*IF($O6="",1,$O6)))</f>
        <v/>
      </c>
      <c r="Z6" s="77">
        <f>IF(OR($X6="",$P6="",$P6=0),"",$X6/$P6)</f>
        <v/>
      </c>
      <c r="AA6" s="27">
        <f>IF($J6="","待填怪物等级",IF(OR($I6="",$Q6=""),"待填对照关卡",IF($P6="","已计算",IF(AND($Y6&lt;&gt;"",$Y6&lt;$X6),"生存不成立",IF($Z6&lt;0.5,"碾压",IF($Z6&lt;0.8,"偏简单",IF($Z6&lt;=1.2,"适中",IF($Z6&lt;=1.5,"偏难","过难"))))))))</f>
        <v/>
      </c>
      <c r="AB6" s="27">
        <f>IF($J6="","待填",IF(AND(ISNUMBER($J6),$J6&gt;=1,$J6&lt;=500,MOD($J6,1)=0),"有效","超范围"))</f>
        <v/>
      </c>
      <c r="AC6" s="27">
        <f>IF(OR($J6="",ROW()=5,$B6&lt;&gt;$B5,$J5=""),"",IF($J6&lt;$J5,"下降",""))</f>
        <v/>
      </c>
      <c r="AD6" s="28" t="inlineStr">
        <is>
          <t>2026-09-14 定稿v2（用户裁决：维持5档、第5档150级）：25/60/95/120/150，K/L=0.9/0.85；锚点进度9~47。</t>
        </is>
      </c>
      <c r="AE6" t="n">
        <v>25400</v>
      </c>
      <c r="AF6">
        <f>INDEX(_统一战力!$B$2:$B$501,J6)</f>
        <v/>
      </c>
    </row>
    <row r="7" ht="25" customHeight="1">
      <c r="A7" s="27" t="inlineStr">
        <is>
          <t>当前配置</t>
        </is>
      </c>
      <c r="B7" s="27" t="inlineStr">
        <is>
          <t>角色经验</t>
        </is>
      </c>
      <c r="C7" s="28" t="inlineStr">
        <is>
          <t>资源副本</t>
        </is>
      </c>
      <c r="D7" s="28" t="inlineStr">
        <is>
          <t>难度3</t>
        </is>
      </c>
      <c r="E7" s="28" t="inlineStr">
        <is>
          <t>210003</t>
        </is>
      </c>
      <c r="F7" s="27" t="inlineStr">
        <is>
          <t>普通怪</t>
        </is>
      </c>
      <c r="G7" s="37" t="n">
        <v>31</v>
      </c>
      <c r="H7" s="38" t="n"/>
      <c r="I7" s="39" t="n">
        <v>31</v>
      </c>
      <c r="J7" s="40" t="n">
        <v>95</v>
      </c>
      <c r="K7" s="72" t="n">
        <v>0.9</v>
      </c>
      <c r="L7" s="72" t="n">
        <v>0.85</v>
      </c>
      <c r="M7" s="72" t="n">
        <v>1</v>
      </c>
      <c r="N7" s="73" t="n"/>
      <c r="O7" s="73" t="n"/>
      <c r="P7" s="73" t="n"/>
      <c r="Q7" s="74">
        <f>IF($I7="","",IFERROR(INDEX(_玩家曲线!$H$2:$H$286,MATCH($I7,_玩家曲线!$A$2:$A$286,0)),""))</f>
        <v/>
      </c>
      <c r="R7" s="74">
        <f>IF($I7="","",IFERROR(INDEX(_玩家曲线!$I$2:$I$286,MATCH($I7,_玩家曲线!$A$2:$A$286,0)),""))</f>
        <v/>
      </c>
      <c r="S7" s="74">
        <f>IF(OR($J7="",$F7="不适用"),"",IFERROR(INDEX(_怪物模型!$D$2:$D$4501,(INT($J7)-1)*ROWS(_怪物类型!$A$2:$A$10)+MATCH($F7,_怪物类型!$A$2:$A$10,0))*IF($K7="",1,$K7),""))</f>
        <v/>
      </c>
      <c r="T7" s="74">
        <f>IF(OR($J7="",$F7="不适用"),"",IFERROR(INDEX(_怪物模型!$E$2:$E$4501,(INT($J7)-1)*ROWS(_怪物类型!$A$2:$A$10)+MATCH($F7,_怪物类型!$A$2:$A$10,0))*IF($L7="",1,$L7),""))</f>
        <v/>
      </c>
      <c r="U7" s="74">
        <f>IF(OR($J7="",$F7="不适用"),"",IFERROR(INDEX(_怪物模型!$F$2:$F$4501,(INT($J7)-1)*ROWS(_怪物类型!$A$2:$A$10)+MATCH($F7,_怪物类型!$A$2:$A$10,0))*IF($M7="",1,$M7),""))</f>
        <v/>
      </c>
      <c r="V7" s="75">
        <f>IF($U7="","",MIN(0.75,$U7/($U7+24000)))</f>
        <v/>
      </c>
      <c r="W7" s="76">
        <f>IF($S7="","",$S7/(1-$V7)*IF($N7="",1,$N7))</f>
        <v/>
      </c>
      <c r="X7" s="76">
        <f>IF(OR($W7="",$Q7="",$Q7=0),"",$W7/$Q7)</f>
        <v/>
      </c>
      <c r="Y7" s="76">
        <f>IF(OR($R7="",$T7="",$T7=0),"",$R7/($T7*IF($O7="",1,$O7)))</f>
        <v/>
      </c>
      <c r="Z7" s="77">
        <f>IF(OR($X7="",$P7="",$P7=0),"",$X7/$P7)</f>
        <v/>
      </c>
      <c r="AA7" s="27">
        <f>IF($J7="","待填怪物等级",IF(OR($I7="",$Q7=""),"待填对照关卡",IF($P7="","已计算",IF(AND($Y7&lt;&gt;"",$Y7&lt;$X7),"生存不成立",IF($Z7&lt;0.5,"碾压",IF($Z7&lt;0.8,"偏简单",IF($Z7&lt;=1.2,"适中",IF($Z7&lt;=1.5,"偏难","过难"))))))))</f>
        <v/>
      </c>
      <c r="AB7" s="27">
        <f>IF($J7="","待填",IF(AND(ISNUMBER($J7),$J7&gt;=1,$J7&lt;=500,MOD($J7,1)=0),"有效","超范围"))</f>
        <v/>
      </c>
      <c r="AC7" s="27">
        <f>IF(OR($J7="",ROW()=5,$B7&lt;&gt;$B6,$J6=""),"",IF($J7&lt;$J6,"下降",""))</f>
        <v/>
      </c>
      <c r="AD7" s="28" t="inlineStr">
        <is>
          <t>2026-09-14 定稿v2（用户裁决：维持5档、第5档150级）：25/60/95/120/150，K/L=0.9/0.85；锚点进度9~47。</t>
        </is>
      </c>
      <c r="AE7" t="n">
        <v>49100</v>
      </c>
      <c r="AF7">
        <f>INDEX(_统一战力!$B$2:$B$501,J7)</f>
        <v/>
      </c>
    </row>
    <row r="8" ht="25" customHeight="1">
      <c r="A8" s="27" t="inlineStr">
        <is>
          <t>当前配置</t>
        </is>
      </c>
      <c r="B8" s="27" t="inlineStr">
        <is>
          <t>角色经验</t>
        </is>
      </c>
      <c r="C8" s="28" t="inlineStr">
        <is>
          <t>资源副本</t>
        </is>
      </c>
      <c r="D8" s="28" t="inlineStr">
        <is>
          <t>难度4</t>
        </is>
      </c>
      <c r="E8" s="28" t="inlineStr">
        <is>
          <t>210004</t>
        </is>
      </c>
      <c r="F8" s="27" t="inlineStr">
        <is>
          <t>普通怪</t>
        </is>
      </c>
      <c r="G8" s="37" t="n">
        <v>39</v>
      </c>
      <c r="H8" s="38" t="n"/>
      <c r="I8" s="39" t="n">
        <v>39</v>
      </c>
      <c r="J8" s="40" t="n">
        <v>120</v>
      </c>
      <c r="K8" s="72" t="n">
        <v>0.9</v>
      </c>
      <c r="L8" s="72" t="n">
        <v>0.85</v>
      </c>
      <c r="M8" s="72" t="n">
        <v>1</v>
      </c>
      <c r="N8" s="73" t="n"/>
      <c r="O8" s="73" t="n"/>
      <c r="P8" s="73" t="n"/>
      <c r="Q8" s="74">
        <f>IF($I8="","",IFERROR(INDEX(_玩家曲线!$H$2:$H$286,MATCH($I8,_玩家曲线!$A$2:$A$286,0)),""))</f>
        <v/>
      </c>
      <c r="R8" s="74">
        <f>IF($I8="","",IFERROR(INDEX(_玩家曲线!$I$2:$I$286,MATCH($I8,_玩家曲线!$A$2:$A$286,0)),""))</f>
        <v/>
      </c>
      <c r="S8" s="74">
        <f>IF(OR($J8="",$F8="不适用"),"",IFERROR(INDEX(_怪物模型!$D$2:$D$4501,(INT($J8)-1)*ROWS(_怪物类型!$A$2:$A$10)+MATCH($F8,_怪物类型!$A$2:$A$10,0))*IF($K8="",1,$K8),""))</f>
        <v/>
      </c>
      <c r="T8" s="74">
        <f>IF(OR($J8="",$F8="不适用"),"",IFERROR(INDEX(_怪物模型!$E$2:$E$4501,(INT($J8)-1)*ROWS(_怪物类型!$A$2:$A$10)+MATCH($F8,_怪物类型!$A$2:$A$10,0))*IF($L8="",1,$L8),""))</f>
        <v/>
      </c>
      <c r="U8" s="74">
        <f>IF(OR($J8="",$F8="不适用"),"",IFERROR(INDEX(_怪物模型!$F$2:$F$4501,(INT($J8)-1)*ROWS(_怪物类型!$A$2:$A$10)+MATCH($F8,_怪物类型!$A$2:$A$10,0))*IF($M8="",1,$M8),""))</f>
        <v/>
      </c>
      <c r="V8" s="75">
        <f>IF($U8="","",MIN(0.75,$U8/($U8+24000)))</f>
        <v/>
      </c>
      <c r="W8" s="76">
        <f>IF($S8="","",$S8/(1-$V8)*IF($N8="",1,$N8))</f>
        <v/>
      </c>
      <c r="X8" s="76">
        <f>IF(OR($W8="",$Q8="",$Q8=0),"",$W8/$Q8)</f>
        <v/>
      </c>
      <c r="Y8" s="76">
        <f>IF(OR($R8="",$T8="",$T8=0),"",$R8/($T8*IF($O8="",1,$O8)))</f>
        <v/>
      </c>
      <c r="Z8" s="77">
        <f>IF(OR($X8="",$P8="",$P8=0),"",$X8/$P8)</f>
        <v/>
      </c>
      <c r="AA8" s="27">
        <f>IF($J8="","待填怪物等级",IF(OR($I8="",$Q8=""),"待填对照关卡",IF($P8="","已计算",IF(AND($Y8&lt;&gt;"",$Y8&lt;$X8),"生存不成立",IF($Z8&lt;0.5,"碾压",IF($Z8&lt;0.8,"偏简单",IF($Z8&lt;=1.2,"适中",IF($Z8&lt;=1.5,"偏难","过难"))))))))</f>
        <v/>
      </c>
      <c r="AB8" s="27">
        <f>IF($J8="","待填",IF(AND(ISNUMBER($J8),$J8&gt;=1,$J8&lt;=500,MOD($J8,1)=0),"有效","超范围"))</f>
        <v/>
      </c>
      <c r="AC8" s="27">
        <f>IF(OR($J8="",ROW()=5,$B8&lt;&gt;$B7,$J7=""),"",IF($J8&lt;$J7,"下降",""))</f>
        <v/>
      </c>
      <c r="AD8" s="28" t="inlineStr">
        <is>
          <t>2026-09-14 定稿v2（用户裁决：维持5档、第5档150级）：25/60/95/120/150，K/L=0.9/0.85；锚点进度9~47。</t>
        </is>
      </c>
      <c r="AE8" t="n">
        <v>71400</v>
      </c>
      <c r="AF8">
        <f>INDEX(_统一战力!$B$2:$B$501,J8)</f>
        <v/>
      </c>
    </row>
    <row r="9" ht="25" customHeight="1">
      <c r="A9" s="27" t="inlineStr">
        <is>
          <t>当前配置</t>
        </is>
      </c>
      <c r="B9" s="27" t="inlineStr">
        <is>
          <t>角色经验</t>
        </is>
      </c>
      <c r="C9" s="28" t="inlineStr">
        <is>
          <t>资源副本</t>
        </is>
      </c>
      <c r="D9" s="28" t="inlineStr">
        <is>
          <t>难度5</t>
        </is>
      </c>
      <c r="E9" s="28" t="inlineStr">
        <is>
          <t>210005</t>
        </is>
      </c>
      <c r="F9" s="27" t="inlineStr">
        <is>
          <t>普通怪</t>
        </is>
      </c>
      <c r="G9" s="37" t="n">
        <v>47</v>
      </c>
      <c r="H9" s="38" t="n"/>
      <c r="I9" s="39" t="n">
        <v>47</v>
      </c>
      <c r="J9" s="40" t="n">
        <v>150</v>
      </c>
      <c r="K9" s="72" t="n">
        <v>0.9</v>
      </c>
      <c r="L9" s="72" t="n">
        <v>0.85</v>
      </c>
      <c r="M9" s="72" t="n">
        <v>1</v>
      </c>
      <c r="N9" s="73" t="n"/>
      <c r="O9" s="73" t="n"/>
      <c r="P9" s="73" t="n"/>
      <c r="Q9" s="74">
        <f>IF($I9="","",IFERROR(INDEX(_玩家曲线!$H$2:$H$286,MATCH($I9,_玩家曲线!$A$2:$A$286,0)),""))</f>
        <v/>
      </c>
      <c r="R9" s="74">
        <f>IF($I9="","",IFERROR(INDEX(_玩家曲线!$I$2:$I$286,MATCH($I9,_玩家曲线!$A$2:$A$286,0)),""))</f>
        <v/>
      </c>
      <c r="S9" s="74">
        <f>IF(OR($J9="",$F9="不适用"),"",IFERROR(INDEX(_怪物模型!$D$2:$D$4501,(INT($J9)-1)*ROWS(_怪物类型!$A$2:$A$10)+MATCH($F9,_怪物类型!$A$2:$A$10,0))*IF($K9="",1,$K9),""))</f>
        <v/>
      </c>
      <c r="T9" s="74">
        <f>IF(OR($J9="",$F9="不适用"),"",IFERROR(INDEX(_怪物模型!$E$2:$E$4501,(INT($J9)-1)*ROWS(_怪物类型!$A$2:$A$10)+MATCH($F9,_怪物类型!$A$2:$A$10,0))*IF($L9="",1,$L9),""))</f>
        <v/>
      </c>
      <c r="U9" s="74">
        <f>IF(OR($J9="",$F9="不适用"),"",IFERROR(INDEX(_怪物模型!$F$2:$F$4501,(INT($J9)-1)*ROWS(_怪物类型!$A$2:$A$10)+MATCH($F9,_怪物类型!$A$2:$A$10,0))*IF($M9="",1,$M9),""))</f>
        <v/>
      </c>
      <c r="V9" s="75">
        <f>IF($U9="","",MIN(0.75,$U9/($U9+24000)))</f>
        <v/>
      </c>
      <c r="W9" s="76">
        <f>IF($S9="","",$S9/(1-$V9)*IF($N9="",1,$N9))</f>
        <v/>
      </c>
      <c r="X9" s="76">
        <f>IF(OR($W9="",$Q9="",$Q9=0),"",$W9/$Q9)</f>
        <v/>
      </c>
      <c r="Y9" s="76">
        <f>IF(OR($R9="",$T9="",$T9=0),"",$R9/($T9*IF($O9="",1,$O9)))</f>
        <v/>
      </c>
      <c r="Z9" s="77">
        <f>IF(OR($X9="",$P9="",$P9=0),"",$X9/$P9)</f>
        <v/>
      </c>
      <c r="AA9" s="27">
        <f>IF($J9="","待填怪物等级",IF(OR($I9="",$Q9=""),"待填对照关卡",IF($P9="","已计算",IF(AND($Y9&lt;&gt;"",$Y9&lt;$X9),"生存不成立",IF($Z9&lt;0.5,"碾压",IF($Z9&lt;0.8,"偏简单",IF($Z9&lt;=1.2,"适中",IF($Z9&lt;=1.5,"偏难","过难"))))))))</f>
        <v/>
      </c>
      <c r="AB9" s="27">
        <f>IF($J9="","待填",IF(AND(ISNUMBER($J9),$J9&gt;=1,$J9&lt;=500,MOD($J9,1)=0),"有效","超范围"))</f>
        <v/>
      </c>
      <c r="AC9" s="27">
        <f>IF(OR($J9="",ROW()=5,$B9&lt;&gt;$B8,$J8=""),"",IF($J9&lt;$J8,"下降",""))</f>
        <v/>
      </c>
      <c r="AD9" s="28" t="inlineStr">
        <is>
          <t>2026-09-14 定稿v2（用户裁决：维持5档、第5档150级）：25/60/95/120/150，K/L=0.9/0.85；锚点进度9~47。</t>
        </is>
      </c>
      <c r="AE9" t="n">
        <v>105000</v>
      </c>
      <c r="AF9">
        <f>INDEX(_统一战力!$B$2:$B$501,J9)</f>
        <v/>
      </c>
    </row>
    <row r="10" ht="25" customHeight="1">
      <c r="A10" s="27" t="inlineStr">
        <is>
          <t>历史停用档（双表##注释，未采用9档方案）</t>
        </is>
      </c>
      <c r="B10" s="27" t="inlineStr">
        <is>
          <t>角色经验</t>
        </is>
      </c>
      <c r="C10" s="28" t="inlineStr">
        <is>
          <t>资源副本</t>
        </is>
      </c>
      <c r="D10" s="28" t="inlineStr">
        <is>
          <t>难度6</t>
        </is>
      </c>
      <c r="E10" s="28" t="inlineStr">
        <is>
          <t>210006</t>
        </is>
      </c>
      <c r="F10" s="27" t="inlineStr">
        <is>
          <t>普通怪</t>
        </is>
      </c>
      <c r="G10" s="37" t="n">
        <v>85</v>
      </c>
      <c r="H10" s="38" t="n"/>
      <c r="I10" s="39" t="n">
        <v>85</v>
      </c>
      <c r="J10" s="40" t="n">
        <v>74</v>
      </c>
      <c r="K10" s="73" t="n"/>
      <c r="L10" s="73" t="n"/>
      <c r="M10" s="73" t="n"/>
      <c r="N10" s="73" t="n"/>
      <c r="O10" s="73" t="n"/>
      <c r="P10" s="73" t="n"/>
      <c r="Q10" s="74">
        <f>IF($I10="","",IFERROR(INDEX(_玩家曲线!$H$2:$H$286,MATCH($I10,_玩家曲线!$A$2:$A$286,0)),""))</f>
        <v/>
      </c>
      <c r="R10" s="74">
        <f>IF($I10="","",IFERROR(INDEX(_玩家曲线!$I$2:$I$286,MATCH($I10,_玩家曲线!$A$2:$A$286,0)),""))</f>
        <v/>
      </c>
      <c r="S10" s="74">
        <f>IF(OR($J10="",$F10="不适用"),"",IFERROR(INDEX(_怪物模型!$D$2:$D$4501,(INT($J10)-1)*ROWS(_怪物类型!$A$2:$A$10)+MATCH($F10,_怪物类型!$A$2:$A$10,0))*IF($K10="",1,$K10),""))</f>
        <v/>
      </c>
      <c r="T10" s="74">
        <f>IF(OR($J10="",$F10="不适用"),"",IFERROR(INDEX(_怪物模型!$E$2:$E$4501,(INT($J10)-1)*ROWS(_怪物类型!$A$2:$A$10)+MATCH($F10,_怪物类型!$A$2:$A$10,0))*IF($L10="",1,$L10),""))</f>
        <v/>
      </c>
      <c r="U10" s="74">
        <f>IF(OR($J10="",$F10="不适用"),"",IFERROR(INDEX(_怪物模型!$F$2:$F$4501,(INT($J10)-1)*ROWS(_怪物类型!$A$2:$A$10)+MATCH($F10,_怪物类型!$A$2:$A$10,0))*IF($M10="",1,$M10),""))</f>
        <v/>
      </c>
      <c r="V10" s="75">
        <f>IF($U10="","",MIN(0.75,$U10/($U10+24000)))</f>
        <v/>
      </c>
      <c r="W10" s="76">
        <f>IF($S10="","",$S10/(1-$V10)*IF($N10="",1,$N10))</f>
        <v/>
      </c>
      <c r="X10" s="76">
        <f>IF(OR($W10="",$Q10="",$Q10=0),"",$W10/$Q10)</f>
        <v/>
      </c>
      <c r="Y10" s="76">
        <f>IF(OR($R10="",$T10="",$T10=0),"",$R10/($T10*IF($O10="",1,$O10)))</f>
        <v/>
      </c>
      <c r="Z10" s="77">
        <f>IF(OR($X10="",$P10="",$P10=0),"",$X10/$P10)</f>
        <v/>
      </c>
      <c r="AA10" s="27">
        <f>IF($J10="","待填怪物等级",IF(OR($I10="",$Q10=""),"待填对照关卡",IF($P10="","已计算",IF(AND($Y10&lt;&gt;"",$Y10&lt;$X10),"生存不成立",IF($Z10&lt;0.5,"碾压",IF($Z10&lt;0.8,"偏简单",IF($Z10&lt;=1.2,"适中",IF($Z10&lt;=1.5,"偏难","过难"))))))))</f>
        <v/>
      </c>
      <c r="AB10" s="27">
        <f>IF($J10="","待填",IF(AND(ISNUMBER($J10),$J10&gt;=1,$J10&lt;=500,MOD($J10,1)=0),"有效","超范围"))</f>
        <v/>
      </c>
      <c r="AC10" s="27">
        <f>IF(OR($J10="",ROW()=5,$B10&lt;&gt;$B9,$J9=""),"",IF($J10&lt;$J9,"下降",""))</f>
        <v/>
      </c>
      <c r="AD10" s="28" t="inlineStr">
        <is>
          <t>档位解锁Lv35；修正版V4：首档送进度，9档共用Lv30→180缓升；对照节点S85｜V4同步最新玩家曲线：Lv113→Lv104，保留原TTK/生存压力目标｜曲线同步20260811：Lv104→Lv85，保持原玩法定位与TTK/生存压力｜2026-09-14 用户裁决维持5档，6~9档维持停用；本行保留原值仅作记录。</t>
        </is>
      </c>
      <c r="AE10" t="n">
        <v>41300</v>
      </c>
    </row>
    <row r="11" ht="25" customHeight="1">
      <c r="A11" s="27" t="inlineStr">
        <is>
          <t>历史停用档（双表##注释，未采用9档方案）</t>
        </is>
      </c>
      <c r="B11" s="27" t="inlineStr">
        <is>
          <t>角色经验</t>
        </is>
      </c>
      <c r="C11" s="28" t="inlineStr">
        <is>
          <t>资源副本</t>
        </is>
      </c>
      <c r="D11" s="28" t="inlineStr">
        <is>
          <t>难度7</t>
        </is>
      </c>
      <c r="E11" s="28" t="inlineStr">
        <is>
          <t>210007</t>
        </is>
      </c>
      <c r="F11" s="27" t="inlineStr">
        <is>
          <t>普通怪</t>
        </is>
      </c>
      <c r="G11" s="37" t="n">
        <v>108</v>
      </c>
      <c r="H11" s="38" t="n"/>
      <c r="I11" s="39" t="n">
        <v>108</v>
      </c>
      <c r="J11" s="40" t="n">
        <v>90</v>
      </c>
      <c r="K11" s="73" t="n"/>
      <c r="L11" s="73" t="n"/>
      <c r="M11" s="73" t="n"/>
      <c r="N11" s="73" t="n"/>
      <c r="O11" s="73" t="n"/>
      <c r="P11" s="73" t="n"/>
      <c r="Q11" s="74">
        <f>IF($I11="","",IFERROR(INDEX(_玩家曲线!$H$2:$H$286,MATCH($I11,_玩家曲线!$A$2:$A$286,0)),""))</f>
        <v/>
      </c>
      <c r="R11" s="74">
        <f>IF($I11="","",IFERROR(INDEX(_玩家曲线!$I$2:$I$286,MATCH($I11,_玩家曲线!$A$2:$A$286,0)),""))</f>
        <v/>
      </c>
      <c r="S11" s="74">
        <f>IF(OR($J11="",$F11="不适用"),"",IFERROR(INDEX(_怪物模型!$D$2:$D$4501,(INT($J11)-1)*ROWS(_怪物类型!$A$2:$A$10)+MATCH($F11,_怪物类型!$A$2:$A$10,0))*IF($K11="",1,$K11),""))</f>
        <v/>
      </c>
      <c r="T11" s="74">
        <f>IF(OR($J11="",$F11="不适用"),"",IFERROR(INDEX(_怪物模型!$E$2:$E$4501,(INT($J11)-1)*ROWS(_怪物类型!$A$2:$A$10)+MATCH($F11,_怪物类型!$A$2:$A$10,0))*IF($L11="",1,$L11),""))</f>
        <v/>
      </c>
      <c r="U11" s="74">
        <f>IF(OR($J11="",$F11="不适用"),"",IFERROR(INDEX(_怪物模型!$F$2:$F$4501,(INT($J11)-1)*ROWS(_怪物类型!$A$2:$A$10)+MATCH($F11,_怪物类型!$A$2:$A$10,0))*IF($M11="",1,$M11),""))</f>
        <v/>
      </c>
      <c r="V11" s="75">
        <f>IF($U11="","",MIN(0.75,$U11/($U11+24000)))</f>
        <v/>
      </c>
      <c r="W11" s="76">
        <f>IF($S11="","",$S11/(1-$V11)*IF($N11="",1,$N11))</f>
        <v/>
      </c>
      <c r="X11" s="76">
        <f>IF(OR($W11="",$Q11="",$Q11=0),"",$W11/$Q11)</f>
        <v/>
      </c>
      <c r="Y11" s="76">
        <f>IF(OR($R11="",$T11="",$T11=0),"",$R11/($T11*IF($O11="",1,$O11)))</f>
        <v/>
      </c>
      <c r="Z11" s="77">
        <f>IF(OR($X11="",$P11="",$P11=0),"",$X11/$P11)</f>
        <v/>
      </c>
      <c r="AA11" s="27">
        <f>IF($J11="","待填怪物等级",IF(OR($I11="",$Q11=""),"待填对照关卡",IF($P11="","已计算",IF(AND($Y11&lt;&gt;"",$Y11&lt;$X11),"生存不成立",IF($Z11&lt;0.5,"碾压",IF($Z11&lt;0.8,"偏简单",IF($Z11&lt;=1.2,"适中",IF($Z11&lt;=1.5,"偏难","过难"))))))))</f>
        <v/>
      </c>
      <c r="AB11" s="27">
        <f>IF($J11="","待填",IF(AND(ISNUMBER($J11),$J11&gt;=1,$J11&lt;=500,MOD($J11,1)=0),"有效","超范围"))</f>
        <v/>
      </c>
      <c r="AC11" s="27">
        <f>IF(OR($J11="",ROW()=5,$B11&lt;&gt;$B10,$J10=""),"",IF($J11&lt;$J10,"下降",""))</f>
        <v/>
      </c>
      <c r="AD11" s="28" t="inlineStr">
        <is>
          <t>档位解锁Lv40；修正版V4：首档送进度，9档共用Lv30→180缓升；对照节点S108｜V4同步最新玩家曲线：Lv135→Lv126，保留原TTK/生存压力目标｜曲线同步20260811：Lv126→Lv103，保持原玩法定位与TTK/生存压力｜2026-09-14 用户裁决维持5档，6~9档维持停用；本行保留原值仅作记录。</t>
        </is>
      </c>
      <c r="AE11" t="n">
        <v>54100</v>
      </c>
    </row>
    <row r="12" ht="25" customHeight="1">
      <c r="A12" s="27" t="inlineStr">
        <is>
          <t>历史停用档（双表##注释，未采用9档方案）</t>
        </is>
      </c>
      <c r="B12" s="27" t="inlineStr">
        <is>
          <t>角色经验</t>
        </is>
      </c>
      <c r="C12" s="28" t="inlineStr">
        <is>
          <t>资源副本</t>
        </is>
      </c>
      <c r="D12" s="28" t="inlineStr">
        <is>
          <t>难度8</t>
        </is>
      </c>
      <c r="E12" s="28" t="inlineStr">
        <is>
          <t>210008</t>
        </is>
      </c>
      <c r="F12" s="27" t="inlineStr">
        <is>
          <t>普通怪</t>
        </is>
      </c>
      <c r="G12" s="37" t="n">
        <v>124</v>
      </c>
      <c r="H12" s="38" t="n"/>
      <c r="I12" s="39" t="n">
        <v>124</v>
      </c>
      <c r="J12" s="40" t="n">
        <v>107</v>
      </c>
      <c r="K12" s="73" t="n"/>
      <c r="L12" s="73" t="n"/>
      <c r="M12" s="73" t="n"/>
      <c r="N12" s="73" t="n"/>
      <c r="O12" s="73" t="n"/>
      <c r="P12" s="73" t="n"/>
      <c r="Q12" s="74">
        <f>IF($I12="","",IFERROR(INDEX(_玩家曲线!$H$2:$H$286,MATCH($I12,_玩家曲线!$A$2:$A$286,0)),""))</f>
        <v/>
      </c>
      <c r="R12" s="74">
        <f>IF($I12="","",IFERROR(INDEX(_玩家曲线!$I$2:$I$286,MATCH($I12,_玩家曲线!$A$2:$A$286,0)),""))</f>
        <v/>
      </c>
      <c r="S12" s="74">
        <f>IF(OR($J12="",$F12="不适用"),"",IFERROR(INDEX(_怪物模型!$D$2:$D$4501,(INT($J12)-1)*ROWS(_怪物类型!$A$2:$A$10)+MATCH($F12,_怪物类型!$A$2:$A$10,0))*IF($K12="",1,$K12),""))</f>
        <v/>
      </c>
      <c r="T12" s="74">
        <f>IF(OR($J12="",$F12="不适用"),"",IFERROR(INDEX(_怪物模型!$E$2:$E$4501,(INT($J12)-1)*ROWS(_怪物类型!$A$2:$A$10)+MATCH($F12,_怪物类型!$A$2:$A$10,0))*IF($L12="",1,$L12),""))</f>
        <v/>
      </c>
      <c r="U12" s="74">
        <f>IF(OR($J12="",$F12="不适用"),"",IFERROR(INDEX(_怪物模型!$F$2:$F$4501,(INT($J12)-1)*ROWS(_怪物类型!$A$2:$A$10)+MATCH($F12,_怪物类型!$A$2:$A$10,0))*IF($M12="",1,$M12),""))</f>
        <v/>
      </c>
      <c r="V12" s="75">
        <f>IF($U12="","",MIN(0.75,$U12/($U12+24000)))</f>
        <v/>
      </c>
      <c r="W12" s="76">
        <f>IF($S12="","",$S12/(1-$V12)*IF($N12="",1,$N12))</f>
        <v/>
      </c>
      <c r="X12" s="76">
        <f>IF(OR($W12="",$Q12="",$Q12=0),"",$W12/$Q12)</f>
        <v/>
      </c>
      <c r="Y12" s="76">
        <f>IF(OR($R12="",$T12="",$T12=0),"",$R12/($T12*IF($O12="",1,$O12)))</f>
        <v/>
      </c>
      <c r="Z12" s="77">
        <f>IF(OR($X12="",$P12="",$P12=0),"",$X12/$P12)</f>
        <v/>
      </c>
      <c r="AA12" s="27">
        <f>IF($J12="","待填怪物等级",IF(OR($I12="",$Q12=""),"待填对照关卡",IF($P12="","已计算",IF(AND($Y12&lt;&gt;"",$Y12&lt;$X12),"生存不成立",IF($Z12&lt;0.5,"碾压",IF($Z12&lt;0.8,"偏简单",IF($Z12&lt;=1.2,"适中",IF($Z12&lt;=1.5,"偏难","过难"))))))))</f>
        <v/>
      </c>
      <c r="AB12" s="27">
        <f>IF($J12="","待填",IF(AND(ISNUMBER($J12),$J12&gt;=1,$J12&lt;=500,MOD($J12,1)=0),"有效","超范围"))</f>
        <v/>
      </c>
      <c r="AC12" s="27">
        <f>IF(OR($J12="",ROW()=5,$B12&lt;&gt;$B11,$J11=""),"",IF($J12&lt;$J11,"下降",""))</f>
        <v/>
      </c>
      <c r="AD12" s="28" t="inlineStr">
        <is>
          <t>档位解锁Lv45；修正版V4：首档送进度，9档共用Lv30→180缓升；对照节点S124｜V4同步最新玩家曲线：Lv157→Lv148，保留原TTK/生存压力目标｜曲线同步20260811：Lv148→Lv122，保持原玩法定位与TTK/生存压力｜2026-09-14 用户裁决维持5档，6~9档维持停用；本行保留原值仅作记录。</t>
        </is>
      </c>
      <c r="AE12" t="n">
        <v>71400</v>
      </c>
    </row>
    <row r="13" ht="25" customHeight="1">
      <c r="A13" s="27" t="inlineStr">
        <is>
          <t>历史停用档（双表##注释，未采用9档方案）</t>
        </is>
      </c>
      <c r="B13" s="27" t="inlineStr">
        <is>
          <t>角色经验</t>
        </is>
      </c>
      <c r="C13" s="28" t="inlineStr">
        <is>
          <t>资源副本</t>
        </is>
      </c>
      <c r="D13" s="28" t="inlineStr">
        <is>
          <t>难度9</t>
        </is>
      </c>
      <c r="E13" s="28" t="inlineStr">
        <is>
          <t>210009</t>
        </is>
      </c>
      <c r="F13" s="27" t="inlineStr">
        <is>
          <t>普通怪</t>
        </is>
      </c>
      <c r="G13" s="37" t="n">
        <v>146</v>
      </c>
      <c r="H13" s="38" t="n"/>
      <c r="I13" s="39" t="n">
        <v>146</v>
      </c>
      <c r="J13" s="40" t="n">
        <v>126</v>
      </c>
      <c r="K13" s="73" t="n"/>
      <c r="L13" s="73" t="n"/>
      <c r="M13" s="73" t="n"/>
      <c r="N13" s="73" t="n"/>
      <c r="O13" s="73" t="n"/>
      <c r="P13" s="73" t="n"/>
      <c r="Q13" s="74">
        <f>IF($I13="","",IFERROR(INDEX(_玩家曲线!$H$2:$H$286,MATCH($I13,_玩家曲线!$A$2:$A$286,0)),""))</f>
        <v/>
      </c>
      <c r="R13" s="74">
        <f>IF($I13="","",IFERROR(INDEX(_玩家曲线!$I$2:$I$286,MATCH($I13,_玩家曲线!$A$2:$A$286,0)),""))</f>
        <v/>
      </c>
      <c r="S13" s="74">
        <f>IF(OR($J13="",$F13="不适用"),"",IFERROR(INDEX(_怪物模型!$D$2:$D$4501,(INT($J13)-1)*ROWS(_怪物类型!$A$2:$A$10)+MATCH($F13,_怪物类型!$A$2:$A$10,0))*IF($K13="",1,$K13),""))</f>
        <v/>
      </c>
      <c r="T13" s="74">
        <f>IF(OR($J13="",$F13="不适用"),"",IFERROR(INDEX(_怪物模型!$E$2:$E$4501,(INT($J13)-1)*ROWS(_怪物类型!$A$2:$A$10)+MATCH($F13,_怪物类型!$A$2:$A$10,0))*IF($L13="",1,$L13),""))</f>
        <v/>
      </c>
      <c r="U13" s="74">
        <f>IF(OR($J13="",$F13="不适用"),"",IFERROR(INDEX(_怪物模型!$F$2:$F$4501,(INT($J13)-1)*ROWS(_怪物类型!$A$2:$A$10)+MATCH($F13,_怪物类型!$A$2:$A$10,0))*IF($M13="",1,$M13),""))</f>
        <v/>
      </c>
      <c r="V13" s="75">
        <f>IF($U13="","",MIN(0.75,$U13/($U13+24000)))</f>
        <v/>
      </c>
      <c r="W13" s="76">
        <f>IF($S13="","",$S13/(1-$V13)*IF($N13="",1,$N13))</f>
        <v/>
      </c>
      <c r="X13" s="76">
        <f>IF(OR($W13="",$Q13="",$Q13=0),"",$W13/$Q13)</f>
        <v/>
      </c>
      <c r="Y13" s="76">
        <f>IF(OR($R13="",$T13="",$T13=0),"",$R13/($T13*IF($O13="",1,$O13)))</f>
        <v/>
      </c>
      <c r="Z13" s="77">
        <f>IF(OR($X13="",$P13="",$P13=0),"",$X13/$P13)</f>
        <v/>
      </c>
      <c r="AA13" s="27">
        <f>IF($J13="","待填怪物等级",IF(OR($I13="",$Q13=""),"待填对照关卡",IF($P13="","已计算",IF(AND($Y13&lt;&gt;"",$Y13&lt;$X13),"生存不成立",IF($Z13&lt;0.5,"碾压",IF($Z13&lt;0.8,"偏简单",IF($Z13&lt;=1.2,"适中",IF($Z13&lt;=1.5,"偏难","过难"))))))))</f>
        <v/>
      </c>
      <c r="AB13" s="27">
        <f>IF($J13="","待填",IF(AND(ISNUMBER($J13),$J13&gt;=1,$J13&lt;=500,MOD($J13,1)=0),"有效","超范围"))</f>
        <v/>
      </c>
      <c r="AC13" s="27">
        <f>IF(OR($J13="",ROW()=5,$B13&lt;&gt;$B12,$J12=""),"",IF($J13&lt;$J12,"下降",""))</f>
        <v/>
      </c>
      <c r="AD13" s="28" t="inlineStr">
        <is>
          <t>档位解锁Lv50；修正版V4：首档送进度，9档共用Lv30→180缓升；对照节点S146｜V4同步最新玩家曲线：Lv180→Lv171，保留原TTK/生存压力目标｜曲线同步20260811：Lv171→Lv142，保持原玩法定位与TTK/生存压力｜2026-09-14 用户裁决维持5档，6~9档维持停用；本行保留原值仅作记录。</t>
        </is>
      </c>
      <c r="AE13" t="n">
        <v>95900</v>
      </c>
    </row>
  </sheetData>
  <mergeCells count="3">
    <mergeCell ref="A3:AD3"/>
    <mergeCell ref="A2:AD2"/>
    <mergeCell ref="A1:AD1"/>
  </mergeCells>
  <conditionalFormatting sqref="J5:J13">
    <cfRule type="expression" priority="1" dxfId="2">
      <formula>AND($A5&lt;&gt;"特殊：双方属性对算",$J5="")</formula>
    </cfRule>
  </conditionalFormatting>
  <conditionalFormatting sqref="AA5:AA13">
    <cfRule type="expression" priority="3" dxfId="0">
      <formula>$AA5="适中"</formula>
    </cfRule>
    <cfRule type="expression" priority="4" dxfId="3">
      <formula>$AA5="偏难"</formula>
    </cfRule>
    <cfRule type="expression" priority="5" dxfId="1">
      <formula>$AA5="过难"</formula>
    </cfRule>
    <cfRule type="expression" priority="6" dxfId="1">
      <formula>$AA5="生存不成立"</formula>
    </cfRule>
  </conditionalFormatting>
  <conditionalFormatting sqref="AB5:AB13">
    <cfRule type="expression" priority="2" dxfId="4">
      <formula>$AB5="超范围"</formula>
    </cfRule>
  </conditionalFormatting>
  <conditionalFormatting sqref="AC5:AC13">
    <cfRule type="expression" priority="7" dxfId="4">
      <formula>$AC5="下降"</formula>
    </cfRule>
  </conditionalFormatting>
  <dataValidations count="5">
    <dataValidation sqref="F5:F13" showDropDown="0" showInputMessage="0" showErrorMessage="0" allowBlank="0" type="list">
      <formula1>_字典!$A$2:$A$11</formula1>
    </dataValidation>
    <dataValidation sqref="H5:H13" showDropDown="0" showInputMessage="0" showErrorMessage="0" allowBlank="1" type="whole" operator="between">
      <formula1>1</formula1>
      <formula2>285</formula2>
    </dataValidation>
    <dataValidation sqref="J5:J13" showDropDown="0" showInputMessage="0" showErrorMessage="0" allowBlank="1" type="whole" operator="between">
      <formula1>1</formula1>
      <formula2>500</formula2>
    </dataValidation>
    <dataValidation sqref="P5:P13" showDropDown="0" showInputMessage="0" showErrorMessage="0" allowBlank="1" type="decimal" operator="between">
      <formula1>0.01</formula1>
      <formula2>3600</formula2>
    </dataValidation>
    <dataValidation sqref="K5:O13" showDropDown="0" showInputMessage="0" showErrorMessage="0" allowBlank="1" type="decimal" operator="between">
      <formula1>0</formula1>
      <formula2>100</formula2>
    </dataValidation>
  </dataValidations>
  <hyperlinks>
    <hyperlink xmlns:r="http://schemas.openxmlformats.org/officeDocument/2006/relationships" ref="A1" display="全玩法难度填写｜角色经验" r:id="rId1"/>
  </hyperlink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tabColor rgb="FFA9D18E"/>
    <outlinePr summaryBelow="1" summaryRight="1"/>
    <pageSetUpPr/>
  </sheetPr>
  <dimension ref="A1:AF13"/>
  <sheetViews>
    <sheetView showGridLines="0" workbookViewId="0">
      <selection activeCell="A1" sqref="A1:AD1"/>
    </sheetView>
  </sheetViews>
  <sheetFormatPr baseColWidth="8" defaultColWidth="9" defaultRowHeight="13.5"/>
  <cols>
    <col width="12" customWidth="1" min="1" max="1"/>
    <col width="13" customWidth="1" min="2" max="2"/>
    <col width="18" customWidth="1" min="3" max="3"/>
    <col width="15" customWidth="1" min="4" max="4"/>
    <col width="35" customWidth="1" min="5" max="5"/>
    <col width="14" customWidth="1" min="6" max="9"/>
    <col width="12" customWidth="1" min="10" max="10"/>
    <col width="11" customWidth="1" min="11" max="13"/>
    <col width="13" customWidth="1" min="14" max="15"/>
    <col width="12" customWidth="1" min="16" max="16"/>
    <col width="16" customWidth="1" min="17" max="21"/>
    <col width="12" customWidth="1" min="22" max="22"/>
    <col width="17" customWidth="1" min="23" max="23"/>
    <col width="14" customWidth="1" min="24" max="25"/>
    <col width="12" customWidth="1" min="26" max="26"/>
    <col width="15" customWidth="1" min="27" max="27"/>
    <col width="12" customWidth="1" min="28" max="29"/>
    <col width="46" customWidth="1" min="30" max="30"/>
    <col width="22" customWidth="1" min="31" max="32"/>
  </cols>
  <sheetData>
    <row r="1" ht="34" customHeight="1">
      <c r="A1" s="23" t="inlineStr">
        <is>
          <t>全玩法难度填写｜金币</t>
        </is>
      </c>
    </row>
    <row r="2" ht="30" customHeight="1">
      <c r="A2" s="24" t="inlineStr">
        <is>
          <t>当前页已按开启顺序和玩法定位填入首版怪物等级。黄色J列可直接覆盖；G列是本版使用的玩家曲线对照节点。</t>
        </is>
      </c>
    </row>
    <row r="3" ht="14.25" customHeight="1">
      <c r="A3" s="25" t="inlineStr">
        <is>
          <t>公式口径：怪物实际属性=战斗公式标准模型×可选系数；怪物EHP=实际生命÷(1-防御减伤)×整关EHP倍率；TTK=怪物EHP÷玩家DPS。</t>
        </is>
      </c>
    </row>
    <row r="4" ht="30" customHeight="1">
      <c r="A4" s="26" t="inlineStr">
        <is>
          <t>状态</t>
        </is>
      </c>
      <c r="B4" s="26" t="inlineStr">
        <is>
          <t>玩法</t>
        </is>
      </c>
      <c r="C4" s="26" t="inlineStr">
        <is>
          <t>子玩法/共用范围</t>
        </is>
      </c>
      <c r="D4" s="26" t="inlineStr">
        <is>
          <t>节点名称</t>
        </is>
      </c>
      <c r="E4" s="26" t="inlineStr">
        <is>
          <t>LevelId/配置映射</t>
        </is>
      </c>
      <c r="F4" s="26" t="inlineStr">
        <is>
          <t>怪物类型</t>
        </is>
      </c>
      <c r="G4" s="26" t="inlineStr">
        <is>
          <t>默认对照关卡</t>
        </is>
      </c>
      <c r="H4" s="26" t="inlineStr">
        <is>
          <t>手动对照关卡</t>
        </is>
      </c>
      <c r="I4" s="26" t="inlineStr">
        <is>
          <t>实际对照关卡</t>
        </is>
      </c>
      <c r="J4" s="26" t="inlineStr">
        <is>
          <t>怪物等级</t>
        </is>
      </c>
      <c r="K4" s="26" t="inlineStr">
        <is>
          <t>生命系数</t>
        </is>
      </c>
      <c r="L4" s="26" t="inlineStr">
        <is>
          <t>攻击系数</t>
        </is>
      </c>
      <c r="M4" s="26" t="inlineStr">
        <is>
          <t>防御系数</t>
        </is>
      </c>
      <c r="N4" s="26" t="inlineStr">
        <is>
          <t>整关EHP倍率</t>
        </is>
      </c>
      <c r="O4" s="26" t="inlineStr">
        <is>
          <t>攻击压力倍率</t>
        </is>
      </c>
      <c r="P4" s="26" t="inlineStr">
        <is>
          <t>目标时间(s)</t>
        </is>
      </c>
      <c r="Q4" s="26" t="inlineStr">
        <is>
          <t>玩家DPS</t>
        </is>
      </c>
      <c r="R4" s="26" t="inlineStr">
        <is>
          <t>玩家队伍EHP</t>
        </is>
      </c>
      <c r="S4" s="26" t="inlineStr">
        <is>
          <t>怪物实际生命</t>
        </is>
      </c>
      <c r="T4" s="26" t="inlineStr">
        <is>
          <t>怪物实际攻击</t>
        </is>
      </c>
      <c r="U4" s="26" t="inlineStr">
        <is>
          <t>怪物实际防御</t>
        </is>
      </c>
      <c r="V4" s="26" t="inlineStr">
        <is>
          <t>怪物减伤率</t>
        </is>
      </c>
      <c r="W4" s="26" t="inlineStr">
        <is>
          <t>整关目标EHP</t>
        </is>
      </c>
      <c r="X4" s="26" t="inlineStr">
        <is>
          <t>预测TTK(s)</t>
        </is>
      </c>
      <c r="Y4" s="26" t="inlineStr">
        <is>
          <t>预测存活(s)</t>
        </is>
      </c>
      <c r="Z4" s="26" t="inlineStr">
        <is>
          <t>TTK/目标</t>
        </is>
      </c>
      <c r="AA4" s="26" t="inlineStr">
        <is>
          <t>难度判断</t>
        </is>
      </c>
      <c r="AB4" s="26" t="inlineStr">
        <is>
          <t>等级检查</t>
        </is>
      </c>
      <c r="AC4" s="26" t="inlineStr">
        <is>
          <t>等级趋势</t>
        </is>
      </c>
      <c r="AD4" s="26" t="inlineStr">
        <is>
          <t>备注</t>
        </is>
      </c>
      <c r="AE4" s="8" t="inlineStr">
        <is>
          <t>玩法推荐战力</t>
        </is>
      </c>
      <c r="AF4" s="8" t="inlineStr">
        <is>
          <t>标准等级战力</t>
        </is>
      </c>
    </row>
    <row r="5" ht="25" customHeight="1">
      <c r="A5" s="27" t="inlineStr">
        <is>
          <t>当前配置</t>
        </is>
      </c>
      <c r="B5" s="27" t="inlineStr">
        <is>
          <t>金币</t>
        </is>
      </c>
      <c r="C5" s="28" t="inlineStr">
        <is>
          <t>资源副本</t>
        </is>
      </c>
      <c r="D5" s="28" t="inlineStr">
        <is>
          <t>难度1</t>
        </is>
      </c>
      <c r="E5" s="28" t="inlineStr">
        <is>
          <t>220001</t>
        </is>
      </c>
      <c r="F5" s="27" t="inlineStr">
        <is>
          <t>普通怪</t>
        </is>
      </c>
      <c r="G5" s="37" t="n">
        <v>9</v>
      </c>
      <c r="H5" s="38" t="n"/>
      <c r="I5" s="39" t="n">
        <v>9</v>
      </c>
      <c r="J5" s="40" t="n">
        <v>25</v>
      </c>
      <c r="K5" s="72" t="n">
        <v>0.9</v>
      </c>
      <c r="L5" s="72" t="n">
        <v>0.85</v>
      </c>
      <c r="M5" s="72" t="n">
        <v>1</v>
      </c>
      <c r="N5" s="73" t="n"/>
      <c r="O5" s="73" t="n"/>
      <c r="P5" s="73" t="n"/>
      <c r="Q5" s="74">
        <f>IF($I5="","",IFERROR(INDEX(_玩家曲线!$H$2:$H$286,MATCH($I5,_玩家曲线!$A$2:$A$286,0)),""))</f>
        <v/>
      </c>
      <c r="R5" s="74">
        <f>IF($I5="","",IFERROR(INDEX(_玩家曲线!$I$2:$I$286,MATCH($I5,_玩家曲线!$A$2:$A$286,0)),""))</f>
        <v/>
      </c>
      <c r="S5" s="74">
        <f>IF(OR($J5="",$F5="不适用"),"",IFERROR(INDEX(_怪物模型!$D$2:$D$4501,(INT($J5)-1)*ROWS(_怪物类型!$A$2:$A$10)+MATCH($F5,_怪物类型!$A$2:$A$10,0))*IF($K5="",1,$K5),""))</f>
        <v/>
      </c>
      <c r="T5" s="74">
        <f>IF(OR($J5="",$F5="不适用"),"",IFERROR(INDEX(_怪物模型!$E$2:$E$4501,(INT($J5)-1)*ROWS(_怪物类型!$A$2:$A$10)+MATCH($F5,_怪物类型!$A$2:$A$10,0))*IF($L5="",1,$L5),""))</f>
        <v/>
      </c>
      <c r="U5" s="74">
        <f>IF(OR($J5="",$F5="不适用"),"",IFERROR(INDEX(_怪物模型!$F$2:$F$4501,(INT($J5)-1)*ROWS(_怪物类型!$A$2:$A$10)+MATCH($F5,_怪物类型!$A$2:$A$10,0))*IF($M5="",1,$M5),""))</f>
        <v/>
      </c>
      <c r="V5" s="75">
        <f>IF($U5="","",MIN(0.75,$U5/($U5+24000)))</f>
        <v/>
      </c>
      <c r="W5" s="76">
        <f>IF($S5="","",$S5/(1-$V5)*IF($N5="",1,$N5))</f>
        <v/>
      </c>
      <c r="X5" s="76">
        <f>IF(OR($W5="",$Q5="",$Q5=0),"",$W5/$Q5)</f>
        <v/>
      </c>
      <c r="Y5" s="76">
        <f>IF(OR($R5="",$T5="",$T5=0),"",$R5/($T5*IF($O5="",1,$O5)))</f>
        <v/>
      </c>
      <c r="Z5" s="77">
        <f>IF(OR($X5="",$P5="",$P5=0),"",$X5/$P5)</f>
        <v/>
      </c>
      <c r="AA5" s="27">
        <f>IF($J5="","待填怪物等级",IF(OR($I5="",$Q5=""),"待填对照关卡",IF($P5="","已计算",IF(AND($Y5&lt;&gt;"",$Y5&lt;$X5),"生存不成立",IF($Z5&lt;0.5,"碾压",IF($Z5&lt;0.8,"偏简单",IF($Z5&lt;=1.2,"适中",IF($Z5&lt;=1.5,"偏难","过难"))))))))</f>
        <v/>
      </c>
      <c r="AB5" s="27">
        <f>IF($J5="","待填",IF(AND(ISNUMBER($J5),$J5&gt;=1,$J5&lt;=500,MOD($J5,1)=0),"有效","超范围"))</f>
        <v/>
      </c>
      <c r="AC5" s="27">
        <f>IF(OR($J5="",ROW()=5,$B5&lt;&gt;$B4,$J4=""),"",IF($J5&lt;$J4,"下降",""))</f>
        <v/>
      </c>
      <c r="AD5" s="28" t="inlineStr">
        <is>
          <t>2026-09-14 定稿v2（用户裁决：维持5档、第5档150级）：25/60/95/120/150，K/L=0.9/0.85；锚点进度9~47。</t>
        </is>
      </c>
      <c r="AE5" t="n">
        <v>10100</v>
      </c>
      <c r="AF5">
        <f>INDEX(_统一战力!$B$2:$B$501,J5)</f>
        <v/>
      </c>
    </row>
    <row r="6" ht="25" customHeight="1">
      <c r="A6" s="27" t="inlineStr">
        <is>
          <t>当前配置</t>
        </is>
      </c>
      <c r="B6" s="27" t="inlineStr">
        <is>
          <t>金币</t>
        </is>
      </c>
      <c r="C6" s="28" t="inlineStr">
        <is>
          <t>资源副本</t>
        </is>
      </c>
      <c r="D6" s="28" t="inlineStr">
        <is>
          <t>难度2</t>
        </is>
      </c>
      <c r="E6" s="28" t="inlineStr">
        <is>
          <t>220002</t>
        </is>
      </c>
      <c r="F6" s="27" t="inlineStr">
        <is>
          <t>普通怪</t>
        </is>
      </c>
      <c r="G6" s="37" t="n">
        <v>20</v>
      </c>
      <c r="H6" s="38" t="n"/>
      <c r="I6" s="39" t="n">
        <v>20</v>
      </c>
      <c r="J6" s="40" t="n">
        <v>60</v>
      </c>
      <c r="K6" s="72" t="n">
        <v>0.9</v>
      </c>
      <c r="L6" s="72" t="n">
        <v>0.85</v>
      </c>
      <c r="M6" s="72" t="n">
        <v>1</v>
      </c>
      <c r="N6" s="73" t="n"/>
      <c r="O6" s="73" t="n"/>
      <c r="P6" s="73" t="n"/>
      <c r="Q6" s="74">
        <f>IF($I6="","",IFERROR(INDEX(_玩家曲线!$H$2:$H$286,MATCH($I6,_玩家曲线!$A$2:$A$286,0)),""))</f>
        <v/>
      </c>
      <c r="R6" s="74">
        <f>IF($I6="","",IFERROR(INDEX(_玩家曲线!$I$2:$I$286,MATCH($I6,_玩家曲线!$A$2:$A$286,0)),""))</f>
        <v/>
      </c>
      <c r="S6" s="74">
        <f>IF(OR($J6="",$F6="不适用"),"",IFERROR(INDEX(_怪物模型!$D$2:$D$4501,(INT($J6)-1)*ROWS(_怪物类型!$A$2:$A$10)+MATCH($F6,_怪物类型!$A$2:$A$10,0))*IF($K6="",1,$K6),""))</f>
        <v/>
      </c>
      <c r="T6" s="74">
        <f>IF(OR($J6="",$F6="不适用"),"",IFERROR(INDEX(_怪物模型!$E$2:$E$4501,(INT($J6)-1)*ROWS(_怪物类型!$A$2:$A$10)+MATCH($F6,_怪物类型!$A$2:$A$10,0))*IF($L6="",1,$L6),""))</f>
        <v/>
      </c>
      <c r="U6" s="74">
        <f>IF(OR($J6="",$F6="不适用"),"",IFERROR(INDEX(_怪物模型!$F$2:$F$4501,(INT($J6)-1)*ROWS(_怪物类型!$A$2:$A$10)+MATCH($F6,_怪物类型!$A$2:$A$10,0))*IF($M6="",1,$M6),""))</f>
        <v/>
      </c>
      <c r="V6" s="75">
        <f>IF($U6="","",MIN(0.75,$U6/($U6+24000)))</f>
        <v/>
      </c>
      <c r="W6" s="76">
        <f>IF($S6="","",$S6/(1-$V6)*IF($N6="",1,$N6))</f>
        <v/>
      </c>
      <c r="X6" s="76">
        <f>IF(OR($W6="",$Q6="",$Q6=0),"",$W6/$Q6)</f>
        <v/>
      </c>
      <c r="Y6" s="76">
        <f>IF(OR($R6="",$T6="",$T6=0),"",$R6/($T6*IF($O6="",1,$O6)))</f>
        <v/>
      </c>
      <c r="Z6" s="77">
        <f>IF(OR($X6="",$P6="",$P6=0),"",$X6/$P6)</f>
        <v/>
      </c>
      <c r="AA6" s="27">
        <f>IF($J6="","待填怪物等级",IF(OR($I6="",$Q6=""),"待填对照关卡",IF($P6="","已计算",IF(AND($Y6&lt;&gt;"",$Y6&lt;$X6),"生存不成立",IF($Z6&lt;0.5,"碾压",IF($Z6&lt;0.8,"偏简单",IF($Z6&lt;=1.2,"适中",IF($Z6&lt;=1.5,"偏难","过难"))))))))</f>
        <v/>
      </c>
      <c r="AB6" s="27">
        <f>IF($J6="","待填",IF(AND(ISNUMBER($J6),$J6&gt;=1,$J6&lt;=500,MOD($J6,1)=0),"有效","超范围"))</f>
        <v/>
      </c>
      <c r="AC6" s="27">
        <f>IF(OR($J6="",ROW()=5,$B6&lt;&gt;$B5,$J5=""),"",IF($J6&lt;$J5,"下降",""))</f>
        <v/>
      </c>
      <c r="AD6" s="28" t="inlineStr">
        <is>
          <t>2026-09-14 定稿v2（用户裁决：维持5档、第5档150级）：25/60/95/120/150，K/L=0.9/0.85；锚点进度9~47。</t>
        </is>
      </c>
      <c r="AE6" t="n">
        <v>25400</v>
      </c>
      <c r="AF6">
        <f>INDEX(_统一战力!$B$2:$B$501,J6)</f>
        <v/>
      </c>
    </row>
    <row r="7" ht="25" customHeight="1">
      <c r="A7" s="27" t="inlineStr">
        <is>
          <t>当前配置</t>
        </is>
      </c>
      <c r="B7" s="27" t="inlineStr">
        <is>
          <t>金币</t>
        </is>
      </c>
      <c r="C7" s="28" t="inlineStr">
        <is>
          <t>资源副本</t>
        </is>
      </c>
      <c r="D7" s="28" t="inlineStr">
        <is>
          <t>难度3</t>
        </is>
      </c>
      <c r="E7" s="28" t="inlineStr">
        <is>
          <t>220003</t>
        </is>
      </c>
      <c r="F7" s="27" t="inlineStr">
        <is>
          <t>普通怪</t>
        </is>
      </c>
      <c r="G7" s="37" t="n">
        <v>31</v>
      </c>
      <c r="H7" s="38" t="n"/>
      <c r="I7" s="39" t="n">
        <v>31</v>
      </c>
      <c r="J7" s="40" t="n">
        <v>95</v>
      </c>
      <c r="K7" s="72" t="n">
        <v>0.9</v>
      </c>
      <c r="L7" s="72" t="n">
        <v>0.85</v>
      </c>
      <c r="M7" s="72" t="n">
        <v>1</v>
      </c>
      <c r="N7" s="73" t="n"/>
      <c r="O7" s="73" t="n"/>
      <c r="P7" s="73" t="n"/>
      <c r="Q7" s="74">
        <f>IF($I7="","",IFERROR(INDEX(_玩家曲线!$H$2:$H$286,MATCH($I7,_玩家曲线!$A$2:$A$286,0)),""))</f>
        <v/>
      </c>
      <c r="R7" s="74">
        <f>IF($I7="","",IFERROR(INDEX(_玩家曲线!$I$2:$I$286,MATCH($I7,_玩家曲线!$A$2:$A$286,0)),""))</f>
        <v/>
      </c>
      <c r="S7" s="74">
        <f>IF(OR($J7="",$F7="不适用"),"",IFERROR(INDEX(_怪物模型!$D$2:$D$4501,(INT($J7)-1)*ROWS(_怪物类型!$A$2:$A$10)+MATCH($F7,_怪物类型!$A$2:$A$10,0))*IF($K7="",1,$K7),""))</f>
        <v/>
      </c>
      <c r="T7" s="74">
        <f>IF(OR($J7="",$F7="不适用"),"",IFERROR(INDEX(_怪物模型!$E$2:$E$4501,(INT($J7)-1)*ROWS(_怪物类型!$A$2:$A$10)+MATCH($F7,_怪物类型!$A$2:$A$10,0))*IF($L7="",1,$L7),""))</f>
        <v/>
      </c>
      <c r="U7" s="74">
        <f>IF(OR($J7="",$F7="不适用"),"",IFERROR(INDEX(_怪物模型!$F$2:$F$4501,(INT($J7)-1)*ROWS(_怪物类型!$A$2:$A$10)+MATCH($F7,_怪物类型!$A$2:$A$10,0))*IF($M7="",1,$M7),""))</f>
        <v/>
      </c>
      <c r="V7" s="75">
        <f>IF($U7="","",MIN(0.75,$U7/($U7+24000)))</f>
        <v/>
      </c>
      <c r="W7" s="76">
        <f>IF($S7="","",$S7/(1-$V7)*IF($N7="",1,$N7))</f>
        <v/>
      </c>
      <c r="X7" s="76">
        <f>IF(OR($W7="",$Q7="",$Q7=0),"",$W7/$Q7)</f>
        <v/>
      </c>
      <c r="Y7" s="76">
        <f>IF(OR($R7="",$T7="",$T7=0),"",$R7/($T7*IF($O7="",1,$O7)))</f>
        <v/>
      </c>
      <c r="Z7" s="77">
        <f>IF(OR($X7="",$P7="",$P7=0),"",$X7/$P7)</f>
        <v/>
      </c>
      <c r="AA7" s="27">
        <f>IF($J7="","待填怪物等级",IF(OR($I7="",$Q7=""),"待填对照关卡",IF($P7="","已计算",IF(AND($Y7&lt;&gt;"",$Y7&lt;$X7),"生存不成立",IF($Z7&lt;0.5,"碾压",IF($Z7&lt;0.8,"偏简单",IF($Z7&lt;=1.2,"适中",IF($Z7&lt;=1.5,"偏难","过难"))))))))</f>
        <v/>
      </c>
      <c r="AB7" s="27">
        <f>IF($J7="","待填",IF(AND(ISNUMBER($J7),$J7&gt;=1,$J7&lt;=500,MOD($J7,1)=0),"有效","超范围"))</f>
        <v/>
      </c>
      <c r="AC7" s="27">
        <f>IF(OR($J7="",ROW()=5,$B7&lt;&gt;$B6,$J6=""),"",IF($J7&lt;$J6,"下降",""))</f>
        <v/>
      </c>
      <c r="AD7" s="28" t="inlineStr">
        <is>
          <t>2026-09-14 定稿v2（用户裁决：维持5档、第5档150级）：25/60/95/120/150，K/L=0.9/0.85；锚点进度9~47。</t>
        </is>
      </c>
      <c r="AE7" t="n">
        <v>49100</v>
      </c>
      <c r="AF7">
        <f>INDEX(_统一战力!$B$2:$B$501,J7)</f>
        <v/>
      </c>
    </row>
    <row r="8" ht="25" customHeight="1">
      <c r="A8" s="27" t="inlineStr">
        <is>
          <t>当前配置</t>
        </is>
      </c>
      <c r="B8" s="27" t="inlineStr">
        <is>
          <t>金币</t>
        </is>
      </c>
      <c r="C8" s="28" t="inlineStr">
        <is>
          <t>资源副本</t>
        </is>
      </c>
      <c r="D8" s="28" t="inlineStr">
        <is>
          <t>难度4</t>
        </is>
      </c>
      <c r="E8" s="28" t="inlineStr">
        <is>
          <t>220004</t>
        </is>
      </c>
      <c r="F8" s="27" t="inlineStr">
        <is>
          <t>普通怪</t>
        </is>
      </c>
      <c r="G8" s="37" t="n">
        <v>39</v>
      </c>
      <c r="H8" s="38" t="n"/>
      <c r="I8" s="39" t="n">
        <v>39</v>
      </c>
      <c r="J8" s="40" t="n">
        <v>120</v>
      </c>
      <c r="K8" s="72" t="n">
        <v>0.9</v>
      </c>
      <c r="L8" s="72" t="n">
        <v>0.85</v>
      </c>
      <c r="M8" s="72" t="n">
        <v>1</v>
      </c>
      <c r="N8" s="73" t="n"/>
      <c r="O8" s="73" t="n"/>
      <c r="P8" s="73" t="n"/>
      <c r="Q8" s="74">
        <f>IF($I8="","",IFERROR(INDEX(_玩家曲线!$H$2:$H$286,MATCH($I8,_玩家曲线!$A$2:$A$286,0)),""))</f>
        <v/>
      </c>
      <c r="R8" s="74">
        <f>IF($I8="","",IFERROR(INDEX(_玩家曲线!$I$2:$I$286,MATCH($I8,_玩家曲线!$A$2:$A$286,0)),""))</f>
        <v/>
      </c>
      <c r="S8" s="74">
        <f>IF(OR($J8="",$F8="不适用"),"",IFERROR(INDEX(_怪物模型!$D$2:$D$4501,(INT($J8)-1)*ROWS(_怪物类型!$A$2:$A$10)+MATCH($F8,_怪物类型!$A$2:$A$10,0))*IF($K8="",1,$K8),""))</f>
        <v/>
      </c>
      <c r="T8" s="74">
        <f>IF(OR($J8="",$F8="不适用"),"",IFERROR(INDEX(_怪物模型!$E$2:$E$4501,(INT($J8)-1)*ROWS(_怪物类型!$A$2:$A$10)+MATCH($F8,_怪物类型!$A$2:$A$10,0))*IF($L8="",1,$L8),""))</f>
        <v/>
      </c>
      <c r="U8" s="74">
        <f>IF(OR($J8="",$F8="不适用"),"",IFERROR(INDEX(_怪物模型!$F$2:$F$4501,(INT($J8)-1)*ROWS(_怪物类型!$A$2:$A$10)+MATCH($F8,_怪物类型!$A$2:$A$10,0))*IF($M8="",1,$M8),""))</f>
        <v/>
      </c>
      <c r="V8" s="75">
        <f>IF($U8="","",MIN(0.75,$U8/($U8+24000)))</f>
        <v/>
      </c>
      <c r="W8" s="76">
        <f>IF($S8="","",$S8/(1-$V8)*IF($N8="",1,$N8))</f>
        <v/>
      </c>
      <c r="X8" s="76">
        <f>IF(OR($W8="",$Q8="",$Q8=0),"",$W8/$Q8)</f>
        <v/>
      </c>
      <c r="Y8" s="76">
        <f>IF(OR($R8="",$T8="",$T8=0),"",$R8/($T8*IF($O8="",1,$O8)))</f>
        <v/>
      </c>
      <c r="Z8" s="77">
        <f>IF(OR($X8="",$P8="",$P8=0),"",$X8/$P8)</f>
        <v/>
      </c>
      <c r="AA8" s="27">
        <f>IF($J8="","待填怪物等级",IF(OR($I8="",$Q8=""),"待填对照关卡",IF($P8="","已计算",IF(AND($Y8&lt;&gt;"",$Y8&lt;$X8),"生存不成立",IF($Z8&lt;0.5,"碾压",IF($Z8&lt;0.8,"偏简单",IF($Z8&lt;=1.2,"适中",IF($Z8&lt;=1.5,"偏难","过难"))))))))</f>
        <v/>
      </c>
      <c r="AB8" s="27">
        <f>IF($J8="","待填",IF(AND(ISNUMBER($J8),$J8&gt;=1,$J8&lt;=500,MOD($J8,1)=0),"有效","超范围"))</f>
        <v/>
      </c>
      <c r="AC8" s="27">
        <f>IF(OR($J8="",ROW()=5,$B8&lt;&gt;$B7,$J7=""),"",IF($J8&lt;$J7,"下降",""))</f>
        <v/>
      </c>
      <c r="AD8" s="28" t="inlineStr">
        <is>
          <t>2026-09-14 定稿v2（用户裁决：维持5档、第5档150级）：25/60/95/120/150，K/L=0.9/0.85；锚点进度9~47。</t>
        </is>
      </c>
      <c r="AE8" t="n">
        <v>71400</v>
      </c>
      <c r="AF8">
        <f>INDEX(_统一战力!$B$2:$B$501,J8)</f>
        <v/>
      </c>
    </row>
    <row r="9" ht="25" customHeight="1">
      <c r="A9" s="27" t="inlineStr">
        <is>
          <t>当前配置</t>
        </is>
      </c>
      <c r="B9" s="27" t="inlineStr">
        <is>
          <t>金币</t>
        </is>
      </c>
      <c r="C9" s="28" t="inlineStr">
        <is>
          <t>资源副本</t>
        </is>
      </c>
      <c r="D9" s="28" t="inlineStr">
        <is>
          <t>难度5</t>
        </is>
      </c>
      <c r="E9" s="28" t="inlineStr">
        <is>
          <t>220005</t>
        </is>
      </c>
      <c r="F9" s="27" t="inlineStr">
        <is>
          <t>普通怪</t>
        </is>
      </c>
      <c r="G9" s="37" t="n">
        <v>47</v>
      </c>
      <c r="H9" s="38" t="n"/>
      <c r="I9" s="39" t="n">
        <v>47</v>
      </c>
      <c r="J9" s="40" t="n">
        <v>150</v>
      </c>
      <c r="K9" s="72" t="n">
        <v>0.9</v>
      </c>
      <c r="L9" s="72" t="n">
        <v>0.85</v>
      </c>
      <c r="M9" s="72" t="n">
        <v>1</v>
      </c>
      <c r="N9" s="73" t="n"/>
      <c r="O9" s="73" t="n"/>
      <c r="P9" s="73" t="n"/>
      <c r="Q9" s="74">
        <f>IF($I9="","",IFERROR(INDEX(_玩家曲线!$H$2:$H$286,MATCH($I9,_玩家曲线!$A$2:$A$286,0)),""))</f>
        <v/>
      </c>
      <c r="R9" s="74">
        <f>IF($I9="","",IFERROR(INDEX(_玩家曲线!$I$2:$I$286,MATCH($I9,_玩家曲线!$A$2:$A$286,0)),""))</f>
        <v/>
      </c>
      <c r="S9" s="74">
        <f>IF(OR($J9="",$F9="不适用"),"",IFERROR(INDEX(_怪物模型!$D$2:$D$4501,(INT($J9)-1)*ROWS(_怪物类型!$A$2:$A$10)+MATCH($F9,_怪物类型!$A$2:$A$10,0))*IF($K9="",1,$K9),""))</f>
        <v/>
      </c>
      <c r="T9" s="74">
        <f>IF(OR($J9="",$F9="不适用"),"",IFERROR(INDEX(_怪物模型!$E$2:$E$4501,(INT($J9)-1)*ROWS(_怪物类型!$A$2:$A$10)+MATCH($F9,_怪物类型!$A$2:$A$10,0))*IF($L9="",1,$L9),""))</f>
        <v/>
      </c>
      <c r="U9" s="74">
        <f>IF(OR($J9="",$F9="不适用"),"",IFERROR(INDEX(_怪物模型!$F$2:$F$4501,(INT($J9)-1)*ROWS(_怪物类型!$A$2:$A$10)+MATCH($F9,_怪物类型!$A$2:$A$10,0))*IF($M9="",1,$M9),""))</f>
        <v/>
      </c>
      <c r="V9" s="75">
        <f>IF($U9="","",MIN(0.75,$U9/($U9+24000)))</f>
        <v/>
      </c>
      <c r="W9" s="76">
        <f>IF($S9="","",$S9/(1-$V9)*IF($N9="",1,$N9))</f>
        <v/>
      </c>
      <c r="X9" s="76">
        <f>IF(OR($W9="",$Q9="",$Q9=0),"",$W9/$Q9)</f>
        <v/>
      </c>
      <c r="Y9" s="76">
        <f>IF(OR($R9="",$T9="",$T9=0),"",$R9/($T9*IF($O9="",1,$O9)))</f>
        <v/>
      </c>
      <c r="Z9" s="77">
        <f>IF(OR($X9="",$P9="",$P9=0),"",$X9/$P9)</f>
        <v/>
      </c>
      <c r="AA9" s="27">
        <f>IF($J9="","待填怪物等级",IF(OR($I9="",$Q9=""),"待填对照关卡",IF($P9="","已计算",IF(AND($Y9&lt;&gt;"",$Y9&lt;$X9),"生存不成立",IF($Z9&lt;0.5,"碾压",IF($Z9&lt;0.8,"偏简单",IF($Z9&lt;=1.2,"适中",IF($Z9&lt;=1.5,"偏难","过难"))))))))</f>
        <v/>
      </c>
      <c r="AB9" s="27">
        <f>IF($J9="","待填",IF(AND(ISNUMBER($J9),$J9&gt;=1,$J9&lt;=500,MOD($J9,1)=0),"有效","超范围"))</f>
        <v/>
      </c>
      <c r="AC9" s="27">
        <f>IF(OR($J9="",ROW()=5,$B9&lt;&gt;$B8,$J8=""),"",IF($J9&lt;$J8,"下降",""))</f>
        <v/>
      </c>
      <c r="AD9" s="28" t="inlineStr">
        <is>
          <t>2026-09-14 定稿v2（用户裁决：维持5档、第5档150级）：25/60/95/120/150，K/L=0.9/0.85；锚点进度9~47。</t>
        </is>
      </c>
      <c r="AE9" t="n">
        <v>105000</v>
      </c>
      <c r="AF9">
        <f>INDEX(_统一战力!$B$2:$B$501,J9)</f>
        <v/>
      </c>
    </row>
    <row r="10" ht="25" customHeight="1">
      <c r="A10" s="27" t="inlineStr">
        <is>
          <t>历史停用档（双表##注释，未采用9档方案）</t>
        </is>
      </c>
      <c r="B10" s="27" t="inlineStr">
        <is>
          <t>金币</t>
        </is>
      </c>
      <c r="C10" s="28" t="inlineStr">
        <is>
          <t>资源副本</t>
        </is>
      </c>
      <c r="D10" s="28" t="inlineStr">
        <is>
          <t>难度6</t>
        </is>
      </c>
      <c r="E10" s="28" t="inlineStr">
        <is>
          <t>220006</t>
        </is>
      </c>
      <c r="F10" s="27" t="inlineStr">
        <is>
          <t>普通怪</t>
        </is>
      </c>
      <c r="G10" s="37" t="n">
        <v>85</v>
      </c>
      <c r="H10" s="38" t="n"/>
      <c r="I10" s="39" t="n">
        <v>85</v>
      </c>
      <c r="J10" s="40" t="n">
        <v>74</v>
      </c>
      <c r="K10" s="73" t="n"/>
      <c r="L10" s="73" t="n"/>
      <c r="M10" s="73" t="n"/>
      <c r="N10" s="73" t="n"/>
      <c r="O10" s="73" t="n"/>
      <c r="P10" s="73" t="n"/>
      <c r="Q10" s="74">
        <f>IF($I10="","",IFERROR(INDEX(_玩家曲线!$H$2:$H$286,MATCH($I10,_玩家曲线!$A$2:$A$286,0)),""))</f>
        <v/>
      </c>
      <c r="R10" s="74">
        <f>IF($I10="","",IFERROR(INDEX(_玩家曲线!$I$2:$I$286,MATCH($I10,_玩家曲线!$A$2:$A$286,0)),""))</f>
        <v/>
      </c>
      <c r="S10" s="74">
        <f>IF(OR($J10="",$F10="不适用"),"",IFERROR(INDEX(_怪物模型!$D$2:$D$4501,(INT($J10)-1)*ROWS(_怪物类型!$A$2:$A$10)+MATCH($F10,_怪物类型!$A$2:$A$10,0))*IF($K10="",1,$K10),""))</f>
        <v/>
      </c>
      <c r="T10" s="74">
        <f>IF(OR($J10="",$F10="不适用"),"",IFERROR(INDEX(_怪物模型!$E$2:$E$4501,(INT($J10)-1)*ROWS(_怪物类型!$A$2:$A$10)+MATCH($F10,_怪物类型!$A$2:$A$10,0))*IF($L10="",1,$L10),""))</f>
        <v/>
      </c>
      <c r="U10" s="74">
        <f>IF(OR($J10="",$F10="不适用"),"",IFERROR(INDEX(_怪物模型!$F$2:$F$4501,(INT($J10)-1)*ROWS(_怪物类型!$A$2:$A$10)+MATCH($F10,_怪物类型!$A$2:$A$10,0))*IF($M10="",1,$M10),""))</f>
        <v/>
      </c>
      <c r="V10" s="75">
        <f>IF($U10="","",MIN(0.75,$U10/($U10+24000)))</f>
        <v/>
      </c>
      <c r="W10" s="76">
        <f>IF($S10="","",$S10/(1-$V10)*IF($N10="",1,$N10))</f>
        <v/>
      </c>
      <c r="X10" s="76">
        <f>IF(OR($W10="",$Q10="",$Q10=0),"",$W10/$Q10)</f>
        <v/>
      </c>
      <c r="Y10" s="76">
        <f>IF(OR($R10="",$T10="",$T10=0),"",$R10/($T10*IF($O10="",1,$O10)))</f>
        <v/>
      </c>
      <c r="Z10" s="77">
        <f>IF(OR($X10="",$P10="",$P10=0),"",$X10/$P10)</f>
        <v/>
      </c>
      <c r="AA10" s="27">
        <f>IF($J10="","待填怪物等级",IF(OR($I10="",$Q10=""),"待填对照关卡",IF($P10="","已计算",IF(AND($Y10&lt;&gt;"",$Y10&lt;$X10),"生存不成立",IF($Z10&lt;0.5,"碾压",IF($Z10&lt;0.8,"偏简单",IF($Z10&lt;=1.2,"适中",IF($Z10&lt;=1.5,"偏难","过难"))))))))</f>
        <v/>
      </c>
      <c r="AB10" s="27">
        <f>IF($J10="","待填",IF(AND(ISNUMBER($J10),$J10&gt;=1,$J10&lt;=500,MOD($J10,1)=0),"有效","超范围"))</f>
        <v/>
      </c>
      <c r="AC10" s="27">
        <f>IF(OR($J10="",ROW()=5,$B10&lt;&gt;$B9,$J9=""),"",IF($J10&lt;$J9,"下降",""))</f>
        <v/>
      </c>
      <c r="AD10" s="28" t="inlineStr">
        <is>
          <t>档位解锁Lv35；修正版V4：首档送进度，9档共用Lv30→180缓升；对照节点S85｜V4同步最新玩家曲线：Lv113→Lv104，保留原TTK/生存压力目标｜曲线同步20260811：Lv104→Lv85，保持原玩法定位与TTK/生存压力｜2026-09-14 用户裁决维持5档，6~9档维持停用；本行保留原值仅作记录。</t>
        </is>
      </c>
      <c r="AE10" t="n">
        <v>41300</v>
      </c>
    </row>
    <row r="11" ht="25" customHeight="1">
      <c r="A11" s="27" t="inlineStr">
        <is>
          <t>历史停用档（双表##注释，未采用9档方案）</t>
        </is>
      </c>
      <c r="B11" s="27" t="inlineStr">
        <is>
          <t>金币</t>
        </is>
      </c>
      <c r="C11" s="28" t="inlineStr">
        <is>
          <t>资源副本</t>
        </is>
      </c>
      <c r="D11" s="28" t="inlineStr">
        <is>
          <t>难度7</t>
        </is>
      </c>
      <c r="E11" s="28" t="inlineStr">
        <is>
          <t>220007</t>
        </is>
      </c>
      <c r="F11" s="27" t="inlineStr">
        <is>
          <t>普通怪</t>
        </is>
      </c>
      <c r="G11" s="37" t="n">
        <v>108</v>
      </c>
      <c r="H11" s="38" t="n"/>
      <c r="I11" s="39" t="n">
        <v>108</v>
      </c>
      <c r="J11" s="40" t="n">
        <v>90</v>
      </c>
      <c r="K11" s="73" t="n"/>
      <c r="L11" s="73" t="n"/>
      <c r="M11" s="73" t="n"/>
      <c r="N11" s="73" t="n"/>
      <c r="O11" s="73" t="n"/>
      <c r="P11" s="73" t="n"/>
      <c r="Q11" s="74">
        <f>IF($I11="","",IFERROR(INDEX(_玩家曲线!$H$2:$H$286,MATCH($I11,_玩家曲线!$A$2:$A$286,0)),""))</f>
        <v/>
      </c>
      <c r="R11" s="74">
        <f>IF($I11="","",IFERROR(INDEX(_玩家曲线!$I$2:$I$286,MATCH($I11,_玩家曲线!$A$2:$A$286,0)),""))</f>
        <v/>
      </c>
      <c r="S11" s="74">
        <f>IF(OR($J11="",$F11="不适用"),"",IFERROR(INDEX(_怪物模型!$D$2:$D$4501,(INT($J11)-1)*ROWS(_怪物类型!$A$2:$A$10)+MATCH($F11,_怪物类型!$A$2:$A$10,0))*IF($K11="",1,$K11),""))</f>
        <v/>
      </c>
      <c r="T11" s="74">
        <f>IF(OR($J11="",$F11="不适用"),"",IFERROR(INDEX(_怪物模型!$E$2:$E$4501,(INT($J11)-1)*ROWS(_怪物类型!$A$2:$A$10)+MATCH($F11,_怪物类型!$A$2:$A$10,0))*IF($L11="",1,$L11),""))</f>
        <v/>
      </c>
      <c r="U11" s="74">
        <f>IF(OR($J11="",$F11="不适用"),"",IFERROR(INDEX(_怪物模型!$F$2:$F$4501,(INT($J11)-1)*ROWS(_怪物类型!$A$2:$A$10)+MATCH($F11,_怪物类型!$A$2:$A$10,0))*IF($M11="",1,$M11),""))</f>
        <v/>
      </c>
      <c r="V11" s="75">
        <f>IF($U11="","",MIN(0.75,$U11/($U11+24000)))</f>
        <v/>
      </c>
      <c r="W11" s="76">
        <f>IF($S11="","",$S11/(1-$V11)*IF($N11="",1,$N11))</f>
        <v/>
      </c>
      <c r="X11" s="76">
        <f>IF(OR($W11="",$Q11="",$Q11=0),"",$W11/$Q11)</f>
        <v/>
      </c>
      <c r="Y11" s="76">
        <f>IF(OR($R11="",$T11="",$T11=0),"",$R11/($T11*IF($O11="",1,$O11)))</f>
        <v/>
      </c>
      <c r="Z11" s="77">
        <f>IF(OR($X11="",$P11="",$P11=0),"",$X11/$P11)</f>
        <v/>
      </c>
      <c r="AA11" s="27">
        <f>IF($J11="","待填怪物等级",IF(OR($I11="",$Q11=""),"待填对照关卡",IF($P11="","已计算",IF(AND($Y11&lt;&gt;"",$Y11&lt;$X11),"生存不成立",IF($Z11&lt;0.5,"碾压",IF($Z11&lt;0.8,"偏简单",IF($Z11&lt;=1.2,"适中",IF($Z11&lt;=1.5,"偏难","过难"))))))))</f>
        <v/>
      </c>
      <c r="AB11" s="27">
        <f>IF($J11="","待填",IF(AND(ISNUMBER($J11),$J11&gt;=1,$J11&lt;=500,MOD($J11,1)=0),"有效","超范围"))</f>
        <v/>
      </c>
      <c r="AC11" s="27">
        <f>IF(OR($J11="",ROW()=5,$B11&lt;&gt;$B10,$J10=""),"",IF($J11&lt;$J10,"下降",""))</f>
        <v/>
      </c>
      <c r="AD11" s="28" t="inlineStr">
        <is>
          <t>档位解锁Lv40；修正版V4：首档送进度，9档共用Lv30→180缓升；对照节点S108｜V4同步最新玩家曲线：Lv135→Lv126，保留原TTK/生存压力目标｜曲线同步20260811：Lv126→Lv103，保持原玩法定位与TTK/生存压力｜2026-09-14 用户裁决维持5档，6~9档维持停用；本行保留原值仅作记录。</t>
        </is>
      </c>
      <c r="AE11" t="n">
        <v>54100</v>
      </c>
    </row>
    <row r="12" ht="25" customHeight="1">
      <c r="A12" s="27" t="inlineStr">
        <is>
          <t>历史停用档（双表##注释，未采用9档方案）</t>
        </is>
      </c>
      <c r="B12" s="27" t="inlineStr">
        <is>
          <t>金币</t>
        </is>
      </c>
      <c r="C12" s="28" t="inlineStr">
        <is>
          <t>资源副本</t>
        </is>
      </c>
      <c r="D12" s="28" t="inlineStr">
        <is>
          <t>难度8</t>
        </is>
      </c>
      <c r="E12" s="28" t="inlineStr">
        <is>
          <t>220008</t>
        </is>
      </c>
      <c r="F12" s="27" t="inlineStr">
        <is>
          <t>普通怪</t>
        </is>
      </c>
      <c r="G12" s="37" t="n">
        <v>124</v>
      </c>
      <c r="H12" s="38" t="n"/>
      <c r="I12" s="39" t="n">
        <v>124</v>
      </c>
      <c r="J12" s="40" t="n">
        <v>107</v>
      </c>
      <c r="K12" s="73" t="n"/>
      <c r="L12" s="73" t="n"/>
      <c r="M12" s="73" t="n"/>
      <c r="N12" s="73" t="n"/>
      <c r="O12" s="73" t="n"/>
      <c r="P12" s="73" t="n"/>
      <c r="Q12" s="74">
        <f>IF($I12="","",IFERROR(INDEX(_玩家曲线!$H$2:$H$286,MATCH($I12,_玩家曲线!$A$2:$A$286,0)),""))</f>
        <v/>
      </c>
      <c r="R12" s="74">
        <f>IF($I12="","",IFERROR(INDEX(_玩家曲线!$I$2:$I$286,MATCH($I12,_玩家曲线!$A$2:$A$286,0)),""))</f>
        <v/>
      </c>
      <c r="S12" s="74">
        <f>IF(OR($J12="",$F12="不适用"),"",IFERROR(INDEX(_怪物模型!$D$2:$D$4501,(INT($J12)-1)*ROWS(_怪物类型!$A$2:$A$10)+MATCH($F12,_怪物类型!$A$2:$A$10,0))*IF($K12="",1,$K12),""))</f>
        <v/>
      </c>
      <c r="T12" s="74">
        <f>IF(OR($J12="",$F12="不适用"),"",IFERROR(INDEX(_怪物模型!$E$2:$E$4501,(INT($J12)-1)*ROWS(_怪物类型!$A$2:$A$10)+MATCH($F12,_怪物类型!$A$2:$A$10,0))*IF($L12="",1,$L12),""))</f>
        <v/>
      </c>
      <c r="U12" s="74">
        <f>IF(OR($J12="",$F12="不适用"),"",IFERROR(INDEX(_怪物模型!$F$2:$F$4501,(INT($J12)-1)*ROWS(_怪物类型!$A$2:$A$10)+MATCH($F12,_怪物类型!$A$2:$A$10,0))*IF($M12="",1,$M12),""))</f>
        <v/>
      </c>
      <c r="V12" s="75">
        <f>IF($U12="","",MIN(0.75,$U12/($U12+24000)))</f>
        <v/>
      </c>
      <c r="W12" s="76">
        <f>IF($S12="","",$S12/(1-$V12)*IF($N12="",1,$N12))</f>
        <v/>
      </c>
      <c r="X12" s="76">
        <f>IF(OR($W12="",$Q12="",$Q12=0),"",$W12/$Q12)</f>
        <v/>
      </c>
      <c r="Y12" s="76">
        <f>IF(OR($R12="",$T12="",$T12=0),"",$R12/($T12*IF($O12="",1,$O12)))</f>
        <v/>
      </c>
      <c r="Z12" s="77">
        <f>IF(OR($X12="",$P12="",$P12=0),"",$X12/$P12)</f>
        <v/>
      </c>
      <c r="AA12" s="27">
        <f>IF($J12="","待填怪物等级",IF(OR($I12="",$Q12=""),"待填对照关卡",IF($P12="","已计算",IF(AND($Y12&lt;&gt;"",$Y12&lt;$X12),"生存不成立",IF($Z12&lt;0.5,"碾压",IF($Z12&lt;0.8,"偏简单",IF($Z12&lt;=1.2,"适中",IF($Z12&lt;=1.5,"偏难","过难"))))))))</f>
        <v/>
      </c>
      <c r="AB12" s="27">
        <f>IF($J12="","待填",IF(AND(ISNUMBER($J12),$J12&gt;=1,$J12&lt;=500,MOD($J12,1)=0),"有效","超范围"))</f>
        <v/>
      </c>
      <c r="AC12" s="27">
        <f>IF(OR($J12="",ROW()=5,$B12&lt;&gt;$B11,$J11=""),"",IF($J12&lt;$J11,"下降",""))</f>
        <v/>
      </c>
      <c r="AD12" s="28" t="inlineStr">
        <is>
          <t>档位解锁Lv45；修正版V4：首档送进度，9档共用Lv30→180缓升；对照节点S124｜V4同步最新玩家曲线：Lv157→Lv148，保留原TTK/生存压力目标｜曲线同步20260811：Lv148→Lv122，保持原玩法定位与TTK/生存压力｜2026-09-14 用户裁决维持5档，6~9档维持停用；本行保留原值仅作记录。</t>
        </is>
      </c>
      <c r="AE12" t="n">
        <v>71400</v>
      </c>
    </row>
    <row r="13" ht="25" customHeight="1">
      <c r="A13" s="27" t="inlineStr">
        <is>
          <t>历史停用档（双表##注释，未采用9档方案）</t>
        </is>
      </c>
      <c r="B13" s="27" t="inlineStr">
        <is>
          <t>金币</t>
        </is>
      </c>
      <c r="C13" s="28" t="inlineStr">
        <is>
          <t>资源副本</t>
        </is>
      </c>
      <c r="D13" s="28" t="inlineStr">
        <is>
          <t>难度9</t>
        </is>
      </c>
      <c r="E13" s="28" t="inlineStr">
        <is>
          <t>220009</t>
        </is>
      </c>
      <c r="F13" s="27" t="inlineStr">
        <is>
          <t>普通怪</t>
        </is>
      </c>
      <c r="G13" s="37" t="n">
        <v>146</v>
      </c>
      <c r="H13" s="38" t="n"/>
      <c r="I13" s="39" t="n">
        <v>146</v>
      </c>
      <c r="J13" s="40" t="n">
        <v>126</v>
      </c>
      <c r="K13" s="73" t="n"/>
      <c r="L13" s="73" t="n"/>
      <c r="M13" s="73" t="n"/>
      <c r="N13" s="73" t="n"/>
      <c r="O13" s="73" t="n"/>
      <c r="P13" s="73" t="n"/>
      <c r="Q13" s="74">
        <f>IF($I13="","",IFERROR(INDEX(_玩家曲线!$H$2:$H$286,MATCH($I13,_玩家曲线!$A$2:$A$286,0)),""))</f>
        <v/>
      </c>
      <c r="R13" s="74">
        <f>IF($I13="","",IFERROR(INDEX(_玩家曲线!$I$2:$I$286,MATCH($I13,_玩家曲线!$A$2:$A$286,0)),""))</f>
        <v/>
      </c>
      <c r="S13" s="74">
        <f>IF(OR($J13="",$F13="不适用"),"",IFERROR(INDEX(_怪物模型!$D$2:$D$4501,(INT($J13)-1)*ROWS(_怪物类型!$A$2:$A$10)+MATCH($F13,_怪物类型!$A$2:$A$10,0))*IF($K13="",1,$K13),""))</f>
        <v/>
      </c>
      <c r="T13" s="74">
        <f>IF(OR($J13="",$F13="不适用"),"",IFERROR(INDEX(_怪物模型!$E$2:$E$4501,(INT($J13)-1)*ROWS(_怪物类型!$A$2:$A$10)+MATCH($F13,_怪物类型!$A$2:$A$10,0))*IF($L13="",1,$L13),""))</f>
        <v/>
      </c>
      <c r="U13" s="74">
        <f>IF(OR($J13="",$F13="不适用"),"",IFERROR(INDEX(_怪物模型!$F$2:$F$4501,(INT($J13)-1)*ROWS(_怪物类型!$A$2:$A$10)+MATCH($F13,_怪物类型!$A$2:$A$10,0))*IF($M13="",1,$M13),""))</f>
        <v/>
      </c>
      <c r="V13" s="75">
        <f>IF($U13="","",MIN(0.75,$U13/($U13+24000)))</f>
        <v/>
      </c>
      <c r="W13" s="76">
        <f>IF($S13="","",$S13/(1-$V13)*IF($N13="",1,$N13))</f>
        <v/>
      </c>
      <c r="X13" s="76">
        <f>IF(OR($W13="",$Q13="",$Q13=0),"",$W13/$Q13)</f>
        <v/>
      </c>
      <c r="Y13" s="76">
        <f>IF(OR($R13="",$T13="",$T13=0),"",$R13/($T13*IF($O13="",1,$O13)))</f>
        <v/>
      </c>
      <c r="Z13" s="77">
        <f>IF(OR($X13="",$P13="",$P13=0),"",$X13/$P13)</f>
        <v/>
      </c>
      <c r="AA13" s="27">
        <f>IF($J13="","待填怪物等级",IF(OR($I13="",$Q13=""),"待填对照关卡",IF($P13="","已计算",IF(AND($Y13&lt;&gt;"",$Y13&lt;$X13),"生存不成立",IF($Z13&lt;0.5,"碾压",IF($Z13&lt;0.8,"偏简单",IF($Z13&lt;=1.2,"适中",IF($Z13&lt;=1.5,"偏难","过难"))))))))</f>
        <v/>
      </c>
      <c r="AB13" s="27">
        <f>IF($J13="","待填",IF(AND(ISNUMBER($J13),$J13&gt;=1,$J13&lt;=500,MOD($J13,1)=0),"有效","超范围"))</f>
        <v/>
      </c>
      <c r="AC13" s="27">
        <f>IF(OR($J13="",ROW()=5,$B13&lt;&gt;$B12,$J12=""),"",IF($J13&lt;$J12,"下降",""))</f>
        <v/>
      </c>
      <c r="AD13" s="28" t="inlineStr">
        <is>
          <t>档位解锁Lv50；修正版V4：首档送进度，9档共用Lv30→180缓升；对照节点S146｜V4同步最新玩家曲线：Lv180→Lv171，保留原TTK/生存压力目标｜曲线同步20260811：Lv171→Lv142，保持原玩法定位与TTK/生存压力｜2026-09-14 用户裁决维持5档，6~9档维持停用；本行保留原值仅作记录。</t>
        </is>
      </c>
      <c r="AE13" t="n">
        <v>95900</v>
      </c>
    </row>
  </sheetData>
  <mergeCells count="3">
    <mergeCell ref="A3:AD3"/>
    <mergeCell ref="A2:AD2"/>
    <mergeCell ref="A1:AD1"/>
  </mergeCells>
  <conditionalFormatting sqref="J5:J13">
    <cfRule type="expression" priority="1" dxfId="2">
      <formula>AND($A5&lt;&gt;"特殊：双方属性对算",$J5="")</formula>
    </cfRule>
  </conditionalFormatting>
  <conditionalFormatting sqref="AA5:AA13">
    <cfRule type="expression" priority="3" dxfId="0">
      <formula>$AA5="适中"</formula>
    </cfRule>
    <cfRule type="expression" priority="4" dxfId="3">
      <formula>$AA5="偏难"</formula>
    </cfRule>
    <cfRule type="expression" priority="5" dxfId="1">
      <formula>$AA5="过难"</formula>
    </cfRule>
    <cfRule type="expression" priority="6" dxfId="1">
      <formula>$AA5="生存不成立"</formula>
    </cfRule>
  </conditionalFormatting>
  <conditionalFormatting sqref="AB5:AB13">
    <cfRule type="expression" priority="2" dxfId="4">
      <formula>$AB5="超范围"</formula>
    </cfRule>
  </conditionalFormatting>
  <conditionalFormatting sqref="AC5:AC13">
    <cfRule type="expression" priority="7" dxfId="4">
      <formula>$AC5="下降"</formula>
    </cfRule>
  </conditionalFormatting>
  <dataValidations count="5">
    <dataValidation sqref="F5:F13" showDropDown="0" showInputMessage="0" showErrorMessage="0" allowBlank="0" type="list">
      <formula1>_字典!$A$2:$A$11</formula1>
    </dataValidation>
    <dataValidation sqref="H5:H13" showDropDown="0" showInputMessage="0" showErrorMessage="0" allowBlank="1" type="whole" operator="between">
      <formula1>1</formula1>
      <formula2>285</formula2>
    </dataValidation>
    <dataValidation sqref="J5:J13" showDropDown="0" showInputMessage="0" showErrorMessage="0" allowBlank="1" type="whole" operator="between">
      <formula1>1</formula1>
      <formula2>500</formula2>
    </dataValidation>
    <dataValidation sqref="P5:P13" showDropDown="0" showInputMessage="0" showErrorMessage="0" allowBlank="1" type="decimal" operator="between">
      <formula1>0.01</formula1>
      <formula2>3600</formula2>
    </dataValidation>
    <dataValidation sqref="K5:O13" showDropDown="0" showInputMessage="0" showErrorMessage="0" allowBlank="1" type="decimal" operator="between">
      <formula1>0</formula1>
      <formula2>100</formula2>
    </dataValidation>
  </dataValidations>
  <hyperlinks>
    <hyperlink xmlns:r="http://schemas.openxmlformats.org/officeDocument/2006/relationships" ref="A1" display="全玩法难度填写｜金币" r:id="rId1"/>
  </hyperlink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tabColor rgb="FF548235"/>
    <outlinePr summaryBelow="1" summaryRight="1"/>
    <pageSetUpPr/>
  </sheetPr>
  <dimension ref="A1:AF13"/>
  <sheetViews>
    <sheetView showGridLines="0" workbookViewId="0">
      <selection activeCell="A1" sqref="A1:AD1"/>
    </sheetView>
  </sheetViews>
  <sheetFormatPr baseColWidth="8" defaultColWidth="9" defaultRowHeight="13.5"/>
  <cols>
    <col width="12" customWidth="1" min="1" max="1"/>
    <col width="13" customWidth="1" min="2" max="2"/>
    <col width="18" customWidth="1" min="3" max="3"/>
    <col width="15" customWidth="1" min="4" max="4"/>
    <col width="35" customWidth="1" min="5" max="5"/>
    <col width="14" customWidth="1" min="6" max="9"/>
    <col width="12" customWidth="1" min="10" max="10"/>
    <col width="11" customWidth="1" min="11" max="13"/>
    <col width="13" customWidth="1" min="14" max="15"/>
    <col width="12" customWidth="1" min="16" max="16"/>
    <col width="16" customWidth="1" min="17" max="21"/>
    <col width="12" customWidth="1" min="22" max="22"/>
    <col width="17" customWidth="1" min="23" max="23"/>
    <col width="14" customWidth="1" min="24" max="25"/>
    <col width="12" customWidth="1" min="26" max="26"/>
    <col width="15" customWidth="1" min="27" max="27"/>
    <col width="12" customWidth="1" min="28" max="29"/>
    <col width="46" customWidth="1" min="30" max="30"/>
    <col width="22" customWidth="1" min="31" max="32"/>
  </cols>
  <sheetData>
    <row r="1" ht="34" customHeight="1">
      <c r="A1" s="23" t="inlineStr">
        <is>
          <t>全玩法难度填写｜收容经验</t>
        </is>
      </c>
    </row>
    <row r="2" ht="30" customHeight="1">
      <c r="A2" s="24" t="inlineStr">
        <is>
          <t>当前页已按开启顺序和玩法定位填入首版怪物等级。黄色J列可直接覆盖；G列是本版使用的玩家曲线对照节点。</t>
        </is>
      </c>
    </row>
    <row r="3" ht="14.25" customHeight="1">
      <c r="A3" s="25" t="inlineStr">
        <is>
          <t>公式口径：怪物实际属性=战斗公式标准模型×可选系数；怪物EHP=实际生命÷(1-防御减伤)×整关EHP倍率；TTK=怪物EHP÷玩家DPS。</t>
        </is>
      </c>
    </row>
    <row r="4" ht="30" customHeight="1">
      <c r="A4" s="26" t="inlineStr">
        <is>
          <t>状态</t>
        </is>
      </c>
      <c r="B4" s="26" t="inlineStr">
        <is>
          <t>玩法</t>
        </is>
      </c>
      <c r="C4" s="26" t="inlineStr">
        <is>
          <t>子玩法/共用范围</t>
        </is>
      </c>
      <c r="D4" s="26" t="inlineStr">
        <is>
          <t>节点名称</t>
        </is>
      </c>
      <c r="E4" s="26" t="inlineStr">
        <is>
          <t>LevelId/配置映射</t>
        </is>
      </c>
      <c r="F4" s="26" t="inlineStr">
        <is>
          <t>怪物类型</t>
        </is>
      </c>
      <c r="G4" s="26" t="inlineStr">
        <is>
          <t>默认对照关卡</t>
        </is>
      </c>
      <c r="H4" s="26" t="inlineStr">
        <is>
          <t>手动对照关卡</t>
        </is>
      </c>
      <c r="I4" s="26" t="inlineStr">
        <is>
          <t>实际对照关卡</t>
        </is>
      </c>
      <c r="J4" s="26" t="inlineStr">
        <is>
          <t>怪物等级</t>
        </is>
      </c>
      <c r="K4" s="26" t="inlineStr">
        <is>
          <t>生命系数</t>
        </is>
      </c>
      <c r="L4" s="26" t="inlineStr">
        <is>
          <t>攻击系数</t>
        </is>
      </c>
      <c r="M4" s="26" t="inlineStr">
        <is>
          <t>防御系数</t>
        </is>
      </c>
      <c r="N4" s="26" t="inlineStr">
        <is>
          <t>整关EHP倍率</t>
        </is>
      </c>
      <c r="O4" s="26" t="inlineStr">
        <is>
          <t>攻击压力倍率</t>
        </is>
      </c>
      <c r="P4" s="26" t="inlineStr">
        <is>
          <t>目标时间(s)</t>
        </is>
      </c>
      <c r="Q4" s="26" t="inlineStr">
        <is>
          <t>玩家DPS</t>
        </is>
      </c>
      <c r="R4" s="26" t="inlineStr">
        <is>
          <t>玩家队伍EHP</t>
        </is>
      </c>
      <c r="S4" s="26" t="inlineStr">
        <is>
          <t>怪物实际生命</t>
        </is>
      </c>
      <c r="T4" s="26" t="inlineStr">
        <is>
          <t>怪物实际攻击</t>
        </is>
      </c>
      <c r="U4" s="26" t="inlineStr">
        <is>
          <t>怪物实际防御</t>
        </is>
      </c>
      <c r="V4" s="26" t="inlineStr">
        <is>
          <t>怪物减伤率</t>
        </is>
      </c>
      <c r="W4" s="26" t="inlineStr">
        <is>
          <t>整关目标EHP</t>
        </is>
      </c>
      <c r="X4" s="26" t="inlineStr">
        <is>
          <t>预测TTK(s)</t>
        </is>
      </c>
      <c r="Y4" s="26" t="inlineStr">
        <is>
          <t>预测存活(s)</t>
        </is>
      </c>
      <c r="Z4" s="26" t="inlineStr">
        <is>
          <t>TTK/目标</t>
        </is>
      </c>
      <c r="AA4" s="26" t="inlineStr">
        <is>
          <t>难度判断</t>
        </is>
      </c>
      <c r="AB4" s="26" t="inlineStr">
        <is>
          <t>等级检查</t>
        </is>
      </c>
      <c r="AC4" s="26" t="inlineStr">
        <is>
          <t>等级趋势</t>
        </is>
      </c>
      <c r="AD4" s="26" t="inlineStr">
        <is>
          <t>备注</t>
        </is>
      </c>
      <c r="AE4" s="8" t="inlineStr">
        <is>
          <t>玩法推荐战力</t>
        </is>
      </c>
      <c r="AF4" s="8" t="inlineStr">
        <is>
          <t>标准等级战力</t>
        </is>
      </c>
    </row>
    <row r="5" ht="25" customHeight="1">
      <c r="A5" s="27" t="inlineStr">
        <is>
          <t>当前配置</t>
        </is>
      </c>
      <c r="B5" s="27" t="inlineStr">
        <is>
          <t>收容经验</t>
        </is>
      </c>
      <c r="C5" s="28" t="inlineStr">
        <is>
          <t>资源副本</t>
        </is>
      </c>
      <c r="D5" s="28" t="inlineStr">
        <is>
          <t>难度1</t>
        </is>
      </c>
      <c r="E5" s="28" t="inlineStr">
        <is>
          <t>221001</t>
        </is>
      </c>
      <c r="F5" s="27" t="inlineStr">
        <is>
          <t>普通怪</t>
        </is>
      </c>
      <c r="G5" s="37" t="n">
        <v>9</v>
      </c>
      <c r="H5" s="38" t="n"/>
      <c r="I5" s="39" t="n">
        <v>9</v>
      </c>
      <c r="J5" s="40" t="n">
        <v>25</v>
      </c>
      <c r="K5" s="72" t="n">
        <v>0.9</v>
      </c>
      <c r="L5" s="72" t="n">
        <v>0.85</v>
      </c>
      <c r="M5" s="72" t="n">
        <v>1</v>
      </c>
      <c r="N5" s="73" t="n"/>
      <c r="O5" s="73" t="n"/>
      <c r="P5" s="73" t="n"/>
      <c r="Q5" s="74">
        <f>IF($I5="","",IFERROR(INDEX(_玩家曲线!$H$2:$H$286,MATCH($I5,_玩家曲线!$A$2:$A$286,0)),""))</f>
        <v/>
      </c>
      <c r="R5" s="74">
        <f>IF($I5="","",IFERROR(INDEX(_玩家曲线!$I$2:$I$286,MATCH($I5,_玩家曲线!$A$2:$A$286,0)),""))</f>
        <v/>
      </c>
      <c r="S5" s="74">
        <f>IF(OR($J5="",$F5="不适用"),"",IFERROR(INDEX(_怪物模型!$D$2:$D$4501,(INT($J5)-1)*ROWS(_怪物类型!$A$2:$A$10)+MATCH($F5,_怪物类型!$A$2:$A$10,0))*IF($K5="",1,$K5),""))</f>
        <v/>
      </c>
      <c r="T5" s="74">
        <f>IF(OR($J5="",$F5="不适用"),"",IFERROR(INDEX(_怪物模型!$E$2:$E$4501,(INT($J5)-1)*ROWS(_怪物类型!$A$2:$A$10)+MATCH($F5,_怪物类型!$A$2:$A$10,0))*IF($L5="",1,$L5),""))</f>
        <v/>
      </c>
      <c r="U5" s="74">
        <f>IF(OR($J5="",$F5="不适用"),"",IFERROR(INDEX(_怪物模型!$F$2:$F$4501,(INT($J5)-1)*ROWS(_怪物类型!$A$2:$A$10)+MATCH($F5,_怪物类型!$A$2:$A$10,0))*IF($M5="",1,$M5),""))</f>
        <v/>
      </c>
      <c r="V5" s="75">
        <f>IF($U5="","",MIN(0.75,$U5/($U5+24000)))</f>
        <v/>
      </c>
      <c r="W5" s="76">
        <f>IF($S5="","",$S5/(1-$V5)*IF($N5="",1,$N5))</f>
        <v/>
      </c>
      <c r="X5" s="76">
        <f>IF(OR($W5="",$Q5="",$Q5=0),"",$W5/$Q5)</f>
        <v/>
      </c>
      <c r="Y5" s="76">
        <f>IF(OR($R5="",$T5="",$T5=0),"",$R5/($T5*IF($O5="",1,$O5)))</f>
        <v/>
      </c>
      <c r="Z5" s="77">
        <f>IF(OR($X5="",$P5="",$P5=0),"",$X5/$P5)</f>
        <v/>
      </c>
      <c r="AA5" s="27">
        <f>IF($J5="","待填怪物等级",IF(OR($I5="",$Q5=""),"待填对照关卡",IF($P5="","已计算",IF(AND($Y5&lt;&gt;"",$Y5&lt;$X5),"生存不成立",IF($Z5&lt;0.5,"碾压",IF($Z5&lt;0.8,"偏简单",IF($Z5&lt;=1.2,"适中",IF($Z5&lt;=1.5,"偏难","过难"))))))))</f>
        <v/>
      </c>
      <c r="AB5" s="27">
        <f>IF($J5="","待填",IF(AND(ISNUMBER($J5),$J5&gt;=1,$J5&lt;=500,MOD($J5,1)=0),"有效","超范围"))</f>
        <v/>
      </c>
      <c r="AC5" s="27">
        <f>IF(OR($J5="",ROW()=5,$B5&lt;&gt;$B4,$J4=""),"",IF($J5&lt;$J4,"下降",""))</f>
        <v/>
      </c>
      <c r="AD5" s="28" t="inlineStr">
        <is>
          <t>2026-09-14 定稿v2（用户裁决：维持5档、第5档150级）：25/60/95/120/150，K/L=0.9/0.85；锚点进度9~47。</t>
        </is>
      </c>
      <c r="AE5" t="n">
        <v>10100</v>
      </c>
      <c r="AF5">
        <f>INDEX(_统一战力!$B$2:$B$501,J5)</f>
        <v/>
      </c>
    </row>
    <row r="6" ht="25" customHeight="1">
      <c r="A6" s="27" t="inlineStr">
        <is>
          <t>当前配置</t>
        </is>
      </c>
      <c r="B6" s="27" t="inlineStr">
        <is>
          <t>收容经验</t>
        </is>
      </c>
      <c r="C6" s="28" t="inlineStr">
        <is>
          <t>资源副本</t>
        </is>
      </c>
      <c r="D6" s="28" t="inlineStr">
        <is>
          <t>难度2</t>
        </is>
      </c>
      <c r="E6" s="28" t="inlineStr">
        <is>
          <t>221002</t>
        </is>
      </c>
      <c r="F6" s="27" t="inlineStr">
        <is>
          <t>普通怪</t>
        </is>
      </c>
      <c r="G6" s="37" t="n">
        <v>20</v>
      </c>
      <c r="H6" s="38" t="n"/>
      <c r="I6" s="39" t="n">
        <v>20</v>
      </c>
      <c r="J6" s="40" t="n">
        <v>60</v>
      </c>
      <c r="K6" s="72" t="n">
        <v>0.9</v>
      </c>
      <c r="L6" s="72" t="n">
        <v>0.85</v>
      </c>
      <c r="M6" s="72" t="n">
        <v>1</v>
      </c>
      <c r="N6" s="73" t="n"/>
      <c r="O6" s="73" t="n"/>
      <c r="P6" s="73" t="n"/>
      <c r="Q6" s="74">
        <f>IF($I6="","",IFERROR(INDEX(_玩家曲线!$H$2:$H$286,MATCH($I6,_玩家曲线!$A$2:$A$286,0)),""))</f>
        <v/>
      </c>
      <c r="R6" s="74">
        <f>IF($I6="","",IFERROR(INDEX(_玩家曲线!$I$2:$I$286,MATCH($I6,_玩家曲线!$A$2:$A$286,0)),""))</f>
        <v/>
      </c>
      <c r="S6" s="74">
        <f>IF(OR($J6="",$F6="不适用"),"",IFERROR(INDEX(_怪物模型!$D$2:$D$4501,(INT($J6)-1)*ROWS(_怪物类型!$A$2:$A$10)+MATCH($F6,_怪物类型!$A$2:$A$10,0))*IF($K6="",1,$K6),""))</f>
        <v/>
      </c>
      <c r="T6" s="74">
        <f>IF(OR($J6="",$F6="不适用"),"",IFERROR(INDEX(_怪物模型!$E$2:$E$4501,(INT($J6)-1)*ROWS(_怪物类型!$A$2:$A$10)+MATCH($F6,_怪物类型!$A$2:$A$10,0))*IF($L6="",1,$L6),""))</f>
        <v/>
      </c>
      <c r="U6" s="74">
        <f>IF(OR($J6="",$F6="不适用"),"",IFERROR(INDEX(_怪物模型!$F$2:$F$4501,(INT($J6)-1)*ROWS(_怪物类型!$A$2:$A$10)+MATCH($F6,_怪物类型!$A$2:$A$10,0))*IF($M6="",1,$M6),""))</f>
        <v/>
      </c>
      <c r="V6" s="75">
        <f>IF($U6="","",MIN(0.75,$U6/($U6+24000)))</f>
        <v/>
      </c>
      <c r="W6" s="76">
        <f>IF($S6="","",$S6/(1-$V6)*IF($N6="",1,$N6))</f>
        <v/>
      </c>
      <c r="X6" s="76">
        <f>IF(OR($W6="",$Q6="",$Q6=0),"",$W6/$Q6)</f>
        <v/>
      </c>
      <c r="Y6" s="76">
        <f>IF(OR($R6="",$T6="",$T6=0),"",$R6/($T6*IF($O6="",1,$O6)))</f>
        <v/>
      </c>
      <c r="Z6" s="77">
        <f>IF(OR($X6="",$P6="",$P6=0),"",$X6/$P6)</f>
        <v/>
      </c>
      <c r="AA6" s="27">
        <f>IF($J6="","待填怪物等级",IF(OR($I6="",$Q6=""),"待填对照关卡",IF($P6="","已计算",IF(AND($Y6&lt;&gt;"",$Y6&lt;$X6),"生存不成立",IF($Z6&lt;0.5,"碾压",IF($Z6&lt;0.8,"偏简单",IF($Z6&lt;=1.2,"适中",IF($Z6&lt;=1.5,"偏难","过难"))))))))</f>
        <v/>
      </c>
      <c r="AB6" s="27">
        <f>IF($J6="","待填",IF(AND(ISNUMBER($J6),$J6&gt;=1,$J6&lt;=500,MOD($J6,1)=0),"有效","超范围"))</f>
        <v/>
      </c>
      <c r="AC6" s="27">
        <f>IF(OR($J6="",ROW()=5,$B6&lt;&gt;$B5,$J5=""),"",IF($J6&lt;$J5,"下降",""))</f>
        <v/>
      </c>
      <c r="AD6" s="28" t="inlineStr">
        <is>
          <t>2026-09-14 定稿v2（用户裁决：维持5档、第5档150级）：25/60/95/120/150，K/L=0.9/0.85；锚点进度9~47。</t>
        </is>
      </c>
      <c r="AE6" t="n">
        <v>25400</v>
      </c>
      <c r="AF6">
        <f>INDEX(_统一战力!$B$2:$B$501,J6)</f>
        <v/>
      </c>
    </row>
    <row r="7" ht="25" customHeight="1">
      <c r="A7" s="27" t="inlineStr">
        <is>
          <t>当前配置</t>
        </is>
      </c>
      <c r="B7" s="27" t="inlineStr">
        <is>
          <t>收容经验</t>
        </is>
      </c>
      <c r="C7" s="28" t="inlineStr">
        <is>
          <t>资源副本</t>
        </is>
      </c>
      <c r="D7" s="28" t="inlineStr">
        <is>
          <t>难度3</t>
        </is>
      </c>
      <c r="E7" s="28" t="inlineStr">
        <is>
          <t>221003</t>
        </is>
      </c>
      <c r="F7" s="27" t="inlineStr">
        <is>
          <t>普通怪</t>
        </is>
      </c>
      <c r="G7" s="37" t="n">
        <v>31</v>
      </c>
      <c r="H7" s="38" t="n"/>
      <c r="I7" s="39" t="n">
        <v>31</v>
      </c>
      <c r="J7" s="40" t="n">
        <v>95</v>
      </c>
      <c r="K7" s="72" t="n">
        <v>0.9</v>
      </c>
      <c r="L7" s="72" t="n">
        <v>0.85</v>
      </c>
      <c r="M7" s="72" t="n">
        <v>1</v>
      </c>
      <c r="N7" s="73" t="n"/>
      <c r="O7" s="73" t="n"/>
      <c r="P7" s="73" t="n"/>
      <c r="Q7" s="74">
        <f>IF($I7="","",IFERROR(INDEX(_玩家曲线!$H$2:$H$286,MATCH($I7,_玩家曲线!$A$2:$A$286,0)),""))</f>
        <v/>
      </c>
      <c r="R7" s="74">
        <f>IF($I7="","",IFERROR(INDEX(_玩家曲线!$I$2:$I$286,MATCH($I7,_玩家曲线!$A$2:$A$286,0)),""))</f>
        <v/>
      </c>
      <c r="S7" s="74">
        <f>IF(OR($J7="",$F7="不适用"),"",IFERROR(INDEX(_怪物模型!$D$2:$D$4501,(INT($J7)-1)*ROWS(_怪物类型!$A$2:$A$10)+MATCH($F7,_怪物类型!$A$2:$A$10,0))*IF($K7="",1,$K7),""))</f>
        <v/>
      </c>
      <c r="T7" s="74">
        <f>IF(OR($J7="",$F7="不适用"),"",IFERROR(INDEX(_怪物模型!$E$2:$E$4501,(INT($J7)-1)*ROWS(_怪物类型!$A$2:$A$10)+MATCH($F7,_怪物类型!$A$2:$A$10,0))*IF($L7="",1,$L7),""))</f>
        <v/>
      </c>
      <c r="U7" s="74">
        <f>IF(OR($J7="",$F7="不适用"),"",IFERROR(INDEX(_怪物模型!$F$2:$F$4501,(INT($J7)-1)*ROWS(_怪物类型!$A$2:$A$10)+MATCH($F7,_怪物类型!$A$2:$A$10,0))*IF($M7="",1,$M7),""))</f>
        <v/>
      </c>
      <c r="V7" s="75">
        <f>IF($U7="","",MIN(0.75,$U7/($U7+24000)))</f>
        <v/>
      </c>
      <c r="W7" s="76">
        <f>IF($S7="","",$S7/(1-$V7)*IF($N7="",1,$N7))</f>
        <v/>
      </c>
      <c r="X7" s="76">
        <f>IF(OR($W7="",$Q7="",$Q7=0),"",$W7/$Q7)</f>
        <v/>
      </c>
      <c r="Y7" s="76">
        <f>IF(OR($R7="",$T7="",$T7=0),"",$R7/($T7*IF($O7="",1,$O7)))</f>
        <v/>
      </c>
      <c r="Z7" s="77">
        <f>IF(OR($X7="",$P7="",$P7=0),"",$X7/$P7)</f>
        <v/>
      </c>
      <c r="AA7" s="27">
        <f>IF($J7="","待填怪物等级",IF(OR($I7="",$Q7=""),"待填对照关卡",IF($P7="","已计算",IF(AND($Y7&lt;&gt;"",$Y7&lt;$X7),"生存不成立",IF($Z7&lt;0.5,"碾压",IF($Z7&lt;0.8,"偏简单",IF($Z7&lt;=1.2,"适中",IF($Z7&lt;=1.5,"偏难","过难"))))))))</f>
        <v/>
      </c>
      <c r="AB7" s="27">
        <f>IF($J7="","待填",IF(AND(ISNUMBER($J7),$J7&gt;=1,$J7&lt;=500,MOD($J7,1)=0),"有效","超范围"))</f>
        <v/>
      </c>
      <c r="AC7" s="27">
        <f>IF(OR($J7="",ROW()=5,$B7&lt;&gt;$B6,$J6=""),"",IF($J7&lt;$J6,"下降",""))</f>
        <v/>
      </c>
      <c r="AD7" s="28" t="inlineStr">
        <is>
          <t>2026-09-14 定稿v2（用户裁决：维持5档、第5档150级）：25/60/95/120/150，K/L=0.9/0.85；锚点进度9~47。</t>
        </is>
      </c>
      <c r="AE7" t="n">
        <v>49100</v>
      </c>
      <c r="AF7">
        <f>INDEX(_统一战力!$B$2:$B$501,J7)</f>
        <v/>
      </c>
    </row>
    <row r="8" ht="25" customHeight="1">
      <c r="A8" s="27" t="inlineStr">
        <is>
          <t>当前配置</t>
        </is>
      </c>
      <c r="B8" s="27" t="inlineStr">
        <is>
          <t>收容经验</t>
        </is>
      </c>
      <c r="C8" s="28" t="inlineStr">
        <is>
          <t>资源副本</t>
        </is>
      </c>
      <c r="D8" s="28" t="inlineStr">
        <is>
          <t>难度4</t>
        </is>
      </c>
      <c r="E8" s="28" t="inlineStr">
        <is>
          <t>221004</t>
        </is>
      </c>
      <c r="F8" s="27" t="inlineStr">
        <is>
          <t>普通怪</t>
        </is>
      </c>
      <c r="G8" s="37" t="n">
        <v>39</v>
      </c>
      <c r="H8" s="38" t="n"/>
      <c r="I8" s="39" t="n">
        <v>39</v>
      </c>
      <c r="J8" s="40" t="n">
        <v>120</v>
      </c>
      <c r="K8" s="72" t="n">
        <v>0.9</v>
      </c>
      <c r="L8" s="72" t="n">
        <v>0.85</v>
      </c>
      <c r="M8" s="72" t="n">
        <v>1</v>
      </c>
      <c r="N8" s="73" t="n"/>
      <c r="O8" s="73" t="n"/>
      <c r="P8" s="73" t="n"/>
      <c r="Q8" s="74">
        <f>IF($I8="","",IFERROR(INDEX(_玩家曲线!$H$2:$H$286,MATCH($I8,_玩家曲线!$A$2:$A$286,0)),""))</f>
        <v/>
      </c>
      <c r="R8" s="74">
        <f>IF($I8="","",IFERROR(INDEX(_玩家曲线!$I$2:$I$286,MATCH($I8,_玩家曲线!$A$2:$A$286,0)),""))</f>
        <v/>
      </c>
      <c r="S8" s="74">
        <f>IF(OR($J8="",$F8="不适用"),"",IFERROR(INDEX(_怪物模型!$D$2:$D$4501,(INT($J8)-1)*ROWS(_怪物类型!$A$2:$A$10)+MATCH($F8,_怪物类型!$A$2:$A$10,0))*IF($K8="",1,$K8),""))</f>
        <v/>
      </c>
      <c r="T8" s="74">
        <f>IF(OR($J8="",$F8="不适用"),"",IFERROR(INDEX(_怪物模型!$E$2:$E$4501,(INT($J8)-1)*ROWS(_怪物类型!$A$2:$A$10)+MATCH($F8,_怪物类型!$A$2:$A$10,0))*IF($L8="",1,$L8),""))</f>
        <v/>
      </c>
      <c r="U8" s="74">
        <f>IF(OR($J8="",$F8="不适用"),"",IFERROR(INDEX(_怪物模型!$F$2:$F$4501,(INT($J8)-1)*ROWS(_怪物类型!$A$2:$A$10)+MATCH($F8,_怪物类型!$A$2:$A$10,0))*IF($M8="",1,$M8),""))</f>
        <v/>
      </c>
      <c r="V8" s="75">
        <f>IF($U8="","",MIN(0.75,$U8/($U8+24000)))</f>
        <v/>
      </c>
      <c r="W8" s="76">
        <f>IF($S8="","",$S8/(1-$V8)*IF($N8="",1,$N8))</f>
        <v/>
      </c>
      <c r="X8" s="76">
        <f>IF(OR($W8="",$Q8="",$Q8=0),"",$W8/$Q8)</f>
        <v/>
      </c>
      <c r="Y8" s="76">
        <f>IF(OR($R8="",$T8="",$T8=0),"",$R8/($T8*IF($O8="",1,$O8)))</f>
        <v/>
      </c>
      <c r="Z8" s="77">
        <f>IF(OR($X8="",$P8="",$P8=0),"",$X8/$P8)</f>
        <v/>
      </c>
      <c r="AA8" s="27">
        <f>IF($J8="","待填怪物等级",IF(OR($I8="",$Q8=""),"待填对照关卡",IF($P8="","已计算",IF(AND($Y8&lt;&gt;"",$Y8&lt;$X8),"生存不成立",IF($Z8&lt;0.5,"碾压",IF($Z8&lt;0.8,"偏简单",IF($Z8&lt;=1.2,"适中",IF($Z8&lt;=1.5,"偏难","过难"))))))))</f>
        <v/>
      </c>
      <c r="AB8" s="27">
        <f>IF($J8="","待填",IF(AND(ISNUMBER($J8),$J8&gt;=1,$J8&lt;=500,MOD($J8,1)=0),"有效","超范围"))</f>
        <v/>
      </c>
      <c r="AC8" s="27">
        <f>IF(OR($J8="",ROW()=5,$B8&lt;&gt;$B7,$J7=""),"",IF($J8&lt;$J7,"下降",""))</f>
        <v/>
      </c>
      <c r="AD8" s="28" t="inlineStr">
        <is>
          <t>2026-09-14 定稿v2（用户裁决：维持5档、第5档150级）：25/60/95/120/150，K/L=0.9/0.85；锚点进度9~47。</t>
        </is>
      </c>
      <c r="AE8" t="n">
        <v>71400</v>
      </c>
      <c r="AF8">
        <f>INDEX(_统一战力!$B$2:$B$501,J8)</f>
        <v/>
      </c>
    </row>
    <row r="9" ht="25" customHeight="1">
      <c r="A9" s="27" t="inlineStr">
        <is>
          <t>当前配置</t>
        </is>
      </c>
      <c r="B9" s="27" t="inlineStr">
        <is>
          <t>收容经验</t>
        </is>
      </c>
      <c r="C9" s="28" t="inlineStr">
        <is>
          <t>资源副本</t>
        </is>
      </c>
      <c r="D9" s="28" t="inlineStr">
        <is>
          <t>难度5</t>
        </is>
      </c>
      <c r="E9" s="28" t="inlineStr">
        <is>
          <t>221005</t>
        </is>
      </c>
      <c r="F9" s="27" t="inlineStr">
        <is>
          <t>普通怪</t>
        </is>
      </c>
      <c r="G9" s="37" t="n">
        <v>47</v>
      </c>
      <c r="H9" s="38" t="n"/>
      <c r="I9" s="39" t="n">
        <v>47</v>
      </c>
      <c r="J9" s="40" t="n">
        <v>150</v>
      </c>
      <c r="K9" s="72" t="n">
        <v>0.9</v>
      </c>
      <c r="L9" s="72" t="n">
        <v>0.85</v>
      </c>
      <c r="M9" s="72" t="n">
        <v>1</v>
      </c>
      <c r="N9" s="73" t="n"/>
      <c r="O9" s="73" t="n"/>
      <c r="P9" s="73" t="n"/>
      <c r="Q9" s="74">
        <f>IF($I9="","",IFERROR(INDEX(_玩家曲线!$H$2:$H$286,MATCH($I9,_玩家曲线!$A$2:$A$286,0)),""))</f>
        <v/>
      </c>
      <c r="R9" s="74">
        <f>IF($I9="","",IFERROR(INDEX(_玩家曲线!$I$2:$I$286,MATCH($I9,_玩家曲线!$A$2:$A$286,0)),""))</f>
        <v/>
      </c>
      <c r="S9" s="74">
        <f>IF(OR($J9="",$F9="不适用"),"",IFERROR(INDEX(_怪物模型!$D$2:$D$4501,(INT($J9)-1)*ROWS(_怪物类型!$A$2:$A$10)+MATCH($F9,_怪物类型!$A$2:$A$10,0))*IF($K9="",1,$K9),""))</f>
        <v/>
      </c>
      <c r="T9" s="74">
        <f>IF(OR($J9="",$F9="不适用"),"",IFERROR(INDEX(_怪物模型!$E$2:$E$4501,(INT($J9)-1)*ROWS(_怪物类型!$A$2:$A$10)+MATCH($F9,_怪物类型!$A$2:$A$10,0))*IF($L9="",1,$L9),""))</f>
        <v/>
      </c>
      <c r="U9" s="74">
        <f>IF(OR($J9="",$F9="不适用"),"",IFERROR(INDEX(_怪物模型!$F$2:$F$4501,(INT($J9)-1)*ROWS(_怪物类型!$A$2:$A$10)+MATCH($F9,_怪物类型!$A$2:$A$10,0))*IF($M9="",1,$M9),""))</f>
        <v/>
      </c>
      <c r="V9" s="75">
        <f>IF($U9="","",MIN(0.75,$U9/($U9+24000)))</f>
        <v/>
      </c>
      <c r="W9" s="76">
        <f>IF($S9="","",$S9/(1-$V9)*IF($N9="",1,$N9))</f>
        <v/>
      </c>
      <c r="X9" s="76">
        <f>IF(OR($W9="",$Q9="",$Q9=0),"",$W9/$Q9)</f>
        <v/>
      </c>
      <c r="Y9" s="76">
        <f>IF(OR($R9="",$T9="",$T9=0),"",$R9/($T9*IF($O9="",1,$O9)))</f>
        <v/>
      </c>
      <c r="Z9" s="77">
        <f>IF(OR($X9="",$P9="",$P9=0),"",$X9/$P9)</f>
        <v/>
      </c>
      <c r="AA9" s="27">
        <f>IF($J9="","待填怪物等级",IF(OR($I9="",$Q9=""),"待填对照关卡",IF($P9="","已计算",IF(AND($Y9&lt;&gt;"",$Y9&lt;$X9),"生存不成立",IF($Z9&lt;0.5,"碾压",IF($Z9&lt;0.8,"偏简单",IF($Z9&lt;=1.2,"适中",IF($Z9&lt;=1.5,"偏难","过难"))))))))</f>
        <v/>
      </c>
      <c r="AB9" s="27">
        <f>IF($J9="","待填",IF(AND(ISNUMBER($J9),$J9&gt;=1,$J9&lt;=500,MOD($J9,1)=0),"有效","超范围"))</f>
        <v/>
      </c>
      <c r="AC9" s="27">
        <f>IF(OR($J9="",ROW()=5,$B9&lt;&gt;$B8,$J8=""),"",IF($J9&lt;$J8,"下降",""))</f>
        <v/>
      </c>
      <c r="AD9" s="28" t="inlineStr">
        <is>
          <t>2026-09-14 定稿v2（用户裁决：维持5档、第5档150级）：25/60/95/120/150，K/L=0.9/0.85；锚点进度9~47。</t>
        </is>
      </c>
      <c r="AE9" t="n">
        <v>105000</v>
      </c>
      <c r="AF9">
        <f>INDEX(_统一战力!$B$2:$B$501,J9)</f>
        <v/>
      </c>
    </row>
    <row r="10" ht="25" customHeight="1">
      <c r="A10" s="27" t="inlineStr">
        <is>
          <t>历史停用档（双表##注释，未采用9档方案）</t>
        </is>
      </c>
      <c r="B10" s="27" t="inlineStr">
        <is>
          <t>收容经验</t>
        </is>
      </c>
      <c r="C10" s="28" t="inlineStr">
        <is>
          <t>资源副本</t>
        </is>
      </c>
      <c r="D10" s="28" t="inlineStr">
        <is>
          <t>难度6</t>
        </is>
      </c>
      <c r="E10" s="28" t="inlineStr">
        <is>
          <t>221006</t>
        </is>
      </c>
      <c r="F10" s="27" t="inlineStr">
        <is>
          <t>普通怪</t>
        </is>
      </c>
      <c r="G10" s="37" t="n">
        <v>85</v>
      </c>
      <c r="H10" s="38" t="n"/>
      <c r="I10" s="39" t="n">
        <v>85</v>
      </c>
      <c r="J10" s="40" t="n">
        <v>74</v>
      </c>
      <c r="K10" s="73" t="n"/>
      <c r="L10" s="73" t="n"/>
      <c r="M10" s="73" t="n"/>
      <c r="N10" s="73" t="n"/>
      <c r="O10" s="73" t="n"/>
      <c r="P10" s="73" t="n"/>
      <c r="Q10" s="74">
        <f>IF($I10="","",IFERROR(INDEX(_玩家曲线!$H$2:$H$286,MATCH($I10,_玩家曲线!$A$2:$A$286,0)),""))</f>
        <v/>
      </c>
      <c r="R10" s="74">
        <f>IF($I10="","",IFERROR(INDEX(_玩家曲线!$I$2:$I$286,MATCH($I10,_玩家曲线!$A$2:$A$286,0)),""))</f>
        <v/>
      </c>
      <c r="S10" s="74">
        <f>IF(OR($J10="",$F10="不适用"),"",IFERROR(INDEX(_怪物模型!$D$2:$D$4501,(INT($J10)-1)*ROWS(_怪物类型!$A$2:$A$10)+MATCH($F10,_怪物类型!$A$2:$A$10,0))*IF($K10="",1,$K10),""))</f>
        <v/>
      </c>
      <c r="T10" s="74">
        <f>IF(OR($J10="",$F10="不适用"),"",IFERROR(INDEX(_怪物模型!$E$2:$E$4501,(INT($J10)-1)*ROWS(_怪物类型!$A$2:$A$10)+MATCH($F10,_怪物类型!$A$2:$A$10,0))*IF($L10="",1,$L10),""))</f>
        <v/>
      </c>
      <c r="U10" s="74">
        <f>IF(OR($J10="",$F10="不适用"),"",IFERROR(INDEX(_怪物模型!$F$2:$F$4501,(INT($J10)-1)*ROWS(_怪物类型!$A$2:$A$10)+MATCH($F10,_怪物类型!$A$2:$A$10,0))*IF($M10="",1,$M10),""))</f>
        <v/>
      </c>
      <c r="V10" s="75">
        <f>IF($U10="","",MIN(0.75,$U10/($U10+24000)))</f>
        <v/>
      </c>
      <c r="W10" s="76">
        <f>IF($S10="","",$S10/(1-$V10)*IF($N10="",1,$N10))</f>
        <v/>
      </c>
      <c r="X10" s="76">
        <f>IF(OR($W10="",$Q10="",$Q10=0),"",$W10/$Q10)</f>
        <v/>
      </c>
      <c r="Y10" s="76">
        <f>IF(OR($R10="",$T10="",$T10=0),"",$R10/($T10*IF($O10="",1,$O10)))</f>
        <v/>
      </c>
      <c r="Z10" s="77">
        <f>IF(OR($X10="",$P10="",$P10=0),"",$X10/$P10)</f>
        <v/>
      </c>
      <c r="AA10" s="27">
        <f>IF($J10="","待填怪物等级",IF(OR($I10="",$Q10=""),"待填对照关卡",IF($P10="","已计算",IF(AND($Y10&lt;&gt;"",$Y10&lt;$X10),"生存不成立",IF($Z10&lt;0.5,"碾压",IF($Z10&lt;0.8,"偏简单",IF($Z10&lt;=1.2,"适中",IF($Z10&lt;=1.5,"偏难","过难"))))))))</f>
        <v/>
      </c>
      <c r="AB10" s="27">
        <f>IF($J10="","待填",IF(AND(ISNUMBER($J10),$J10&gt;=1,$J10&lt;=500,MOD($J10,1)=0),"有效","超范围"))</f>
        <v/>
      </c>
      <c r="AC10" s="27">
        <f>IF(OR($J10="",ROW()=5,$B10&lt;&gt;$B9,$J9=""),"",IF($J10&lt;$J9,"下降",""))</f>
        <v/>
      </c>
      <c r="AD10" s="28" t="inlineStr">
        <is>
          <t>档位解锁Lv35；修正版V4：首档送进度，9档共用Lv30→180缓升；对照节点S85｜V4同步最新玩家曲线：Lv113→Lv104，保留原TTK/生存压力目标｜曲线同步20260811：Lv104→Lv85，保持原玩法定位与TTK/生存压力｜2026-09-14 用户裁决维持5档，6~9档维持停用；本行保留原值仅作记录。</t>
        </is>
      </c>
      <c r="AE10" t="n">
        <v>41300</v>
      </c>
    </row>
    <row r="11" ht="25" customHeight="1">
      <c r="A11" s="27" t="inlineStr">
        <is>
          <t>历史停用档（双表##注释，未采用9档方案）</t>
        </is>
      </c>
      <c r="B11" s="27" t="inlineStr">
        <is>
          <t>收容经验</t>
        </is>
      </c>
      <c r="C11" s="28" t="inlineStr">
        <is>
          <t>资源副本</t>
        </is>
      </c>
      <c r="D11" s="28" t="inlineStr">
        <is>
          <t>难度7</t>
        </is>
      </c>
      <c r="E11" s="28" t="inlineStr">
        <is>
          <t>221007</t>
        </is>
      </c>
      <c r="F11" s="27" t="inlineStr">
        <is>
          <t>普通怪</t>
        </is>
      </c>
      <c r="G11" s="37" t="n">
        <v>108</v>
      </c>
      <c r="H11" s="38" t="n"/>
      <c r="I11" s="39" t="n">
        <v>108</v>
      </c>
      <c r="J11" s="40" t="n">
        <v>90</v>
      </c>
      <c r="K11" s="73" t="n"/>
      <c r="L11" s="73" t="n"/>
      <c r="M11" s="73" t="n"/>
      <c r="N11" s="73" t="n"/>
      <c r="O11" s="73" t="n"/>
      <c r="P11" s="73" t="n"/>
      <c r="Q11" s="74">
        <f>IF($I11="","",IFERROR(INDEX(_玩家曲线!$H$2:$H$286,MATCH($I11,_玩家曲线!$A$2:$A$286,0)),""))</f>
        <v/>
      </c>
      <c r="R11" s="74">
        <f>IF($I11="","",IFERROR(INDEX(_玩家曲线!$I$2:$I$286,MATCH($I11,_玩家曲线!$A$2:$A$286,0)),""))</f>
        <v/>
      </c>
      <c r="S11" s="74">
        <f>IF(OR($J11="",$F11="不适用"),"",IFERROR(INDEX(_怪物模型!$D$2:$D$4501,(INT($J11)-1)*ROWS(_怪物类型!$A$2:$A$10)+MATCH($F11,_怪物类型!$A$2:$A$10,0))*IF($K11="",1,$K11),""))</f>
        <v/>
      </c>
      <c r="T11" s="74">
        <f>IF(OR($J11="",$F11="不适用"),"",IFERROR(INDEX(_怪物模型!$E$2:$E$4501,(INT($J11)-1)*ROWS(_怪物类型!$A$2:$A$10)+MATCH($F11,_怪物类型!$A$2:$A$10,0))*IF($L11="",1,$L11),""))</f>
        <v/>
      </c>
      <c r="U11" s="74">
        <f>IF(OR($J11="",$F11="不适用"),"",IFERROR(INDEX(_怪物模型!$F$2:$F$4501,(INT($J11)-1)*ROWS(_怪物类型!$A$2:$A$10)+MATCH($F11,_怪物类型!$A$2:$A$10,0))*IF($M11="",1,$M11),""))</f>
        <v/>
      </c>
      <c r="V11" s="75">
        <f>IF($U11="","",MIN(0.75,$U11/($U11+24000)))</f>
        <v/>
      </c>
      <c r="W11" s="76">
        <f>IF($S11="","",$S11/(1-$V11)*IF($N11="",1,$N11))</f>
        <v/>
      </c>
      <c r="X11" s="76">
        <f>IF(OR($W11="",$Q11="",$Q11=0),"",$W11/$Q11)</f>
        <v/>
      </c>
      <c r="Y11" s="76">
        <f>IF(OR($R11="",$T11="",$T11=0),"",$R11/($T11*IF($O11="",1,$O11)))</f>
        <v/>
      </c>
      <c r="Z11" s="77">
        <f>IF(OR($X11="",$P11="",$P11=0),"",$X11/$P11)</f>
        <v/>
      </c>
      <c r="AA11" s="27">
        <f>IF($J11="","待填怪物等级",IF(OR($I11="",$Q11=""),"待填对照关卡",IF($P11="","已计算",IF(AND($Y11&lt;&gt;"",$Y11&lt;$X11),"生存不成立",IF($Z11&lt;0.5,"碾压",IF($Z11&lt;0.8,"偏简单",IF($Z11&lt;=1.2,"适中",IF($Z11&lt;=1.5,"偏难","过难"))))))))</f>
        <v/>
      </c>
      <c r="AB11" s="27">
        <f>IF($J11="","待填",IF(AND(ISNUMBER($J11),$J11&gt;=1,$J11&lt;=500,MOD($J11,1)=0),"有效","超范围"))</f>
        <v/>
      </c>
      <c r="AC11" s="27">
        <f>IF(OR($J11="",ROW()=5,$B11&lt;&gt;$B10,$J10=""),"",IF($J11&lt;$J10,"下降",""))</f>
        <v/>
      </c>
      <c r="AD11" s="28" t="inlineStr">
        <is>
          <t>档位解锁Lv40；修正版V4：首档送进度，9档共用Lv30→180缓升；对照节点S108｜V4同步最新玩家曲线：Lv135→Lv126，保留原TTK/生存压力目标｜曲线同步20260811：Lv126→Lv103，保持原玩法定位与TTK/生存压力｜2026-09-14 用户裁决维持5档，6~9档维持停用；本行保留原值仅作记录。</t>
        </is>
      </c>
      <c r="AE11" t="n">
        <v>54100</v>
      </c>
    </row>
    <row r="12" ht="25" customHeight="1">
      <c r="A12" s="27" t="inlineStr">
        <is>
          <t>历史停用档（双表##注释，未采用9档方案）</t>
        </is>
      </c>
      <c r="B12" s="27" t="inlineStr">
        <is>
          <t>收容经验</t>
        </is>
      </c>
      <c r="C12" s="28" t="inlineStr">
        <is>
          <t>资源副本</t>
        </is>
      </c>
      <c r="D12" s="28" t="inlineStr">
        <is>
          <t>难度8</t>
        </is>
      </c>
      <c r="E12" s="28" t="inlineStr">
        <is>
          <t>221008</t>
        </is>
      </c>
      <c r="F12" s="27" t="inlineStr">
        <is>
          <t>普通怪</t>
        </is>
      </c>
      <c r="G12" s="37" t="n">
        <v>124</v>
      </c>
      <c r="H12" s="38" t="n"/>
      <c r="I12" s="39" t="n">
        <v>124</v>
      </c>
      <c r="J12" s="40" t="n">
        <v>107</v>
      </c>
      <c r="K12" s="73" t="n"/>
      <c r="L12" s="73" t="n"/>
      <c r="M12" s="73" t="n"/>
      <c r="N12" s="73" t="n"/>
      <c r="O12" s="73" t="n"/>
      <c r="P12" s="73" t="n"/>
      <c r="Q12" s="74">
        <f>IF($I12="","",IFERROR(INDEX(_玩家曲线!$H$2:$H$286,MATCH($I12,_玩家曲线!$A$2:$A$286,0)),""))</f>
        <v/>
      </c>
      <c r="R12" s="74">
        <f>IF($I12="","",IFERROR(INDEX(_玩家曲线!$I$2:$I$286,MATCH($I12,_玩家曲线!$A$2:$A$286,0)),""))</f>
        <v/>
      </c>
      <c r="S12" s="74">
        <f>IF(OR($J12="",$F12="不适用"),"",IFERROR(INDEX(_怪物模型!$D$2:$D$4501,(INT($J12)-1)*ROWS(_怪物类型!$A$2:$A$10)+MATCH($F12,_怪物类型!$A$2:$A$10,0))*IF($K12="",1,$K12),""))</f>
        <v/>
      </c>
      <c r="T12" s="74">
        <f>IF(OR($J12="",$F12="不适用"),"",IFERROR(INDEX(_怪物模型!$E$2:$E$4501,(INT($J12)-1)*ROWS(_怪物类型!$A$2:$A$10)+MATCH($F12,_怪物类型!$A$2:$A$10,0))*IF($L12="",1,$L12),""))</f>
        <v/>
      </c>
      <c r="U12" s="74">
        <f>IF(OR($J12="",$F12="不适用"),"",IFERROR(INDEX(_怪物模型!$F$2:$F$4501,(INT($J12)-1)*ROWS(_怪物类型!$A$2:$A$10)+MATCH($F12,_怪物类型!$A$2:$A$10,0))*IF($M12="",1,$M12),""))</f>
        <v/>
      </c>
      <c r="V12" s="75">
        <f>IF($U12="","",MIN(0.75,$U12/($U12+24000)))</f>
        <v/>
      </c>
      <c r="W12" s="76">
        <f>IF($S12="","",$S12/(1-$V12)*IF($N12="",1,$N12))</f>
        <v/>
      </c>
      <c r="X12" s="76">
        <f>IF(OR($W12="",$Q12="",$Q12=0),"",$W12/$Q12)</f>
        <v/>
      </c>
      <c r="Y12" s="76">
        <f>IF(OR($R12="",$T12="",$T12=0),"",$R12/($T12*IF($O12="",1,$O12)))</f>
        <v/>
      </c>
      <c r="Z12" s="77">
        <f>IF(OR($X12="",$P12="",$P12=0),"",$X12/$P12)</f>
        <v/>
      </c>
      <c r="AA12" s="27">
        <f>IF($J12="","待填怪物等级",IF(OR($I12="",$Q12=""),"待填对照关卡",IF($P12="","已计算",IF(AND($Y12&lt;&gt;"",$Y12&lt;$X12),"生存不成立",IF($Z12&lt;0.5,"碾压",IF($Z12&lt;0.8,"偏简单",IF($Z12&lt;=1.2,"适中",IF($Z12&lt;=1.5,"偏难","过难"))))))))</f>
        <v/>
      </c>
      <c r="AB12" s="27">
        <f>IF($J12="","待填",IF(AND(ISNUMBER($J12),$J12&gt;=1,$J12&lt;=500,MOD($J12,1)=0),"有效","超范围"))</f>
        <v/>
      </c>
      <c r="AC12" s="27">
        <f>IF(OR($J12="",ROW()=5,$B12&lt;&gt;$B11,$J11=""),"",IF($J12&lt;$J11,"下降",""))</f>
        <v/>
      </c>
      <c r="AD12" s="28" t="inlineStr">
        <is>
          <t>档位解锁Lv45；修正版V4：首档送进度，9档共用Lv30→180缓升；对照节点S124｜V4同步最新玩家曲线：Lv157→Lv148，保留原TTK/生存压力目标｜曲线同步20260811：Lv148→Lv122，保持原玩法定位与TTK/生存压力｜2026-09-14 用户裁决维持5档，6~9档维持停用；本行保留原值仅作记录。</t>
        </is>
      </c>
      <c r="AE12" t="n">
        <v>71400</v>
      </c>
    </row>
    <row r="13" ht="25" customHeight="1">
      <c r="A13" s="27" t="inlineStr">
        <is>
          <t>历史停用档（双表##注释，未采用9档方案）</t>
        </is>
      </c>
      <c r="B13" s="27" t="inlineStr">
        <is>
          <t>收容经验</t>
        </is>
      </c>
      <c r="C13" s="28" t="inlineStr">
        <is>
          <t>资源副本</t>
        </is>
      </c>
      <c r="D13" s="28" t="inlineStr">
        <is>
          <t>难度9</t>
        </is>
      </c>
      <c r="E13" s="28" t="inlineStr">
        <is>
          <t>221009</t>
        </is>
      </c>
      <c r="F13" s="27" t="inlineStr">
        <is>
          <t>普通怪</t>
        </is>
      </c>
      <c r="G13" s="37" t="n">
        <v>146</v>
      </c>
      <c r="H13" s="38" t="n"/>
      <c r="I13" s="39" t="n">
        <v>146</v>
      </c>
      <c r="J13" s="40" t="n">
        <v>126</v>
      </c>
      <c r="K13" s="73" t="n"/>
      <c r="L13" s="73" t="n"/>
      <c r="M13" s="73" t="n"/>
      <c r="N13" s="73" t="n"/>
      <c r="O13" s="73" t="n"/>
      <c r="P13" s="73" t="n"/>
      <c r="Q13" s="74">
        <f>IF($I13="","",IFERROR(INDEX(_玩家曲线!$H$2:$H$286,MATCH($I13,_玩家曲线!$A$2:$A$286,0)),""))</f>
        <v/>
      </c>
      <c r="R13" s="74">
        <f>IF($I13="","",IFERROR(INDEX(_玩家曲线!$I$2:$I$286,MATCH($I13,_玩家曲线!$A$2:$A$286,0)),""))</f>
        <v/>
      </c>
      <c r="S13" s="74">
        <f>IF(OR($J13="",$F13="不适用"),"",IFERROR(INDEX(_怪物模型!$D$2:$D$4501,(INT($J13)-1)*ROWS(_怪物类型!$A$2:$A$10)+MATCH($F13,_怪物类型!$A$2:$A$10,0))*IF($K13="",1,$K13),""))</f>
        <v/>
      </c>
      <c r="T13" s="74">
        <f>IF(OR($J13="",$F13="不适用"),"",IFERROR(INDEX(_怪物模型!$E$2:$E$4501,(INT($J13)-1)*ROWS(_怪物类型!$A$2:$A$10)+MATCH($F13,_怪物类型!$A$2:$A$10,0))*IF($L13="",1,$L13),""))</f>
        <v/>
      </c>
      <c r="U13" s="74">
        <f>IF(OR($J13="",$F13="不适用"),"",IFERROR(INDEX(_怪物模型!$F$2:$F$4501,(INT($J13)-1)*ROWS(_怪物类型!$A$2:$A$10)+MATCH($F13,_怪物类型!$A$2:$A$10,0))*IF($M13="",1,$M13),""))</f>
        <v/>
      </c>
      <c r="V13" s="75">
        <f>IF($U13="","",MIN(0.75,$U13/($U13+24000)))</f>
        <v/>
      </c>
      <c r="W13" s="76">
        <f>IF($S13="","",$S13/(1-$V13)*IF($N13="",1,$N13))</f>
        <v/>
      </c>
      <c r="X13" s="76">
        <f>IF(OR($W13="",$Q13="",$Q13=0),"",$W13/$Q13)</f>
        <v/>
      </c>
      <c r="Y13" s="76">
        <f>IF(OR($R13="",$T13="",$T13=0),"",$R13/($T13*IF($O13="",1,$O13)))</f>
        <v/>
      </c>
      <c r="Z13" s="77">
        <f>IF(OR($X13="",$P13="",$P13=0),"",$X13/$P13)</f>
        <v/>
      </c>
      <c r="AA13" s="27">
        <f>IF($J13="","待填怪物等级",IF(OR($I13="",$Q13=""),"待填对照关卡",IF($P13="","已计算",IF(AND($Y13&lt;&gt;"",$Y13&lt;$X13),"生存不成立",IF($Z13&lt;0.5,"碾压",IF($Z13&lt;0.8,"偏简单",IF($Z13&lt;=1.2,"适中",IF($Z13&lt;=1.5,"偏难","过难"))))))))</f>
        <v/>
      </c>
      <c r="AB13" s="27">
        <f>IF($J13="","待填",IF(AND(ISNUMBER($J13),$J13&gt;=1,$J13&lt;=500,MOD($J13,1)=0),"有效","超范围"))</f>
        <v/>
      </c>
      <c r="AC13" s="27">
        <f>IF(OR($J13="",ROW()=5,$B13&lt;&gt;$B12,$J12=""),"",IF($J13&lt;$J12,"下降",""))</f>
        <v/>
      </c>
      <c r="AD13" s="28" t="inlineStr">
        <is>
          <t>档位解锁Lv50；修正版V4：首档送进度，9档共用Lv30→180缓升；对照节点S146｜V4同步最新玩家曲线：Lv180→Lv171，保留原TTK/生存压力目标｜曲线同步20260811：Lv171→Lv142，保持原玩法定位与TTK/生存压力｜2026-09-14 用户裁决维持5档，6~9档维持停用；本行保留原值仅作记录。</t>
        </is>
      </c>
      <c r="AE13" t="n">
        <v>95900</v>
      </c>
    </row>
  </sheetData>
  <mergeCells count="3">
    <mergeCell ref="A3:AD3"/>
    <mergeCell ref="A2:AD2"/>
    <mergeCell ref="A1:AD1"/>
  </mergeCells>
  <conditionalFormatting sqref="J5:J13">
    <cfRule type="expression" priority="1" dxfId="2">
      <formula>AND($A5&lt;&gt;"特殊：双方属性对算",$J5="")</formula>
    </cfRule>
  </conditionalFormatting>
  <conditionalFormatting sqref="AA5:AA13">
    <cfRule type="expression" priority="3" dxfId="0">
      <formula>$AA5="适中"</formula>
    </cfRule>
    <cfRule type="expression" priority="4" dxfId="3">
      <formula>$AA5="偏难"</formula>
    </cfRule>
    <cfRule type="expression" priority="5" dxfId="1">
      <formula>$AA5="过难"</formula>
    </cfRule>
    <cfRule type="expression" priority="6" dxfId="1">
      <formula>$AA5="生存不成立"</formula>
    </cfRule>
  </conditionalFormatting>
  <conditionalFormatting sqref="AB5:AB13">
    <cfRule type="expression" priority="2" dxfId="4">
      <formula>$AB5="超范围"</formula>
    </cfRule>
  </conditionalFormatting>
  <conditionalFormatting sqref="AC5:AC13">
    <cfRule type="expression" priority="7" dxfId="4">
      <formula>$AC5="下降"</formula>
    </cfRule>
  </conditionalFormatting>
  <dataValidations count="5">
    <dataValidation sqref="F5:F13" showDropDown="0" showInputMessage="0" showErrorMessage="0" allowBlank="0" type="list">
      <formula1>_字典!$A$2:$A$11</formula1>
    </dataValidation>
    <dataValidation sqref="H5:H13" showDropDown="0" showInputMessage="0" showErrorMessage="0" allowBlank="1" type="whole" operator="between">
      <formula1>1</formula1>
      <formula2>285</formula2>
    </dataValidation>
    <dataValidation sqref="J5:J13" showDropDown="0" showInputMessage="0" showErrorMessage="0" allowBlank="1" type="whole" operator="between">
      <formula1>1</formula1>
      <formula2>500</formula2>
    </dataValidation>
    <dataValidation sqref="P5:P13" showDropDown="0" showInputMessage="0" showErrorMessage="0" allowBlank="1" type="decimal" operator="between">
      <formula1>0.01</formula1>
      <formula2>3600</formula2>
    </dataValidation>
    <dataValidation sqref="K5:O13" showDropDown="0" showInputMessage="0" showErrorMessage="0" allowBlank="1" type="decimal" operator="between">
      <formula1>0</formula1>
      <formula2>100</formula2>
    </dataValidation>
  </dataValidations>
  <hyperlinks>
    <hyperlink xmlns:r="http://schemas.openxmlformats.org/officeDocument/2006/relationships" ref="A1" display="全玩法难度填写｜收容经验" r:id="rId1"/>
  </hyperlink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tabColor rgb="FFED7D31"/>
    <outlinePr summaryBelow="1" summaryRight="1"/>
    <pageSetUpPr/>
  </sheetPr>
  <dimension ref="A1:AF14"/>
  <sheetViews>
    <sheetView showGridLines="0" workbookViewId="0">
      <selection activeCell="A1" sqref="A1:AD1"/>
    </sheetView>
  </sheetViews>
  <sheetFormatPr baseColWidth="8" defaultColWidth="9" defaultRowHeight="13.5"/>
  <cols>
    <col width="12" customWidth="1" min="1" max="1"/>
    <col width="13" customWidth="1" min="2" max="2"/>
    <col width="18" customWidth="1" min="3" max="3"/>
    <col width="15" customWidth="1" min="4" max="4"/>
    <col width="35" customWidth="1" min="5" max="5"/>
    <col width="14" customWidth="1" min="6" max="9"/>
    <col width="12" customWidth="1" min="10" max="10"/>
    <col width="11" customWidth="1" min="11" max="13"/>
    <col width="13" customWidth="1" min="14" max="15"/>
    <col width="12" customWidth="1" min="16" max="16"/>
    <col width="16" customWidth="1" min="17" max="21"/>
    <col width="12" customWidth="1" min="22" max="22"/>
    <col width="17" customWidth="1" min="23" max="23"/>
    <col width="14" customWidth="1" min="24" max="25"/>
    <col width="12" customWidth="1" min="26" max="26"/>
    <col width="15" customWidth="1" min="27" max="27"/>
    <col width="12" customWidth="1" min="28" max="29"/>
    <col width="46" customWidth="1" min="30" max="30"/>
    <col width="22" customWidth="1" min="31" max="32"/>
  </cols>
  <sheetData>
    <row r="1" ht="34" customHeight="1">
      <c r="A1" s="23" t="inlineStr">
        <is>
          <t>全玩法难度填写｜旅券</t>
        </is>
      </c>
    </row>
    <row r="2" ht="30" customHeight="1">
      <c r="A2" s="24" t="inlineStr">
        <is>
          <t>当前页已按开启顺序和玩法定位填入首版怪物等级。黄色J列可直接覆盖；G列是本版使用的玩家曲线对照节点。</t>
        </is>
      </c>
    </row>
    <row r="3" ht="14.25" customHeight="1">
      <c r="A3" s="25" t="inlineStr">
        <is>
          <t>公式口径：怪物实际属性=战斗公式标准模型×可选系数；怪物EHP=实际生命÷(1-防御减伤)×整关EHP倍率；TTK=怪物EHP÷玩家DPS。</t>
        </is>
      </c>
    </row>
    <row r="4" ht="30" customHeight="1">
      <c r="A4" s="26" t="inlineStr">
        <is>
          <t>状态</t>
        </is>
      </c>
      <c r="B4" s="26" t="inlineStr">
        <is>
          <t>玩法</t>
        </is>
      </c>
      <c r="C4" s="26" t="inlineStr">
        <is>
          <t>子玩法/共用范围</t>
        </is>
      </c>
      <c r="D4" s="26" t="inlineStr">
        <is>
          <t>节点名称</t>
        </is>
      </c>
      <c r="E4" s="26" t="inlineStr">
        <is>
          <t>LevelId/配置映射</t>
        </is>
      </c>
      <c r="F4" s="26" t="inlineStr">
        <is>
          <t>怪物类型</t>
        </is>
      </c>
      <c r="G4" s="26" t="inlineStr">
        <is>
          <t>默认对照关卡</t>
        </is>
      </c>
      <c r="H4" s="26" t="inlineStr">
        <is>
          <t>手动对照关卡</t>
        </is>
      </c>
      <c r="I4" s="26" t="inlineStr">
        <is>
          <t>实际对照关卡</t>
        </is>
      </c>
      <c r="J4" s="26" t="inlineStr">
        <is>
          <t>怪物等级</t>
        </is>
      </c>
      <c r="K4" s="26" t="inlineStr">
        <is>
          <t>生命系数</t>
        </is>
      </c>
      <c r="L4" s="26" t="inlineStr">
        <is>
          <t>攻击系数</t>
        </is>
      </c>
      <c r="M4" s="26" t="inlineStr">
        <is>
          <t>防御系数</t>
        </is>
      </c>
      <c r="N4" s="26" t="inlineStr">
        <is>
          <t>整关EHP倍率</t>
        </is>
      </c>
      <c r="O4" s="26" t="inlineStr">
        <is>
          <t>攻击压力倍率</t>
        </is>
      </c>
      <c r="P4" s="26" t="inlineStr">
        <is>
          <t>目标时间(s)</t>
        </is>
      </c>
      <c r="Q4" s="26" t="inlineStr">
        <is>
          <t>玩家DPS</t>
        </is>
      </c>
      <c r="R4" s="26" t="inlineStr">
        <is>
          <t>玩家队伍EHP</t>
        </is>
      </c>
      <c r="S4" s="26" t="inlineStr">
        <is>
          <t>怪物实际生命</t>
        </is>
      </c>
      <c r="T4" s="26" t="inlineStr">
        <is>
          <t>怪物实际攻击</t>
        </is>
      </c>
      <c r="U4" s="26" t="inlineStr">
        <is>
          <t>怪物实际防御</t>
        </is>
      </c>
      <c r="V4" s="26" t="inlineStr">
        <is>
          <t>怪物减伤率</t>
        </is>
      </c>
      <c r="W4" s="26" t="inlineStr">
        <is>
          <t>整关目标EHP</t>
        </is>
      </c>
      <c r="X4" s="26" t="inlineStr">
        <is>
          <t>预测TTK(s)</t>
        </is>
      </c>
      <c r="Y4" s="26" t="inlineStr">
        <is>
          <t>预测存活(s)</t>
        </is>
      </c>
      <c r="Z4" s="26" t="inlineStr">
        <is>
          <t>TTK/目标</t>
        </is>
      </c>
      <c r="AA4" s="26" t="inlineStr">
        <is>
          <t>难度判断</t>
        </is>
      </c>
      <c r="AB4" s="26" t="inlineStr">
        <is>
          <t>等级检查</t>
        </is>
      </c>
      <c r="AC4" s="26" t="inlineStr">
        <is>
          <t>等级趋势</t>
        </is>
      </c>
      <c r="AD4" s="26" t="inlineStr">
        <is>
          <t>备注</t>
        </is>
      </c>
      <c r="AE4" s="8" t="inlineStr">
        <is>
          <t>玩法推荐战力</t>
        </is>
      </c>
      <c r="AF4" s="8" t="inlineStr">
        <is>
          <t>标准等级战力</t>
        </is>
      </c>
    </row>
    <row r="5" ht="25" customHeight="1">
      <c r="A5" s="27" t="inlineStr">
        <is>
          <t>当前配置</t>
        </is>
      </c>
      <c r="B5" s="27" t="inlineStr">
        <is>
          <t>旅券</t>
        </is>
      </c>
      <c r="C5" s="28" t="inlineStr">
        <is>
          <t>4主题共用</t>
        </is>
      </c>
      <c r="D5" s="28" t="inlineStr">
        <is>
          <t>难度1</t>
        </is>
      </c>
      <c r="E5" s="28" t="inlineStr">
        <is>
          <t>241001;242001;243001;244001</t>
        </is>
      </c>
      <c r="F5" s="27" t="inlineStr">
        <is>
          <t>Boss</t>
        </is>
      </c>
      <c r="G5" s="37" t="n">
        <v>100</v>
      </c>
      <c r="H5" s="38" t="n"/>
      <c r="I5" s="39">
        <f>IF($H5="",$G5,$H5)</f>
        <v/>
      </c>
      <c r="J5" s="40" t="n">
        <v>102</v>
      </c>
      <c r="K5" s="72" t="n">
        <v>1.07990869802304</v>
      </c>
      <c r="L5" s="72" t="n">
        <v>0.793456501955126</v>
      </c>
      <c r="M5" s="72" t="n">
        <v>1</v>
      </c>
      <c r="N5" s="73" t="n"/>
      <c r="O5" s="73" t="n"/>
      <c r="P5" s="73" t="n"/>
      <c r="Q5" s="74">
        <f>IF($I5="","",IFERROR(INDEX(_玩家曲线!$H$2:$H$286,MATCH($I5,_玩家曲线!$A$2:$A$286,0)),""))</f>
        <v/>
      </c>
      <c r="R5" s="74">
        <f>IF($I5="","",IFERROR(INDEX(_玩家曲线!$I$2:$I$286,MATCH($I5,_玩家曲线!$A$2:$A$286,0)),""))</f>
        <v/>
      </c>
      <c r="S5" s="74">
        <f>IF(OR($J5="",$F5="不适用"),"",IFERROR(INDEX(_怪物模型!$D$2:$D$4501,(INT($J5)-1)*ROWS(_怪物类型!$A$2:$A$10)+MATCH($F5,_怪物类型!$A$2:$A$10,0))*IF($K5="",1,$K5),""))</f>
        <v/>
      </c>
      <c r="T5" s="74">
        <f>IF(OR($J5="",$F5="不适用"),"",IFERROR(INDEX(_怪物模型!$E$2:$E$4501,(INT($J5)-1)*ROWS(_怪物类型!$A$2:$A$10)+MATCH($F5,_怪物类型!$A$2:$A$10,0))*IF($L5="",1,$L5),""))</f>
        <v/>
      </c>
      <c r="U5" s="74">
        <f>IF(OR($J5="",$F5="不适用"),"",IFERROR(INDEX(_怪物模型!$F$2:$F$4501,(INT($J5)-1)*ROWS(_怪物类型!$A$2:$A$10)+MATCH($F5,_怪物类型!$A$2:$A$10,0))*IF($M5="",1,$M5),""))</f>
        <v/>
      </c>
      <c r="V5" s="75">
        <f>IF($U5="","",MIN(0.75,$U5/($U5+24000)))</f>
        <v/>
      </c>
      <c r="W5" s="76">
        <f>IF($S5="","",$S5/(1-$V5)*IF($N5="",1,$N5))</f>
        <v/>
      </c>
      <c r="X5" s="76">
        <f>IF(OR($W5="",$Q5="",$Q5=0),"",$W5/$Q5)</f>
        <v/>
      </c>
      <c r="Y5" s="76">
        <f>IF(OR($R5="",$T5="",$T5=0),"",$R5/($T5*IF($O5="",1,$O5)))</f>
        <v/>
      </c>
      <c r="Z5" s="77">
        <f>IF(OR($X5="",$P5="",$P5=0),"",$X5/$P5)</f>
        <v/>
      </c>
      <c r="AA5" s="27">
        <f>IF($J5="","待填怪物等级",IF(OR($I5="",$Q5=""),"待填对照关卡",IF($P5="","已计算",IF(AND($Y5&lt;&gt;"",$Y5&lt;$X5),"生存不成立",IF($Z5&lt;0.5,"碾压",IF($Z5&lt;0.8,"偏简单",IF($Z5&lt;=1.2,"适中",IF($Z5&lt;=1.5,"偏难","过难"))))))))</f>
        <v/>
      </c>
      <c r="AB5" s="27">
        <f>IF($J5="","待填",IF(AND(ISNUMBER($J5),$J5&gt;=1,$J5&lt;=500,MOD($J5,1)=0),"有效","超范围"))</f>
        <v/>
      </c>
      <c r="AC5" s="27">
        <f>IF(OR($J5="",ROW()=5,$B5&lt;&gt;$B4,$J4=""),"",IF($J5&lt;$J4,"下降",""))</f>
        <v/>
      </c>
      <c r="AD5" s="28" t="inlineStr">
        <is>
          <t>2026-08-27 新玩家节点曲线校准；对照S100；等级129→102；保留原难度定位。</t>
        </is>
      </c>
      <c r="AE5" t="n">
        <v>71400</v>
      </c>
      <c r="AF5">
        <f>INDEX(_统一战力!$B$2:$B$501,J5)</f>
        <v/>
      </c>
    </row>
    <row r="6" ht="25" customHeight="1">
      <c r="A6" s="27" t="inlineStr">
        <is>
          <t>当前配置</t>
        </is>
      </c>
      <c r="B6" s="27" t="inlineStr">
        <is>
          <t>旅券</t>
        </is>
      </c>
      <c r="C6" s="28" t="inlineStr">
        <is>
          <t>4主题共用</t>
        </is>
      </c>
      <c r="D6" s="28" t="inlineStr">
        <is>
          <t>难度2</t>
        </is>
      </c>
      <c r="E6" s="28" t="inlineStr">
        <is>
          <t>241002;242002;243002;244002</t>
        </is>
      </c>
      <c r="F6" s="27" t="inlineStr">
        <is>
          <t>Boss</t>
        </is>
      </c>
      <c r="G6" s="37" t="n">
        <v>112</v>
      </c>
      <c r="H6" s="38" t="n"/>
      <c r="I6" s="39">
        <f>IF($H6="",$G6,$H6)</f>
        <v/>
      </c>
      <c r="J6" s="40" t="n">
        <v>135</v>
      </c>
      <c r="K6" s="72" t="n">
        <v>1.06534064398689</v>
      </c>
      <c r="L6" s="72" t="n">
        <v>0.858799015312246</v>
      </c>
      <c r="M6" s="72" t="n">
        <v>1</v>
      </c>
      <c r="N6" s="73" t="n"/>
      <c r="O6" s="73" t="n"/>
      <c r="P6" s="73" t="n"/>
      <c r="Q6" s="74">
        <f>IF($I6="","",IFERROR(INDEX(_玩家曲线!$H$2:$H$286,MATCH($I6,_玩家曲线!$A$2:$A$286,0)),""))</f>
        <v/>
      </c>
      <c r="R6" s="74">
        <f>IF($I6="","",IFERROR(INDEX(_玩家曲线!$I$2:$I$286,MATCH($I6,_玩家曲线!$A$2:$A$286,0)),""))</f>
        <v/>
      </c>
      <c r="S6" s="74">
        <f>IF(OR($J6="",$F6="不适用"),"",IFERROR(INDEX(_怪物模型!$D$2:$D$4501,(INT($J6)-1)*ROWS(_怪物类型!$A$2:$A$10)+MATCH($F6,_怪物类型!$A$2:$A$10,0))*IF($K6="",1,$K6),""))</f>
        <v/>
      </c>
      <c r="T6" s="74">
        <f>IF(OR($J6="",$F6="不适用"),"",IFERROR(INDEX(_怪物模型!$E$2:$E$4501,(INT($J6)-1)*ROWS(_怪物类型!$A$2:$A$10)+MATCH($F6,_怪物类型!$A$2:$A$10,0))*IF($L6="",1,$L6),""))</f>
        <v/>
      </c>
      <c r="U6" s="74">
        <f>IF(OR($J6="",$F6="不适用"),"",IFERROR(INDEX(_怪物模型!$F$2:$F$4501,(INT($J6)-1)*ROWS(_怪物类型!$A$2:$A$10)+MATCH($F6,_怪物类型!$A$2:$A$10,0))*IF($M6="",1,$M6),""))</f>
        <v/>
      </c>
      <c r="V6" s="75">
        <f>IF($U6="","",MIN(0.75,$U6/($U6+24000)))</f>
        <v/>
      </c>
      <c r="W6" s="76">
        <f>IF($S6="","",$S6/(1-$V6)*IF($N6="",1,$N6))</f>
        <v/>
      </c>
      <c r="X6" s="76">
        <f>IF(OR($W6="",$Q6="",$Q6=0),"",$W6/$Q6)</f>
        <v/>
      </c>
      <c r="Y6" s="76">
        <f>IF(OR($R6="",$T6="",$T6=0),"",$R6/($T6*IF($O6="",1,$O6)))</f>
        <v/>
      </c>
      <c r="Z6" s="77">
        <f>IF(OR($X6="",$P6="",$P6=0),"",$X6/$P6)</f>
        <v/>
      </c>
      <c r="AA6" s="27">
        <f>IF($J6="","待填怪物等级",IF(OR($I6="",$Q6=""),"待填对照关卡",IF($P6="","已计算",IF(AND($Y6&lt;&gt;"",$Y6&lt;$X6),"生存不成立",IF($Z6&lt;0.5,"碾压",IF($Z6&lt;0.8,"偏简单",IF($Z6&lt;=1.2,"适中",IF($Z6&lt;=1.5,"偏难","过难"))))))))</f>
        <v/>
      </c>
      <c r="AB6" s="27">
        <f>IF($J6="","待填",IF(AND(ISNUMBER($J6),$J6&gt;=1,$J6&lt;=500,MOD($J6,1)=0),"有效","超范围"))</f>
        <v/>
      </c>
      <c r="AC6" s="27">
        <f>IF(OR($J6="",ROW()=5,$B6&lt;&gt;$B5,$J5=""),"",IF($J6&lt;$J5,"下降",""))</f>
        <v/>
      </c>
      <c r="AD6" s="28" t="inlineStr">
        <is>
          <t>2026-08-27 新玩家节点曲线校准；对照S112；等级166→135；保留原难度定位。</t>
        </is>
      </c>
      <c r="AE6" t="n">
        <v>125000</v>
      </c>
      <c r="AF6">
        <f>INDEX(_统一战力!$B$2:$B$501,J6)</f>
        <v/>
      </c>
    </row>
    <row r="7" ht="25" customHeight="1">
      <c r="A7" s="27" t="inlineStr">
        <is>
          <t>当前配置</t>
        </is>
      </c>
      <c r="B7" s="27" t="inlineStr">
        <is>
          <t>旅券</t>
        </is>
      </c>
      <c r="C7" s="28" t="inlineStr">
        <is>
          <t>4主题共用</t>
        </is>
      </c>
      <c r="D7" s="28" t="inlineStr">
        <is>
          <t>难度3</t>
        </is>
      </c>
      <c r="E7" s="28" t="inlineStr">
        <is>
          <t>241003;242003;243003;244003</t>
        </is>
      </c>
      <c r="F7" s="27" t="inlineStr">
        <is>
          <t>Boss</t>
        </is>
      </c>
      <c r="G7" s="37" t="n">
        <v>126</v>
      </c>
      <c r="H7" s="38" t="n"/>
      <c r="I7" s="39">
        <f>IF($H7="",$G7,$H7)</f>
        <v/>
      </c>
      <c r="J7" s="40" t="n">
        <v>172</v>
      </c>
      <c r="K7" s="72" t="n">
        <v>1.02745540139657</v>
      </c>
      <c r="L7" s="72" t="n">
        <v>0.913314398239222</v>
      </c>
      <c r="M7" s="72" t="n">
        <v>1</v>
      </c>
      <c r="N7" s="73" t="n"/>
      <c r="O7" s="73" t="n"/>
      <c r="P7" s="73" t="n"/>
      <c r="Q7" s="74">
        <f>IF($I7="","",IFERROR(INDEX(_玩家曲线!$H$2:$H$286,MATCH($I7,_玩家曲线!$A$2:$A$286,0)),""))</f>
        <v/>
      </c>
      <c r="R7" s="74">
        <f>IF($I7="","",IFERROR(INDEX(_玩家曲线!$I$2:$I$286,MATCH($I7,_玩家曲线!$A$2:$A$286,0)),""))</f>
        <v/>
      </c>
      <c r="S7" s="74">
        <f>IF(OR($J7="",$F7="不适用"),"",IFERROR(INDEX(_怪物模型!$D$2:$D$4501,(INT($J7)-1)*ROWS(_怪物类型!$A$2:$A$10)+MATCH($F7,_怪物类型!$A$2:$A$10,0))*IF($K7="",1,$K7),""))</f>
        <v/>
      </c>
      <c r="T7" s="74">
        <f>IF(OR($J7="",$F7="不适用"),"",IFERROR(INDEX(_怪物模型!$E$2:$E$4501,(INT($J7)-1)*ROWS(_怪物类型!$A$2:$A$10)+MATCH($F7,_怪物类型!$A$2:$A$10,0))*IF($L7="",1,$L7),""))</f>
        <v/>
      </c>
      <c r="U7" s="74">
        <f>IF(OR($J7="",$F7="不适用"),"",IFERROR(INDEX(_怪物模型!$F$2:$F$4501,(INT($J7)-1)*ROWS(_怪物类型!$A$2:$A$10)+MATCH($F7,_怪物类型!$A$2:$A$10,0))*IF($M7="",1,$M7),""))</f>
        <v/>
      </c>
      <c r="V7" s="75">
        <f>IF($U7="","",MIN(0.75,$U7/($U7+24000)))</f>
        <v/>
      </c>
      <c r="W7" s="76">
        <f>IF($S7="","",$S7/(1-$V7)*IF($N7="",1,$N7))</f>
        <v/>
      </c>
      <c r="X7" s="76">
        <f>IF(OR($W7="",$Q7="",$Q7=0),"",$W7/$Q7)</f>
        <v/>
      </c>
      <c r="Y7" s="76">
        <f>IF(OR($R7="",$T7="",$T7=0),"",$R7/($T7*IF($O7="",1,$O7)))</f>
        <v/>
      </c>
      <c r="Z7" s="77">
        <f>IF(OR($X7="",$P7="",$P7=0),"",$X7/$P7)</f>
        <v/>
      </c>
      <c r="AA7" s="27">
        <f>IF($J7="","待填怪物等级",IF(OR($I7="",$Q7=""),"待填对照关卡",IF($P7="","已计算",IF(AND($Y7&lt;&gt;"",$Y7&lt;$X7),"生存不成立",IF($Z7&lt;0.5,"碾压",IF($Z7&lt;0.8,"偏简单",IF($Z7&lt;=1.2,"适中",IF($Z7&lt;=1.5,"偏难","过难"))))))))</f>
        <v/>
      </c>
      <c r="AB7" s="27">
        <f>IF($J7="","待填",IF(AND(ISNUMBER($J7),$J7&gt;=1,$J7&lt;=500,MOD($J7,1)=0),"有效","超范围"))</f>
        <v/>
      </c>
      <c r="AC7" s="27">
        <f>IF(OR($J7="",ROW()=5,$B7&lt;&gt;$B6,$J6=""),"",IF($J7&lt;$J6,"下降",""))</f>
        <v/>
      </c>
      <c r="AD7" s="28" t="inlineStr">
        <is>
          <t>2026-08-27 新玩家节点曲线校准；对照S126；等级204→172；保留原难度定位。</t>
        </is>
      </c>
      <c r="AE7" t="n">
        <v>204000</v>
      </c>
      <c r="AF7">
        <f>INDEX(_统一战力!$B$2:$B$501,J7)</f>
        <v/>
      </c>
    </row>
    <row r="8" ht="25" customHeight="1">
      <c r="A8" s="27" t="inlineStr">
        <is>
          <t>当前配置</t>
        </is>
      </c>
      <c r="B8" s="27" t="inlineStr">
        <is>
          <t>旅券</t>
        </is>
      </c>
      <c r="C8" s="28" t="inlineStr">
        <is>
          <t>4主题共用</t>
        </is>
      </c>
      <c r="D8" s="28" t="inlineStr">
        <is>
          <t>难度4</t>
        </is>
      </c>
      <c r="E8" s="28" t="inlineStr">
        <is>
          <t>241004;242004;243004;244004</t>
        </is>
      </c>
      <c r="F8" s="27" t="inlineStr">
        <is>
          <t>Boss</t>
        </is>
      </c>
      <c r="G8" s="37" t="n">
        <v>142</v>
      </c>
      <c r="H8" s="38" t="n"/>
      <c r="I8" s="39">
        <f>IF($H8="",$G8,$H8)</f>
        <v/>
      </c>
      <c r="J8" s="40" t="n">
        <v>199</v>
      </c>
      <c r="K8" s="72" t="n">
        <v>1.01486632057472</v>
      </c>
      <c r="L8" s="72" t="n">
        <v>0.958559057747547</v>
      </c>
      <c r="M8" s="72" t="n">
        <v>1</v>
      </c>
      <c r="N8" s="73" t="n"/>
      <c r="O8" s="73" t="n"/>
      <c r="P8" s="73" t="n"/>
      <c r="Q8" s="74">
        <f>IF($I8="","",IFERROR(INDEX(_玩家曲线!$H$2:$H$286,MATCH($I8,_玩家曲线!$A$2:$A$286,0)),""))</f>
        <v/>
      </c>
      <c r="R8" s="74">
        <f>IF($I8="","",IFERROR(INDEX(_玩家曲线!$I$2:$I$286,MATCH($I8,_玩家曲线!$A$2:$A$286,0)),""))</f>
        <v/>
      </c>
      <c r="S8" s="74">
        <f>IF(OR($J8="",$F8="不适用"),"",IFERROR(INDEX(_怪物模型!$D$2:$D$4501,(INT($J8)-1)*ROWS(_怪物类型!$A$2:$A$10)+MATCH($F8,_怪物类型!$A$2:$A$10,0))*IF($K8="",1,$K8),""))</f>
        <v/>
      </c>
      <c r="T8" s="74">
        <f>IF(OR($J8="",$F8="不适用"),"",IFERROR(INDEX(_怪物模型!$E$2:$E$4501,(INT($J8)-1)*ROWS(_怪物类型!$A$2:$A$10)+MATCH($F8,_怪物类型!$A$2:$A$10,0))*IF($L8="",1,$L8),""))</f>
        <v/>
      </c>
      <c r="U8" s="74">
        <f>IF(OR($J8="",$F8="不适用"),"",IFERROR(INDEX(_怪物模型!$F$2:$F$4501,(INT($J8)-1)*ROWS(_怪物类型!$A$2:$A$10)+MATCH($F8,_怪物类型!$A$2:$A$10,0))*IF($M8="",1,$M8),""))</f>
        <v/>
      </c>
      <c r="V8" s="75">
        <f>IF($U8="","",MIN(0.75,$U8/($U8+24000)))</f>
        <v/>
      </c>
      <c r="W8" s="76">
        <f>IF($S8="","",$S8/(1-$V8)*IF($N8="",1,$N8))</f>
        <v/>
      </c>
      <c r="X8" s="76">
        <f>IF(OR($W8="",$Q8="",$Q8=0),"",$W8/$Q8)</f>
        <v/>
      </c>
      <c r="Y8" s="76">
        <f>IF(OR($R8="",$T8="",$T8=0),"",$R8/($T8*IF($O8="",1,$O8)))</f>
        <v/>
      </c>
      <c r="Z8" s="77">
        <f>IF(OR($X8="",$P8="",$P8=0),"",$X8/$P8)</f>
        <v/>
      </c>
      <c r="AA8" s="27">
        <f>IF($J8="","待填怪物等级",IF(OR($I8="",$Q8=""),"待填对照关卡",IF($P8="","已计算",IF(AND($Y8&lt;&gt;"",$Y8&lt;$X8),"生存不成立",IF($Z8&lt;0.5,"碾压",IF($Z8&lt;0.8,"偏简单",IF($Z8&lt;=1.2,"适中",IF($Z8&lt;=1.5,"偏难","过难"))))))))</f>
        <v/>
      </c>
      <c r="AB8" s="27">
        <f>IF($J8="","待填",IF(AND(ISNUMBER($J8),$J8&gt;=1,$J8&lt;=500,MOD($J8,1)=0),"有效","超范围"))</f>
        <v/>
      </c>
      <c r="AC8" s="27">
        <f>IF(OR($J8="",ROW()=5,$B8&lt;&gt;$B7,$J7=""),"",IF($J8&lt;$J7,"下降",""))</f>
        <v/>
      </c>
      <c r="AD8" s="28" t="inlineStr">
        <is>
          <t>2026-08-27 新玩家节点曲线校准；对照S142；等级230→199；保留原难度定位。</t>
        </is>
      </c>
      <c r="AE8" t="n">
        <v>280000</v>
      </c>
      <c r="AF8">
        <f>INDEX(_统一战力!$B$2:$B$501,J8)</f>
        <v/>
      </c>
    </row>
    <row r="9" ht="25" customHeight="1">
      <c r="A9" s="27" t="inlineStr">
        <is>
          <t>当前配置</t>
        </is>
      </c>
      <c r="B9" s="27" t="inlineStr">
        <is>
          <t>旅券</t>
        </is>
      </c>
      <c r="C9" s="28" t="inlineStr">
        <is>
          <t>4主题共用</t>
        </is>
      </c>
      <c r="D9" s="28" t="inlineStr">
        <is>
          <t>难度5</t>
        </is>
      </c>
      <c r="E9" s="28" t="inlineStr">
        <is>
          <t>241005;242005;243005;244005</t>
        </is>
      </c>
      <c r="F9" s="27" t="inlineStr">
        <is>
          <t>Boss</t>
        </is>
      </c>
      <c r="G9" s="37" t="n">
        <v>160</v>
      </c>
      <c r="H9" s="38" t="n"/>
      <c r="I9" s="39">
        <f>IF($H9="",$G9,$H9)</f>
        <v/>
      </c>
      <c r="J9" s="40" t="n">
        <v>220</v>
      </c>
      <c r="K9" s="72" t="n">
        <v>1.00817636214388</v>
      </c>
      <c r="L9" s="72" t="n">
        <v>0.995146825475285</v>
      </c>
      <c r="M9" s="72" t="n">
        <v>1</v>
      </c>
      <c r="N9" s="73" t="n"/>
      <c r="O9" s="73" t="n"/>
      <c r="P9" s="73" t="n"/>
      <c r="Q9" s="74">
        <f>IF($I9="","",IFERROR(INDEX(_玩家曲线!$H$2:$H$286,MATCH($I9,_玩家曲线!$A$2:$A$286,0)),""))</f>
        <v/>
      </c>
      <c r="R9" s="74">
        <f>IF($I9="","",IFERROR(INDEX(_玩家曲线!$I$2:$I$286,MATCH($I9,_玩家曲线!$A$2:$A$286,0)),""))</f>
        <v/>
      </c>
      <c r="S9" s="74">
        <f>IF(OR($J9="",$F9="不适用"),"",IFERROR(INDEX(_怪物模型!$D$2:$D$4501,(INT($J9)-1)*ROWS(_怪物类型!$A$2:$A$10)+MATCH($F9,_怪物类型!$A$2:$A$10,0))*IF($K9="",1,$K9),""))</f>
        <v/>
      </c>
      <c r="T9" s="74">
        <f>IF(OR($J9="",$F9="不适用"),"",IFERROR(INDEX(_怪物模型!$E$2:$E$4501,(INT($J9)-1)*ROWS(_怪物类型!$A$2:$A$10)+MATCH($F9,_怪物类型!$A$2:$A$10,0))*IF($L9="",1,$L9),""))</f>
        <v/>
      </c>
      <c r="U9" s="74">
        <f>IF(OR($J9="",$F9="不适用"),"",IFERROR(INDEX(_怪物模型!$F$2:$F$4501,(INT($J9)-1)*ROWS(_怪物类型!$A$2:$A$10)+MATCH($F9,_怪物类型!$A$2:$A$10,0))*IF($M9="",1,$M9),""))</f>
        <v/>
      </c>
      <c r="V9" s="75">
        <f>IF($U9="","",MIN(0.75,$U9/($U9+24000)))</f>
        <v/>
      </c>
      <c r="W9" s="76">
        <f>IF($S9="","",$S9/(1-$V9)*IF($N9="",1,$N9))</f>
        <v/>
      </c>
      <c r="X9" s="76">
        <f>IF(OR($W9="",$Q9="",$Q9=0),"",$W9/$Q9)</f>
        <v/>
      </c>
      <c r="Y9" s="76">
        <f>IF(OR($R9="",$T9="",$T9=0),"",$R9/($T9*IF($O9="",1,$O9)))</f>
        <v/>
      </c>
      <c r="Z9" s="77">
        <f>IF(OR($X9="",$P9="",$P9=0),"",$X9/$P9)</f>
        <v/>
      </c>
      <c r="AA9" s="27">
        <f>IF($J9="","待填怪物等级",IF(OR($I9="",$Q9=""),"待填对照关卡",IF($P9="","已计算",IF(AND($Y9&lt;&gt;"",$Y9&lt;$X9),"生存不成立",IF($Z9&lt;0.5,"碾压",IF($Z9&lt;0.8,"偏简单",IF($Z9&lt;=1.2,"适中",IF($Z9&lt;=1.5,"偏难","过难"))))))))</f>
        <v/>
      </c>
      <c r="AB9" s="27">
        <f>IF($J9="","待填",IF(AND(ISNUMBER($J9),$J9&gt;=1,$J9&lt;=500,MOD($J9,1)=0),"有效","超范围"))</f>
        <v/>
      </c>
      <c r="AC9" s="27">
        <f>IF(OR($J9="",ROW()=5,$B9&lt;&gt;$B8,$J8=""),"",IF($J9&lt;$J8,"下降",""))</f>
        <v/>
      </c>
      <c r="AD9" s="28" t="inlineStr">
        <is>
          <t>2026-08-27 新玩家节点曲线校准；对照S160；等级248→220；保留原难度定位。</t>
        </is>
      </c>
      <c r="AE9" t="n">
        <v>347000</v>
      </c>
      <c r="AF9">
        <f>INDEX(_统一战力!$B$2:$B$501,J9)</f>
        <v/>
      </c>
    </row>
    <row r="10" ht="25" customHeight="1">
      <c r="A10" s="27" t="inlineStr">
        <is>
          <t>当前配置</t>
        </is>
      </c>
      <c r="B10" s="27" t="inlineStr">
        <is>
          <t>旅券</t>
        </is>
      </c>
      <c r="C10" s="28" t="inlineStr">
        <is>
          <t>4主题共用</t>
        </is>
      </c>
      <c r="D10" s="28" t="inlineStr">
        <is>
          <t>难度6</t>
        </is>
      </c>
      <c r="E10" s="28" t="inlineStr">
        <is>
          <t>241006;242006;243006;244006</t>
        </is>
      </c>
      <c r="F10" s="27" t="inlineStr">
        <is>
          <t>Boss</t>
        </is>
      </c>
      <c r="G10" s="37" t="n">
        <v>180</v>
      </c>
      <c r="H10" s="38" t="n"/>
      <c r="I10" s="39">
        <f>IF($H10="",$G10,$H10)</f>
        <v/>
      </c>
      <c r="J10" s="40" t="n">
        <v>241</v>
      </c>
      <c r="K10" s="72" t="n">
        <v>0.992571601701453</v>
      </c>
      <c r="L10" s="72" t="n">
        <v>1.02342753184361</v>
      </c>
      <c r="M10" s="72" t="n">
        <v>1</v>
      </c>
      <c r="N10" s="73" t="n"/>
      <c r="O10" s="73" t="n"/>
      <c r="P10" s="73" t="n"/>
      <c r="Q10" s="74">
        <f>IF($I10="","",IFERROR(INDEX(_玩家曲线!$H$2:$H$286,MATCH($I10,_玩家曲线!$A$2:$A$286,0)),""))</f>
        <v/>
      </c>
      <c r="R10" s="74">
        <f>IF($I10="","",IFERROR(INDEX(_玩家曲线!$I$2:$I$286,MATCH($I10,_玩家曲线!$A$2:$A$286,0)),""))</f>
        <v/>
      </c>
      <c r="S10" s="74">
        <f>IF(OR($J10="",$F10="不适用"),"",IFERROR(INDEX(_怪物模型!$D$2:$D$4501,(INT($J10)-1)*ROWS(_怪物类型!$A$2:$A$10)+MATCH($F10,_怪物类型!$A$2:$A$10,0))*IF($K10="",1,$K10),""))</f>
        <v/>
      </c>
      <c r="T10" s="74">
        <f>IF(OR($J10="",$F10="不适用"),"",IFERROR(INDEX(_怪物模型!$E$2:$E$4501,(INT($J10)-1)*ROWS(_怪物类型!$A$2:$A$10)+MATCH($F10,_怪物类型!$A$2:$A$10,0))*IF($L10="",1,$L10),""))</f>
        <v/>
      </c>
      <c r="U10" s="74">
        <f>IF(OR($J10="",$F10="不适用"),"",IFERROR(INDEX(_怪物模型!$F$2:$F$4501,(INT($J10)-1)*ROWS(_怪物类型!$A$2:$A$10)+MATCH($F10,_怪物类型!$A$2:$A$10,0))*IF($M10="",1,$M10),""))</f>
        <v/>
      </c>
      <c r="V10" s="75">
        <f>IF($U10="","",MIN(0.75,$U10/($U10+24000)))</f>
        <v/>
      </c>
      <c r="W10" s="76">
        <f>IF($S10="","",$S10/(1-$V10)*IF($N10="",1,$N10))</f>
        <v/>
      </c>
      <c r="X10" s="76">
        <f>IF(OR($W10="",$Q10="",$Q10=0),"",$W10/$Q10)</f>
        <v/>
      </c>
      <c r="Y10" s="76">
        <f>IF(OR($R10="",$T10="",$T10=0),"",$R10/($T10*IF($O10="",1,$O10)))</f>
        <v/>
      </c>
      <c r="Z10" s="77">
        <f>IF(OR($X10="",$P10="",$P10=0),"",$X10/$P10)</f>
        <v/>
      </c>
      <c r="AA10" s="27">
        <f>IF($J10="","待填怪物等级",IF(OR($I10="",$Q10=""),"待填对照关卡",IF($P10="","已计算",IF(AND($Y10&lt;&gt;"",$Y10&lt;$X10),"生存不成立",IF($Z10&lt;0.5,"碾压",IF($Z10&lt;0.8,"偏简单",IF($Z10&lt;=1.2,"适中",IF($Z10&lt;=1.5,"偏难","过难"))))))))</f>
        <v/>
      </c>
      <c r="AB10" s="27">
        <f>IF($J10="","待填",IF(AND(ISNUMBER($J10),$J10&gt;=1,$J10&lt;=500,MOD($J10,1)=0),"有效","超范围"))</f>
        <v/>
      </c>
      <c r="AC10" s="27">
        <f>IF(OR($J10="",ROW()=5,$B10&lt;&gt;$B9,$J9=""),"",IF($J10&lt;$J9,"下降",""))</f>
        <v/>
      </c>
      <c r="AD10" s="28" t="inlineStr">
        <is>
          <t>2026-08-27 新玩家节点曲线校准；对照S180；等级264→241；保留原难度定位。</t>
        </is>
      </c>
      <c r="AE10" t="n">
        <v>426000</v>
      </c>
      <c r="AF10">
        <f>INDEX(_统一战力!$B$2:$B$501,J10)</f>
        <v/>
      </c>
    </row>
    <row r="11" ht="25" customHeight="1">
      <c r="A11" s="27" t="inlineStr">
        <is>
          <t>当前配置</t>
        </is>
      </c>
      <c r="B11" s="27" t="inlineStr">
        <is>
          <t>旅券</t>
        </is>
      </c>
      <c r="C11" s="28" t="inlineStr">
        <is>
          <t>4主题共用</t>
        </is>
      </c>
      <c r="D11" s="28" t="inlineStr">
        <is>
          <t>难度7</t>
        </is>
      </c>
      <c r="E11" s="28" t="inlineStr">
        <is>
          <t>241007;242007;243007;244007</t>
        </is>
      </c>
      <c r="F11" s="27" t="inlineStr">
        <is>
          <t>Boss</t>
        </is>
      </c>
      <c r="G11" s="37" t="n">
        <v>202</v>
      </c>
      <c r="H11" s="38" t="n"/>
      <c r="I11" s="39">
        <f>IF($H11="",$G11,$H11)</f>
        <v/>
      </c>
      <c r="J11" s="40" t="n">
        <v>258</v>
      </c>
      <c r="K11" s="72" t="n">
        <v>0.988982179292714</v>
      </c>
      <c r="L11" s="72" t="n">
        <v>1.05281333148257</v>
      </c>
      <c r="M11" s="72" t="n">
        <v>1</v>
      </c>
      <c r="N11" s="73" t="n"/>
      <c r="O11" s="73" t="n"/>
      <c r="P11" s="73" t="n"/>
      <c r="Q11" s="74">
        <f>IF($I11="","",IFERROR(INDEX(_玩家曲线!$H$2:$H$286,MATCH($I11,_玩家曲线!$A$2:$A$286,0)),""))</f>
        <v/>
      </c>
      <c r="R11" s="74">
        <f>IF($I11="","",IFERROR(INDEX(_玩家曲线!$I$2:$I$286,MATCH($I11,_玩家曲线!$A$2:$A$286,0)),""))</f>
        <v/>
      </c>
      <c r="S11" s="74">
        <f>IF(OR($J11="",$F11="不适用"),"",IFERROR(INDEX(_怪物模型!$D$2:$D$4501,(INT($J11)-1)*ROWS(_怪物类型!$A$2:$A$10)+MATCH($F11,_怪物类型!$A$2:$A$10,0))*IF($K11="",1,$K11),""))</f>
        <v/>
      </c>
      <c r="T11" s="74">
        <f>IF(OR($J11="",$F11="不适用"),"",IFERROR(INDEX(_怪物模型!$E$2:$E$4501,(INT($J11)-1)*ROWS(_怪物类型!$A$2:$A$10)+MATCH($F11,_怪物类型!$A$2:$A$10,0))*IF($L11="",1,$L11),""))</f>
        <v/>
      </c>
      <c r="U11" s="74">
        <f>IF(OR($J11="",$F11="不适用"),"",IFERROR(INDEX(_怪物模型!$F$2:$F$4501,(INT($J11)-1)*ROWS(_怪物类型!$A$2:$A$10)+MATCH($F11,_怪物类型!$A$2:$A$10,0))*IF($M11="",1,$M11),""))</f>
        <v/>
      </c>
      <c r="V11" s="75">
        <f>IF($U11="","",MIN(0.75,$U11/($U11+24000)))</f>
        <v/>
      </c>
      <c r="W11" s="76">
        <f>IF($S11="","",$S11/(1-$V11)*IF($N11="",1,$N11))</f>
        <v/>
      </c>
      <c r="X11" s="76">
        <f>IF(OR($W11="",$Q11="",$Q11=0),"",$W11/$Q11)</f>
        <v/>
      </c>
      <c r="Y11" s="76">
        <f>IF(OR($R11="",$T11="",$T11=0),"",$R11/($T11*IF($O11="",1,$O11)))</f>
        <v/>
      </c>
      <c r="Z11" s="77">
        <f>IF(OR($X11="",$P11="",$P11=0),"",$X11/$P11)</f>
        <v/>
      </c>
      <c r="AA11" s="27">
        <f>IF($J11="","待填怪物等级",IF(OR($I11="",$Q11=""),"待填对照关卡",IF($P11="","已计算",IF(AND($Y11&lt;&gt;"",$Y11&lt;$X11),"生存不成立",IF($Z11&lt;0.5,"碾压",IF($Z11&lt;0.8,"偏简单",IF($Z11&lt;=1.2,"适中",IF($Z11&lt;=1.5,"偏难","过难"))))))))</f>
        <v/>
      </c>
      <c r="AB11" s="27">
        <f>IF($J11="","待填",IF(AND(ISNUMBER($J11),$J11&gt;=1,$J11&lt;=500,MOD($J11,1)=0),"有效","超范围"))</f>
        <v/>
      </c>
      <c r="AC11" s="27">
        <f>IF(OR($J11="",ROW()=5,$B11&lt;&gt;$B10,$J10=""),"",IF($J11&lt;$J10,"下降",""))</f>
        <v/>
      </c>
      <c r="AD11" s="28" t="inlineStr">
        <is>
          <t>2026-08-27 新玩家节点曲线校准；对照S202；等级275→258；保留原难度定位。</t>
        </is>
      </c>
      <c r="AE11" t="n">
        <v>492000</v>
      </c>
      <c r="AF11">
        <f>INDEX(_统一战力!$B$2:$B$501,J11)</f>
        <v/>
      </c>
    </row>
    <row r="12" ht="25" customHeight="1">
      <c r="A12" s="27" t="inlineStr">
        <is>
          <t>当前配置</t>
        </is>
      </c>
      <c r="B12" s="27" t="inlineStr">
        <is>
          <t>旅券</t>
        </is>
      </c>
      <c r="C12" s="28" t="inlineStr">
        <is>
          <t>4主题共用</t>
        </is>
      </c>
      <c r="D12" s="28" t="inlineStr">
        <is>
          <t>难度8</t>
        </is>
      </c>
      <c r="E12" s="28" t="inlineStr">
        <is>
          <t>241008;242008;243008;244008</t>
        </is>
      </c>
      <c r="F12" s="27" t="inlineStr">
        <is>
          <t>Boss</t>
        </is>
      </c>
      <c r="G12" s="37" t="n">
        <v>226</v>
      </c>
      <c r="H12" s="38" t="n"/>
      <c r="I12" s="39">
        <f>IF($H12="",$G12,$H12)</f>
        <v/>
      </c>
      <c r="J12" s="40" t="n">
        <v>275</v>
      </c>
      <c r="K12" s="72" t="n">
        <v>0.974640081454633</v>
      </c>
      <c r="L12" s="72" t="n">
        <v>1.07385458010427</v>
      </c>
      <c r="M12" s="72" t="n">
        <v>1</v>
      </c>
      <c r="N12" s="73" t="n"/>
      <c r="O12" s="73" t="n"/>
      <c r="P12" s="73" t="n"/>
      <c r="Q12" s="74">
        <f>IF($I12="","",IFERROR(INDEX(_玩家曲线!$H$2:$H$286,MATCH($I12,_玩家曲线!$A$2:$A$286,0)),""))</f>
        <v/>
      </c>
      <c r="R12" s="74">
        <f>IF($I12="","",IFERROR(INDEX(_玩家曲线!$I$2:$I$286,MATCH($I12,_玩家曲线!$A$2:$A$286,0)),""))</f>
        <v/>
      </c>
      <c r="S12" s="74">
        <f>IF(OR($J12="",$F12="不适用"),"",IFERROR(INDEX(_怪物模型!$D$2:$D$4501,(INT($J12)-1)*ROWS(_怪物类型!$A$2:$A$10)+MATCH($F12,_怪物类型!$A$2:$A$10,0))*IF($K12="",1,$K12),""))</f>
        <v/>
      </c>
      <c r="T12" s="74">
        <f>IF(OR($J12="",$F12="不适用"),"",IFERROR(INDEX(_怪物模型!$E$2:$E$4501,(INT($J12)-1)*ROWS(_怪物类型!$A$2:$A$10)+MATCH($F12,_怪物类型!$A$2:$A$10,0))*IF($L12="",1,$L12),""))</f>
        <v/>
      </c>
      <c r="U12" s="74">
        <f>IF(OR($J12="",$F12="不适用"),"",IFERROR(INDEX(_怪物模型!$F$2:$F$4501,(INT($J12)-1)*ROWS(_怪物类型!$A$2:$A$10)+MATCH($F12,_怪物类型!$A$2:$A$10,0))*IF($M12="",1,$M12),""))</f>
        <v/>
      </c>
      <c r="V12" s="75">
        <f>IF($U12="","",MIN(0.75,$U12/($U12+24000)))</f>
        <v/>
      </c>
      <c r="W12" s="76">
        <f>IF($S12="","",$S12/(1-$V12)*IF($N12="",1,$N12))</f>
        <v/>
      </c>
      <c r="X12" s="76">
        <f>IF(OR($W12="",$Q12="",$Q12=0),"",$W12/$Q12)</f>
        <v/>
      </c>
      <c r="Y12" s="76">
        <f>IF(OR($R12="",$T12="",$T12=0),"",$R12/($T12*IF($O12="",1,$O12)))</f>
        <v/>
      </c>
      <c r="Z12" s="77">
        <f>IF(OR($X12="",$P12="",$P12=0),"",$X12/$P12)</f>
        <v/>
      </c>
      <c r="AA12" s="27">
        <f>IF($J12="","待填怪物等级",IF(OR($I12="",$Q12=""),"待填对照关卡",IF($P12="","已计算",IF(AND($Y12&lt;&gt;"",$Y12&lt;$X12),"生存不成立",IF($Z12&lt;0.5,"碾压",IF($Z12&lt;0.8,"偏简单",IF($Z12&lt;=1.2,"适中",IF($Z12&lt;=1.5,"偏难","过难"))))))))</f>
        <v/>
      </c>
      <c r="AB12" s="27">
        <f>IF($J12="","待填",IF(AND(ISNUMBER($J12),$J12&gt;=1,$J12&lt;=500,MOD($J12,1)=0),"有效","超范围"))</f>
        <v/>
      </c>
      <c r="AC12" s="27">
        <f>IF(OR($J12="",ROW()=5,$B12&lt;&gt;$B11,$J11=""),"",IF($J12&lt;$J11,"下降",""))</f>
        <v/>
      </c>
      <c r="AD12" s="28" t="inlineStr">
        <is>
          <t>2026-08-27 新玩家节点曲线校准；对照S226；等级284→275；保留原难度定位。</t>
        </is>
      </c>
      <c r="AE12" t="n">
        <v>569000</v>
      </c>
      <c r="AF12">
        <f>INDEX(_统一战力!$B$2:$B$501,J12)</f>
        <v/>
      </c>
    </row>
    <row r="13" ht="25" customHeight="1">
      <c r="A13" s="27" t="inlineStr">
        <is>
          <t>当前配置</t>
        </is>
      </c>
      <c r="B13" s="27" t="inlineStr">
        <is>
          <t>旅券</t>
        </is>
      </c>
      <c r="C13" s="28" t="inlineStr">
        <is>
          <t>4主题共用</t>
        </is>
      </c>
      <c r="D13" s="28" t="inlineStr">
        <is>
          <t>难度9</t>
        </is>
      </c>
      <c r="E13" s="28" t="inlineStr">
        <is>
          <t>241009;242009;243009;244009</t>
        </is>
      </c>
      <c r="F13" s="27" t="inlineStr">
        <is>
          <t>Boss</t>
        </is>
      </c>
      <c r="G13" s="37" t="n">
        <v>252</v>
      </c>
      <c r="H13" s="38" t="n"/>
      <c r="I13" s="39">
        <f>IF($H13="",$G13,$H13)</f>
        <v/>
      </c>
      <c r="J13" s="40" t="n">
        <v>292</v>
      </c>
      <c r="K13" s="72" t="n">
        <v>0.9628987613351619</v>
      </c>
      <c r="L13" s="72" t="n">
        <v>1.09553933422662</v>
      </c>
      <c r="M13" s="72" t="n">
        <v>1</v>
      </c>
      <c r="N13" s="73" t="n"/>
      <c r="O13" s="73" t="n"/>
      <c r="P13" s="73" t="n"/>
      <c r="Q13" s="74">
        <f>IF($I13="","",IFERROR(INDEX(_玩家曲线!$H$2:$H$286,MATCH($I13,_玩家曲线!$A$2:$A$286,0)),""))</f>
        <v/>
      </c>
      <c r="R13" s="74">
        <f>IF($I13="","",IFERROR(INDEX(_玩家曲线!$I$2:$I$286,MATCH($I13,_玩家曲线!$A$2:$A$286,0)),""))</f>
        <v/>
      </c>
      <c r="S13" s="74">
        <f>IF(OR($J13="",$F13="不适用"),"",IFERROR(INDEX(_怪物模型!$D$2:$D$4501,(INT($J13)-1)*ROWS(_怪物类型!$A$2:$A$10)+MATCH($F13,_怪物类型!$A$2:$A$10,0))*IF($K13="",1,$K13),""))</f>
        <v/>
      </c>
      <c r="T13" s="74">
        <f>IF(OR($J13="",$F13="不适用"),"",IFERROR(INDEX(_怪物模型!$E$2:$E$4501,(INT($J13)-1)*ROWS(_怪物类型!$A$2:$A$10)+MATCH($F13,_怪物类型!$A$2:$A$10,0))*IF($L13="",1,$L13),""))</f>
        <v/>
      </c>
      <c r="U13" s="74">
        <f>IF(OR($J13="",$F13="不适用"),"",IFERROR(INDEX(_怪物模型!$F$2:$F$4501,(INT($J13)-1)*ROWS(_怪物类型!$A$2:$A$10)+MATCH($F13,_怪物类型!$A$2:$A$10,0))*IF($M13="",1,$M13),""))</f>
        <v/>
      </c>
      <c r="V13" s="75">
        <f>IF($U13="","",MIN(0.75,$U13/($U13+24000)))</f>
        <v/>
      </c>
      <c r="W13" s="76">
        <f>IF($S13="","",$S13/(1-$V13)*IF($N13="",1,$N13))</f>
        <v/>
      </c>
      <c r="X13" s="76">
        <f>IF(OR($W13="",$Q13="",$Q13=0),"",$W13/$Q13)</f>
        <v/>
      </c>
      <c r="Y13" s="76">
        <f>IF(OR($R13="",$T13="",$T13=0),"",$R13/($T13*IF($O13="",1,$O13)))</f>
        <v/>
      </c>
      <c r="Z13" s="77">
        <f>IF(OR($X13="",$P13="",$P13=0),"",$X13/$P13)</f>
        <v/>
      </c>
      <c r="AA13" s="27">
        <f>IF($J13="","待填怪物等级",IF(OR($I13="",$Q13=""),"待填对照关卡",IF($P13="","已计算",IF(AND($Y13&lt;&gt;"",$Y13&lt;$X13),"生存不成立",IF($Z13&lt;0.5,"碾压",IF($Z13&lt;0.8,"偏简单",IF($Z13&lt;=1.2,"适中",IF($Z13&lt;=1.5,"偏难","过难"))))))))</f>
        <v/>
      </c>
      <c r="AB13" s="27">
        <f>IF($J13="","待填",IF(AND(ISNUMBER($J13),$J13&gt;=1,$J13&lt;=500,MOD($J13,1)=0),"有效","超范围"))</f>
        <v/>
      </c>
      <c r="AC13" s="27">
        <f>IF(OR($J13="",ROW()=5,$B13&lt;&gt;$B12,$J12=""),"",IF($J13&lt;$J12,"下降",""))</f>
        <v/>
      </c>
      <c r="AD13" s="28" t="inlineStr">
        <is>
          <t>2026-08-27 新玩家节点曲线校准；对照S252；等级292→292；保留原难度定位。</t>
        </is>
      </c>
      <c r="AE13" t="n">
        <v>640000</v>
      </c>
      <c r="AF13">
        <f>INDEX(_统一战力!$B$2:$B$501,J13)</f>
        <v/>
      </c>
    </row>
    <row r="14" ht="25" customHeight="1">
      <c r="A14" s="27" t="inlineStr">
        <is>
          <t>当前配置</t>
        </is>
      </c>
      <c r="B14" s="27" t="inlineStr">
        <is>
          <t>旅券</t>
        </is>
      </c>
      <c r="C14" s="28" t="inlineStr">
        <is>
          <t>4主题共用</t>
        </is>
      </c>
      <c r="D14" s="28" t="inlineStr">
        <is>
          <t>难度10</t>
        </is>
      </c>
      <c r="E14" s="28" t="inlineStr">
        <is>
          <t>241010;242010;243010;244010</t>
        </is>
      </c>
      <c r="F14" s="27" t="inlineStr">
        <is>
          <t>Boss</t>
        </is>
      </c>
      <c r="G14" s="37" t="n">
        <v>279</v>
      </c>
      <c r="H14" s="38" t="n"/>
      <c r="I14" s="39">
        <f>IF($H14="",$G14,$H14)</f>
        <v/>
      </c>
      <c r="J14" s="40" t="n">
        <v>312</v>
      </c>
      <c r="K14" s="72" t="n">
        <v>0.959812363969416</v>
      </c>
      <c r="L14" s="72" t="n">
        <v>1.12491355634151</v>
      </c>
      <c r="M14" s="72" t="n">
        <v>1</v>
      </c>
      <c r="N14" s="73" t="n"/>
      <c r="O14" s="73" t="n"/>
      <c r="P14" s="73" t="n"/>
      <c r="Q14" s="74">
        <f>IF($I14="","",IFERROR(INDEX(_玩家曲线!$H$2:$H$286,MATCH($I14,_玩家曲线!$A$2:$A$286,0)),""))</f>
        <v/>
      </c>
      <c r="R14" s="74">
        <f>IF($I14="","",IFERROR(INDEX(_玩家曲线!$I$2:$I$286,MATCH($I14,_玩家曲线!$A$2:$A$286,0)),""))</f>
        <v/>
      </c>
      <c r="S14" s="74">
        <f>IF(OR($J14="",$F14="不适用"),"",IFERROR(INDEX(_怪物模型!$D$2:$D$4501,(INT($J14)-1)*ROWS(_怪物类型!$A$2:$A$10)+MATCH($F14,_怪物类型!$A$2:$A$10,0))*IF($K14="",1,$K14),""))</f>
        <v/>
      </c>
      <c r="T14" s="74">
        <f>IF(OR($J14="",$F14="不适用"),"",IFERROR(INDEX(_怪物模型!$E$2:$E$4501,(INT($J14)-1)*ROWS(_怪物类型!$A$2:$A$10)+MATCH($F14,_怪物类型!$A$2:$A$10,0))*IF($L14="",1,$L14),""))</f>
        <v/>
      </c>
      <c r="U14" s="74">
        <f>IF(OR($J14="",$F14="不适用"),"",IFERROR(INDEX(_怪物模型!$F$2:$F$4501,(INT($J14)-1)*ROWS(_怪物类型!$A$2:$A$10)+MATCH($F14,_怪物类型!$A$2:$A$10,0))*IF($M14="",1,$M14),""))</f>
        <v/>
      </c>
      <c r="V14" s="75">
        <f>IF($U14="","",MIN(0.75,$U14/($U14+24000)))</f>
        <v/>
      </c>
      <c r="W14" s="76">
        <f>IF($S14="","",$S14/(1-$V14)*IF($N14="",1,$N14))</f>
        <v/>
      </c>
      <c r="X14" s="76">
        <f>IF(OR($W14="",$Q14="",$Q14=0),"",$W14/$Q14)</f>
        <v/>
      </c>
      <c r="Y14" s="76">
        <f>IF(OR($R14="",$T14="",$T14=0),"",$R14/($T14*IF($O14="",1,$O14)))</f>
        <v/>
      </c>
      <c r="Z14" s="77">
        <f>IF(OR($X14="",$P14="",$P14=0),"",$X14/$P14)</f>
        <v/>
      </c>
      <c r="AA14" s="27">
        <f>IF($J14="","待填怪物等级",IF(OR($I14="",$Q14=""),"待填对照关卡",IF($P14="","已计算",IF(AND($Y14&lt;&gt;"",$Y14&lt;$X14),"生存不成立",IF($Z14&lt;0.5,"碾压",IF($Z14&lt;0.8,"偏简单",IF($Z14&lt;=1.2,"适中",IF($Z14&lt;=1.5,"偏难","过难"))))))))</f>
        <v/>
      </c>
      <c r="AB14" s="27">
        <f>IF($J14="","待填",IF(AND(ISNUMBER($J14),$J14&gt;=1,$J14&lt;=500,MOD($J14,1)=0),"有效","超范围"))</f>
        <v/>
      </c>
      <c r="AC14" s="27">
        <f>IF(OR($J14="",ROW()=5,$B14&lt;&gt;$B13,$J13=""),"",IF($J14&lt;$J13,"下降",""))</f>
        <v/>
      </c>
      <c r="AD14" s="28" t="inlineStr">
        <is>
          <t>2026-08-27 新玩家节点曲线校准；对照S279；等级303→312；保留原难度定位。</t>
        </is>
      </c>
      <c r="AE14" t="n">
        <v>743000</v>
      </c>
      <c r="AF14">
        <f>INDEX(_统一战力!$B$2:$B$501,J14)</f>
        <v/>
      </c>
    </row>
  </sheetData>
  <mergeCells count="3">
    <mergeCell ref="A3:AD3"/>
    <mergeCell ref="A2:AD2"/>
    <mergeCell ref="A1:AD1"/>
  </mergeCells>
  <conditionalFormatting sqref="J5:J14">
    <cfRule type="expression" priority="1" dxfId="2">
      <formula>AND($A5&lt;&gt;"特殊：双方属性对算",$J5="")</formula>
    </cfRule>
  </conditionalFormatting>
  <conditionalFormatting sqref="AA5:AA14">
    <cfRule type="expression" priority="3" dxfId="0">
      <formula>$AA5="适中"</formula>
    </cfRule>
    <cfRule type="expression" priority="4" dxfId="3">
      <formula>$AA5="偏难"</formula>
    </cfRule>
    <cfRule type="expression" priority="5" dxfId="1">
      <formula>$AA5="过难"</formula>
    </cfRule>
    <cfRule type="expression" priority="6" dxfId="1">
      <formula>$AA5="生存不成立"</formula>
    </cfRule>
  </conditionalFormatting>
  <conditionalFormatting sqref="AB5:AB14">
    <cfRule type="expression" priority="2" dxfId="4">
      <formula>$AB5="超范围"</formula>
    </cfRule>
  </conditionalFormatting>
  <conditionalFormatting sqref="AC5:AC14">
    <cfRule type="expression" priority="7" dxfId="4">
      <formula>$AC5="下降"</formula>
    </cfRule>
  </conditionalFormatting>
  <dataValidations count="5">
    <dataValidation sqref="F5:F14" showDropDown="0" showInputMessage="0" showErrorMessage="0" allowBlank="0" type="list">
      <formula1>_字典!$A$2:$A$11</formula1>
    </dataValidation>
    <dataValidation sqref="H5:H14" showDropDown="0" showInputMessage="0" showErrorMessage="0" allowBlank="1" type="whole" operator="between">
      <formula1>1</formula1>
      <formula2>285</formula2>
    </dataValidation>
    <dataValidation sqref="J5:J14" showDropDown="0" showInputMessage="0" showErrorMessage="0" allowBlank="1" type="whole" operator="between">
      <formula1>1</formula1>
      <formula2>500</formula2>
    </dataValidation>
    <dataValidation sqref="P5:P14" showDropDown="0" showInputMessage="0" showErrorMessage="0" allowBlank="1" type="decimal" operator="between">
      <formula1>0.01</formula1>
      <formula2>3600</formula2>
    </dataValidation>
    <dataValidation sqref="K5:O14" showDropDown="0" showInputMessage="0" showErrorMessage="0" allowBlank="1" type="decimal" operator="between">
      <formula1>0</formula1>
      <formula2>100</formula2>
    </dataValidation>
  </dataValidations>
  <hyperlinks>
    <hyperlink xmlns:r="http://schemas.openxmlformats.org/officeDocument/2006/relationships" ref="A1" display="全玩法难度填写｜旅券" r:id="rId1"/>
  </hyperlink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tabColor rgb="FFC55A11"/>
    <outlinePr summaryBelow="1" summaryRight="1"/>
    <pageSetUpPr/>
  </sheetPr>
  <dimension ref="A1:AI34"/>
  <sheetViews>
    <sheetView showGridLines="0" workbookViewId="0">
      <selection activeCell="A1" sqref="A1:AD1"/>
    </sheetView>
  </sheetViews>
  <sheetFormatPr baseColWidth="8" defaultColWidth="9" defaultRowHeight="13.5"/>
  <cols>
    <col width="12" customWidth="1" min="1" max="1"/>
    <col width="13" customWidth="1" min="2" max="2"/>
    <col width="18" customWidth="1" min="3" max="3"/>
    <col width="15" customWidth="1" min="4" max="4"/>
    <col width="35" customWidth="1" min="5" max="5"/>
    <col width="14" customWidth="1" min="6" max="9"/>
    <col width="12" customWidth="1" min="10" max="10"/>
    <col width="11" customWidth="1" min="11" max="13"/>
    <col width="13" customWidth="1" min="14" max="15"/>
    <col width="12" customWidth="1" min="16" max="16"/>
    <col width="16" customWidth="1" min="17" max="21"/>
    <col width="12" customWidth="1" min="22" max="22"/>
    <col width="17" customWidth="1" min="23" max="23"/>
    <col width="14" customWidth="1" min="24" max="25"/>
    <col width="12" customWidth="1" min="26" max="26"/>
    <col width="15" customWidth="1" min="27" max="27"/>
    <col width="12" customWidth="1" min="28" max="29"/>
    <col width="46" customWidth="1" min="30" max="30"/>
    <col width="22" customWidth="1" min="31" max="32"/>
    <col width="19" customWidth="1" min="33" max="35"/>
  </cols>
  <sheetData>
    <row r="1" ht="34" customHeight="1">
      <c r="A1" s="23" t="inlineStr">
        <is>
          <t>全玩法难度填写｜映射</t>
        </is>
      </c>
    </row>
    <row r="2" ht="30" customHeight="1">
      <c r="A2" s="24" t="inlineStr">
        <is>
          <t>30档独立校准：在“映射等级节点”C列黄格改等级；J列跟随。不要再用首末两点直线插值。</t>
        </is>
      </c>
    </row>
    <row r="3" ht="14.25" customHeight="1">
      <c r="A3" s="25" t="inlineStr">
        <is>
          <t>公式口径：怪物实际属性=战斗公式标准模型×可选系数；怪物EHP=实际生命÷(1-防御减伤)×整关EHP倍率；TTK=怪物EHP÷玩家DPS。</t>
        </is>
      </c>
    </row>
    <row r="4" ht="36" customHeight="1">
      <c r="A4" s="26" t="inlineStr">
        <is>
          <t>状态</t>
        </is>
      </c>
      <c r="B4" s="26" t="inlineStr">
        <is>
          <t>玩法</t>
        </is>
      </c>
      <c r="C4" s="26" t="inlineStr">
        <is>
          <t>子玩法/共用范围</t>
        </is>
      </c>
      <c r="D4" s="26" t="inlineStr">
        <is>
          <t>节点名称</t>
        </is>
      </c>
      <c r="E4" s="26" t="inlineStr">
        <is>
          <t>LevelId/配置映射</t>
        </is>
      </c>
      <c r="F4" s="26" t="inlineStr">
        <is>
          <t>怪物类型</t>
        </is>
      </c>
      <c r="G4" s="26" t="inlineStr">
        <is>
          <t>默认对照关卡</t>
        </is>
      </c>
      <c r="H4" s="26" t="inlineStr">
        <is>
          <t>手动对照关卡</t>
        </is>
      </c>
      <c r="I4" s="26" t="inlineStr">
        <is>
          <t>实际对照关卡</t>
        </is>
      </c>
      <c r="J4" s="26" t="inlineStr">
        <is>
          <t>怪物等级</t>
        </is>
      </c>
      <c r="K4" s="26" t="inlineStr">
        <is>
          <t>生命系数</t>
        </is>
      </c>
      <c r="L4" s="26" t="inlineStr">
        <is>
          <t>攻击系数</t>
        </is>
      </c>
      <c r="M4" s="26" t="inlineStr">
        <is>
          <t>防御系数</t>
        </is>
      </c>
      <c r="N4" s="26" t="inlineStr">
        <is>
          <t>整关EHP倍率</t>
        </is>
      </c>
      <c r="O4" s="26" t="inlineStr">
        <is>
          <t>攻击压力倍率</t>
        </is>
      </c>
      <c r="P4" s="26" t="inlineStr">
        <is>
          <t>目标时间(s)</t>
        </is>
      </c>
      <c r="Q4" s="26" t="inlineStr">
        <is>
          <t>玩家DPS</t>
        </is>
      </c>
      <c r="R4" s="26" t="inlineStr">
        <is>
          <t>玩家队伍EHP</t>
        </is>
      </c>
      <c r="S4" s="26" t="inlineStr">
        <is>
          <t>怪物实际生命</t>
        </is>
      </c>
      <c r="T4" s="26" t="inlineStr">
        <is>
          <t>怪物实际攻击</t>
        </is>
      </c>
      <c r="U4" s="26" t="inlineStr">
        <is>
          <t>怪物实际防御</t>
        </is>
      </c>
      <c r="V4" s="26" t="inlineStr">
        <is>
          <t>怪物减伤率</t>
        </is>
      </c>
      <c r="W4" s="26" t="inlineStr">
        <is>
          <t>整关目标EHP</t>
        </is>
      </c>
      <c r="X4" s="26" t="inlineStr">
        <is>
          <t>预测TTK(s)</t>
        </is>
      </c>
      <c r="Y4" s="26" t="inlineStr">
        <is>
          <t>预测存活(s)</t>
        </is>
      </c>
      <c r="Z4" s="26" t="inlineStr">
        <is>
          <t>TTK/目标</t>
        </is>
      </c>
      <c r="AA4" s="26" t="inlineStr">
        <is>
          <t>难度判断</t>
        </is>
      </c>
      <c r="AB4" s="26" t="inlineStr">
        <is>
          <t>等级检查</t>
        </is>
      </c>
      <c r="AC4" s="26" t="inlineStr">
        <is>
          <t>等级趋势</t>
        </is>
      </c>
      <c r="AD4" s="26" t="inlineStr">
        <is>
          <t>备注</t>
        </is>
      </c>
      <c r="AE4" s="8" t="inlineStr">
        <is>
          <t>玩法推荐战力</t>
        </is>
      </c>
      <c r="AF4" s="8" t="inlineStr">
        <is>
          <t>标准等级战力</t>
        </is>
      </c>
      <c r="AG4" s="47" t="inlineStr">
        <is>
          <t>系数前推荐战力</t>
        </is>
      </c>
      <c r="AH4" s="47" t="inlineStr">
        <is>
          <t>推荐战力系数</t>
        </is>
      </c>
      <c r="AI4" s="47" t="inlineStr">
        <is>
          <t>系数后未取整</t>
        </is>
      </c>
    </row>
    <row r="5" ht="25" customHeight="1">
      <c r="A5" s="27" t="inlineStr">
        <is>
          <t>当前配置</t>
        </is>
      </c>
      <c r="B5" s="27" t="inlineStr">
        <is>
          <t>映射</t>
        </is>
      </c>
      <c r="C5" s="28" t="inlineStr">
        <is>
          <t>5类型共用</t>
        </is>
      </c>
      <c r="D5" s="28" t="inlineStr">
        <is>
          <t>难度1</t>
        </is>
      </c>
      <c r="E5" s="28" t="inlineStr">
        <is>
          <t>250011;250012;250013;250014;250015</t>
        </is>
      </c>
      <c r="F5" s="27" t="inlineStr">
        <is>
          <t>装备副本Boss</t>
        </is>
      </c>
      <c r="G5" s="37" t="n">
        <v>24</v>
      </c>
      <c r="H5" s="38" t="n"/>
      <c r="I5" s="39">
        <f>IF($H5="",$G5,$H5)</f>
        <v/>
      </c>
      <c r="J5" s="48">
        <f>映射等级节点!C2</f>
        <v/>
      </c>
      <c r="K5" s="72" t="n">
        <v>1.21078110769917</v>
      </c>
      <c r="L5" s="72" t="n">
        <v>0.7470930232558139</v>
      </c>
      <c r="M5" s="72" t="n">
        <v>1</v>
      </c>
      <c r="N5" s="73" t="n"/>
      <c r="O5" s="73" t="n"/>
      <c r="P5" s="73" t="n"/>
      <c r="Q5" s="74">
        <f>IF($I5="","",IFERROR(INDEX(_玩家曲线!$H$2:$H$286,MATCH($I5,_玩家曲线!$A$2:$A$286,0)),""))</f>
        <v/>
      </c>
      <c r="R5" s="74">
        <f>IF($I5="","",IFERROR(INDEX(_玩家曲线!$I$2:$I$286,MATCH($I5,_玩家曲线!$A$2:$A$286,0)),""))</f>
        <v/>
      </c>
      <c r="S5" s="74">
        <f>IF(OR($J5="",$F5="不适用"),"",IFERROR(INDEX(_怪物模型!$D$2:$D$4501,(INT($J5)-1)*ROWS(_怪物类型!$A$2:$A$10)+MATCH($F5,_怪物类型!$A$2:$A$10,0))*IF($K5="",1,$K5),""))</f>
        <v/>
      </c>
      <c r="T5" s="74">
        <f>IF(OR($J5="",$F5="不适用"),"",IFERROR(INDEX(_怪物模型!$E$2:$E$4501,(INT($J5)-1)*ROWS(_怪物类型!$A$2:$A$10)+MATCH($F5,_怪物类型!$A$2:$A$10,0))*IF($L5="",1,$L5),""))</f>
        <v/>
      </c>
      <c r="U5" s="74">
        <f>IF(OR($J5="",$F5="不适用"),"",IFERROR(INDEX(_怪物模型!$F$2:$F$4501,(INT($J5)-1)*ROWS(_怪物类型!$A$2:$A$10)+MATCH($F5,_怪物类型!$A$2:$A$10,0))*IF($M5="",1,$M5),""))</f>
        <v/>
      </c>
      <c r="V5" s="75">
        <f>IF($U5="","",MIN(0.75,$U5/($U5+24000)))</f>
        <v/>
      </c>
      <c r="W5" s="76">
        <f>IF($S5="","",$S5/(1-$V5)*IF($N5="",1,$N5))</f>
        <v/>
      </c>
      <c r="X5" s="76">
        <f>IF(OR($W5="",$Q5="",$Q5=0),"",$W5/$Q5)</f>
        <v/>
      </c>
      <c r="Y5" s="76">
        <f>IF(OR($R5="",$T5="",$T5=0),"",$R5/($T5*IF($O5="",1,$O5)))</f>
        <v/>
      </c>
      <c r="Z5" s="77">
        <f>IF(OR($X5="",$P5="",$P5=0),"",$X5/$P5)</f>
        <v/>
      </c>
      <c r="AA5" s="27">
        <f>IF($J5="","待填怪物等级",IF(OR($I5="",$Q5=""),"待填对照关卡",IF($P5="","已计算",IF(AND($Y5&lt;&gt;"",$Y5&lt;$X5),"生存不成立",IF($Z5&lt;0.5,"碾压",IF($Z5&lt;0.8,"偏简单",IF($Z5&lt;=1.2,"适中",IF($Z5&lt;=1.5,"偏难","过难"))))))))</f>
        <v/>
      </c>
      <c r="AB5" s="27">
        <f>IF($J5="","待填",IF(AND(ISNUMBER($J5),$J5&gt;=1,$J5&lt;=500,MOD($J5,1)=0),"有效","超范围"))</f>
        <v/>
      </c>
      <c r="AC5" s="27">
        <f>IF(OR($J5="",ROW()=5,$B5&lt;&gt;$B4,$J4=""),"",IF($J5&lt;$J4,"下降",""))</f>
        <v/>
      </c>
      <c r="AD5" s="28" t="inlineStr">
        <is>
          <t>2026-08-27 新玩家节点曲线校准；对照S24；等级26→23；保留原难度定位。｜2026-09-14 等级带重排：40→330（幂0.85前快后慢），K/L与对照G不变；AE按60s/20s反查重算。｜2026-09-14 修订：难度10锚点120，两段幂曲线（40→120幂0.85前快后慢，120→330幂1.05微加速）。</t>
        </is>
      </c>
      <c r="AE5" t="n">
        <v>16000</v>
      </c>
      <c r="AF5">
        <f>INDEX(_统一战力!$B$2:$B$501,J5)</f>
        <v/>
      </c>
      <c r="AG5">
        <f>IF(INDEX(_统一战力!$D$2:$D$280,MATCH(I5,_统一战力!$C$2:$C$280,0))&gt;0,ROUND(INDEX(_统一战力!$D$2:$D$280,MATCH(I5,_统一战力!$C$2:$C$280,0)),-MAX(0,INT(LOG10(INDEX(_统一战力!$D$2:$D$280,MATCH(I5,_统一战力!$C$2:$C$280,0))))-2)),0)</f>
        <v/>
      </c>
      <c r="AH5" s="17">
        <f>推荐战力参数!$B$4</f>
        <v/>
      </c>
      <c r="AI5">
        <f>AG5*AH5</f>
        <v/>
      </c>
    </row>
    <row r="6" ht="25" customHeight="1">
      <c r="A6" s="27" t="inlineStr">
        <is>
          <t>当前配置</t>
        </is>
      </c>
      <c r="B6" s="27" t="inlineStr">
        <is>
          <t>映射</t>
        </is>
      </c>
      <c r="C6" s="28" t="inlineStr">
        <is>
          <t>5类型共用</t>
        </is>
      </c>
      <c r="D6" s="28" t="inlineStr">
        <is>
          <t>难度2</t>
        </is>
      </c>
      <c r="E6" s="28" t="inlineStr">
        <is>
          <t>250021;250022;250023;250024;250025</t>
        </is>
      </c>
      <c r="F6" s="27" t="inlineStr">
        <is>
          <t>装备副本Boss</t>
        </is>
      </c>
      <c r="G6" s="37" t="n">
        <v>29</v>
      </c>
      <c r="H6" s="38" t="n"/>
      <c r="I6" s="39">
        <f>IF($H6="",$G6,$H6)</f>
        <v/>
      </c>
      <c r="J6" s="48">
        <f>映射等级节点!C3</f>
        <v/>
      </c>
      <c r="K6" s="72" t="n">
        <v>1.17720882621358</v>
      </c>
      <c r="L6" s="72" t="n">
        <v>0.744081354282956</v>
      </c>
      <c r="M6" s="72" t="n">
        <v>1</v>
      </c>
      <c r="N6" s="73" t="n"/>
      <c r="O6" s="73" t="n"/>
      <c r="P6" s="73" t="n"/>
      <c r="Q6" s="74">
        <f>IF($I6="","",IFERROR(INDEX(_玩家曲线!$H$2:$H$286,MATCH($I6,_玩家曲线!$A$2:$A$286,0)),""))</f>
        <v/>
      </c>
      <c r="R6" s="74">
        <f>IF($I6="","",IFERROR(INDEX(_玩家曲线!$I$2:$I$286,MATCH($I6,_玩家曲线!$A$2:$A$286,0)),""))</f>
        <v/>
      </c>
      <c r="S6" s="74">
        <f>IF(OR($J6="",$F6="不适用"),"",IFERROR(INDEX(_怪物模型!$D$2:$D$4501,(INT($J6)-1)*ROWS(_怪物类型!$A$2:$A$10)+MATCH($F6,_怪物类型!$A$2:$A$10,0))*IF($K6="",1,$K6),""))</f>
        <v/>
      </c>
      <c r="T6" s="74">
        <f>IF(OR($J6="",$F6="不适用"),"",IFERROR(INDEX(_怪物模型!$E$2:$E$4501,(INT($J6)-1)*ROWS(_怪物类型!$A$2:$A$10)+MATCH($F6,_怪物类型!$A$2:$A$10,0))*IF($L6="",1,$L6),""))</f>
        <v/>
      </c>
      <c r="U6" s="74">
        <f>IF(OR($J6="",$F6="不适用"),"",IFERROR(INDEX(_怪物模型!$F$2:$F$4501,(INT($J6)-1)*ROWS(_怪物类型!$A$2:$A$10)+MATCH($F6,_怪物类型!$A$2:$A$10,0))*IF($M6="",1,$M6),""))</f>
        <v/>
      </c>
      <c r="V6" s="75">
        <f>IF($U6="","",MIN(0.75,$U6/($U6+24000)))</f>
        <v/>
      </c>
      <c r="W6" s="76">
        <f>IF($S6="","",$S6/(1-$V6)*IF($N6="",1,$N6))</f>
        <v/>
      </c>
      <c r="X6" s="76">
        <f>IF(OR($W6="",$Q6="",$Q6=0),"",$W6/$Q6)</f>
        <v/>
      </c>
      <c r="Y6" s="76">
        <f>IF(OR($R6="",$T6="",$T6=0),"",$R6/($T6*IF($O6="",1,$O6)))</f>
        <v/>
      </c>
      <c r="Z6" s="77">
        <f>IF(OR($X6="",$P6="",$P6=0),"",$X6/$P6)</f>
        <v/>
      </c>
      <c r="AA6" s="27">
        <f>IF($J6="","待填怪物等级",IF(OR($I6="",$Q6=""),"待填对照关卡",IF($P6="","已计算",IF(AND($Y6&lt;&gt;"",$Y6&lt;$X6),"生存不成立",IF($Z6&lt;0.5,"碾压",IF($Z6&lt;0.8,"偏简单",IF($Z6&lt;=1.2,"适中",IF($Z6&lt;=1.5,"偏难","过难"))))))))</f>
        <v/>
      </c>
      <c r="AB6" s="27">
        <f>IF($J6="","待填",IF(AND(ISNUMBER($J6),$J6&gt;=1,$J6&lt;=500,MOD($J6,1)=0),"有效","超范围"))</f>
        <v/>
      </c>
      <c r="AC6" s="27">
        <f>IF(OR($J6="",ROW()=5,$B6&lt;&gt;$B5,$J5=""),"",IF($J6&lt;$J5,"下降",""))</f>
        <v/>
      </c>
      <c r="AD6" s="28" t="inlineStr">
        <is>
          <t>2026-08-27 新玩家节点曲线校准；对照S29；等级35→30；保留原难度定位。｜2026-09-14 等级带重排：40→330（幂0.85前快后慢），K/L与对照G不变；AE按60s/20s反查重算。｜2026-09-14 修订：难度10锚点120，两段幂曲线（40→120幂0.85前快后慢，120→330幂1.05微加速）。</t>
        </is>
      </c>
      <c r="AE6" t="n">
        <v>23100</v>
      </c>
      <c r="AF6">
        <f>INDEX(_统一战力!$B$2:$B$501,J6)</f>
        <v/>
      </c>
      <c r="AG6">
        <f>IF(INDEX(_统一战力!$D$2:$D$280,MATCH(I6,_统一战力!$C$2:$C$280,0))&gt;0,ROUND(INDEX(_统一战力!$D$2:$D$280,MATCH(I6,_统一战力!$C$2:$C$280,0)),-MAX(0,INT(LOG10(INDEX(_统一战力!$D$2:$D$280,MATCH(I6,_统一战力!$C$2:$C$280,0))))-2)),0)</f>
        <v/>
      </c>
      <c r="AH6" s="17">
        <f>推荐战力参数!$B$4</f>
        <v/>
      </c>
      <c r="AI6">
        <f>AG6*AH6</f>
        <v/>
      </c>
    </row>
    <row r="7" ht="25" customHeight="1">
      <c r="A7" s="27" t="inlineStr">
        <is>
          <t>当前配置</t>
        </is>
      </c>
      <c r="B7" s="27" t="inlineStr">
        <is>
          <t>映射</t>
        </is>
      </c>
      <c r="C7" s="28" t="inlineStr">
        <is>
          <t>5类型共用</t>
        </is>
      </c>
      <c r="D7" s="28" t="inlineStr">
        <is>
          <t>难度3</t>
        </is>
      </c>
      <c r="E7" s="28" t="inlineStr">
        <is>
          <t>250031;250032;250033;250034;250035</t>
        </is>
      </c>
      <c r="F7" s="27" t="inlineStr">
        <is>
          <t>装备副本Boss</t>
        </is>
      </c>
      <c r="G7" s="37" t="n">
        <v>36</v>
      </c>
      <c r="H7" s="38" t="n"/>
      <c r="I7" s="39">
        <f>IF($H7="",$G7,$H7)</f>
        <v/>
      </c>
      <c r="J7" s="48">
        <f>映射等级节点!C4</f>
        <v/>
      </c>
      <c r="K7" s="72" t="n">
        <v>1.18020954502231</v>
      </c>
      <c r="L7" s="72" t="n">
        <v>0.748409114069851</v>
      </c>
      <c r="M7" s="72" t="n">
        <v>1</v>
      </c>
      <c r="N7" s="73" t="n"/>
      <c r="O7" s="73" t="n"/>
      <c r="P7" s="73" t="n"/>
      <c r="Q7" s="74">
        <f>IF($I7="","",IFERROR(INDEX(_玩家曲线!$H$2:$H$286,MATCH($I7,_玩家曲线!$A$2:$A$286,0)),""))</f>
        <v/>
      </c>
      <c r="R7" s="74">
        <f>IF($I7="","",IFERROR(INDEX(_玩家曲线!$I$2:$I$286,MATCH($I7,_玩家曲线!$A$2:$A$286,0)),""))</f>
        <v/>
      </c>
      <c r="S7" s="74">
        <f>IF(OR($J7="",$F7="不适用"),"",IFERROR(INDEX(_怪物模型!$D$2:$D$4501,(INT($J7)-1)*ROWS(_怪物类型!$A$2:$A$10)+MATCH($F7,_怪物类型!$A$2:$A$10,0))*IF($K7="",1,$K7),""))</f>
        <v/>
      </c>
      <c r="T7" s="74">
        <f>IF(OR($J7="",$F7="不适用"),"",IFERROR(INDEX(_怪物模型!$E$2:$E$4501,(INT($J7)-1)*ROWS(_怪物类型!$A$2:$A$10)+MATCH($F7,_怪物类型!$A$2:$A$10,0))*IF($L7="",1,$L7),""))</f>
        <v/>
      </c>
      <c r="U7" s="74">
        <f>IF(OR($J7="",$F7="不适用"),"",IFERROR(INDEX(_怪物模型!$F$2:$F$4501,(INT($J7)-1)*ROWS(_怪物类型!$A$2:$A$10)+MATCH($F7,_怪物类型!$A$2:$A$10,0))*IF($M7="",1,$M7),""))</f>
        <v/>
      </c>
      <c r="V7" s="75">
        <f>IF($U7="","",MIN(0.75,$U7/($U7+24000)))</f>
        <v/>
      </c>
      <c r="W7" s="76">
        <f>IF($S7="","",$S7/(1-$V7)*IF($N7="",1,$N7))</f>
        <v/>
      </c>
      <c r="X7" s="76">
        <f>IF(OR($W7="",$Q7="",$Q7=0),"",$W7/$Q7)</f>
        <v/>
      </c>
      <c r="Y7" s="76">
        <f>IF(OR($R7="",$T7="",$T7=0),"",$R7/($T7*IF($O7="",1,$O7)))</f>
        <v/>
      </c>
      <c r="Z7" s="77">
        <f>IF(OR($X7="",$P7="",$P7=0),"",$X7/$P7)</f>
        <v/>
      </c>
      <c r="AA7" s="27">
        <f>IF($J7="","待填怪物等级",IF(OR($I7="",$Q7=""),"待填对照关卡",IF($P7="","已计算",IF(AND($Y7&lt;&gt;"",$Y7&lt;$X7),"生存不成立",IF($Z7&lt;0.5,"碾压",IF($Z7&lt;0.8,"偏简单",IF($Z7&lt;=1.2,"适中",IF($Z7&lt;=1.5,"偏难","过难"))))))))</f>
        <v/>
      </c>
      <c r="AB7" s="27">
        <f>IF($J7="","待填",IF(AND(ISNUMBER($J7),$J7&gt;=1,$J7&lt;=500,MOD($J7,1)=0),"有效","超范围"))</f>
        <v/>
      </c>
      <c r="AC7" s="27">
        <f>IF(OR($J7="",ROW()=5,$B7&lt;&gt;$B6,$J6=""),"",IF($J7&lt;$J6,"下降",""))</f>
        <v/>
      </c>
      <c r="AD7" s="28" t="inlineStr">
        <is>
          <t>2026-08-27 新玩家节点曲线校准；对照S36；等级45→33；保留原难度定位。｜2026-09-14 等级带重排：40→330（幂0.85前快后慢），K/L与对照G不变；AE按60s/20s反查重算。｜2026-09-14 修订：难度10锚点120，两段幂曲线（40→120幂0.85前快后慢，120→330幂1.05微加速）。</t>
        </is>
      </c>
      <c r="AE7" t="n">
        <v>27800</v>
      </c>
      <c r="AF7">
        <f>INDEX(_统一战力!$B$2:$B$501,J7)</f>
        <v/>
      </c>
      <c r="AG7">
        <f>IF(INDEX(_统一战力!$D$2:$D$280,MATCH(I7,_统一战力!$C$2:$C$280,0))&gt;0,ROUND(INDEX(_统一战力!$D$2:$D$280,MATCH(I7,_统一战力!$C$2:$C$280,0)),-MAX(0,INT(LOG10(INDEX(_统一战力!$D$2:$D$280,MATCH(I7,_统一战力!$C$2:$C$280,0))))-2)),0)</f>
        <v/>
      </c>
      <c r="AH7" s="17">
        <f>推荐战力参数!$B$4</f>
        <v/>
      </c>
      <c r="AI7">
        <f>AG7*AH7</f>
        <v/>
      </c>
    </row>
    <row r="8" ht="25" customHeight="1">
      <c r="A8" s="27" t="inlineStr">
        <is>
          <t>当前配置</t>
        </is>
      </c>
      <c r="B8" s="27" t="inlineStr">
        <is>
          <t>映射</t>
        </is>
      </c>
      <c r="C8" s="28" t="inlineStr">
        <is>
          <t>5类型共用</t>
        </is>
      </c>
      <c r="D8" s="28" t="inlineStr">
        <is>
          <t>难度4</t>
        </is>
      </c>
      <c r="E8" s="28" t="inlineStr">
        <is>
          <t>250041;250042;250043;250044;250045</t>
        </is>
      </c>
      <c r="F8" s="27" t="inlineStr">
        <is>
          <t>装备副本Boss</t>
        </is>
      </c>
      <c r="G8" s="37" t="n">
        <v>43</v>
      </c>
      <c r="H8" s="38" t="n"/>
      <c r="I8" s="39">
        <f>IF($H8="",$G8,$H8)</f>
        <v/>
      </c>
      <c r="J8" s="48">
        <f>映射等级节点!C5</f>
        <v/>
      </c>
      <c r="K8" s="72" t="n">
        <v>1.17460796583434</v>
      </c>
      <c r="L8" s="72" t="n">
        <v>0.7411686138804811</v>
      </c>
      <c r="M8" s="72" t="n">
        <v>1</v>
      </c>
      <c r="N8" s="73" t="n"/>
      <c r="O8" s="73" t="n"/>
      <c r="P8" s="73" t="n"/>
      <c r="Q8" s="74">
        <f>IF($I8="","",IFERROR(INDEX(_玩家曲线!$H$2:$H$286,MATCH($I8,_玩家曲线!$A$2:$A$286,0)),""))</f>
        <v/>
      </c>
      <c r="R8" s="74">
        <f>IF($I8="","",IFERROR(INDEX(_玩家曲线!$I$2:$I$286,MATCH($I8,_玩家曲线!$A$2:$A$286,0)),""))</f>
        <v/>
      </c>
      <c r="S8" s="74">
        <f>IF(OR($J8="",$F8="不适用"),"",IFERROR(INDEX(_怪物模型!$D$2:$D$4501,(INT($J8)-1)*ROWS(_怪物类型!$A$2:$A$10)+MATCH($F8,_怪物类型!$A$2:$A$10,0))*IF($K8="",1,$K8),""))</f>
        <v/>
      </c>
      <c r="T8" s="74">
        <f>IF(OR($J8="",$F8="不适用"),"",IFERROR(INDEX(_怪物模型!$E$2:$E$4501,(INT($J8)-1)*ROWS(_怪物类型!$A$2:$A$10)+MATCH($F8,_怪物类型!$A$2:$A$10,0))*IF($L8="",1,$L8),""))</f>
        <v/>
      </c>
      <c r="U8" s="74">
        <f>IF(OR($J8="",$F8="不适用"),"",IFERROR(INDEX(_怪物模型!$F$2:$F$4501,(INT($J8)-1)*ROWS(_怪物类型!$A$2:$A$10)+MATCH($F8,_怪物类型!$A$2:$A$10,0))*IF($M8="",1,$M8),""))</f>
        <v/>
      </c>
      <c r="V8" s="75">
        <f>IF($U8="","",MIN(0.75,$U8/($U8+24000)))</f>
        <v/>
      </c>
      <c r="W8" s="76">
        <f>IF($S8="","",$S8/(1-$V8)*IF($N8="",1,$N8))</f>
        <v/>
      </c>
      <c r="X8" s="76">
        <f>IF(OR($W8="",$Q8="",$Q8=0),"",$W8/$Q8)</f>
        <v/>
      </c>
      <c r="Y8" s="76">
        <f>IF(OR($R8="",$T8="",$T8=0),"",$R8/($T8*IF($O8="",1,$O8)))</f>
        <v/>
      </c>
      <c r="Z8" s="77">
        <f>IF(OR($X8="",$P8="",$P8=0),"",$X8/$P8)</f>
        <v/>
      </c>
      <c r="AA8" s="27">
        <f>IF($J8="","待填怪物等级",IF(OR($I8="",$Q8=""),"待填对照关卡",IF($P8="","已计算",IF(AND($Y8&lt;&gt;"",$Y8&lt;$X8),"生存不成立",IF($Z8&lt;0.5,"碾压",IF($Z8&lt;0.8,"偏简单",IF($Z8&lt;=1.2,"适中",IF($Z8&lt;=1.5,"偏难","过难"))))))))</f>
        <v/>
      </c>
      <c r="AB8" s="27">
        <f>IF($J8="","待填",IF(AND(ISNUMBER($J8),$J8&gt;=1,$J8&lt;=500,MOD($J8,1)=0),"有效","超范围"))</f>
        <v/>
      </c>
      <c r="AC8" s="27">
        <f>IF(OR($J8="",ROW()=5,$B8&lt;&gt;$B7,$J7=""),"",IF($J8&lt;$J7,"下降",""))</f>
        <v/>
      </c>
      <c r="AD8" s="28" t="inlineStr">
        <is>
          <t>2026-08-27 新玩家节点曲线校准；对照S43；等级54→38；保留原难度定位。｜2026-09-14 等级带重排：40→330（幂0.85前快后慢），K/L与对照G不变；AE按60s/20s反查重算。｜2026-09-14 修订：难度10锚点120，两段幂曲线（40→120幂0.85前快后慢，120→330幂1.05微加速）。</t>
        </is>
      </c>
      <c r="AE8" t="n">
        <v>35500</v>
      </c>
      <c r="AF8">
        <f>INDEX(_统一战力!$B$2:$B$501,J8)</f>
        <v/>
      </c>
      <c r="AG8">
        <f>IF(INDEX(_统一战力!$D$2:$D$280,MATCH(I8,_统一战力!$C$2:$C$280,0))&gt;0,ROUND(INDEX(_统一战力!$D$2:$D$280,MATCH(I8,_统一战力!$C$2:$C$280,0)),-MAX(0,INT(LOG10(INDEX(_统一战力!$D$2:$D$280,MATCH(I8,_统一战力!$C$2:$C$280,0))))-2)),0)</f>
        <v/>
      </c>
      <c r="AH8" s="17">
        <f>推荐战力参数!$B$4</f>
        <v/>
      </c>
      <c r="AI8">
        <f>AG8*AH8</f>
        <v/>
      </c>
    </row>
    <row r="9" ht="25" customHeight="1">
      <c r="A9" s="27" t="inlineStr">
        <is>
          <t>当前配置</t>
        </is>
      </c>
      <c r="B9" s="27" t="inlineStr">
        <is>
          <t>映射</t>
        </is>
      </c>
      <c r="C9" s="28" t="inlineStr">
        <is>
          <t>5类型共用</t>
        </is>
      </c>
      <c r="D9" s="28" t="inlineStr">
        <is>
          <t>难度5</t>
        </is>
      </c>
      <c r="E9" s="28" t="inlineStr">
        <is>
          <t>250051;250052;250053;250054;250055</t>
        </is>
      </c>
      <c r="F9" s="27" t="inlineStr">
        <is>
          <t>装备副本Boss</t>
        </is>
      </c>
      <c r="G9" s="37" t="n">
        <v>50</v>
      </c>
      <c r="H9" s="38" t="n"/>
      <c r="I9" s="39">
        <f>IF($H9="",$G9,$H9)</f>
        <v/>
      </c>
      <c r="J9" s="48">
        <f>映射等级节点!C6</f>
        <v/>
      </c>
      <c r="K9" s="72" t="n">
        <v>1.14596876131196</v>
      </c>
      <c r="L9" s="72" t="n">
        <v>0.730743580765173</v>
      </c>
      <c r="M9" s="72" t="n">
        <v>1</v>
      </c>
      <c r="N9" s="73" t="n"/>
      <c r="O9" s="73" t="n"/>
      <c r="P9" s="73" t="n"/>
      <c r="Q9" s="74">
        <f>IF($I9="","",IFERROR(INDEX(_玩家曲线!$H$2:$H$286,MATCH($I9,_玩家曲线!$A$2:$A$286,0)),""))</f>
        <v/>
      </c>
      <c r="R9" s="74">
        <f>IF($I9="","",IFERROR(INDEX(_玩家曲线!$I$2:$I$286,MATCH($I9,_玩家曲线!$A$2:$A$286,0)),""))</f>
        <v/>
      </c>
      <c r="S9" s="74">
        <f>IF(OR($J9="",$F9="不适用"),"",IFERROR(INDEX(_怪物模型!$D$2:$D$4501,(INT($J9)-1)*ROWS(_怪物类型!$A$2:$A$10)+MATCH($F9,_怪物类型!$A$2:$A$10,0))*IF($K9="",1,$K9),""))</f>
        <v/>
      </c>
      <c r="T9" s="74">
        <f>IF(OR($J9="",$F9="不适用"),"",IFERROR(INDEX(_怪物模型!$E$2:$E$4501,(INT($J9)-1)*ROWS(_怪物类型!$A$2:$A$10)+MATCH($F9,_怪物类型!$A$2:$A$10,0))*IF($L9="",1,$L9),""))</f>
        <v/>
      </c>
      <c r="U9" s="74">
        <f>IF(OR($J9="",$F9="不适用"),"",IFERROR(INDEX(_怪物模型!$F$2:$F$4501,(INT($J9)-1)*ROWS(_怪物类型!$A$2:$A$10)+MATCH($F9,_怪物类型!$A$2:$A$10,0))*IF($M9="",1,$M9),""))</f>
        <v/>
      </c>
      <c r="V9" s="75">
        <f>IF($U9="","",MIN(0.75,$U9/($U9+24000)))</f>
        <v/>
      </c>
      <c r="W9" s="76">
        <f>IF($S9="","",$S9/(1-$V9)*IF($N9="",1,$N9))</f>
        <v/>
      </c>
      <c r="X9" s="76">
        <f>IF(OR($W9="",$Q9="",$Q9=0),"",$W9/$Q9)</f>
        <v/>
      </c>
      <c r="Y9" s="76">
        <f>IF(OR($R9="",$T9="",$T9=0),"",$R9/($T9*IF($O9="",1,$O9)))</f>
        <v/>
      </c>
      <c r="Z9" s="77">
        <f>IF(OR($X9="",$P9="",$P9=0),"",$X9/$P9)</f>
        <v/>
      </c>
      <c r="AA9" s="27">
        <f>IF($J9="","待填怪物等级",IF(OR($I9="",$Q9=""),"待填对照关卡",IF($P9="","已计算",IF(AND($Y9&lt;&gt;"",$Y9&lt;$X9),"生存不成立",IF($Z9&lt;0.5,"碾压",IF($Z9&lt;0.8,"偏简单",IF($Z9&lt;=1.2,"适中",IF($Z9&lt;=1.5,"偏难","过难"))))))))</f>
        <v/>
      </c>
      <c r="AB9" s="27">
        <f>IF($J9="","待填",IF(AND(ISNUMBER($J9),$J9&gt;=1,$J9&lt;=500,MOD($J9,1)=0),"有效","超范围"))</f>
        <v/>
      </c>
      <c r="AC9" s="27">
        <f>IF(OR($J9="",ROW()=5,$B9&lt;&gt;$B8,$J8=""),"",IF($J9&lt;$J8,"下降",""))</f>
        <v/>
      </c>
      <c r="AD9" s="28" t="inlineStr">
        <is>
          <t>2026-08-27 新玩家节点曲线校准；对照S50；等级63→46；保留原难度定位。｜2026-09-14 等级带重排：40→330（幂0.85前快后慢），K/L与对照G不变；AE按60s/20s反查重算。｜2026-09-14 修订：难度10锚点120，两段幂曲线（40→120幂0.85前快后慢，120→330幂1.05微加速）。</t>
        </is>
      </c>
      <c r="AE9" t="n">
        <v>39300</v>
      </c>
      <c r="AF9">
        <f>INDEX(_统一战力!$B$2:$B$501,J9)</f>
        <v/>
      </c>
      <c r="AG9">
        <f>IF(INDEX(_统一战力!$D$2:$D$280,MATCH(I9,_统一战力!$C$2:$C$280,0))&gt;0,ROUND(INDEX(_统一战力!$D$2:$D$280,MATCH(I9,_统一战力!$C$2:$C$280,0)),-MAX(0,INT(LOG10(INDEX(_统一战力!$D$2:$D$280,MATCH(I9,_统一战力!$C$2:$C$280,0))))-2)),0)</f>
        <v/>
      </c>
      <c r="AH9" s="17">
        <f>推荐战力参数!$B$4</f>
        <v/>
      </c>
      <c r="AI9">
        <f>AG9*AH9</f>
        <v/>
      </c>
    </row>
    <row r="10" ht="25" customHeight="1">
      <c r="A10" s="27" t="inlineStr">
        <is>
          <t>当前配置</t>
        </is>
      </c>
      <c r="B10" s="27" t="inlineStr">
        <is>
          <t>映射</t>
        </is>
      </c>
      <c r="C10" s="28" t="inlineStr">
        <is>
          <t>5类型共用</t>
        </is>
      </c>
      <c r="D10" s="28" t="inlineStr">
        <is>
          <t>难度6</t>
        </is>
      </c>
      <c r="E10" s="28" t="inlineStr">
        <is>
          <t>250061;250062;250063;250064;250065</t>
        </is>
      </c>
      <c r="F10" s="27" t="inlineStr">
        <is>
          <t>装备副本Boss</t>
        </is>
      </c>
      <c r="G10" s="37" t="n">
        <v>58</v>
      </c>
      <c r="H10" s="38" t="n"/>
      <c r="I10" s="39">
        <f>IF($H10="",$G10,$H10)</f>
        <v/>
      </c>
      <c r="J10" s="48">
        <f>映射等级节点!C7</f>
        <v/>
      </c>
      <c r="K10" s="72" t="n">
        <v>1.12653278812402</v>
      </c>
      <c r="L10" s="72" t="n">
        <v>0.7325962765562301</v>
      </c>
      <c r="M10" s="72" t="n">
        <v>1</v>
      </c>
      <c r="N10" s="73" t="n"/>
      <c r="O10" s="73" t="n"/>
      <c r="P10" s="73" t="n"/>
      <c r="Q10" s="74">
        <f>IF($I10="","",IFERROR(INDEX(_玩家曲线!$H$2:$H$286,MATCH($I10,_玩家曲线!$A$2:$A$286,0)),""))</f>
        <v/>
      </c>
      <c r="R10" s="74">
        <f>IF($I10="","",IFERROR(INDEX(_玩家曲线!$I$2:$I$286,MATCH($I10,_玩家曲线!$A$2:$A$286,0)),""))</f>
        <v/>
      </c>
      <c r="S10" s="74">
        <f>IF(OR($J10="",$F10="不适用"),"",IFERROR(INDEX(_怪物模型!$D$2:$D$4501,(INT($J10)-1)*ROWS(_怪物类型!$A$2:$A$10)+MATCH($F10,_怪物类型!$A$2:$A$10,0))*IF($K10="",1,$K10),""))</f>
        <v/>
      </c>
      <c r="T10" s="74">
        <f>IF(OR($J10="",$F10="不适用"),"",IFERROR(INDEX(_怪物模型!$E$2:$E$4501,(INT($J10)-1)*ROWS(_怪物类型!$A$2:$A$10)+MATCH($F10,_怪物类型!$A$2:$A$10,0))*IF($L10="",1,$L10),""))</f>
        <v/>
      </c>
      <c r="U10" s="74">
        <f>IF(OR($J10="",$F10="不适用"),"",IFERROR(INDEX(_怪物模型!$F$2:$F$4501,(INT($J10)-1)*ROWS(_怪物类型!$A$2:$A$10)+MATCH($F10,_怪物类型!$A$2:$A$10,0))*IF($M10="",1,$M10),""))</f>
        <v/>
      </c>
      <c r="V10" s="75">
        <f>IF($U10="","",MIN(0.75,$U10/($U10+24000)))</f>
        <v/>
      </c>
      <c r="W10" s="76">
        <f>IF($S10="","",$S10/(1-$V10)*IF($N10="",1,$N10))</f>
        <v/>
      </c>
      <c r="X10" s="76">
        <f>IF(OR($W10="",$Q10="",$Q10=0),"",$W10/$Q10)</f>
        <v/>
      </c>
      <c r="Y10" s="76">
        <f>IF(OR($R10="",$T10="",$T10=0),"",$R10/($T10*IF($O10="",1,$O10)))</f>
        <v/>
      </c>
      <c r="Z10" s="77">
        <f>IF(OR($X10="",$P10="",$P10=0),"",$X10/$P10)</f>
        <v/>
      </c>
      <c r="AA10" s="27">
        <f>IF($J10="","待填怪物等级",IF(OR($I10="",$Q10=""),"待填对照关卡",IF($P10="","已计算",IF(AND($Y10&lt;&gt;"",$Y10&lt;$X10),"生存不成立",IF($Z10&lt;0.5,"碾压",IF($Z10&lt;0.8,"偏简单",IF($Z10&lt;=1.2,"适中",IF($Z10&lt;=1.5,"偏难","过难"))))))))</f>
        <v/>
      </c>
      <c r="AB10" s="27">
        <f>IF($J10="","待填",IF(AND(ISNUMBER($J10),$J10&gt;=1,$J10&lt;=500,MOD($J10,1)=0),"有效","超范围"))</f>
        <v/>
      </c>
      <c r="AC10" s="27">
        <f>IF(OR($J10="",ROW()=5,$B10&lt;&gt;$B9,$J9=""),"",IF($J10&lt;$J9,"下降",""))</f>
        <v/>
      </c>
      <c r="AD10" s="28" t="inlineStr">
        <is>
          <t>2026-08-27 新玩家节点曲线校准；对照S58；等级73→55；保留原难度定位。｜2026-09-14 等级带重排：40→330（幂0.85前快后慢），K/L与对照G不变；AE按60s/20s反查重算。｜2026-09-14 修订：难度10锚点120，两段幂曲线（40→120幂0.85前快后慢，120→330幂1.05微加速）。</t>
        </is>
      </c>
      <c r="AE10" t="n">
        <v>45400</v>
      </c>
      <c r="AF10">
        <f>INDEX(_统一战力!$B$2:$B$501,J10)</f>
        <v/>
      </c>
      <c r="AG10">
        <f>IF(INDEX(_统一战力!$D$2:$D$280,MATCH(I10,_统一战力!$C$2:$C$280,0))&gt;0,ROUND(INDEX(_统一战力!$D$2:$D$280,MATCH(I10,_统一战力!$C$2:$C$280,0)),-MAX(0,INT(LOG10(INDEX(_统一战力!$D$2:$D$280,MATCH(I10,_统一战力!$C$2:$C$280,0))))-2)),0)</f>
        <v/>
      </c>
      <c r="AH10" s="17">
        <f>推荐战力参数!$B$4</f>
        <v/>
      </c>
      <c r="AI10">
        <f>AG10*AH10</f>
        <v/>
      </c>
    </row>
    <row r="11" ht="25" customHeight="1">
      <c r="A11" s="27" t="inlineStr">
        <is>
          <t>当前配置</t>
        </is>
      </c>
      <c r="B11" s="27" t="inlineStr">
        <is>
          <t>映射</t>
        </is>
      </c>
      <c r="C11" s="28" t="inlineStr">
        <is>
          <t>5类型共用</t>
        </is>
      </c>
      <c r="D11" s="28" t="inlineStr">
        <is>
          <t>难度7</t>
        </is>
      </c>
      <c r="E11" s="28" t="inlineStr">
        <is>
          <t>250071;250072;250073;250074;250075</t>
        </is>
      </c>
      <c r="F11" s="27" t="inlineStr">
        <is>
          <t>装备副本Boss</t>
        </is>
      </c>
      <c r="G11" s="37" t="n">
        <v>66</v>
      </c>
      <c r="H11" s="38" t="n"/>
      <c r="I11" s="39">
        <f>IF($H11="",$G11,$H11)</f>
        <v/>
      </c>
      <c r="J11" s="48">
        <f>映射等级节点!C8</f>
        <v/>
      </c>
      <c r="K11" s="72" t="n">
        <v>1.13837439832732</v>
      </c>
      <c r="L11" s="72" t="n">
        <v>0.74818595483741</v>
      </c>
      <c r="M11" s="72" t="n">
        <v>1</v>
      </c>
      <c r="N11" s="73" t="n"/>
      <c r="O11" s="73" t="n"/>
      <c r="P11" s="73" t="n"/>
      <c r="Q11" s="74">
        <f>IF($I11="","",IFERROR(INDEX(_玩家曲线!$H$2:$H$286,MATCH($I11,_玩家曲线!$A$2:$A$286,0)),""))</f>
        <v/>
      </c>
      <c r="R11" s="74">
        <f>IF($I11="","",IFERROR(INDEX(_玩家曲线!$I$2:$I$286,MATCH($I11,_玩家曲线!$A$2:$A$286,0)),""))</f>
        <v/>
      </c>
      <c r="S11" s="74">
        <f>IF(OR($J11="",$F11="不适用"),"",IFERROR(INDEX(_怪物模型!$D$2:$D$4501,(INT($J11)-1)*ROWS(_怪物类型!$A$2:$A$10)+MATCH($F11,_怪物类型!$A$2:$A$10,0))*IF($K11="",1,$K11),""))</f>
        <v/>
      </c>
      <c r="T11" s="74">
        <f>IF(OR($J11="",$F11="不适用"),"",IFERROR(INDEX(_怪物模型!$E$2:$E$4501,(INT($J11)-1)*ROWS(_怪物类型!$A$2:$A$10)+MATCH($F11,_怪物类型!$A$2:$A$10,0))*IF($L11="",1,$L11),""))</f>
        <v/>
      </c>
      <c r="U11" s="74">
        <f>IF(OR($J11="",$F11="不适用"),"",IFERROR(INDEX(_怪物模型!$F$2:$F$4501,(INT($J11)-1)*ROWS(_怪物类型!$A$2:$A$10)+MATCH($F11,_怪物类型!$A$2:$A$10,0))*IF($M11="",1,$M11),""))</f>
        <v/>
      </c>
      <c r="V11" s="75">
        <f>IF($U11="","",MIN(0.75,$U11/($U11+24000)))</f>
        <v/>
      </c>
      <c r="W11" s="76">
        <f>IF($S11="","",$S11/(1-$V11)*IF($N11="",1,$N11))</f>
        <v/>
      </c>
      <c r="X11" s="76">
        <f>IF(OR($W11="",$Q11="",$Q11=0),"",$W11/$Q11)</f>
        <v/>
      </c>
      <c r="Y11" s="76">
        <f>IF(OR($R11="",$T11="",$T11=0),"",$R11/($T11*IF($O11="",1,$O11)))</f>
        <v/>
      </c>
      <c r="Z11" s="77">
        <f>IF(OR($X11="",$P11="",$P11=0),"",$X11/$P11)</f>
        <v/>
      </c>
      <c r="AA11" s="27">
        <f>IF($J11="","待填怪物等级",IF(OR($I11="",$Q11=""),"待填对照关卡",IF($P11="","已计算",IF(AND($Y11&lt;&gt;"",$Y11&lt;$X11),"生存不成立",IF($Z11&lt;0.5,"碾压",IF($Z11&lt;0.8,"偏简单",IF($Z11&lt;=1.2,"适中",IF($Z11&lt;=1.5,"偏难","过难"))))))))</f>
        <v/>
      </c>
      <c r="AB11" s="27">
        <f>IF($J11="","待填",IF(AND(ISNUMBER($J11),$J11&gt;=1,$J11&lt;=500,MOD($J11,1)=0),"有效","超范围"))</f>
        <v/>
      </c>
      <c r="AC11" s="27">
        <f>IF(OR($J11="",ROW()=5,$B11&lt;&gt;$B10,$J10=""),"",IF($J11&lt;$J10,"下降",""))</f>
        <v/>
      </c>
      <c r="AD11" s="28" t="inlineStr">
        <is>
          <t>2026-08-27 新玩家节点曲线校准；对照S66；等级82→62；保留原难度定位。｜2026-09-14 等级带重排：40→330（幂0.85前快后慢），K/L与对照G不变；AE按60s/20s反查重算。｜2026-09-14 修订：难度10锚点120，两段幂曲线（40→120幂0.85前快后慢，120→330幂1.05微加速）。</t>
        </is>
      </c>
      <c r="AE11" t="n">
        <v>51500</v>
      </c>
      <c r="AF11">
        <f>INDEX(_统一战力!$B$2:$B$501,J11)</f>
        <v/>
      </c>
      <c r="AG11">
        <f>IF(INDEX(_统一战力!$D$2:$D$280,MATCH(I11,_统一战力!$C$2:$C$280,0))&gt;0,ROUND(INDEX(_统一战力!$D$2:$D$280,MATCH(I11,_统一战力!$C$2:$C$280,0)),-MAX(0,INT(LOG10(INDEX(_统一战力!$D$2:$D$280,MATCH(I11,_统一战力!$C$2:$C$280,0))))-2)),0)</f>
        <v/>
      </c>
      <c r="AH11" s="17">
        <f>推荐战力参数!$B$4</f>
        <v/>
      </c>
      <c r="AI11">
        <f>AG11*AH11</f>
        <v/>
      </c>
    </row>
    <row r="12" ht="25" customHeight="1">
      <c r="A12" s="27" t="inlineStr">
        <is>
          <t>当前配置</t>
        </is>
      </c>
      <c r="B12" s="27" t="inlineStr">
        <is>
          <t>映射</t>
        </is>
      </c>
      <c r="C12" s="28" t="inlineStr">
        <is>
          <t>5类型共用</t>
        </is>
      </c>
      <c r="D12" s="28" t="inlineStr">
        <is>
          <t>难度8</t>
        </is>
      </c>
      <c r="E12" s="28" t="inlineStr">
        <is>
          <t>250081;250082;250083;250084;250085</t>
        </is>
      </c>
      <c r="F12" s="27" t="inlineStr">
        <is>
          <t>装备副本Boss</t>
        </is>
      </c>
      <c r="G12" s="37" t="n">
        <v>74</v>
      </c>
      <c r="H12" s="38" t="n"/>
      <c r="I12" s="39">
        <f>IF($H12="",$G12,$H12)</f>
        <v/>
      </c>
      <c r="J12" s="48">
        <f>映射等级节点!C9</f>
        <v/>
      </c>
      <c r="K12" s="72" t="n">
        <v>1.13156025638566</v>
      </c>
      <c r="L12" s="72" t="n">
        <v>0.75369277434186</v>
      </c>
      <c r="M12" s="72" t="n">
        <v>1</v>
      </c>
      <c r="N12" s="73" t="n"/>
      <c r="O12" s="73" t="n"/>
      <c r="P12" s="73" t="n"/>
      <c r="Q12" s="74">
        <f>IF($I12="","",IFERROR(INDEX(_玩家曲线!$H$2:$H$286,MATCH($I12,_玩家曲线!$A$2:$A$286,0)),""))</f>
        <v/>
      </c>
      <c r="R12" s="74">
        <f>IF($I12="","",IFERROR(INDEX(_玩家曲线!$I$2:$I$286,MATCH($I12,_玩家曲线!$A$2:$A$286,0)),""))</f>
        <v/>
      </c>
      <c r="S12" s="74">
        <f>IF(OR($J12="",$F12="不适用"),"",IFERROR(INDEX(_怪物模型!$D$2:$D$4501,(INT($J12)-1)*ROWS(_怪物类型!$A$2:$A$10)+MATCH($F12,_怪物类型!$A$2:$A$10,0))*IF($K12="",1,$K12),""))</f>
        <v/>
      </c>
      <c r="T12" s="74">
        <f>IF(OR($J12="",$F12="不适用"),"",IFERROR(INDEX(_怪物模型!$E$2:$E$4501,(INT($J12)-1)*ROWS(_怪物类型!$A$2:$A$10)+MATCH($F12,_怪物类型!$A$2:$A$10,0))*IF($L12="",1,$L12),""))</f>
        <v/>
      </c>
      <c r="U12" s="74">
        <f>IF(OR($J12="",$F12="不适用"),"",IFERROR(INDEX(_怪物模型!$F$2:$F$4501,(INT($J12)-1)*ROWS(_怪物类型!$A$2:$A$10)+MATCH($F12,_怪物类型!$A$2:$A$10,0))*IF($M12="",1,$M12),""))</f>
        <v/>
      </c>
      <c r="V12" s="75">
        <f>IF($U12="","",MIN(0.75,$U12/($U12+24000)))</f>
        <v/>
      </c>
      <c r="W12" s="76">
        <f>IF($S12="","",$S12/(1-$V12)*IF($N12="",1,$N12))</f>
        <v/>
      </c>
      <c r="X12" s="76">
        <f>IF(OR($W12="",$Q12="",$Q12=0),"",$W12/$Q12)</f>
        <v/>
      </c>
      <c r="Y12" s="76">
        <f>IF(OR($R12="",$T12="",$T12=0),"",$R12/($T12*IF($O12="",1,$O12)))</f>
        <v/>
      </c>
      <c r="Z12" s="77">
        <f>IF(OR($X12="",$P12="",$P12=0),"",$X12/$P12)</f>
        <v/>
      </c>
      <c r="AA12" s="27">
        <f>IF($J12="","待填怪物等级",IF(OR($I12="",$Q12=""),"待填对照关卡",IF($P12="","已计算",IF(AND($Y12&lt;&gt;"",$Y12&lt;$X12),"生存不成立",IF($Z12&lt;0.5,"碾压",IF($Z12&lt;0.8,"偏简单",IF($Z12&lt;=1.2,"适中",IF($Z12&lt;=1.5,"偏难","过难"))))))))</f>
        <v/>
      </c>
      <c r="AB12" s="27">
        <f>IF($J12="","待填",IF(AND(ISNUMBER($J12),$J12&gt;=1,$J12&lt;=500,MOD($J12,1)=0),"有效","超范围"))</f>
        <v/>
      </c>
      <c r="AC12" s="27">
        <f>IF(OR($J12="",ROW()=5,$B12&lt;&gt;$B11,$J11=""),"",IF($J12&lt;$J11,"下降",""))</f>
        <v/>
      </c>
      <c r="AD12" s="28" t="inlineStr">
        <is>
          <t>2026-08-27 新玩家节点曲线校准；对照S74；等级91→69；保留原难度定位。｜2026-09-14 等级带重排：40→330（幂0.85前快后慢），K/L与对照G不变；AE按60s/20s反查重算。｜2026-09-14 修订：难度10锚点120，两段幂曲线（40→120幂0.85前快后慢，120→330幂1.05微加速）。</t>
        </is>
      </c>
      <c r="AE12" t="n">
        <v>59500</v>
      </c>
      <c r="AF12">
        <f>INDEX(_统一战力!$B$2:$B$501,J12)</f>
        <v/>
      </c>
      <c r="AG12">
        <f>IF(INDEX(_统一战力!$D$2:$D$280,MATCH(I12,_统一战力!$C$2:$C$280,0))&gt;0,ROUND(INDEX(_统一战力!$D$2:$D$280,MATCH(I12,_统一战力!$C$2:$C$280,0)),-MAX(0,INT(LOG10(INDEX(_统一战力!$D$2:$D$280,MATCH(I12,_统一战力!$C$2:$C$280,0))))-2)),0)</f>
        <v/>
      </c>
      <c r="AH12" s="17">
        <f>推荐战力参数!$B$4</f>
        <v/>
      </c>
      <c r="AI12">
        <f>AG12*AH12</f>
        <v/>
      </c>
    </row>
    <row r="13" ht="25" customHeight="1">
      <c r="A13" s="27" t="inlineStr">
        <is>
          <t>当前配置</t>
        </is>
      </c>
      <c r="B13" s="27" t="inlineStr">
        <is>
          <t>映射</t>
        </is>
      </c>
      <c r="C13" s="28" t="inlineStr">
        <is>
          <t>5类型共用</t>
        </is>
      </c>
      <c r="D13" s="28" t="inlineStr">
        <is>
          <t>难度9</t>
        </is>
      </c>
      <c r="E13" s="28" t="inlineStr">
        <is>
          <t>250091;250092;250093;250094;250095</t>
        </is>
      </c>
      <c r="F13" s="27" t="inlineStr">
        <is>
          <t>装备副本Boss</t>
        </is>
      </c>
      <c r="G13" s="37" t="n">
        <v>82</v>
      </c>
      <c r="H13" s="38" t="n"/>
      <c r="I13" s="39">
        <f>IF($H13="",$G13,$H13)</f>
        <v/>
      </c>
      <c r="J13" s="48">
        <f>映射等级节点!C10</f>
        <v/>
      </c>
      <c r="K13" s="72" t="n">
        <v>1.10905485237202</v>
      </c>
      <c r="L13" s="72" t="n">
        <v>0.757902456937782</v>
      </c>
      <c r="M13" s="72" t="n">
        <v>1</v>
      </c>
      <c r="N13" s="73" t="n"/>
      <c r="O13" s="73" t="n"/>
      <c r="P13" s="73" t="n"/>
      <c r="Q13" s="74">
        <f>IF($I13="","",IFERROR(INDEX(_玩家曲线!$H$2:$H$286,MATCH($I13,_玩家曲线!$A$2:$A$286,0)),""))</f>
        <v/>
      </c>
      <c r="R13" s="74">
        <f>IF($I13="","",IFERROR(INDEX(_玩家曲线!$I$2:$I$286,MATCH($I13,_玩家曲线!$A$2:$A$286,0)),""))</f>
        <v/>
      </c>
      <c r="S13" s="74">
        <f>IF(OR($J13="",$F13="不适用"),"",IFERROR(INDEX(_怪物模型!$D$2:$D$4501,(INT($J13)-1)*ROWS(_怪物类型!$A$2:$A$10)+MATCH($F13,_怪物类型!$A$2:$A$10,0))*IF($K13="",1,$K13),""))</f>
        <v/>
      </c>
      <c r="T13" s="74">
        <f>IF(OR($J13="",$F13="不适用"),"",IFERROR(INDEX(_怪物模型!$E$2:$E$4501,(INT($J13)-1)*ROWS(_怪物类型!$A$2:$A$10)+MATCH($F13,_怪物类型!$A$2:$A$10,0))*IF($L13="",1,$L13),""))</f>
        <v/>
      </c>
      <c r="U13" s="74">
        <f>IF(OR($J13="",$F13="不适用"),"",IFERROR(INDEX(_怪物模型!$F$2:$F$4501,(INT($J13)-1)*ROWS(_怪物类型!$A$2:$A$10)+MATCH($F13,_怪物类型!$A$2:$A$10,0))*IF($M13="",1,$M13),""))</f>
        <v/>
      </c>
      <c r="V13" s="75">
        <f>IF($U13="","",MIN(0.75,$U13/($U13+24000)))</f>
        <v/>
      </c>
      <c r="W13" s="76">
        <f>IF($S13="","",$S13/(1-$V13)*IF($N13="",1,$N13))</f>
        <v/>
      </c>
      <c r="X13" s="76">
        <f>IF(OR($W13="",$Q13="",$Q13=0),"",$W13/$Q13)</f>
        <v/>
      </c>
      <c r="Y13" s="76">
        <f>IF(OR($R13="",$T13="",$T13=0),"",$R13/($T13*IF($O13="",1,$O13)))</f>
        <v/>
      </c>
      <c r="Z13" s="77">
        <f>IF(OR($X13="",$P13="",$P13=0),"",$X13/$P13)</f>
        <v/>
      </c>
      <c r="AA13" s="27">
        <f>IF($J13="","待填怪物等级",IF(OR($I13="",$Q13=""),"待填对照关卡",IF($P13="","已计算",IF(AND($Y13&lt;&gt;"",$Y13&lt;$X13),"生存不成立",IF($Z13&lt;0.5,"碾压",IF($Z13&lt;0.8,"偏简单",IF($Z13&lt;=1.2,"适中",IF($Z13&lt;=1.5,"偏难","过难"))))))))</f>
        <v/>
      </c>
      <c r="AB13" s="27">
        <f>IF($J13="","待填",IF(AND(ISNUMBER($J13),$J13&gt;=1,$J13&lt;=500,MOD($J13,1)=0),"有效","超范围"))</f>
        <v/>
      </c>
      <c r="AC13" s="27">
        <f>IF(OR($J13="",ROW()=5,$B13&lt;&gt;$B12,$J12=""),"",IF($J13&lt;$J12,"下降",""))</f>
        <v/>
      </c>
      <c r="AD13" s="28" t="inlineStr">
        <is>
          <t>2026-08-27 新玩家节点曲线校准；对照S82；等级100→77；保留原难度定位。｜2026-09-14 等级带重排：40→330（幂0.85前快后慢），K/L与对照G不变；AE按60s/20s反查重算。｜2026-09-14 修订：难度10锚点120，两段幂曲线（40→120幂0.85前快后慢，120→330幂1.05微加速）。</t>
        </is>
      </c>
      <c r="AE13" t="n">
        <v>65300</v>
      </c>
      <c r="AF13">
        <f>INDEX(_统一战力!$B$2:$B$501,J13)</f>
        <v/>
      </c>
      <c r="AG13">
        <f>IF(INDEX(_统一战力!$D$2:$D$280,MATCH(I13,_统一战力!$C$2:$C$280,0))&gt;0,ROUND(INDEX(_统一战力!$D$2:$D$280,MATCH(I13,_统一战力!$C$2:$C$280,0)),-MAX(0,INT(LOG10(INDEX(_统一战力!$D$2:$D$280,MATCH(I13,_统一战力!$C$2:$C$280,0))))-2)),0)</f>
        <v/>
      </c>
      <c r="AH13" s="17">
        <f>推荐战力参数!$B$4</f>
        <v/>
      </c>
      <c r="AI13">
        <f>AG13*AH13</f>
        <v/>
      </c>
    </row>
    <row r="14" ht="25" customHeight="1">
      <c r="A14" s="27" t="inlineStr">
        <is>
          <t>当前配置</t>
        </is>
      </c>
      <c r="B14" s="27" t="inlineStr">
        <is>
          <t>映射</t>
        </is>
      </c>
      <c r="C14" s="28" t="inlineStr">
        <is>
          <t>5类型共用</t>
        </is>
      </c>
      <c r="D14" s="28" t="inlineStr">
        <is>
          <t>难度10</t>
        </is>
      </c>
      <c r="E14" s="28" t="inlineStr">
        <is>
          <t>250101;250102;250103;250104;250105</t>
        </is>
      </c>
      <c r="F14" s="27" t="inlineStr">
        <is>
          <t>装备副本Boss</t>
        </is>
      </c>
      <c r="G14" s="37" t="n">
        <v>90</v>
      </c>
      <c r="H14" s="38" t="n"/>
      <c r="I14" s="39">
        <f>IF($H14="",$G14,$H14)</f>
        <v/>
      </c>
      <c r="J14" s="48">
        <f>映射等级节点!C11</f>
        <v/>
      </c>
      <c r="K14" s="72" t="n">
        <v>1.10725986449125</v>
      </c>
      <c r="L14" s="72" t="n">
        <v>0.771653066032038</v>
      </c>
      <c r="M14" s="72" t="n">
        <v>1</v>
      </c>
      <c r="N14" s="73" t="n"/>
      <c r="O14" s="73" t="n"/>
      <c r="P14" s="73" t="n"/>
      <c r="Q14" s="74">
        <f>IF($I14="","",IFERROR(INDEX(_玩家曲线!$H$2:$H$286,MATCH($I14,_玩家曲线!$A$2:$A$286,0)),""))</f>
        <v/>
      </c>
      <c r="R14" s="74">
        <f>IF($I14="","",IFERROR(INDEX(_玩家曲线!$I$2:$I$286,MATCH($I14,_玩家曲线!$A$2:$A$286,0)),""))</f>
        <v/>
      </c>
      <c r="S14" s="74">
        <f>IF(OR($J14="",$F14="不适用"),"",IFERROR(INDEX(_怪物模型!$D$2:$D$4501,(INT($J14)-1)*ROWS(_怪物类型!$A$2:$A$10)+MATCH($F14,_怪物类型!$A$2:$A$10,0))*IF($K14="",1,$K14),""))</f>
        <v/>
      </c>
      <c r="T14" s="74">
        <f>IF(OR($J14="",$F14="不适用"),"",IFERROR(INDEX(_怪物模型!$E$2:$E$4501,(INT($J14)-1)*ROWS(_怪物类型!$A$2:$A$10)+MATCH($F14,_怪物类型!$A$2:$A$10,0))*IF($L14="",1,$L14),""))</f>
        <v/>
      </c>
      <c r="U14" s="74">
        <f>IF(OR($J14="",$F14="不适用"),"",IFERROR(INDEX(_怪物模型!$F$2:$F$4501,(INT($J14)-1)*ROWS(_怪物类型!$A$2:$A$10)+MATCH($F14,_怪物类型!$A$2:$A$10,0))*IF($M14="",1,$M14),""))</f>
        <v/>
      </c>
      <c r="V14" s="75">
        <f>IF($U14="","",MIN(0.75,$U14/($U14+24000)))</f>
        <v/>
      </c>
      <c r="W14" s="76">
        <f>IF($S14="","",$S14/(1-$V14)*IF($N14="",1,$N14))</f>
        <v/>
      </c>
      <c r="X14" s="76">
        <f>IF(OR($W14="",$Q14="",$Q14=0),"",$W14/$Q14)</f>
        <v/>
      </c>
      <c r="Y14" s="76">
        <f>IF(OR($R14="",$T14="",$T14=0),"",$R14/($T14*IF($O14="",1,$O14)))</f>
        <v/>
      </c>
      <c r="Z14" s="77">
        <f>IF(OR($X14="",$P14="",$P14=0),"",$X14/$P14)</f>
        <v/>
      </c>
      <c r="AA14" s="27">
        <f>IF($J14="","待填怪物等级",IF(OR($I14="",$Q14=""),"待填对照关卡",IF($P14="","已计算",IF(AND($Y14&lt;&gt;"",$Y14&lt;$X14),"生存不成立",IF($Z14&lt;0.5,"碾压",IF($Z14&lt;0.8,"偏简单",IF($Z14&lt;=1.2,"适中",IF($Z14&lt;=1.5,"偏难","过难"))))))))</f>
        <v/>
      </c>
      <c r="AB14" s="27">
        <f>IF($J14="","待填",IF(AND(ISNUMBER($J14),$J14&gt;=1,$J14&lt;=500,MOD($J14,1)=0),"有效","超范围"))</f>
        <v/>
      </c>
      <c r="AC14" s="27">
        <f>IF(OR($J14="",ROW()=5,$B14&lt;&gt;$B13,$J13=""),"",IF($J14&lt;$J13,"下降",""))</f>
        <v/>
      </c>
      <c r="AD14" s="28" t="inlineStr">
        <is>
          <t>2026-08-27 新玩家节点曲线校准；对照S90；等级110→85；保留原难度定位。｜2026-09-14 等级带重排：40→330（幂0.85前快后慢），K/L与对照G不变；AE按60s/20s反查重算。｜2026-09-14 修订：难度10锚点120，两段幂曲线（40→120幂0.85前快后慢，120→330幂1.05微加速）。</t>
        </is>
      </c>
      <c r="AE14" t="n">
        <v>74500</v>
      </c>
      <c r="AF14">
        <f>INDEX(_统一战力!$B$2:$B$501,J14)</f>
        <v/>
      </c>
      <c r="AG14">
        <f>IF(INDEX(_统一战力!$D$2:$D$280,MATCH(I14,_统一战力!$C$2:$C$280,0))&gt;0,ROUND(INDEX(_统一战力!$D$2:$D$280,MATCH(I14,_统一战力!$C$2:$C$280,0)),-MAX(0,INT(LOG10(INDEX(_统一战力!$D$2:$D$280,MATCH(I14,_统一战力!$C$2:$C$280,0))))-2)),0)</f>
        <v/>
      </c>
      <c r="AH14" s="17">
        <f>推荐战力参数!$B$4</f>
        <v/>
      </c>
      <c r="AI14">
        <f>AG14*AH14</f>
        <v/>
      </c>
    </row>
    <row r="15" ht="25" customHeight="1">
      <c r="A15" s="27" t="inlineStr">
        <is>
          <t>当前配置</t>
        </is>
      </c>
      <c r="B15" s="27" t="inlineStr">
        <is>
          <t>映射</t>
        </is>
      </c>
      <c r="C15" s="28" t="inlineStr">
        <is>
          <t>5类型共用</t>
        </is>
      </c>
      <c r="D15" s="28" t="inlineStr">
        <is>
          <t>难度11</t>
        </is>
      </c>
      <c r="E15" s="28" t="inlineStr">
        <is>
          <t>250111;250112;250113;250114;250115</t>
        </is>
      </c>
      <c r="F15" s="27" t="inlineStr">
        <is>
          <t>装备副本Boss</t>
        </is>
      </c>
      <c r="G15" s="37" t="n">
        <v>99</v>
      </c>
      <c r="H15" s="38" t="n"/>
      <c r="I15" s="39">
        <f>IF($H15="",$G15,$H15)</f>
        <v/>
      </c>
      <c r="J15" s="48">
        <f>映射等级节点!C12</f>
        <v/>
      </c>
      <c r="K15" s="72" t="n">
        <v>1.09189090472177</v>
      </c>
      <c r="L15" s="72" t="n">
        <v>0.781376007637187</v>
      </c>
      <c r="M15" s="72" t="n">
        <v>1</v>
      </c>
      <c r="N15" s="73" t="n"/>
      <c r="O15" s="73" t="n"/>
      <c r="P15" s="73" t="n"/>
      <c r="Q15" s="74">
        <f>IF($I15="","",IFERROR(INDEX(_玩家曲线!$H$2:$H$286,MATCH($I15,_玩家曲线!$A$2:$A$286,0)),""))</f>
        <v/>
      </c>
      <c r="R15" s="74">
        <f>IF($I15="","",IFERROR(INDEX(_玩家曲线!$I$2:$I$286,MATCH($I15,_玩家曲线!$A$2:$A$286,0)),""))</f>
        <v/>
      </c>
      <c r="S15" s="74">
        <f>IF(OR($J15="",$F15="不适用"),"",IFERROR(INDEX(_怪物模型!$D$2:$D$4501,(INT($J15)-1)*ROWS(_怪物类型!$A$2:$A$10)+MATCH($F15,_怪物类型!$A$2:$A$10,0))*IF($K15="",1,$K15),""))</f>
        <v/>
      </c>
      <c r="T15" s="74">
        <f>IF(OR($J15="",$F15="不适用"),"",IFERROR(INDEX(_怪物模型!$E$2:$E$4501,(INT($J15)-1)*ROWS(_怪物类型!$A$2:$A$10)+MATCH($F15,_怪物类型!$A$2:$A$10,0))*IF($L15="",1,$L15),""))</f>
        <v/>
      </c>
      <c r="U15" s="74">
        <f>IF(OR($J15="",$F15="不适用"),"",IFERROR(INDEX(_怪物模型!$F$2:$F$4501,(INT($J15)-1)*ROWS(_怪物类型!$A$2:$A$10)+MATCH($F15,_怪物类型!$A$2:$A$10,0))*IF($M15="",1,$M15),""))</f>
        <v/>
      </c>
      <c r="V15" s="75">
        <f>IF($U15="","",MIN(0.75,$U15/($U15+24000)))</f>
        <v/>
      </c>
      <c r="W15" s="76">
        <f>IF($S15="","",$S15/(1-$V15)*IF($N15="",1,$N15))</f>
        <v/>
      </c>
      <c r="X15" s="76">
        <f>IF(OR($W15="",$Q15="",$Q15=0),"",$W15/$Q15)</f>
        <v/>
      </c>
      <c r="Y15" s="76">
        <f>IF(OR($R15="",$T15="",$T15=0),"",$R15/($T15*IF($O15="",1,$O15)))</f>
        <v/>
      </c>
      <c r="Z15" s="77">
        <f>IF(OR($X15="",$P15="",$P15=0),"",$X15/$P15)</f>
        <v/>
      </c>
      <c r="AA15" s="27">
        <f>IF($J15="","待填怪物等级",IF(OR($I15="",$Q15=""),"待填对照关卡",IF($P15="","已计算",IF(AND($Y15&lt;&gt;"",$Y15&lt;$X15),"生存不成立",IF($Z15&lt;0.5,"碾压",IF($Z15&lt;0.8,"偏简单",IF($Z15&lt;=1.2,"适中",IF($Z15&lt;=1.5,"偏难","过难"))))))))</f>
        <v/>
      </c>
      <c r="AB15" s="27">
        <f>IF($J15="","待填",IF(AND(ISNUMBER($J15),$J15&gt;=1,$J15&lt;=500,MOD($J15,1)=0),"有效","超范围"))</f>
        <v/>
      </c>
      <c r="AC15" s="27">
        <f>IF(OR($J15="",ROW()=5,$B15&lt;&gt;$B14,$J14=""),"",IF($J15&lt;$J14,"下降",""))</f>
        <v/>
      </c>
      <c r="AD15" s="28" t="inlineStr">
        <is>
          <t>2026-08-27 新玩家节点曲线校准；对照S99；等级119→93；保留原难度定位。｜2026-09-14 等级带重排：40→330（幂0.85前快后慢），K/L与对照G不变；AE按60s/20s反查重算。｜2026-09-14 修订：难度10锚点120，两段幂曲线（40→120幂0.85前快后慢，120→330幂1.05微加速）。</t>
        </is>
      </c>
      <c r="AE15" t="n">
        <v>87000</v>
      </c>
      <c r="AF15">
        <f>INDEX(_统一战力!$B$2:$B$501,J15)</f>
        <v/>
      </c>
      <c r="AG15">
        <f>IF(INDEX(_统一战力!$D$2:$D$280,MATCH(I15,_统一战力!$C$2:$C$280,0))&gt;0,ROUND(INDEX(_统一战力!$D$2:$D$280,MATCH(I15,_统一战力!$C$2:$C$280,0)),-MAX(0,INT(LOG10(INDEX(_统一战力!$D$2:$D$280,MATCH(I15,_统一战力!$C$2:$C$280,0))))-2)),0)</f>
        <v/>
      </c>
      <c r="AH15" s="17">
        <f>推荐战力参数!$B$4</f>
        <v/>
      </c>
      <c r="AI15">
        <f>AG15*AH15</f>
        <v/>
      </c>
    </row>
    <row r="16" ht="25" customHeight="1">
      <c r="A16" s="27" t="inlineStr">
        <is>
          <t>当前配置</t>
        </is>
      </c>
      <c r="B16" s="27" t="inlineStr">
        <is>
          <t>映射</t>
        </is>
      </c>
      <c r="C16" s="28" t="inlineStr">
        <is>
          <t>5类型共用</t>
        </is>
      </c>
      <c r="D16" s="28" t="inlineStr">
        <is>
          <t>难度12</t>
        </is>
      </c>
      <c r="E16" s="28" t="inlineStr">
        <is>
          <t>250121;250122;250123;250124;250125</t>
        </is>
      </c>
      <c r="F16" s="27" t="inlineStr">
        <is>
          <t>装备副本Boss</t>
        </is>
      </c>
      <c r="G16" s="37" t="n">
        <v>108</v>
      </c>
      <c r="H16" s="38" t="n"/>
      <c r="I16" s="39">
        <f>IF($H16="",$G16,$H16)</f>
        <v/>
      </c>
      <c r="J16" s="48">
        <f>映射等级节点!C13</f>
        <v/>
      </c>
      <c r="K16" s="72" t="n">
        <v>1.08013776568264</v>
      </c>
      <c r="L16" s="72" t="n">
        <v>0.796538030333609</v>
      </c>
      <c r="M16" s="72" t="n">
        <v>1</v>
      </c>
      <c r="N16" s="73" t="n"/>
      <c r="O16" s="73" t="n"/>
      <c r="P16" s="73" t="n"/>
      <c r="Q16" s="74">
        <f>IF($I16="","",IFERROR(INDEX(_玩家曲线!$H$2:$H$286,MATCH($I16,_玩家曲线!$A$2:$A$286,0)),""))</f>
        <v/>
      </c>
      <c r="R16" s="74">
        <f>IF($I16="","",IFERROR(INDEX(_玩家曲线!$I$2:$I$286,MATCH($I16,_玩家曲线!$A$2:$A$286,0)),""))</f>
        <v/>
      </c>
      <c r="S16" s="74">
        <f>IF(OR($J16="",$F16="不适用"),"",IFERROR(INDEX(_怪物模型!$D$2:$D$4501,(INT($J16)-1)*ROWS(_怪物类型!$A$2:$A$10)+MATCH($F16,_怪物类型!$A$2:$A$10,0))*IF($K16="",1,$K16),""))</f>
        <v/>
      </c>
      <c r="T16" s="74">
        <f>IF(OR($J16="",$F16="不适用"),"",IFERROR(INDEX(_怪物模型!$E$2:$E$4501,(INT($J16)-1)*ROWS(_怪物类型!$A$2:$A$10)+MATCH($F16,_怪物类型!$A$2:$A$10,0))*IF($L16="",1,$L16),""))</f>
        <v/>
      </c>
      <c r="U16" s="74">
        <f>IF(OR($J16="",$F16="不适用"),"",IFERROR(INDEX(_怪物模型!$F$2:$F$4501,(INT($J16)-1)*ROWS(_怪物类型!$A$2:$A$10)+MATCH($F16,_怪物类型!$A$2:$A$10,0))*IF($M16="",1,$M16),""))</f>
        <v/>
      </c>
      <c r="V16" s="75">
        <f>IF($U16="","",MIN(0.75,$U16/($U16+24000)))</f>
        <v/>
      </c>
      <c r="W16" s="76">
        <f>IF($S16="","",$S16/(1-$V16)*IF($N16="",1,$N16))</f>
        <v/>
      </c>
      <c r="X16" s="76">
        <f>IF(OR($W16="",$Q16="",$Q16=0),"",$W16/$Q16)</f>
        <v/>
      </c>
      <c r="Y16" s="76">
        <f>IF(OR($R16="",$T16="",$T16=0),"",$R16/($T16*IF($O16="",1,$O16)))</f>
        <v/>
      </c>
      <c r="Z16" s="77">
        <f>IF(OR($X16="",$P16="",$P16=0),"",$X16/$P16)</f>
        <v/>
      </c>
      <c r="AA16" s="27">
        <f>IF($J16="","待填怪物等级",IF(OR($I16="",$Q16=""),"待填对照关卡",IF($P16="","已计算",IF(AND($Y16&lt;&gt;"",$Y16&lt;$X16),"生存不成立",IF($Z16&lt;0.5,"碾压",IF($Z16&lt;0.8,"偏简单",IF($Z16&lt;=1.2,"适中",IF($Z16&lt;=1.5,"偏难","过难"))))))))</f>
        <v/>
      </c>
      <c r="AB16" s="27">
        <f>IF($J16="","待填",IF(AND(ISNUMBER($J16),$J16&gt;=1,$J16&lt;=500,MOD($J16,1)=0),"有效","超范围"))</f>
        <v/>
      </c>
      <c r="AC16" s="27">
        <f>IF(OR($J16="",ROW()=5,$B16&lt;&gt;$B15,$J15=""),"",IF($J16&lt;$J15,"下降",""))</f>
        <v/>
      </c>
      <c r="AD16" s="28" t="inlineStr">
        <is>
          <t>2026-08-27 新玩家节点曲线校准；对照S108；等级128→101；保留原难度定位。｜2026-09-14 等级带重排：40→330（幂0.85前快后慢），K/L与对照G不变；AE按60s/20s反查重算。｜2026-09-14 修订：难度10锚点120，两段幂曲线（40→120幂0.85前快后慢，120→330幂1.05微加速）。</t>
        </is>
      </c>
      <c r="AE16" t="n">
        <v>105000</v>
      </c>
      <c r="AF16">
        <f>INDEX(_统一战力!$B$2:$B$501,J16)</f>
        <v/>
      </c>
      <c r="AG16">
        <f>IF(INDEX(_统一战力!$D$2:$D$280,MATCH(I16,_统一战力!$C$2:$C$280,0))&gt;0,ROUND(INDEX(_统一战力!$D$2:$D$280,MATCH(I16,_统一战力!$C$2:$C$280,0)),-MAX(0,INT(LOG10(INDEX(_统一战力!$D$2:$D$280,MATCH(I16,_统一战力!$C$2:$C$280,0))))-2)),0)</f>
        <v/>
      </c>
      <c r="AH16" s="17">
        <f>推荐战力参数!$B$4</f>
        <v/>
      </c>
      <c r="AI16">
        <f>AG16*AH16</f>
        <v/>
      </c>
    </row>
    <row r="17" ht="25" customHeight="1">
      <c r="A17" s="27" t="inlineStr">
        <is>
          <t>当前配置</t>
        </is>
      </c>
      <c r="B17" s="27" t="inlineStr">
        <is>
          <t>映射</t>
        </is>
      </c>
      <c r="C17" s="28" t="inlineStr">
        <is>
          <t>5类型共用</t>
        </is>
      </c>
      <c r="D17" s="28" t="inlineStr">
        <is>
          <t>难度13</t>
        </is>
      </c>
      <c r="E17" s="28" t="inlineStr">
        <is>
          <t>250131;250132;250133;250134;250135</t>
        </is>
      </c>
      <c r="F17" s="27" t="inlineStr">
        <is>
          <t>装备副本Boss</t>
        </is>
      </c>
      <c r="G17" s="37" t="n">
        <v>116</v>
      </c>
      <c r="H17" s="38" t="n"/>
      <c r="I17" s="39">
        <f>IF($H17="",$G17,$H17)</f>
        <v/>
      </c>
      <c r="J17" s="48">
        <f>映射等级节点!C14</f>
        <v/>
      </c>
      <c r="K17" s="72" t="n">
        <v>1.06572906115279</v>
      </c>
      <c r="L17" s="72" t="n">
        <v>0.815189448370908</v>
      </c>
      <c r="M17" s="72" t="n">
        <v>1</v>
      </c>
      <c r="N17" s="73" t="n"/>
      <c r="O17" s="73" t="n"/>
      <c r="P17" s="73" t="n"/>
      <c r="Q17" s="74">
        <f>IF($I17="","",IFERROR(INDEX(_玩家曲线!$H$2:$H$286,MATCH($I17,_玩家曲线!$A$2:$A$286,0)),""))</f>
        <v/>
      </c>
      <c r="R17" s="74">
        <f>IF($I17="","",IFERROR(INDEX(_玩家曲线!$I$2:$I$286,MATCH($I17,_玩家曲线!$A$2:$A$286,0)),""))</f>
        <v/>
      </c>
      <c r="S17" s="74">
        <f>IF(OR($J17="",$F17="不适用"),"",IFERROR(INDEX(_怪物模型!$D$2:$D$4501,(INT($J17)-1)*ROWS(_怪物类型!$A$2:$A$10)+MATCH($F17,_怪物类型!$A$2:$A$10,0))*IF($K17="",1,$K17),""))</f>
        <v/>
      </c>
      <c r="T17" s="74">
        <f>IF(OR($J17="",$F17="不适用"),"",IFERROR(INDEX(_怪物模型!$E$2:$E$4501,(INT($J17)-1)*ROWS(_怪物类型!$A$2:$A$10)+MATCH($F17,_怪物类型!$A$2:$A$10,0))*IF($L17="",1,$L17),""))</f>
        <v/>
      </c>
      <c r="U17" s="74">
        <f>IF(OR($J17="",$F17="不适用"),"",IFERROR(INDEX(_怪物模型!$F$2:$F$4501,(INT($J17)-1)*ROWS(_怪物类型!$A$2:$A$10)+MATCH($F17,_怪物类型!$A$2:$A$10,0))*IF($M17="",1,$M17),""))</f>
        <v/>
      </c>
      <c r="V17" s="75">
        <f>IF($U17="","",MIN(0.75,$U17/($U17+24000)))</f>
        <v/>
      </c>
      <c r="W17" s="76">
        <f>IF($S17="","",$S17/(1-$V17)*IF($N17="",1,$N17))</f>
        <v/>
      </c>
      <c r="X17" s="76">
        <f>IF(OR($W17="",$Q17="",$Q17=0),"",$W17/$Q17)</f>
        <v/>
      </c>
      <c r="Y17" s="76">
        <f>IF(OR($R17="",$T17="",$T17=0),"",$R17/($T17*IF($O17="",1,$O17)))</f>
        <v/>
      </c>
      <c r="Z17" s="77">
        <f>IF(OR($X17="",$P17="",$P17=0),"",$X17/$P17)</f>
        <v/>
      </c>
      <c r="AA17" s="27">
        <f>IF($J17="","待填怪物等级",IF(OR($I17="",$Q17=""),"待填对照关卡",IF($P17="","已计算",IF(AND($Y17&lt;&gt;"",$Y17&lt;$X17),"生存不成立",IF($Z17&lt;0.5,"碾压",IF($Z17&lt;0.8,"偏简单",IF($Z17&lt;=1.2,"适中",IF($Z17&lt;=1.5,"偏难","过难"))))))))</f>
        <v/>
      </c>
      <c r="AB17" s="27">
        <f>IF($J17="","待填",IF(AND(ISNUMBER($J17),$J17&gt;=1,$J17&lt;=500,MOD($J17,1)=0),"有效","超范围"))</f>
        <v/>
      </c>
      <c r="AC17" s="27">
        <f>IF(OR($J17="",ROW()=5,$B17&lt;&gt;$B16,$J16=""),"",IF($J17&lt;$J16,"下降",""))</f>
        <v/>
      </c>
      <c r="AD17" s="28" t="inlineStr">
        <is>
          <t>2026-08-27 新玩家节点曲线校准；对照S116；等级138→111；保留原难度定位。｜2026-09-14 等级带重排：40→330（幂0.85前快后慢），K/L与对照G不变；AE按60s/20s反查重算。｜2026-09-14 修订：难度10锚点120，两段幂曲线（40→120幂0.85前快后慢，120→330幂1.05微加速）。</t>
        </is>
      </c>
      <c r="AE17" t="n">
        <v>120000</v>
      </c>
      <c r="AF17">
        <f>INDEX(_统一战力!$B$2:$B$501,J17)</f>
        <v/>
      </c>
      <c r="AG17">
        <f>IF(INDEX(_统一战力!$D$2:$D$280,MATCH(I17,_统一战力!$C$2:$C$280,0))&gt;0,ROUND(INDEX(_统一战力!$D$2:$D$280,MATCH(I17,_统一战力!$C$2:$C$280,0)),-MAX(0,INT(LOG10(INDEX(_统一战力!$D$2:$D$280,MATCH(I17,_统一战力!$C$2:$C$280,0))))-2)),0)</f>
        <v/>
      </c>
      <c r="AH17" s="17">
        <f>推荐战力参数!$B$4</f>
        <v/>
      </c>
      <c r="AI17">
        <f>AG17*AH17</f>
        <v/>
      </c>
    </row>
    <row r="18" ht="25" customHeight="1">
      <c r="A18" s="27" t="inlineStr">
        <is>
          <t>当前配置</t>
        </is>
      </c>
      <c r="B18" s="27" t="inlineStr">
        <is>
          <t>映射</t>
        </is>
      </c>
      <c r="C18" s="28" t="inlineStr">
        <is>
          <t>5类型共用</t>
        </is>
      </c>
      <c r="D18" s="28" t="inlineStr">
        <is>
          <t>难度14</t>
        </is>
      </c>
      <c r="E18" s="28" t="inlineStr">
        <is>
          <t>250141;250142;250143;250144;250145</t>
        </is>
      </c>
      <c r="F18" s="27" t="inlineStr">
        <is>
          <t>装备副本Boss</t>
        </is>
      </c>
      <c r="G18" s="37" t="n">
        <v>125</v>
      </c>
      <c r="H18" s="38" t="n"/>
      <c r="I18" s="39">
        <f>IF($H18="",$G18,$H18)</f>
        <v/>
      </c>
      <c r="J18" s="48">
        <f>映射等级节点!C15</f>
        <v/>
      </c>
      <c r="K18" s="72" t="n">
        <v>1.05537868365952</v>
      </c>
      <c r="L18" s="72" t="n">
        <v>0.833052425809945</v>
      </c>
      <c r="M18" s="72" t="n">
        <v>1</v>
      </c>
      <c r="N18" s="73" t="n"/>
      <c r="O18" s="73" t="n"/>
      <c r="P18" s="73" t="n"/>
      <c r="Q18" s="74">
        <f>IF($I18="","",IFERROR(INDEX(_玩家曲线!$H$2:$H$286,MATCH($I18,_玩家曲线!$A$2:$A$286,0)),""))</f>
        <v/>
      </c>
      <c r="R18" s="74">
        <f>IF($I18="","",IFERROR(INDEX(_玩家曲线!$I$2:$I$286,MATCH($I18,_玩家曲线!$A$2:$A$286,0)),""))</f>
        <v/>
      </c>
      <c r="S18" s="74">
        <f>IF(OR($J18="",$F18="不适用"),"",IFERROR(INDEX(_怪物模型!$D$2:$D$4501,(INT($J18)-1)*ROWS(_怪物类型!$A$2:$A$10)+MATCH($F18,_怪物类型!$A$2:$A$10,0))*IF($K18="",1,$K18),""))</f>
        <v/>
      </c>
      <c r="T18" s="74">
        <f>IF(OR($J18="",$F18="不适用"),"",IFERROR(INDEX(_怪物模型!$E$2:$E$4501,(INT($J18)-1)*ROWS(_怪物类型!$A$2:$A$10)+MATCH($F18,_怪物类型!$A$2:$A$10,0))*IF($L18="",1,$L18),""))</f>
        <v/>
      </c>
      <c r="U18" s="74">
        <f>IF(OR($J18="",$F18="不适用"),"",IFERROR(INDEX(_怪物模型!$F$2:$F$4501,(INT($J18)-1)*ROWS(_怪物类型!$A$2:$A$10)+MATCH($F18,_怪物类型!$A$2:$A$10,0))*IF($M18="",1,$M18),""))</f>
        <v/>
      </c>
      <c r="V18" s="75">
        <f>IF($U18="","",MIN(0.75,$U18/($U18+24000)))</f>
        <v/>
      </c>
      <c r="W18" s="76">
        <f>IF($S18="","",$S18/(1-$V18)*IF($N18="",1,$N18))</f>
        <v/>
      </c>
      <c r="X18" s="76">
        <f>IF(OR($W18="",$Q18="",$Q18=0),"",$W18/$Q18)</f>
        <v/>
      </c>
      <c r="Y18" s="76">
        <f>IF(OR($R18="",$T18="",$T18=0),"",$R18/($T18*IF($O18="",1,$O18)))</f>
        <v/>
      </c>
      <c r="Z18" s="77">
        <f>IF(OR($X18="",$P18="",$P18=0),"",$X18/$P18)</f>
        <v/>
      </c>
      <c r="AA18" s="27">
        <f>IF($J18="","待填怪物等级",IF(OR($I18="",$Q18=""),"待填对照关卡",IF($P18="","已计算",IF(AND($Y18&lt;&gt;"",$Y18&lt;$X18),"生存不成立",IF($Z18&lt;0.5,"碾压",IF($Z18&lt;0.8,"偏简单",IF($Z18&lt;=1.2,"适中",IF($Z18&lt;=1.5,"偏难","过难"))))))))</f>
        <v/>
      </c>
      <c r="AB18" s="27">
        <f>IF($J18="","待填",IF(AND(ISNUMBER($J18),$J18&gt;=1,$J18&lt;=500,MOD($J18,1)=0),"有效","超范围"))</f>
        <v/>
      </c>
      <c r="AC18" s="27">
        <f>IF(OR($J18="",ROW()=5,$B18&lt;&gt;$B17,$J17=""),"",IF($J18&lt;$J17,"下降",""))</f>
        <v/>
      </c>
      <c r="AD18" s="28" t="inlineStr">
        <is>
          <t>2026-08-27 新玩家节点曲线校准；对照S125；等级147→120；保留原难度定位。｜2026-09-14 等级带重排：40→330（幂0.85前快后慢），K/L与对照G不变；AE按60s/20s反查重算。｜2026-09-14 修订：难度10锚点120，两段幂曲线（40→120幂0.85前快后慢，120→330幂1.05微加速）。</t>
        </is>
      </c>
      <c r="AE18" t="n">
        <v>142000</v>
      </c>
      <c r="AF18">
        <f>INDEX(_统一战力!$B$2:$B$501,J18)</f>
        <v/>
      </c>
      <c r="AG18">
        <f>IF(INDEX(_统一战力!$D$2:$D$280,MATCH(I18,_统一战力!$C$2:$C$280,0))&gt;0,ROUND(INDEX(_统一战力!$D$2:$D$280,MATCH(I18,_统一战力!$C$2:$C$280,0)),-MAX(0,INT(LOG10(INDEX(_统一战力!$D$2:$D$280,MATCH(I18,_统一战力!$C$2:$C$280,0))))-2)),0)</f>
        <v/>
      </c>
      <c r="AH18" s="17">
        <f>推荐战力参数!$B$4</f>
        <v/>
      </c>
      <c r="AI18">
        <f>AG18*AH18</f>
        <v/>
      </c>
    </row>
    <row r="19" ht="25" customHeight="1">
      <c r="A19" s="27" t="inlineStr">
        <is>
          <t>当前配置</t>
        </is>
      </c>
      <c r="B19" s="27" t="inlineStr">
        <is>
          <t>映射</t>
        </is>
      </c>
      <c r="C19" s="28" t="inlineStr">
        <is>
          <t>5类型共用</t>
        </is>
      </c>
      <c r="D19" s="28" t="inlineStr">
        <is>
          <t>难度15</t>
        </is>
      </c>
      <c r="E19" s="28" t="inlineStr">
        <is>
          <t>250151;250152;250153;250154;250155</t>
        </is>
      </c>
      <c r="F19" s="27" t="inlineStr">
        <is>
          <t>装备副本Boss</t>
        </is>
      </c>
      <c r="G19" s="37" t="n">
        <v>134</v>
      </c>
      <c r="H19" s="38" t="n"/>
      <c r="I19" s="39">
        <f>IF($H19="",$G19,$H19)</f>
        <v/>
      </c>
      <c r="J19" s="48">
        <f>映射等级节点!C16</f>
        <v/>
      </c>
      <c r="K19" s="72" t="n">
        <v>1.05697922812179</v>
      </c>
      <c r="L19" s="72" t="n">
        <v>0.856651838829397</v>
      </c>
      <c r="M19" s="72" t="n">
        <v>1</v>
      </c>
      <c r="N19" s="73" t="n"/>
      <c r="O19" s="73" t="n"/>
      <c r="P19" s="73" t="n"/>
      <c r="Q19" s="74">
        <f>IF($I19="","",IFERROR(INDEX(_玩家曲线!$H$2:$H$286,MATCH($I19,_玩家曲线!$A$2:$A$286,0)),""))</f>
        <v/>
      </c>
      <c r="R19" s="74">
        <f>IF($I19="","",IFERROR(INDEX(_玩家曲线!$I$2:$I$286,MATCH($I19,_玩家曲线!$A$2:$A$286,0)),""))</f>
        <v/>
      </c>
      <c r="S19" s="74">
        <f>IF(OR($J19="",$F19="不适用"),"",IFERROR(INDEX(_怪物模型!$D$2:$D$4501,(INT($J19)-1)*ROWS(_怪物类型!$A$2:$A$10)+MATCH($F19,_怪物类型!$A$2:$A$10,0))*IF($K19="",1,$K19),""))</f>
        <v/>
      </c>
      <c r="T19" s="74">
        <f>IF(OR($J19="",$F19="不适用"),"",IFERROR(INDEX(_怪物模型!$E$2:$E$4501,(INT($J19)-1)*ROWS(_怪物类型!$A$2:$A$10)+MATCH($F19,_怪物类型!$A$2:$A$10,0))*IF($L19="",1,$L19),""))</f>
        <v/>
      </c>
      <c r="U19" s="74">
        <f>IF(OR($J19="",$F19="不适用"),"",IFERROR(INDEX(_怪物模型!$F$2:$F$4501,(INT($J19)-1)*ROWS(_怪物类型!$A$2:$A$10)+MATCH($F19,_怪物类型!$A$2:$A$10,0))*IF($M19="",1,$M19),""))</f>
        <v/>
      </c>
      <c r="V19" s="75">
        <f>IF($U19="","",MIN(0.75,$U19/($U19+24000)))</f>
        <v/>
      </c>
      <c r="W19" s="76">
        <f>IF($S19="","",$S19/(1-$V19)*IF($N19="",1,$N19))</f>
        <v/>
      </c>
      <c r="X19" s="76">
        <f>IF(OR($W19="",$Q19="",$Q19=0),"",$W19/$Q19)</f>
        <v/>
      </c>
      <c r="Y19" s="76">
        <f>IF(OR($R19="",$T19="",$T19=0),"",$R19/($T19*IF($O19="",1,$O19)))</f>
        <v/>
      </c>
      <c r="Z19" s="77">
        <f>IF(OR($X19="",$P19="",$P19=0),"",$X19/$P19)</f>
        <v/>
      </c>
      <c r="AA19" s="27">
        <f>IF($J19="","待填怪物等级",IF(OR($I19="",$Q19=""),"待填对照关卡",IF($P19="","已计算",IF(AND($Y19&lt;&gt;"",$Y19&lt;$X19),"生存不成立",IF($Z19&lt;0.5,"碾压",IF($Z19&lt;0.8,"偏简单",IF($Z19&lt;=1.2,"适中",IF($Z19&lt;=1.5,"偏难","过难"))))))))</f>
        <v/>
      </c>
      <c r="AB19" s="27">
        <f>IF($J19="","待填",IF(AND(ISNUMBER($J19),$J19&gt;=1,$J19&lt;=500,MOD($J19,1)=0),"有效","超范围"))</f>
        <v/>
      </c>
      <c r="AC19" s="27">
        <f>IF(OR($J19="",ROW()=5,$B19&lt;&gt;$B18,$J18=""),"",IF($J19&lt;$J18,"下降",""))</f>
        <v/>
      </c>
      <c r="AD19" s="28" t="inlineStr">
        <is>
          <t>2026-08-27 新玩家节点曲线校准；对照S134；等级156→129；保留原难度定位。｜2026-09-14 等级带重排：40→330（幂0.85前快后慢），K/L与对照G不变；AE按60s/20s反查重算。｜2026-09-14 修订：难度10锚点120，两段幂曲线（40→120幂0.85前快后慢，120→330幂1.05微加速）。</t>
        </is>
      </c>
      <c r="AE19" t="n">
        <v>170000</v>
      </c>
      <c r="AF19">
        <f>INDEX(_统一战力!$B$2:$B$501,J19)</f>
        <v/>
      </c>
      <c r="AG19">
        <f>IF(INDEX(_统一战力!$D$2:$D$280,MATCH(I19,_统一战力!$C$2:$C$280,0))&gt;0,ROUND(INDEX(_统一战力!$D$2:$D$280,MATCH(I19,_统一战力!$C$2:$C$280,0)),-MAX(0,INT(LOG10(INDEX(_统一战力!$D$2:$D$280,MATCH(I19,_统一战力!$C$2:$C$280,0))))-2)),0)</f>
        <v/>
      </c>
      <c r="AH19" s="17">
        <f>推荐战力参数!$B$4</f>
        <v/>
      </c>
      <c r="AI19">
        <f>AG19*AH19</f>
        <v/>
      </c>
    </row>
    <row r="20" ht="25" customHeight="1">
      <c r="A20" s="27" t="inlineStr">
        <is>
          <t>当前配置</t>
        </is>
      </c>
      <c r="B20" s="27" t="inlineStr">
        <is>
          <t>映射</t>
        </is>
      </c>
      <c r="C20" s="28" t="inlineStr">
        <is>
          <t>5类型共用</t>
        </is>
      </c>
      <c r="D20" s="28" t="inlineStr">
        <is>
          <t>难度16</t>
        </is>
      </c>
      <c r="E20" s="28" t="inlineStr">
        <is>
          <t>250161;250162;250163;250164;250165</t>
        </is>
      </c>
      <c r="F20" s="27" t="inlineStr">
        <is>
          <t>装备副本Boss</t>
        </is>
      </c>
      <c r="G20" s="37" t="n">
        <v>143</v>
      </c>
      <c r="H20" s="38" t="n"/>
      <c r="I20" s="39">
        <f>IF($H20="",$G20,$H20)</f>
        <v/>
      </c>
      <c r="J20" s="48">
        <f>映射等级节点!C17</f>
        <v/>
      </c>
      <c r="K20" s="72" t="n">
        <v>1.04289213940022</v>
      </c>
      <c r="L20" s="72" t="n">
        <v>0.875192051916462</v>
      </c>
      <c r="M20" s="72" t="n">
        <v>1</v>
      </c>
      <c r="N20" s="73" t="n"/>
      <c r="O20" s="73" t="n"/>
      <c r="P20" s="73" t="n"/>
      <c r="Q20" s="74">
        <f>IF($I20="","",IFERROR(INDEX(_玩家曲线!$H$2:$H$286,MATCH($I20,_玩家曲线!$A$2:$A$286,0)),""))</f>
        <v/>
      </c>
      <c r="R20" s="74">
        <f>IF($I20="","",IFERROR(INDEX(_玩家曲线!$I$2:$I$286,MATCH($I20,_玩家曲线!$A$2:$A$286,0)),""))</f>
        <v/>
      </c>
      <c r="S20" s="74">
        <f>IF(OR($J20="",$F20="不适用"),"",IFERROR(INDEX(_怪物模型!$D$2:$D$4501,(INT($J20)-1)*ROWS(_怪物类型!$A$2:$A$10)+MATCH($F20,_怪物类型!$A$2:$A$10,0))*IF($K20="",1,$K20),""))</f>
        <v/>
      </c>
      <c r="T20" s="74">
        <f>IF(OR($J20="",$F20="不适用"),"",IFERROR(INDEX(_怪物模型!$E$2:$E$4501,(INT($J20)-1)*ROWS(_怪物类型!$A$2:$A$10)+MATCH($F20,_怪物类型!$A$2:$A$10,0))*IF($L20="",1,$L20),""))</f>
        <v/>
      </c>
      <c r="U20" s="74">
        <f>IF(OR($J20="",$F20="不适用"),"",IFERROR(INDEX(_怪物模型!$F$2:$F$4501,(INT($J20)-1)*ROWS(_怪物类型!$A$2:$A$10)+MATCH($F20,_怪物类型!$A$2:$A$10,0))*IF($M20="",1,$M20),""))</f>
        <v/>
      </c>
      <c r="V20" s="75">
        <f>IF($U20="","",MIN(0.75,$U20/($U20+24000)))</f>
        <v/>
      </c>
      <c r="W20" s="76">
        <f>IF($S20="","",$S20/(1-$V20)*IF($N20="",1,$N20))</f>
        <v/>
      </c>
      <c r="X20" s="76">
        <f>IF(OR($W20="",$Q20="",$Q20=0),"",$W20/$Q20)</f>
        <v/>
      </c>
      <c r="Y20" s="76">
        <f>IF(OR($R20="",$T20="",$T20=0),"",$R20/($T20*IF($O20="",1,$O20)))</f>
        <v/>
      </c>
      <c r="Z20" s="77">
        <f>IF(OR($X20="",$P20="",$P20=0),"",$X20/$P20)</f>
        <v/>
      </c>
      <c r="AA20" s="27">
        <f>IF($J20="","待填怪物等级",IF(OR($I20="",$Q20=""),"待填对照关卡",IF($P20="","已计算",IF(AND($Y20&lt;&gt;"",$Y20&lt;$X20),"生存不成立",IF($Z20&lt;0.5,"碾压",IF($Z20&lt;0.8,"偏简单",IF($Z20&lt;=1.2,"适中",IF($Z20&lt;=1.5,"偏难","过难"))))))))</f>
        <v/>
      </c>
      <c r="AB20" s="27">
        <f>IF($J20="","待填",IF(AND(ISNUMBER($J20),$J20&gt;=1,$J20&lt;=500,MOD($J20,1)=0),"有效","超范围"))</f>
        <v/>
      </c>
      <c r="AC20" s="27">
        <f>IF(OR($J20="",ROW()=5,$B20&lt;&gt;$B19,$J19=""),"",IF($J20&lt;$J19,"下降",""))</f>
        <v/>
      </c>
      <c r="AD20" s="28" t="inlineStr">
        <is>
          <t>2026-08-27 新玩家节点曲线校准；对照S143；等级166→140；保留原难度定位。｜2026-09-14 等级带重排：40→330（幂0.85前快后慢），K/L与对照G不变；AE按60s/20s反查重算。｜2026-09-14 修订：难度10锚点120，两段幂曲线（40→120幂0.85前快后慢，120→330幂1.05微加速）。</t>
        </is>
      </c>
      <c r="AE20" t="n">
        <v>197000</v>
      </c>
      <c r="AF20">
        <f>INDEX(_统一战力!$B$2:$B$501,J20)</f>
        <v/>
      </c>
      <c r="AG20">
        <f>IF(INDEX(_统一战力!$D$2:$D$280,MATCH(I20,_统一战力!$C$2:$C$280,0))&gt;0,ROUND(INDEX(_统一战力!$D$2:$D$280,MATCH(I20,_统一战力!$C$2:$C$280,0)),-MAX(0,INT(LOG10(INDEX(_统一战力!$D$2:$D$280,MATCH(I20,_统一战力!$C$2:$C$280,0))))-2)),0)</f>
        <v/>
      </c>
      <c r="AH20" s="17">
        <f>推荐战力参数!$B$4</f>
        <v/>
      </c>
      <c r="AI20">
        <f>AG20*AH20</f>
        <v/>
      </c>
    </row>
    <row r="21" ht="25" customHeight="1">
      <c r="A21" s="27" t="inlineStr">
        <is>
          <t>当前配置</t>
        </is>
      </c>
      <c r="B21" s="27" t="inlineStr">
        <is>
          <t>映射</t>
        </is>
      </c>
      <c r="C21" s="28" t="inlineStr">
        <is>
          <t>5类型共用</t>
        </is>
      </c>
      <c r="D21" s="28" t="inlineStr">
        <is>
          <t>难度17</t>
        </is>
      </c>
      <c r="E21" s="28" t="inlineStr">
        <is>
          <t>250171;250172;250173;250174;250175</t>
        </is>
      </c>
      <c r="F21" s="27" t="inlineStr">
        <is>
          <t>装备副本Boss</t>
        </is>
      </c>
      <c r="G21" s="37" t="n">
        <v>153</v>
      </c>
      <c r="H21" s="38" t="n"/>
      <c r="I21" s="39">
        <f>IF($H21="",$G21,$H21)</f>
        <v/>
      </c>
      <c r="J21" s="48">
        <f>映射等级节点!C18</f>
        <v/>
      </c>
      <c r="K21" s="72" t="n">
        <v>1.03663329161026</v>
      </c>
      <c r="L21" s="72" t="n">
        <v>0.895192216733449</v>
      </c>
      <c r="M21" s="72" t="n">
        <v>1</v>
      </c>
      <c r="N21" s="73" t="n"/>
      <c r="O21" s="73" t="n"/>
      <c r="P21" s="73" t="n"/>
      <c r="Q21" s="74">
        <f>IF($I21="","",IFERROR(INDEX(_玩家曲线!$H$2:$H$286,MATCH($I21,_玩家曲线!$A$2:$A$286,0)),""))</f>
        <v/>
      </c>
      <c r="R21" s="74">
        <f>IF($I21="","",IFERROR(INDEX(_玩家曲线!$I$2:$I$286,MATCH($I21,_玩家曲线!$A$2:$A$286,0)),""))</f>
        <v/>
      </c>
      <c r="S21" s="74">
        <f>IF(OR($J21="",$F21="不适用"),"",IFERROR(INDEX(_怪物模型!$D$2:$D$4501,(INT($J21)-1)*ROWS(_怪物类型!$A$2:$A$10)+MATCH($F21,_怪物类型!$A$2:$A$10,0))*IF($K21="",1,$K21),""))</f>
        <v/>
      </c>
      <c r="T21" s="74">
        <f>IF(OR($J21="",$F21="不适用"),"",IFERROR(INDEX(_怪物模型!$E$2:$E$4501,(INT($J21)-1)*ROWS(_怪物类型!$A$2:$A$10)+MATCH($F21,_怪物类型!$A$2:$A$10,0))*IF($L21="",1,$L21),""))</f>
        <v/>
      </c>
      <c r="U21" s="74">
        <f>IF(OR($J21="",$F21="不适用"),"",IFERROR(INDEX(_怪物模型!$F$2:$F$4501,(INT($J21)-1)*ROWS(_怪物类型!$A$2:$A$10)+MATCH($F21,_怪物类型!$A$2:$A$10,0))*IF($M21="",1,$M21),""))</f>
        <v/>
      </c>
      <c r="V21" s="75">
        <f>IF($U21="","",MIN(0.75,$U21/($U21+24000)))</f>
        <v/>
      </c>
      <c r="W21" s="76">
        <f>IF($S21="","",$S21/(1-$V21)*IF($N21="",1,$N21))</f>
        <v/>
      </c>
      <c r="X21" s="76">
        <f>IF(OR($W21="",$Q21="",$Q21=0),"",$W21/$Q21)</f>
        <v/>
      </c>
      <c r="Y21" s="76">
        <f>IF(OR($R21="",$T21="",$T21=0),"",$R21/($T21*IF($O21="",1,$O21)))</f>
        <v/>
      </c>
      <c r="Z21" s="77">
        <f>IF(OR($X21="",$P21="",$P21=0),"",$X21/$P21)</f>
        <v/>
      </c>
      <c r="AA21" s="27">
        <f>IF($J21="","待填怪物等级",IF(OR($I21="",$Q21=""),"待填对照关卡",IF($P21="","已计算",IF(AND($Y21&lt;&gt;"",$Y21&lt;$X21),"生存不成立",IF($Z21&lt;0.5,"碾压",IF($Z21&lt;0.8,"偏简单",IF($Z21&lt;=1.2,"适中",IF($Z21&lt;=1.5,"偏难","过难"))))))))</f>
        <v/>
      </c>
      <c r="AB21" s="27">
        <f>IF($J21="","待填",IF(AND(ISNUMBER($J21),$J21&gt;=1,$J21&lt;=500,MOD($J21,1)=0),"有效","超范围"))</f>
        <v/>
      </c>
      <c r="AC21" s="27">
        <f>IF(OR($J21="",ROW()=5,$B21&lt;&gt;$B20,$J20=""),"",IF($J21&lt;$J20,"下降",""))</f>
        <v/>
      </c>
      <c r="AD21" s="28" t="inlineStr">
        <is>
          <t>2026-08-27 新玩家节点曲线校准；对照S153；等级175→150；保留原难度定位。｜2026-09-14 等级带重排：40→330（幂0.85前快后慢），K/L与对照G不变；AE按60s/20s反查重算。｜2026-09-14 修订：难度10锚点120，两段幂曲线（40→120幂0.85前快后慢，120→330幂1.05微加速）。</t>
        </is>
      </c>
      <c r="AE21" t="n">
        <v>231000</v>
      </c>
      <c r="AF21">
        <f>INDEX(_统一战力!$B$2:$B$501,J21)</f>
        <v/>
      </c>
      <c r="AG21">
        <f>IF(INDEX(_统一战力!$D$2:$D$280,MATCH(I21,_统一战力!$C$2:$C$280,0))&gt;0,ROUND(INDEX(_统一战力!$D$2:$D$280,MATCH(I21,_统一战力!$C$2:$C$280,0)),-MAX(0,INT(LOG10(INDEX(_统一战力!$D$2:$D$280,MATCH(I21,_统一战力!$C$2:$C$280,0))))-2)),0)</f>
        <v/>
      </c>
      <c r="AH21" s="17">
        <f>推荐战力参数!$B$4</f>
        <v/>
      </c>
      <c r="AI21">
        <f>AG21*AH21</f>
        <v/>
      </c>
    </row>
    <row r="22" ht="25" customHeight="1">
      <c r="A22" s="27" t="inlineStr">
        <is>
          <t>当前配置</t>
        </is>
      </c>
      <c r="B22" s="27" t="inlineStr">
        <is>
          <t>映射</t>
        </is>
      </c>
      <c r="C22" s="28" t="inlineStr">
        <is>
          <t>5类型共用</t>
        </is>
      </c>
      <c r="D22" s="28" t="inlineStr">
        <is>
          <t>难度18</t>
        </is>
      </c>
      <c r="E22" s="28" t="inlineStr">
        <is>
          <t>250181;250182;250183;250184;250185</t>
        </is>
      </c>
      <c r="F22" s="27" t="inlineStr">
        <is>
          <t>装备副本Boss</t>
        </is>
      </c>
      <c r="G22" s="37" t="n">
        <v>162</v>
      </c>
      <c r="H22" s="38" t="n"/>
      <c r="I22" s="39">
        <f>IF($H22="",$G22,$H22)</f>
        <v/>
      </c>
      <c r="J22" s="48">
        <f>映射等级节点!C19</f>
        <v/>
      </c>
      <c r="K22" s="72" t="n">
        <v>1.03619836966429</v>
      </c>
      <c r="L22" s="72" t="n">
        <v>0.917372203776233</v>
      </c>
      <c r="M22" s="72" t="n">
        <v>1</v>
      </c>
      <c r="N22" s="73" t="n"/>
      <c r="O22" s="73" t="n"/>
      <c r="P22" s="73" t="n"/>
      <c r="Q22" s="74">
        <f>IF($I22="","",IFERROR(INDEX(_玩家曲线!$H$2:$H$286,MATCH($I22,_玩家曲线!$A$2:$A$286,0)),""))</f>
        <v/>
      </c>
      <c r="R22" s="74">
        <f>IF($I22="","",IFERROR(INDEX(_玩家曲线!$I$2:$I$286,MATCH($I22,_玩家曲线!$A$2:$A$286,0)),""))</f>
        <v/>
      </c>
      <c r="S22" s="74">
        <f>IF(OR($J22="",$F22="不适用"),"",IFERROR(INDEX(_怪物模型!$D$2:$D$4501,(INT($J22)-1)*ROWS(_怪物类型!$A$2:$A$10)+MATCH($F22,_怪物类型!$A$2:$A$10,0))*IF($K22="",1,$K22),""))</f>
        <v/>
      </c>
      <c r="T22" s="74">
        <f>IF(OR($J22="",$F22="不适用"),"",IFERROR(INDEX(_怪物模型!$E$2:$E$4501,(INT($J22)-1)*ROWS(_怪物类型!$A$2:$A$10)+MATCH($F22,_怪物类型!$A$2:$A$10,0))*IF($L22="",1,$L22),""))</f>
        <v/>
      </c>
      <c r="U22" s="74">
        <f>IF(OR($J22="",$F22="不适用"),"",IFERROR(INDEX(_怪物模型!$F$2:$F$4501,(INT($J22)-1)*ROWS(_怪物类型!$A$2:$A$10)+MATCH($F22,_怪物类型!$A$2:$A$10,0))*IF($M22="",1,$M22),""))</f>
        <v/>
      </c>
      <c r="V22" s="75">
        <f>IF($U22="","",MIN(0.75,$U22/($U22+24000)))</f>
        <v/>
      </c>
      <c r="W22" s="76">
        <f>IF($S22="","",$S22/(1-$V22)*IF($N22="",1,$N22))</f>
        <v/>
      </c>
      <c r="X22" s="76">
        <f>IF(OR($W22="",$Q22="",$Q22=0),"",$W22/$Q22)</f>
        <v/>
      </c>
      <c r="Y22" s="76">
        <f>IF(OR($R22="",$T22="",$T22=0),"",$R22/($T22*IF($O22="",1,$O22)))</f>
        <v/>
      </c>
      <c r="Z22" s="77">
        <f>IF(OR($X22="",$P22="",$P22=0),"",$X22/$P22)</f>
        <v/>
      </c>
      <c r="AA22" s="27">
        <f>IF($J22="","待填怪物等级",IF(OR($I22="",$Q22=""),"待填对照关卡",IF($P22="","已计算",IF(AND($Y22&lt;&gt;"",$Y22&lt;$X22),"生存不成立",IF($Z22&lt;0.5,"碾压",IF($Z22&lt;0.8,"偏简单",IF($Z22&lt;=1.2,"适中",IF($Z22&lt;=1.5,"偏难","过难"))))))))</f>
        <v/>
      </c>
      <c r="AB22" s="27">
        <f>IF($J22="","待填",IF(AND(ISNUMBER($J22),$J22&gt;=1,$J22&lt;=500,MOD($J22,1)=0),"有效","超范围"))</f>
        <v/>
      </c>
      <c r="AC22" s="27">
        <f>IF(OR($J22="",ROW()=5,$B22&lt;&gt;$B21,$J21=""),"",IF($J22&lt;$J21,"下降",""))</f>
        <v/>
      </c>
      <c r="AD22" s="28" t="inlineStr">
        <is>
          <t>2026-08-27 新玩家节点曲线校准；对照S162；等级184→160；保留原难度定位。｜2026-09-14 等级带重排：40→330（幂0.85前快后慢），K/L与对照G不变；AE按60s/20s反查重算。｜2026-09-14 修订：难度10锚点120，两段幂曲线（40→120幂0.85前快后慢，120→330幂1.05微加速）。</t>
        </is>
      </c>
      <c r="AE22" t="n">
        <v>261000</v>
      </c>
      <c r="AF22">
        <f>INDEX(_统一战力!$B$2:$B$501,J22)</f>
        <v/>
      </c>
      <c r="AG22">
        <f>IF(INDEX(_统一战力!$D$2:$D$280,MATCH(I22,_统一战力!$C$2:$C$280,0))&gt;0,ROUND(INDEX(_统一战力!$D$2:$D$280,MATCH(I22,_统一战力!$C$2:$C$280,0)),-MAX(0,INT(LOG10(INDEX(_统一战力!$D$2:$D$280,MATCH(I22,_统一战力!$C$2:$C$280,0))))-2)),0)</f>
        <v/>
      </c>
      <c r="AH22" s="17">
        <f>推荐战力参数!$B$4</f>
        <v/>
      </c>
      <c r="AI22">
        <f>AG22*AH22</f>
        <v/>
      </c>
    </row>
    <row r="23" ht="25" customHeight="1">
      <c r="A23" s="27" t="inlineStr">
        <is>
          <t>当前配置</t>
        </is>
      </c>
      <c r="B23" s="27" t="inlineStr">
        <is>
          <t>映射</t>
        </is>
      </c>
      <c r="C23" s="28" t="inlineStr">
        <is>
          <t>5类型共用</t>
        </is>
      </c>
      <c r="D23" s="28" t="inlineStr">
        <is>
          <t>难度19</t>
        </is>
      </c>
      <c r="E23" s="28" t="inlineStr">
        <is>
          <t>250191;250192;250193;250194;250195</t>
        </is>
      </c>
      <c r="F23" s="27" t="inlineStr">
        <is>
          <t>装备副本Boss</t>
        </is>
      </c>
      <c r="G23" s="37" t="n">
        <v>171</v>
      </c>
      <c r="H23" s="38" t="n"/>
      <c r="I23" s="39">
        <f>IF($H23="",$G23,$H23)</f>
        <v/>
      </c>
      <c r="J23" s="48">
        <f>映射等级节点!C20</f>
        <v/>
      </c>
      <c r="K23" s="72" t="n">
        <v>1.01820929899662</v>
      </c>
      <c r="L23" s="72" t="n">
        <v>0.932091789423659</v>
      </c>
      <c r="M23" s="72" t="n">
        <v>1</v>
      </c>
      <c r="N23" s="73" t="n"/>
      <c r="O23" s="73" t="n"/>
      <c r="P23" s="73" t="n"/>
      <c r="Q23" s="74">
        <f>IF($I23="","",IFERROR(INDEX(_玩家曲线!$H$2:$H$286,MATCH($I23,_玩家曲线!$A$2:$A$286,0)),""))</f>
        <v/>
      </c>
      <c r="R23" s="74">
        <f>IF($I23="","",IFERROR(INDEX(_玩家曲线!$I$2:$I$286,MATCH($I23,_玩家曲线!$A$2:$A$286,0)),""))</f>
        <v/>
      </c>
      <c r="S23" s="74">
        <f>IF(OR($J23="",$F23="不适用"),"",IFERROR(INDEX(_怪物模型!$D$2:$D$4501,(INT($J23)-1)*ROWS(_怪物类型!$A$2:$A$10)+MATCH($F23,_怪物类型!$A$2:$A$10,0))*IF($K23="",1,$K23),""))</f>
        <v/>
      </c>
      <c r="T23" s="74">
        <f>IF(OR($J23="",$F23="不适用"),"",IFERROR(INDEX(_怪物模型!$E$2:$E$4501,(INT($J23)-1)*ROWS(_怪物类型!$A$2:$A$10)+MATCH($F23,_怪物类型!$A$2:$A$10,0))*IF($L23="",1,$L23),""))</f>
        <v/>
      </c>
      <c r="U23" s="74">
        <f>IF(OR($J23="",$F23="不适用"),"",IFERROR(INDEX(_怪物模型!$F$2:$F$4501,(INT($J23)-1)*ROWS(_怪物类型!$A$2:$A$10)+MATCH($F23,_怪物类型!$A$2:$A$10,0))*IF($M23="",1,$M23),""))</f>
        <v/>
      </c>
      <c r="V23" s="75">
        <f>IF($U23="","",MIN(0.75,$U23/($U23+24000)))</f>
        <v/>
      </c>
      <c r="W23" s="76">
        <f>IF($S23="","",$S23/(1-$V23)*IF($N23="",1,$N23))</f>
        <v/>
      </c>
      <c r="X23" s="76">
        <f>IF(OR($W23="",$Q23="",$Q23=0),"",$W23/$Q23)</f>
        <v/>
      </c>
      <c r="Y23" s="76">
        <f>IF(OR($R23="",$T23="",$T23=0),"",$R23/($T23*IF($O23="",1,$O23)))</f>
        <v/>
      </c>
      <c r="Z23" s="77">
        <f>IF(OR($X23="",$P23="",$P23=0),"",$X23/$P23)</f>
        <v/>
      </c>
      <c r="AA23" s="27">
        <f>IF($J23="","待填怪物等级",IF(OR($I23="",$Q23=""),"待填对照关卡",IF($P23="","已计算",IF(AND($Y23&lt;&gt;"",$Y23&lt;$X23),"生存不成立",IF($Z23&lt;0.5,"碾压",IF($Z23&lt;0.8,"偏简单",IF($Z23&lt;=1.2,"适中",IF($Z23&lt;=1.5,"偏难","过难"))))))))</f>
        <v/>
      </c>
      <c r="AB23" s="27">
        <f>IF($J23="","待填",IF(AND(ISNUMBER($J23),$J23&gt;=1,$J23&lt;=500,MOD($J23,1)=0),"有效","超范围"))</f>
        <v/>
      </c>
      <c r="AC23" s="27">
        <f>IF(OR($J23="",ROW()=5,$B23&lt;&gt;$B22,$J22=""),"",IF($J23&lt;$J22,"下降",""))</f>
        <v/>
      </c>
      <c r="AD23" s="28" t="inlineStr">
        <is>
          <t>2026-08-27 新玩家节点曲线校准；对照S171；等级194→172；保留原难度定位。｜2026-09-14 等级带重排：40→330（幂0.85前快后慢），K/L与对照G不变；AE按60s/20s反查重算。｜2026-09-14 修订：难度10锚点120，两段幂曲线（40→120幂0.85前快后慢，120→330幂1.05微加速）。</t>
        </is>
      </c>
      <c r="AE23" t="n">
        <v>300000</v>
      </c>
      <c r="AF23">
        <f>INDEX(_统一战力!$B$2:$B$501,J23)</f>
        <v/>
      </c>
      <c r="AG23">
        <f>IF(INDEX(_统一战力!$D$2:$D$280,MATCH(I23,_统一战力!$C$2:$C$280,0))&gt;0,ROUND(INDEX(_统一战力!$D$2:$D$280,MATCH(I23,_统一战力!$C$2:$C$280,0)),-MAX(0,INT(LOG10(INDEX(_统一战力!$D$2:$D$280,MATCH(I23,_统一战力!$C$2:$C$280,0))))-2)),0)</f>
        <v/>
      </c>
      <c r="AH23" s="17">
        <f>推荐战力参数!$B$4</f>
        <v/>
      </c>
      <c r="AI23">
        <f>AG23*AH23</f>
        <v/>
      </c>
    </row>
    <row r="24" ht="25" customHeight="1">
      <c r="A24" s="27" t="inlineStr">
        <is>
          <t>当前配置</t>
        </is>
      </c>
      <c r="B24" s="27" t="inlineStr">
        <is>
          <t>映射</t>
        </is>
      </c>
      <c r="C24" s="28" t="inlineStr">
        <is>
          <t>5类型共用</t>
        </is>
      </c>
      <c r="D24" s="28" t="inlineStr">
        <is>
          <t>难度20</t>
        </is>
      </c>
      <c r="E24" s="28" t="inlineStr">
        <is>
          <t>250201;250202;250203;250204;250205</t>
        </is>
      </c>
      <c r="F24" s="27" t="inlineStr">
        <is>
          <t>装备副本Boss</t>
        </is>
      </c>
      <c r="G24" s="37" t="n">
        <v>181</v>
      </c>
      <c r="H24" s="38" t="n"/>
      <c r="I24" s="39">
        <f>IF($H24="",$G24,$H24)</f>
        <v/>
      </c>
      <c r="J24" s="48">
        <f>映射等级节点!C21</f>
        <v/>
      </c>
      <c r="K24" s="72" t="n">
        <v>1.01078130558729</v>
      </c>
      <c r="L24" s="72" t="n">
        <v>0.950442926549424</v>
      </c>
      <c r="M24" s="72" t="n">
        <v>1</v>
      </c>
      <c r="N24" s="73" t="n"/>
      <c r="O24" s="73" t="n"/>
      <c r="P24" s="73" t="n"/>
      <c r="Q24" s="74">
        <f>IF($I24="","",IFERROR(INDEX(_玩家曲线!$H$2:$H$286,MATCH($I24,_玩家曲线!$A$2:$A$286,0)),""))</f>
        <v/>
      </c>
      <c r="R24" s="74">
        <f>IF($I24="","",IFERROR(INDEX(_玩家曲线!$I$2:$I$286,MATCH($I24,_玩家曲线!$A$2:$A$286,0)),""))</f>
        <v/>
      </c>
      <c r="S24" s="74">
        <f>IF(OR($J24="",$F24="不适用"),"",IFERROR(INDEX(_怪物模型!$D$2:$D$4501,(INT($J24)-1)*ROWS(_怪物类型!$A$2:$A$10)+MATCH($F24,_怪物类型!$A$2:$A$10,0))*IF($K24="",1,$K24),""))</f>
        <v/>
      </c>
      <c r="T24" s="74">
        <f>IF(OR($J24="",$F24="不适用"),"",IFERROR(INDEX(_怪物模型!$E$2:$E$4501,(INT($J24)-1)*ROWS(_怪物类型!$A$2:$A$10)+MATCH($F24,_怪物类型!$A$2:$A$10,0))*IF($L24="",1,$L24),""))</f>
        <v/>
      </c>
      <c r="U24" s="74">
        <f>IF(OR($J24="",$F24="不适用"),"",IFERROR(INDEX(_怪物模型!$F$2:$F$4501,(INT($J24)-1)*ROWS(_怪物类型!$A$2:$A$10)+MATCH($F24,_怪物类型!$A$2:$A$10,0))*IF($M24="",1,$M24),""))</f>
        <v/>
      </c>
      <c r="V24" s="75">
        <f>IF($U24="","",MIN(0.75,$U24/($U24+24000)))</f>
        <v/>
      </c>
      <c r="W24" s="76">
        <f>IF($S24="","",$S24/(1-$V24)*IF($N24="",1,$N24))</f>
        <v/>
      </c>
      <c r="X24" s="76">
        <f>IF(OR($W24="",$Q24="",$Q24=0),"",$W24/$Q24)</f>
        <v/>
      </c>
      <c r="Y24" s="76">
        <f>IF(OR($R24="",$T24="",$T24=0),"",$R24/($T24*IF($O24="",1,$O24)))</f>
        <v/>
      </c>
      <c r="Z24" s="77">
        <f>IF(OR($X24="",$P24="",$P24=0),"",$X24/$P24)</f>
        <v/>
      </c>
      <c r="AA24" s="27">
        <f>IF($J24="","待填怪物等级",IF(OR($I24="",$Q24=""),"待填对照关卡",IF($P24="","已计算",IF(AND($Y24&lt;&gt;"",$Y24&lt;$X24),"生存不成立",IF($Z24&lt;0.5,"碾压",IF($Z24&lt;0.8,"偏简单",IF($Z24&lt;=1.2,"适中",IF($Z24&lt;=1.5,"偏难","过难"))))))))</f>
        <v/>
      </c>
      <c r="AB24" s="27">
        <f>IF($J24="","待填",IF(AND(ISNUMBER($J24),$J24&gt;=1,$J24&lt;=500,MOD($J24,1)=0),"有效","超范围"))</f>
        <v/>
      </c>
      <c r="AC24" s="27">
        <f>IF(OR($J24="",ROW()=5,$B24&lt;&gt;$B23,$J23=""),"",IF($J24&lt;$J23,"下降",""))</f>
        <v/>
      </c>
      <c r="AD24" s="28" t="inlineStr">
        <is>
          <t>2026-08-27 新玩家节点曲线校准；对照S181；等级203→183；保留原难度定位。｜2026-09-14 等级带重排：40→330（幂0.85前快后慢），K/L与对照G不变；AE按60s/20s反查重算。｜2026-09-14 修订：难度10锚点120，两段幂曲线（40→120幂0.85前快后慢，120→330幂1.05微加速）。</t>
        </is>
      </c>
      <c r="AE24" t="n">
        <v>337000</v>
      </c>
      <c r="AF24">
        <f>INDEX(_统一战力!$B$2:$B$501,J24)</f>
        <v/>
      </c>
      <c r="AG24">
        <f>IF(INDEX(_统一战力!$D$2:$D$280,MATCH(I24,_统一战力!$C$2:$C$280,0))&gt;0,ROUND(INDEX(_统一战力!$D$2:$D$280,MATCH(I24,_统一战力!$C$2:$C$280,0)),-MAX(0,INT(LOG10(INDEX(_统一战力!$D$2:$D$280,MATCH(I24,_统一战力!$C$2:$C$280,0))))-2)),0)</f>
        <v/>
      </c>
      <c r="AH24" s="17">
        <f>推荐战力参数!$B$4</f>
        <v/>
      </c>
      <c r="AI24">
        <f>AG24*AH24</f>
        <v/>
      </c>
    </row>
    <row r="25" ht="25" customHeight="1">
      <c r="A25" s="27" t="inlineStr">
        <is>
          <t>当前配置</t>
        </is>
      </c>
      <c r="B25" s="27" t="inlineStr">
        <is>
          <t>映射</t>
        </is>
      </c>
      <c r="C25" s="28" t="inlineStr">
        <is>
          <t>5类型共用</t>
        </is>
      </c>
      <c r="D25" s="28" t="inlineStr">
        <is>
          <t>难度21</t>
        </is>
      </c>
      <c r="E25" s="28" t="inlineStr">
        <is>
          <t>250211;250212;250213;250214;250215</t>
        </is>
      </c>
      <c r="F25" s="27" t="inlineStr">
        <is>
          <t>装备副本Boss</t>
        </is>
      </c>
      <c r="G25" s="37" t="n">
        <v>190</v>
      </c>
      <c r="H25" s="38" t="n"/>
      <c r="I25" s="39">
        <f>IF($H25="",$G25,$H25)</f>
        <v/>
      </c>
      <c r="J25" s="48">
        <f>映射等级节点!C22</f>
        <v/>
      </c>
      <c r="K25" s="72" t="n">
        <v>1.00527491093789</v>
      </c>
      <c r="L25" s="72" t="n">
        <v>0.968823750844287</v>
      </c>
      <c r="M25" s="72" t="n">
        <v>1</v>
      </c>
      <c r="N25" s="73" t="n"/>
      <c r="O25" s="73" t="n"/>
      <c r="P25" s="73" t="n"/>
      <c r="Q25" s="74">
        <f>IF($I25="","",IFERROR(INDEX(_玩家曲线!$H$2:$H$286,MATCH($I25,_玩家曲线!$A$2:$A$286,0)),""))</f>
        <v/>
      </c>
      <c r="R25" s="74">
        <f>IF($I25="","",IFERROR(INDEX(_玩家曲线!$I$2:$I$286,MATCH($I25,_玩家曲线!$A$2:$A$286,0)),""))</f>
        <v/>
      </c>
      <c r="S25" s="74">
        <f>IF(OR($J25="",$F25="不适用"),"",IFERROR(INDEX(_怪物模型!$D$2:$D$4501,(INT($J25)-1)*ROWS(_怪物类型!$A$2:$A$10)+MATCH($F25,_怪物类型!$A$2:$A$10,0))*IF($K25="",1,$K25),""))</f>
        <v/>
      </c>
      <c r="T25" s="74">
        <f>IF(OR($J25="",$F25="不适用"),"",IFERROR(INDEX(_怪物模型!$E$2:$E$4501,(INT($J25)-1)*ROWS(_怪物类型!$A$2:$A$10)+MATCH($F25,_怪物类型!$A$2:$A$10,0))*IF($L25="",1,$L25),""))</f>
        <v/>
      </c>
      <c r="U25" s="74">
        <f>IF(OR($J25="",$F25="不适用"),"",IFERROR(INDEX(_怪物模型!$F$2:$F$4501,(INT($J25)-1)*ROWS(_怪物类型!$A$2:$A$10)+MATCH($F25,_怪物类型!$A$2:$A$10,0))*IF($M25="",1,$M25),""))</f>
        <v/>
      </c>
      <c r="V25" s="75">
        <f>IF($U25="","",MIN(0.75,$U25/($U25+24000)))</f>
        <v/>
      </c>
      <c r="W25" s="76">
        <f>IF($S25="","",$S25/(1-$V25)*IF($N25="",1,$N25))</f>
        <v/>
      </c>
      <c r="X25" s="76">
        <f>IF(OR($W25="",$Q25="",$Q25=0),"",$W25/$Q25)</f>
        <v/>
      </c>
      <c r="Y25" s="76">
        <f>IF(OR($R25="",$T25="",$T25=0),"",$R25/($T25*IF($O25="",1,$O25)))</f>
        <v/>
      </c>
      <c r="Z25" s="77">
        <f>IF(OR($X25="",$P25="",$P25=0),"",$X25/$P25)</f>
        <v/>
      </c>
      <c r="AA25" s="27">
        <f>IF($J25="","待填怪物等级",IF(OR($I25="",$Q25=""),"待填对照关卡",IF($P25="","已计算",IF(AND($Y25&lt;&gt;"",$Y25&lt;$X25),"生存不成立",IF($Z25&lt;0.5,"碾压",IF($Z25&lt;0.8,"偏简单",IF($Z25&lt;=1.2,"适中",IF($Z25&lt;=1.5,"偏难","过难"))))))))</f>
        <v/>
      </c>
      <c r="AB25" s="27">
        <f>IF($J25="","待填",IF(AND(ISNUMBER($J25),$J25&gt;=1,$J25&lt;=500,MOD($J25,1)=0),"有效","超范围"))</f>
        <v/>
      </c>
      <c r="AC25" s="27">
        <f>IF(OR($J25="",ROW()=5,$B25&lt;&gt;$B24,$J24=""),"",IF($J25&lt;$J24,"下降",""))</f>
        <v/>
      </c>
      <c r="AD25" s="28" t="inlineStr">
        <is>
          <t>2026-08-27 新玩家节点曲线校准；对照S190；等级212→194；保留原难度定位。｜2026-09-14 等级带重排：40→330（幂0.85前快后慢），K/L与对照G不变；AE按60s/20s反查重算。｜2026-09-14 修订：难度10锚点120，两段幂曲线（40→120幂0.85前快后慢，120→330幂1.05微加速）。</t>
        </is>
      </c>
      <c r="AE25" t="n">
        <v>386000</v>
      </c>
      <c r="AF25">
        <f>INDEX(_统一战力!$B$2:$B$501,J25)</f>
        <v/>
      </c>
      <c r="AG25">
        <f>IF(INDEX(_统一战力!$D$2:$D$280,MATCH(I25,_统一战力!$C$2:$C$280,0))&gt;0,ROUND(INDEX(_统一战力!$D$2:$D$280,MATCH(I25,_统一战力!$C$2:$C$280,0)),-MAX(0,INT(LOG10(INDEX(_统一战力!$D$2:$D$280,MATCH(I25,_统一战力!$C$2:$C$280,0))))-2)),0)</f>
        <v/>
      </c>
      <c r="AH25" s="17">
        <f>推荐战力参数!$B$4</f>
        <v/>
      </c>
      <c r="AI25">
        <f>AG25*AH25</f>
        <v/>
      </c>
    </row>
    <row r="26" ht="25" customHeight="1">
      <c r="A26" s="27" t="inlineStr">
        <is>
          <t>当前配置</t>
        </is>
      </c>
      <c r="B26" s="27" t="inlineStr">
        <is>
          <t>映射</t>
        </is>
      </c>
      <c r="C26" s="28" t="inlineStr">
        <is>
          <t>5类型共用</t>
        </is>
      </c>
      <c r="D26" s="28" t="inlineStr">
        <is>
          <t>难度22</t>
        </is>
      </c>
      <c r="E26" s="28" t="inlineStr">
        <is>
          <t>250221;250222;250223;250224;250225</t>
        </is>
      </c>
      <c r="F26" s="27" t="inlineStr">
        <is>
          <t>装备副本Boss</t>
        </is>
      </c>
      <c r="G26" s="37" t="n">
        <v>200</v>
      </c>
      <c r="H26" s="38" t="n"/>
      <c r="I26" s="39">
        <f>IF($H26="",$G26,$H26)</f>
        <v/>
      </c>
      <c r="J26" s="48">
        <f>映射等级节点!C23</f>
        <v/>
      </c>
      <c r="K26" s="72" t="n">
        <v>1.00339828561656</v>
      </c>
      <c r="L26" s="72" t="n">
        <v>0.990370075015221</v>
      </c>
      <c r="M26" s="72" t="n">
        <v>1</v>
      </c>
      <c r="N26" s="73" t="n"/>
      <c r="O26" s="73" t="n"/>
      <c r="P26" s="73" t="n"/>
      <c r="Q26" s="74">
        <f>IF($I26="","",IFERROR(INDEX(_玩家曲线!$H$2:$H$286,MATCH($I26,_玩家曲线!$A$2:$A$286,0)),""))</f>
        <v/>
      </c>
      <c r="R26" s="74">
        <f>IF($I26="","",IFERROR(INDEX(_玩家曲线!$I$2:$I$286,MATCH($I26,_玩家曲线!$A$2:$A$286,0)),""))</f>
        <v/>
      </c>
      <c r="S26" s="74">
        <f>IF(OR($J26="",$F26="不适用"),"",IFERROR(INDEX(_怪物模型!$D$2:$D$4501,(INT($J26)-1)*ROWS(_怪物类型!$A$2:$A$10)+MATCH($F26,_怪物类型!$A$2:$A$10,0))*IF($K26="",1,$K26),""))</f>
        <v/>
      </c>
      <c r="T26" s="74">
        <f>IF(OR($J26="",$F26="不适用"),"",IFERROR(INDEX(_怪物模型!$E$2:$E$4501,(INT($J26)-1)*ROWS(_怪物类型!$A$2:$A$10)+MATCH($F26,_怪物类型!$A$2:$A$10,0))*IF($L26="",1,$L26),""))</f>
        <v/>
      </c>
      <c r="U26" s="74">
        <f>IF(OR($J26="",$F26="不适用"),"",IFERROR(INDEX(_怪物模型!$F$2:$F$4501,(INT($J26)-1)*ROWS(_怪物类型!$A$2:$A$10)+MATCH($F26,_怪物类型!$A$2:$A$10,0))*IF($M26="",1,$M26),""))</f>
        <v/>
      </c>
      <c r="V26" s="75">
        <f>IF($U26="","",MIN(0.75,$U26/($U26+24000)))</f>
        <v/>
      </c>
      <c r="W26" s="76">
        <f>IF($S26="","",$S26/(1-$V26)*IF($N26="",1,$N26))</f>
        <v/>
      </c>
      <c r="X26" s="76">
        <f>IF(OR($W26="",$Q26="",$Q26=0),"",$W26/$Q26)</f>
        <v/>
      </c>
      <c r="Y26" s="76">
        <f>IF(OR($R26="",$T26="",$T26=0),"",$R26/($T26*IF($O26="",1,$O26)))</f>
        <v/>
      </c>
      <c r="Z26" s="77">
        <f>IF(OR($X26="",$P26="",$P26=0),"",$X26/$P26)</f>
        <v/>
      </c>
      <c r="AA26" s="27">
        <f>IF($J26="","待填怪物等级",IF(OR($I26="",$Q26=""),"待填对照关卡",IF($P26="","已计算",IF(AND($Y26&lt;&gt;"",$Y26&lt;$X26),"生存不成立",IF($Z26&lt;0.5,"碾压",IF($Z26&lt;0.8,"偏简单",IF($Z26&lt;=1.2,"适中",IF($Z26&lt;=1.5,"偏难","过难"))))))))</f>
        <v/>
      </c>
      <c r="AB26" s="27">
        <f>IF($J26="","待填",IF(AND(ISNUMBER($J26),$J26&gt;=1,$J26&lt;=500,MOD($J26,1)=0),"有效","超范围"))</f>
        <v/>
      </c>
      <c r="AC26" s="27">
        <f>IF(OR($J26="",ROW()=5,$B26&lt;&gt;$B25,$J25=""),"",IF($J26&lt;$J25,"下降",""))</f>
        <v/>
      </c>
      <c r="AD26" s="28" t="inlineStr">
        <is>
          <t>2026-08-27 新玩家节点曲线校准；对照S200；等级222→206；保留原难度定位。｜2026-09-14 等级带重排：40→330（幂0.85前快后慢），K/L与对照G不变；AE按60s/20s反查重算。｜2026-09-14 修订：难度10锚点120，两段幂曲线（40→120幂0.85前快后慢，120→330幂1.05微加速）。</t>
        </is>
      </c>
      <c r="AE26" t="n">
        <v>445000</v>
      </c>
      <c r="AF26">
        <f>INDEX(_统一战力!$B$2:$B$501,J26)</f>
        <v/>
      </c>
      <c r="AG26">
        <f>IF(INDEX(_统一战力!$D$2:$D$280,MATCH(I26,_统一战力!$C$2:$C$280,0))&gt;0,ROUND(INDEX(_统一战力!$D$2:$D$280,MATCH(I26,_统一战力!$C$2:$C$280,0)),-MAX(0,INT(LOG10(INDEX(_统一战力!$D$2:$D$280,MATCH(I26,_统一战力!$C$2:$C$280,0))))-2)),0)</f>
        <v/>
      </c>
      <c r="AH26" s="17">
        <f>推荐战力参数!$B$4</f>
        <v/>
      </c>
      <c r="AI26">
        <f>AG26*AH26</f>
        <v/>
      </c>
    </row>
    <row r="27" ht="25" customHeight="1">
      <c r="A27" s="27" t="inlineStr">
        <is>
          <t>当前配置</t>
        </is>
      </c>
      <c r="B27" s="27" t="inlineStr">
        <is>
          <t>映射</t>
        </is>
      </c>
      <c r="C27" s="28" t="inlineStr">
        <is>
          <t>5类型共用</t>
        </is>
      </c>
      <c r="D27" s="28" t="inlineStr">
        <is>
          <t>难度23</t>
        </is>
      </c>
      <c r="E27" s="28" t="inlineStr">
        <is>
          <t>250231;250232;250233;250234;250235</t>
        </is>
      </c>
      <c r="F27" s="27" t="inlineStr">
        <is>
          <t>装备副本Boss</t>
        </is>
      </c>
      <c r="G27" s="37" t="n">
        <v>210</v>
      </c>
      <c r="H27" s="38" t="n"/>
      <c r="I27" s="39">
        <f>IF($H27="",$G27,$H27)</f>
        <v/>
      </c>
      <c r="J27" s="48">
        <f>映射等级节点!C24</f>
        <v/>
      </c>
      <c r="K27" s="72" t="n">
        <v>0.991291585353962</v>
      </c>
      <c r="L27" s="72" t="n">
        <v>1.0047303418767</v>
      </c>
      <c r="M27" s="72" t="n">
        <v>1</v>
      </c>
      <c r="N27" s="73" t="n"/>
      <c r="O27" s="73" t="n"/>
      <c r="P27" s="73" t="n"/>
      <c r="Q27" s="74">
        <f>IF($I27="","",IFERROR(INDEX(_玩家曲线!$H$2:$H$286,MATCH($I27,_玩家曲线!$A$2:$A$286,0)),""))</f>
        <v/>
      </c>
      <c r="R27" s="74">
        <f>IF($I27="","",IFERROR(INDEX(_玩家曲线!$I$2:$I$286,MATCH($I27,_玩家曲线!$A$2:$A$286,0)),""))</f>
        <v/>
      </c>
      <c r="S27" s="74">
        <f>IF(OR($J27="",$F27="不适用"),"",IFERROR(INDEX(_怪物模型!$D$2:$D$4501,(INT($J27)-1)*ROWS(_怪物类型!$A$2:$A$10)+MATCH($F27,_怪物类型!$A$2:$A$10,0))*IF($K27="",1,$K27),""))</f>
        <v/>
      </c>
      <c r="T27" s="74">
        <f>IF(OR($J27="",$F27="不适用"),"",IFERROR(INDEX(_怪物模型!$E$2:$E$4501,(INT($J27)-1)*ROWS(_怪物类型!$A$2:$A$10)+MATCH($F27,_怪物类型!$A$2:$A$10,0))*IF($L27="",1,$L27),""))</f>
        <v/>
      </c>
      <c r="U27" s="74">
        <f>IF(OR($J27="",$F27="不适用"),"",IFERROR(INDEX(_怪物模型!$F$2:$F$4501,(INT($J27)-1)*ROWS(_怪物类型!$A$2:$A$10)+MATCH($F27,_怪物类型!$A$2:$A$10,0))*IF($M27="",1,$M27),""))</f>
        <v/>
      </c>
      <c r="V27" s="75">
        <f>IF($U27="","",MIN(0.75,$U27/($U27+24000)))</f>
        <v/>
      </c>
      <c r="W27" s="76">
        <f>IF($S27="","",$S27/(1-$V27)*IF($N27="",1,$N27))</f>
        <v/>
      </c>
      <c r="X27" s="76">
        <f>IF(OR($W27="",$Q27="",$Q27=0),"",$W27/$Q27)</f>
        <v/>
      </c>
      <c r="Y27" s="76">
        <f>IF(OR($R27="",$T27="",$T27=0),"",$R27/($T27*IF($O27="",1,$O27)))</f>
        <v/>
      </c>
      <c r="Z27" s="77">
        <f>IF(OR($X27="",$P27="",$P27=0),"",$X27/$P27)</f>
        <v/>
      </c>
      <c r="AA27" s="27">
        <f>IF($J27="","待填怪物等级",IF(OR($I27="",$Q27=""),"待填对照关卡",IF($P27="","已计算",IF(AND($Y27&lt;&gt;"",$Y27&lt;$X27),"生存不成立",IF($Z27&lt;0.5,"碾压",IF($Z27&lt;0.8,"偏简单",IF($Z27&lt;=1.2,"适中",IF($Z27&lt;=1.5,"偏难","过难"))))))))</f>
        <v/>
      </c>
      <c r="AB27" s="27">
        <f>IF($J27="","待填",IF(AND(ISNUMBER($J27),$J27&gt;=1,$J27&lt;=500,MOD($J27,1)=0),"有效","超范围"))</f>
        <v/>
      </c>
      <c r="AC27" s="27">
        <f>IF(OR($J27="",ROW()=5,$B27&lt;&gt;$B26,$J26=""),"",IF($J27&lt;$J26,"下降",""))</f>
        <v/>
      </c>
      <c r="AD27" s="28" t="inlineStr">
        <is>
          <t>2026-08-27 新玩家节点曲线校准；对照S210；等级231→218；保留原难度定位。｜2026-09-14 等级带重排：40→330（幂0.85前快后慢），K/L与对照G不变；AE按60s/20s反查重算。｜2026-09-14 修订：难度10锚点120，两段幂曲线（40→120幂0.85前快后慢，120→330幂1.05微加速）。</t>
        </is>
      </c>
      <c r="AE27" t="n">
        <v>492000</v>
      </c>
      <c r="AF27">
        <f>INDEX(_统一战力!$B$2:$B$501,J27)</f>
        <v/>
      </c>
      <c r="AG27">
        <f>IF(INDEX(_统一战力!$D$2:$D$280,MATCH(I27,_统一战力!$C$2:$C$280,0))&gt;0,ROUND(INDEX(_统一战力!$D$2:$D$280,MATCH(I27,_统一战力!$C$2:$C$280,0)),-MAX(0,INT(LOG10(INDEX(_统一战力!$D$2:$D$280,MATCH(I27,_统一战力!$C$2:$C$280,0))))-2)),0)</f>
        <v/>
      </c>
      <c r="AH27" s="17">
        <f>推荐战力参数!$B$4</f>
        <v/>
      </c>
      <c r="AI27">
        <f>AG27*AH27</f>
        <v/>
      </c>
    </row>
    <row r="28" ht="25" customHeight="1">
      <c r="A28" s="27" t="inlineStr">
        <is>
          <t>当前配置</t>
        </is>
      </c>
      <c r="B28" s="27" t="inlineStr">
        <is>
          <t>映射</t>
        </is>
      </c>
      <c r="C28" s="28" t="inlineStr">
        <is>
          <t>5类型共用</t>
        </is>
      </c>
      <c r="D28" s="28" t="inlineStr">
        <is>
          <t>难度24</t>
        </is>
      </c>
      <c r="E28" s="28" t="inlineStr">
        <is>
          <t>250241;250242;250243;250244;250245</t>
        </is>
      </c>
      <c r="F28" s="27" t="inlineStr">
        <is>
          <t>装备副本Boss</t>
        </is>
      </c>
      <c r="G28" s="37" t="n">
        <v>219</v>
      </c>
      <c r="H28" s="38" t="n"/>
      <c r="I28" s="39">
        <f>IF($H28="",$G28,$H28)</f>
        <v/>
      </c>
      <c r="J28" s="48">
        <f>映射等级节点!C25</f>
        <v/>
      </c>
      <c r="K28" s="72" t="n">
        <v>0.993693814058289</v>
      </c>
      <c r="L28" s="72" t="n">
        <v>1.02565018242229</v>
      </c>
      <c r="M28" s="72" t="n">
        <v>1</v>
      </c>
      <c r="N28" s="73" t="n"/>
      <c r="O28" s="73" t="n"/>
      <c r="P28" s="73" t="n"/>
      <c r="Q28" s="74">
        <f>IF($I28="","",IFERROR(INDEX(_玩家曲线!$H$2:$H$286,MATCH($I28,_玩家曲线!$A$2:$A$286,0)),""))</f>
        <v/>
      </c>
      <c r="R28" s="74">
        <f>IF($I28="","",IFERROR(INDEX(_玩家曲线!$I$2:$I$286,MATCH($I28,_玩家曲线!$A$2:$A$286,0)),""))</f>
        <v/>
      </c>
      <c r="S28" s="74">
        <f>IF(OR($J28="",$F28="不适用"),"",IFERROR(INDEX(_怪物模型!$D$2:$D$4501,(INT($J28)-1)*ROWS(_怪物类型!$A$2:$A$10)+MATCH($F28,_怪物类型!$A$2:$A$10,0))*IF($K28="",1,$K28),""))</f>
        <v/>
      </c>
      <c r="T28" s="74">
        <f>IF(OR($J28="",$F28="不适用"),"",IFERROR(INDEX(_怪物模型!$E$2:$E$4501,(INT($J28)-1)*ROWS(_怪物类型!$A$2:$A$10)+MATCH($F28,_怪物类型!$A$2:$A$10,0))*IF($L28="",1,$L28),""))</f>
        <v/>
      </c>
      <c r="U28" s="74">
        <f>IF(OR($J28="",$F28="不适用"),"",IFERROR(INDEX(_怪物模型!$F$2:$F$4501,(INT($J28)-1)*ROWS(_怪物类型!$A$2:$A$10)+MATCH($F28,_怪物类型!$A$2:$A$10,0))*IF($M28="",1,$M28),""))</f>
        <v/>
      </c>
      <c r="V28" s="75">
        <f>IF($U28="","",MIN(0.75,$U28/($U28+24000)))</f>
        <v/>
      </c>
      <c r="W28" s="76">
        <f>IF($S28="","",$S28/(1-$V28)*IF($N28="",1,$N28))</f>
        <v/>
      </c>
      <c r="X28" s="76">
        <f>IF(OR($W28="",$Q28="",$Q28=0),"",$W28/$Q28)</f>
        <v/>
      </c>
      <c r="Y28" s="76">
        <f>IF(OR($R28="",$T28="",$T28=0),"",$R28/($T28*IF($O28="",1,$O28)))</f>
        <v/>
      </c>
      <c r="Z28" s="77">
        <f>IF(OR($X28="",$P28="",$P28=0),"",$X28/$P28)</f>
        <v/>
      </c>
      <c r="AA28" s="27">
        <f>IF($J28="","待填怪物等级",IF(OR($I28="",$Q28=""),"待填对照关卡",IF($P28="","已计算",IF(AND($Y28&lt;&gt;"",$Y28&lt;$X28),"生存不成立",IF($Z28&lt;0.5,"碾压",IF($Z28&lt;0.8,"偏简单",IF($Z28&lt;=1.2,"适中",IF($Z28&lt;=1.5,"偏难","过难"))))))))</f>
        <v/>
      </c>
      <c r="AB28" s="27">
        <f>IF($J28="","待填",IF(AND(ISNUMBER($J28),$J28&gt;=1,$J28&lt;=500,MOD($J28,1)=0),"有效","超范围"))</f>
        <v/>
      </c>
      <c r="AC28" s="27">
        <f>IF(OR($J28="",ROW()=5,$B28&lt;&gt;$B27,$J27=""),"",IF($J28&lt;$J27,"下降",""))</f>
        <v/>
      </c>
      <c r="AD28" s="28" t="inlineStr">
        <is>
          <t>2026-08-27 新玩家节点曲线校准；对照S219；等级240→229；保留原难度定位。｜2026-09-14 等级带重排：40→330（幂0.85前快后慢），K/L与对照G不变；AE按60s/20s反查重算。｜2026-09-14 修订：难度10锚点120，两段幂曲线（40→120幂0.85前快后慢，120→330幂1.05微加速）。</t>
        </is>
      </c>
      <c r="AE28" t="n">
        <v>552000</v>
      </c>
      <c r="AF28">
        <f>INDEX(_统一战力!$B$2:$B$501,J28)</f>
        <v/>
      </c>
      <c r="AG28">
        <f>IF(INDEX(_统一战力!$D$2:$D$280,MATCH(I28,_统一战力!$C$2:$C$280,0))&gt;0,ROUND(INDEX(_统一战力!$D$2:$D$280,MATCH(I28,_统一战力!$C$2:$C$280,0)),-MAX(0,INT(LOG10(INDEX(_统一战力!$D$2:$D$280,MATCH(I28,_统一战力!$C$2:$C$280,0))))-2)),0)</f>
        <v/>
      </c>
      <c r="AH28" s="17">
        <f>推荐战力参数!$B$4</f>
        <v/>
      </c>
      <c r="AI28">
        <f>AG28*AH28</f>
        <v/>
      </c>
    </row>
    <row r="29" ht="25" customHeight="1">
      <c r="A29" s="27" t="inlineStr">
        <is>
          <t>当前配置</t>
        </is>
      </c>
      <c r="B29" s="27" t="inlineStr">
        <is>
          <t>映射</t>
        </is>
      </c>
      <c r="C29" s="28" t="inlineStr">
        <is>
          <t>5类型共用</t>
        </is>
      </c>
      <c r="D29" s="28" t="inlineStr">
        <is>
          <t>难度25</t>
        </is>
      </c>
      <c r="E29" s="28" t="inlineStr">
        <is>
          <t>250251;250252;250253;250254;250255</t>
        </is>
      </c>
      <c r="F29" s="27" t="inlineStr">
        <is>
          <t>装备副本Boss</t>
        </is>
      </c>
      <c r="G29" s="37" t="n">
        <v>229</v>
      </c>
      <c r="H29" s="38" t="n"/>
      <c r="I29" s="39">
        <f>IF($H29="",$G29,$H29)</f>
        <v/>
      </c>
      <c r="J29" s="48">
        <f>映射等级节点!C26</f>
        <v/>
      </c>
      <c r="K29" s="72" t="n">
        <v>0.986320932671804</v>
      </c>
      <c r="L29" s="72" t="n">
        <v>1.04120234772454</v>
      </c>
      <c r="M29" s="72" t="n">
        <v>1</v>
      </c>
      <c r="N29" s="73" t="n"/>
      <c r="O29" s="73" t="n"/>
      <c r="P29" s="73" t="n"/>
      <c r="Q29" s="74">
        <f>IF($I29="","",IFERROR(INDEX(_玩家曲线!$H$2:$H$286,MATCH($I29,_玩家曲线!$A$2:$A$286,0)),""))</f>
        <v/>
      </c>
      <c r="R29" s="74">
        <f>IF($I29="","",IFERROR(INDEX(_玩家曲线!$I$2:$I$286,MATCH($I29,_玩家曲线!$A$2:$A$286,0)),""))</f>
        <v/>
      </c>
      <c r="S29" s="74">
        <f>IF(OR($J29="",$F29="不适用"),"",IFERROR(INDEX(_怪物模型!$D$2:$D$4501,(INT($J29)-1)*ROWS(_怪物类型!$A$2:$A$10)+MATCH($F29,_怪物类型!$A$2:$A$10,0))*IF($K29="",1,$K29),""))</f>
        <v/>
      </c>
      <c r="T29" s="74">
        <f>IF(OR($J29="",$F29="不适用"),"",IFERROR(INDEX(_怪物模型!$E$2:$E$4501,(INT($J29)-1)*ROWS(_怪物类型!$A$2:$A$10)+MATCH($F29,_怪物类型!$A$2:$A$10,0))*IF($L29="",1,$L29),""))</f>
        <v/>
      </c>
      <c r="U29" s="74">
        <f>IF(OR($J29="",$F29="不适用"),"",IFERROR(INDEX(_怪物模型!$F$2:$F$4501,(INT($J29)-1)*ROWS(_怪物类型!$A$2:$A$10)+MATCH($F29,_怪物类型!$A$2:$A$10,0))*IF($M29="",1,$M29),""))</f>
        <v/>
      </c>
      <c r="V29" s="75">
        <f>IF($U29="","",MIN(0.75,$U29/($U29+24000)))</f>
        <v/>
      </c>
      <c r="W29" s="76">
        <f>IF($S29="","",$S29/(1-$V29)*IF($N29="",1,$N29))</f>
        <v/>
      </c>
      <c r="X29" s="76">
        <f>IF(OR($W29="",$Q29="",$Q29=0),"",$W29/$Q29)</f>
        <v/>
      </c>
      <c r="Y29" s="76">
        <f>IF(OR($R29="",$T29="",$T29=0),"",$R29/($T29*IF($O29="",1,$O29)))</f>
        <v/>
      </c>
      <c r="Z29" s="77">
        <f>IF(OR($X29="",$P29="",$P29=0),"",$X29/$P29)</f>
        <v/>
      </c>
      <c r="AA29" s="27">
        <f>IF($J29="","待填怪物等级",IF(OR($I29="",$Q29=""),"待填对照关卡",IF($P29="","已计算",IF(AND($Y29&lt;&gt;"",$Y29&lt;$X29),"生存不成立",IF($Z29&lt;0.5,"碾压",IF($Z29&lt;0.8,"偏简单",IF($Z29&lt;=1.2,"适中",IF($Z29&lt;=1.5,"偏难","过难"))))))))</f>
        <v/>
      </c>
      <c r="AB29" s="27">
        <f>IF($J29="","待填",IF(AND(ISNUMBER($J29),$J29&gt;=1,$J29&lt;=500,MOD($J29,1)=0),"有效","超范围"))</f>
        <v/>
      </c>
      <c r="AC29" s="27">
        <f>IF(OR($J29="",ROW()=5,$B29&lt;&gt;$B28,$J28=""),"",IF($J29&lt;$J28,"下降",""))</f>
        <v/>
      </c>
      <c r="AD29" s="28" t="inlineStr">
        <is>
          <t>2026-08-27 新玩家节点曲线校准；对照S229；等级249→241；保留原难度定位。｜2026-09-14 等级带重排：40→330（幂0.85前快后慢），K/L与对照G不变；AE按60s/20s反查重算。｜2026-09-14 修订：难度10锚点120，两段幂曲线（40→120幂0.85前快后慢，120→330幂1.05微加速）。</t>
        </is>
      </c>
      <c r="AE29" t="n">
        <v>613000</v>
      </c>
      <c r="AF29">
        <f>INDEX(_统一战力!$B$2:$B$501,J29)</f>
        <v/>
      </c>
      <c r="AG29">
        <f>IF(INDEX(_统一战力!$D$2:$D$280,MATCH(I29,_统一战力!$C$2:$C$280,0))&gt;0,ROUND(INDEX(_统一战力!$D$2:$D$280,MATCH(I29,_统一战力!$C$2:$C$280,0)),-MAX(0,INT(LOG10(INDEX(_统一战力!$D$2:$D$280,MATCH(I29,_统一战力!$C$2:$C$280,0))))-2)),0)</f>
        <v/>
      </c>
      <c r="AH29" s="17">
        <f>推荐战力参数!$B$4</f>
        <v/>
      </c>
      <c r="AI29">
        <f>AG29*AH29</f>
        <v/>
      </c>
    </row>
    <row r="30" ht="25" customHeight="1">
      <c r="A30" s="27" t="inlineStr">
        <is>
          <t>当前配置</t>
        </is>
      </c>
      <c r="B30" s="27" t="inlineStr">
        <is>
          <t>映射</t>
        </is>
      </c>
      <c r="C30" s="28" t="inlineStr">
        <is>
          <t>5类型共用</t>
        </is>
      </c>
      <c r="D30" s="28" t="inlineStr">
        <is>
          <t>难度26</t>
        </is>
      </c>
      <c r="E30" s="28" t="inlineStr">
        <is>
          <t>250261;250262;250263;250264;250265</t>
        </is>
      </c>
      <c r="F30" s="27" t="inlineStr">
        <is>
          <t>装备副本Boss</t>
        </is>
      </c>
      <c r="G30" s="37" t="n">
        <v>239</v>
      </c>
      <c r="H30" s="38" t="n"/>
      <c r="I30" s="39">
        <f>IF($H30="",$G30,$H30)</f>
        <v/>
      </c>
      <c r="J30" s="48">
        <f>映射等级节点!C27</f>
        <v/>
      </c>
      <c r="K30" s="72" t="n">
        <v>0.9818951925998179</v>
      </c>
      <c r="L30" s="72" t="n">
        <v>1.0592137273962</v>
      </c>
      <c r="M30" s="72" t="n">
        <v>1</v>
      </c>
      <c r="N30" s="73" t="n"/>
      <c r="O30" s="73" t="n"/>
      <c r="P30" s="73" t="n"/>
      <c r="Q30" s="74">
        <f>IF($I30="","",IFERROR(INDEX(_玩家曲线!$H$2:$H$286,MATCH($I30,_玩家曲线!$A$2:$A$286,0)),""))</f>
        <v/>
      </c>
      <c r="R30" s="74">
        <f>IF($I30="","",IFERROR(INDEX(_玩家曲线!$I$2:$I$286,MATCH($I30,_玩家曲线!$A$2:$A$286,0)),""))</f>
        <v/>
      </c>
      <c r="S30" s="74">
        <f>IF(OR($J30="",$F30="不适用"),"",IFERROR(INDEX(_怪物模型!$D$2:$D$4501,(INT($J30)-1)*ROWS(_怪物类型!$A$2:$A$10)+MATCH($F30,_怪物类型!$A$2:$A$10,0))*IF($K30="",1,$K30),""))</f>
        <v/>
      </c>
      <c r="T30" s="74">
        <f>IF(OR($J30="",$F30="不适用"),"",IFERROR(INDEX(_怪物模型!$E$2:$E$4501,(INT($J30)-1)*ROWS(_怪物类型!$A$2:$A$10)+MATCH($F30,_怪物类型!$A$2:$A$10,0))*IF($L30="",1,$L30),""))</f>
        <v/>
      </c>
      <c r="U30" s="74">
        <f>IF(OR($J30="",$F30="不适用"),"",IFERROR(INDEX(_怪物模型!$F$2:$F$4501,(INT($J30)-1)*ROWS(_怪物类型!$A$2:$A$10)+MATCH($F30,_怪物类型!$A$2:$A$10,0))*IF($M30="",1,$M30),""))</f>
        <v/>
      </c>
      <c r="V30" s="75">
        <f>IF($U30="","",MIN(0.75,$U30/($U30+24000)))</f>
        <v/>
      </c>
      <c r="W30" s="76">
        <f>IF($S30="","",$S30/(1-$V30)*IF($N30="",1,$N30))</f>
        <v/>
      </c>
      <c r="X30" s="76">
        <f>IF(OR($W30="",$Q30="",$Q30=0),"",$W30/$Q30)</f>
        <v/>
      </c>
      <c r="Y30" s="76">
        <f>IF(OR($R30="",$T30="",$T30=0),"",$R30/($T30*IF($O30="",1,$O30)))</f>
        <v/>
      </c>
      <c r="Z30" s="77">
        <f>IF(OR($X30="",$P30="",$P30=0),"",$X30/$P30)</f>
        <v/>
      </c>
      <c r="AA30" s="27">
        <f>IF($J30="","待填怪物等级",IF(OR($I30="",$Q30=""),"待填对照关卡",IF($P30="","已计算",IF(AND($Y30&lt;&gt;"",$Y30&lt;$X30),"生存不成立",IF($Z30&lt;0.5,"碾压",IF($Z30&lt;0.8,"偏简单",IF($Z30&lt;=1.2,"适中",IF($Z30&lt;=1.5,"偏难","过难"))))))))</f>
        <v/>
      </c>
      <c r="AB30" s="27">
        <f>IF($J30="","待填",IF(AND(ISNUMBER($J30),$J30&gt;=1,$J30&lt;=500,MOD($J30,1)=0),"有效","超范围"))</f>
        <v/>
      </c>
      <c r="AC30" s="27">
        <f>IF(OR($J30="",ROW()=5,$B30&lt;&gt;$B29,$J29=""),"",IF($J30&lt;$J29,"下降",""))</f>
        <v/>
      </c>
      <c r="AD30" s="28" t="inlineStr">
        <is>
          <t>2026-08-27 新玩家节点曲线校准；对照S239；等级259→254；保留原难度定位。｜2026-09-14 等级带重排：40→330（幂0.85前快后慢），K/L与对照G不变；AE按60s/20s反查重算。｜2026-09-14 修订：难度10锚点120，两段幂曲线（40→120幂0.85前快后慢，120→330幂1.05微加速）。</t>
        </is>
      </c>
      <c r="AE30" t="n">
        <v>686000</v>
      </c>
      <c r="AF30">
        <f>INDEX(_统一战力!$B$2:$B$501,J30)</f>
        <v/>
      </c>
      <c r="AG30">
        <f>IF(INDEX(_统一战力!$D$2:$D$280,MATCH(I30,_统一战力!$C$2:$C$280,0))&gt;0,ROUND(INDEX(_统一战力!$D$2:$D$280,MATCH(I30,_统一战力!$C$2:$C$280,0)),-MAX(0,INT(LOG10(INDEX(_统一战力!$D$2:$D$280,MATCH(I30,_统一战力!$C$2:$C$280,0))))-2)),0)</f>
        <v/>
      </c>
      <c r="AH30" s="17">
        <f>推荐战力参数!$B$4</f>
        <v/>
      </c>
      <c r="AI30">
        <f>AG30*AH30</f>
        <v/>
      </c>
    </row>
    <row r="31" ht="25" customHeight="1">
      <c r="A31" s="27" t="inlineStr">
        <is>
          <t>当前配置</t>
        </is>
      </c>
      <c r="B31" s="27" t="inlineStr">
        <is>
          <t>映射</t>
        </is>
      </c>
      <c r="C31" s="28" t="inlineStr">
        <is>
          <t>5类型共用</t>
        </is>
      </c>
      <c r="D31" s="28" t="inlineStr">
        <is>
          <t>难度27</t>
        </is>
      </c>
      <c r="E31" s="28" t="inlineStr">
        <is>
          <t>250271;250272;250273;250274;250275</t>
        </is>
      </c>
      <c r="F31" s="27" t="inlineStr">
        <is>
          <t>装备副本Boss</t>
        </is>
      </c>
      <c r="G31" s="37" t="n">
        <v>249</v>
      </c>
      <c r="H31" s="38" t="n"/>
      <c r="I31" s="39">
        <f>IF($H31="",$G31,$H31)</f>
        <v/>
      </c>
      <c r="J31" s="48">
        <f>映射等级节点!C28</f>
        <v/>
      </c>
      <c r="K31" s="72" t="n">
        <v>0.980177379645643</v>
      </c>
      <c r="L31" s="72" t="n">
        <v>1.07696873232885</v>
      </c>
      <c r="M31" s="72" t="n">
        <v>1</v>
      </c>
      <c r="N31" s="73" t="n"/>
      <c r="O31" s="73" t="n"/>
      <c r="P31" s="73" t="n"/>
      <c r="Q31" s="74">
        <f>IF($I31="","",IFERROR(INDEX(_玩家曲线!$H$2:$H$286,MATCH($I31,_玩家曲线!$A$2:$A$286,0)),""))</f>
        <v/>
      </c>
      <c r="R31" s="74">
        <f>IF($I31="","",IFERROR(INDEX(_玩家曲线!$I$2:$I$286,MATCH($I31,_玩家曲线!$A$2:$A$286,0)),""))</f>
        <v/>
      </c>
      <c r="S31" s="74">
        <f>IF(OR($J31="",$F31="不适用"),"",IFERROR(INDEX(_怪物模型!$D$2:$D$4501,(INT($J31)-1)*ROWS(_怪物类型!$A$2:$A$10)+MATCH($F31,_怪物类型!$A$2:$A$10,0))*IF($K31="",1,$K31),""))</f>
        <v/>
      </c>
      <c r="T31" s="74">
        <f>IF(OR($J31="",$F31="不适用"),"",IFERROR(INDEX(_怪物模型!$E$2:$E$4501,(INT($J31)-1)*ROWS(_怪物类型!$A$2:$A$10)+MATCH($F31,_怪物类型!$A$2:$A$10,0))*IF($L31="",1,$L31),""))</f>
        <v/>
      </c>
      <c r="U31" s="74">
        <f>IF(OR($J31="",$F31="不适用"),"",IFERROR(INDEX(_怪物模型!$F$2:$F$4501,(INT($J31)-1)*ROWS(_怪物类型!$A$2:$A$10)+MATCH($F31,_怪物类型!$A$2:$A$10,0))*IF($M31="",1,$M31),""))</f>
        <v/>
      </c>
      <c r="V31" s="75">
        <f>IF($U31="","",MIN(0.75,$U31/($U31+24000)))</f>
        <v/>
      </c>
      <c r="W31" s="76">
        <f>IF($S31="","",$S31/(1-$V31)*IF($N31="",1,$N31))</f>
        <v/>
      </c>
      <c r="X31" s="76">
        <f>IF(OR($W31="",$Q31="",$Q31=0),"",$W31/$Q31)</f>
        <v/>
      </c>
      <c r="Y31" s="76">
        <f>IF(OR($R31="",$T31="",$T31=0),"",$R31/($T31*IF($O31="",1,$O31)))</f>
        <v/>
      </c>
      <c r="Z31" s="77">
        <f>IF(OR($X31="",$P31="",$P31=0),"",$X31/$P31)</f>
        <v/>
      </c>
      <c r="AA31" s="27">
        <f>IF($J31="","待填怪物等级",IF(OR($I31="",$Q31=""),"待填对照关卡",IF($P31="","已计算",IF(AND($Y31&lt;&gt;"",$Y31&lt;$X31),"生存不成立",IF($Z31&lt;0.5,"碾压",IF($Z31&lt;0.8,"偏简单",IF($Z31&lt;=1.2,"适中",IF($Z31&lt;=1.5,"偏难","过难"))))))))</f>
        <v/>
      </c>
      <c r="AB31" s="27">
        <f>IF($J31="","待填",IF(AND(ISNUMBER($J31),$J31&gt;=1,$J31&lt;=500,MOD($J31,1)=0),"有效","超范围"))</f>
        <v/>
      </c>
      <c r="AC31" s="27">
        <f>IF(OR($J31="",ROW()=5,$B31&lt;&gt;$B30,$J30=""),"",IF($J31&lt;$J30,"下降",""))</f>
        <v/>
      </c>
      <c r="AD31" s="28" t="inlineStr">
        <is>
          <t>2026-08-27 新玩家节点曲线校准；对照S249；等级268→266；保留原难度定位。｜2026-09-14 等级带重排：40→330（幂0.85前快后慢），K/L与对照G不变；AE按60s/20s反查重算。｜2026-09-14 修订：难度10锚点120，两段幂曲线（40→120幂0.85前快后慢，120→330幂1.05微加速）。</t>
        </is>
      </c>
      <c r="AE31" t="n">
        <v>760000</v>
      </c>
      <c r="AF31">
        <f>INDEX(_统一战力!$B$2:$B$501,J31)</f>
        <v/>
      </c>
      <c r="AG31">
        <f>IF(INDEX(_统一战力!$D$2:$D$280,MATCH(I31,_统一战力!$C$2:$C$280,0))&gt;0,ROUND(INDEX(_统一战力!$D$2:$D$280,MATCH(I31,_统一战力!$C$2:$C$280,0)),-MAX(0,INT(LOG10(INDEX(_统一战力!$D$2:$D$280,MATCH(I31,_统一战力!$C$2:$C$280,0))))-2)),0)</f>
        <v/>
      </c>
      <c r="AH31" s="17">
        <f>推荐战力参数!$B$4</f>
        <v/>
      </c>
      <c r="AI31">
        <f>AG31*AH31</f>
        <v/>
      </c>
    </row>
    <row r="32" ht="25" customHeight="1">
      <c r="A32" s="27" t="inlineStr">
        <is>
          <t>当前配置</t>
        </is>
      </c>
      <c r="B32" s="27" t="inlineStr">
        <is>
          <t>映射</t>
        </is>
      </c>
      <c r="C32" s="28" t="inlineStr">
        <is>
          <t>5类型共用</t>
        </is>
      </c>
      <c r="D32" s="28" t="inlineStr">
        <is>
          <t>难度28</t>
        </is>
      </c>
      <c r="E32" s="28" t="inlineStr">
        <is>
          <t>250281;250282;250283;250284;250285</t>
        </is>
      </c>
      <c r="F32" s="27" t="inlineStr">
        <is>
          <t>装备副本Boss</t>
        </is>
      </c>
      <c r="G32" s="37" t="n">
        <v>259</v>
      </c>
      <c r="H32" s="38" t="n"/>
      <c r="I32" s="39">
        <f>IF($H32="",$G32,$H32)</f>
        <v/>
      </c>
      <c r="J32" s="48">
        <f>映射等级节点!C29</f>
        <v/>
      </c>
      <c r="K32" s="72" t="n">
        <v>0.966628607471665</v>
      </c>
      <c r="L32" s="72" t="n">
        <v>1.08685322087678</v>
      </c>
      <c r="M32" s="72" t="n">
        <v>1</v>
      </c>
      <c r="N32" s="73" t="n"/>
      <c r="O32" s="73" t="n"/>
      <c r="P32" s="73" t="n"/>
      <c r="Q32" s="74">
        <f>IF($I32="","",IFERROR(INDEX(_玩家曲线!$H$2:$H$286,MATCH($I32,_玩家曲线!$A$2:$A$286,0)),""))</f>
        <v/>
      </c>
      <c r="R32" s="74">
        <f>IF($I32="","",IFERROR(INDEX(_玩家曲线!$I$2:$I$286,MATCH($I32,_玩家曲线!$A$2:$A$286,0)),""))</f>
        <v/>
      </c>
      <c r="S32" s="74">
        <f>IF(OR($J32="",$F32="不适用"),"",IFERROR(INDEX(_怪物模型!$D$2:$D$4501,(INT($J32)-1)*ROWS(_怪物类型!$A$2:$A$10)+MATCH($F32,_怪物类型!$A$2:$A$10,0))*IF($K32="",1,$K32),""))</f>
        <v/>
      </c>
      <c r="T32" s="74">
        <f>IF(OR($J32="",$F32="不适用"),"",IFERROR(INDEX(_怪物模型!$E$2:$E$4501,(INT($J32)-1)*ROWS(_怪物类型!$A$2:$A$10)+MATCH($F32,_怪物类型!$A$2:$A$10,0))*IF($L32="",1,$L32),""))</f>
        <v/>
      </c>
      <c r="U32" s="74">
        <f>IF(OR($J32="",$F32="不适用"),"",IFERROR(INDEX(_怪物模型!$F$2:$F$4501,(INT($J32)-1)*ROWS(_怪物类型!$A$2:$A$10)+MATCH($F32,_怪物类型!$A$2:$A$10,0))*IF($M32="",1,$M32),""))</f>
        <v/>
      </c>
      <c r="V32" s="75">
        <f>IF($U32="","",MIN(0.75,$U32/($U32+24000)))</f>
        <v/>
      </c>
      <c r="W32" s="76">
        <f>IF($S32="","",$S32/(1-$V32)*IF($N32="",1,$N32))</f>
        <v/>
      </c>
      <c r="X32" s="76">
        <f>IF(OR($W32="",$Q32="",$Q32=0),"",$W32/$Q32)</f>
        <v/>
      </c>
      <c r="Y32" s="76">
        <f>IF(OR($R32="",$T32="",$T32=0),"",$R32/($T32*IF($O32="",1,$O32)))</f>
        <v/>
      </c>
      <c r="Z32" s="77">
        <f>IF(OR($X32="",$P32="",$P32=0),"",$X32/$P32)</f>
        <v/>
      </c>
      <c r="AA32" s="27">
        <f>IF($J32="","待填怪物等级",IF(OR($I32="",$Q32=""),"待填对照关卡",IF($P32="","已计算",IF(AND($Y32&lt;&gt;"",$Y32&lt;$X32),"生存不成立",IF($Z32&lt;0.5,"碾压",IF($Z32&lt;0.8,"偏简单",IF($Z32&lt;=1.2,"适中",IF($Z32&lt;=1.5,"偏难","过难"))))))))</f>
        <v/>
      </c>
      <c r="AB32" s="27">
        <f>IF($J32="","待填",IF(AND(ISNUMBER($J32),$J32&gt;=1,$J32&lt;=500,MOD($J32,1)=0),"有效","超范围"))</f>
        <v/>
      </c>
      <c r="AC32" s="27">
        <f>IF(OR($J32="",ROW()=5,$B32&lt;&gt;$B31,$J31=""),"",IF($J32&lt;$J31,"下降",""))</f>
        <v/>
      </c>
      <c r="AD32" s="28" t="inlineStr">
        <is>
          <t>2026-08-27 新玩家节点曲线校准；对照S259；等级277→279；保留原难度定位。｜2026-09-14 等级带重排：40→330（幂0.85前快后慢），K/L与对照G不变；AE按60s/20s反查重算。｜2026-09-14 修订：难度10锚点120，两段幂曲线（40→120幂0.85前快后慢，120→330幂1.05微加速）。</t>
        </is>
      </c>
      <c r="AE32" t="n">
        <v>832000</v>
      </c>
      <c r="AF32">
        <f>INDEX(_统一战力!$B$2:$B$501,J32)</f>
        <v/>
      </c>
      <c r="AG32">
        <f>IF(INDEX(_统一战力!$D$2:$D$280,MATCH(I32,_统一战力!$C$2:$C$280,0))&gt;0,ROUND(INDEX(_统一战力!$D$2:$D$280,MATCH(I32,_统一战力!$C$2:$C$280,0)),-MAX(0,INT(LOG10(INDEX(_统一战力!$D$2:$D$280,MATCH(I32,_统一战力!$C$2:$C$280,0))))-2)),0)</f>
        <v/>
      </c>
      <c r="AH32" s="17">
        <f>推荐战力参数!$B$4</f>
        <v/>
      </c>
      <c r="AI32">
        <f>AG32*AH32</f>
        <v/>
      </c>
    </row>
    <row r="33" ht="25" customHeight="1">
      <c r="A33" s="27" t="inlineStr">
        <is>
          <t>当前配置</t>
        </is>
      </c>
      <c r="B33" s="27" t="inlineStr">
        <is>
          <t>映射</t>
        </is>
      </c>
      <c r="C33" s="28" t="inlineStr">
        <is>
          <t>5类型共用</t>
        </is>
      </c>
      <c r="D33" s="28" t="inlineStr">
        <is>
          <t>难度29</t>
        </is>
      </c>
      <c r="E33" s="28" t="inlineStr">
        <is>
          <t>250291;250292;250293;250294;250295</t>
        </is>
      </c>
      <c r="F33" s="27" t="inlineStr">
        <is>
          <t>装备副本Boss</t>
        </is>
      </c>
      <c r="G33" s="37" t="n">
        <v>269</v>
      </c>
      <c r="H33" s="38" t="n"/>
      <c r="I33" s="39">
        <f>IF($H33="",$G33,$H33)</f>
        <v/>
      </c>
      <c r="J33" s="48">
        <f>映射等级节点!C30</f>
        <v/>
      </c>
      <c r="K33" s="72" t="n">
        <v>0.968164059645081</v>
      </c>
      <c r="L33" s="72" t="n">
        <v>1.10635179727611</v>
      </c>
      <c r="M33" s="72" t="n">
        <v>1</v>
      </c>
      <c r="N33" s="73" t="n"/>
      <c r="O33" s="73" t="n"/>
      <c r="P33" s="73" t="n"/>
      <c r="Q33" s="74">
        <f>IF($I33="","",IFERROR(INDEX(_玩家曲线!$H$2:$H$286,MATCH($I33,_玩家曲线!$A$2:$A$286,0)),""))</f>
        <v/>
      </c>
      <c r="R33" s="74">
        <f>IF($I33="","",IFERROR(INDEX(_玩家曲线!$I$2:$I$286,MATCH($I33,_玩家曲线!$A$2:$A$286,0)),""))</f>
        <v/>
      </c>
      <c r="S33" s="74">
        <f>IF(OR($J33="",$F33="不适用"),"",IFERROR(INDEX(_怪物模型!$D$2:$D$4501,(INT($J33)-1)*ROWS(_怪物类型!$A$2:$A$10)+MATCH($F33,_怪物类型!$A$2:$A$10,0))*IF($K33="",1,$K33),""))</f>
        <v/>
      </c>
      <c r="T33" s="74">
        <f>IF(OR($J33="",$F33="不适用"),"",IFERROR(INDEX(_怪物模型!$E$2:$E$4501,(INT($J33)-1)*ROWS(_怪物类型!$A$2:$A$10)+MATCH($F33,_怪物类型!$A$2:$A$10,0))*IF($L33="",1,$L33),""))</f>
        <v/>
      </c>
      <c r="U33" s="74">
        <f>IF(OR($J33="",$F33="不适用"),"",IFERROR(INDEX(_怪物模型!$F$2:$F$4501,(INT($J33)-1)*ROWS(_怪物类型!$A$2:$A$10)+MATCH($F33,_怪物类型!$A$2:$A$10,0))*IF($M33="",1,$M33),""))</f>
        <v/>
      </c>
      <c r="V33" s="75">
        <f>IF($U33="","",MIN(0.75,$U33/($U33+24000)))</f>
        <v/>
      </c>
      <c r="W33" s="76">
        <f>IF($S33="","",$S33/(1-$V33)*IF($N33="",1,$N33))</f>
        <v/>
      </c>
      <c r="X33" s="76">
        <f>IF(OR($W33="",$Q33="",$Q33=0),"",$W33/$Q33)</f>
        <v/>
      </c>
      <c r="Y33" s="76">
        <f>IF(OR($R33="",$T33="",$T33=0),"",$R33/($T33*IF($O33="",1,$O33)))</f>
        <v/>
      </c>
      <c r="Z33" s="77">
        <f>IF(OR($X33="",$P33="",$P33=0),"",$X33/$P33)</f>
        <v/>
      </c>
      <c r="AA33" s="27">
        <f>IF($J33="","待填怪物等级",IF(OR($I33="",$Q33=""),"待填对照关卡",IF($P33="","已计算",IF(AND($Y33&lt;&gt;"",$Y33&lt;$X33),"生存不成立",IF($Z33&lt;0.5,"碾压",IF($Z33&lt;0.8,"偏简单",IF($Z33&lt;=1.2,"适中",IF($Z33&lt;=1.5,"偏难","过难"))))))))</f>
        <v/>
      </c>
      <c r="AB33" s="27">
        <f>IF($J33="","待填",IF(AND(ISNUMBER($J33),$J33&gt;=1,$J33&lt;=500,MOD($J33,1)=0),"有效","超范围"))</f>
        <v/>
      </c>
      <c r="AC33" s="27">
        <f>IF(OR($J33="",ROW()=5,$B33&lt;&gt;$B32,$J32=""),"",IF($J33&lt;$J32,"下降",""))</f>
        <v/>
      </c>
      <c r="AD33" s="28" t="inlineStr">
        <is>
          <t>2026-08-27 新玩家节点曲线校准；对照S269；等级287→292；保留原难度定位。｜2026-09-14 等级带重排：40→330（幂0.85前快后慢），K/L与对照G不变；AE按60s/20s反查重算。｜2026-09-14 修订：难度10锚点120，两段幂曲线（40→120幂0.85前快后慢，120→330幂1.05微加速）。</t>
        </is>
      </c>
      <c r="AE33" t="n">
        <v>924000</v>
      </c>
      <c r="AF33">
        <f>INDEX(_统一战力!$B$2:$B$501,J33)</f>
        <v/>
      </c>
      <c r="AG33">
        <f>IF(INDEX(_统一战力!$D$2:$D$280,MATCH(I33,_统一战力!$C$2:$C$280,0))&gt;0,ROUND(INDEX(_统一战力!$D$2:$D$280,MATCH(I33,_统一战力!$C$2:$C$280,0)),-MAX(0,INT(LOG10(INDEX(_统一战力!$D$2:$D$280,MATCH(I33,_统一战力!$C$2:$C$280,0))))-2)),0)</f>
        <v/>
      </c>
      <c r="AH33" s="17">
        <f>推荐战力参数!$B$4</f>
        <v/>
      </c>
      <c r="AI33">
        <f>AG33*AH33</f>
        <v/>
      </c>
    </row>
    <row r="34" ht="25" customHeight="1">
      <c r="A34" s="27" t="inlineStr">
        <is>
          <t>当前配置</t>
        </is>
      </c>
      <c r="B34" s="27" t="inlineStr">
        <is>
          <t>映射</t>
        </is>
      </c>
      <c r="C34" s="28" t="inlineStr">
        <is>
          <t>5类型共用</t>
        </is>
      </c>
      <c r="D34" s="28" t="inlineStr">
        <is>
          <t>难度30</t>
        </is>
      </c>
      <c r="E34" s="28" t="inlineStr">
        <is>
          <t>250301;250302;250303;250304;250305</t>
        </is>
      </c>
      <c r="F34" s="27" t="inlineStr">
        <is>
          <t>装备副本Boss</t>
        </is>
      </c>
      <c r="G34" s="37" t="n">
        <v>279</v>
      </c>
      <c r="H34" s="38" t="n"/>
      <c r="I34" s="39">
        <f>IF($H34="",$G34,$H34)</f>
        <v/>
      </c>
      <c r="J34" s="48">
        <f>映射等级节点!C31</f>
        <v/>
      </c>
      <c r="K34" s="72" t="n">
        <v>0.959194059602632</v>
      </c>
      <c r="L34" s="72" t="n">
        <v>1.11757518018391</v>
      </c>
      <c r="M34" s="72" t="n">
        <v>1</v>
      </c>
      <c r="N34" s="73" t="n"/>
      <c r="O34" s="73" t="n"/>
      <c r="P34" s="73" t="n"/>
      <c r="Q34" s="74">
        <f>IF($I34="","",IFERROR(INDEX(_玩家曲线!$H$2:$H$286,MATCH($I34,_玩家曲线!$A$2:$A$286,0)),""))</f>
        <v/>
      </c>
      <c r="R34" s="74">
        <f>IF($I34="","",IFERROR(INDEX(_玩家曲线!$I$2:$I$286,MATCH($I34,_玩家曲线!$A$2:$A$286,0)),""))</f>
        <v/>
      </c>
      <c r="S34" s="74">
        <f>IF(OR($J34="",$F34="不适用"),"",IFERROR(INDEX(_怪物模型!$D$2:$D$4501,(INT($J34)-1)*ROWS(_怪物类型!$A$2:$A$10)+MATCH($F34,_怪物类型!$A$2:$A$10,0))*IF($K34="",1,$K34),""))</f>
        <v/>
      </c>
      <c r="T34" s="74">
        <f>IF(OR($J34="",$F34="不适用"),"",IFERROR(INDEX(_怪物模型!$E$2:$E$4501,(INT($J34)-1)*ROWS(_怪物类型!$A$2:$A$10)+MATCH($F34,_怪物类型!$A$2:$A$10,0))*IF($L34="",1,$L34),""))</f>
        <v/>
      </c>
      <c r="U34" s="74">
        <f>IF(OR($J34="",$F34="不适用"),"",IFERROR(INDEX(_怪物模型!$F$2:$F$4501,(INT($J34)-1)*ROWS(_怪物类型!$A$2:$A$10)+MATCH($F34,_怪物类型!$A$2:$A$10,0))*IF($M34="",1,$M34),""))</f>
        <v/>
      </c>
      <c r="V34" s="75">
        <f>IF($U34="","",MIN(0.75,$U34/($U34+24000)))</f>
        <v/>
      </c>
      <c r="W34" s="76">
        <f>IF($S34="","",$S34/(1-$V34)*IF($N34="",1,$N34))</f>
        <v/>
      </c>
      <c r="X34" s="76">
        <f>IF(OR($W34="",$Q34="",$Q34=0),"",$W34/$Q34)</f>
        <v/>
      </c>
      <c r="Y34" s="76">
        <f>IF(OR($R34="",$T34="",$T34=0),"",$R34/($T34*IF($O34="",1,$O34)))</f>
        <v/>
      </c>
      <c r="Z34" s="77">
        <f>IF(OR($X34="",$P34="",$P34=0),"",$X34/$P34)</f>
        <v/>
      </c>
      <c r="AA34" s="27">
        <f>IF($J34="","待填怪物等级",IF(OR($I34="",$Q34=""),"待填对照关卡",IF($P34="","已计算",IF(AND($Y34&lt;&gt;"",$Y34&lt;$X34),"生存不成立",IF($Z34&lt;0.5,"碾压",IF($Z34&lt;0.8,"偏简单",IF($Z34&lt;=1.2,"适中",IF($Z34&lt;=1.5,"偏难","过难"))))))))</f>
        <v/>
      </c>
      <c r="AB34" s="27">
        <f>IF($J34="","待填",IF(AND(ISNUMBER($J34),$J34&gt;=1,$J34&lt;=500,MOD($J34,1)=0),"有效","超范围"))</f>
        <v/>
      </c>
      <c r="AC34" s="27">
        <f>IF(OR($J34="",ROW()=5,$B34&lt;&gt;$B33,$J33=""),"",IF($J34&lt;$J33,"下降",""))</f>
        <v/>
      </c>
      <c r="AD34" s="28" t="inlineStr">
        <is>
          <t>2026-08-27 新玩家节点曲线校准；对照S279；等级296→305；保留原难度定位。｜2026-09-14 等级带重排：40→330（幂0.85前快后慢），K/L与对照G不变；AE按60s/20s反查重算。｜2026-09-14 修订：难度10锚点120，两段幂曲线（40→120幂0.85前快后慢，120→330幂1.05微加速）。</t>
        </is>
      </c>
      <c r="AE34" t="n">
        <v>1010000</v>
      </c>
      <c r="AF34">
        <f>INDEX(_统一战力!$B$2:$B$501,J34)</f>
        <v/>
      </c>
      <c r="AG34">
        <f>IF(INDEX(_统一战力!$D$2:$D$280,MATCH(I34,_统一战力!$C$2:$C$280,0))&gt;0,ROUND(INDEX(_统一战力!$D$2:$D$280,MATCH(I34,_统一战力!$C$2:$C$280,0)),-MAX(0,INT(LOG10(INDEX(_统一战力!$D$2:$D$280,MATCH(I34,_统一战力!$C$2:$C$280,0))))-2)),0)</f>
        <v/>
      </c>
      <c r="AH34" s="17">
        <f>推荐战力参数!$B$4</f>
        <v/>
      </c>
      <c r="AI34">
        <f>AG34*AH34</f>
        <v/>
      </c>
    </row>
  </sheetData>
  <mergeCells count="3">
    <mergeCell ref="A3:AD3"/>
    <mergeCell ref="A2:AD2"/>
    <mergeCell ref="A1:AD1"/>
  </mergeCells>
  <conditionalFormatting sqref="J5:J34">
    <cfRule type="expression" priority="1" dxfId="2">
      <formula>AND($A5&lt;&gt;"特殊：双方属性对算",$J5="")</formula>
    </cfRule>
  </conditionalFormatting>
  <conditionalFormatting sqref="AA5:AA34">
    <cfRule type="expression" priority="3" dxfId="0">
      <formula>$AA5="适中"</formula>
    </cfRule>
    <cfRule type="expression" priority="4" dxfId="3">
      <formula>$AA5="偏难"</formula>
    </cfRule>
    <cfRule type="expression" priority="5" dxfId="1">
      <formula>$AA5="过难"</formula>
    </cfRule>
    <cfRule type="expression" priority="6" dxfId="1">
      <formula>$AA5="生存不成立"</formula>
    </cfRule>
  </conditionalFormatting>
  <conditionalFormatting sqref="AB5:AB34">
    <cfRule type="expression" priority="2" dxfId="4">
      <formula>$AB5="超范围"</formula>
    </cfRule>
  </conditionalFormatting>
  <conditionalFormatting sqref="AC5:AC34">
    <cfRule type="expression" priority="7" dxfId="4">
      <formula>$AC5="下降"</formula>
    </cfRule>
  </conditionalFormatting>
  <dataValidations count="5">
    <dataValidation sqref="F5:F34" showDropDown="0" showInputMessage="0" showErrorMessage="0" allowBlank="0" type="list">
      <formula1>_字典!$A$2:$A$11</formula1>
    </dataValidation>
    <dataValidation sqref="H5:H34" showDropDown="0" showInputMessage="0" showErrorMessage="0" allowBlank="1" type="whole" operator="between">
      <formula1>1</formula1>
      <formula2>285</formula2>
    </dataValidation>
    <dataValidation sqref="J5:J34" showDropDown="0" showInputMessage="0" showErrorMessage="0" allowBlank="1" type="whole" operator="between">
      <formula1>1</formula1>
      <formula2>500</formula2>
    </dataValidation>
    <dataValidation sqref="P5:P34" showDropDown="0" showInputMessage="0" showErrorMessage="0" allowBlank="1" type="decimal" operator="between">
      <formula1>0.01</formula1>
      <formula2>3600</formula2>
    </dataValidation>
    <dataValidation sqref="K5:O34" showDropDown="0" showInputMessage="0" showErrorMessage="0" allowBlank="1" type="decimal" operator="between">
      <formula1>0</formula1>
      <formula2>100</formula2>
    </dataValidation>
  </dataValidations>
  <hyperlinks>
    <hyperlink xmlns:r="http://schemas.openxmlformats.org/officeDocument/2006/relationships" ref="A1" display="全玩法难度填写｜映射" r:id="rId1"/>
  </hyperlink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tabColor rgb="FF8064A2"/>
    <outlinePr summaryBelow="1" summaryRight="1"/>
    <pageSetUpPr/>
  </sheetPr>
  <dimension ref="A1:AF204"/>
  <sheetViews>
    <sheetView showGridLines="0" workbookViewId="0">
      <selection activeCell="A1" sqref="A1:AD1"/>
    </sheetView>
  </sheetViews>
  <sheetFormatPr baseColWidth="8" defaultColWidth="9" defaultRowHeight="13.5"/>
  <cols>
    <col width="12" customWidth="1" min="1" max="1"/>
    <col width="13" customWidth="1" min="2" max="2"/>
    <col width="18" customWidth="1" min="3" max="3"/>
    <col width="15" customWidth="1" min="4" max="4"/>
    <col width="35" customWidth="1" min="5" max="5"/>
    <col width="14" customWidth="1" min="6" max="9"/>
    <col width="12" customWidth="1" min="10" max="10"/>
    <col width="11" customWidth="1" min="11" max="13"/>
    <col width="13" customWidth="1" min="14" max="15"/>
    <col width="12" customWidth="1" min="16" max="16"/>
    <col width="16" customWidth="1" min="17" max="21"/>
    <col width="12" customWidth="1" min="22" max="22"/>
    <col width="17" customWidth="1" min="23" max="23"/>
    <col width="14" customWidth="1" min="24" max="25"/>
    <col width="12" customWidth="1" min="26" max="26"/>
    <col width="15" customWidth="1" min="27" max="27"/>
    <col width="12" customWidth="1" min="28" max="29"/>
    <col width="46" customWidth="1" min="30" max="30"/>
    <col width="22" customWidth="1" min="31" max="32"/>
  </cols>
  <sheetData>
    <row r="1" ht="34" customHeight="1">
      <c r="A1" s="23" t="inlineStr">
        <is>
          <t>全玩法难度填写｜爬塔</t>
        </is>
      </c>
    </row>
    <row r="2" ht="30" customHeight="1">
      <c r="A2" s="24" t="inlineStr">
        <is>
          <t>爬塔100层终点280级，前期降难度；等级入口为“爬塔TeamHero配置表”的“难度节点”。本页为同步结果，跨表不是实时链接。</t>
        </is>
      </c>
    </row>
    <row r="3" ht="14.25" customHeight="1">
      <c r="A3" s="25" t="inlineStr">
        <is>
          <t>公式口径：怪物实际属性=战斗公式标准模型×可选系数；怪物EHP=实际生命÷(1-防御减伤)×整关EHP倍率；TTK=怪物EHP÷玩家DPS。</t>
        </is>
      </c>
    </row>
    <row r="4" ht="30" customHeight="1">
      <c r="A4" s="26" t="inlineStr">
        <is>
          <t>状态</t>
        </is>
      </c>
      <c r="B4" s="26" t="inlineStr">
        <is>
          <t>玩法</t>
        </is>
      </c>
      <c r="C4" s="26" t="inlineStr">
        <is>
          <t>子玩法/共用范围</t>
        </is>
      </c>
      <c r="D4" s="26" t="inlineStr">
        <is>
          <t>节点名称</t>
        </is>
      </c>
      <c r="E4" s="26" t="inlineStr">
        <is>
          <t>LevelId/配置映射</t>
        </is>
      </c>
      <c r="F4" s="26" t="inlineStr">
        <is>
          <t>怪物类型</t>
        </is>
      </c>
      <c r="G4" s="26" t="inlineStr">
        <is>
          <t>默认对照关卡</t>
        </is>
      </c>
      <c r="H4" s="26" t="inlineStr">
        <is>
          <t>手动对照关卡</t>
        </is>
      </c>
      <c r="I4" s="26" t="inlineStr">
        <is>
          <t>实际对照关卡</t>
        </is>
      </c>
      <c r="J4" s="26" t="inlineStr">
        <is>
          <t>怪物等级</t>
        </is>
      </c>
      <c r="K4" s="26" t="inlineStr">
        <is>
          <t>生命系数</t>
        </is>
      </c>
      <c r="L4" s="26" t="inlineStr">
        <is>
          <t>攻击系数</t>
        </is>
      </c>
      <c r="M4" s="26" t="inlineStr">
        <is>
          <t>防御系数</t>
        </is>
      </c>
      <c r="N4" s="26" t="inlineStr">
        <is>
          <t>整关EHP倍率</t>
        </is>
      </c>
      <c r="O4" s="26" t="inlineStr">
        <is>
          <t>攻击压力倍率</t>
        </is>
      </c>
      <c r="P4" s="26" t="inlineStr">
        <is>
          <t>目标时间(s)</t>
        </is>
      </c>
      <c r="Q4" s="26" t="inlineStr">
        <is>
          <t>玩家DPS</t>
        </is>
      </c>
      <c r="R4" s="26" t="inlineStr">
        <is>
          <t>玩家队伍EHP</t>
        </is>
      </c>
      <c r="S4" s="26" t="inlineStr">
        <is>
          <t>怪物实际生命</t>
        </is>
      </c>
      <c r="T4" s="26" t="inlineStr">
        <is>
          <t>怪物实际攻击</t>
        </is>
      </c>
      <c r="U4" s="26" t="inlineStr">
        <is>
          <t>怪物实际防御</t>
        </is>
      </c>
      <c r="V4" s="26" t="inlineStr">
        <is>
          <t>怪物减伤率</t>
        </is>
      </c>
      <c r="W4" s="26" t="inlineStr">
        <is>
          <t>整关目标EHP</t>
        </is>
      </c>
      <c r="X4" s="26" t="inlineStr">
        <is>
          <t>预测TTK(s)</t>
        </is>
      </c>
      <c r="Y4" s="26" t="inlineStr">
        <is>
          <t>预测存活(s)</t>
        </is>
      </c>
      <c r="Z4" s="26" t="inlineStr">
        <is>
          <t>TTK/目标</t>
        </is>
      </c>
      <c r="AA4" s="26" t="inlineStr">
        <is>
          <t>难度判断</t>
        </is>
      </c>
      <c r="AB4" s="26" t="inlineStr">
        <is>
          <t>等级检查</t>
        </is>
      </c>
      <c r="AC4" s="26" t="inlineStr">
        <is>
          <t>等级趋势</t>
        </is>
      </c>
      <c r="AD4" s="26" t="inlineStr">
        <is>
          <t>备注</t>
        </is>
      </c>
      <c r="AE4" s="8" t="inlineStr">
        <is>
          <t>玩法推荐战力</t>
        </is>
      </c>
      <c r="AF4" s="8" t="inlineStr">
        <is>
          <t>标准等级战力</t>
        </is>
      </c>
    </row>
    <row r="5" ht="25" customHeight="1">
      <c r="A5" s="27" t="inlineStr">
        <is>
          <t>当前配置</t>
        </is>
      </c>
      <c r="B5" s="27" t="inlineStr">
        <is>
          <t>爬塔</t>
        </is>
      </c>
      <c r="C5" s="28" t="inlineStr">
        <is>
          <t>现行包体1</t>
        </is>
      </c>
      <c r="D5" s="28" t="inlineStr">
        <is>
          <t>第1层</t>
        </is>
      </c>
      <c r="E5" s="28" t="inlineStr">
        <is>
          <t>300001</t>
        </is>
      </c>
      <c r="F5" s="27" t="inlineStr">
        <is>
          <t>普通怪</t>
        </is>
      </c>
      <c r="G5" s="37" t="n">
        <v>24</v>
      </c>
      <c r="H5" s="38" t="n"/>
      <c r="I5" s="39">
        <f>IF($H5="",$G5,$H5)</f>
        <v/>
      </c>
      <c r="J5" s="40" t="n">
        <v>15</v>
      </c>
      <c r="K5" s="72" t="n">
        <v>1.0411518791012</v>
      </c>
      <c r="L5" s="72" t="n">
        <v>0.878799464729497</v>
      </c>
      <c r="M5" s="72" t="n">
        <v>1</v>
      </c>
      <c r="N5" s="73" t="n"/>
      <c r="O5" s="73" t="n"/>
      <c r="P5" s="73" t="n"/>
      <c r="Q5" s="74">
        <f>IF($I5="","",IFERROR(INDEX(_玩家曲线!$H$2:$H$286,MATCH($I5,_玩家曲线!$A$2:$A$286,0)),""))</f>
        <v/>
      </c>
      <c r="R5" s="74">
        <f>IF($I5="","",IFERROR(INDEX(_玩家曲线!$I$2:$I$286,MATCH($I5,_玩家曲线!$A$2:$A$286,0)),""))</f>
        <v/>
      </c>
      <c r="S5" s="74">
        <f>SUMIF(_爬塔队伍!$A$2:$A$501,VALUE(SUBSTITUTE(SUBSTITUTE(D5,"第",""),"层","")),_爬塔队伍!$C$2:$C$501)</f>
        <v/>
      </c>
      <c r="T5" s="74">
        <f>SUMIF(_爬塔队伍!$A$2:$A$501,VALUE(SUBSTITUTE(SUBSTITUTE(D5,"第",""),"层","")),_爬塔队伍!$D$2:$D$501)</f>
        <v/>
      </c>
      <c r="U5" s="74">
        <f>SUMIF(_爬塔队伍!$A$2:$A$501,VALUE(SUBSTITUTE(SUBSTITUTE(D5,"第",""),"层","")),_爬塔队伍!$E$2:$E$501)/COUNTIF(_爬塔队伍!$A$2:$A$501,VALUE(SUBSTITUTE(SUBSTITUTE(D5,"第",""),"层","")))</f>
        <v/>
      </c>
      <c r="V5" s="75">
        <f>IF($U5="","",MIN(0.75,$U5/($U5+24000)))</f>
        <v/>
      </c>
      <c r="W5" s="76">
        <f>SUMIF(_爬塔队伍!$A$2:$A$501,VALUE(SUBSTITUTE(SUBSTITUTE(D5,"第",""),"层","")),_爬塔队伍!$F$2:$F$501)</f>
        <v/>
      </c>
      <c r="X5" s="76">
        <f>IF(OR($W5="",$Q5="",$Q5=0),"",$W5/$Q5)</f>
        <v/>
      </c>
      <c r="Y5" s="76">
        <f>IF(OR($R5="",$T5="",$T5=0),"",$R5/($T5*IF($O5="",1,$O5)))</f>
        <v/>
      </c>
      <c r="Z5" s="77">
        <f>IF(OR($X5="",$P5="",$P5=0),"",$X5/$P5)</f>
        <v/>
      </c>
      <c r="AA5" s="27">
        <f>IF($J5="","待填怪物等级",IF(OR($I5="",$Q5=""),"待填对照关卡",IF($P5="","已计算",IF(AND($Y5&lt;&gt;"",$Y5&lt;$X5),"生存不成立",IF($Z5&lt;0.5,"碾压",IF($Z5&lt;0.8,"偏简单",IF($Z5&lt;=1.2,"适中",IF($Z5&lt;=1.5,"偏难","过难"))))))))</f>
        <v/>
      </c>
      <c r="AB5" s="27">
        <f>IF($J5="","待填",IF(AND(ISNUMBER($J5),$J5&gt;=1,$J5&lt;=500,MOD($J5,1)=0),"有效","超范围"))</f>
        <v/>
      </c>
      <c r="AC5" s="27">
        <f>IF(OR($J5="",ROW()=5,$B5&lt;&gt;$B4,$J4=""),"",IF($J5&lt;$J4,"下降",""))</f>
        <v/>
      </c>
      <c r="AD5" s="28" t="inlineStr">
        <is>
          <t>整队验算：S/T为五人总生命/总攻击，U为平均防御，W为逐人计算后求和EHP；倍率由爬塔专用源表执行。</t>
        </is>
      </c>
      <c r="AE5" t="n">
        <v>37400</v>
      </c>
      <c r="AF5">
        <f>INDEX(_统一战力!$B$2:$B$501,J5)</f>
        <v/>
      </c>
    </row>
    <row r="6" ht="25" customHeight="1">
      <c r="A6" s="27" t="inlineStr">
        <is>
          <t>当前配置</t>
        </is>
      </c>
      <c r="B6" s="27" t="inlineStr">
        <is>
          <t>爬塔</t>
        </is>
      </c>
      <c r="C6" s="28" t="inlineStr">
        <is>
          <t>现行包体1</t>
        </is>
      </c>
      <c r="D6" s="28" t="inlineStr">
        <is>
          <t>第2层</t>
        </is>
      </c>
      <c r="E6" s="28" t="inlineStr">
        <is>
          <t>300002</t>
        </is>
      </c>
      <c r="F6" s="27" t="inlineStr">
        <is>
          <t>普通怪</t>
        </is>
      </c>
      <c r="G6" s="37" t="n">
        <v>25</v>
      </c>
      <c r="H6" s="38" t="n"/>
      <c r="I6" s="39">
        <f>IF($H6="",$G6,$H6)</f>
        <v/>
      </c>
      <c r="J6" s="40" t="n">
        <v>18</v>
      </c>
      <c r="K6" s="72" t="n">
        <v>1.06638891711125</v>
      </c>
      <c r="L6" s="72" t="n">
        <v>0.881697307575066</v>
      </c>
      <c r="M6" s="72" t="n">
        <v>1</v>
      </c>
      <c r="N6" s="73" t="n"/>
      <c r="O6" s="73" t="n"/>
      <c r="P6" s="73" t="n"/>
      <c r="Q6" s="74">
        <f>IF($I6="","",IFERROR(INDEX(_玩家曲线!$H$2:$H$286,MATCH($I6,_玩家曲线!$A$2:$A$286,0)),""))</f>
        <v/>
      </c>
      <c r="R6" s="74">
        <f>IF($I6="","",IFERROR(INDEX(_玩家曲线!$I$2:$I$286,MATCH($I6,_玩家曲线!$A$2:$A$286,0)),""))</f>
        <v/>
      </c>
      <c r="S6" s="74">
        <f>SUMIF(_爬塔队伍!$A$2:$A$501,VALUE(SUBSTITUTE(SUBSTITUTE(D6,"第",""),"层","")),_爬塔队伍!$C$2:$C$501)</f>
        <v/>
      </c>
      <c r="T6" s="74">
        <f>SUMIF(_爬塔队伍!$A$2:$A$501,VALUE(SUBSTITUTE(SUBSTITUTE(D6,"第",""),"层","")),_爬塔队伍!$D$2:$D$501)</f>
        <v/>
      </c>
      <c r="U6" s="74">
        <f>SUMIF(_爬塔队伍!$A$2:$A$501,VALUE(SUBSTITUTE(SUBSTITUTE(D6,"第",""),"层","")),_爬塔队伍!$E$2:$E$501)/COUNTIF(_爬塔队伍!$A$2:$A$501,VALUE(SUBSTITUTE(SUBSTITUTE(D6,"第",""),"层","")))</f>
        <v/>
      </c>
      <c r="V6" s="75">
        <f>IF($U6="","",MIN(0.75,$U6/($U6+24000)))</f>
        <v/>
      </c>
      <c r="W6" s="76">
        <f>SUMIF(_爬塔队伍!$A$2:$A$501,VALUE(SUBSTITUTE(SUBSTITUTE(D6,"第",""),"层","")),_爬塔队伍!$F$2:$F$501)</f>
        <v/>
      </c>
      <c r="X6" s="76">
        <f>IF(OR($W6="",$Q6="",$Q6=0),"",$W6/$Q6)</f>
        <v/>
      </c>
      <c r="Y6" s="76">
        <f>IF(OR($R6="",$T6="",$T6=0),"",$R6/($T6*IF($O6="",1,$O6)))</f>
        <v/>
      </c>
      <c r="Z6" s="77">
        <f>IF(OR($X6="",$P6="",$P6=0),"",$X6/$P6)</f>
        <v/>
      </c>
      <c r="AA6" s="27">
        <f>IF($J6="","待填怪物等级",IF(OR($I6="",$Q6=""),"待填对照关卡",IF($P6="","已计算",IF(AND($Y6&lt;&gt;"",$Y6&lt;$X6),"生存不成立",IF($Z6&lt;0.5,"碾压",IF($Z6&lt;0.8,"偏简单",IF($Z6&lt;=1.2,"适中",IF($Z6&lt;=1.5,"偏难","过难"))))))))</f>
        <v/>
      </c>
      <c r="AB6" s="27">
        <f>IF($J6="","待填",IF(AND(ISNUMBER($J6),$J6&gt;=1,$J6&lt;=500,MOD($J6,1)=0),"有效","超范围"))</f>
        <v/>
      </c>
      <c r="AC6" s="27">
        <f>IF(OR($J6="",ROW()=5,$B6&lt;&gt;$B5,$J5=""),"",IF($J6&lt;$J5,"下降",""))</f>
        <v/>
      </c>
      <c r="AD6" s="28" t="inlineStr">
        <is>
          <t>整队验算：S/T为五人总生命/总攻击，U为平均防御，W为逐人计算后求和EHP；倍率由爬塔专用源表执行。</t>
        </is>
      </c>
      <c r="AE6" t="n">
        <v>49100</v>
      </c>
      <c r="AF6">
        <f>INDEX(_统一战力!$B$2:$B$501,J6)</f>
        <v/>
      </c>
    </row>
    <row r="7" ht="25" customHeight="1">
      <c r="A7" s="27" t="inlineStr">
        <is>
          <t>当前配置</t>
        </is>
      </c>
      <c r="B7" s="27" t="inlineStr">
        <is>
          <t>爬塔</t>
        </is>
      </c>
      <c r="C7" s="28" t="inlineStr">
        <is>
          <t>现行包体1</t>
        </is>
      </c>
      <c r="D7" s="28" t="inlineStr">
        <is>
          <t>第3层</t>
        </is>
      </c>
      <c r="E7" s="28" t="inlineStr">
        <is>
          <t>300003</t>
        </is>
      </c>
      <c r="F7" s="27" t="inlineStr">
        <is>
          <t>普通怪</t>
        </is>
      </c>
      <c r="G7" s="37" t="n">
        <v>27</v>
      </c>
      <c r="H7" s="38" t="n"/>
      <c r="I7" s="39">
        <f>IF($H7="",$G7,$H7)</f>
        <v/>
      </c>
      <c r="J7" s="40" t="n">
        <v>22</v>
      </c>
      <c r="K7" s="72" t="n">
        <v>1.05982724415721</v>
      </c>
      <c r="L7" s="72" t="n">
        <v>0.865250034404842</v>
      </c>
      <c r="M7" s="72" t="n">
        <v>1</v>
      </c>
      <c r="N7" s="73" t="n"/>
      <c r="O7" s="73" t="n"/>
      <c r="P7" s="73" t="n"/>
      <c r="Q7" s="74">
        <f>IF($I7="","",IFERROR(INDEX(_玩家曲线!$H$2:$H$286,MATCH($I7,_玩家曲线!$A$2:$A$286,0)),""))</f>
        <v/>
      </c>
      <c r="R7" s="74">
        <f>IF($I7="","",IFERROR(INDEX(_玩家曲线!$I$2:$I$286,MATCH($I7,_玩家曲线!$A$2:$A$286,0)),""))</f>
        <v/>
      </c>
      <c r="S7" s="74">
        <f>SUMIF(_爬塔队伍!$A$2:$A$501,VALUE(SUBSTITUTE(SUBSTITUTE(D7,"第",""),"层","")),_爬塔队伍!$C$2:$C$501)</f>
        <v/>
      </c>
      <c r="T7" s="74">
        <f>SUMIF(_爬塔队伍!$A$2:$A$501,VALUE(SUBSTITUTE(SUBSTITUTE(D7,"第",""),"层","")),_爬塔队伍!$D$2:$D$501)</f>
        <v/>
      </c>
      <c r="U7" s="74">
        <f>SUMIF(_爬塔队伍!$A$2:$A$501,VALUE(SUBSTITUTE(SUBSTITUTE(D7,"第",""),"层","")),_爬塔队伍!$E$2:$E$501)/COUNTIF(_爬塔队伍!$A$2:$A$501,VALUE(SUBSTITUTE(SUBSTITUTE(D7,"第",""),"层","")))</f>
        <v/>
      </c>
      <c r="V7" s="75">
        <f>IF($U7="","",MIN(0.75,$U7/($U7+24000)))</f>
        <v/>
      </c>
      <c r="W7" s="76">
        <f>SUMIF(_爬塔队伍!$A$2:$A$501,VALUE(SUBSTITUTE(SUBSTITUTE(D7,"第",""),"层","")),_爬塔队伍!$F$2:$F$501)</f>
        <v/>
      </c>
      <c r="X7" s="76">
        <f>IF(OR($W7="",$Q7="",$Q7=0),"",$W7/$Q7)</f>
        <v/>
      </c>
      <c r="Y7" s="76">
        <f>IF(OR($R7="",$T7="",$T7=0),"",$R7/($T7*IF($O7="",1,$O7)))</f>
        <v/>
      </c>
      <c r="Z7" s="77">
        <f>IF(OR($X7="",$P7="",$P7=0),"",$X7/$P7)</f>
        <v/>
      </c>
      <c r="AA7" s="27">
        <f>IF($J7="","待填怪物等级",IF(OR($I7="",$Q7=""),"待填对照关卡",IF($P7="","已计算",IF(AND($Y7&lt;&gt;"",$Y7&lt;$X7),"生存不成立",IF($Z7&lt;0.5,"碾压",IF($Z7&lt;0.8,"偏简单",IF($Z7&lt;=1.2,"适中",IF($Z7&lt;=1.5,"偏难","过难"))))))))</f>
        <v/>
      </c>
      <c r="AB7" s="27">
        <f>IF($J7="","待填",IF(AND(ISNUMBER($J7),$J7&gt;=1,$J7&lt;=500,MOD($J7,1)=0),"有效","超范围"))</f>
        <v/>
      </c>
      <c r="AC7" s="27">
        <f>IF(OR($J7="",ROW()=5,$B7&lt;&gt;$B6,$J6=""),"",IF($J7&lt;$J6,"下降",""))</f>
        <v/>
      </c>
      <c r="AD7" s="28" t="inlineStr">
        <is>
          <t>整队验算：S/T为五人总生命/总攻击，U为平均防御，W为逐人计算后求和EHP；倍率由爬塔专用源表执行。</t>
        </is>
      </c>
      <c r="AE7" t="n">
        <v>51500</v>
      </c>
      <c r="AF7">
        <f>INDEX(_统一战力!$B$2:$B$501,J7)</f>
        <v/>
      </c>
    </row>
    <row r="8" ht="25" customHeight="1">
      <c r="A8" s="27" t="inlineStr">
        <is>
          <t>当前配置</t>
        </is>
      </c>
      <c r="B8" s="27" t="inlineStr">
        <is>
          <t>爬塔</t>
        </is>
      </c>
      <c r="C8" s="28" t="inlineStr">
        <is>
          <t>现行包体1</t>
        </is>
      </c>
      <c r="D8" s="28" t="inlineStr">
        <is>
          <t>第4层</t>
        </is>
      </c>
      <c r="E8" s="28" t="inlineStr">
        <is>
          <t>300004</t>
        </is>
      </c>
      <c r="F8" s="27" t="inlineStr">
        <is>
          <t>普通怪</t>
        </is>
      </c>
      <c r="G8" s="37" t="n">
        <v>29</v>
      </c>
      <c r="H8" s="38" t="n"/>
      <c r="I8" s="39">
        <f>IF($H8="",$G8,$H8)</f>
        <v/>
      </c>
      <c r="J8" s="40" t="n">
        <v>25</v>
      </c>
      <c r="K8" s="72" t="n">
        <v>1.09014995868719</v>
      </c>
      <c r="L8" s="72" t="n">
        <v>0.86749593133069</v>
      </c>
      <c r="M8" s="72" t="n">
        <v>1</v>
      </c>
      <c r="N8" s="73" t="n"/>
      <c r="O8" s="73" t="n"/>
      <c r="P8" s="73" t="n"/>
      <c r="Q8" s="74">
        <f>IF($I8="","",IFERROR(INDEX(_玩家曲线!$H$2:$H$286,MATCH($I8,_玩家曲线!$A$2:$A$286,0)),""))</f>
        <v/>
      </c>
      <c r="R8" s="74">
        <f>IF($I8="","",IFERROR(INDEX(_玩家曲线!$I$2:$I$286,MATCH($I8,_玩家曲线!$A$2:$A$286,0)),""))</f>
        <v/>
      </c>
      <c r="S8" s="74">
        <f>SUMIF(_爬塔队伍!$A$2:$A$501,VALUE(SUBSTITUTE(SUBSTITUTE(D8,"第",""),"层","")),_爬塔队伍!$C$2:$C$501)</f>
        <v/>
      </c>
      <c r="T8" s="74">
        <f>SUMIF(_爬塔队伍!$A$2:$A$501,VALUE(SUBSTITUTE(SUBSTITUTE(D8,"第",""),"层","")),_爬塔队伍!$D$2:$D$501)</f>
        <v/>
      </c>
      <c r="U8" s="74">
        <f>SUMIF(_爬塔队伍!$A$2:$A$501,VALUE(SUBSTITUTE(SUBSTITUTE(D8,"第",""),"层","")),_爬塔队伍!$E$2:$E$501)/COUNTIF(_爬塔队伍!$A$2:$A$501,VALUE(SUBSTITUTE(SUBSTITUTE(D8,"第",""),"层","")))</f>
        <v/>
      </c>
      <c r="V8" s="75">
        <f>IF($U8="","",MIN(0.75,$U8/($U8+24000)))</f>
        <v/>
      </c>
      <c r="W8" s="76">
        <f>SUMIF(_爬塔队伍!$A$2:$A$501,VALUE(SUBSTITUTE(SUBSTITUTE(D8,"第",""),"层","")),_爬塔队伍!$F$2:$F$501)</f>
        <v/>
      </c>
      <c r="X8" s="76">
        <f>IF(OR($W8="",$Q8="",$Q8=0),"",$W8/$Q8)</f>
        <v/>
      </c>
      <c r="Y8" s="76">
        <f>IF(OR($R8="",$T8="",$T8=0),"",$R8/($T8*IF($O8="",1,$O8)))</f>
        <v/>
      </c>
      <c r="Z8" s="77">
        <f>IF(OR($X8="",$P8="",$P8=0),"",$X8/$P8)</f>
        <v/>
      </c>
      <c r="AA8" s="27">
        <f>IF($J8="","待填怪物等级",IF(OR($I8="",$Q8=""),"待填对照关卡",IF($P8="","已计算",IF(AND($Y8&lt;&gt;"",$Y8&lt;$X8),"生存不成立",IF($Z8&lt;0.5,"碾压",IF($Z8&lt;0.8,"偏简单",IF($Z8&lt;=1.2,"适中",IF($Z8&lt;=1.5,"偏难","过难"))))))))</f>
        <v/>
      </c>
      <c r="AB8" s="27">
        <f>IF($J8="","待填",IF(AND(ISNUMBER($J8),$J8&gt;=1,$J8&lt;=500,MOD($J8,1)=0),"有效","超范围"))</f>
        <v/>
      </c>
      <c r="AC8" s="27">
        <f>IF(OR($J8="",ROW()=5,$B8&lt;&gt;$B7,$J7=""),"",IF($J8&lt;$J7,"下降",""))</f>
        <v/>
      </c>
      <c r="AD8" s="28" t="inlineStr">
        <is>
          <t>整队验算：S/T为五人总生命/总攻击，U为平均防御，W为逐人计算后求和EHP；倍率由爬塔专用源表执行。</t>
        </is>
      </c>
      <c r="AE8" t="n">
        <v>71400</v>
      </c>
      <c r="AF8">
        <f>INDEX(_统一战力!$B$2:$B$501,J8)</f>
        <v/>
      </c>
    </row>
    <row r="9" ht="25" customHeight="1">
      <c r="A9" s="27" t="inlineStr">
        <is>
          <t>当前配置</t>
        </is>
      </c>
      <c r="B9" s="27" t="inlineStr">
        <is>
          <t>爬塔</t>
        </is>
      </c>
      <c r="C9" s="28" t="inlineStr">
        <is>
          <t>现行包体1</t>
        </is>
      </c>
      <c r="D9" s="28" t="inlineStr">
        <is>
          <t>第5层</t>
        </is>
      </c>
      <c r="E9" s="28" t="inlineStr">
        <is>
          <t>300005</t>
        </is>
      </c>
      <c r="F9" s="27" t="inlineStr">
        <is>
          <t>精英怪</t>
        </is>
      </c>
      <c r="G9" s="37" t="n">
        <v>30</v>
      </c>
      <c r="H9" s="38" t="n"/>
      <c r="I9" s="39">
        <f>IF($H9="",$G9,$H9)</f>
        <v/>
      </c>
      <c r="J9" s="40" t="n">
        <v>28</v>
      </c>
      <c r="K9" s="72" t="n">
        <v>1.07151884075861</v>
      </c>
      <c r="L9" s="72" t="n">
        <v>0.847413576127544</v>
      </c>
      <c r="M9" s="72" t="n">
        <v>1</v>
      </c>
      <c r="N9" s="73" t="n"/>
      <c r="O9" s="73" t="n"/>
      <c r="P9" s="73" t="n"/>
      <c r="Q9" s="74">
        <f>IF($I9="","",IFERROR(INDEX(_玩家曲线!$H$2:$H$286,MATCH($I9,_玩家曲线!$A$2:$A$286,0)),""))</f>
        <v/>
      </c>
      <c r="R9" s="74">
        <f>IF($I9="","",IFERROR(INDEX(_玩家曲线!$I$2:$I$286,MATCH($I9,_玩家曲线!$A$2:$A$286,0)),""))</f>
        <v/>
      </c>
      <c r="S9" s="74">
        <f>SUMIF(_爬塔队伍!$A$2:$A$501,VALUE(SUBSTITUTE(SUBSTITUTE(D9,"第",""),"层","")),_爬塔队伍!$C$2:$C$501)</f>
        <v/>
      </c>
      <c r="T9" s="74">
        <f>SUMIF(_爬塔队伍!$A$2:$A$501,VALUE(SUBSTITUTE(SUBSTITUTE(D9,"第",""),"层","")),_爬塔队伍!$D$2:$D$501)</f>
        <v/>
      </c>
      <c r="U9" s="74">
        <f>SUMIF(_爬塔队伍!$A$2:$A$501,VALUE(SUBSTITUTE(SUBSTITUTE(D9,"第",""),"层","")),_爬塔队伍!$E$2:$E$501)/COUNTIF(_爬塔队伍!$A$2:$A$501,VALUE(SUBSTITUTE(SUBSTITUTE(D9,"第",""),"层","")))</f>
        <v/>
      </c>
      <c r="V9" s="75">
        <f>IF($U9="","",MIN(0.75,$U9/($U9+24000)))</f>
        <v/>
      </c>
      <c r="W9" s="76">
        <f>SUMIF(_爬塔队伍!$A$2:$A$501,VALUE(SUBSTITUTE(SUBSTITUTE(D9,"第",""),"层","")),_爬塔队伍!$F$2:$F$501)</f>
        <v/>
      </c>
      <c r="X9" s="76">
        <f>IF(OR($W9="",$Q9="",$Q9=0),"",$W9/$Q9)</f>
        <v/>
      </c>
      <c r="Y9" s="76">
        <f>IF(OR($R9="",$T9="",$T9=0),"",$R9/($T9*IF($O9="",1,$O9)))</f>
        <v/>
      </c>
      <c r="Z9" s="77">
        <f>IF(OR($X9="",$P9="",$P9=0),"",$X9/$P9)</f>
        <v/>
      </c>
      <c r="AA9" s="27">
        <f>IF($J9="","待填怪物等级",IF(OR($I9="",$Q9=""),"待填对照关卡",IF($P9="","已计算",IF(AND($Y9&lt;&gt;"",$Y9&lt;$X9),"生存不成立",IF($Z9&lt;0.5,"碾压",IF($Z9&lt;0.8,"偏简单",IF($Z9&lt;=1.2,"适中",IF($Z9&lt;=1.5,"偏难","过难"))))))))</f>
        <v/>
      </c>
      <c r="AB9" s="27">
        <f>IF($J9="","待填",IF(AND(ISNUMBER($J9),$J9&gt;=1,$J9&lt;=500,MOD($J9,1)=0),"有效","超范围"))</f>
        <v/>
      </c>
      <c r="AC9" s="27">
        <f>IF(OR($J9="",ROW()=5,$B9&lt;&gt;$B8,$J8=""),"",IF($J9&lt;$J8,"下降",""))</f>
        <v/>
      </c>
      <c r="AD9" s="28" t="inlineStr">
        <is>
          <t>整队验算：S/T为五人总生命/总攻击，U为平均防御，W为逐人计算后求和EHP；倍率由爬塔专用源表执行。</t>
        </is>
      </c>
      <c r="AE9" t="n">
        <v>81400</v>
      </c>
      <c r="AF9">
        <f>INDEX(_统一战力!$B$2:$B$501,J9)</f>
        <v/>
      </c>
    </row>
    <row r="10" ht="25" customHeight="1">
      <c r="A10" s="27" t="inlineStr">
        <is>
          <t>当前配置</t>
        </is>
      </c>
      <c r="B10" s="27" t="inlineStr">
        <is>
          <t>爬塔</t>
        </is>
      </c>
      <c r="C10" s="28" t="inlineStr">
        <is>
          <t>现行包体1</t>
        </is>
      </c>
      <c r="D10" s="28" t="inlineStr">
        <is>
          <t>第6层</t>
        </is>
      </c>
      <c r="E10" s="28" t="inlineStr">
        <is>
          <t>300006</t>
        </is>
      </c>
      <c r="F10" s="27" t="inlineStr">
        <is>
          <t>普通怪</t>
        </is>
      </c>
      <c r="G10" s="37" t="n">
        <v>32</v>
      </c>
      <c r="H10" s="38" t="n"/>
      <c r="I10" s="39">
        <f>IF($H10="",$G10,$H10)</f>
        <v/>
      </c>
      <c r="J10" s="40" t="n">
        <v>32</v>
      </c>
      <c r="K10" s="72" t="n">
        <v>1.09281017575294</v>
      </c>
      <c r="L10" s="72" t="n">
        <v>0.835587298989708</v>
      </c>
      <c r="M10" s="72" t="n">
        <v>1</v>
      </c>
      <c r="N10" s="73" t="n"/>
      <c r="O10" s="73" t="n"/>
      <c r="P10" s="73" t="n"/>
      <c r="Q10" s="74">
        <f>IF($I10="","",IFERROR(INDEX(_玩家曲线!$H$2:$H$286,MATCH($I10,_玩家曲线!$A$2:$A$286,0)),""))</f>
        <v/>
      </c>
      <c r="R10" s="74">
        <f>IF($I10="","",IFERROR(INDEX(_玩家曲线!$I$2:$I$286,MATCH($I10,_玩家曲线!$A$2:$A$286,0)),""))</f>
        <v/>
      </c>
      <c r="S10" s="74">
        <f>SUMIF(_爬塔队伍!$A$2:$A$501,VALUE(SUBSTITUTE(SUBSTITUTE(D10,"第",""),"层","")),_爬塔队伍!$C$2:$C$501)</f>
        <v/>
      </c>
      <c r="T10" s="74">
        <f>SUMIF(_爬塔队伍!$A$2:$A$501,VALUE(SUBSTITUTE(SUBSTITUTE(D10,"第",""),"层","")),_爬塔队伍!$D$2:$D$501)</f>
        <v/>
      </c>
      <c r="U10" s="74">
        <f>SUMIF(_爬塔队伍!$A$2:$A$501,VALUE(SUBSTITUTE(SUBSTITUTE(D10,"第",""),"层","")),_爬塔队伍!$E$2:$E$501)/COUNTIF(_爬塔队伍!$A$2:$A$501,VALUE(SUBSTITUTE(SUBSTITUTE(D10,"第",""),"层","")))</f>
        <v/>
      </c>
      <c r="V10" s="75">
        <f>IF($U10="","",MIN(0.75,$U10/($U10+24000)))</f>
        <v/>
      </c>
      <c r="W10" s="76">
        <f>SUMIF(_爬塔队伍!$A$2:$A$501,VALUE(SUBSTITUTE(SUBSTITUTE(D10,"第",""),"层","")),_爬塔队伍!$F$2:$F$501)</f>
        <v/>
      </c>
      <c r="X10" s="76">
        <f>IF(OR($W10="",$Q10="",$Q10=0),"",$W10/$Q10)</f>
        <v/>
      </c>
      <c r="Y10" s="76">
        <f>IF(OR($R10="",$T10="",$T10=0),"",$R10/($T10*IF($O10="",1,$O10)))</f>
        <v/>
      </c>
      <c r="Z10" s="77">
        <f>IF(OR($X10="",$P10="",$P10=0),"",$X10/$P10)</f>
        <v/>
      </c>
      <c r="AA10" s="27">
        <f>IF($J10="","待填怪物等级",IF(OR($I10="",$Q10=""),"待填对照关卡",IF($P10="","已计算",IF(AND($Y10&lt;&gt;"",$Y10&lt;$X10),"生存不成立",IF($Z10&lt;0.5,"碾压",IF($Z10&lt;0.8,"偏简单",IF($Z10&lt;=1.2,"适中",IF($Z10&lt;=1.5,"偏难","过难"))))))))</f>
        <v/>
      </c>
      <c r="AB10" s="27">
        <f>IF($J10="","待填",IF(AND(ISNUMBER($J10),$J10&gt;=1,$J10&lt;=500,MOD($J10,1)=0),"有效","超范围"))</f>
        <v/>
      </c>
      <c r="AC10" s="27">
        <f>IF(OR($J10="",ROW()=5,$B10&lt;&gt;$B9,$J9=""),"",IF($J10&lt;$J9,"下降",""))</f>
        <v/>
      </c>
      <c r="AD10" s="28" t="inlineStr">
        <is>
          <t>整队验算：S/T为五人总生命/总攻击，U为平均防御，W为逐人计算后求和EHP；倍率由爬塔专用源表执行。</t>
        </is>
      </c>
      <c r="AE10" t="n">
        <v>91400</v>
      </c>
      <c r="AF10">
        <f>INDEX(_统一战力!$B$2:$B$501,J10)</f>
        <v/>
      </c>
    </row>
    <row r="11" ht="25" customHeight="1">
      <c r="A11" s="27" t="inlineStr">
        <is>
          <t>当前配置</t>
        </is>
      </c>
      <c r="B11" s="27" t="inlineStr">
        <is>
          <t>爬塔</t>
        </is>
      </c>
      <c r="C11" s="28" t="inlineStr">
        <is>
          <t>现行包体1</t>
        </is>
      </c>
      <c r="D11" s="28" t="inlineStr">
        <is>
          <t>第7层</t>
        </is>
      </c>
      <c r="E11" s="28" t="inlineStr">
        <is>
          <t>300007</t>
        </is>
      </c>
      <c r="F11" s="27" t="inlineStr">
        <is>
          <t>普通怪</t>
        </is>
      </c>
      <c r="G11" s="37" t="n">
        <v>34</v>
      </c>
      <c r="H11" s="38" t="n"/>
      <c r="I11" s="39">
        <f>IF($H11="",$G11,$H11)</f>
        <v/>
      </c>
      <c r="J11" s="40" t="n">
        <v>35</v>
      </c>
      <c r="K11" s="72" t="n">
        <v>1.10367102588911</v>
      </c>
      <c r="L11" s="72" t="n">
        <v>0.821989230732882</v>
      </c>
      <c r="M11" s="72" t="n">
        <v>1</v>
      </c>
      <c r="N11" s="73" t="n"/>
      <c r="O11" s="73" t="n"/>
      <c r="P11" s="73" t="n"/>
      <c r="Q11" s="74">
        <f>IF($I11="","",IFERROR(INDEX(_玩家曲线!$H$2:$H$286,MATCH($I11,_玩家曲线!$A$2:$A$286,0)),""))</f>
        <v/>
      </c>
      <c r="R11" s="74">
        <f>IF($I11="","",IFERROR(INDEX(_玩家曲线!$I$2:$I$286,MATCH($I11,_玩家曲线!$A$2:$A$286,0)),""))</f>
        <v/>
      </c>
      <c r="S11" s="74">
        <f>SUMIF(_爬塔队伍!$A$2:$A$501,VALUE(SUBSTITUTE(SUBSTITUTE(D11,"第",""),"层","")),_爬塔队伍!$C$2:$C$501)</f>
        <v/>
      </c>
      <c r="T11" s="74">
        <f>SUMIF(_爬塔队伍!$A$2:$A$501,VALUE(SUBSTITUTE(SUBSTITUTE(D11,"第",""),"层","")),_爬塔队伍!$D$2:$D$501)</f>
        <v/>
      </c>
      <c r="U11" s="74">
        <f>SUMIF(_爬塔队伍!$A$2:$A$501,VALUE(SUBSTITUTE(SUBSTITUTE(D11,"第",""),"层","")),_爬塔队伍!$E$2:$E$501)/COUNTIF(_爬塔队伍!$A$2:$A$501,VALUE(SUBSTITUTE(SUBSTITUTE(D11,"第",""),"层","")))</f>
        <v/>
      </c>
      <c r="V11" s="75">
        <f>IF($U11="","",MIN(0.75,$U11/($U11+24000)))</f>
        <v/>
      </c>
      <c r="W11" s="76">
        <f>SUMIF(_爬塔队伍!$A$2:$A$501,VALUE(SUBSTITUTE(SUBSTITUTE(D11,"第",""),"层","")),_爬塔队伍!$F$2:$F$501)</f>
        <v/>
      </c>
      <c r="X11" s="76">
        <f>IF(OR($W11="",$Q11="",$Q11=0),"",$W11/$Q11)</f>
        <v/>
      </c>
      <c r="Y11" s="76">
        <f>IF(OR($R11="",$T11="",$T11=0),"",$R11/($T11*IF($O11="",1,$O11)))</f>
        <v/>
      </c>
      <c r="Z11" s="77">
        <f>IF(OR($X11="",$P11="",$P11=0),"",$X11/$P11)</f>
        <v/>
      </c>
      <c r="AA11" s="27">
        <f>IF($J11="","待填怪物等级",IF(OR($I11="",$Q11=""),"待填对照关卡",IF($P11="","已计算",IF(AND($Y11&lt;&gt;"",$Y11&lt;$X11),"生存不成立",IF($Z11&lt;0.5,"碾压",IF($Z11&lt;0.8,"偏简单",IF($Z11&lt;=1.2,"适中",IF($Z11&lt;=1.5,"偏难","过难"))))))))</f>
        <v/>
      </c>
      <c r="AB11" s="27">
        <f>IF($J11="","待填",IF(AND(ISNUMBER($J11),$J11&gt;=1,$J11&lt;=500,MOD($J11,1)=0),"有效","超范围"))</f>
        <v/>
      </c>
      <c r="AC11" s="27">
        <f>IF(OR($J11="",ROW()=5,$B11&lt;&gt;$B10,$J10=""),"",IF($J11&lt;$J10,"下降",""))</f>
        <v/>
      </c>
      <c r="AD11" s="28" t="inlineStr">
        <is>
          <t>整队验算：S/T为五人总生命/总攻击，U为平均防御，W为逐人计算后求和EHP；倍率由爬塔专用源表执行。</t>
        </is>
      </c>
      <c r="AE11" t="n">
        <v>95900</v>
      </c>
      <c r="AF11">
        <f>INDEX(_统一战力!$B$2:$B$501,J11)</f>
        <v/>
      </c>
    </row>
    <row r="12" ht="25" customHeight="1">
      <c r="A12" s="27" t="inlineStr">
        <is>
          <t>当前配置</t>
        </is>
      </c>
      <c r="B12" s="27" t="inlineStr">
        <is>
          <t>爬塔</t>
        </is>
      </c>
      <c r="C12" s="28" t="inlineStr">
        <is>
          <t>现行包体1</t>
        </is>
      </c>
      <c r="D12" s="28" t="inlineStr">
        <is>
          <t>第8层</t>
        </is>
      </c>
      <c r="E12" s="28" t="inlineStr">
        <is>
          <t>300008</t>
        </is>
      </c>
      <c r="F12" s="27" t="inlineStr">
        <is>
          <t>普通怪</t>
        </is>
      </c>
      <c r="G12" s="37" t="n">
        <v>36</v>
      </c>
      <c r="H12" s="38" t="n"/>
      <c r="I12" s="39">
        <f>IF($H12="",$G12,$H12)</f>
        <v/>
      </c>
      <c r="J12" s="40" t="n">
        <v>38</v>
      </c>
      <c r="K12" s="72" t="n">
        <v>1.08637314746255</v>
      </c>
      <c r="L12" s="72" t="n">
        <v>0.793670586729554</v>
      </c>
      <c r="M12" s="72" t="n">
        <v>1</v>
      </c>
      <c r="N12" s="73" t="n"/>
      <c r="O12" s="73" t="n"/>
      <c r="P12" s="73" t="n"/>
      <c r="Q12" s="74">
        <f>IF($I12="","",IFERROR(INDEX(_玩家曲线!$H$2:$H$286,MATCH($I12,_玩家曲线!$A$2:$A$286,0)),""))</f>
        <v/>
      </c>
      <c r="R12" s="74">
        <f>IF($I12="","",IFERROR(INDEX(_玩家曲线!$I$2:$I$286,MATCH($I12,_玩家曲线!$A$2:$A$286,0)),""))</f>
        <v/>
      </c>
      <c r="S12" s="74">
        <f>SUMIF(_爬塔队伍!$A$2:$A$501,VALUE(SUBSTITUTE(SUBSTITUTE(D12,"第",""),"层","")),_爬塔队伍!$C$2:$C$501)</f>
        <v/>
      </c>
      <c r="T12" s="74">
        <f>SUMIF(_爬塔队伍!$A$2:$A$501,VALUE(SUBSTITUTE(SUBSTITUTE(D12,"第",""),"层","")),_爬塔队伍!$D$2:$D$501)</f>
        <v/>
      </c>
      <c r="U12" s="74">
        <f>SUMIF(_爬塔队伍!$A$2:$A$501,VALUE(SUBSTITUTE(SUBSTITUTE(D12,"第",""),"层","")),_爬塔队伍!$E$2:$E$501)/COUNTIF(_爬塔队伍!$A$2:$A$501,VALUE(SUBSTITUTE(SUBSTITUTE(D12,"第",""),"层","")))</f>
        <v/>
      </c>
      <c r="V12" s="75">
        <f>IF($U12="","",MIN(0.75,$U12/($U12+24000)))</f>
        <v/>
      </c>
      <c r="W12" s="76">
        <f>SUMIF(_爬塔队伍!$A$2:$A$501,VALUE(SUBSTITUTE(SUBSTITUTE(D12,"第",""),"层","")),_爬塔队伍!$F$2:$F$501)</f>
        <v/>
      </c>
      <c r="X12" s="76">
        <f>IF(OR($W12="",$Q12="",$Q12=0),"",$W12/$Q12)</f>
        <v/>
      </c>
      <c r="Y12" s="76">
        <f>IF(OR($R12="",$T12="",$T12=0),"",$R12/($T12*IF($O12="",1,$O12)))</f>
        <v/>
      </c>
      <c r="Z12" s="77">
        <f>IF(OR($X12="",$P12="",$P12=0),"",$X12/$P12)</f>
        <v/>
      </c>
      <c r="AA12" s="27">
        <f>IF($J12="","待填怪物等级",IF(OR($I12="",$Q12=""),"待填对照关卡",IF($P12="","已计算",IF(AND($Y12&lt;&gt;"",$Y12&lt;$X12),"生存不成立",IF($Z12&lt;0.5,"碾压",IF($Z12&lt;0.8,"偏简单",IF($Z12&lt;=1.2,"适中",IF($Z12&lt;=1.5,"偏难","过难"))))))))</f>
        <v/>
      </c>
      <c r="AB12" s="27">
        <f>IF($J12="","待填",IF(AND(ISNUMBER($J12),$J12&gt;=1,$J12&lt;=500,MOD($J12,1)=0),"有效","超范围"))</f>
        <v/>
      </c>
      <c r="AC12" s="27">
        <f>IF(OR($J12="",ROW()=5,$B12&lt;&gt;$B11,$J11=""),"",IF($J12&lt;$J11,"下降",""))</f>
        <v/>
      </c>
      <c r="AD12" s="28" t="inlineStr">
        <is>
          <t>整队验算：S/T为五人总生命/总攻击，U为平均防御，W为逐人计算后求和EHP；倍率由爬塔专用源表执行。</t>
        </is>
      </c>
      <c r="AE12" t="n">
        <v>108000</v>
      </c>
      <c r="AF12">
        <f>INDEX(_统一战力!$B$2:$B$501,J12)</f>
        <v/>
      </c>
    </row>
    <row r="13" ht="25" customHeight="1">
      <c r="A13" s="27" t="inlineStr">
        <is>
          <t>当前配置</t>
        </is>
      </c>
      <c r="B13" s="27" t="inlineStr">
        <is>
          <t>爬塔</t>
        </is>
      </c>
      <c r="C13" s="28" t="inlineStr">
        <is>
          <t>现行包体1</t>
        </is>
      </c>
      <c r="D13" s="28" t="inlineStr">
        <is>
          <t>第9层</t>
        </is>
      </c>
      <c r="E13" s="28" t="inlineStr">
        <is>
          <t>300009</t>
        </is>
      </c>
      <c r="F13" s="27" t="inlineStr">
        <is>
          <t>普通怪</t>
        </is>
      </c>
      <c r="G13" s="37" t="n">
        <v>38</v>
      </c>
      <c r="H13" s="38" t="n"/>
      <c r="I13" s="39">
        <f>IF($H13="",$G13,$H13)</f>
        <v/>
      </c>
      <c r="J13" s="40" t="n">
        <v>42</v>
      </c>
      <c r="K13" s="72" t="n">
        <v>1.10754711497976</v>
      </c>
      <c r="L13" s="72" t="n">
        <v>0.787948377143275</v>
      </c>
      <c r="M13" s="72" t="n">
        <v>1</v>
      </c>
      <c r="N13" s="73" t="n"/>
      <c r="O13" s="73" t="n"/>
      <c r="P13" s="73" t="n"/>
      <c r="Q13" s="74">
        <f>IF($I13="","",IFERROR(INDEX(_玩家曲线!$H$2:$H$286,MATCH($I13,_玩家曲线!$A$2:$A$286,0)),""))</f>
        <v/>
      </c>
      <c r="R13" s="74">
        <f>IF($I13="","",IFERROR(INDEX(_玩家曲线!$I$2:$I$286,MATCH($I13,_玩家曲线!$A$2:$A$286,0)),""))</f>
        <v/>
      </c>
      <c r="S13" s="74">
        <f>SUMIF(_爬塔队伍!$A$2:$A$501,VALUE(SUBSTITUTE(SUBSTITUTE(D13,"第",""),"层","")),_爬塔队伍!$C$2:$C$501)</f>
        <v/>
      </c>
      <c r="T13" s="74">
        <f>SUMIF(_爬塔队伍!$A$2:$A$501,VALUE(SUBSTITUTE(SUBSTITUTE(D13,"第",""),"层","")),_爬塔队伍!$D$2:$D$501)</f>
        <v/>
      </c>
      <c r="U13" s="74">
        <f>SUMIF(_爬塔队伍!$A$2:$A$501,VALUE(SUBSTITUTE(SUBSTITUTE(D13,"第",""),"层","")),_爬塔队伍!$E$2:$E$501)/COUNTIF(_爬塔队伍!$A$2:$A$501,VALUE(SUBSTITUTE(SUBSTITUTE(D13,"第",""),"层","")))</f>
        <v/>
      </c>
      <c r="V13" s="75">
        <f>IF($U13="","",MIN(0.75,$U13/($U13+24000)))</f>
        <v/>
      </c>
      <c r="W13" s="76">
        <f>SUMIF(_爬塔队伍!$A$2:$A$501,VALUE(SUBSTITUTE(SUBSTITUTE(D13,"第",""),"层","")),_爬塔队伍!$F$2:$F$501)</f>
        <v/>
      </c>
      <c r="X13" s="76">
        <f>IF(OR($W13="",$Q13="",$Q13=0),"",$W13/$Q13)</f>
        <v/>
      </c>
      <c r="Y13" s="76">
        <f>IF(OR($R13="",$T13="",$T13=0),"",$R13/($T13*IF($O13="",1,$O13)))</f>
        <v/>
      </c>
      <c r="Z13" s="77">
        <f>IF(OR($X13="",$P13="",$P13=0),"",$X13/$P13)</f>
        <v/>
      </c>
      <c r="AA13" s="27">
        <f>IF($J13="","待填怪物等级",IF(OR($I13="",$Q13=""),"待填对照关卡",IF($P13="","已计算",IF(AND($Y13&lt;&gt;"",$Y13&lt;$X13),"生存不成立",IF($Z13&lt;0.5,"碾压",IF($Z13&lt;0.8,"偏简单",IF($Z13&lt;=1.2,"适中",IF($Z13&lt;=1.5,"偏难","过难"))))))))</f>
        <v/>
      </c>
      <c r="AB13" s="27">
        <f>IF($J13="","待填",IF(AND(ISNUMBER($J13),$J13&gt;=1,$J13&lt;=500,MOD($J13,1)=0),"有效","超范围"))</f>
        <v/>
      </c>
      <c r="AC13" s="27">
        <f>IF(OR($J13="",ROW()=5,$B13&lt;&gt;$B12,$J12=""),"",IF($J13&lt;$J12,"下降",""))</f>
        <v/>
      </c>
      <c r="AD13" s="28" t="inlineStr">
        <is>
          <t>整队验算：S/T为五人总生命/总攻击，U为平均防御，W为逐人计算后求和EHP；倍率由爬塔专用源表执行。</t>
        </is>
      </c>
      <c r="AE13" t="n">
        <v>120000</v>
      </c>
      <c r="AF13">
        <f>INDEX(_统一战力!$B$2:$B$501,J13)</f>
        <v/>
      </c>
    </row>
    <row r="14" ht="25" customHeight="1">
      <c r="A14" s="27" t="inlineStr">
        <is>
          <t>当前配置</t>
        </is>
      </c>
      <c r="B14" s="27" t="inlineStr">
        <is>
          <t>爬塔</t>
        </is>
      </c>
      <c r="C14" s="28" t="inlineStr">
        <is>
          <t>现行包体1</t>
        </is>
      </c>
      <c r="D14" s="28" t="inlineStr">
        <is>
          <t>第10层</t>
        </is>
      </c>
      <c r="E14" s="28" t="inlineStr">
        <is>
          <t>300011</t>
        </is>
      </c>
      <c r="F14" s="27" t="inlineStr">
        <is>
          <t>Boss</t>
        </is>
      </c>
      <c r="G14" s="37" t="n">
        <v>40</v>
      </c>
      <c r="H14" s="38" t="n"/>
      <c r="I14" s="39">
        <f>IF($H14="",$G14,$H14)</f>
        <v/>
      </c>
      <c r="J14" s="40" t="n">
        <v>45</v>
      </c>
      <c r="K14" s="72" t="n">
        <v>1.13192683584797</v>
      </c>
      <c r="L14" s="72" t="n">
        <v>0.785011875798147</v>
      </c>
      <c r="M14" s="72" t="n">
        <v>1</v>
      </c>
      <c r="N14" s="73" t="n"/>
      <c r="O14" s="73" t="n"/>
      <c r="P14" s="73" t="n"/>
      <c r="Q14" s="74">
        <f>IF($I14="","",IFERROR(INDEX(_玩家曲线!$H$2:$H$286,MATCH($I14,_玩家曲线!$A$2:$A$286,0)),""))</f>
        <v/>
      </c>
      <c r="R14" s="74">
        <f>IF($I14="","",IFERROR(INDEX(_玩家曲线!$I$2:$I$286,MATCH($I14,_玩家曲线!$A$2:$A$286,0)),""))</f>
        <v/>
      </c>
      <c r="S14" s="74">
        <f>SUMIF(_爬塔队伍!$A$2:$A$501,VALUE(SUBSTITUTE(SUBSTITUTE(D14,"第",""),"层","")),_爬塔队伍!$C$2:$C$501)</f>
        <v/>
      </c>
      <c r="T14" s="74">
        <f>SUMIF(_爬塔队伍!$A$2:$A$501,VALUE(SUBSTITUTE(SUBSTITUTE(D14,"第",""),"层","")),_爬塔队伍!$D$2:$D$501)</f>
        <v/>
      </c>
      <c r="U14" s="74">
        <f>SUMIF(_爬塔队伍!$A$2:$A$501,VALUE(SUBSTITUTE(SUBSTITUTE(D14,"第",""),"层","")),_爬塔队伍!$E$2:$E$501)/COUNTIF(_爬塔队伍!$A$2:$A$501,VALUE(SUBSTITUTE(SUBSTITUTE(D14,"第",""),"层","")))</f>
        <v/>
      </c>
      <c r="V14" s="75">
        <f>IF($U14="","",MIN(0.75,$U14/($U14+24000)))</f>
        <v/>
      </c>
      <c r="W14" s="76">
        <f>SUMIF(_爬塔队伍!$A$2:$A$501,VALUE(SUBSTITUTE(SUBSTITUTE(D14,"第",""),"层","")),_爬塔队伍!$F$2:$F$501)</f>
        <v/>
      </c>
      <c r="X14" s="76">
        <f>IF(OR($W14="",$Q14="",$Q14=0),"",$W14/$Q14)</f>
        <v/>
      </c>
      <c r="Y14" s="76">
        <f>IF(OR($R14="",$T14="",$T14=0),"",$R14/($T14*IF($O14="",1,$O14)))</f>
        <v/>
      </c>
      <c r="Z14" s="77">
        <f>IF(OR($X14="",$P14="",$P14=0),"",$X14/$P14)</f>
        <v/>
      </c>
      <c r="AA14" s="27">
        <f>IF($J14="","待填怪物等级",IF(OR($I14="",$Q14=""),"待填对照关卡",IF($P14="","已计算",IF(AND($Y14&lt;&gt;"",$Y14&lt;$X14),"生存不成立",IF($Z14&lt;0.5,"碾压",IF($Z14&lt;0.8,"偏简单",IF($Z14&lt;=1.2,"适中",IF($Z14&lt;=1.5,"偏难","过难"))))))))</f>
        <v/>
      </c>
      <c r="AB14" s="27">
        <f>IF($J14="","待填",IF(AND(ISNUMBER($J14),$J14&gt;=1,$J14&lt;=500,MOD($J14,1)=0),"有效","超范围"))</f>
        <v/>
      </c>
      <c r="AC14" s="27">
        <f>IF(OR($J14="",ROW()=5,$B14&lt;&gt;$B13,$J13=""),"",IF($J14&lt;$J13,"下降",""))</f>
        <v/>
      </c>
      <c r="AD14" s="28" t="inlineStr">
        <is>
          <t>整队验算：S/T为五人总生命/总攻击，U为平均防御，W为逐人计算后求和EHP；倍率由爬塔专用源表执行。</t>
        </is>
      </c>
      <c r="AE14" t="n">
        <v>136000</v>
      </c>
      <c r="AF14">
        <f>INDEX(_统一战力!$B$2:$B$501,J14)</f>
        <v/>
      </c>
    </row>
    <row r="15" ht="25" customHeight="1">
      <c r="A15" s="27" t="inlineStr">
        <is>
          <t>当前配置</t>
        </is>
      </c>
      <c r="B15" s="27" t="inlineStr">
        <is>
          <t>爬塔</t>
        </is>
      </c>
      <c r="C15" s="28" t="inlineStr">
        <is>
          <t>现行包体1</t>
        </is>
      </c>
      <c r="D15" s="28" t="inlineStr">
        <is>
          <t>第11层</t>
        </is>
      </c>
      <c r="E15" s="28" t="inlineStr">
        <is>
          <t>300012</t>
        </is>
      </c>
      <c r="F15" s="27" t="inlineStr">
        <is>
          <t>普通怪</t>
        </is>
      </c>
      <c r="G15" s="37" t="n">
        <v>42</v>
      </c>
      <c r="H15" s="38" t="n"/>
      <c r="I15" s="39">
        <f>IF($H15="",$G15,$H15)</f>
        <v/>
      </c>
      <c r="J15" s="40" t="n">
        <v>49</v>
      </c>
      <c r="K15" s="72" t="n">
        <v>1.13026956740706</v>
      </c>
      <c r="L15" s="72" t="n">
        <v>0.773622223301039</v>
      </c>
      <c r="M15" s="72" t="n">
        <v>1</v>
      </c>
      <c r="N15" s="73" t="n"/>
      <c r="O15" s="73" t="n"/>
      <c r="P15" s="73" t="n"/>
      <c r="Q15" s="74">
        <f>IF($I15="","",IFERROR(INDEX(_玩家曲线!$H$2:$H$286,MATCH($I15,_玩家曲线!$A$2:$A$286,0)),""))</f>
        <v/>
      </c>
      <c r="R15" s="74">
        <f>IF($I15="","",IFERROR(INDEX(_玩家曲线!$I$2:$I$286,MATCH($I15,_玩家曲线!$A$2:$A$286,0)),""))</f>
        <v/>
      </c>
      <c r="S15" s="74">
        <f>SUMIF(_爬塔队伍!$A$2:$A$501,VALUE(SUBSTITUTE(SUBSTITUTE(D15,"第",""),"层","")),_爬塔队伍!$C$2:$C$501)</f>
        <v/>
      </c>
      <c r="T15" s="74">
        <f>SUMIF(_爬塔队伍!$A$2:$A$501,VALUE(SUBSTITUTE(SUBSTITUTE(D15,"第",""),"层","")),_爬塔队伍!$D$2:$D$501)</f>
        <v/>
      </c>
      <c r="U15" s="74">
        <f>SUMIF(_爬塔队伍!$A$2:$A$501,VALUE(SUBSTITUTE(SUBSTITUTE(D15,"第",""),"层","")),_爬塔队伍!$E$2:$E$501)/COUNTIF(_爬塔队伍!$A$2:$A$501,VALUE(SUBSTITUTE(SUBSTITUTE(D15,"第",""),"层","")))</f>
        <v/>
      </c>
      <c r="V15" s="75">
        <f>IF($U15="","",MIN(0.75,$U15/($U15+24000)))</f>
        <v/>
      </c>
      <c r="W15" s="76">
        <f>SUMIF(_爬塔队伍!$A$2:$A$501,VALUE(SUBSTITUTE(SUBSTITUTE(D15,"第",""),"层","")),_爬塔队伍!$F$2:$F$501)</f>
        <v/>
      </c>
      <c r="X15" s="76">
        <f>IF(OR($W15="",$Q15="",$Q15=0),"",$W15/$Q15)</f>
        <v/>
      </c>
      <c r="Y15" s="76">
        <f>IF(OR($R15="",$T15="",$T15=0),"",$R15/($T15*IF($O15="",1,$O15)))</f>
        <v/>
      </c>
      <c r="Z15" s="77">
        <f>IF(OR($X15="",$P15="",$P15=0),"",$X15/$P15)</f>
        <v/>
      </c>
      <c r="AA15" s="27">
        <f>IF($J15="","待填怪物等级",IF(OR($I15="",$Q15=""),"待填对照关卡",IF($P15="","已计算",IF(AND($Y15&lt;&gt;"",$Y15&lt;$X15),"生存不成立",IF($Z15&lt;0.5,"碾压",IF($Z15&lt;0.8,"偏简单",IF($Z15&lt;=1.2,"适中",IF($Z15&lt;=1.5,"偏难","过难"))))))))</f>
        <v/>
      </c>
      <c r="AB15" s="27">
        <f>IF($J15="","待填",IF(AND(ISNUMBER($J15),$J15&gt;=1,$J15&lt;=500,MOD($J15,1)=0),"有效","超范围"))</f>
        <v/>
      </c>
      <c r="AC15" s="27">
        <f>IF(OR($J15="",ROW()=5,$B15&lt;&gt;$B14,$J14=""),"",IF($J15&lt;$J14,"下降",""))</f>
        <v/>
      </c>
      <c r="AD15" s="28" t="inlineStr">
        <is>
          <t>整队验算：S/T为五人总生命/总攻击，U为平均防御，W为逐人计算后求和EHP；倍率由爬塔专用源表执行。</t>
        </is>
      </c>
      <c r="AE15" t="n">
        <v>147000</v>
      </c>
      <c r="AF15">
        <f>INDEX(_统一战力!$B$2:$B$501,J15)</f>
        <v/>
      </c>
    </row>
    <row r="16" ht="25" customHeight="1">
      <c r="A16" s="27" t="inlineStr">
        <is>
          <t>当前配置</t>
        </is>
      </c>
      <c r="B16" s="27" t="inlineStr">
        <is>
          <t>爬塔</t>
        </is>
      </c>
      <c r="C16" s="28" t="inlineStr">
        <is>
          <t>现行包体1</t>
        </is>
      </c>
      <c r="D16" s="28" t="inlineStr">
        <is>
          <t>第12层</t>
        </is>
      </c>
      <c r="E16" s="28" t="inlineStr">
        <is>
          <t>300013</t>
        </is>
      </c>
      <c r="F16" s="27" t="inlineStr">
        <is>
          <t>普通怪</t>
        </is>
      </c>
      <c r="G16" s="37" t="n">
        <v>44</v>
      </c>
      <c r="H16" s="38" t="n"/>
      <c r="I16" s="39">
        <f>IF($H16="",$G16,$H16)</f>
        <v/>
      </c>
      <c r="J16" s="40" t="n">
        <v>52</v>
      </c>
      <c r="K16" s="72" t="n">
        <v>1.13196374709648</v>
      </c>
      <c r="L16" s="72" t="n">
        <v>0.761718454731972</v>
      </c>
      <c r="M16" s="72" t="n">
        <v>1</v>
      </c>
      <c r="N16" s="73" t="n"/>
      <c r="O16" s="73" t="n"/>
      <c r="P16" s="73" t="n"/>
      <c r="Q16" s="74">
        <f>IF($I16="","",IFERROR(INDEX(_玩家曲线!$H$2:$H$286,MATCH($I16,_玩家曲线!$A$2:$A$286,0)),""))</f>
        <v/>
      </c>
      <c r="R16" s="74">
        <f>IF($I16="","",IFERROR(INDEX(_玩家曲线!$I$2:$I$286,MATCH($I16,_玩家曲线!$A$2:$A$286,0)),""))</f>
        <v/>
      </c>
      <c r="S16" s="74">
        <f>SUMIF(_爬塔队伍!$A$2:$A$501,VALUE(SUBSTITUTE(SUBSTITUTE(D16,"第",""),"层","")),_爬塔队伍!$C$2:$C$501)</f>
        <v/>
      </c>
      <c r="T16" s="74">
        <f>SUMIF(_爬塔队伍!$A$2:$A$501,VALUE(SUBSTITUTE(SUBSTITUTE(D16,"第",""),"层","")),_爬塔队伍!$D$2:$D$501)</f>
        <v/>
      </c>
      <c r="U16" s="74">
        <f>SUMIF(_爬塔队伍!$A$2:$A$501,VALUE(SUBSTITUTE(SUBSTITUTE(D16,"第",""),"层","")),_爬塔队伍!$E$2:$E$501)/COUNTIF(_爬塔队伍!$A$2:$A$501,VALUE(SUBSTITUTE(SUBSTITUTE(D16,"第",""),"层","")))</f>
        <v/>
      </c>
      <c r="V16" s="75">
        <f>IF($U16="","",MIN(0.75,$U16/($U16+24000)))</f>
        <v/>
      </c>
      <c r="W16" s="76">
        <f>SUMIF(_爬塔队伍!$A$2:$A$501,VALUE(SUBSTITUTE(SUBSTITUTE(D16,"第",""),"层","")),_爬塔队伍!$F$2:$F$501)</f>
        <v/>
      </c>
      <c r="X16" s="76">
        <f>IF(OR($W16="",$Q16="",$Q16=0),"",$W16/$Q16)</f>
        <v/>
      </c>
      <c r="Y16" s="76">
        <f>IF(OR($R16="",$T16="",$T16=0),"",$R16/($T16*IF($O16="",1,$O16)))</f>
        <v/>
      </c>
      <c r="Z16" s="77">
        <f>IF(OR($X16="",$P16="",$P16=0),"",$X16/$P16)</f>
        <v/>
      </c>
      <c r="AA16" s="27">
        <f>IF($J16="","待填怪物等级",IF(OR($I16="",$Q16=""),"待填对照关卡",IF($P16="","已计算",IF(AND($Y16&lt;&gt;"",$Y16&lt;$X16),"生存不成立",IF($Z16&lt;0.5,"碾压",IF($Z16&lt;0.8,"偏简单",IF($Z16&lt;=1.2,"适中",IF($Z16&lt;=1.5,"偏难","过难"))))))))</f>
        <v/>
      </c>
      <c r="AB16" s="27">
        <f>IF($J16="","待填",IF(AND(ISNUMBER($J16),$J16&gt;=1,$J16&lt;=500,MOD($J16,1)=0),"有效","超范围"))</f>
        <v/>
      </c>
      <c r="AC16" s="27">
        <f>IF(OR($J16="",ROW()=5,$B16&lt;&gt;$B15,$J15=""),"",IF($J16&lt;$J15,"下降",""))</f>
        <v/>
      </c>
      <c r="AD16" s="28" t="inlineStr">
        <is>
          <t>整队验算：S/T为五人总生命/总攻击，U为平均防御，W为逐人计算后求和EHP；倍率由爬塔专用源表执行。</t>
        </is>
      </c>
      <c r="AE16" t="n">
        <v>151000</v>
      </c>
      <c r="AF16">
        <f>INDEX(_统一战力!$B$2:$B$501,J16)</f>
        <v/>
      </c>
    </row>
    <row r="17" ht="25" customHeight="1">
      <c r="A17" s="27" t="inlineStr">
        <is>
          <t>当前配置</t>
        </is>
      </c>
      <c r="B17" s="27" t="inlineStr">
        <is>
          <t>爬塔</t>
        </is>
      </c>
      <c r="C17" s="28" t="inlineStr">
        <is>
          <t>现行包体1</t>
        </is>
      </c>
      <c r="D17" s="28" t="inlineStr">
        <is>
          <t>第13层</t>
        </is>
      </c>
      <c r="E17" s="28" t="inlineStr">
        <is>
          <t>300014</t>
        </is>
      </c>
      <c r="F17" s="27" t="inlineStr">
        <is>
          <t>普通怪</t>
        </is>
      </c>
      <c r="G17" s="37" t="n">
        <v>47</v>
      </c>
      <c r="H17" s="38" t="n"/>
      <c r="I17" s="39">
        <f>IF($H17="",$G17,$H17)</f>
        <v/>
      </c>
      <c r="J17" s="40" t="n">
        <v>56</v>
      </c>
      <c r="K17" s="72" t="n">
        <v>1.12378784957974</v>
      </c>
      <c r="L17" s="72" t="n">
        <v>0.751671001397309</v>
      </c>
      <c r="M17" s="72" t="n">
        <v>1</v>
      </c>
      <c r="N17" s="73" t="n"/>
      <c r="O17" s="73" t="n"/>
      <c r="P17" s="73" t="n"/>
      <c r="Q17" s="74">
        <f>IF($I17="","",IFERROR(INDEX(_玩家曲线!$H$2:$H$286,MATCH($I17,_玩家曲线!$A$2:$A$286,0)),""))</f>
        <v/>
      </c>
      <c r="R17" s="74">
        <f>IF($I17="","",IFERROR(INDEX(_玩家曲线!$I$2:$I$286,MATCH($I17,_玩家曲线!$A$2:$A$286,0)),""))</f>
        <v/>
      </c>
      <c r="S17" s="74">
        <f>SUMIF(_爬塔队伍!$A$2:$A$501,VALUE(SUBSTITUTE(SUBSTITUTE(D17,"第",""),"层","")),_爬塔队伍!$C$2:$C$501)</f>
        <v/>
      </c>
      <c r="T17" s="74">
        <f>SUMIF(_爬塔队伍!$A$2:$A$501,VALUE(SUBSTITUTE(SUBSTITUTE(D17,"第",""),"层","")),_爬塔队伍!$D$2:$D$501)</f>
        <v/>
      </c>
      <c r="U17" s="74">
        <f>SUMIF(_爬塔队伍!$A$2:$A$501,VALUE(SUBSTITUTE(SUBSTITUTE(D17,"第",""),"层","")),_爬塔队伍!$E$2:$E$501)/COUNTIF(_爬塔队伍!$A$2:$A$501,VALUE(SUBSTITUTE(SUBSTITUTE(D17,"第",""),"层","")))</f>
        <v/>
      </c>
      <c r="V17" s="75">
        <f>IF($U17="","",MIN(0.75,$U17/($U17+24000)))</f>
        <v/>
      </c>
      <c r="W17" s="76">
        <f>SUMIF(_爬塔队伍!$A$2:$A$501,VALUE(SUBSTITUTE(SUBSTITUTE(D17,"第",""),"层","")),_爬塔队伍!$F$2:$F$501)</f>
        <v/>
      </c>
      <c r="X17" s="76">
        <f>IF(OR($W17="",$Q17="",$Q17=0),"",$W17/$Q17)</f>
        <v/>
      </c>
      <c r="Y17" s="76">
        <f>IF(OR($R17="",$T17="",$T17=0),"",$R17/($T17*IF($O17="",1,$O17)))</f>
        <v/>
      </c>
      <c r="Z17" s="77">
        <f>IF(OR($X17="",$P17="",$P17=0),"",$X17/$P17)</f>
        <v/>
      </c>
      <c r="AA17" s="27">
        <f>IF($J17="","待填怪物等级",IF(OR($I17="",$Q17=""),"待填对照关卡",IF($P17="","已计算",IF(AND($Y17&lt;&gt;"",$Y17&lt;$X17),"生存不成立",IF($Z17&lt;0.5,"碾压",IF($Z17&lt;0.8,"偏简单",IF($Z17&lt;=1.2,"适中",IF($Z17&lt;=1.5,"偏难","过难"))))))))</f>
        <v/>
      </c>
      <c r="AB17" s="27">
        <f>IF($J17="","待填",IF(AND(ISNUMBER($J17),$J17&gt;=1,$J17&lt;=500,MOD($J17,1)=0),"有效","超范围"))</f>
        <v/>
      </c>
      <c r="AC17" s="27">
        <f>IF(OR($J17="",ROW()=5,$B17&lt;&gt;$B16,$J16=""),"",IF($J17&lt;$J16,"下降",""))</f>
        <v/>
      </c>
      <c r="AD17" s="28" t="inlineStr">
        <is>
          <t>整队验算：S/T为五人总生命/总攻击，U为平均防御，W为逐人计算后求和EHP；倍率由爬塔专用源表执行。</t>
        </is>
      </c>
      <c r="AE17" t="n">
        <v>175000</v>
      </c>
      <c r="AF17">
        <f>INDEX(_统一战力!$B$2:$B$501,J17)</f>
        <v/>
      </c>
    </row>
    <row r="18" ht="25" customHeight="1">
      <c r="A18" s="27" t="inlineStr">
        <is>
          <t>当前配置</t>
        </is>
      </c>
      <c r="B18" s="27" t="inlineStr">
        <is>
          <t>爬塔</t>
        </is>
      </c>
      <c r="C18" s="28" t="inlineStr">
        <is>
          <t>现行包体1</t>
        </is>
      </c>
      <c r="D18" s="28" t="inlineStr">
        <is>
          <t>第14层</t>
        </is>
      </c>
      <c r="E18" s="28" t="inlineStr">
        <is>
          <t>300015</t>
        </is>
      </c>
      <c r="F18" s="27" t="inlineStr">
        <is>
          <t>普通怪</t>
        </is>
      </c>
      <c r="G18" s="37" t="n">
        <v>49</v>
      </c>
      <c r="H18" s="38" t="n"/>
      <c r="I18" s="39">
        <f>IF($H18="",$G18,$H18)</f>
        <v/>
      </c>
      <c r="J18" s="40" t="n">
        <v>59</v>
      </c>
      <c r="K18" s="72" t="n">
        <v>1.12010583074231</v>
      </c>
      <c r="L18" s="72" t="n">
        <v>0.738990752928763</v>
      </c>
      <c r="M18" s="72" t="n">
        <v>1</v>
      </c>
      <c r="N18" s="73" t="n"/>
      <c r="O18" s="73" t="n"/>
      <c r="P18" s="73" t="n"/>
      <c r="Q18" s="74">
        <f>IF($I18="","",IFERROR(INDEX(_玩家曲线!$H$2:$H$286,MATCH($I18,_玩家曲线!$A$2:$A$286,0)),""))</f>
        <v/>
      </c>
      <c r="R18" s="74">
        <f>IF($I18="","",IFERROR(INDEX(_玩家曲线!$I$2:$I$286,MATCH($I18,_玩家曲线!$A$2:$A$286,0)),""))</f>
        <v/>
      </c>
      <c r="S18" s="74">
        <f>SUMIF(_爬塔队伍!$A$2:$A$501,VALUE(SUBSTITUTE(SUBSTITUTE(D18,"第",""),"层","")),_爬塔队伍!$C$2:$C$501)</f>
        <v/>
      </c>
      <c r="T18" s="74">
        <f>SUMIF(_爬塔队伍!$A$2:$A$501,VALUE(SUBSTITUTE(SUBSTITUTE(D18,"第",""),"层","")),_爬塔队伍!$D$2:$D$501)</f>
        <v/>
      </c>
      <c r="U18" s="74">
        <f>SUMIF(_爬塔队伍!$A$2:$A$501,VALUE(SUBSTITUTE(SUBSTITUTE(D18,"第",""),"层","")),_爬塔队伍!$E$2:$E$501)/COUNTIF(_爬塔队伍!$A$2:$A$501,VALUE(SUBSTITUTE(SUBSTITUTE(D18,"第",""),"层","")))</f>
        <v/>
      </c>
      <c r="V18" s="75">
        <f>IF($U18="","",MIN(0.75,$U18/($U18+24000)))</f>
        <v/>
      </c>
      <c r="W18" s="76">
        <f>SUMIF(_爬塔队伍!$A$2:$A$501,VALUE(SUBSTITUTE(SUBSTITUTE(D18,"第",""),"层","")),_爬塔队伍!$F$2:$F$501)</f>
        <v/>
      </c>
      <c r="X18" s="76">
        <f>IF(OR($W18="",$Q18="",$Q18=0),"",$W18/$Q18)</f>
        <v/>
      </c>
      <c r="Y18" s="76">
        <f>IF(OR($R18="",$T18="",$T18=0),"",$R18/($T18*IF($O18="",1,$O18)))</f>
        <v/>
      </c>
      <c r="Z18" s="77">
        <f>IF(OR($X18="",$P18="",$P18=0),"",$X18/$P18)</f>
        <v/>
      </c>
      <c r="AA18" s="27">
        <f>IF($J18="","待填怪物等级",IF(OR($I18="",$Q18=""),"待填对照关卡",IF($P18="","已计算",IF(AND($Y18&lt;&gt;"",$Y18&lt;$X18),"生存不成立",IF($Z18&lt;0.5,"碾压",IF($Z18&lt;0.8,"偏简单",IF($Z18&lt;=1.2,"适中",IF($Z18&lt;=1.5,"偏难","过难"))))))))</f>
        <v/>
      </c>
      <c r="AB18" s="27">
        <f>IF($J18="","待填",IF(AND(ISNUMBER($J18),$J18&gt;=1,$J18&lt;=500,MOD($J18,1)=0),"有效","超范围"))</f>
        <v/>
      </c>
      <c r="AC18" s="27">
        <f>IF(OR($J18="",ROW()=5,$B18&lt;&gt;$B17,$J17=""),"",IF($J18&lt;$J17,"下降",""))</f>
        <v/>
      </c>
      <c r="AD18" s="28" t="inlineStr">
        <is>
          <t>整队验算：S/T为五人总生命/总攻击，U为平均防御，W为逐人计算后求和EHP；倍率由爬塔专用源表执行。</t>
        </is>
      </c>
      <c r="AE18" t="n">
        <v>180000</v>
      </c>
      <c r="AF18">
        <f>INDEX(_统一战力!$B$2:$B$501,J18)</f>
        <v/>
      </c>
    </row>
    <row r="19" ht="25" customHeight="1">
      <c r="A19" s="27" t="inlineStr">
        <is>
          <t>当前配置</t>
        </is>
      </c>
      <c r="B19" s="27" t="inlineStr">
        <is>
          <t>爬塔</t>
        </is>
      </c>
      <c r="C19" s="28" t="inlineStr">
        <is>
          <t>现行包体1</t>
        </is>
      </c>
      <c r="D19" s="28" t="inlineStr">
        <is>
          <t>第15层</t>
        </is>
      </c>
      <c r="E19" s="28" t="inlineStr">
        <is>
          <t>300016</t>
        </is>
      </c>
      <c r="F19" s="27" t="inlineStr">
        <is>
          <t>精英怪</t>
        </is>
      </c>
      <c r="G19" s="37" t="n">
        <v>51</v>
      </c>
      <c r="H19" s="38" t="n"/>
      <c r="I19" s="39">
        <f>IF($H19="",$G19,$H19)</f>
        <v/>
      </c>
      <c r="J19" s="40" t="n">
        <v>63</v>
      </c>
      <c r="K19" s="72" t="n">
        <v>1.13181912616307</v>
      </c>
      <c r="L19" s="72" t="n">
        <v>0.737244833037194</v>
      </c>
      <c r="M19" s="72" t="n">
        <v>1</v>
      </c>
      <c r="N19" s="73" t="n"/>
      <c r="O19" s="73" t="n"/>
      <c r="P19" s="73" t="n"/>
      <c r="Q19" s="74">
        <f>IF($I19="","",IFERROR(INDEX(_玩家曲线!$H$2:$H$286,MATCH($I19,_玩家曲线!$A$2:$A$286,0)),""))</f>
        <v/>
      </c>
      <c r="R19" s="74">
        <f>IF($I19="","",IFERROR(INDEX(_玩家曲线!$I$2:$I$286,MATCH($I19,_玩家曲线!$A$2:$A$286,0)),""))</f>
        <v/>
      </c>
      <c r="S19" s="74">
        <f>SUMIF(_爬塔队伍!$A$2:$A$501,VALUE(SUBSTITUTE(SUBSTITUTE(D19,"第",""),"层","")),_爬塔队伍!$C$2:$C$501)</f>
        <v/>
      </c>
      <c r="T19" s="74">
        <f>SUMIF(_爬塔队伍!$A$2:$A$501,VALUE(SUBSTITUTE(SUBSTITUTE(D19,"第",""),"层","")),_爬塔队伍!$D$2:$D$501)</f>
        <v/>
      </c>
      <c r="U19" s="74">
        <f>SUMIF(_爬塔队伍!$A$2:$A$501,VALUE(SUBSTITUTE(SUBSTITUTE(D19,"第",""),"层","")),_爬塔队伍!$E$2:$E$501)/COUNTIF(_爬塔队伍!$A$2:$A$501,VALUE(SUBSTITUTE(SUBSTITUTE(D19,"第",""),"层","")))</f>
        <v/>
      </c>
      <c r="V19" s="75">
        <f>IF($U19="","",MIN(0.75,$U19/($U19+24000)))</f>
        <v/>
      </c>
      <c r="W19" s="76">
        <f>SUMIF(_爬塔队伍!$A$2:$A$501,VALUE(SUBSTITUTE(SUBSTITUTE(D19,"第",""),"层","")),_爬塔队伍!$F$2:$F$501)</f>
        <v/>
      </c>
      <c r="X19" s="76">
        <f>IF(OR($W19="",$Q19="",$Q19=0),"",$W19/$Q19)</f>
        <v/>
      </c>
      <c r="Y19" s="76">
        <f>IF(OR($R19="",$T19="",$T19=0),"",$R19/($T19*IF($O19="",1,$O19)))</f>
        <v/>
      </c>
      <c r="Z19" s="77">
        <f>IF(OR($X19="",$P19="",$P19=0),"",$X19/$P19)</f>
        <v/>
      </c>
      <c r="AA19" s="27">
        <f>IF($J19="","待填怪物等级",IF(OR($I19="",$Q19=""),"待填对照关卡",IF($P19="","已计算",IF(AND($Y19&lt;&gt;"",$Y19&lt;$X19),"生存不成立",IF($Z19&lt;0.5,"碾压",IF($Z19&lt;0.8,"偏简单",IF($Z19&lt;=1.2,"适中",IF($Z19&lt;=1.5,"偏难","过难"))))))))</f>
        <v/>
      </c>
      <c r="AB19" s="27">
        <f>IF($J19="","待填",IF(AND(ISNUMBER($J19),$J19&gt;=1,$J19&lt;=500,MOD($J19,1)=0),"有效","超范围"))</f>
        <v/>
      </c>
      <c r="AC19" s="27">
        <f>IF(OR($J19="",ROW()=5,$B19&lt;&gt;$B18,$J18=""),"",IF($J19&lt;$J18,"下降",""))</f>
        <v/>
      </c>
      <c r="AD19" s="28" t="inlineStr">
        <is>
          <t>整队验算：S/T为五人总生命/总攻击，U为平均防御，W为逐人计算后求和EHP；倍率由爬塔专用源表执行。</t>
        </is>
      </c>
      <c r="AE19" t="n">
        <v>185000</v>
      </c>
      <c r="AF19">
        <f>INDEX(_统一战力!$B$2:$B$501,J19)</f>
        <v/>
      </c>
    </row>
    <row r="20" ht="25" customHeight="1">
      <c r="A20" s="27" t="inlineStr">
        <is>
          <t>当前配置</t>
        </is>
      </c>
      <c r="B20" s="27" t="inlineStr">
        <is>
          <t>爬塔</t>
        </is>
      </c>
      <c r="C20" s="28" t="inlineStr">
        <is>
          <t>现行包体1</t>
        </is>
      </c>
      <c r="D20" s="28" t="inlineStr">
        <is>
          <t>第16层</t>
        </is>
      </c>
      <c r="E20" s="28" t="inlineStr">
        <is>
          <t>300017</t>
        </is>
      </c>
      <c r="F20" s="27" t="inlineStr">
        <is>
          <t>普通怪</t>
        </is>
      </c>
      <c r="G20" s="37" t="n">
        <v>53</v>
      </c>
      <c r="H20" s="38" t="n"/>
      <c r="I20" s="39">
        <f>IF($H20="",$G20,$H20)</f>
        <v/>
      </c>
      <c r="J20" s="40" t="n">
        <v>66</v>
      </c>
      <c r="K20" s="72" t="n">
        <v>1.14581687396119</v>
      </c>
      <c r="L20" s="72" t="n">
        <v>0.734314126639064</v>
      </c>
      <c r="M20" s="72" t="n">
        <v>1</v>
      </c>
      <c r="N20" s="73" t="n"/>
      <c r="O20" s="73" t="n"/>
      <c r="P20" s="73" t="n"/>
      <c r="Q20" s="74">
        <f>IF($I20="","",IFERROR(INDEX(_玩家曲线!$H$2:$H$286,MATCH($I20,_玩家曲线!$A$2:$A$286,0)),""))</f>
        <v/>
      </c>
      <c r="R20" s="74">
        <f>IF($I20="","",IFERROR(INDEX(_玩家曲线!$I$2:$I$286,MATCH($I20,_玩家曲线!$A$2:$A$286,0)),""))</f>
        <v/>
      </c>
      <c r="S20" s="74">
        <f>SUMIF(_爬塔队伍!$A$2:$A$501,VALUE(SUBSTITUTE(SUBSTITUTE(D20,"第",""),"层","")),_爬塔队伍!$C$2:$C$501)</f>
        <v/>
      </c>
      <c r="T20" s="74">
        <f>SUMIF(_爬塔队伍!$A$2:$A$501,VALUE(SUBSTITUTE(SUBSTITUTE(D20,"第",""),"层","")),_爬塔队伍!$D$2:$D$501)</f>
        <v/>
      </c>
      <c r="U20" s="74">
        <f>SUMIF(_爬塔队伍!$A$2:$A$501,VALUE(SUBSTITUTE(SUBSTITUTE(D20,"第",""),"层","")),_爬塔队伍!$E$2:$E$501)/COUNTIF(_爬塔队伍!$A$2:$A$501,VALUE(SUBSTITUTE(SUBSTITUTE(D20,"第",""),"层","")))</f>
        <v/>
      </c>
      <c r="V20" s="75">
        <f>IF($U20="","",MIN(0.75,$U20/($U20+24000)))</f>
        <v/>
      </c>
      <c r="W20" s="76">
        <f>SUMIF(_爬塔队伍!$A$2:$A$501,VALUE(SUBSTITUTE(SUBSTITUTE(D20,"第",""),"层","")),_爬塔队伍!$F$2:$F$501)</f>
        <v/>
      </c>
      <c r="X20" s="76">
        <f>IF(OR($W20="",$Q20="",$Q20=0),"",$W20/$Q20)</f>
        <v/>
      </c>
      <c r="Y20" s="76">
        <f>IF(OR($R20="",$T20="",$T20=0),"",$R20/($T20*IF($O20="",1,$O20)))</f>
        <v/>
      </c>
      <c r="Z20" s="77">
        <f>IF(OR($X20="",$P20="",$P20=0),"",$X20/$P20)</f>
        <v/>
      </c>
      <c r="AA20" s="27">
        <f>IF($J20="","待填怪物等级",IF(OR($I20="",$Q20=""),"待填对照关卡",IF($P20="","已计算",IF(AND($Y20&lt;&gt;"",$Y20&lt;$X20),"生存不成立",IF($Z20&lt;0.5,"碾压",IF($Z20&lt;0.8,"偏简单",IF($Z20&lt;=1.2,"适中",IF($Z20&lt;=1.5,"偏难","过难"))))))))</f>
        <v/>
      </c>
      <c r="AB20" s="27">
        <f>IF($J20="","待填",IF(AND(ISNUMBER($J20),$J20&gt;=1,$J20&lt;=500,MOD($J20,1)=0),"有效","超范围"))</f>
        <v/>
      </c>
      <c r="AC20" s="27">
        <f>IF(OR($J20="",ROW()=5,$B20&lt;&gt;$B19,$J19=""),"",IF($J20&lt;$J19,"下降",""))</f>
        <v/>
      </c>
      <c r="AD20" s="28" t="inlineStr">
        <is>
          <t>整队验算：S/T为五人总生命/总攻击，U为平均防御，W为逐人计算后求和EHP；倍率由爬塔专用源表执行。</t>
        </is>
      </c>
      <c r="AE20" t="n">
        <v>197000</v>
      </c>
      <c r="AF20">
        <f>INDEX(_统一战力!$B$2:$B$501,J20)</f>
        <v/>
      </c>
    </row>
    <row r="21" ht="25" customHeight="1">
      <c r="A21" s="27" t="inlineStr">
        <is>
          <t>当前配置</t>
        </is>
      </c>
      <c r="B21" s="27" t="inlineStr">
        <is>
          <t>爬塔</t>
        </is>
      </c>
      <c r="C21" s="28" t="inlineStr">
        <is>
          <t>现行包体1</t>
        </is>
      </c>
      <c r="D21" s="28" t="inlineStr">
        <is>
          <t>第17层</t>
        </is>
      </c>
      <c r="E21" s="28" t="inlineStr">
        <is>
          <t>300018</t>
        </is>
      </c>
      <c r="F21" s="27" t="inlineStr">
        <is>
          <t>普通怪</t>
        </is>
      </c>
      <c r="G21" s="37" t="n">
        <v>55</v>
      </c>
      <c r="H21" s="38" t="n"/>
      <c r="I21" s="39">
        <f>IF($H21="",$G21,$H21)</f>
        <v/>
      </c>
      <c r="J21" s="40" t="n">
        <v>70</v>
      </c>
      <c r="K21" s="72" t="n">
        <v>1.13362833785909</v>
      </c>
      <c r="L21" s="72" t="n">
        <v>0.723026843108719</v>
      </c>
      <c r="M21" s="72" t="n">
        <v>1</v>
      </c>
      <c r="N21" s="73" t="n"/>
      <c r="O21" s="73" t="n"/>
      <c r="P21" s="73" t="n"/>
      <c r="Q21" s="74">
        <f>IF($I21="","",IFERROR(INDEX(_玩家曲线!$H$2:$H$286,MATCH($I21,_玩家曲线!$A$2:$A$286,0)),""))</f>
        <v/>
      </c>
      <c r="R21" s="74">
        <f>IF($I21="","",IFERROR(INDEX(_玩家曲线!$I$2:$I$286,MATCH($I21,_玩家曲线!$A$2:$A$286,0)),""))</f>
        <v/>
      </c>
      <c r="S21" s="74">
        <f>SUMIF(_爬塔队伍!$A$2:$A$501,VALUE(SUBSTITUTE(SUBSTITUTE(D21,"第",""),"层","")),_爬塔队伍!$C$2:$C$501)</f>
        <v/>
      </c>
      <c r="T21" s="74">
        <f>SUMIF(_爬塔队伍!$A$2:$A$501,VALUE(SUBSTITUTE(SUBSTITUTE(D21,"第",""),"层","")),_爬塔队伍!$D$2:$D$501)</f>
        <v/>
      </c>
      <c r="U21" s="74">
        <f>SUMIF(_爬塔队伍!$A$2:$A$501,VALUE(SUBSTITUTE(SUBSTITUTE(D21,"第",""),"层","")),_爬塔队伍!$E$2:$E$501)/COUNTIF(_爬塔队伍!$A$2:$A$501,VALUE(SUBSTITUTE(SUBSTITUTE(D21,"第",""),"层","")))</f>
        <v/>
      </c>
      <c r="V21" s="75">
        <f>IF($U21="","",MIN(0.75,$U21/($U21+24000)))</f>
        <v/>
      </c>
      <c r="W21" s="76">
        <f>SUMIF(_爬塔队伍!$A$2:$A$501,VALUE(SUBSTITUTE(SUBSTITUTE(D21,"第",""),"层","")),_爬塔队伍!$F$2:$F$501)</f>
        <v/>
      </c>
      <c r="X21" s="76">
        <f>IF(OR($W21="",$Q21="",$Q21=0),"",$W21/$Q21)</f>
        <v/>
      </c>
      <c r="Y21" s="76">
        <f>IF(OR($R21="",$T21="",$T21=0),"",$R21/($T21*IF($O21="",1,$O21)))</f>
        <v/>
      </c>
      <c r="Z21" s="77">
        <f>IF(OR($X21="",$P21="",$P21=0),"",$X21/$P21)</f>
        <v/>
      </c>
      <c r="AA21" s="27">
        <f>IF($J21="","待填怪物等级",IF(OR($I21="",$Q21=""),"待填对照关卡",IF($P21="","已计算",IF(AND($Y21&lt;&gt;"",$Y21&lt;$X21),"生存不成立",IF($Z21&lt;0.5,"碾压",IF($Z21&lt;0.8,"偏简单",IF($Z21&lt;=1.2,"适中",IF($Z21&lt;=1.5,"偏难","过难"))))))))</f>
        <v/>
      </c>
      <c r="AB21" s="27">
        <f>IF($J21="","待填",IF(AND(ISNUMBER($J21),$J21&gt;=1,$J21&lt;=500,MOD($J21,1)=0),"有效","超范围"))</f>
        <v/>
      </c>
      <c r="AC21" s="27">
        <f>IF(OR($J21="",ROW()=5,$B21&lt;&gt;$B20,$J20=""),"",IF($J21&lt;$J20,"下降",""))</f>
        <v/>
      </c>
      <c r="AD21" s="28" t="inlineStr">
        <is>
          <t>整队验算：S/T为五人总生命/总攻击，U为平均防御，W为逐人计算后求和EHP；倍率由爬塔专用源表执行。</t>
        </is>
      </c>
      <c r="AE21" t="n">
        <v>211000</v>
      </c>
      <c r="AF21">
        <f>INDEX(_统一战力!$B$2:$B$501,J21)</f>
        <v/>
      </c>
    </row>
    <row r="22" ht="25" customHeight="1">
      <c r="A22" s="27" t="inlineStr">
        <is>
          <t>当前配置</t>
        </is>
      </c>
      <c r="B22" s="27" t="inlineStr">
        <is>
          <t>爬塔</t>
        </is>
      </c>
      <c r="C22" s="28" t="inlineStr">
        <is>
          <t>现行包体1</t>
        </is>
      </c>
      <c r="D22" s="28" t="inlineStr">
        <is>
          <t>第18层</t>
        </is>
      </c>
      <c r="E22" s="28" t="inlineStr">
        <is>
          <t>300019</t>
        </is>
      </c>
      <c r="F22" s="27" t="inlineStr">
        <is>
          <t>普通怪</t>
        </is>
      </c>
      <c r="G22" s="37" t="n">
        <v>58</v>
      </c>
      <c r="H22" s="38" t="n"/>
      <c r="I22" s="39">
        <f>IF($H22="",$G22,$H22)</f>
        <v/>
      </c>
      <c r="J22" s="40" t="n">
        <v>73</v>
      </c>
      <c r="K22" s="72" t="n">
        <v>1.15036806139993</v>
      </c>
      <c r="L22" s="72" t="n">
        <v>0.724312412508434</v>
      </c>
      <c r="M22" s="72" t="n">
        <v>1</v>
      </c>
      <c r="N22" s="73" t="n"/>
      <c r="O22" s="73" t="n"/>
      <c r="P22" s="73" t="n"/>
      <c r="Q22" s="74">
        <f>IF($I22="","",IFERROR(INDEX(_玩家曲线!$H$2:$H$286,MATCH($I22,_玩家曲线!$A$2:$A$286,0)),""))</f>
        <v/>
      </c>
      <c r="R22" s="74">
        <f>IF($I22="","",IFERROR(INDEX(_玩家曲线!$I$2:$I$286,MATCH($I22,_玩家曲线!$A$2:$A$286,0)),""))</f>
        <v/>
      </c>
      <c r="S22" s="74">
        <f>SUMIF(_爬塔队伍!$A$2:$A$501,VALUE(SUBSTITUTE(SUBSTITUTE(D22,"第",""),"层","")),_爬塔队伍!$C$2:$C$501)</f>
        <v/>
      </c>
      <c r="T22" s="74">
        <f>SUMIF(_爬塔队伍!$A$2:$A$501,VALUE(SUBSTITUTE(SUBSTITUTE(D22,"第",""),"层","")),_爬塔队伍!$D$2:$D$501)</f>
        <v/>
      </c>
      <c r="U22" s="74">
        <f>SUMIF(_爬塔队伍!$A$2:$A$501,VALUE(SUBSTITUTE(SUBSTITUTE(D22,"第",""),"层","")),_爬塔队伍!$E$2:$E$501)/COUNTIF(_爬塔队伍!$A$2:$A$501,VALUE(SUBSTITUTE(SUBSTITUTE(D22,"第",""),"层","")))</f>
        <v/>
      </c>
      <c r="V22" s="75">
        <f>IF($U22="","",MIN(0.75,$U22/($U22+24000)))</f>
        <v/>
      </c>
      <c r="W22" s="76">
        <f>SUMIF(_爬塔队伍!$A$2:$A$501,VALUE(SUBSTITUTE(SUBSTITUTE(D22,"第",""),"层","")),_爬塔队伍!$F$2:$F$501)</f>
        <v/>
      </c>
      <c r="X22" s="76">
        <f>IF(OR($W22="",$Q22="",$Q22=0),"",$W22/$Q22)</f>
        <v/>
      </c>
      <c r="Y22" s="76">
        <f>IF(OR($R22="",$T22="",$T22=0),"",$R22/($T22*IF($O22="",1,$O22)))</f>
        <v/>
      </c>
      <c r="Z22" s="77">
        <f>IF(OR($X22="",$P22="",$P22=0),"",$X22/$P22)</f>
        <v/>
      </c>
      <c r="AA22" s="27">
        <f>IF($J22="","待填怪物等级",IF(OR($I22="",$Q22=""),"待填对照关卡",IF($P22="","已计算",IF(AND($Y22&lt;&gt;"",$Y22&lt;$X22),"生存不成立",IF($Z22&lt;0.5,"碾压",IF($Z22&lt;0.8,"偏简单",IF($Z22&lt;=1.2,"适中",IF($Z22&lt;=1.5,"偏难","过难"))))))))</f>
        <v/>
      </c>
      <c r="AB22" s="27">
        <f>IF($J22="","待填",IF(AND(ISNUMBER($J22),$J22&gt;=1,$J22&lt;=500,MOD($J22,1)=0),"有效","超范围"))</f>
        <v/>
      </c>
      <c r="AC22" s="27">
        <f>IF(OR($J22="",ROW()=5,$B22&lt;&gt;$B21,$J21=""),"",IF($J22&lt;$J21,"下降",""))</f>
        <v/>
      </c>
      <c r="AD22" s="28" t="inlineStr">
        <is>
          <t>整队验算：S/T为五人总生命/总攻击，U为平均防御，W为逐人计算后求和EHP；倍率由爬塔专用源表执行。</t>
        </is>
      </c>
      <c r="AE22" t="n">
        <v>225000</v>
      </c>
      <c r="AF22">
        <f>INDEX(_统一战力!$B$2:$B$501,J22)</f>
        <v/>
      </c>
    </row>
    <row r="23" ht="25" customHeight="1">
      <c r="A23" s="27" t="inlineStr">
        <is>
          <t>当前配置</t>
        </is>
      </c>
      <c r="B23" s="27" t="inlineStr">
        <is>
          <t>爬塔</t>
        </is>
      </c>
      <c r="C23" s="28" t="inlineStr">
        <is>
          <t>现行包体1</t>
        </is>
      </c>
      <c r="D23" s="28" t="inlineStr">
        <is>
          <t>第19层</t>
        </is>
      </c>
      <c r="E23" s="28" t="inlineStr">
        <is>
          <t>300020</t>
        </is>
      </c>
      <c r="F23" s="27" t="inlineStr">
        <is>
          <t>普通怪</t>
        </is>
      </c>
      <c r="G23" s="37" t="n">
        <v>60</v>
      </c>
      <c r="H23" s="38" t="n"/>
      <c r="I23" s="39">
        <f>IF($H23="",$G23,$H23)</f>
        <v/>
      </c>
      <c r="J23" s="40" t="n">
        <v>77</v>
      </c>
      <c r="K23" s="72" t="n">
        <v>1.13782153739877</v>
      </c>
      <c r="L23" s="72" t="n">
        <v>0.711203466451227</v>
      </c>
      <c r="M23" s="72" t="n">
        <v>1</v>
      </c>
      <c r="N23" s="73" t="n"/>
      <c r="O23" s="73" t="n"/>
      <c r="P23" s="73" t="n"/>
      <c r="Q23" s="74">
        <f>IF($I23="","",IFERROR(INDEX(_玩家曲线!$H$2:$H$286,MATCH($I23,_玩家曲线!$A$2:$A$286,0)),""))</f>
        <v/>
      </c>
      <c r="R23" s="74">
        <f>IF($I23="","",IFERROR(INDEX(_玩家曲线!$I$2:$I$286,MATCH($I23,_玩家曲线!$A$2:$A$286,0)),""))</f>
        <v/>
      </c>
      <c r="S23" s="74">
        <f>SUMIF(_爬塔队伍!$A$2:$A$501,VALUE(SUBSTITUTE(SUBSTITUTE(D23,"第",""),"层","")),_爬塔队伍!$C$2:$C$501)</f>
        <v/>
      </c>
      <c r="T23" s="74">
        <f>SUMIF(_爬塔队伍!$A$2:$A$501,VALUE(SUBSTITUTE(SUBSTITUTE(D23,"第",""),"层","")),_爬塔队伍!$D$2:$D$501)</f>
        <v/>
      </c>
      <c r="U23" s="74">
        <f>SUMIF(_爬塔队伍!$A$2:$A$501,VALUE(SUBSTITUTE(SUBSTITUTE(D23,"第",""),"层","")),_爬塔队伍!$E$2:$E$501)/COUNTIF(_爬塔队伍!$A$2:$A$501,VALUE(SUBSTITUTE(SUBSTITUTE(D23,"第",""),"层","")))</f>
        <v/>
      </c>
      <c r="V23" s="75">
        <f>IF($U23="","",MIN(0.75,$U23/($U23+24000)))</f>
        <v/>
      </c>
      <c r="W23" s="76">
        <f>SUMIF(_爬塔队伍!$A$2:$A$501,VALUE(SUBSTITUTE(SUBSTITUTE(D23,"第",""),"层","")),_爬塔队伍!$F$2:$F$501)</f>
        <v/>
      </c>
      <c r="X23" s="76">
        <f>IF(OR($W23="",$Q23="",$Q23=0),"",$W23/$Q23)</f>
        <v/>
      </c>
      <c r="Y23" s="76">
        <f>IF(OR($R23="",$T23="",$T23=0),"",$R23/($T23*IF($O23="",1,$O23)))</f>
        <v/>
      </c>
      <c r="Z23" s="77">
        <f>IF(OR($X23="",$P23="",$P23=0),"",$X23/$P23)</f>
        <v/>
      </c>
      <c r="AA23" s="27">
        <f>IF($J23="","待填怪物等级",IF(OR($I23="",$Q23=""),"待填对照关卡",IF($P23="","已计算",IF(AND($Y23&lt;&gt;"",$Y23&lt;$X23),"生存不成立",IF($Z23&lt;0.5,"碾压",IF($Z23&lt;0.8,"偏简单",IF($Z23&lt;=1.2,"适中",IF($Z23&lt;=1.5,"偏难","过难"))))))))</f>
        <v/>
      </c>
      <c r="AB23" s="27">
        <f>IF($J23="","待填",IF(AND(ISNUMBER($J23),$J23&gt;=1,$J23&lt;=500,MOD($J23,1)=0),"有效","超范围"))</f>
        <v/>
      </c>
      <c r="AC23" s="27">
        <f>IF(OR($J23="",ROW()=5,$B23&lt;&gt;$B22,$J22=""),"",IF($J23&lt;$J22,"下降",""))</f>
        <v/>
      </c>
      <c r="AD23" s="28" t="inlineStr">
        <is>
          <t>整队验算：S/T为五人总生命/总攻击，U为平均防御，W为逐人计算后求和EHP；倍率由爬塔专用源表执行。</t>
        </is>
      </c>
      <c r="AE23" t="n">
        <v>240000</v>
      </c>
      <c r="AF23">
        <f>INDEX(_统一战力!$B$2:$B$501,J23)</f>
        <v/>
      </c>
    </row>
    <row r="24" ht="25" customHeight="1">
      <c r="A24" s="27" t="inlineStr">
        <is>
          <t>当前配置</t>
        </is>
      </c>
      <c r="B24" s="27" t="inlineStr">
        <is>
          <t>爬塔</t>
        </is>
      </c>
      <c r="C24" s="28" t="inlineStr">
        <is>
          <t>现行包体1</t>
        </is>
      </c>
      <c r="D24" s="28" t="inlineStr">
        <is>
          <t>第20层</t>
        </is>
      </c>
      <c r="E24" s="28" t="inlineStr">
        <is>
          <t>300021</t>
        </is>
      </c>
      <c r="F24" s="27" t="inlineStr">
        <is>
          <t>Boss</t>
        </is>
      </c>
      <c r="G24" s="37" t="n">
        <v>62</v>
      </c>
      <c r="H24" s="38" t="n"/>
      <c r="I24" s="39">
        <f>IF($H24="",$G24,$H24)</f>
        <v/>
      </c>
      <c r="J24" s="40" t="n">
        <v>80</v>
      </c>
      <c r="K24" s="72" t="n">
        <v>1.14019537889564</v>
      </c>
      <c r="L24" s="72" t="n">
        <v>0.709306542104563</v>
      </c>
      <c r="M24" s="72" t="n">
        <v>1</v>
      </c>
      <c r="N24" s="73" t="n"/>
      <c r="O24" s="73" t="n"/>
      <c r="P24" s="73" t="n"/>
      <c r="Q24" s="74">
        <f>IF($I24="","",IFERROR(INDEX(_玩家曲线!$H$2:$H$286,MATCH($I24,_玩家曲线!$A$2:$A$286,0)),""))</f>
        <v/>
      </c>
      <c r="R24" s="74">
        <f>IF($I24="","",IFERROR(INDEX(_玩家曲线!$I$2:$I$286,MATCH($I24,_玩家曲线!$A$2:$A$286,0)),""))</f>
        <v/>
      </c>
      <c r="S24" s="74">
        <f>SUMIF(_爬塔队伍!$A$2:$A$501,VALUE(SUBSTITUTE(SUBSTITUTE(D24,"第",""),"层","")),_爬塔队伍!$C$2:$C$501)</f>
        <v/>
      </c>
      <c r="T24" s="74">
        <f>SUMIF(_爬塔队伍!$A$2:$A$501,VALUE(SUBSTITUTE(SUBSTITUTE(D24,"第",""),"层","")),_爬塔队伍!$D$2:$D$501)</f>
        <v/>
      </c>
      <c r="U24" s="74">
        <f>SUMIF(_爬塔队伍!$A$2:$A$501,VALUE(SUBSTITUTE(SUBSTITUTE(D24,"第",""),"层","")),_爬塔队伍!$E$2:$E$501)/COUNTIF(_爬塔队伍!$A$2:$A$501,VALUE(SUBSTITUTE(SUBSTITUTE(D24,"第",""),"层","")))</f>
        <v/>
      </c>
      <c r="V24" s="75">
        <f>IF($U24="","",MIN(0.75,$U24/($U24+24000)))</f>
        <v/>
      </c>
      <c r="W24" s="76">
        <f>SUMIF(_爬塔队伍!$A$2:$A$501,VALUE(SUBSTITUTE(SUBSTITUTE(D24,"第",""),"层","")),_爬塔队伍!$F$2:$F$501)</f>
        <v/>
      </c>
      <c r="X24" s="76">
        <f>IF(OR($W24="",$Q24="",$Q24=0),"",$W24/$Q24)</f>
        <v/>
      </c>
      <c r="Y24" s="76">
        <f>IF(OR($R24="",$T24="",$T24=0),"",$R24/($T24*IF($O24="",1,$O24)))</f>
        <v/>
      </c>
      <c r="Z24" s="77">
        <f>IF(OR($X24="",$P24="",$P24=0),"",$X24/$P24)</f>
        <v/>
      </c>
      <c r="AA24" s="27">
        <f>IF($J24="","待填怪物等级",IF(OR($I24="",$Q24=""),"待填对照关卡",IF($P24="","已计算",IF(AND($Y24&lt;&gt;"",$Y24&lt;$X24),"生存不成立",IF($Z24&lt;0.5,"碾压",IF($Z24&lt;0.8,"偏简单",IF($Z24&lt;=1.2,"适中",IF($Z24&lt;=1.5,"偏难","过难"))))))))</f>
        <v/>
      </c>
      <c r="AB24" s="27">
        <f>IF($J24="","待填",IF(AND(ISNUMBER($J24),$J24&gt;=1,$J24&lt;=500,MOD($J24,1)=0),"有效","超范围"))</f>
        <v/>
      </c>
      <c r="AC24" s="27">
        <f>IF(OR($J24="",ROW()=5,$B24&lt;&gt;$B23,$J23=""),"",IF($J24&lt;$J23,"下降",""))</f>
        <v/>
      </c>
      <c r="AD24" s="28" t="inlineStr">
        <is>
          <t>整队验算：S/T为五人总生命/总攻击，U为平均防御，W为逐人计算后求和EHP；倍率由爬塔专用源表执行。</t>
        </is>
      </c>
      <c r="AE24" t="n">
        <v>255000</v>
      </c>
      <c r="AF24">
        <f>INDEX(_统一战力!$B$2:$B$501,J24)</f>
        <v/>
      </c>
    </row>
    <row r="25" ht="25" customHeight="1">
      <c r="A25" s="27" t="inlineStr">
        <is>
          <t>当前配置</t>
        </is>
      </c>
      <c r="B25" s="27" t="inlineStr">
        <is>
          <t>爬塔</t>
        </is>
      </c>
      <c r="C25" s="28" t="inlineStr">
        <is>
          <t>现行包体1</t>
        </is>
      </c>
      <c r="D25" s="28" t="inlineStr">
        <is>
          <t>第21层</t>
        </is>
      </c>
      <c r="E25" s="28" t="inlineStr">
        <is>
          <t>300022</t>
        </is>
      </c>
      <c r="F25" s="27" t="inlineStr">
        <is>
          <t>普通怪</t>
        </is>
      </c>
      <c r="G25" s="37" t="n">
        <v>65</v>
      </c>
      <c r="H25" s="38" t="n"/>
      <c r="I25" s="39">
        <f>IF($H25="",$G25,$H25)</f>
        <v/>
      </c>
      <c r="J25" s="40" t="n">
        <v>84</v>
      </c>
      <c r="K25" s="72" t="n">
        <v>1.15603728878297</v>
      </c>
      <c r="L25" s="72" t="n">
        <v>0.706296922729767</v>
      </c>
      <c r="M25" s="72" t="n">
        <v>1</v>
      </c>
      <c r="N25" s="73" t="n"/>
      <c r="O25" s="73" t="n"/>
      <c r="P25" s="73" t="n"/>
      <c r="Q25" s="74">
        <f>IF($I25="","",IFERROR(INDEX(_玩家曲线!$H$2:$H$286,MATCH($I25,_玩家曲线!$A$2:$A$286,0)),""))</f>
        <v/>
      </c>
      <c r="R25" s="74">
        <f>IF($I25="","",IFERROR(INDEX(_玩家曲线!$I$2:$I$286,MATCH($I25,_玩家曲线!$A$2:$A$286,0)),""))</f>
        <v/>
      </c>
      <c r="S25" s="74">
        <f>SUMIF(_爬塔队伍!$A$2:$A$501,VALUE(SUBSTITUTE(SUBSTITUTE(D25,"第",""),"层","")),_爬塔队伍!$C$2:$C$501)</f>
        <v/>
      </c>
      <c r="T25" s="74">
        <f>SUMIF(_爬塔队伍!$A$2:$A$501,VALUE(SUBSTITUTE(SUBSTITUTE(D25,"第",""),"层","")),_爬塔队伍!$D$2:$D$501)</f>
        <v/>
      </c>
      <c r="U25" s="74">
        <f>SUMIF(_爬塔队伍!$A$2:$A$501,VALUE(SUBSTITUTE(SUBSTITUTE(D25,"第",""),"层","")),_爬塔队伍!$E$2:$E$501)/COUNTIF(_爬塔队伍!$A$2:$A$501,VALUE(SUBSTITUTE(SUBSTITUTE(D25,"第",""),"层","")))</f>
        <v/>
      </c>
      <c r="V25" s="75">
        <f>IF($U25="","",MIN(0.75,$U25/($U25+24000)))</f>
        <v/>
      </c>
      <c r="W25" s="76">
        <f>SUMIF(_爬塔队伍!$A$2:$A$501,VALUE(SUBSTITUTE(SUBSTITUTE(D25,"第",""),"层","")),_爬塔队伍!$F$2:$F$501)</f>
        <v/>
      </c>
      <c r="X25" s="76">
        <f>IF(OR($W25="",$Q25="",$Q25=0),"",$W25/$Q25)</f>
        <v/>
      </c>
      <c r="Y25" s="76">
        <f>IF(OR($R25="",$T25="",$T25=0),"",$R25/($T25*IF($O25="",1,$O25)))</f>
        <v/>
      </c>
      <c r="Z25" s="77">
        <f>IF(OR($X25="",$P25="",$P25=0),"",$X25/$P25)</f>
        <v/>
      </c>
      <c r="AA25" s="27">
        <f>IF($J25="","待填怪物等级",IF(OR($I25="",$Q25=""),"待填对照关卡",IF($P25="","已计算",IF(AND($Y25&lt;&gt;"",$Y25&lt;$X25),"生存不成立",IF($Z25&lt;0.5,"碾压",IF($Z25&lt;0.8,"偏简单",IF($Z25&lt;=1.2,"适中",IF($Z25&lt;=1.5,"偏难","过难"))))))))</f>
        <v/>
      </c>
      <c r="AB25" s="27">
        <f>IF($J25="","待填",IF(AND(ISNUMBER($J25),$J25&gt;=1,$J25&lt;=500,MOD($J25,1)=0),"有效","超范围"))</f>
        <v/>
      </c>
      <c r="AC25" s="27">
        <f>IF(OR($J25="",ROW()=5,$B25&lt;&gt;$B24,$J24=""),"",IF($J25&lt;$J24,"下降",""))</f>
        <v/>
      </c>
      <c r="AD25" s="28" t="inlineStr">
        <is>
          <t>整队验算：S/T为五人总生命/总攻击，U为平均防御，W为逐人计算后求和EHP；倍率由爬塔专用源表执行。</t>
        </is>
      </c>
      <c r="AE25" t="n">
        <v>261000</v>
      </c>
      <c r="AF25">
        <f>INDEX(_统一战力!$B$2:$B$501,J25)</f>
        <v/>
      </c>
    </row>
    <row r="26" ht="25" customHeight="1">
      <c r="A26" s="27" t="inlineStr">
        <is>
          <t>当前配置</t>
        </is>
      </c>
      <c r="B26" s="27" t="inlineStr">
        <is>
          <t>爬塔</t>
        </is>
      </c>
      <c r="C26" s="28" t="inlineStr">
        <is>
          <t>现行包体1</t>
        </is>
      </c>
      <c r="D26" s="28" t="inlineStr">
        <is>
          <t>第22层</t>
        </is>
      </c>
      <c r="E26" s="28" t="inlineStr">
        <is>
          <t>300023</t>
        </is>
      </c>
      <c r="F26" s="27" t="inlineStr">
        <is>
          <t>普通怪</t>
        </is>
      </c>
      <c r="G26" s="37" t="n">
        <v>67</v>
      </c>
      <c r="H26" s="38" t="n"/>
      <c r="I26" s="39">
        <f>IF($H26="",$G26,$H26)</f>
        <v/>
      </c>
      <c r="J26" s="40" t="n">
        <v>88</v>
      </c>
      <c r="K26" s="72" t="n">
        <v>1.1643979107152</v>
      </c>
      <c r="L26" s="72" t="n">
        <v>0.704486371215438</v>
      </c>
      <c r="M26" s="72" t="n">
        <v>1</v>
      </c>
      <c r="N26" s="73" t="n"/>
      <c r="O26" s="73" t="n"/>
      <c r="P26" s="73" t="n"/>
      <c r="Q26" s="74">
        <f>IF($I26="","",IFERROR(INDEX(_玩家曲线!$H$2:$H$286,MATCH($I26,_玩家曲线!$A$2:$A$286,0)),""))</f>
        <v/>
      </c>
      <c r="R26" s="74">
        <f>IF($I26="","",IFERROR(INDEX(_玩家曲线!$I$2:$I$286,MATCH($I26,_玩家曲线!$A$2:$A$286,0)),""))</f>
        <v/>
      </c>
      <c r="S26" s="74">
        <f>SUMIF(_爬塔队伍!$A$2:$A$501,VALUE(SUBSTITUTE(SUBSTITUTE(D26,"第",""),"层","")),_爬塔队伍!$C$2:$C$501)</f>
        <v/>
      </c>
      <c r="T26" s="74">
        <f>SUMIF(_爬塔队伍!$A$2:$A$501,VALUE(SUBSTITUTE(SUBSTITUTE(D26,"第",""),"层","")),_爬塔队伍!$D$2:$D$501)</f>
        <v/>
      </c>
      <c r="U26" s="74">
        <f>SUMIF(_爬塔队伍!$A$2:$A$501,VALUE(SUBSTITUTE(SUBSTITUTE(D26,"第",""),"层","")),_爬塔队伍!$E$2:$E$501)/COUNTIF(_爬塔队伍!$A$2:$A$501,VALUE(SUBSTITUTE(SUBSTITUTE(D26,"第",""),"层","")))</f>
        <v/>
      </c>
      <c r="V26" s="75">
        <f>IF($U26="","",MIN(0.75,$U26/($U26+24000)))</f>
        <v/>
      </c>
      <c r="W26" s="76">
        <f>SUMIF(_爬塔队伍!$A$2:$A$501,VALUE(SUBSTITUTE(SUBSTITUTE(D26,"第",""),"层","")),_爬塔队伍!$F$2:$F$501)</f>
        <v/>
      </c>
      <c r="X26" s="76">
        <f>IF(OR($W26="",$Q26="",$Q26=0),"",$W26/$Q26)</f>
        <v/>
      </c>
      <c r="Y26" s="76">
        <f>IF(OR($R26="",$T26="",$T26=0),"",$R26/($T26*IF($O26="",1,$O26)))</f>
        <v/>
      </c>
      <c r="Z26" s="77">
        <f>IF(OR($X26="",$P26="",$P26=0),"",$X26/$P26)</f>
        <v/>
      </c>
      <c r="AA26" s="27">
        <f>IF($J26="","待填怪物等级",IF(OR($I26="",$Q26=""),"待填对照关卡",IF($P26="","已计算",IF(AND($Y26&lt;&gt;"",$Y26&lt;$X26),"生存不成立",IF($Z26&lt;0.5,"碾压",IF($Z26&lt;0.8,"偏简单",IF($Z26&lt;=1.2,"适中",IF($Z26&lt;=1.5,"偏难","过难"))))))))</f>
        <v/>
      </c>
      <c r="AB26" s="27">
        <f>IF($J26="","待填",IF(AND(ISNUMBER($J26),$J26&gt;=1,$J26&lt;=500,MOD($J26,1)=0),"有效","超范围"))</f>
        <v/>
      </c>
      <c r="AC26" s="27">
        <f>IF(OR($J26="",ROW()=5,$B26&lt;&gt;$B25,$J25=""),"",IF($J26&lt;$J25,"下降",""))</f>
        <v/>
      </c>
      <c r="AD26" s="28" t="inlineStr">
        <is>
          <t>整队验算：S/T为五人总生命/总攻击，U为平均防御，W为逐人计算后求和EHP；倍率由爬塔专用源表执行。</t>
        </is>
      </c>
      <c r="AE26" t="n">
        <v>287000</v>
      </c>
      <c r="AF26">
        <f>INDEX(_统一战力!$B$2:$B$501,J26)</f>
        <v/>
      </c>
    </row>
    <row r="27" ht="25" customHeight="1">
      <c r="A27" s="27" t="inlineStr">
        <is>
          <t>当前配置</t>
        </is>
      </c>
      <c r="B27" s="27" t="inlineStr">
        <is>
          <t>爬塔</t>
        </is>
      </c>
      <c r="C27" s="28" t="inlineStr">
        <is>
          <t>现行包体1</t>
        </is>
      </c>
      <c r="D27" s="28" t="inlineStr">
        <is>
          <t>第23层</t>
        </is>
      </c>
      <c r="E27" s="28" t="inlineStr">
        <is>
          <t>300024</t>
        </is>
      </c>
      <c r="F27" s="27" t="inlineStr">
        <is>
          <t>普通怪</t>
        </is>
      </c>
      <c r="G27" s="37" t="n">
        <v>69</v>
      </c>
      <c r="H27" s="38" t="n"/>
      <c r="I27" s="39">
        <f>IF($H27="",$G27,$H27)</f>
        <v/>
      </c>
      <c r="J27" s="40" t="n">
        <v>92</v>
      </c>
      <c r="K27" s="72" t="n">
        <v>1.14558616402225</v>
      </c>
      <c r="L27" s="72" t="n">
        <v>0.693272974166658</v>
      </c>
      <c r="M27" s="72" t="n">
        <v>1</v>
      </c>
      <c r="N27" s="73" t="n"/>
      <c r="O27" s="73" t="n"/>
      <c r="P27" s="73" t="n"/>
      <c r="Q27" s="74">
        <f>IF($I27="","",IFERROR(INDEX(_玩家曲线!$H$2:$H$286,MATCH($I27,_玩家曲线!$A$2:$A$286,0)),""))</f>
        <v/>
      </c>
      <c r="R27" s="74">
        <f>IF($I27="","",IFERROR(INDEX(_玩家曲线!$I$2:$I$286,MATCH($I27,_玩家曲线!$A$2:$A$286,0)),""))</f>
        <v/>
      </c>
      <c r="S27" s="74">
        <f>SUMIF(_爬塔队伍!$A$2:$A$501,VALUE(SUBSTITUTE(SUBSTITUTE(D27,"第",""),"层","")),_爬塔队伍!$C$2:$C$501)</f>
        <v/>
      </c>
      <c r="T27" s="74">
        <f>SUMIF(_爬塔队伍!$A$2:$A$501,VALUE(SUBSTITUTE(SUBSTITUTE(D27,"第",""),"层","")),_爬塔队伍!$D$2:$D$501)</f>
        <v/>
      </c>
      <c r="U27" s="74">
        <f>SUMIF(_爬塔队伍!$A$2:$A$501,VALUE(SUBSTITUTE(SUBSTITUTE(D27,"第",""),"层","")),_爬塔队伍!$E$2:$E$501)/COUNTIF(_爬塔队伍!$A$2:$A$501,VALUE(SUBSTITUTE(SUBSTITUTE(D27,"第",""),"层","")))</f>
        <v/>
      </c>
      <c r="V27" s="75">
        <f>IF($U27="","",MIN(0.75,$U27/($U27+24000)))</f>
        <v/>
      </c>
      <c r="W27" s="76">
        <f>SUMIF(_爬塔队伍!$A$2:$A$501,VALUE(SUBSTITUTE(SUBSTITUTE(D27,"第",""),"层","")),_爬塔队伍!$F$2:$F$501)</f>
        <v/>
      </c>
      <c r="X27" s="76">
        <f>IF(OR($W27="",$Q27="",$Q27=0),"",$W27/$Q27)</f>
        <v/>
      </c>
      <c r="Y27" s="76">
        <f>IF(OR($R27="",$T27="",$T27=0),"",$R27/($T27*IF($O27="",1,$O27)))</f>
        <v/>
      </c>
      <c r="Z27" s="77">
        <f>IF(OR($X27="",$P27="",$P27=0),"",$X27/$P27)</f>
        <v/>
      </c>
      <c r="AA27" s="27">
        <f>IF($J27="","待填怪物等级",IF(OR($I27="",$Q27=""),"待填对照关卡",IF($P27="","已计算",IF(AND($Y27&lt;&gt;"",$Y27&lt;$X27),"生存不成立",IF($Z27&lt;0.5,"碾压",IF($Z27&lt;0.8,"偏简单",IF($Z27&lt;=1.2,"适中",IF($Z27&lt;=1.5,"偏难","过难"))))))))</f>
        <v/>
      </c>
      <c r="AB27" s="27">
        <f>IF($J27="","待填",IF(AND(ISNUMBER($J27),$J27&gt;=1,$J27&lt;=500,MOD($J27,1)=0),"有效","超范围"))</f>
        <v/>
      </c>
      <c r="AC27" s="27">
        <f>IF(OR($J27="",ROW()=5,$B27&lt;&gt;$B26,$J26=""),"",IF($J27&lt;$J26,"下降",""))</f>
        <v/>
      </c>
      <c r="AD27" s="28" t="inlineStr">
        <is>
          <t>整队验算：S/T为五人总生命/总攻击，U为平均防御，W为逐人计算后求和EHP；倍率由爬塔专用源表执行。</t>
        </is>
      </c>
      <c r="AE27" t="n">
        <v>293000</v>
      </c>
      <c r="AF27">
        <f>INDEX(_统一战力!$B$2:$B$501,J27)</f>
        <v/>
      </c>
    </row>
    <row r="28" ht="25" customHeight="1">
      <c r="A28" s="27" t="inlineStr">
        <is>
          <t>当前配置</t>
        </is>
      </c>
      <c r="B28" s="27" t="inlineStr">
        <is>
          <t>爬塔</t>
        </is>
      </c>
      <c r="C28" s="28" t="inlineStr">
        <is>
          <t>现行包体1</t>
        </is>
      </c>
      <c r="D28" s="28" t="inlineStr">
        <is>
          <t>第24层</t>
        </is>
      </c>
      <c r="E28" s="28" t="inlineStr">
        <is>
          <t>300025</t>
        </is>
      </c>
      <c r="F28" s="27" t="inlineStr">
        <is>
          <t>普通怪</t>
        </is>
      </c>
      <c r="G28" s="37" t="n">
        <v>72</v>
      </c>
      <c r="H28" s="38" t="n"/>
      <c r="I28" s="39">
        <f>IF($H28="",$G28,$H28)</f>
        <v/>
      </c>
      <c r="J28" s="40" t="n">
        <v>96</v>
      </c>
      <c r="K28" s="72" t="n">
        <v>1.16272779973454</v>
      </c>
      <c r="L28" s="72" t="n">
        <v>0.692791463529269</v>
      </c>
      <c r="M28" s="72" t="n">
        <v>1</v>
      </c>
      <c r="N28" s="73" t="n"/>
      <c r="O28" s="73" t="n"/>
      <c r="P28" s="73" t="n"/>
      <c r="Q28" s="74">
        <f>IF($I28="","",IFERROR(INDEX(_玩家曲线!$H$2:$H$286,MATCH($I28,_玩家曲线!$A$2:$A$286,0)),""))</f>
        <v/>
      </c>
      <c r="R28" s="74">
        <f>IF($I28="","",IFERROR(INDEX(_玩家曲线!$I$2:$I$286,MATCH($I28,_玩家曲线!$A$2:$A$286,0)),""))</f>
        <v/>
      </c>
      <c r="S28" s="74">
        <f>SUMIF(_爬塔队伍!$A$2:$A$501,VALUE(SUBSTITUTE(SUBSTITUTE(D28,"第",""),"层","")),_爬塔队伍!$C$2:$C$501)</f>
        <v/>
      </c>
      <c r="T28" s="74">
        <f>SUMIF(_爬塔队伍!$A$2:$A$501,VALUE(SUBSTITUTE(SUBSTITUTE(D28,"第",""),"层","")),_爬塔队伍!$D$2:$D$501)</f>
        <v/>
      </c>
      <c r="U28" s="74">
        <f>SUMIF(_爬塔队伍!$A$2:$A$501,VALUE(SUBSTITUTE(SUBSTITUTE(D28,"第",""),"层","")),_爬塔队伍!$E$2:$E$501)/COUNTIF(_爬塔队伍!$A$2:$A$501,VALUE(SUBSTITUTE(SUBSTITUTE(D28,"第",""),"层","")))</f>
        <v/>
      </c>
      <c r="V28" s="75">
        <f>IF($U28="","",MIN(0.75,$U28/($U28+24000)))</f>
        <v/>
      </c>
      <c r="W28" s="76">
        <f>SUMIF(_爬塔队伍!$A$2:$A$501,VALUE(SUBSTITUTE(SUBSTITUTE(D28,"第",""),"层","")),_爬塔队伍!$F$2:$F$501)</f>
        <v/>
      </c>
      <c r="X28" s="76">
        <f>IF(OR($W28="",$Q28="",$Q28=0),"",$W28/$Q28)</f>
        <v/>
      </c>
      <c r="Y28" s="76">
        <f>IF(OR($R28="",$T28="",$T28=0),"",$R28/($T28*IF($O28="",1,$O28)))</f>
        <v/>
      </c>
      <c r="Z28" s="77">
        <f>IF(OR($X28="",$P28="",$P28=0),"",$X28/$P28)</f>
        <v/>
      </c>
      <c r="AA28" s="27">
        <f>IF($J28="","待填怪物等级",IF(OR($I28="",$Q28=""),"待填对照关卡",IF($P28="","已计算",IF(AND($Y28&lt;&gt;"",$Y28&lt;$X28),"生存不成立",IF($Z28&lt;0.5,"碾压",IF($Z28&lt;0.8,"偏简单",IF($Z28&lt;=1.2,"适中",IF($Z28&lt;=1.5,"偏难","过难"))))))))</f>
        <v/>
      </c>
      <c r="AB28" s="27">
        <f>IF($J28="","待填",IF(AND(ISNUMBER($J28),$J28&gt;=1,$J28&lt;=500,MOD($J28,1)=0),"有效","超范围"))</f>
        <v/>
      </c>
      <c r="AC28" s="27">
        <f>IF(OR($J28="",ROW()=5,$B28&lt;&gt;$B27,$J27=""),"",IF($J28&lt;$J27,"下降",""))</f>
        <v/>
      </c>
      <c r="AD28" s="28" t="inlineStr">
        <is>
          <t>整队验算：S/T为五人总生命/总攻击，U为平均防御，W为逐人计算后求和EHP；倍率由爬塔专用源表执行。</t>
        </is>
      </c>
      <c r="AE28" t="n">
        <v>300000</v>
      </c>
      <c r="AF28">
        <f>INDEX(_统一战力!$B$2:$B$501,J28)</f>
        <v/>
      </c>
    </row>
    <row r="29" ht="25" customHeight="1">
      <c r="A29" s="27" t="inlineStr">
        <is>
          <t>当前配置</t>
        </is>
      </c>
      <c r="B29" s="27" t="inlineStr">
        <is>
          <t>爬塔</t>
        </is>
      </c>
      <c r="C29" s="28" t="inlineStr">
        <is>
          <t>现行包体1</t>
        </is>
      </c>
      <c r="D29" s="28" t="inlineStr">
        <is>
          <t>第25层</t>
        </is>
      </c>
      <c r="E29" s="28" t="inlineStr">
        <is>
          <t>300026</t>
        </is>
      </c>
      <c r="F29" s="27" t="inlineStr">
        <is>
          <t>精英怪</t>
        </is>
      </c>
      <c r="G29" s="37" t="n">
        <v>74</v>
      </c>
      <c r="H29" s="38" t="n"/>
      <c r="I29" s="39">
        <f>IF($H29="",$G29,$H29)</f>
        <v/>
      </c>
      <c r="J29" s="40" t="n">
        <v>100</v>
      </c>
      <c r="K29" s="72" t="n">
        <v>1.14969429601044</v>
      </c>
      <c r="L29" s="72" t="n">
        <v>0.68423679516723</v>
      </c>
      <c r="M29" s="72" t="n">
        <v>1</v>
      </c>
      <c r="N29" s="73" t="n"/>
      <c r="O29" s="73" t="n"/>
      <c r="P29" s="73" t="n"/>
      <c r="Q29" s="74">
        <f>IF($I29="","",IFERROR(INDEX(_玩家曲线!$H$2:$H$286,MATCH($I29,_玩家曲线!$A$2:$A$286,0)),""))</f>
        <v/>
      </c>
      <c r="R29" s="74">
        <f>IF($I29="","",IFERROR(INDEX(_玩家曲线!$I$2:$I$286,MATCH($I29,_玩家曲线!$A$2:$A$286,0)),""))</f>
        <v/>
      </c>
      <c r="S29" s="74">
        <f>SUMIF(_爬塔队伍!$A$2:$A$501,VALUE(SUBSTITUTE(SUBSTITUTE(D29,"第",""),"层","")),_爬塔队伍!$C$2:$C$501)</f>
        <v/>
      </c>
      <c r="T29" s="74">
        <f>SUMIF(_爬塔队伍!$A$2:$A$501,VALUE(SUBSTITUTE(SUBSTITUTE(D29,"第",""),"层","")),_爬塔队伍!$D$2:$D$501)</f>
        <v/>
      </c>
      <c r="U29" s="74">
        <f>SUMIF(_爬塔队伍!$A$2:$A$501,VALUE(SUBSTITUTE(SUBSTITUTE(D29,"第",""),"层","")),_爬塔队伍!$E$2:$E$501)/COUNTIF(_爬塔队伍!$A$2:$A$501,VALUE(SUBSTITUTE(SUBSTITUTE(D29,"第",""),"层","")))</f>
        <v/>
      </c>
      <c r="V29" s="75">
        <f>IF($U29="","",MIN(0.75,$U29/($U29+24000)))</f>
        <v/>
      </c>
      <c r="W29" s="76">
        <f>SUMIF(_爬塔队伍!$A$2:$A$501,VALUE(SUBSTITUTE(SUBSTITUTE(D29,"第",""),"层","")),_爬塔队伍!$F$2:$F$501)</f>
        <v/>
      </c>
      <c r="X29" s="76">
        <f>IF(OR($W29="",$Q29="",$Q29=0),"",$W29/$Q29)</f>
        <v/>
      </c>
      <c r="Y29" s="76">
        <f>IF(OR($R29="",$T29="",$T29=0),"",$R29/($T29*IF($O29="",1,$O29)))</f>
        <v/>
      </c>
      <c r="Z29" s="77">
        <f>IF(OR($X29="",$P29="",$P29=0),"",$X29/$P29)</f>
        <v/>
      </c>
      <c r="AA29" s="27">
        <f>IF($J29="","待填怪物等级",IF(OR($I29="",$Q29=""),"待填对照关卡",IF($P29="","已计算",IF(AND($Y29&lt;&gt;"",$Y29&lt;$X29),"生存不成立",IF($Z29&lt;0.5,"碾压",IF($Z29&lt;0.8,"偏简单",IF($Z29&lt;=1.2,"适中",IF($Z29&lt;=1.5,"偏难","过难"))))))))</f>
        <v/>
      </c>
      <c r="AB29" s="27">
        <f>IF($J29="","待填",IF(AND(ISNUMBER($J29),$J29&gt;=1,$J29&lt;=500,MOD($J29,1)=0),"有效","超范围"))</f>
        <v/>
      </c>
      <c r="AC29" s="27">
        <f>IF(OR($J29="",ROW()=5,$B29&lt;&gt;$B28,$J28=""),"",IF($J29&lt;$J28,"下降",""))</f>
        <v/>
      </c>
      <c r="AD29" s="28" t="inlineStr">
        <is>
          <t>整队验算：S/T为五人总生命/总攻击，U为平均防御，W为逐人计算后求和EHP；倍率由爬塔专用源表执行。</t>
        </is>
      </c>
      <c r="AE29" t="n">
        <v>307000</v>
      </c>
      <c r="AF29">
        <f>INDEX(_统一战力!$B$2:$B$501,J29)</f>
        <v/>
      </c>
    </row>
    <row r="30" ht="25" customHeight="1">
      <c r="A30" s="27" t="inlineStr">
        <is>
          <t>当前配置</t>
        </is>
      </c>
      <c r="B30" s="27" t="inlineStr">
        <is>
          <t>爬塔</t>
        </is>
      </c>
      <c r="C30" s="28" t="inlineStr">
        <is>
          <t>现行包体1</t>
        </is>
      </c>
      <c r="D30" s="28" t="inlineStr">
        <is>
          <t>第26层</t>
        </is>
      </c>
      <c r="E30" s="28" t="inlineStr">
        <is>
          <t>300027</t>
        </is>
      </c>
      <c r="F30" s="27" t="inlineStr">
        <is>
          <t>普通怪</t>
        </is>
      </c>
      <c r="G30" s="37" t="n">
        <v>76</v>
      </c>
      <c r="H30" s="38" t="n"/>
      <c r="I30" s="39">
        <f>IF($H30="",$G30,$H30)</f>
        <v/>
      </c>
      <c r="J30" s="40" t="n">
        <v>104</v>
      </c>
      <c r="K30" s="72" t="n">
        <v>1.16724116660848</v>
      </c>
      <c r="L30" s="72" t="n">
        <v>0.689417739041316</v>
      </c>
      <c r="M30" s="72" t="n">
        <v>1</v>
      </c>
      <c r="N30" s="73" t="n"/>
      <c r="O30" s="73" t="n"/>
      <c r="P30" s="73" t="n"/>
      <c r="Q30" s="74">
        <f>IF($I30="","",IFERROR(INDEX(_玩家曲线!$H$2:$H$286,MATCH($I30,_玩家曲线!$A$2:$A$286,0)),""))</f>
        <v/>
      </c>
      <c r="R30" s="74">
        <f>IF($I30="","",IFERROR(INDEX(_玩家曲线!$I$2:$I$286,MATCH($I30,_玩家曲线!$A$2:$A$286,0)),""))</f>
        <v/>
      </c>
      <c r="S30" s="74">
        <f>SUMIF(_爬塔队伍!$A$2:$A$501,VALUE(SUBSTITUTE(SUBSTITUTE(D30,"第",""),"层","")),_爬塔队伍!$C$2:$C$501)</f>
        <v/>
      </c>
      <c r="T30" s="74">
        <f>SUMIF(_爬塔队伍!$A$2:$A$501,VALUE(SUBSTITUTE(SUBSTITUTE(D30,"第",""),"层","")),_爬塔队伍!$D$2:$D$501)</f>
        <v/>
      </c>
      <c r="U30" s="74">
        <f>SUMIF(_爬塔队伍!$A$2:$A$501,VALUE(SUBSTITUTE(SUBSTITUTE(D30,"第",""),"层","")),_爬塔队伍!$E$2:$E$501)/COUNTIF(_爬塔队伍!$A$2:$A$501,VALUE(SUBSTITUTE(SUBSTITUTE(D30,"第",""),"层","")))</f>
        <v/>
      </c>
      <c r="V30" s="75">
        <f>IF($U30="","",MIN(0.75,$U30/($U30+24000)))</f>
        <v/>
      </c>
      <c r="W30" s="76">
        <f>SUMIF(_爬塔队伍!$A$2:$A$501,VALUE(SUBSTITUTE(SUBSTITUTE(D30,"第",""),"层","")),_爬塔队伍!$F$2:$F$501)</f>
        <v/>
      </c>
      <c r="X30" s="76">
        <f>IF(OR($W30="",$Q30="",$Q30=0),"",$W30/$Q30)</f>
        <v/>
      </c>
      <c r="Y30" s="76">
        <f>IF(OR($R30="",$T30="",$T30=0),"",$R30/($T30*IF($O30="",1,$O30)))</f>
        <v/>
      </c>
      <c r="Z30" s="77">
        <f>IF(OR($X30="",$P30="",$P30=0),"",$X30/$P30)</f>
        <v/>
      </c>
      <c r="AA30" s="27">
        <f>IF($J30="","待填怪物等级",IF(OR($I30="",$Q30=""),"待填对照关卡",IF($P30="","已计算",IF(AND($Y30&lt;&gt;"",$Y30&lt;$X30),"生存不成立",IF($Z30&lt;0.5,"碾压",IF($Z30&lt;0.8,"偏简单",IF($Z30&lt;=1.2,"适中",IF($Z30&lt;=1.5,"偏难","过难"))))))))</f>
        <v/>
      </c>
      <c r="AB30" s="27">
        <f>IF($J30="","待填",IF(AND(ISNUMBER($J30),$J30&gt;=1,$J30&lt;=500,MOD($J30,1)=0),"有效","超范围"))</f>
        <v/>
      </c>
      <c r="AC30" s="27">
        <f>IF(OR($J30="",ROW()=5,$B30&lt;&gt;$B29,$J29=""),"",IF($J30&lt;$J29,"下降",""))</f>
        <v/>
      </c>
      <c r="AD30" s="28" t="inlineStr">
        <is>
          <t>整队验算：S/T为五人总生命/总攻击，U为平均防御，W为逐人计算后求和EHP；倍率由爬塔专用源表执行。</t>
        </is>
      </c>
      <c r="AE30" t="n">
        <v>353000</v>
      </c>
      <c r="AF30">
        <f>INDEX(_统一战力!$B$2:$B$501,J30)</f>
        <v/>
      </c>
    </row>
    <row r="31" ht="25" customHeight="1">
      <c r="A31" s="27" t="inlineStr">
        <is>
          <t>当前配置</t>
        </is>
      </c>
      <c r="B31" s="27" t="inlineStr">
        <is>
          <t>爬塔</t>
        </is>
      </c>
      <c r="C31" s="28" t="inlineStr">
        <is>
          <t>现行包体1</t>
        </is>
      </c>
      <c r="D31" s="28" t="inlineStr">
        <is>
          <t>第27层</t>
        </is>
      </c>
      <c r="E31" s="28" t="inlineStr">
        <is>
          <t>300028</t>
        </is>
      </c>
      <c r="F31" s="27" t="inlineStr">
        <is>
          <t>普通怪</t>
        </is>
      </c>
      <c r="G31" s="37" t="n">
        <v>79</v>
      </c>
      <c r="H31" s="38" t="n"/>
      <c r="I31" s="39">
        <f>IF($H31="",$G31,$H31)</f>
        <v/>
      </c>
      <c r="J31" s="40" t="n">
        <v>108</v>
      </c>
      <c r="K31" s="72" t="n">
        <v>1.16303148484125</v>
      </c>
      <c r="L31" s="72" t="n">
        <v>0.681464488943416</v>
      </c>
      <c r="M31" s="72" t="n">
        <v>1</v>
      </c>
      <c r="N31" s="73" t="n"/>
      <c r="O31" s="73" t="n"/>
      <c r="P31" s="73" t="n"/>
      <c r="Q31" s="74">
        <f>IF($I31="","",IFERROR(INDEX(_玩家曲线!$H$2:$H$286,MATCH($I31,_玩家曲线!$A$2:$A$286,0)),""))</f>
        <v/>
      </c>
      <c r="R31" s="74">
        <f>IF($I31="","",IFERROR(INDEX(_玩家曲线!$I$2:$I$286,MATCH($I31,_玩家曲线!$A$2:$A$286,0)),""))</f>
        <v/>
      </c>
      <c r="S31" s="74">
        <f>SUMIF(_爬塔队伍!$A$2:$A$501,VALUE(SUBSTITUTE(SUBSTITUTE(D31,"第",""),"层","")),_爬塔队伍!$C$2:$C$501)</f>
        <v/>
      </c>
      <c r="T31" s="74">
        <f>SUMIF(_爬塔队伍!$A$2:$A$501,VALUE(SUBSTITUTE(SUBSTITUTE(D31,"第",""),"层","")),_爬塔队伍!$D$2:$D$501)</f>
        <v/>
      </c>
      <c r="U31" s="74">
        <f>SUMIF(_爬塔队伍!$A$2:$A$501,VALUE(SUBSTITUTE(SUBSTITUTE(D31,"第",""),"层","")),_爬塔队伍!$E$2:$E$501)/COUNTIF(_爬塔队伍!$A$2:$A$501,VALUE(SUBSTITUTE(SUBSTITUTE(D31,"第",""),"层","")))</f>
        <v/>
      </c>
      <c r="V31" s="75">
        <f>IF($U31="","",MIN(0.75,$U31/($U31+24000)))</f>
        <v/>
      </c>
      <c r="W31" s="76">
        <f>SUMIF(_爬塔队伍!$A$2:$A$501,VALUE(SUBSTITUTE(SUBSTITUTE(D31,"第",""),"层","")),_爬塔队伍!$F$2:$F$501)</f>
        <v/>
      </c>
      <c r="X31" s="76">
        <f>IF(OR($W31="",$Q31="",$Q31=0),"",$W31/$Q31)</f>
        <v/>
      </c>
      <c r="Y31" s="76">
        <f>IF(OR($R31="",$T31="",$T31=0),"",$R31/($T31*IF($O31="",1,$O31)))</f>
        <v/>
      </c>
      <c r="Z31" s="77">
        <f>IF(OR($X31="",$P31="",$P31=0),"",$X31/$P31)</f>
        <v/>
      </c>
      <c r="AA31" s="27">
        <f>IF($J31="","待填怪物等级",IF(OR($I31="",$Q31=""),"待填对照关卡",IF($P31="","已计算",IF(AND($Y31&lt;&gt;"",$Y31&lt;$X31),"生存不成立",IF($Z31&lt;0.5,"碾压",IF($Z31&lt;0.8,"偏简单",IF($Z31&lt;=1.2,"适中",IF($Z31&lt;=1.5,"偏难","过难"))))))))</f>
        <v/>
      </c>
      <c r="AB31" s="27">
        <f>IF($J31="","待填",IF(AND(ISNUMBER($J31),$J31&gt;=1,$J31&lt;=500,MOD($J31,1)=0),"有效","超范围"))</f>
        <v/>
      </c>
      <c r="AC31" s="27">
        <f>IF(OR($J31="",ROW()=5,$B31&lt;&gt;$B30,$J30=""),"",IF($J31&lt;$J30,"下降",""))</f>
        <v/>
      </c>
      <c r="AD31" s="28" t="inlineStr">
        <is>
          <t>整队验算：S/T为五人总生命/总攻击，U为平均防御，W为逐人计算后求和EHP；倍率由爬塔专用源表执行。</t>
        </is>
      </c>
      <c r="AE31" t="n">
        <v>361000</v>
      </c>
      <c r="AF31">
        <f>INDEX(_统一战力!$B$2:$B$501,J31)</f>
        <v/>
      </c>
    </row>
    <row r="32" ht="25" customHeight="1">
      <c r="A32" s="27" t="inlineStr">
        <is>
          <t>当前配置</t>
        </is>
      </c>
      <c r="B32" s="27" t="inlineStr">
        <is>
          <t>爬塔</t>
        </is>
      </c>
      <c r="C32" s="28" t="inlineStr">
        <is>
          <t>现行包体1</t>
        </is>
      </c>
      <c r="D32" s="28" t="inlineStr">
        <is>
          <t>第28层</t>
        </is>
      </c>
      <c r="E32" s="28" t="inlineStr">
        <is>
          <t>300029</t>
        </is>
      </c>
      <c r="F32" s="27" t="inlineStr">
        <is>
          <t>普通怪</t>
        </is>
      </c>
      <c r="G32" s="37" t="n">
        <v>81</v>
      </c>
      <c r="H32" s="38" t="n"/>
      <c r="I32" s="39">
        <f>IF($H32="",$G32,$H32)</f>
        <v/>
      </c>
      <c r="J32" s="40" t="n">
        <v>112</v>
      </c>
      <c r="K32" s="72" t="n">
        <v>1.16640085694238</v>
      </c>
      <c r="L32" s="72" t="n">
        <v>0.680501860332393</v>
      </c>
      <c r="M32" s="72" t="n">
        <v>1</v>
      </c>
      <c r="N32" s="73" t="n"/>
      <c r="O32" s="73" t="n"/>
      <c r="P32" s="73" t="n"/>
      <c r="Q32" s="74">
        <f>IF($I32="","",IFERROR(INDEX(_玩家曲线!$H$2:$H$286,MATCH($I32,_玩家曲线!$A$2:$A$286,0)),""))</f>
        <v/>
      </c>
      <c r="R32" s="74">
        <f>IF($I32="","",IFERROR(INDEX(_玩家曲线!$I$2:$I$286,MATCH($I32,_玩家曲线!$A$2:$A$286,0)),""))</f>
        <v/>
      </c>
      <c r="S32" s="74">
        <f>SUMIF(_爬塔队伍!$A$2:$A$501,VALUE(SUBSTITUTE(SUBSTITUTE(D32,"第",""),"层","")),_爬塔队伍!$C$2:$C$501)</f>
        <v/>
      </c>
      <c r="T32" s="74">
        <f>SUMIF(_爬塔队伍!$A$2:$A$501,VALUE(SUBSTITUTE(SUBSTITUTE(D32,"第",""),"层","")),_爬塔队伍!$D$2:$D$501)</f>
        <v/>
      </c>
      <c r="U32" s="74">
        <f>SUMIF(_爬塔队伍!$A$2:$A$501,VALUE(SUBSTITUTE(SUBSTITUTE(D32,"第",""),"层","")),_爬塔队伍!$E$2:$E$501)/COUNTIF(_爬塔队伍!$A$2:$A$501,VALUE(SUBSTITUTE(SUBSTITUTE(D32,"第",""),"层","")))</f>
        <v/>
      </c>
      <c r="V32" s="75">
        <f>IF($U32="","",MIN(0.75,$U32/($U32+24000)))</f>
        <v/>
      </c>
      <c r="W32" s="76">
        <f>SUMIF(_爬塔队伍!$A$2:$A$501,VALUE(SUBSTITUTE(SUBSTITUTE(D32,"第",""),"层","")),_爬塔队伍!$F$2:$F$501)</f>
        <v/>
      </c>
      <c r="X32" s="76">
        <f>IF(OR($W32="",$Q32="",$Q32=0),"",$W32/$Q32)</f>
        <v/>
      </c>
      <c r="Y32" s="76">
        <f>IF(OR($R32="",$T32="",$T32=0),"",$R32/($T32*IF($O32="",1,$O32)))</f>
        <v/>
      </c>
      <c r="Z32" s="77">
        <f>IF(OR($X32="",$P32="",$P32=0),"",$X32/$P32)</f>
        <v/>
      </c>
      <c r="AA32" s="27">
        <f>IF($J32="","待填怪物等级",IF(OR($I32="",$Q32=""),"待填对照关卡",IF($P32="","已计算",IF(AND($Y32&lt;&gt;"",$Y32&lt;$X32),"生存不成立",IF($Z32&lt;0.5,"碾压",IF($Z32&lt;0.8,"偏简单",IF($Z32&lt;=1.2,"适中",IF($Z32&lt;=1.5,"偏难","过难"))))))))</f>
        <v/>
      </c>
      <c r="AB32" s="27">
        <f>IF($J32="","待填",IF(AND(ISNUMBER($J32),$J32&gt;=1,$J32&lt;=500,MOD($J32,1)=0),"有效","超范围"))</f>
        <v/>
      </c>
      <c r="AC32" s="27">
        <f>IF(OR($J32="",ROW()=5,$B32&lt;&gt;$B31,$J31=""),"",IF($J32&lt;$J31,"下降",""))</f>
        <v/>
      </c>
      <c r="AD32" s="28" t="inlineStr">
        <is>
          <t>整队验算：S/T为五人总生命/总攻击，U为平均防御，W为逐人计算后求和EHP；倍率由爬塔专用源表执行。</t>
        </is>
      </c>
      <c r="AE32" t="n">
        <v>369000</v>
      </c>
      <c r="AF32">
        <f>INDEX(_统一战力!$B$2:$B$501,J32)</f>
        <v/>
      </c>
    </row>
    <row r="33" ht="25" customHeight="1">
      <c r="A33" s="27" t="inlineStr">
        <is>
          <t>当前配置</t>
        </is>
      </c>
      <c r="B33" s="27" t="inlineStr">
        <is>
          <t>爬塔</t>
        </is>
      </c>
      <c r="C33" s="28" t="inlineStr">
        <is>
          <t>现行包体1</t>
        </is>
      </c>
      <c r="D33" s="28" t="inlineStr">
        <is>
          <t>第29层</t>
        </is>
      </c>
      <c r="E33" s="28" t="inlineStr">
        <is>
          <t>300030</t>
        </is>
      </c>
      <c r="F33" s="27" t="inlineStr">
        <is>
          <t>普通怪</t>
        </is>
      </c>
      <c r="G33" s="37" t="n">
        <v>84</v>
      </c>
      <c r="H33" s="38" t="n"/>
      <c r="I33" s="39">
        <f>IF($H33="",$G33,$H33)</f>
        <v/>
      </c>
      <c r="J33" s="40" t="n">
        <v>116</v>
      </c>
      <c r="K33" s="72" t="n">
        <v>1.16284078604177</v>
      </c>
      <c r="L33" s="72" t="n">
        <v>0.679448918464657</v>
      </c>
      <c r="M33" s="72" t="n">
        <v>1</v>
      </c>
      <c r="N33" s="73" t="n"/>
      <c r="O33" s="73" t="n"/>
      <c r="P33" s="73" t="n"/>
      <c r="Q33" s="74">
        <f>IF($I33="","",IFERROR(INDEX(_玩家曲线!$H$2:$H$286,MATCH($I33,_玩家曲线!$A$2:$A$286,0)),""))</f>
        <v/>
      </c>
      <c r="R33" s="74">
        <f>IF($I33="","",IFERROR(INDEX(_玩家曲线!$I$2:$I$286,MATCH($I33,_玩家曲线!$A$2:$A$286,0)),""))</f>
        <v/>
      </c>
      <c r="S33" s="74">
        <f>SUMIF(_爬塔队伍!$A$2:$A$501,VALUE(SUBSTITUTE(SUBSTITUTE(D33,"第",""),"层","")),_爬塔队伍!$C$2:$C$501)</f>
        <v/>
      </c>
      <c r="T33" s="74">
        <f>SUMIF(_爬塔队伍!$A$2:$A$501,VALUE(SUBSTITUTE(SUBSTITUTE(D33,"第",""),"层","")),_爬塔队伍!$D$2:$D$501)</f>
        <v/>
      </c>
      <c r="U33" s="74">
        <f>SUMIF(_爬塔队伍!$A$2:$A$501,VALUE(SUBSTITUTE(SUBSTITUTE(D33,"第",""),"层","")),_爬塔队伍!$E$2:$E$501)/COUNTIF(_爬塔队伍!$A$2:$A$501,VALUE(SUBSTITUTE(SUBSTITUTE(D33,"第",""),"层","")))</f>
        <v/>
      </c>
      <c r="V33" s="75">
        <f>IF($U33="","",MIN(0.75,$U33/($U33+24000)))</f>
        <v/>
      </c>
      <c r="W33" s="76">
        <f>SUMIF(_爬塔队伍!$A$2:$A$501,VALUE(SUBSTITUTE(SUBSTITUTE(D33,"第",""),"层","")),_爬塔队伍!$F$2:$F$501)</f>
        <v/>
      </c>
      <c r="X33" s="76">
        <f>IF(OR($W33="",$Q33="",$Q33=0),"",$W33/$Q33)</f>
        <v/>
      </c>
      <c r="Y33" s="76">
        <f>IF(OR($R33="",$T33="",$T33=0),"",$R33/($T33*IF($O33="",1,$O33)))</f>
        <v/>
      </c>
      <c r="Z33" s="77">
        <f>IF(OR($X33="",$P33="",$P33=0),"",$X33/$P33)</f>
        <v/>
      </c>
      <c r="AA33" s="27">
        <f>IF($J33="","待填怪物等级",IF(OR($I33="",$Q33=""),"待填对照关卡",IF($P33="","已计算",IF(AND($Y33&lt;&gt;"",$Y33&lt;$X33),"生存不成立",IF($Z33&lt;0.5,"碾压",IF($Z33&lt;0.8,"偏简单",IF($Z33&lt;=1.2,"适中",IF($Z33&lt;=1.5,"偏难","过难"))))))))</f>
        <v/>
      </c>
      <c r="AB33" s="27">
        <f>IF($J33="","待填",IF(AND(ISNUMBER($J33),$J33&gt;=1,$J33&lt;=500,MOD($J33,1)=0),"有效","超范围"))</f>
        <v/>
      </c>
      <c r="AC33" s="27">
        <f>IF(OR($J33="",ROW()=5,$B33&lt;&gt;$B32,$J32=""),"",IF($J33&lt;$J32,"下降",""))</f>
        <v/>
      </c>
      <c r="AD33" s="28" t="inlineStr">
        <is>
          <t>整队验算：S/T为五人总生命/总攻击，U为平均防御，W为逐人计算后求和EHP；倍率由爬塔专用源表执行。</t>
        </is>
      </c>
      <c r="AE33" t="n">
        <v>403000</v>
      </c>
      <c r="AF33">
        <f>INDEX(_统一战力!$B$2:$B$501,J33)</f>
        <v/>
      </c>
    </row>
    <row r="34" ht="25" customHeight="1">
      <c r="A34" s="27" t="inlineStr">
        <is>
          <t>当前配置</t>
        </is>
      </c>
      <c r="B34" s="27" t="inlineStr">
        <is>
          <t>爬塔</t>
        </is>
      </c>
      <c r="C34" s="28" t="inlineStr">
        <is>
          <t>现行包体1</t>
        </is>
      </c>
      <c r="D34" s="28" t="inlineStr">
        <is>
          <t>第30层</t>
        </is>
      </c>
      <c r="E34" s="28" t="inlineStr">
        <is>
          <t>300031</t>
        </is>
      </c>
      <c r="F34" s="27" t="inlineStr">
        <is>
          <t>Boss</t>
        </is>
      </c>
      <c r="G34" s="37" t="n">
        <v>86</v>
      </c>
      <c r="H34" s="38" t="n"/>
      <c r="I34" s="39">
        <f>IF($H34="",$G34,$H34)</f>
        <v/>
      </c>
      <c r="J34" s="40" t="n">
        <v>120</v>
      </c>
      <c r="K34" s="72" t="n">
        <v>1.15790204370874</v>
      </c>
      <c r="L34" s="72" t="n">
        <v>0.675485081391402</v>
      </c>
      <c r="M34" s="72" t="n">
        <v>1</v>
      </c>
      <c r="N34" s="73" t="n"/>
      <c r="O34" s="73" t="n"/>
      <c r="P34" s="73" t="n"/>
      <c r="Q34" s="74">
        <f>IF($I34="","",IFERROR(INDEX(_玩家曲线!$H$2:$H$286,MATCH($I34,_玩家曲线!$A$2:$A$286,0)),""))</f>
        <v/>
      </c>
      <c r="R34" s="74">
        <f>IF($I34="","",IFERROR(INDEX(_玩家曲线!$I$2:$I$286,MATCH($I34,_玩家曲线!$A$2:$A$286,0)),""))</f>
        <v/>
      </c>
      <c r="S34" s="74">
        <f>SUMIF(_爬塔队伍!$A$2:$A$501,VALUE(SUBSTITUTE(SUBSTITUTE(D34,"第",""),"层","")),_爬塔队伍!$C$2:$C$501)</f>
        <v/>
      </c>
      <c r="T34" s="74">
        <f>SUMIF(_爬塔队伍!$A$2:$A$501,VALUE(SUBSTITUTE(SUBSTITUTE(D34,"第",""),"层","")),_爬塔队伍!$D$2:$D$501)</f>
        <v/>
      </c>
      <c r="U34" s="74">
        <f>SUMIF(_爬塔队伍!$A$2:$A$501,VALUE(SUBSTITUTE(SUBSTITUTE(D34,"第",""),"层","")),_爬塔队伍!$E$2:$E$501)/COUNTIF(_爬塔队伍!$A$2:$A$501,VALUE(SUBSTITUTE(SUBSTITUTE(D34,"第",""),"层","")))</f>
        <v/>
      </c>
      <c r="V34" s="75">
        <f>IF($U34="","",MIN(0.75,$U34/($U34+24000)))</f>
        <v/>
      </c>
      <c r="W34" s="76">
        <f>SUMIF(_爬塔队伍!$A$2:$A$501,VALUE(SUBSTITUTE(SUBSTITUTE(D34,"第",""),"层","")),_爬塔队伍!$F$2:$F$501)</f>
        <v/>
      </c>
      <c r="X34" s="76">
        <f>IF(OR($W34="",$Q34="",$Q34=0),"",$W34/$Q34)</f>
        <v/>
      </c>
      <c r="Y34" s="76">
        <f>IF(OR($R34="",$T34="",$T34=0),"",$R34/($T34*IF($O34="",1,$O34)))</f>
        <v/>
      </c>
      <c r="Z34" s="77">
        <f>IF(OR($X34="",$P34="",$P34=0),"",$X34/$P34)</f>
        <v/>
      </c>
      <c r="AA34" s="27">
        <f>IF($J34="","待填怪物等级",IF(OR($I34="",$Q34=""),"待填对照关卡",IF($P34="","已计算",IF(AND($Y34&lt;&gt;"",$Y34&lt;$X34),"生存不成立",IF($Z34&lt;0.5,"碾压",IF($Z34&lt;0.8,"偏简单",IF($Z34&lt;=1.2,"适中",IF($Z34&lt;=1.5,"偏难","过难"))))))))</f>
        <v/>
      </c>
      <c r="AB34" s="27">
        <f>IF($J34="","待填",IF(AND(ISNUMBER($J34),$J34&gt;=1,$J34&lt;=500,MOD($J34,1)=0),"有效","超范围"))</f>
        <v/>
      </c>
      <c r="AC34" s="27">
        <f>IF(OR($J34="",ROW()=5,$B34&lt;&gt;$B33,$J33=""),"",IF($J34&lt;$J33,"下降",""))</f>
        <v/>
      </c>
      <c r="AD34" s="28" t="inlineStr">
        <is>
          <t>整队验算：S/T为五人总生命/总攻击，U为平均防御，W为逐人计算后求和EHP；倍率由爬塔专用源表执行。</t>
        </is>
      </c>
      <c r="AE34" t="n">
        <v>409000</v>
      </c>
      <c r="AF34">
        <f>INDEX(_统一战力!$B$2:$B$501,J34)</f>
        <v/>
      </c>
    </row>
    <row r="35" ht="25" customHeight="1">
      <c r="A35" s="27" t="inlineStr">
        <is>
          <t>当前配置</t>
        </is>
      </c>
      <c r="B35" s="27" t="inlineStr">
        <is>
          <t>爬塔</t>
        </is>
      </c>
      <c r="C35" s="28" t="inlineStr">
        <is>
          <t>现行包体1</t>
        </is>
      </c>
      <c r="D35" s="28" t="inlineStr">
        <is>
          <t>第31层</t>
        </is>
      </c>
      <c r="E35" s="28" t="inlineStr">
        <is>
          <t>300032</t>
        </is>
      </c>
      <c r="F35" s="27" t="inlineStr">
        <is>
          <t>普通怪</t>
        </is>
      </c>
      <c r="G35" s="37" t="n">
        <v>89</v>
      </c>
      <c r="H35" s="38" t="n"/>
      <c r="I35" s="39">
        <f>IF($H35="",$G35,$H35)</f>
        <v/>
      </c>
      <c r="J35" s="40" t="n">
        <v>124</v>
      </c>
      <c r="K35" s="72" t="n">
        <v>1.16967741431087</v>
      </c>
      <c r="L35" s="72" t="n">
        <v>0.676370195756928</v>
      </c>
      <c r="M35" s="72" t="n">
        <v>1</v>
      </c>
      <c r="N35" s="73" t="n"/>
      <c r="O35" s="73" t="n"/>
      <c r="P35" s="73" t="n"/>
      <c r="Q35" s="74">
        <f>IF($I35="","",IFERROR(INDEX(_玩家曲线!$H$2:$H$286,MATCH($I35,_玩家曲线!$A$2:$A$286,0)),""))</f>
        <v/>
      </c>
      <c r="R35" s="74">
        <f>IF($I35="","",IFERROR(INDEX(_玩家曲线!$I$2:$I$286,MATCH($I35,_玩家曲线!$A$2:$A$286,0)),""))</f>
        <v/>
      </c>
      <c r="S35" s="74">
        <f>SUMIF(_爬塔队伍!$A$2:$A$501,VALUE(SUBSTITUTE(SUBSTITUTE(D35,"第",""),"层","")),_爬塔队伍!$C$2:$C$501)</f>
        <v/>
      </c>
      <c r="T35" s="74">
        <f>SUMIF(_爬塔队伍!$A$2:$A$501,VALUE(SUBSTITUTE(SUBSTITUTE(D35,"第",""),"层","")),_爬塔队伍!$D$2:$D$501)</f>
        <v/>
      </c>
      <c r="U35" s="74">
        <f>SUMIF(_爬塔队伍!$A$2:$A$501,VALUE(SUBSTITUTE(SUBSTITUTE(D35,"第",""),"层","")),_爬塔队伍!$E$2:$E$501)/COUNTIF(_爬塔队伍!$A$2:$A$501,VALUE(SUBSTITUTE(SUBSTITUTE(D35,"第",""),"层","")))</f>
        <v/>
      </c>
      <c r="V35" s="75">
        <f>IF($U35="","",MIN(0.75,$U35/($U35+24000)))</f>
        <v/>
      </c>
      <c r="W35" s="76">
        <f>SUMIF(_爬塔队伍!$A$2:$A$501,VALUE(SUBSTITUTE(SUBSTITUTE(D35,"第",""),"层","")),_爬塔队伍!$F$2:$F$501)</f>
        <v/>
      </c>
      <c r="X35" s="76">
        <f>IF(OR($W35="",$Q35="",$Q35=0),"",$W35/$Q35)</f>
        <v/>
      </c>
      <c r="Y35" s="76">
        <f>IF(OR($R35="",$T35="",$T35=0),"",$R35/($T35*IF($O35="",1,$O35)))</f>
        <v/>
      </c>
      <c r="Z35" s="77">
        <f>IF(OR($X35="",$P35="",$P35=0),"",$X35/$P35)</f>
        <v/>
      </c>
      <c r="AA35" s="27">
        <f>IF($J35="","待填怪物等级",IF(OR($I35="",$Q35=""),"待填对照关卡",IF($P35="","已计算",IF(AND($Y35&lt;&gt;"",$Y35&lt;$X35),"生存不成立",IF($Z35&lt;0.5,"碾压",IF($Z35&lt;0.8,"偏简单",IF($Z35&lt;=1.2,"适中",IF($Z35&lt;=1.5,"偏难","过难"))))))))</f>
        <v/>
      </c>
      <c r="AB35" s="27">
        <f>IF($J35="","待填",IF(AND(ISNUMBER($J35),$J35&gt;=1,$J35&lt;=500,MOD($J35,1)=0),"有效","超范围"))</f>
        <v/>
      </c>
      <c r="AC35" s="27">
        <f>IF(OR($J35="",ROW()=5,$B35&lt;&gt;$B34,$J34=""),"",IF($J35&lt;$J34,"下降",""))</f>
        <v/>
      </c>
      <c r="AD35" s="28" t="inlineStr">
        <is>
          <t>整队验算：S/T为五人总生命/总攻击，U为平均防御，W为逐人计算后求和EHP；倍率由爬塔专用源表执行。</t>
        </is>
      </c>
      <c r="AE35" t="n">
        <v>426000</v>
      </c>
      <c r="AF35">
        <f>INDEX(_统一战力!$B$2:$B$501,J35)</f>
        <v/>
      </c>
    </row>
    <row r="36" ht="25" customHeight="1">
      <c r="A36" s="27" t="inlineStr">
        <is>
          <t>当前配置</t>
        </is>
      </c>
      <c r="B36" s="27" t="inlineStr">
        <is>
          <t>爬塔</t>
        </is>
      </c>
      <c r="C36" s="28" t="inlineStr">
        <is>
          <t>现行包体1</t>
        </is>
      </c>
      <c r="D36" s="28" t="inlineStr">
        <is>
          <t>第32层</t>
        </is>
      </c>
      <c r="E36" s="28" t="inlineStr">
        <is>
          <t>300033</t>
        </is>
      </c>
      <c r="F36" s="27" t="inlineStr">
        <is>
          <t>普通怪</t>
        </is>
      </c>
      <c r="G36" s="37" t="n">
        <v>91</v>
      </c>
      <c r="H36" s="38" t="n"/>
      <c r="I36" s="39">
        <f>IF($H36="",$G36,$H36)</f>
        <v/>
      </c>
      <c r="J36" s="40" t="n">
        <v>128</v>
      </c>
      <c r="K36" s="72" t="n">
        <v>1.17397097419226</v>
      </c>
      <c r="L36" s="72" t="n">
        <v>0.675278998801872</v>
      </c>
      <c r="M36" s="72" t="n">
        <v>1</v>
      </c>
      <c r="N36" s="73" t="n"/>
      <c r="O36" s="73" t="n"/>
      <c r="P36" s="73" t="n"/>
      <c r="Q36" s="74">
        <f>IF($I36="","",IFERROR(INDEX(_玩家曲线!$H$2:$H$286,MATCH($I36,_玩家曲线!$A$2:$A$286,0)),""))</f>
        <v/>
      </c>
      <c r="R36" s="74">
        <f>IF($I36="","",IFERROR(INDEX(_玩家曲线!$I$2:$I$286,MATCH($I36,_玩家曲线!$A$2:$A$286,0)),""))</f>
        <v/>
      </c>
      <c r="S36" s="74">
        <f>SUMIF(_爬塔队伍!$A$2:$A$501,VALUE(SUBSTITUTE(SUBSTITUTE(D36,"第",""),"层","")),_爬塔队伍!$C$2:$C$501)</f>
        <v/>
      </c>
      <c r="T36" s="74">
        <f>SUMIF(_爬塔队伍!$A$2:$A$501,VALUE(SUBSTITUTE(SUBSTITUTE(D36,"第",""),"层","")),_爬塔队伍!$D$2:$D$501)</f>
        <v/>
      </c>
      <c r="U36" s="74">
        <f>SUMIF(_爬塔队伍!$A$2:$A$501,VALUE(SUBSTITUTE(SUBSTITUTE(D36,"第",""),"层","")),_爬塔队伍!$E$2:$E$501)/COUNTIF(_爬塔队伍!$A$2:$A$501,VALUE(SUBSTITUTE(SUBSTITUTE(D36,"第",""),"层","")))</f>
        <v/>
      </c>
      <c r="V36" s="75">
        <f>IF($U36="","",MIN(0.75,$U36/($U36+24000)))</f>
        <v/>
      </c>
      <c r="W36" s="76">
        <f>SUMIF(_爬塔队伍!$A$2:$A$501,VALUE(SUBSTITUTE(SUBSTITUTE(D36,"第",""),"层","")),_爬塔队伍!$F$2:$F$501)</f>
        <v/>
      </c>
      <c r="X36" s="76">
        <f>IF(OR($W36="",$Q36="",$Q36=0),"",$W36/$Q36)</f>
        <v/>
      </c>
      <c r="Y36" s="76">
        <f>IF(OR($R36="",$T36="",$T36=0),"",$R36/($T36*IF($O36="",1,$O36)))</f>
        <v/>
      </c>
      <c r="Z36" s="77">
        <f>IF(OR($X36="",$P36="",$P36=0),"",$X36/$P36)</f>
        <v/>
      </c>
      <c r="AA36" s="27">
        <f>IF($J36="","待填怪物等级",IF(OR($I36="",$Q36=""),"待填对照关卡",IF($P36="","已计算",IF(AND($Y36&lt;&gt;"",$Y36&lt;$X36),"生存不成立",IF($Z36&lt;0.5,"碾压",IF($Z36&lt;0.8,"偏简单",IF($Z36&lt;=1.2,"适中",IF($Z36&lt;=1.5,"偏难","过难"))))))))</f>
        <v/>
      </c>
      <c r="AB36" s="27">
        <f>IF($J36="","待填",IF(AND(ISNUMBER($J36),$J36&gt;=1,$J36&lt;=500,MOD($J36,1)=0),"有效","超范围"))</f>
        <v/>
      </c>
      <c r="AC36" s="27">
        <f>IF(OR($J36="",ROW()=5,$B36&lt;&gt;$B35,$J35=""),"",IF($J36&lt;$J35,"下降",""))</f>
        <v/>
      </c>
      <c r="AD36" s="28" t="inlineStr">
        <is>
          <t>整队验算：S/T为五人总生命/总攻击，U为平均防御，W为逐人计算后求和EHP；倍率由爬塔专用源表执行。</t>
        </is>
      </c>
      <c r="AE36" t="n">
        <v>435000</v>
      </c>
      <c r="AF36">
        <f>INDEX(_统一战力!$B$2:$B$501,J36)</f>
        <v/>
      </c>
    </row>
    <row r="37" ht="25" customHeight="1">
      <c r="A37" s="27" t="inlineStr">
        <is>
          <t>当前配置</t>
        </is>
      </c>
      <c r="B37" s="27" t="inlineStr">
        <is>
          <t>爬塔</t>
        </is>
      </c>
      <c r="C37" s="28" t="inlineStr">
        <is>
          <t>现行包体1</t>
        </is>
      </c>
      <c r="D37" s="28" t="inlineStr">
        <is>
          <t>第33层</t>
        </is>
      </c>
      <c r="E37" s="28" t="inlineStr">
        <is>
          <t>300034</t>
        </is>
      </c>
      <c r="F37" s="27" t="inlineStr">
        <is>
          <t>普通怪</t>
        </is>
      </c>
      <c r="G37" s="37" t="n">
        <v>94</v>
      </c>
      <c r="H37" s="38" t="n"/>
      <c r="I37" s="39">
        <f>IF($H37="",$G37,$H37)</f>
        <v/>
      </c>
      <c r="J37" s="40" t="n">
        <v>132</v>
      </c>
      <c r="K37" s="72" t="n">
        <v>1.16994480700504</v>
      </c>
      <c r="L37" s="72" t="n">
        <v>0.672863596505294</v>
      </c>
      <c r="M37" s="72" t="n">
        <v>1</v>
      </c>
      <c r="N37" s="73" t="n"/>
      <c r="O37" s="73" t="n"/>
      <c r="P37" s="73" t="n"/>
      <c r="Q37" s="74">
        <f>IF($I37="","",IFERROR(INDEX(_玩家曲线!$H$2:$H$286,MATCH($I37,_玩家曲线!$A$2:$A$286,0)),""))</f>
        <v/>
      </c>
      <c r="R37" s="74">
        <f>IF($I37="","",IFERROR(INDEX(_玩家曲线!$I$2:$I$286,MATCH($I37,_玩家曲线!$A$2:$A$286,0)),""))</f>
        <v/>
      </c>
      <c r="S37" s="74">
        <f>SUMIF(_爬塔队伍!$A$2:$A$501,VALUE(SUBSTITUTE(SUBSTITUTE(D37,"第",""),"层","")),_爬塔队伍!$C$2:$C$501)</f>
        <v/>
      </c>
      <c r="T37" s="74">
        <f>SUMIF(_爬塔队伍!$A$2:$A$501,VALUE(SUBSTITUTE(SUBSTITUTE(D37,"第",""),"层","")),_爬塔队伍!$D$2:$D$501)</f>
        <v/>
      </c>
      <c r="U37" s="74">
        <f>SUMIF(_爬塔队伍!$A$2:$A$501,VALUE(SUBSTITUTE(SUBSTITUTE(D37,"第",""),"层","")),_爬塔队伍!$E$2:$E$501)/COUNTIF(_爬塔队伍!$A$2:$A$501,VALUE(SUBSTITUTE(SUBSTITUTE(D37,"第",""),"层","")))</f>
        <v/>
      </c>
      <c r="V37" s="75">
        <f>IF($U37="","",MIN(0.75,$U37/($U37+24000)))</f>
        <v/>
      </c>
      <c r="W37" s="76">
        <f>SUMIF(_爬塔队伍!$A$2:$A$501,VALUE(SUBSTITUTE(SUBSTITUTE(D37,"第",""),"层","")),_爬塔队伍!$F$2:$F$501)</f>
        <v/>
      </c>
      <c r="X37" s="76">
        <f>IF(OR($W37="",$Q37="",$Q37=0),"",$W37/$Q37)</f>
        <v/>
      </c>
      <c r="Y37" s="76">
        <f>IF(OR($R37="",$T37="",$T37=0),"",$R37/($T37*IF($O37="",1,$O37)))</f>
        <v/>
      </c>
      <c r="Z37" s="77">
        <f>IF(OR($X37="",$P37="",$P37=0),"",$X37/$P37)</f>
        <v/>
      </c>
      <c r="AA37" s="27">
        <f>IF($J37="","待填怪物等级",IF(OR($I37="",$Q37=""),"待填对照关卡",IF($P37="","已计算",IF(AND($Y37&lt;&gt;"",$Y37&lt;$X37),"生存不成立",IF($Z37&lt;0.5,"碾压",IF($Z37&lt;0.8,"偏简单",IF($Z37&lt;=1.2,"适中",IF($Z37&lt;=1.5,"偏难","过难"))))))))</f>
        <v/>
      </c>
      <c r="AB37" s="27">
        <f>IF($J37="","待填",IF(AND(ISNUMBER($J37),$J37&gt;=1,$J37&lt;=500,MOD($J37,1)=0),"有效","超范围"))</f>
        <v/>
      </c>
      <c r="AC37" s="27">
        <f>IF(OR($J37="",ROW()=5,$B37&lt;&gt;$B36,$J36=""),"",IF($J37&lt;$J36,"下降",""))</f>
        <v/>
      </c>
      <c r="AD37" s="28" t="inlineStr">
        <is>
          <t>整队验算：S/T为五人总生命/总攻击，U为平均防御，W为逐人计算后求和EHP；倍率由爬塔专用源表执行。</t>
        </is>
      </c>
      <c r="AE37" t="n">
        <v>473000</v>
      </c>
      <c r="AF37">
        <f>INDEX(_统一战力!$B$2:$B$501,J37)</f>
        <v/>
      </c>
    </row>
    <row r="38" ht="25" customHeight="1">
      <c r="A38" s="27" t="inlineStr">
        <is>
          <t>当前配置</t>
        </is>
      </c>
      <c r="B38" s="27" t="inlineStr">
        <is>
          <t>爬塔</t>
        </is>
      </c>
      <c r="C38" s="28" t="inlineStr">
        <is>
          <t>现行包体1</t>
        </is>
      </c>
      <c r="D38" s="28" t="inlineStr">
        <is>
          <t>第34层</t>
        </is>
      </c>
      <c r="E38" s="28" t="inlineStr">
        <is>
          <t>300035</t>
        </is>
      </c>
      <c r="F38" s="27" t="inlineStr">
        <is>
          <t>普通怪</t>
        </is>
      </c>
      <c r="G38" s="37" t="n">
        <v>96</v>
      </c>
      <c r="H38" s="38" t="n"/>
      <c r="I38" s="39">
        <f>IF($H38="",$G38,$H38)</f>
        <v/>
      </c>
      <c r="J38" s="40" t="n">
        <v>136</v>
      </c>
      <c r="K38" s="72" t="n">
        <v>1.1761990096556</v>
      </c>
      <c r="L38" s="72" t="n">
        <v>0.673956999018393</v>
      </c>
      <c r="M38" s="72" t="n">
        <v>1</v>
      </c>
      <c r="N38" s="73" t="n"/>
      <c r="O38" s="73" t="n"/>
      <c r="P38" s="73" t="n"/>
      <c r="Q38" s="74">
        <f>IF($I38="","",IFERROR(INDEX(_玩家曲线!$H$2:$H$286,MATCH($I38,_玩家曲线!$A$2:$A$286,0)),""))</f>
        <v/>
      </c>
      <c r="R38" s="74">
        <f>IF($I38="","",IFERROR(INDEX(_玩家曲线!$I$2:$I$286,MATCH($I38,_玩家曲线!$A$2:$A$286,0)),""))</f>
        <v/>
      </c>
      <c r="S38" s="74">
        <f>SUMIF(_爬塔队伍!$A$2:$A$501,VALUE(SUBSTITUTE(SUBSTITUTE(D38,"第",""),"层","")),_爬塔队伍!$C$2:$C$501)</f>
        <v/>
      </c>
      <c r="T38" s="74">
        <f>SUMIF(_爬塔队伍!$A$2:$A$501,VALUE(SUBSTITUTE(SUBSTITUTE(D38,"第",""),"层","")),_爬塔队伍!$D$2:$D$501)</f>
        <v/>
      </c>
      <c r="U38" s="74">
        <f>SUMIF(_爬塔队伍!$A$2:$A$501,VALUE(SUBSTITUTE(SUBSTITUTE(D38,"第",""),"层","")),_爬塔队伍!$E$2:$E$501)/COUNTIF(_爬塔队伍!$A$2:$A$501,VALUE(SUBSTITUTE(SUBSTITUTE(D38,"第",""),"层","")))</f>
        <v/>
      </c>
      <c r="V38" s="75">
        <f>IF($U38="","",MIN(0.75,$U38/($U38+24000)))</f>
        <v/>
      </c>
      <c r="W38" s="76">
        <f>SUMIF(_爬塔队伍!$A$2:$A$501,VALUE(SUBSTITUTE(SUBSTITUTE(D38,"第",""),"层","")),_爬塔队伍!$F$2:$F$501)</f>
        <v/>
      </c>
      <c r="X38" s="76">
        <f>IF(OR($W38="",$Q38="",$Q38=0),"",$W38/$Q38)</f>
        <v/>
      </c>
      <c r="Y38" s="76">
        <f>IF(OR($R38="",$T38="",$T38=0),"",$R38/($T38*IF($O38="",1,$O38)))</f>
        <v/>
      </c>
      <c r="Z38" s="77">
        <f>IF(OR($X38="",$P38="",$P38=0),"",$X38/$P38)</f>
        <v/>
      </c>
      <c r="AA38" s="27">
        <f>IF($J38="","待填怪物等级",IF(OR($I38="",$Q38=""),"待填对照关卡",IF($P38="","已计算",IF(AND($Y38&lt;&gt;"",$Y38&lt;$X38),"生存不成立",IF($Z38&lt;0.5,"碾压",IF($Z38&lt;0.8,"偏简单",IF($Z38&lt;=1.2,"适中",IF($Z38&lt;=1.5,"偏难","过难"))))))))</f>
        <v/>
      </c>
      <c r="AB38" s="27">
        <f>IF($J38="","待填",IF(AND(ISNUMBER($J38),$J38&gt;=1,$J38&lt;=500,MOD($J38,1)=0),"有效","超范围"))</f>
        <v/>
      </c>
      <c r="AC38" s="27">
        <f>IF(OR($J38="",ROW()=5,$B38&lt;&gt;$B37,$J37=""),"",IF($J38&lt;$J37,"下降",""))</f>
        <v/>
      </c>
      <c r="AD38" s="28" t="inlineStr">
        <is>
          <t>整队验算：S/T为五人总生命/总攻击，U为平均防御，W为逐人计算后求和EHP；倍率由爬塔专用源表执行。</t>
        </is>
      </c>
      <c r="AE38" t="n">
        <v>492000</v>
      </c>
      <c r="AF38">
        <f>INDEX(_统一战力!$B$2:$B$501,J38)</f>
        <v/>
      </c>
    </row>
    <row r="39" ht="25" customHeight="1">
      <c r="A39" s="27" t="inlineStr">
        <is>
          <t>当前配置</t>
        </is>
      </c>
      <c r="B39" s="27" t="inlineStr">
        <is>
          <t>爬塔</t>
        </is>
      </c>
      <c r="C39" s="28" t="inlineStr">
        <is>
          <t>现行包体1</t>
        </is>
      </c>
      <c r="D39" s="28" t="inlineStr">
        <is>
          <t>第35层</t>
        </is>
      </c>
      <c r="E39" s="28" t="inlineStr">
        <is>
          <t>300036</t>
        </is>
      </c>
      <c r="F39" s="27" t="inlineStr">
        <is>
          <t>精英怪</t>
        </is>
      </c>
      <c r="G39" s="37" t="n">
        <v>99</v>
      </c>
      <c r="H39" s="38" t="n"/>
      <c r="I39" s="39">
        <f>IF($H39="",$G39,$H39)</f>
        <v/>
      </c>
      <c r="J39" s="40" t="n">
        <v>140</v>
      </c>
      <c r="K39" s="72" t="n">
        <v>1.16304350071123</v>
      </c>
      <c r="L39" s="72" t="n">
        <v>0.668010949572134</v>
      </c>
      <c r="M39" s="72" t="n">
        <v>1</v>
      </c>
      <c r="N39" s="73" t="n"/>
      <c r="O39" s="73" t="n"/>
      <c r="P39" s="73" t="n"/>
      <c r="Q39" s="74">
        <f>IF($I39="","",IFERROR(INDEX(_玩家曲线!$H$2:$H$286,MATCH($I39,_玩家曲线!$A$2:$A$286,0)),""))</f>
        <v/>
      </c>
      <c r="R39" s="74">
        <f>IF($I39="","",IFERROR(INDEX(_玩家曲线!$I$2:$I$286,MATCH($I39,_玩家曲线!$A$2:$A$286,0)),""))</f>
        <v/>
      </c>
      <c r="S39" s="74">
        <f>SUMIF(_爬塔队伍!$A$2:$A$501,VALUE(SUBSTITUTE(SUBSTITUTE(D39,"第",""),"层","")),_爬塔队伍!$C$2:$C$501)</f>
        <v/>
      </c>
      <c r="T39" s="74">
        <f>SUMIF(_爬塔队伍!$A$2:$A$501,VALUE(SUBSTITUTE(SUBSTITUTE(D39,"第",""),"层","")),_爬塔队伍!$D$2:$D$501)</f>
        <v/>
      </c>
      <c r="U39" s="74">
        <f>SUMIF(_爬塔队伍!$A$2:$A$501,VALUE(SUBSTITUTE(SUBSTITUTE(D39,"第",""),"层","")),_爬塔队伍!$E$2:$E$501)/COUNTIF(_爬塔队伍!$A$2:$A$501,VALUE(SUBSTITUTE(SUBSTITUTE(D39,"第",""),"层","")))</f>
        <v/>
      </c>
      <c r="V39" s="75">
        <f>IF($U39="","",MIN(0.75,$U39/($U39+24000)))</f>
        <v/>
      </c>
      <c r="W39" s="76">
        <f>SUMIF(_爬塔队伍!$A$2:$A$501,VALUE(SUBSTITUTE(SUBSTITUTE(D39,"第",""),"层","")),_爬塔队伍!$F$2:$F$501)</f>
        <v/>
      </c>
      <c r="X39" s="76">
        <f>IF(OR($W39="",$Q39="",$Q39=0),"",$W39/$Q39)</f>
        <v/>
      </c>
      <c r="Y39" s="76">
        <f>IF(OR($R39="",$T39="",$T39=0),"",$R39/($T39*IF($O39="",1,$O39)))</f>
        <v/>
      </c>
      <c r="Z39" s="77">
        <f>IF(OR($X39="",$P39="",$P39=0),"",$X39/$P39)</f>
        <v/>
      </c>
      <c r="AA39" s="27">
        <f>IF($J39="","待填怪物等级",IF(OR($I39="",$Q39=""),"待填对照关卡",IF($P39="","已计算",IF(AND($Y39&lt;&gt;"",$Y39&lt;$X39),"生存不成立",IF($Z39&lt;0.5,"碾压",IF($Z39&lt;0.8,"偏简单",IF($Z39&lt;=1.2,"适中",IF($Z39&lt;=1.5,"偏难","过难"))))))))</f>
        <v/>
      </c>
      <c r="AB39" s="27">
        <f>IF($J39="","待填",IF(AND(ISNUMBER($J39),$J39&gt;=1,$J39&lt;=500,MOD($J39,1)=0),"有效","超范围"))</f>
        <v/>
      </c>
      <c r="AC39" s="27">
        <f>IF(OR($J39="",ROW()=5,$B39&lt;&gt;$B38,$J38=""),"",IF($J39&lt;$J38,"下降",""))</f>
        <v/>
      </c>
      <c r="AD39" s="28" t="inlineStr">
        <is>
          <t>整队验算：S/T为五人总生命/总攻击，U为平均防御，W为逐人计算后求和EHP；倍率由爬塔专用源表执行。</t>
        </is>
      </c>
      <c r="AE39" t="n">
        <v>517000</v>
      </c>
      <c r="AF39">
        <f>INDEX(_统一战力!$B$2:$B$501,J39)</f>
        <v/>
      </c>
    </row>
    <row r="40" ht="25" customHeight="1">
      <c r="A40" s="27" t="inlineStr">
        <is>
          <t>当前配置</t>
        </is>
      </c>
      <c r="B40" s="27" t="inlineStr">
        <is>
          <t>爬塔</t>
        </is>
      </c>
      <c r="C40" s="28" t="inlineStr">
        <is>
          <t>现行包体1</t>
        </is>
      </c>
      <c r="D40" s="28" t="inlineStr">
        <is>
          <t>第36层</t>
        </is>
      </c>
      <c r="E40" s="28" t="inlineStr">
        <is>
          <t>300037</t>
        </is>
      </c>
      <c r="F40" s="27" t="inlineStr">
        <is>
          <t>普通怪</t>
        </is>
      </c>
      <c r="G40" s="37" t="n">
        <v>101</v>
      </c>
      <c r="H40" s="38" t="n"/>
      <c r="I40" s="39">
        <f>IF($H40="",$G40,$H40)</f>
        <v/>
      </c>
      <c r="J40" s="40" t="n">
        <v>144</v>
      </c>
      <c r="K40" s="72" t="n">
        <v>1.17542560624017</v>
      </c>
      <c r="L40" s="72" t="n">
        <v>0.671359586349877</v>
      </c>
      <c r="M40" s="72" t="n">
        <v>1</v>
      </c>
      <c r="N40" s="73" t="n"/>
      <c r="O40" s="73" t="n"/>
      <c r="P40" s="73" t="n"/>
      <c r="Q40" s="74">
        <f>IF($I40="","",IFERROR(INDEX(_玩家曲线!$H$2:$H$286,MATCH($I40,_玩家曲线!$A$2:$A$286,0)),""))</f>
        <v/>
      </c>
      <c r="R40" s="74">
        <f>IF($I40="","",IFERROR(INDEX(_玩家曲线!$I$2:$I$286,MATCH($I40,_玩家曲线!$A$2:$A$286,0)),""))</f>
        <v/>
      </c>
      <c r="S40" s="74">
        <f>SUMIF(_爬塔队伍!$A$2:$A$501,VALUE(SUBSTITUTE(SUBSTITUTE(D40,"第",""),"层","")),_爬塔队伍!$C$2:$C$501)</f>
        <v/>
      </c>
      <c r="T40" s="74">
        <f>SUMIF(_爬塔队伍!$A$2:$A$501,VALUE(SUBSTITUTE(SUBSTITUTE(D40,"第",""),"层","")),_爬塔队伍!$D$2:$D$501)</f>
        <v/>
      </c>
      <c r="U40" s="74">
        <f>SUMIF(_爬塔队伍!$A$2:$A$501,VALUE(SUBSTITUTE(SUBSTITUTE(D40,"第",""),"层","")),_爬塔队伍!$E$2:$E$501)/COUNTIF(_爬塔队伍!$A$2:$A$501,VALUE(SUBSTITUTE(SUBSTITUTE(D40,"第",""),"层","")))</f>
        <v/>
      </c>
      <c r="V40" s="75">
        <f>IF($U40="","",MIN(0.75,$U40/($U40+24000)))</f>
        <v/>
      </c>
      <c r="W40" s="76">
        <f>SUMIF(_爬塔队伍!$A$2:$A$501,VALUE(SUBSTITUTE(SUBSTITUTE(D40,"第",""),"层","")),_爬塔队伍!$F$2:$F$501)</f>
        <v/>
      </c>
      <c r="X40" s="76">
        <f>IF(OR($W40="",$Q40="",$Q40=0),"",$W40/$Q40)</f>
        <v/>
      </c>
      <c r="Y40" s="76">
        <f>IF(OR($R40="",$T40="",$T40=0),"",$R40/($T40*IF($O40="",1,$O40)))</f>
        <v/>
      </c>
      <c r="Z40" s="77">
        <f>IF(OR($X40="",$P40="",$P40=0),"",$X40/$P40)</f>
        <v/>
      </c>
      <c r="AA40" s="27">
        <f>IF($J40="","待填怪物等级",IF(OR($I40="",$Q40=""),"待填对照关卡",IF($P40="","已计算",IF(AND($Y40&lt;&gt;"",$Y40&lt;$X40),"生存不成立",IF($Z40&lt;0.5,"碾压",IF($Z40&lt;0.8,"偏简单",IF($Z40&lt;=1.2,"适中",IF($Z40&lt;=1.5,"偏难","过难"))))))))</f>
        <v/>
      </c>
      <c r="AB40" s="27">
        <f>IF($J40="","待填",IF(AND(ISNUMBER($J40),$J40&gt;=1,$J40&lt;=500,MOD($J40,1)=0),"有效","超范围"))</f>
        <v/>
      </c>
      <c r="AC40" s="27">
        <f>IF(OR($J40="",ROW()=5,$B40&lt;&gt;$B39,$J39=""),"",IF($J40&lt;$J39,"下降",""))</f>
        <v/>
      </c>
      <c r="AD40" s="28" t="inlineStr">
        <is>
          <t>整队验算：S/T为五人总生命/总攻击，U为平均防御，W为逐人计算后求和EHP；倍率由爬塔专用源表执行。</t>
        </is>
      </c>
      <c r="AE40" t="n">
        <v>542000</v>
      </c>
      <c r="AF40">
        <f>INDEX(_统一战力!$B$2:$B$501,J40)</f>
        <v/>
      </c>
    </row>
    <row r="41" ht="25" customHeight="1">
      <c r="A41" s="27" t="inlineStr">
        <is>
          <t>当前配置</t>
        </is>
      </c>
      <c r="B41" s="27" t="inlineStr">
        <is>
          <t>爬塔</t>
        </is>
      </c>
      <c r="C41" s="28" t="inlineStr">
        <is>
          <t>现行包体1</t>
        </is>
      </c>
      <c r="D41" s="28" t="inlineStr">
        <is>
          <t>第37层</t>
        </is>
      </c>
      <c r="E41" s="28" t="inlineStr">
        <is>
          <t>300038</t>
        </is>
      </c>
      <c r="F41" s="27" t="inlineStr">
        <is>
          <t>普通怪</t>
        </is>
      </c>
      <c r="G41" s="37" t="n">
        <v>104</v>
      </c>
      <c r="H41" s="38" t="n"/>
      <c r="I41" s="39">
        <f>IF($H41="",$G41,$H41)</f>
        <v/>
      </c>
      <c r="J41" s="40" t="n">
        <v>148</v>
      </c>
      <c r="K41" s="72" t="n">
        <v>1.17237889170564</v>
      </c>
      <c r="L41" s="72" t="n">
        <v>0.667931756315419</v>
      </c>
      <c r="M41" s="72" t="n">
        <v>1</v>
      </c>
      <c r="N41" s="73" t="n"/>
      <c r="O41" s="73" t="n"/>
      <c r="P41" s="73" t="n"/>
      <c r="Q41" s="74">
        <f>IF($I41="","",IFERROR(INDEX(_玩家曲线!$H$2:$H$286,MATCH($I41,_玩家曲线!$A$2:$A$286,0)),""))</f>
        <v/>
      </c>
      <c r="R41" s="74">
        <f>IF($I41="","",IFERROR(INDEX(_玩家曲线!$I$2:$I$286,MATCH($I41,_玩家曲线!$A$2:$A$286,0)),""))</f>
        <v/>
      </c>
      <c r="S41" s="74">
        <f>SUMIF(_爬塔队伍!$A$2:$A$501,VALUE(SUBSTITUTE(SUBSTITUTE(D41,"第",""),"层","")),_爬塔队伍!$C$2:$C$501)</f>
        <v/>
      </c>
      <c r="T41" s="74">
        <f>SUMIF(_爬塔队伍!$A$2:$A$501,VALUE(SUBSTITUTE(SUBSTITUTE(D41,"第",""),"层","")),_爬塔队伍!$D$2:$D$501)</f>
        <v/>
      </c>
      <c r="U41" s="74">
        <f>SUMIF(_爬塔队伍!$A$2:$A$501,VALUE(SUBSTITUTE(SUBSTITUTE(D41,"第",""),"层","")),_爬塔队伍!$E$2:$E$501)/COUNTIF(_爬塔队伍!$A$2:$A$501,VALUE(SUBSTITUTE(SUBSTITUTE(D41,"第",""),"层","")))</f>
        <v/>
      </c>
      <c r="V41" s="75">
        <f>IF($U41="","",MIN(0.75,$U41/($U41+24000)))</f>
        <v/>
      </c>
      <c r="W41" s="76">
        <f>SUMIF(_爬塔队伍!$A$2:$A$501,VALUE(SUBSTITUTE(SUBSTITUTE(D41,"第",""),"层","")),_爬塔队伍!$F$2:$F$501)</f>
        <v/>
      </c>
      <c r="X41" s="76">
        <f>IF(OR($W41="",$Q41="",$Q41=0),"",$W41/$Q41)</f>
        <v/>
      </c>
      <c r="Y41" s="76">
        <f>IF(OR($R41="",$T41="",$T41=0),"",$R41/($T41*IF($O41="",1,$O41)))</f>
        <v/>
      </c>
      <c r="Z41" s="77">
        <f>IF(OR($X41="",$P41="",$P41=0),"",$X41/$P41)</f>
        <v/>
      </c>
      <c r="AA41" s="27">
        <f>IF($J41="","待填怪物等级",IF(OR($I41="",$Q41=""),"待填对照关卡",IF($P41="","已计算",IF(AND($Y41&lt;&gt;"",$Y41&lt;$X41),"生存不成立",IF($Z41&lt;0.5,"碾压",IF($Z41&lt;0.8,"偏简单",IF($Z41&lt;=1.2,"适中",IF($Z41&lt;=1.5,"偏难","过难"))))))))</f>
        <v/>
      </c>
      <c r="AB41" s="27">
        <f>IF($J41="","待填",IF(AND(ISNUMBER($J41),$J41&gt;=1,$J41&lt;=500,MOD($J41,1)=0),"有效","超范围"))</f>
        <v/>
      </c>
      <c r="AC41" s="27">
        <f>IF(OR($J41="",ROW()=5,$B41&lt;&gt;$B40,$J40=""),"",IF($J41&lt;$J40,"下降",""))</f>
        <v/>
      </c>
      <c r="AD41" s="28" t="inlineStr">
        <is>
          <t>整队验算：S/T为五人总生命/总攻击，U为平均防御，W为逐人计算后求和EHP；倍率由爬塔专用源表执行。</t>
        </is>
      </c>
      <c r="AE41" t="n">
        <v>577000</v>
      </c>
      <c r="AF41">
        <f>INDEX(_统一战力!$B$2:$B$501,J41)</f>
        <v/>
      </c>
    </row>
    <row r="42" ht="25" customHeight="1">
      <c r="A42" s="27" t="inlineStr">
        <is>
          <t>当前配置</t>
        </is>
      </c>
      <c r="B42" s="27" t="inlineStr">
        <is>
          <t>爬塔</t>
        </is>
      </c>
      <c r="C42" s="28" t="inlineStr">
        <is>
          <t>现行包体1</t>
        </is>
      </c>
      <c r="D42" s="28" t="inlineStr">
        <is>
          <t>第38层</t>
        </is>
      </c>
      <c r="E42" s="28" t="inlineStr">
        <is>
          <t>300039</t>
        </is>
      </c>
      <c r="F42" s="27" t="inlineStr">
        <is>
          <t>普通怪</t>
        </is>
      </c>
      <c r="G42" s="37" t="n">
        <v>106</v>
      </c>
      <c r="H42" s="38" t="n"/>
      <c r="I42" s="39">
        <f>IF($H42="",$G42,$H42)</f>
        <v/>
      </c>
      <c r="J42" s="40" t="n">
        <v>152</v>
      </c>
      <c r="K42" s="72" t="n">
        <v>1.16805227807085</v>
      </c>
      <c r="L42" s="72" t="n">
        <v>0.669062845144116</v>
      </c>
      <c r="M42" s="72" t="n">
        <v>1</v>
      </c>
      <c r="N42" s="73" t="n"/>
      <c r="O42" s="73" t="n"/>
      <c r="P42" s="73" t="n"/>
      <c r="Q42" s="74">
        <f>IF($I42="","",IFERROR(INDEX(_玩家曲线!$H$2:$H$286,MATCH($I42,_玩家曲线!$A$2:$A$286,0)),""))</f>
        <v/>
      </c>
      <c r="R42" s="74">
        <f>IF($I42="","",IFERROR(INDEX(_玩家曲线!$I$2:$I$286,MATCH($I42,_玩家曲线!$A$2:$A$286,0)),""))</f>
        <v/>
      </c>
      <c r="S42" s="74">
        <f>SUMIF(_爬塔队伍!$A$2:$A$501,VALUE(SUBSTITUTE(SUBSTITUTE(D42,"第",""),"层","")),_爬塔队伍!$C$2:$C$501)</f>
        <v/>
      </c>
      <c r="T42" s="74">
        <f>SUMIF(_爬塔队伍!$A$2:$A$501,VALUE(SUBSTITUTE(SUBSTITUTE(D42,"第",""),"层","")),_爬塔队伍!$D$2:$D$501)</f>
        <v/>
      </c>
      <c r="U42" s="74">
        <f>SUMIF(_爬塔队伍!$A$2:$A$501,VALUE(SUBSTITUTE(SUBSTITUTE(D42,"第",""),"层","")),_爬塔队伍!$E$2:$E$501)/COUNTIF(_爬塔队伍!$A$2:$A$501,VALUE(SUBSTITUTE(SUBSTITUTE(D42,"第",""),"层","")))</f>
        <v/>
      </c>
      <c r="V42" s="75">
        <f>IF($U42="","",MIN(0.75,$U42/($U42+24000)))</f>
        <v/>
      </c>
      <c r="W42" s="76">
        <f>SUMIF(_爬塔队伍!$A$2:$A$501,VALUE(SUBSTITUTE(SUBSTITUTE(D42,"第",""),"层","")),_爬塔队伍!$F$2:$F$501)</f>
        <v/>
      </c>
      <c r="X42" s="76">
        <f>IF(OR($W42="",$Q42="",$Q42=0),"",$W42/$Q42)</f>
        <v/>
      </c>
      <c r="Y42" s="76">
        <f>IF(OR($R42="",$T42="",$T42=0),"",$R42/($T42*IF($O42="",1,$O42)))</f>
        <v/>
      </c>
      <c r="Z42" s="77">
        <f>IF(OR($X42="",$P42="",$P42=0),"",$X42/$P42)</f>
        <v/>
      </c>
      <c r="AA42" s="27">
        <f>IF($J42="","待填怪物等级",IF(OR($I42="",$Q42=""),"待填对照关卡",IF($P42="","已计算",IF(AND($Y42&lt;&gt;"",$Y42&lt;$X42),"生存不成立",IF($Z42&lt;0.5,"碾压",IF($Z42&lt;0.8,"偏简单",IF($Z42&lt;=1.2,"适中",IF($Z42&lt;=1.5,"偏难","过难"))))))))</f>
        <v/>
      </c>
      <c r="AB42" s="27">
        <f>IF($J42="","待填",IF(AND(ISNUMBER($J42),$J42&gt;=1,$J42&lt;=500,MOD($J42,1)=0),"有效","超范围"))</f>
        <v/>
      </c>
      <c r="AC42" s="27">
        <f>IF(OR($J42="",ROW()=5,$B42&lt;&gt;$B41,$J41=""),"",IF($J42&lt;$J41,"下降",""))</f>
        <v/>
      </c>
      <c r="AD42" s="28" t="inlineStr">
        <is>
          <t>整队验算：S/T为五人总生命/总攻击，U为平均防御，W为逐人计算后求和EHP；倍率由爬塔专用源表执行。</t>
        </is>
      </c>
      <c r="AE42" t="n">
        <v>613000</v>
      </c>
      <c r="AF42">
        <f>INDEX(_统一战力!$B$2:$B$501,J42)</f>
        <v/>
      </c>
    </row>
    <row r="43" ht="25" customHeight="1">
      <c r="A43" s="27" t="inlineStr">
        <is>
          <t>当前配置</t>
        </is>
      </c>
      <c r="B43" s="27" t="inlineStr">
        <is>
          <t>爬塔</t>
        </is>
      </c>
      <c r="C43" s="28" t="inlineStr">
        <is>
          <t>现行包体1</t>
        </is>
      </c>
      <c r="D43" s="28" t="inlineStr">
        <is>
          <t>第39层</t>
        </is>
      </c>
      <c r="E43" s="28" t="inlineStr">
        <is>
          <t>300040</t>
        </is>
      </c>
      <c r="F43" s="27" t="inlineStr">
        <is>
          <t>普通怪</t>
        </is>
      </c>
      <c r="G43" s="37" t="n">
        <v>109</v>
      </c>
      <c r="H43" s="38" t="n"/>
      <c r="I43" s="39">
        <f>IF($H43="",$G43,$H43)</f>
        <v/>
      </c>
      <c r="J43" s="40" t="n">
        <v>156</v>
      </c>
      <c r="K43" s="72" t="n">
        <v>1.17586973931056</v>
      </c>
      <c r="L43" s="72" t="n">
        <v>0.671014300557864</v>
      </c>
      <c r="M43" s="72" t="n">
        <v>1</v>
      </c>
      <c r="N43" s="73" t="n"/>
      <c r="O43" s="73" t="n"/>
      <c r="P43" s="73" t="n"/>
      <c r="Q43" s="74">
        <f>IF($I43="","",IFERROR(INDEX(_玩家曲线!$H$2:$H$286,MATCH($I43,_玩家曲线!$A$2:$A$286,0)),""))</f>
        <v/>
      </c>
      <c r="R43" s="74">
        <f>IF($I43="","",IFERROR(INDEX(_玩家曲线!$I$2:$I$286,MATCH($I43,_玩家曲线!$A$2:$A$286,0)),""))</f>
        <v/>
      </c>
      <c r="S43" s="74">
        <f>SUMIF(_爬塔队伍!$A$2:$A$501,VALUE(SUBSTITUTE(SUBSTITUTE(D43,"第",""),"层","")),_爬塔队伍!$C$2:$C$501)</f>
        <v/>
      </c>
      <c r="T43" s="74">
        <f>SUMIF(_爬塔队伍!$A$2:$A$501,VALUE(SUBSTITUTE(SUBSTITUTE(D43,"第",""),"层","")),_爬塔队伍!$D$2:$D$501)</f>
        <v/>
      </c>
      <c r="U43" s="74">
        <f>SUMIF(_爬塔队伍!$A$2:$A$501,VALUE(SUBSTITUTE(SUBSTITUTE(D43,"第",""),"层","")),_爬塔队伍!$E$2:$E$501)/COUNTIF(_爬塔队伍!$A$2:$A$501,VALUE(SUBSTITUTE(SUBSTITUTE(D43,"第",""),"层","")))</f>
        <v/>
      </c>
      <c r="V43" s="75">
        <f>IF($U43="","",MIN(0.75,$U43/($U43+24000)))</f>
        <v/>
      </c>
      <c r="W43" s="76">
        <f>SUMIF(_爬塔队伍!$A$2:$A$501,VALUE(SUBSTITUTE(SUBSTITUTE(D43,"第",""),"层","")),_爬塔队伍!$F$2:$F$501)</f>
        <v/>
      </c>
      <c r="X43" s="76">
        <f>IF(OR($W43="",$Q43="",$Q43=0),"",$W43/$Q43)</f>
        <v/>
      </c>
      <c r="Y43" s="76">
        <f>IF(OR($R43="",$T43="",$T43=0),"",$R43/($T43*IF($O43="",1,$O43)))</f>
        <v/>
      </c>
      <c r="Z43" s="77">
        <f>IF(OR($X43="",$P43="",$P43=0),"",$X43/$P43)</f>
        <v/>
      </c>
      <c r="AA43" s="27">
        <f>IF($J43="","待填怪物等级",IF(OR($I43="",$Q43=""),"待填对照关卡",IF($P43="","已计算",IF(AND($Y43&lt;&gt;"",$Y43&lt;$X43),"生存不成立",IF($Z43&lt;0.5,"碾压",IF($Z43&lt;0.8,"偏简单",IF($Z43&lt;=1.2,"适中",IF($Z43&lt;=1.5,"偏难","过难"))))))))</f>
        <v/>
      </c>
      <c r="AB43" s="27">
        <f>IF($J43="","待填",IF(AND(ISNUMBER($J43),$J43&gt;=1,$J43&lt;=500,MOD($J43,1)=0),"有效","超范围"))</f>
        <v/>
      </c>
      <c r="AC43" s="27">
        <f>IF(OR($J43="",ROW()=5,$B43&lt;&gt;$B42,$J42=""),"",IF($J43&lt;$J42,"下降",""))</f>
        <v/>
      </c>
      <c r="AD43" s="28" t="inlineStr">
        <is>
          <t>整队验算：S/T为五人总生命/总攻击，U为平均防御，W为逐人计算后求和EHP；倍率由爬塔专用源表执行。</t>
        </is>
      </c>
      <c r="AE43" t="n">
        <v>640000</v>
      </c>
      <c r="AF43">
        <f>INDEX(_统一战力!$B$2:$B$501,J43)</f>
        <v/>
      </c>
    </row>
    <row r="44" ht="25" customHeight="1">
      <c r="A44" s="27" t="inlineStr">
        <is>
          <t>当前配置</t>
        </is>
      </c>
      <c r="B44" s="27" t="inlineStr">
        <is>
          <t>爬塔</t>
        </is>
      </c>
      <c r="C44" s="28" t="inlineStr">
        <is>
          <t>现行包体1</t>
        </is>
      </c>
      <c r="D44" s="28" t="inlineStr">
        <is>
          <t>第40层</t>
        </is>
      </c>
      <c r="E44" s="28" t="inlineStr">
        <is>
          <t>300041</t>
        </is>
      </c>
      <c r="F44" s="27" t="inlineStr">
        <is>
          <t>Boss</t>
        </is>
      </c>
      <c r="G44" s="37" t="n">
        <v>111</v>
      </c>
      <c r="H44" s="38" t="n"/>
      <c r="I44" s="39">
        <f>IF($H44="",$G44,$H44)</f>
        <v/>
      </c>
      <c r="J44" s="40" t="n">
        <v>160</v>
      </c>
      <c r="K44" s="72" t="n">
        <v>1.16347845028068</v>
      </c>
      <c r="L44" s="72" t="n">
        <v>0.666707854003219</v>
      </c>
      <c r="M44" s="72" t="n">
        <v>1</v>
      </c>
      <c r="N44" s="73" t="n"/>
      <c r="O44" s="73" t="n"/>
      <c r="P44" s="73" t="n"/>
      <c r="Q44" s="74">
        <f>IF($I44="","",IFERROR(INDEX(_玩家曲线!$H$2:$H$286,MATCH($I44,_玩家曲线!$A$2:$A$286,0)),""))</f>
        <v/>
      </c>
      <c r="R44" s="74">
        <f>IF($I44="","",IFERROR(INDEX(_玩家曲线!$I$2:$I$286,MATCH($I44,_玩家曲线!$A$2:$A$286,0)),""))</f>
        <v/>
      </c>
      <c r="S44" s="74">
        <f>SUMIF(_爬塔队伍!$A$2:$A$501,VALUE(SUBSTITUTE(SUBSTITUTE(D44,"第",""),"层","")),_爬塔队伍!$C$2:$C$501)</f>
        <v/>
      </c>
      <c r="T44" s="74">
        <f>SUMIF(_爬塔队伍!$A$2:$A$501,VALUE(SUBSTITUTE(SUBSTITUTE(D44,"第",""),"层","")),_爬塔队伍!$D$2:$D$501)</f>
        <v/>
      </c>
      <c r="U44" s="74">
        <f>SUMIF(_爬塔队伍!$A$2:$A$501,VALUE(SUBSTITUTE(SUBSTITUTE(D44,"第",""),"层","")),_爬塔队伍!$E$2:$E$501)/COUNTIF(_爬塔队伍!$A$2:$A$501,VALUE(SUBSTITUTE(SUBSTITUTE(D44,"第",""),"层","")))</f>
        <v/>
      </c>
      <c r="V44" s="75">
        <f>IF($U44="","",MIN(0.75,$U44/($U44+24000)))</f>
        <v/>
      </c>
      <c r="W44" s="76">
        <f>SUMIF(_爬塔队伍!$A$2:$A$501,VALUE(SUBSTITUTE(SUBSTITUTE(D44,"第",""),"层","")),_爬塔队伍!$F$2:$F$501)</f>
        <v/>
      </c>
      <c r="X44" s="76">
        <f>IF(OR($W44="",$Q44="",$Q44=0),"",$W44/$Q44)</f>
        <v/>
      </c>
      <c r="Y44" s="76">
        <f>IF(OR($R44="",$T44="",$T44=0),"",$R44/($T44*IF($O44="",1,$O44)))</f>
        <v/>
      </c>
      <c r="Z44" s="77">
        <f>IF(OR($X44="",$P44="",$P44=0),"",$X44/$P44)</f>
        <v/>
      </c>
      <c r="AA44" s="27">
        <f>IF($J44="","待填怪物等级",IF(OR($I44="",$Q44=""),"待填对照关卡",IF($P44="","已计算",IF(AND($Y44&lt;&gt;"",$Y44&lt;$X44),"生存不成立",IF($Z44&lt;0.5,"碾压",IF($Z44&lt;0.8,"偏简单",IF($Z44&lt;=1.2,"适中",IF($Z44&lt;=1.5,"偏难","过难"))))))))</f>
        <v/>
      </c>
      <c r="AB44" s="27">
        <f>IF($J44="","待填",IF(AND(ISNUMBER($J44),$J44&gt;=1,$J44&lt;=500,MOD($J44,1)=0),"有效","超范围"))</f>
        <v/>
      </c>
      <c r="AC44" s="27">
        <f>IF(OR($J44="",ROW()=5,$B44&lt;&gt;$B43,$J43=""),"",IF($J44&lt;$J43,"下降",""))</f>
        <v/>
      </c>
      <c r="AD44" s="28" t="inlineStr">
        <is>
          <t>整队验算：S/T为五人总生命/总攻击，U为平均防御，W为逐人计算后求和EHP；倍率由爬塔专用源表执行。</t>
        </is>
      </c>
      <c r="AE44" t="n">
        <v>646000</v>
      </c>
      <c r="AF44">
        <f>INDEX(_统一战力!$B$2:$B$501,J44)</f>
        <v/>
      </c>
    </row>
    <row r="45" ht="25" customHeight="1">
      <c r="A45" s="27" t="inlineStr">
        <is>
          <t>当前配置</t>
        </is>
      </c>
      <c r="B45" s="27" t="inlineStr">
        <is>
          <t>爬塔</t>
        </is>
      </c>
      <c r="C45" s="28" t="inlineStr">
        <is>
          <t>现行包体1</t>
        </is>
      </c>
      <c r="D45" s="28" t="inlineStr">
        <is>
          <t>第41层</t>
        </is>
      </c>
      <c r="E45" s="28" t="inlineStr">
        <is>
          <t>300042</t>
        </is>
      </c>
      <c r="F45" s="27" t="inlineStr">
        <is>
          <t>普通怪</t>
        </is>
      </c>
      <c r="G45" s="37" t="n">
        <v>114</v>
      </c>
      <c r="H45" s="38" t="n"/>
      <c r="I45" s="39">
        <f>IF($H45="",$G45,$H45)</f>
        <v/>
      </c>
      <c r="J45" s="40" t="n">
        <v>164</v>
      </c>
      <c r="K45" s="72" t="n">
        <v>1.1668186396599</v>
      </c>
      <c r="L45" s="72" t="n">
        <v>0.668610159368872</v>
      </c>
      <c r="M45" s="72" t="n">
        <v>1</v>
      </c>
      <c r="N45" s="73" t="n"/>
      <c r="O45" s="73" t="n"/>
      <c r="P45" s="73" t="n"/>
      <c r="Q45" s="74">
        <f>IF($I45="","",IFERROR(INDEX(_玩家曲线!$H$2:$H$286,MATCH($I45,_玩家曲线!$A$2:$A$286,0)),""))</f>
        <v/>
      </c>
      <c r="R45" s="74">
        <f>IF($I45="","",IFERROR(INDEX(_玩家曲线!$I$2:$I$286,MATCH($I45,_玩家曲线!$A$2:$A$286,0)),""))</f>
        <v/>
      </c>
      <c r="S45" s="74">
        <f>SUMIF(_爬塔队伍!$A$2:$A$501,VALUE(SUBSTITUTE(SUBSTITUTE(D45,"第",""),"层","")),_爬塔队伍!$C$2:$C$501)</f>
        <v/>
      </c>
      <c r="T45" s="74">
        <f>SUMIF(_爬塔队伍!$A$2:$A$501,VALUE(SUBSTITUTE(SUBSTITUTE(D45,"第",""),"层","")),_爬塔队伍!$D$2:$D$501)</f>
        <v/>
      </c>
      <c r="U45" s="74">
        <f>SUMIF(_爬塔队伍!$A$2:$A$501,VALUE(SUBSTITUTE(SUBSTITUTE(D45,"第",""),"层","")),_爬塔队伍!$E$2:$E$501)/COUNTIF(_爬塔队伍!$A$2:$A$501,VALUE(SUBSTITUTE(SUBSTITUTE(D45,"第",""),"层","")))</f>
        <v/>
      </c>
      <c r="V45" s="75">
        <f>IF($U45="","",MIN(0.75,$U45/($U45+24000)))</f>
        <v/>
      </c>
      <c r="W45" s="76">
        <f>SUMIF(_爬塔队伍!$A$2:$A$501,VALUE(SUBSTITUTE(SUBSTITUTE(D45,"第",""),"层","")),_爬塔队伍!$F$2:$F$501)</f>
        <v/>
      </c>
      <c r="X45" s="76">
        <f>IF(OR($W45="",$Q45="",$Q45=0),"",$W45/$Q45)</f>
        <v/>
      </c>
      <c r="Y45" s="76">
        <f>IF(OR($R45="",$T45="",$T45=0),"",$R45/($T45*IF($O45="",1,$O45)))</f>
        <v/>
      </c>
      <c r="Z45" s="77">
        <f>IF(OR($X45="",$P45="",$P45=0),"",$X45/$P45)</f>
        <v/>
      </c>
      <c r="AA45" s="27">
        <f>IF($J45="","待填怪物等级",IF(OR($I45="",$Q45=""),"待填对照关卡",IF($P45="","已计算",IF(AND($Y45&lt;&gt;"",$Y45&lt;$X45),"生存不成立",IF($Z45&lt;0.5,"碾压",IF($Z45&lt;0.8,"偏简单",IF($Z45&lt;=1.2,"适中",IF($Z45&lt;=1.5,"偏难","过难"))))))))</f>
        <v/>
      </c>
      <c r="AB45" s="27">
        <f>IF($J45="","待填",IF(AND(ISNUMBER($J45),$J45&gt;=1,$J45&lt;=500,MOD($J45,1)=0),"有效","超范围"))</f>
        <v/>
      </c>
      <c r="AC45" s="27">
        <f>IF(OR($J45="",ROW()=5,$B45&lt;&gt;$B44,$J44=""),"",IF($J45&lt;$J44,"下降",""))</f>
        <v/>
      </c>
      <c r="AD45" s="28" t="inlineStr">
        <is>
          <t>整队验算：S/T为五人总生命/总攻击，U为平均防御，W为逐人计算后求和EHP；倍率由爬塔专用源表执行。</t>
        </is>
      </c>
      <c r="AE45" t="n">
        <v>652000</v>
      </c>
      <c r="AF45">
        <f>INDEX(_统一战力!$B$2:$B$501,J45)</f>
        <v/>
      </c>
    </row>
    <row r="46" ht="25" customHeight="1">
      <c r="A46" s="27" t="inlineStr">
        <is>
          <t>当前配置</t>
        </is>
      </c>
      <c r="B46" s="27" t="inlineStr">
        <is>
          <t>爬塔</t>
        </is>
      </c>
      <c r="C46" s="28" t="inlineStr">
        <is>
          <t>现行包体1</t>
        </is>
      </c>
      <c r="D46" s="28" t="inlineStr">
        <is>
          <t>第42层</t>
        </is>
      </c>
      <c r="E46" s="28" t="inlineStr">
        <is>
          <t>300043</t>
        </is>
      </c>
      <c r="F46" s="27" t="inlineStr">
        <is>
          <t>普通怪</t>
        </is>
      </c>
      <c r="G46" s="37" t="n">
        <v>117</v>
      </c>
      <c r="H46" s="38" t="n"/>
      <c r="I46" s="39">
        <f>IF($H46="",$G46,$H46)</f>
        <v/>
      </c>
      <c r="J46" s="40" t="n">
        <v>167</v>
      </c>
      <c r="K46" s="72" t="n">
        <v>1.1626296034588</v>
      </c>
      <c r="L46" s="72" t="n">
        <v>0.668485213188333</v>
      </c>
      <c r="M46" s="72" t="n">
        <v>1</v>
      </c>
      <c r="N46" s="73" t="n"/>
      <c r="O46" s="73" t="n"/>
      <c r="P46" s="73" t="n"/>
      <c r="Q46" s="74">
        <f>IF($I46="","",IFERROR(INDEX(_玩家曲线!$H$2:$H$286,MATCH($I46,_玩家曲线!$A$2:$A$286,0)),""))</f>
        <v/>
      </c>
      <c r="R46" s="74">
        <f>IF($I46="","",IFERROR(INDEX(_玩家曲线!$I$2:$I$286,MATCH($I46,_玩家曲线!$A$2:$A$286,0)),""))</f>
        <v/>
      </c>
      <c r="S46" s="74">
        <f>SUMIF(_爬塔队伍!$A$2:$A$501,VALUE(SUBSTITUTE(SUBSTITUTE(D46,"第",""),"层","")),_爬塔队伍!$C$2:$C$501)</f>
        <v/>
      </c>
      <c r="T46" s="74">
        <f>SUMIF(_爬塔队伍!$A$2:$A$501,VALUE(SUBSTITUTE(SUBSTITUTE(D46,"第",""),"层","")),_爬塔队伍!$D$2:$D$501)</f>
        <v/>
      </c>
      <c r="U46" s="74">
        <f>SUMIF(_爬塔队伍!$A$2:$A$501,VALUE(SUBSTITUTE(SUBSTITUTE(D46,"第",""),"层","")),_爬塔队伍!$E$2:$E$501)/COUNTIF(_爬塔队伍!$A$2:$A$501,VALUE(SUBSTITUTE(SUBSTITUTE(D46,"第",""),"层","")))</f>
        <v/>
      </c>
      <c r="V46" s="75">
        <f>IF($U46="","",MIN(0.75,$U46/($U46+24000)))</f>
        <v/>
      </c>
      <c r="W46" s="76">
        <f>SUMIF(_爬塔队伍!$A$2:$A$501,VALUE(SUBSTITUTE(SUBSTITUTE(D46,"第",""),"层","")),_爬塔队伍!$F$2:$F$501)</f>
        <v/>
      </c>
      <c r="X46" s="76">
        <f>IF(OR($W46="",$Q46="",$Q46=0),"",$W46/$Q46)</f>
        <v/>
      </c>
      <c r="Y46" s="76">
        <f>IF(OR($R46="",$T46="",$T46=0),"",$R46/($T46*IF($O46="",1,$O46)))</f>
        <v/>
      </c>
      <c r="Z46" s="77">
        <f>IF(OR($X46="",$P46="",$P46=0),"",$X46/$P46)</f>
        <v/>
      </c>
      <c r="AA46" s="27">
        <f>IF($J46="","待填怪物等级",IF(OR($I46="",$Q46=""),"待填对照关卡",IF($P46="","已计算",IF(AND($Y46&lt;&gt;"",$Y46&lt;$X46),"生存不成立",IF($Z46&lt;0.5,"碾压",IF($Z46&lt;0.8,"偏简单",IF($Z46&lt;=1.2,"适中",IF($Z46&lt;=1.5,"偏难","过难"))))))))</f>
        <v/>
      </c>
      <c r="AB46" s="27">
        <f>IF($J46="","待填",IF(AND(ISNUMBER($J46),$J46&gt;=1,$J46&lt;=500,MOD($J46,1)=0),"有效","超范围"))</f>
        <v/>
      </c>
      <c r="AC46" s="27">
        <f>IF(OR($J46="",ROW()=5,$B46&lt;&gt;$B45,$J45=""),"",IF($J46&lt;$J45,"下降",""))</f>
        <v/>
      </c>
      <c r="AD46" s="28" t="inlineStr">
        <is>
          <t>整队验算：S/T为五人总生命/总攻击，U为平均防御，W为逐人计算后求和EHP；倍率由爬塔专用源表执行。</t>
        </is>
      </c>
      <c r="AE46" t="n">
        <v>659000</v>
      </c>
      <c r="AF46">
        <f>INDEX(_统一战力!$B$2:$B$501,J46)</f>
        <v/>
      </c>
    </row>
    <row r="47" ht="25" customHeight="1">
      <c r="A47" s="27" t="inlineStr">
        <is>
          <t>当前配置</t>
        </is>
      </c>
      <c r="B47" s="27" t="inlineStr">
        <is>
          <t>爬塔</t>
        </is>
      </c>
      <c r="C47" s="28" t="inlineStr">
        <is>
          <t>现行包体1</t>
        </is>
      </c>
      <c r="D47" s="28" t="inlineStr">
        <is>
          <t>第43层</t>
        </is>
      </c>
      <c r="E47" s="28" t="inlineStr">
        <is>
          <t>300044</t>
        </is>
      </c>
      <c r="F47" s="27" t="inlineStr">
        <is>
          <t>普通怪</t>
        </is>
      </c>
      <c r="G47" s="37" t="n">
        <v>119</v>
      </c>
      <c r="H47" s="38" t="n"/>
      <c r="I47" s="39">
        <f>IF($H47="",$G47,$H47)</f>
        <v/>
      </c>
      <c r="J47" s="40" t="n">
        <v>171</v>
      </c>
      <c r="K47" s="72" t="n">
        <v>1.15701985376253</v>
      </c>
      <c r="L47" s="72" t="n">
        <v>0.666077166265881</v>
      </c>
      <c r="M47" s="72" t="n">
        <v>1</v>
      </c>
      <c r="N47" s="73" t="n"/>
      <c r="O47" s="73" t="n"/>
      <c r="P47" s="73" t="n"/>
      <c r="Q47" s="74">
        <f>IF($I47="","",IFERROR(INDEX(_玩家曲线!$H$2:$H$286,MATCH($I47,_玩家曲线!$A$2:$A$286,0)),""))</f>
        <v/>
      </c>
      <c r="R47" s="74">
        <f>IF($I47="","",IFERROR(INDEX(_玩家曲线!$I$2:$I$286,MATCH($I47,_玩家曲线!$A$2:$A$286,0)),""))</f>
        <v/>
      </c>
      <c r="S47" s="74">
        <f>SUMIF(_爬塔队伍!$A$2:$A$501,VALUE(SUBSTITUTE(SUBSTITUTE(D47,"第",""),"层","")),_爬塔队伍!$C$2:$C$501)</f>
        <v/>
      </c>
      <c r="T47" s="74">
        <f>SUMIF(_爬塔队伍!$A$2:$A$501,VALUE(SUBSTITUTE(SUBSTITUTE(D47,"第",""),"层","")),_爬塔队伍!$D$2:$D$501)</f>
        <v/>
      </c>
      <c r="U47" s="74">
        <f>SUMIF(_爬塔队伍!$A$2:$A$501,VALUE(SUBSTITUTE(SUBSTITUTE(D47,"第",""),"层","")),_爬塔队伍!$E$2:$E$501)/COUNTIF(_爬塔队伍!$A$2:$A$501,VALUE(SUBSTITUTE(SUBSTITUTE(D47,"第",""),"层","")))</f>
        <v/>
      </c>
      <c r="V47" s="75">
        <f>IF($U47="","",MIN(0.75,$U47/($U47+24000)))</f>
        <v/>
      </c>
      <c r="W47" s="76">
        <f>SUMIF(_爬塔队伍!$A$2:$A$501,VALUE(SUBSTITUTE(SUBSTITUTE(D47,"第",""),"层","")),_爬塔队伍!$F$2:$F$501)</f>
        <v/>
      </c>
      <c r="X47" s="76">
        <f>IF(OR($W47="",$Q47="",$Q47=0),"",$W47/$Q47)</f>
        <v/>
      </c>
      <c r="Y47" s="76">
        <f>IF(OR($R47="",$T47="",$T47=0),"",$R47/($T47*IF($O47="",1,$O47)))</f>
        <v/>
      </c>
      <c r="Z47" s="77">
        <f>IF(OR($X47="",$P47="",$P47=0),"",$X47/$P47)</f>
        <v/>
      </c>
      <c r="AA47" s="27">
        <f>IF($J47="","待填怪物等级",IF(OR($I47="",$Q47=""),"待填对照关卡",IF($P47="","已计算",IF(AND($Y47&lt;&gt;"",$Y47&lt;$X47),"生存不成立",IF($Z47&lt;0.5,"碾压",IF($Z47&lt;0.8,"偏简单",IF($Z47&lt;=1.2,"适中",IF($Z47&lt;=1.5,"偏难","过难"))))))))</f>
        <v/>
      </c>
      <c r="AB47" s="27">
        <f>IF($J47="","待填",IF(AND(ISNUMBER($J47),$J47&gt;=1,$J47&lt;=500,MOD($J47,1)=0),"有效","超范围"))</f>
        <v/>
      </c>
      <c r="AC47" s="27">
        <f>IF(OR($J47="",ROW()=5,$B47&lt;&gt;$B46,$J46=""),"",IF($J47&lt;$J46,"下降",""))</f>
        <v/>
      </c>
      <c r="AD47" s="28" t="inlineStr">
        <is>
          <t>整队验算：S/T为五人总生命/总攻击，U为平均防御，W为逐人计算后求和EHP；倍率由爬塔专用源表执行。</t>
        </is>
      </c>
      <c r="AE47" t="n">
        <v>686000</v>
      </c>
      <c r="AF47">
        <f>INDEX(_统一战力!$B$2:$B$501,J47)</f>
        <v/>
      </c>
    </row>
    <row r="48" ht="25" customHeight="1">
      <c r="A48" s="27" t="inlineStr">
        <is>
          <t>当前配置</t>
        </is>
      </c>
      <c r="B48" s="27" t="inlineStr">
        <is>
          <t>爬塔</t>
        </is>
      </c>
      <c r="C48" s="28" t="inlineStr">
        <is>
          <t>现行包体1</t>
        </is>
      </c>
      <c r="D48" s="28" t="inlineStr">
        <is>
          <t>第44层</t>
        </is>
      </c>
      <c r="E48" s="28" t="inlineStr">
        <is>
          <t>300045</t>
        </is>
      </c>
      <c r="F48" s="27" t="inlineStr">
        <is>
          <t>普通怪</t>
        </is>
      </c>
      <c r="G48" s="37" t="n">
        <v>122</v>
      </c>
      <c r="H48" s="38" t="n"/>
      <c r="I48" s="39">
        <f>IF($H48="",$G48,$H48)</f>
        <v/>
      </c>
      <c r="J48" s="40" t="n">
        <v>174</v>
      </c>
      <c r="K48" s="72" t="n">
        <v>1.16687871974651</v>
      </c>
      <c r="L48" s="72" t="n">
        <v>0.67038170805797</v>
      </c>
      <c r="M48" s="72" t="n">
        <v>1</v>
      </c>
      <c r="N48" s="73" t="n"/>
      <c r="O48" s="73" t="n"/>
      <c r="P48" s="73" t="n"/>
      <c r="Q48" s="74">
        <f>IF($I48="","",IFERROR(INDEX(_玩家曲线!$H$2:$H$286,MATCH($I48,_玩家曲线!$A$2:$A$286,0)),""))</f>
        <v/>
      </c>
      <c r="R48" s="74">
        <f>IF($I48="","",IFERROR(INDEX(_玩家曲线!$I$2:$I$286,MATCH($I48,_玩家曲线!$A$2:$A$286,0)),""))</f>
        <v/>
      </c>
      <c r="S48" s="74">
        <f>SUMIF(_爬塔队伍!$A$2:$A$501,VALUE(SUBSTITUTE(SUBSTITUTE(D48,"第",""),"层","")),_爬塔队伍!$C$2:$C$501)</f>
        <v/>
      </c>
      <c r="T48" s="74">
        <f>SUMIF(_爬塔队伍!$A$2:$A$501,VALUE(SUBSTITUTE(SUBSTITUTE(D48,"第",""),"层","")),_爬塔队伍!$D$2:$D$501)</f>
        <v/>
      </c>
      <c r="U48" s="74">
        <f>SUMIF(_爬塔队伍!$A$2:$A$501,VALUE(SUBSTITUTE(SUBSTITUTE(D48,"第",""),"层","")),_爬塔队伍!$E$2:$E$501)/COUNTIF(_爬塔队伍!$A$2:$A$501,VALUE(SUBSTITUTE(SUBSTITUTE(D48,"第",""),"层","")))</f>
        <v/>
      </c>
      <c r="V48" s="75">
        <f>IF($U48="","",MIN(0.75,$U48/($U48+24000)))</f>
        <v/>
      </c>
      <c r="W48" s="76">
        <f>SUMIF(_爬塔队伍!$A$2:$A$501,VALUE(SUBSTITUTE(SUBSTITUTE(D48,"第",""),"层","")),_爬塔队伍!$F$2:$F$501)</f>
        <v/>
      </c>
      <c r="X48" s="76">
        <f>IF(OR($W48="",$Q48="",$Q48=0),"",$W48/$Q48)</f>
        <v/>
      </c>
      <c r="Y48" s="76">
        <f>IF(OR($R48="",$T48="",$T48=0),"",$R48/($T48*IF($O48="",1,$O48)))</f>
        <v/>
      </c>
      <c r="Z48" s="77">
        <f>IF(OR($X48="",$P48="",$P48=0),"",$X48/$P48)</f>
        <v/>
      </c>
      <c r="AA48" s="27">
        <f>IF($J48="","待填怪物等级",IF(OR($I48="",$Q48=""),"待填对照关卡",IF($P48="","已计算",IF(AND($Y48&lt;&gt;"",$Y48&lt;$X48),"生存不成立",IF($Z48&lt;0.5,"碾压",IF($Z48&lt;0.8,"偏简单",IF($Z48&lt;=1.2,"适中",IF($Z48&lt;=1.5,"偏难","过难"))))))))</f>
        <v/>
      </c>
      <c r="AB48" s="27">
        <f>IF($J48="","待填",IF(AND(ISNUMBER($J48),$J48&gt;=1,$J48&lt;=500,MOD($J48,1)=0),"有效","超范围"))</f>
        <v/>
      </c>
      <c r="AC48" s="27">
        <f>IF(OR($J48="",ROW()=5,$B48&lt;&gt;$B47,$J47=""),"",IF($J48&lt;$J47,"下降",""))</f>
        <v/>
      </c>
      <c r="AD48" s="28" t="inlineStr">
        <is>
          <t>整队验算：S/T为五人总生命/总攻击，U为平均防御，W为逐人计算后求和EHP；倍率由爬塔专用源表执行。</t>
        </is>
      </c>
      <c r="AE48" t="n">
        <v>710000</v>
      </c>
      <c r="AF48">
        <f>INDEX(_统一战力!$B$2:$B$501,J48)</f>
        <v/>
      </c>
    </row>
    <row r="49" ht="25" customHeight="1">
      <c r="A49" s="27" t="inlineStr">
        <is>
          <t>当前配置</t>
        </is>
      </c>
      <c r="B49" s="27" t="inlineStr">
        <is>
          <t>爬塔</t>
        </is>
      </c>
      <c r="C49" s="28" t="inlineStr">
        <is>
          <t>现行包体1</t>
        </is>
      </c>
      <c r="D49" s="28" t="inlineStr">
        <is>
          <t>第45层</t>
        </is>
      </c>
      <c r="E49" s="28" t="inlineStr">
        <is>
          <t>300046</t>
        </is>
      </c>
      <c r="F49" s="27" t="inlineStr">
        <is>
          <t>精英怪</t>
        </is>
      </c>
      <c r="G49" s="37" t="n">
        <v>124</v>
      </c>
      <c r="H49" s="38" t="n"/>
      <c r="I49" s="39">
        <f>IF($H49="",$G49,$H49)</f>
        <v/>
      </c>
      <c r="J49" s="40" t="n">
        <v>178</v>
      </c>
      <c r="K49" s="72" t="n">
        <v>1.15735739795593</v>
      </c>
      <c r="L49" s="72" t="n">
        <v>0.669688309096367</v>
      </c>
      <c r="M49" s="72" t="n">
        <v>1</v>
      </c>
      <c r="N49" s="73" t="n"/>
      <c r="O49" s="73" t="n"/>
      <c r="P49" s="73" t="n"/>
      <c r="Q49" s="74">
        <f>IF($I49="","",IFERROR(INDEX(_玩家曲线!$H$2:$H$286,MATCH($I49,_玩家曲线!$A$2:$A$286,0)),""))</f>
        <v/>
      </c>
      <c r="R49" s="74">
        <f>IF($I49="","",IFERROR(INDEX(_玩家曲线!$I$2:$I$286,MATCH($I49,_玩家曲线!$A$2:$A$286,0)),""))</f>
        <v/>
      </c>
      <c r="S49" s="74">
        <f>SUMIF(_爬塔队伍!$A$2:$A$501,VALUE(SUBSTITUTE(SUBSTITUTE(D49,"第",""),"层","")),_爬塔队伍!$C$2:$C$501)</f>
        <v/>
      </c>
      <c r="T49" s="74">
        <f>SUMIF(_爬塔队伍!$A$2:$A$501,VALUE(SUBSTITUTE(SUBSTITUTE(D49,"第",""),"层","")),_爬塔队伍!$D$2:$D$501)</f>
        <v/>
      </c>
      <c r="U49" s="74">
        <f>SUMIF(_爬塔队伍!$A$2:$A$501,VALUE(SUBSTITUTE(SUBSTITUTE(D49,"第",""),"层","")),_爬塔队伍!$E$2:$E$501)/COUNTIF(_爬塔队伍!$A$2:$A$501,VALUE(SUBSTITUTE(SUBSTITUTE(D49,"第",""),"层","")))</f>
        <v/>
      </c>
      <c r="V49" s="75">
        <f>IF($U49="","",MIN(0.75,$U49/($U49+24000)))</f>
        <v/>
      </c>
      <c r="W49" s="76">
        <f>SUMIF(_爬塔队伍!$A$2:$A$501,VALUE(SUBSTITUTE(SUBSTITUTE(D49,"第",""),"层","")),_爬塔队伍!$F$2:$F$501)</f>
        <v/>
      </c>
      <c r="X49" s="76">
        <f>IF(OR($W49="",$Q49="",$Q49=0),"",$W49/$Q49)</f>
        <v/>
      </c>
      <c r="Y49" s="76">
        <f>IF(OR($R49="",$T49="",$T49=0),"",$R49/($T49*IF($O49="",1,$O49)))</f>
        <v/>
      </c>
      <c r="Z49" s="77">
        <f>IF(OR($X49="",$P49="",$P49=0),"",$X49/$P49)</f>
        <v/>
      </c>
      <c r="AA49" s="27">
        <f>IF($J49="","待填怪物等级",IF(OR($I49="",$Q49=""),"待填对照关卡",IF($P49="","已计算",IF(AND($Y49&lt;&gt;"",$Y49&lt;$X49),"生存不成立",IF($Z49&lt;0.5,"碾压",IF($Z49&lt;0.8,"偏简单",IF($Z49&lt;=1.2,"适中",IF($Z49&lt;=1.5,"偏难","过难"))))))))</f>
        <v/>
      </c>
      <c r="AB49" s="27">
        <f>IF($J49="","待填",IF(AND(ISNUMBER($J49),$J49&gt;=1,$J49&lt;=500,MOD($J49,1)=0),"有效","超范围"))</f>
        <v/>
      </c>
      <c r="AC49" s="27">
        <f>IF(OR($J49="",ROW()=5,$B49&lt;&gt;$B48,$J48=""),"",IF($J49&lt;$J48,"下降",""))</f>
        <v/>
      </c>
      <c r="AD49" s="28" t="inlineStr">
        <is>
          <t>整队验算：S/T为五人总生命/总攻击，U为平均防御，W为逐人计算后求和EHP；倍率由爬塔专用源表执行。</t>
        </is>
      </c>
      <c r="AE49" t="n">
        <v>768000</v>
      </c>
      <c r="AF49">
        <f>INDEX(_统一战力!$B$2:$B$501,J49)</f>
        <v/>
      </c>
    </row>
    <row r="50" ht="25" customHeight="1">
      <c r="A50" s="27" t="inlineStr">
        <is>
          <t>当前配置</t>
        </is>
      </c>
      <c r="B50" s="27" t="inlineStr">
        <is>
          <t>爬塔</t>
        </is>
      </c>
      <c r="C50" s="28" t="inlineStr">
        <is>
          <t>现行包体1</t>
        </is>
      </c>
      <c r="D50" s="28" t="inlineStr">
        <is>
          <t>第46层</t>
        </is>
      </c>
      <c r="E50" s="28" t="inlineStr">
        <is>
          <t>300047</t>
        </is>
      </c>
      <c r="F50" s="27" t="inlineStr">
        <is>
          <t>普通怪</t>
        </is>
      </c>
      <c r="G50" s="37" t="n">
        <v>127</v>
      </c>
      <c r="H50" s="38" t="n"/>
      <c r="I50" s="39">
        <f>IF($H50="",$G50,$H50)</f>
        <v/>
      </c>
      <c r="J50" s="40" t="n">
        <v>182</v>
      </c>
      <c r="K50" s="72" t="n">
        <v>1.15902261534038</v>
      </c>
      <c r="L50" s="72" t="n">
        <v>0.670428662462566</v>
      </c>
      <c r="M50" s="72" t="n">
        <v>1</v>
      </c>
      <c r="N50" s="73" t="n"/>
      <c r="O50" s="73" t="n"/>
      <c r="P50" s="73" t="n"/>
      <c r="Q50" s="74">
        <f>IF($I50="","",IFERROR(INDEX(_玩家曲线!$H$2:$H$286,MATCH($I50,_玩家曲线!$A$2:$A$286,0)),""))</f>
        <v/>
      </c>
      <c r="R50" s="74">
        <f>IF($I50="","",IFERROR(INDEX(_玩家曲线!$I$2:$I$286,MATCH($I50,_玩家曲线!$A$2:$A$286,0)),""))</f>
        <v/>
      </c>
      <c r="S50" s="74">
        <f>SUMIF(_爬塔队伍!$A$2:$A$501,VALUE(SUBSTITUTE(SUBSTITUTE(D50,"第",""),"层","")),_爬塔队伍!$C$2:$C$501)</f>
        <v/>
      </c>
      <c r="T50" s="74">
        <f>SUMIF(_爬塔队伍!$A$2:$A$501,VALUE(SUBSTITUTE(SUBSTITUTE(D50,"第",""),"层","")),_爬塔队伍!$D$2:$D$501)</f>
        <v/>
      </c>
      <c r="U50" s="74">
        <f>SUMIF(_爬塔队伍!$A$2:$A$501,VALUE(SUBSTITUTE(SUBSTITUTE(D50,"第",""),"层","")),_爬塔队伍!$E$2:$E$501)/COUNTIF(_爬塔队伍!$A$2:$A$501,VALUE(SUBSTITUTE(SUBSTITUTE(D50,"第",""),"层","")))</f>
        <v/>
      </c>
      <c r="V50" s="75">
        <f>IF($U50="","",MIN(0.75,$U50/($U50+24000)))</f>
        <v/>
      </c>
      <c r="W50" s="76">
        <f>SUMIF(_爬塔队伍!$A$2:$A$501,VALUE(SUBSTITUTE(SUBSTITUTE(D50,"第",""),"层","")),_爬塔队伍!$F$2:$F$501)</f>
        <v/>
      </c>
      <c r="X50" s="76">
        <f>IF(OR($W50="",$Q50="",$Q50=0),"",$W50/$Q50)</f>
        <v/>
      </c>
      <c r="Y50" s="76">
        <f>IF(OR($R50="",$T50="",$T50=0),"",$R50/($T50*IF($O50="",1,$O50)))</f>
        <v/>
      </c>
      <c r="Z50" s="77">
        <f>IF(OR($X50="",$P50="",$P50=0),"",$X50/$P50)</f>
        <v/>
      </c>
      <c r="AA50" s="27">
        <f>IF($J50="","待填怪物等级",IF(OR($I50="",$Q50=""),"待填对照关卡",IF($P50="","已计算",IF(AND($Y50&lt;&gt;"",$Y50&lt;$X50),"生存不成立",IF($Z50&lt;0.5,"碾压",IF($Z50&lt;0.8,"偏简单",IF($Z50&lt;=1.2,"适中",IF($Z50&lt;=1.5,"偏难","过难"))))))))</f>
        <v/>
      </c>
      <c r="AB50" s="27">
        <f>IF($J50="","待填",IF(AND(ISNUMBER($J50),$J50&gt;=1,$J50&lt;=500,MOD($J50,1)=0),"有效","超范围"))</f>
        <v/>
      </c>
      <c r="AC50" s="27">
        <f>IF(OR($J50="",ROW()=5,$B50&lt;&gt;$B49,$J49=""),"",IF($J50&lt;$J49,"下降",""))</f>
        <v/>
      </c>
      <c r="AD50" s="28" t="inlineStr">
        <is>
          <t>整队验算：S/T为五人总生命/总攻击，U为平均防御，W为逐人计算后求和EHP；倍率由爬塔专用源表执行。</t>
        </is>
      </c>
      <c r="AE50" t="n">
        <v>796000</v>
      </c>
      <c r="AF50">
        <f>INDEX(_统一战力!$B$2:$B$501,J50)</f>
        <v/>
      </c>
    </row>
    <row r="51" ht="25" customHeight="1">
      <c r="A51" s="27" t="inlineStr">
        <is>
          <t>当前配置</t>
        </is>
      </c>
      <c r="B51" s="27" t="inlineStr">
        <is>
          <t>爬塔</t>
        </is>
      </c>
      <c r="C51" s="28" t="inlineStr">
        <is>
          <t>现行包体1</t>
        </is>
      </c>
      <c r="D51" s="28" t="inlineStr">
        <is>
          <t>第47层</t>
        </is>
      </c>
      <c r="E51" s="28" t="inlineStr">
        <is>
          <t>300048</t>
        </is>
      </c>
      <c r="F51" s="27" t="inlineStr">
        <is>
          <t>普通怪</t>
        </is>
      </c>
      <c r="G51" s="37" t="n">
        <v>130</v>
      </c>
      <c r="H51" s="38" t="n"/>
      <c r="I51" s="39">
        <f>IF($H51="",$G51,$H51)</f>
        <v/>
      </c>
      <c r="J51" s="40" t="n">
        <v>185</v>
      </c>
      <c r="K51" s="72" t="n">
        <v>1.15723303110238</v>
      </c>
      <c r="L51" s="72" t="n">
        <v>0.672811477945234</v>
      </c>
      <c r="M51" s="72" t="n">
        <v>1</v>
      </c>
      <c r="N51" s="73" t="n"/>
      <c r="O51" s="73" t="n"/>
      <c r="P51" s="73" t="n"/>
      <c r="Q51" s="74">
        <f>IF($I51="","",IFERROR(INDEX(_玩家曲线!$H$2:$H$286,MATCH($I51,_玩家曲线!$A$2:$A$286,0)),""))</f>
        <v/>
      </c>
      <c r="R51" s="74">
        <f>IF($I51="","",IFERROR(INDEX(_玩家曲线!$I$2:$I$286,MATCH($I51,_玩家曲线!$A$2:$A$286,0)),""))</f>
        <v/>
      </c>
      <c r="S51" s="74">
        <f>SUMIF(_爬塔队伍!$A$2:$A$501,VALUE(SUBSTITUTE(SUBSTITUTE(D51,"第",""),"层","")),_爬塔队伍!$C$2:$C$501)</f>
        <v/>
      </c>
      <c r="T51" s="74">
        <f>SUMIF(_爬塔队伍!$A$2:$A$501,VALUE(SUBSTITUTE(SUBSTITUTE(D51,"第",""),"层","")),_爬塔队伍!$D$2:$D$501)</f>
        <v/>
      </c>
      <c r="U51" s="74">
        <f>SUMIF(_爬塔队伍!$A$2:$A$501,VALUE(SUBSTITUTE(SUBSTITUTE(D51,"第",""),"层","")),_爬塔队伍!$E$2:$E$501)/COUNTIF(_爬塔队伍!$A$2:$A$501,VALUE(SUBSTITUTE(SUBSTITUTE(D51,"第",""),"层","")))</f>
        <v/>
      </c>
      <c r="V51" s="75">
        <f>IF($U51="","",MIN(0.75,$U51/($U51+24000)))</f>
        <v/>
      </c>
      <c r="W51" s="76">
        <f>SUMIF(_爬塔队伍!$A$2:$A$501,VALUE(SUBSTITUTE(SUBSTITUTE(D51,"第",""),"层","")),_爬塔队伍!$F$2:$F$501)</f>
        <v/>
      </c>
      <c r="X51" s="76">
        <f>IF(OR($W51="",$Q51="",$Q51=0),"",$W51/$Q51)</f>
        <v/>
      </c>
      <c r="Y51" s="76">
        <f>IF(OR($R51="",$T51="",$T51=0),"",$R51/($T51*IF($O51="",1,$O51)))</f>
        <v/>
      </c>
      <c r="Z51" s="77">
        <f>IF(OR($X51="",$P51="",$P51=0),"",$X51/$P51)</f>
        <v/>
      </c>
      <c r="AA51" s="27">
        <f>IF($J51="","待填怪物等级",IF(OR($I51="",$Q51=""),"待填对照关卡",IF($P51="","已计算",IF(AND($Y51&lt;&gt;"",$Y51&lt;$X51),"生存不成立",IF($Z51&lt;0.5,"碾压",IF($Z51&lt;0.8,"偏简单",IF($Z51&lt;=1.2,"适中",IF($Z51&lt;=1.5,"偏难","过难"))))))))</f>
        <v/>
      </c>
      <c r="AB51" s="27">
        <f>IF($J51="","待填",IF(AND(ISNUMBER($J51),$J51&gt;=1,$J51&lt;=500,MOD($J51,1)=0),"有效","超范围"))</f>
        <v/>
      </c>
      <c r="AC51" s="27">
        <f>IF(OR($J51="",ROW()=5,$B51&lt;&gt;$B50,$J50=""),"",IF($J51&lt;$J50,"下降",""))</f>
        <v/>
      </c>
      <c r="AD51" s="28" t="inlineStr">
        <is>
          <t>整队验算：S/T为五人总生命/总攻击，U为平均防御，W为逐人计算后求和EHP；倍率由爬塔专用源表执行。</t>
        </is>
      </c>
      <c r="AE51" t="n">
        <v>825000</v>
      </c>
      <c r="AF51">
        <f>INDEX(_统一战力!$B$2:$B$501,J51)</f>
        <v/>
      </c>
    </row>
    <row r="52" ht="25" customHeight="1">
      <c r="A52" s="27" t="inlineStr">
        <is>
          <t>当前配置</t>
        </is>
      </c>
      <c r="B52" s="27" t="inlineStr">
        <is>
          <t>爬塔</t>
        </is>
      </c>
      <c r="C52" s="28" t="inlineStr">
        <is>
          <t>现行包体1</t>
        </is>
      </c>
      <c r="D52" s="28" t="inlineStr">
        <is>
          <t>第48层</t>
        </is>
      </c>
      <c r="E52" s="28" t="inlineStr">
        <is>
          <t>300049</t>
        </is>
      </c>
      <c r="F52" s="27" t="inlineStr">
        <is>
          <t>普通怪</t>
        </is>
      </c>
      <c r="G52" s="37" t="n">
        <v>132</v>
      </c>
      <c r="H52" s="38" t="n"/>
      <c r="I52" s="39">
        <f>IF($H52="",$G52,$H52)</f>
        <v/>
      </c>
      <c r="J52" s="40" t="n">
        <v>189</v>
      </c>
      <c r="K52" s="72" t="n">
        <v>1.15628599730198</v>
      </c>
      <c r="L52" s="72" t="n">
        <v>0.672487082221314</v>
      </c>
      <c r="M52" s="72" t="n">
        <v>1</v>
      </c>
      <c r="N52" s="73" t="n"/>
      <c r="O52" s="73" t="n"/>
      <c r="P52" s="73" t="n"/>
      <c r="Q52" s="74">
        <f>IF($I52="","",IFERROR(INDEX(_玩家曲线!$H$2:$H$286,MATCH($I52,_玩家曲线!$A$2:$A$286,0)),""))</f>
        <v/>
      </c>
      <c r="R52" s="74">
        <f>IF($I52="","",IFERROR(INDEX(_玩家曲线!$I$2:$I$286,MATCH($I52,_玩家曲线!$A$2:$A$286,0)),""))</f>
        <v/>
      </c>
      <c r="S52" s="74">
        <f>SUMIF(_爬塔队伍!$A$2:$A$501,VALUE(SUBSTITUTE(SUBSTITUTE(D52,"第",""),"层","")),_爬塔队伍!$C$2:$C$501)</f>
        <v/>
      </c>
      <c r="T52" s="74">
        <f>SUMIF(_爬塔队伍!$A$2:$A$501,VALUE(SUBSTITUTE(SUBSTITUTE(D52,"第",""),"层","")),_爬塔队伍!$D$2:$D$501)</f>
        <v/>
      </c>
      <c r="U52" s="74">
        <f>SUMIF(_爬塔队伍!$A$2:$A$501,VALUE(SUBSTITUTE(SUBSTITUTE(D52,"第",""),"层","")),_爬塔队伍!$E$2:$E$501)/COUNTIF(_爬塔队伍!$A$2:$A$501,VALUE(SUBSTITUTE(SUBSTITUTE(D52,"第",""),"层","")))</f>
        <v/>
      </c>
      <c r="V52" s="75">
        <f>IF($U52="","",MIN(0.75,$U52/($U52+24000)))</f>
        <v/>
      </c>
      <c r="W52" s="76">
        <f>SUMIF(_爬塔队伍!$A$2:$A$501,VALUE(SUBSTITUTE(SUBSTITUTE(D52,"第",""),"层","")),_爬塔队伍!$F$2:$F$501)</f>
        <v/>
      </c>
      <c r="X52" s="76">
        <f>IF(OR($W52="",$Q52="",$Q52=0),"",$W52/$Q52)</f>
        <v/>
      </c>
      <c r="Y52" s="76">
        <f>IF(OR($R52="",$T52="",$T52=0),"",$R52/($T52*IF($O52="",1,$O52)))</f>
        <v/>
      </c>
      <c r="Z52" s="77">
        <f>IF(OR($X52="",$P52="",$P52=0),"",$X52/$P52)</f>
        <v/>
      </c>
      <c r="AA52" s="27">
        <f>IF($J52="","待填怪物等级",IF(OR($I52="",$Q52=""),"待填对照关卡",IF($P52="","已计算",IF(AND($Y52&lt;&gt;"",$Y52&lt;$X52),"生存不成立",IF($Z52&lt;0.5,"碾压",IF($Z52&lt;0.8,"偏简单",IF($Z52&lt;=1.2,"适中",IF($Z52&lt;=1.5,"偏难","过难"))))))))</f>
        <v/>
      </c>
      <c r="AB52" s="27">
        <f>IF($J52="","待填",IF(AND(ISNUMBER($J52),$J52&gt;=1,$J52&lt;=500,MOD($J52,1)=0),"有效","超范围"))</f>
        <v/>
      </c>
      <c r="AC52" s="27">
        <f>IF(OR($J52="",ROW()=5,$B52&lt;&gt;$B51,$J51=""),"",IF($J52&lt;$J51,"下降",""))</f>
        <v/>
      </c>
      <c r="AD52" s="28" t="inlineStr">
        <is>
          <t>整队验算：S/T为五人总生命/总攻击，U为平均防御，W为逐人计算后求和EHP；倍率由爬塔专用源表执行。</t>
        </is>
      </c>
      <c r="AE52" t="n">
        <v>836000</v>
      </c>
      <c r="AF52">
        <f>INDEX(_统一战力!$B$2:$B$501,J52)</f>
        <v/>
      </c>
    </row>
    <row r="53" ht="25" customHeight="1">
      <c r="A53" s="27" t="inlineStr">
        <is>
          <t>当前配置</t>
        </is>
      </c>
      <c r="B53" s="27" t="inlineStr">
        <is>
          <t>爬塔</t>
        </is>
      </c>
      <c r="C53" s="28" t="inlineStr">
        <is>
          <t>现行包体1</t>
        </is>
      </c>
      <c r="D53" s="28" t="inlineStr">
        <is>
          <t>第49层</t>
        </is>
      </c>
      <c r="E53" s="28" t="inlineStr">
        <is>
          <t>300050</t>
        </is>
      </c>
      <c r="F53" s="27" t="inlineStr">
        <is>
          <t>普通怪</t>
        </is>
      </c>
      <c r="G53" s="37" t="n">
        <v>135</v>
      </c>
      <c r="H53" s="38" t="n"/>
      <c r="I53" s="39">
        <f>IF($H53="",$G53,$H53)</f>
        <v/>
      </c>
      <c r="J53" s="40" t="n">
        <v>192</v>
      </c>
      <c r="K53" s="72" t="n">
        <v>1.1558279872176</v>
      </c>
      <c r="L53" s="72" t="n">
        <v>0.671805468942296</v>
      </c>
      <c r="M53" s="72" t="n">
        <v>1</v>
      </c>
      <c r="N53" s="73" t="n"/>
      <c r="O53" s="73" t="n"/>
      <c r="P53" s="73" t="n"/>
      <c r="Q53" s="74">
        <f>IF($I53="","",IFERROR(INDEX(_玩家曲线!$H$2:$H$286,MATCH($I53,_玩家曲线!$A$2:$A$286,0)),""))</f>
        <v/>
      </c>
      <c r="R53" s="74">
        <f>IF($I53="","",IFERROR(INDEX(_玩家曲线!$I$2:$I$286,MATCH($I53,_玩家曲线!$A$2:$A$286,0)),""))</f>
        <v/>
      </c>
      <c r="S53" s="74">
        <f>SUMIF(_爬塔队伍!$A$2:$A$501,VALUE(SUBSTITUTE(SUBSTITUTE(D53,"第",""),"层","")),_爬塔队伍!$C$2:$C$501)</f>
        <v/>
      </c>
      <c r="T53" s="74">
        <f>SUMIF(_爬塔队伍!$A$2:$A$501,VALUE(SUBSTITUTE(SUBSTITUTE(D53,"第",""),"层","")),_爬塔队伍!$D$2:$D$501)</f>
        <v/>
      </c>
      <c r="U53" s="74">
        <f>SUMIF(_爬塔队伍!$A$2:$A$501,VALUE(SUBSTITUTE(SUBSTITUTE(D53,"第",""),"层","")),_爬塔队伍!$E$2:$E$501)/COUNTIF(_爬塔队伍!$A$2:$A$501,VALUE(SUBSTITUTE(SUBSTITUTE(D53,"第",""),"层","")))</f>
        <v/>
      </c>
      <c r="V53" s="75">
        <f>IF($U53="","",MIN(0.75,$U53/($U53+24000)))</f>
        <v/>
      </c>
      <c r="W53" s="76">
        <f>SUMIF(_爬塔队伍!$A$2:$A$501,VALUE(SUBSTITUTE(SUBSTITUTE(D53,"第",""),"层","")),_爬塔队伍!$F$2:$F$501)</f>
        <v/>
      </c>
      <c r="X53" s="76">
        <f>IF(OR($W53="",$Q53="",$Q53=0),"",$W53/$Q53)</f>
        <v/>
      </c>
      <c r="Y53" s="76">
        <f>IF(OR($R53="",$T53="",$T53=0),"",$R53/($T53*IF($O53="",1,$O53)))</f>
        <v/>
      </c>
      <c r="Z53" s="77">
        <f>IF(OR($X53="",$P53="",$P53=0),"",$X53/$P53)</f>
        <v/>
      </c>
      <c r="AA53" s="27">
        <f>IF($J53="","待填怪物等级",IF(OR($I53="",$Q53=""),"待填对照关卡",IF($P53="","已计算",IF(AND($Y53&lt;&gt;"",$Y53&lt;$X53),"生存不成立",IF($Z53&lt;0.5,"碾压",IF($Z53&lt;0.8,"偏简单",IF($Z53&lt;=1.2,"适中",IF($Z53&lt;=1.5,"偏难","过难"))))))))</f>
        <v/>
      </c>
      <c r="AB53" s="27">
        <f>IF($J53="","待填",IF(AND(ISNUMBER($J53),$J53&gt;=1,$J53&lt;=500,MOD($J53,1)=0),"有效","超范围"))</f>
        <v/>
      </c>
      <c r="AC53" s="27">
        <f>IF(OR($J53="",ROW()=5,$B53&lt;&gt;$B52,$J52=""),"",IF($J53&lt;$J52,"下降",""))</f>
        <v/>
      </c>
      <c r="AD53" s="28" t="inlineStr">
        <is>
          <t>整队验算：S/T为五人总生命/总攻击，U为平均防御，W为逐人计算后求和EHP；倍率由爬塔专用源表执行。</t>
        </is>
      </c>
      <c r="AE53" t="n">
        <v>847000</v>
      </c>
      <c r="AF53">
        <f>INDEX(_统一战力!$B$2:$B$501,J53)</f>
        <v/>
      </c>
    </row>
    <row r="54" ht="25" customHeight="1">
      <c r="A54" s="27" t="inlineStr">
        <is>
          <t>当前配置</t>
        </is>
      </c>
      <c r="B54" s="27" t="inlineStr">
        <is>
          <t>爬塔</t>
        </is>
      </c>
      <c r="C54" s="28" t="inlineStr">
        <is>
          <t>现行包体1</t>
        </is>
      </c>
      <c r="D54" s="28" t="inlineStr">
        <is>
          <t>第50层</t>
        </is>
      </c>
      <c r="E54" s="28" t="inlineStr">
        <is>
          <t>300051</t>
        </is>
      </c>
      <c r="F54" s="27" t="inlineStr">
        <is>
          <t>Boss</t>
        </is>
      </c>
      <c r="G54" s="37" t="n">
        <v>138</v>
      </c>
      <c r="H54" s="38" t="n"/>
      <c r="I54" s="39">
        <f>IF($H54="",$G54,$H54)</f>
        <v/>
      </c>
      <c r="J54" s="40" t="n">
        <v>196</v>
      </c>
      <c r="K54" s="72" t="n">
        <v>1.16486059105706</v>
      </c>
      <c r="L54" s="72" t="n">
        <v>0.677862042556071</v>
      </c>
      <c r="M54" s="72" t="n">
        <v>1</v>
      </c>
      <c r="N54" s="73" t="n"/>
      <c r="O54" s="73" t="n"/>
      <c r="P54" s="73" t="n"/>
      <c r="Q54" s="74">
        <f>IF($I54="","",IFERROR(INDEX(_玩家曲线!$H$2:$H$286,MATCH($I54,_玩家曲线!$A$2:$A$286,0)),""))</f>
        <v/>
      </c>
      <c r="R54" s="74">
        <f>IF($I54="","",IFERROR(INDEX(_玩家曲线!$I$2:$I$286,MATCH($I54,_玩家曲线!$A$2:$A$286,0)),""))</f>
        <v/>
      </c>
      <c r="S54" s="74">
        <f>SUMIF(_爬塔队伍!$A$2:$A$501,VALUE(SUBSTITUTE(SUBSTITUTE(D54,"第",""),"层","")),_爬塔队伍!$C$2:$C$501)</f>
        <v/>
      </c>
      <c r="T54" s="74">
        <f>SUMIF(_爬塔队伍!$A$2:$A$501,VALUE(SUBSTITUTE(SUBSTITUTE(D54,"第",""),"层","")),_爬塔队伍!$D$2:$D$501)</f>
        <v/>
      </c>
      <c r="U54" s="74">
        <f>SUMIF(_爬塔队伍!$A$2:$A$501,VALUE(SUBSTITUTE(SUBSTITUTE(D54,"第",""),"层","")),_爬塔队伍!$E$2:$E$501)/COUNTIF(_爬塔队伍!$A$2:$A$501,VALUE(SUBSTITUTE(SUBSTITUTE(D54,"第",""),"层","")))</f>
        <v/>
      </c>
      <c r="V54" s="75">
        <f>IF($U54="","",MIN(0.75,$U54/($U54+24000)))</f>
        <v/>
      </c>
      <c r="W54" s="76">
        <f>SUMIF(_爬塔队伍!$A$2:$A$501,VALUE(SUBSTITUTE(SUBSTITUTE(D54,"第",""),"层","")),_爬塔队伍!$F$2:$F$501)</f>
        <v/>
      </c>
      <c r="X54" s="76">
        <f>IF(OR($W54="",$Q54="",$Q54=0),"",$W54/$Q54)</f>
        <v/>
      </c>
      <c r="Y54" s="76">
        <f>IF(OR($R54="",$T54="",$T54=0),"",$R54/($T54*IF($O54="",1,$O54)))</f>
        <v/>
      </c>
      <c r="Z54" s="77">
        <f>IF(OR($X54="",$P54="",$P54=0),"",$X54/$P54)</f>
        <v/>
      </c>
      <c r="AA54" s="27">
        <f>IF($J54="","待填怪物等级",IF(OR($I54="",$Q54=""),"待填对照关卡",IF($P54="","已计算",IF(AND($Y54&lt;&gt;"",$Y54&lt;$X54),"生存不成立",IF($Z54&lt;0.5,"碾压",IF($Z54&lt;0.8,"偏简单",IF($Z54&lt;=1.2,"适中",IF($Z54&lt;=1.5,"偏难","过难"))))))))</f>
        <v/>
      </c>
      <c r="AB54" s="27">
        <f>IF($J54="","待填",IF(AND(ISNUMBER($J54),$J54&gt;=1,$J54&lt;=500,MOD($J54,1)=0),"有效","超范围"))</f>
        <v/>
      </c>
      <c r="AC54" s="27">
        <f>IF(OR($J54="",ROW()=5,$B54&lt;&gt;$B53,$J53=""),"",IF($J54&lt;$J53,"下降",""))</f>
        <v/>
      </c>
      <c r="AD54" s="28" t="inlineStr">
        <is>
          <t>整队验算：S/T为五人总生命/总攻击，U为平均防御，W为逐人计算后求和EHP；倍率由爬塔专用源表执行。</t>
        </is>
      </c>
      <c r="AE54" t="n">
        <v>885000</v>
      </c>
      <c r="AF54">
        <f>INDEX(_统一战力!$B$2:$B$501,J54)</f>
        <v/>
      </c>
    </row>
    <row r="55" ht="25" customHeight="1">
      <c r="A55" s="27" t="inlineStr">
        <is>
          <t>当前配置</t>
        </is>
      </c>
      <c r="B55" s="27" t="inlineStr">
        <is>
          <t>爬塔</t>
        </is>
      </c>
      <c r="C55" s="28" t="inlineStr">
        <is>
          <t>现行包体1</t>
        </is>
      </c>
      <c r="D55" s="28" t="inlineStr">
        <is>
          <t>第51层</t>
        </is>
      </c>
      <c r="E55" s="28" t="inlineStr">
        <is>
          <t>300052</t>
        </is>
      </c>
      <c r="F55" s="27" t="inlineStr">
        <is>
          <t>普通怪</t>
        </is>
      </c>
      <c r="G55" s="37" t="n">
        <v>140</v>
      </c>
      <c r="H55" s="38" t="n"/>
      <c r="I55" s="39">
        <f>IF($H55="",$G55,$H55)</f>
        <v/>
      </c>
      <c r="J55" s="40" t="n">
        <v>198</v>
      </c>
      <c r="K55" s="72" t="n">
        <v>1.16221696952162</v>
      </c>
      <c r="L55" s="72" t="n">
        <v>0.679422160763523</v>
      </c>
      <c r="M55" s="72" t="n">
        <v>1</v>
      </c>
      <c r="N55" s="73" t="n"/>
      <c r="O55" s="73" t="n"/>
      <c r="P55" s="73" t="n"/>
      <c r="Q55" s="74">
        <f>IF($I55="","",IFERROR(INDEX(_玩家曲线!$H$2:$H$286,MATCH($I55,_玩家曲线!$A$2:$A$286,0)),""))</f>
        <v/>
      </c>
      <c r="R55" s="74">
        <f>IF($I55="","",IFERROR(INDEX(_玩家曲线!$I$2:$I$286,MATCH($I55,_玩家曲线!$A$2:$A$286,0)),""))</f>
        <v/>
      </c>
      <c r="S55" s="74">
        <f>SUMIF(_爬塔队伍!$A$2:$A$501,VALUE(SUBSTITUTE(SUBSTITUTE(D55,"第",""),"层","")),_爬塔队伍!$C$2:$C$501)</f>
        <v/>
      </c>
      <c r="T55" s="74">
        <f>SUMIF(_爬塔队伍!$A$2:$A$501,VALUE(SUBSTITUTE(SUBSTITUTE(D55,"第",""),"层","")),_爬塔队伍!$D$2:$D$501)</f>
        <v/>
      </c>
      <c r="U55" s="74">
        <f>SUMIF(_爬塔队伍!$A$2:$A$501,VALUE(SUBSTITUTE(SUBSTITUTE(D55,"第",""),"层","")),_爬塔队伍!$E$2:$E$501)/COUNTIF(_爬塔队伍!$A$2:$A$501,VALUE(SUBSTITUTE(SUBSTITUTE(D55,"第",""),"层","")))</f>
        <v/>
      </c>
      <c r="V55" s="75">
        <f>IF($U55="","",MIN(0.75,$U55/($U55+24000)))</f>
        <v/>
      </c>
      <c r="W55" s="76">
        <f>SUMIF(_爬塔队伍!$A$2:$A$501,VALUE(SUBSTITUTE(SUBSTITUTE(D55,"第",""),"层","")),_爬塔队伍!$F$2:$F$501)</f>
        <v/>
      </c>
      <c r="X55" s="76">
        <f>IF(OR($W55="",$Q55="",$Q55=0),"",$W55/$Q55)</f>
        <v/>
      </c>
      <c r="Y55" s="76">
        <f>IF(OR($R55="",$T55="",$T55=0),"",$R55/($T55*IF($O55="",1,$O55)))</f>
        <v/>
      </c>
      <c r="Z55" s="77">
        <f>IF(OR($X55="",$P55="",$P55=0),"",$X55/$P55)</f>
        <v/>
      </c>
      <c r="AA55" s="27">
        <f>IF($J55="","待填怪物等级",IF(OR($I55="",$Q55=""),"待填对照关卡",IF($P55="","已计算",IF(AND($Y55&lt;&gt;"",$Y55&lt;$X55),"生存不成立",IF($Z55&lt;0.5,"碾压",IF($Z55&lt;0.8,"偏简单",IF($Z55&lt;=1.2,"适中",IF($Z55&lt;=1.5,"偏难","过难"))))))))</f>
        <v/>
      </c>
      <c r="AB55" s="27">
        <f>IF($J55="","待填",IF(AND(ISNUMBER($J55),$J55&gt;=1,$J55&lt;=500,MOD($J55,1)=0),"有效","超范围"))</f>
        <v/>
      </c>
      <c r="AC55" s="27">
        <f>IF(OR($J55="",ROW()=5,$B55&lt;&gt;$B54,$J54=""),"",IF($J55&lt;$J54,"下降",""))</f>
        <v/>
      </c>
      <c r="AD55" s="28" t="inlineStr">
        <is>
          <t>整队验算：S/T为五人总生命/总攻击，U为平均防御，W为逐人计算后求和EHP；倍率由爬塔专用源表执行。</t>
        </is>
      </c>
      <c r="AE55" t="n">
        <v>972000</v>
      </c>
      <c r="AF55">
        <f>INDEX(_统一战力!$B$2:$B$501,J55)</f>
        <v/>
      </c>
    </row>
    <row r="56" ht="25" customHeight="1">
      <c r="A56" s="27" t="inlineStr">
        <is>
          <t>当前配置</t>
        </is>
      </c>
      <c r="B56" s="27" t="inlineStr">
        <is>
          <t>爬塔</t>
        </is>
      </c>
      <c r="C56" s="28" t="inlineStr">
        <is>
          <t>现行包体1</t>
        </is>
      </c>
      <c r="D56" s="28" t="inlineStr">
        <is>
          <t>第52层</t>
        </is>
      </c>
      <c r="E56" s="28" t="inlineStr">
        <is>
          <t>300053</t>
        </is>
      </c>
      <c r="F56" s="27" t="inlineStr">
        <is>
          <t>普通怪</t>
        </is>
      </c>
      <c r="G56" s="37" t="n">
        <v>143</v>
      </c>
      <c r="H56" s="38" t="n"/>
      <c r="I56" s="39">
        <f>IF($H56="",$G56,$H56)</f>
        <v/>
      </c>
      <c r="J56" s="40" t="n">
        <v>201</v>
      </c>
      <c r="K56" s="72" t="n">
        <v>1.15514989318123</v>
      </c>
      <c r="L56" s="72" t="n">
        <v>0.678032893523875</v>
      </c>
      <c r="M56" s="72" t="n">
        <v>1</v>
      </c>
      <c r="N56" s="73" t="n"/>
      <c r="O56" s="73" t="n"/>
      <c r="P56" s="73" t="n"/>
      <c r="Q56" s="74">
        <f>IF($I56="","",IFERROR(INDEX(_玩家曲线!$H$2:$H$286,MATCH($I56,_玩家曲线!$A$2:$A$286,0)),""))</f>
        <v/>
      </c>
      <c r="R56" s="74">
        <f>IF($I56="","",IFERROR(INDEX(_玩家曲线!$I$2:$I$286,MATCH($I56,_玩家曲线!$A$2:$A$286,0)),""))</f>
        <v/>
      </c>
      <c r="S56" s="74">
        <f>SUMIF(_爬塔队伍!$A$2:$A$501,VALUE(SUBSTITUTE(SUBSTITUTE(D56,"第",""),"层","")),_爬塔队伍!$C$2:$C$501)</f>
        <v/>
      </c>
      <c r="T56" s="74">
        <f>SUMIF(_爬塔队伍!$A$2:$A$501,VALUE(SUBSTITUTE(SUBSTITUTE(D56,"第",""),"层","")),_爬塔队伍!$D$2:$D$501)</f>
        <v/>
      </c>
      <c r="U56" s="74">
        <f>SUMIF(_爬塔队伍!$A$2:$A$501,VALUE(SUBSTITUTE(SUBSTITUTE(D56,"第",""),"层","")),_爬塔队伍!$E$2:$E$501)/COUNTIF(_爬塔队伍!$A$2:$A$501,VALUE(SUBSTITUTE(SUBSTITUTE(D56,"第",""),"层","")))</f>
        <v/>
      </c>
      <c r="V56" s="75">
        <f>IF($U56="","",MIN(0.75,$U56/($U56+24000)))</f>
        <v/>
      </c>
      <c r="W56" s="76">
        <f>SUMIF(_爬塔队伍!$A$2:$A$501,VALUE(SUBSTITUTE(SUBSTITUTE(D56,"第",""),"层","")),_爬塔队伍!$F$2:$F$501)</f>
        <v/>
      </c>
      <c r="X56" s="76">
        <f>IF(OR($W56="",$Q56="",$Q56=0),"",$W56/$Q56)</f>
        <v/>
      </c>
      <c r="Y56" s="76">
        <f>IF(OR($R56="",$T56="",$T56=0),"",$R56/($T56*IF($O56="",1,$O56)))</f>
        <v/>
      </c>
      <c r="Z56" s="77">
        <f>IF(OR($X56="",$P56="",$P56=0),"",$X56/$P56)</f>
        <v/>
      </c>
      <c r="AA56" s="27">
        <f>IF($J56="","待填怪物等级",IF(OR($I56="",$Q56=""),"待填对照关卡",IF($P56="","已计算",IF(AND($Y56&lt;&gt;"",$Y56&lt;$X56),"生存不成立",IF($Z56&lt;0.5,"碾压",IF($Z56&lt;0.8,"偏简单",IF($Z56&lt;=1.2,"适中",IF($Z56&lt;=1.5,"偏难","过难"))))))))</f>
        <v/>
      </c>
      <c r="AB56" s="27">
        <f>IF($J56="","待填",IF(AND(ISNUMBER($J56),$J56&gt;=1,$J56&lt;=500,MOD($J56,1)=0),"有效","超范围"))</f>
        <v/>
      </c>
      <c r="AC56" s="27">
        <f>IF(OR($J56="",ROW()=5,$B56&lt;&gt;$B55,$J55=""),"",IF($J56&lt;$J55,"下降",""))</f>
        <v/>
      </c>
      <c r="AD56" s="28" t="inlineStr">
        <is>
          <t>整队验算：S/T为五人总生命/总攻击，U为平均防御，W为逐人计算后求和EHP；倍率由爬塔专用源表执行。</t>
        </is>
      </c>
      <c r="AE56" t="n">
        <v>975000</v>
      </c>
      <c r="AF56">
        <f>INDEX(_统一战力!$B$2:$B$501,J56)</f>
        <v/>
      </c>
    </row>
    <row r="57" ht="25" customHeight="1">
      <c r="A57" s="27" t="inlineStr">
        <is>
          <t>当前配置</t>
        </is>
      </c>
      <c r="B57" s="27" t="inlineStr">
        <is>
          <t>爬塔</t>
        </is>
      </c>
      <c r="C57" s="28" t="inlineStr">
        <is>
          <t>现行包体1</t>
        </is>
      </c>
      <c r="D57" s="28" t="inlineStr">
        <is>
          <t>第53层</t>
        </is>
      </c>
      <c r="E57" s="28" t="inlineStr">
        <is>
          <t>300054</t>
        </is>
      </c>
      <c r="F57" s="27" t="inlineStr">
        <is>
          <t>普通怪</t>
        </is>
      </c>
      <c r="G57" s="37" t="n">
        <v>146</v>
      </c>
      <c r="H57" s="38" t="n"/>
      <c r="I57" s="39">
        <f>IF($H57="",$G57,$H57)</f>
        <v/>
      </c>
      <c r="J57" s="40" t="n">
        <v>203</v>
      </c>
      <c r="K57" s="72" t="n">
        <v>1.15736206117284</v>
      </c>
      <c r="L57" s="72" t="n">
        <v>0.680269080212309</v>
      </c>
      <c r="M57" s="72" t="n">
        <v>1</v>
      </c>
      <c r="N57" s="73" t="n"/>
      <c r="O57" s="73" t="n"/>
      <c r="P57" s="73" t="n"/>
      <c r="Q57" s="74">
        <f>IF($I57="","",IFERROR(INDEX(_玩家曲线!$H$2:$H$286,MATCH($I57,_玩家曲线!$A$2:$A$286,0)),""))</f>
        <v/>
      </c>
      <c r="R57" s="74">
        <f>IF($I57="","",IFERROR(INDEX(_玩家曲线!$I$2:$I$286,MATCH($I57,_玩家曲线!$A$2:$A$286,0)),""))</f>
        <v/>
      </c>
      <c r="S57" s="74">
        <f>SUMIF(_爬塔队伍!$A$2:$A$501,VALUE(SUBSTITUTE(SUBSTITUTE(D57,"第",""),"层","")),_爬塔队伍!$C$2:$C$501)</f>
        <v/>
      </c>
      <c r="T57" s="74">
        <f>SUMIF(_爬塔队伍!$A$2:$A$501,VALUE(SUBSTITUTE(SUBSTITUTE(D57,"第",""),"层","")),_爬塔队伍!$D$2:$D$501)</f>
        <v/>
      </c>
      <c r="U57" s="74">
        <f>SUMIF(_爬塔队伍!$A$2:$A$501,VALUE(SUBSTITUTE(SUBSTITUTE(D57,"第",""),"层","")),_爬塔队伍!$E$2:$E$501)/COUNTIF(_爬塔队伍!$A$2:$A$501,VALUE(SUBSTITUTE(SUBSTITUTE(D57,"第",""),"层","")))</f>
        <v/>
      </c>
      <c r="V57" s="75">
        <f>IF($U57="","",MIN(0.75,$U57/($U57+24000)))</f>
        <v/>
      </c>
      <c r="W57" s="76">
        <f>SUMIF(_爬塔队伍!$A$2:$A$501,VALUE(SUBSTITUTE(SUBSTITUTE(D57,"第",""),"层","")),_爬塔队伍!$F$2:$F$501)</f>
        <v/>
      </c>
      <c r="X57" s="76">
        <f>IF(OR($W57="",$Q57="",$Q57=0),"",$W57/$Q57)</f>
        <v/>
      </c>
      <c r="Y57" s="76">
        <f>IF(OR($R57="",$T57="",$T57=0),"",$R57/($T57*IF($O57="",1,$O57)))</f>
        <v/>
      </c>
      <c r="Z57" s="77">
        <f>IF(OR($X57="",$P57="",$P57=0),"",$X57/$P57)</f>
        <v/>
      </c>
      <c r="AA57" s="27">
        <f>IF($J57="","待填怪物等级",IF(OR($I57="",$Q57=""),"待填对照关卡",IF($P57="","已计算",IF(AND($Y57&lt;&gt;"",$Y57&lt;$X57),"生存不成立",IF($Z57&lt;0.5,"碾压",IF($Z57&lt;0.8,"偏简单",IF($Z57&lt;=1.2,"适中",IF($Z57&lt;=1.5,"偏难","过难"))))))))</f>
        <v/>
      </c>
      <c r="AB57" s="27">
        <f>IF($J57="","待填",IF(AND(ISNUMBER($J57),$J57&gt;=1,$J57&lt;=500,MOD($J57,1)=0),"有效","超范围"))</f>
        <v/>
      </c>
      <c r="AC57" s="27">
        <f>IF(OR($J57="",ROW()=5,$B57&lt;&gt;$B56,$J56=""),"",IF($J57&lt;$J56,"下降",""))</f>
        <v/>
      </c>
      <c r="AD57" s="28" t="inlineStr">
        <is>
          <t>整队验算：S/T为五人总生命/总攻击，U为平均防御，W为逐人计算后求和EHP；倍率由爬塔专用源表执行。</t>
        </is>
      </c>
      <c r="AE57" t="n">
        <v>979000</v>
      </c>
      <c r="AF57">
        <f>INDEX(_统一战力!$B$2:$B$501,J57)</f>
        <v/>
      </c>
    </row>
    <row r="58" ht="25" customHeight="1">
      <c r="A58" s="27" t="inlineStr">
        <is>
          <t>当前配置</t>
        </is>
      </c>
      <c r="B58" s="27" t="inlineStr">
        <is>
          <t>爬塔</t>
        </is>
      </c>
      <c r="C58" s="28" t="inlineStr">
        <is>
          <t>现行包体1</t>
        </is>
      </c>
      <c r="D58" s="28" t="inlineStr">
        <is>
          <t>第54层</t>
        </is>
      </c>
      <c r="E58" s="28" t="inlineStr">
        <is>
          <t>300055</t>
        </is>
      </c>
      <c r="F58" s="27" t="inlineStr">
        <is>
          <t>普通怪</t>
        </is>
      </c>
      <c r="G58" s="37" t="n">
        <v>148</v>
      </c>
      <c r="H58" s="38" t="n"/>
      <c r="I58" s="39">
        <f>IF($H58="",$G58,$H58)</f>
        <v/>
      </c>
      <c r="J58" s="40" t="n">
        <v>205</v>
      </c>
      <c r="K58" s="72" t="n">
        <v>1.15736163280393</v>
      </c>
      <c r="L58" s="72" t="n">
        <v>0.681130891349837</v>
      </c>
      <c r="M58" s="72" t="n">
        <v>1</v>
      </c>
      <c r="N58" s="73" t="n"/>
      <c r="O58" s="73" t="n"/>
      <c r="P58" s="73" t="n"/>
      <c r="Q58" s="74">
        <f>IF($I58="","",IFERROR(INDEX(_玩家曲线!$H$2:$H$286,MATCH($I58,_玩家曲线!$A$2:$A$286,0)),""))</f>
        <v/>
      </c>
      <c r="R58" s="74">
        <f>IF($I58="","",IFERROR(INDEX(_玩家曲线!$I$2:$I$286,MATCH($I58,_玩家曲线!$A$2:$A$286,0)),""))</f>
        <v/>
      </c>
      <c r="S58" s="74">
        <f>SUMIF(_爬塔队伍!$A$2:$A$501,VALUE(SUBSTITUTE(SUBSTITUTE(D58,"第",""),"层","")),_爬塔队伍!$C$2:$C$501)</f>
        <v/>
      </c>
      <c r="T58" s="74">
        <f>SUMIF(_爬塔队伍!$A$2:$A$501,VALUE(SUBSTITUTE(SUBSTITUTE(D58,"第",""),"层","")),_爬塔队伍!$D$2:$D$501)</f>
        <v/>
      </c>
      <c r="U58" s="74">
        <f>SUMIF(_爬塔队伍!$A$2:$A$501,VALUE(SUBSTITUTE(SUBSTITUTE(D58,"第",""),"层","")),_爬塔队伍!$E$2:$E$501)/COUNTIF(_爬塔队伍!$A$2:$A$501,VALUE(SUBSTITUTE(SUBSTITUTE(D58,"第",""),"层","")))</f>
        <v/>
      </c>
      <c r="V58" s="75">
        <f>IF($U58="","",MIN(0.75,$U58/($U58+24000)))</f>
        <v/>
      </c>
      <c r="W58" s="76">
        <f>SUMIF(_爬塔队伍!$A$2:$A$501,VALUE(SUBSTITUTE(SUBSTITUTE(D58,"第",""),"层","")),_爬塔队伍!$F$2:$F$501)</f>
        <v/>
      </c>
      <c r="X58" s="76">
        <f>IF(OR($W58="",$Q58="",$Q58=0),"",$W58/$Q58)</f>
        <v/>
      </c>
      <c r="Y58" s="76">
        <f>IF(OR($R58="",$T58="",$T58=0),"",$R58/($T58*IF($O58="",1,$O58)))</f>
        <v/>
      </c>
      <c r="Z58" s="77">
        <f>IF(OR($X58="",$P58="",$P58=0),"",$X58/$P58)</f>
        <v/>
      </c>
      <c r="AA58" s="27">
        <f>IF($J58="","待填怪物等级",IF(OR($I58="",$Q58=""),"待填对照关卡",IF($P58="","已计算",IF(AND($Y58&lt;&gt;"",$Y58&lt;$X58),"生存不成立",IF($Z58&lt;0.5,"碾压",IF($Z58&lt;0.8,"偏简单",IF($Z58&lt;=1.2,"适中",IF($Z58&lt;=1.5,"偏难","过难"))))))))</f>
        <v/>
      </c>
      <c r="AB58" s="27">
        <f>IF($J58="","待填",IF(AND(ISNUMBER($J58),$J58&gt;=1,$J58&lt;=500,MOD($J58,1)=0),"有效","超范围"))</f>
        <v/>
      </c>
      <c r="AC58" s="27">
        <f>IF(OR($J58="",ROW()=5,$B58&lt;&gt;$B57,$J57=""),"",IF($J58&lt;$J57,"下降",""))</f>
        <v/>
      </c>
      <c r="AD58" s="28" t="inlineStr">
        <is>
          <t>整队验算：S/T为五人总生命/总攻击，U为平均防御，W为逐人计算后求和EHP；倍率由爬塔专用源表执行。</t>
        </is>
      </c>
      <c r="AE58" t="n">
        <v>993000</v>
      </c>
      <c r="AF58">
        <f>INDEX(_统一战力!$B$2:$B$501,J58)</f>
        <v/>
      </c>
    </row>
    <row r="59" ht="25" customHeight="1">
      <c r="A59" s="27" t="inlineStr">
        <is>
          <t>当前配置</t>
        </is>
      </c>
      <c r="B59" s="27" t="inlineStr">
        <is>
          <t>爬塔</t>
        </is>
      </c>
      <c r="C59" s="28" t="inlineStr">
        <is>
          <t>现行包体1</t>
        </is>
      </c>
      <c r="D59" s="28" t="inlineStr">
        <is>
          <t>第55层</t>
        </is>
      </c>
      <c r="E59" s="28" t="inlineStr">
        <is>
          <t>300056</t>
        </is>
      </c>
      <c r="F59" s="27" t="inlineStr">
        <is>
          <t>精英怪</t>
        </is>
      </c>
      <c r="G59" s="37" t="n">
        <v>151</v>
      </c>
      <c r="H59" s="38" t="n"/>
      <c r="I59" s="39">
        <f>IF($H59="",$G59,$H59)</f>
        <v/>
      </c>
      <c r="J59" s="40" t="n">
        <v>208</v>
      </c>
      <c r="K59" s="72" t="n">
        <v>1.16375642788639</v>
      </c>
      <c r="L59" s="72" t="n">
        <v>0.684169263070698</v>
      </c>
      <c r="M59" s="72" t="n">
        <v>1</v>
      </c>
      <c r="N59" s="73" t="n"/>
      <c r="O59" s="73" t="n"/>
      <c r="P59" s="73" t="n"/>
      <c r="Q59" s="74">
        <f>IF($I59="","",IFERROR(INDEX(_玩家曲线!$H$2:$H$286,MATCH($I59,_玩家曲线!$A$2:$A$286,0)),""))</f>
        <v/>
      </c>
      <c r="R59" s="74">
        <f>IF($I59="","",IFERROR(INDEX(_玩家曲线!$I$2:$I$286,MATCH($I59,_玩家曲线!$A$2:$A$286,0)),""))</f>
        <v/>
      </c>
      <c r="S59" s="74">
        <f>SUMIF(_爬塔队伍!$A$2:$A$501,VALUE(SUBSTITUTE(SUBSTITUTE(D59,"第",""),"层","")),_爬塔队伍!$C$2:$C$501)</f>
        <v/>
      </c>
      <c r="T59" s="74">
        <f>SUMIF(_爬塔队伍!$A$2:$A$501,VALUE(SUBSTITUTE(SUBSTITUTE(D59,"第",""),"层","")),_爬塔队伍!$D$2:$D$501)</f>
        <v/>
      </c>
      <c r="U59" s="74">
        <f>SUMIF(_爬塔队伍!$A$2:$A$501,VALUE(SUBSTITUTE(SUBSTITUTE(D59,"第",""),"层","")),_爬塔队伍!$E$2:$E$501)/COUNTIF(_爬塔队伍!$A$2:$A$501,VALUE(SUBSTITUTE(SUBSTITUTE(D59,"第",""),"层","")))</f>
        <v/>
      </c>
      <c r="V59" s="75">
        <f>IF($U59="","",MIN(0.75,$U59/($U59+24000)))</f>
        <v/>
      </c>
      <c r="W59" s="76">
        <f>SUMIF(_爬塔队伍!$A$2:$A$501,VALUE(SUBSTITUTE(SUBSTITUTE(D59,"第",""),"层","")),_爬塔队伍!$F$2:$F$501)</f>
        <v/>
      </c>
      <c r="X59" s="76">
        <f>IF(OR($W59="",$Q59="",$Q59=0),"",$W59/$Q59)</f>
        <v/>
      </c>
      <c r="Y59" s="76">
        <f>IF(OR($R59="",$T59="",$T59=0),"",$R59/($T59*IF($O59="",1,$O59)))</f>
        <v/>
      </c>
      <c r="Z59" s="77">
        <f>IF(OR($X59="",$P59="",$P59=0),"",$X59/$P59)</f>
        <v/>
      </c>
      <c r="AA59" s="27">
        <f>IF($J59="","待填怪物等级",IF(OR($I59="",$Q59=""),"待填对照关卡",IF($P59="","已计算",IF(AND($Y59&lt;&gt;"",$Y59&lt;$X59),"生存不成立",IF($Z59&lt;0.5,"碾压",IF($Z59&lt;0.8,"偏简单",IF($Z59&lt;=1.2,"适中",IF($Z59&lt;=1.5,"偏难","过难"))))))))</f>
        <v/>
      </c>
      <c r="AB59" s="27">
        <f>IF($J59="","待填",IF(AND(ISNUMBER($J59),$J59&gt;=1,$J59&lt;=500,MOD($J59,1)=0),"有效","超范围"))</f>
        <v/>
      </c>
      <c r="AC59" s="27">
        <f>IF(OR($J59="",ROW()=5,$B59&lt;&gt;$B58,$J58=""),"",IF($J59&lt;$J58,"下降",""))</f>
        <v/>
      </c>
      <c r="AD59" s="28" t="inlineStr">
        <is>
          <t>整队验算：S/T为五人总生命/总攻击，U为平均防御，W为逐人计算后求和EHP；倍率由爬塔专用源表执行。</t>
        </is>
      </c>
      <c r="AE59" t="n">
        <v>1020000</v>
      </c>
      <c r="AF59">
        <f>INDEX(_统一战力!$B$2:$B$501,J59)</f>
        <v/>
      </c>
    </row>
    <row r="60" ht="25" customHeight="1">
      <c r="A60" s="27" t="inlineStr">
        <is>
          <t>当前配置</t>
        </is>
      </c>
      <c r="B60" s="27" t="inlineStr">
        <is>
          <t>爬塔</t>
        </is>
      </c>
      <c r="C60" s="28" t="inlineStr">
        <is>
          <t>现行包体1</t>
        </is>
      </c>
      <c r="D60" s="28" t="inlineStr">
        <is>
          <t>第56层</t>
        </is>
      </c>
      <c r="E60" s="28" t="inlineStr">
        <is>
          <t>300057</t>
        </is>
      </c>
      <c r="F60" s="27" t="inlineStr">
        <is>
          <t>普通怪</t>
        </is>
      </c>
      <c r="G60" s="37" t="n">
        <v>154</v>
      </c>
      <c r="H60" s="38" t="n"/>
      <c r="I60" s="39">
        <f>IF($H60="",$G60,$H60)</f>
        <v/>
      </c>
      <c r="J60" s="40" t="n">
        <v>210</v>
      </c>
      <c r="K60" s="72" t="n">
        <v>1.15213985017309</v>
      </c>
      <c r="L60" s="72" t="n">
        <v>0.682347851942813</v>
      </c>
      <c r="M60" s="72" t="n">
        <v>1</v>
      </c>
      <c r="N60" s="73" t="n"/>
      <c r="O60" s="73" t="n"/>
      <c r="P60" s="73" t="n"/>
      <c r="Q60" s="74">
        <f>IF($I60="","",IFERROR(INDEX(_玩家曲线!$H$2:$H$286,MATCH($I60,_玩家曲线!$A$2:$A$286,0)),""))</f>
        <v/>
      </c>
      <c r="R60" s="74">
        <f>IF($I60="","",IFERROR(INDEX(_玩家曲线!$I$2:$I$286,MATCH($I60,_玩家曲线!$A$2:$A$286,0)),""))</f>
        <v/>
      </c>
      <c r="S60" s="74">
        <f>SUMIF(_爬塔队伍!$A$2:$A$501,VALUE(SUBSTITUTE(SUBSTITUTE(D60,"第",""),"层","")),_爬塔队伍!$C$2:$C$501)</f>
        <v/>
      </c>
      <c r="T60" s="74">
        <f>SUMIF(_爬塔队伍!$A$2:$A$501,VALUE(SUBSTITUTE(SUBSTITUTE(D60,"第",""),"层","")),_爬塔队伍!$D$2:$D$501)</f>
        <v/>
      </c>
      <c r="U60" s="74">
        <f>SUMIF(_爬塔队伍!$A$2:$A$501,VALUE(SUBSTITUTE(SUBSTITUTE(D60,"第",""),"层","")),_爬塔队伍!$E$2:$E$501)/COUNTIF(_爬塔队伍!$A$2:$A$501,VALUE(SUBSTITUTE(SUBSTITUTE(D60,"第",""),"层","")))</f>
        <v/>
      </c>
      <c r="V60" s="75">
        <f>IF($U60="","",MIN(0.75,$U60/($U60+24000)))</f>
        <v/>
      </c>
      <c r="W60" s="76">
        <f>SUMIF(_爬塔队伍!$A$2:$A$501,VALUE(SUBSTITUTE(SUBSTITUTE(D60,"第",""),"层","")),_爬塔队伍!$F$2:$F$501)</f>
        <v/>
      </c>
      <c r="X60" s="76">
        <f>IF(OR($W60="",$Q60="",$Q60=0),"",$W60/$Q60)</f>
        <v/>
      </c>
      <c r="Y60" s="76">
        <f>IF(OR($R60="",$T60="",$T60=0),"",$R60/($T60*IF($O60="",1,$O60)))</f>
        <v/>
      </c>
      <c r="Z60" s="77">
        <f>IF(OR($X60="",$P60="",$P60=0),"",$X60/$P60)</f>
        <v/>
      </c>
      <c r="AA60" s="27">
        <f>IF($J60="","待填怪物等级",IF(OR($I60="",$Q60=""),"待填对照关卡",IF($P60="","已计算",IF(AND($Y60&lt;&gt;"",$Y60&lt;$X60),"生存不成立",IF($Z60&lt;0.5,"碾压",IF($Z60&lt;0.8,"偏简单",IF($Z60&lt;=1.2,"适中",IF($Z60&lt;=1.5,"偏难","过难"))))))))</f>
        <v/>
      </c>
      <c r="AB60" s="27">
        <f>IF($J60="","待填",IF(AND(ISNUMBER($J60),$J60&gt;=1,$J60&lt;=500,MOD($J60,1)=0),"有效","超范围"))</f>
        <v/>
      </c>
      <c r="AC60" s="27">
        <f>IF(OR($J60="",ROW()=5,$B60&lt;&gt;$B59,$J59=""),"",IF($J60&lt;$J59,"下降",""))</f>
        <v/>
      </c>
      <c r="AD60" s="28" t="inlineStr">
        <is>
          <t>整队验算：S/T为五人总生命/总攻击，U为平均防御，W为逐人计算后求和EHP；倍率由爬塔专用源表执行。</t>
        </is>
      </c>
      <c r="AE60" t="n">
        <v>1040000</v>
      </c>
      <c r="AF60">
        <f>INDEX(_统一战力!$B$2:$B$501,J60)</f>
        <v/>
      </c>
    </row>
    <row r="61" ht="25" customHeight="1">
      <c r="A61" s="27" t="inlineStr">
        <is>
          <t>当前配置</t>
        </is>
      </c>
      <c r="B61" s="27" t="inlineStr">
        <is>
          <t>爬塔</t>
        </is>
      </c>
      <c r="C61" s="28" t="inlineStr">
        <is>
          <t>现行包体1</t>
        </is>
      </c>
      <c r="D61" s="28" t="inlineStr">
        <is>
          <t>第57层</t>
        </is>
      </c>
      <c r="E61" s="28" t="inlineStr">
        <is>
          <t>300058</t>
        </is>
      </c>
      <c r="F61" s="27" t="inlineStr">
        <is>
          <t>普通怪</t>
        </is>
      </c>
      <c r="G61" s="37" t="n">
        <v>156</v>
      </c>
      <c r="H61" s="38" t="n"/>
      <c r="I61" s="39">
        <f>IF($H61="",$G61,$H61)</f>
        <v/>
      </c>
      <c r="J61" s="40" t="n">
        <v>212</v>
      </c>
      <c r="K61" s="72" t="n">
        <v>1.15340112107571</v>
      </c>
      <c r="L61" s="72" t="n">
        <v>0.684535053944765</v>
      </c>
      <c r="M61" s="72" t="n">
        <v>1</v>
      </c>
      <c r="N61" s="73" t="n"/>
      <c r="O61" s="73" t="n"/>
      <c r="P61" s="73" t="n"/>
      <c r="Q61" s="74">
        <f>IF($I61="","",IFERROR(INDEX(_玩家曲线!$H$2:$H$286,MATCH($I61,_玩家曲线!$A$2:$A$286,0)),""))</f>
        <v/>
      </c>
      <c r="R61" s="74">
        <f>IF($I61="","",IFERROR(INDEX(_玩家曲线!$I$2:$I$286,MATCH($I61,_玩家曲线!$A$2:$A$286,0)),""))</f>
        <v/>
      </c>
      <c r="S61" s="74">
        <f>SUMIF(_爬塔队伍!$A$2:$A$501,VALUE(SUBSTITUTE(SUBSTITUTE(D61,"第",""),"层","")),_爬塔队伍!$C$2:$C$501)</f>
        <v/>
      </c>
      <c r="T61" s="74">
        <f>SUMIF(_爬塔队伍!$A$2:$A$501,VALUE(SUBSTITUTE(SUBSTITUTE(D61,"第",""),"层","")),_爬塔队伍!$D$2:$D$501)</f>
        <v/>
      </c>
      <c r="U61" s="74">
        <f>SUMIF(_爬塔队伍!$A$2:$A$501,VALUE(SUBSTITUTE(SUBSTITUTE(D61,"第",""),"层","")),_爬塔队伍!$E$2:$E$501)/COUNTIF(_爬塔队伍!$A$2:$A$501,VALUE(SUBSTITUTE(SUBSTITUTE(D61,"第",""),"层","")))</f>
        <v/>
      </c>
      <c r="V61" s="75">
        <f>IF($U61="","",MIN(0.75,$U61/($U61+24000)))</f>
        <v/>
      </c>
      <c r="W61" s="76">
        <f>SUMIF(_爬塔队伍!$A$2:$A$501,VALUE(SUBSTITUTE(SUBSTITUTE(D61,"第",""),"层","")),_爬塔队伍!$F$2:$F$501)</f>
        <v/>
      </c>
      <c r="X61" s="76">
        <f>IF(OR($W61="",$Q61="",$Q61=0),"",$W61/$Q61)</f>
        <v/>
      </c>
      <c r="Y61" s="76">
        <f>IF(OR($R61="",$T61="",$T61=0),"",$R61/($T61*IF($O61="",1,$O61)))</f>
        <v/>
      </c>
      <c r="Z61" s="77">
        <f>IF(OR($X61="",$P61="",$P61=0),"",$X61/$P61)</f>
        <v/>
      </c>
      <c r="AA61" s="27">
        <f>IF($J61="","待填怪物等级",IF(OR($I61="",$Q61=""),"待填对照关卡",IF($P61="","已计算",IF(AND($Y61&lt;&gt;"",$Y61&lt;$X61),"生存不成立",IF($Z61&lt;0.5,"碾压",IF($Z61&lt;0.8,"偏简单",IF($Z61&lt;=1.2,"适中",IF($Z61&lt;=1.5,"偏难","过难"))))))))</f>
        <v/>
      </c>
      <c r="AB61" s="27">
        <f>IF($J61="","待填",IF(AND(ISNUMBER($J61),$J61&gt;=1,$J61&lt;=500,MOD($J61,1)=0),"有效","超范围"))</f>
        <v/>
      </c>
      <c r="AC61" s="27">
        <f>IF(OR($J61="",ROW()=5,$B61&lt;&gt;$B60,$J60=""),"",IF($J61&lt;$J60,"下降",""))</f>
        <v/>
      </c>
      <c r="AD61" s="28" t="inlineStr">
        <is>
          <t>整队验算：S/T为五人总生命/总攻击，U为平均防御，W为逐人计算后求和EHP；倍率由爬塔专用源表执行。</t>
        </is>
      </c>
      <c r="AE61" t="n">
        <v>1100000</v>
      </c>
      <c r="AF61">
        <f>INDEX(_统一战力!$B$2:$B$501,J61)</f>
        <v/>
      </c>
    </row>
    <row r="62" ht="25" customHeight="1">
      <c r="A62" s="27" t="inlineStr">
        <is>
          <t>当前配置</t>
        </is>
      </c>
      <c r="B62" s="27" t="inlineStr">
        <is>
          <t>爬塔</t>
        </is>
      </c>
      <c r="C62" s="28" t="inlineStr">
        <is>
          <t>现行包体1</t>
        </is>
      </c>
      <c r="D62" s="28" t="inlineStr">
        <is>
          <t>第58层</t>
        </is>
      </c>
      <c r="E62" s="28" t="inlineStr">
        <is>
          <t>300059</t>
        </is>
      </c>
      <c r="F62" s="27" t="inlineStr">
        <is>
          <t>普通怪</t>
        </is>
      </c>
      <c r="G62" s="37" t="n">
        <v>159</v>
      </c>
      <c r="H62" s="38" t="n"/>
      <c r="I62" s="39">
        <f>IF($H62="",$G62,$H62)</f>
        <v/>
      </c>
      <c r="J62" s="40" t="n">
        <v>214</v>
      </c>
      <c r="K62" s="72" t="n">
        <v>1.16241161436697</v>
      </c>
      <c r="L62" s="72" t="n">
        <v>0.689312359503694</v>
      </c>
      <c r="M62" s="72" t="n">
        <v>1</v>
      </c>
      <c r="N62" s="73" t="n"/>
      <c r="O62" s="73" t="n"/>
      <c r="P62" s="73" t="n"/>
      <c r="Q62" s="74">
        <f>IF($I62="","",IFERROR(INDEX(_玩家曲线!$H$2:$H$286,MATCH($I62,_玩家曲线!$A$2:$A$286,0)),""))</f>
        <v/>
      </c>
      <c r="R62" s="74">
        <f>IF($I62="","",IFERROR(INDEX(_玩家曲线!$I$2:$I$286,MATCH($I62,_玩家曲线!$A$2:$A$286,0)),""))</f>
        <v/>
      </c>
      <c r="S62" s="74">
        <f>SUMIF(_爬塔队伍!$A$2:$A$501,VALUE(SUBSTITUTE(SUBSTITUTE(D62,"第",""),"层","")),_爬塔队伍!$C$2:$C$501)</f>
        <v/>
      </c>
      <c r="T62" s="74">
        <f>SUMIF(_爬塔队伍!$A$2:$A$501,VALUE(SUBSTITUTE(SUBSTITUTE(D62,"第",""),"层","")),_爬塔队伍!$D$2:$D$501)</f>
        <v/>
      </c>
      <c r="U62" s="74">
        <f>SUMIF(_爬塔队伍!$A$2:$A$501,VALUE(SUBSTITUTE(SUBSTITUTE(D62,"第",""),"层","")),_爬塔队伍!$E$2:$E$501)/COUNTIF(_爬塔队伍!$A$2:$A$501,VALUE(SUBSTITUTE(SUBSTITUTE(D62,"第",""),"层","")))</f>
        <v/>
      </c>
      <c r="V62" s="75">
        <f>IF($U62="","",MIN(0.75,$U62/($U62+24000)))</f>
        <v/>
      </c>
      <c r="W62" s="76">
        <f>SUMIF(_爬塔队伍!$A$2:$A$501,VALUE(SUBSTITUTE(SUBSTITUTE(D62,"第",""),"层","")),_爬塔队伍!$F$2:$F$501)</f>
        <v/>
      </c>
      <c r="X62" s="76">
        <f>IF(OR($W62="",$Q62="",$Q62=0),"",$W62/$Q62)</f>
        <v/>
      </c>
      <c r="Y62" s="76">
        <f>IF(OR($R62="",$T62="",$T62=0),"",$R62/($T62*IF($O62="",1,$O62)))</f>
        <v/>
      </c>
      <c r="Z62" s="77">
        <f>IF(OR($X62="",$P62="",$P62=0),"",$X62/$P62)</f>
        <v/>
      </c>
      <c r="AA62" s="27">
        <f>IF($J62="","待填怪物等级",IF(OR($I62="",$Q62=""),"待填对照关卡",IF($P62="","已计算",IF(AND($Y62&lt;&gt;"",$Y62&lt;$X62),"生存不成立",IF($Z62&lt;0.5,"碾压",IF($Z62&lt;0.8,"偏简单",IF($Z62&lt;=1.2,"适中",IF($Z62&lt;=1.5,"偏难","过难"))))))))</f>
        <v/>
      </c>
      <c r="AB62" s="27">
        <f>IF($J62="","待填",IF(AND(ISNUMBER($J62),$J62&gt;=1,$J62&lt;=500,MOD($J62,1)=0),"有效","超范围"))</f>
        <v/>
      </c>
      <c r="AC62" s="27">
        <f>IF(OR($J62="",ROW()=5,$B62&lt;&gt;$B61,$J61=""),"",IF($J62&lt;$J61,"下降",""))</f>
        <v/>
      </c>
      <c r="AD62" s="28" t="inlineStr">
        <is>
          <t>整队验算：S/T为五人总生命/总攻击，U为平均防御，W为逐人计算后求和EHP；倍率由爬塔专用源表执行。</t>
        </is>
      </c>
      <c r="AE62" t="n">
        <v>1120000</v>
      </c>
      <c r="AF62">
        <f>INDEX(_统一战力!$B$2:$B$501,J62)</f>
        <v/>
      </c>
    </row>
    <row r="63" ht="25" customHeight="1">
      <c r="A63" s="27" t="inlineStr">
        <is>
          <t>当前配置</t>
        </is>
      </c>
      <c r="B63" s="27" t="inlineStr">
        <is>
          <t>爬塔</t>
        </is>
      </c>
      <c r="C63" s="28" t="inlineStr">
        <is>
          <t>现行包体1</t>
        </is>
      </c>
      <c r="D63" s="28" t="inlineStr">
        <is>
          <t>第59层</t>
        </is>
      </c>
      <c r="E63" s="28" t="inlineStr">
        <is>
          <t>300060</t>
        </is>
      </c>
      <c r="F63" s="27" t="inlineStr">
        <is>
          <t>普通怪</t>
        </is>
      </c>
      <c r="G63" s="37" t="n">
        <v>162</v>
      </c>
      <c r="H63" s="38" t="n"/>
      <c r="I63" s="39">
        <f>IF($H63="",$G63,$H63)</f>
        <v/>
      </c>
      <c r="J63" s="40" t="n">
        <v>217</v>
      </c>
      <c r="K63" s="72" t="n">
        <v>1.15390500897312</v>
      </c>
      <c r="L63" s="72" t="n">
        <v>0.687131245661127</v>
      </c>
      <c r="M63" s="72" t="n">
        <v>1</v>
      </c>
      <c r="N63" s="73" t="n"/>
      <c r="O63" s="73" t="n"/>
      <c r="P63" s="73" t="n"/>
      <c r="Q63" s="74">
        <f>IF($I63="","",IFERROR(INDEX(_玩家曲线!$H$2:$H$286,MATCH($I63,_玩家曲线!$A$2:$A$286,0)),""))</f>
        <v/>
      </c>
      <c r="R63" s="74">
        <f>IF($I63="","",IFERROR(INDEX(_玩家曲线!$I$2:$I$286,MATCH($I63,_玩家曲线!$A$2:$A$286,0)),""))</f>
        <v/>
      </c>
      <c r="S63" s="74">
        <f>SUMIF(_爬塔队伍!$A$2:$A$501,VALUE(SUBSTITUTE(SUBSTITUTE(D63,"第",""),"层","")),_爬塔队伍!$C$2:$C$501)</f>
        <v/>
      </c>
      <c r="T63" s="74">
        <f>SUMIF(_爬塔队伍!$A$2:$A$501,VALUE(SUBSTITUTE(SUBSTITUTE(D63,"第",""),"层","")),_爬塔队伍!$D$2:$D$501)</f>
        <v/>
      </c>
      <c r="U63" s="74">
        <f>SUMIF(_爬塔队伍!$A$2:$A$501,VALUE(SUBSTITUTE(SUBSTITUTE(D63,"第",""),"层","")),_爬塔队伍!$E$2:$E$501)/COUNTIF(_爬塔队伍!$A$2:$A$501,VALUE(SUBSTITUTE(SUBSTITUTE(D63,"第",""),"层","")))</f>
        <v/>
      </c>
      <c r="V63" s="75">
        <f>IF($U63="","",MIN(0.75,$U63/($U63+24000)))</f>
        <v/>
      </c>
      <c r="W63" s="76">
        <f>SUMIF(_爬塔队伍!$A$2:$A$501,VALUE(SUBSTITUTE(SUBSTITUTE(D63,"第",""),"层","")),_爬塔队伍!$F$2:$F$501)</f>
        <v/>
      </c>
      <c r="X63" s="76">
        <f>IF(OR($W63="",$Q63="",$Q63=0),"",$W63/$Q63)</f>
        <v/>
      </c>
      <c r="Y63" s="76">
        <f>IF(OR($R63="",$T63="",$T63=0),"",$R63/($T63*IF($O63="",1,$O63)))</f>
        <v/>
      </c>
      <c r="Z63" s="77">
        <f>IF(OR($X63="",$P63="",$P63=0),"",$X63/$P63)</f>
        <v/>
      </c>
      <c r="AA63" s="27">
        <f>IF($J63="","待填怪物等级",IF(OR($I63="",$Q63=""),"待填对照关卡",IF($P63="","已计算",IF(AND($Y63&lt;&gt;"",$Y63&lt;$X63),"生存不成立",IF($Z63&lt;0.5,"碾压",IF($Z63&lt;0.8,"偏简单",IF($Z63&lt;=1.2,"适中",IF($Z63&lt;=1.5,"偏难","过难"))))))))</f>
        <v/>
      </c>
      <c r="AB63" s="27">
        <f>IF($J63="","待填",IF(AND(ISNUMBER($J63),$J63&gt;=1,$J63&lt;=500,MOD($J63,1)=0),"有效","超范围"))</f>
        <v/>
      </c>
      <c r="AC63" s="27">
        <f>IF(OR($J63="",ROW()=5,$B63&lt;&gt;$B62,$J62=""),"",IF($J63&lt;$J62,"下降",""))</f>
        <v/>
      </c>
      <c r="AD63" s="28" t="inlineStr">
        <is>
          <t>整队验算：S/T为五人总生命/总攻击，U为平均防御，W为逐人计算后求和EHP；倍率由爬塔专用源表执行。</t>
        </is>
      </c>
      <c r="AE63" t="n">
        <v>1150000</v>
      </c>
      <c r="AF63">
        <f>INDEX(_统一战力!$B$2:$B$501,J63)</f>
        <v/>
      </c>
    </row>
    <row r="64" ht="25" customHeight="1">
      <c r="A64" s="27" t="inlineStr">
        <is>
          <t>当前配置</t>
        </is>
      </c>
      <c r="B64" s="27" t="inlineStr">
        <is>
          <t>爬塔</t>
        </is>
      </c>
      <c r="C64" s="28" t="inlineStr">
        <is>
          <t>现行包体1</t>
        </is>
      </c>
      <c r="D64" s="28" t="inlineStr">
        <is>
          <t>第60层</t>
        </is>
      </c>
      <c r="E64" s="28" t="inlineStr">
        <is>
          <t>300061</t>
        </is>
      </c>
      <c r="F64" s="27" t="inlineStr">
        <is>
          <t>Boss</t>
        </is>
      </c>
      <c r="G64" s="37" t="n">
        <v>165</v>
      </c>
      <c r="H64" s="38" t="n"/>
      <c r="I64" s="39">
        <f>IF($H64="",$G64,$H64)</f>
        <v/>
      </c>
      <c r="J64" s="40" t="n">
        <v>219</v>
      </c>
      <c r="K64" s="72" t="n">
        <v>1.15867282412656</v>
      </c>
      <c r="L64" s="72" t="n">
        <v>0.689694524790995</v>
      </c>
      <c r="M64" s="72" t="n">
        <v>1</v>
      </c>
      <c r="N64" s="73" t="n"/>
      <c r="O64" s="73" t="n"/>
      <c r="P64" s="73" t="n"/>
      <c r="Q64" s="74">
        <f>IF($I64="","",IFERROR(INDEX(_玩家曲线!$H$2:$H$286,MATCH($I64,_玩家曲线!$A$2:$A$286,0)),""))</f>
        <v/>
      </c>
      <c r="R64" s="74">
        <f>IF($I64="","",IFERROR(INDEX(_玩家曲线!$I$2:$I$286,MATCH($I64,_玩家曲线!$A$2:$A$286,0)),""))</f>
        <v/>
      </c>
      <c r="S64" s="74">
        <f>SUMIF(_爬塔队伍!$A$2:$A$501,VALUE(SUBSTITUTE(SUBSTITUTE(D64,"第",""),"层","")),_爬塔队伍!$C$2:$C$501)</f>
        <v/>
      </c>
      <c r="T64" s="74">
        <f>SUMIF(_爬塔队伍!$A$2:$A$501,VALUE(SUBSTITUTE(SUBSTITUTE(D64,"第",""),"层","")),_爬塔队伍!$D$2:$D$501)</f>
        <v/>
      </c>
      <c r="U64" s="74">
        <f>SUMIF(_爬塔队伍!$A$2:$A$501,VALUE(SUBSTITUTE(SUBSTITUTE(D64,"第",""),"层","")),_爬塔队伍!$E$2:$E$501)/COUNTIF(_爬塔队伍!$A$2:$A$501,VALUE(SUBSTITUTE(SUBSTITUTE(D64,"第",""),"层","")))</f>
        <v/>
      </c>
      <c r="V64" s="75">
        <f>IF($U64="","",MIN(0.75,$U64/($U64+24000)))</f>
        <v/>
      </c>
      <c r="W64" s="76">
        <f>SUMIF(_爬塔队伍!$A$2:$A$501,VALUE(SUBSTITUTE(SUBSTITUTE(D64,"第",""),"层","")),_爬塔队伍!$F$2:$F$501)</f>
        <v/>
      </c>
      <c r="X64" s="76">
        <f>IF(OR($W64="",$Q64="",$Q64=0),"",$W64/$Q64)</f>
        <v/>
      </c>
      <c r="Y64" s="76">
        <f>IF(OR($R64="",$T64="",$T64=0),"",$R64/($T64*IF($O64="",1,$O64)))</f>
        <v/>
      </c>
      <c r="Z64" s="77">
        <f>IF(OR($X64="",$P64="",$P64=0),"",$X64/$P64)</f>
        <v/>
      </c>
      <c r="AA64" s="27">
        <f>IF($J64="","待填怪物等级",IF(OR($I64="",$Q64=""),"待填对照关卡",IF($P64="","已计算",IF(AND($Y64&lt;&gt;"",$Y64&lt;$X64),"生存不成立",IF($Z64&lt;0.5,"碾压",IF($Z64&lt;0.8,"偏简单",IF($Z64&lt;=1.2,"适中",IF($Z64&lt;=1.5,"偏难","过难"))))))))</f>
        <v/>
      </c>
      <c r="AB64" s="27">
        <f>IF($J64="","待填",IF(AND(ISNUMBER($J64),$J64&gt;=1,$J64&lt;=500,MOD($J64,1)=0),"有效","超范围"))</f>
        <v/>
      </c>
      <c r="AC64" s="27">
        <f>IF(OR($J64="",ROW()=5,$B64&lt;&gt;$B63,$J63=""),"",IF($J64&lt;$J63,"下降",""))</f>
        <v/>
      </c>
      <c r="AD64" s="28" t="inlineStr">
        <is>
          <t>整队验算：S/T为五人总生命/总攻击，U为平均防御，W为逐人计算后求和EHP；倍率由爬塔专用源表执行。</t>
        </is>
      </c>
      <c r="AE64" t="n">
        <v>1170000</v>
      </c>
      <c r="AF64">
        <f>INDEX(_统一战力!$B$2:$B$501,J64)</f>
        <v/>
      </c>
    </row>
    <row r="65" ht="25" customHeight="1">
      <c r="A65" s="27" t="inlineStr">
        <is>
          <t>当前配置</t>
        </is>
      </c>
      <c r="B65" s="27" t="inlineStr">
        <is>
          <t>爬塔</t>
        </is>
      </c>
      <c r="C65" s="28" t="inlineStr">
        <is>
          <t>现行包体1</t>
        </is>
      </c>
      <c r="D65" s="28" t="inlineStr">
        <is>
          <t>第61层</t>
        </is>
      </c>
      <c r="E65" s="28" t="inlineStr">
        <is>
          <t>300062</t>
        </is>
      </c>
      <c r="F65" s="27" t="inlineStr">
        <is>
          <t>普通怪</t>
        </is>
      </c>
      <c r="G65" s="37" t="n">
        <v>167</v>
      </c>
      <c r="H65" s="38" t="n"/>
      <c r="I65" s="39">
        <f>IF($H65="",$G65,$H65)</f>
        <v/>
      </c>
      <c r="J65" s="40" t="n">
        <v>221</v>
      </c>
      <c r="K65" s="72" t="n">
        <v>1.1609327383741</v>
      </c>
      <c r="L65" s="72" t="n">
        <v>0.692628557170834</v>
      </c>
      <c r="M65" s="72" t="n">
        <v>1</v>
      </c>
      <c r="N65" s="73" t="n"/>
      <c r="O65" s="73" t="n"/>
      <c r="P65" s="73" t="n"/>
      <c r="Q65" s="74">
        <f>IF($I65="","",IFERROR(INDEX(_玩家曲线!$H$2:$H$286,MATCH($I65,_玩家曲线!$A$2:$A$286,0)),""))</f>
        <v/>
      </c>
      <c r="R65" s="74">
        <f>IF($I65="","",IFERROR(INDEX(_玩家曲线!$I$2:$I$286,MATCH($I65,_玩家曲线!$A$2:$A$286,0)),""))</f>
        <v/>
      </c>
      <c r="S65" s="74">
        <f>SUMIF(_爬塔队伍!$A$2:$A$501,VALUE(SUBSTITUTE(SUBSTITUTE(D65,"第",""),"层","")),_爬塔队伍!$C$2:$C$501)</f>
        <v/>
      </c>
      <c r="T65" s="74">
        <f>SUMIF(_爬塔队伍!$A$2:$A$501,VALUE(SUBSTITUTE(SUBSTITUTE(D65,"第",""),"层","")),_爬塔队伍!$D$2:$D$501)</f>
        <v/>
      </c>
      <c r="U65" s="74">
        <f>SUMIF(_爬塔队伍!$A$2:$A$501,VALUE(SUBSTITUTE(SUBSTITUTE(D65,"第",""),"层","")),_爬塔队伍!$E$2:$E$501)/COUNTIF(_爬塔队伍!$A$2:$A$501,VALUE(SUBSTITUTE(SUBSTITUTE(D65,"第",""),"层","")))</f>
        <v/>
      </c>
      <c r="V65" s="75">
        <f>IF($U65="","",MIN(0.75,$U65/($U65+24000)))</f>
        <v/>
      </c>
      <c r="W65" s="76">
        <f>SUMIF(_爬塔队伍!$A$2:$A$501,VALUE(SUBSTITUTE(SUBSTITUTE(D65,"第",""),"层","")),_爬塔队伍!$F$2:$F$501)</f>
        <v/>
      </c>
      <c r="X65" s="76">
        <f>IF(OR($W65="",$Q65="",$Q65=0),"",$W65/$Q65)</f>
        <v/>
      </c>
      <c r="Y65" s="76">
        <f>IF(OR($R65="",$T65="",$T65=0),"",$R65/($T65*IF($O65="",1,$O65)))</f>
        <v/>
      </c>
      <c r="Z65" s="77">
        <f>IF(OR($X65="",$P65="",$P65=0),"",$X65/$P65)</f>
        <v/>
      </c>
      <c r="AA65" s="27">
        <f>IF($J65="","待填怪物等级",IF(OR($I65="",$Q65=""),"待填对照关卡",IF($P65="","已计算",IF(AND($Y65&lt;&gt;"",$Y65&lt;$X65),"生存不成立",IF($Z65&lt;0.5,"碾压",IF($Z65&lt;0.8,"偏简单",IF($Z65&lt;=1.2,"适中",IF($Z65&lt;=1.5,"偏难","过难"))))))))</f>
        <v/>
      </c>
      <c r="AB65" s="27">
        <f>IF($J65="","待填",IF(AND(ISNUMBER($J65),$J65&gt;=1,$J65&lt;=500,MOD($J65,1)=0),"有效","超范围"))</f>
        <v/>
      </c>
      <c r="AC65" s="27">
        <f>IF(OR($J65="",ROW()=5,$B65&lt;&gt;$B64,$J64=""),"",IF($J65&lt;$J64,"下降",""))</f>
        <v/>
      </c>
      <c r="AD65" s="28" t="inlineStr">
        <is>
          <t>整队验算：S/T为五人总生命/总攻击，U为平均防御，W为逐人计算后求和EHP；倍率由爬塔专用源表执行。</t>
        </is>
      </c>
      <c r="AE65" t="n">
        <v>1200000</v>
      </c>
      <c r="AF65">
        <f>INDEX(_统一战力!$B$2:$B$501,J65)</f>
        <v/>
      </c>
    </row>
    <row r="66" ht="25" customHeight="1">
      <c r="A66" s="27" t="inlineStr">
        <is>
          <t>当前配置</t>
        </is>
      </c>
      <c r="B66" s="27" t="inlineStr">
        <is>
          <t>爬塔</t>
        </is>
      </c>
      <c r="C66" s="28" t="inlineStr">
        <is>
          <t>现行包体1</t>
        </is>
      </c>
      <c r="D66" s="28" t="inlineStr">
        <is>
          <t>第62层</t>
        </is>
      </c>
      <c r="E66" s="28" t="inlineStr">
        <is>
          <t>300063</t>
        </is>
      </c>
      <c r="F66" s="27" t="inlineStr">
        <is>
          <t>普通怪</t>
        </is>
      </c>
      <c r="G66" s="37" t="n">
        <v>170</v>
      </c>
      <c r="H66" s="38" t="n"/>
      <c r="I66" s="39">
        <f>IF($H66="",$G66,$H66)</f>
        <v/>
      </c>
      <c r="J66" s="40" t="n">
        <v>223</v>
      </c>
      <c r="K66" s="72" t="n">
        <v>1.15347728205966</v>
      </c>
      <c r="L66" s="72" t="n">
        <v>0.691563676322275</v>
      </c>
      <c r="M66" s="72" t="n">
        <v>1</v>
      </c>
      <c r="N66" s="73" t="n"/>
      <c r="O66" s="73" t="n"/>
      <c r="P66" s="73" t="n"/>
      <c r="Q66" s="74">
        <f>IF($I66="","",IFERROR(INDEX(_玩家曲线!$H$2:$H$286,MATCH($I66,_玩家曲线!$A$2:$A$286,0)),""))</f>
        <v/>
      </c>
      <c r="R66" s="74">
        <f>IF($I66="","",IFERROR(INDEX(_玩家曲线!$I$2:$I$286,MATCH($I66,_玩家曲线!$A$2:$A$286,0)),""))</f>
        <v/>
      </c>
      <c r="S66" s="74">
        <f>SUMIF(_爬塔队伍!$A$2:$A$501,VALUE(SUBSTITUTE(SUBSTITUTE(D66,"第",""),"层","")),_爬塔队伍!$C$2:$C$501)</f>
        <v/>
      </c>
      <c r="T66" s="74">
        <f>SUMIF(_爬塔队伍!$A$2:$A$501,VALUE(SUBSTITUTE(SUBSTITUTE(D66,"第",""),"层","")),_爬塔队伍!$D$2:$D$501)</f>
        <v/>
      </c>
      <c r="U66" s="74">
        <f>SUMIF(_爬塔队伍!$A$2:$A$501,VALUE(SUBSTITUTE(SUBSTITUTE(D66,"第",""),"层","")),_爬塔队伍!$E$2:$E$501)/COUNTIF(_爬塔队伍!$A$2:$A$501,VALUE(SUBSTITUTE(SUBSTITUTE(D66,"第",""),"层","")))</f>
        <v/>
      </c>
      <c r="V66" s="75">
        <f>IF($U66="","",MIN(0.75,$U66/($U66+24000)))</f>
        <v/>
      </c>
      <c r="W66" s="76">
        <f>SUMIF(_爬塔队伍!$A$2:$A$501,VALUE(SUBSTITUTE(SUBSTITUTE(D66,"第",""),"层","")),_爬塔队伍!$F$2:$F$501)</f>
        <v/>
      </c>
      <c r="X66" s="76">
        <f>IF(OR($W66="",$Q66="",$Q66=0),"",$W66/$Q66)</f>
        <v/>
      </c>
      <c r="Y66" s="76">
        <f>IF(OR($R66="",$T66="",$T66=0),"",$R66/($T66*IF($O66="",1,$O66)))</f>
        <v/>
      </c>
      <c r="Z66" s="77">
        <f>IF(OR($X66="",$P66="",$P66=0),"",$X66/$P66)</f>
        <v/>
      </c>
      <c r="AA66" s="27">
        <f>IF($J66="","待填怪物等级",IF(OR($I66="",$Q66=""),"待填对照关卡",IF($P66="","已计算",IF(AND($Y66&lt;&gt;"",$Y66&lt;$X66),"生存不成立",IF($Z66&lt;0.5,"碾压",IF($Z66&lt;0.8,"偏简单",IF($Z66&lt;=1.2,"适中",IF($Z66&lt;=1.5,"偏难","过难"))))))))</f>
        <v/>
      </c>
      <c r="AB66" s="27">
        <f>IF($J66="","待填",IF(AND(ISNUMBER($J66),$J66&gt;=1,$J66&lt;=500,MOD($J66,1)=0),"有效","超范围"))</f>
        <v/>
      </c>
      <c r="AC66" s="27">
        <f>IF(OR($J66="",ROW()=5,$B66&lt;&gt;$B65,$J65=""),"",IF($J66&lt;$J65,"下降",""))</f>
        <v/>
      </c>
      <c r="AD66" s="28" t="inlineStr">
        <is>
          <t>整队验算：S/T为五人总生命/总攻击，U为平均防御，W为逐人计算后求和EHP；倍率由爬塔专用源表执行。</t>
        </is>
      </c>
      <c r="AE66" t="n">
        <v>1210000</v>
      </c>
      <c r="AF66">
        <f>INDEX(_统一战力!$B$2:$B$501,J66)</f>
        <v/>
      </c>
    </row>
    <row r="67" ht="25" customHeight="1">
      <c r="A67" s="27" t="inlineStr">
        <is>
          <t>当前配置</t>
        </is>
      </c>
      <c r="B67" s="27" t="inlineStr">
        <is>
          <t>爬塔</t>
        </is>
      </c>
      <c r="C67" s="28" t="inlineStr">
        <is>
          <t>现行包体1</t>
        </is>
      </c>
      <c r="D67" s="28" t="inlineStr">
        <is>
          <t>第63层</t>
        </is>
      </c>
      <c r="E67" s="28" t="inlineStr">
        <is>
          <t>300064</t>
        </is>
      </c>
      <c r="F67" s="27" t="inlineStr">
        <is>
          <t>普通怪</t>
        </is>
      </c>
      <c r="G67" s="37" t="n">
        <v>173</v>
      </c>
      <c r="H67" s="38" t="n"/>
      <c r="I67" s="39">
        <f>IF($H67="",$G67,$H67)</f>
        <v/>
      </c>
      <c r="J67" s="40" t="n">
        <v>225</v>
      </c>
      <c r="K67" s="72" t="n">
        <v>1.14900462820668</v>
      </c>
      <c r="L67" s="72" t="n">
        <v>0.691032777546049</v>
      </c>
      <c r="M67" s="72" t="n">
        <v>1</v>
      </c>
      <c r="N67" s="73" t="n"/>
      <c r="O67" s="73" t="n"/>
      <c r="P67" s="73" t="n"/>
      <c r="Q67" s="74">
        <f>IF($I67="","",IFERROR(INDEX(_玩家曲线!$H$2:$H$286,MATCH($I67,_玩家曲线!$A$2:$A$286,0)),""))</f>
        <v/>
      </c>
      <c r="R67" s="74">
        <f>IF($I67="","",IFERROR(INDEX(_玩家曲线!$I$2:$I$286,MATCH($I67,_玩家曲线!$A$2:$A$286,0)),""))</f>
        <v/>
      </c>
      <c r="S67" s="74">
        <f>SUMIF(_爬塔队伍!$A$2:$A$501,VALUE(SUBSTITUTE(SUBSTITUTE(D67,"第",""),"层","")),_爬塔队伍!$C$2:$C$501)</f>
        <v/>
      </c>
      <c r="T67" s="74">
        <f>SUMIF(_爬塔队伍!$A$2:$A$501,VALUE(SUBSTITUTE(SUBSTITUTE(D67,"第",""),"层","")),_爬塔队伍!$D$2:$D$501)</f>
        <v/>
      </c>
      <c r="U67" s="74">
        <f>SUMIF(_爬塔队伍!$A$2:$A$501,VALUE(SUBSTITUTE(SUBSTITUTE(D67,"第",""),"层","")),_爬塔队伍!$E$2:$E$501)/COUNTIF(_爬塔队伍!$A$2:$A$501,VALUE(SUBSTITUTE(SUBSTITUTE(D67,"第",""),"层","")))</f>
        <v/>
      </c>
      <c r="V67" s="75">
        <f>IF($U67="","",MIN(0.75,$U67/($U67+24000)))</f>
        <v/>
      </c>
      <c r="W67" s="76">
        <f>SUMIF(_爬塔队伍!$A$2:$A$501,VALUE(SUBSTITUTE(SUBSTITUTE(D67,"第",""),"层","")),_爬塔队伍!$F$2:$F$501)</f>
        <v/>
      </c>
      <c r="X67" s="76">
        <f>IF(OR($W67="",$Q67="",$Q67=0),"",$W67/$Q67)</f>
        <v/>
      </c>
      <c r="Y67" s="76">
        <f>IF(OR($R67="",$T67="",$T67=0),"",$R67/($T67*IF($O67="",1,$O67)))</f>
        <v/>
      </c>
      <c r="Z67" s="77">
        <f>IF(OR($X67="",$P67="",$P67=0),"",$X67/$P67)</f>
        <v/>
      </c>
      <c r="AA67" s="27">
        <f>IF($J67="","待填怪物等级",IF(OR($I67="",$Q67=""),"待填对照关卡",IF($P67="","已计算",IF(AND($Y67&lt;&gt;"",$Y67&lt;$X67),"生存不成立",IF($Z67&lt;0.5,"碾压",IF($Z67&lt;0.8,"偏简单",IF($Z67&lt;=1.2,"适中",IF($Z67&lt;=1.5,"偏难","过难"))))))))</f>
        <v/>
      </c>
      <c r="AB67" s="27">
        <f>IF($J67="","待填",IF(AND(ISNUMBER($J67),$J67&gt;=1,$J67&lt;=500,MOD($J67,1)=0),"有效","超范围"))</f>
        <v/>
      </c>
      <c r="AC67" s="27">
        <f>IF(OR($J67="",ROW()=5,$B67&lt;&gt;$B66,$J66=""),"",IF($J67&lt;$J66,"下降",""))</f>
        <v/>
      </c>
      <c r="AD67" s="28" t="inlineStr">
        <is>
          <t>整队验算：S/T为五人总生命/总攻击，U为平均防御，W为逐人计算后求和EHP；倍率由爬塔专用源表执行。</t>
        </is>
      </c>
      <c r="AE67" t="n">
        <v>1240000</v>
      </c>
      <c r="AF67">
        <f>INDEX(_统一战力!$B$2:$B$501,J67)</f>
        <v/>
      </c>
    </row>
    <row r="68" ht="25" customHeight="1">
      <c r="A68" s="27" t="inlineStr">
        <is>
          <t>当前配置</t>
        </is>
      </c>
      <c r="B68" s="27" t="inlineStr">
        <is>
          <t>爬塔</t>
        </is>
      </c>
      <c r="C68" s="28" t="inlineStr">
        <is>
          <t>现行包体1</t>
        </is>
      </c>
      <c r="D68" s="28" t="inlineStr">
        <is>
          <t>第64层</t>
        </is>
      </c>
      <c r="E68" s="28" t="inlineStr">
        <is>
          <t>300065</t>
        </is>
      </c>
      <c r="F68" s="27" t="inlineStr">
        <is>
          <t>普通怪</t>
        </is>
      </c>
      <c r="G68" s="37" t="n">
        <v>176</v>
      </c>
      <c r="H68" s="38" t="n"/>
      <c r="I68" s="39">
        <f>IF($H68="",$G68,$H68)</f>
        <v/>
      </c>
      <c r="J68" s="40" t="n">
        <v>227</v>
      </c>
      <c r="K68" s="72" t="n">
        <v>1.15548735913503</v>
      </c>
      <c r="L68" s="72" t="n">
        <v>0.695378181108376</v>
      </c>
      <c r="M68" s="72" t="n">
        <v>1</v>
      </c>
      <c r="N68" s="73" t="n"/>
      <c r="O68" s="73" t="n"/>
      <c r="P68" s="73" t="n"/>
      <c r="Q68" s="74">
        <f>IF($I68="","",IFERROR(INDEX(_玩家曲线!$H$2:$H$286,MATCH($I68,_玩家曲线!$A$2:$A$286,0)),""))</f>
        <v/>
      </c>
      <c r="R68" s="74">
        <f>IF($I68="","",IFERROR(INDEX(_玩家曲线!$I$2:$I$286,MATCH($I68,_玩家曲线!$A$2:$A$286,0)),""))</f>
        <v/>
      </c>
      <c r="S68" s="74">
        <f>SUMIF(_爬塔队伍!$A$2:$A$501,VALUE(SUBSTITUTE(SUBSTITUTE(D68,"第",""),"层","")),_爬塔队伍!$C$2:$C$501)</f>
        <v/>
      </c>
      <c r="T68" s="74">
        <f>SUMIF(_爬塔队伍!$A$2:$A$501,VALUE(SUBSTITUTE(SUBSTITUTE(D68,"第",""),"层","")),_爬塔队伍!$D$2:$D$501)</f>
        <v/>
      </c>
      <c r="U68" s="74">
        <f>SUMIF(_爬塔队伍!$A$2:$A$501,VALUE(SUBSTITUTE(SUBSTITUTE(D68,"第",""),"层","")),_爬塔队伍!$E$2:$E$501)/COUNTIF(_爬塔队伍!$A$2:$A$501,VALUE(SUBSTITUTE(SUBSTITUTE(D68,"第",""),"层","")))</f>
        <v/>
      </c>
      <c r="V68" s="75">
        <f>IF($U68="","",MIN(0.75,$U68/($U68+24000)))</f>
        <v/>
      </c>
      <c r="W68" s="76">
        <f>SUMIF(_爬塔队伍!$A$2:$A$501,VALUE(SUBSTITUTE(SUBSTITUTE(D68,"第",""),"层","")),_爬塔队伍!$F$2:$F$501)</f>
        <v/>
      </c>
      <c r="X68" s="76">
        <f>IF(OR($W68="",$Q68="",$Q68=0),"",$W68/$Q68)</f>
        <v/>
      </c>
      <c r="Y68" s="76">
        <f>IF(OR($R68="",$T68="",$T68=0),"",$R68/($T68*IF($O68="",1,$O68)))</f>
        <v/>
      </c>
      <c r="Z68" s="77">
        <f>IF(OR($X68="",$P68="",$P68=0),"",$X68/$P68)</f>
        <v/>
      </c>
      <c r="AA68" s="27">
        <f>IF($J68="","待填怪物等级",IF(OR($I68="",$Q68=""),"待填对照关卡",IF($P68="","已计算",IF(AND($Y68&lt;&gt;"",$Y68&lt;$X68),"生存不成立",IF($Z68&lt;0.5,"碾压",IF($Z68&lt;0.8,"偏简单",IF($Z68&lt;=1.2,"适中",IF($Z68&lt;=1.5,"偏难","过难"))))))))</f>
        <v/>
      </c>
      <c r="AB68" s="27">
        <f>IF($J68="","待填",IF(AND(ISNUMBER($J68),$J68&gt;=1,$J68&lt;=500,MOD($J68,1)=0),"有效","超范围"))</f>
        <v/>
      </c>
      <c r="AC68" s="27">
        <f>IF(OR($J68="",ROW()=5,$B68&lt;&gt;$B67,$J67=""),"",IF($J68&lt;$J67,"下降",""))</f>
        <v/>
      </c>
      <c r="AD68" s="28" t="inlineStr">
        <is>
          <t>整队验算：S/T为五人总生命/总攻击，U为平均防御，W为逐人计算后求和EHP；倍率由爬塔专用源表执行。</t>
        </is>
      </c>
      <c r="AE68" t="n">
        <v>1260000</v>
      </c>
      <c r="AF68">
        <f>INDEX(_统一战力!$B$2:$B$501,J68)</f>
        <v/>
      </c>
    </row>
    <row r="69" ht="25" customHeight="1">
      <c r="A69" s="27" t="inlineStr">
        <is>
          <t>当前配置</t>
        </is>
      </c>
      <c r="B69" s="27" t="inlineStr">
        <is>
          <t>爬塔</t>
        </is>
      </c>
      <c r="C69" s="28" t="inlineStr">
        <is>
          <t>现行包体1</t>
        </is>
      </c>
      <c r="D69" s="28" t="inlineStr">
        <is>
          <t>第65层</t>
        </is>
      </c>
      <c r="E69" s="28" t="inlineStr">
        <is>
          <t>300066</t>
        </is>
      </c>
      <c r="F69" s="27" t="inlineStr">
        <is>
          <t>精英怪</t>
        </is>
      </c>
      <c r="G69" s="37" t="n">
        <v>178</v>
      </c>
      <c r="H69" s="38" t="n"/>
      <c r="I69" s="39">
        <f>IF($H69="",$G69,$H69)</f>
        <v/>
      </c>
      <c r="J69" s="40" t="n">
        <v>229</v>
      </c>
      <c r="K69" s="72" t="n">
        <v>1.14865451907588</v>
      </c>
      <c r="L69" s="72" t="n">
        <v>0.692854524567452</v>
      </c>
      <c r="M69" s="72" t="n">
        <v>1</v>
      </c>
      <c r="N69" s="73" t="n"/>
      <c r="O69" s="73" t="n"/>
      <c r="P69" s="73" t="n"/>
      <c r="Q69" s="74">
        <f>IF($I69="","",IFERROR(INDEX(_玩家曲线!$H$2:$H$286,MATCH($I69,_玩家曲线!$A$2:$A$286,0)),""))</f>
        <v/>
      </c>
      <c r="R69" s="74">
        <f>IF($I69="","",IFERROR(INDEX(_玩家曲线!$I$2:$I$286,MATCH($I69,_玩家曲线!$A$2:$A$286,0)),""))</f>
        <v/>
      </c>
      <c r="S69" s="74">
        <f>SUMIF(_爬塔队伍!$A$2:$A$501,VALUE(SUBSTITUTE(SUBSTITUTE(D69,"第",""),"层","")),_爬塔队伍!$C$2:$C$501)</f>
        <v/>
      </c>
      <c r="T69" s="74">
        <f>SUMIF(_爬塔队伍!$A$2:$A$501,VALUE(SUBSTITUTE(SUBSTITUTE(D69,"第",""),"层","")),_爬塔队伍!$D$2:$D$501)</f>
        <v/>
      </c>
      <c r="U69" s="74">
        <f>SUMIF(_爬塔队伍!$A$2:$A$501,VALUE(SUBSTITUTE(SUBSTITUTE(D69,"第",""),"层","")),_爬塔队伍!$E$2:$E$501)/COUNTIF(_爬塔队伍!$A$2:$A$501,VALUE(SUBSTITUTE(SUBSTITUTE(D69,"第",""),"层","")))</f>
        <v/>
      </c>
      <c r="V69" s="75">
        <f>IF($U69="","",MIN(0.75,$U69/($U69+24000)))</f>
        <v/>
      </c>
      <c r="W69" s="76">
        <f>SUMIF(_爬塔队伍!$A$2:$A$501,VALUE(SUBSTITUTE(SUBSTITUTE(D69,"第",""),"层","")),_爬塔队伍!$F$2:$F$501)</f>
        <v/>
      </c>
      <c r="X69" s="76">
        <f>IF(OR($W69="",$Q69="",$Q69=0),"",$W69/$Q69)</f>
        <v/>
      </c>
      <c r="Y69" s="76">
        <f>IF(OR($R69="",$T69="",$T69=0),"",$R69/($T69*IF($O69="",1,$O69)))</f>
        <v/>
      </c>
      <c r="Z69" s="77">
        <f>IF(OR($X69="",$P69="",$P69=0),"",$X69/$P69)</f>
        <v/>
      </c>
      <c r="AA69" s="27">
        <f>IF($J69="","待填怪物等级",IF(OR($I69="",$Q69=""),"待填对照关卡",IF($P69="","已计算",IF(AND($Y69&lt;&gt;"",$Y69&lt;$X69),"生存不成立",IF($Z69&lt;0.5,"碾压",IF($Z69&lt;0.8,"偏简单",IF($Z69&lt;=1.2,"适中",IF($Z69&lt;=1.5,"偏难","过难"))))))))</f>
        <v/>
      </c>
      <c r="AB69" s="27">
        <f>IF($J69="","待填",IF(AND(ISNUMBER($J69),$J69&gt;=1,$J69&lt;=500,MOD($J69,1)=0),"有效","超范围"))</f>
        <v/>
      </c>
      <c r="AC69" s="27">
        <f>IF(OR($J69="",ROW()=5,$B69&lt;&gt;$B68,$J68=""),"",IF($J69&lt;$J68,"下降",""))</f>
        <v/>
      </c>
      <c r="AD69" s="28" t="inlineStr">
        <is>
          <t>整队验算：S/T为五人总生命/总攻击，U为平均防御，W为逐人计算后求和EHP；倍率由爬塔专用源表执行。</t>
        </is>
      </c>
      <c r="AE69" t="n">
        <v>1280000</v>
      </c>
      <c r="AF69">
        <f>INDEX(_统一战力!$B$2:$B$501,J69)</f>
        <v/>
      </c>
    </row>
    <row r="70" ht="25" customHeight="1">
      <c r="A70" s="27" t="inlineStr">
        <is>
          <t>当前配置</t>
        </is>
      </c>
      <c r="B70" s="27" t="inlineStr">
        <is>
          <t>爬塔</t>
        </is>
      </c>
      <c r="C70" s="28" t="inlineStr">
        <is>
          <t>现行包体1</t>
        </is>
      </c>
      <c r="D70" s="28" t="inlineStr">
        <is>
          <t>第66层</t>
        </is>
      </c>
      <c r="E70" s="28" t="inlineStr">
        <is>
          <t>300067</t>
        </is>
      </c>
      <c r="F70" s="27" t="inlineStr">
        <is>
          <t>普通怪</t>
        </is>
      </c>
      <c r="G70" s="37" t="n">
        <v>181</v>
      </c>
      <c r="H70" s="38" t="n"/>
      <c r="I70" s="39">
        <f>IF($H70="",$G70,$H70)</f>
        <v/>
      </c>
      <c r="J70" s="40" t="n">
        <v>230</v>
      </c>
      <c r="K70" s="72" t="n">
        <v>1.15595647386983</v>
      </c>
      <c r="L70" s="72" t="n">
        <v>0.6978432581198269</v>
      </c>
      <c r="M70" s="72" t="n">
        <v>1</v>
      </c>
      <c r="N70" s="73" t="n"/>
      <c r="O70" s="73" t="n"/>
      <c r="P70" s="73" t="n"/>
      <c r="Q70" s="74">
        <f>IF($I70="","",IFERROR(INDEX(_玩家曲线!$H$2:$H$286,MATCH($I70,_玩家曲线!$A$2:$A$286,0)),""))</f>
        <v/>
      </c>
      <c r="R70" s="74">
        <f>IF($I70="","",IFERROR(INDEX(_玩家曲线!$I$2:$I$286,MATCH($I70,_玩家曲线!$A$2:$A$286,0)),""))</f>
        <v/>
      </c>
      <c r="S70" s="74">
        <f>SUMIF(_爬塔队伍!$A$2:$A$501,VALUE(SUBSTITUTE(SUBSTITUTE(D70,"第",""),"层","")),_爬塔队伍!$C$2:$C$501)</f>
        <v/>
      </c>
      <c r="T70" s="74">
        <f>SUMIF(_爬塔队伍!$A$2:$A$501,VALUE(SUBSTITUTE(SUBSTITUTE(D70,"第",""),"层","")),_爬塔队伍!$D$2:$D$501)</f>
        <v/>
      </c>
      <c r="U70" s="74">
        <f>SUMIF(_爬塔队伍!$A$2:$A$501,VALUE(SUBSTITUTE(SUBSTITUTE(D70,"第",""),"层","")),_爬塔队伍!$E$2:$E$501)/COUNTIF(_爬塔队伍!$A$2:$A$501,VALUE(SUBSTITUTE(SUBSTITUTE(D70,"第",""),"层","")))</f>
        <v/>
      </c>
      <c r="V70" s="75">
        <f>IF($U70="","",MIN(0.75,$U70/($U70+24000)))</f>
        <v/>
      </c>
      <c r="W70" s="76">
        <f>SUMIF(_爬塔队伍!$A$2:$A$501,VALUE(SUBSTITUTE(SUBSTITUTE(D70,"第",""),"层","")),_爬塔队伍!$F$2:$F$501)</f>
        <v/>
      </c>
      <c r="X70" s="76">
        <f>IF(OR($W70="",$Q70="",$Q70=0),"",$W70/$Q70)</f>
        <v/>
      </c>
      <c r="Y70" s="76">
        <f>IF(OR($R70="",$T70="",$T70=0),"",$R70/($T70*IF($O70="",1,$O70)))</f>
        <v/>
      </c>
      <c r="Z70" s="77">
        <f>IF(OR($X70="",$P70="",$P70=0),"",$X70/$P70)</f>
        <v/>
      </c>
      <c r="AA70" s="27">
        <f>IF($J70="","待填怪物等级",IF(OR($I70="",$Q70=""),"待填对照关卡",IF($P70="","已计算",IF(AND($Y70&lt;&gt;"",$Y70&lt;$X70),"生存不成立",IF($Z70&lt;0.5,"碾压",IF($Z70&lt;0.8,"偏简单",IF($Z70&lt;=1.2,"适中",IF($Z70&lt;=1.5,"偏难","过难"))))))))</f>
        <v/>
      </c>
      <c r="AB70" s="27">
        <f>IF($J70="","待填",IF(AND(ISNUMBER($J70),$J70&gt;=1,$J70&lt;=500,MOD($J70,1)=0),"有效","超范围"))</f>
        <v/>
      </c>
      <c r="AC70" s="27">
        <f>IF(OR($J70="",ROW()=5,$B70&lt;&gt;$B69,$J69=""),"",IF($J70&lt;$J69,"下降",""))</f>
        <v/>
      </c>
      <c r="AD70" s="28" t="inlineStr">
        <is>
          <t>整队验算：S/T为五人总生命/总攻击，U为平均防御，W为逐人计算后求和EHP；倍率由爬塔专用源表执行。</t>
        </is>
      </c>
      <c r="AE70" t="n">
        <v>1290000</v>
      </c>
      <c r="AF70">
        <f>INDEX(_统一战力!$B$2:$B$501,J70)</f>
        <v/>
      </c>
    </row>
    <row r="71" ht="25" customHeight="1">
      <c r="A71" s="27" t="inlineStr">
        <is>
          <t>当前配置</t>
        </is>
      </c>
      <c r="B71" s="27" t="inlineStr">
        <is>
          <t>爬塔</t>
        </is>
      </c>
      <c r="C71" s="28" t="inlineStr">
        <is>
          <t>现行包体1</t>
        </is>
      </c>
      <c r="D71" s="28" t="inlineStr">
        <is>
          <t>第67层</t>
        </is>
      </c>
      <c r="E71" s="28" t="inlineStr">
        <is>
          <t>300068</t>
        </is>
      </c>
      <c r="F71" s="27" t="inlineStr">
        <is>
          <t>普通怪</t>
        </is>
      </c>
      <c r="G71" s="37" t="n">
        <v>184</v>
      </c>
      <c r="H71" s="38" t="n"/>
      <c r="I71" s="39">
        <f>IF($H71="",$G71,$H71)</f>
        <v/>
      </c>
      <c r="J71" s="40" t="n">
        <v>232</v>
      </c>
      <c r="K71" s="72" t="n">
        <v>1.14949497330677</v>
      </c>
      <c r="L71" s="72" t="n">
        <v>0.69706434169526</v>
      </c>
      <c r="M71" s="72" t="n">
        <v>1</v>
      </c>
      <c r="N71" s="73" t="n"/>
      <c r="O71" s="73" t="n"/>
      <c r="P71" s="73" t="n"/>
      <c r="Q71" s="74">
        <f>IF($I71="","",IFERROR(INDEX(_玩家曲线!$H$2:$H$286,MATCH($I71,_玩家曲线!$A$2:$A$286,0)),""))</f>
        <v/>
      </c>
      <c r="R71" s="74">
        <f>IF($I71="","",IFERROR(INDEX(_玩家曲线!$I$2:$I$286,MATCH($I71,_玩家曲线!$A$2:$A$286,0)),""))</f>
        <v/>
      </c>
      <c r="S71" s="74">
        <f>SUMIF(_爬塔队伍!$A$2:$A$501,VALUE(SUBSTITUTE(SUBSTITUTE(D71,"第",""),"层","")),_爬塔队伍!$C$2:$C$501)</f>
        <v/>
      </c>
      <c r="T71" s="74">
        <f>SUMIF(_爬塔队伍!$A$2:$A$501,VALUE(SUBSTITUTE(SUBSTITUTE(D71,"第",""),"层","")),_爬塔队伍!$D$2:$D$501)</f>
        <v/>
      </c>
      <c r="U71" s="74">
        <f>SUMIF(_爬塔队伍!$A$2:$A$501,VALUE(SUBSTITUTE(SUBSTITUTE(D71,"第",""),"层","")),_爬塔队伍!$E$2:$E$501)/COUNTIF(_爬塔队伍!$A$2:$A$501,VALUE(SUBSTITUTE(SUBSTITUTE(D71,"第",""),"层","")))</f>
        <v/>
      </c>
      <c r="V71" s="75">
        <f>IF($U71="","",MIN(0.75,$U71/($U71+24000)))</f>
        <v/>
      </c>
      <c r="W71" s="76">
        <f>SUMIF(_爬塔队伍!$A$2:$A$501,VALUE(SUBSTITUTE(SUBSTITUTE(D71,"第",""),"层","")),_爬塔队伍!$F$2:$F$501)</f>
        <v/>
      </c>
      <c r="X71" s="76">
        <f>IF(OR($W71="",$Q71="",$Q71=0),"",$W71/$Q71)</f>
        <v/>
      </c>
      <c r="Y71" s="76">
        <f>IF(OR($R71="",$T71="",$T71=0),"",$R71/($T71*IF($O71="",1,$O71)))</f>
        <v/>
      </c>
      <c r="Z71" s="77">
        <f>IF(OR($X71="",$P71="",$P71=0),"",$X71/$P71)</f>
        <v/>
      </c>
      <c r="AA71" s="27">
        <f>IF($J71="","待填怪物等级",IF(OR($I71="",$Q71=""),"待填对照关卡",IF($P71="","已计算",IF(AND($Y71&lt;&gt;"",$Y71&lt;$X71),"生存不成立",IF($Z71&lt;0.5,"碾压",IF($Z71&lt;0.8,"偏简单",IF($Z71&lt;=1.2,"适中",IF($Z71&lt;=1.5,"偏难","过难"))))))))</f>
        <v/>
      </c>
      <c r="AB71" s="27">
        <f>IF($J71="","待填",IF(AND(ISNUMBER($J71),$J71&gt;=1,$J71&lt;=500,MOD($J71,1)=0),"有效","超范围"))</f>
        <v/>
      </c>
      <c r="AC71" s="27">
        <f>IF(OR($J71="",ROW()=5,$B71&lt;&gt;$B70,$J70=""),"",IF($J71&lt;$J70,"下降",""))</f>
        <v/>
      </c>
      <c r="AD71" s="28" t="inlineStr">
        <is>
          <t>整队验算：S/T为五人总生命/总攻击，U为平均防御，W为逐人计算后求和EHP；倍率由爬塔专用源表执行。</t>
        </is>
      </c>
      <c r="AE71" t="n">
        <v>1310000</v>
      </c>
      <c r="AF71">
        <f>INDEX(_统一战力!$B$2:$B$501,J71)</f>
        <v/>
      </c>
    </row>
    <row r="72" ht="25" customHeight="1">
      <c r="A72" s="27" t="inlineStr">
        <is>
          <t>当前配置</t>
        </is>
      </c>
      <c r="B72" s="27" t="inlineStr">
        <is>
          <t>爬塔</t>
        </is>
      </c>
      <c r="C72" s="28" t="inlineStr">
        <is>
          <t>现行包体1</t>
        </is>
      </c>
      <c r="D72" s="28" t="inlineStr">
        <is>
          <t>第68层</t>
        </is>
      </c>
      <c r="E72" s="28" t="inlineStr">
        <is>
          <t>300069</t>
        </is>
      </c>
      <c r="F72" s="27" t="inlineStr">
        <is>
          <t>普通怪</t>
        </is>
      </c>
      <c r="G72" s="37" t="n">
        <v>187</v>
      </c>
      <c r="H72" s="38" t="n"/>
      <c r="I72" s="39">
        <f>IF($H72="",$G72,$H72)</f>
        <v/>
      </c>
      <c r="J72" s="40" t="n">
        <v>234</v>
      </c>
      <c r="K72" s="72" t="n">
        <v>1.14787796748917</v>
      </c>
      <c r="L72" s="72" t="n">
        <v>0.697471382218971</v>
      </c>
      <c r="M72" s="72" t="n">
        <v>1</v>
      </c>
      <c r="N72" s="73" t="n"/>
      <c r="O72" s="73" t="n"/>
      <c r="P72" s="73" t="n"/>
      <c r="Q72" s="74">
        <f>IF($I72="","",IFERROR(INDEX(_玩家曲线!$H$2:$H$286,MATCH($I72,_玩家曲线!$A$2:$A$286,0)),""))</f>
        <v/>
      </c>
      <c r="R72" s="74">
        <f>IF($I72="","",IFERROR(INDEX(_玩家曲线!$I$2:$I$286,MATCH($I72,_玩家曲线!$A$2:$A$286,0)),""))</f>
        <v/>
      </c>
      <c r="S72" s="74">
        <f>SUMIF(_爬塔队伍!$A$2:$A$501,VALUE(SUBSTITUTE(SUBSTITUTE(D72,"第",""),"层","")),_爬塔队伍!$C$2:$C$501)</f>
        <v/>
      </c>
      <c r="T72" s="74">
        <f>SUMIF(_爬塔队伍!$A$2:$A$501,VALUE(SUBSTITUTE(SUBSTITUTE(D72,"第",""),"层","")),_爬塔队伍!$D$2:$D$501)</f>
        <v/>
      </c>
      <c r="U72" s="74">
        <f>SUMIF(_爬塔队伍!$A$2:$A$501,VALUE(SUBSTITUTE(SUBSTITUTE(D72,"第",""),"层","")),_爬塔队伍!$E$2:$E$501)/COUNTIF(_爬塔队伍!$A$2:$A$501,VALUE(SUBSTITUTE(SUBSTITUTE(D72,"第",""),"层","")))</f>
        <v/>
      </c>
      <c r="V72" s="75">
        <f>IF($U72="","",MIN(0.75,$U72/($U72+24000)))</f>
        <v/>
      </c>
      <c r="W72" s="76">
        <f>SUMIF(_爬塔队伍!$A$2:$A$501,VALUE(SUBSTITUTE(SUBSTITUTE(D72,"第",""),"层","")),_爬塔队伍!$F$2:$F$501)</f>
        <v/>
      </c>
      <c r="X72" s="76">
        <f>IF(OR($W72="",$Q72="",$Q72=0),"",$W72/$Q72)</f>
        <v/>
      </c>
      <c r="Y72" s="76">
        <f>IF(OR($R72="",$T72="",$T72=0),"",$R72/($T72*IF($O72="",1,$O72)))</f>
        <v/>
      </c>
      <c r="Z72" s="77">
        <f>IF(OR($X72="",$P72="",$P72=0),"",$X72/$P72)</f>
        <v/>
      </c>
      <c r="AA72" s="27">
        <f>IF($J72="","待填怪物等级",IF(OR($I72="",$Q72=""),"待填对照关卡",IF($P72="","已计算",IF(AND($Y72&lt;&gt;"",$Y72&lt;$X72),"生存不成立",IF($Z72&lt;0.5,"碾压",IF($Z72&lt;0.8,"偏简单",IF($Z72&lt;=1.2,"适中",IF($Z72&lt;=1.5,"偏难","过难"))))))))</f>
        <v/>
      </c>
      <c r="AB72" s="27">
        <f>IF($J72="","待填",IF(AND(ISNUMBER($J72),$J72&gt;=1,$J72&lt;=500,MOD($J72,1)=0),"有效","超范围"))</f>
        <v/>
      </c>
      <c r="AC72" s="27">
        <f>IF(OR($J72="",ROW()=5,$B72&lt;&gt;$B71,$J71=""),"",IF($J72&lt;$J71,"下降",""))</f>
        <v/>
      </c>
      <c r="AD72" s="28" t="inlineStr">
        <is>
          <t>整队验算：S/T为五人总生命/总攻击，U为平均防御，W为逐人计算后求和EHP；倍率由爬塔专用源表执行。</t>
        </is>
      </c>
      <c r="AE72" t="n">
        <v>1320000</v>
      </c>
      <c r="AF72">
        <f>INDEX(_统一战力!$B$2:$B$501,J72)</f>
        <v/>
      </c>
    </row>
    <row r="73" ht="25" customHeight="1">
      <c r="A73" s="27" t="inlineStr">
        <is>
          <t>当前配置</t>
        </is>
      </c>
      <c r="B73" s="27" t="inlineStr">
        <is>
          <t>爬塔</t>
        </is>
      </c>
      <c r="C73" s="28" t="inlineStr">
        <is>
          <t>现行包体1</t>
        </is>
      </c>
      <c r="D73" s="28" t="inlineStr">
        <is>
          <t>第69层</t>
        </is>
      </c>
      <c r="E73" s="28" t="inlineStr">
        <is>
          <t>300070</t>
        </is>
      </c>
      <c r="F73" s="27" t="inlineStr">
        <is>
          <t>普通怪</t>
        </is>
      </c>
      <c r="G73" s="37" t="n">
        <v>190</v>
      </c>
      <c r="H73" s="38" t="n"/>
      <c r="I73" s="39">
        <f>IF($H73="",$G73,$H73)</f>
        <v/>
      </c>
      <c r="J73" s="40" t="n">
        <v>236</v>
      </c>
      <c r="K73" s="72" t="n">
        <v>1.14266975016477</v>
      </c>
      <c r="L73" s="72" t="n">
        <v>0.697193122902009</v>
      </c>
      <c r="M73" s="72" t="n">
        <v>1</v>
      </c>
      <c r="N73" s="73" t="n"/>
      <c r="O73" s="73" t="n"/>
      <c r="P73" s="73" t="n"/>
      <c r="Q73" s="74">
        <f>IF($I73="","",IFERROR(INDEX(_玩家曲线!$H$2:$H$286,MATCH($I73,_玩家曲线!$A$2:$A$286,0)),""))</f>
        <v/>
      </c>
      <c r="R73" s="74">
        <f>IF($I73="","",IFERROR(INDEX(_玩家曲线!$I$2:$I$286,MATCH($I73,_玩家曲线!$A$2:$A$286,0)),""))</f>
        <v/>
      </c>
      <c r="S73" s="74">
        <f>SUMIF(_爬塔队伍!$A$2:$A$501,VALUE(SUBSTITUTE(SUBSTITUTE(D73,"第",""),"层","")),_爬塔队伍!$C$2:$C$501)</f>
        <v/>
      </c>
      <c r="T73" s="74">
        <f>SUMIF(_爬塔队伍!$A$2:$A$501,VALUE(SUBSTITUTE(SUBSTITUTE(D73,"第",""),"层","")),_爬塔队伍!$D$2:$D$501)</f>
        <v/>
      </c>
      <c r="U73" s="74">
        <f>SUMIF(_爬塔队伍!$A$2:$A$501,VALUE(SUBSTITUTE(SUBSTITUTE(D73,"第",""),"层","")),_爬塔队伍!$E$2:$E$501)/COUNTIF(_爬塔队伍!$A$2:$A$501,VALUE(SUBSTITUTE(SUBSTITUTE(D73,"第",""),"层","")))</f>
        <v/>
      </c>
      <c r="V73" s="75">
        <f>IF($U73="","",MIN(0.75,$U73/($U73+24000)))</f>
        <v/>
      </c>
      <c r="W73" s="76">
        <f>SUMIF(_爬塔队伍!$A$2:$A$501,VALUE(SUBSTITUTE(SUBSTITUTE(D73,"第",""),"层","")),_爬塔队伍!$F$2:$F$501)</f>
        <v/>
      </c>
      <c r="X73" s="76">
        <f>IF(OR($W73="",$Q73="",$Q73=0),"",$W73/$Q73)</f>
        <v/>
      </c>
      <c r="Y73" s="76">
        <f>IF(OR($R73="",$T73="",$T73=0),"",$R73/($T73*IF($O73="",1,$O73)))</f>
        <v/>
      </c>
      <c r="Z73" s="77">
        <f>IF(OR($X73="",$P73="",$P73=0),"",$X73/$P73)</f>
        <v/>
      </c>
      <c r="AA73" s="27">
        <f>IF($J73="","待填怪物等级",IF(OR($I73="",$Q73=""),"待填对照关卡",IF($P73="","已计算",IF(AND($Y73&lt;&gt;"",$Y73&lt;$X73),"生存不成立",IF($Z73&lt;0.5,"碾压",IF($Z73&lt;0.8,"偏简单",IF($Z73&lt;=1.2,"适中",IF($Z73&lt;=1.5,"偏难","过难"))))))))</f>
        <v/>
      </c>
      <c r="AB73" s="27">
        <f>IF($J73="","待填",IF(AND(ISNUMBER($J73),$J73&gt;=1,$J73&lt;=500,MOD($J73,1)=0),"有效","超范围"))</f>
        <v/>
      </c>
      <c r="AC73" s="27">
        <f>IF(OR($J73="",ROW()=5,$B73&lt;&gt;$B72,$J72=""),"",IF($J73&lt;$J72,"下降",""))</f>
        <v/>
      </c>
      <c r="AD73" s="28" t="inlineStr">
        <is>
          <t>整队验算：S/T为五人总生命/总攻击，U为平均防御，W为逐人计算后求和EHP；倍率由爬塔专用源表执行。</t>
        </is>
      </c>
      <c r="AE73" t="n">
        <v>1320000</v>
      </c>
      <c r="AF73">
        <f>INDEX(_统一战力!$B$2:$B$501,J73)</f>
        <v/>
      </c>
    </row>
    <row r="74" ht="25" customHeight="1">
      <c r="A74" s="27" t="inlineStr">
        <is>
          <t>当前配置</t>
        </is>
      </c>
      <c r="B74" s="27" t="inlineStr">
        <is>
          <t>爬塔</t>
        </is>
      </c>
      <c r="C74" s="28" t="inlineStr">
        <is>
          <t>现行包体1</t>
        </is>
      </c>
      <c r="D74" s="28" t="inlineStr">
        <is>
          <t>第70层</t>
        </is>
      </c>
      <c r="E74" s="28" t="inlineStr">
        <is>
          <t>300071</t>
        </is>
      </c>
      <c r="F74" s="27" t="inlineStr">
        <is>
          <t>Boss</t>
        </is>
      </c>
      <c r="G74" s="37" t="n">
        <v>192</v>
      </c>
      <c r="H74" s="38" t="n"/>
      <c r="I74" s="39">
        <f>IF($H74="",$G74,$H74)</f>
        <v/>
      </c>
      <c r="J74" s="40" t="n">
        <v>238</v>
      </c>
      <c r="K74" s="72" t="n">
        <v>1.1462474158732</v>
      </c>
      <c r="L74" s="72" t="n">
        <v>0.699492820149818</v>
      </c>
      <c r="M74" s="72" t="n">
        <v>1</v>
      </c>
      <c r="N74" s="73" t="n"/>
      <c r="O74" s="73" t="n"/>
      <c r="P74" s="73" t="n"/>
      <c r="Q74" s="74">
        <f>IF($I74="","",IFERROR(INDEX(_玩家曲线!$H$2:$H$286,MATCH($I74,_玩家曲线!$A$2:$A$286,0)),""))</f>
        <v/>
      </c>
      <c r="R74" s="74">
        <f>IF($I74="","",IFERROR(INDEX(_玩家曲线!$I$2:$I$286,MATCH($I74,_玩家曲线!$A$2:$A$286,0)),""))</f>
        <v/>
      </c>
      <c r="S74" s="74">
        <f>SUMIF(_爬塔队伍!$A$2:$A$501,VALUE(SUBSTITUTE(SUBSTITUTE(D74,"第",""),"层","")),_爬塔队伍!$C$2:$C$501)</f>
        <v/>
      </c>
      <c r="T74" s="74">
        <f>SUMIF(_爬塔队伍!$A$2:$A$501,VALUE(SUBSTITUTE(SUBSTITUTE(D74,"第",""),"层","")),_爬塔队伍!$D$2:$D$501)</f>
        <v/>
      </c>
      <c r="U74" s="74">
        <f>SUMIF(_爬塔队伍!$A$2:$A$501,VALUE(SUBSTITUTE(SUBSTITUTE(D74,"第",""),"层","")),_爬塔队伍!$E$2:$E$501)/COUNTIF(_爬塔队伍!$A$2:$A$501,VALUE(SUBSTITUTE(SUBSTITUTE(D74,"第",""),"层","")))</f>
        <v/>
      </c>
      <c r="V74" s="75">
        <f>IF($U74="","",MIN(0.75,$U74/($U74+24000)))</f>
        <v/>
      </c>
      <c r="W74" s="76">
        <f>SUMIF(_爬塔队伍!$A$2:$A$501,VALUE(SUBSTITUTE(SUBSTITUTE(D74,"第",""),"层","")),_爬塔队伍!$F$2:$F$501)</f>
        <v/>
      </c>
      <c r="X74" s="76">
        <f>IF(OR($W74="",$Q74="",$Q74=0),"",$W74/$Q74)</f>
        <v/>
      </c>
      <c r="Y74" s="76">
        <f>IF(OR($R74="",$T74="",$T74=0),"",$R74/($T74*IF($O74="",1,$O74)))</f>
        <v/>
      </c>
      <c r="Z74" s="77">
        <f>IF(OR($X74="",$P74="",$P74=0),"",$X74/$P74)</f>
        <v/>
      </c>
      <c r="AA74" s="27">
        <f>IF($J74="","待填怪物等级",IF(OR($I74="",$Q74=""),"待填对照关卡",IF($P74="","已计算",IF(AND($Y74&lt;&gt;"",$Y74&lt;$X74),"生存不成立",IF($Z74&lt;0.5,"碾压",IF($Z74&lt;0.8,"偏简单",IF($Z74&lt;=1.2,"适中",IF($Z74&lt;=1.5,"偏难","过难"))))))))</f>
        <v/>
      </c>
      <c r="AB74" s="27">
        <f>IF($J74="","待填",IF(AND(ISNUMBER($J74),$J74&gt;=1,$J74&lt;=500,MOD($J74,1)=0),"有效","超范围"))</f>
        <v/>
      </c>
      <c r="AC74" s="27">
        <f>IF(OR($J74="",ROW()=5,$B74&lt;&gt;$B73,$J73=""),"",IF($J74&lt;$J73,"下降",""))</f>
        <v/>
      </c>
      <c r="AD74" s="28" t="inlineStr">
        <is>
          <t>整队验算：S/T为五人总生命/总攻击，U为平均防御，W为逐人计算后求和EHP；倍率由爬塔专用源表执行。</t>
        </is>
      </c>
      <c r="AE74" t="n">
        <v>1330000</v>
      </c>
      <c r="AF74">
        <f>INDEX(_统一战力!$B$2:$B$501,J74)</f>
        <v/>
      </c>
    </row>
    <row r="75" ht="25" customHeight="1">
      <c r="A75" s="27" t="inlineStr">
        <is>
          <t>当前配置</t>
        </is>
      </c>
      <c r="B75" s="27" t="inlineStr">
        <is>
          <t>爬塔</t>
        </is>
      </c>
      <c r="C75" s="28" t="inlineStr">
        <is>
          <t>现行包体1</t>
        </is>
      </c>
      <c r="D75" s="28" t="inlineStr">
        <is>
          <t>第71层</t>
        </is>
      </c>
      <c r="E75" s="28" t="inlineStr">
        <is>
          <t>300072</t>
        </is>
      </c>
      <c r="F75" s="27" t="inlineStr">
        <is>
          <t>普通怪</t>
        </is>
      </c>
      <c r="G75" s="37" t="n">
        <v>195</v>
      </c>
      <c r="H75" s="38" t="n"/>
      <c r="I75" s="39">
        <f>IF($H75="",$G75,$H75)</f>
        <v/>
      </c>
      <c r="J75" s="40" t="n">
        <v>240</v>
      </c>
      <c r="K75" s="72" t="n">
        <v>1.14324732140584</v>
      </c>
      <c r="L75" s="72" t="n">
        <v>0.70012828879628</v>
      </c>
      <c r="M75" s="72" t="n">
        <v>1</v>
      </c>
      <c r="N75" s="73" t="n"/>
      <c r="O75" s="73" t="n"/>
      <c r="P75" s="73" t="n"/>
      <c r="Q75" s="74">
        <f>IF($I75="","",IFERROR(INDEX(_玩家曲线!$H$2:$H$286,MATCH($I75,_玩家曲线!$A$2:$A$286,0)),""))</f>
        <v/>
      </c>
      <c r="R75" s="74">
        <f>IF($I75="","",IFERROR(INDEX(_玩家曲线!$I$2:$I$286,MATCH($I75,_玩家曲线!$A$2:$A$286,0)),""))</f>
        <v/>
      </c>
      <c r="S75" s="74">
        <f>SUMIF(_爬塔队伍!$A$2:$A$501,VALUE(SUBSTITUTE(SUBSTITUTE(D75,"第",""),"层","")),_爬塔队伍!$C$2:$C$501)</f>
        <v/>
      </c>
      <c r="T75" s="74">
        <f>SUMIF(_爬塔队伍!$A$2:$A$501,VALUE(SUBSTITUTE(SUBSTITUTE(D75,"第",""),"层","")),_爬塔队伍!$D$2:$D$501)</f>
        <v/>
      </c>
      <c r="U75" s="74">
        <f>SUMIF(_爬塔队伍!$A$2:$A$501,VALUE(SUBSTITUTE(SUBSTITUTE(D75,"第",""),"层","")),_爬塔队伍!$E$2:$E$501)/COUNTIF(_爬塔队伍!$A$2:$A$501,VALUE(SUBSTITUTE(SUBSTITUTE(D75,"第",""),"层","")))</f>
        <v/>
      </c>
      <c r="V75" s="75">
        <f>IF($U75="","",MIN(0.75,$U75/($U75+24000)))</f>
        <v/>
      </c>
      <c r="W75" s="76">
        <f>SUMIF(_爬塔队伍!$A$2:$A$501,VALUE(SUBSTITUTE(SUBSTITUTE(D75,"第",""),"层","")),_爬塔队伍!$F$2:$F$501)</f>
        <v/>
      </c>
      <c r="X75" s="76">
        <f>IF(OR($W75="",$Q75="",$Q75=0),"",$W75/$Q75)</f>
        <v/>
      </c>
      <c r="Y75" s="76">
        <f>IF(OR($R75="",$T75="",$T75=0),"",$R75/($T75*IF($O75="",1,$O75)))</f>
        <v/>
      </c>
      <c r="Z75" s="77">
        <f>IF(OR($X75="",$P75="",$P75=0),"",$X75/$P75)</f>
        <v/>
      </c>
      <c r="AA75" s="27">
        <f>IF($J75="","待填怪物等级",IF(OR($I75="",$Q75=""),"待填对照关卡",IF($P75="","已计算",IF(AND($Y75&lt;&gt;"",$Y75&lt;$X75),"生存不成立",IF($Z75&lt;0.5,"碾压",IF($Z75&lt;0.8,"偏简单",IF($Z75&lt;=1.2,"适中",IF($Z75&lt;=1.5,"偏难","过难"))))))))</f>
        <v/>
      </c>
      <c r="AB75" s="27">
        <f>IF($J75="","待填",IF(AND(ISNUMBER($J75),$J75&gt;=1,$J75&lt;=500,MOD($J75,1)=0),"有效","超范围"))</f>
        <v/>
      </c>
      <c r="AC75" s="27">
        <f>IF(OR($J75="",ROW()=5,$B75&lt;&gt;$B74,$J74=""),"",IF($J75&lt;$J74,"下降",""))</f>
        <v/>
      </c>
      <c r="AD75" s="28" t="inlineStr">
        <is>
          <t>整队验算：S/T为五人总生命/总攻击，U为平均防御，W为逐人计算后求和EHP；倍率由爬塔专用源表执行。</t>
        </is>
      </c>
      <c r="AE75" t="n">
        <v>1400000</v>
      </c>
      <c r="AF75">
        <f>INDEX(_统一战力!$B$2:$B$501,J75)</f>
        <v/>
      </c>
    </row>
    <row r="76" ht="25" customHeight="1">
      <c r="A76" s="27" t="inlineStr">
        <is>
          <t>当前配置</t>
        </is>
      </c>
      <c r="B76" s="27" t="inlineStr">
        <is>
          <t>爬塔</t>
        </is>
      </c>
      <c r="C76" s="28" t="inlineStr">
        <is>
          <t>现行包体1</t>
        </is>
      </c>
      <c r="D76" s="28" t="inlineStr">
        <is>
          <t>第72层</t>
        </is>
      </c>
      <c r="E76" s="28" t="inlineStr">
        <is>
          <t>300073</t>
        </is>
      </c>
      <c r="F76" s="27" t="inlineStr">
        <is>
          <t>普通怪</t>
        </is>
      </c>
      <c r="G76" s="37" t="n">
        <v>198</v>
      </c>
      <c r="H76" s="38" t="n"/>
      <c r="I76" s="39">
        <f>IF($H76="",$G76,$H76)</f>
        <v/>
      </c>
      <c r="J76" s="40" t="n">
        <v>241</v>
      </c>
      <c r="K76" s="72" t="n">
        <v>1.13993752989515</v>
      </c>
      <c r="L76" s="72" t="n">
        <v>0.700309463287124</v>
      </c>
      <c r="M76" s="72" t="n">
        <v>1</v>
      </c>
      <c r="N76" s="73" t="n"/>
      <c r="O76" s="73" t="n"/>
      <c r="P76" s="73" t="n"/>
      <c r="Q76" s="74">
        <f>IF($I76="","",IFERROR(INDEX(_玩家曲线!$H$2:$H$286,MATCH($I76,_玩家曲线!$A$2:$A$286,0)),""))</f>
        <v/>
      </c>
      <c r="R76" s="74">
        <f>IF($I76="","",IFERROR(INDEX(_玩家曲线!$I$2:$I$286,MATCH($I76,_玩家曲线!$A$2:$A$286,0)),""))</f>
        <v/>
      </c>
      <c r="S76" s="74">
        <f>SUMIF(_爬塔队伍!$A$2:$A$501,VALUE(SUBSTITUTE(SUBSTITUTE(D76,"第",""),"层","")),_爬塔队伍!$C$2:$C$501)</f>
        <v/>
      </c>
      <c r="T76" s="74">
        <f>SUMIF(_爬塔队伍!$A$2:$A$501,VALUE(SUBSTITUTE(SUBSTITUTE(D76,"第",""),"层","")),_爬塔队伍!$D$2:$D$501)</f>
        <v/>
      </c>
      <c r="U76" s="74">
        <f>SUMIF(_爬塔队伍!$A$2:$A$501,VALUE(SUBSTITUTE(SUBSTITUTE(D76,"第",""),"层","")),_爬塔队伍!$E$2:$E$501)/COUNTIF(_爬塔队伍!$A$2:$A$501,VALUE(SUBSTITUTE(SUBSTITUTE(D76,"第",""),"层","")))</f>
        <v/>
      </c>
      <c r="V76" s="75">
        <f>IF($U76="","",MIN(0.75,$U76/($U76+24000)))</f>
        <v/>
      </c>
      <c r="W76" s="76">
        <f>SUMIF(_爬塔队伍!$A$2:$A$501,VALUE(SUBSTITUTE(SUBSTITUTE(D76,"第",""),"层","")),_爬塔队伍!$F$2:$F$501)</f>
        <v/>
      </c>
      <c r="X76" s="76">
        <f>IF(OR($W76="",$Q76="",$Q76=0),"",$W76/$Q76)</f>
        <v/>
      </c>
      <c r="Y76" s="76">
        <f>IF(OR($R76="",$T76="",$T76=0),"",$R76/($T76*IF($O76="",1,$O76)))</f>
        <v/>
      </c>
      <c r="Z76" s="77">
        <f>IF(OR($X76="",$P76="",$P76=0),"",$X76/$P76)</f>
        <v/>
      </c>
      <c r="AA76" s="27">
        <f>IF($J76="","待填怪物等级",IF(OR($I76="",$Q76=""),"待填对照关卡",IF($P76="","已计算",IF(AND($Y76&lt;&gt;"",$Y76&lt;$X76),"生存不成立",IF($Z76&lt;0.5,"碾压",IF($Z76&lt;0.8,"偏简单",IF($Z76&lt;=1.2,"适中",IF($Z76&lt;=1.5,"偏难","过难"))))))))</f>
        <v/>
      </c>
      <c r="AB76" s="27">
        <f>IF($J76="","待填",IF(AND(ISNUMBER($J76),$J76&gt;=1,$J76&lt;=500,MOD($J76,1)=0),"有效","超范围"))</f>
        <v/>
      </c>
      <c r="AC76" s="27">
        <f>IF(OR($J76="",ROW()=5,$B76&lt;&gt;$B75,$J75=""),"",IF($J76&lt;$J75,"下降",""))</f>
        <v/>
      </c>
      <c r="AD76" s="28" t="inlineStr">
        <is>
          <t>整队验算：S/T为五人总生命/总攻击，U为平均防御，W为逐人计算后求和EHP；倍率由爬塔专用源表执行。</t>
        </is>
      </c>
      <c r="AE76" t="n">
        <v>1410000</v>
      </c>
      <c r="AF76">
        <f>INDEX(_统一战力!$B$2:$B$501,J76)</f>
        <v/>
      </c>
    </row>
    <row r="77" ht="25" customHeight="1">
      <c r="A77" s="27" t="inlineStr">
        <is>
          <t>当前配置</t>
        </is>
      </c>
      <c r="B77" s="27" t="inlineStr">
        <is>
          <t>爬塔</t>
        </is>
      </c>
      <c r="C77" s="28" t="inlineStr">
        <is>
          <t>现行包体1</t>
        </is>
      </c>
      <c r="D77" s="28" t="inlineStr">
        <is>
          <t>第73层</t>
        </is>
      </c>
      <c r="E77" s="28" t="inlineStr">
        <is>
          <t>300074</t>
        </is>
      </c>
      <c r="F77" s="27" t="inlineStr">
        <is>
          <t>普通怪</t>
        </is>
      </c>
      <c r="G77" s="37" t="n">
        <v>201</v>
      </c>
      <c r="H77" s="38" t="n"/>
      <c r="I77" s="39">
        <f>IF($H77="",$G77,$H77)</f>
        <v/>
      </c>
      <c r="J77" s="40" t="n">
        <v>243</v>
      </c>
      <c r="K77" s="72" t="n">
        <v>1.14964544677452</v>
      </c>
      <c r="L77" s="72" t="n">
        <v>0.705293928317151</v>
      </c>
      <c r="M77" s="72" t="n">
        <v>1</v>
      </c>
      <c r="N77" s="73" t="n"/>
      <c r="O77" s="73" t="n"/>
      <c r="P77" s="73" t="n"/>
      <c r="Q77" s="74">
        <f>IF($I77="","",IFERROR(INDEX(_玩家曲线!$H$2:$H$286,MATCH($I77,_玩家曲线!$A$2:$A$286,0)),""))</f>
        <v/>
      </c>
      <c r="R77" s="74">
        <f>IF($I77="","",IFERROR(INDEX(_玩家曲线!$I$2:$I$286,MATCH($I77,_玩家曲线!$A$2:$A$286,0)),""))</f>
        <v/>
      </c>
      <c r="S77" s="74">
        <f>SUMIF(_爬塔队伍!$A$2:$A$501,VALUE(SUBSTITUTE(SUBSTITUTE(D77,"第",""),"层","")),_爬塔队伍!$C$2:$C$501)</f>
        <v/>
      </c>
      <c r="T77" s="74">
        <f>SUMIF(_爬塔队伍!$A$2:$A$501,VALUE(SUBSTITUTE(SUBSTITUTE(D77,"第",""),"层","")),_爬塔队伍!$D$2:$D$501)</f>
        <v/>
      </c>
      <c r="U77" s="74">
        <f>SUMIF(_爬塔队伍!$A$2:$A$501,VALUE(SUBSTITUTE(SUBSTITUTE(D77,"第",""),"层","")),_爬塔队伍!$E$2:$E$501)/COUNTIF(_爬塔队伍!$A$2:$A$501,VALUE(SUBSTITUTE(SUBSTITUTE(D77,"第",""),"层","")))</f>
        <v/>
      </c>
      <c r="V77" s="75">
        <f>IF($U77="","",MIN(0.75,$U77/($U77+24000)))</f>
        <v/>
      </c>
      <c r="W77" s="76">
        <f>SUMIF(_爬塔队伍!$A$2:$A$501,VALUE(SUBSTITUTE(SUBSTITUTE(D77,"第",""),"层","")),_爬塔队伍!$F$2:$F$501)</f>
        <v/>
      </c>
      <c r="X77" s="76">
        <f>IF(OR($W77="",$Q77="",$Q77=0),"",$W77/$Q77)</f>
        <v/>
      </c>
      <c r="Y77" s="76">
        <f>IF(OR($R77="",$T77="",$T77=0),"",$R77/($T77*IF($O77="",1,$O77)))</f>
        <v/>
      </c>
      <c r="Z77" s="77">
        <f>IF(OR($X77="",$P77="",$P77=0),"",$X77/$P77)</f>
        <v/>
      </c>
      <c r="AA77" s="27">
        <f>IF($J77="","待填怪物等级",IF(OR($I77="",$Q77=""),"待填对照关卡",IF($P77="","已计算",IF(AND($Y77&lt;&gt;"",$Y77&lt;$X77),"生存不成立",IF($Z77&lt;0.5,"碾压",IF($Z77&lt;0.8,"偏简单",IF($Z77&lt;=1.2,"适中",IF($Z77&lt;=1.5,"偏难","过难"))))))))</f>
        <v/>
      </c>
      <c r="AB77" s="27">
        <f>IF($J77="","待填",IF(AND(ISNUMBER($J77),$J77&gt;=1,$J77&lt;=500,MOD($J77,1)=0),"有效","超范围"))</f>
        <v/>
      </c>
      <c r="AC77" s="27">
        <f>IF(OR($J77="",ROW()=5,$B77&lt;&gt;$B76,$J76=""),"",IF($J77&lt;$J76,"下降",""))</f>
        <v/>
      </c>
      <c r="AD77" s="28" t="inlineStr">
        <is>
          <t>整队验算：S/T为五人总生命/总攻击，U为平均防御，W为逐人计算后求和EHP；倍率由爬塔专用源表执行。</t>
        </is>
      </c>
      <c r="AE77" t="n">
        <v>1440000</v>
      </c>
      <c r="AF77">
        <f>INDEX(_统一战力!$B$2:$B$501,J77)</f>
        <v/>
      </c>
    </row>
    <row r="78" ht="25" customHeight="1">
      <c r="A78" s="27" t="inlineStr">
        <is>
          <t>当前配置</t>
        </is>
      </c>
      <c r="B78" s="27" t="inlineStr">
        <is>
          <t>爬塔</t>
        </is>
      </c>
      <c r="C78" s="28" t="inlineStr">
        <is>
          <t>现行包体1</t>
        </is>
      </c>
      <c r="D78" s="28" t="inlineStr">
        <is>
          <t>第74层</t>
        </is>
      </c>
      <c r="E78" s="28" t="inlineStr">
        <is>
          <t>300075</t>
        </is>
      </c>
      <c r="F78" s="27" t="inlineStr">
        <is>
          <t>普通怪</t>
        </is>
      </c>
      <c r="G78" s="37" t="n">
        <v>204</v>
      </c>
      <c r="H78" s="38" t="n"/>
      <c r="I78" s="39">
        <f>IF($H78="",$G78,$H78)</f>
        <v/>
      </c>
      <c r="J78" s="40" t="n">
        <v>245</v>
      </c>
      <c r="K78" s="72" t="n">
        <v>1.14764130074927</v>
      </c>
      <c r="L78" s="72" t="n">
        <v>0.706038369536886</v>
      </c>
      <c r="M78" s="72" t="n">
        <v>1</v>
      </c>
      <c r="N78" s="73" t="n"/>
      <c r="O78" s="73" t="n"/>
      <c r="P78" s="73" t="n"/>
      <c r="Q78" s="74">
        <f>IF($I78="","",IFERROR(INDEX(_玩家曲线!$H$2:$H$286,MATCH($I78,_玩家曲线!$A$2:$A$286,0)),""))</f>
        <v/>
      </c>
      <c r="R78" s="74">
        <f>IF($I78="","",IFERROR(INDEX(_玩家曲线!$I$2:$I$286,MATCH($I78,_玩家曲线!$A$2:$A$286,0)),""))</f>
        <v/>
      </c>
      <c r="S78" s="74">
        <f>SUMIF(_爬塔队伍!$A$2:$A$501,VALUE(SUBSTITUTE(SUBSTITUTE(D78,"第",""),"层","")),_爬塔队伍!$C$2:$C$501)</f>
        <v/>
      </c>
      <c r="T78" s="74">
        <f>SUMIF(_爬塔队伍!$A$2:$A$501,VALUE(SUBSTITUTE(SUBSTITUTE(D78,"第",""),"层","")),_爬塔队伍!$D$2:$D$501)</f>
        <v/>
      </c>
      <c r="U78" s="74">
        <f>SUMIF(_爬塔队伍!$A$2:$A$501,VALUE(SUBSTITUTE(SUBSTITUTE(D78,"第",""),"层","")),_爬塔队伍!$E$2:$E$501)/COUNTIF(_爬塔队伍!$A$2:$A$501,VALUE(SUBSTITUTE(SUBSTITUTE(D78,"第",""),"层","")))</f>
        <v/>
      </c>
      <c r="V78" s="75">
        <f>IF($U78="","",MIN(0.75,$U78/($U78+24000)))</f>
        <v/>
      </c>
      <c r="W78" s="76">
        <f>SUMIF(_爬塔队伍!$A$2:$A$501,VALUE(SUBSTITUTE(SUBSTITUTE(D78,"第",""),"层","")),_爬塔队伍!$F$2:$F$501)</f>
        <v/>
      </c>
      <c r="X78" s="76">
        <f>IF(OR($W78="",$Q78="",$Q78=0),"",$W78/$Q78)</f>
        <v/>
      </c>
      <c r="Y78" s="76">
        <f>IF(OR($R78="",$T78="",$T78=0),"",$R78/($T78*IF($O78="",1,$O78)))</f>
        <v/>
      </c>
      <c r="Z78" s="77">
        <f>IF(OR($X78="",$P78="",$P78=0),"",$X78/$P78)</f>
        <v/>
      </c>
      <c r="AA78" s="27">
        <f>IF($J78="","待填怪物等级",IF(OR($I78="",$Q78=""),"待填对照关卡",IF($P78="","已计算",IF(AND($Y78&lt;&gt;"",$Y78&lt;$X78),"生存不成立",IF($Z78&lt;0.5,"碾压",IF($Z78&lt;0.8,"偏简单",IF($Z78&lt;=1.2,"适中",IF($Z78&lt;=1.5,"偏难","过难"))))))))</f>
        <v/>
      </c>
      <c r="AB78" s="27">
        <f>IF($J78="","待填",IF(AND(ISNUMBER($J78),$J78&gt;=1,$J78&lt;=500,MOD($J78,1)=0),"有效","超范围"))</f>
        <v/>
      </c>
      <c r="AC78" s="27">
        <f>IF(OR($J78="",ROW()=5,$B78&lt;&gt;$B77,$J77=""),"",IF($J78&lt;$J77,"下降",""))</f>
        <v/>
      </c>
      <c r="AD78" s="28" t="inlineStr">
        <is>
          <t>整队验算：S/T为五人总生命/总攻击，U为平均防御，W为逐人计算后求和EHP；倍率由爬塔专用源表执行。</t>
        </is>
      </c>
      <c r="AE78" t="n">
        <v>1460000</v>
      </c>
      <c r="AF78">
        <f>INDEX(_统一战力!$B$2:$B$501,J78)</f>
        <v/>
      </c>
    </row>
    <row r="79" ht="25" customHeight="1">
      <c r="A79" s="27" t="inlineStr">
        <is>
          <t>当前配置</t>
        </is>
      </c>
      <c r="B79" s="27" t="inlineStr">
        <is>
          <t>爬塔</t>
        </is>
      </c>
      <c r="C79" s="28" t="inlineStr">
        <is>
          <t>现行包体1</t>
        </is>
      </c>
      <c r="D79" s="28" t="inlineStr">
        <is>
          <t>第75层</t>
        </is>
      </c>
      <c r="E79" s="28" t="inlineStr">
        <is>
          <t>300076</t>
        </is>
      </c>
      <c r="F79" s="27" t="inlineStr">
        <is>
          <t>精英怪</t>
        </is>
      </c>
      <c r="G79" s="37" t="n">
        <v>206</v>
      </c>
      <c r="H79" s="38" t="n"/>
      <c r="I79" s="39">
        <f>IF($H79="",$G79,$H79)</f>
        <v/>
      </c>
      <c r="J79" s="40" t="n">
        <v>247</v>
      </c>
      <c r="K79" s="72" t="n">
        <v>1.14097617353198</v>
      </c>
      <c r="L79" s="72" t="n">
        <v>0.704144894316975</v>
      </c>
      <c r="M79" s="72" t="n">
        <v>1</v>
      </c>
      <c r="N79" s="73" t="n"/>
      <c r="O79" s="73" t="n"/>
      <c r="P79" s="73" t="n"/>
      <c r="Q79" s="74">
        <f>IF($I79="","",IFERROR(INDEX(_玩家曲线!$H$2:$H$286,MATCH($I79,_玩家曲线!$A$2:$A$286,0)),""))</f>
        <v/>
      </c>
      <c r="R79" s="74">
        <f>IF($I79="","",IFERROR(INDEX(_玩家曲线!$I$2:$I$286,MATCH($I79,_玩家曲线!$A$2:$A$286,0)),""))</f>
        <v/>
      </c>
      <c r="S79" s="74">
        <f>SUMIF(_爬塔队伍!$A$2:$A$501,VALUE(SUBSTITUTE(SUBSTITUTE(D79,"第",""),"层","")),_爬塔队伍!$C$2:$C$501)</f>
        <v/>
      </c>
      <c r="T79" s="74">
        <f>SUMIF(_爬塔队伍!$A$2:$A$501,VALUE(SUBSTITUTE(SUBSTITUTE(D79,"第",""),"层","")),_爬塔队伍!$D$2:$D$501)</f>
        <v/>
      </c>
      <c r="U79" s="74">
        <f>SUMIF(_爬塔队伍!$A$2:$A$501,VALUE(SUBSTITUTE(SUBSTITUTE(D79,"第",""),"层","")),_爬塔队伍!$E$2:$E$501)/COUNTIF(_爬塔队伍!$A$2:$A$501,VALUE(SUBSTITUTE(SUBSTITUTE(D79,"第",""),"层","")))</f>
        <v/>
      </c>
      <c r="V79" s="75">
        <f>IF($U79="","",MIN(0.75,$U79/($U79+24000)))</f>
        <v/>
      </c>
      <c r="W79" s="76">
        <f>SUMIF(_爬塔队伍!$A$2:$A$501,VALUE(SUBSTITUTE(SUBSTITUTE(D79,"第",""),"层","")),_爬塔队伍!$F$2:$F$501)</f>
        <v/>
      </c>
      <c r="X79" s="76">
        <f>IF(OR($W79="",$Q79="",$Q79=0),"",$W79/$Q79)</f>
        <v/>
      </c>
      <c r="Y79" s="76">
        <f>IF(OR($R79="",$T79="",$T79=0),"",$R79/($T79*IF($O79="",1,$O79)))</f>
        <v/>
      </c>
      <c r="Z79" s="77">
        <f>IF(OR($X79="",$P79="",$P79=0),"",$X79/$P79)</f>
        <v/>
      </c>
      <c r="AA79" s="27">
        <f>IF($J79="","待填怪物等级",IF(OR($I79="",$Q79=""),"待填对照关卡",IF($P79="","已计算",IF(AND($Y79&lt;&gt;"",$Y79&lt;$X79),"生存不成立",IF($Z79&lt;0.5,"碾压",IF($Z79&lt;0.8,"偏简单",IF($Z79&lt;=1.2,"适中",IF($Z79&lt;=1.5,"偏难","过难"))))))))</f>
        <v/>
      </c>
      <c r="AB79" s="27">
        <f>IF($J79="","待填",IF(AND(ISNUMBER($J79),$J79&gt;=1,$J79&lt;=500,MOD($J79,1)=0),"有效","超范围"))</f>
        <v/>
      </c>
      <c r="AC79" s="27">
        <f>IF(OR($J79="",ROW()=5,$B79&lt;&gt;$B78,$J78=""),"",IF($J79&lt;$J78,"下降",""))</f>
        <v/>
      </c>
      <c r="AD79" s="28" t="inlineStr">
        <is>
          <t>整队验算：S/T为五人总生命/总攻击，U为平均防御，W为逐人计算后求和EHP；倍率由爬塔专用源表执行。</t>
        </is>
      </c>
      <c r="AE79" t="n">
        <v>1480000</v>
      </c>
      <c r="AF79">
        <f>INDEX(_统一战力!$B$2:$B$501,J79)</f>
        <v/>
      </c>
    </row>
    <row r="80" ht="25" customHeight="1">
      <c r="A80" s="27" t="inlineStr">
        <is>
          <t>当前配置</t>
        </is>
      </c>
      <c r="B80" s="27" t="inlineStr">
        <is>
          <t>爬塔</t>
        </is>
      </c>
      <c r="C80" s="28" t="inlineStr">
        <is>
          <t>现行包体1</t>
        </is>
      </c>
      <c r="D80" s="28" t="inlineStr">
        <is>
          <t>第76层</t>
        </is>
      </c>
      <c r="E80" s="28" t="inlineStr">
        <is>
          <t>300077</t>
        </is>
      </c>
      <c r="F80" s="27" t="inlineStr">
        <is>
          <t>普通怪</t>
        </is>
      </c>
      <c r="G80" s="37" t="n">
        <v>209</v>
      </c>
      <c r="H80" s="38" t="n"/>
      <c r="I80" s="39">
        <f>IF($H80="",$G80,$H80)</f>
        <v/>
      </c>
      <c r="J80" s="40" t="n">
        <v>248</v>
      </c>
      <c r="K80" s="72" t="n">
        <v>1.15095555929854</v>
      </c>
      <c r="L80" s="72" t="n">
        <v>0.709458960168145</v>
      </c>
      <c r="M80" s="72" t="n">
        <v>1</v>
      </c>
      <c r="N80" s="73" t="n"/>
      <c r="O80" s="73" t="n"/>
      <c r="P80" s="73" t="n"/>
      <c r="Q80" s="74">
        <f>IF($I80="","",IFERROR(INDEX(_玩家曲线!$H$2:$H$286,MATCH($I80,_玩家曲线!$A$2:$A$286,0)),""))</f>
        <v/>
      </c>
      <c r="R80" s="74">
        <f>IF($I80="","",IFERROR(INDEX(_玩家曲线!$I$2:$I$286,MATCH($I80,_玩家曲线!$A$2:$A$286,0)),""))</f>
        <v/>
      </c>
      <c r="S80" s="74">
        <f>SUMIF(_爬塔队伍!$A$2:$A$501,VALUE(SUBSTITUTE(SUBSTITUTE(D80,"第",""),"层","")),_爬塔队伍!$C$2:$C$501)</f>
        <v/>
      </c>
      <c r="T80" s="74">
        <f>SUMIF(_爬塔队伍!$A$2:$A$501,VALUE(SUBSTITUTE(SUBSTITUTE(D80,"第",""),"层","")),_爬塔队伍!$D$2:$D$501)</f>
        <v/>
      </c>
      <c r="U80" s="74">
        <f>SUMIF(_爬塔队伍!$A$2:$A$501,VALUE(SUBSTITUTE(SUBSTITUTE(D80,"第",""),"层","")),_爬塔队伍!$E$2:$E$501)/COUNTIF(_爬塔队伍!$A$2:$A$501,VALUE(SUBSTITUTE(SUBSTITUTE(D80,"第",""),"层","")))</f>
        <v/>
      </c>
      <c r="V80" s="75">
        <f>IF($U80="","",MIN(0.75,$U80/($U80+24000)))</f>
        <v/>
      </c>
      <c r="W80" s="76">
        <f>SUMIF(_爬塔队伍!$A$2:$A$501,VALUE(SUBSTITUTE(SUBSTITUTE(D80,"第",""),"层","")),_爬塔队伍!$F$2:$F$501)</f>
        <v/>
      </c>
      <c r="X80" s="76">
        <f>IF(OR($W80="",$Q80="",$Q80=0),"",$W80/$Q80)</f>
        <v/>
      </c>
      <c r="Y80" s="76">
        <f>IF(OR($R80="",$T80="",$T80=0),"",$R80/($T80*IF($O80="",1,$O80)))</f>
        <v/>
      </c>
      <c r="Z80" s="77">
        <f>IF(OR($X80="",$P80="",$P80=0),"",$X80/$P80)</f>
        <v/>
      </c>
      <c r="AA80" s="27">
        <f>IF($J80="","待填怪物等级",IF(OR($I80="",$Q80=""),"待填对照关卡",IF($P80="","已计算",IF(AND($Y80&lt;&gt;"",$Y80&lt;$X80),"生存不成立",IF($Z80&lt;0.5,"碾压",IF($Z80&lt;0.8,"偏简单",IF($Z80&lt;=1.2,"适中",IF($Z80&lt;=1.5,"偏难","过难"))))))))</f>
        <v/>
      </c>
      <c r="AB80" s="27">
        <f>IF($J80="","待填",IF(AND(ISNUMBER($J80),$J80&gt;=1,$J80&lt;=500,MOD($J80,1)=0),"有效","超范围"))</f>
        <v/>
      </c>
      <c r="AC80" s="27">
        <f>IF(OR($J80="",ROW()=5,$B80&lt;&gt;$B79,$J79=""),"",IF($J80&lt;$J79,"下降",""))</f>
        <v/>
      </c>
      <c r="AD80" s="28" t="inlineStr">
        <is>
          <t>整队验算：S/T为五人总生命/总攻击，U为平均防御，W为逐人计算后求和EHP；倍率由爬塔专用源表执行。</t>
        </is>
      </c>
      <c r="AE80" t="n">
        <v>1500000</v>
      </c>
      <c r="AF80">
        <f>INDEX(_统一战力!$B$2:$B$501,J80)</f>
        <v/>
      </c>
    </row>
    <row r="81" ht="25" customHeight="1">
      <c r="A81" s="27" t="inlineStr">
        <is>
          <t>当前配置</t>
        </is>
      </c>
      <c r="B81" s="27" t="inlineStr">
        <is>
          <t>爬塔</t>
        </is>
      </c>
      <c r="C81" s="28" t="inlineStr">
        <is>
          <t>现行包体1</t>
        </is>
      </c>
      <c r="D81" s="28" t="inlineStr">
        <is>
          <t>第77层</t>
        </is>
      </c>
      <c r="E81" s="28" t="inlineStr">
        <is>
          <t>300078</t>
        </is>
      </c>
      <c r="F81" s="27" t="inlineStr">
        <is>
          <t>普通怪</t>
        </is>
      </c>
      <c r="G81" s="37" t="n">
        <v>212</v>
      </c>
      <c r="H81" s="38" t="n"/>
      <c r="I81" s="39">
        <f>IF($H81="",$G81,$H81)</f>
        <v/>
      </c>
      <c r="J81" s="40" t="n">
        <v>250</v>
      </c>
      <c r="K81" s="72" t="n">
        <v>1.14598555798442</v>
      </c>
      <c r="L81" s="72" t="n">
        <v>0.709106209627691</v>
      </c>
      <c r="M81" s="72" t="n">
        <v>1</v>
      </c>
      <c r="N81" s="73" t="n"/>
      <c r="O81" s="73" t="n"/>
      <c r="P81" s="73" t="n"/>
      <c r="Q81" s="74">
        <f>IF($I81="","",IFERROR(INDEX(_玩家曲线!$H$2:$H$286,MATCH($I81,_玩家曲线!$A$2:$A$286,0)),""))</f>
        <v/>
      </c>
      <c r="R81" s="74">
        <f>IF($I81="","",IFERROR(INDEX(_玩家曲线!$I$2:$I$286,MATCH($I81,_玩家曲线!$A$2:$A$286,0)),""))</f>
        <v/>
      </c>
      <c r="S81" s="74">
        <f>SUMIF(_爬塔队伍!$A$2:$A$501,VALUE(SUBSTITUTE(SUBSTITUTE(D81,"第",""),"层","")),_爬塔队伍!$C$2:$C$501)</f>
        <v/>
      </c>
      <c r="T81" s="74">
        <f>SUMIF(_爬塔队伍!$A$2:$A$501,VALUE(SUBSTITUTE(SUBSTITUTE(D81,"第",""),"层","")),_爬塔队伍!$D$2:$D$501)</f>
        <v/>
      </c>
      <c r="U81" s="74">
        <f>SUMIF(_爬塔队伍!$A$2:$A$501,VALUE(SUBSTITUTE(SUBSTITUTE(D81,"第",""),"层","")),_爬塔队伍!$E$2:$E$501)/COUNTIF(_爬塔队伍!$A$2:$A$501,VALUE(SUBSTITUTE(SUBSTITUTE(D81,"第",""),"层","")))</f>
        <v/>
      </c>
      <c r="V81" s="75">
        <f>IF($U81="","",MIN(0.75,$U81/($U81+24000)))</f>
        <v/>
      </c>
      <c r="W81" s="76">
        <f>SUMIF(_爬塔队伍!$A$2:$A$501,VALUE(SUBSTITUTE(SUBSTITUTE(D81,"第",""),"层","")),_爬塔队伍!$F$2:$F$501)</f>
        <v/>
      </c>
      <c r="X81" s="76">
        <f>IF(OR($W81="",$Q81="",$Q81=0),"",$W81/$Q81)</f>
        <v/>
      </c>
      <c r="Y81" s="76">
        <f>IF(OR($R81="",$T81="",$T81=0),"",$R81/($T81*IF($O81="",1,$O81)))</f>
        <v/>
      </c>
      <c r="Z81" s="77">
        <f>IF(OR($X81="",$P81="",$P81=0),"",$X81/$P81)</f>
        <v/>
      </c>
      <c r="AA81" s="27">
        <f>IF($J81="","待填怪物等级",IF(OR($I81="",$Q81=""),"待填对照关卡",IF($P81="","已计算",IF(AND($Y81&lt;&gt;"",$Y81&lt;$X81),"生存不成立",IF($Z81&lt;0.5,"碾压",IF($Z81&lt;0.8,"偏简单",IF($Z81&lt;=1.2,"适中",IF($Z81&lt;=1.5,"偏难","过难"))))))))</f>
        <v/>
      </c>
      <c r="AB81" s="27">
        <f>IF($J81="","待填",IF(AND(ISNUMBER($J81),$J81&gt;=1,$J81&lt;=500,MOD($J81,1)=0),"有效","超范围"))</f>
        <v/>
      </c>
      <c r="AC81" s="27">
        <f>IF(OR($J81="",ROW()=5,$B81&lt;&gt;$B80,$J80=""),"",IF($J81&lt;$J80,"下降",""))</f>
        <v/>
      </c>
      <c r="AD81" s="28" t="inlineStr">
        <is>
          <t>整队验算：S/T为五人总生命/总攻击，U为平均防御，W为逐人计算后求和EHP；倍率由爬塔专用源表执行。</t>
        </is>
      </c>
      <c r="AE81" t="n">
        <v>1520000</v>
      </c>
      <c r="AF81">
        <f>INDEX(_统一战力!$B$2:$B$501,J81)</f>
        <v/>
      </c>
    </row>
    <row r="82" ht="25" customHeight="1">
      <c r="A82" s="27" t="inlineStr">
        <is>
          <t>当前配置</t>
        </is>
      </c>
      <c r="B82" s="27" t="inlineStr">
        <is>
          <t>爬塔</t>
        </is>
      </c>
      <c r="C82" s="28" t="inlineStr">
        <is>
          <t>现行包体1</t>
        </is>
      </c>
      <c r="D82" s="28" t="inlineStr">
        <is>
          <t>第78层</t>
        </is>
      </c>
      <c r="E82" s="28" t="inlineStr">
        <is>
          <t>300079</t>
        </is>
      </c>
      <c r="F82" s="27" t="inlineStr">
        <is>
          <t>普通怪</t>
        </is>
      </c>
      <c r="G82" s="37" t="n">
        <v>215</v>
      </c>
      <c r="H82" s="38" t="n"/>
      <c r="I82" s="39">
        <f>IF($H82="",$G82,$H82)</f>
        <v/>
      </c>
      <c r="J82" s="40" t="n">
        <v>252</v>
      </c>
      <c r="K82" s="72" t="n">
        <v>1.1437216795143</v>
      </c>
      <c r="L82" s="72" t="n">
        <v>0.709659582620248</v>
      </c>
      <c r="M82" s="72" t="n">
        <v>1</v>
      </c>
      <c r="N82" s="73" t="n"/>
      <c r="O82" s="73" t="n"/>
      <c r="P82" s="73" t="n"/>
      <c r="Q82" s="74">
        <f>IF($I82="","",IFERROR(INDEX(_玩家曲线!$H$2:$H$286,MATCH($I82,_玩家曲线!$A$2:$A$286,0)),""))</f>
        <v/>
      </c>
      <c r="R82" s="74">
        <f>IF($I82="","",IFERROR(INDEX(_玩家曲线!$I$2:$I$286,MATCH($I82,_玩家曲线!$A$2:$A$286,0)),""))</f>
        <v/>
      </c>
      <c r="S82" s="74">
        <f>SUMIF(_爬塔队伍!$A$2:$A$501,VALUE(SUBSTITUTE(SUBSTITUTE(D82,"第",""),"层","")),_爬塔队伍!$C$2:$C$501)</f>
        <v/>
      </c>
      <c r="T82" s="74">
        <f>SUMIF(_爬塔队伍!$A$2:$A$501,VALUE(SUBSTITUTE(SUBSTITUTE(D82,"第",""),"层","")),_爬塔队伍!$D$2:$D$501)</f>
        <v/>
      </c>
      <c r="U82" s="74">
        <f>SUMIF(_爬塔队伍!$A$2:$A$501,VALUE(SUBSTITUTE(SUBSTITUTE(D82,"第",""),"层","")),_爬塔队伍!$E$2:$E$501)/COUNTIF(_爬塔队伍!$A$2:$A$501,VALUE(SUBSTITUTE(SUBSTITUTE(D82,"第",""),"层","")))</f>
        <v/>
      </c>
      <c r="V82" s="75">
        <f>IF($U82="","",MIN(0.75,$U82/($U82+24000)))</f>
        <v/>
      </c>
      <c r="W82" s="76">
        <f>SUMIF(_爬塔队伍!$A$2:$A$501,VALUE(SUBSTITUTE(SUBSTITUTE(D82,"第",""),"层","")),_爬塔队伍!$F$2:$F$501)</f>
        <v/>
      </c>
      <c r="X82" s="76">
        <f>IF(OR($W82="",$Q82="",$Q82=0),"",$W82/$Q82)</f>
        <v/>
      </c>
      <c r="Y82" s="76">
        <f>IF(OR($R82="",$T82="",$T82=0),"",$R82/($T82*IF($O82="",1,$O82)))</f>
        <v/>
      </c>
      <c r="Z82" s="77">
        <f>IF(OR($X82="",$P82="",$P82=0),"",$X82/$P82)</f>
        <v/>
      </c>
      <c r="AA82" s="27">
        <f>IF($J82="","待填怪物等级",IF(OR($I82="",$Q82=""),"待填对照关卡",IF($P82="","已计算",IF(AND($Y82&lt;&gt;"",$Y82&lt;$X82),"生存不成立",IF($Z82&lt;0.5,"碾压",IF($Z82&lt;0.8,"偏简单",IF($Z82&lt;=1.2,"适中",IF($Z82&lt;=1.5,"偏难","过难"))))))))</f>
        <v/>
      </c>
      <c r="AB82" s="27">
        <f>IF($J82="","待填",IF(AND(ISNUMBER($J82),$J82&gt;=1,$J82&lt;=500,MOD($J82,1)=0),"有效","超范围"))</f>
        <v/>
      </c>
      <c r="AC82" s="27">
        <f>IF(OR($J82="",ROW()=5,$B82&lt;&gt;$B81,$J81=""),"",IF($J82&lt;$J81,"下降",""))</f>
        <v/>
      </c>
      <c r="AD82" s="28" t="inlineStr">
        <is>
          <t>整队验算：S/T为五人总生命/总攻击，U为平均防御，W为逐人计算后求和EHP；倍率由爬塔专用源表执行。</t>
        </is>
      </c>
      <c r="AE82" t="n">
        <v>1550000</v>
      </c>
      <c r="AF82">
        <f>INDEX(_统一战力!$B$2:$B$501,J82)</f>
        <v/>
      </c>
    </row>
    <row r="83" ht="25" customHeight="1">
      <c r="A83" s="27" t="inlineStr">
        <is>
          <t>当前配置</t>
        </is>
      </c>
      <c r="B83" s="27" t="inlineStr">
        <is>
          <t>爬塔</t>
        </is>
      </c>
      <c r="C83" s="28" t="inlineStr">
        <is>
          <t>现行包体1</t>
        </is>
      </c>
      <c r="D83" s="28" t="inlineStr">
        <is>
          <t>第79层</t>
        </is>
      </c>
      <c r="E83" s="28" t="inlineStr">
        <is>
          <t>300080</t>
        </is>
      </c>
      <c r="F83" s="27" t="inlineStr">
        <is>
          <t>普通怪</t>
        </is>
      </c>
      <c r="G83" s="37" t="n">
        <v>218</v>
      </c>
      <c r="H83" s="38" t="n"/>
      <c r="I83" s="39">
        <f>IF($H83="",$G83,$H83)</f>
        <v/>
      </c>
      <c r="J83" s="40" t="n">
        <v>253</v>
      </c>
      <c r="K83" s="72" t="n">
        <v>1.14195974820678</v>
      </c>
      <c r="L83" s="72" t="n">
        <v>0.710411255433773</v>
      </c>
      <c r="M83" s="72" t="n">
        <v>1</v>
      </c>
      <c r="N83" s="73" t="n"/>
      <c r="O83" s="73" t="n"/>
      <c r="P83" s="73" t="n"/>
      <c r="Q83" s="74">
        <f>IF($I83="","",IFERROR(INDEX(_玩家曲线!$H$2:$H$286,MATCH($I83,_玩家曲线!$A$2:$A$286,0)),""))</f>
        <v/>
      </c>
      <c r="R83" s="74">
        <f>IF($I83="","",IFERROR(INDEX(_玩家曲线!$I$2:$I$286,MATCH($I83,_玩家曲线!$A$2:$A$286,0)),""))</f>
        <v/>
      </c>
      <c r="S83" s="74">
        <f>SUMIF(_爬塔队伍!$A$2:$A$501,VALUE(SUBSTITUTE(SUBSTITUTE(D83,"第",""),"层","")),_爬塔队伍!$C$2:$C$501)</f>
        <v/>
      </c>
      <c r="T83" s="74">
        <f>SUMIF(_爬塔队伍!$A$2:$A$501,VALUE(SUBSTITUTE(SUBSTITUTE(D83,"第",""),"层","")),_爬塔队伍!$D$2:$D$501)</f>
        <v/>
      </c>
      <c r="U83" s="74">
        <f>SUMIF(_爬塔队伍!$A$2:$A$501,VALUE(SUBSTITUTE(SUBSTITUTE(D83,"第",""),"层","")),_爬塔队伍!$E$2:$E$501)/COUNTIF(_爬塔队伍!$A$2:$A$501,VALUE(SUBSTITUTE(SUBSTITUTE(D83,"第",""),"层","")))</f>
        <v/>
      </c>
      <c r="V83" s="75">
        <f>IF($U83="","",MIN(0.75,$U83/($U83+24000)))</f>
        <v/>
      </c>
      <c r="W83" s="76">
        <f>SUMIF(_爬塔队伍!$A$2:$A$501,VALUE(SUBSTITUTE(SUBSTITUTE(D83,"第",""),"层","")),_爬塔队伍!$F$2:$F$501)</f>
        <v/>
      </c>
      <c r="X83" s="76">
        <f>IF(OR($W83="",$Q83="",$Q83=0),"",$W83/$Q83)</f>
        <v/>
      </c>
      <c r="Y83" s="76">
        <f>IF(OR($R83="",$T83="",$T83=0),"",$R83/($T83*IF($O83="",1,$O83)))</f>
        <v/>
      </c>
      <c r="Z83" s="77">
        <f>IF(OR($X83="",$P83="",$P83=0),"",$X83/$P83)</f>
        <v/>
      </c>
      <c r="AA83" s="27">
        <f>IF($J83="","待填怪物等级",IF(OR($I83="",$Q83=""),"待填对照关卡",IF($P83="","已计算",IF(AND($Y83&lt;&gt;"",$Y83&lt;$X83),"生存不成立",IF($Z83&lt;0.5,"碾压",IF($Z83&lt;0.8,"偏简单",IF($Z83&lt;=1.2,"适中",IF($Z83&lt;=1.5,"偏难","过难"))))))))</f>
        <v/>
      </c>
      <c r="AB83" s="27">
        <f>IF($J83="","待填",IF(AND(ISNUMBER($J83),$J83&gt;=1,$J83&lt;=500,MOD($J83,1)=0),"有效","超范围"))</f>
        <v/>
      </c>
      <c r="AC83" s="27">
        <f>IF(OR($J83="",ROW()=5,$B83&lt;&gt;$B82,$J82=""),"",IF($J83&lt;$J82,"下降",""))</f>
        <v/>
      </c>
      <c r="AD83" s="28" t="inlineStr">
        <is>
          <t>整队验算：S/T为五人总生命/总攻击，U为平均防御，W为逐人计算后求和EHP；倍率由爬塔专用源表执行。</t>
        </is>
      </c>
      <c r="AE83" t="n">
        <v>1560000</v>
      </c>
      <c r="AF83">
        <f>INDEX(_统一战力!$B$2:$B$501,J83)</f>
        <v/>
      </c>
    </row>
    <row r="84" ht="25" customHeight="1">
      <c r="A84" s="27" t="inlineStr">
        <is>
          <t>当前配置</t>
        </is>
      </c>
      <c r="B84" s="27" t="inlineStr">
        <is>
          <t>爬塔</t>
        </is>
      </c>
      <c r="C84" s="28" t="inlineStr">
        <is>
          <t>现行包体1</t>
        </is>
      </c>
      <c r="D84" s="28" t="inlineStr">
        <is>
          <t>第80层</t>
        </is>
      </c>
      <c r="E84" s="28" t="inlineStr">
        <is>
          <t>300081</t>
        </is>
      </c>
      <c r="F84" s="27" t="inlineStr">
        <is>
          <t>Boss</t>
        </is>
      </c>
      <c r="G84" s="37" t="n">
        <v>221</v>
      </c>
      <c r="H84" s="38" t="n"/>
      <c r="I84" s="39">
        <f>IF($H84="",$G84,$H84)</f>
        <v/>
      </c>
      <c r="J84" s="40" t="n">
        <v>255</v>
      </c>
      <c r="K84" s="72" t="n">
        <v>1.13937586492706</v>
      </c>
      <c r="L84" s="72" t="n">
        <v>0.71033240309006</v>
      </c>
      <c r="M84" s="72" t="n">
        <v>1</v>
      </c>
      <c r="N84" s="73" t="n"/>
      <c r="O84" s="73" t="n"/>
      <c r="P84" s="73" t="n"/>
      <c r="Q84" s="74">
        <f>IF($I84="","",IFERROR(INDEX(_玩家曲线!$H$2:$H$286,MATCH($I84,_玩家曲线!$A$2:$A$286,0)),""))</f>
        <v/>
      </c>
      <c r="R84" s="74">
        <f>IF($I84="","",IFERROR(INDEX(_玩家曲线!$I$2:$I$286,MATCH($I84,_玩家曲线!$A$2:$A$286,0)),""))</f>
        <v/>
      </c>
      <c r="S84" s="74">
        <f>SUMIF(_爬塔队伍!$A$2:$A$501,VALUE(SUBSTITUTE(SUBSTITUTE(D84,"第",""),"层","")),_爬塔队伍!$C$2:$C$501)</f>
        <v/>
      </c>
      <c r="T84" s="74">
        <f>SUMIF(_爬塔队伍!$A$2:$A$501,VALUE(SUBSTITUTE(SUBSTITUTE(D84,"第",""),"层","")),_爬塔队伍!$D$2:$D$501)</f>
        <v/>
      </c>
      <c r="U84" s="74">
        <f>SUMIF(_爬塔队伍!$A$2:$A$501,VALUE(SUBSTITUTE(SUBSTITUTE(D84,"第",""),"层","")),_爬塔队伍!$E$2:$E$501)/COUNTIF(_爬塔队伍!$A$2:$A$501,VALUE(SUBSTITUTE(SUBSTITUTE(D84,"第",""),"层","")))</f>
        <v/>
      </c>
      <c r="V84" s="75">
        <f>IF($U84="","",MIN(0.75,$U84/($U84+24000)))</f>
        <v/>
      </c>
      <c r="W84" s="76">
        <f>SUMIF(_爬塔队伍!$A$2:$A$501,VALUE(SUBSTITUTE(SUBSTITUTE(D84,"第",""),"层","")),_爬塔队伍!$F$2:$F$501)</f>
        <v/>
      </c>
      <c r="X84" s="76">
        <f>IF(OR($W84="",$Q84="",$Q84=0),"",$W84/$Q84)</f>
        <v/>
      </c>
      <c r="Y84" s="76">
        <f>IF(OR($R84="",$T84="",$T84=0),"",$R84/($T84*IF($O84="",1,$O84)))</f>
        <v/>
      </c>
      <c r="Z84" s="77">
        <f>IF(OR($X84="",$P84="",$P84=0),"",$X84/$P84)</f>
        <v/>
      </c>
      <c r="AA84" s="27">
        <f>IF($J84="","待填怪物等级",IF(OR($I84="",$Q84=""),"待填对照关卡",IF($P84="","已计算",IF(AND($Y84&lt;&gt;"",$Y84&lt;$X84),"生存不成立",IF($Z84&lt;0.5,"碾压",IF($Z84&lt;0.8,"偏简单",IF($Z84&lt;=1.2,"适中",IF($Z84&lt;=1.5,"偏难","过难"))))))))</f>
        <v/>
      </c>
      <c r="AB84" s="27">
        <f>IF($J84="","待填",IF(AND(ISNUMBER($J84),$J84&gt;=1,$J84&lt;=500,MOD($J84,1)=0),"有效","超范围"))</f>
        <v/>
      </c>
      <c r="AC84" s="27">
        <f>IF(OR($J84="",ROW()=5,$B84&lt;&gt;$B83,$J83=""),"",IF($J84&lt;$J83,"下降",""))</f>
        <v/>
      </c>
      <c r="AD84" s="28" t="inlineStr">
        <is>
          <t>整队验算：S/T为五人总生命/总攻击，U为平均防御，W为逐人计算后求和EHP；倍率由爬塔专用源表执行。</t>
        </is>
      </c>
      <c r="AE84" t="n">
        <v>1580000</v>
      </c>
      <c r="AF84">
        <f>INDEX(_统一战力!$B$2:$B$501,J84)</f>
        <v/>
      </c>
    </row>
    <row r="85" ht="25" customHeight="1">
      <c r="A85" s="27" t="inlineStr">
        <is>
          <t>当前配置</t>
        </is>
      </c>
      <c r="B85" s="27" t="inlineStr">
        <is>
          <t>爬塔</t>
        </is>
      </c>
      <c r="C85" s="28" t="inlineStr">
        <is>
          <t>现行包体1</t>
        </is>
      </c>
      <c r="D85" s="28" t="inlineStr">
        <is>
          <t>第81层</t>
        </is>
      </c>
      <c r="E85" s="28" t="inlineStr">
        <is>
          <t>300082</t>
        </is>
      </c>
      <c r="F85" s="27" t="inlineStr">
        <is>
          <t>普通怪</t>
        </is>
      </c>
      <c r="G85" s="37" t="n">
        <v>224</v>
      </c>
      <c r="H85" s="38" t="n"/>
      <c r="I85" s="39">
        <f>IF($H85="",$G85,$H85)</f>
        <v/>
      </c>
      <c r="J85" s="40" t="n">
        <v>256</v>
      </c>
      <c r="K85" s="72" t="n">
        <v>1.13516903460059</v>
      </c>
      <c r="L85" s="72" t="n">
        <v>0.71068884462461</v>
      </c>
      <c r="M85" s="72" t="n">
        <v>1</v>
      </c>
      <c r="N85" s="73" t="n"/>
      <c r="O85" s="73" t="n"/>
      <c r="P85" s="73" t="n"/>
      <c r="Q85" s="74">
        <f>IF($I85="","",IFERROR(INDEX(_玩家曲线!$H$2:$H$286,MATCH($I85,_玩家曲线!$A$2:$A$286,0)),""))</f>
        <v/>
      </c>
      <c r="R85" s="74">
        <f>IF($I85="","",IFERROR(INDEX(_玩家曲线!$I$2:$I$286,MATCH($I85,_玩家曲线!$A$2:$A$286,0)),""))</f>
        <v/>
      </c>
      <c r="S85" s="74">
        <f>SUMIF(_爬塔队伍!$A$2:$A$501,VALUE(SUBSTITUTE(SUBSTITUTE(D85,"第",""),"层","")),_爬塔队伍!$C$2:$C$501)</f>
        <v/>
      </c>
      <c r="T85" s="74">
        <f>SUMIF(_爬塔队伍!$A$2:$A$501,VALUE(SUBSTITUTE(SUBSTITUTE(D85,"第",""),"层","")),_爬塔队伍!$D$2:$D$501)</f>
        <v/>
      </c>
      <c r="U85" s="74">
        <f>SUMIF(_爬塔队伍!$A$2:$A$501,VALUE(SUBSTITUTE(SUBSTITUTE(D85,"第",""),"层","")),_爬塔队伍!$E$2:$E$501)/COUNTIF(_爬塔队伍!$A$2:$A$501,VALUE(SUBSTITUTE(SUBSTITUTE(D85,"第",""),"层","")))</f>
        <v/>
      </c>
      <c r="V85" s="75">
        <f>IF($U85="","",MIN(0.75,$U85/($U85+24000)))</f>
        <v/>
      </c>
      <c r="W85" s="76">
        <f>SUMIF(_爬塔队伍!$A$2:$A$501,VALUE(SUBSTITUTE(SUBSTITUTE(D85,"第",""),"层","")),_爬塔队伍!$F$2:$F$501)</f>
        <v/>
      </c>
      <c r="X85" s="76">
        <f>IF(OR($W85="",$Q85="",$Q85=0),"",$W85/$Q85)</f>
        <v/>
      </c>
      <c r="Y85" s="76">
        <f>IF(OR($R85="",$T85="",$T85=0),"",$R85/($T85*IF($O85="",1,$O85)))</f>
        <v/>
      </c>
      <c r="Z85" s="77">
        <f>IF(OR($X85="",$P85="",$P85=0),"",$X85/$P85)</f>
        <v/>
      </c>
      <c r="AA85" s="27">
        <f>IF($J85="","待填怪物等级",IF(OR($I85="",$Q85=""),"待填对照关卡",IF($P85="","已计算",IF(AND($Y85&lt;&gt;"",$Y85&lt;$X85),"生存不成立",IF($Z85&lt;0.5,"碾压",IF($Z85&lt;0.8,"偏简单",IF($Z85&lt;=1.2,"适中",IF($Z85&lt;=1.5,"偏难","过难"))))))))</f>
        <v/>
      </c>
      <c r="AB85" s="27">
        <f>IF($J85="","待填",IF(AND(ISNUMBER($J85),$J85&gt;=1,$J85&lt;=500,MOD($J85,1)=0),"有效","超范围"))</f>
        <v/>
      </c>
      <c r="AC85" s="27">
        <f>IF(OR($J85="",ROW()=5,$B85&lt;&gt;$B84,$J84=""),"",IF($J85&lt;$J84,"下降",""))</f>
        <v/>
      </c>
      <c r="AD85" s="28" t="inlineStr">
        <is>
          <t>整队验算：S/T为五人总生命/总攻击，U为平均防御，W为逐人计算后求和EHP；倍率由爬塔专用源表执行。</t>
        </is>
      </c>
      <c r="AE85" t="n">
        <v>1590000</v>
      </c>
      <c r="AF85">
        <f>INDEX(_统一战力!$B$2:$B$501,J85)</f>
        <v/>
      </c>
    </row>
    <row r="86" ht="25" customHeight="1">
      <c r="A86" s="27" t="inlineStr">
        <is>
          <t>当前配置</t>
        </is>
      </c>
      <c r="B86" s="27" t="inlineStr">
        <is>
          <t>爬塔</t>
        </is>
      </c>
      <c r="C86" s="28" t="inlineStr">
        <is>
          <t>现行包体1</t>
        </is>
      </c>
      <c r="D86" s="28" t="inlineStr">
        <is>
          <t>第82层</t>
        </is>
      </c>
      <c r="E86" s="28" t="inlineStr">
        <is>
          <t>300083</t>
        </is>
      </c>
      <c r="F86" s="27" t="inlineStr">
        <is>
          <t>普通怪</t>
        </is>
      </c>
      <c r="G86" s="37" t="n">
        <v>226</v>
      </c>
      <c r="H86" s="38" t="n"/>
      <c r="I86" s="39">
        <f>IF($H86="",$G86,$H86)</f>
        <v/>
      </c>
      <c r="J86" s="40" t="n">
        <v>258</v>
      </c>
      <c r="K86" s="72" t="n">
        <v>1.14237690480097</v>
      </c>
      <c r="L86" s="72" t="n">
        <v>0.714261041697692</v>
      </c>
      <c r="M86" s="72" t="n">
        <v>1</v>
      </c>
      <c r="N86" s="73" t="n"/>
      <c r="O86" s="73" t="n"/>
      <c r="P86" s="73" t="n"/>
      <c r="Q86" s="74">
        <f>IF($I86="","",IFERROR(INDEX(_玩家曲线!$H$2:$H$286,MATCH($I86,_玩家曲线!$A$2:$A$286,0)),""))</f>
        <v/>
      </c>
      <c r="R86" s="74">
        <f>IF($I86="","",IFERROR(INDEX(_玩家曲线!$I$2:$I$286,MATCH($I86,_玩家曲线!$A$2:$A$286,0)),""))</f>
        <v/>
      </c>
      <c r="S86" s="74">
        <f>SUMIF(_爬塔队伍!$A$2:$A$501,VALUE(SUBSTITUTE(SUBSTITUTE(D86,"第",""),"层","")),_爬塔队伍!$C$2:$C$501)</f>
        <v/>
      </c>
      <c r="T86" s="74">
        <f>SUMIF(_爬塔队伍!$A$2:$A$501,VALUE(SUBSTITUTE(SUBSTITUTE(D86,"第",""),"层","")),_爬塔队伍!$D$2:$D$501)</f>
        <v/>
      </c>
      <c r="U86" s="74">
        <f>SUMIF(_爬塔队伍!$A$2:$A$501,VALUE(SUBSTITUTE(SUBSTITUTE(D86,"第",""),"层","")),_爬塔队伍!$E$2:$E$501)/COUNTIF(_爬塔队伍!$A$2:$A$501,VALUE(SUBSTITUTE(SUBSTITUTE(D86,"第",""),"层","")))</f>
        <v/>
      </c>
      <c r="V86" s="75">
        <f>IF($U86="","",MIN(0.75,$U86/($U86+24000)))</f>
        <v/>
      </c>
      <c r="W86" s="76">
        <f>SUMIF(_爬塔队伍!$A$2:$A$501,VALUE(SUBSTITUTE(SUBSTITUTE(D86,"第",""),"层","")),_爬塔队伍!$F$2:$F$501)</f>
        <v/>
      </c>
      <c r="X86" s="76">
        <f>IF(OR($W86="",$Q86="",$Q86=0),"",$W86/$Q86)</f>
        <v/>
      </c>
      <c r="Y86" s="76">
        <f>IF(OR($R86="",$T86="",$T86=0),"",$R86/($T86*IF($O86="",1,$O86)))</f>
        <v/>
      </c>
      <c r="Z86" s="77">
        <f>IF(OR($X86="",$P86="",$P86=0),"",$X86/$P86)</f>
        <v/>
      </c>
      <c r="AA86" s="27">
        <f>IF($J86="","待填怪物等级",IF(OR($I86="",$Q86=""),"待填对照关卡",IF($P86="","已计算",IF(AND($Y86&lt;&gt;"",$Y86&lt;$X86),"生存不成立",IF($Z86&lt;0.5,"碾压",IF($Z86&lt;0.8,"偏简单",IF($Z86&lt;=1.2,"适中",IF($Z86&lt;=1.5,"偏难","过难"))))))))</f>
        <v/>
      </c>
      <c r="AB86" s="27">
        <f>IF($J86="","待填",IF(AND(ISNUMBER($J86),$J86&gt;=1,$J86&lt;=500,MOD($J86,1)=0),"有效","超范围"))</f>
        <v/>
      </c>
      <c r="AC86" s="27">
        <f>IF(OR($J86="",ROW()=5,$B86&lt;&gt;$B85,$J85=""),"",IF($J86&lt;$J85,"下降",""))</f>
        <v/>
      </c>
      <c r="AD86" s="28" t="inlineStr">
        <is>
          <t>整队验算：S/T为五人总生命/总攻击，U为平均防御，W为逐人计算后求和EHP；倍率由爬塔专用源表执行。</t>
        </is>
      </c>
      <c r="AE86" t="n">
        <v>1590000</v>
      </c>
      <c r="AF86">
        <f>INDEX(_统一战力!$B$2:$B$501,J86)</f>
        <v/>
      </c>
    </row>
    <row r="87" ht="25" customHeight="1">
      <c r="A87" s="27" t="inlineStr">
        <is>
          <t>当前配置</t>
        </is>
      </c>
      <c r="B87" s="27" t="inlineStr">
        <is>
          <t>爬塔</t>
        </is>
      </c>
      <c r="C87" s="28" t="inlineStr">
        <is>
          <t>现行包体1</t>
        </is>
      </c>
      <c r="D87" s="28" t="inlineStr">
        <is>
          <t>第83层</t>
        </is>
      </c>
      <c r="E87" s="28" t="inlineStr">
        <is>
          <t>300084</t>
        </is>
      </c>
      <c r="F87" s="27" t="inlineStr">
        <is>
          <t>普通怪</t>
        </is>
      </c>
      <c r="G87" s="37" t="n">
        <v>229</v>
      </c>
      <c r="H87" s="38" t="n"/>
      <c r="I87" s="39">
        <f>IF($H87="",$G87,$H87)</f>
        <v/>
      </c>
      <c r="J87" s="40" t="n">
        <v>259</v>
      </c>
      <c r="K87" s="72" t="n">
        <v>1.14045558732606</v>
      </c>
      <c r="L87" s="72" t="n">
        <v>0.71487507616831</v>
      </c>
      <c r="M87" s="72" t="n">
        <v>1</v>
      </c>
      <c r="N87" s="73" t="n"/>
      <c r="O87" s="73" t="n"/>
      <c r="P87" s="73" t="n"/>
      <c r="Q87" s="74">
        <f>IF($I87="","",IFERROR(INDEX(_玩家曲线!$H$2:$H$286,MATCH($I87,_玩家曲线!$A$2:$A$286,0)),""))</f>
        <v/>
      </c>
      <c r="R87" s="74">
        <f>IF($I87="","",IFERROR(INDEX(_玩家曲线!$I$2:$I$286,MATCH($I87,_玩家曲线!$A$2:$A$286,0)),""))</f>
        <v/>
      </c>
      <c r="S87" s="74">
        <f>SUMIF(_爬塔队伍!$A$2:$A$501,VALUE(SUBSTITUTE(SUBSTITUTE(D87,"第",""),"层","")),_爬塔队伍!$C$2:$C$501)</f>
        <v/>
      </c>
      <c r="T87" s="74">
        <f>SUMIF(_爬塔队伍!$A$2:$A$501,VALUE(SUBSTITUTE(SUBSTITUTE(D87,"第",""),"层","")),_爬塔队伍!$D$2:$D$501)</f>
        <v/>
      </c>
      <c r="U87" s="74">
        <f>SUMIF(_爬塔队伍!$A$2:$A$501,VALUE(SUBSTITUTE(SUBSTITUTE(D87,"第",""),"层","")),_爬塔队伍!$E$2:$E$501)/COUNTIF(_爬塔队伍!$A$2:$A$501,VALUE(SUBSTITUTE(SUBSTITUTE(D87,"第",""),"层","")))</f>
        <v/>
      </c>
      <c r="V87" s="75">
        <f>IF($U87="","",MIN(0.75,$U87/($U87+24000)))</f>
        <v/>
      </c>
      <c r="W87" s="76">
        <f>SUMIF(_爬塔队伍!$A$2:$A$501,VALUE(SUBSTITUTE(SUBSTITUTE(D87,"第",""),"层","")),_爬塔队伍!$F$2:$F$501)</f>
        <v/>
      </c>
      <c r="X87" s="76">
        <f>IF(OR($W87="",$Q87="",$Q87=0),"",$W87/$Q87)</f>
        <v/>
      </c>
      <c r="Y87" s="76">
        <f>IF(OR($R87="",$T87="",$T87=0),"",$R87/($T87*IF($O87="",1,$O87)))</f>
        <v/>
      </c>
      <c r="Z87" s="77">
        <f>IF(OR($X87="",$P87="",$P87=0),"",$X87/$P87)</f>
        <v/>
      </c>
      <c r="AA87" s="27">
        <f>IF($J87="","待填怪物等级",IF(OR($I87="",$Q87=""),"待填对照关卡",IF($P87="","已计算",IF(AND($Y87&lt;&gt;"",$Y87&lt;$X87),"生存不成立",IF($Z87&lt;0.5,"碾压",IF($Z87&lt;0.8,"偏简单",IF($Z87&lt;=1.2,"适中",IF($Z87&lt;=1.5,"偏难","过难"))))))))</f>
        <v/>
      </c>
      <c r="AB87" s="27">
        <f>IF($J87="","待填",IF(AND(ISNUMBER($J87),$J87&gt;=1,$J87&lt;=500,MOD($J87,1)=0),"有效","超范围"))</f>
        <v/>
      </c>
      <c r="AC87" s="27">
        <f>IF(OR($J87="",ROW()=5,$B87&lt;&gt;$B86,$J86=""),"",IF($J87&lt;$J86,"下降",""))</f>
        <v/>
      </c>
      <c r="AD87" s="28" t="inlineStr">
        <is>
          <t>整队验算：S/T为五人总生命/总攻击，U为平均防御，W为逐人计算后求和EHP；倍率由爬塔专用源表执行。</t>
        </is>
      </c>
      <c r="AE87" t="n">
        <v>1590000</v>
      </c>
      <c r="AF87">
        <f>INDEX(_统一战力!$B$2:$B$501,J87)</f>
        <v/>
      </c>
    </row>
    <row r="88" ht="25" customHeight="1">
      <c r="A88" s="27" t="inlineStr">
        <is>
          <t>当前配置</t>
        </is>
      </c>
      <c r="B88" s="27" t="inlineStr">
        <is>
          <t>爬塔</t>
        </is>
      </c>
      <c r="C88" s="28" t="inlineStr">
        <is>
          <t>现行包体1</t>
        </is>
      </c>
      <c r="D88" s="28" t="inlineStr">
        <is>
          <t>第84层</t>
        </is>
      </c>
      <c r="E88" s="28" t="inlineStr">
        <is>
          <t>300085</t>
        </is>
      </c>
      <c r="F88" s="27" t="inlineStr">
        <is>
          <t>普通怪</t>
        </is>
      </c>
      <c r="G88" s="37" t="n">
        <v>232</v>
      </c>
      <c r="H88" s="38" t="n"/>
      <c r="I88" s="39">
        <f>IF($H88="",$G88,$H88)</f>
        <v/>
      </c>
      <c r="J88" s="40" t="n">
        <v>260</v>
      </c>
      <c r="K88" s="72" t="n">
        <v>1.13893438601641</v>
      </c>
      <c r="L88" s="72" t="n">
        <v>0.715653212565403</v>
      </c>
      <c r="M88" s="72" t="n">
        <v>1</v>
      </c>
      <c r="N88" s="73" t="n"/>
      <c r="O88" s="73" t="n"/>
      <c r="P88" s="73" t="n"/>
      <c r="Q88" s="74">
        <f>IF($I88="","",IFERROR(INDEX(_玩家曲线!$H$2:$H$286,MATCH($I88,_玩家曲线!$A$2:$A$286,0)),""))</f>
        <v/>
      </c>
      <c r="R88" s="74">
        <f>IF($I88="","",IFERROR(INDEX(_玩家曲线!$I$2:$I$286,MATCH($I88,_玩家曲线!$A$2:$A$286,0)),""))</f>
        <v/>
      </c>
      <c r="S88" s="74">
        <f>SUMIF(_爬塔队伍!$A$2:$A$501,VALUE(SUBSTITUTE(SUBSTITUTE(D88,"第",""),"层","")),_爬塔队伍!$C$2:$C$501)</f>
        <v/>
      </c>
      <c r="T88" s="74">
        <f>SUMIF(_爬塔队伍!$A$2:$A$501,VALUE(SUBSTITUTE(SUBSTITUTE(D88,"第",""),"层","")),_爬塔队伍!$D$2:$D$501)</f>
        <v/>
      </c>
      <c r="U88" s="74">
        <f>SUMIF(_爬塔队伍!$A$2:$A$501,VALUE(SUBSTITUTE(SUBSTITUTE(D88,"第",""),"层","")),_爬塔队伍!$E$2:$E$501)/COUNTIF(_爬塔队伍!$A$2:$A$501,VALUE(SUBSTITUTE(SUBSTITUTE(D88,"第",""),"层","")))</f>
        <v/>
      </c>
      <c r="V88" s="75">
        <f>IF($U88="","",MIN(0.75,$U88/($U88+24000)))</f>
        <v/>
      </c>
      <c r="W88" s="76">
        <f>SUMIF(_爬塔队伍!$A$2:$A$501,VALUE(SUBSTITUTE(SUBSTITUTE(D88,"第",""),"层","")),_爬塔队伍!$F$2:$F$501)</f>
        <v/>
      </c>
      <c r="X88" s="76">
        <f>IF(OR($W88="",$Q88="",$Q88=0),"",$W88/$Q88)</f>
        <v/>
      </c>
      <c r="Y88" s="76">
        <f>IF(OR($R88="",$T88="",$T88=0),"",$R88/($T88*IF($O88="",1,$O88)))</f>
        <v/>
      </c>
      <c r="Z88" s="77">
        <f>IF(OR($X88="",$P88="",$P88=0),"",$X88/$P88)</f>
        <v/>
      </c>
      <c r="AA88" s="27">
        <f>IF($J88="","待填怪物等级",IF(OR($I88="",$Q88=""),"待填对照关卡",IF($P88="","已计算",IF(AND($Y88&lt;&gt;"",$Y88&lt;$X88),"生存不成立",IF($Z88&lt;0.5,"碾压",IF($Z88&lt;0.8,"偏简单",IF($Z88&lt;=1.2,"适中",IF($Z88&lt;=1.5,"偏难","过难"))))))))</f>
        <v/>
      </c>
      <c r="AB88" s="27">
        <f>IF($J88="","待填",IF(AND(ISNUMBER($J88),$J88&gt;=1,$J88&lt;=500,MOD($J88,1)=0),"有效","超范围"))</f>
        <v/>
      </c>
      <c r="AC88" s="27">
        <f>IF(OR($J88="",ROW()=5,$B88&lt;&gt;$B87,$J87=""),"",IF($J88&lt;$J87,"下降",""))</f>
        <v/>
      </c>
      <c r="AD88" s="28" t="inlineStr">
        <is>
          <t>整队验算：S/T为五人总生命/总攻击，U为平均防御，W为逐人计算后求和EHP；倍率由爬塔专用源表执行。</t>
        </is>
      </c>
      <c r="AE88" t="n">
        <v>1590000</v>
      </c>
      <c r="AF88">
        <f>INDEX(_统一战力!$B$2:$B$501,J88)</f>
        <v/>
      </c>
    </row>
    <row r="89" ht="25" customHeight="1">
      <c r="A89" s="27" t="inlineStr">
        <is>
          <t>当前配置</t>
        </is>
      </c>
      <c r="B89" s="27" t="inlineStr">
        <is>
          <t>爬塔</t>
        </is>
      </c>
      <c r="C89" s="28" t="inlineStr">
        <is>
          <t>现行包体1</t>
        </is>
      </c>
      <c r="D89" s="28" t="inlineStr">
        <is>
          <t>第85层</t>
        </is>
      </c>
      <c r="E89" s="28" t="inlineStr">
        <is>
          <t>300086</t>
        </is>
      </c>
      <c r="F89" s="27" t="inlineStr">
        <is>
          <t>精英怪</t>
        </is>
      </c>
      <c r="G89" s="37" t="n">
        <v>235</v>
      </c>
      <c r="H89" s="38" t="n"/>
      <c r="I89" s="39">
        <f>IF($H89="",$G89,$H89)</f>
        <v/>
      </c>
      <c r="J89" s="40" t="n">
        <v>262</v>
      </c>
      <c r="K89" s="72" t="n">
        <v>1.13820387945508</v>
      </c>
      <c r="L89" s="72" t="n">
        <v>0.716472850179096</v>
      </c>
      <c r="M89" s="72" t="n">
        <v>1</v>
      </c>
      <c r="N89" s="73" t="n"/>
      <c r="O89" s="73" t="n"/>
      <c r="P89" s="73" t="n"/>
      <c r="Q89" s="74">
        <f>IF($I89="","",IFERROR(INDEX(_玩家曲线!$H$2:$H$286,MATCH($I89,_玩家曲线!$A$2:$A$286,0)),""))</f>
        <v/>
      </c>
      <c r="R89" s="74">
        <f>IF($I89="","",IFERROR(INDEX(_玩家曲线!$I$2:$I$286,MATCH($I89,_玩家曲线!$A$2:$A$286,0)),""))</f>
        <v/>
      </c>
      <c r="S89" s="74">
        <f>SUMIF(_爬塔队伍!$A$2:$A$501,VALUE(SUBSTITUTE(SUBSTITUTE(D89,"第",""),"层","")),_爬塔队伍!$C$2:$C$501)</f>
        <v/>
      </c>
      <c r="T89" s="74">
        <f>SUMIF(_爬塔队伍!$A$2:$A$501,VALUE(SUBSTITUTE(SUBSTITUTE(D89,"第",""),"层","")),_爬塔队伍!$D$2:$D$501)</f>
        <v/>
      </c>
      <c r="U89" s="74">
        <f>SUMIF(_爬塔队伍!$A$2:$A$501,VALUE(SUBSTITUTE(SUBSTITUTE(D89,"第",""),"层","")),_爬塔队伍!$E$2:$E$501)/COUNTIF(_爬塔队伍!$A$2:$A$501,VALUE(SUBSTITUTE(SUBSTITUTE(D89,"第",""),"层","")))</f>
        <v/>
      </c>
      <c r="V89" s="75">
        <f>IF($U89="","",MIN(0.75,$U89/($U89+24000)))</f>
        <v/>
      </c>
      <c r="W89" s="76">
        <f>SUMIF(_爬塔队伍!$A$2:$A$501,VALUE(SUBSTITUTE(SUBSTITUTE(D89,"第",""),"层","")),_爬塔队伍!$F$2:$F$501)</f>
        <v/>
      </c>
      <c r="X89" s="76">
        <f>IF(OR($W89="",$Q89="",$Q89=0),"",$W89/$Q89)</f>
        <v/>
      </c>
      <c r="Y89" s="76">
        <f>IF(OR($R89="",$T89="",$T89=0),"",$R89/($T89*IF($O89="",1,$O89)))</f>
        <v/>
      </c>
      <c r="Z89" s="77">
        <f>IF(OR($X89="",$P89="",$P89=0),"",$X89/$P89)</f>
        <v/>
      </c>
      <c r="AA89" s="27">
        <f>IF($J89="","待填怪物等级",IF(OR($I89="",$Q89=""),"待填对照关卡",IF($P89="","已计算",IF(AND($Y89&lt;&gt;"",$Y89&lt;$X89),"生存不成立",IF($Z89&lt;0.5,"碾压",IF($Z89&lt;0.8,"偏简单",IF($Z89&lt;=1.2,"适中",IF($Z89&lt;=1.5,"偏难","过难"))))))))</f>
        <v/>
      </c>
      <c r="AB89" s="27">
        <f>IF($J89="","待填",IF(AND(ISNUMBER($J89),$J89&gt;=1,$J89&lt;=500,MOD($J89,1)=0),"有效","超范围"))</f>
        <v/>
      </c>
      <c r="AC89" s="27">
        <f>IF(OR($J89="",ROW()=5,$B89&lt;&gt;$B88,$J88=""),"",IF($J89&lt;$J88,"下降",""))</f>
        <v/>
      </c>
      <c r="AD89" s="28" t="inlineStr">
        <is>
          <t>整队验算：S/T为五人总生命/总攻击，U为平均防御，W为逐人计算后求和EHP；倍率由爬塔专用源表执行。</t>
        </is>
      </c>
      <c r="AE89" t="n">
        <v>1590000</v>
      </c>
      <c r="AF89">
        <f>INDEX(_统一战力!$B$2:$B$501,J89)</f>
        <v/>
      </c>
    </row>
    <row r="90" ht="25" customHeight="1">
      <c r="A90" s="27" t="inlineStr">
        <is>
          <t>当前配置</t>
        </is>
      </c>
      <c r="B90" s="27" t="inlineStr">
        <is>
          <t>爬塔</t>
        </is>
      </c>
      <c r="C90" s="28" t="inlineStr">
        <is>
          <t>现行包体1</t>
        </is>
      </c>
      <c r="D90" s="28" t="inlineStr">
        <is>
          <t>第86层</t>
        </is>
      </c>
      <c r="E90" s="28" t="inlineStr">
        <is>
          <t>300087</t>
        </is>
      </c>
      <c r="F90" s="27" t="inlineStr">
        <is>
          <t>普通怪</t>
        </is>
      </c>
      <c r="G90" s="37" t="n">
        <v>238</v>
      </c>
      <c r="H90" s="38" t="n"/>
      <c r="I90" s="39">
        <f>IF($H90="",$G90,$H90)</f>
        <v/>
      </c>
      <c r="J90" s="40" t="n">
        <v>263</v>
      </c>
      <c r="K90" s="72" t="n">
        <v>1.13539899541223</v>
      </c>
      <c r="L90" s="72" t="n">
        <v>0.71695098708435</v>
      </c>
      <c r="M90" s="72" t="n">
        <v>1</v>
      </c>
      <c r="N90" s="73" t="n"/>
      <c r="O90" s="73" t="n"/>
      <c r="P90" s="73" t="n"/>
      <c r="Q90" s="74">
        <f>IF($I90="","",IFERROR(INDEX(_玩家曲线!$H$2:$H$286,MATCH($I90,_玩家曲线!$A$2:$A$286,0)),""))</f>
        <v/>
      </c>
      <c r="R90" s="74">
        <f>IF($I90="","",IFERROR(INDEX(_玩家曲线!$I$2:$I$286,MATCH($I90,_玩家曲线!$A$2:$A$286,0)),""))</f>
        <v/>
      </c>
      <c r="S90" s="74">
        <f>SUMIF(_爬塔队伍!$A$2:$A$501,VALUE(SUBSTITUTE(SUBSTITUTE(D90,"第",""),"层","")),_爬塔队伍!$C$2:$C$501)</f>
        <v/>
      </c>
      <c r="T90" s="74">
        <f>SUMIF(_爬塔队伍!$A$2:$A$501,VALUE(SUBSTITUTE(SUBSTITUTE(D90,"第",""),"层","")),_爬塔队伍!$D$2:$D$501)</f>
        <v/>
      </c>
      <c r="U90" s="74">
        <f>SUMIF(_爬塔队伍!$A$2:$A$501,VALUE(SUBSTITUTE(SUBSTITUTE(D90,"第",""),"层","")),_爬塔队伍!$E$2:$E$501)/COUNTIF(_爬塔队伍!$A$2:$A$501,VALUE(SUBSTITUTE(SUBSTITUTE(D90,"第",""),"层","")))</f>
        <v/>
      </c>
      <c r="V90" s="75">
        <f>IF($U90="","",MIN(0.75,$U90/($U90+24000)))</f>
        <v/>
      </c>
      <c r="W90" s="76">
        <f>SUMIF(_爬塔队伍!$A$2:$A$501,VALUE(SUBSTITUTE(SUBSTITUTE(D90,"第",""),"层","")),_爬塔队伍!$F$2:$F$501)</f>
        <v/>
      </c>
      <c r="X90" s="76">
        <f>IF(OR($W90="",$Q90="",$Q90=0),"",$W90/$Q90)</f>
        <v/>
      </c>
      <c r="Y90" s="76">
        <f>IF(OR($R90="",$T90="",$T90=0),"",$R90/($T90*IF($O90="",1,$O90)))</f>
        <v/>
      </c>
      <c r="Z90" s="77">
        <f>IF(OR($X90="",$P90="",$P90=0),"",$X90/$P90)</f>
        <v/>
      </c>
      <c r="AA90" s="27">
        <f>IF($J90="","待填怪物等级",IF(OR($I90="",$Q90=""),"待填对照关卡",IF($P90="","已计算",IF(AND($Y90&lt;&gt;"",$Y90&lt;$X90),"生存不成立",IF($Z90&lt;0.5,"碾压",IF($Z90&lt;0.8,"偏简单",IF($Z90&lt;=1.2,"适中",IF($Z90&lt;=1.5,"偏难","过难"))))))))</f>
        <v/>
      </c>
      <c r="AB90" s="27">
        <f>IF($J90="","待填",IF(AND(ISNUMBER($J90),$J90&gt;=1,$J90&lt;=500,MOD($J90,1)=0),"有效","超范围"))</f>
        <v/>
      </c>
      <c r="AC90" s="27">
        <f>IF(OR($J90="",ROW()=5,$B90&lt;&gt;$B89,$J89=""),"",IF($J90&lt;$J89,"下降",""))</f>
        <v/>
      </c>
      <c r="AD90" s="28" t="inlineStr">
        <is>
          <t>整队验算：S/T为五人总生命/总攻击，U为平均防御，W为逐人计算后求和EHP；倍率由爬塔专用源表执行。</t>
        </is>
      </c>
      <c r="AE90" t="n">
        <v>1590000</v>
      </c>
      <c r="AF90">
        <f>INDEX(_统一战力!$B$2:$B$501,J90)</f>
        <v/>
      </c>
    </row>
    <row r="91" ht="25" customHeight="1">
      <c r="A91" s="27" t="inlineStr">
        <is>
          <t>当前配置</t>
        </is>
      </c>
      <c r="B91" s="27" t="inlineStr">
        <is>
          <t>爬塔</t>
        </is>
      </c>
      <c r="C91" s="28" t="inlineStr">
        <is>
          <t>现行包体1</t>
        </is>
      </c>
      <c r="D91" s="28" t="inlineStr">
        <is>
          <t>第87层</t>
        </is>
      </c>
      <c r="E91" s="28" t="inlineStr">
        <is>
          <t>300088</t>
        </is>
      </c>
      <c r="F91" s="27" t="inlineStr">
        <is>
          <t>普通怪</t>
        </is>
      </c>
      <c r="G91" s="37" t="n">
        <v>241</v>
      </c>
      <c r="H91" s="38" t="n"/>
      <c r="I91" s="39">
        <f>IF($H91="",$G91,$H91)</f>
        <v/>
      </c>
      <c r="J91" s="40" t="n">
        <v>264</v>
      </c>
      <c r="K91" s="72" t="n">
        <v>1.13360094353639</v>
      </c>
      <c r="L91" s="72" t="n">
        <v>0.717577777705241</v>
      </c>
      <c r="M91" s="72" t="n">
        <v>1</v>
      </c>
      <c r="N91" s="73" t="n"/>
      <c r="O91" s="73" t="n"/>
      <c r="P91" s="73" t="n"/>
      <c r="Q91" s="74">
        <f>IF($I91="","",IFERROR(INDEX(_玩家曲线!$H$2:$H$286,MATCH($I91,_玩家曲线!$A$2:$A$286,0)),""))</f>
        <v/>
      </c>
      <c r="R91" s="74">
        <f>IF($I91="","",IFERROR(INDEX(_玩家曲线!$I$2:$I$286,MATCH($I91,_玩家曲线!$A$2:$A$286,0)),""))</f>
        <v/>
      </c>
      <c r="S91" s="74">
        <f>SUMIF(_爬塔队伍!$A$2:$A$501,VALUE(SUBSTITUTE(SUBSTITUTE(D91,"第",""),"层","")),_爬塔队伍!$C$2:$C$501)</f>
        <v/>
      </c>
      <c r="T91" s="74">
        <f>SUMIF(_爬塔队伍!$A$2:$A$501,VALUE(SUBSTITUTE(SUBSTITUTE(D91,"第",""),"层","")),_爬塔队伍!$D$2:$D$501)</f>
        <v/>
      </c>
      <c r="U91" s="74">
        <f>SUMIF(_爬塔队伍!$A$2:$A$501,VALUE(SUBSTITUTE(SUBSTITUTE(D91,"第",""),"层","")),_爬塔队伍!$E$2:$E$501)/COUNTIF(_爬塔队伍!$A$2:$A$501,VALUE(SUBSTITUTE(SUBSTITUTE(D91,"第",""),"层","")))</f>
        <v/>
      </c>
      <c r="V91" s="75">
        <f>IF($U91="","",MIN(0.75,$U91/($U91+24000)))</f>
        <v/>
      </c>
      <c r="W91" s="76">
        <f>SUMIF(_爬塔队伍!$A$2:$A$501,VALUE(SUBSTITUTE(SUBSTITUTE(D91,"第",""),"层","")),_爬塔队伍!$F$2:$F$501)</f>
        <v/>
      </c>
      <c r="X91" s="76">
        <f>IF(OR($W91="",$Q91="",$Q91=0),"",$W91/$Q91)</f>
        <v/>
      </c>
      <c r="Y91" s="76">
        <f>IF(OR($R91="",$T91="",$T91=0),"",$R91/($T91*IF($O91="",1,$O91)))</f>
        <v/>
      </c>
      <c r="Z91" s="77">
        <f>IF(OR($X91="",$P91="",$P91=0),"",$X91/$P91)</f>
        <v/>
      </c>
      <c r="AA91" s="27">
        <f>IF($J91="","待填怪物等级",IF(OR($I91="",$Q91=""),"待填对照关卡",IF($P91="","已计算",IF(AND($Y91&lt;&gt;"",$Y91&lt;$X91),"生存不成立",IF($Z91&lt;0.5,"碾压",IF($Z91&lt;0.8,"偏简单",IF($Z91&lt;=1.2,"适中",IF($Z91&lt;=1.5,"偏难","过难"))))))))</f>
        <v/>
      </c>
      <c r="AB91" s="27">
        <f>IF($J91="","待填",IF(AND(ISNUMBER($J91),$J91&gt;=1,$J91&lt;=500,MOD($J91,1)=0),"有效","超范围"))</f>
        <v/>
      </c>
      <c r="AC91" s="27">
        <f>IF(OR($J91="",ROW()=5,$B91&lt;&gt;$B90,$J90=""),"",IF($J91&lt;$J90,"下降",""))</f>
        <v/>
      </c>
      <c r="AD91" s="28" t="inlineStr">
        <is>
          <t>整队验算：S/T为五人总生命/总攻击，U为平均防御，W为逐人计算后求和EHP；倍率由爬塔专用源表执行。</t>
        </is>
      </c>
      <c r="AE91" t="n">
        <v>1590000</v>
      </c>
      <c r="AF91">
        <f>INDEX(_统一战力!$B$2:$B$501,J91)</f>
        <v/>
      </c>
    </row>
    <row r="92" ht="25" customHeight="1">
      <c r="A92" s="27" t="inlineStr">
        <is>
          <t>当前配置</t>
        </is>
      </c>
      <c r="B92" s="27" t="inlineStr">
        <is>
          <t>爬塔</t>
        </is>
      </c>
      <c r="C92" s="28" t="inlineStr">
        <is>
          <t>现行包体1</t>
        </is>
      </c>
      <c r="D92" s="28" t="inlineStr">
        <is>
          <t>第88层</t>
        </is>
      </c>
      <c r="E92" s="28" t="inlineStr">
        <is>
          <t>300089</t>
        </is>
      </c>
      <c r="F92" s="27" t="inlineStr">
        <is>
          <t>普通怪</t>
        </is>
      </c>
      <c r="G92" s="37" t="n">
        <v>244</v>
      </c>
      <c r="H92" s="38" t="n"/>
      <c r="I92" s="39">
        <f>IF($H92="",$G92,$H92)</f>
        <v/>
      </c>
      <c r="J92" s="40" t="n">
        <v>265</v>
      </c>
      <c r="K92" s="72" t="n">
        <v>1.13213506165938</v>
      </c>
      <c r="L92" s="72" t="n">
        <v>0.71829746259604</v>
      </c>
      <c r="M92" s="72" t="n">
        <v>1</v>
      </c>
      <c r="N92" s="73" t="n"/>
      <c r="O92" s="73" t="n"/>
      <c r="P92" s="73" t="n"/>
      <c r="Q92" s="74">
        <f>IF($I92="","",IFERROR(INDEX(_玩家曲线!$H$2:$H$286,MATCH($I92,_玩家曲线!$A$2:$A$286,0)),""))</f>
        <v/>
      </c>
      <c r="R92" s="74">
        <f>IF($I92="","",IFERROR(INDEX(_玩家曲线!$I$2:$I$286,MATCH($I92,_玩家曲线!$A$2:$A$286,0)),""))</f>
        <v/>
      </c>
      <c r="S92" s="74">
        <f>SUMIF(_爬塔队伍!$A$2:$A$501,VALUE(SUBSTITUTE(SUBSTITUTE(D92,"第",""),"层","")),_爬塔队伍!$C$2:$C$501)</f>
        <v/>
      </c>
      <c r="T92" s="74">
        <f>SUMIF(_爬塔队伍!$A$2:$A$501,VALUE(SUBSTITUTE(SUBSTITUTE(D92,"第",""),"层","")),_爬塔队伍!$D$2:$D$501)</f>
        <v/>
      </c>
      <c r="U92" s="74">
        <f>SUMIF(_爬塔队伍!$A$2:$A$501,VALUE(SUBSTITUTE(SUBSTITUTE(D92,"第",""),"层","")),_爬塔队伍!$E$2:$E$501)/COUNTIF(_爬塔队伍!$A$2:$A$501,VALUE(SUBSTITUTE(SUBSTITUTE(D92,"第",""),"层","")))</f>
        <v/>
      </c>
      <c r="V92" s="75">
        <f>IF($U92="","",MIN(0.75,$U92/($U92+24000)))</f>
        <v/>
      </c>
      <c r="W92" s="76">
        <f>SUMIF(_爬塔队伍!$A$2:$A$501,VALUE(SUBSTITUTE(SUBSTITUTE(D92,"第",""),"层","")),_爬塔队伍!$F$2:$F$501)</f>
        <v/>
      </c>
      <c r="X92" s="76">
        <f>IF(OR($W92="",$Q92="",$Q92=0),"",$W92/$Q92)</f>
        <v/>
      </c>
      <c r="Y92" s="76">
        <f>IF(OR($R92="",$T92="",$T92=0),"",$R92/($T92*IF($O92="",1,$O92)))</f>
        <v/>
      </c>
      <c r="Z92" s="77">
        <f>IF(OR($X92="",$P92="",$P92=0),"",$X92/$P92)</f>
        <v/>
      </c>
      <c r="AA92" s="27">
        <f>IF($J92="","待填怪物等级",IF(OR($I92="",$Q92=""),"待填对照关卡",IF($P92="","已计算",IF(AND($Y92&lt;&gt;"",$Y92&lt;$X92),"生存不成立",IF($Z92&lt;0.5,"碾压",IF($Z92&lt;0.8,"偏简单",IF($Z92&lt;=1.2,"适中",IF($Z92&lt;=1.5,"偏难","过难"))))))))</f>
        <v/>
      </c>
      <c r="AB92" s="27">
        <f>IF($J92="","待填",IF(AND(ISNUMBER($J92),$J92&gt;=1,$J92&lt;=500,MOD($J92,1)=0),"有效","超范围"))</f>
        <v/>
      </c>
      <c r="AC92" s="27">
        <f>IF(OR($J92="",ROW()=5,$B92&lt;&gt;$B91,$J91=""),"",IF($J92&lt;$J91,"下降",""))</f>
        <v/>
      </c>
      <c r="AD92" s="28" t="inlineStr">
        <is>
          <t>整队验算：S/T为五人总生命/总攻击，U为平均防御，W为逐人计算后求和EHP；倍率由爬塔专用源表执行。</t>
        </is>
      </c>
      <c r="AE92" t="n">
        <v>1590000</v>
      </c>
      <c r="AF92">
        <f>INDEX(_统一战力!$B$2:$B$501,J92)</f>
        <v/>
      </c>
    </row>
    <row r="93" ht="25" customHeight="1">
      <c r="A93" s="27" t="inlineStr">
        <is>
          <t>当前配置</t>
        </is>
      </c>
      <c r="B93" s="27" t="inlineStr">
        <is>
          <t>爬塔</t>
        </is>
      </c>
      <c r="C93" s="28" t="inlineStr">
        <is>
          <t>现行包体1</t>
        </is>
      </c>
      <c r="D93" s="28" t="inlineStr">
        <is>
          <t>第89层</t>
        </is>
      </c>
      <c r="E93" s="28" t="inlineStr">
        <is>
          <t>300090</t>
        </is>
      </c>
      <c r="F93" s="27" t="inlineStr">
        <is>
          <t>普通怪</t>
        </is>
      </c>
      <c r="G93" s="37" t="n">
        <v>247</v>
      </c>
      <c r="H93" s="38" t="n"/>
      <c r="I93" s="39">
        <f>IF($H93="",$G93,$H93)</f>
        <v/>
      </c>
      <c r="J93" s="40" t="n">
        <v>267</v>
      </c>
      <c r="K93" s="72" t="n">
        <v>1.13094203277441</v>
      </c>
      <c r="L93" s="72" t="n">
        <v>0.71917640662023</v>
      </c>
      <c r="M93" s="72" t="n">
        <v>1</v>
      </c>
      <c r="N93" s="73" t="n"/>
      <c r="O93" s="73" t="n"/>
      <c r="P93" s="73" t="n"/>
      <c r="Q93" s="74">
        <f>IF($I93="","",IFERROR(INDEX(_玩家曲线!$H$2:$H$286,MATCH($I93,_玩家曲线!$A$2:$A$286,0)),""))</f>
        <v/>
      </c>
      <c r="R93" s="74">
        <f>IF($I93="","",IFERROR(INDEX(_玩家曲线!$I$2:$I$286,MATCH($I93,_玩家曲线!$A$2:$A$286,0)),""))</f>
        <v/>
      </c>
      <c r="S93" s="74">
        <f>SUMIF(_爬塔队伍!$A$2:$A$501,VALUE(SUBSTITUTE(SUBSTITUTE(D93,"第",""),"层","")),_爬塔队伍!$C$2:$C$501)</f>
        <v/>
      </c>
      <c r="T93" s="74">
        <f>SUMIF(_爬塔队伍!$A$2:$A$501,VALUE(SUBSTITUTE(SUBSTITUTE(D93,"第",""),"层","")),_爬塔队伍!$D$2:$D$501)</f>
        <v/>
      </c>
      <c r="U93" s="74">
        <f>SUMIF(_爬塔队伍!$A$2:$A$501,VALUE(SUBSTITUTE(SUBSTITUTE(D93,"第",""),"层","")),_爬塔队伍!$E$2:$E$501)/COUNTIF(_爬塔队伍!$A$2:$A$501,VALUE(SUBSTITUTE(SUBSTITUTE(D93,"第",""),"层","")))</f>
        <v/>
      </c>
      <c r="V93" s="75">
        <f>IF($U93="","",MIN(0.75,$U93/($U93+24000)))</f>
        <v/>
      </c>
      <c r="W93" s="76">
        <f>SUMIF(_爬塔队伍!$A$2:$A$501,VALUE(SUBSTITUTE(SUBSTITUTE(D93,"第",""),"层","")),_爬塔队伍!$F$2:$F$501)</f>
        <v/>
      </c>
      <c r="X93" s="76">
        <f>IF(OR($W93="",$Q93="",$Q93=0),"",$W93/$Q93)</f>
        <v/>
      </c>
      <c r="Y93" s="76">
        <f>IF(OR($R93="",$T93="",$T93=0),"",$R93/($T93*IF($O93="",1,$O93)))</f>
        <v/>
      </c>
      <c r="Z93" s="77">
        <f>IF(OR($X93="",$P93="",$P93=0),"",$X93/$P93)</f>
        <v/>
      </c>
      <c r="AA93" s="27">
        <f>IF($J93="","待填怪物等级",IF(OR($I93="",$Q93=""),"待填对照关卡",IF($P93="","已计算",IF(AND($Y93&lt;&gt;"",$Y93&lt;$X93),"生存不成立",IF($Z93&lt;0.5,"碾压",IF($Z93&lt;0.8,"偏简单",IF($Z93&lt;=1.2,"适中",IF($Z93&lt;=1.5,"偏难","过难"))))))))</f>
        <v/>
      </c>
      <c r="AB93" s="27">
        <f>IF($J93="","待填",IF(AND(ISNUMBER($J93),$J93&gt;=1,$J93&lt;=500,MOD($J93,1)=0),"有效","超范围"))</f>
        <v/>
      </c>
      <c r="AC93" s="27">
        <f>IF(OR($J93="",ROW()=5,$B93&lt;&gt;$B92,$J92=""),"",IF($J93&lt;$J92,"下降",""))</f>
        <v/>
      </c>
      <c r="AD93" s="28" t="inlineStr">
        <is>
          <t>整队验算：S/T为五人总生命/总攻击，U为平均防御，W为逐人计算后求和EHP；倍率由爬塔专用源表执行。</t>
        </is>
      </c>
      <c r="AE93" t="n">
        <v>1590000</v>
      </c>
      <c r="AF93">
        <f>INDEX(_统一战力!$B$2:$B$501,J93)</f>
        <v/>
      </c>
    </row>
    <row r="94" ht="25" customHeight="1">
      <c r="A94" s="27" t="inlineStr">
        <is>
          <t>当前配置</t>
        </is>
      </c>
      <c r="B94" s="27" t="inlineStr">
        <is>
          <t>爬塔</t>
        </is>
      </c>
      <c r="C94" s="28" t="inlineStr">
        <is>
          <t>现行包体1</t>
        </is>
      </c>
      <c r="D94" s="28" t="inlineStr">
        <is>
          <t>第90层</t>
        </is>
      </c>
      <c r="E94" s="28" t="inlineStr">
        <is>
          <t>300091</t>
        </is>
      </c>
      <c r="F94" s="27" t="inlineStr">
        <is>
          <t>Boss</t>
        </is>
      </c>
      <c r="G94" s="37" t="n">
        <v>250</v>
      </c>
      <c r="H94" s="38" t="n"/>
      <c r="I94" s="39">
        <f>IF($H94="",$G94,$H94)</f>
        <v/>
      </c>
      <c r="J94" s="40" t="n">
        <v>268</v>
      </c>
      <c r="K94" s="72" t="n">
        <v>1.14213632106616</v>
      </c>
      <c r="L94" s="72" t="n">
        <v>0.724654744929893</v>
      </c>
      <c r="M94" s="72" t="n">
        <v>1</v>
      </c>
      <c r="N94" s="73" t="n"/>
      <c r="O94" s="73" t="n"/>
      <c r="P94" s="73" t="n"/>
      <c r="Q94" s="74">
        <f>IF($I94="","",IFERROR(INDEX(_玩家曲线!$H$2:$H$286,MATCH($I94,_玩家曲线!$A$2:$A$286,0)),""))</f>
        <v/>
      </c>
      <c r="R94" s="74">
        <f>IF($I94="","",IFERROR(INDEX(_玩家曲线!$I$2:$I$286,MATCH($I94,_玩家曲线!$A$2:$A$286,0)),""))</f>
        <v/>
      </c>
      <c r="S94" s="74">
        <f>SUMIF(_爬塔队伍!$A$2:$A$501,VALUE(SUBSTITUTE(SUBSTITUTE(D94,"第",""),"层","")),_爬塔队伍!$C$2:$C$501)</f>
        <v/>
      </c>
      <c r="T94" s="74">
        <f>SUMIF(_爬塔队伍!$A$2:$A$501,VALUE(SUBSTITUTE(SUBSTITUTE(D94,"第",""),"层","")),_爬塔队伍!$D$2:$D$501)</f>
        <v/>
      </c>
      <c r="U94" s="74">
        <f>SUMIF(_爬塔队伍!$A$2:$A$501,VALUE(SUBSTITUTE(SUBSTITUTE(D94,"第",""),"层","")),_爬塔队伍!$E$2:$E$501)/COUNTIF(_爬塔队伍!$A$2:$A$501,VALUE(SUBSTITUTE(SUBSTITUTE(D94,"第",""),"层","")))</f>
        <v/>
      </c>
      <c r="V94" s="75">
        <f>IF($U94="","",MIN(0.75,$U94/($U94+24000)))</f>
        <v/>
      </c>
      <c r="W94" s="76">
        <f>SUMIF(_爬塔队伍!$A$2:$A$501,VALUE(SUBSTITUTE(SUBSTITUTE(D94,"第",""),"层","")),_爬塔队伍!$F$2:$F$501)</f>
        <v/>
      </c>
      <c r="X94" s="76">
        <f>IF(OR($W94="",$Q94="",$Q94=0),"",$W94/$Q94)</f>
        <v/>
      </c>
      <c r="Y94" s="76">
        <f>IF(OR($R94="",$T94="",$T94=0),"",$R94/($T94*IF($O94="",1,$O94)))</f>
        <v/>
      </c>
      <c r="Z94" s="77">
        <f>IF(OR($X94="",$P94="",$P94=0),"",$X94/$P94)</f>
        <v/>
      </c>
      <c r="AA94" s="27">
        <f>IF($J94="","待填怪物等级",IF(OR($I94="",$Q94=""),"待填对照关卡",IF($P94="","已计算",IF(AND($Y94&lt;&gt;"",$Y94&lt;$X94),"生存不成立",IF($Z94&lt;0.5,"碾压",IF($Z94&lt;0.8,"偏简单",IF($Z94&lt;=1.2,"适中",IF($Z94&lt;=1.5,"偏难","过难"))))))))</f>
        <v/>
      </c>
      <c r="AB94" s="27">
        <f>IF($J94="","待填",IF(AND(ISNUMBER($J94),$J94&gt;=1,$J94&lt;=500,MOD($J94,1)=0),"有效","超范围"))</f>
        <v/>
      </c>
      <c r="AC94" s="27">
        <f>IF(OR($J94="",ROW()=5,$B94&lt;&gt;$B93,$J93=""),"",IF($J94&lt;$J93,"下降",""))</f>
        <v/>
      </c>
      <c r="AD94" s="28" t="inlineStr">
        <is>
          <t>整队验算：S/T为五人总生命/总攻击，U为平均防御，W为逐人计算后求和EHP；倍率由爬塔专用源表执行。</t>
        </is>
      </c>
      <c r="AE94" t="n">
        <v>1590000</v>
      </c>
      <c r="AF94">
        <f>INDEX(_统一战力!$B$2:$B$501,J94)</f>
        <v/>
      </c>
    </row>
    <row r="95" ht="25" customHeight="1">
      <c r="A95" s="27" t="inlineStr">
        <is>
          <t>当前配置</t>
        </is>
      </c>
      <c r="B95" s="27" t="inlineStr">
        <is>
          <t>爬塔</t>
        </is>
      </c>
      <c r="C95" s="28" t="inlineStr">
        <is>
          <t>现行包体1</t>
        </is>
      </c>
      <c r="D95" s="28" t="inlineStr">
        <is>
          <t>第91层</t>
        </is>
      </c>
      <c r="E95" s="28" t="inlineStr">
        <is>
          <t>300092</t>
        </is>
      </c>
      <c r="F95" s="27" t="inlineStr">
        <is>
          <t>普通怪</t>
        </is>
      </c>
      <c r="G95" s="37" t="n">
        <v>253</v>
      </c>
      <c r="H95" s="38" t="n"/>
      <c r="I95" s="39">
        <f>IF($H95="",$G95,$H95)</f>
        <v/>
      </c>
      <c r="J95" s="40" t="n">
        <v>269</v>
      </c>
      <c r="K95" s="72" t="n">
        <v>1.14001916461421</v>
      </c>
      <c r="L95" s="72" t="n">
        <v>0.725287655304084</v>
      </c>
      <c r="M95" s="72" t="n">
        <v>1</v>
      </c>
      <c r="N95" s="73" t="n"/>
      <c r="O95" s="73" t="n"/>
      <c r="P95" s="73" t="n"/>
      <c r="Q95" s="74">
        <f>IF($I95="","",IFERROR(INDEX(_玩家曲线!$H$2:$H$286,MATCH($I95,_玩家曲线!$A$2:$A$286,0)),""))</f>
        <v/>
      </c>
      <c r="R95" s="74">
        <f>IF($I95="","",IFERROR(INDEX(_玩家曲线!$I$2:$I$286,MATCH($I95,_玩家曲线!$A$2:$A$286,0)),""))</f>
        <v/>
      </c>
      <c r="S95" s="74">
        <f>SUMIF(_爬塔队伍!$A$2:$A$501,VALUE(SUBSTITUTE(SUBSTITUTE(D95,"第",""),"层","")),_爬塔队伍!$C$2:$C$501)</f>
        <v/>
      </c>
      <c r="T95" s="74">
        <f>SUMIF(_爬塔队伍!$A$2:$A$501,VALUE(SUBSTITUTE(SUBSTITUTE(D95,"第",""),"层","")),_爬塔队伍!$D$2:$D$501)</f>
        <v/>
      </c>
      <c r="U95" s="74">
        <f>SUMIF(_爬塔队伍!$A$2:$A$501,VALUE(SUBSTITUTE(SUBSTITUTE(D95,"第",""),"层","")),_爬塔队伍!$E$2:$E$501)/COUNTIF(_爬塔队伍!$A$2:$A$501,VALUE(SUBSTITUTE(SUBSTITUTE(D95,"第",""),"层","")))</f>
        <v/>
      </c>
      <c r="V95" s="75">
        <f>IF($U95="","",MIN(0.75,$U95/($U95+24000)))</f>
        <v/>
      </c>
      <c r="W95" s="76">
        <f>SUMIF(_爬塔队伍!$A$2:$A$501,VALUE(SUBSTITUTE(SUBSTITUTE(D95,"第",""),"层","")),_爬塔队伍!$F$2:$F$501)</f>
        <v/>
      </c>
      <c r="X95" s="76">
        <f>IF(OR($W95="",$Q95="",$Q95=0),"",$W95/$Q95)</f>
        <v/>
      </c>
      <c r="Y95" s="76">
        <f>IF(OR($R95="",$T95="",$T95=0),"",$R95/($T95*IF($O95="",1,$O95)))</f>
        <v/>
      </c>
      <c r="Z95" s="77">
        <f>IF(OR($X95="",$P95="",$P95=0),"",$X95/$P95)</f>
        <v/>
      </c>
      <c r="AA95" s="27">
        <f>IF($J95="","待填怪物等级",IF(OR($I95="",$Q95=""),"待填对照关卡",IF($P95="","已计算",IF(AND($Y95&lt;&gt;"",$Y95&lt;$X95),"生存不成立",IF($Z95&lt;0.5,"碾压",IF($Z95&lt;0.8,"偏简单",IF($Z95&lt;=1.2,"适中",IF($Z95&lt;=1.5,"偏难","过难"))))))))</f>
        <v/>
      </c>
      <c r="AB95" s="27">
        <f>IF($J95="","待填",IF(AND(ISNUMBER($J95),$J95&gt;=1,$J95&lt;=500,MOD($J95,1)=0),"有效","超范围"))</f>
        <v/>
      </c>
      <c r="AC95" s="27">
        <f>IF(OR($J95="",ROW()=5,$B95&lt;&gt;$B94,$J94=""),"",IF($J95&lt;$J94,"下降",""))</f>
        <v/>
      </c>
      <c r="AD95" s="28" t="inlineStr">
        <is>
          <t>整队验算：S/T为五人总生命/总攻击，U为平均防御，W为逐人计算后求和EHP；倍率由爬塔专用源表执行。</t>
        </is>
      </c>
      <c r="AE95" t="n">
        <v>1590000</v>
      </c>
      <c r="AF95">
        <f>INDEX(_统一战力!$B$2:$B$501,J95)</f>
        <v/>
      </c>
    </row>
    <row r="96" ht="25" customHeight="1">
      <c r="A96" s="27" t="inlineStr">
        <is>
          <t>当前配置</t>
        </is>
      </c>
      <c r="B96" s="27" t="inlineStr">
        <is>
          <t>爬塔</t>
        </is>
      </c>
      <c r="C96" s="28" t="inlineStr">
        <is>
          <t>现行包体1</t>
        </is>
      </c>
      <c r="D96" s="28" t="inlineStr">
        <is>
          <t>第92层</t>
        </is>
      </c>
      <c r="E96" s="28" t="inlineStr">
        <is>
          <t>300093</t>
        </is>
      </c>
      <c r="F96" s="27" t="inlineStr">
        <is>
          <t>普通怪</t>
        </is>
      </c>
      <c r="G96" s="37" t="n">
        <v>255</v>
      </c>
      <c r="H96" s="38" t="n"/>
      <c r="I96" s="39">
        <f>IF($H96="",$G96,$H96)</f>
        <v/>
      </c>
      <c r="J96" s="40" t="n">
        <v>270</v>
      </c>
      <c r="K96" s="72" t="n">
        <v>1.13567320674374</v>
      </c>
      <c r="L96" s="72" t="n">
        <v>0.724379195372715</v>
      </c>
      <c r="M96" s="72" t="n">
        <v>1</v>
      </c>
      <c r="N96" s="73" t="n"/>
      <c r="O96" s="73" t="n"/>
      <c r="P96" s="73" t="n"/>
      <c r="Q96" s="74">
        <f>IF($I96="","",IFERROR(INDEX(_玩家曲线!$H$2:$H$286,MATCH($I96,_玩家曲线!$A$2:$A$286,0)),""))</f>
        <v/>
      </c>
      <c r="R96" s="74">
        <f>IF($I96="","",IFERROR(INDEX(_玩家曲线!$I$2:$I$286,MATCH($I96,_玩家曲线!$A$2:$A$286,0)),""))</f>
        <v/>
      </c>
      <c r="S96" s="74">
        <f>SUMIF(_爬塔队伍!$A$2:$A$501,VALUE(SUBSTITUTE(SUBSTITUTE(D96,"第",""),"层","")),_爬塔队伍!$C$2:$C$501)</f>
        <v/>
      </c>
      <c r="T96" s="74">
        <f>SUMIF(_爬塔队伍!$A$2:$A$501,VALUE(SUBSTITUTE(SUBSTITUTE(D96,"第",""),"层","")),_爬塔队伍!$D$2:$D$501)</f>
        <v/>
      </c>
      <c r="U96" s="74">
        <f>SUMIF(_爬塔队伍!$A$2:$A$501,VALUE(SUBSTITUTE(SUBSTITUTE(D96,"第",""),"层","")),_爬塔队伍!$E$2:$E$501)/COUNTIF(_爬塔队伍!$A$2:$A$501,VALUE(SUBSTITUTE(SUBSTITUTE(D96,"第",""),"层","")))</f>
        <v/>
      </c>
      <c r="V96" s="75">
        <f>IF($U96="","",MIN(0.75,$U96/($U96+24000)))</f>
        <v/>
      </c>
      <c r="W96" s="76">
        <f>SUMIF(_爬塔队伍!$A$2:$A$501,VALUE(SUBSTITUTE(SUBSTITUTE(D96,"第",""),"层","")),_爬塔队伍!$F$2:$F$501)</f>
        <v/>
      </c>
      <c r="X96" s="76">
        <f>IF(OR($W96="",$Q96="",$Q96=0),"",$W96/$Q96)</f>
        <v/>
      </c>
      <c r="Y96" s="76">
        <f>IF(OR($R96="",$T96="",$T96=0),"",$R96/($T96*IF($O96="",1,$O96)))</f>
        <v/>
      </c>
      <c r="Z96" s="77">
        <f>IF(OR($X96="",$P96="",$P96=0),"",$X96/$P96)</f>
        <v/>
      </c>
      <c r="AA96" s="27">
        <f>IF($J96="","待填怪物等级",IF(OR($I96="",$Q96=""),"待填对照关卡",IF($P96="","已计算",IF(AND($Y96&lt;&gt;"",$Y96&lt;$X96),"生存不成立",IF($Z96&lt;0.5,"碾压",IF($Z96&lt;0.8,"偏简单",IF($Z96&lt;=1.2,"适中",IF($Z96&lt;=1.5,"偏难","过难"))))))))</f>
        <v/>
      </c>
      <c r="AB96" s="27">
        <f>IF($J96="","待填",IF(AND(ISNUMBER($J96),$J96&gt;=1,$J96&lt;=500,MOD($J96,1)=0),"有效","超范围"))</f>
        <v/>
      </c>
      <c r="AC96" s="27">
        <f>IF(OR($J96="",ROW()=5,$B96&lt;&gt;$B95,$J95=""),"",IF($J96&lt;$J95,"下降",""))</f>
        <v/>
      </c>
      <c r="AD96" s="28" t="inlineStr">
        <is>
          <t>整队验算：S/T为五人总生命/总攻击，U为平均防御，W为逐人计算后求和EHP；倍率由爬塔专用源表执行。</t>
        </is>
      </c>
      <c r="AE96" t="n">
        <v>1590000</v>
      </c>
      <c r="AF96">
        <f>INDEX(_统一战力!$B$2:$B$501,J96)</f>
        <v/>
      </c>
    </row>
    <row r="97" ht="25" customHeight="1">
      <c r="A97" s="27" t="inlineStr">
        <is>
          <t>当前配置</t>
        </is>
      </c>
      <c r="B97" s="27" t="inlineStr">
        <is>
          <t>爬塔</t>
        </is>
      </c>
      <c r="C97" s="28" t="inlineStr">
        <is>
          <t>现行包体1</t>
        </is>
      </c>
      <c r="D97" s="28" t="inlineStr">
        <is>
          <t>第93层</t>
        </is>
      </c>
      <c r="E97" s="28" t="inlineStr">
        <is>
          <t>300094</t>
        </is>
      </c>
      <c r="F97" s="27" t="inlineStr">
        <is>
          <t>普通怪</t>
        </is>
      </c>
      <c r="G97" s="37" t="n">
        <v>258</v>
      </c>
      <c r="H97" s="38" t="n"/>
      <c r="I97" s="39">
        <f>IF($H97="",$G97,$H97)</f>
        <v/>
      </c>
      <c r="J97" s="40" t="n">
        <v>272</v>
      </c>
      <c r="K97" s="72" t="n">
        <v>1.13279943448746</v>
      </c>
      <c r="L97" s="72" t="n">
        <v>0.724781133547875</v>
      </c>
      <c r="M97" s="72" t="n">
        <v>1</v>
      </c>
      <c r="N97" s="73" t="n"/>
      <c r="O97" s="73" t="n"/>
      <c r="P97" s="73" t="n"/>
      <c r="Q97" s="74">
        <f>IF($I97="","",IFERROR(INDEX(_玩家曲线!$H$2:$H$286,MATCH($I97,_玩家曲线!$A$2:$A$286,0)),""))</f>
        <v/>
      </c>
      <c r="R97" s="74">
        <f>IF($I97="","",IFERROR(INDEX(_玩家曲线!$I$2:$I$286,MATCH($I97,_玩家曲线!$A$2:$A$286,0)),""))</f>
        <v/>
      </c>
      <c r="S97" s="74">
        <f>SUMIF(_爬塔队伍!$A$2:$A$501,VALUE(SUBSTITUTE(SUBSTITUTE(D97,"第",""),"层","")),_爬塔队伍!$C$2:$C$501)</f>
        <v/>
      </c>
      <c r="T97" s="74">
        <f>SUMIF(_爬塔队伍!$A$2:$A$501,VALUE(SUBSTITUTE(SUBSTITUTE(D97,"第",""),"层","")),_爬塔队伍!$D$2:$D$501)</f>
        <v/>
      </c>
      <c r="U97" s="74">
        <f>SUMIF(_爬塔队伍!$A$2:$A$501,VALUE(SUBSTITUTE(SUBSTITUTE(D97,"第",""),"层","")),_爬塔队伍!$E$2:$E$501)/COUNTIF(_爬塔队伍!$A$2:$A$501,VALUE(SUBSTITUTE(SUBSTITUTE(D97,"第",""),"层","")))</f>
        <v/>
      </c>
      <c r="V97" s="75">
        <f>IF($U97="","",MIN(0.75,$U97/($U97+24000)))</f>
        <v/>
      </c>
      <c r="W97" s="76">
        <f>SUMIF(_爬塔队伍!$A$2:$A$501,VALUE(SUBSTITUTE(SUBSTITUTE(D97,"第",""),"层","")),_爬塔队伍!$F$2:$F$501)</f>
        <v/>
      </c>
      <c r="X97" s="76">
        <f>IF(OR($W97="",$Q97="",$Q97=0),"",$W97/$Q97)</f>
        <v/>
      </c>
      <c r="Y97" s="76">
        <f>IF(OR($R97="",$T97="",$T97=0),"",$R97/($T97*IF($O97="",1,$O97)))</f>
        <v/>
      </c>
      <c r="Z97" s="77">
        <f>IF(OR($X97="",$P97="",$P97=0),"",$X97/$P97)</f>
        <v/>
      </c>
      <c r="AA97" s="27">
        <f>IF($J97="","待填怪物等级",IF(OR($I97="",$Q97=""),"待填对照关卡",IF($P97="","已计算",IF(AND($Y97&lt;&gt;"",$Y97&lt;$X97),"生存不成立",IF($Z97&lt;0.5,"碾压",IF($Z97&lt;0.8,"偏简单",IF($Z97&lt;=1.2,"适中",IF($Z97&lt;=1.5,"偏难","过难"))))))))</f>
        <v/>
      </c>
      <c r="AB97" s="27">
        <f>IF($J97="","待填",IF(AND(ISNUMBER($J97),$J97&gt;=1,$J97&lt;=500,MOD($J97,1)=0),"有效","超范围"))</f>
        <v/>
      </c>
      <c r="AC97" s="27">
        <f>IF(OR($J97="",ROW()=5,$B97&lt;&gt;$B96,$J96=""),"",IF($J97&lt;$J96,"下降",""))</f>
        <v/>
      </c>
      <c r="AD97" s="28" t="inlineStr">
        <is>
          <t>整队验算：S/T为五人总生命/总攻击，U为平均防御，W为逐人计算后求和EHP；倍率由爬塔专用源表执行。</t>
        </is>
      </c>
      <c r="AE97" t="n">
        <v>1590000</v>
      </c>
      <c r="AF97">
        <f>INDEX(_统一战力!$B$2:$B$501,J97)</f>
        <v/>
      </c>
    </row>
    <row r="98" ht="25" customHeight="1">
      <c r="A98" s="27" t="inlineStr">
        <is>
          <t>当前配置</t>
        </is>
      </c>
      <c r="B98" s="27" t="inlineStr">
        <is>
          <t>爬塔</t>
        </is>
      </c>
      <c r="C98" s="28" t="inlineStr">
        <is>
          <t>现行包体1</t>
        </is>
      </c>
      <c r="D98" s="28" t="inlineStr">
        <is>
          <t>第94层</t>
        </is>
      </c>
      <c r="E98" s="28" t="inlineStr">
        <is>
          <t>300095</t>
        </is>
      </c>
      <c r="F98" s="27" t="inlineStr">
        <is>
          <t>普通怪</t>
        </is>
      </c>
      <c r="G98" s="37" t="n">
        <v>261</v>
      </c>
      <c r="H98" s="38" t="n"/>
      <c r="I98" s="39">
        <f>IF($H98="",$G98,$H98)</f>
        <v/>
      </c>
      <c r="J98" s="40" t="n">
        <v>273</v>
      </c>
      <c r="K98" s="72" t="n">
        <v>1.13182226884233</v>
      </c>
      <c r="L98" s="72" t="n">
        <v>0.725696694868182</v>
      </c>
      <c r="M98" s="72" t="n">
        <v>1</v>
      </c>
      <c r="N98" s="73" t="n"/>
      <c r="O98" s="73" t="n"/>
      <c r="P98" s="73" t="n"/>
      <c r="Q98" s="74">
        <f>IF($I98="","",IFERROR(INDEX(_玩家曲线!$H$2:$H$286,MATCH($I98,_玩家曲线!$A$2:$A$286,0)),""))</f>
        <v/>
      </c>
      <c r="R98" s="74">
        <f>IF($I98="","",IFERROR(INDEX(_玩家曲线!$I$2:$I$286,MATCH($I98,_玩家曲线!$A$2:$A$286,0)),""))</f>
        <v/>
      </c>
      <c r="S98" s="74">
        <f>SUMIF(_爬塔队伍!$A$2:$A$501,VALUE(SUBSTITUTE(SUBSTITUTE(D98,"第",""),"层","")),_爬塔队伍!$C$2:$C$501)</f>
        <v/>
      </c>
      <c r="T98" s="74">
        <f>SUMIF(_爬塔队伍!$A$2:$A$501,VALUE(SUBSTITUTE(SUBSTITUTE(D98,"第",""),"层","")),_爬塔队伍!$D$2:$D$501)</f>
        <v/>
      </c>
      <c r="U98" s="74">
        <f>SUMIF(_爬塔队伍!$A$2:$A$501,VALUE(SUBSTITUTE(SUBSTITUTE(D98,"第",""),"层","")),_爬塔队伍!$E$2:$E$501)/COUNTIF(_爬塔队伍!$A$2:$A$501,VALUE(SUBSTITUTE(SUBSTITUTE(D98,"第",""),"层","")))</f>
        <v/>
      </c>
      <c r="V98" s="75">
        <f>IF($U98="","",MIN(0.75,$U98/($U98+24000)))</f>
        <v/>
      </c>
      <c r="W98" s="76">
        <f>SUMIF(_爬塔队伍!$A$2:$A$501,VALUE(SUBSTITUTE(SUBSTITUTE(D98,"第",""),"层","")),_爬塔队伍!$F$2:$F$501)</f>
        <v/>
      </c>
      <c r="X98" s="76">
        <f>IF(OR($W98="",$Q98="",$Q98=0),"",$W98/$Q98)</f>
        <v/>
      </c>
      <c r="Y98" s="76">
        <f>IF(OR($R98="",$T98="",$T98=0),"",$R98/($T98*IF($O98="",1,$O98)))</f>
        <v/>
      </c>
      <c r="Z98" s="77">
        <f>IF(OR($X98="",$P98="",$P98=0),"",$X98/$P98)</f>
        <v/>
      </c>
      <c r="AA98" s="27">
        <f>IF($J98="","待填怪物等级",IF(OR($I98="",$Q98=""),"待填对照关卡",IF($P98="","已计算",IF(AND($Y98&lt;&gt;"",$Y98&lt;$X98),"生存不成立",IF($Z98&lt;0.5,"碾压",IF($Z98&lt;0.8,"偏简单",IF($Z98&lt;=1.2,"适中",IF($Z98&lt;=1.5,"偏难","过难"))))))))</f>
        <v/>
      </c>
      <c r="AB98" s="27">
        <f>IF($J98="","待填",IF(AND(ISNUMBER($J98),$J98&gt;=1,$J98&lt;=500,MOD($J98,1)=0),"有效","超范围"))</f>
        <v/>
      </c>
      <c r="AC98" s="27">
        <f>IF(OR($J98="",ROW()=5,$B98&lt;&gt;$B97,$J97=""),"",IF($J98&lt;$J97,"下降",""))</f>
        <v/>
      </c>
      <c r="AD98" s="28" t="inlineStr">
        <is>
          <t>整队验算：S/T为五人总生命/总攻击，U为平均防御，W为逐人计算后求和EHP；倍率由爬塔专用源表执行。</t>
        </is>
      </c>
      <c r="AE98" t="n">
        <v>1590000</v>
      </c>
      <c r="AF98">
        <f>INDEX(_统一战力!$B$2:$B$501,J98)</f>
        <v/>
      </c>
    </row>
    <row r="99" ht="25" customHeight="1">
      <c r="A99" s="27" t="inlineStr">
        <is>
          <t>当前配置</t>
        </is>
      </c>
      <c r="B99" s="27" t="inlineStr">
        <is>
          <t>爬塔</t>
        </is>
      </c>
      <c r="C99" s="28" t="inlineStr">
        <is>
          <t>现行包体1</t>
        </is>
      </c>
      <c r="D99" s="28" t="inlineStr">
        <is>
          <t>第95层</t>
        </is>
      </c>
      <c r="E99" s="28" t="inlineStr">
        <is>
          <t>300096</t>
        </is>
      </c>
      <c r="F99" s="27" t="inlineStr">
        <is>
          <t>精英怪</t>
        </is>
      </c>
      <c r="G99" s="37" t="n">
        <v>264</v>
      </c>
      <c r="H99" s="38" t="n"/>
      <c r="I99" s="39">
        <f>IF($H99="",$G99,$H99)</f>
        <v/>
      </c>
      <c r="J99" s="40" t="n">
        <v>274</v>
      </c>
      <c r="K99" s="72" t="n">
        <v>1.13108015591293</v>
      </c>
      <c r="L99" s="72" t="n">
        <v>0.726679309784578</v>
      </c>
      <c r="M99" s="72" t="n">
        <v>1</v>
      </c>
      <c r="N99" s="73" t="n"/>
      <c r="O99" s="73" t="n"/>
      <c r="P99" s="73" t="n"/>
      <c r="Q99" s="74">
        <f>IF($I99="","",IFERROR(INDEX(_玩家曲线!$H$2:$H$286,MATCH($I99,_玩家曲线!$A$2:$A$286,0)),""))</f>
        <v/>
      </c>
      <c r="R99" s="74">
        <f>IF($I99="","",IFERROR(INDEX(_玩家曲线!$I$2:$I$286,MATCH($I99,_玩家曲线!$A$2:$A$286,0)),""))</f>
        <v/>
      </c>
      <c r="S99" s="74">
        <f>SUMIF(_爬塔队伍!$A$2:$A$501,VALUE(SUBSTITUTE(SUBSTITUTE(D99,"第",""),"层","")),_爬塔队伍!$C$2:$C$501)</f>
        <v/>
      </c>
      <c r="T99" s="74">
        <f>SUMIF(_爬塔队伍!$A$2:$A$501,VALUE(SUBSTITUTE(SUBSTITUTE(D99,"第",""),"层","")),_爬塔队伍!$D$2:$D$501)</f>
        <v/>
      </c>
      <c r="U99" s="74">
        <f>SUMIF(_爬塔队伍!$A$2:$A$501,VALUE(SUBSTITUTE(SUBSTITUTE(D99,"第",""),"层","")),_爬塔队伍!$E$2:$E$501)/COUNTIF(_爬塔队伍!$A$2:$A$501,VALUE(SUBSTITUTE(SUBSTITUTE(D99,"第",""),"层","")))</f>
        <v/>
      </c>
      <c r="V99" s="75">
        <f>IF($U99="","",MIN(0.75,$U99/($U99+24000)))</f>
        <v/>
      </c>
      <c r="W99" s="76">
        <f>SUMIF(_爬塔队伍!$A$2:$A$501,VALUE(SUBSTITUTE(SUBSTITUTE(D99,"第",""),"层","")),_爬塔队伍!$F$2:$F$501)</f>
        <v/>
      </c>
      <c r="X99" s="76">
        <f>IF(OR($W99="",$Q99="",$Q99=0),"",$W99/$Q99)</f>
        <v/>
      </c>
      <c r="Y99" s="76">
        <f>IF(OR($R99="",$T99="",$T99=0),"",$R99/($T99*IF($O99="",1,$O99)))</f>
        <v/>
      </c>
      <c r="Z99" s="77">
        <f>IF(OR($X99="",$P99="",$P99=0),"",$X99/$P99)</f>
        <v/>
      </c>
      <c r="AA99" s="27">
        <f>IF($J99="","待填怪物等级",IF(OR($I99="",$Q99=""),"待填对照关卡",IF($P99="","已计算",IF(AND($Y99&lt;&gt;"",$Y99&lt;$X99),"生存不成立",IF($Z99&lt;0.5,"碾压",IF($Z99&lt;0.8,"偏简单",IF($Z99&lt;=1.2,"适中",IF($Z99&lt;=1.5,"偏难","过难"))))))))</f>
        <v/>
      </c>
      <c r="AB99" s="27">
        <f>IF($J99="","待填",IF(AND(ISNUMBER($J99),$J99&gt;=1,$J99&lt;=500,MOD($J99,1)=0),"有效","超范围"))</f>
        <v/>
      </c>
      <c r="AC99" s="27">
        <f>IF(OR($J99="",ROW()=5,$B99&lt;&gt;$B98,$J98=""),"",IF($J99&lt;$J98,"下降",""))</f>
        <v/>
      </c>
      <c r="AD99" s="28" t="inlineStr">
        <is>
          <t>整队验算：S/T为五人总生命/总攻击，U为平均防御，W为逐人计算后求和EHP；倍率由爬塔专用源表执行。</t>
        </is>
      </c>
      <c r="AE99" t="n">
        <v>1590000</v>
      </c>
      <c r="AF99">
        <f>INDEX(_统一战力!$B$2:$B$501,J99)</f>
        <v/>
      </c>
    </row>
    <row r="100" ht="25" customHeight="1">
      <c r="A100" s="27" t="inlineStr">
        <is>
          <t>当前配置</t>
        </is>
      </c>
      <c r="B100" s="27" t="inlineStr">
        <is>
          <t>爬塔</t>
        </is>
      </c>
      <c r="C100" s="28" t="inlineStr">
        <is>
          <t>现行包体1</t>
        </is>
      </c>
      <c r="D100" s="28" t="inlineStr">
        <is>
          <t>第96层</t>
        </is>
      </c>
      <c r="E100" s="28" t="inlineStr">
        <is>
          <t>300097</t>
        </is>
      </c>
      <c r="F100" s="27" t="inlineStr">
        <is>
          <t>普通怪</t>
        </is>
      </c>
      <c r="G100" s="37" t="n">
        <v>267</v>
      </c>
      <c r="H100" s="38" t="n"/>
      <c r="I100" s="39">
        <f>IF($H100="",$G100,$H100)</f>
        <v/>
      </c>
      <c r="J100" s="40" t="n">
        <v>275</v>
      </c>
      <c r="K100" s="72" t="n">
        <v>1.12992115373711</v>
      </c>
      <c r="L100" s="72" t="n">
        <v>0.727469632812953</v>
      </c>
      <c r="M100" s="72" t="n">
        <v>1</v>
      </c>
      <c r="N100" s="73" t="n"/>
      <c r="O100" s="73" t="n"/>
      <c r="P100" s="73" t="n"/>
      <c r="Q100" s="74">
        <f>IF($I100="","",IFERROR(INDEX(_玩家曲线!$H$2:$H$286,MATCH($I100,_玩家曲线!$A$2:$A$286,0)),""))</f>
        <v/>
      </c>
      <c r="R100" s="74">
        <f>IF($I100="","",IFERROR(INDEX(_玩家曲线!$I$2:$I$286,MATCH($I100,_玩家曲线!$A$2:$A$286,0)),""))</f>
        <v/>
      </c>
      <c r="S100" s="74">
        <f>SUMIF(_爬塔队伍!$A$2:$A$501,VALUE(SUBSTITUTE(SUBSTITUTE(D100,"第",""),"层","")),_爬塔队伍!$C$2:$C$501)</f>
        <v/>
      </c>
      <c r="T100" s="74">
        <f>SUMIF(_爬塔队伍!$A$2:$A$501,VALUE(SUBSTITUTE(SUBSTITUTE(D100,"第",""),"层","")),_爬塔队伍!$D$2:$D$501)</f>
        <v/>
      </c>
      <c r="U100" s="74">
        <f>SUMIF(_爬塔队伍!$A$2:$A$501,VALUE(SUBSTITUTE(SUBSTITUTE(D100,"第",""),"层","")),_爬塔队伍!$E$2:$E$501)/COUNTIF(_爬塔队伍!$A$2:$A$501,VALUE(SUBSTITUTE(SUBSTITUTE(D100,"第",""),"层","")))</f>
        <v/>
      </c>
      <c r="V100" s="75">
        <f>IF($U100="","",MIN(0.75,$U100/($U100+24000)))</f>
        <v/>
      </c>
      <c r="W100" s="76">
        <f>SUMIF(_爬塔队伍!$A$2:$A$501,VALUE(SUBSTITUTE(SUBSTITUTE(D100,"第",""),"层","")),_爬塔队伍!$F$2:$F$501)</f>
        <v/>
      </c>
      <c r="X100" s="76">
        <f>IF(OR($W100="",$Q100="",$Q100=0),"",$W100/$Q100)</f>
        <v/>
      </c>
      <c r="Y100" s="76">
        <f>IF(OR($R100="",$T100="",$T100=0),"",$R100/($T100*IF($O100="",1,$O100)))</f>
        <v/>
      </c>
      <c r="Z100" s="77">
        <f>IF(OR($X100="",$P100="",$P100=0),"",$X100/$P100)</f>
        <v/>
      </c>
      <c r="AA100" s="27">
        <f>IF($J100="","待填怪物等级",IF(OR($I100="",$Q100=""),"待填对照关卡",IF($P100="","已计算",IF(AND($Y100&lt;&gt;"",$Y100&lt;$X100),"生存不成立",IF($Z100&lt;0.5,"碾压",IF($Z100&lt;0.8,"偏简单",IF($Z100&lt;=1.2,"适中",IF($Z100&lt;=1.5,"偏难","过难"))))))))</f>
        <v/>
      </c>
      <c r="AB100" s="27">
        <f>IF($J100="","待填",IF(AND(ISNUMBER($J100),$J100&gt;=1,$J100&lt;=500,MOD($J100,1)=0),"有效","超范围"))</f>
        <v/>
      </c>
      <c r="AC100" s="27">
        <f>IF(OR($J100="",ROW()=5,$B100&lt;&gt;$B99,$J99=""),"",IF($J100&lt;$J99,"下降",""))</f>
        <v/>
      </c>
      <c r="AD100" s="28" t="inlineStr">
        <is>
          <t>整队验算：S/T为五人总生命/总攻击，U为平均防御，W为逐人计算后求和EHP；倍率由爬塔专用源表执行。</t>
        </is>
      </c>
      <c r="AE100" t="n">
        <v>1590000</v>
      </c>
      <c r="AF100">
        <f>INDEX(_统一战力!$B$2:$B$501,J100)</f>
        <v/>
      </c>
    </row>
    <row r="101" ht="25" customHeight="1">
      <c r="A101" s="27" t="inlineStr">
        <is>
          <t>当前配置</t>
        </is>
      </c>
      <c r="B101" s="27" t="inlineStr">
        <is>
          <t>爬塔</t>
        </is>
      </c>
      <c r="C101" s="28" t="inlineStr">
        <is>
          <t>现行包体1</t>
        </is>
      </c>
      <c r="D101" s="28" t="inlineStr">
        <is>
          <t>第97层</t>
        </is>
      </c>
      <c r="E101" s="28" t="inlineStr">
        <is>
          <t>300098</t>
        </is>
      </c>
      <c r="F101" s="27" t="inlineStr">
        <is>
          <t>普通怪</t>
        </is>
      </c>
      <c r="G101" s="37" t="n">
        <v>270</v>
      </c>
      <c r="H101" s="38" t="n"/>
      <c r="I101" s="39">
        <f>IF($H101="",$G101,$H101)</f>
        <v/>
      </c>
      <c r="J101" s="40" t="n">
        <v>276</v>
      </c>
      <c r="K101" s="72" t="n">
        <v>1.12883809996263</v>
      </c>
      <c r="L101" s="72" t="n">
        <v>0.728293310358997</v>
      </c>
      <c r="M101" s="72" t="n">
        <v>1</v>
      </c>
      <c r="N101" s="73" t="n"/>
      <c r="O101" s="73" t="n"/>
      <c r="P101" s="73" t="n"/>
      <c r="Q101" s="74">
        <f>IF($I101="","",IFERROR(INDEX(_玩家曲线!$H$2:$H$286,MATCH($I101,_玩家曲线!$A$2:$A$286,0)),""))</f>
        <v/>
      </c>
      <c r="R101" s="74">
        <f>IF($I101="","",IFERROR(INDEX(_玩家曲线!$I$2:$I$286,MATCH($I101,_玩家曲线!$A$2:$A$286,0)),""))</f>
        <v/>
      </c>
      <c r="S101" s="74">
        <f>SUMIF(_爬塔队伍!$A$2:$A$501,VALUE(SUBSTITUTE(SUBSTITUTE(D101,"第",""),"层","")),_爬塔队伍!$C$2:$C$501)</f>
        <v/>
      </c>
      <c r="T101" s="74">
        <f>SUMIF(_爬塔队伍!$A$2:$A$501,VALUE(SUBSTITUTE(SUBSTITUTE(D101,"第",""),"层","")),_爬塔队伍!$D$2:$D$501)</f>
        <v/>
      </c>
      <c r="U101" s="74">
        <f>SUMIF(_爬塔队伍!$A$2:$A$501,VALUE(SUBSTITUTE(SUBSTITUTE(D101,"第",""),"层","")),_爬塔队伍!$E$2:$E$501)/COUNTIF(_爬塔队伍!$A$2:$A$501,VALUE(SUBSTITUTE(SUBSTITUTE(D101,"第",""),"层","")))</f>
        <v/>
      </c>
      <c r="V101" s="75">
        <f>IF($U101="","",MIN(0.75,$U101/($U101+24000)))</f>
        <v/>
      </c>
      <c r="W101" s="76">
        <f>SUMIF(_爬塔队伍!$A$2:$A$501,VALUE(SUBSTITUTE(SUBSTITUTE(D101,"第",""),"层","")),_爬塔队伍!$F$2:$F$501)</f>
        <v/>
      </c>
      <c r="X101" s="76">
        <f>IF(OR($W101="",$Q101="",$Q101=0),"",$W101/$Q101)</f>
        <v/>
      </c>
      <c r="Y101" s="76">
        <f>IF(OR($R101="",$T101="",$T101=0),"",$R101/($T101*IF($O101="",1,$O101)))</f>
        <v/>
      </c>
      <c r="Z101" s="77">
        <f>IF(OR($X101="",$P101="",$P101=0),"",$X101/$P101)</f>
        <v/>
      </c>
      <c r="AA101" s="27">
        <f>IF($J101="","待填怪物等级",IF(OR($I101="",$Q101=""),"待填对照关卡",IF($P101="","已计算",IF(AND($Y101&lt;&gt;"",$Y101&lt;$X101),"生存不成立",IF($Z101&lt;0.5,"碾压",IF($Z101&lt;0.8,"偏简单",IF($Z101&lt;=1.2,"适中",IF($Z101&lt;=1.5,"偏难","过难"))))))))</f>
        <v/>
      </c>
      <c r="AB101" s="27">
        <f>IF($J101="","待填",IF(AND(ISNUMBER($J101),$J101&gt;=1,$J101&lt;=500,MOD($J101,1)=0),"有效","超范围"))</f>
        <v/>
      </c>
      <c r="AC101" s="27">
        <f>IF(OR($J101="",ROW()=5,$B101&lt;&gt;$B100,$J100=""),"",IF($J101&lt;$J100,"下降",""))</f>
        <v/>
      </c>
      <c r="AD101" s="28" t="inlineStr">
        <is>
          <t>整队验算：S/T为五人总生命/总攻击，U为平均防御，W为逐人计算后求和EHP；倍率由爬塔专用源表执行。</t>
        </is>
      </c>
      <c r="AE101" t="n">
        <v>1590000</v>
      </c>
      <c r="AF101">
        <f>INDEX(_统一战力!$B$2:$B$501,J101)</f>
        <v/>
      </c>
    </row>
    <row r="102" ht="25" customHeight="1">
      <c r="A102" s="27" t="inlineStr">
        <is>
          <t>当前配置</t>
        </is>
      </c>
      <c r="B102" s="27" t="inlineStr">
        <is>
          <t>爬塔</t>
        </is>
      </c>
      <c r="C102" s="28" t="inlineStr">
        <is>
          <t>现行包体1</t>
        </is>
      </c>
      <c r="D102" s="28" t="inlineStr">
        <is>
          <t>第98层</t>
        </is>
      </c>
      <c r="E102" s="28" t="inlineStr">
        <is>
          <t>300099</t>
        </is>
      </c>
      <c r="F102" s="27" t="inlineStr">
        <is>
          <t>普通怪</t>
        </is>
      </c>
      <c r="G102" s="37" t="n">
        <v>273</v>
      </c>
      <c r="H102" s="38" t="n"/>
      <c r="I102" s="39">
        <f>IF($H102="",$G102,$H102)</f>
        <v/>
      </c>
      <c r="J102" s="40" t="n">
        <v>278</v>
      </c>
      <c r="K102" s="72" t="n">
        <v>1.12795418016849</v>
      </c>
      <c r="L102" s="72" t="n">
        <v>0.729223983469108</v>
      </c>
      <c r="M102" s="72" t="n">
        <v>1</v>
      </c>
      <c r="N102" s="73" t="n"/>
      <c r="O102" s="73" t="n"/>
      <c r="P102" s="73" t="n"/>
      <c r="Q102" s="74">
        <f>IF($I102="","",IFERROR(INDEX(_玩家曲线!$H$2:$H$286,MATCH($I102,_玩家曲线!$A$2:$A$286,0)),""))</f>
        <v/>
      </c>
      <c r="R102" s="74">
        <f>IF($I102="","",IFERROR(INDEX(_玩家曲线!$I$2:$I$286,MATCH($I102,_玩家曲线!$A$2:$A$286,0)),""))</f>
        <v/>
      </c>
      <c r="S102" s="74">
        <f>SUMIF(_爬塔队伍!$A$2:$A$501,VALUE(SUBSTITUTE(SUBSTITUTE(D102,"第",""),"层","")),_爬塔队伍!$C$2:$C$501)</f>
        <v/>
      </c>
      <c r="T102" s="74">
        <f>SUMIF(_爬塔队伍!$A$2:$A$501,VALUE(SUBSTITUTE(SUBSTITUTE(D102,"第",""),"层","")),_爬塔队伍!$D$2:$D$501)</f>
        <v/>
      </c>
      <c r="U102" s="74">
        <f>SUMIF(_爬塔队伍!$A$2:$A$501,VALUE(SUBSTITUTE(SUBSTITUTE(D102,"第",""),"层","")),_爬塔队伍!$E$2:$E$501)/COUNTIF(_爬塔队伍!$A$2:$A$501,VALUE(SUBSTITUTE(SUBSTITUTE(D102,"第",""),"层","")))</f>
        <v/>
      </c>
      <c r="V102" s="75">
        <f>IF($U102="","",MIN(0.75,$U102/($U102+24000)))</f>
        <v/>
      </c>
      <c r="W102" s="76">
        <f>SUMIF(_爬塔队伍!$A$2:$A$501,VALUE(SUBSTITUTE(SUBSTITUTE(D102,"第",""),"层","")),_爬塔队伍!$F$2:$F$501)</f>
        <v/>
      </c>
      <c r="X102" s="76">
        <f>IF(OR($W102="",$Q102="",$Q102=0),"",$W102/$Q102)</f>
        <v/>
      </c>
      <c r="Y102" s="76">
        <f>IF(OR($R102="",$T102="",$T102=0),"",$R102/($T102*IF($O102="",1,$O102)))</f>
        <v/>
      </c>
      <c r="Z102" s="77">
        <f>IF(OR($X102="",$P102="",$P102=0),"",$X102/$P102)</f>
        <v/>
      </c>
      <c r="AA102" s="27">
        <f>IF($J102="","待填怪物等级",IF(OR($I102="",$Q102=""),"待填对照关卡",IF($P102="","已计算",IF(AND($Y102&lt;&gt;"",$Y102&lt;$X102),"生存不成立",IF($Z102&lt;0.5,"碾压",IF($Z102&lt;0.8,"偏简单",IF($Z102&lt;=1.2,"适中",IF($Z102&lt;=1.5,"偏难","过难"))))))))</f>
        <v/>
      </c>
      <c r="AB102" s="27">
        <f>IF($J102="","待填",IF(AND(ISNUMBER($J102),$J102&gt;=1,$J102&lt;=500,MOD($J102,1)=0),"有效","超范围"))</f>
        <v/>
      </c>
      <c r="AC102" s="27">
        <f>IF(OR($J102="",ROW()=5,$B102&lt;&gt;$B101,$J101=""),"",IF($J102&lt;$J101,"下降",""))</f>
        <v/>
      </c>
      <c r="AD102" s="28" t="inlineStr">
        <is>
          <t>整队验算：S/T为五人总生命/总攻击，U为平均防御，W为逐人计算后求和EHP；倍率由爬塔专用源表执行。</t>
        </is>
      </c>
      <c r="AE102" t="n">
        <v>1590000</v>
      </c>
      <c r="AF102">
        <f>INDEX(_统一战力!$B$2:$B$501,J102)</f>
        <v/>
      </c>
    </row>
    <row r="103" ht="25" customHeight="1">
      <c r="A103" s="27" t="inlineStr">
        <is>
          <t>当前配置</t>
        </is>
      </c>
      <c r="B103" s="27" t="inlineStr">
        <is>
          <t>爬塔</t>
        </is>
      </c>
      <c r="C103" s="28" t="inlineStr">
        <is>
          <t>现行包体1</t>
        </is>
      </c>
      <c r="D103" s="28" t="inlineStr">
        <is>
          <t>第99层</t>
        </is>
      </c>
      <c r="E103" s="28" t="inlineStr">
        <is>
          <t>300100</t>
        </is>
      </c>
      <c r="F103" s="27" t="inlineStr">
        <is>
          <t>普通怪</t>
        </is>
      </c>
      <c r="G103" s="37" t="n">
        <v>276</v>
      </c>
      <c r="H103" s="38" t="n"/>
      <c r="I103" s="39">
        <f>IF($H103="",$G103,$H103)</f>
        <v/>
      </c>
      <c r="J103" s="40" t="n">
        <v>279</v>
      </c>
      <c r="K103" s="72" t="n">
        <v>1.12582067235919</v>
      </c>
      <c r="L103" s="72" t="n">
        <v>0.729834891319568</v>
      </c>
      <c r="M103" s="72" t="n">
        <v>1</v>
      </c>
      <c r="N103" s="73" t="n"/>
      <c r="O103" s="73" t="n"/>
      <c r="P103" s="73" t="n"/>
      <c r="Q103" s="74">
        <f>IF($I103="","",IFERROR(INDEX(_玩家曲线!$H$2:$H$286,MATCH($I103,_玩家曲线!$A$2:$A$286,0)),""))</f>
        <v/>
      </c>
      <c r="R103" s="74">
        <f>IF($I103="","",IFERROR(INDEX(_玩家曲线!$I$2:$I$286,MATCH($I103,_玩家曲线!$A$2:$A$286,0)),""))</f>
        <v/>
      </c>
      <c r="S103" s="74">
        <f>SUMIF(_爬塔队伍!$A$2:$A$501,VALUE(SUBSTITUTE(SUBSTITUTE(D103,"第",""),"层","")),_爬塔队伍!$C$2:$C$501)</f>
        <v/>
      </c>
      <c r="T103" s="74">
        <f>SUMIF(_爬塔队伍!$A$2:$A$501,VALUE(SUBSTITUTE(SUBSTITUTE(D103,"第",""),"层","")),_爬塔队伍!$D$2:$D$501)</f>
        <v/>
      </c>
      <c r="U103" s="74">
        <f>SUMIF(_爬塔队伍!$A$2:$A$501,VALUE(SUBSTITUTE(SUBSTITUTE(D103,"第",""),"层","")),_爬塔队伍!$E$2:$E$501)/COUNTIF(_爬塔队伍!$A$2:$A$501,VALUE(SUBSTITUTE(SUBSTITUTE(D103,"第",""),"层","")))</f>
        <v/>
      </c>
      <c r="V103" s="75">
        <f>IF($U103="","",MIN(0.75,$U103/($U103+24000)))</f>
        <v/>
      </c>
      <c r="W103" s="76">
        <f>SUMIF(_爬塔队伍!$A$2:$A$501,VALUE(SUBSTITUTE(SUBSTITUTE(D103,"第",""),"层","")),_爬塔队伍!$F$2:$F$501)</f>
        <v/>
      </c>
      <c r="X103" s="76">
        <f>IF(OR($W103="",$Q103="",$Q103=0),"",$W103/$Q103)</f>
        <v/>
      </c>
      <c r="Y103" s="76">
        <f>IF(OR($R103="",$T103="",$T103=0),"",$R103/($T103*IF($O103="",1,$O103)))</f>
        <v/>
      </c>
      <c r="Z103" s="77">
        <f>IF(OR($X103="",$P103="",$P103=0),"",$X103/$P103)</f>
        <v/>
      </c>
      <c r="AA103" s="27">
        <f>IF($J103="","待填怪物等级",IF(OR($I103="",$Q103=""),"待填对照关卡",IF($P103="","已计算",IF(AND($Y103&lt;&gt;"",$Y103&lt;$X103),"生存不成立",IF($Z103&lt;0.5,"碾压",IF($Z103&lt;0.8,"偏简单",IF($Z103&lt;=1.2,"适中",IF($Z103&lt;=1.5,"偏难","过难"))))))))</f>
        <v/>
      </c>
      <c r="AB103" s="27">
        <f>IF($J103="","待填",IF(AND(ISNUMBER($J103),$J103&gt;=1,$J103&lt;=500,MOD($J103,1)=0),"有效","超范围"))</f>
        <v/>
      </c>
      <c r="AC103" s="27">
        <f>IF(OR($J103="",ROW()=5,$B103&lt;&gt;$B102,$J102=""),"",IF($J103&lt;$J102,"下降",""))</f>
        <v/>
      </c>
      <c r="AD103" s="28" t="inlineStr">
        <is>
          <t>整队验算：S/T为五人总生命/总攻击，U为平均防御，W为逐人计算后求和EHP；倍率由爬塔专用源表执行。</t>
        </is>
      </c>
      <c r="AE103" t="n">
        <v>1590000</v>
      </c>
      <c r="AF103">
        <f>INDEX(_统一战力!$B$2:$B$501,J103)</f>
        <v/>
      </c>
    </row>
    <row r="104" ht="25" customHeight="1">
      <c r="A104" s="27" t="inlineStr">
        <is>
          <t>当前配置</t>
        </is>
      </c>
      <c r="B104" s="27" t="inlineStr">
        <is>
          <t>爬塔</t>
        </is>
      </c>
      <c r="C104" s="28" t="inlineStr">
        <is>
          <t>现行包体1</t>
        </is>
      </c>
      <c r="D104" s="28" t="inlineStr">
        <is>
          <t>第100层</t>
        </is>
      </c>
      <c r="E104" s="28" t="inlineStr">
        <is>
          <t>300101</t>
        </is>
      </c>
      <c r="F104" s="27" t="inlineStr">
        <is>
          <t>Boss</t>
        </is>
      </c>
      <c r="G104" s="37" t="n">
        <v>279</v>
      </c>
      <c r="H104" s="38" t="n"/>
      <c r="I104" s="39">
        <f>IF($H104="",$G104,$H104)</f>
        <v/>
      </c>
      <c r="J104" s="40" t="n">
        <v>280</v>
      </c>
      <c r="K104" s="72" t="n">
        <v>1.12671592412141</v>
      </c>
      <c r="L104" s="72" t="n">
        <v>0.731229508674054</v>
      </c>
      <c r="M104" s="72" t="n">
        <v>1</v>
      </c>
      <c r="N104" s="73" t="n"/>
      <c r="O104" s="73" t="n"/>
      <c r="P104" s="73" t="n"/>
      <c r="Q104" s="74">
        <f>IF($I104="","",IFERROR(INDEX(_玩家曲线!$H$2:$H$286,MATCH($I104,_玩家曲线!$A$2:$A$286,0)),""))</f>
        <v/>
      </c>
      <c r="R104" s="74">
        <f>IF($I104="","",IFERROR(INDEX(_玩家曲线!$I$2:$I$286,MATCH($I104,_玩家曲线!$A$2:$A$286,0)),""))</f>
        <v/>
      </c>
      <c r="S104" s="74">
        <f>SUMIF(_爬塔队伍!$A$2:$A$501,VALUE(SUBSTITUTE(SUBSTITUTE(D104,"第",""),"层","")),_爬塔队伍!$C$2:$C$501)</f>
        <v/>
      </c>
      <c r="T104" s="74">
        <f>SUMIF(_爬塔队伍!$A$2:$A$501,VALUE(SUBSTITUTE(SUBSTITUTE(D104,"第",""),"层","")),_爬塔队伍!$D$2:$D$501)</f>
        <v/>
      </c>
      <c r="U104" s="74">
        <f>SUMIF(_爬塔队伍!$A$2:$A$501,VALUE(SUBSTITUTE(SUBSTITUTE(D104,"第",""),"层","")),_爬塔队伍!$E$2:$E$501)/COUNTIF(_爬塔队伍!$A$2:$A$501,VALUE(SUBSTITUTE(SUBSTITUTE(D104,"第",""),"层","")))</f>
        <v/>
      </c>
      <c r="V104" s="75">
        <f>IF($U104="","",MIN(0.75,$U104/($U104+24000)))</f>
        <v/>
      </c>
      <c r="W104" s="76">
        <f>SUMIF(_爬塔队伍!$A$2:$A$501,VALUE(SUBSTITUTE(SUBSTITUTE(D104,"第",""),"层","")),_爬塔队伍!$F$2:$F$501)</f>
        <v/>
      </c>
      <c r="X104" s="76">
        <f>IF(OR($W104="",$Q104="",$Q104=0),"",$W104/$Q104)</f>
        <v/>
      </c>
      <c r="Y104" s="76">
        <f>IF(OR($R104="",$T104="",$T104=0),"",$R104/($T104*IF($O104="",1,$O104)))</f>
        <v/>
      </c>
      <c r="Z104" s="77">
        <f>IF(OR($X104="",$P104="",$P104=0),"",$X104/$P104)</f>
        <v/>
      </c>
      <c r="AA104" s="27">
        <f>IF($J104="","待填怪物等级",IF(OR($I104="",$Q104=""),"待填对照关卡",IF($P104="","已计算",IF(AND($Y104&lt;&gt;"",$Y104&lt;$X104),"生存不成立",IF($Z104&lt;0.5,"碾压",IF($Z104&lt;0.8,"偏简单",IF($Z104&lt;=1.2,"适中",IF($Z104&lt;=1.5,"偏难","过难"))))))))</f>
        <v/>
      </c>
      <c r="AB104" s="27">
        <f>IF($J104="","待填",IF(AND(ISNUMBER($J104),$J104&gt;=1,$J104&lt;=500,MOD($J104,1)=0),"有效","超范围"))</f>
        <v/>
      </c>
      <c r="AC104" s="27">
        <f>IF(OR($J104="",ROW()=5,$B104&lt;&gt;$B103,$J103=""),"",IF($J104&lt;$J103,"下降",""))</f>
        <v/>
      </c>
      <c r="AD104" s="28" t="inlineStr">
        <is>
          <t>整队验算：S/T为五人总生命/总攻击，U为平均防御，W为逐人计算后求和EHP；倍率由爬塔专用源表执行。</t>
        </is>
      </c>
      <c r="AE104" t="n">
        <v>1590000</v>
      </c>
      <c r="AF104">
        <f>INDEX(_统一战力!$B$2:$B$501,J104)</f>
        <v/>
      </c>
    </row>
    <row r="105">
      <c r="A105" t="inlineStr">
        <is>
          <t>当前配置</t>
        </is>
      </c>
      <c r="B105" t="inlineStr">
        <is>
          <t>爬塔</t>
        </is>
      </c>
      <c r="C105" t="inlineStr">
        <is>
          <t>现行包体5</t>
        </is>
      </c>
      <c r="D105" t="inlineStr">
        <is>
          <t>第101层</t>
        </is>
      </c>
      <c r="E105" t="n">
        <v>300401</v>
      </c>
      <c r="F105" t="inlineStr">
        <is>
          <t>普通怪</t>
        </is>
      </c>
      <c r="I105">
        <f>IF($H105="",$G105,$H105)</f>
        <v/>
      </c>
      <c r="J105" t="n">
        <v>281</v>
      </c>
      <c r="K105" t="n">
        <v>1.12582067235919</v>
      </c>
      <c r="L105" t="n">
        <v>0.729834891319568</v>
      </c>
      <c r="M105" t="n">
        <v>1</v>
      </c>
      <c r="Q105">
        <f>IF($I105="","",IFERROR(INDEX(_玩家曲线!$H$2:$H$286,MATCH($I105,_玩家曲线!$A$2:$A$286,0)),""))</f>
        <v/>
      </c>
      <c r="R105">
        <f>IF($I105="","",IFERROR(INDEX(_玩家曲线!$I$2:$I$286,MATCH($I105,_玩家曲线!$A$2:$A$286,0)),""))</f>
        <v/>
      </c>
      <c r="S105">
        <f>SUMIF(_爬塔队伍!$A$2:$A$1001,VALUE(SUBSTITUTE(SUBSTITUTE(D105,"第",""),"层","")),_爬塔队伍!$C$2:$C$1001)</f>
        <v/>
      </c>
      <c r="T105">
        <f>SUMIF(_爬塔队伍!$A$2:$A$1001,VALUE(SUBSTITUTE(SUBSTITUTE(D105,"第",""),"层","")),_爬塔队伍!$D$2:$D$1001)</f>
        <v/>
      </c>
      <c r="U105">
        <f>SUMIF(_爬塔队伍!$A$2:$A$1001,VALUE(SUBSTITUTE(SUBSTITUTE(D105,"第",""),"层","")),_爬塔队伍!$E$2:$E$1001)/COUNTIF(_爬塔队伍!$A$2:$A$1001,VALUE(SUBSTITUTE(SUBSTITUTE(D105,"第",""),"层","")))</f>
        <v/>
      </c>
      <c r="V105">
        <f>IF($U105="","",MIN(0.75,$U105/($U105+24000)))</f>
        <v/>
      </c>
      <c r="W105">
        <f>SUMIF(_爬塔队伍!$A$2:$A$1001,VALUE(SUBSTITUTE(SUBSTITUTE(D105,"第",""),"层","")),_爬塔队伍!$F$2:$F$1001)</f>
        <v/>
      </c>
      <c r="X105">
        <f>IF(OR($W105="",$Q105="",$Q105=0),"",$W105/$Q105)</f>
        <v/>
      </c>
      <c r="Y105">
        <f>IF(OR($R105="",$T105="",$T105=0),"",$R105/($T105*IF($O105="",1,$O105)))</f>
        <v/>
      </c>
      <c r="Z105">
        <f>IF(OR($X105="",$P105="",$P105=0),"",$X105/$P105)</f>
        <v/>
      </c>
      <c r="AA105">
        <f>IF($J105="","待填怪物等级",IF(OR($I105="",$Q105=""),"待填对照关卡",IF($P105="","已计算",IF(AND($Y105&lt;&gt;"",$Y105&lt;$X105),"生存不成立","已计算"))))</f>
        <v/>
      </c>
      <c r="AB105">
        <f>IF($J105="","待填",IF(AND(ISNUMBER($J105),$J105&gt;=1,$J105&lt;=500,MOD($J105,1)=0),"有效","超范围"))</f>
        <v/>
      </c>
      <c r="AC105">
        <f>IF(OR($J105="",ROW()=5,$B105&lt;&gt;$B104,$J104=""),"",IF($J105&lt;$J104,"下降",""))</f>
        <v/>
      </c>
      <c r="AD105" t="inlineStr">
        <is>
          <t>终局荣誉层：无同期对照，推荐战力封顶1,590,000（2026-09-20）</t>
        </is>
      </c>
      <c r="AE105" t="n">
        <v>1590000</v>
      </c>
      <c r="AF105">
        <f>INDEX(_统一战力!$B$2:$B$501,J105)</f>
        <v/>
      </c>
    </row>
    <row r="106">
      <c r="A106" t="inlineStr">
        <is>
          <t>当前配置</t>
        </is>
      </c>
      <c r="B106" t="inlineStr">
        <is>
          <t>爬塔</t>
        </is>
      </c>
      <c r="C106" t="inlineStr">
        <is>
          <t>现行包体5</t>
        </is>
      </c>
      <c r="D106" t="inlineStr">
        <is>
          <t>第102层</t>
        </is>
      </c>
      <c r="E106" t="n">
        <v>300402</v>
      </c>
      <c r="F106" t="inlineStr">
        <is>
          <t>普通怪</t>
        </is>
      </c>
      <c r="I106">
        <f>IF($H106="",$G106,$H106)</f>
        <v/>
      </c>
      <c r="J106" t="n">
        <v>282</v>
      </c>
      <c r="K106" t="n">
        <v>1.12582067235919</v>
      </c>
      <c r="L106" t="n">
        <v>0.729834891319568</v>
      </c>
      <c r="M106" t="n">
        <v>1</v>
      </c>
      <c r="Q106">
        <f>IF($I106="","",IFERROR(INDEX(_玩家曲线!$H$2:$H$286,MATCH($I106,_玩家曲线!$A$2:$A$286,0)),""))</f>
        <v/>
      </c>
      <c r="R106">
        <f>IF($I106="","",IFERROR(INDEX(_玩家曲线!$I$2:$I$286,MATCH($I106,_玩家曲线!$A$2:$A$286,0)),""))</f>
        <v/>
      </c>
      <c r="S106">
        <f>SUMIF(_爬塔队伍!$A$2:$A$1001,VALUE(SUBSTITUTE(SUBSTITUTE(D106,"第",""),"层","")),_爬塔队伍!$C$2:$C$1001)</f>
        <v/>
      </c>
      <c r="T106">
        <f>SUMIF(_爬塔队伍!$A$2:$A$1001,VALUE(SUBSTITUTE(SUBSTITUTE(D106,"第",""),"层","")),_爬塔队伍!$D$2:$D$1001)</f>
        <v/>
      </c>
      <c r="U106">
        <f>SUMIF(_爬塔队伍!$A$2:$A$1001,VALUE(SUBSTITUTE(SUBSTITUTE(D106,"第",""),"层","")),_爬塔队伍!$E$2:$E$1001)/COUNTIF(_爬塔队伍!$A$2:$A$1001,VALUE(SUBSTITUTE(SUBSTITUTE(D106,"第",""),"层","")))</f>
        <v/>
      </c>
      <c r="V106">
        <f>IF($U106="","",MIN(0.75,$U106/($U106+24000)))</f>
        <v/>
      </c>
      <c r="W106">
        <f>SUMIF(_爬塔队伍!$A$2:$A$1001,VALUE(SUBSTITUTE(SUBSTITUTE(D106,"第",""),"层","")),_爬塔队伍!$F$2:$F$1001)</f>
        <v/>
      </c>
      <c r="X106">
        <f>IF(OR($W106="",$Q106="",$Q106=0),"",$W106/$Q106)</f>
        <v/>
      </c>
      <c r="Y106">
        <f>IF(OR($R106="",$T106="",$T106=0),"",$R106/($T106*IF($O106="",1,$O106)))</f>
        <v/>
      </c>
      <c r="Z106">
        <f>IF(OR($X106="",$P106="",$P106=0),"",$X106/$P106)</f>
        <v/>
      </c>
      <c r="AA106">
        <f>IF($J106="","待填怪物等级",IF(OR($I106="",$Q106=""),"待填对照关卡",IF($P106="","已计算",IF(AND($Y106&lt;&gt;"",$Y106&lt;$X106),"生存不成立","已计算"))))</f>
        <v/>
      </c>
      <c r="AB106">
        <f>IF($J106="","待填",IF(AND(ISNUMBER($J106),$J106&gt;=1,$J106&lt;=500,MOD($J106,1)=0),"有效","超范围"))</f>
        <v/>
      </c>
      <c r="AC106">
        <f>IF(OR($J106="",ROW()=5,$B106&lt;&gt;$B105,$J105=""),"",IF($J106&lt;$J105,"下降",""))</f>
        <v/>
      </c>
      <c r="AD106" t="inlineStr">
        <is>
          <t>终局荣誉层：无同期对照，推荐战力封顶1,590,000（2026-09-20）</t>
        </is>
      </c>
      <c r="AE106" t="n">
        <v>1590000</v>
      </c>
      <c r="AF106">
        <f>INDEX(_统一战力!$B$2:$B$501,J106)</f>
        <v/>
      </c>
    </row>
    <row r="107">
      <c r="A107" t="inlineStr">
        <is>
          <t>当前配置</t>
        </is>
      </c>
      <c r="B107" t="inlineStr">
        <is>
          <t>爬塔</t>
        </is>
      </c>
      <c r="C107" t="inlineStr">
        <is>
          <t>现行包体5</t>
        </is>
      </c>
      <c r="D107" t="inlineStr">
        <is>
          <t>第103层</t>
        </is>
      </c>
      <c r="E107" t="n">
        <v>300403</v>
      </c>
      <c r="F107" t="inlineStr">
        <is>
          <t>普通怪</t>
        </is>
      </c>
      <c r="I107">
        <f>IF($H107="",$G107,$H107)</f>
        <v/>
      </c>
      <c r="J107" t="n">
        <v>284</v>
      </c>
      <c r="K107" t="n">
        <v>1.12582067235919</v>
      </c>
      <c r="L107" t="n">
        <v>0.729834891319568</v>
      </c>
      <c r="M107" t="n">
        <v>1</v>
      </c>
      <c r="Q107">
        <f>IF($I107="","",IFERROR(INDEX(_玩家曲线!$H$2:$H$286,MATCH($I107,_玩家曲线!$A$2:$A$286,0)),""))</f>
        <v/>
      </c>
      <c r="R107">
        <f>IF($I107="","",IFERROR(INDEX(_玩家曲线!$I$2:$I$286,MATCH($I107,_玩家曲线!$A$2:$A$286,0)),""))</f>
        <v/>
      </c>
      <c r="S107">
        <f>SUMIF(_爬塔队伍!$A$2:$A$1001,VALUE(SUBSTITUTE(SUBSTITUTE(D107,"第",""),"层","")),_爬塔队伍!$C$2:$C$1001)</f>
        <v/>
      </c>
      <c r="T107">
        <f>SUMIF(_爬塔队伍!$A$2:$A$1001,VALUE(SUBSTITUTE(SUBSTITUTE(D107,"第",""),"层","")),_爬塔队伍!$D$2:$D$1001)</f>
        <v/>
      </c>
      <c r="U107">
        <f>SUMIF(_爬塔队伍!$A$2:$A$1001,VALUE(SUBSTITUTE(SUBSTITUTE(D107,"第",""),"层","")),_爬塔队伍!$E$2:$E$1001)/COUNTIF(_爬塔队伍!$A$2:$A$1001,VALUE(SUBSTITUTE(SUBSTITUTE(D107,"第",""),"层","")))</f>
        <v/>
      </c>
      <c r="V107">
        <f>IF($U107="","",MIN(0.75,$U107/($U107+24000)))</f>
        <v/>
      </c>
      <c r="W107">
        <f>SUMIF(_爬塔队伍!$A$2:$A$1001,VALUE(SUBSTITUTE(SUBSTITUTE(D107,"第",""),"层","")),_爬塔队伍!$F$2:$F$1001)</f>
        <v/>
      </c>
      <c r="X107">
        <f>IF(OR($W107="",$Q107="",$Q107=0),"",$W107/$Q107)</f>
        <v/>
      </c>
      <c r="Y107">
        <f>IF(OR($R107="",$T107="",$T107=0),"",$R107/($T107*IF($O107="",1,$O107)))</f>
        <v/>
      </c>
      <c r="Z107">
        <f>IF(OR($X107="",$P107="",$P107=0),"",$X107/$P107)</f>
        <v/>
      </c>
      <c r="AA107">
        <f>IF($J107="","待填怪物等级",IF(OR($I107="",$Q107=""),"待填对照关卡",IF($P107="","已计算",IF(AND($Y107&lt;&gt;"",$Y107&lt;$X107),"生存不成立","已计算"))))</f>
        <v/>
      </c>
      <c r="AB107">
        <f>IF($J107="","待填",IF(AND(ISNUMBER($J107),$J107&gt;=1,$J107&lt;=500,MOD($J107,1)=0),"有效","超范围"))</f>
        <v/>
      </c>
      <c r="AC107">
        <f>IF(OR($J107="",ROW()=5,$B107&lt;&gt;$B106,$J106=""),"",IF($J107&lt;$J106,"下降",""))</f>
        <v/>
      </c>
      <c r="AD107" t="inlineStr">
        <is>
          <t>终局荣誉层：无同期对照，推荐战力封顶1,590,000（2026-09-20）</t>
        </is>
      </c>
      <c r="AE107" t="n">
        <v>1590000</v>
      </c>
      <c r="AF107">
        <f>INDEX(_统一战力!$B$2:$B$501,J107)</f>
        <v/>
      </c>
    </row>
    <row r="108">
      <c r="A108" t="inlineStr">
        <is>
          <t>当前配置</t>
        </is>
      </c>
      <c r="B108" t="inlineStr">
        <is>
          <t>爬塔</t>
        </is>
      </c>
      <c r="C108" t="inlineStr">
        <is>
          <t>现行包体5</t>
        </is>
      </c>
      <c r="D108" t="inlineStr">
        <is>
          <t>第104层</t>
        </is>
      </c>
      <c r="E108" t="n">
        <v>300404</v>
      </c>
      <c r="F108" t="inlineStr">
        <is>
          <t>普通怪</t>
        </is>
      </c>
      <c r="I108">
        <f>IF($H108="",$G108,$H108)</f>
        <v/>
      </c>
      <c r="J108" t="n">
        <v>285</v>
      </c>
      <c r="K108" t="n">
        <v>1.12582067235919</v>
      </c>
      <c r="L108" t="n">
        <v>0.729834891319568</v>
      </c>
      <c r="M108" t="n">
        <v>1</v>
      </c>
      <c r="Q108">
        <f>IF($I108="","",IFERROR(INDEX(_玩家曲线!$H$2:$H$286,MATCH($I108,_玩家曲线!$A$2:$A$286,0)),""))</f>
        <v/>
      </c>
      <c r="R108">
        <f>IF($I108="","",IFERROR(INDEX(_玩家曲线!$I$2:$I$286,MATCH($I108,_玩家曲线!$A$2:$A$286,0)),""))</f>
        <v/>
      </c>
      <c r="S108">
        <f>SUMIF(_爬塔队伍!$A$2:$A$1001,VALUE(SUBSTITUTE(SUBSTITUTE(D108,"第",""),"层","")),_爬塔队伍!$C$2:$C$1001)</f>
        <v/>
      </c>
      <c r="T108">
        <f>SUMIF(_爬塔队伍!$A$2:$A$1001,VALUE(SUBSTITUTE(SUBSTITUTE(D108,"第",""),"层","")),_爬塔队伍!$D$2:$D$1001)</f>
        <v/>
      </c>
      <c r="U108">
        <f>SUMIF(_爬塔队伍!$A$2:$A$1001,VALUE(SUBSTITUTE(SUBSTITUTE(D108,"第",""),"层","")),_爬塔队伍!$E$2:$E$1001)/COUNTIF(_爬塔队伍!$A$2:$A$1001,VALUE(SUBSTITUTE(SUBSTITUTE(D108,"第",""),"层","")))</f>
        <v/>
      </c>
      <c r="V108">
        <f>IF($U108="","",MIN(0.75,$U108/($U108+24000)))</f>
        <v/>
      </c>
      <c r="W108">
        <f>SUMIF(_爬塔队伍!$A$2:$A$1001,VALUE(SUBSTITUTE(SUBSTITUTE(D108,"第",""),"层","")),_爬塔队伍!$F$2:$F$1001)</f>
        <v/>
      </c>
      <c r="X108">
        <f>IF(OR($W108="",$Q108="",$Q108=0),"",$W108/$Q108)</f>
        <v/>
      </c>
      <c r="Y108">
        <f>IF(OR($R108="",$T108="",$T108=0),"",$R108/($T108*IF($O108="",1,$O108)))</f>
        <v/>
      </c>
      <c r="Z108">
        <f>IF(OR($X108="",$P108="",$P108=0),"",$X108/$P108)</f>
        <v/>
      </c>
      <c r="AA108">
        <f>IF($J108="","待填怪物等级",IF(OR($I108="",$Q108=""),"待填对照关卡",IF($P108="","已计算",IF(AND($Y108&lt;&gt;"",$Y108&lt;$X108),"生存不成立","已计算"))))</f>
        <v/>
      </c>
      <c r="AB108">
        <f>IF($J108="","待填",IF(AND(ISNUMBER($J108),$J108&gt;=1,$J108&lt;=500,MOD($J108,1)=0),"有效","超范围"))</f>
        <v/>
      </c>
      <c r="AC108">
        <f>IF(OR($J108="",ROW()=5,$B108&lt;&gt;$B107,$J107=""),"",IF($J108&lt;$J107,"下降",""))</f>
        <v/>
      </c>
      <c r="AD108" t="inlineStr">
        <is>
          <t>终局荣誉层：无同期对照，推荐战力封顶1,590,000（2026-09-20）</t>
        </is>
      </c>
      <c r="AE108" t="n">
        <v>1590000</v>
      </c>
      <c r="AF108">
        <f>INDEX(_统一战力!$B$2:$B$501,J108)</f>
        <v/>
      </c>
    </row>
    <row r="109">
      <c r="A109" t="inlineStr">
        <is>
          <t>当前配置</t>
        </is>
      </c>
      <c r="B109" t="inlineStr">
        <is>
          <t>爬塔</t>
        </is>
      </c>
      <c r="C109" t="inlineStr">
        <is>
          <t>现行包体5</t>
        </is>
      </c>
      <c r="D109" t="inlineStr">
        <is>
          <t>第105层</t>
        </is>
      </c>
      <c r="E109" t="n">
        <v>300405</v>
      </c>
      <c r="F109" t="inlineStr">
        <is>
          <t>精英怪</t>
        </is>
      </c>
      <c r="I109">
        <f>IF($H109="",$G109,$H109)</f>
        <v/>
      </c>
      <c r="J109" t="n">
        <v>286</v>
      </c>
      <c r="K109" t="n">
        <v>1.13108015591293</v>
      </c>
      <c r="L109" t="n">
        <v>0.726679309784578</v>
      </c>
      <c r="M109" t="n">
        <v>1</v>
      </c>
      <c r="Q109">
        <f>IF($I109="","",IFERROR(INDEX(_玩家曲线!$H$2:$H$286,MATCH($I109,_玩家曲线!$A$2:$A$286,0)),""))</f>
        <v/>
      </c>
      <c r="R109">
        <f>IF($I109="","",IFERROR(INDEX(_玩家曲线!$I$2:$I$286,MATCH($I109,_玩家曲线!$A$2:$A$286,0)),""))</f>
        <v/>
      </c>
      <c r="S109">
        <f>SUMIF(_爬塔队伍!$A$2:$A$1001,VALUE(SUBSTITUTE(SUBSTITUTE(D109,"第",""),"层","")),_爬塔队伍!$C$2:$C$1001)</f>
        <v/>
      </c>
      <c r="T109">
        <f>SUMIF(_爬塔队伍!$A$2:$A$1001,VALUE(SUBSTITUTE(SUBSTITUTE(D109,"第",""),"层","")),_爬塔队伍!$D$2:$D$1001)</f>
        <v/>
      </c>
      <c r="U109">
        <f>SUMIF(_爬塔队伍!$A$2:$A$1001,VALUE(SUBSTITUTE(SUBSTITUTE(D109,"第",""),"层","")),_爬塔队伍!$E$2:$E$1001)/COUNTIF(_爬塔队伍!$A$2:$A$1001,VALUE(SUBSTITUTE(SUBSTITUTE(D109,"第",""),"层","")))</f>
        <v/>
      </c>
      <c r="V109">
        <f>IF($U109="","",MIN(0.75,$U109/($U109+24000)))</f>
        <v/>
      </c>
      <c r="W109">
        <f>SUMIF(_爬塔队伍!$A$2:$A$1001,VALUE(SUBSTITUTE(SUBSTITUTE(D109,"第",""),"层","")),_爬塔队伍!$F$2:$F$1001)</f>
        <v/>
      </c>
      <c r="X109">
        <f>IF(OR($W109="",$Q109="",$Q109=0),"",$W109/$Q109)</f>
        <v/>
      </c>
      <c r="Y109">
        <f>IF(OR($R109="",$T109="",$T109=0),"",$R109/($T109*IF($O109="",1,$O109)))</f>
        <v/>
      </c>
      <c r="Z109">
        <f>IF(OR($X109="",$P109="",$P109=0),"",$X109/$P109)</f>
        <v/>
      </c>
      <c r="AA109">
        <f>IF($J109="","待填怪物等级",IF(OR($I109="",$Q109=""),"待填对照关卡",IF($P109="","已计算",IF(AND($Y109&lt;&gt;"",$Y109&lt;$X109),"生存不成立","已计算"))))</f>
        <v/>
      </c>
      <c r="AB109">
        <f>IF($J109="","待填",IF(AND(ISNUMBER($J109),$J109&gt;=1,$J109&lt;=500,MOD($J109,1)=0),"有效","超范围"))</f>
        <v/>
      </c>
      <c r="AC109">
        <f>IF(OR($J109="",ROW()=5,$B109&lt;&gt;$B108,$J108=""),"",IF($J109&lt;$J108,"下降",""))</f>
        <v/>
      </c>
      <c r="AD109" t="inlineStr">
        <is>
          <t>终局荣誉层：无同期对照，推荐战力封顶1,590,000（2026-09-20）</t>
        </is>
      </c>
      <c r="AE109" t="n">
        <v>1590000</v>
      </c>
      <c r="AF109">
        <f>INDEX(_统一战力!$B$2:$B$501,J109)</f>
        <v/>
      </c>
    </row>
    <row r="110">
      <c r="A110" t="inlineStr">
        <is>
          <t>当前配置</t>
        </is>
      </c>
      <c r="B110" t="inlineStr">
        <is>
          <t>爬塔</t>
        </is>
      </c>
      <c r="C110" t="inlineStr">
        <is>
          <t>现行包体5</t>
        </is>
      </c>
      <c r="D110" t="inlineStr">
        <is>
          <t>第106层</t>
        </is>
      </c>
      <c r="E110" t="n">
        <v>300406</v>
      </c>
      <c r="F110" t="inlineStr">
        <is>
          <t>普通怪</t>
        </is>
      </c>
      <c r="I110">
        <f>IF($H110="",$G110,$H110)</f>
        <v/>
      </c>
      <c r="J110" t="n">
        <v>287</v>
      </c>
      <c r="K110" t="n">
        <v>1.12582067235919</v>
      </c>
      <c r="L110" t="n">
        <v>0.729834891319568</v>
      </c>
      <c r="M110" t="n">
        <v>1</v>
      </c>
      <c r="Q110">
        <f>IF($I110="","",IFERROR(INDEX(_玩家曲线!$H$2:$H$286,MATCH($I110,_玩家曲线!$A$2:$A$286,0)),""))</f>
        <v/>
      </c>
      <c r="R110">
        <f>IF($I110="","",IFERROR(INDEX(_玩家曲线!$I$2:$I$286,MATCH($I110,_玩家曲线!$A$2:$A$286,0)),""))</f>
        <v/>
      </c>
      <c r="S110">
        <f>SUMIF(_爬塔队伍!$A$2:$A$1001,VALUE(SUBSTITUTE(SUBSTITUTE(D110,"第",""),"层","")),_爬塔队伍!$C$2:$C$1001)</f>
        <v/>
      </c>
      <c r="T110">
        <f>SUMIF(_爬塔队伍!$A$2:$A$1001,VALUE(SUBSTITUTE(SUBSTITUTE(D110,"第",""),"层","")),_爬塔队伍!$D$2:$D$1001)</f>
        <v/>
      </c>
      <c r="U110">
        <f>SUMIF(_爬塔队伍!$A$2:$A$1001,VALUE(SUBSTITUTE(SUBSTITUTE(D110,"第",""),"层","")),_爬塔队伍!$E$2:$E$1001)/COUNTIF(_爬塔队伍!$A$2:$A$1001,VALUE(SUBSTITUTE(SUBSTITUTE(D110,"第",""),"层","")))</f>
        <v/>
      </c>
      <c r="V110">
        <f>IF($U110="","",MIN(0.75,$U110/($U110+24000)))</f>
        <v/>
      </c>
      <c r="W110">
        <f>SUMIF(_爬塔队伍!$A$2:$A$1001,VALUE(SUBSTITUTE(SUBSTITUTE(D110,"第",""),"层","")),_爬塔队伍!$F$2:$F$1001)</f>
        <v/>
      </c>
      <c r="X110">
        <f>IF(OR($W110="",$Q110="",$Q110=0),"",$W110/$Q110)</f>
        <v/>
      </c>
      <c r="Y110">
        <f>IF(OR($R110="",$T110="",$T110=0),"",$R110/($T110*IF($O110="",1,$O110)))</f>
        <v/>
      </c>
      <c r="Z110">
        <f>IF(OR($X110="",$P110="",$P110=0),"",$X110/$P110)</f>
        <v/>
      </c>
      <c r="AA110">
        <f>IF($J110="","待填怪物等级",IF(OR($I110="",$Q110=""),"待填对照关卡",IF($P110="","已计算",IF(AND($Y110&lt;&gt;"",$Y110&lt;$X110),"生存不成立","已计算"))))</f>
        <v/>
      </c>
      <c r="AB110">
        <f>IF($J110="","待填",IF(AND(ISNUMBER($J110),$J110&gt;=1,$J110&lt;=500,MOD($J110,1)=0),"有效","超范围"))</f>
        <v/>
      </c>
      <c r="AC110">
        <f>IF(OR($J110="",ROW()=5,$B110&lt;&gt;$B109,$J109=""),"",IF($J110&lt;$J109,"下降",""))</f>
        <v/>
      </c>
      <c r="AD110" t="inlineStr">
        <is>
          <t>终局荣誉层：无同期对照，推荐战力封顶1,590,000（2026-09-20）</t>
        </is>
      </c>
      <c r="AE110" t="n">
        <v>1590000</v>
      </c>
      <c r="AF110">
        <f>INDEX(_统一战力!$B$2:$B$501,J110)</f>
        <v/>
      </c>
    </row>
    <row r="111">
      <c r="A111" t="inlineStr">
        <is>
          <t>当前配置</t>
        </is>
      </c>
      <c r="B111" t="inlineStr">
        <is>
          <t>爬塔</t>
        </is>
      </c>
      <c r="C111" t="inlineStr">
        <is>
          <t>现行包体5</t>
        </is>
      </c>
      <c r="D111" t="inlineStr">
        <is>
          <t>第107层</t>
        </is>
      </c>
      <c r="E111" t="n">
        <v>300407</v>
      </c>
      <c r="F111" t="inlineStr">
        <is>
          <t>普通怪</t>
        </is>
      </c>
      <c r="I111">
        <f>IF($H111="",$G111,$H111)</f>
        <v/>
      </c>
      <c r="J111" t="n">
        <v>288</v>
      </c>
      <c r="K111" t="n">
        <v>1.12582067235919</v>
      </c>
      <c r="L111" t="n">
        <v>0.729834891319568</v>
      </c>
      <c r="M111" t="n">
        <v>1</v>
      </c>
      <c r="Q111">
        <f>IF($I111="","",IFERROR(INDEX(_玩家曲线!$H$2:$H$286,MATCH($I111,_玩家曲线!$A$2:$A$286,0)),""))</f>
        <v/>
      </c>
      <c r="R111">
        <f>IF($I111="","",IFERROR(INDEX(_玩家曲线!$I$2:$I$286,MATCH($I111,_玩家曲线!$A$2:$A$286,0)),""))</f>
        <v/>
      </c>
      <c r="S111">
        <f>SUMIF(_爬塔队伍!$A$2:$A$1001,VALUE(SUBSTITUTE(SUBSTITUTE(D111,"第",""),"层","")),_爬塔队伍!$C$2:$C$1001)</f>
        <v/>
      </c>
      <c r="T111">
        <f>SUMIF(_爬塔队伍!$A$2:$A$1001,VALUE(SUBSTITUTE(SUBSTITUTE(D111,"第",""),"层","")),_爬塔队伍!$D$2:$D$1001)</f>
        <v/>
      </c>
      <c r="U111">
        <f>SUMIF(_爬塔队伍!$A$2:$A$1001,VALUE(SUBSTITUTE(SUBSTITUTE(D111,"第",""),"层","")),_爬塔队伍!$E$2:$E$1001)/COUNTIF(_爬塔队伍!$A$2:$A$1001,VALUE(SUBSTITUTE(SUBSTITUTE(D111,"第",""),"层","")))</f>
        <v/>
      </c>
      <c r="V111">
        <f>IF($U111="","",MIN(0.75,$U111/($U111+24000)))</f>
        <v/>
      </c>
      <c r="W111">
        <f>SUMIF(_爬塔队伍!$A$2:$A$1001,VALUE(SUBSTITUTE(SUBSTITUTE(D111,"第",""),"层","")),_爬塔队伍!$F$2:$F$1001)</f>
        <v/>
      </c>
      <c r="X111">
        <f>IF(OR($W111="",$Q111="",$Q111=0),"",$W111/$Q111)</f>
        <v/>
      </c>
      <c r="Y111">
        <f>IF(OR($R111="",$T111="",$T111=0),"",$R111/($T111*IF($O111="",1,$O111)))</f>
        <v/>
      </c>
      <c r="Z111">
        <f>IF(OR($X111="",$P111="",$P111=0),"",$X111/$P111)</f>
        <v/>
      </c>
      <c r="AA111">
        <f>IF($J111="","待填怪物等级",IF(OR($I111="",$Q111=""),"待填对照关卡",IF($P111="","已计算",IF(AND($Y111&lt;&gt;"",$Y111&lt;$X111),"生存不成立","已计算"))))</f>
        <v/>
      </c>
      <c r="AB111">
        <f>IF($J111="","待填",IF(AND(ISNUMBER($J111),$J111&gt;=1,$J111&lt;=500,MOD($J111,1)=0),"有效","超范围"))</f>
        <v/>
      </c>
      <c r="AC111">
        <f>IF(OR($J111="",ROW()=5,$B111&lt;&gt;$B110,$J110=""),"",IF($J111&lt;$J110,"下降",""))</f>
        <v/>
      </c>
      <c r="AD111" t="inlineStr">
        <is>
          <t>终局荣誉层：无同期对照，推荐战力封顶1,590,000（2026-09-20）</t>
        </is>
      </c>
      <c r="AE111" t="n">
        <v>1590000</v>
      </c>
      <c r="AF111">
        <f>INDEX(_统一战力!$B$2:$B$501,J111)</f>
        <v/>
      </c>
    </row>
    <row r="112">
      <c r="A112" t="inlineStr">
        <is>
          <t>当前配置</t>
        </is>
      </c>
      <c r="B112" t="inlineStr">
        <is>
          <t>爬塔</t>
        </is>
      </c>
      <c r="C112" t="inlineStr">
        <is>
          <t>现行包体5</t>
        </is>
      </c>
      <c r="D112" t="inlineStr">
        <is>
          <t>第108层</t>
        </is>
      </c>
      <c r="E112" t="n">
        <v>300408</v>
      </c>
      <c r="F112" t="inlineStr">
        <is>
          <t>普通怪</t>
        </is>
      </c>
      <c r="I112">
        <f>IF($H112="",$G112,$H112)</f>
        <v/>
      </c>
      <c r="J112" t="n">
        <v>290</v>
      </c>
      <c r="K112" t="n">
        <v>1.12582067235919</v>
      </c>
      <c r="L112" t="n">
        <v>0.729834891319568</v>
      </c>
      <c r="M112" t="n">
        <v>1</v>
      </c>
      <c r="Q112">
        <f>IF($I112="","",IFERROR(INDEX(_玩家曲线!$H$2:$H$286,MATCH($I112,_玩家曲线!$A$2:$A$286,0)),""))</f>
        <v/>
      </c>
      <c r="R112">
        <f>IF($I112="","",IFERROR(INDEX(_玩家曲线!$I$2:$I$286,MATCH($I112,_玩家曲线!$A$2:$A$286,0)),""))</f>
        <v/>
      </c>
      <c r="S112">
        <f>SUMIF(_爬塔队伍!$A$2:$A$1001,VALUE(SUBSTITUTE(SUBSTITUTE(D112,"第",""),"层","")),_爬塔队伍!$C$2:$C$1001)</f>
        <v/>
      </c>
      <c r="T112">
        <f>SUMIF(_爬塔队伍!$A$2:$A$1001,VALUE(SUBSTITUTE(SUBSTITUTE(D112,"第",""),"层","")),_爬塔队伍!$D$2:$D$1001)</f>
        <v/>
      </c>
      <c r="U112">
        <f>SUMIF(_爬塔队伍!$A$2:$A$1001,VALUE(SUBSTITUTE(SUBSTITUTE(D112,"第",""),"层","")),_爬塔队伍!$E$2:$E$1001)/COUNTIF(_爬塔队伍!$A$2:$A$1001,VALUE(SUBSTITUTE(SUBSTITUTE(D112,"第",""),"层","")))</f>
        <v/>
      </c>
      <c r="V112">
        <f>IF($U112="","",MIN(0.75,$U112/($U112+24000)))</f>
        <v/>
      </c>
      <c r="W112">
        <f>SUMIF(_爬塔队伍!$A$2:$A$1001,VALUE(SUBSTITUTE(SUBSTITUTE(D112,"第",""),"层","")),_爬塔队伍!$F$2:$F$1001)</f>
        <v/>
      </c>
      <c r="X112">
        <f>IF(OR($W112="",$Q112="",$Q112=0),"",$W112/$Q112)</f>
        <v/>
      </c>
      <c r="Y112">
        <f>IF(OR($R112="",$T112="",$T112=0),"",$R112/($T112*IF($O112="",1,$O112)))</f>
        <v/>
      </c>
      <c r="Z112">
        <f>IF(OR($X112="",$P112="",$P112=0),"",$X112/$P112)</f>
        <v/>
      </c>
      <c r="AA112">
        <f>IF($J112="","待填怪物等级",IF(OR($I112="",$Q112=""),"待填对照关卡",IF($P112="","已计算",IF(AND($Y112&lt;&gt;"",$Y112&lt;$X112),"生存不成立","已计算"))))</f>
        <v/>
      </c>
      <c r="AB112">
        <f>IF($J112="","待填",IF(AND(ISNUMBER($J112),$J112&gt;=1,$J112&lt;=500,MOD($J112,1)=0),"有效","超范围"))</f>
        <v/>
      </c>
      <c r="AC112">
        <f>IF(OR($J112="",ROW()=5,$B112&lt;&gt;$B111,$J111=""),"",IF($J112&lt;$J111,"下降",""))</f>
        <v/>
      </c>
      <c r="AD112" t="inlineStr">
        <is>
          <t>终局荣誉层：无同期对照，推荐战力封顶1,590,000（2026-09-20）</t>
        </is>
      </c>
      <c r="AE112" t="n">
        <v>1590000</v>
      </c>
      <c r="AF112">
        <f>INDEX(_统一战力!$B$2:$B$501,J112)</f>
        <v/>
      </c>
    </row>
    <row r="113">
      <c r="A113" t="inlineStr">
        <is>
          <t>当前配置</t>
        </is>
      </c>
      <c r="B113" t="inlineStr">
        <is>
          <t>爬塔</t>
        </is>
      </c>
      <c r="C113" t="inlineStr">
        <is>
          <t>现行包体5</t>
        </is>
      </c>
      <c r="D113" t="inlineStr">
        <is>
          <t>第109层</t>
        </is>
      </c>
      <c r="E113" t="n">
        <v>300409</v>
      </c>
      <c r="F113" t="inlineStr">
        <is>
          <t>普通怪</t>
        </is>
      </c>
      <c r="I113">
        <f>IF($H113="",$G113,$H113)</f>
        <v/>
      </c>
      <c r="J113" t="n">
        <v>291</v>
      </c>
      <c r="K113" t="n">
        <v>1.12582067235919</v>
      </c>
      <c r="L113" t="n">
        <v>0.729834891319568</v>
      </c>
      <c r="M113" t="n">
        <v>1</v>
      </c>
      <c r="Q113">
        <f>IF($I113="","",IFERROR(INDEX(_玩家曲线!$H$2:$H$286,MATCH($I113,_玩家曲线!$A$2:$A$286,0)),""))</f>
        <v/>
      </c>
      <c r="R113">
        <f>IF($I113="","",IFERROR(INDEX(_玩家曲线!$I$2:$I$286,MATCH($I113,_玩家曲线!$A$2:$A$286,0)),""))</f>
        <v/>
      </c>
      <c r="S113">
        <f>SUMIF(_爬塔队伍!$A$2:$A$1001,VALUE(SUBSTITUTE(SUBSTITUTE(D113,"第",""),"层","")),_爬塔队伍!$C$2:$C$1001)</f>
        <v/>
      </c>
      <c r="T113">
        <f>SUMIF(_爬塔队伍!$A$2:$A$1001,VALUE(SUBSTITUTE(SUBSTITUTE(D113,"第",""),"层","")),_爬塔队伍!$D$2:$D$1001)</f>
        <v/>
      </c>
      <c r="U113">
        <f>SUMIF(_爬塔队伍!$A$2:$A$1001,VALUE(SUBSTITUTE(SUBSTITUTE(D113,"第",""),"层","")),_爬塔队伍!$E$2:$E$1001)/COUNTIF(_爬塔队伍!$A$2:$A$1001,VALUE(SUBSTITUTE(SUBSTITUTE(D113,"第",""),"层","")))</f>
        <v/>
      </c>
      <c r="V113">
        <f>IF($U113="","",MIN(0.75,$U113/($U113+24000)))</f>
        <v/>
      </c>
      <c r="W113">
        <f>SUMIF(_爬塔队伍!$A$2:$A$1001,VALUE(SUBSTITUTE(SUBSTITUTE(D113,"第",""),"层","")),_爬塔队伍!$F$2:$F$1001)</f>
        <v/>
      </c>
      <c r="X113">
        <f>IF(OR($W113="",$Q113="",$Q113=0),"",$W113/$Q113)</f>
        <v/>
      </c>
      <c r="Y113">
        <f>IF(OR($R113="",$T113="",$T113=0),"",$R113/($T113*IF($O113="",1,$O113)))</f>
        <v/>
      </c>
      <c r="Z113">
        <f>IF(OR($X113="",$P113="",$P113=0),"",$X113/$P113)</f>
        <v/>
      </c>
      <c r="AA113">
        <f>IF($J113="","待填怪物等级",IF(OR($I113="",$Q113=""),"待填对照关卡",IF($P113="","已计算",IF(AND($Y113&lt;&gt;"",$Y113&lt;$X113),"生存不成立","已计算"))))</f>
        <v/>
      </c>
      <c r="AB113">
        <f>IF($J113="","待填",IF(AND(ISNUMBER($J113),$J113&gt;=1,$J113&lt;=500,MOD($J113,1)=0),"有效","超范围"))</f>
        <v/>
      </c>
      <c r="AC113">
        <f>IF(OR($J113="",ROW()=5,$B113&lt;&gt;$B112,$J112=""),"",IF($J113&lt;$J112,"下降",""))</f>
        <v/>
      </c>
      <c r="AD113" t="inlineStr">
        <is>
          <t>终局荣誉层：无同期对照，推荐战力封顶1,590,000（2026-09-20）</t>
        </is>
      </c>
      <c r="AE113" t="n">
        <v>1590000</v>
      </c>
      <c r="AF113">
        <f>INDEX(_统一战力!$B$2:$B$501,J113)</f>
        <v/>
      </c>
    </row>
    <row r="114">
      <c r="A114" t="inlineStr">
        <is>
          <t>当前配置</t>
        </is>
      </c>
      <c r="B114" t="inlineStr">
        <is>
          <t>爬塔</t>
        </is>
      </c>
      <c r="C114" t="inlineStr">
        <is>
          <t>现行包体5</t>
        </is>
      </c>
      <c r="D114" t="inlineStr">
        <is>
          <t>第110层</t>
        </is>
      </c>
      <c r="E114" t="n">
        <v>300410</v>
      </c>
      <c r="F114" t="inlineStr">
        <is>
          <t>Boss</t>
        </is>
      </c>
      <c r="I114">
        <f>IF($H114="",$G114,$H114)</f>
        <v/>
      </c>
      <c r="J114" t="n">
        <v>292</v>
      </c>
      <c r="K114" t="n">
        <v>1.12671592412141</v>
      </c>
      <c r="L114" t="n">
        <v>0.731229508674054</v>
      </c>
      <c r="M114" t="n">
        <v>1</v>
      </c>
      <c r="Q114">
        <f>IF($I114="","",IFERROR(INDEX(_玩家曲线!$H$2:$H$286,MATCH($I114,_玩家曲线!$A$2:$A$286,0)),""))</f>
        <v/>
      </c>
      <c r="R114">
        <f>IF($I114="","",IFERROR(INDEX(_玩家曲线!$I$2:$I$286,MATCH($I114,_玩家曲线!$A$2:$A$286,0)),""))</f>
        <v/>
      </c>
      <c r="S114">
        <f>SUMIF(_爬塔队伍!$A$2:$A$1001,VALUE(SUBSTITUTE(SUBSTITUTE(D114,"第",""),"层","")),_爬塔队伍!$C$2:$C$1001)</f>
        <v/>
      </c>
      <c r="T114">
        <f>SUMIF(_爬塔队伍!$A$2:$A$1001,VALUE(SUBSTITUTE(SUBSTITUTE(D114,"第",""),"层","")),_爬塔队伍!$D$2:$D$1001)</f>
        <v/>
      </c>
      <c r="U114">
        <f>SUMIF(_爬塔队伍!$A$2:$A$1001,VALUE(SUBSTITUTE(SUBSTITUTE(D114,"第",""),"层","")),_爬塔队伍!$E$2:$E$1001)/COUNTIF(_爬塔队伍!$A$2:$A$1001,VALUE(SUBSTITUTE(SUBSTITUTE(D114,"第",""),"层","")))</f>
        <v/>
      </c>
      <c r="V114">
        <f>IF($U114="","",MIN(0.75,$U114/($U114+24000)))</f>
        <v/>
      </c>
      <c r="W114">
        <f>SUMIF(_爬塔队伍!$A$2:$A$1001,VALUE(SUBSTITUTE(SUBSTITUTE(D114,"第",""),"层","")),_爬塔队伍!$F$2:$F$1001)</f>
        <v/>
      </c>
      <c r="X114">
        <f>IF(OR($W114="",$Q114="",$Q114=0),"",$W114/$Q114)</f>
        <v/>
      </c>
      <c r="Y114">
        <f>IF(OR($R114="",$T114="",$T114=0),"",$R114/($T114*IF($O114="",1,$O114)))</f>
        <v/>
      </c>
      <c r="Z114">
        <f>IF(OR($X114="",$P114="",$P114=0),"",$X114/$P114)</f>
        <v/>
      </c>
      <c r="AA114">
        <f>IF($J114="","待填怪物等级",IF(OR($I114="",$Q114=""),"待填对照关卡",IF($P114="","已计算",IF(AND($Y114&lt;&gt;"",$Y114&lt;$X114),"生存不成立","已计算"))))</f>
        <v/>
      </c>
      <c r="AB114">
        <f>IF($J114="","待填",IF(AND(ISNUMBER($J114),$J114&gt;=1,$J114&lt;=500,MOD($J114,1)=0),"有效","超范围"))</f>
        <v/>
      </c>
      <c r="AC114">
        <f>IF(OR($J114="",ROW()=5,$B114&lt;&gt;$B113,$J113=""),"",IF($J114&lt;$J113,"下降",""))</f>
        <v/>
      </c>
      <c r="AD114" t="inlineStr">
        <is>
          <t>终局荣誉层：无同期对照，推荐战力封顶1,590,000（2026-09-20）</t>
        </is>
      </c>
      <c r="AE114" t="n">
        <v>1590000</v>
      </c>
      <c r="AF114">
        <f>INDEX(_统一战力!$B$2:$B$501,J114)</f>
        <v/>
      </c>
    </row>
    <row r="115">
      <c r="A115" t="inlineStr">
        <is>
          <t>当前配置</t>
        </is>
      </c>
      <c r="B115" t="inlineStr">
        <is>
          <t>爬塔</t>
        </is>
      </c>
      <c r="C115" t="inlineStr">
        <is>
          <t>现行包体5</t>
        </is>
      </c>
      <c r="D115" t="inlineStr">
        <is>
          <t>第111层</t>
        </is>
      </c>
      <c r="E115" t="n">
        <v>300411</v>
      </c>
      <c r="F115" t="inlineStr">
        <is>
          <t>普通怪</t>
        </is>
      </c>
      <c r="I115">
        <f>IF($H115="",$G115,$H115)</f>
        <v/>
      </c>
      <c r="J115" t="n">
        <v>293</v>
      </c>
      <c r="K115" t="n">
        <v>1.12582067235919</v>
      </c>
      <c r="L115" t="n">
        <v>0.729834891319568</v>
      </c>
      <c r="M115" t="n">
        <v>1</v>
      </c>
      <c r="Q115">
        <f>IF($I115="","",IFERROR(INDEX(_玩家曲线!$H$2:$H$286,MATCH($I115,_玩家曲线!$A$2:$A$286,0)),""))</f>
        <v/>
      </c>
      <c r="R115">
        <f>IF($I115="","",IFERROR(INDEX(_玩家曲线!$I$2:$I$286,MATCH($I115,_玩家曲线!$A$2:$A$286,0)),""))</f>
        <v/>
      </c>
      <c r="S115">
        <f>SUMIF(_爬塔队伍!$A$2:$A$1001,VALUE(SUBSTITUTE(SUBSTITUTE(D115,"第",""),"层","")),_爬塔队伍!$C$2:$C$1001)</f>
        <v/>
      </c>
      <c r="T115">
        <f>SUMIF(_爬塔队伍!$A$2:$A$1001,VALUE(SUBSTITUTE(SUBSTITUTE(D115,"第",""),"层","")),_爬塔队伍!$D$2:$D$1001)</f>
        <v/>
      </c>
      <c r="U115">
        <f>SUMIF(_爬塔队伍!$A$2:$A$1001,VALUE(SUBSTITUTE(SUBSTITUTE(D115,"第",""),"层","")),_爬塔队伍!$E$2:$E$1001)/COUNTIF(_爬塔队伍!$A$2:$A$1001,VALUE(SUBSTITUTE(SUBSTITUTE(D115,"第",""),"层","")))</f>
        <v/>
      </c>
      <c r="V115">
        <f>IF($U115="","",MIN(0.75,$U115/($U115+24000)))</f>
        <v/>
      </c>
      <c r="W115">
        <f>SUMIF(_爬塔队伍!$A$2:$A$1001,VALUE(SUBSTITUTE(SUBSTITUTE(D115,"第",""),"层","")),_爬塔队伍!$F$2:$F$1001)</f>
        <v/>
      </c>
      <c r="X115">
        <f>IF(OR($W115="",$Q115="",$Q115=0),"",$W115/$Q115)</f>
        <v/>
      </c>
      <c r="Y115">
        <f>IF(OR($R115="",$T115="",$T115=0),"",$R115/($T115*IF($O115="",1,$O115)))</f>
        <v/>
      </c>
      <c r="Z115">
        <f>IF(OR($X115="",$P115="",$P115=0),"",$X115/$P115)</f>
        <v/>
      </c>
      <c r="AA115">
        <f>IF($J115="","待填怪物等级",IF(OR($I115="",$Q115=""),"待填对照关卡",IF($P115="","已计算",IF(AND($Y115&lt;&gt;"",$Y115&lt;$X115),"生存不成立","已计算"))))</f>
        <v/>
      </c>
      <c r="AB115">
        <f>IF($J115="","待填",IF(AND(ISNUMBER($J115),$J115&gt;=1,$J115&lt;=500,MOD($J115,1)=0),"有效","超范围"))</f>
        <v/>
      </c>
      <c r="AC115">
        <f>IF(OR($J115="",ROW()=5,$B115&lt;&gt;$B114,$J114=""),"",IF($J115&lt;$J114,"下降",""))</f>
        <v/>
      </c>
      <c r="AD115" t="inlineStr">
        <is>
          <t>终局荣誉层：无同期对照，推荐战力封顶1,590,000（2026-09-20）</t>
        </is>
      </c>
      <c r="AE115" t="n">
        <v>1590000</v>
      </c>
      <c r="AF115">
        <f>INDEX(_统一战力!$B$2:$B$501,J115)</f>
        <v/>
      </c>
    </row>
    <row r="116">
      <c r="A116" t="inlineStr">
        <is>
          <t>当前配置</t>
        </is>
      </c>
      <c r="B116" t="inlineStr">
        <is>
          <t>爬塔</t>
        </is>
      </c>
      <c r="C116" t="inlineStr">
        <is>
          <t>现行包体5</t>
        </is>
      </c>
      <c r="D116" t="inlineStr">
        <is>
          <t>第112层</t>
        </is>
      </c>
      <c r="E116" t="n">
        <v>300412</v>
      </c>
      <c r="F116" t="inlineStr">
        <is>
          <t>普通怪</t>
        </is>
      </c>
      <c r="I116">
        <f>IF($H116="",$G116,$H116)</f>
        <v/>
      </c>
      <c r="J116" t="n">
        <v>295</v>
      </c>
      <c r="K116" t="n">
        <v>1.12582067235919</v>
      </c>
      <c r="L116" t="n">
        <v>0.729834891319568</v>
      </c>
      <c r="M116" t="n">
        <v>1</v>
      </c>
      <c r="Q116">
        <f>IF($I116="","",IFERROR(INDEX(_玩家曲线!$H$2:$H$286,MATCH($I116,_玩家曲线!$A$2:$A$286,0)),""))</f>
        <v/>
      </c>
      <c r="R116">
        <f>IF($I116="","",IFERROR(INDEX(_玩家曲线!$I$2:$I$286,MATCH($I116,_玩家曲线!$A$2:$A$286,0)),""))</f>
        <v/>
      </c>
      <c r="S116">
        <f>SUMIF(_爬塔队伍!$A$2:$A$1001,VALUE(SUBSTITUTE(SUBSTITUTE(D116,"第",""),"层","")),_爬塔队伍!$C$2:$C$1001)</f>
        <v/>
      </c>
      <c r="T116">
        <f>SUMIF(_爬塔队伍!$A$2:$A$1001,VALUE(SUBSTITUTE(SUBSTITUTE(D116,"第",""),"层","")),_爬塔队伍!$D$2:$D$1001)</f>
        <v/>
      </c>
      <c r="U116">
        <f>SUMIF(_爬塔队伍!$A$2:$A$1001,VALUE(SUBSTITUTE(SUBSTITUTE(D116,"第",""),"层","")),_爬塔队伍!$E$2:$E$1001)/COUNTIF(_爬塔队伍!$A$2:$A$1001,VALUE(SUBSTITUTE(SUBSTITUTE(D116,"第",""),"层","")))</f>
        <v/>
      </c>
      <c r="V116">
        <f>IF($U116="","",MIN(0.75,$U116/($U116+24000)))</f>
        <v/>
      </c>
      <c r="W116">
        <f>SUMIF(_爬塔队伍!$A$2:$A$1001,VALUE(SUBSTITUTE(SUBSTITUTE(D116,"第",""),"层","")),_爬塔队伍!$F$2:$F$1001)</f>
        <v/>
      </c>
      <c r="X116">
        <f>IF(OR($W116="",$Q116="",$Q116=0),"",$W116/$Q116)</f>
        <v/>
      </c>
      <c r="Y116">
        <f>IF(OR($R116="",$T116="",$T116=0),"",$R116/($T116*IF($O116="",1,$O116)))</f>
        <v/>
      </c>
      <c r="Z116">
        <f>IF(OR($X116="",$P116="",$P116=0),"",$X116/$P116)</f>
        <v/>
      </c>
      <c r="AA116">
        <f>IF($J116="","待填怪物等级",IF(OR($I116="",$Q116=""),"待填对照关卡",IF($P116="","已计算",IF(AND($Y116&lt;&gt;"",$Y116&lt;$X116),"生存不成立","已计算"))))</f>
        <v/>
      </c>
      <c r="AB116">
        <f>IF($J116="","待填",IF(AND(ISNUMBER($J116),$J116&gt;=1,$J116&lt;=500,MOD($J116,1)=0),"有效","超范围"))</f>
        <v/>
      </c>
      <c r="AC116">
        <f>IF(OR($J116="",ROW()=5,$B116&lt;&gt;$B115,$J115=""),"",IF($J116&lt;$J115,"下降",""))</f>
        <v/>
      </c>
      <c r="AD116" t="inlineStr">
        <is>
          <t>终局荣誉层：无同期对照，推荐战力封顶1,590,000（2026-09-20）</t>
        </is>
      </c>
      <c r="AE116" t="n">
        <v>1590000</v>
      </c>
      <c r="AF116">
        <f>INDEX(_统一战力!$B$2:$B$501,J116)</f>
        <v/>
      </c>
    </row>
    <row r="117">
      <c r="A117" t="inlineStr">
        <is>
          <t>当前配置</t>
        </is>
      </c>
      <c r="B117" t="inlineStr">
        <is>
          <t>爬塔</t>
        </is>
      </c>
      <c r="C117" t="inlineStr">
        <is>
          <t>现行包体5</t>
        </is>
      </c>
      <c r="D117" t="inlineStr">
        <is>
          <t>第113层</t>
        </is>
      </c>
      <c r="E117" t="n">
        <v>300413</v>
      </c>
      <c r="F117" t="inlineStr">
        <is>
          <t>普通怪</t>
        </is>
      </c>
      <c r="I117">
        <f>IF($H117="",$G117,$H117)</f>
        <v/>
      </c>
      <c r="J117" t="n">
        <v>296</v>
      </c>
      <c r="K117" t="n">
        <v>1.12582067235919</v>
      </c>
      <c r="L117" t="n">
        <v>0.729834891319568</v>
      </c>
      <c r="M117" t="n">
        <v>1</v>
      </c>
      <c r="Q117">
        <f>IF($I117="","",IFERROR(INDEX(_玩家曲线!$H$2:$H$286,MATCH($I117,_玩家曲线!$A$2:$A$286,0)),""))</f>
        <v/>
      </c>
      <c r="R117">
        <f>IF($I117="","",IFERROR(INDEX(_玩家曲线!$I$2:$I$286,MATCH($I117,_玩家曲线!$A$2:$A$286,0)),""))</f>
        <v/>
      </c>
      <c r="S117">
        <f>SUMIF(_爬塔队伍!$A$2:$A$1001,VALUE(SUBSTITUTE(SUBSTITUTE(D117,"第",""),"层","")),_爬塔队伍!$C$2:$C$1001)</f>
        <v/>
      </c>
      <c r="T117">
        <f>SUMIF(_爬塔队伍!$A$2:$A$1001,VALUE(SUBSTITUTE(SUBSTITUTE(D117,"第",""),"层","")),_爬塔队伍!$D$2:$D$1001)</f>
        <v/>
      </c>
      <c r="U117">
        <f>SUMIF(_爬塔队伍!$A$2:$A$1001,VALUE(SUBSTITUTE(SUBSTITUTE(D117,"第",""),"层","")),_爬塔队伍!$E$2:$E$1001)/COUNTIF(_爬塔队伍!$A$2:$A$1001,VALUE(SUBSTITUTE(SUBSTITUTE(D117,"第",""),"层","")))</f>
        <v/>
      </c>
      <c r="V117">
        <f>IF($U117="","",MIN(0.75,$U117/($U117+24000)))</f>
        <v/>
      </c>
      <c r="W117">
        <f>SUMIF(_爬塔队伍!$A$2:$A$1001,VALUE(SUBSTITUTE(SUBSTITUTE(D117,"第",""),"层","")),_爬塔队伍!$F$2:$F$1001)</f>
        <v/>
      </c>
      <c r="X117">
        <f>IF(OR($W117="",$Q117="",$Q117=0),"",$W117/$Q117)</f>
        <v/>
      </c>
      <c r="Y117">
        <f>IF(OR($R117="",$T117="",$T117=0),"",$R117/($T117*IF($O117="",1,$O117)))</f>
        <v/>
      </c>
      <c r="Z117">
        <f>IF(OR($X117="",$P117="",$P117=0),"",$X117/$P117)</f>
        <v/>
      </c>
      <c r="AA117">
        <f>IF($J117="","待填怪物等级",IF(OR($I117="",$Q117=""),"待填对照关卡",IF($P117="","已计算",IF(AND($Y117&lt;&gt;"",$Y117&lt;$X117),"生存不成立","已计算"))))</f>
        <v/>
      </c>
      <c r="AB117">
        <f>IF($J117="","待填",IF(AND(ISNUMBER($J117),$J117&gt;=1,$J117&lt;=500,MOD($J117,1)=0),"有效","超范围"))</f>
        <v/>
      </c>
      <c r="AC117">
        <f>IF(OR($J117="",ROW()=5,$B117&lt;&gt;$B116,$J116=""),"",IF($J117&lt;$J116,"下降",""))</f>
        <v/>
      </c>
      <c r="AD117" t="inlineStr">
        <is>
          <t>终局荣誉层：无同期对照，推荐战力封顶1,590,000（2026-09-20）</t>
        </is>
      </c>
      <c r="AE117" t="n">
        <v>1590000</v>
      </c>
      <c r="AF117">
        <f>INDEX(_统一战力!$B$2:$B$501,J117)</f>
        <v/>
      </c>
    </row>
    <row r="118">
      <c r="A118" t="inlineStr">
        <is>
          <t>当前配置</t>
        </is>
      </c>
      <c r="B118" t="inlineStr">
        <is>
          <t>爬塔</t>
        </is>
      </c>
      <c r="C118" t="inlineStr">
        <is>
          <t>现行包体5</t>
        </is>
      </c>
      <c r="D118" t="inlineStr">
        <is>
          <t>第114层</t>
        </is>
      </c>
      <c r="E118" t="n">
        <v>300414</v>
      </c>
      <c r="F118" t="inlineStr">
        <is>
          <t>普通怪</t>
        </is>
      </c>
      <c r="I118">
        <f>IF($H118="",$G118,$H118)</f>
        <v/>
      </c>
      <c r="J118" t="n">
        <v>298</v>
      </c>
      <c r="K118" t="n">
        <v>1.12582067235919</v>
      </c>
      <c r="L118" t="n">
        <v>0.729834891319568</v>
      </c>
      <c r="M118" t="n">
        <v>1</v>
      </c>
      <c r="Q118">
        <f>IF($I118="","",IFERROR(INDEX(_玩家曲线!$H$2:$H$286,MATCH($I118,_玩家曲线!$A$2:$A$286,0)),""))</f>
        <v/>
      </c>
      <c r="R118">
        <f>IF($I118="","",IFERROR(INDEX(_玩家曲线!$I$2:$I$286,MATCH($I118,_玩家曲线!$A$2:$A$286,0)),""))</f>
        <v/>
      </c>
      <c r="S118">
        <f>SUMIF(_爬塔队伍!$A$2:$A$1001,VALUE(SUBSTITUTE(SUBSTITUTE(D118,"第",""),"层","")),_爬塔队伍!$C$2:$C$1001)</f>
        <v/>
      </c>
      <c r="T118">
        <f>SUMIF(_爬塔队伍!$A$2:$A$1001,VALUE(SUBSTITUTE(SUBSTITUTE(D118,"第",""),"层","")),_爬塔队伍!$D$2:$D$1001)</f>
        <v/>
      </c>
      <c r="U118">
        <f>SUMIF(_爬塔队伍!$A$2:$A$1001,VALUE(SUBSTITUTE(SUBSTITUTE(D118,"第",""),"层","")),_爬塔队伍!$E$2:$E$1001)/COUNTIF(_爬塔队伍!$A$2:$A$1001,VALUE(SUBSTITUTE(SUBSTITUTE(D118,"第",""),"层","")))</f>
        <v/>
      </c>
      <c r="V118">
        <f>IF($U118="","",MIN(0.75,$U118/($U118+24000)))</f>
        <v/>
      </c>
      <c r="W118">
        <f>SUMIF(_爬塔队伍!$A$2:$A$1001,VALUE(SUBSTITUTE(SUBSTITUTE(D118,"第",""),"层","")),_爬塔队伍!$F$2:$F$1001)</f>
        <v/>
      </c>
      <c r="X118">
        <f>IF(OR($W118="",$Q118="",$Q118=0),"",$W118/$Q118)</f>
        <v/>
      </c>
      <c r="Y118">
        <f>IF(OR($R118="",$T118="",$T118=0),"",$R118/($T118*IF($O118="",1,$O118)))</f>
        <v/>
      </c>
      <c r="Z118">
        <f>IF(OR($X118="",$P118="",$P118=0),"",$X118/$P118)</f>
        <v/>
      </c>
      <c r="AA118">
        <f>IF($J118="","待填怪物等级",IF(OR($I118="",$Q118=""),"待填对照关卡",IF($P118="","已计算",IF(AND($Y118&lt;&gt;"",$Y118&lt;$X118),"生存不成立","已计算"))))</f>
        <v/>
      </c>
      <c r="AB118">
        <f>IF($J118="","待填",IF(AND(ISNUMBER($J118),$J118&gt;=1,$J118&lt;=500,MOD($J118,1)=0),"有效","超范围"))</f>
        <v/>
      </c>
      <c r="AC118">
        <f>IF(OR($J118="",ROW()=5,$B118&lt;&gt;$B117,$J117=""),"",IF($J118&lt;$J117,"下降",""))</f>
        <v/>
      </c>
      <c r="AD118" t="inlineStr">
        <is>
          <t>终局荣誉层：无同期对照，推荐战力封顶1,590,000（2026-09-20）</t>
        </is>
      </c>
      <c r="AE118" t="n">
        <v>1590000</v>
      </c>
      <c r="AF118">
        <f>INDEX(_统一战力!$B$2:$B$501,J118)</f>
        <v/>
      </c>
    </row>
    <row r="119">
      <c r="A119" t="inlineStr">
        <is>
          <t>当前配置</t>
        </is>
      </c>
      <c r="B119" t="inlineStr">
        <is>
          <t>爬塔</t>
        </is>
      </c>
      <c r="C119" t="inlineStr">
        <is>
          <t>现行包体5</t>
        </is>
      </c>
      <c r="D119" t="inlineStr">
        <is>
          <t>第115层</t>
        </is>
      </c>
      <c r="E119" t="n">
        <v>300415</v>
      </c>
      <c r="F119" t="inlineStr">
        <is>
          <t>精英怪</t>
        </is>
      </c>
      <c r="I119">
        <f>IF($H119="",$G119,$H119)</f>
        <v/>
      </c>
      <c r="J119" t="n">
        <v>299</v>
      </c>
      <c r="K119" t="n">
        <v>1.13108015591293</v>
      </c>
      <c r="L119" t="n">
        <v>0.726679309784578</v>
      </c>
      <c r="M119" t="n">
        <v>1</v>
      </c>
      <c r="Q119">
        <f>IF($I119="","",IFERROR(INDEX(_玩家曲线!$H$2:$H$286,MATCH($I119,_玩家曲线!$A$2:$A$286,0)),""))</f>
        <v/>
      </c>
      <c r="R119">
        <f>IF($I119="","",IFERROR(INDEX(_玩家曲线!$I$2:$I$286,MATCH($I119,_玩家曲线!$A$2:$A$286,0)),""))</f>
        <v/>
      </c>
      <c r="S119">
        <f>SUMIF(_爬塔队伍!$A$2:$A$1001,VALUE(SUBSTITUTE(SUBSTITUTE(D119,"第",""),"层","")),_爬塔队伍!$C$2:$C$1001)</f>
        <v/>
      </c>
      <c r="T119">
        <f>SUMIF(_爬塔队伍!$A$2:$A$1001,VALUE(SUBSTITUTE(SUBSTITUTE(D119,"第",""),"层","")),_爬塔队伍!$D$2:$D$1001)</f>
        <v/>
      </c>
      <c r="U119">
        <f>SUMIF(_爬塔队伍!$A$2:$A$1001,VALUE(SUBSTITUTE(SUBSTITUTE(D119,"第",""),"层","")),_爬塔队伍!$E$2:$E$1001)/COUNTIF(_爬塔队伍!$A$2:$A$1001,VALUE(SUBSTITUTE(SUBSTITUTE(D119,"第",""),"层","")))</f>
        <v/>
      </c>
      <c r="V119">
        <f>IF($U119="","",MIN(0.75,$U119/($U119+24000)))</f>
        <v/>
      </c>
      <c r="W119">
        <f>SUMIF(_爬塔队伍!$A$2:$A$1001,VALUE(SUBSTITUTE(SUBSTITUTE(D119,"第",""),"层","")),_爬塔队伍!$F$2:$F$1001)</f>
        <v/>
      </c>
      <c r="X119">
        <f>IF(OR($W119="",$Q119="",$Q119=0),"",$W119/$Q119)</f>
        <v/>
      </c>
      <c r="Y119">
        <f>IF(OR($R119="",$T119="",$T119=0),"",$R119/($T119*IF($O119="",1,$O119)))</f>
        <v/>
      </c>
      <c r="Z119">
        <f>IF(OR($X119="",$P119="",$P119=0),"",$X119/$P119)</f>
        <v/>
      </c>
      <c r="AA119">
        <f>IF($J119="","待填怪物等级",IF(OR($I119="",$Q119=""),"待填对照关卡",IF($P119="","已计算",IF(AND($Y119&lt;&gt;"",$Y119&lt;$X119),"生存不成立","已计算"))))</f>
        <v/>
      </c>
      <c r="AB119">
        <f>IF($J119="","待填",IF(AND(ISNUMBER($J119),$J119&gt;=1,$J119&lt;=500,MOD($J119,1)=0),"有效","超范围"))</f>
        <v/>
      </c>
      <c r="AC119">
        <f>IF(OR($J119="",ROW()=5,$B119&lt;&gt;$B118,$J118=""),"",IF($J119&lt;$J118,"下降",""))</f>
        <v/>
      </c>
      <c r="AD119" t="inlineStr">
        <is>
          <t>终局荣誉层：无同期对照，推荐战力封顶1,590,000（2026-09-20）</t>
        </is>
      </c>
      <c r="AE119" t="n">
        <v>1590000</v>
      </c>
      <c r="AF119">
        <f>INDEX(_统一战力!$B$2:$B$501,J119)</f>
        <v/>
      </c>
    </row>
    <row r="120">
      <c r="A120" t="inlineStr">
        <is>
          <t>当前配置</t>
        </is>
      </c>
      <c r="B120" t="inlineStr">
        <is>
          <t>爬塔</t>
        </is>
      </c>
      <c r="C120" t="inlineStr">
        <is>
          <t>现行包体5</t>
        </is>
      </c>
      <c r="D120" t="inlineStr">
        <is>
          <t>第116层</t>
        </is>
      </c>
      <c r="E120" t="n">
        <v>300416</v>
      </c>
      <c r="F120" t="inlineStr">
        <is>
          <t>普通怪</t>
        </is>
      </c>
      <c r="I120">
        <f>IF($H120="",$G120,$H120)</f>
        <v/>
      </c>
      <c r="J120" t="n">
        <v>300</v>
      </c>
      <c r="K120" t="n">
        <v>1.12582067235919</v>
      </c>
      <c r="L120" t="n">
        <v>0.729834891319568</v>
      </c>
      <c r="M120" t="n">
        <v>1</v>
      </c>
      <c r="Q120">
        <f>IF($I120="","",IFERROR(INDEX(_玩家曲线!$H$2:$H$286,MATCH($I120,_玩家曲线!$A$2:$A$286,0)),""))</f>
        <v/>
      </c>
      <c r="R120">
        <f>IF($I120="","",IFERROR(INDEX(_玩家曲线!$I$2:$I$286,MATCH($I120,_玩家曲线!$A$2:$A$286,0)),""))</f>
        <v/>
      </c>
      <c r="S120">
        <f>SUMIF(_爬塔队伍!$A$2:$A$1001,VALUE(SUBSTITUTE(SUBSTITUTE(D120,"第",""),"层","")),_爬塔队伍!$C$2:$C$1001)</f>
        <v/>
      </c>
      <c r="T120">
        <f>SUMIF(_爬塔队伍!$A$2:$A$1001,VALUE(SUBSTITUTE(SUBSTITUTE(D120,"第",""),"层","")),_爬塔队伍!$D$2:$D$1001)</f>
        <v/>
      </c>
      <c r="U120">
        <f>SUMIF(_爬塔队伍!$A$2:$A$1001,VALUE(SUBSTITUTE(SUBSTITUTE(D120,"第",""),"层","")),_爬塔队伍!$E$2:$E$1001)/COUNTIF(_爬塔队伍!$A$2:$A$1001,VALUE(SUBSTITUTE(SUBSTITUTE(D120,"第",""),"层","")))</f>
        <v/>
      </c>
      <c r="V120">
        <f>IF($U120="","",MIN(0.75,$U120/($U120+24000)))</f>
        <v/>
      </c>
      <c r="W120">
        <f>SUMIF(_爬塔队伍!$A$2:$A$1001,VALUE(SUBSTITUTE(SUBSTITUTE(D120,"第",""),"层","")),_爬塔队伍!$F$2:$F$1001)</f>
        <v/>
      </c>
      <c r="X120">
        <f>IF(OR($W120="",$Q120="",$Q120=0),"",$W120/$Q120)</f>
        <v/>
      </c>
      <c r="Y120">
        <f>IF(OR($R120="",$T120="",$T120=0),"",$R120/($T120*IF($O120="",1,$O120)))</f>
        <v/>
      </c>
      <c r="Z120">
        <f>IF(OR($X120="",$P120="",$P120=0),"",$X120/$P120)</f>
        <v/>
      </c>
      <c r="AA120">
        <f>IF($J120="","待填怪物等级",IF(OR($I120="",$Q120=""),"待填对照关卡",IF($P120="","已计算",IF(AND($Y120&lt;&gt;"",$Y120&lt;$X120),"生存不成立","已计算"))))</f>
        <v/>
      </c>
      <c r="AB120">
        <f>IF($J120="","待填",IF(AND(ISNUMBER($J120),$J120&gt;=1,$J120&lt;=500,MOD($J120,1)=0),"有效","超范围"))</f>
        <v/>
      </c>
      <c r="AC120">
        <f>IF(OR($J120="",ROW()=5,$B120&lt;&gt;$B119,$J119=""),"",IF($J120&lt;$J119,"下降",""))</f>
        <v/>
      </c>
      <c r="AD120" t="inlineStr">
        <is>
          <t>终局荣誉层：无同期对照，推荐战力封顶1,590,000（2026-09-20）</t>
        </is>
      </c>
      <c r="AE120" t="n">
        <v>1590000</v>
      </c>
      <c r="AF120">
        <f>INDEX(_统一战力!$B$2:$B$501,J120)</f>
        <v/>
      </c>
    </row>
    <row r="121">
      <c r="A121" t="inlineStr">
        <is>
          <t>当前配置</t>
        </is>
      </c>
      <c r="B121" t="inlineStr">
        <is>
          <t>爬塔</t>
        </is>
      </c>
      <c r="C121" t="inlineStr">
        <is>
          <t>现行包体5</t>
        </is>
      </c>
      <c r="D121" t="inlineStr">
        <is>
          <t>第117层</t>
        </is>
      </c>
      <c r="E121" t="n">
        <v>300417</v>
      </c>
      <c r="F121" t="inlineStr">
        <is>
          <t>普通怪</t>
        </is>
      </c>
      <c r="I121">
        <f>IF($H121="",$G121,$H121)</f>
        <v/>
      </c>
      <c r="J121" t="n">
        <v>302</v>
      </c>
      <c r="K121" t="n">
        <v>1.12582067235919</v>
      </c>
      <c r="L121" t="n">
        <v>0.729834891319568</v>
      </c>
      <c r="M121" t="n">
        <v>1</v>
      </c>
      <c r="Q121">
        <f>IF($I121="","",IFERROR(INDEX(_玩家曲线!$H$2:$H$286,MATCH($I121,_玩家曲线!$A$2:$A$286,0)),""))</f>
        <v/>
      </c>
      <c r="R121">
        <f>IF($I121="","",IFERROR(INDEX(_玩家曲线!$I$2:$I$286,MATCH($I121,_玩家曲线!$A$2:$A$286,0)),""))</f>
        <v/>
      </c>
      <c r="S121">
        <f>SUMIF(_爬塔队伍!$A$2:$A$1001,VALUE(SUBSTITUTE(SUBSTITUTE(D121,"第",""),"层","")),_爬塔队伍!$C$2:$C$1001)</f>
        <v/>
      </c>
      <c r="T121">
        <f>SUMIF(_爬塔队伍!$A$2:$A$1001,VALUE(SUBSTITUTE(SUBSTITUTE(D121,"第",""),"层","")),_爬塔队伍!$D$2:$D$1001)</f>
        <v/>
      </c>
      <c r="U121">
        <f>SUMIF(_爬塔队伍!$A$2:$A$1001,VALUE(SUBSTITUTE(SUBSTITUTE(D121,"第",""),"层","")),_爬塔队伍!$E$2:$E$1001)/COUNTIF(_爬塔队伍!$A$2:$A$1001,VALUE(SUBSTITUTE(SUBSTITUTE(D121,"第",""),"层","")))</f>
        <v/>
      </c>
      <c r="V121">
        <f>IF($U121="","",MIN(0.75,$U121/($U121+24000)))</f>
        <v/>
      </c>
      <c r="W121">
        <f>SUMIF(_爬塔队伍!$A$2:$A$1001,VALUE(SUBSTITUTE(SUBSTITUTE(D121,"第",""),"层","")),_爬塔队伍!$F$2:$F$1001)</f>
        <v/>
      </c>
      <c r="X121">
        <f>IF(OR($W121="",$Q121="",$Q121=0),"",$W121/$Q121)</f>
        <v/>
      </c>
      <c r="Y121">
        <f>IF(OR($R121="",$T121="",$T121=0),"",$R121/($T121*IF($O121="",1,$O121)))</f>
        <v/>
      </c>
      <c r="Z121">
        <f>IF(OR($X121="",$P121="",$P121=0),"",$X121/$P121)</f>
        <v/>
      </c>
      <c r="AA121">
        <f>IF($J121="","待填怪物等级",IF(OR($I121="",$Q121=""),"待填对照关卡",IF($P121="","已计算",IF(AND($Y121&lt;&gt;"",$Y121&lt;$X121),"生存不成立","已计算"))))</f>
        <v/>
      </c>
      <c r="AB121">
        <f>IF($J121="","待填",IF(AND(ISNUMBER($J121),$J121&gt;=1,$J121&lt;=500,MOD($J121,1)=0),"有效","超范围"))</f>
        <v/>
      </c>
      <c r="AC121">
        <f>IF(OR($J121="",ROW()=5,$B121&lt;&gt;$B120,$J120=""),"",IF($J121&lt;$J120,"下降",""))</f>
        <v/>
      </c>
      <c r="AD121" t="inlineStr">
        <is>
          <t>终局荣誉层：无同期对照，推荐战力封顶1,590,000（2026-09-20）</t>
        </is>
      </c>
      <c r="AE121" t="n">
        <v>1590000</v>
      </c>
      <c r="AF121">
        <f>INDEX(_统一战力!$B$2:$B$501,J121)</f>
        <v/>
      </c>
    </row>
    <row r="122">
      <c r="A122" t="inlineStr">
        <is>
          <t>当前配置</t>
        </is>
      </c>
      <c r="B122" t="inlineStr">
        <is>
          <t>爬塔</t>
        </is>
      </c>
      <c r="C122" t="inlineStr">
        <is>
          <t>现行包体5</t>
        </is>
      </c>
      <c r="D122" t="inlineStr">
        <is>
          <t>第118层</t>
        </is>
      </c>
      <c r="E122" t="n">
        <v>300418</v>
      </c>
      <c r="F122" t="inlineStr">
        <is>
          <t>普通怪</t>
        </is>
      </c>
      <c r="I122">
        <f>IF($H122="",$G122,$H122)</f>
        <v/>
      </c>
      <c r="J122" t="n">
        <v>303</v>
      </c>
      <c r="K122" t="n">
        <v>1.12582067235919</v>
      </c>
      <c r="L122" t="n">
        <v>0.729834891319568</v>
      </c>
      <c r="M122" t="n">
        <v>1</v>
      </c>
      <c r="Q122">
        <f>IF($I122="","",IFERROR(INDEX(_玩家曲线!$H$2:$H$286,MATCH($I122,_玩家曲线!$A$2:$A$286,0)),""))</f>
        <v/>
      </c>
      <c r="R122">
        <f>IF($I122="","",IFERROR(INDEX(_玩家曲线!$I$2:$I$286,MATCH($I122,_玩家曲线!$A$2:$A$286,0)),""))</f>
        <v/>
      </c>
      <c r="S122">
        <f>SUMIF(_爬塔队伍!$A$2:$A$1001,VALUE(SUBSTITUTE(SUBSTITUTE(D122,"第",""),"层","")),_爬塔队伍!$C$2:$C$1001)</f>
        <v/>
      </c>
      <c r="T122">
        <f>SUMIF(_爬塔队伍!$A$2:$A$1001,VALUE(SUBSTITUTE(SUBSTITUTE(D122,"第",""),"层","")),_爬塔队伍!$D$2:$D$1001)</f>
        <v/>
      </c>
      <c r="U122">
        <f>SUMIF(_爬塔队伍!$A$2:$A$1001,VALUE(SUBSTITUTE(SUBSTITUTE(D122,"第",""),"层","")),_爬塔队伍!$E$2:$E$1001)/COUNTIF(_爬塔队伍!$A$2:$A$1001,VALUE(SUBSTITUTE(SUBSTITUTE(D122,"第",""),"层","")))</f>
        <v/>
      </c>
      <c r="V122">
        <f>IF($U122="","",MIN(0.75,$U122/($U122+24000)))</f>
        <v/>
      </c>
      <c r="W122">
        <f>SUMIF(_爬塔队伍!$A$2:$A$1001,VALUE(SUBSTITUTE(SUBSTITUTE(D122,"第",""),"层","")),_爬塔队伍!$F$2:$F$1001)</f>
        <v/>
      </c>
      <c r="X122">
        <f>IF(OR($W122="",$Q122="",$Q122=0),"",$W122/$Q122)</f>
        <v/>
      </c>
      <c r="Y122">
        <f>IF(OR($R122="",$T122="",$T122=0),"",$R122/($T122*IF($O122="",1,$O122)))</f>
        <v/>
      </c>
      <c r="Z122">
        <f>IF(OR($X122="",$P122="",$P122=0),"",$X122/$P122)</f>
        <v/>
      </c>
      <c r="AA122">
        <f>IF($J122="","待填怪物等级",IF(OR($I122="",$Q122=""),"待填对照关卡",IF($P122="","已计算",IF(AND($Y122&lt;&gt;"",$Y122&lt;$X122),"生存不成立","已计算"))))</f>
        <v/>
      </c>
      <c r="AB122">
        <f>IF($J122="","待填",IF(AND(ISNUMBER($J122),$J122&gt;=1,$J122&lt;=500,MOD($J122,1)=0),"有效","超范围"))</f>
        <v/>
      </c>
      <c r="AC122">
        <f>IF(OR($J122="",ROW()=5,$B122&lt;&gt;$B121,$J121=""),"",IF($J122&lt;$J121,"下降",""))</f>
        <v/>
      </c>
      <c r="AD122" t="inlineStr">
        <is>
          <t>终局荣誉层：无同期对照，推荐战力封顶1,590,000（2026-09-20）</t>
        </is>
      </c>
      <c r="AE122" t="n">
        <v>1590000</v>
      </c>
      <c r="AF122">
        <f>INDEX(_统一战力!$B$2:$B$501,J122)</f>
        <v/>
      </c>
    </row>
    <row r="123">
      <c r="A123" t="inlineStr">
        <is>
          <t>当前配置</t>
        </is>
      </c>
      <c r="B123" t="inlineStr">
        <is>
          <t>爬塔</t>
        </is>
      </c>
      <c r="C123" t="inlineStr">
        <is>
          <t>现行包体5</t>
        </is>
      </c>
      <c r="D123" t="inlineStr">
        <is>
          <t>第119层</t>
        </is>
      </c>
      <c r="E123" t="n">
        <v>300419</v>
      </c>
      <c r="F123" t="inlineStr">
        <is>
          <t>普通怪</t>
        </is>
      </c>
      <c r="I123">
        <f>IF($H123="",$G123,$H123)</f>
        <v/>
      </c>
      <c r="J123" t="n">
        <v>305</v>
      </c>
      <c r="K123" t="n">
        <v>1.12582067235919</v>
      </c>
      <c r="L123" t="n">
        <v>0.729834891319568</v>
      </c>
      <c r="M123" t="n">
        <v>1</v>
      </c>
      <c r="Q123">
        <f>IF($I123="","",IFERROR(INDEX(_玩家曲线!$H$2:$H$286,MATCH($I123,_玩家曲线!$A$2:$A$286,0)),""))</f>
        <v/>
      </c>
      <c r="R123">
        <f>IF($I123="","",IFERROR(INDEX(_玩家曲线!$I$2:$I$286,MATCH($I123,_玩家曲线!$A$2:$A$286,0)),""))</f>
        <v/>
      </c>
      <c r="S123">
        <f>SUMIF(_爬塔队伍!$A$2:$A$1001,VALUE(SUBSTITUTE(SUBSTITUTE(D123,"第",""),"层","")),_爬塔队伍!$C$2:$C$1001)</f>
        <v/>
      </c>
      <c r="T123">
        <f>SUMIF(_爬塔队伍!$A$2:$A$1001,VALUE(SUBSTITUTE(SUBSTITUTE(D123,"第",""),"层","")),_爬塔队伍!$D$2:$D$1001)</f>
        <v/>
      </c>
      <c r="U123">
        <f>SUMIF(_爬塔队伍!$A$2:$A$1001,VALUE(SUBSTITUTE(SUBSTITUTE(D123,"第",""),"层","")),_爬塔队伍!$E$2:$E$1001)/COUNTIF(_爬塔队伍!$A$2:$A$1001,VALUE(SUBSTITUTE(SUBSTITUTE(D123,"第",""),"层","")))</f>
        <v/>
      </c>
      <c r="V123">
        <f>IF($U123="","",MIN(0.75,$U123/($U123+24000)))</f>
        <v/>
      </c>
      <c r="W123">
        <f>SUMIF(_爬塔队伍!$A$2:$A$1001,VALUE(SUBSTITUTE(SUBSTITUTE(D123,"第",""),"层","")),_爬塔队伍!$F$2:$F$1001)</f>
        <v/>
      </c>
      <c r="X123">
        <f>IF(OR($W123="",$Q123="",$Q123=0),"",$W123/$Q123)</f>
        <v/>
      </c>
      <c r="Y123">
        <f>IF(OR($R123="",$T123="",$T123=0),"",$R123/($T123*IF($O123="",1,$O123)))</f>
        <v/>
      </c>
      <c r="Z123">
        <f>IF(OR($X123="",$P123="",$P123=0),"",$X123/$P123)</f>
        <v/>
      </c>
      <c r="AA123">
        <f>IF($J123="","待填怪物等级",IF(OR($I123="",$Q123=""),"待填对照关卡",IF($P123="","已计算",IF(AND($Y123&lt;&gt;"",$Y123&lt;$X123),"生存不成立","已计算"))))</f>
        <v/>
      </c>
      <c r="AB123">
        <f>IF($J123="","待填",IF(AND(ISNUMBER($J123),$J123&gt;=1,$J123&lt;=500,MOD($J123,1)=0),"有效","超范围"))</f>
        <v/>
      </c>
      <c r="AC123">
        <f>IF(OR($J123="",ROW()=5,$B123&lt;&gt;$B122,$J122=""),"",IF($J123&lt;$J122,"下降",""))</f>
        <v/>
      </c>
      <c r="AD123" t="inlineStr">
        <is>
          <t>终局荣誉层：无同期对照，推荐战力封顶1,590,000（2026-09-20）</t>
        </is>
      </c>
      <c r="AE123" t="n">
        <v>1590000</v>
      </c>
      <c r="AF123">
        <f>INDEX(_统一战力!$B$2:$B$501,J123)</f>
        <v/>
      </c>
    </row>
    <row r="124">
      <c r="A124" t="inlineStr">
        <is>
          <t>当前配置</t>
        </is>
      </c>
      <c r="B124" t="inlineStr">
        <is>
          <t>爬塔</t>
        </is>
      </c>
      <c r="C124" t="inlineStr">
        <is>
          <t>现行包体5</t>
        </is>
      </c>
      <c r="D124" t="inlineStr">
        <is>
          <t>第120层</t>
        </is>
      </c>
      <c r="E124" t="n">
        <v>300420</v>
      </c>
      <c r="F124" t="inlineStr">
        <is>
          <t>Boss</t>
        </is>
      </c>
      <c r="I124">
        <f>IF($H124="",$G124,$H124)</f>
        <v/>
      </c>
      <c r="J124" t="n">
        <v>306</v>
      </c>
      <c r="K124" t="n">
        <v>1.12671592412141</v>
      </c>
      <c r="L124" t="n">
        <v>0.731229508674054</v>
      </c>
      <c r="M124" t="n">
        <v>1</v>
      </c>
      <c r="Q124">
        <f>IF($I124="","",IFERROR(INDEX(_玩家曲线!$H$2:$H$286,MATCH($I124,_玩家曲线!$A$2:$A$286,0)),""))</f>
        <v/>
      </c>
      <c r="R124">
        <f>IF($I124="","",IFERROR(INDEX(_玩家曲线!$I$2:$I$286,MATCH($I124,_玩家曲线!$A$2:$A$286,0)),""))</f>
        <v/>
      </c>
      <c r="S124">
        <f>SUMIF(_爬塔队伍!$A$2:$A$1001,VALUE(SUBSTITUTE(SUBSTITUTE(D124,"第",""),"层","")),_爬塔队伍!$C$2:$C$1001)</f>
        <v/>
      </c>
      <c r="T124">
        <f>SUMIF(_爬塔队伍!$A$2:$A$1001,VALUE(SUBSTITUTE(SUBSTITUTE(D124,"第",""),"层","")),_爬塔队伍!$D$2:$D$1001)</f>
        <v/>
      </c>
      <c r="U124">
        <f>SUMIF(_爬塔队伍!$A$2:$A$1001,VALUE(SUBSTITUTE(SUBSTITUTE(D124,"第",""),"层","")),_爬塔队伍!$E$2:$E$1001)/COUNTIF(_爬塔队伍!$A$2:$A$1001,VALUE(SUBSTITUTE(SUBSTITUTE(D124,"第",""),"层","")))</f>
        <v/>
      </c>
      <c r="V124">
        <f>IF($U124="","",MIN(0.75,$U124/($U124+24000)))</f>
        <v/>
      </c>
      <c r="W124">
        <f>SUMIF(_爬塔队伍!$A$2:$A$1001,VALUE(SUBSTITUTE(SUBSTITUTE(D124,"第",""),"层","")),_爬塔队伍!$F$2:$F$1001)</f>
        <v/>
      </c>
      <c r="X124">
        <f>IF(OR($W124="",$Q124="",$Q124=0),"",$W124/$Q124)</f>
        <v/>
      </c>
      <c r="Y124">
        <f>IF(OR($R124="",$T124="",$T124=0),"",$R124/($T124*IF($O124="",1,$O124)))</f>
        <v/>
      </c>
      <c r="Z124">
        <f>IF(OR($X124="",$P124="",$P124=0),"",$X124/$P124)</f>
        <v/>
      </c>
      <c r="AA124">
        <f>IF($J124="","待填怪物等级",IF(OR($I124="",$Q124=""),"待填对照关卡",IF($P124="","已计算",IF(AND($Y124&lt;&gt;"",$Y124&lt;$X124),"生存不成立","已计算"))))</f>
        <v/>
      </c>
      <c r="AB124">
        <f>IF($J124="","待填",IF(AND(ISNUMBER($J124),$J124&gt;=1,$J124&lt;=500,MOD($J124,1)=0),"有效","超范围"))</f>
        <v/>
      </c>
      <c r="AC124">
        <f>IF(OR($J124="",ROW()=5,$B124&lt;&gt;$B123,$J123=""),"",IF($J124&lt;$J123,"下降",""))</f>
        <v/>
      </c>
      <c r="AD124" t="inlineStr">
        <is>
          <t>终局荣誉层：无同期对照，推荐战力封顶1,590,000（2026-09-20）</t>
        </is>
      </c>
      <c r="AE124" t="n">
        <v>1590000</v>
      </c>
      <c r="AF124">
        <f>INDEX(_统一战力!$B$2:$B$501,J124)</f>
        <v/>
      </c>
    </row>
    <row r="125">
      <c r="A125" t="inlineStr">
        <is>
          <t>当前配置</t>
        </is>
      </c>
      <c r="B125" t="inlineStr">
        <is>
          <t>爬塔</t>
        </is>
      </c>
      <c r="C125" t="inlineStr">
        <is>
          <t>现行包体5</t>
        </is>
      </c>
      <c r="D125" t="inlineStr">
        <is>
          <t>第121层</t>
        </is>
      </c>
      <c r="E125" t="n">
        <v>300421</v>
      </c>
      <c r="F125" t="inlineStr">
        <is>
          <t>普通怪</t>
        </is>
      </c>
      <c r="I125">
        <f>IF($H125="",$G125,$H125)</f>
        <v/>
      </c>
      <c r="J125" t="n">
        <v>308</v>
      </c>
      <c r="K125" t="n">
        <v>1.12582067235919</v>
      </c>
      <c r="L125" t="n">
        <v>0.729834891319568</v>
      </c>
      <c r="M125" t="n">
        <v>1</v>
      </c>
      <c r="Q125">
        <f>IF($I125="","",IFERROR(INDEX(_玩家曲线!$H$2:$H$286,MATCH($I125,_玩家曲线!$A$2:$A$286,0)),""))</f>
        <v/>
      </c>
      <c r="R125">
        <f>IF($I125="","",IFERROR(INDEX(_玩家曲线!$I$2:$I$286,MATCH($I125,_玩家曲线!$A$2:$A$286,0)),""))</f>
        <v/>
      </c>
      <c r="S125">
        <f>SUMIF(_爬塔队伍!$A$2:$A$1001,VALUE(SUBSTITUTE(SUBSTITUTE(D125,"第",""),"层","")),_爬塔队伍!$C$2:$C$1001)</f>
        <v/>
      </c>
      <c r="T125">
        <f>SUMIF(_爬塔队伍!$A$2:$A$1001,VALUE(SUBSTITUTE(SUBSTITUTE(D125,"第",""),"层","")),_爬塔队伍!$D$2:$D$1001)</f>
        <v/>
      </c>
      <c r="U125">
        <f>SUMIF(_爬塔队伍!$A$2:$A$1001,VALUE(SUBSTITUTE(SUBSTITUTE(D125,"第",""),"层","")),_爬塔队伍!$E$2:$E$1001)/COUNTIF(_爬塔队伍!$A$2:$A$1001,VALUE(SUBSTITUTE(SUBSTITUTE(D125,"第",""),"层","")))</f>
        <v/>
      </c>
      <c r="V125">
        <f>IF($U125="","",MIN(0.75,$U125/($U125+24000)))</f>
        <v/>
      </c>
      <c r="W125">
        <f>SUMIF(_爬塔队伍!$A$2:$A$1001,VALUE(SUBSTITUTE(SUBSTITUTE(D125,"第",""),"层","")),_爬塔队伍!$F$2:$F$1001)</f>
        <v/>
      </c>
      <c r="X125">
        <f>IF(OR($W125="",$Q125="",$Q125=0),"",$W125/$Q125)</f>
        <v/>
      </c>
      <c r="Y125">
        <f>IF(OR($R125="",$T125="",$T125=0),"",$R125/($T125*IF($O125="",1,$O125)))</f>
        <v/>
      </c>
      <c r="Z125">
        <f>IF(OR($X125="",$P125="",$P125=0),"",$X125/$P125)</f>
        <v/>
      </c>
      <c r="AA125">
        <f>IF($J125="","待填怪物等级",IF(OR($I125="",$Q125=""),"待填对照关卡",IF($P125="","已计算",IF(AND($Y125&lt;&gt;"",$Y125&lt;$X125),"生存不成立","已计算"))))</f>
        <v/>
      </c>
      <c r="AB125">
        <f>IF($J125="","待填",IF(AND(ISNUMBER($J125),$J125&gt;=1,$J125&lt;=500,MOD($J125,1)=0),"有效","超范围"))</f>
        <v/>
      </c>
      <c r="AC125">
        <f>IF(OR($J125="",ROW()=5,$B125&lt;&gt;$B124,$J124=""),"",IF($J125&lt;$J124,"下降",""))</f>
        <v/>
      </c>
      <c r="AD125" t="inlineStr">
        <is>
          <t>终局荣誉层：无同期对照，推荐战力封顶1,590,000（2026-09-20）</t>
        </is>
      </c>
      <c r="AE125" t="n">
        <v>1590000</v>
      </c>
      <c r="AF125">
        <f>INDEX(_统一战力!$B$2:$B$501,J125)</f>
        <v/>
      </c>
    </row>
    <row r="126">
      <c r="A126" t="inlineStr">
        <is>
          <t>当前配置</t>
        </is>
      </c>
      <c r="B126" t="inlineStr">
        <is>
          <t>爬塔</t>
        </is>
      </c>
      <c r="C126" t="inlineStr">
        <is>
          <t>现行包体5</t>
        </is>
      </c>
      <c r="D126" t="inlineStr">
        <is>
          <t>第122层</t>
        </is>
      </c>
      <c r="E126" t="n">
        <v>300422</v>
      </c>
      <c r="F126" t="inlineStr">
        <is>
          <t>普通怪</t>
        </is>
      </c>
      <c r="I126">
        <f>IF($H126="",$G126,$H126)</f>
        <v/>
      </c>
      <c r="J126" t="n">
        <v>309</v>
      </c>
      <c r="K126" t="n">
        <v>1.12582067235919</v>
      </c>
      <c r="L126" t="n">
        <v>0.729834891319568</v>
      </c>
      <c r="M126" t="n">
        <v>1</v>
      </c>
      <c r="Q126">
        <f>IF($I126="","",IFERROR(INDEX(_玩家曲线!$H$2:$H$286,MATCH($I126,_玩家曲线!$A$2:$A$286,0)),""))</f>
        <v/>
      </c>
      <c r="R126">
        <f>IF($I126="","",IFERROR(INDEX(_玩家曲线!$I$2:$I$286,MATCH($I126,_玩家曲线!$A$2:$A$286,0)),""))</f>
        <v/>
      </c>
      <c r="S126">
        <f>SUMIF(_爬塔队伍!$A$2:$A$1001,VALUE(SUBSTITUTE(SUBSTITUTE(D126,"第",""),"层","")),_爬塔队伍!$C$2:$C$1001)</f>
        <v/>
      </c>
      <c r="T126">
        <f>SUMIF(_爬塔队伍!$A$2:$A$1001,VALUE(SUBSTITUTE(SUBSTITUTE(D126,"第",""),"层","")),_爬塔队伍!$D$2:$D$1001)</f>
        <v/>
      </c>
      <c r="U126">
        <f>SUMIF(_爬塔队伍!$A$2:$A$1001,VALUE(SUBSTITUTE(SUBSTITUTE(D126,"第",""),"层","")),_爬塔队伍!$E$2:$E$1001)/COUNTIF(_爬塔队伍!$A$2:$A$1001,VALUE(SUBSTITUTE(SUBSTITUTE(D126,"第",""),"层","")))</f>
        <v/>
      </c>
      <c r="V126">
        <f>IF($U126="","",MIN(0.75,$U126/($U126+24000)))</f>
        <v/>
      </c>
      <c r="W126">
        <f>SUMIF(_爬塔队伍!$A$2:$A$1001,VALUE(SUBSTITUTE(SUBSTITUTE(D126,"第",""),"层","")),_爬塔队伍!$F$2:$F$1001)</f>
        <v/>
      </c>
      <c r="X126">
        <f>IF(OR($W126="",$Q126="",$Q126=0),"",$W126/$Q126)</f>
        <v/>
      </c>
      <c r="Y126">
        <f>IF(OR($R126="",$T126="",$T126=0),"",$R126/($T126*IF($O126="",1,$O126)))</f>
        <v/>
      </c>
      <c r="Z126">
        <f>IF(OR($X126="",$P126="",$P126=0),"",$X126/$P126)</f>
        <v/>
      </c>
      <c r="AA126">
        <f>IF($J126="","待填怪物等级",IF(OR($I126="",$Q126=""),"待填对照关卡",IF($P126="","已计算",IF(AND($Y126&lt;&gt;"",$Y126&lt;$X126),"生存不成立","已计算"))))</f>
        <v/>
      </c>
      <c r="AB126">
        <f>IF($J126="","待填",IF(AND(ISNUMBER($J126),$J126&gt;=1,$J126&lt;=500,MOD($J126,1)=0),"有效","超范围"))</f>
        <v/>
      </c>
      <c r="AC126">
        <f>IF(OR($J126="",ROW()=5,$B126&lt;&gt;$B125,$J125=""),"",IF($J126&lt;$J125,"下降",""))</f>
        <v/>
      </c>
      <c r="AD126" t="inlineStr">
        <is>
          <t>终局荣誉层：无同期对照，推荐战力封顶1,590,000（2026-09-20）</t>
        </is>
      </c>
      <c r="AE126" t="n">
        <v>1590000</v>
      </c>
      <c r="AF126">
        <f>INDEX(_统一战力!$B$2:$B$501,J126)</f>
        <v/>
      </c>
    </row>
    <row r="127">
      <c r="A127" t="inlineStr">
        <is>
          <t>当前配置</t>
        </is>
      </c>
      <c r="B127" t="inlineStr">
        <is>
          <t>爬塔</t>
        </is>
      </c>
      <c r="C127" t="inlineStr">
        <is>
          <t>现行包体5</t>
        </is>
      </c>
      <c r="D127" t="inlineStr">
        <is>
          <t>第123层</t>
        </is>
      </c>
      <c r="E127" t="n">
        <v>300423</v>
      </c>
      <c r="F127" t="inlineStr">
        <is>
          <t>普通怪</t>
        </is>
      </c>
      <c r="I127">
        <f>IF($H127="",$G127,$H127)</f>
        <v/>
      </c>
      <c r="J127" t="n">
        <v>311</v>
      </c>
      <c r="K127" t="n">
        <v>1.12582067235919</v>
      </c>
      <c r="L127" t="n">
        <v>0.729834891319568</v>
      </c>
      <c r="M127" t="n">
        <v>1</v>
      </c>
      <c r="Q127">
        <f>IF($I127="","",IFERROR(INDEX(_玩家曲线!$H$2:$H$286,MATCH($I127,_玩家曲线!$A$2:$A$286,0)),""))</f>
        <v/>
      </c>
      <c r="R127">
        <f>IF($I127="","",IFERROR(INDEX(_玩家曲线!$I$2:$I$286,MATCH($I127,_玩家曲线!$A$2:$A$286,0)),""))</f>
        <v/>
      </c>
      <c r="S127">
        <f>SUMIF(_爬塔队伍!$A$2:$A$1001,VALUE(SUBSTITUTE(SUBSTITUTE(D127,"第",""),"层","")),_爬塔队伍!$C$2:$C$1001)</f>
        <v/>
      </c>
      <c r="T127">
        <f>SUMIF(_爬塔队伍!$A$2:$A$1001,VALUE(SUBSTITUTE(SUBSTITUTE(D127,"第",""),"层","")),_爬塔队伍!$D$2:$D$1001)</f>
        <v/>
      </c>
      <c r="U127">
        <f>SUMIF(_爬塔队伍!$A$2:$A$1001,VALUE(SUBSTITUTE(SUBSTITUTE(D127,"第",""),"层","")),_爬塔队伍!$E$2:$E$1001)/COUNTIF(_爬塔队伍!$A$2:$A$1001,VALUE(SUBSTITUTE(SUBSTITUTE(D127,"第",""),"层","")))</f>
        <v/>
      </c>
      <c r="V127">
        <f>IF($U127="","",MIN(0.75,$U127/($U127+24000)))</f>
        <v/>
      </c>
      <c r="W127">
        <f>SUMIF(_爬塔队伍!$A$2:$A$1001,VALUE(SUBSTITUTE(SUBSTITUTE(D127,"第",""),"层","")),_爬塔队伍!$F$2:$F$1001)</f>
        <v/>
      </c>
      <c r="X127">
        <f>IF(OR($W127="",$Q127="",$Q127=0),"",$W127/$Q127)</f>
        <v/>
      </c>
      <c r="Y127">
        <f>IF(OR($R127="",$T127="",$T127=0),"",$R127/($T127*IF($O127="",1,$O127)))</f>
        <v/>
      </c>
      <c r="Z127">
        <f>IF(OR($X127="",$P127="",$P127=0),"",$X127/$P127)</f>
        <v/>
      </c>
      <c r="AA127">
        <f>IF($J127="","待填怪物等级",IF(OR($I127="",$Q127=""),"待填对照关卡",IF($P127="","已计算",IF(AND($Y127&lt;&gt;"",$Y127&lt;$X127),"生存不成立","已计算"))))</f>
        <v/>
      </c>
      <c r="AB127">
        <f>IF($J127="","待填",IF(AND(ISNUMBER($J127),$J127&gt;=1,$J127&lt;=500,MOD($J127,1)=0),"有效","超范围"))</f>
        <v/>
      </c>
      <c r="AC127">
        <f>IF(OR($J127="",ROW()=5,$B127&lt;&gt;$B126,$J126=""),"",IF($J127&lt;$J126,"下降",""))</f>
        <v/>
      </c>
      <c r="AD127" t="inlineStr">
        <is>
          <t>终局荣誉层：无同期对照，推荐战力封顶1,590,000（2026-09-20）</t>
        </is>
      </c>
      <c r="AE127" t="n">
        <v>1590000</v>
      </c>
      <c r="AF127">
        <f>INDEX(_统一战力!$B$2:$B$501,J127)</f>
        <v/>
      </c>
    </row>
    <row r="128">
      <c r="A128" t="inlineStr">
        <is>
          <t>当前配置</t>
        </is>
      </c>
      <c r="B128" t="inlineStr">
        <is>
          <t>爬塔</t>
        </is>
      </c>
      <c r="C128" t="inlineStr">
        <is>
          <t>现行包体5</t>
        </is>
      </c>
      <c r="D128" t="inlineStr">
        <is>
          <t>第124层</t>
        </is>
      </c>
      <c r="E128" t="n">
        <v>300424</v>
      </c>
      <c r="F128" t="inlineStr">
        <is>
          <t>普通怪</t>
        </is>
      </c>
      <c r="I128">
        <f>IF($H128="",$G128,$H128)</f>
        <v/>
      </c>
      <c r="J128" t="n">
        <v>312</v>
      </c>
      <c r="K128" t="n">
        <v>1.12582067235919</v>
      </c>
      <c r="L128" t="n">
        <v>0.729834891319568</v>
      </c>
      <c r="M128" t="n">
        <v>1</v>
      </c>
      <c r="Q128">
        <f>IF($I128="","",IFERROR(INDEX(_玩家曲线!$H$2:$H$286,MATCH($I128,_玩家曲线!$A$2:$A$286,0)),""))</f>
        <v/>
      </c>
      <c r="R128">
        <f>IF($I128="","",IFERROR(INDEX(_玩家曲线!$I$2:$I$286,MATCH($I128,_玩家曲线!$A$2:$A$286,0)),""))</f>
        <v/>
      </c>
      <c r="S128">
        <f>SUMIF(_爬塔队伍!$A$2:$A$1001,VALUE(SUBSTITUTE(SUBSTITUTE(D128,"第",""),"层","")),_爬塔队伍!$C$2:$C$1001)</f>
        <v/>
      </c>
      <c r="T128">
        <f>SUMIF(_爬塔队伍!$A$2:$A$1001,VALUE(SUBSTITUTE(SUBSTITUTE(D128,"第",""),"层","")),_爬塔队伍!$D$2:$D$1001)</f>
        <v/>
      </c>
      <c r="U128">
        <f>SUMIF(_爬塔队伍!$A$2:$A$1001,VALUE(SUBSTITUTE(SUBSTITUTE(D128,"第",""),"层","")),_爬塔队伍!$E$2:$E$1001)/COUNTIF(_爬塔队伍!$A$2:$A$1001,VALUE(SUBSTITUTE(SUBSTITUTE(D128,"第",""),"层","")))</f>
        <v/>
      </c>
      <c r="V128">
        <f>IF($U128="","",MIN(0.75,$U128/($U128+24000)))</f>
        <v/>
      </c>
      <c r="W128">
        <f>SUMIF(_爬塔队伍!$A$2:$A$1001,VALUE(SUBSTITUTE(SUBSTITUTE(D128,"第",""),"层","")),_爬塔队伍!$F$2:$F$1001)</f>
        <v/>
      </c>
      <c r="X128">
        <f>IF(OR($W128="",$Q128="",$Q128=0),"",$W128/$Q128)</f>
        <v/>
      </c>
      <c r="Y128">
        <f>IF(OR($R128="",$T128="",$T128=0),"",$R128/($T128*IF($O128="",1,$O128)))</f>
        <v/>
      </c>
      <c r="Z128">
        <f>IF(OR($X128="",$P128="",$P128=0),"",$X128/$P128)</f>
        <v/>
      </c>
      <c r="AA128">
        <f>IF($J128="","待填怪物等级",IF(OR($I128="",$Q128=""),"待填对照关卡",IF($P128="","已计算",IF(AND($Y128&lt;&gt;"",$Y128&lt;$X128),"生存不成立","已计算"))))</f>
        <v/>
      </c>
      <c r="AB128">
        <f>IF($J128="","待填",IF(AND(ISNUMBER($J128),$J128&gt;=1,$J128&lt;=500,MOD($J128,1)=0),"有效","超范围"))</f>
        <v/>
      </c>
      <c r="AC128">
        <f>IF(OR($J128="",ROW()=5,$B128&lt;&gt;$B127,$J127=""),"",IF($J128&lt;$J127,"下降",""))</f>
        <v/>
      </c>
      <c r="AD128" t="inlineStr">
        <is>
          <t>终局荣誉层：无同期对照，推荐战力封顶1,590,000（2026-09-20）</t>
        </is>
      </c>
      <c r="AE128" t="n">
        <v>1590000</v>
      </c>
      <c r="AF128">
        <f>INDEX(_统一战力!$B$2:$B$501,J128)</f>
        <v/>
      </c>
    </row>
    <row r="129">
      <c r="A129" t="inlineStr">
        <is>
          <t>当前配置</t>
        </is>
      </c>
      <c r="B129" t="inlineStr">
        <is>
          <t>爬塔</t>
        </is>
      </c>
      <c r="C129" t="inlineStr">
        <is>
          <t>现行包体5</t>
        </is>
      </c>
      <c r="D129" t="inlineStr">
        <is>
          <t>第125层</t>
        </is>
      </c>
      <c r="E129" t="n">
        <v>300425</v>
      </c>
      <c r="F129" t="inlineStr">
        <is>
          <t>精英怪</t>
        </is>
      </c>
      <c r="I129">
        <f>IF($H129="",$G129,$H129)</f>
        <v/>
      </c>
      <c r="J129" t="n">
        <v>314</v>
      </c>
      <c r="K129" t="n">
        <v>1.13108015591293</v>
      </c>
      <c r="L129" t="n">
        <v>0.726679309784578</v>
      </c>
      <c r="M129" t="n">
        <v>1</v>
      </c>
      <c r="Q129">
        <f>IF($I129="","",IFERROR(INDEX(_玩家曲线!$H$2:$H$286,MATCH($I129,_玩家曲线!$A$2:$A$286,0)),""))</f>
        <v/>
      </c>
      <c r="R129">
        <f>IF($I129="","",IFERROR(INDEX(_玩家曲线!$I$2:$I$286,MATCH($I129,_玩家曲线!$A$2:$A$286,0)),""))</f>
        <v/>
      </c>
      <c r="S129">
        <f>SUMIF(_爬塔队伍!$A$2:$A$1001,VALUE(SUBSTITUTE(SUBSTITUTE(D129,"第",""),"层","")),_爬塔队伍!$C$2:$C$1001)</f>
        <v/>
      </c>
      <c r="T129">
        <f>SUMIF(_爬塔队伍!$A$2:$A$1001,VALUE(SUBSTITUTE(SUBSTITUTE(D129,"第",""),"层","")),_爬塔队伍!$D$2:$D$1001)</f>
        <v/>
      </c>
      <c r="U129">
        <f>SUMIF(_爬塔队伍!$A$2:$A$1001,VALUE(SUBSTITUTE(SUBSTITUTE(D129,"第",""),"层","")),_爬塔队伍!$E$2:$E$1001)/COUNTIF(_爬塔队伍!$A$2:$A$1001,VALUE(SUBSTITUTE(SUBSTITUTE(D129,"第",""),"层","")))</f>
        <v/>
      </c>
      <c r="V129">
        <f>IF($U129="","",MIN(0.75,$U129/($U129+24000)))</f>
        <v/>
      </c>
      <c r="W129">
        <f>SUMIF(_爬塔队伍!$A$2:$A$1001,VALUE(SUBSTITUTE(SUBSTITUTE(D129,"第",""),"层","")),_爬塔队伍!$F$2:$F$1001)</f>
        <v/>
      </c>
      <c r="X129">
        <f>IF(OR($W129="",$Q129="",$Q129=0),"",$W129/$Q129)</f>
        <v/>
      </c>
      <c r="Y129">
        <f>IF(OR($R129="",$T129="",$T129=0),"",$R129/($T129*IF($O129="",1,$O129)))</f>
        <v/>
      </c>
      <c r="Z129">
        <f>IF(OR($X129="",$P129="",$P129=0),"",$X129/$P129)</f>
        <v/>
      </c>
      <c r="AA129">
        <f>IF($J129="","待填怪物等级",IF(OR($I129="",$Q129=""),"待填对照关卡",IF($P129="","已计算",IF(AND($Y129&lt;&gt;"",$Y129&lt;$X129),"生存不成立","已计算"))))</f>
        <v/>
      </c>
      <c r="AB129">
        <f>IF($J129="","待填",IF(AND(ISNUMBER($J129),$J129&gt;=1,$J129&lt;=500,MOD($J129,1)=0),"有效","超范围"))</f>
        <v/>
      </c>
      <c r="AC129">
        <f>IF(OR($J129="",ROW()=5,$B129&lt;&gt;$B128,$J128=""),"",IF($J129&lt;$J128,"下降",""))</f>
        <v/>
      </c>
      <c r="AD129" t="inlineStr">
        <is>
          <t>终局荣誉层：无同期对照，推荐战力封顶1,590,000（2026-09-20）</t>
        </is>
      </c>
      <c r="AE129" t="n">
        <v>1590000</v>
      </c>
      <c r="AF129">
        <f>INDEX(_统一战力!$B$2:$B$501,J129)</f>
        <v/>
      </c>
    </row>
    <row r="130">
      <c r="A130" t="inlineStr">
        <is>
          <t>当前配置</t>
        </is>
      </c>
      <c r="B130" t="inlineStr">
        <is>
          <t>爬塔</t>
        </is>
      </c>
      <c r="C130" t="inlineStr">
        <is>
          <t>现行包体5</t>
        </is>
      </c>
      <c r="D130" t="inlineStr">
        <is>
          <t>第126层</t>
        </is>
      </c>
      <c r="E130" t="n">
        <v>300426</v>
      </c>
      <c r="F130" t="inlineStr">
        <is>
          <t>普通怪</t>
        </is>
      </c>
      <c r="I130">
        <f>IF($H130="",$G130,$H130)</f>
        <v/>
      </c>
      <c r="J130" t="n">
        <v>316</v>
      </c>
      <c r="K130" t="n">
        <v>1.12582067235919</v>
      </c>
      <c r="L130" t="n">
        <v>0.729834891319568</v>
      </c>
      <c r="M130" t="n">
        <v>1</v>
      </c>
      <c r="Q130">
        <f>IF($I130="","",IFERROR(INDEX(_玩家曲线!$H$2:$H$286,MATCH($I130,_玩家曲线!$A$2:$A$286,0)),""))</f>
        <v/>
      </c>
      <c r="R130">
        <f>IF($I130="","",IFERROR(INDEX(_玩家曲线!$I$2:$I$286,MATCH($I130,_玩家曲线!$A$2:$A$286,0)),""))</f>
        <v/>
      </c>
      <c r="S130">
        <f>SUMIF(_爬塔队伍!$A$2:$A$1001,VALUE(SUBSTITUTE(SUBSTITUTE(D130,"第",""),"层","")),_爬塔队伍!$C$2:$C$1001)</f>
        <v/>
      </c>
      <c r="T130">
        <f>SUMIF(_爬塔队伍!$A$2:$A$1001,VALUE(SUBSTITUTE(SUBSTITUTE(D130,"第",""),"层","")),_爬塔队伍!$D$2:$D$1001)</f>
        <v/>
      </c>
      <c r="U130">
        <f>SUMIF(_爬塔队伍!$A$2:$A$1001,VALUE(SUBSTITUTE(SUBSTITUTE(D130,"第",""),"层","")),_爬塔队伍!$E$2:$E$1001)/COUNTIF(_爬塔队伍!$A$2:$A$1001,VALUE(SUBSTITUTE(SUBSTITUTE(D130,"第",""),"层","")))</f>
        <v/>
      </c>
      <c r="V130">
        <f>IF($U130="","",MIN(0.75,$U130/($U130+24000)))</f>
        <v/>
      </c>
      <c r="W130">
        <f>SUMIF(_爬塔队伍!$A$2:$A$1001,VALUE(SUBSTITUTE(SUBSTITUTE(D130,"第",""),"层","")),_爬塔队伍!$F$2:$F$1001)</f>
        <v/>
      </c>
      <c r="X130">
        <f>IF(OR($W130="",$Q130="",$Q130=0),"",$W130/$Q130)</f>
        <v/>
      </c>
      <c r="Y130">
        <f>IF(OR($R130="",$T130="",$T130=0),"",$R130/($T130*IF($O130="",1,$O130)))</f>
        <v/>
      </c>
      <c r="Z130">
        <f>IF(OR($X130="",$P130="",$P130=0),"",$X130/$P130)</f>
        <v/>
      </c>
      <c r="AA130">
        <f>IF($J130="","待填怪物等级",IF(OR($I130="",$Q130=""),"待填对照关卡",IF($P130="","已计算",IF(AND($Y130&lt;&gt;"",$Y130&lt;$X130),"生存不成立","已计算"))))</f>
        <v/>
      </c>
      <c r="AB130">
        <f>IF($J130="","待填",IF(AND(ISNUMBER($J130),$J130&gt;=1,$J130&lt;=500,MOD($J130,1)=0),"有效","超范围"))</f>
        <v/>
      </c>
      <c r="AC130">
        <f>IF(OR($J130="",ROW()=5,$B130&lt;&gt;$B129,$J129=""),"",IF($J130&lt;$J129,"下降",""))</f>
        <v/>
      </c>
      <c r="AD130" t="inlineStr">
        <is>
          <t>终局荣誉层：无同期对照，推荐战力封顶1,590,000（2026-09-20）</t>
        </is>
      </c>
      <c r="AE130" t="n">
        <v>1590000</v>
      </c>
      <c r="AF130">
        <f>INDEX(_统一战力!$B$2:$B$501,J130)</f>
        <v/>
      </c>
    </row>
    <row r="131">
      <c r="A131" t="inlineStr">
        <is>
          <t>当前配置</t>
        </is>
      </c>
      <c r="B131" t="inlineStr">
        <is>
          <t>爬塔</t>
        </is>
      </c>
      <c r="C131" t="inlineStr">
        <is>
          <t>现行包体5</t>
        </is>
      </c>
      <c r="D131" t="inlineStr">
        <is>
          <t>第127层</t>
        </is>
      </c>
      <c r="E131" t="n">
        <v>300427</v>
      </c>
      <c r="F131" t="inlineStr">
        <is>
          <t>普通怪</t>
        </is>
      </c>
      <c r="I131">
        <f>IF($H131="",$G131,$H131)</f>
        <v/>
      </c>
      <c r="J131" t="n">
        <v>317</v>
      </c>
      <c r="K131" t="n">
        <v>1.12582067235919</v>
      </c>
      <c r="L131" t="n">
        <v>0.729834891319568</v>
      </c>
      <c r="M131" t="n">
        <v>1</v>
      </c>
      <c r="Q131">
        <f>IF($I131="","",IFERROR(INDEX(_玩家曲线!$H$2:$H$286,MATCH($I131,_玩家曲线!$A$2:$A$286,0)),""))</f>
        <v/>
      </c>
      <c r="R131">
        <f>IF($I131="","",IFERROR(INDEX(_玩家曲线!$I$2:$I$286,MATCH($I131,_玩家曲线!$A$2:$A$286,0)),""))</f>
        <v/>
      </c>
      <c r="S131">
        <f>SUMIF(_爬塔队伍!$A$2:$A$1001,VALUE(SUBSTITUTE(SUBSTITUTE(D131,"第",""),"层","")),_爬塔队伍!$C$2:$C$1001)</f>
        <v/>
      </c>
      <c r="T131">
        <f>SUMIF(_爬塔队伍!$A$2:$A$1001,VALUE(SUBSTITUTE(SUBSTITUTE(D131,"第",""),"层","")),_爬塔队伍!$D$2:$D$1001)</f>
        <v/>
      </c>
      <c r="U131">
        <f>SUMIF(_爬塔队伍!$A$2:$A$1001,VALUE(SUBSTITUTE(SUBSTITUTE(D131,"第",""),"层","")),_爬塔队伍!$E$2:$E$1001)/COUNTIF(_爬塔队伍!$A$2:$A$1001,VALUE(SUBSTITUTE(SUBSTITUTE(D131,"第",""),"层","")))</f>
        <v/>
      </c>
      <c r="V131">
        <f>IF($U131="","",MIN(0.75,$U131/($U131+24000)))</f>
        <v/>
      </c>
      <c r="W131">
        <f>SUMIF(_爬塔队伍!$A$2:$A$1001,VALUE(SUBSTITUTE(SUBSTITUTE(D131,"第",""),"层","")),_爬塔队伍!$F$2:$F$1001)</f>
        <v/>
      </c>
      <c r="X131">
        <f>IF(OR($W131="",$Q131="",$Q131=0),"",$W131/$Q131)</f>
        <v/>
      </c>
      <c r="Y131">
        <f>IF(OR($R131="",$T131="",$T131=0),"",$R131/($T131*IF($O131="",1,$O131)))</f>
        <v/>
      </c>
      <c r="Z131">
        <f>IF(OR($X131="",$P131="",$P131=0),"",$X131/$P131)</f>
        <v/>
      </c>
      <c r="AA131">
        <f>IF($J131="","待填怪物等级",IF(OR($I131="",$Q131=""),"待填对照关卡",IF($P131="","已计算",IF(AND($Y131&lt;&gt;"",$Y131&lt;$X131),"生存不成立","已计算"))))</f>
        <v/>
      </c>
      <c r="AB131">
        <f>IF($J131="","待填",IF(AND(ISNUMBER($J131),$J131&gt;=1,$J131&lt;=500,MOD($J131,1)=0),"有效","超范围"))</f>
        <v/>
      </c>
      <c r="AC131">
        <f>IF(OR($J131="",ROW()=5,$B131&lt;&gt;$B130,$J130=""),"",IF($J131&lt;$J130,"下降",""))</f>
        <v/>
      </c>
      <c r="AD131" t="inlineStr">
        <is>
          <t>终局荣誉层：无同期对照，推荐战力封顶1,590,000（2026-09-20）</t>
        </is>
      </c>
      <c r="AE131" t="n">
        <v>1590000</v>
      </c>
      <c r="AF131">
        <f>INDEX(_统一战力!$B$2:$B$501,J131)</f>
        <v/>
      </c>
    </row>
    <row r="132">
      <c r="A132" t="inlineStr">
        <is>
          <t>当前配置</t>
        </is>
      </c>
      <c r="B132" t="inlineStr">
        <is>
          <t>爬塔</t>
        </is>
      </c>
      <c r="C132" t="inlineStr">
        <is>
          <t>现行包体5</t>
        </is>
      </c>
      <c r="D132" t="inlineStr">
        <is>
          <t>第128层</t>
        </is>
      </c>
      <c r="E132" t="n">
        <v>300428</v>
      </c>
      <c r="F132" t="inlineStr">
        <is>
          <t>普通怪</t>
        </is>
      </c>
      <c r="I132">
        <f>IF($H132="",$G132,$H132)</f>
        <v/>
      </c>
      <c r="J132" t="n">
        <v>319</v>
      </c>
      <c r="K132" t="n">
        <v>1.12582067235919</v>
      </c>
      <c r="L132" t="n">
        <v>0.729834891319568</v>
      </c>
      <c r="M132" t="n">
        <v>1</v>
      </c>
      <c r="Q132">
        <f>IF($I132="","",IFERROR(INDEX(_玩家曲线!$H$2:$H$286,MATCH($I132,_玩家曲线!$A$2:$A$286,0)),""))</f>
        <v/>
      </c>
      <c r="R132">
        <f>IF($I132="","",IFERROR(INDEX(_玩家曲线!$I$2:$I$286,MATCH($I132,_玩家曲线!$A$2:$A$286,0)),""))</f>
        <v/>
      </c>
      <c r="S132">
        <f>SUMIF(_爬塔队伍!$A$2:$A$1001,VALUE(SUBSTITUTE(SUBSTITUTE(D132,"第",""),"层","")),_爬塔队伍!$C$2:$C$1001)</f>
        <v/>
      </c>
      <c r="T132">
        <f>SUMIF(_爬塔队伍!$A$2:$A$1001,VALUE(SUBSTITUTE(SUBSTITUTE(D132,"第",""),"层","")),_爬塔队伍!$D$2:$D$1001)</f>
        <v/>
      </c>
      <c r="U132">
        <f>SUMIF(_爬塔队伍!$A$2:$A$1001,VALUE(SUBSTITUTE(SUBSTITUTE(D132,"第",""),"层","")),_爬塔队伍!$E$2:$E$1001)/COUNTIF(_爬塔队伍!$A$2:$A$1001,VALUE(SUBSTITUTE(SUBSTITUTE(D132,"第",""),"层","")))</f>
        <v/>
      </c>
      <c r="V132">
        <f>IF($U132="","",MIN(0.75,$U132/($U132+24000)))</f>
        <v/>
      </c>
      <c r="W132">
        <f>SUMIF(_爬塔队伍!$A$2:$A$1001,VALUE(SUBSTITUTE(SUBSTITUTE(D132,"第",""),"层","")),_爬塔队伍!$F$2:$F$1001)</f>
        <v/>
      </c>
      <c r="X132">
        <f>IF(OR($W132="",$Q132="",$Q132=0),"",$W132/$Q132)</f>
        <v/>
      </c>
      <c r="Y132">
        <f>IF(OR($R132="",$T132="",$T132=0),"",$R132/($T132*IF($O132="",1,$O132)))</f>
        <v/>
      </c>
      <c r="Z132">
        <f>IF(OR($X132="",$P132="",$P132=0),"",$X132/$P132)</f>
        <v/>
      </c>
      <c r="AA132">
        <f>IF($J132="","待填怪物等级",IF(OR($I132="",$Q132=""),"待填对照关卡",IF($P132="","已计算",IF(AND($Y132&lt;&gt;"",$Y132&lt;$X132),"生存不成立","已计算"))))</f>
        <v/>
      </c>
      <c r="AB132">
        <f>IF($J132="","待填",IF(AND(ISNUMBER($J132),$J132&gt;=1,$J132&lt;=500,MOD($J132,1)=0),"有效","超范围"))</f>
        <v/>
      </c>
      <c r="AC132">
        <f>IF(OR($J132="",ROW()=5,$B132&lt;&gt;$B131,$J131=""),"",IF($J132&lt;$J131,"下降",""))</f>
        <v/>
      </c>
      <c r="AD132" t="inlineStr">
        <is>
          <t>终局荣誉层：无同期对照，推荐战力封顶1,590,000（2026-09-20）</t>
        </is>
      </c>
      <c r="AE132" t="n">
        <v>1590000</v>
      </c>
      <c r="AF132">
        <f>INDEX(_统一战力!$B$2:$B$501,J132)</f>
        <v/>
      </c>
    </row>
    <row r="133">
      <c r="A133" t="inlineStr">
        <is>
          <t>当前配置</t>
        </is>
      </c>
      <c r="B133" t="inlineStr">
        <is>
          <t>爬塔</t>
        </is>
      </c>
      <c r="C133" t="inlineStr">
        <is>
          <t>现行包体5</t>
        </is>
      </c>
      <c r="D133" t="inlineStr">
        <is>
          <t>第129层</t>
        </is>
      </c>
      <c r="E133" t="n">
        <v>300429</v>
      </c>
      <c r="F133" t="inlineStr">
        <is>
          <t>普通怪</t>
        </is>
      </c>
      <c r="I133">
        <f>IF($H133="",$G133,$H133)</f>
        <v/>
      </c>
      <c r="J133" t="n">
        <v>320</v>
      </c>
      <c r="K133" t="n">
        <v>1.12582067235919</v>
      </c>
      <c r="L133" t="n">
        <v>0.729834891319568</v>
      </c>
      <c r="M133" t="n">
        <v>1</v>
      </c>
      <c r="Q133">
        <f>IF($I133="","",IFERROR(INDEX(_玩家曲线!$H$2:$H$286,MATCH($I133,_玩家曲线!$A$2:$A$286,0)),""))</f>
        <v/>
      </c>
      <c r="R133">
        <f>IF($I133="","",IFERROR(INDEX(_玩家曲线!$I$2:$I$286,MATCH($I133,_玩家曲线!$A$2:$A$286,0)),""))</f>
        <v/>
      </c>
      <c r="S133">
        <f>SUMIF(_爬塔队伍!$A$2:$A$1001,VALUE(SUBSTITUTE(SUBSTITUTE(D133,"第",""),"层","")),_爬塔队伍!$C$2:$C$1001)</f>
        <v/>
      </c>
      <c r="T133">
        <f>SUMIF(_爬塔队伍!$A$2:$A$1001,VALUE(SUBSTITUTE(SUBSTITUTE(D133,"第",""),"层","")),_爬塔队伍!$D$2:$D$1001)</f>
        <v/>
      </c>
      <c r="U133">
        <f>SUMIF(_爬塔队伍!$A$2:$A$1001,VALUE(SUBSTITUTE(SUBSTITUTE(D133,"第",""),"层","")),_爬塔队伍!$E$2:$E$1001)/COUNTIF(_爬塔队伍!$A$2:$A$1001,VALUE(SUBSTITUTE(SUBSTITUTE(D133,"第",""),"层","")))</f>
        <v/>
      </c>
      <c r="V133">
        <f>IF($U133="","",MIN(0.75,$U133/($U133+24000)))</f>
        <v/>
      </c>
      <c r="W133">
        <f>SUMIF(_爬塔队伍!$A$2:$A$1001,VALUE(SUBSTITUTE(SUBSTITUTE(D133,"第",""),"层","")),_爬塔队伍!$F$2:$F$1001)</f>
        <v/>
      </c>
      <c r="X133">
        <f>IF(OR($W133="",$Q133="",$Q133=0),"",$W133/$Q133)</f>
        <v/>
      </c>
      <c r="Y133">
        <f>IF(OR($R133="",$T133="",$T133=0),"",$R133/($T133*IF($O133="",1,$O133)))</f>
        <v/>
      </c>
      <c r="Z133">
        <f>IF(OR($X133="",$P133="",$P133=0),"",$X133/$P133)</f>
        <v/>
      </c>
      <c r="AA133">
        <f>IF($J133="","待填怪物等级",IF(OR($I133="",$Q133=""),"待填对照关卡",IF($P133="","已计算",IF(AND($Y133&lt;&gt;"",$Y133&lt;$X133),"生存不成立","已计算"))))</f>
        <v/>
      </c>
      <c r="AB133">
        <f>IF($J133="","待填",IF(AND(ISNUMBER($J133),$J133&gt;=1,$J133&lt;=500,MOD($J133,1)=0),"有效","超范围"))</f>
        <v/>
      </c>
      <c r="AC133">
        <f>IF(OR($J133="",ROW()=5,$B133&lt;&gt;$B132,$J132=""),"",IF($J133&lt;$J132,"下降",""))</f>
        <v/>
      </c>
      <c r="AD133" t="inlineStr">
        <is>
          <t>终局荣誉层：无同期对照，推荐战力封顶1,590,000（2026-09-20）</t>
        </is>
      </c>
      <c r="AE133" t="n">
        <v>1590000</v>
      </c>
      <c r="AF133">
        <f>INDEX(_统一战力!$B$2:$B$501,J133)</f>
        <v/>
      </c>
    </row>
    <row r="134">
      <c r="A134" t="inlineStr">
        <is>
          <t>当前配置</t>
        </is>
      </c>
      <c r="B134" t="inlineStr">
        <is>
          <t>爬塔</t>
        </is>
      </c>
      <c r="C134" t="inlineStr">
        <is>
          <t>现行包体5</t>
        </is>
      </c>
      <c r="D134" t="inlineStr">
        <is>
          <t>第130层</t>
        </is>
      </c>
      <c r="E134" t="n">
        <v>300430</v>
      </c>
      <c r="F134" t="inlineStr">
        <is>
          <t>Boss</t>
        </is>
      </c>
      <c r="I134">
        <f>IF($H134="",$G134,$H134)</f>
        <v/>
      </c>
      <c r="J134" t="n">
        <v>322</v>
      </c>
      <c r="K134" t="n">
        <v>1.12671592412141</v>
      </c>
      <c r="L134" t="n">
        <v>0.731229508674054</v>
      </c>
      <c r="M134" t="n">
        <v>1</v>
      </c>
      <c r="Q134">
        <f>IF($I134="","",IFERROR(INDEX(_玩家曲线!$H$2:$H$286,MATCH($I134,_玩家曲线!$A$2:$A$286,0)),""))</f>
        <v/>
      </c>
      <c r="R134">
        <f>IF($I134="","",IFERROR(INDEX(_玩家曲线!$I$2:$I$286,MATCH($I134,_玩家曲线!$A$2:$A$286,0)),""))</f>
        <v/>
      </c>
      <c r="S134">
        <f>SUMIF(_爬塔队伍!$A$2:$A$1001,VALUE(SUBSTITUTE(SUBSTITUTE(D134,"第",""),"层","")),_爬塔队伍!$C$2:$C$1001)</f>
        <v/>
      </c>
      <c r="T134">
        <f>SUMIF(_爬塔队伍!$A$2:$A$1001,VALUE(SUBSTITUTE(SUBSTITUTE(D134,"第",""),"层","")),_爬塔队伍!$D$2:$D$1001)</f>
        <v/>
      </c>
      <c r="U134">
        <f>SUMIF(_爬塔队伍!$A$2:$A$1001,VALUE(SUBSTITUTE(SUBSTITUTE(D134,"第",""),"层","")),_爬塔队伍!$E$2:$E$1001)/COUNTIF(_爬塔队伍!$A$2:$A$1001,VALUE(SUBSTITUTE(SUBSTITUTE(D134,"第",""),"层","")))</f>
        <v/>
      </c>
      <c r="V134">
        <f>IF($U134="","",MIN(0.75,$U134/($U134+24000)))</f>
        <v/>
      </c>
      <c r="W134">
        <f>SUMIF(_爬塔队伍!$A$2:$A$1001,VALUE(SUBSTITUTE(SUBSTITUTE(D134,"第",""),"层","")),_爬塔队伍!$F$2:$F$1001)</f>
        <v/>
      </c>
      <c r="X134">
        <f>IF(OR($W134="",$Q134="",$Q134=0),"",$W134/$Q134)</f>
        <v/>
      </c>
      <c r="Y134">
        <f>IF(OR($R134="",$T134="",$T134=0),"",$R134/($T134*IF($O134="",1,$O134)))</f>
        <v/>
      </c>
      <c r="Z134">
        <f>IF(OR($X134="",$P134="",$P134=0),"",$X134/$P134)</f>
        <v/>
      </c>
      <c r="AA134">
        <f>IF($J134="","待填怪物等级",IF(OR($I134="",$Q134=""),"待填对照关卡",IF($P134="","已计算",IF(AND($Y134&lt;&gt;"",$Y134&lt;$X134),"生存不成立","已计算"))))</f>
        <v/>
      </c>
      <c r="AB134">
        <f>IF($J134="","待填",IF(AND(ISNUMBER($J134),$J134&gt;=1,$J134&lt;=500,MOD($J134,1)=0),"有效","超范围"))</f>
        <v/>
      </c>
      <c r="AC134">
        <f>IF(OR($J134="",ROW()=5,$B134&lt;&gt;$B133,$J133=""),"",IF($J134&lt;$J133,"下降",""))</f>
        <v/>
      </c>
      <c r="AD134" t="inlineStr">
        <is>
          <t>终局荣誉层：无同期对照，推荐战力封顶1,590,000（2026-09-20）</t>
        </is>
      </c>
      <c r="AE134" t="n">
        <v>1590000</v>
      </c>
      <c r="AF134">
        <f>INDEX(_统一战力!$B$2:$B$501,J134)</f>
        <v/>
      </c>
    </row>
    <row r="135">
      <c r="A135" t="inlineStr">
        <is>
          <t>当前配置</t>
        </is>
      </c>
      <c r="B135" t="inlineStr">
        <is>
          <t>爬塔</t>
        </is>
      </c>
      <c r="C135" t="inlineStr">
        <is>
          <t>现行包体5</t>
        </is>
      </c>
      <c r="D135" t="inlineStr">
        <is>
          <t>第131层</t>
        </is>
      </c>
      <c r="E135" t="n">
        <v>300431</v>
      </c>
      <c r="F135" t="inlineStr">
        <is>
          <t>普通怪</t>
        </is>
      </c>
      <c r="I135">
        <f>IF($H135="",$G135,$H135)</f>
        <v/>
      </c>
      <c r="J135" t="n">
        <v>324</v>
      </c>
      <c r="K135" t="n">
        <v>1.12582067235919</v>
      </c>
      <c r="L135" t="n">
        <v>0.729834891319568</v>
      </c>
      <c r="M135" t="n">
        <v>1</v>
      </c>
      <c r="Q135">
        <f>IF($I135="","",IFERROR(INDEX(_玩家曲线!$H$2:$H$286,MATCH($I135,_玩家曲线!$A$2:$A$286,0)),""))</f>
        <v/>
      </c>
      <c r="R135">
        <f>IF($I135="","",IFERROR(INDEX(_玩家曲线!$I$2:$I$286,MATCH($I135,_玩家曲线!$A$2:$A$286,0)),""))</f>
        <v/>
      </c>
      <c r="S135">
        <f>SUMIF(_爬塔队伍!$A$2:$A$1001,VALUE(SUBSTITUTE(SUBSTITUTE(D135,"第",""),"层","")),_爬塔队伍!$C$2:$C$1001)</f>
        <v/>
      </c>
      <c r="T135">
        <f>SUMIF(_爬塔队伍!$A$2:$A$1001,VALUE(SUBSTITUTE(SUBSTITUTE(D135,"第",""),"层","")),_爬塔队伍!$D$2:$D$1001)</f>
        <v/>
      </c>
      <c r="U135">
        <f>SUMIF(_爬塔队伍!$A$2:$A$1001,VALUE(SUBSTITUTE(SUBSTITUTE(D135,"第",""),"层","")),_爬塔队伍!$E$2:$E$1001)/COUNTIF(_爬塔队伍!$A$2:$A$1001,VALUE(SUBSTITUTE(SUBSTITUTE(D135,"第",""),"层","")))</f>
        <v/>
      </c>
      <c r="V135">
        <f>IF($U135="","",MIN(0.75,$U135/($U135+24000)))</f>
        <v/>
      </c>
      <c r="W135">
        <f>SUMIF(_爬塔队伍!$A$2:$A$1001,VALUE(SUBSTITUTE(SUBSTITUTE(D135,"第",""),"层","")),_爬塔队伍!$F$2:$F$1001)</f>
        <v/>
      </c>
      <c r="X135">
        <f>IF(OR($W135="",$Q135="",$Q135=0),"",$W135/$Q135)</f>
        <v/>
      </c>
      <c r="Y135">
        <f>IF(OR($R135="",$T135="",$T135=0),"",$R135/($T135*IF($O135="",1,$O135)))</f>
        <v/>
      </c>
      <c r="Z135">
        <f>IF(OR($X135="",$P135="",$P135=0),"",$X135/$P135)</f>
        <v/>
      </c>
      <c r="AA135">
        <f>IF($J135="","待填怪物等级",IF(OR($I135="",$Q135=""),"待填对照关卡",IF($P135="","已计算",IF(AND($Y135&lt;&gt;"",$Y135&lt;$X135),"生存不成立","已计算"))))</f>
        <v/>
      </c>
      <c r="AB135">
        <f>IF($J135="","待填",IF(AND(ISNUMBER($J135),$J135&gt;=1,$J135&lt;=500,MOD($J135,1)=0),"有效","超范围"))</f>
        <v/>
      </c>
      <c r="AC135">
        <f>IF(OR($J135="",ROW()=5,$B135&lt;&gt;$B134,$J134=""),"",IF($J135&lt;$J134,"下降",""))</f>
        <v/>
      </c>
      <c r="AD135" t="inlineStr">
        <is>
          <t>终局荣誉层：无同期对照，推荐战力封顶1,590,000（2026-09-20）</t>
        </is>
      </c>
      <c r="AE135" t="n">
        <v>1590000</v>
      </c>
      <c r="AF135">
        <f>INDEX(_统一战力!$B$2:$B$501,J135)</f>
        <v/>
      </c>
    </row>
    <row r="136">
      <c r="A136" t="inlineStr">
        <is>
          <t>当前配置</t>
        </is>
      </c>
      <c r="B136" t="inlineStr">
        <is>
          <t>爬塔</t>
        </is>
      </c>
      <c r="C136" t="inlineStr">
        <is>
          <t>现行包体5</t>
        </is>
      </c>
      <c r="D136" t="inlineStr">
        <is>
          <t>第132层</t>
        </is>
      </c>
      <c r="E136" t="n">
        <v>300432</v>
      </c>
      <c r="F136" t="inlineStr">
        <is>
          <t>普通怪</t>
        </is>
      </c>
      <c r="I136">
        <f>IF($H136="",$G136,$H136)</f>
        <v/>
      </c>
      <c r="J136" t="n">
        <v>326</v>
      </c>
      <c r="K136" t="n">
        <v>1.12582067235919</v>
      </c>
      <c r="L136" t="n">
        <v>0.729834891319568</v>
      </c>
      <c r="M136" t="n">
        <v>1</v>
      </c>
      <c r="Q136">
        <f>IF($I136="","",IFERROR(INDEX(_玩家曲线!$H$2:$H$286,MATCH($I136,_玩家曲线!$A$2:$A$286,0)),""))</f>
        <v/>
      </c>
      <c r="R136">
        <f>IF($I136="","",IFERROR(INDEX(_玩家曲线!$I$2:$I$286,MATCH($I136,_玩家曲线!$A$2:$A$286,0)),""))</f>
        <v/>
      </c>
      <c r="S136">
        <f>SUMIF(_爬塔队伍!$A$2:$A$1001,VALUE(SUBSTITUTE(SUBSTITUTE(D136,"第",""),"层","")),_爬塔队伍!$C$2:$C$1001)</f>
        <v/>
      </c>
      <c r="T136">
        <f>SUMIF(_爬塔队伍!$A$2:$A$1001,VALUE(SUBSTITUTE(SUBSTITUTE(D136,"第",""),"层","")),_爬塔队伍!$D$2:$D$1001)</f>
        <v/>
      </c>
      <c r="U136">
        <f>SUMIF(_爬塔队伍!$A$2:$A$1001,VALUE(SUBSTITUTE(SUBSTITUTE(D136,"第",""),"层","")),_爬塔队伍!$E$2:$E$1001)/COUNTIF(_爬塔队伍!$A$2:$A$1001,VALUE(SUBSTITUTE(SUBSTITUTE(D136,"第",""),"层","")))</f>
        <v/>
      </c>
      <c r="V136">
        <f>IF($U136="","",MIN(0.75,$U136/($U136+24000)))</f>
        <v/>
      </c>
      <c r="W136">
        <f>SUMIF(_爬塔队伍!$A$2:$A$1001,VALUE(SUBSTITUTE(SUBSTITUTE(D136,"第",""),"层","")),_爬塔队伍!$F$2:$F$1001)</f>
        <v/>
      </c>
      <c r="X136">
        <f>IF(OR($W136="",$Q136="",$Q136=0),"",$W136/$Q136)</f>
        <v/>
      </c>
      <c r="Y136">
        <f>IF(OR($R136="",$T136="",$T136=0),"",$R136/($T136*IF($O136="",1,$O136)))</f>
        <v/>
      </c>
      <c r="Z136">
        <f>IF(OR($X136="",$P136="",$P136=0),"",$X136/$P136)</f>
        <v/>
      </c>
      <c r="AA136">
        <f>IF($J136="","待填怪物等级",IF(OR($I136="",$Q136=""),"待填对照关卡",IF($P136="","已计算",IF(AND($Y136&lt;&gt;"",$Y136&lt;$X136),"生存不成立","已计算"))))</f>
        <v/>
      </c>
      <c r="AB136">
        <f>IF($J136="","待填",IF(AND(ISNUMBER($J136),$J136&gt;=1,$J136&lt;=500,MOD($J136,1)=0),"有效","超范围"))</f>
        <v/>
      </c>
      <c r="AC136">
        <f>IF(OR($J136="",ROW()=5,$B136&lt;&gt;$B135,$J135=""),"",IF($J136&lt;$J135,"下降",""))</f>
        <v/>
      </c>
      <c r="AD136" t="inlineStr">
        <is>
          <t>终局荣誉层：无同期对照，推荐战力封顶1,590,000（2026-09-20）</t>
        </is>
      </c>
      <c r="AE136" t="n">
        <v>1590000</v>
      </c>
      <c r="AF136">
        <f>INDEX(_统一战力!$B$2:$B$501,J136)</f>
        <v/>
      </c>
    </row>
    <row r="137">
      <c r="A137" t="inlineStr">
        <is>
          <t>当前配置</t>
        </is>
      </c>
      <c r="B137" t="inlineStr">
        <is>
          <t>爬塔</t>
        </is>
      </c>
      <c r="C137" t="inlineStr">
        <is>
          <t>现行包体5</t>
        </is>
      </c>
      <c r="D137" t="inlineStr">
        <is>
          <t>第133层</t>
        </is>
      </c>
      <c r="E137" t="n">
        <v>300433</v>
      </c>
      <c r="F137" t="inlineStr">
        <is>
          <t>普通怪</t>
        </is>
      </c>
      <c r="I137">
        <f>IF($H137="",$G137,$H137)</f>
        <v/>
      </c>
      <c r="J137" t="n">
        <v>327</v>
      </c>
      <c r="K137" t="n">
        <v>1.12582067235919</v>
      </c>
      <c r="L137" t="n">
        <v>0.729834891319568</v>
      </c>
      <c r="M137" t="n">
        <v>1</v>
      </c>
      <c r="Q137">
        <f>IF($I137="","",IFERROR(INDEX(_玩家曲线!$H$2:$H$286,MATCH($I137,_玩家曲线!$A$2:$A$286,0)),""))</f>
        <v/>
      </c>
      <c r="R137">
        <f>IF($I137="","",IFERROR(INDEX(_玩家曲线!$I$2:$I$286,MATCH($I137,_玩家曲线!$A$2:$A$286,0)),""))</f>
        <v/>
      </c>
      <c r="S137">
        <f>SUMIF(_爬塔队伍!$A$2:$A$1001,VALUE(SUBSTITUTE(SUBSTITUTE(D137,"第",""),"层","")),_爬塔队伍!$C$2:$C$1001)</f>
        <v/>
      </c>
      <c r="T137">
        <f>SUMIF(_爬塔队伍!$A$2:$A$1001,VALUE(SUBSTITUTE(SUBSTITUTE(D137,"第",""),"层","")),_爬塔队伍!$D$2:$D$1001)</f>
        <v/>
      </c>
      <c r="U137">
        <f>SUMIF(_爬塔队伍!$A$2:$A$1001,VALUE(SUBSTITUTE(SUBSTITUTE(D137,"第",""),"层","")),_爬塔队伍!$E$2:$E$1001)/COUNTIF(_爬塔队伍!$A$2:$A$1001,VALUE(SUBSTITUTE(SUBSTITUTE(D137,"第",""),"层","")))</f>
        <v/>
      </c>
      <c r="V137">
        <f>IF($U137="","",MIN(0.75,$U137/($U137+24000)))</f>
        <v/>
      </c>
      <c r="W137">
        <f>SUMIF(_爬塔队伍!$A$2:$A$1001,VALUE(SUBSTITUTE(SUBSTITUTE(D137,"第",""),"层","")),_爬塔队伍!$F$2:$F$1001)</f>
        <v/>
      </c>
      <c r="X137">
        <f>IF(OR($W137="",$Q137="",$Q137=0),"",$W137/$Q137)</f>
        <v/>
      </c>
      <c r="Y137">
        <f>IF(OR($R137="",$T137="",$T137=0),"",$R137/($T137*IF($O137="",1,$O137)))</f>
        <v/>
      </c>
      <c r="Z137">
        <f>IF(OR($X137="",$P137="",$P137=0),"",$X137/$P137)</f>
        <v/>
      </c>
      <c r="AA137">
        <f>IF($J137="","待填怪物等级",IF(OR($I137="",$Q137=""),"待填对照关卡",IF($P137="","已计算",IF(AND($Y137&lt;&gt;"",$Y137&lt;$X137),"生存不成立","已计算"))))</f>
        <v/>
      </c>
      <c r="AB137">
        <f>IF($J137="","待填",IF(AND(ISNUMBER($J137),$J137&gt;=1,$J137&lt;=500,MOD($J137,1)=0),"有效","超范围"))</f>
        <v/>
      </c>
      <c r="AC137">
        <f>IF(OR($J137="",ROW()=5,$B137&lt;&gt;$B136,$J136=""),"",IF($J137&lt;$J136,"下降",""))</f>
        <v/>
      </c>
      <c r="AD137" t="inlineStr">
        <is>
          <t>终局荣誉层：无同期对照，推荐战力封顶1,590,000（2026-09-20）</t>
        </is>
      </c>
      <c r="AE137" t="n">
        <v>1590000</v>
      </c>
      <c r="AF137">
        <f>INDEX(_统一战力!$B$2:$B$501,J137)</f>
        <v/>
      </c>
    </row>
    <row r="138">
      <c r="A138" t="inlineStr">
        <is>
          <t>当前配置</t>
        </is>
      </c>
      <c r="B138" t="inlineStr">
        <is>
          <t>爬塔</t>
        </is>
      </c>
      <c r="C138" t="inlineStr">
        <is>
          <t>现行包体5</t>
        </is>
      </c>
      <c r="D138" t="inlineStr">
        <is>
          <t>第134层</t>
        </is>
      </c>
      <c r="E138" t="n">
        <v>300434</v>
      </c>
      <c r="F138" t="inlineStr">
        <is>
          <t>普通怪</t>
        </is>
      </c>
      <c r="I138">
        <f>IF($H138="",$G138,$H138)</f>
        <v/>
      </c>
      <c r="J138" t="n">
        <v>329</v>
      </c>
      <c r="K138" t="n">
        <v>1.12582067235919</v>
      </c>
      <c r="L138" t="n">
        <v>0.729834891319568</v>
      </c>
      <c r="M138" t="n">
        <v>1</v>
      </c>
      <c r="Q138">
        <f>IF($I138="","",IFERROR(INDEX(_玩家曲线!$H$2:$H$286,MATCH($I138,_玩家曲线!$A$2:$A$286,0)),""))</f>
        <v/>
      </c>
      <c r="R138">
        <f>IF($I138="","",IFERROR(INDEX(_玩家曲线!$I$2:$I$286,MATCH($I138,_玩家曲线!$A$2:$A$286,0)),""))</f>
        <v/>
      </c>
      <c r="S138">
        <f>SUMIF(_爬塔队伍!$A$2:$A$1001,VALUE(SUBSTITUTE(SUBSTITUTE(D138,"第",""),"层","")),_爬塔队伍!$C$2:$C$1001)</f>
        <v/>
      </c>
      <c r="T138">
        <f>SUMIF(_爬塔队伍!$A$2:$A$1001,VALUE(SUBSTITUTE(SUBSTITUTE(D138,"第",""),"层","")),_爬塔队伍!$D$2:$D$1001)</f>
        <v/>
      </c>
      <c r="U138">
        <f>SUMIF(_爬塔队伍!$A$2:$A$1001,VALUE(SUBSTITUTE(SUBSTITUTE(D138,"第",""),"层","")),_爬塔队伍!$E$2:$E$1001)/COUNTIF(_爬塔队伍!$A$2:$A$1001,VALUE(SUBSTITUTE(SUBSTITUTE(D138,"第",""),"层","")))</f>
        <v/>
      </c>
      <c r="V138">
        <f>IF($U138="","",MIN(0.75,$U138/($U138+24000)))</f>
        <v/>
      </c>
      <c r="W138">
        <f>SUMIF(_爬塔队伍!$A$2:$A$1001,VALUE(SUBSTITUTE(SUBSTITUTE(D138,"第",""),"层","")),_爬塔队伍!$F$2:$F$1001)</f>
        <v/>
      </c>
      <c r="X138">
        <f>IF(OR($W138="",$Q138="",$Q138=0),"",$W138/$Q138)</f>
        <v/>
      </c>
      <c r="Y138">
        <f>IF(OR($R138="",$T138="",$T138=0),"",$R138/($T138*IF($O138="",1,$O138)))</f>
        <v/>
      </c>
      <c r="Z138">
        <f>IF(OR($X138="",$P138="",$P138=0),"",$X138/$P138)</f>
        <v/>
      </c>
      <c r="AA138">
        <f>IF($J138="","待填怪物等级",IF(OR($I138="",$Q138=""),"待填对照关卡",IF($P138="","已计算",IF(AND($Y138&lt;&gt;"",$Y138&lt;$X138),"生存不成立","已计算"))))</f>
        <v/>
      </c>
      <c r="AB138">
        <f>IF($J138="","待填",IF(AND(ISNUMBER($J138),$J138&gt;=1,$J138&lt;=500,MOD($J138,1)=0),"有效","超范围"))</f>
        <v/>
      </c>
      <c r="AC138">
        <f>IF(OR($J138="",ROW()=5,$B138&lt;&gt;$B137,$J137=""),"",IF($J138&lt;$J137,"下降",""))</f>
        <v/>
      </c>
      <c r="AD138" t="inlineStr">
        <is>
          <t>终局荣誉层：无同期对照，推荐战力封顶1,590,000（2026-09-20）</t>
        </is>
      </c>
      <c r="AE138" t="n">
        <v>1590000</v>
      </c>
      <c r="AF138">
        <f>INDEX(_统一战力!$B$2:$B$501,J138)</f>
        <v/>
      </c>
    </row>
    <row r="139">
      <c r="A139" t="inlineStr">
        <is>
          <t>当前配置</t>
        </is>
      </c>
      <c r="B139" t="inlineStr">
        <is>
          <t>爬塔</t>
        </is>
      </c>
      <c r="C139" t="inlineStr">
        <is>
          <t>现行包体5</t>
        </is>
      </c>
      <c r="D139" t="inlineStr">
        <is>
          <t>第135层</t>
        </is>
      </c>
      <c r="E139" t="n">
        <v>300435</v>
      </c>
      <c r="F139" t="inlineStr">
        <is>
          <t>精英怪</t>
        </is>
      </c>
      <c r="I139">
        <f>IF($H139="",$G139,$H139)</f>
        <v/>
      </c>
      <c r="J139" t="n">
        <v>331</v>
      </c>
      <c r="K139" t="n">
        <v>1.13108015591293</v>
      </c>
      <c r="L139" t="n">
        <v>0.726679309784578</v>
      </c>
      <c r="M139" t="n">
        <v>1</v>
      </c>
      <c r="Q139">
        <f>IF($I139="","",IFERROR(INDEX(_玩家曲线!$H$2:$H$286,MATCH($I139,_玩家曲线!$A$2:$A$286,0)),""))</f>
        <v/>
      </c>
      <c r="R139">
        <f>IF($I139="","",IFERROR(INDEX(_玩家曲线!$I$2:$I$286,MATCH($I139,_玩家曲线!$A$2:$A$286,0)),""))</f>
        <v/>
      </c>
      <c r="S139">
        <f>SUMIF(_爬塔队伍!$A$2:$A$1001,VALUE(SUBSTITUTE(SUBSTITUTE(D139,"第",""),"层","")),_爬塔队伍!$C$2:$C$1001)</f>
        <v/>
      </c>
      <c r="T139">
        <f>SUMIF(_爬塔队伍!$A$2:$A$1001,VALUE(SUBSTITUTE(SUBSTITUTE(D139,"第",""),"层","")),_爬塔队伍!$D$2:$D$1001)</f>
        <v/>
      </c>
      <c r="U139">
        <f>SUMIF(_爬塔队伍!$A$2:$A$1001,VALUE(SUBSTITUTE(SUBSTITUTE(D139,"第",""),"层","")),_爬塔队伍!$E$2:$E$1001)/COUNTIF(_爬塔队伍!$A$2:$A$1001,VALUE(SUBSTITUTE(SUBSTITUTE(D139,"第",""),"层","")))</f>
        <v/>
      </c>
      <c r="V139">
        <f>IF($U139="","",MIN(0.75,$U139/($U139+24000)))</f>
        <v/>
      </c>
      <c r="W139">
        <f>SUMIF(_爬塔队伍!$A$2:$A$1001,VALUE(SUBSTITUTE(SUBSTITUTE(D139,"第",""),"层","")),_爬塔队伍!$F$2:$F$1001)</f>
        <v/>
      </c>
      <c r="X139">
        <f>IF(OR($W139="",$Q139="",$Q139=0),"",$W139/$Q139)</f>
        <v/>
      </c>
      <c r="Y139">
        <f>IF(OR($R139="",$T139="",$T139=0),"",$R139/($T139*IF($O139="",1,$O139)))</f>
        <v/>
      </c>
      <c r="Z139">
        <f>IF(OR($X139="",$P139="",$P139=0),"",$X139/$P139)</f>
        <v/>
      </c>
      <c r="AA139">
        <f>IF($J139="","待填怪物等级",IF(OR($I139="",$Q139=""),"待填对照关卡",IF($P139="","已计算",IF(AND($Y139&lt;&gt;"",$Y139&lt;$X139),"生存不成立","已计算"))))</f>
        <v/>
      </c>
      <c r="AB139">
        <f>IF($J139="","待填",IF(AND(ISNUMBER($J139),$J139&gt;=1,$J139&lt;=500,MOD($J139,1)=0),"有效","超范围"))</f>
        <v/>
      </c>
      <c r="AC139">
        <f>IF(OR($J139="",ROW()=5,$B139&lt;&gt;$B138,$J138=""),"",IF($J139&lt;$J138,"下降",""))</f>
        <v/>
      </c>
      <c r="AD139" t="inlineStr">
        <is>
          <t>终局荣誉层：无同期对照，推荐战力封顶1,590,000（2026-09-20）</t>
        </is>
      </c>
      <c r="AE139" t="n">
        <v>1590000</v>
      </c>
      <c r="AF139">
        <f>INDEX(_统一战力!$B$2:$B$501,J139)</f>
        <v/>
      </c>
    </row>
    <row r="140">
      <c r="A140" t="inlineStr">
        <is>
          <t>当前配置</t>
        </is>
      </c>
      <c r="B140" t="inlineStr">
        <is>
          <t>爬塔</t>
        </is>
      </c>
      <c r="C140" t="inlineStr">
        <is>
          <t>现行包体5</t>
        </is>
      </c>
      <c r="D140" t="inlineStr">
        <is>
          <t>第136层</t>
        </is>
      </c>
      <c r="E140" t="n">
        <v>300436</v>
      </c>
      <c r="F140" t="inlineStr">
        <is>
          <t>普通怪</t>
        </is>
      </c>
      <c r="I140">
        <f>IF($H140="",$G140,$H140)</f>
        <v/>
      </c>
      <c r="J140" t="n">
        <v>333</v>
      </c>
      <c r="K140" t="n">
        <v>1.12582067235919</v>
      </c>
      <c r="L140" t="n">
        <v>0.729834891319568</v>
      </c>
      <c r="M140" t="n">
        <v>1</v>
      </c>
      <c r="Q140">
        <f>IF($I140="","",IFERROR(INDEX(_玩家曲线!$H$2:$H$286,MATCH($I140,_玩家曲线!$A$2:$A$286,0)),""))</f>
        <v/>
      </c>
      <c r="R140">
        <f>IF($I140="","",IFERROR(INDEX(_玩家曲线!$I$2:$I$286,MATCH($I140,_玩家曲线!$A$2:$A$286,0)),""))</f>
        <v/>
      </c>
      <c r="S140">
        <f>SUMIF(_爬塔队伍!$A$2:$A$1001,VALUE(SUBSTITUTE(SUBSTITUTE(D140,"第",""),"层","")),_爬塔队伍!$C$2:$C$1001)</f>
        <v/>
      </c>
      <c r="T140">
        <f>SUMIF(_爬塔队伍!$A$2:$A$1001,VALUE(SUBSTITUTE(SUBSTITUTE(D140,"第",""),"层","")),_爬塔队伍!$D$2:$D$1001)</f>
        <v/>
      </c>
      <c r="U140">
        <f>SUMIF(_爬塔队伍!$A$2:$A$1001,VALUE(SUBSTITUTE(SUBSTITUTE(D140,"第",""),"层","")),_爬塔队伍!$E$2:$E$1001)/COUNTIF(_爬塔队伍!$A$2:$A$1001,VALUE(SUBSTITUTE(SUBSTITUTE(D140,"第",""),"层","")))</f>
        <v/>
      </c>
      <c r="V140">
        <f>IF($U140="","",MIN(0.75,$U140/($U140+24000)))</f>
        <v/>
      </c>
      <c r="W140">
        <f>SUMIF(_爬塔队伍!$A$2:$A$1001,VALUE(SUBSTITUTE(SUBSTITUTE(D140,"第",""),"层","")),_爬塔队伍!$F$2:$F$1001)</f>
        <v/>
      </c>
      <c r="X140">
        <f>IF(OR($W140="",$Q140="",$Q140=0),"",$W140/$Q140)</f>
        <v/>
      </c>
      <c r="Y140">
        <f>IF(OR($R140="",$T140="",$T140=0),"",$R140/($T140*IF($O140="",1,$O140)))</f>
        <v/>
      </c>
      <c r="Z140">
        <f>IF(OR($X140="",$P140="",$P140=0),"",$X140/$P140)</f>
        <v/>
      </c>
      <c r="AA140">
        <f>IF($J140="","待填怪物等级",IF(OR($I140="",$Q140=""),"待填对照关卡",IF($P140="","已计算",IF(AND($Y140&lt;&gt;"",$Y140&lt;$X140),"生存不成立","已计算"))))</f>
        <v/>
      </c>
      <c r="AB140">
        <f>IF($J140="","待填",IF(AND(ISNUMBER($J140),$J140&gt;=1,$J140&lt;=500,MOD($J140,1)=0),"有效","超范围"))</f>
        <v/>
      </c>
      <c r="AC140">
        <f>IF(OR($J140="",ROW()=5,$B140&lt;&gt;$B139,$J139=""),"",IF($J140&lt;$J139,"下降",""))</f>
        <v/>
      </c>
      <c r="AD140" t="inlineStr">
        <is>
          <t>终局荣誉层：无同期对照，推荐战力封顶1,590,000（2026-09-20）</t>
        </is>
      </c>
      <c r="AE140" t="n">
        <v>1590000</v>
      </c>
      <c r="AF140">
        <f>INDEX(_统一战力!$B$2:$B$501,J140)</f>
        <v/>
      </c>
    </row>
    <row r="141">
      <c r="A141" t="inlineStr">
        <is>
          <t>当前配置</t>
        </is>
      </c>
      <c r="B141" t="inlineStr">
        <is>
          <t>爬塔</t>
        </is>
      </c>
      <c r="C141" t="inlineStr">
        <is>
          <t>现行包体5</t>
        </is>
      </c>
      <c r="D141" t="inlineStr">
        <is>
          <t>第137层</t>
        </is>
      </c>
      <c r="E141" t="n">
        <v>300437</v>
      </c>
      <c r="F141" t="inlineStr">
        <is>
          <t>普通怪</t>
        </is>
      </c>
      <c r="I141">
        <f>IF($H141="",$G141,$H141)</f>
        <v/>
      </c>
      <c r="J141" t="n">
        <v>335</v>
      </c>
      <c r="K141" t="n">
        <v>1.12582067235919</v>
      </c>
      <c r="L141" t="n">
        <v>0.729834891319568</v>
      </c>
      <c r="M141" t="n">
        <v>1</v>
      </c>
      <c r="Q141">
        <f>IF($I141="","",IFERROR(INDEX(_玩家曲线!$H$2:$H$286,MATCH($I141,_玩家曲线!$A$2:$A$286,0)),""))</f>
        <v/>
      </c>
      <c r="R141">
        <f>IF($I141="","",IFERROR(INDEX(_玩家曲线!$I$2:$I$286,MATCH($I141,_玩家曲线!$A$2:$A$286,0)),""))</f>
        <v/>
      </c>
      <c r="S141">
        <f>SUMIF(_爬塔队伍!$A$2:$A$1001,VALUE(SUBSTITUTE(SUBSTITUTE(D141,"第",""),"层","")),_爬塔队伍!$C$2:$C$1001)</f>
        <v/>
      </c>
      <c r="T141">
        <f>SUMIF(_爬塔队伍!$A$2:$A$1001,VALUE(SUBSTITUTE(SUBSTITUTE(D141,"第",""),"层","")),_爬塔队伍!$D$2:$D$1001)</f>
        <v/>
      </c>
      <c r="U141">
        <f>SUMIF(_爬塔队伍!$A$2:$A$1001,VALUE(SUBSTITUTE(SUBSTITUTE(D141,"第",""),"层","")),_爬塔队伍!$E$2:$E$1001)/COUNTIF(_爬塔队伍!$A$2:$A$1001,VALUE(SUBSTITUTE(SUBSTITUTE(D141,"第",""),"层","")))</f>
        <v/>
      </c>
      <c r="V141">
        <f>IF($U141="","",MIN(0.75,$U141/($U141+24000)))</f>
        <v/>
      </c>
      <c r="W141">
        <f>SUMIF(_爬塔队伍!$A$2:$A$1001,VALUE(SUBSTITUTE(SUBSTITUTE(D141,"第",""),"层","")),_爬塔队伍!$F$2:$F$1001)</f>
        <v/>
      </c>
      <c r="X141">
        <f>IF(OR($W141="",$Q141="",$Q141=0),"",$W141/$Q141)</f>
        <v/>
      </c>
      <c r="Y141">
        <f>IF(OR($R141="",$T141="",$T141=0),"",$R141/($T141*IF($O141="",1,$O141)))</f>
        <v/>
      </c>
      <c r="Z141">
        <f>IF(OR($X141="",$P141="",$P141=0),"",$X141/$P141)</f>
        <v/>
      </c>
      <c r="AA141">
        <f>IF($J141="","待填怪物等级",IF(OR($I141="",$Q141=""),"待填对照关卡",IF($P141="","已计算",IF(AND($Y141&lt;&gt;"",$Y141&lt;$X141),"生存不成立","已计算"))))</f>
        <v/>
      </c>
      <c r="AB141">
        <f>IF($J141="","待填",IF(AND(ISNUMBER($J141),$J141&gt;=1,$J141&lt;=500,MOD($J141,1)=0),"有效","超范围"))</f>
        <v/>
      </c>
      <c r="AC141">
        <f>IF(OR($J141="",ROW()=5,$B141&lt;&gt;$B140,$J140=""),"",IF($J141&lt;$J140,"下降",""))</f>
        <v/>
      </c>
      <c r="AD141" t="inlineStr">
        <is>
          <t>终局荣誉层：无同期对照，推荐战力封顶1,590,000（2026-09-20）</t>
        </is>
      </c>
      <c r="AE141" t="n">
        <v>1590000</v>
      </c>
      <c r="AF141">
        <f>INDEX(_统一战力!$B$2:$B$501,J141)</f>
        <v/>
      </c>
    </row>
    <row r="142">
      <c r="A142" t="inlineStr">
        <is>
          <t>当前配置</t>
        </is>
      </c>
      <c r="B142" t="inlineStr">
        <is>
          <t>爬塔</t>
        </is>
      </c>
      <c r="C142" t="inlineStr">
        <is>
          <t>现行包体5</t>
        </is>
      </c>
      <c r="D142" t="inlineStr">
        <is>
          <t>第138层</t>
        </is>
      </c>
      <c r="E142" t="n">
        <v>300438</v>
      </c>
      <c r="F142" t="inlineStr">
        <is>
          <t>普通怪</t>
        </is>
      </c>
      <c r="I142">
        <f>IF($H142="",$G142,$H142)</f>
        <v/>
      </c>
      <c r="J142" t="n">
        <v>336</v>
      </c>
      <c r="K142" t="n">
        <v>1.12582067235919</v>
      </c>
      <c r="L142" t="n">
        <v>0.729834891319568</v>
      </c>
      <c r="M142" t="n">
        <v>1</v>
      </c>
      <c r="Q142">
        <f>IF($I142="","",IFERROR(INDEX(_玩家曲线!$H$2:$H$286,MATCH($I142,_玩家曲线!$A$2:$A$286,0)),""))</f>
        <v/>
      </c>
      <c r="R142">
        <f>IF($I142="","",IFERROR(INDEX(_玩家曲线!$I$2:$I$286,MATCH($I142,_玩家曲线!$A$2:$A$286,0)),""))</f>
        <v/>
      </c>
      <c r="S142">
        <f>SUMIF(_爬塔队伍!$A$2:$A$1001,VALUE(SUBSTITUTE(SUBSTITUTE(D142,"第",""),"层","")),_爬塔队伍!$C$2:$C$1001)</f>
        <v/>
      </c>
      <c r="T142">
        <f>SUMIF(_爬塔队伍!$A$2:$A$1001,VALUE(SUBSTITUTE(SUBSTITUTE(D142,"第",""),"层","")),_爬塔队伍!$D$2:$D$1001)</f>
        <v/>
      </c>
      <c r="U142">
        <f>SUMIF(_爬塔队伍!$A$2:$A$1001,VALUE(SUBSTITUTE(SUBSTITUTE(D142,"第",""),"层","")),_爬塔队伍!$E$2:$E$1001)/COUNTIF(_爬塔队伍!$A$2:$A$1001,VALUE(SUBSTITUTE(SUBSTITUTE(D142,"第",""),"层","")))</f>
        <v/>
      </c>
      <c r="V142">
        <f>IF($U142="","",MIN(0.75,$U142/($U142+24000)))</f>
        <v/>
      </c>
      <c r="W142">
        <f>SUMIF(_爬塔队伍!$A$2:$A$1001,VALUE(SUBSTITUTE(SUBSTITUTE(D142,"第",""),"层","")),_爬塔队伍!$F$2:$F$1001)</f>
        <v/>
      </c>
      <c r="X142">
        <f>IF(OR($W142="",$Q142="",$Q142=0),"",$W142/$Q142)</f>
        <v/>
      </c>
      <c r="Y142">
        <f>IF(OR($R142="",$T142="",$T142=0),"",$R142/($T142*IF($O142="",1,$O142)))</f>
        <v/>
      </c>
      <c r="Z142">
        <f>IF(OR($X142="",$P142="",$P142=0),"",$X142/$P142)</f>
        <v/>
      </c>
      <c r="AA142">
        <f>IF($J142="","待填怪物等级",IF(OR($I142="",$Q142=""),"待填对照关卡",IF($P142="","已计算",IF(AND($Y142&lt;&gt;"",$Y142&lt;$X142),"生存不成立","已计算"))))</f>
        <v/>
      </c>
      <c r="AB142">
        <f>IF($J142="","待填",IF(AND(ISNUMBER($J142),$J142&gt;=1,$J142&lt;=500,MOD($J142,1)=0),"有效","超范围"))</f>
        <v/>
      </c>
      <c r="AC142">
        <f>IF(OR($J142="",ROW()=5,$B142&lt;&gt;$B141,$J141=""),"",IF($J142&lt;$J141,"下降",""))</f>
        <v/>
      </c>
      <c r="AD142" t="inlineStr">
        <is>
          <t>终局荣誉层：无同期对照，推荐战力封顶1,590,000（2026-09-20）</t>
        </is>
      </c>
      <c r="AE142" t="n">
        <v>1590000</v>
      </c>
      <c r="AF142">
        <f>INDEX(_统一战力!$B$2:$B$501,J142)</f>
        <v/>
      </c>
    </row>
    <row r="143">
      <c r="A143" t="inlineStr">
        <is>
          <t>当前配置</t>
        </is>
      </c>
      <c r="B143" t="inlineStr">
        <is>
          <t>爬塔</t>
        </is>
      </c>
      <c r="C143" t="inlineStr">
        <is>
          <t>现行包体5</t>
        </is>
      </c>
      <c r="D143" t="inlineStr">
        <is>
          <t>第139层</t>
        </is>
      </c>
      <c r="E143" t="n">
        <v>300439</v>
      </c>
      <c r="F143" t="inlineStr">
        <is>
          <t>普通怪</t>
        </is>
      </c>
      <c r="I143">
        <f>IF($H143="",$G143,$H143)</f>
        <v/>
      </c>
      <c r="J143" t="n">
        <v>338</v>
      </c>
      <c r="K143" t="n">
        <v>1.12582067235919</v>
      </c>
      <c r="L143" t="n">
        <v>0.729834891319568</v>
      </c>
      <c r="M143" t="n">
        <v>1</v>
      </c>
      <c r="Q143">
        <f>IF($I143="","",IFERROR(INDEX(_玩家曲线!$H$2:$H$286,MATCH($I143,_玩家曲线!$A$2:$A$286,0)),""))</f>
        <v/>
      </c>
      <c r="R143">
        <f>IF($I143="","",IFERROR(INDEX(_玩家曲线!$I$2:$I$286,MATCH($I143,_玩家曲线!$A$2:$A$286,0)),""))</f>
        <v/>
      </c>
      <c r="S143">
        <f>SUMIF(_爬塔队伍!$A$2:$A$1001,VALUE(SUBSTITUTE(SUBSTITUTE(D143,"第",""),"层","")),_爬塔队伍!$C$2:$C$1001)</f>
        <v/>
      </c>
      <c r="T143">
        <f>SUMIF(_爬塔队伍!$A$2:$A$1001,VALUE(SUBSTITUTE(SUBSTITUTE(D143,"第",""),"层","")),_爬塔队伍!$D$2:$D$1001)</f>
        <v/>
      </c>
      <c r="U143">
        <f>SUMIF(_爬塔队伍!$A$2:$A$1001,VALUE(SUBSTITUTE(SUBSTITUTE(D143,"第",""),"层","")),_爬塔队伍!$E$2:$E$1001)/COUNTIF(_爬塔队伍!$A$2:$A$1001,VALUE(SUBSTITUTE(SUBSTITUTE(D143,"第",""),"层","")))</f>
        <v/>
      </c>
      <c r="V143">
        <f>IF($U143="","",MIN(0.75,$U143/($U143+24000)))</f>
        <v/>
      </c>
      <c r="W143">
        <f>SUMIF(_爬塔队伍!$A$2:$A$1001,VALUE(SUBSTITUTE(SUBSTITUTE(D143,"第",""),"层","")),_爬塔队伍!$F$2:$F$1001)</f>
        <v/>
      </c>
      <c r="X143">
        <f>IF(OR($W143="",$Q143="",$Q143=0),"",$W143/$Q143)</f>
        <v/>
      </c>
      <c r="Y143">
        <f>IF(OR($R143="",$T143="",$T143=0),"",$R143/($T143*IF($O143="",1,$O143)))</f>
        <v/>
      </c>
      <c r="Z143">
        <f>IF(OR($X143="",$P143="",$P143=0),"",$X143/$P143)</f>
        <v/>
      </c>
      <c r="AA143">
        <f>IF($J143="","待填怪物等级",IF(OR($I143="",$Q143=""),"待填对照关卡",IF($P143="","已计算",IF(AND($Y143&lt;&gt;"",$Y143&lt;$X143),"生存不成立","已计算"))))</f>
        <v/>
      </c>
      <c r="AB143">
        <f>IF($J143="","待填",IF(AND(ISNUMBER($J143),$J143&gt;=1,$J143&lt;=500,MOD($J143,1)=0),"有效","超范围"))</f>
        <v/>
      </c>
      <c r="AC143">
        <f>IF(OR($J143="",ROW()=5,$B143&lt;&gt;$B142,$J142=""),"",IF($J143&lt;$J142,"下降",""))</f>
        <v/>
      </c>
      <c r="AD143" t="inlineStr">
        <is>
          <t>终局荣誉层：无同期对照，推荐战力封顶1,590,000（2026-09-20）</t>
        </is>
      </c>
      <c r="AE143" t="n">
        <v>1590000</v>
      </c>
      <c r="AF143">
        <f>INDEX(_统一战力!$B$2:$B$501,J143)</f>
        <v/>
      </c>
    </row>
    <row r="144">
      <c r="A144" t="inlineStr">
        <is>
          <t>当前配置</t>
        </is>
      </c>
      <c r="B144" t="inlineStr">
        <is>
          <t>爬塔</t>
        </is>
      </c>
      <c r="C144" t="inlineStr">
        <is>
          <t>现行包体5</t>
        </is>
      </c>
      <c r="D144" t="inlineStr">
        <is>
          <t>第140层</t>
        </is>
      </c>
      <c r="E144" t="n">
        <v>300440</v>
      </c>
      <c r="F144" t="inlineStr">
        <is>
          <t>Boss</t>
        </is>
      </c>
      <c r="I144">
        <f>IF($H144="",$G144,$H144)</f>
        <v/>
      </c>
      <c r="J144" t="n">
        <v>340</v>
      </c>
      <c r="K144" t="n">
        <v>1.12671592412141</v>
      </c>
      <c r="L144" t="n">
        <v>0.731229508674054</v>
      </c>
      <c r="M144" t="n">
        <v>1</v>
      </c>
      <c r="Q144">
        <f>IF($I144="","",IFERROR(INDEX(_玩家曲线!$H$2:$H$286,MATCH($I144,_玩家曲线!$A$2:$A$286,0)),""))</f>
        <v/>
      </c>
      <c r="R144">
        <f>IF($I144="","",IFERROR(INDEX(_玩家曲线!$I$2:$I$286,MATCH($I144,_玩家曲线!$A$2:$A$286,0)),""))</f>
        <v/>
      </c>
      <c r="S144">
        <f>SUMIF(_爬塔队伍!$A$2:$A$1001,VALUE(SUBSTITUTE(SUBSTITUTE(D144,"第",""),"层","")),_爬塔队伍!$C$2:$C$1001)</f>
        <v/>
      </c>
      <c r="T144">
        <f>SUMIF(_爬塔队伍!$A$2:$A$1001,VALUE(SUBSTITUTE(SUBSTITUTE(D144,"第",""),"层","")),_爬塔队伍!$D$2:$D$1001)</f>
        <v/>
      </c>
      <c r="U144">
        <f>SUMIF(_爬塔队伍!$A$2:$A$1001,VALUE(SUBSTITUTE(SUBSTITUTE(D144,"第",""),"层","")),_爬塔队伍!$E$2:$E$1001)/COUNTIF(_爬塔队伍!$A$2:$A$1001,VALUE(SUBSTITUTE(SUBSTITUTE(D144,"第",""),"层","")))</f>
        <v/>
      </c>
      <c r="V144">
        <f>IF($U144="","",MIN(0.75,$U144/($U144+24000)))</f>
        <v/>
      </c>
      <c r="W144">
        <f>SUMIF(_爬塔队伍!$A$2:$A$1001,VALUE(SUBSTITUTE(SUBSTITUTE(D144,"第",""),"层","")),_爬塔队伍!$F$2:$F$1001)</f>
        <v/>
      </c>
      <c r="X144">
        <f>IF(OR($W144="",$Q144="",$Q144=0),"",$W144/$Q144)</f>
        <v/>
      </c>
      <c r="Y144">
        <f>IF(OR($R144="",$T144="",$T144=0),"",$R144/($T144*IF($O144="",1,$O144)))</f>
        <v/>
      </c>
      <c r="Z144">
        <f>IF(OR($X144="",$P144="",$P144=0),"",$X144/$P144)</f>
        <v/>
      </c>
      <c r="AA144">
        <f>IF($J144="","待填怪物等级",IF(OR($I144="",$Q144=""),"待填对照关卡",IF($P144="","已计算",IF(AND($Y144&lt;&gt;"",$Y144&lt;$X144),"生存不成立","已计算"))))</f>
        <v/>
      </c>
      <c r="AB144">
        <f>IF($J144="","待填",IF(AND(ISNUMBER($J144),$J144&gt;=1,$J144&lt;=500,MOD($J144,1)=0),"有效","超范围"))</f>
        <v/>
      </c>
      <c r="AC144">
        <f>IF(OR($J144="",ROW()=5,$B144&lt;&gt;$B143,$J143=""),"",IF($J144&lt;$J143,"下降",""))</f>
        <v/>
      </c>
      <c r="AD144" t="inlineStr">
        <is>
          <t>终局荣誉层：无同期对照，推荐战力封顶1,590,000（2026-09-20）</t>
        </is>
      </c>
      <c r="AE144" t="n">
        <v>1590000</v>
      </c>
      <c r="AF144">
        <f>INDEX(_统一战力!$B$2:$B$501,J144)</f>
        <v/>
      </c>
    </row>
    <row r="145">
      <c r="A145" t="inlineStr">
        <is>
          <t>当前配置</t>
        </is>
      </c>
      <c r="B145" t="inlineStr">
        <is>
          <t>爬塔</t>
        </is>
      </c>
      <c r="C145" t="inlineStr">
        <is>
          <t>现行包体5</t>
        </is>
      </c>
      <c r="D145" t="inlineStr">
        <is>
          <t>第141层</t>
        </is>
      </c>
      <c r="E145" t="n">
        <v>300441</v>
      </c>
      <c r="F145" t="inlineStr">
        <is>
          <t>普通怪</t>
        </is>
      </c>
      <c r="I145">
        <f>IF($H145="",$G145,$H145)</f>
        <v/>
      </c>
      <c r="J145" t="n">
        <v>342</v>
      </c>
      <c r="K145" t="n">
        <v>1.12582067235919</v>
      </c>
      <c r="L145" t="n">
        <v>0.729834891319568</v>
      </c>
      <c r="M145" t="n">
        <v>1</v>
      </c>
      <c r="Q145">
        <f>IF($I145="","",IFERROR(INDEX(_玩家曲线!$H$2:$H$286,MATCH($I145,_玩家曲线!$A$2:$A$286,0)),""))</f>
        <v/>
      </c>
      <c r="R145">
        <f>IF($I145="","",IFERROR(INDEX(_玩家曲线!$I$2:$I$286,MATCH($I145,_玩家曲线!$A$2:$A$286,0)),""))</f>
        <v/>
      </c>
      <c r="S145">
        <f>SUMIF(_爬塔队伍!$A$2:$A$1001,VALUE(SUBSTITUTE(SUBSTITUTE(D145,"第",""),"层","")),_爬塔队伍!$C$2:$C$1001)</f>
        <v/>
      </c>
      <c r="T145">
        <f>SUMIF(_爬塔队伍!$A$2:$A$1001,VALUE(SUBSTITUTE(SUBSTITUTE(D145,"第",""),"层","")),_爬塔队伍!$D$2:$D$1001)</f>
        <v/>
      </c>
      <c r="U145">
        <f>SUMIF(_爬塔队伍!$A$2:$A$1001,VALUE(SUBSTITUTE(SUBSTITUTE(D145,"第",""),"层","")),_爬塔队伍!$E$2:$E$1001)/COUNTIF(_爬塔队伍!$A$2:$A$1001,VALUE(SUBSTITUTE(SUBSTITUTE(D145,"第",""),"层","")))</f>
        <v/>
      </c>
      <c r="V145">
        <f>IF($U145="","",MIN(0.75,$U145/($U145+24000)))</f>
        <v/>
      </c>
      <c r="W145">
        <f>SUMIF(_爬塔队伍!$A$2:$A$1001,VALUE(SUBSTITUTE(SUBSTITUTE(D145,"第",""),"层","")),_爬塔队伍!$F$2:$F$1001)</f>
        <v/>
      </c>
      <c r="X145">
        <f>IF(OR($W145="",$Q145="",$Q145=0),"",$W145/$Q145)</f>
        <v/>
      </c>
      <c r="Y145">
        <f>IF(OR($R145="",$T145="",$T145=0),"",$R145/($T145*IF($O145="",1,$O145)))</f>
        <v/>
      </c>
      <c r="Z145">
        <f>IF(OR($X145="",$P145="",$P145=0),"",$X145/$P145)</f>
        <v/>
      </c>
      <c r="AA145">
        <f>IF($J145="","待填怪物等级",IF(OR($I145="",$Q145=""),"待填对照关卡",IF($P145="","已计算",IF(AND($Y145&lt;&gt;"",$Y145&lt;$X145),"生存不成立","已计算"))))</f>
        <v/>
      </c>
      <c r="AB145">
        <f>IF($J145="","待填",IF(AND(ISNUMBER($J145),$J145&gt;=1,$J145&lt;=500,MOD($J145,1)=0),"有效","超范围"))</f>
        <v/>
      </c>
      <c r="AC145">
        <f>IF(OR($J145="",ROW()=5,$B145&lt;&gt;$B144,$J144=""),"",IF($J145&lt;$J144,"下降",""))</f>
        <v/>
      </c>
      <c r="AD145" t="inlineStr">
        <is>
          <t>终局荣誉层：无同期对照，推荐战力封顶1,590,000（2026-09-20）</t>
        </is>
      </c>
      <c r="AE145" t="n">
        <v>1590000</v>
      </c>
      <c r="AF145">
        <f>INDEX(_统一战力!$B$2:$B$501,J145)</f>
        <v/>
      </c>
    </row>
    <row r="146">
      <c r="A146" t="inlineStr">
        <is>
          <t>当前配置</t>
        </is>
      </c>
      <c r="B146" t="inlineStr">
        <is>
          <t>爬塔</t>
        </is>
      </c>
      <c r="C146" t="inlineStr">
        <is>
          <t>现行包体5</t>
        </is>
      </c>
      <c r="D146" t="inlineStr">
        <is>
          <t>第142层</t>
        </is>
      </c>
      <c r="E146" t="n">
        <v>300442</v>
      </c>
      <c r="F146" t="inlineStr">
        <is>
          <t>普通怪</t>
        </is>
      </c>
      <c r="I146">
        <f>IF($H146="",$G146,$H146)</f>
        <v/>
      </c>
      <c r="J146" t="n">
        <v>344</v>
      </c>
      <c r="K146" t="n">
        <v>1.12582067235919</v>
      </c>
      <c r="L146" t="n">
        <v>0.729834891319568</v>
      </c>
      <c r="M146" t="n">
        <v>1</v>
      </c>
      <c r="Q146">
        <f>IF($I146="","",IFERROR(INDEX(_玩家曲线!$H$2:$H$286,MATCH($I146,_玩家曲线!$A$2:$A$286,0)),""))</f>
        <v/>
      </c>
      <c r="R146">
        <f>IF($I146="","",IFERROR(INDEX(_玩家曲线!$I$2:$I$286,MATCH($I146,_玩家曲线!$A$2:$A$286,0)),""))</f>
        <v/>
      </c>
      <c r="S146">
        <f>SUMIF(_爬塔队伍!$A$2:$A$1001,VALUE(SUBSTITUTE(SUBSTITUTE(D146,"第",""),"层","")),_爬塔队伍!$C$2:$C$1001)</f>
        <v/>
      </c>
      <c r="T146">
        <f>SUMIF(_爬塔队伍!$A$2:$A$1001,VALUE(SUBSTITUTE(SUBSTITUTE(D146,"第",""),"层","")),_爬塔队伍!$D$2:$D$1001)</f>
        <v/>
      </c>
      <c r="U146">
        <f>SUMIF(_爬塔队伍!$A$2:$A$1001,VALUE(SUBSTITUTE(SUBSTITUTE(D146,"第",""),"层","")),_爬塔队伍!$E$2:$E$1001)/COUNTIF(_爬塔队伍!$A$2:$A$1001,VALUE(SUBSTITUTE(SUBSTITUTE(D146,"第",""),"层","")))</f>
        <v/>
      </c>
      <c r="V146">
        <f>IF($U146="","",MIN(0.75,$U146/($U146+24000)))</f>
        <v/>
      </c>
      <c r="W146">
        <f>SUMIF(_爬塔队伍!$A$2:$A$1001,VALUE(SUBSTITUTE(SUBSTITUTE(D146,"第",""),"层","")),_爬塔队伍!$F$2:$F$1001)</f>
        <v/>
      </c>
      <c r="X146">
        <f>IF(OR($W146="",$Q146="",$Q146=0),"",$W146/$Q146)</f>
        <v/>
      </c>
      <c r="Y146">
        <f>IF(OR($R146="",$T146="",$T146=0),"",$R146/($T146*IF($O146="",1,$O146)))</f>
        <v/>
      </c>
      <c r="Z146">
        <f>IF(OR($X146="",$P146="",$P146=0),"",$X146/$P146)</f>
        <v/>
      </c>
      <c r="AA146">
        <f>IF($J146="","待填怪物等级",IF(OR($I146="",$Q146=""),"待填对照关卡",IF($P146="","已计算",IF(AND($Y146&lt;&gt;"",$Y146&lt;$X146),"生存不成立","已计算"))))</f>
        <v/>
      </c>
      <c r="AB146">
        <f>IF($J146="","待填",IF(AND(ISNUMBER($J146),$J146&gt;=1,$J146&lt;=500,MOD($J146,1)=0),"有效","超范围"))</f>
        <v/>
      </c>
      <c r="AC146">
        <f>IF(OR($J146="",ROW()=5,$B146&lt;&gt;$B145,$J145=""),"",IF($J146&lt;$J145,"下降",""))</f>
        <v/>
      </c>
      <c r="AD146" t="inlineStr">
        <is>
          <t>终局荣誉层：无同期对照，推荐战力封顶1,590,000（2026-09-20）</t>
        </is>
      </c>
      <c r="AE146" t="n">
        <v>1590000</v>
      </c>
      <c r="AF146">
        <f>INDEX(_统一战力!$B$2:$B$501,J146)</f>
        <v/>
      </c>
    </row>
    <row r="147">
      <c r="A147" t="inlineStr">
        <is>
          <t>当前配置</t>
        </is>
      </c>
      <c r="B147" t="inlineStr">
        <is>
          <t>爬塔</t>
        </is>
      </c>
      <c r="C147" t="inlineStr">
        <is>
          <t>现行包体5</t>
        </is>
      </c>
      <c r="D147" t="inlineStr">
        <is>
          <t>第143层</t>
        </is>
      </c>
      <c r="E147" t="n">
        <v>300443</v>
      </c>
      <c r="F147" t="inlineStr">
        <is>
          <t>普通怪</t>
        </is>
      </c>
      <c r="I147">
        <f>IF($H147="",$G147,$H147)</f>
        <v/>
      </c>
      <c r="J147" t="n">
        <v>346</v>
      </c>
      <c r="K147" t="n">
        <v>1.12582067235919</v>
      </c>
      <c r="L147" t="n">
        <v>0.729834891319568</v>
      </c>
      <c r="M147" t="n">
        <v>1</v>
      </c>
      <c r="Q147">
        <f>IF($I147="","",IFERROR(INDEX(_玩家曲线!$H$2:$H$286,MATCH($I147,_玩家曲线!$A$2:$A$286,0)),""))</f>
        <v/>
      </c>
      <c r="R147">
        <f>IF($I147="","",IFERROR(INDEX(_玩家曲线!$I$2:$I$286,MATCH($I147,_玩家曲线!$A$2:$A$286,0)),""))</f>
        <v/>
      </c>
      <c r="S147">
        <f>SUMIF(_爬塔队伍!$A$2:$A$1001,VALUE(SUBSTITUTE(SUBSTITUTE(D147,"第",""),"层","")),_爬塔队伍!$C$2:$C$1001)</f>
        <v/>
      </c>
      <c r="T147">
        <f>SUMIF(_爬塔队伍!$A$2:$A$1001,VALUE(SUBSTITUTE(SUBSTITUTE(D147,"第",""),"层","")),_爬塔队伍!$D$2:$D$1001)</f>
        <v/>
      </c>
      <c r="U147">
        <f>SUMIF(_爬塔队伍!$A$2:$A$1001,VALUE(SUBSTITUTE(SUBSTITUTE(D147,"第",""),"层","")),_爬塔队伍!$E$2:$E$1001)/COUNTIF(_爬塔队伍!$A$2:$A$1001,VALUE(SUBSTITUTE(SUBSTITUTE(D147,"第",""),"层","")))</f>
        <v/>
      </c>
      <c r="V147">
        <f>IF($U147="","",MIN(0.75,$U147/($U147+24000)))</f>
        <v/>
      </c>
      <c r="W147">
        <f>SUMIF(_爬塔队伍!$A$2:$A$1001,VALUE(SUBSTITUTE(SUBSTITUTE(D147,"第",""),"层","")),_爬塔队伍!$F$2:$F$1001)</f>
        <v/>
      </c>
      <c r="X147">
        <f>IF(OR($W147="",$Q147="",$Q147=0),"",$W147/$Q147)</f>
        <v/>
      </c>
      <c r="Y147">
        <f>IF(OR($R147="",$T147="",$T147=0),"",$R147/($T147*IF($O147="",1,$O147)))</f>
        <v/>
      </c>
      <c r="Z147">
        <f>IF(OR($X147="",$P147="",$P147=0),"",$X147/$P147)</f>
        <v/>
      </c>
      <c r="AA147">
        <f>IF($J147="","待填怪物等级",IF(OR($I147="",$Q147=""),"待填对照关卡",IF($P147="","已计算",IF(AND($Y147&lt;&gt;"",$Y147&lt;$X147),"生存不成立","已计算"))))</f>
        <v/>
      </c>
      <c r="AB147">
        <f>IF($J147="","待填",IF(AND(ISNUMBER($J147),$J147&gt;=1,$J147&lt;=500,MOD($J147,1)=0),"有效","超范围"))</f>
        <v/>
      </c>
      <c r="AC147">
        <f>IF(OR($J147="",ROW()=5,$B147&lt;&gt;$B146,$J146=""),"",IF($J147&lt;$J146,"下降",""))</f>
        <v/>
      </c>
      <c r="AD147" t="inlineStr">
        <is>
          <t>终局荣誉层：无同期对照，推荐战力封顶1,590,000（2026-09-20）</t>
        </is>
      </c>
      <c r="AE147" t="n">
        <v>1590000</v>
      </c>
      <c r="AF147">
        <f>INDEX(_统一战力!$B$2:$B$501,J147)</f>
        <v/>
      </c>
    </row>
    <row r="148">
      <c r="A148" t="inlineStr">
        <is>
          <t>当前配置</t>
        </is>
      </c>
      <c r="B148" t="inlineStr">
        <is>
          <t>爬塔</t>
        </is>
      </c>
      <c r="C148" t="inlineStr">
        <is>
          <t>现行包体5</t>
        </is>
      </c>
      <c r="D148" t="inlineStr">
        <is>
          <t>第144层</t>
        </is>
      </c>
      <c r="E148" t="n">
        <v>300444</v>
      </c>
      <c r="F148" t="inlineStr">
        <is>
          <t>普通怪</t>
        </is>
      </c>
      <c r="I148">
        <f>IF($H148="",$G148,$H148)</f>
        <v/>
      </c>
      <c r="J148" t="n">
        <v>348</v>
      </c>
      <c r="K148" t="n">
        <v>1.12582067235919</v>
      </c>
      <c r="L148" t="n">
        <v>0.729834891319568</v>
      </c>
      <c r="M148" t="n">
        <v>1</v>
      </c>
      <c r="Q148">
        <f>IF($I148="","",IFERROR(INDEX(_玩家曲线!$H$2:$H$286,MATCH($I148,_玩家曲线!$A$2:$A$286,0)),""))</f>
        <v/>
      </c>
      <c r="R148">
        <f>IF($I148="","",IFERROR(INDEX(_玩家曲线!$I$2:$I$286,MATCH($I148,_玩家曲线!$A$2:$A$286,0)),""))</f>
        <v/>
      </c>
      <c r="S148">
        <f>SUMIF(_爬塔队伍!$A$2:$A$1001,VALUE(SUBSTITUTE(SUBSTITUTE(D148,"第",""),"层","")),_爬塔队伍!$C$2:$C$1001)</f>
        <v/>
      </c>
      <c r="T148">
        <f>SUMIF(_爬塔队伍!$A$2:$A$1001,VALUE(SUBSTITUTE(SUBSTITUTE(D148,"第",""),"层","")),_爬塔队伍!$D$2:$D$1001)</f>
        <v/>
      </c>
      <c r="U148">
        <f>SUMIF(_爬塔队伍!$A$2:$A$1001,VALUE(SUBSTITUTE(SUBSTITUTE(D148,"第",""),"层","")),_爬塔队伍!$E$2:$E$1001)/COUNTIF(_爬塔队伍!$A$2:$A$1001,VALUE(SUBSTITUTE(SUBSTITUTE(D148,"第",""),"层","")))</f>
        <v/>
      </c>
      <c r="V148">
        <f>IF($U148="","",MIN(0.75,$U148/($U148+24000)))</f>
        <v/>
      </c>
      <c r="W148">
        <f>SUMIF(_爬塔队伍!$A$2:$A$1001,VALUE(SUBSTITUTE(SUBSTITUTE(D148,"第",""),"层","")),_爬塔队伍!$F$2:$F$1001)</f>
        <v/>
      </c>
      <c r="X148">
        <f>IF(OR($W148="",$Q148="",$Q148=0),"",$W148/$Q148)</f>
        <v/>
      </c>
      <c r="Y148">
        <f>IF(OR($R148="",$T148="",$T148=0),"",$R148/($T148*IF($O148="",1,$O148)))</f>
        <v/>
      </c>
      <c r="Z148">
        <f>IF(OR($X148="",$P148="",$P148=0),"",$X148/$P148)</f>
        <v/>
      </c>
      <c r="AA148">
        <f>IF($J148="","待填怪物等级",IF(OR($I148="",$Q148=""),"待填对照关卡",IF($P148="","已计算",IF(AND($Y148&lt;&gt;"",$Y148&lt;$X148),"生存不成立","已计算"))))</f>
        <v/>
      </c>
      <c r="AB148">
        <f>IF($J148="","待填",IF(AND(ISNUMBER($J148),$J148&gt;=1,$J148&lt;=500,MOD($J148,1)=0),"有效","超范围"))</f>
        <v/>
      </c>
      <c r="AC148">
        <f>IF(OR($J148="",ROW()=5,$B148&lt;&gt;$B147,$J147=""),"",IF($J148&lt;$J147,"下降",""))</f>
        <v/>
      </c>
      <c r="AD148" t="inlineStr">
        <is>
          <t>终局荣誉层：无同期对照，推荐战力封顶1,590,000（2026-09-20）</t>
        </is>
      </c>
      <c r="AE148" t="n">
        <v>1590000</v>
      </c>
      <c r="AF148">
        <f>INDEX(_统一战力!$B$2:$B$501,J148)</f>
        <v/>
      </c>
    </row>
    <row r="149">
      <c r="A149" t="inlineStr">
        <is>
          <t>当前配置</t>
        </is>
      </c>
      <c r="B149" t="inlineStr">
        <is>
          <t>爬塔</t>
        </is>
      </c>
      <c r="C149" t="inlineStr">
        <is>
          <t>现行包体5</t>
        </is>
      </c>
      <c r="D149" t="inlineStr">
        <is>
          <t>第145层</t>
        </is>
      </c>
      <c r="E149" t="n">
        <v>300445</v>
      </c>
      <c r="F149" t="inlineStr">
        <is>
          <t>精英怪</t>
        </is>
      </c>
      <c r="I149">
        <f>IF($H149="",$G149,$H149)</f>
        <v/>
      </c>
      <c r="J149" t="n">
        <v>350</v>
      </c>
      <c r="K149" t="n">
        <v>1.13108015591293</v>
      </c>
      <c r="L149" t="n">
        <v>0.726679309784578</v>
      </c>
      <c r="M149" t="n">
        <v>1</v>
      </c>
      <c r="Q149">
        <f>IF($I149="","",IFERROR(INDEX(_玩家曲线!$H$2:$H$286,MATCH($I149,_玩家曲线!$A$2:$A$286,0)),""))</f>
        <v/>
      </c>
      <c r="R149">
        <f>IF($I149="","",IFERROR(INDEX(_玩家曲线!$I$2:$I$286,MATCH($I149,_玩家曲线!$A$2:$A$286,0)),""))</f>
        <v/>
      </c>
      <c r="S149">
        <f>SUMIF(_爬塔队伍!$A$2:$A$1001,VALUE(SUBSTITUTE(SUBSTITUTE(D149,"第",""),"层","")),_爬塔队伍!$C$2:$C$1001)</f>
        <v/>
      </c>
      <c r="T149">
        <f>SUMIF(_爬塔队伍!$A$2:$A$1001,VALUE(SUBSTITUTE(SUBSTITUTE(D149,"第",""),"层","")),_爬塔队伍!$D$2:$D$1001)</f>
        <v/>
      </c>
      <c r="U149">
        <f>SUMIF(_爬塔队伍!$A$2:$A$1001,VALUE(SUBSTITUTE(SUBSTITUTE(D149,"第",""),"层","")),_爬塔队伍!$E$2:$E$1001)/COUNTIF(_爬塔队伍!$A$2:$A$1001,VALUE(SUBSTITUTE(SUBSTITUTE(D149,"第",""),"层","")))</f>
        <v/>
      </c>
      <c r="V149">
        <f>IF($U149="","",MIN(0.75,$U149/($U149+24000)))</f>
        <v/>
      </c>
      <c r="W149">
        <f>SUMIF(_爬塔队伍!$A$2:$A$1001,VALUE(SUBSTITUTE(SUBSTITUTE(D149,"第",""),"层","")),_爬塔队伍!$F$2:$F$1001)</f>
        <v/>
      </c>
      <c r="X149">
        <f>IF(OR($W149="",$Q149="",$Q149=0),"",$W149/$Q149)</f>
        <v/>
      </c>
      <c r="Y149">
        <f>IF(OR($R149="",$T149="",$T149=0),"",$R149/($T149*IF($O149="",1,$O149)))</f>
        <v/>
      </c>
      <c r="Z149">
        <f>IF(OR($X149="",$P149="",$P149=0),"",$X149/$P149)</f>
        <v/>
      </c>
      <c r="AA149">
        <f>IF($J149="","待填怪物等级",IF(OR($I149="",$Q149=""),"待填对照关卡",IF($P149="","已计算",IF(AND($Y149&lt;&gt;"",$Y149&lt;$X149),"生存不成立","已计算"))))</f>
        <v/>
      </c>
      <c r="AB149">
        <f>IF($J149="","待填",IF(AND(ISNUMBER($J149),$J149&gt;=1,$J149&lt;=500,MOD($J149,1)=0),"有效","超范围"))</f>
        <v/>
      </c>
      <c r="AC149">
        <f>IF(OR($J149="",ROW()=5,$B149&lt;&gt;$B148,$J148=""),"",IF($J149&lt;$J148,"下降",""))</f>
        <v/>
      </c>
      <c r="AD149" t="inlineStr">
        <is>
          <t>终局荣誉层：无同期对照，推荐战力封顶1,590,000（2026-09-20）</t>
        </is>
      </c>
      <c r="AE149" t="n">
        <v>1590000</v>
      </c>
      <c r="AF149">
        <f>INDEX(_统一战力!$B$2:$B$501,J149)</f>
        <v/>
      </c>
    </row>
    <row r="150">
      <c r="A150" t="inlineStr">
        <is>
          <t>当前配置</t>
        </is>
      </c>
      <c r="B150" t="inlineStr">
        <is>
          <t>爬塔</t>
        </is>
      </c>
      <c r="C150" t="inlineStr">
        <is>
          <t>现行包体5</t>
        </is>
      </c>
      <c r="D150" t="inlineStr">
        <is>
          <t>第146层</t>
        </is>
      </c>
      <c r="E150" t="n">
        <v>300446</v>
      </c>
      <c r="F150" t="inlineStr">
        <is>
          <t>普通怪</t>
        </is>
      </c>
      <c r="I150">
        <f>IF($H150="",$G150,$H150)</f>
        <v/>
      </c>
      <c r="J150" t="n">
        <v>352</v>
      </c>
      <c r="K150" t="n">
        <v>1.12582067235919</v>
      </c>
      <c r="L150" t="n">
        <v>0.729834891319568</v>
      </c>
      <c r="M150" t="n">
        <v>1</v>
      </c>
      <c r="Q150">
        <f>IF($I150="","",IFERROR(INDEX(_玩家曲线!$H$2:$H$286,MATCH($I150,_玩家曲线!$A$2:$A$286,0)),""))</f>
        <v/>
      </c>
      <c r="R150">
        <f>IF($I150="","",IFERROR(INDEX(_玩家曲线!$I$2:$I$286,MATCH($I150,_玩家曲线!$A$2:$A$286,0)),""))</f>
        <v/>
      </c>
      <c r="S150">
        <f>SUMIF(_爬塔队伍!$A$2:$A$1001,VALUE(SUBSTITUTE(SUBSTITUTE(D150,"第",""),"层","")),_爬塔队伍!$C$2:$C$1001)</f>
        <v/>
      </c>
      <c r="T150">
        <f>SUMIF(_爬塔队伍!$A$2:$A$1001,VALUE(SUBSTITUTE(SUBSTITUTE(D150,"第",""),"层","")),_爬塔队伍!$D$2:$D$1001)</f>
        <v/>
      </c>
      <c r="U150">
        <f>SUMIF(_爬塔队伍!$A$2:$A$1001,VALUE(SUBSTITUTE(SUBSTITUTE(D150,"第",""),"层","")),_爬塔队伍!$E$2:$E$1001)/COUNTIF(_爬塔队伍!$A$2:$A$1001,VALUE(SUBSTITUTE(SUBSTITUTE(D150,"第",""),"层","")))</f>
        <v/>
      </c>
      <c r="V150">
        <f>IF($U150="","",MIN(0.75,$U150/($U150+24000)))</f>
        <v/>
      </c>
      <c r="W150">
        <f>SUMIF(_爬塔队伍!$A$2:$A$1001,VALUE(SUBSTITUTE(SUBSTITUTE(D150,"第",""),"层","")),_爬塔队伍!$F$2:$F$1001)</f>
        <v/>
      </c>
      <c r="X150">
        <f>IF(OR($W150="",$Q150="",$Q150=0),"",$W150/$Q150)</f>
        <v/>
      </c>
      <c r="Y150">
        <f>IF(OR($R150="",$T150="",$T150=0),"",$R150/($T150*IF($O150="",1,$O150)))</f>
        <v/>
      </c>
      <c r="Z150">
        <f>IF(OR($X150="",$P150="",$P150=0),"",$X150/$P150)</f>
        <v/>
      </c>
      <c r="AA150">
        <f>IF($J150="","待填怪物等级",IF(OR($I150="",$Q150=""),"待填对照关卡",IF($P150="","已计算",IF(AND($Y150&lt;&gt;"",$Y150&lt;$X150),"生存不成立","已计算"))))</f>
        <v/>
      </c>
      <c r="AB150">
        <f>IF($J150="","待填",IF(AND(ISNUMBER($J150),$J150&gt;=1,$J150&lt;=500,MOD($J150,1)=0),"有效","超范围"))</f>
        <v/>
      </c>
      <c r="AC150">
        <f>IF(OR($J150="",ROW()=5,$B150&lt;&gt;$B149,$J149=""),"",IF($J150&lt;$J149,"下降",""))</f>
        <v/>
      </c>
      <c r="AD150" t="inlineStr">
        <is>
          <t>终局荣誉层：无同期对照，推荐战力封顶1,590,000（2026-09-20）</t>
        </is>
      </c>
      <c r="AE150" t="n">
        <v>1590000</v>
      </c>
      <c r="AF150">
        <f>INDEX(_统一战力!$B$2:$B$501,J150)</f>
        <v/>
      </c>
    </row>
    <row r="151">
      <c r="A151" t="inlineStr">
        <is>
          <t>当前配置</t>
        </is>
      </c>
      <c r="B151" t="inlineStr">
        <is>
          <t>爬塔</t>
        </is>
      </c>
      <c r="C151" t="inlineStr">
        <is>
          <t>现行包体5</t>
        </is>
      </c>
      <c r="D151" t="inlineStr">
        <is>
          <t>第147层</t>
        </is>
      </c>
      <c r="E151" t="n">
        <v>300447</v>
      </c>
      <c r="F151" t="inlineStr">
        <is>
          <t>普通怪</t>
        </is>
      </c>
      <c r="I151">
        <f>IF($H151="",$G151,$H151)</f>
        <v/>
      </c>
      <c r="J151" t="n">
        <v>354</v>
      </c>
      <c r="K151" t="n">
        <v>1.12582067235919</v>
      </c>
      <c r="L151" t="n">
        <v>0.729834891319568</v>
      </c>
      <c r="M151" t="n">
        <v>1</v>
      </c>
      <c r="Q151">
        <f>IF($I151="","",IFERROR(INDEX(_玩家曲线!$H$2:$H$286,MATCH($I151,_玩家曲线!$A$2:$A$286,0)),""))</f>
        <v/>
      </c>
      <c r="R151">
        <f>IF($I151="","",IFERROR(INDEX(_玩家曲线!$I$2:$I$286,MATCH($I151,_玩家曲线!$A$2:$A$286,0)),""))</f>
        <v/>
      </c>
      <c r="S151">
        <f>SUMIF(_爬塔队伍!$A$2:$A$1001,VALUE(SUBSTITUTE(SUBSTITUTE(D151,"第",""),"层","")),_爬塔队伍!$C$2:$C$1001)</f>
        <v/>
      </c>
      <c r="T151">
        <f>SUMIF(_爬塔队伍!$A$2:$A$1001,VALUE(SUBSTITUTE(SUBSTITUTE(D151,"第",""),"层","")),_爬塔队伍!$D$2:$D$1001)</f>
        <v/>
      </c>
      <c r="U151">
        <f>SUMIF(_爬塔队伍!$A$2:$A$1001,VALUE(SUBSTITUTE(SUBSTITUTE(D151,"第",""),"层","")),_爬塔队伍!$E$2:$E$1001)/COUNTIF(_爬塔队伍!$A$2:$A$1001,VALUE(SUBSTITUTE(SUBSTITUTE(D151,"第",""),"层","")))</f>
        <v/>
      </c>
      <c r="V151">
        <f>IF($U151="","",MIN(0.75,$U151/($U151+24000)))</f>
        <v/>
      </c>
      <c r="W151">
        <f>SUMIF(_爬塔队伍!$A$2:$A$1001,VALUE(SUBSTITUTE(SUBSTITUTE(D151,"第",""),"层","")),_爬塔队伍!$F$2:$F$1001)</f>
        <v/>
      </c>
      <c r="X151">
        <f>IF(OR($W151="",$Q151="",$Q151=0),"",$W151/$Q151)</f>
        <v/>
      </c>
      <c r="Y151">
        <f>IF(OR($R151="",$T151="",$T151=0),"",$R151/($T151*IF($O151="",1,$O151)))</f>
        <v/>
      </c>
      <c r="Z151">
        <f>IF(OR($X151="",$P151="",$P151=0),"",$X151/$P151)</f>
        <v/>
      </c>
      <c r="AA151">
        <f>IF($J151="","待填怪物等级",IF(OR($I151="",$Q151=""),"待填对照关卡",IF($P151="","已计算",IF(AND($Y151&lt;&gt;"",$Y151&lt;$X151),"生存不成立","已计算"))))</f>
        <v/>
      </c>
      <c r="AB151">
        <f>IF($J151="","待填",IF(AND(ISNUMBER($J151),$J151&gt;=1,$J151&lt;=500,MOD($J151,1)=0),"有效","超范围"))</f>
        <v/>
      </c>
      <c r="AC151">
        <f>IF(OR($J151="",ROW()=5,$B151&lt;&gt;$B150,$J150=""),"",IF($J151&lt;$J150,"下降",""))</f>
        <v/>
      </c>
      <c r="AD151" t="inlineStr">
        <is>
          <t>终局荣誉层：无同期对照，推荐战力封顶1,590,000（2026-09-20）</t>
        </is>
      </c>
      <c r="AE151" t="n">
        <v>1590000</v>
      </c>
      <c r="AF151">
        <f>INDEX(_统一战力!$B$2:$B$501,J151)</f>
        <v/>
      </c>
    </row>
    <row r="152">
      <c r="A152" t="inlineStr">
        <is>
          <t>当前配置</t>
        </is>
      </c>
      <c r="B152" t="inlineStr">
        <is>
          <t>爬塔</t>
        </is>
      </c>
      <c r="C152" t="inlineStr">
        <is>
          <t>现行包体5</t>
        </is>
      </c>
      <c r="D152" t="inlineStr">
        <is>
          <t>第148层</t>
        </is>
      </c>
      <c r="E152" t="n">
        <v>300448</v>
      </c>
      <c r="F152" t="inlineStr">
        <is>
          <t>普通怪</t>
        </is>
      </c>
      <c r="I152">
        <f>IF($H152="",$G152,$H152)</f>
        <v/>
      </c>
      <c r="J152" t="n">
        <v>356</v>
      </c>
      <c r="K152" t="n">
        <v>1.12582067235919</v>
      </c>
      <c r="L152" t="n">
        <v>0.729834891319568</v>
      </c>
      <c r="M152" t="n">
        <v>1</v>
      </c>
      <c r="Q152">
        <f>IF($I152="","",IFERROR(INDEX(_玩家曲线!$H$2:$H$286,MATCH($I152,_玩家曲线!$A$2:$A$286,0)),""))</f>
        <v/>
      </c>
      <c r="R152">
        <f>IF($I152="","",IFERROR(INDEX(_玩家曲线!$I$2:$I$286,MATCH($I152,_玩家曲线!$A$2:$A$286,0)),""))</f>
        <v/>
      </c>
      <c r="S152">
        <f>SUMIF(_爬塔队伍!$A$2:$A$1001,VALUE(SUBSTITUTE(SUBSTITUTE(D152,"第",""),"层","")),_爬塔队伍!$C$2:$C$1001)</f>
        <v/>
      </c>
      <c r="T152">
        <f>SUMIF(_爬塔队伍!$A$2:$A$1001,VALUE(SUBSTITUTE(SUBSTITUTE(D152,"第",""),"层","")),_爬塔队伍!$D$2:$D$1001)</f>
        <v/>
      </c>
      <c r="U152">
        <f>SUMIF(_爬塔队伍!$A$2:$A$1001,VALUE(SUBSTITUTE(SUBSTITUTE(D152,"第",""),"层","")),_爬塔队伍!$E$2:$E$1001)/COUNTIF(_爬塔队伍!$A$2:$A$1001,VALUE(SUBSTITUTE(SUBSTITUTE(D152,"第",""),"层","")))</f>
        <v/>
      </c>
      <c r="V152">
        <f>IF($U152="","",MIN(0.75,$U152/($U152+24000)))</f>
        <v/>
      </c>
      <c r="W152">
        <f>SUMIF(_爬塔队伍!$A$2:$A$1001,VALUE(SUBSTITUTE(SUBSTITUTE(D152,"第",""),"层","")),_爬塔队伍!$F$2:$F$1001)</f>
        <v/>
      </c>
      <c r="X152">
        <f>IF(OR($W152="",$Q152="",$Q152=0),"",$W152/$Q152)</f>
        <v/>
      </c>
      <c r="Y152">
        <f>IF(OR($R152="",$T152="",$T152=0),"",$R152/($T152*IF($O152="",1,$O152)))</f>
        <v/>
      </c>
      <c r="Z152">
        <f>IF(OR($X152="",$P152="",$P152=0),"",$X152/$P152)</f>
        <v/>
      </c>
      <c r="AA152">
        <f>IF($J152="","待填怪物等级",IF(OR($I152="",$Q152=""),"待填对照关卡",IF($P152="","已计算",IF(AND($Y152&lt;&gt;"",$Y152&lt;$X152),"生存不成立","已计算"))))</f>
        <v/>
      </c>
      <c r="AB152">
        <f>IF($J152="","待填",IF(AND(ISNUMBER($J152),$J152&gt;=1,$J152&lt;=500,MOD($J152,1)=0),"有效","超范围"))</f>
        <v/>
      </c>
      <c r="AC152">
        <f>IF(OR($J152="",ROW()=5,$B152&lt;&gt;$B151,$J151=""),"",IF($J152&lt;$J151,"下降",""))</f>
        <v/>
      </c>
      <c r="AD152" t="inlineStr">
        <is>
          <t>终局荣誉层：无同期对照，推荐战力封顶1,590,000（2026-09-20）</t>
        </is>
      </c>
      <c r="AE152" t="n">
        <v>1590000</v>
      </c>
      <c r="AF152">
        <f>INDEX(_统一战力!$B$2:$B$501,J152)</f>
        <v/>
      </c>
    </row>
    <row r="153">
      <c r="A153" t="inlineStr">
        <is>
          <t>当前配置</t>
        </is>
      </c>
      <c r="B153" t="inlineStr">
        <is>
          <t>爬塔</t>
        </is>
      </c>
      <c r="C153" t="inlineStr">
        <is>
          <t>现行包体5</t>
        </is>
      </c>
      <c r="D153" t="inlineStr">
        <is>
          <t>第149层</t>
        </is>
      </c>
      <c r="E153" t="n">
        <v>300449</v>
      </c>
      <c r="F153" t="inlineStr">
        <is>
          <t>普通怪</t>
        </is>
      </c>
      <c r="I153">
        <f>IF($H153="",$G153,$H153)</f>
        <v/>
      </c>
      <c r="J153" t="n">
        <v>358</v>
      </c>
      <c r="K153" t="n">
        <v>1.12582067235919</v>
      </c>
      <c r="L153" t="n">
        <v>0.729834891319568</v>
      </c>
      <c r="M153" t="n">
        <v>1</v>
      </c>
      <c r="Q153">
        <f>IF($I153="","",IFERROR(INDEX(_玩家曲线!$H$2:$H$286,MATCH($I153,_玩家曲线!$A$2:$A$286,0)),""))</f>
        <v/>
      </c>
      <c r="R153">
        <f>IF($I153="","",IFERROR(INDEX(_玩家曲线!$I$2:$I$286,MATCH($I153,_玩家曲线!$A$2:$A$286,0)),""))</f>
        <v/>
      </c>
      <c r="S153">
        <f>SUMIF(_爬塔队伍!$A$2:$A$1001,VALUE(SUBSTITUTE(SUBSTITUTE(D153,"第",""),"层","")),_爬塔队伍!$C$2:$C$1001)</f>
        <v/>
      </c>
      <c r="T153">
        <f>SUMIF(_爬塔队伍!$A$2:$A$1001,VALUE(SUBSTITUTE(SUBSTITUTE(D153,"第",""),"层","")),_爬塔队伍!$D$2:$D$1001)</f>
        <v/>
      </c>
      <c r="U153">
        <f>SUMIF(_爬塔队伍!$A$2:$A$1001,VALUE(SUBSTITUTE(SUBSTITUTE(D153,"第",""),"层","")),_爬塔队伍!$E$2:$E$1001)/COUNTIF(_爬塔队伍!$A$2:$A$1001,VALUE(SUBSTITUTE(SUBSTITUTE(D153,"第",""),"层","")))</f>
        <v/>
      </c>
      <c r="V153">
        <f>IF($U153="","",MIN(0.75,$U153/($U153+24000)))</f>
        <v/>
      </c>
      <c r="W153">
        <f>SUMIF(_爬塔队伍!$A$2:$A$1001,VALUE(SUBSTITUTE(SUBSTITUTE(D153,"第",""),"层","")),_爬塔队伍!$F$2:$F$1001)</f>
        <v/>
      </c>
      <c r="X153">
        <f>IF(OR($W153="",$Q153="",$Q153=0),"",$W153/$Q153)</f>
        <v/>
      </c>
      <c r="Y153">
        <f>IF(OR($R153="",$T153="",$T153=0),"",$R153/($T153*IF($O153="",1,$O153)))</f>
        <v/>
      </c>
      <c r="Z153">
        <f>IF(OR($X153="",$P153="",$P153=0),"",$X153/$P153)</f>
        <v/>
      </c>
      <c r="AA153">
        <f>IF($J153="","待填怪物等级",IF(OR($I153="",$Q153=""),"待填对照关卡",IF($P153="","已计算",IF(AND($Y153&lt;&gt;"",$Y153&lt;$X153),"生存不成立","已计算"))))</f>
        <v/>
      </c>
      <c r="AB153">
        <f>IF($J153="","待填",IF(AND(ISNUMBER($J153),$J153&gt;=1,$J153&lt;=500,MOD($J153,1)=0),"有效","超范围"))</f>
        <v/>
      </c>
      <c r="AC153">
        <f>IF(OR($J153="",ROW()=5,$B153&lt;&gt;$B152,$J152=""),"",IF($J153&lt;$J152,"下降",""))</f>
        <v/>
      </c>
      <c r="AD153" t="inlineStr">
        <is>
          <t>终局荣誉层：无同期对照，推荐战力封顶1,590,000（2026-09-20）</t>
        </is>
      </c>
      <c r="AE153" t="n">
        <v>1590000</v>
      </c>
      <c r="AF153">
        <f>INDEX(_统一战力!$B$2:$B$501,J153)</f>
        <v/>
      </c>
    </row>
    <row r="154">
      <c r="A154" t="inlineStr">
        <is>
          <t>当前配置</t>
        </is>
      </c>
      <c r="B154" t="inlineStr">
        <is>
          <t>爬塔</t>
        </is>
      </c>
      <c r="C154" t="inlineStr">
        <is>
          <t>现行包体5</t>
        </is>
      </c>
      <c r="D154" t="inlineStr">
        <is>
          <t>第150层</t>
        </is>
      </c>
      <c r="E154" t="n">
        <v>300450</v>
      </c>
      <c r="F154" t="inlineStr">
        <is>
          <t>Boss</t>
        </is>
      </c>
      <c r="I154">
        <f>IF($H154="",$G154,$H154)</f>
        <v/>
      </c>
      <c r="J154" t="n">
        <v>360</v>
      </c>
      <c r="K154" t="n">
        <v>1.12671592412141</v>
      </c>
      <c r="L154" t="n">
        <v>0.731229508674054</v>
      </c>
      <c r="M154" t="n">
        <v>1</v>
      </c>
      <c r="Q154">
        <f>IF($I154="","",IFERROR(INDEX(_玩家曲线!$H$2:$H$286,MATCH($I154,_玩家曲线!$A$2:$A$286,0)),""))</f>
        <v/>
      </c>
      <c r="R154">
        <f>IF($I154="","",IFERROR(INDEX(_玩家曲线!$I$2:$I$286,MATCH($I154,_玩家曲线!$A$2:$A$286,0)),""))</f>
        <v/>
      </c>
      <c r="S154">
        <f>SUMIF(_爬塔队伍!$A$2:$A$1001,VALUE(SUBSTITUTE(SUBSTITUTE(D154,"第",""),"层","")),_爬塔队伍!$C$2:$C$1001)</f>
        <v/>
      </c>
      <c r="T154">
        <f>SUMIF(_爬塔队伍!$A$2:$A$1001,VALUE(SUBSTITUTE(SUBSTITUTE(D154,"第",""),"层","")),_爬塔队伍!$D$2:$D$1001)</f>
        <v/>
      </c>
      <c r="U154">
        <f>SUMIF(_爬塔队伍!$A$2:$A$1001,VALUE(SUBSTITUTE(SUBSTITUTE(D154,"第",""),"层","")),_爬塔队伍!$E$2:$E$1001)/COUNTIF(_爬塔队伍!$A$2:$A$1001,VALUE(SUBSTITUTE(SUBSTITUTE(D154,"第",""),"层","")))</f>
        <v/>
      </c>
      <c r="V154">
        <f>IF($U154="","",MIN(0.75,$U154/($U154+24000)))</f>
        <v/>
      </c>
      <c r="W154">
        <f>SUMIF(_爬塔队伍!$A$2:$A$1001,VALUE(SUBSTITUTE(SUBSTITUTE(D154,"第",""),"层","")),_爬塔队伍!$F$2:$F$1001)</f>
        <v/>
      </c>
      <c r="X154">
        <f>IF(OR($W154="",$Q154="",$Q154=0),"",$W154/$Q154)</f>
        <v/>
      </c>
      <c r="Y154">
        <f>IF(OR($R154="",$T154="",$T154=0),"",$R154/($T154*IF($O154="",1,$O154)))</f>
        <v/>
      </c>
      <c r="Z154">
        <f>IF(OR($X154="",$P154="",$P154=0),"",$X154/$P154)</f>
        <v/>
      </c>
      <c r="AA154">
        <f>IF($J154="","待填怪物等级",IF(OR($I154="",$Q154=""),"待填对照关卡",IF($P154="","已计算",IF(AND($Y154&lt;&gt;"",$Y154&lt;$X154),"生存不成立","已计算"))))</f>
        <v/>
      </c>
      <c r="AB154">
        <f>IF($J154="","待填",IF(AND(ISNUMBER($J154),$J154&gt;=1,$J154&lt;=500,MOD($J154,1)=0),"有效","超范围"))</f>
        <v/>
      </c>
      <c r="AC154">
        <f>IF(OR($J154="",ROW()=5,$B154&lt;&gt;$B153,$J153=""),"",IF($J154&lt;$J153,"下降",""))</f>
        <v/>
      </c>
      <c r="AD154" t="inlineStr">
        <is>
          <t>终局荣誉层：无同期对照，推荐战力封顶1,590,000（2026-09-20）</t>
        </is>
      </c>
      <c r="AE154" t="n">
        <v>1590000</v>
      </c>
      <c r="AF154">
        <f>INDEX(_统一战力!$B$2:$B$501,J154)</f>
        <v/>
      </c>
    </row>
    <row r="155">
      <c r="A155" t="inlineStr">
        <is>
          <t>当前配置</t>
        </is>
      </c>
      <c r="B155" t="inlineStr">
        <is>
          <t>爬塔</t>
        </is>
      </c>
      <c r="C155" t="inlineStr">
        <is>
          <t>现行包体5</t>
        </is>
      </c>
      <c r="D155" t="inlineStr">
        <is>
          <t>第151层</t>
        </is>
      </c>
      <c r="E155" t="n">
        <v>300451</v>
      </c>
      <c r="F155" t="inlineStr">
        <is>
          <t>普通怪</t>
        </is>
      </c>
      <c r="I155">
        <f>IF($H155="",$G155,$H155)</f>
        <v/>
      </c>
      <c r="J155" t="n">
        <v>362</v>
      </c>
      <c r="K155" t="n">
        <v>1.12582067235919</v>
      </c>
      <c r="L155" t="n">
        <v>0.729834891319568</v>
      </c>
      <c r="M155" t="n">
        <v>1</v>
      </c>
      <c r="Q155">
        <f>IF($I155="","",IFERROR(INDEX(_玩家曲线!$H$2:$H$286,MATCH($I155,_玩家曲线!$A$2:$A$286,0)),""))</f>
        <v/>
      </c>
      <c r="R155">
        <f>IF($I155="","",IFERROR(INDEX(_玩家曲线!$I$2:$I$286,MATCH($I155,_玩家曲线!$A$2:$A$286,0)),""))</f>
        <v/>
      </c>
      <c r="S155">
        <f>SUMIF(_爬塔队伍!$A$2:$A$1001,VALUE(SUBSTITUTE(SUBSTITUTE(D155,"第",""),"层","")),_爬塔队伍!$C$2:$C$1001)</f>
        <v/>
      </c>
      <c r="T155">
        <f>SUMIF(_爬塔队伍!$A$2:$A$1001,VALUE(SUBSTITUTE(SUBSTITUTE(D155,"第",""),"层","")),_爬塔队伍!$D$2:$D$1001)</f>
        <v/>
      </c>
      <c r="U155">
        <f>SUMIF(_爬塔队伍!$A$2:$A$1001,VALUE(SUBSTITUTE(SUBSTITUTE(D155,"第",""),"层","")),_爬塔队伍!$E$2:$E$1001)/COUNTIF(_爬塔队伍!$A$2:$A$1001,VALUE(SUBSTITUTE(SUBSTITUTE(D155,"第",""),"层","")))</f>
        <v/>
      </c>
      <c r="V155">
        <f>IF($U155="","",MIN(0.75,$U155/($U155+24000)))</f>
        <v/>
      </c>
      <c r="W155">
        <f>SUMIF(_爬塔队伍!$A$2:$A$1001,VALUE(SUBSTITUTE(SUBSTITUTE(D155,"第",""),"层","")),_爬塔队伍!$F$2:$F$1001)</f>
        <v/>
      </c>
      <c r="X155">
        <f>IF(OR($W155="",$Q155="",$Q155=0),"",$W155/$Q155)</f>
        <v/>
      </c>
      <c r="Y155">
        <f>IF(OR($R155="",$T155="",$T155=0),"",$R155/($T155*IF($O155="",1,$O155)))</f>
        <v/>
      </c>
      <c r="Z155">
        <f>IF(OR($X155="",$P155="",$P155=0),"",$X155/$P155)</f>
        <v/>
      </c>
      <c r="AA155">
        <f>IF($J155="","待填怪物等级",IF(OR($I155="",$Q155=""),"待填对照关卡",IF($P155="","已计算",IF(AND($Y155&lt;&gt;"",$Y155&lt;$X155),"生存不成立","已计算"))))</f>
        <v/>
      </c>
      <c r="AB155">
        <f>IF($J155="","待填",IF(AND(ISNUMBER($J155),$J155&gt;=1,$J155&lt;=500,MOD($J155,1)=0),"有效","超范围"))</f>
        <v/>
      </c>
      <c r="AC155">
        <f>IF(OR($J155="",ROW()=5,$B155&lt;&gt;$B154,$J154=""),"",IF($J155&lt;$J154,"下降",""))</f>
        <v/>
      </c>
      <c r="AD155" t="inlineStr">
        <is>
          <t>终局荣誉层：无同期对照，推荐战力封顶1,590,000（2026-09-20）</t>
        </is>
      </c>
      <c r="AE155" t="n">
        <v>1590000</v>
      </c>
      <c r="AF155">
        <f>INDEX(_统一战力!$B$2:$B$501,J155)</f>
        <v/>
      </c>
    </row>
    <row r="156">
      <c r="A156" t="inlineStr">
        <is>
          <t>当前配置</t>
        </is>
      </c>
      <c r="B156" t="inlineStr">
        <is>
          <t>爬塔</t>
        </is>
      </c>
      <c r="C156" t="inlineStr">
        <is>
          <t>现行包体5</t>
        </is>
      </c>
      <c r="D156" t="inlineStr">
        <is>
          <t>第152层</t>
        </is>
      </c>
      <c r="E156" t="n">
        <v>300452</v>
      </c>
      <c r="F156" t="inlineStr">
        <is>
          <t>普通怪</t>
        </is>
      </c>
      <c r="I156">
        <f>IF($H156="",$G156,$H156)</f>
        <v/>
      </c>
      <c r="J156" t="n">
        <v>364</v>
      </c>
      <c r="K156" t="n">
        <v>1.12582067235919</v>
      </c>
      <c r="L156" t="n">
        <v>0.729834891319568</v>
      </c>
      <c r="M156" t="n">
        <v>1</v>
      </c>
      <c r="Q156">
        <f>IF($I156="","",IFERROR(INDEX(_玩家曲线!$H$2:$H$286,MATCH($I156,_玩家曲线!$A$2:$A$286,0)),""))</f>
        <v/>
      </c>
      <c r="R156">
        <f>IF($I156="","",IFERROR(INDEX(_玩家曲线!$I$2:$I$286,MATCH($I156,_玩家曲线!$A$2:$A$286,0)),""))</f>
        <v/>
      </c>
      <c r="S156">
        <f>SUMIF(_爬塔队伍!$A$2:$A$1001,VALUE(SUBSTITUTE(SUBSTITUTE(D156,"第",""),"层","")),_爬塔队伍!$C$2:$C$1001)</f>
        <v/>
      </c>
      <c r="T156">
        <f>SUMIF(_爬塔队伍!$A$2:$A$1001,VALUE(SUBSTITUTE(SUBSTITUTE(D156,"第",""),"层","")),_爬塔队伍!$D$2:$D$1001)</f>
        <v/>
      </c>
      <c r="U156">
        <f>SUMIF(_爬塔队伍!$A$2:$A$1001,VALUE(SUBSTITUTE(SUBSTITUTE(D156,"第",""),"层","")),_爬塔队伍!$E$2:$E$1001)/COUNTIF(_爬塔队伍!$A$2:$A$1001,VALUE(SUBSTITUTE(SUBSTITUTE(D156,"第",""),"层","")))</f>
        <v/>
      </c>
      <c r="V156">
        <f>IF($U156="","",MIN(0.75,$U156/($U156+24000)))</f>
        <v/>
      </c>
      <c r="W156">
        <f>SUMIF(_爬塔队伍!$A$2:$A$1001,VALUE(SUBSTITUTE(SUBSTITUTE(D156,"第",""),"层","")),_爬塔队伍!$F$2:$F$1001)</f>
        <v/>
      </c>
      <c r="X156">
        <f>IF(OR($W156="",$Q156="",$Q156=0),"",$W156/$Q156)</f>
        <v/>
      </c>
      <c r="Y156">
        <f>IF(OR($R156="",$T156="",$T156=0),"",$R156/($T156*IF($O156="",1,$O156)))</f>
        <v/>
      </c>
      <c r="Z156">
        <f>IF(OR($X156="",$P156="",$P156=0),"",$X156/$P156)</f>
        <v/>
      </c>
      <c r="AA156">
        <f>IF($J156="","待填怪物等级",IF(OR($I156="",$Q156=""),"待填对照关卡",IF($P156="","已计算",IF(AND($Y156&lt;&gt;"",$Y156&lt;$X156),"生存不成立","已计算"))))</f>
        <v/>
      </c>
      <c r="AB156">
        <f>IF($J156="","待填",IF(AND(ISNUMBER($J156),$J156&gt;=1,$J156&lt;=500,MOD($J156,1)=0),"有效","超范围"))</f>
        <v/>
      </c>
      <c r="AC156">
        <f>IF(OR($J156="",ROW()=5,$B156&lt;&gt;$B155,$J155=""),"",IF($J156&lt;$J155,"下降",""))</f>
        <v/>
      </c>
      <c r="AD156" t="inlineStr">
        <is>
          <t>终局荣誉层：无同期对照，推荐战力封顶1,590,000（2026-09-20）</t>
        </is>
      </c>
      <c r="AE156" t="n">
        <v>1590000</v>
      </c>
      <c r="AF156">
        <f>INDEX(_统一战力!$B$2:$B$501,J156)</f>
        <v/>
      </c>
    </row>
    <row r="157">
      <c r="A157" t="inlineStr">
        <is>
          <t>当前配置</t>
        </is>
      </c>
      <c r="B157" t="inlineStr">
        <is>
          <t>爬塔</t>
        </is>
      </c>
      <c r="C157" t="inlineStr">
        <is>
          <t>现行包体5</t>
        </is>
      </c>
      <c r="D157" t="inlineStr">
        <is>
          <t>第153层</t>
        </is>
      </c>
      <c r="E157" t="n">
        <v>300453</v>
      </c>
      <c r="F157" t="inlineStr">
        <is>
          <t>普通怪</t>
        </is>
      </c>
      <c r="I157">
        <f>IF($H157="",$G157,$H157)</f>
        <v/>
      </c>
      <c r="J157" t="n">
        <v>367</v>
      </c>
      <c r="K157" t="n">
        <v>1.12582067235919</v>
      </c>
      <c r="L157" t="n">
        <v>0.729834891319568</v>
      </c>
      <c r="M157" t="n">
        <v>1</v>
      </c>
      <c r="Q157">
        <f>IF($I157="","",IFERROR(INDEX(_玩家曲线!$H$2:$H$286,MATCH($I157,_玩家曲线!$A$2:$A$286,0)),""))</f>
        <v/>
      </c>
      <c r="R157">
        <f>IF($I157="","",IFERROR(INDEX(_玩家曲线!$I$2:$I$286,MATCH($I157,_玩家曲线!$A$2:$A$286,0)),""))</f>
        <v/>
      </c>
      <c r="S157">
        <f>SUMIF(_爬塔队伍!$A$2:$A$1001,VALUE(SUBSTITUTE(SUBSTITUTE(D157,"第",""),"层","")),_爬塔队伍!$C$2:$C$1001)</f>
        <v/>
      </c>
      <c r="T157">
        <f>SUMIF(_爬塔队伍!$A$2:$A$1001,VALUE(SUBSTITUTE(SUBSTITUTE(D157,"第",""),"层","")),_爬塔队伍!$D$2:$D$1001)</f>
        <v/>
      </c>
      <c r="U157">
        <f>SUMIF(_爬塔队伍!$A$2:$A$1001,VALUE(SUBSTITUTE(SUBSTITUTE(D157,"第",""),"层","")),_爬塔队伍!$E$2:$E$1001)/COUNTIF(_爬塔队伍!$A$2:$A$1001,VALUE(SUBSTITUTE(SUBSTITUTE(D157,"第",""),"层","")))</f>
        <v/>
      </c>
      <c r="V157">
        <f>IF($U157="","",MIN(0.75,$U157/($U157+24000)))</f>
        <v/>
      </c>
      <c r="W157">
        <f>SUMIF(_爬塔队伍!$A$2:$A$1001,VALUE(SUBSTITUTE(SUBSTITUTE(D157,"第",""),"层","")),_爬塔队伍!$F$2:$F$1001)</f>
        <v/>
      </c>
      <c r="X157">
        <f>IF(OR($W157="",$Q157="",$Q157=0),"",$W157/$Q157)</f>
        <v/>
      </c>
      <c r="Y157">
        <f>IF(OR($R157="",$T157="",$T157=0),"",$R157/($T157*IF($O157="",1,$O157)))</f>
        <v/>
      </c>
      <c r="Z157">
        <f>IF(OR($X157="",$P157="",$P157=0),"",$X157/$P157)</f>
        <v/>
      </c>
      <c r="AA157">
        <f>IF($J157="","待填怪物等级",IF(OR($I157="",$Q157=""),"待填对照关卡",IF($P157="","已计算",IF(AND($Y157&lt;&gt;"",$Y157&lt;$X157),"生存不成立","已计算"))))</f>
        <v/>
      </c>
      <c r="AB157">
        <f>IF($J157="","待填",IF(AND(ISNUMBER($J157),$J157&gt;=1,$J157&lt;=500,MOD($J157,1)=0),"有效","超范围"))</f>
        <v/>
      </c>
      <c r="AC157">
        <f>IF(OR($J157="",ROW()=5,$B157&lt;&gt;$B156,$J156=""),"",IF($J157&lt;$J156,"下降",""))</f>
        <v/>
      </c>
      <c r="AD157" t="inlineStr">
        <is>
          <t>终局荣誉层：无同期对照，推荐战力封顶1,590,000（2026-09-20）</t>
        </is>
      </c>
      <c r="AE157" t="n">
        <v>1590000</v>
      </c>
      <c r="AF157">
        <f>INDEX(_统一战力!$B$2:$B$501,J157)</f>
        <v/>
      </c>
    </row>
    <row r="158">
      <c r="A158" t="inlineStr">
        <is>
          <t>当前配置</t>
        </is>
      </c>
      <c r="B158" t="inlineStr">
        <is>
          <t>爬塔</t>
        </is>
      </c>
      <c r="C158" t="inlineStr">
        <is>
          <t>现行包体5</t>
        </is>
      </c>
      <c r="D158" t="inlineStr">
        <is>
          <t>第154层</t>
        </is>
      </c>
      <c r="E158" t="n">
        <v>300454</v>
      </c>
      <c r="F158" t="inlineStr">
        <is>
          <t>普通怪</t>
        </is>
      </c>
      <c r="I158">
        <f>IF($H158="",$G158,$H158)</f>
        <v/>
      </c>
      <c r="J158" t="n">
        <v>369</v>
      </c>
      <c r="K158" t="n">
        <v>1.12582067235919</v>
      </c>
      <c r="L158" t="n">
        <v>0.729834891319568</v>
      </c>
      <c r="M158" t="n">
        <v>1</v>
      </c>
      <c r="Q158">
        <f>IF($I158="","",IFERROR(INDEX(_玩家曲线!$H$2:$H$286,MATCH($I158,_玩家曲线!$A$2:$A$286,0)),""))</f>
        <v/>
      </c>
      <c r="R158">
        <f>IF($I158="","",IFERROR(INDEX(_玩家曲线!$I$2:$I$286,MATCH($I158,_玩家曲线!$A$2:$A$286,0)),""))</f>
        <v/>
      </c>
      <c r="S158">
        <f>SUMIF(_爬塔队伍!$A$2:$A$1001,VALUE(SUBSTITUTE(SUBSTITUTE(D158,"第",""),"层","")),_爬塔队伍!$C$2:$C$1001)</f>
        <v/>
      </c>
      <c r="T158">
        <f>SUMIF(_爬塔队伍!$A$2:$A$1001,VALUE(SUBSTITUTE(SUBSTITUTE(D158,"第",""),"层","")),_爬塔队伍!$D$2:$D$1001)</f>
        <v/>
      </c>
      <c r="U158">
        <f>SUMIF(_爬塔队伍!$A$2:$A$1001,VALUE(SUBSTITUTE(SUBSTITUTE(D158,"第",""),"层","")),_爬塔队伍!$E$2:$E$1001)/COUNTIF(_爬塔队伍!$A$2:$A$1001,VALUE(SUBSTITUTE(SUBSTITUTE(D158,"第",""),"层","")))</f>
        <v/>
      </c>
      <c r="V158">
        <f>IF($U158="","",MIN(0.75,$U158/($U158+24000)))</f>
        <v/>
      </c>
      <c r="W158">
        <f>SUMIF(_爬塔队伍!$A$2:$A$1001,VALUE(SUBSTITUTE(SUBSTITUTE(D158,"第",""),"层","")),_爬塔队伍!$F$2:$F$1001)</f>
        <v/>
      </c>
      <c r="X158">
        <f>IF(OR($W158="",$Q158="",$Q158=0),"",$W158/$Q158)</f>
        <v/>
      </c>
      <c r="Y158">
        <f>IF(OR($R158="",$T158="",$T158=0),"",$R158/($T158*IF($O158="",1,$O158)))</f>
        <v/>
      </c>
      <c r="Z158">
        <f>IF(OR($X158="",$P158="",$P158=0),"",$X158/$P158)</f>
        <v/>
      </c>
      <c r="AA158">
        <f>IF($J158="","待填怪物等级",IF(OR($I158="",$Q158=""),"待填对照关卡",IF($P158="","已计算",IF(AND($Y158&lt;&gt;"",$Y158&lt;$X158),"生存不成立","已计算"))))</f>
        <v/>
      </c>
      <c r="AB158">
        <f>IF($J158="","待填",IF(AND(ISNUMBER($J158),$J158&gt;=1,$J158&lt;=500,MOD($J158,1)=0),"有效","超范围"))</f>
        <v/>
      </c>
      <c r="AC158">
        <f>IF(OR($J158="",ROW()=5,$B158&lt;&gt;$B157,$J157=""),"",IF($J158&lt;$J157,"下降",""))</f>
        <v/>
      </c>
      <c r="AD158" t="inlineStr">
        <is>
          <t>终局荣誉层：无同期对照，推荐战力封顶1,590,000（2026-09-20）</t>
        </is>
      </c>
      <c r="AE158" t="n">
        <v>1590000</v>
      </c>
      <c r="AF158">
        <f>INDEX(_统一战力!$B$2:$B$501,J158)</f>
        <v/>
      </c>
    </row>
    <row r="159">
      <c r="A159" t="inlineStr">
        <is>
          <t>当前配置</t>
        </is>
      </c>
      <c r="B159" t="inlineStr">
        <is>
          <t>爬塔</t>
        </is>
      </c>
      <c r="C159" t="inlineStr">
        <is>
          <t>现行包体5</t>
        </is>
      </c>
      <c r="D159" t="inlineStr">
        <is>
          <t>第155层</t>
        </is>
      </c>
      <c r="E159" t="n">
        <v>300455</v>
      </c>
      <c r="F159" t="inlineStr">
        <is>
          <t>精英怪</t>
        </is>
      </c>
      <c r="I159">
        <f>IF($H159="",$G159,$H159)</f>
        <v/>
      </c>
      <c r="J159" t="n">
        <v>371</v>
      </c>
      <c r="K159" t="n">
        <v>1.13108015591293</v>
      </c>
      <c r="L159" t="n">
        <v>0.726679309784578</v>
      </c>
      <c r="M159" t="n">
        <v>1</v>
      </c>
      <c r="Q159">
        <f>IF($I159="","",IFERROR(INDEX(_玩家曲线!$H$2:$H$286,MATCH($I159,_玩家曲线!$A$2:$A$286,0)),""))</f>
        <v/>
      </c>
      <c r="R159">
        <f>IF($I159="","",IFERROR(INDEX(_玩家曲线!$I$2:$I$286,MATCH($I159,_玩家曲线!$A$2:$A$286,0)),""))</f>
        <v/>
      </c>
      <c r="S159">
        <f>SUMIF(_爬塔队伍!$A$2:$A$1001,VALUE(SUBSTITUTE(SUBSTITUTE(D159,"第",""),"层","")),_爬塔队伍!$C$2:$C$1001)</f>
        <v/>
      </c>
      <c r="T159">
        <f>SUMIF(_爬塔队伍!$A$2:$A$1001,VALUE(SUBSTITUTE(SUBSTITUTE(D159,"第",""),"层","")),_爬塔队伍!$D$2:$D$1001)</f>
        <v/>
      </c>
      <c r="U159">
        <f>SUMIF(_爬塔队伍!$A$2:$A$1001,VALUE(SUBSTITUTE(SUBSTITUTE(D159,"第",""),"层","")),_爬塔队伍!$E$2:$E$1001)/COUNTIF(_爬塔队伍!$A$2:$A$1001,VALUE(SUBSTITUTE(SUBSTITUTE(D159,"第",""),"层","")))</f>
        <v/>
      </c>
      <c r="V159">
        <f>IF($U159="","",MIN(0.75,$U159/($U159+24000)))</f>
        <v/>
      </c>
      <c r="W159">
        <f>SUMIF(_爬塔队伍!$A$2:$A$1001,VALUE(SUBSTITUTE(SUBSTITUTE(D159,"第",""),"层","")),_爬塔队伍!$F$2:$F$1001)</f>
        <v/>
      </c>
      <c r="X159">
        <f>IF(OR($W159="",$Q159="",$Q159=0),"",$W159/$Q159)</f>
        <v/>
      </c>
      <c r="Y159">
        <f>IF(OR($R159="",$T159="",$T159=0),"",$R159/($T159*IF($O159="",1,$O159)))</f>
        <v/>
      </c>
      <c r="Z159">
        <f>IF(OR($X159="",$P159="",$P159=0),"",$X159/$P159)</f>
        <v/>
      </c>
      <c r="AA159">
        <f>IF($J159="","待填怪物等级",IF(OR($I159="",$Q159=""),"待填对照关卡",IF($P159="","已计算",IF(AND($Y159&lt;&gt;"",$Y159&lt;$X159),"生存不成立","已计算"))))</f>
        <v/>
      </c>
      <c r="AB159">
        <f>IF($J159="","待填",IF(AND(ISNUMBER($J159),$J159&gt;=1,$J159&lt;=500,MOD($J159,1)=0),"有效","超范围"))</f>
        <v/>
      </c>
      <c r="AC159">
        <f>IF(OR($J159="",ROW()=5,$B159&lt;&gt;$B158,$J158=""),"",IF($J159&lt;$J158,"下降",""))</f>
        <v/>
      </c>
      <c r="AD159" t="inlineStr">
        <is>
          <t>终局荣誉层：无同期对照，推荐战力封顶1,590,000（2026-09-20）</t>
        </is>
      </c>
      <c r="AE159" t="n">
        <v>1590000</v>
      </c>
      <c r="AF159">
        <f>INDEX(_统一战力!$B$2:$B$501,J159)</f>
        <v/>
      </c>
    </row>
    <row r="160">
      <c r="A160" t="inlineStr">
        <is>
          <t>当前配置</t>
        </is>
      </c>
      <c r="B160" t="inlineStr">
        <is>
          <t>爬塔</t>
        </is>
      </c>
      <c r="C160" t="inlineStr">
        <is>
          <t>现行包体5</t>
        </is>
      </c>
      <c r="D160" t="inlineStr">
        <is>
          <t>第156层</t>
        </is>
      </c>
      <c r="E160" t="n">
        <v>300456</v>
      </c>
      <c r="F160" t="inlineStr">
        <is>
          <t>普通怪</t>
        </is>
      </c>
      <c r="I160">
        <f>IF($H160="",$G160,$H160)</f>
        <v/>
      </c>
      <c r="J160" t="n">
        <v>373</v>
      </c>
      <c r="K160" t="n">
        <v>1.12582067235919</v>
      </c>
      <c r="L160" t="n">
        <v>0.729834891319568</v>
      </c>
      <c r="M160" t="n">
        <v>1</v>
      </c>
      <c r="Q160">
        <f>IF($I160="","",IFERROR(INDEX(_玩家曲线!$H$2:$H$286,MATCH($I160,_玩家曲线!$A$2:$A$286,0)),""))</f>
        <v/>
      </c>
      <c r="R160">
        <f>IF($I160="","",IFERROR(INDEX(_玩家曲线!$I$2:$I$286,MATCH($I160,_玩家曲线!$A$2:$A$286,0)),""))</f>
        <v/>
      </c>
      <c r="S160">
        <f>SUMIF(_爬塔队伍!$A$2:$A$1001,VALUE(SUBSTITUTE(SUBSTITUTE(D160,"第",""),"层","")),_爬塔队伍!$C$2:$C$1001)</f>
        <v/>
      </c>
      <c r="T160">
        <f>SUMIF(_爬塔队伍!$A$2:$A$1001,VALUE(SUBSTITUTE(SUBSTITUTE(D160,"第",""),"层","")),_爬塔队伍!$D$2:$D$1001)</f>
        <v/>
      </c>
      <c r="U160">
        <f>SUMIF(_爬塔队伍!$A$2:$A$1001,VALUE(SUBSTITUTE(SUBSTITUTE(D160,"第",""),"层","")),_爬塔队伍!$E$2:$E$1001)/COUNTIF(_爬塔队伍!$A$2:$A$1001,VALUE(SUBSTITUTE(SUBSTITUTE(D160,"第",""),"层","")))</f>
        <v/>
      </c>
      <c r="V160">
        <f>IF($U160="","",MIN(0.75,$U160/($U160+24000)))</f>
        <v/>
      </c>
      <c r="W160">
        <f>SUMIF(_爬塔队伍!$A$2:$A$1001,VALUE(SUBSTITUTE(SUBSTITUTE(D160,"第",""),"层","")),_爬塔队伍!$F$2:$F$1001)</f>
        <v/>
      </c>
      <c r="X160">
        <f>IF(OR($W160="",$Q160="",$Q160=0),"",$W160/$Q160)</f>
        <v/>
      </c>
      <c r="Y160">
        <f>IF(OR($R160="",$T160="",$T160=0),"",$R160/($T160*IF($O160="",1,$O160)))</f>
        <v/>
      </c>
      <c r="Z160">
        <f>IF(OR($X160="",$P160="",$P160=0),"",$X160/$P160)</f>
        <v/>
      </c>
      <c r="AA160">
        <f>IF($J160="","待填怪物等级",IF(OR($I160="",$Q160=""),"待填对照关卡",IF($P160="","已计算",IF(AND($Y160&lt;&gt;"",$Y160&lt;$X160),"生存不成立","已计算"))))</f>
        <v/>
      </c>
      <c r="AB160">
        <f>IF($J160="","待填",IF(AND(ISNUMBER($J160),$J160&gt;=1,$J160&lt;=500,MOD($J160,1)=0),"有效","超范围"))</f>
        <v/>
      </c>
      <c r="AC160">
        <f>IF(OR($J160="",ROW()=5,$B160&lt;&gt;$B159,$J159=""),"",IF($J160&lt;$J159,"下降",""))</f>
        <v/>
      </c>
      <c r="AD160" t="inlineStr">
        <is>
          <t>终局荣誉层：无同期对照，推荐战力封顶1,590,000（2026-09-20）</t>
        </is>
      </c>
      <c r="AE160" t="n">
        <v>1590000</v>
      </c>
      <c r="AF160">
        <f>INDEX(_统一战力!$B$2:$B$501,J160)</f>
        <v/>
      </c>
    </row>
    <row r="161">
      <c r="A161" t="inlineStr">
        <is>
          <t>当前配置</t>
        </is>
      </c>
      <c r="B161" t="inlineStr">
        <is>
          <t>爬塔</t>
        </is>
      </c>
      <c r="C161" t="inlineStr">
        <is>
          <t>现行包体5</t>
        </is>
      </c>
      <c r="D161" t="inlineStr">
        <is>
          <t>第157层</t>
        </is>
      </c>
      <c r="E161" t="n">
        <v>300457</v>
      </c>
      <c r="F161" t="inlineStr">
        <is>
          <t>普通怪</t>
        </is>
      </c>
      <c r="I161">
        <f>IF($H161="",$G161,$H161)</f>
        <v/>
      </c>
      <c r="J161" t="n">
        <v>375</v>
      </c>
      <c r="K161" t="n">
        <v>1.12582067235919</v>
      </c>
      <c r="L161" t="n">
        <v>0.729834891319568</v>
      </c>
      <c r="M161" t="n">
        <v>1</v>
      </c>
      <c r="Q161">
        <f>IF($I161="","",IFERROR(INDEX(_玩家曲线!$H$2:$H$286,MATCH($I161,_玩家曲线!$A$2:$A$286,0)),""))</f>
        <v/>
      </c>
      <c r="R161">
        <f>IF($I161="","",IFERROR(INDEX(_玩家曲线!$I$2:$I$286,MATCH($I161,_玩家曲线!$A$2:$A$286,0)),""))</f>
        <v/>
      </c>
      <c r="S161">
        <f>SUMIF(_爬塔队伍!$A$2:$A$1001,VALUE(SUBSTITUTE(SUBSTITUTE(D161,"第",""),"层","")),_爬塔队伍!$C$2:$C$1001)</f>
        <v/>
      </c>
      <c r="T161">
        <f>SUMIF(_爬塔队伍!$A$2:$A$1001,VALUE(SUBSTITUTE(SUBSTITUTE(D161,"第",""),"层","")),_爬塔队伍!$D$2:$D$1001)</f>
        <v/>
      </c>
      <c r="U161">
        <f>SUMIF(_爬塔队伍!$A$2:$A$1001,VALUE(SUBSTITUTE(SUBSTITUTE(D161,"第",""),"层","")),_爬塔队伍!$E$2:$E$1001)/COUNTIF(_爬塔队伍!$A$2:$A$1001,VALUE(SUBSTITUTE(SUBSTITUTE(D161,"第",""),"层","")))</f>
        <v/>
      </c>
      <c r="V161">
        <f>IF($U161="","",MIN(0.75,$U161/($U161+24000)))</f>
        <v/>
      </c>
      <c r="W161">
        <f>SUMIF(_爬塔队伍!$A$2:$A$1001,VALUE(SUBSTITUTE(SUBSTITUTE(D161,"第",""),"层","")),_爬塔队伍!$F$2:$F$1001)</f>
        <v/>
      </c>
      <c r="X161">
        <f>IF(OR($W161="",$Q161="",$Q161=0),"",$W161/$Q161)</f>
        <v/>
      </c>
      <c r="Y161">
        <f>IF(OR($R161="",$T161="",$T161=0),"",$R161/($T161*IF($O161="",1,$O161)))</f>
        <v/>
      </c>
      <c r="Z161">
        <f>IF(OR($X161="",$P161="",$P161=0),"",$X161/$P161)</f>
        <v/>
      </c>
      <c r="AA161">
        <f>IF($J161="","待填怪物等级",IF(OR($I161="",$Q161=""),"待填对照关卡",IF($P161="","已计算",IF(AND($Y161&lt;&gt;"",$Y161&lt;$X161),"生存不成立","已计算"))))</f>
        <v/>
      </c>
      <c r="AB161">
        <f>IF($J161="","待填",IF(AND(ISNUMBER($J161),$J161&gt;=1,$J161&lt;=500,MOD($J161,1)=0),"有效","超范围"))</f>
        <v/>
      </c>
      <c r="AC161">
        <f>IF(OR($J161="",ROW()=5,$B161&lt;&gt;$B160,$J160=""),"",IF($J161&lt;$J160,"下降",""))</f>
        <v/>
      </c>
      <c r="AD161" t="inlineStr">
        <is>
          <t>终局荣誉层：无同期对照，推荐战力封顶1,590,000（2026-09-20）</t>
        </is>
      </c>
      <c r="AE161" t="n">
        <v>1590000</v>
      </c>
      <c r="AF161">
        <f>INDEX(_统一战力!$B$2:$B$501,J161)</f>
        <v/>
      </c>
    </row>
    <row r="162">
      <c r="A162" t="inlineStr">
        <is>
          <t>当前配置</t>
        </is>
      </c>
      <c r="B162" t="inlineStr">
        <is>
          <t>爬塔</t>
        </is>
      </c>
      <c r="C162" t="inlineStr">
        <is>
          <t>现行包体5</t>
        </is>
      </c>
      <c r="D162" t="inlineStr">
        <is>
          <t>第158层</t>
        </is>
      </c>
      <c r="E162" t="n">
        <v>300458</v>
      </c>
      <c r="F162" t="inlineStr">
        <is>
          <t>普通怪</t>
        </is>
      </c>
      <c r="I162">
        <f>IF($H162="",$G162,$H162)</f>
        <v/>
      </c>
      <c r="J162" t="n">
        <v>378</v>
      </c>
      <c r="K162" t="n">
        <v>1.12582067235919</v>
      </c>
      <c r="L162" t="n">
        <v>0.729834891319568</v>
      </c>
      <c r="M162" t="n">
        <v>1</v>
      </c>
      <c r="Q162">
        <f>IF($I162="","",IFERROR(INDEX(_玩家曲线!$H$2:$H$286,MATCH($I162,_玩家曲线!$A$2:$A$286,0)),""))</f>
        <v/>
      </c>
      <c r="R162">
        <f>IF($I162="","",IFERROR(INDEX(_玩家曲线!$I$2:$I$286,MATCH($I162,_玩家曲线!$A$2:$A$286,0)),""))</f>
        <v/>
      </c>
      <c r="S162">
        <f>SUMIF(_爬塔队伍!$A$2:$A$1001,VALUE(SUBSTITUTE(SUBSTITUTE(D162,"第",""),"层","")),_爬塔队伍!$C$2:$C$1001)</f>
        <v/>
      </c>
      <c r="T162">
        <f>SUMIF(_爬塔队伍!$A$2:$A$1001,VALUE(SUBSTITUTE(SUBSTITUTE(D162,"第",""),"层","")),_爬塔队伍!$D$2:$D$1001)</f>
        <v/>
      </c>
      <c r="U162">
        <f>SUMIF(_爬塔队伍!$A$2:$A$1001,VALUE(SUBSTITUTE(SUBSTITUTE(D162,"第",""),"层","")),_爬塔队伍!$E$2:$E$1001)/COUNTIF(_爬塔队伍!$A$2:$A$1001,VALUE(SUBSTITUTE(SUBSTITUTE(D162,"第",""),"层","")))</f>
        <v/>
      </c>
      <c r="V162">
        <f>IF($U162="","",MIN(0.75,$U162/($U162+24000)))</f>
        <v/>
      </c>
      <c r="W162">
        <f>SUMIF(_爬塔队伍!$A$2:$A$1001,VALUE(SUBSTITUTE(SUBSTITUTE(D162,"第",""),"层","")),_爬塔队伍!$F$2:$F$1001)</f>
        <v/>
      </c>
      <c r="X162">
        <f>IF(OR($W162="",$Q162="",$Q162=0),"",$W162/$Q162)</f>
        <v/>
      </c>
      <c r="Y162">
        <f>IF(OR($R162="",$T162="",$T162=0),"",$R162/($T162*IF($O162="",1,$O162)))</f>
        <v/>
      </c>
      <c r="Z162">
        <f>IF(OR($X162="",$P162="",$P162=0),"",$X162/$P162)</f>
        <v/>
      </c>
      <c r="AA162">
        <f>IF($J162="","待填怪物等级",IF(OR($I162="",$Q162=""),"待填对照关卡",IF($P162="","已计算",IF(AND($Y162&lt;&gt;"",$Y162&lt;$X162),"生存不成立","已计算"))))</f>
        <v/>
      </c>
      <c r="AB162">
        <f>IF($J162="","待填",IF(AND(ISNUMBER($J162),$J162&gt;=1,$J162&lt;=500,MOD($J162,1)=0),"有效","超范围"))</f>
        <v/>
      </c>
      <c r="AC162">
        <f>IF(OR($J162="",ROW()=5,$B162&lt;&gt;$B161,$J161=""),"",IF($J162&lt;$J161,"下降",""))</f>
        <v/>
      </c>
      <c r="AD162" t="inlineStr">
        <is>
          <t>终局荣誉层：无同期对照，推荐战力封顶1,590,000（2026-09-20）</t>
        </is>
      </c>
      <c r="AE162" t="n">
        <v>1590000</v>
      </c>
      <c r="AF162">
        <f>INDEX(_统一战力!$B$2:$B$501,J162)</f>
        <v/>
      </c>
    </row>
    <row r="163">
      <c r="A163" t="inlineStr">
        <is>
          <t>当前配置</t>
        </is>
      </c>
      <c r="B163" t="inlineStr">
        <is>
          <t>爬塔</t>
        </is>
      </c>
      <c r="C163" t="inlineStr">
        <is>
          <t>现行包体5</t>
        </is>
      </c>
      <c r="D163" t="inlineStr">
        <is>
          <t>第159层</t>
        </is>
      </c>
      <c r="E163" t="n">
        <v>300459</v>
      </c>
      <c r="F163" t="inlineStr">
        <is>
          <t>普通怪</t>
        </is>
      </c>
      <c r="I163">
        <f>IF($H163="",$G163,$H163)</f>
        <v/>
      </c>
      <c r="J163" t="n">
        <v>380</v>
      </c>
      <c r="K163" t="n">
        <v>1.12582067235919</v>
      </c>
      <c r="L163" t="n">
        <v>0.729834891319568</v>
      </c>
      <c r="M163" t="n">
        <v>1</v>
      </c>
      <c r="Q163">
        <f>IF($I163="","",IFERROR(INDEX(_玩家曲线!$H$2:$H$286,MATCH($I163,_玩家曲线!$A$2:$A$286,0)),""))</f>
        <v/>
      </c>
      <c r="R163">
        <f>IF($I163="","",IFERROR(INDEX(_玩家曲线!$I$2:$I$286,MATCH($I163,_玩家曲线!$A$2:$A$286,0)),""))</f>
        <v/>
      </c>
      <c r="S163">
        <f>SUMIF(_爬塔队伍!$A$2:$A$1001,VALUE(SUBSTITUTE(SUBSTITUTE(D163,"第",""),"层","")),_爬塔队伍!$C$2:$C$1001)</f>
        <v/>
      </c>
      <c r="T163">
        <f>SUMIF(_爬塔队伍!$A$2:$A$1001,VALUE(SUBSTITUTE(SUBSTITUTE(D163,"第",""),"层","")),_爬塔队伍!$D$2:$D$1001)</f>
        <v/>
      </c>
      <c r="U163">
        <f>SUMIF(_爬塔队伍!$A$2:$A$1001,VALUE(SUBSTITUTE(SUBSTITUTE(D163,"第",""),"层","")),_爬塔队伍!$E$2:$E$1001)/COUNTIF(_爬塔队伍!$A$2:$A$1001,VALUE(SUBSTITUTE(SUBSTITUTE(D163,"第",""),"层","")))</f>
        <v/>
      </c>
      <c r="V163">
        <f>IF($U163="","",MIN(0.75,$U163/($U163+24000)))</f>
        <v/>
      </c>
      <c r="W163">
        <f>SUMIF(_爬塔队伍!$A$2:$A$1001,VALUE(SUBSTITUTE(SUBSTITUTE(D163,"第",""),"层","")),_爬塔队伍!$F$2:$F$1001)</f>
        <v/>
      </c>
      <c r="X163">
        <f>IF(OR($W163="",$Q163="",$Q163=0),"",$W163/$Q163)</f>
        <v/>
      </c>
      <c r="Y163">
        <f>IF(OR($R163="",$T163="",$T163=0),"",$R163/($T163*IF($O163="",1,$O163)))</f>
        <v/>
      </c>
      <c r="Z163">
        <f>IF(OR($X163="",$P163="",$P163=0),"",$X163/$P163)</f>
        <v/>
      </c>
      <c r="AA163">
        <f>IF($J163="","待填怪物等级",IF(OR($I163="",$Q163=""),"待填对照关卡",IF($P163="","已计算",IF(AND($Y163&lt;&gt;"",$Y163&lt;$X163),"生存不成立","已计算"))))</f>
        <v/>
      </c>
      <c r="AB163">
        <f>IF($J163="","待填",IF(AND(ISNUMBER($J163),$J163&gt;=1,$J163&lt;=500,MOD($J163,1)=0),"有效","超范围"))</f>
        <v/>
      </c>
      <c r="AC163">
        <f>IF(OR($J163="",ROW()=5,$B163&lt;&gt;$B162,$J162=""),"",IF($J163&lt;$J162,"下降",""))</f>
        <v/>
      </c>
      <c r="AD163" t="inlineStr">
        <is>
          <t>终局荣誉层：无同期对照，推荐战力封顶1,590,000（2026-09-20）</t>
        </is>
      </c>
      <c r="AE163" t="n">
        <v>1590000</v>
      </c>
      <c r="AF163">
        <f>INDEX(_统一战力!$B$2:$B$501,J163)</f>
        <v/>
      </c>
    </row>
    <row r="164">
      <c r="A164" t="inlineStr">
        <is>
          <t>当前配置</t>
        </is>
      </c>
      <c r="B164" t="inlineStr">
        <is>
          <t>爬塔</t>
        </is>
      </c>
      <c r="C164" t="inlineStr">
        <is>
          <t>现行包体5</t>
        </is>
      </c>
      <c r="D164" t="inlineStr">
        <is>
          <t>第160层</t>
        </is>
      </c>
      <c r="E164" t="n">
        <v>300460</v>
      </c>
      <c r="F164" t="inlineStr">
        <is>
          <t>Boss</t>
        </is>
      </c>
      <c r="I164">
        <f>IF($H164="",$G164,$H164)</f>
        <v/>
      </c>
      <c r="J164" t="n">
        <v>382</v>
      </c>
      <c r="K164" t="n">
        <v>1.12671592412141</v>
      </c>
      <c r="L164" t="n">
        <v>0.731229508674054</v>
      </c>
      <c r="M164" t="n">
        <v>1</v>
      </c>
      <c r="Q164">
        <f>IF($I164="","",IFERROR(INDEX(_玩家曲线!$H$2:$H$286,MATCH($I164,_玩家曲线!$A$2:$A$286,0)),""))</f>
        <v/>
      </c>
      <c r="R164">
        <f>IF($I164="","",IFERROR(INDEX(_玩家曲线!$I$2:$I$286,MATCH($I164,_玩家曲线!$A$2:$A$286,0)),""))</f>
        <v/>
      </c>
      <c r="S164">
        <f>SUMIF(_爬塔队伍!$A$2:$A$1001,VALUE(SUBSTITUTE(SUBSTITUTE(D164,"第",""),"层","")),_爬塔队伍!$C$2:$C$1001)</f>
        <v/>
      </c>
      <c r="T164">
        <f>SUMIF(_爬塔队伍!$A$2:$A$1001,VALUE(SUBSTITUTE(SUBSTITUTE(D164,"第",""),"层","")),_爬塔队伍!$D$2:$D$1001)</f>
        <v/>
      </c>
      <c r="U164">
        <f>SUMIF(_爬塔队伍!$A$2:$A$1001,VALUE(SUBSTITUTE(SUBSTITUTE(D164,"第",""),"层","")),_爬塔队伍!$E$2:$E$1001)/COUNTIF(_爬塔队伍!$A$2:$A$1001,VALUE(SUBSTITUTE(SUBSTITUTE(D164,"第",""),"层","")))</f>
        <v/>
      </c>
      <c r="V164">
        <f>IF($U164="","",MIN(0.75,$U164/($U164+24000)))</f>
        <v/>
      </c>
      <c r="W164">
        <f>SUMIF(_爬塔队伍!$A$2:$A$1001,VALUE(SUBSTITUTE(SUBSTITUTE(D164,"第",""),"层","")),_爬塔队伍!$F$2:$F$1001)</f>
        <v/>
      </c>
      <c r="X164">
        <f>IF(OR($W164="",$Q164="",$Q164=0),"",$W164/$Q164)</f>
        <v/>
      </c>
      <c r="Y164">
        <f>IF(OR($R164="",$T164="",$T164=0),"",$R164/($T164*IF($O164="",1,$O164)))</f>
        <v/>
      </c>
      <c r="Z164">
        <f>IF(OR($X164="",$P164="",$P164=0),"",$X164/$P164)</f>
        <v/>
      </c>
      <c r="AA164">
        <f>IF($J164="","待填怪物等级",IF(OR($I164="",$Q164=""),"待填对照关卡",IF($P164="","已计算",IF(AND($Y164&lt;&gt;"",$Y164&lt;$X164),"生存不成立","已计算"))))</f>
        <v/>
      </c>
      <c r="AB164">
        <f>IF($J164="","待填",IF(AND(ISNUMBER($J164),$J164&gt;=1,$J164&lt;=500,MOD($J164,1)=0),"有效","超范围"))</f>
        <v/>
      </c>
      <c r="AC164">
        <f>IF(OR($J164="",ROW()=5,$B164&lt;&gt;$B163,$J163=""),"",IF($J164&lt;$J163,"下降",""))</f>
        <v/>
      </c>
      <c r="AD164" t="inlineStr">
        <is>
          <t>终局荣誉层：无同期对照，推荐战力封顶1,590,000（2026-09-20）</t>
        </is>
      </c>
      <c r="AE164" t="n">
        <v>1590000</v>
      </c>
      <c r="AF164">
        <f>INDEX(_统一战力!$B$2:$B$501,J164)</f>
        <v/>
      </c>
    </row>
    <row r="165">
      <c r="A165" t="inlineStr">
        <is>
          <t>当前配置</t>
        </is>
      </c>
      <c r="B165" t="inlineStr">
        <is>
          <t>爬塔</t>
        </is>
      </c>
      <c r="C165" t="inlineStr">
        <is>
          <t>现行包体5</t>
        </is>
      </c>
      <c r="D165" t="inlineStr">
        <is>
          <t>第161层</t>
        </is>
      </c>
      <c r="E165" t="n">
        <v>300461</v>
      </c>
      <c r="F165" t="inlineStr">
        <is>
          <t>普通怪</t>
        </is>
      </c>
      <c r="I165">
        <f>IF($H165="",$G165,$H165)</f>
        <v/>
      </c>
      <c r="J165" t="n">
        <v>384</v>
      </c>
      <c r="K165" t="n">
        <v>1.12582067235919</v>
      </c>
      <c r="L165" t="n">
        <v>0.729834891319568</v>
      </c>
      <c r="M165" t="n">
        <v>1</v>
      </c>
      <c r="Q165">
        <f>IF($I165="","",IFERROR(INDEX(_玩家曲线!$H$2:$H$286,MATCH($I165,_玩家曲线!$A$2:$A$286,0)),""))</f>
        <v/>
      </c>
      <c r="R165">
        <f>IF($I165="","",IFERROR(INDEX(_玩家曲线!$I$2:$I$286,MATCH($I165,_玩家曲线!$A$2:$A$286,0)),""))</f>
        <v/>
      </c>
      <c r="S165">
        <f>SUMIF(_爬塔队伍!$A$2:$A$1001,VALUE(SUBSTITUTE(SUBSTITUTE(D165,"第",""),"层","")),_爬塔队伍!$C$2:$C$1001)</f>
        <v/>
      </c>
      <c r="T165">
        <f>SUMIF(_爬塔队伍!$A$2:$A$1001,VALUE(SUBSTITUTE(SUBSTITUTE(D165,"第",""),"层","")),_爬塔队伍!$D$2:$D$1001)</f>
        <v/>
      </c>
      <c r="U165">
        <f>SUMIF(_爬塔队伍!$A$2:$A$1001,VALUE(SUBSTITUTE(SUBSTITUTE(D165,"第",""),"层","")),_爬塔队伍!$E$2:$E$1001)/COUNTIF(_爬塔队伍!$A$2:$A$1001,VALUE(SUBSTITUTE(SUBSTITUTE(D165,"第",""),"层","")))</f>
        <v/>
      </c>
      <c r="V165">
        <f>IF($U165="","",MIN(0.75,$U165/($U165+24000)))</f>
        <v/>
      </c>
      <c r="W165">
        <f>SUMIF(_爬塔队伍!$A$2:$A$1001,VALUE(SUBSTITUTE(SUBSTITUTE(D165,"第",""),"层","")),_爬塔队伍!$F$2:$F$1001)</f>
        <v/>
      </c>
      <c r="X165">
        <f>IF(OR($W165="",$Q165="",$Q165=0),"",$W165/$Q165)</f>
        <v/>
      </c>
      <c r="Y165">
        <f>IF(OR($R165="",$T165="",$T165=0),"",$R165/($T165*IF($O165="",1,$O165)))</f>
        <v/>
      </c>
      <c r="Z165">
        <f>IF(OR($X165="",$P165="",$P165=0),"",$X165/$P165)</f>
        <v/>
      </c>
      <c r="AA165">
        <f>IF($J165="","待填怪物等级",IF(OR($I165="",$Q165=""),"待填对照关卡",IF($P165="","已计算",IF(AND($Y165&lt;&gt;"",$Y165&lt;$X165),"生存不成立","已计算"))))</f>
        <v/>
      </c>
      <c r="AB165">
        <f>IF($J165="","待填",IF(AND(ISNUMBER($J165),$J165&gt;=1,$J165&lt;=500,MOD($J165,1)=0),"有效","超范围"))</f>
        <v/>
      </c>
      <c r="AC165">
        <f>IF(OR($J165="",ROW()=5,$B165&lt;&gt;$B164,$J164=""),"",IF($J165&lt;$J164,"下降",""))</f>
        <v/>
      </c>
      <c r="AD165" t="inlineStr">
        <is>
          <t>终局荣誉层：无同期对照，推荐战力封顶1,590,000（2026-09-20）</t>
        </is>
      </c>
      <c r="AE165" t="n">
        <v>1590000</v>
      </c>
      <c r="AF165">
        <f>INDEX(_统一战力!$B$2:$B$501,J165)</f>
        <v/>
      </c>
    </row>
    <row r="166">
      <c r="A166" t="inlineStr">
        <is>
          <t>当前配置</t>
        </is>
      </c>
      <c r="B166" t="inlineStr">
        <is>
          <t>爬塔</t>
        </is>
      </c>
      <c r="C166" t="inlineStr">
        <is>
          <t>现行包体5</t>
        </is>
      </c>
      <c r="D166" t="inlineStr">
        <is>
          <t>第162层</t>
        </is>
      </c>
      <c r="E166" t="n">
        <v>300462</v>
      </c>
      <c r="F166" t="inlineStr">
        <is>
          <t>普通怪</t>
        </is>
      </c>
      <c r="I166">
        <f>IF($H166="",$G166,$H166)</f>
        <v/>
      </c>
      <c r="J166" t="n">
        <v>387</v>
      </c>
      <c r="K166" t="n">
        <v>1.12582067235919</v>
      </c>
      <c r="L166" t="n">
        <v>0.729834891319568</v>
      </c>
      <c r="M166" t="n">
        <v>1</v>
      </c>
      <c r="Q166">
        <f>IF($I166="","",IFERROR(INDEX(_玩家曲线!$H$2:$H$286,MATCH($I166,_玩家曲线!$A$2:$A$286,0)),""))</f>
        <v/>
      </c>
      <c r="R166">
        <f>IF($I166="","",IFERROR(INDEX(_玩家曲线!$I$2:$I$286,MATCH($I166,_玩家曲线!$A$2:$A$286,0)),""))</f>
        <v/>
      </c>
      <c r="S166">
        <f>SUMIF(_爬塔队伍!$A$2:$A$1001,VALUE(SUBSTITUTE(SUBSTITUTE(D166,"第",""),"层","")),_爬塔队伍!$C$2:$C$1001)</f>
        <v/>
      </c>
      <c r="T166">
        <f>SUMIF(_爬塔队伍!$A$2:$A$1001,VALUE(SUBSTITUTE(SUBSTITUTE(D166,"第",""),"层","")),_爬塔队伍!$D$2:$D$1001)</f>
        <v/>
      </c>
      <c r="U166">
        <f>SUMIF(_爬塔队伍!$A$2:$A$1001,VALUE(SUBSTITUTE(SUBSTITUTE(D166,"第",""),"层","")),_爬塔队伍!$E$2:$E$1001)/COUNTIF(_爬塔队伍!$A$2:$A$1001,VALUE(SUBSTITUTE(SUBSTITUTE(D166,"第",""),"层","")))</f>
        <v/>
      </c>
      <c r="V166">
        <f>IF($U166="","",MIN(0.75,$U166/($U166+24000)))</f>
        <v/>
      </c>
      <c r="W166">
        <f>SUMIF(_爬塔队伍!$A$2:$A$1001,VALUE(SUBSTITUTE(SUBSTITUTE(D166,"第",""),"层","")),_爬塔队伍!$F$2:$F$1001)</f>
        <v/>
      </c>
      <c r="X166">
        <f>IF(OR($W166="",$Q166="",$Q166=0),"",$W166/$Q166)</f>
        <v/>
      </c>
      <c r="Y166">
        <f>IF(OR($R166="",$T166="",$T166=0),"",$R166/($T166*IF($O166="",1,$O166)))</f>
        <v/>
      </c>
      <c r="Z166">
        <f>IF(OR($X166="",$P166="",$P166=0),"",$X166/$P166)</f>
        <v/>
      </c>
      <c r="AA166">
        <f>IF($J166="","待填怪物等级",IF(OR($I166="",$Q166=""),"待填对照关卡",IF($P166="","已计算",IF(AND($Y166&lt;&gt;"",$Y166&lt;$X166),"生存不成立","已计算"))))</f>
        <v/>
      </c>
      <c r="AB166">
        <f>IF($J166="","待填",IF(AND(ISNUMBER($J166),$J166&gt;=1,$J166&lt;=500,MOD($J166,1)=0),"有效","超范围"))</f>
        <v/>
      </c>
      <c r="AC166">
        <f>IF(OR($J166="",ROW()=5,$B166&lt;&gt;$B165,$J165=""),"",IF($J166&lt;$J165,"下降",""))</f>
        <v/>
      </c>
      <c r="AD166" t="inlineStr">
        <is>
          <t>终局荣誉层：无同期对照，推荐战力封顶1,590,000（2026-09-20）</t>
        </is>
      </c>
      <c r="AE166" t="n">
        <v>1590000</v>
      </c>
      <c r="AF166">
        <f>INDEX(_统一战力!$B$2:$B$501,J166)</f>
        <v/>
      </c>
    </row>
    <row r="167">
      <c r="A167" t="inlineStr">
        <is>
          <t>当前配置</t>
        </is>
      </c>
      <c r="B167" t="inlineStr">
        <is>
          <t>爬塔</t>
        </is>
      </c>
      <c r="C167" t="inlineStr">
        <is>
          <t>现行包体5</t>
        </is>
      </c>
      <c r="D167" t="inlineStr">
        <is>
          <t>第163层</t>
        </is>
      </c>
      <c r="E167" t="n">
        <v>300463</v>
      </c>
      <c r="F167" t="inlineStr">
        <is>
          <t>普通怪</t>
        </is>
      </c>
      <c r="I167">
        <f>IF($H167="",$G167,$H167)</f>
        <v/>
      </c>
      <c r="J167" t="n">
        <v>389</v>
      </c>
      <c r="K167" t="n">
        <v>1.12582067235919</v>
      </c>
      <c r="L167" t="n">
        <v>0.729834891319568</v>
      </c>
      <c r="M167" t="n">
        <v>1</v>
      </c>
      <c r="Q167">
        <f>IF($I167="","",IFERROR(INDEX(_玩家曲线!$H$2:$H$286,MATCH($I167,_玩家曲线!$A$2:$A$286,0)),""))</f>
        <v/>
      </c>
      <c r="R167">
        <f>IF($I167="","",IFERROR(INDEX(_玩家曲线!$I$2:$I$286,MATCH($I167,_玩家曲线!$A$2:$A$286,0)),""))</f>
        <v/>
      </c>
      <c r="S167">
        <f>SUMIF(_爬塔队伍!$A$2:$A$1001,VALUE(SUBSTITUTE(SUBSTITUTE(D167,"第",""),"层","")),_爬塔队伍!$C$2:$C$1001)</f>
        <v/>
      </c>
      <c r="T167">
        <f>SUMIF(_爬塔队伍!$A$2:$A$1001,VALUE(SUBSTITUTE(SUBSTITUTE(D167,"第",""),"层","")),_爬塔队伍!$D$2:$D$1001)</f>
        <v/>
      </c>
      <c r="U167">
        <f>SUMIF(_爬塔队伍!$A$2:$A$1001,VALUE(SUBSTITUTE(SUBSTITUTE(D167,"第",""),"层","")),_爬塔队伍!$E$2:$E$1001)/COUNTIF(_爬塔队伍!$A$2:$A$1001,VALUE(SUBSTITUTE(SUBSTITUTE(D167,"第",""),"层","")))</f>
        <v/>
      </c>
      <c r="V167">
        <f>IF($U167="","",MIN(0.75,$U167/($U167+24000)))</f>
        <v/>
      </c>
      <c r="W167">
        <f>SUMIF(_爬塔队伍!$A$2:$A$1001,VALUE(SUBSTITUTE(SUBSTITUTE(D167,"第",""),"层","")),_爬塔队伍!$F$2:$F$1001)</f>
        <v/>
      </c>
      <c r="X167">
        <f>IF(OR($W167="",$Q167="",$Q167=0),"",$W167/$Q167)</f>
        <v/>
      </c>
      <c r="Y167">
        <f>IF(OR($R167="",$T167="",$T167=0),"",$R167/($T167*IF($O167="",1,$O167)))</f>
        <v/>
      </c>
      <c r="Z167">
        <f>IF(OR($X167="",$P167="",$P167=0),"",$X167/$P167)</f>
        <v/>
      </c>
      <c r="AA167">
        <f>IF($J167="","待填怪物等级",IF(OR($I167="",$Q167=""),"待填对照关卡",IF($P167="","已计算",IF(AND($Y167&lt;&gt;"",$Y167&lt;$X167),"生存不成立","已计算"))))</f>
        <v/>
      </c>
      <c r="AB167">
        <f>IF($J167="","待填",IF(AND(ISNUMBER($J167),$J167&gt;=1,$J167&lt;=500,MOD($J167,1)=0),"有效","超范围"))</f>
        <v/>
      </c>
      <c r="AC167">
        <f>IF(OR($J167="",ROW()=5,$B167&lt;&gt;$B166,$J166=""),"",IF($J167&lt;$J166,"下降",""))</f>
        <v/>
      </c>
      <c r="AD167" t="inlineStr">
        <is>
          <t>终局荣誉层：无同期对照，推荐战力封顶1,590,000（2026-09-20）</t>
        </is>
      </c>
      <c r="AE167" t="n">
        <v>1590000</v>
      </c>
      <c r="AF167">
        <f>INDEX(_统一战力!$B$2:$B$501,J167)</f>
        <v/>
      </c>
    </row>
    <row r="168">
      <c r="A168" t="inlineStr">
        <is>
          <t>当前配置</t>
        </is>
      </c>
      <c r="B168" t="inlineStr">
        <is>
          <t>爬塔</t>
        </is>
      </c>
      <c r="C168" t="inlineStr">
        <is>
          <t>现行包体5</t>
        </is>
      </c>
      <c r="D168" t="inlineStr">
        <is>
          <t>第164层</t>
        </is>
      </c>
      <c r="E168" t="n">
        <v>300464</v>
      </c>
      <c r="F168" t="inlineStr">
        <is>
          <t>普通怪</t>
        </is>
      </c>
      <c r="I168">
        <f>IF($H168="",$G168,$H168)</f>
        <v/>
      </c>
      <c r="J168" t="n">
        <v>392</v>
      </c>
      <c r="K168" t="n">
        <v>1.12582067235919</v>
      </c>
      <c r="L168" t="n">
        <v>0.729834891319568</v>
      </c>
      <c r="M168" t="n">
        <v>1</v>
      </c>
      <c r="Q168">
        <f>IF($I168="","",IFERROR(INDEX(_玩家曲线!$H$2:$H$286,MATCH($I168,_玩家曲线!$A$2:$A$286,0)),""))</f>
        <v/>
      </c>
      <c r="R168">
        <f>IF($I168="","",IFERROR(INDEX(_玩家曲线!$I$2:$I$286,MATCH($I168,_玩家曲线!$A$2:$A$286,0)),""))</f>
        <v/>
      </c>
      <c r="S168">
        <f>SUMIF(_爬塔队伍!$A$2:$A$1001,VALUE(SUBSTITUTE(SUBSTITUTE(D168,"第",""),"层","")),_爬塔队伍!$C$2:$C$1001)</f>
        <v/>
      </c>
      <c r="T168">
        <f>SUMIF(_爬塔队伍!$A$2:$A$1001,VALUE(SUBSTITUTE(SUBSTITUTE(D168,"第",""),"层","")),_爬塔队伍!$D$2:$D$1001)</f>
        <v/>
      </c>
      <c r="U168">
        <f>SUMIF(_爬塔队伍!$A$2:$A$1001,VALUE(SUBSTITUTE(SUBSTITUTE(D168,"第",""),"层","")),_爬塔队伍!$E$2:$E$1001)/COUNTIF(_爬塔队伍!$A$2:$A$1001,VALUE(SUBSTITUTE(SUBSTITUTE(D168,"第",""),"层","")))</f>
        <v/>
      </c>
      <c r="V168">
        <f>IF($U168="","",MIN(0.75,$U168/($U168+24000)))</f>
        <v/>
      </c>
      <c r="W168">
        <f>SUMIF(_爬塔队伍!$A$2:$A$1001,VALUE(SUBSTITUTE(SUBSTITUTE(D168,"第",""),"层","")),_爬塔队伍!$F$2:$F$1001)</f>
        <v/>
      </c>
      <c r="X168">
        <f>IF(OR($W168="",$Q168="",$Q168=0),"",$W168/$Q168)</f>
        <v/>
      </c>
      <c r="Y168">
        <f>IF(OR($R168="",$T168="",$T168=0),"",$R168/($T168*IF($O168="",1,$O168)))</f>
        <v/>
      </c>
      <c r="Z168">
        <f>IF(OR($X168="",$P168="",$P168=0),"",$X168/$P168)</f>
        <v/>
      </c>
      <c r="AA168">
        <f>IF($J168="","待填怪物等级",IF(OR($I168="",$Q168=""),"待填对照关卡",IF($P168="","已计算",IF(AND($Y168&lt;&gt;"",$Y168&lt;$X168),"生存不成立","已计算"))))</f>
        <v/>
      </c>
      <c r="AB168">
        <f>IF($J168="","待填",IF(AND(ISNUMBER($J168),$J168&gt;=1,$J168&lt;=500,MOD($J168,1)=0),"有效","超范围"))</f>
        <v/>
      </c>
      <c r="AC168">
        <f>IF(OR($J168="",ROW()=5,$B168&lt;&gt;$B167,$J167=""),"",IF($J168&lt;$J167,"下降",""))</f>
        <v/>
      </c>
      <c r="AD168" t="inlineStr">
        <is>
          <t>终局荣誉层：无同期对照，推荐战力封顶1,590,000（2026-09-20）</t>
        </is>
      </c>
      <c r="AE168" t="n">
        <v>1590000</v>
      </c>
      <c r="AF168">
        <f>INDEX(_统一战力!$B$2:$B$501,J168)</f>
        <v/>
      </c>
    </row>
    <row r="169">
      <c r="A169" t="inlineStr">
        <is>
          <t>当前配置</t>
        </is>
      </c>
      <c r="B169" t="inlineStr">
        <is>
          <t>爬塔</t>
        </is>
      </c>
      <c r="C169" t="inlineStr">
        <is>
          <t>现行包体5</t>
        </is>
      </c>
      <c r="D169" t="inlineStr">
        <is>
          <t>第165层</t>
        </is>
      </c>
      <c r="E169" t="n">
        <v>300465</v>
      </c>
      <c r="F169" t="inlineStr">
        <is>
          <t>精英怪</t>
        </is>
      </c>
      <c r="I169">
        <f>IF($H169="",$G169,$H169)</f>
        <v/>
      </c>
      <c r="J169" t="n">
        <v>394</v>
      </c>
      <c r="K169" t="n">
        <v>1.13108015591293</v>
      </c>
      <c r="L169" t="n">
        <v>0.726679309784578</v>
      </c>
      <c r="M169" t="n">
        <v>1</v>
      </c>
      <c r="Q169">
        <f>IF($I169="","",IFERROR(INDEX(_玩家曲线!$H$2:$H$286,MATCH($I169,_玩家曲线!$A$2:$A$286,0)),""))</f>
        <v/>
      </c>
      <c r="R169">
        <f>IF($I169="","",IFERROR(INDEX(_玩家曲线!$I$2:$I$286,MATCH($I169,_玩家曲线!$A$2:$A$286,0)),""))</f>
        <v/>
      </c>
      <c r="S169">
        <f>SUMIF(_爬塔队伍!$A$2:$A$1001,VALUE(SUBSTITUTE(SUBSTITUTE(D169,"第",""),"层","")),_爬塔队伍!$C$2:$C$1001)</f>
        <v/>
      </c>
      <c r="T169">
        <f>SUMIF(_爬塔队伍!$A$2:$A$1001,VALUE(SUBSTITUTE(SUBSTITUTE(D169,"第",""),"层","")),_爬塔队伍!$D$2:$D$1001)</f>
        <v/>
      </c>
      <c r="U169">
        <f>SUMIF(_爬塔队伍!$A$2:$A$1001,VALUE(SUBSTITUTE(SUBSTITUTE(D169,"第",""),"层","")),_爬塔队伍!$E$2:$E$1001)/COUNTIF(_爬塔队伍!$A$2:$A$1001,VALUE(SUBSTITUTE(SUBSTITUTE(D169,"第",""),"层","")))</f>
        <v/>
      </c>
      <c r="V169">
        <f>IF($U169="","",MIN(0.75,$U169/($U169+24000)))</f>
        <v/>
      </c>
      <c r="W169">
        <f>SUMIF(_爬塔队伍!$A$2:$A$1001,VALUE(SUBSTITUTE(SUBSTITUTE(D169,"第",""),"层","")),_爬塔队伍!$F$2:$F$1001)</f>
        <v/>
      </c>
      <c r="X169">
        <f>IF(OR($W169="",$Q169="",$Q169=0),"",$W169/$Q169)</f>
        <v/>
      </c>
      <c r="Y169">
        <f>IF(OR($R169="",$T169="",$T169=0),"",$R169/($T169*IF($O169="",1,$O169)))</f>
        <v/>
      </c>
      <c r="Z169">
        <f>IF(OR($X169="",$P169="",$P169=0),"",$X169/$P169)</f>
        <v/>
      </c>
      <c r="AA169">
        <f>IF($J169="","待填怪物等级",IF(OR($I169="",$Q169=""),"待填对照关卡",IF($P169="","已计算",IF(AND($Y169&lt;&gt;"",$Y169&lt;$X169),"生存不成立","已计算"))))</f>
        <v/>
      </c>
      <c r="AB169">
        <f>IF($J169="","待填",IF(AND(ISNUMBER($J169),$J169&gt;=1,$J169&lt;=500,MOD($J169,1)=0),"有效","超范围"))</f>
        <v/>
      </c>
      <c r="AC169">
        <f>IF(OR($J169="",ROW()=5,$B169&lt;&gt;$B168,$J168=""),"",IF($J169&lt;$J168,"下降",""))</f>
        <v/>
      </c>
      <c r="AD169" t="inlineStr">
        <is>
          <t>终局荣誉层：无同期对照，推荐战力封顶1,590,000（2026-09-20）</t>
        </is>
      </c>
      <c r="AE169" t="n">
        <v>1590000</v>
      </c>
      <c r="AF169">
        <f>INDEX(_统一战力!$B$2:$B$501,J169)</f>
        <v/>
      </c>
    </row>
    <row r="170">
      <c r="A170" t="inlineStr">
        <is>
          <t>当前配置</t>
        </is>
      </c>
      <c r="B170" t="inlineStr">
        <is>
          <t>爬塔</t>
        </is>
      </c>
      <c r="C170" t="inlineStr">
        <is>
          <t>现行包体5</t>
        </is>
      </c>
      <c r="D170" t="inlineStr">
        <is>
          <t>第166层</t>
        </is>
      </c>
      <c r="E170" t="n">
        <v>300466</v>
      </c>
      <c r="F170" t="inlineStr">
        <is>
          <t>普通怪</t>
        </is>
      </c>
      <c r="I170">
        <f>IF($H170="",$G170,$H170)</f>
        <v/>
      </c>
      <c r="J170" t="n">
        <v>396</v>
      </c>
      <c r="K170" t="n">
        <v>1.12582067235919</v>
      </c>
      <c r="L170" t="n">
        <v>0.729834891319568</v>
      </c>
      <c r="M170" t="n">
        <v>1</v>
      </c>
      <c r="Q170">
        <f>IF($I170="","",IFERROR(INDEX(_玩家曲线!$H$2:$H$286,MATCH($I170,_玩家曲线!$A$2:$A$286,0)),""))</f>
        <v/>
      </c>
      <c r="R170">
        <f>IF($I170="","",IFERROR(INDEX(_玩家曲线!$I$2:$I$286,MATCH($I170,_玩家曲线!$A$2:$A$286,0)),""))</f>
        <v/>
      </c>
      <c r="S170">
        <f>SUMIF(_爬塔队伍!$A$2:$A$1001,VALUE(SUBSTITUTE(SUBSTITUTE(D170,"第",""),"层","")),_爬塔队伍!$C$2:$C$1001)</f>
        <v/>
      </c>
      <c r="T170">
        <f>SUMIF(_爬塔队伍!$A$2:$A$1001,VALUE(SUBSTITUTE(SUBSTITUTE(D170,"第",""),"层","")),_爬塔队伍!$D$2:$D$1001)</f>
        <v/>
      </c>
      <c r="U170">
        <f>SUMIF(_爬塔队伍!$A$2:$A$1001,VALUE(SUBSTITUTE(SUBSTITUTE(D170,"第",""),"层","")),_爬塔队伍!$E$2:$E$1001)/COUNTIF(_爬塔队伍!$A$2:$A$1001,VALUE(SUBSTITUTE(SUBSTITUTE(D170,"第",""),"层","")))</f>
        <v/>
      </c>
      <c r="V170">
        <f>IF($U170="","",MIN(0.75,$U170/($U170+24000)))</f>
        <v/>
      </c>
      <c r="W170">
        <f>SUMIF(_爬塔队伍!$A$2:$A$1001,VALUE(SUBSTITUTE(SUBSTITUTE(D170,"第",""),"层","")),_爬塔队伍!$F$2:$F$1001)</f>
        <v/>
      </c>
      <c r="X170">
        <f>IF(OR($W170="",$Q170="",$Q170=0),"",$W170/$Q170)</f>
        <v/>
      </c>
      <c r="Y170">
        <f>IF(OR($R170="",$T170="",$T170=0),"",$R170/($T170*IF($O170="",1,$O170)))</f>
        <v/>
      </c>
      <c r="Z170">
        <f>IF(OR($X170="",$P170="",$P170=0),"",$X170/$P170)</f>
        <v/>
      </c>
      <c r="AA170">
        <f>IF($J170="","待填怪物等级",IF(OR($I170="",$Q170=""),"待填对照关卡",IF($P170="","已计算",IF(AND($Y170&lt;&gt;"",$Y170&lt;$X170),"生存不成立","已计算"))))</f>
        <v/>
      </c>
      <c r="AB170">
        <f>IF($J170="","待填",IF(AND(ISNUMBER($J170),$J170&gt;=1,$J170&lt;=500,MOD($J170,1)=0),"有效","超范围"))</f>
        <v/>
      </c>
      <c r="AC170">
        <f>IF(OR($J170="",ROW()=5,$B170&lt;&gt;$B169,$J169=""),"",IF($J170&lt;$J169,"下降",""))</f>
        <v/>
      </c>
      <c r="AD170" t="inlineStr">
        <is>
          <t>终局荣誉层：无同期对照，推荐战力封顶1,590,000（2026-09-20）</t>
        </is>
      </c>
      <c r="AE170" t="n">
        <v>1590000</v>
      </c>
      <c r="AF170">
        <f>INDEX(_统一战力!$B$2:$B$501,J170)</f>
        <v/>
      </c>
    </row>
    <row r="171">
      <c r="A171" t="inlineStr">
        <is>
          <t>当前配置</t>
        </is>
      </c>
      <c r="B171" t="inlineStr">
        <is>
          <t>爬塔</t>
        </is>
      </c>
      <c r="C171" t="inlineStr">
        <is>
          <t>现行包体5</t>
        </is>
      </c>
      <c r="D171" t="inlineStr">
        <is>
          <t>第167层</t>
        </is>
      </c>
      <c r="E171" t="n">
        <v>300467</v>
      </c>
      <c r="F171" t="inlineStr">
        <is>
          <t>普通怪</t>
        </is>
      </c>
      <c r="I171">
        <f>IF($H171="",$G171,$H171)</f>
        <v/>
      </c>
      <c r="J171" t="n">
        <v>399</v>
      </c>
      <c r="K171" t="n">
        <v>1.12582067235919</v>
      </c>
      <c r="L171" t="n">
        <v>0.729834891319568</v>
      </c>
      <c r="M171" t="n">
        <v>1</v>
      </c>
      <c r="Q171">
        <f>IF($I171="","",IFERROR(INDEX(_玩家曲线!$H$2:$H$286,MATCH($I171,_玩家曲线!$A$2:$A$286,0)),""))</f>
        <v/>
      </c>
      <c r="R171">
        <f>IF($I171="","",IFERROR(INDEX(_玩家曲线!$I$2:$I$286,MATCH($I171,_玩家曲线!$A$2:$A$286,0)),""))</f>
        <v/>
      </c>
      <c r="S171">
        <f>SUMIF(_爬塔队伍!$A$2:$A$1001,VALUE(SUBSTITUTE(SUBSTITUTE(D171,"第",""),"层","")),_爬塔队伍!$C$2:$C$1001)</f>
        <v/>
      </c>
      <c r="T171">
        <f>SUMIF(_爬塔队伍!$A$2:$A$1001,VALUE(SUBSTITUTE(SUBSTITUTE(D171,"第",""),"层","")),_爬塔队伍!$D$2:$D$1001)</f>
        <v/>
      </c>
      <c r="U171">
        <f>SUMIF(_爬塔队伍!$A$2:$A$1001,VALUE(SUBSTITUTE(SUBSTITUTE(D171,"第",""),"层","")),_爬塔队伍!$E$2:$E$1001)/COUNTIF(_爬塔队伍!$A$2:$A$1001,VALUE(SUBSTITUTE(SUBSTITUTE(D171,"第",""),"层","")))</f>
        <v/>
      </c>
      <c r="V171">
        <f>IF($U171="","",MIN(0.75,$U171/($U171+24000)))</f>
        <v/>
      </c>
      <c r="W171">
        <f>SUMIF(_爬塔队伍!$A$2:$A$1001,VALUE(SUBSTITUTE(SUBSTITUTE(D171,"第",""),"层","")),_爬塔队伍!$F$2:$F$1001)</f>
        <v/>
      </c>
      <c r="X171">
        <f>IF(OR($W171="",$Q171="",$Q171=0),"",$W171/$Q171)</f>
        <v/>
      </c>
      <c r="Y171">
        <f>IF(OR($R171="",$T171="",$T171=0),"",$R171/($T171*IF($O171="",1,$O171)))</f>
        <v/>
      </c>
      <c r="Z171">
        <f>IF(OR($X171="",$P171="",$P171=0),"",$X171/$P171)</f>
        <v/>
      </c>
      <c r="AA171">
        <f>IF($J171="","待填怪物等级",IF(OR($I171="",$Q171=""),"待填对照关卡",IF($P171="","已计算",IF(AND($Y171&lt;&gt;"",$Y171&lt;$X171),"生存不成立","已计算"))))</f>
        <v/>
      </c>
      <c r="AB171">
        <f>IF($J171="","待填",IF(AND(ISNUMBER($J171),$J171&gt;=1,$J171&lt;=500,MOD($J171,1)=0),"有效","超范围"))</f>
        <v/>
      </c>
      <c r="AC171">
        <f>IF(OR($J171="",ROW()=5,$B171&lt;&gt;$B170,$J170=""),"",IF($J171&lt;$J170,"下降",""))</f>
        <v/>
      </c>
      <c r="AD171" t="inlineStr">
        <is>
          <t>终局荣誉层：无同期对照，推荐战力封顶1,590,000（2026-09-20）</t>
        </is>
      </c>
      <c r="AE171" t="n">
        <v>1590000</v>
      </c>
      <c r="AF171">
        <f>INDEX(_统一战力!$B$2:$B$501,J171)</f>
        <v/>
      </c>
    </row>
    <row r="172">
      <c r="A172" t="inlineStr">
        <is>
          <t>当前配置</t>
        </is>
      </c>
      <c r="B172" t="inlineStr">
        <is>
          <t>爬塔</t>
        </is>
      </c>
      <c r="C172" t="inlineStr">
        <is>
          <t>现行包体5</t>
        </is>
      </c>
      <c r="D172" t="inlineStr">
        <is>
          <t>第168层</t>
        </is>
      </c>
      <c r="E172" t="n">
        <v>300468</v>
      </c>
      <c r="F172" t="inlineStr">
        <is>
          <t>普通怪</t>
        </is>
      </c>
      <c r="I172">
        <f>IF($H172="",$G172,$H172)</f>
        <v/>
      </c>
      <c r="J172" t="n">
        <v>401</v>
      </c>
      <c r="K172" t="n">
        <v>1.12582067235919</v>
      </c>
      <c r="L172" t="n">
        <v>0.729834891319568</v>
      </c>
      <c r="M172" t="n">
        <v>1</v>
      </c>
      <c r="Q172">
        <f>IF($I172="","",IFERROR(INDEX(_玩家曲线!$H$2:$H$286,MATCH($I172,_玩家曲线!$A$2:$A$286,0)),""))</f>
        <v/>
      </c>
      <c r="R172">
        <f>IF($I172="","",IFERROR(INDEX(_玩家曲线!$I$2:$I$286,MATCH($I172,_玩家曲线!$A$2:$A$286,0)),""))</f>
        <v/>
      </c>
      <c r="S172">
        <f>SUMIF(_爬塔队伍!$A$2:$A$1001,VALUE(SUBSTITUTE(SUBSTITUTE(D172,"第",""),"层","")),_爬塔队伍!$C$2:$C$1001)</f>
        <v/>
      </c>
      <c r="T172">
        <f>SUMIF(_爬塔队伍!$A$2:$A$1001,VALUE(SUBSTITUTE(SUBSTITUTE(D172,"第",""),"层","")),_爬塔队伍!$D$2:$D$1001)</f>
        <v/>
      </c>
      <c r="U172">
        <f>SUMIF(_爬塔队伍!$A$2:$A$1001,VALUE(SUBSTITUTE(SUBSTITUTE(D172,"第",""),"层","")),_爬塔队伍!$E$2:$E$1001)/COUNTIF(_爬塔队伍!$A$2:$A$1001,VALUE(SUBSTITUTE(SUBSTITUTE(D172,"第",""),"层","")))</f>
        <v/>
      </c>
      <c r="V172">
        <f>IF($U172="","",MIN(0.75,$U172/($U172+24000)))</f>
        <v/>
      </c>
      <c r="W172">
        <f>SUMIF(_爬塔队伍!$A$2:$A$1001,VALUE(SUBSTITUTE(SUBSTITUTE(D172,"第",""),"层","")),_爬塔队伍!$F$2:$F$1001)</f>
        <v/>
      </c>
      <c r="X172">
        <f>IF(OR($W172="",$Q172="",$Q172=0),"",$W172/$Q172)</f>
        <v/>
      </c>
      <c r="Y172">
        <f>IF(OR($R172="",$T172="",$T172=0),"",$R172/($T172*IF($O172="",1,$O172)))</f>
        <v/>
      </c>
      <c r="Z172">
        <f>IF(OR($X172="",$P172="",$P172=0),"",$X172/$P172)</f>
        <v/>
      </c>
      <c r="AA172">
        <f>IF($J172="","待填怪物等级",IF(OR($I172="",$Q172=""),"待填对照关卡",IF($P172="","已计算",IF(AND($Y172&lt;&gt;"",$Y172&lt;$X172),"生存不成立","已计算"))))</f>
        <v/>
      </c>
      <c r="AB172">
        <f>IF($J172="","待填",IF(AND(ISNUMBER($J172),$J172&gt;=1,$J172&lt;=500,MOD($J172,1)=0),"有效","超范围"))</f>
        <v/>
      </c>
      <c r="AC172">
        <f>IF(OR($J172="",ROW()=5,$B172&lt;&gt;$B171,$J171=""),"",IF($J172&lt;$J171,"下降",""))</f>
        <v/>
      </c>
      <c r="AD172" t="inlineStr">
        <is>
          <t>终局荣誉层：无同期对照，推荐战力封顶1,590,000（2026-09-20）</t>
        </is>
      </c>
      <c r="AE172" t="n">
        <v>1590000</v>
      </c>
      <c r="AF172">
        <f>INDEX(_统一战力!$B$2:$B$501,J172)</f>
        <v/>
      </c>
    </row>
    <row r="173">
      <c r="A173" t="inlineStr">
        <is>
          <t>当前配置</t>
        </is>
      </c>
      <c r="B173" t="inlineStr">
        <is>
          <t>爬塔</t>
        </is>
      </c>
      <c r="C173" t="inlineStr">
        <is>
          <t>现行包体5</t>
        </is>
      </c>
      <c r="D173" t="inlineStr">
        <is>
          <t>第169层</t>
        </is>
      </c>
      <c r="E173" t="n">
        <v>300469</v>
      </c>
      <c r="F173" t="inlineStr">
        <is>
          <t>普通怪</t>
        </is>
      </c>
      <c r="I173">
        <f>IF($H173="",$G173,$H173)</f>
        <v/>
      </c>
      <c r="J173" t="n">
        <v>404</v>
      </c>
      <c r="K173" t="n">
        <v>1.12582067235919</v>
      </c>
      <c r="L173" t="n">
        <v>0.729834891319568</v>
      </c>
      <c r="M173" t="n">
        <v>1</v>
      </c>
      <c r="Q173">
        <f>IF($I173="","",IFERROR(INDEX(_玩家曲线!$H$2:$H$286,MATCH($I173,_玩家曲线!$A$2:$A$286,0)),""))</f>
        <v/>
      </c>
      <c r="R173">
        <f>IF($I173="","",IFERROR(INDEX(_玩家曲线!$I$2:$I$286,MATCH($I173,_玩家曲线!$A$2:$A$286,0)),""))</f>
        <v/>
      </c>
      <c r="S173">
        <f>SUMIF(_爬塔队伍!$A$2:$A$1001,VALUE(SUBSTITUTE(SUBSTITUTE(D173,"第",""),"层","")),_爬塔队伍!$C$2:$C$1001)</f>
        <v/>
      </c>
      <c r="T173">
        <f>SUMIF(_爬塔队伍!$A$2:$A$1001,VALUE(SUBSTITUTE(SUBSTITUTE(D173,"第",""),"层","")),_爬塔队伍!$D$2:$D$1001)</f>
        <v/>
      </c>
      <c r="U173">
        <f>SUMIF(_爬塔队伍!$A$2:$A$1001,VALUE(SUBSTITUTE(SUBSTITUTE(D173,"第",""),"层","")),_爬塔队伍!$E$2:$E$1001)/COUNTIF(_爬塔队伍!$A$2:$A$1001,VALUE(SUBSTITUTE(SUBSTITUTE(D173,"第",""),"层","")))</f>
        <v/>
      </c>
      <c r="V173">
        <f>IF($U173="","",MIN(0.75,$U173/($U173+24000)))</f>
        <v/>
      </c>
      <c r="W173">
        <f>SUMIF(_爬塔队伍!$A$2:$A$1001,VALUE(SUBSTITUTE(SUBSTITUTE(D173,"第",""),"层","")),_爬塔队伍!$F$2:$F$1001)</f>
        <v/>
      </c>
      <c r="X173">
        <f>IF(OR($W173="",$Q173="",$Q173=0),"",$W173/$Q173)</f>
        <v/>
      </c>
      <c r="Y173">
        <f>IF(OR($R173="",$T173="",$T173=0),"",$R173/($T173*IF($O173="",1,$O173)))</f>
        <v/>
      </c>
      <c r="Z173">
        <f>IF(OR($X173="",$P173="",$P173=0),"",$X173/$P173)</f>
        <v/>
      </c>
      <c r="AA173">
        <f>IF($J173="","待填怪物等级",IF(OR($I173="",$Q173=""),"待填对照关卡",IF($P173="","已计算",IF(AND($Y173&lt;&gt;"",$Y173&lt;$X173),"生存不成立","已计算"))))</f>
        <v/>
      </c>
      <c r="AB173">
        <f>IF($J173="","待填",IF(AND(ISNUMBER($J173),$J173&gt;=1,$J173&lt;=500,MOD($J173,1)=0),"有效","超范围"))</f>
        <v/>
      </c>
      <c r="AC173">
        <f>IF(OR($J173="",ROW()=5,$B173&lt;&gt;$B172,$J172=""),"",IF($J173&lt;$J172,"下降",""))</f>
        <v/>
      </c>
      <c r="AD173" t="inlineStr">
        <is>
          <t>终局荣誉层：无同期对照，推荐战力封顶1,590,000（2026-09-20）</t>
        </is>
      </c>
      <c r="AE173" t="n">
        <v>1590000</v>
      </c>
      <c r="AF173">
        <f>INDEX(_统一战力!$B$2:$B$501,J173)</f>
        <v/>
      </c>
    </row>
    <row r="174">
      <c r="A174" t="inlineStr">
        <is>
          <t>当前配置</t>
        </is>
      </c>
      <c r="B174" t="inlineStr">
        <is>
          <t>爬塔</t>
        </is>
      </c>
      <c r="C174" t="inlineStr">
        <is>
          <t>现行包体5</t>
        </is>
      </c>
      <c r="D174" t="inlineStr">
        <is>
          <t>第170层</t>
        </is>
      </c>
      <c r="E174" t="n">
        <v>300470</v>
      </c>
      <c r="F174" t="inlineStr">
        <is>
          <t>Boss</t>
        </is>
      </c>
      <c r="I174">
        <f>IF($H174="",$G174,$H174)</f>
        <v/>
      </c>
      <c r="J174" t="n">
        <v>406</v>
      </c>
      <c r="K174" t="n">
        <v>1.12671592412141</v>
      </c>
      <c r="L174" t="n">
        <v>0.731229508674054</v>
      </c>
      <c r="M174" t="n">
        <v>1</v>
      </c>
      <c r="Q174">
        <f>IF($I174="","",IFERROR(INDEX(_玩家曲线!$H$2:$H$286,MATCH($I174,_玩家曲线!$A$2:$A$286,0)),""))</f>
        <v/>
      </c>
      <c r="R174">
        <f>IF($I174="","",IFERROR(INDEX(_玩家曲线!$I$2:$I$286,MATCH($I174,_玩家曲线!$A$2:$A$286,0)),""))</f>
        <v/>
      </c>
      <c r="S174">
        <f>SUMIF(_爬塔队伍!$A$2:$A$1001,VALUE(SUBSTITUTE(SUBSTITUTE(D174,"第",""),"层","")),_爬塔队伍!$C$2:$C$1001)</f>
        <v/>
      </c>
      <c r="T174">
        <f>SUMIF(_爬塔队伍!$A$2:$A$1001,VALUE(SUBSTITUTE(SUBSTITUTE(D174,"第",""),"层","")),_爬塔队伍!$D$2:$D$1001)</f>
        <v/>
      </c>
      <c r="U174">
        <f>SUMIF(_爬塔队伍!$A$2:$A$1001,VALUE(SUBSTITUTE(SUBSTITUTE(D174,"第",""),"层","")),_爬塔队伍!$E$2:$E$1001)/COUNTIF(_爬塔队伍!$A$2:$A$1001,VALUE(SUBSTITUTE(SUBSTITUTE(D174,"第",""),"层","")))</f>
        <v/>
      </c>
      <c r="V174">
        <f>IF($U174="","",MIN(0.75,$U174/($U174+24000)))</f>
        <v/>
      </c>
      <c r="W174">
        <f>SUMIF(_爬塔队伍!$A$2:$A$1001,VALUE(SUBSTITUTE(SUBSTITUTE(D174,"第",""),"层","")),_爬塔队伍!$F$2:$F$1001)</f>
        <v/>
      </c>
      <c r="X174">
        <f>IF(OR($W174="",$Q174="",$Q174=0),"",$W174/$Q174)</f>
        <v/>
      </c>
      <c r="Y174">
        <f>IF(OR($R174="",$T174="",$T174=0),"",$R174/($T174*IF($O174="",1,$O174)))</f>
        <v/>
      </c>
      <c r="Z174">
        <f>IF(OR($X174="",$P174="",$P174=0),"",$X174/$P174)</f>
        <v/>
      </c>
      <c r="AA174">
        <f>IF($J174="","待填怪物等级",IF(OR($I174="",$Q174=""),"待填对照关卡",IF($P174="","已计算",IF(AND($Y174&lt;&gt;"",$Y174&lt;$X174),"生存不成立","已计算"))))</f>
        <v/>
      </c>
      <c r="AB174">
        <f>IF($J174="","待填",IF(AND(ISNUMBER($J174),$J174&gt;=1,$J174&lt;=500,MOD($J174,1)=0),"有效","超范围"))</f>
        <v/>
      </c>
      <c r="AC174">
        <f>IF(OR($J174="",ROW()=5,$B174&lt;&gt;$B173,$J173=""),"",IF($J174&lt;$J173,"下降",""))</f>
        <v/>
      </c>
      <c r="AD174" t="inlineStr">
        <is>
          <t>终局荣誉层：无同期对照，推荐战力封顶1,590,000（2026-09-20）</t>
        </is>
      </c>
      <c r="AE174" t="n">
        <v>1590000</v>
      </c>
      <c r="AF174">
        <f>INDEX(_统一战力!$B$2:$B$501,J174)</f>
        <v/>
      </c>
    </row>
    <row r="175">
      <c r="A175" t="inlineStr">
        <is>
          <t>当前配置</t>
        </is>
      </c>
      <c r="B175" t="inlineStr">
        <is>
          <t>爬塔</t>
        </is>
      </c>
      <c r="C175" t="inlineStr">
        <is>
          <t>现行包体5</t>
        </is>
      </c>
      <c r="D175" t="inlineStr">
        <is>
          <t>第171层</t>
        </is>
      </c>
      <c r="E175" t="n">
        <v>300471</v>
      </c>
      <c r="F175" t="inlineStr">
        <is>
          <t>普通怪</t>
        </is>
      </c>
      <c r="I175">
        <f>IF($H175="",$G175,$H175)</f>
        <v/>
      </c>
      <c r="J175" t="n">
        <v>409</v>
      </c>
      <c r="K175" t="n">
        <v>1.12582067235919</v>
      </c>
      <c r="L175" t="n">
        <v>0.729834891319568</v>
      </c>
      <c r="M175" t="n">
        <v>1</v>
      </c>
      <c r="Q175">
        <f>IF($I175="","",IFERROR(INDEX(_玩家曲线!$H$2:$H$286,MATCH($I175,_玩家曲线!$A$2:$A$286,0)),""))</f>
        <v/>
      </c>
      <c r="R175">
        <f>IF($I175="","",IFERROR(INDEX(_玩家曲线!$I$2:$I$286,MATCH($I175,_玩家曲线!$A$2:$A$286,0)),""))</f>
        <v/>
      </c>
      <c r="S175">
        <f>SUMIF(_爬塔队伍!$A$2:$A$1001,VALUE(SUBSTITUTE(SUBSTITUTE(D175,"第",""),"层","")),_爬塔队伍!$C$2:$C$1001)</f>
        <v/>
      </c>
      <c r="T175">
        <f>SUMIF(_爬塔队伍!$A$2:$A$1001,VALUE(SUBSTITUTE(SUBSTITUTE(D175,"第",""),"层","")),_爬塔队伍!$D$2:$D$1001)</f>
        <v/>
      </c>
      <c r="U175">
        <f>SUMIF(_爬塔队伍!$A$2:$A$1001,VALUE(SUBSTITUTE(SUBSTITUTE(D175,"第",""),"层","")),_爬塔队伍!$E$2:$E$1001)/COUNTIF(_爬塔队伍!$A$2:$A$1001,VALUE(SUBSTITUTE(SUBSTITUTE(D175,"第",""),"层","")))</f>
        <v/>
      </c>
      <c r="V175">
        <f>IF($U175="","",MIN(0.75,$U175/($U175+24000)))</f>
        <v/>
      </c>
      <c r="W175">
        <f>SUMIF(_爬塔队伍!$A$2:$A$1001,VALUE(SUBSTITUTE(SUBSTITUTE(D175,"第",""),"层","")),_爬塔队伍!$F$2:$F$1001)</f>
        <v/>
      </c>
      <c r="X175">
        <f>IF(OR($W175="",$Q175="",$Q175=0),"",$W175/$Q175)</f>
        <v/>
      </c>
      <c r="Y175">
        <f>IF(OR($R175="",$T175="",$T175=0),"",$R175/($T175*IF($O175="",1,$O175)))</f>
        <v/>
      </c>
      <c r="Z175">
        <f>IF(OR($X175="",$P175="",$P175=0),"",$X175/$P175)</f>
        <v/>
      </c>
      <c r="AA175">
        <f>IF($J175="","待填怪物等级",IF(OR($I175="",$Q175=""),"待填对照关卡",IF($P175="","已计算",IF(AND($Y175&lt;&gt;"",$Y175&lt;$X175),"生存不成立","已计算"))))</f>
        <v/>
      </c>
      <c r="AB175">
        <f>IF($J175="","待填",IF(AND(ISNUMBER($J175),$J175&gt;=1,$J175&lt;=500,MOD($J175,1)=0),"有效","超范围"))</f>
        <v/>
      </c>
      <c r="AC175">
        <f>IF(OR($J175="",ROW()=5,$B175&lt;&gt;$B174,$J174=""),"",IF($J175&lt;$J174,"下降",""))</f>
        <v/>
      </c>
      <c r="AD175" t="inlineStr">
        <is>
          <t>终局荣誉层：无同期对照，推荐战力封顶1,590,000（2026-09-20）</t>
        </is>
      </c>
      <c r="AE175" t="n">
        <v>1590000</v>
      </c>
      <c r="AF175">
        <f>INDEX(_统一战力!$B$2:$B$501,J175)</f>
        <v/>
      </c>
    </row>
    <row r="176">
      <c r="A176" t="inlineStr">
        <is>
          <t>当前配置</t>
        </is>
      </c>
      <c r="B176" t="inlineStr">
        <is>
          <t>爬塔</t>
        </is>
      </c>
      <c r="C176" t="inlineStr">
        <is>
          <t>现行包体5</t>
        </is>
      </c>
      <c r="D176" t="inlineStr">
        <is>
          <t>第172层</t>
        </is>
      </c>
      <c r="E176" t="n">
        <v>300472</v>
      </c>
      <c r="F176" t="inlineStr">
        <is>
          <t>普通怪</t>
        </is>
      </c>
      <c r="I176">
        <f>IF($H176="",$G176,$H176)</f>
        <v/>
      </c>
      <c r="J176" t="n">
        <v>411</v>
      </c>
      <c r="K176" t="n">
        <v>1.12582067235919</v>
      </c>
      <c r="L176" t="n">
        <v>0.729834891319568</v>
      </c>
      <c r="M176" t="n">
        <v>1</v>
      </c>
      <c r="Q176">
        <f>IF($I176="","",IFERROR(INDEX(_玩家曲线!$H$2:$H$286,MATCH($I176,_玩家曲线!$A$2:$A$286,0)),""))</f>
        <v/>
      </c>
      <c r="R176">
        <f>IF($I176="","",IFERROR(INDEX(_玩家曲线!$I$2:$I$286,MATCH($I176,_玩家曲线!$A$2:$A$286,0)),""))</f>
        <v/>
      </c>
      <c r="S176">
        <f>SUMIF(_爬塔队伍!$A$2:$A$1001,VALUE(SUBSTITUTE(SUBSTITUTE(D176,"第",""),"层","")),_爬塔队伍!$C$2:$C$1001)</f>
        <v/>
      </c>
      <c r="T176">
        <f>SUMIF(_爬塔队伍!$A$2:$A$1001,VALUE(SUBSTITUTE(SUBSTITUTE(D176,"第",""),"层","")),_爬塔队伍!$D$2:$D$1001)</f>
        <v/>
      </c>
      <c r="U176">
        <f>SUMIF(_爬塔队伍!$A$2:$A$1001,VALUE(SUBSTITUTE(SUBSTITUTE(D176,"第",""),"层","")),_爬塔队伍!$E$2:$E$1001)/COUNTIF(_爬塔队伍!$A$2:$A$1001,VALUE(SUBSTITUTE(SUBSTITUTE(D176,"第",""),"层","")))</f>
        <v/>
      </c>
      <c r="V176">
        <f>IF($U176="","",MIN(0.75,$U176/($U176+24000)))</f>
        <v/>
      </c>
      <c r="W176">
        <f>SUMIF(_爬塔队伍!$A$2:$A$1001,VALUE(SUBSTITUTE(SUBSTITUTE(D176,"第",""),"层","")),_爬塔队伍!$F$2:$F$1001)</f>
        <v/>
      </c>
      <c r="X176">
        <f>IF(OR($W176="",$Q176="",$Q176=0),"",$W176/$Q176)</f>
        <v/>
      </c>
      <c r="Y176">
        <f>IF(OR($R176="",$T176="",$T176=0),"",$R176/($T176*IF($O176="",1,$O176)))</f>
        <v/>
      </c>
      <c r="Z176">
        <f>IF(OR($X176="",$P176="",$P176=0),"",$X176/$P176)</f>
        <v/>
      </c>
      <c r="AA176">
        <f>IF($J176="","待填怪物等级",IF(OR($I176="",$Q176=""),"待填对照关卡",IF($P176="","已计算",IF(AND($Y176&lt;&gt;"",$Y176&lt;$X176),"生存不成立","已计算"))))</f>
        <v/>
      </c>
      <c r="AB176">
        <f>IF($J176="","待填",IF(AND(ISNUMBER($J176),$J176&gt;=1,$J176&lt;=500,MOD($J176,1)=0),"有效","超范围"))</f>
        <v/>
      </c>
      <c r="AC176">
        <f>IF(OR($J176="",ROW()=5,$B176&lt;&gt;$B175,$J175=""),"",IF($J176&lt;$J175,"下降",""))</f>
        <v/>
      </c>
      <c r="AD176" t="inlineStr">
        <is>
          <t>终局荣誉层：无同期对照，推荐战力封顶1,590,000（2026-09-20）</t>
        </is>
      </c>
      <c r="AE176" t="n">
        <v>1590000</v>
      </c>
      <c r="AF176">
        <f>INDEX(_统一战力!$B$2:$B$501,J176)</f>
        <v/>
      </c>
    </row>
    <row r="177">
      <c r="A177" t="inlineStr">
        <is>
          <t>当前配置</t>
        </is>
      </c>
      <c r="B177" t="inlineStr">
        <is>
          <t>爬塔</t>
        </is>
      </c>
      <c r="C177" t="inlineStr">
        <is>
          <t>现行包体5</t>
        </is>
      </c>
      <c r="D177" t="inlineStr">
        <is>
          <t>第173层</t>
        </is>
      </c>
      <c r="E177" t="n">
        <v>300473</v>
      </c>
      <c r="F177" t="inlineStr">
        <is>
          <t>普通怪</t>
        </is>
      </c>
      <c r="I177">
        <f>IF($H177="",$G177,$H177)</f>
        <v/>
      </c>
      <c r="J177" t="n">
        <v>414</v>
      </c>
      <c r="K177" t="n">
        <v>1.12582067235919</v>
      </c>
      <c r="L177" t="n">
        <v>0.729834891319568</v>
      </c>
      <c r="M177" t="n">
        <v>1</v>
      </c>
      <c r="Q177">
        <f>IF($I177="","",IFERROR(INDEX(_玩家曲线!$H$2:$H$286,MATCH($I177,_玩家曲线!$A$2:$A$286,0)),""))</f>
        <v/>
      </c>
      <c r="R177">
        <f>IF($I177="","",IFERROR(INDEX(_玩家曲线!$I$2:$I$286,MATCH($I177,_玩家曲线!$A$2:$A$286,0)),""))</f>
        <v/>
      </c>
      <c r="S177">
        <f>SUMIF(_爬塔队伍!$A$2:$A$1001,VALUE(SUBSTITUTE(SUBSTITUTE(D177,"第",""),"层","")),_爬塔队伍!$C$2:$C$1001)</f>
        <v/>
      </c>
      <c r="T177">
        <f>SUMIF(_爬塔队伍!$A$2:$A$1001,VALUE(SUBSTITUTE(SUBSTITUTE(D177,"第",""),"层","")),_爬塔队伍!$D$2:$D$1001)</f>
        <v/>
      </c>
      <c r="U177">
        <f>SUMIF(_爬塔队伍!$A$2:$A$1001,VALUE(SUBSTITUTE(SUBSTITUTE(D177,"第",""),"层","")),_爬塔队伍!$E$2:$E$1001)/COUNTIF(_爬塔队伍!$A$2:$A$1001,VALUE(SUBSTITUTE(SUBSTITUTE(D177,"第",""),"层","")))</f>
        <v/>
      </c>
      <c r="V177">
        <f>IF($U177="","",MIN(0.75,$U177/($U177+24000)))</f>
        <v/>
      </c>
      <c r="W177">
        <f>SUMIF(_爬塔队伍!$A$2:$A$1001,VALUE(SUBSTITUTE(SUBSTITUTE(D177,"第",""),"层","")),_爬塔队伍!$F$2:$F$1001)</f>
        <v/>
      </c>
      <c r="X177">
        <f>IF(OR($W177="",$Q177="",$Q177=0),"",$W177/$Q177)</f>
        <v/>
      </c>
      <c r="Y177">
        <f>IF(OR($R177="",$T177="",$T177=0),"",$R177/($T177*IF($O177="",1,$O177)))</f>
        <v/>
      </c>
      <c r="Z177">
        <f>IF(OR($X177="",$P177="",$P177=0),"",$X177/$P177)</f>
        <v/>
      </c>
      <c r="AA177">
        <f>IF($J177="","待填怪物等级",IF(OR($I177="",$Q177=""),"待填对照关卡",IF($P177="","已计算",IF(AND($Y177&lt;&gt;"",$Y177&lt;$X177),"生存不成立","已计算"))))</f>
        <v/>
      </c>
      <c r="AB177">
        <f>IF($J177="","待填",IF(AND(ISNUMBER($J177),$J177&gt;=1,$J177&lt;=500,MOD($J177,1)=0),"有效","超范围"))</f>
        <v/>
      </c>
      <c r="AC177">
        <f>IF(OR($J177="",ROW()=5,$B177&lt;&gt;$B176,$J176=""),"",IF($J177&lt;$J176,"下降",""))</f>
        <v/>
      </c>
      <c r="AD177" t="inlineStr">
        <is>
          <t>终局荣誉层：无同期对照，推荐战力封顶1,590,000（2026-09-20）</t>
        </is>
      </c>
      <c r="AE177" t="n">
        <v>1590000</v>
      </c>
      <c r="AF177">
        <f>INDEX(_统一战力!$B$2:$B$501,J177)</f>
        <v/>
      </c>
    </row>
    <row r="178">
      <c r="A178" t="inlineStr">
        <is>
          <t>当前配置</t>
        </is>
      </c>
      <c r="B178" t="inlineStr">
        <is>
          <t>爬塔</t>
        </is>
      </c>
      <c r="C178" t="inlineStr">
        <is>
          <t>现行包体5</t>
        </is>
      </c>
      <c r="D178" t="inlineStr">
        <is>
          <t>第174层</t>
        </is>
      </c>
      <c r="E178" t="n">
        <v>300474</v>
      </c>
      <c r="F178" t="inlineStr">
        <is>
          <t>普通怪</t>
        </is>
      </c>
      <c r="I178">
        <f>IF($H178="",$G178,$H178)</f>
        <v/>
      </c>
      <c r="J178" t="n">
        <v>416</v>
      </c>
      <c r="K178" t="n">
        <v>1.12582067235919</v>
      </c>
      <c r="L178" t="n">
        <v>0.729834891319568</v>
      </c>
      <c r="M178" t="n">
        <v>1</v>
      </c>
      <c r="Q178">
        <f>IF($I178="","",IFERROR(INDEX(_玩家曲线!$H$2:$H$286,MATCH($I178,_玩家曲线!$A$2:$A$286,0)),""))</f>
        <v/>
      </c>
      <c r="R178">
        <f>IF($I178="","",IFERROR(INDEX(_玩家曲线!$I$2:$I$286,MATCH($I178,_玩家曲线!$A$2:$A$286,0)),""))</f>
        <v/>
      </c>
      <c r="S178">
        <f>SUMIF(_爬塔队伍!$A$2:$A$1001,VALUE(SUBSTITUTE(SUBSTITUTE(D178,"第",""),"层","")),_爬塔队伍!$C$2:$C$1001)</f>
        <v/>
      </c>
      <c r="T178">
        <f>SUMIF(_爬塔队伍!$A$2:$A$1001,VALUE(SUBSTITUTE(SUBSTITUTE(D178,"第",""),"层","")),_爬塔队伍!$D$2:$D$1001)</f>
        <v/>
      </c>
      <c r="U178">
        <f>SUMIF(_爬塔队伍!$A$2:$A$1001,VALUE(SUBSTITUTE(SUBSTITUTE(D178,"第",""),"层","")),_爬塔队伍!$E$2:$E$1001)/COUNTIF(_爬塔队伍!$A$2:$A$1001,VALUE(SUBSTITUTE(SUBSTITUTE(D178,"第",""),"层","")))</f>
        <v/>
      </c>
      <c r="V178">
        <f>IF($U178="","",MIN(0.75,$U178/($U178+24000)))</f>
        <v/>
      </c>
      <c r="W178">
        <f>SUMIF(_爬塔队伍!$A$2:$A$1001,VALUE(SUBSTITUTE(SUBSTITUTE(D178,"第",""),"层","")),_爬塔队伍!$F$2:$F$1001)</f>
        <v/>
      </c>
      <c r="X178">
        <f>IF(OR($W178="",$Q178="",$Q178=0),"",$W178/$Q178)</f>
        <v/>
      </c>
      <c r="Y178">
        <f>IF(OR($R178="",$T178="",$T178=0),"",$R178/($T178*IF($O178="",1,$O178)))</f>
        <v/>
      </c>
      <c r="Z178">
        <f>IF(OR($X178="",$P178="",$P178=0),"",$X178/$P178)</f>
        <v/>
      </c>
      <c r="AA178">
        <f>IF($J178="","待填怪物等级",IF(OR($I178="",$Q178=""),"待填对照关卡",IF($P178="","已计算",IF(AND($Y178&lt;&gt;"",$Y178&lt;$X178),"生存不成立","已计算"))))</f>
        <v/>
      </c>
      <c r="AB178">
        <f>IF($J178="","待填",IF(AND(ISNUMBER($J178),$J178&gt;=1,$J178&lt;=500,MOD($J178,1)=0),"有效","超范围"))</f>
        <v/>
      </c>
      <c r="AC178">
        <f>IF(OR($J178="",ROW()=5,$B178&lt;&gt;$B177,$J177=""),"",IF($J178&lt;$J177,"下降",""))</f>
        <v/>
      </c>
      <c r="AD178" t="inlineStr">
        <is>
          <t>终局荣誉层：无同期对照，推荐战力封顶1,590,000（2026-09-20）</t>
        </is>
      </c>
      <c r="AE178" t="n">
        <v>1590000</v>
      </c>
      <c r="AF178">
        <f>INDEX(_统一战力!$B$2:$B$501,J178)</f>
        <v/>
      </c>
    </row>
    <row r="179">
      <c r="A179" t="inlineStr">
        <is>
          <t>当前配置</t>
        </is>
      </c>
      <c r="B179" t="inlineStr">
        <is>
          <t>爬塔</t>
        </is>
      </c>
      <c r="C179" t="inlineStr">
        <is>
          <t>现行包体5</t>
        </is>
      </c>
      <c r="D179" t="inlineStr">
        <is>
          <t>第175层</t>
        </is>
      </c>
      <c r="E179" t="n">
        <v>300475</v>
      </c>
      <c r="F179" t="inlineStr">
        <is>
          <t>精英怪</t>
        </is>
      </c>
      <c r="I179">
        <f>IF($H179="",$G179,$H179)</f>
        <v/>
      </c>
      <c r="J179" t="n">
        <v>419</v>
      </c>
      <c r="K179" t="n">
        <v>1.13108015591293</v>
      </c>
      <c r="L179" t="n">
        <v>0.726679309784578</v>
      </c>
      <c r="M179" t="n">
        <v>1</v>
      </c>
      <c r="Q179">
        <f>IF($I179="","",IFERROR(INDEX(_玩家曲线!$H$2:$H$286,MATCH($I179,_玩家曲线!$A$2:$A$286,0)),""))</f>
        <v/>
      </c>
      <c r="R179">
        <f>IF($I179="","",IFERROR(INDEX(_玩家曲线!$I$2:$I$286,MATCH($I179,_玩家曲线!$A$2:$A$286,0)),""))</f>
        <v/>
      </c>
      <c r="S179">
        <f>SUMIF(_爬塔队伍!$A$2:$A$1001,VALUE(SUBSTITUTE(SUBSTITUTE(D179,"第",""),"层","")),_爬塔队伍!$C$2:$C$1001)</f>
        <v/>
      </c>
      <c r="T179">
        <f>SUMIF(_爬塔队伍!$A$2:$A$1001,VALUE(SUBSTITUTE(SUBSTITUTE(D179,"第",""),"层","")),_爬塔队伍!$D$2:$D$1001)</f>
        <v/>
      </c>
      <c r="U179">
        <f>SUMIF(_爬塔队伍!$A$2:$A$1001,VALUE(SUBSTITUTE(SUBSTITUTE(D179,"第",""),"层","")),_爬塔队伍!$E$2:$E$1001)/COUNTIF(_爬塔队伍!$A$2:$A$1001,VALUE(SUBSTITUTE(SUBSTITUTE(D179,"第",""),"层","")))</f>
        <v/>
      </c>
      <c r="V179">
        <f>IF($U179="","",MIN(0.75,$U179/($U179+24000)))</f>
        <v/>
      </c>
      <c r="W179">
        <f>SUMIF(_爬塔队伍!$A$2:$A$1001,VALUE(SUBSTITUTE(SUBSTITUTE(D179,"第",""),"层","")),_爬塔队伍!$F$2:$F$1001)</f>
        <v/>
      </c>
      <c r="X179">
        <f>IF(OR($W179="",$Q179="",$Q179=0),"",$W179/$Q179)</f>
        <v/>
      </c>
      <c r="Y179">
        <f>IF(OR($R179="",$T179="",$T179=0),"",$R179/($T179*IF($O179="",1,$O179)))</f>
        <v/>
      </c>
      <c r="Z179">
        <f>IF(OR($X179="",$P179="",$P179=0),"",$X179/$P179)</f>
        <v/>
      </c>
      <c r="AA179">
        <f>IF($J179="","待填怪物等级",IF(OR($I179="",$Q179=""),"待填对照关卡",IF($P179="","已计算",IF(AND($Y179&lt;&gt;"",$Y179&lt;$X179),"生存不成立","已计算"))))</f>
        <v/>
      </c>
      <c r="AB179">
        <f>IF($J179="","待填",IF(AND(ISNUMBER($J179),$J179&gt;=1,$J179&lt;=500,MOD($J179,1)=0),"有效","超范围"))</f>
        <v/>
      </c>
      <c r="AC179">
        <f>IF(OR($J179="",ROW()=5,$B179&lt;&gt;$B178,$J178=""),"",IF($J179&lt;$J178,"下降",""))</f>
        <v/>
      </c>
      <c r="AD179" t="inlineStr">
        <is>
          <t>终局荣誉层：无同期对照，推荐战力封顶1,590,000（2026-09-20）</t>
        </is>
      </c>
      <c r="AE179" t="n">
        <v>1590000</v>
      </c>
      <c r="AF179">
        <f>INDEX(_统一战力!$B$2:$B$501,J179)</f>
        <v/>
      </c>
    </row>
    <row r="180">
      <c r="A180" t="inlineStr">
        <is>
          <t>当前配置</t>
        </is>
      </c>
      <c r="B180" t="inlineStr">
        <is>
          <t>爬塔</t>
        </is>
      </c>
      <c r="C180" t="inlineStr">
        <is>
          <t>现行包体5</t>
        </is>
      </c>
      <c r="D180" t="inlineStr">
        <is>
          <t>第176层</t>
        </is>
      </c>
      <c r="E180" t="n">
        <v>300476</v>
      </c>
      <c r="F180" t="inlineStr">
        <is>
          <t>普通怪</t>
        </is>
      </c>
      <c r="I180">
        <f>IF($H180="",$G180,$H180)</f>
        <v/>
      </c>
      <c r="J180" t="n">
        <v>422</v>
      </c>
      <c r="K180" t="n">
        <v>1.12582067235919</v>
      </c>
      <c r="L180" t="n">
        <v>0.729834891319568</v>
      </c>
      <c r="M180" t="n">
        <v>1</v>
      </c>
      <c r="Q180">
        <f>IF($I180="","",IFERROR(INDEX(_玩家曲线!$H$2:$H$286,MATCH($I180,_玩家曲线!$A$2:$A$286,0)),""))</f>
        <v/>
      </c>
      <c r="R180">
        <f>IF($I180="","",IFERROR(INDEX(_玩家曲线!$I$2:$I$286,MATCH($I180,_玩家曲线!$A$2:$A$286,0)),""))</f>
        <v/>
      </c>
      <c r="S180">
        <f>SUMIF(_爬塔队伍!$A$2:$A$1001,VALUE(SUBSTITUTE(SUBSTITUTE(D180,"第",""),"层","")),_爬塔队伍!$C$2:$C$1001)</f>
        <v/>
      </c>
      <c r="T180">
        <f>SUMIF(_爬塔队伍!$A$2:$A$1001,VALUE(SUBSTITUTE(SUBSTITUTE(D180,"第",""),"层","")),_爬塔队伍!$D$2:$D$1001)</f>
        <v/>
      </c>
      <c r="U180">
        <f>SUMIF(_爬塔队伍!$A$2:$A$1001,VALUE(SUBSTITUTE(SUBSTITUTE(D180,"第",""),"层","")),_爬塔队伍!$E$2:$E$1001)/COUNTIF(_爬塔队伍!$A$2:$A$1001,VALUE(SUBSTITUTE(SUBSTITUTE(D180,"第",""),"层","")))</f>
        <v/>
      </c>
      <c r="V180">
        <f>IF($U180="","",MIN(0.75,$U180/($U180+24000)))</f>
        <v/>
      </c>
      <c r="W180">
        <f>SUMIF(_爬塔队伍!$A$2:$A$1001,VALUE(SUBSTITUTE(SUBSTITUTE(D180,"第",""),"层","")),_爬塔队伍!$F$2:$F$1001)</f>
        <v/>
      </c>
      <c r="X180">
        <f>IF(OR($W180="",$Q180="",$Q180=0),"",$W180/$Q180)</f>
        <v/>
      </c>
      <c r="Y180">
        <f>IF(OR($R180="",$T180="",$T180=0),"",$R180/($T180*IF($O180="",1,$O180)))</f>
        <v/>
      </c>
      <c r="Z180">
        <f>IF(OR($X180="",$P180="",$P180=0),"",$X180/$P180)</f>
        <v/>
      </c>
      <c r="AA180">
        <f>IF($J180="","待填怪物等级",IF(OR($I180="",$Q180=""),"待填对照关卡",IF($P180="","已计算",IF(AND($Y180&lt;&gt;"",$Y180&lt;$X180),"生存不成立","已计算"))))</f>
        <v/>
      </c>
      <c r="AB180">
        <f>IF($J180="","待填",IF(AND(ISNUMBER($J180),$J180&gt;=1,$J180&lt;=500,MOD($J180,1)=0),"有效","超范围"))</f>
        <v/>
      </c>
      <c r="AC180">
        <f>IF(OR($J180="",ROW()=5,$B180&lt;&gt;$B179,$J179=""),"",IF($J180&lt;$J179,"下降",""))</f>
        <v/>
      </c>
      <c r="AD180" t="inlineStr">
        <is>
          <t>终局荣誉层：无同期对照，推荐战力封顶1,590,000（2026-09-20）</t>
        </is>
      </c>
      <c r="AE180" t="n">
        <v>1590000</v>
      </c>
      <c r="AF180">
        <f>INDEX(_统一战力!$B$2:$B$501,J180)</f>
        <v/>
      </c>
    </row>
    <row r="181">
      <c r="A181" t="inlineStr">
        <is>
          <t>当前配置</t>
        </is>
      </c>
      <c r="B181" t="inlineStr">
        <is>
          <t>爬塔</t>
        </is>
      </c>
      <c r="C181" t="inlineStr">
        <is>
          <t>现行包体5</t>
        </is>
      </c>
      <c r="D181" t="inlineStr">
        <is>
          <t>第177层</t>
        </is>
      </c>
      <c r="E181" t="n">
        <v>300477</v>
      </c>
      <c r="F181" t="inlineStr">
        <is>
          <t>普通怪</t>
        </is>
      </c>
      <c r="I181">
        <f>IF($H181="",$G181,$H181)</f>
        <v/>
      </c>
      <c r="J181" t="n">
        <v>424</v>
      </c>
      <c r="K181" t="n">
        <v>1.12582067235919</v>
      </c>
      <c r="L181" t="n">
        <v>0.729834891319568</v>
      </c>
      <c r="M181" t="n">
        <v>1</v>
      </c>
      <c r="Q181">
        <f>IF($I181="","",IFERROR(INDEX(_玩家曲线!$H$2:$H$286,MATCH($I181,_玩家曲线!$A$2:$A$286,0)),""))</f>
        <v/>
      </c>
      <c r="R181">
        <f>IF($I181="","",IFERROR(INDEX(_玩家曲线!$I$2:$I$286,MATCH($I181,_玩家曲线!$A$2:$A$286,0)),""))</f>
        <v/>
      </c>
      <c r="S181">
        <f>SUMIF(_爬塔队伍!$A$2:$A$1001,VALUE(SUBSTITUTE(SUBSTITUTE(D181,"第",""),"层","")),_爬塔队伍!$C$2:$C$1001)</f>
        <v/>
      </c>
      <c r="T181">
        <f>SUMIF(_爬塔队伍!$A$2:$A$1001,VALUE(SUBSTITUTE(SUBSTITUTE(D181,"第",""),"层","")),_爬塔队伍!$D$2:$D$1001)</f>
        <v/>
      </c>
      <c r="U181">
        <f>SUMIF(_爬塔队伍!$A$2:$A$1001,VALUE(SUBSTITUTE(SUBSTITUTE(D181,"第",""),"层","")),_爬塔队伍!$E$2:$E$1001)/COUNTIF(_爬塔队伍!$A$2:$A$1001,VALUE(SUBSTITUTE(SUBSTITUTE(D181,"第",""),"层","")))</f>
        <v/>
      </c>
      <c r="V181">
        <f>IF($U181="","",MIN(0.75,$U181/($U181+24000)))</f>
        <v/>
      </c>
      <c r="W181">
        <f>SUMIF(_爬塔队伍!$A$2:$A$1001,VALUE(SUBSTITUTE(SUBSTITUTE(D181,"第",""),"层","")),_爬塔队伍!$F$2:$F$1001)</f>
        <v/>
      </c>
      <c r="X181">
        <f>IF(OR($W181="",$Q181="",$Q181=0),"",$W181/$Q181)</f>
        <v/>
      </c>
      <c r="Y181">
        <f>IF(OR($R181="",$T181="",$T181=0),"",$R181/($T181*IF($O181="",1,$O181)))</f>
        <v/>
      </c>
      <c r="Z181">
        <f>IF(OR($X181="",$P181="",$P181=0),"",$X181/$P181)</f>
        <v/>
      </c>
      <c r="AA181">
        <f>IF($J181="","待填怪物等级",IF(OR($I181="",$Q181=""),"待填对照关卡",IF($P181="","已计算",IF(AND($Y181&lt;&gt;"",$Y181&lt;$X181),"生存不成立","已计算"))))</f>
        <v/>
      </c>
      <c r="AB181">
        <f>IF($J181="","待填",IF(AND(ISNUMBER($J181),$J181&gt;=1,$J181&lt;=500,MOD($J181,1)=0),"有效","超范围"))</f>
        <v/>
      </c>
      <c r="AC181">
        <f>IF(OR($J181="",ROW()=5,$B181&lt;&gt;$B180,$J180=""),"",IF($J181&lt;$J180,"下降",""))</f>
        <v/>
      </c>
      <c r="AD181" t="inlineStr">
        <is>
          <t>终局荣誉层：无同期对照，推荐战力封顶1,590,000（2026-09-20）</t>
        </is>
      </c>
      <c r="AE181" t="n">
        <v>1590000</v>
      </c>
      <c r="AF181">
        <f>INDEX(_统一战力!$B$2:$B$501,J181)</f>
        <v/>
      </c>
    </row>
    <row r="182">
      <c r="A182" t="inlineStr">
        <is>
          <t>当前配置</t>
        </is>
      </c>
      <c r="B182" t="inlineStr">
        <is>
          <t>爬塔</t>
        </is>
      </c>
      <c r="C182" t="inlineStr">
        <is>
          <t>现行包体5</t>
        </is>
      </c>
      <c r="D182" t="inlineStr">
        <is>
          <t>第178层</t>
        </is>
      </c>
      <c r="E182" t="n">
        <v>300478</v>
      </c>
      <c r="F182" t="inlineStr">
        <is>
          <t>普通怪</t>
        </is>
      </c>
      <c r="I182">
        <f>IF($H182="",$G182,$H182)</f>
        <v/>
      </c>
      <c r="J182" t="n">
        <v>427</v>
      </c>
      <c r="K182" t="n">
        <v>1.12582067235919</v>
      </c>
      <c r="L182" t="n">
        <v>0.729834891319568</v>
      </c>
      <c r="M182" t="n">
        <v>1</v>
      </c>
      <c r="Q182">
        <f>IF($I182="","",IFERROR(INDEX(_玩家曲线!$H$2:$H$286,MATCH($I182,_玩家曲线!$A$2:$A$286,0)),""))</f>
        <v/>
      </c>
      <c r="R182">
        <f>IF($I182="","",IFERROR(INDEX(_玩家曲线!$I$2:$I$286,MATCH($I182,_玩家曲线!$A$2:$A$286,0)),""))</f>
        <v/>
      </c>
      <c r="S182">
        <f>SUMIF(_爬塔队伍!$A$2:$A$1001,VALUE(SUBSTITUTE(SUBSTITUTE(D182,"第",""),"层","")),_爬塔队伍!$C$2:$C$1001)</f>
        <v/>
      </c>
      <c r="T182">
        <f>SUMIF(_爬塔队伍!$A$2:$A$1001,VALUE(SUBSTITUTE(SUBSTITUTE(D182,"第",""),"层","")),_爬塔队伍!$D$2:$D$1001)</f>
        <v/>
      </c>
      <c r="U182">
        <f>SUMIF(_爬塔队伍!$A$2:$A$1001,VALUE(SUBSTITUTE(SUBSTITUTE(D182,"第",""),"层","")),_爬塔队伍!$E$2:$E$1001)/COUNTIF(_爬塔队伍!$A$2:$A$1001,VALUE(SUBSTITUTE(SUBSTITUTE(D182,"第",""),"层","")))</f>
        <v/>
      </c>
      <c r="V182">
        <f>IF($U182="","",MIN(0.75,$U182/($U182+24000)))</f>
        <v/>
      </c>
      <c r="W182">
        <f>SUMIF(_爬塔队伍!$A$2:$A$1001,VALUE(SUBSTITUTE(SUBSTITUTE(D182,"第",""),"层","")),_爬塔队伍!$F$2:$F$1001)</f>
        <v/>
      </c>
      <c r="X182">
        <f>IF(OR($W182="",$Q182="",$Q182=0),"",$W182/$Q182)</f>
        <v/>
      </c>
      <c r="Y182">
        <f>IF(OR($R182="",$T182="",$T182=0),"",$R182/($T182*IF($O182="",1,$O182)))</f>
        <v/>
      </c>
      <c r="Z182">
        <f>IF(OR($X182="",$P182="",$P182=0),"",$X182/$P182)</f>
        <v/>
      </c>
      <c r="AA182">
        <f>IF($J182="","待填怪物等级",IF(OR($I182="",$Q182=""),"待填对照关卡",IF($P182="","已计算",IF(AND($Y182&lt;&gt;"",$Y182&lt;$X182),"生存不成立","已计算"))))</f>
        <v/>
      </c>
      <c r="AB182">
        <f>IF($J182="","待填",IF(AND(ISNUMBER($J182),$J182&gt;=1,$J182&lt;=500,MOD($J182,1)=0),"有效","超范围"))</f>
        <v/>
      </c>
      <c r="AC182">
        <f>IF(OR($J182="",ROW()=5,$B182&lt;&gt;$B181,$J181=""),"",IF($J182&lt;$J181,"下降",""))</f>
        <v/>
      </c>
      <c r="AD182" t="inlineStr">
        <is>
          <t>终局荣誉层：无同期对照，推荐战力封顶1,590,000（2026-09-20）</t>
        </is>
      </c>
      <c r="AE182" t="n">
        <v>1590000</v>
      </c>
      <c r="AF182">
        <f>INDEX(_统一战力!$B$2:$B$501,J182)</f>
        <v/>
      </c>
    </row>
    <row r="183">
      <c r="A183" t="inlineStr">
        <is>
          <t>当前配置</t>
        </is>
      </c>
      <c r="B183" t="inlineStr">
        <is>
          <t>爬塔</t>
        </is>
      </c>
      <c r="C183" t="inlineStr">
        <is>
          <t>现行包体5</t>
        </is>
      </c>
      <c r="D183" t="inlineStr">
        <is>
          <t>第179层</t>
        </is>
      </c>
      <c r="E183" t="n">
        <v>300479</v>
      </c>
      <c r="F183" t="inlineStr">
        <is>
          <t>普通怪</t>
        </is>
      </c>
      <c r="I183">
        <f>IF($H183="",$G183,$H183)</f>
        <v/>
      </c>
      <c r="J183" t="n">
        <v>429</v>
      </c>
      <c r="K183" t="n">
        <v>1.12582067235919</v>
      </c>
      <c r="L183" t="n">
        <v>0.729834891319568</v>
      </c>
      <c r="M183" t="n">
        <v>1</v>
      </c>
      <c r="Q183">
        <f>IF($I183="","",IFERROR(INDEX(_玩家曲线!$H$2:$H$286,MATCH($I183,_玩家曲线!$A$2:$A$286,0)),""))</f>
        <v/>
      </c>
      <c r="R183">
        <f>IF($I183="","",IFERROR(INDEX(_玩家曲线!$I$2:$I$286,MATCH($I183,_玩家曲线!$A$2:$A$286,0)),""))</f>
        <v/>
      </c>
      <c r="S183">
        <f>SUMIF(_爬塔队伍!$A$2:$A$1001,VALUE(SUBSTITUTE(SUBSTITUTE(D183,"第",""),"层","")),_爬塔队伍!$C$2:$C$1001)</f>
        <v/>
      </c>
      <c r="T183">
        <f>SUMIF(_爬塔队伍!$A$2:$A$1001,VALUE(SUBSTITUTE(SUBSTITUTE(D183,"第",""),"层","")),_爬塔队伍!$D$2:$D$1001)</f>
        <v/>
      </c>
      <c r="U183">
        <f>SUMIF(_爬塔队伍!$A$2:$A$1001,VALUE(SUBSTITUTE(SUBSTITUTE(D183,"第",""),"层","")),_爬塔队伍!$E$2:$E$1001)/COUNTIF(_爬塔队伍!$A$2:$A$1001,VALUE(SUBSTITUTE(SUBSTITUTE(D183,"第",""),"层","")))</f>
        <v/>
      </c>
      <c r="V183">
        <f>IF($U183="","",MIN(0.75,$U183/($U183+24000)))</f>
        <v/>
      </c>
      <c r="W183">
        <f>SUMIF(_爬塔队伍!$A$2:$A$1001,VALUE(SUBSTITUTE(SUBSTITUTE(D183,"第",""),"层","")),_爬塔队伍!$F$2:$F$1001)</f>
        <v/>
      </c>
      <c r="X183">
        <f>IF(OR($W183="",$Q183="",$Q183=0),"",$W183/$Q183)</f>
        <v/>
      </c>
      <c r="Y183">
        <f>IF(OR($R183="",$T183="",$T183=0),"",$R183/($T183*IF($O183="",1,$O183)))</f>
        <v/>
      </c>
      <c r="Z183">
        <f>IF(OR($X183="",$P183="",$P183=0),"",$X183/$P183)</f>
        <v/>
      </c>
      <c r="AA183">
        <f>IF($J183="","待填怪物等级",IF(OR($I183="",$Q183=""),"待填对照关卡",IF($P183="","已计算",IF(AND($Y183&lt;&gt;"",$Y183&lt;$X183),"生存不成立","已计算"))))</f>
        <v/>
      </c>
      <c r="AB183">
        <f>IF($J183="","待填",IF(AND(ISNUMBER($J183),$J183&gt;=1,$J183&lt;=500,MOD($J183,1)=0),"有效","超范围"))</f>
        <v/>
      </c>
      <c r="AC183">
        <f>IF(OR($J183="",ROW()=5,$B183&lt;&gt;$B182,$J182=""),"",IF($J183&lt;$J182,"下降",""))</f>
        <v/>
      </c>
      <c r="AD183" t="inlineStr">
        <is>
          <t>终局荣誉层：无同期对照，推荐战力封顶1,590,000（2026-09-20）</t>
        </is>
      </c>
      <c r="AE183" t="n">
        <v>1590000</v>
      </c>
      <c r="AF183">
        <f>INDEX(_统一战力!$B$2:$B$501,J183)</f>
        <v/>
      </c>
    </row>
    <row r="184">
      <c r="A184" t="inlineStr">
        <is>
          <t>当前配置</t>
        </is>
      </c>
      <c r="B184" t="inlineStr">
        <is>
          <t>爬塔</t>
        </is>
      </c>
      <c r="C184" t="inlineStr">
        <is>
          <t>现行包体5</t>
        </is>
      </c>
      <c r="D184" t="inlineStr">
        <is>
          <t>第180层</t>
        </is>
      </c>
      <c r="E184" t="n">
        <v>300480</v>
      </c>
      <c r="F184" t="inlineStr">
        <is>
          <t>Boss</t>
        </is>
      </c>
      <c r="I184">
        <f>IF($H184="",$G184,$H184)</f>
        <v/>
      </c>
      <c r="J184" t="n">
        <v>432</v>
      </c>
      <c r="K184" t="n">
        <v>1.12671592412141</v>
      </c>
      <c r="L184" t="n">
        <v>0.731229508674054</v>
      </c>
      <c r="M184" t="n">
        <v>1</v>
      </c>
      <c r="Q184">
        <f>IF($I184="","",IFERROR(INDEX(_玩家曲线!$H$2:$H$286,MATCH($I184,_玩家曲线!$A$2:$A$286,0)),""))</f>
        <v/>
      </c>
      <c r="R184">
        <f>IF($I184="","",IFERROR(INDEX(_玩家曲线!$I$2:$I$286,MATCH($I184,_玩家曲线!$A$2:$A$286,0)),""))</f>
        <v/>
      </c>
      <c r="S184">
        <f>SUMIF(_爬塔队伍!$A$2:$A$1001,VALUE(SUBSTITUTE(SUBSTITUTE(D184,"第",""),"层","")),_爬塔队伍!$C$2:$C$1001)</f>
        <v/>
      </c>
      <c r="T184">
        <f>SUMIF(_爬塔队伍!$A$2:$A$1001,VALUE(SUBSTITUTE(SUBSTITUTE(D184,"第",""),"层","")),_爬塔队伍!$D$2:$D$1001)</f>
        <v/>
      </c>
      <c r="U184">
        <f>SUMIF(_爬塔队伍!$A$2:$A$1001,VALUE(SUBSTITUTE(SUBSTITUTE(D184,"第",""),"层","")),_爬塔队伍!$E$2:$E$1001)/COUNTIF(_爬塔队伍!$A$2:$A$1001,VALUE(SUBSTITUTE(SUBSTITUTE(D184,"第",""),"层","")))</f>
        <v/>
      </c>
      <c r="V184">
        <f>IF($U184="","",MIN(0.75,$U184/($U184+24000)))</f>
        <v/>
      </c>
      <c r="W184">
        <f>SUMIF(_爬塔队伍!$A$2:$A$1001,VALUE(SUBSTITUTE(SUBSTITUTE(D184,"第",""),"层","")),_爬塔队伍!$F$2:$F$1001)</f>
        <v/>
      </c>
      <c r="X184">
        <f>IF(OR($W184="",$Q184="",$Q184=0),"",$W184/$Q184)</f>
        <v/>
      </c>
      <c r="Y184">
        <f>IF(OR($R184="",$T184="",$T184=0),"",$R184/($T184*IF($O184="",1,$O184)))</f>
        <v/>
      </c>
      <c r="Z184">
        <f>IF(OR($X184="",$P184="",$P184=0),"",$X184/$P184)</f>
        <v/>
      </c>
      <c r="AA184">
        <f>IF($J184="","待填怪物等级",IF(OR($I184="",$Q184=""),"待填对照关卡",IF($P184="","已计算",IF(AND($Y184&lt;&gt;"",$Y184&lt;$X184),"生存不成立","已计算"))))</f>
        <v/>
      </c>
      <c r="AB184">
        <f>IF($J184="","待填",IF(AND(ISNUMBER($J184),$J184&gt;=1,$J184&lt;=500,MOD($J184,1)=0),"有效","超范围"))</f>
        <v/>
      </c>
      <c r="AC184">
        <f>IF(OR($J184="",ROW()=5,$B184&lt;&gt;$B183,$J183=""),"",IF($J184&lt;$J183,"下降",""))</f>
        <v/>
      </c>
      <c r="AD184" t="inlineStr">
        <is>
          <t>终局荣誉层：无同期对照，推荐战力封顶1,590,000（2026-09-20）</t>
        </is>
      </c>
      <c r="AE184" t="n">
        <v>1590000</v>
      </c>
      <c r="AF184">
        <f>INDEX(_统一战力!$B$2:$B$501,J184)</f>
        <v/>
      </c>
    </row>
    <row r="185">
      <c r="A185" t="inlineStr">
        <is>
          <t>当前配置</t>
        </is>
      </c>
      <c r="B185" t="inlineStr">
        <is>
          <t>爬塔</t>
        </is>
      </c>
      <c r="C185" t="inlineStr">
        <is>
          <t>现行包体5</t>
        </is>
      </c>
      <c r="D185" t="inlineStr">
        <is>
          <t>第181层</t>
        </is>
      </c>
      <c r="E185" t="n">
        <v>300481</v>
      </c>
      <c r="F185" t="inlineStr">
        <is>
          <t>普通怪</t>
        </is>
      </c>
      <c r="I185">
        <f>IF($H185="",$G185,$H185)</f>
        <v/>
      </c>
      <c r="J185" t="n">
        <v>435</v>
      </c>
      <c r="K185" t="n">
        <v>1.12582067235919</v>
      </c>
      <c r="L185" t="n">
        <v>0.729834891319568</v>
      </c>
      <c r="M185" t="n">
        <v>1</v>
      </c>
      <c r="Q185">
        <f>IF($I185="","",IFERROR(INDEX(_玩家曲线!$H$2:$H$286,MATCH($I185,_玩家曲线!$A$2:$A$286,0)),""))</f>
        <v/>
      </c>
      <c r="R185">
        <f>IF($I185="","",IFERROR(INDEX(_玩家曲线!$I$2:$I$286,MATCH($I185,_玩家曲线!$A$2:$A$286,0)),""))</f>
        <v/>
      </c>
      <c r="S185">
        <f>SUMIF(_爬塔队伍!$A$2:$A$1001,VALUE(SUBSTITUTE(SUBSTITUTE(D185,"第",""),"层","")),_爬塔队伍!$C$2:$C$1001)</f>
        <v/>
      </c>
      <c r="T185">
        <f>SUMIF(_爬塔队伍!$A$2:$A$1001,VALUE(SUBSTITUTE(SUBSTITUTE(D185,"第",""),"层","")),_爬塔队伍!$D$2:$D$1001)</f>
        <v/>
      </c>
      <c r="U185">
        <f>SUMIF(_爬塔队伍!$A$2:$A$1001,VALUE(SUBSTITUTE(SUBSTITUTE(D185,"第",""),"层","")),_爬塔队伍!$E$2:$E$1001)/COUNTIF(_爬塔队伍!$A$2:$A$1001,VALUE(SUBSTITUTE(SUBSTITUTE(D185,"第",""),"层","")))</f>
        <v/>
      </c>
      <c r="V185">
        <f>IF($U185="","",MIN(0.75,$U185/($U185+24000)))</f>
        <v/>
      </c>
      <c r="W185">
        <f>SUMIF(_爬塔队伍!$A$2:$A$1001,VALUE(SUBSTITUTE(SUBSTITUTE(D185,"第",""),"层","")),_爬塔队伍!$F$2:$F$1001)</f>
        <v/>
      </c>
      <c r="X185">
        <f>IF(OR($W185="",$Q185="",$Q185=0),"",$W185/$Q185)</f>
        <v/>
      </c>
      <c r="Y185">
        <f>IF(OR($R185="",$T185="",$T185=0),"",$R185/($T185*IF($O185="",1,$O185)))</f>
        <v/>
      </c>
      <c r="Z185">
        <f>IF(OR($X185="",$P185="",$P185=0),"",$X185/$P185)</f>
        <v/>
      </c>
      <c r="AA185">
        <f>IF($J185="","待填怪物等级",IF(OR($I185="",$Q185=""),"待填对照关卡",IF($P185="","已计算",IF(AND($Y185&lt;&gt;"",$Y185&lt;$X185),"生存不成立","已计算"))))</f>
        <v/>
      </c>
      <c r="AB185">
        <f>IF($J185="","待填",IF(AND(ISNUMBER($J185),$J185&gt;=1,$J185&lt;=500,MOD($J185,1)=0),"有效","超范围"))</f>
        <v/>
      </c>
      <c r="AC185">
        <f>IF(OR($J185="",ROW()=5,$B185&lt;&gt;$B184,$J184=""),"",IF($J185&lt;$J184,"下降",""))</f>
        <v/>
      </c>
      <c r="AD185" t="inlineStr">
        <is>
          <t>终局荣誉层：无同期对照，推荐战力封顶1,590,000（2026-09-20）</t>
        </is>
      </c>
      <c r="AE185" t="n">
        <v>1590000</v>
      </c>
      <c r="AF185">
        <f>INDEX(_统一战力!$B$2:$B$501,J185)</f>
        <v/>
      </c>
    </row>
    <row r="186">
      <c r="A186" t="inlineStr">
        <is>
          <t>当前配置</t>
        </is>
      </c>
      <c r="B186" t="inlineStr">
        <is>
          <t>爬塔</t>
        </is>
      </c>
      <c r="C186" t="inlineStr">
        <is>
          <t>现行包体5</t>
        </is>
      </c>
      <c r="D186" t="inlineStr">
        <is>
          <t>第182层</t>
        </is>
      </c>
      <c r="E186" t="n">
        <v>300482</v>
      </c>
      <c r="F186" t="inlineStr">
        <is>
          <t>普通怪</t>
        </is>
      </c>
      <c r="I186">
        <f>IF($H186="",$G186,$H186)</f>
        <v/>
      </c>
      <c r="J186" t="n">
        <v>438</v>
      </c>
      <c r="K186" t="n">
        <v>1.12582067235919</v>
      </c>
      <c r="L186" t="n">
        <v>0.729834891319568</v>
      </c>
      <c r="M186" t="n">
        <v>1</v>
      </c>
      <c r="Q186">
        <f>IF($I186="","",IFERROR(INDEX(_玩家曲线!$H$2:$H$286,MATCH($I186,_玩家曲线!$A$2:$A$286,0)),""))</f>
        <v/>
      </c>
      <c r="R186">
        <f>IF($I186="","",IFERROR(INDEX(_玩家曲线!$I$2:$I$286,MATCH($I186,_玩家曲线!$A$2:$A$286,0)),""))</f>
        <v/>
      </c>
      <c r="S186">
        <f>SUMIF(_爬塔队伍!$A$2:$A$1001,VALUE(SUBSTITUTE(SUBSTITUTE(D186,"第",""),"层","")),_爬塔队伍!$C$2:$C$1001)</f>
        <v/>
      </c>
      <c r="T186">
        <f>SUMIF(_爬塔队伍!$A$2:$A$1001,VALUE(SUBSTITUTE(SUBSTITUTE(D186,"第",""),"层","")),_爬塔队伍!$D$2:$D$1001)</f>
        <v/>
      </c>
      <c r="U186">
        <f>SUMIF(_爬塔队伍!$A$2:$A$1001,VALUE(SUBSTITUTE(SUBSTITUTE(D186,"第",""),"层","")),_爬塔队伍!$E$2:$E$1001)/COUNTIF(_爬塔队伍!$A$2:$A$1001,VALUE(SUBSTITUTE(SUBSTITUTE(D186,"第",""),"层","")))</f>
        <v/>
      </c>
      <c r="V186">
        <f>IF($U186="","",MIN(0.75,$U186/($U186+24000)))</f>
        <v/>
      </c>
      <c r="W186">
        <f>SUMIF(_爬塔队伍!$A$2:$A$1001,VALUE(SUBSTITUTE(SUBSTITUTE(D186,"第",""),"层","")),_爬塔队伍!$F$2:$F$1001)</f>
        <v/>
      </c>
      <c r="X186">
        <f>IF(OR($W186="",$Q186="",$Q186=0),"",$W186/$Q186)</f>
        <v/>
      </c>
      <c r="Y186">
        <f>IF(OR($R186="",$T186="",$T186=0),"",$R186/($T186*IF($O186="",1,$O186)))</f>
        <v/>
      </c>
      <c r="Z186">
        <f>IF(OR($X186="",$P186="",$P186=0),"",$X186/$P186)</f>
        <v/>
      </c>
      <c r="AA186">
        <f>IF($J186="","待填怪物等级",IF(OR($I186="",$Q186=""),"待填对照关卡",IF($P186="","已计算",IF(AND($Y186&lt;&gt;"",$Y186&lt;$X186),"生存不成立","已计算"))))</f>
        <v/>
      </c>
      <c r="AB186">
        <f>IF($J186="","待填",IF(AND(ISNUMBER($J186),$J186&gt;=1,$J186&lt;=500,MOD($J186,1)=0),"有效","超范围"))</f>
        <v/>
      </c>
      <c r="AC186">
        <f>IF(OR($J186="",ROW()=5,$B186&lt;&gt;$B185,$J185=""),"",IF($J186&lt;$J185,"下降",""))</f>
        <v/>
      </c>
      <c r="AD186" t="inlineStr">
        <is>
          <t>终局荣誉层：无同期对照，推荐战力封顶1,590,000（2026-09-20）</t>
        </is>
      </c>
      <c r="AE186" t="n">
        <v>1590000</v>
      </c>
      <c r="AF186">
        <f>INDEX(_统一战力!$B$2:$B$501,J186)</f>
        <v/>
      </c>
    </row>
    <row r="187">
      <c r="A187" t="inlineStr">
        <is>
          <t>当前配置</t>
        </is>
      </c>
      <c r="B187" t="inlineStr">
        <is>
          <t>爬塔</t>
        </is>
      </c>
      <c r="C187" t="inlineStr">
        <is>
          <t>现行包体5</t>
        </is>
      </c>
      <c r="D187" t="inlineStr">
        <is>
          <t>第183层</t>
        </is>
      </c>
      <c r="E187" t="n">
        <v>300483</v>
      </c>
      <c r="F187" t="inlineStr">
        <is>
          <t>普通怪</t>
        </is>
      </c>
      <c r="I187">
        <f>IF($H187="",$G187,$H187)</f>
        <v/>
      </c>
      <c r="J187" t="n">
        <v>441</v>
      </c>
      <c r="K187" t="n">
        <v>1.12582067235919</v>
      </c>
      <c r="L187" t="n">
        <v>0.729834891319568</v>
      </c>
      <c r="M187" t="n">
        <v>1</v>
      </c>
      <c r="Q187">
        <f>IF($I187="","",IFERROR(INDEX(_玩家曲线!$H$2:$H$286,MATCH($I187,_玩家曲线!$A$2:$A$286,0)),""))</f>
        <v/>
      </c>
      <c r="R187">
        <f>IF($I187="","",IFERROR(INDEX(_玩家曲线!$I$2:$I$286,MATCH($I187,_玩家曲线!$A$2:$A$286,0)),""))</f>
        <v/>
      </c>
      <c r="S187">
        <f>SUMIF(_爬塔队伍!$A$2:$A$1001,VALUE(SUBSTITUTE(SUBSTITUTE(D187,"第",""),"层","")),_爬塔队伍!$C$2:$C$1001)</f>
        <v/>
      </c>
      <c r="T187">
        <f>SUMIF(_爬塔队伍!$A$2:$A$1001,VALUE(SUBSTITUTE(SUBSTITUTE(D187,"第",""),"层","")),_爬塔队伍!$D$2:$D$1001)</f>
        <v/>
      </c>
      <c r="U187">
        <f>SUMIF(_爬塔队伍!$A$2:$A$1001,VALUE(SUBSTITUTE(SUBSTITUTE(D187,"第",""),"层","")),_爬塔队伍!$E$2:$E$1001)/COUNTIF(_爬塔队伍!$A$2:$A$1001,VALUE(SUBSTITUTE(SUBSTITUTE(D187,"第",""),"层","")))</f>
        <v/>
      </c>
      <c r="V187">
        <f>IF($U187="","",MIN(0.75,$U187/($U187+24000)))</f>
        <v/>
      </c>
      <c r="W187">
        <f>SUMIF(_爬塔队伍!$A$2:$A$1001,VALUE(SUBSTITUTE(SUBSTITUTE(D187,"第",""),"层","")),_爬塔队伍!$F$2:$F$1001)</f>
        <v/>
      </c>
      <c r="X187">
        <f>IF(OR($W187="",$Q187="",$Q187=0),"",$W187/$Q187)</f>
        <v/>
      </c>
      <c r="Y187">
        <f>IF(OR($R187="",$T187="",$T187=0),"",$R187/($T187*IF($O187="",1,$O187)))</f>
        <v/>
      </c>
      <c r="Z187">
        <f>IF(OR($X187="",$P187="",$P187=0),"",$X187/$P187)</f>
        <v/>
      </c>
      <c r="AA187">
        <f>IF($J187="","待填怪物等级",IF(OR($I187="",$Q187=""),"待填对照关卡",IF($P187="","已计算",IF(AND($Y187&lt;&gt;"",$Y187&lt;$X187),"生存不成立","已计算"))))</f>
        <v/>
      </c>
      <c r="AB187">
        <f>IF($J187="","待填",IF(AND(ISNUMBER($J187),$J187&gt;=1,$J187&lt;=500,MOD($J187,1)=0),"有效","超范围"))</f>
        <v/>
      </c>
      <c r="AC187">
        <f>IF(OR($J187="",ROW()=5,$B187&lt;&gt;$B186,$J186=""),"",IF($J187&lt;$J186,"下降",""))</f>
        <v/>
      </c>
      <c r="AD187" t="inlineStr">
        <is>
          <t>终局荣誉层：无同期对照，推荐战力封顶1,590,000（2026-09-20）</t>
        </is>
      </c>
      <c r="AE187" t="n">
        <v>1590000</v>
      </c>
      <c r="AF187">
        <f>INDEX(_统一战力!$B$2:$B$501,J187)</f>
        <v/>
      </c>
    </row>
    <row r="188">
      <c r="A188" t="inlineStr">
        <is>
          <t>当前配置</t>
        </is>
      </c>
      <c r="B188" t="inlineStr">
        <is>
          <t>爬塔</t>
        </is>
      </c>
      <c r="C188" t="inlineStr">
        <is>
          <t>现行包体5</t>
        </is>
      </c>
      <c r="D188" t="inlineStr">
        <is>
          <t>第184层</t>
        </is>
      </c>
      <c r="E188" t="n">
        <v>300484</v>
      </c>
      <c r="F188" t="inlineStr">
        <is>
          <t>普通怪</t>
        </is>
      </c>
      <c r="I188">
        <f>IF($H188="",$G188,$H188)</f>
        <v/>
      </c>
      <c r="J188" t="n">
        <v>444</v>
      </c>
      <c r="K188" t="n">
        <v>1.12582067235919</v>
      </c>
      <c r="L188" t="n">
        <v>0.729834891319568</v>
      </c>
      <c r="M188" t="n">
        <v>1</v>
      </c>
      <c r="Q188">
        <f>IF($I188="","",IFERROR(INDEX(_玩家曲线!$H$2:$H$286,MATCH($I188,_玩家曲线!$A$2:$A$286,0)),""))</f>
        <v/>
      </c>
      <c r="R188">
        <f>IF($I188="","",IFERROR(INDEX(_玩家曲线!$I$2:$I$286,MATCH($I188,_玩家曲线!$A$2:$A$286,0)),""))</f>
        <v/>
      </c>
      <c r="S188">
        <f>SUMIF(_爬塔队伍!$A$2:$A$1001,VALUE(SUBSTITUTE(SUBSTITUTE(D188,"第",""),"层","")),_爬塔队伍!$C$2:$C$1001)</f>
        <v/>
      </c>
      <c r="T188">
        <f>SUMIF(_爬塔队伍!$A$2:$A$1001,VALUE(SUBSTITUTE(SUBSTITUTE(D188,"第",""),"层","")),_爬塔队伍!$D$2:$D$1001)</f>
        <v/>
      </c>
      <c r="U188">
        <f>SUMIF(_爬塔队伍!$A$2:$A$1001,VALUE(SUBSTITUTE(SUBSTITUTE(D188,"第",""),"层","")),_爬塔队伍!$E$2:$E$1001)/COUNTIF(_爬塔队伍!$A$2:$A$1001,VALUE(SUBSTITUTE(SUBSTITUTE(D188,"第",""),"层","")))</f>
        <v/>
      </c>
      <c r="V188">
        <f>IF($U188="","",MIN(0.75,$U188/($U188+24000)))</f>
        <v/>
      </c>
      <c r="W188">
        <f>SUMIF(_爬塔队伍!$A$2:$A$1001,VALUE(SUBSTITUTE(SUBSTITUTE(D188,"第",""),"层","")),_爬塔队伍!$F$2:$F$1001)</f>
        <v/>
      </c>
      <c r="X188">
        <f>IF(OR($W188="",$Q188="",$Q188=0),"",$W188/$Q188)</f>
        <v/>
      </c>
      <c r="Y188">
        <f>IF(OR($R188="",$T188="",$T188=0),"",$R188/($T188*IF($O188="",1,$O188)))</f>
        <v/>
      </c>
      <c r="Z188">
        <f>IF(OR($X188="",$P188="",$P188=0),"",$X188/$P188)</f>
        <v/>
      </c>
      <c r="AA188">
        <f>IF($J188="","待填怪物等级",IF(OR($I188="",$Q188=""),"待填对照关卡",IF($P188="","已计算",IF(AND($Y188&lt;&gt;"",$Y188&lt;$X188),"生存不成立","已计算"))))</f>
        <v/>
      </c>
      <c r="AB188">
        <f>IF($J188="","待填",IF(AND(ISNUMBER($J188),$J188&gt;=1,$J188&lt;=500,MOD($J188,1)=0),"有效","超范围"))</f>
        <v/>
      </c>
      <c r="AC188">
        <f>IF(OR($J188="",ROW()=5,$B188&lt;&gt;$B187,$J187=""),"",IF($J188&lt;$J187,"下降",""))</f>
        <v/>
      </c>
      <c r="AD188" t="inlineStr">
        <is>
          <t>终局荣誉层：无同期对照，推荐战力封顶1,590,000（2026-09-20）</t>
        </is>
      </c>
      <c r="AE188" t="n">
        <v>1590000</v>
      </c>
      <c r="AF188">
        <f>INDEX(_统一战力!$B$2:$B$501,J188)</f>
        <v/>
      </c>
    </row>
    <row r="189">
      <c r="A189" t="inlineStr">
        <is>
          <t>当前配置</t>
        </is>
      </c>
      <c r="B189" t="inlineStr">
        <is>
          <t>爬塔</t>
        </is>
      </c>
      <c r="C189" t="inlineStr">
        <is>
          <t>现行包体5</t>
        </is>
      </c>
      <c r="D189" t="inlineStr">
        <is>
          <t>第185层</t>
        </is>
      </c>
      <c r="E189" t="n">
        <v>300485</v>
      </c>
      <c r="F189" t="inlineStr">
        <is>
          <t>精英怪</t>
        </is>
      </c>
      <c r="I189">
        <f>IF($H189="",$G189,$H189)</f>
        <v/>
      </c>
      <c r="J189" t="n">
        <v>447</v>
      </c>
      <c r="K189" t="n">
        <v>1.13108015591293</v>
      </c>
      <c r="L189" t="n">
        <v>0.726679309784578</v>
      </c>
      <c r="M189" t="n">
        <v>1</v>
      </c>
      <c r="Q189">
        <f>IF($I189="","",IFERROR(INDEX(_玩家曲线!$H$2:$H$286,MATCH($I189,_玩家曲线!$A$2:$A$286,0)),""))</f>
        <v/>
      </c>
      <c r="R189">
        <f>IF($I189="","",IFERROR(INDEX(_玩家曲线!$I$2:$I$286,MATCH($I189,_玩家曲线!$A$2:$A$286,0)),""))</f>
        <v/>
      </c>
      <c r="S189">
        <f>SUMIF(_爬塔队伍!$A$2:$A$1001,VALUE(SUBSTITUTE(SUBSTITUTE(D189,"第",""),"层","")),_爬塔队伍!$C$2:$C$1001)</f>
        <v/>
      </c>
      <c r="T189">
        <f>SUMIF(_爬塔队伍!$A$2:$A$1001,VALUE(SUBSTITUTE(SUBSTITUTE(D189,"第",""),"层","")),_爬塔队伍!$D$2:$D$1001)</f>
        <v/>
      </c>
      <c r="U189">
        <f>SUMIF(_爬塔队伍!$A$2:$A$1001,VALUE(SUBSTITUTE(SUBSTITUTE(D189,"第",""),"层","")),_爬塔队伍!$E$2:$E$1001)/COUNTIF(_爬塔队伍!$A$2:$A$1001,VALUE(SUBSTITUTE(SUBSTITUTE(D189,"第",""),"层","")))</f>
        <v/>
      </c>
      <c r="V189">
        <f>IF($U189="","",MIN(0.75,$U189/($U189+24000)))</f>
        <v/>
      </c>
      <c r="W189">
        <f>SUMIF(_爬塔队伍!$A$2:$A$1001,VALUE(SUBSTITUTE(SUBSTITUTE(D189,"第",""),"层","")),_爬塔队伍!$F$2:$F$1001)</f>
        <v/>
      </c>
      <c r="X189">
        <f>IF(OR($W189="",$Q189="",$Q189=0),"",$W189/$Q189)</f>
        <v/>
      </c>
      <c r="Y189">
        <f>IF(OR($R189="",$T189="",$T189=0),"",$R189/($T189*IF($O189="",1,$O189)))</f>
        <v/>
      </c>
      <c r="Z189">
        <f>IF(OR($X189="",$P189="",$P189=0),"",$X189/$P189)</f>
        <v/>
      </c>
      <c r="AA189">
        <f>IF($J189="","待填怪物等级",IF(OR($I189="",$Q189=""),"待填对照关卡",IF($P189="","已计算",IF(AND($Y189&lt;&gt;"",$Y189&lt;$X189),"生存不成立","已计算"))))</f>
        <v/>
      </c>
      <c r="AB189">
        <f>IF($J189="","待填",IF(AND(ISNUMBER($J189),$J189&gt;=1,$J189&lt;=500,MOD($J189,1)=0),"有效","超范围"))</f>
        <v/>
      </c>
      <c r="AC189">
        <f>IF(OR($J189="",ROW()=5,$B189&lt;&gt;$B188,$J188=""),"",IF($J189&lt;$J188,"下降",""))</f>
        <v/>
      </c>
      <c r="AD189" t="inlineStr">
        <is>
          <t>终局荣誉层：无同期对照，推荐战力封顶1,590,000（2026-09-20）</t>
        </is>
      </c>
      <c r="AE189" t="n">
        <v>1590000</v>
      </c>
      <c r="AF189">
        <f>INDEX(_统一战力!$B$2:$B$501,J189)</f>
        <v/>
      </c>
    </row>
    <row r="190">
      <c r="A190" t="inlineStr">
        <is>
          <t>当前配置</t>
        </is>
      </c>
      <c r="B190" t="inlineStr">
        <is>
          <t>爬塔</t>
        </is>
      </c>
      <c r="C190" t="inlineStr">
        <is>
          <t>现行包体5</t>
        </is>
      </c>
      <c r="D190" t="inlineStr">
        <is>
          <t>第186层</t>
        </is>
      </c>
      <c r="E190" t="n">
        <v>300486</v>
      </c>
      <c r="F190" t="inlineStr">
        <is>
          <t>普通怪</t>
        </is>
      </c>
      <c r="I190">
        <f>IF($H190="",$G190,$H190)</f>
        <v/>
      </c>
      <c r="J190" t="n">
        <v>450</v>
      </c>
      <c r="K190" t="n">
        <v>1.12582067235919</v>
      </c>
      <c r="L190" t="n">
        <v>0.729834891319568</v>
      </c>
      <c r="M190" t="n">
        <v>1</v>
      </c>
      <c r="Q190">
        <f>IF($I190="","",IFERROR(INDEX(_玩家曲线!$H$2:$H$286,MATCH($I190,_玩家曲线!$A$2:$A$286,0)),""))</f>
        <v/>
      </c>
      <c r="R190">
        <f>IF($I190="","",IFERROR(INDEX(_玩家曲线!$I$2:$I$286,MATCH($I190,_玩家曲线!$A$2:$A$286,0)),""))</f>
        <v/>
      </c>
      <c r="S190">
        <f>SUMIF(_爬塔队伍!$A$2:$A$1001,VALUE(SUBSTITUTE(SUBSTITUTE(D190,"第",""),"层","")),_爬塔队伍!$C$2:$C$1001)</f>
        <v/>
      </c>
      <c r="T190">
        <f>SUMIF(_爬塔队伍!$A$2:$A$1001,VALUE(SUBSTITUTE(SUBSTITUTE(D190,"第",""),"层","")),_爬塔队伍!$D$2:$D$1001)</f>
        <v/>
      </c>
      <c r="U190">
        <f>SUMIF(_爬塔队伍!$A$2:$A$1001,VALUE(SUBSTITUTE(SUBSTITUTE(D190,"第",""),"层","")),_爬塔队伍!$E$2:$E$1001)/COUNTIF(_爬塔队伍!$A$2:$A$1001,VALUE(SUBSTITUTE(SUBSTITUTE(D190,"第",""),"层","")))</f>
        <v/>
      </c>
      <c r="V190">
        <f>IF($U190="","",MIN(0.75,$U190/($U190+24000)))</f>
        <v/>
      </c>
      <c r="W190">
        <f>SUMIF(_爬塔队伍!$A$2:$A$1001,VALUE(SUBSTITUTE(SUBSTITUTE(D190,"第",""),"层","")),_爬塔队伍!$F$2:$F$1001)</f>
        <v/>
      </c>
      <c r="X190">
        <f>IF(OR($W190="",$Q190="",$Q190=0),"",$W190/$Q190)</f>
        <v/>
      </c>
      <c r="Y190">
        <f>IF(OR($R190="",$T190="",$T190=0),"",$R190/($T190*IF($O190="",1,$O190)))</f>
        <v/>
      </c>
      <c r="Z190">
        <f>IF(OR($X190="",$P190="",$P190=0),"",$X190/$P190)</f>
        <v/>
      </c>
      <c r="AA190">
        <f>IF($J190="","待填怪物等级",IF(OR($I190="",$Q190=""),"待填对照关卡",IF($P190="","已计算",IF(AND($Y190&lt;&gt;"",$Y190&lt;$X190),"生存不成立","已计算"))))</f>
        <v/>
      </c>
      <c r="AB190">
        <f>IF($J190="","待填",IF(AND(ISNUMBER($J190),$J190&gt;=1,$J190&lt;=500,MOD($J190,1)=0),"有效","超范围"))</f>
        <v/>
      </c>
      <c r="AC190">
        <f>IF(OR($J190="",ROW()=5,$B190&lt;&gt;$B189,$J189=""),"",IF($J190&lt;$J189,"下降",""))</f>
        <v/>
      </c>
      <c r="AD190" t="inlineStr">
        <is>
          <t>终局荣誉层：无同期对照，推荐战力封顶1,590,000（2026-09-20）</t>
        </is>
      </c>
      <c r="AE190" t="n">
        <v>1590000</v>
      </c>
      <c r="AF190">
        <f>INDEX(_统一战力!$B$2:$B$501,J190)</f>
        <v/>
      </c>
    </row>
    <row r="191">
      <c r="A191" t="inlineStr">
        <is>
          <t>当前配置</t>
        </is>
      </c>
      <c r="B191" t="inlineStr">
        <is>
          <t>爬塔</t>
        </is>
      </c>
      <c r="C191" t="inlineStr">
        <is>
          <t>现行包体5</t>
        </is>
      </c>
      <c r="D191" t="inlineStr">
        <is>
          <t>第187层</t>
        </is>
      </c>
      <c r="E191" t="n">
        <v>300487</v>
      </c>
      <c r="F191" t="inlineStr">
        <is>
          <t>普通怪</t>
        </is>
      </c>
      <c r="I191">
        <f>IF($H191="",$G191,$H191)</f>
        <v/>
      </c>
      <c r="J191" t="n">
        <v>453</v>
      </c>
      <c r="K191" t="n">
        <v>1.12582067235919</v>
      </c>
      <c r="L191" t="n">
        <v>0.729834891319568</v>
      </c>
      <c r="M191" t="n">
        <v>1</v>
      </c>
      <c r="Q191">
        <f>IF($I191="","",IFERROR(INDEX(_玩家曲线!$H$2:$H$286,MATCH($I191,_玩家曲线!$A$2:$A$286,0)),""))</f>
        <v/>
      </c>
      <c r="R191">
        <f>IF($I191="","",IFERROR(INDEX(_玩家曲线!$I$2:$I$286,MATCH($I191,_玩家曲线!$A$2:$A$286,0)),""))</f>
        <v/>
      </c>
      <c r="S191">
        <f>SUMIF(_爬塔队伍!$A$2:$A$1001,VALUE(SUBSTITUTE(SUBSTITUTE(D191,"第",""),"层","")),_爬塔队伍!$C$2:$C$1001)</f>
        <v/>
      </c>
      <c r="T191">
        <f>SUMIF(_爬塔队伍!$A$2:$A$1001,VALUE(SUBSTITUTE(SUBSTITUTE(D191,"第",""),"层","")),_爬塔队伍!$D$2:$D$1001)</f>
        <v/>
      </c>
      <c r="U191">
        <f>SUMIF(_爬塔队伍!$A$2:$A$1001,VALUE(SUBSTITUTE(SUBSTITUTE(D191,"第",""),"层","")),_爬塔队伍!$E$2:$E$1001)/COUNTIF(_爬塔队伍!$A$2:$A$1001,VALUE(SUBSTITUTE(SUBSTITUTE(D191,"第",""),"层","")))</f>
        <v/>
      </c>
      <c r="V191">
        <f>IF($U191="","",MIN(0.75,$U191/($U191+24000)))</f>
        <v/>
      </c>
      <c r="W191">
        <f>SUMIF(_爬塔队伍!$A$2:$A$1001,VALUE(SUBSTITUTE(SUBSTITUTE(D191,"第",""),"层","")),_爬塔队伍!$F$2:$F$1001)</f>
        <v/>
      </c>
      <c r="X191">
        <f>IF(OR($W191="",$Q191="",$Q191=0),"",$W191/$Q191)</f>
        <v/>
      </c>
      <c r="Y191">
        <f>IF(OR($R191="",$T191="",$T191=0),"",$R191/($T191*IF($O191="",1,$O191)))</f>
        <v/>
      </c>
      <c r="Z191">
        <f>IF(OR($X191="",$P191="",$P191=0),"",$X191/$P191)</f>
        <v/>
      </c>
      <c r="AA191">
        <f>IF($J191="","待填怪物等级",IF(OR($I191="",$Q191=""),"待填对照关卡",IF($P191="","已计算",IF(AND($Y191&lt;&gt;"",$Y191&lt;$X191),"生存不成立","已计算"))))</f>
        <v/>
      </c>
      <c r="AB191">
        <f>IF($J191="","待填",IF(AND(ISNUMBER($J191),$J191&gt;=1,$J191&lt;=500,MOD($J191,1)=0),"有效","超范围"))</f>
        <v/>
      </c>
      <c r="AC191">
        <f>IF(OR($J191="",ROW()=5,$B191&lt;&gt;$B190,$J190=""),"",IF($J191&lt;$J190,"下降",""))</f>
        <v/>
      </c>
      <c r="AD191" t="inlineStr">
        <is>
          <t>终局荣誉层：无同期对照，推荐战力封顶1,590,000（2026-09-20）</t>
        </is>
      </c>
      <c r="AE191" t="n">
        <v>1590000</v>
      </c>
      <c r="AF191">
        <f>INDEX(_统一战力!$B$2:$B$501,J191)</f>
        <v/>
      </c>
    </row>
    <row r="192">
      <c r="A192" t="inlineStr">
        <is>
          <t>当前配置</t>
        </is>
      </c>
      <c r="B192" t="inlineStr">
        <is>
          <t>爬塔</t>
        </is>
      </c>
      <c r="C192" t="inlineStr">
        <is>
          <t>现行包体5</t>
        </is>
      </c>
      <c r="D192" t="inlineStr">
        <is>
          <t>第188层</t>
        </is>
      </c>
      <c r="E192" t="n">
        <v>300488</v>
      </c>
      <c r="F192" t="inlineStr">
        <is>
          <t>普通怪</t>
        </is>
      </c>
      <c r="I192">
        <f>IF($H192="",$G192,$H192)</f>
        <v/>
      </c>
      <c r="J192" t="n">
        <v>456</v>
      </c>
      <c r="K192" t="n">
        <v>1.12582067235919</v>
      </c>
      <c r="L192" t="n">
        <v>0.729834891319568</v>
      </c>
      <c r="M192" t="n">
        <v>1</v>
      </c>
      <c r="Q192">
        <f>IF($I192="","",IFERROR(INDEX(_玩家曲线!$H$2:$H$286,MATCH($I192,_玩家曲线!$A$2:$A$286,0)),""))</f>
        <v/>
      </c>
      <c r="R192">
        <f>IF($I192="","",IFERROR(INDEX(_玩家曲线!$I$2:$I$286,MATCH($I192,_玩家曲线!$A$2:$A$286,0)),""))</f>
        <v/>
      </c>
      <c r="S192">
        <f>SUMIF(_爬塔队伍!$A$2:$A$1001,VALUE(SUBSTITUTE(SUBSTITUTE(D192,"第",""),"层","")),_爬塔队伍!$C$2:$C$1001)</f>
        <v/>
      </c>
      <c r="T192">
        <f>SUMIF(_爬塔队伍!$A$2:$A$1001,VALUE(SUBSTITUTE(SUBSTITUTE(D192,"第",""),"层","")),_爬塔队伍!$D$2:$D$1001)</f>
        <v/>
      </c>
      <c r="U192">
        <f>SUMIF(_爬塔队伍!$A$2:$A$1001,VALUE(SUBSTITUTE(SUBSTITUTE(D192,"第",""),"层","")),_爬塔队伍!$E$2:$E$1001)/COUNTIF(_爬塔队伍!$A$2:$A$1001,VALUE(SUBSTITUTE(SUBSTITUTE(D192,"第",""),"层","")))</f>
        <v/>
      </c>
      <c r="V192">
        <f>IF($U192="","",MIN(0.75,$U192/($U192+24000)))</f>
        <v/>
      </c>
      <c r="W192">
        <f>SUMIF(_爬塔队伍!$A$2:$A$1001,VALUE(SUBSTITUTE(SUBSTITUTE(D192,"第",""),"层","")),_爬塔队伍!$F$2:$F$1001)</f>
        <v/>
      </c>
      <c r="X192">
        <f>IF(OR($W192="",$Q192="",$Q192=0),"",$W192/$Q192)</f>
        <v/>
      </c>
      <c r="Y192">
        <f>IF(OR($R192="",$T192="",$T192=0),"",$R192/($T192*IF($O192="",1,$O192)))</f>
        <v/>
      </c>
      <c r="Z192">
        <f>IF(OR($X192="",$P192="",$P192=0),"",$X192/$P192)</f>
        <v/>
      </c>
      <c r="AA192">
        <f>IF($J192="","待填怪物等级",IF(OR($I192="",$Q192=""),"待填对照关卡",IF($P192="","已计算",IF(AND($Y192&lt;&gt;"",$Y192&lt;$X192),"生存不成立","已计算"))))</f>
        <v/>
      </c>
      <c r="AB192">
        <f>IF($J192="","待填",IF(AND(ISNUMBER($J192),$J192&gt;=1,$J192&lt;=500,MOD($J192,1)=0),"有效","超范围"))</f>
        <v/>
      </c>
      <c r="AC192">
        <f>IF(OR($J192="",ROW()=5,$B192&lt;&gt;$B191,$J191=""),"",IF($J192&lt;$J191,"下降",""))</f>
        <v/>
      </c>
      <c r="AD192" t="inlineStr">
        <is>
          <t>终局荣誉层：无同期对照，推荐战力封顶1,590,000（2026-09-20）</t>
        </is>
      </c>
      <c r="AE192" t="n">
        <v>1590000</v>
      </c>
      <c r="AF192">
        <f>INDEX(_统一战力!$B$2:$B$501,J192)</f>
        <v/>
      </c>
    </row>
    <row r="193">
      <c r="A193" t="inlineStr">
        <is>
          <t>当前配置</t>
        </is>
      </c>
      <c r="B193" t="inlineStr">
        <is>
          <t>爬塔</t>
        </is>
      </c>
      <c r="C193" t="inlineStr">
        <is>
          <t>现行包体5</t>
        </is>
      </c>
      <c r="D193" t="inlineStr">
        <is>
          <t>第189层</t>
        </is>
      </c>
      <c r="E193" t="n">
        <v>300489</v>
      </c>
      <c r="F193" t="inlineStr">
        <is>
          <t>普通怪</t>
        </is>
      </c>
      <c r="I193">
        <f>IF($H193="",$G193,$H193)</f>
        <v/>
      </c>
      <c r="J193" t="n">
        <v>459</v>
      </c>
      <c r="K193" t="n">
        <v>1.12582067235919</v>
      </c>
      <c r="L193" t="n">
        <v>0.729834891319568</v>
      </c>
      <c r="M193" t="n">
        <v>1</v>
      </c>
      <c r="Q193">
        <f>IF($I193="","",IFERROR(INDEX(_玩家曲线!$H$2:$H$286,MATCH($I193,_玩家曲线!$A$2:$A$286,0)),""))</f>
        <v/>
      </c>
      <c r="R193">
        <f>IF($I193="","",IFERROR(INDEX(_玩家曲线!$I$2:$I$286,MATCH($I193,_玩家曲线!$A$2:$A$286,0)),""))</f>
        <v/>
      </c>
      <c r="S193">
        <f>SUMIF(_爬塔队伍!$A$2:$A$1001,VALUE(SUBSTITUTE(SUBSTITUTE(D193,"第",""),"层","")),_爬塔队伍!$C$2:$C$1001)</f>
        <v/>
      </c>
      <c r="T193">
        <f>SUMIF(_爬塔队伍!$A$2:$A$1001,VALUE(SUBSTITUTE(SUBSTITUTE(D193,"第",""),"层","")),_爬塔队伍!$D$2:$D$1001)</f>
        <v/>
      </c>
      <c r="U193">
        <f>SUMIF(_爬塔队伍!$A$2:$A$1001,VALUE(SUBSTITUTE(SUBSTITUTE(D193,"第",""),"层","")),_爬塔队伍!$E$2:$E$1001)/COUNTIF(_爬塔队伍!$A$2:$A$1001,VALUE(SUBSTITUTE(SUBSTITUTE(D193,"第",""),"层","")))</f>
        <v/>
      </c>
      <c r="V193">
        <f>IF($U193="","",MIN(0.75,$U193/($U193+24000)))</f>
        <v/>
      </c>
      <c r="W193">
        <f>SUMIF(_爬塔队伍!$A$2:$A$1001,VALUE(SUBSTITUTE(SUBSTITUTE(D193,"第",""),"层","")),_爬塔队伍!$F$2:$F$1001)</f>
        <v/>
      </c>
      <c r="X193">
        <f>IF(OR($W193="",$Q193="",$Q193=0),"",$W193/$Q193)</f>
        <v/>
      </c>
      <c r="Y193">
        <f>IF(OR($R193="",$T193="",$T193=0),"",$R193/($T193*IF($O193="",1,$O193)))</f>
        <v/>
      </c>
      <c r="Z193">
        <f>IF(OR($X193="",$P193="",$P193=0),"",$X193/$P193)</f>
        <v/>
      </c>
      <c r="AA193">
        <f>IF($J193="","待填怪物等级",IF(OR($I193="",$Q193=""),"待填对照关卡",IF($P193="","已计算",IF(AND($Y193&lt;&gt;"",$Y193&lt;$X193),"生存不成立","已计算"))))</f>
        <v/>
      </c>
      <c r="AB193">
        <f>IF($J193="","待填",IF(AND(ISNUMBER($J193),$J193&gt;=1,$J193&lt;=500,MOD($J193,1)=0),"有效","超范围"))</f>
        <v/>
      </c>
      <c r="AC193">
        <f>IF(OR($J193="",ROW()=5,$B193&lt;&gt;$B192,$J192=""),"",IF($J193&lt;$J192,"下降",""))</f>
        <v/>
      </c>
      <c r="AD193" t="inlineStr">
        <is>
          <t>终局荣誉层：无同期对照，推荐战力封顶1,590,000（2026-09-20）</t>
        </is>
      </c>
      <c r="AE193" t="n">
        <v>1590000</v>
      </c>
      <c r="AF193">
        <f>INDEX(_统一战力!$B$2:$B$501,J193)</f>
        <v/>
      </c>
    </row>
    <row r="194">
      <c r="A194" t="inlineStr">
        <is>
          <t>当前配置</t>
        </is>
      </c>
      <c r="B194" t="inlineStr">
        <is>
          <t>爬塔</t>
        </is>
      </c>
      <c r="C194" t="inlineStr">
        <is>
          <t>现行包体5</t>
        </is>
      </c>
      <c r="D194" t="inlineStr">
        <is>
          <t>第190层</t>
        </is>
      </c>
      <c r="E194" t="n">
        <v>300490</v>
      </c>
      <c r="F194" t="inlineStr">
        <is>
          <t>Boss</t>
        </is>
      </c>
      <c r="I194">
        <f>IF($H194="",$G194,$H194)</f>
        <v/>
      </c>
      <c r="J194" t="n">
        <v>462</v>
      </c>
      <c r="K194" t="n">
        <v>1.12671592412141</v>
      </c>
      <c r="L194" t="n">
        <v>0.731229508674054</v>
      </c>
      <c r="M194" t="n">
        <v>1</v>
      </c>
      <c r="Q194">
        <f>IF($I194="","",IFERROR(INDEX(_玩家曲线!$H$2:$H$286,MATCH($I194,_玩家曲线!$A$2:$A$286,0)),""))</f>
        <v/>
      </c>
      <c r="R194">
        <f>IF($I194="","",IFERROR(INDEX(_玩家曲线!$I$2:$I$286,MATCH($I194,_玩家曲线!$A$2:$A$286,0)),""))</f>
        <v/>
      </c>
      <c r="S194">
        <f>SUMIF(_爬塔队伍!$A$2:$A$1001,VALUE(SUBSTITUTE(SUBSTITUTE(D194,"第",""),"层","")),_爬塔队伍!$C$2:$C$1001)</f>
        <v/>
      </c>
      <c r="T194">
        <f>SUMIF(_爬塔队伍!$A$2:$A$1001,VALUE(SUBSTITUTE(SUBSTITUTE(D194,"第",""),"层","")),_爬塔队伍!$D$2:$D$1001)</f>
        <v/>
      </c>
      <c r="U194">
        <f>SUMIF(_爬塔队伍!$A$2:$A$1001,VALUE(SUBSTITUTE(SUBSTITUTE(D194,"第",""),"层","")),_爬塔队伍!$E$2:$E$1001)/COUNTIF(_爬塔队伍!$A$2:$A$1001,VALUE(SUBSTITUTE(SUBSTITUTE(D194,"第",""),"层","")))</f>
        <v/>
      </c>
      <c r="V194">
        <f>IF($U194="","",MIN(0.75,$U194/($U194+24000)))</f>
        <v/>
      </c>
      <c r="W194">
        <f>SUMIF(_爬塔队伍!$A$2:$A$1001,VALUE(SUBSTITUTE(SUBSTITUTE(D194,"第",""),"层","")),_爬塔队伍!$F$2:$F$1001)</f>
        <v/>
      </c>
      <c r="X194">
        <f>IF(OR($W194="",$Q194="",$Q194=0),"",$W194/$Q194)</f>
        <v/>
      </c>
      <c r="Y194">
        <f>IF(OR($R194="",$T194="",$T194=0),"",$R194/($T194*IF($O194="",1,$O194)))</f>
        <v/>
      </c>
      <c r="Z194">
        <f>IF(OR($X194="",$P194="",$P194=0),"",$X194/$P194)</f>
        <v/>
      </c>
      <c r="AA194">
        <f>IF($J194="","待填怪物等级",IF(OR($I194="",$Q194=""),"待填对照关卡",IF($P194="","已计算",IF(AND($Y194&lt;&gt;"",$Y194&lt;$X194),"生存不成立","已计算"))))</f>
        <v/>
      </c>
      <c r="AB194">
        <f>IF($J194="","待填",IF(AND(ISNUMBER($J194),$J194&gt;=1,$J194&lt;=500,MOD($J194,1)=0),"有效","超范围"))</f>
        <v/>
      </c>
      <c r="AC194">
        <f>IF(OR($J194="",ROW()=5,$B194&lt;&gt;$B193,$J193=""),"",IF($J194&lt;$J193,"下降",""))</f>
        <v/>
      </c>
      <c r="AD194" t="inlineStr">
        <is>
          <t>终局荣誉层：无同期对照，推荐战力封顶1,590,000（2026-09-20）</t>
        </is>
      </c>
      <c r="AE194" t="n">
        <v>1590000</v>
      </c>
      <c r="AF194">
        <f>INDEX(_统一战力!$B$2:$B$501,J194)</f>
        <v/>
      </c>
    </row>
    <row r="195">
      <c r="A195" t="inlineStr">
        <is>
          <t>当前配置</t>
        </is>
      </c>
      <c r="B195" t="inlineStr">
        <is>
          <t>爬塔</t>
        </is>
      </c>
      <c r="C195" t="inlineStr">
        <is>
          <t>现行包体5</t>
        </is>
      </c>
      <c r="D195" t="inlineStr">
        <is>
          <t>第191层</t>
        </is>
      </c>
      <c r="E195" t="n">
        <v>300491</v>
      </c>
      <c r="F195" t="inlineStr">
        <is>
          <t>普通怪</t>
        </is>
      </c>
      <c r="I195">
        <f>IF($H195="",$G195,$H195)</f>
        <v/>
      </c>
      <c r="J195" t="n">
        <v>466</v>
      </c>
      <c r="K195" t="n">
        <v>1.12582067235919</v>
      </c>
      <c r="L195" t="n">
        <v>0.729834891319568</v>
      </c>
      <c r="M195" t="n">
        <v>1</v>
      </c>
      <c r="Q195">
        <f>IF($I195="","",IFERROR(INDEX(_玩家曲线!$H$2:$H$286,MATCH($I195,_玩家曲线!$A$2:$A$286,0)),""))</f>
        <v/>
      </c>
      <c r="R195">
        <f>IF($I195="","",IFERROR(INDEX(_玩家曲线!$I$2:$I$286,MATCH($I195,_玩家曲线!$A$2:$A$286,0)),""))</f>
        <v/>
      </c>
      <c r="S195">
        <f>SUMIF(_爬塔队伍!$A$2:$A$1001,VALUE(SUBSTITUTE(SUBSTITUTE(D195,"第",""),"层","")),_爬塔队伍!$C$2:$C$1001)</f>
        <v/>
      </c>
      <c r="T195">
        <f>SUMIF(_爬塔队伍!$A$2:$A$1001,VALUE(SUBSTITUTE(SUBSTITUTE(D195,"第",""),"层","")),_爬塔队伍!$D$2:$D$1001)</f>
        <v/>
      </c>
      <c r="U195">
        <f>SUMIF(_爬塔队伍!$A$2:$A$1001,VALUE(SUBSTITUTE(SUBSTITUTE(D195,"第",""),"层","")),_爬塔队伍!$E$2:$E$1001)/COUNTIF(_爬塔队伍!$A$2:$A$1001,VALUE(SUBSTITUTE(SUBSTITUTE(D195,"第",""),"层","")))</f>
        <v/>
      </c>
      <c r="V195">
        <f>IF($U195="","",MIN(0.75,$U195/($U195+24000)))</f>
        <v/>
      </c>
      <c r="W195">
        <f>SUMIF(_爬塔队伍!$A$2:$A$1001,VALUE(SUBSTITUTE(SUBSTITUTE(D195,"第",""),"层","")),_爬塔队伍!$F$2:$F$1001)</f>
        <v/>
      </c>
      <c r="X195">
        <f>IF(OR($W195="",$Q195="",$Q195=0),"",$W195/$Q195)</f>
        <v/>
      </c>
      <c r="Y195">
        <f>IF(OR($R195="",$T195="",$T195=0),"",$R195/($T195*IF($O195="",1,$O195)))</f>
        <v/>
      </c>
      <c r="Z195">
        <f>IF(OR($X195="",$P195="",$P195=0),"",$X195/$P195)</f>
        <v/>
      </c>
      <c r="AA195">
        <f>IF($J195="","待填怪物等级",IF(OR($I195="",$Q195=""),"待填对照关卡",IF($P195="","已计算",IF(AND($Y195&lt;&gt;"",$Y195&lt;$X195),"生存不成立","已计算"))))</f>
        <v/>
      </c>
      <c r="AB195">
        <f>IF($J195="","待填",IF(AND(ISNUMBER($J195),$J195&gt;=1,$J195&lt;=500,MOD($J195,1)=0),"有效","超范围"))</f>
        <v/>
      </c>
      <c r="AC195">
        <f>IF(OR($J195="",ROW()=5,$B195&lt;&gt;$B194,$J194=""),"",IF($J195&lt;$J194,"下降",""))</f>
        <v/>
      </c>
      <c r="AD195" t="inlineStr">
        <is>
          <t>终局荣誉层：无同期对照，推荐战力封顶1,590,000（2026-09-20）</t>
        </is>
      </c>
      <c r="AE195" t="n">
        <v>1590000</v>
      </c>
      <c r="AF195">
        <f>INDEX(_统一战力!$B$2:$B$501,J195)</f>
        <v/>
      </c>
    </row>
    <row r="196">
      <c r="A196" t="inlineStr">
        <is>
          <t>当前配置</t>
        </is>
      </c>
      <c r="B196" t="inlineStr">
        <is>
          <t>爬塔</t>
        </is>
      </c>
      <c r="C196" t="inlineStr">
        <is>
          <t>现行包体5</t>
        </is>
      </c>
      <c r="D196" t="inlineStr">
        <is>
          <t>第192层</t>
        </is>
      </c>
      <c r="E196" t="n">
        <v>300492</v>
      </c>
      <c r="F196" t="inlineStr">
        <is>
          <t>普通怪</t>
        </is>
      </c>
      <c r="I196">
        <f>IF($H196="",$G196,$H196)</f>
        <v/>
      </c>
      <c r="J196" t="n">
        <v>470</v>
      </c>
      <c r="K196" t="n">
        <v>1.12582067235919</v>
      </c>
      <c r="L196" t="n">
        <v>0.729834891319568</v>
      </c>
      <c r="M196" t="n">
        <v>1</v>
      </c>
      <c r="Q196">
        <f>IF($I196="","",IFERROR(INDEX(_玩家曲线!$H$2:$H$286,MATCH($I196,_玩家曲线!$A$2:$A$286,0)),""))</f>
        <v/>
      </c>
      <c r="R196">
        <f>IF($I196="","",IFERROR(INDEX(_玩家曲线!$I$2:$I$286,MATCH($I196,_玩家曲线!$A$2:$A$286,0)),""))</f>
        <v/>
      </c>
      <c r="S196">
        <f>SUMIF(_爬塔队伍!$A$2:$A$1001,VALUE(SUBSTITUTE(SUBSTITUTE(D196,"第",""),"层","")),_爬塔队伍!$C$2:$C$1001)</f>
        <v/>
      </c>
      <c r="T196">
        <f>SUMIF(_爬塔队伍!$A$2:$A$1001,VALUE(SUBSTITUTE(SUBSTITUTE(D196,"第",""),"层","")),_爬塔队伍!$D$2:$D$1001)</f>
        <v/>
      </c>
      <c r="U196">
        <f>SUMIF(_爬塔队伍!$A$2:$A$1001,VALUE(SUBSTITUTE(SUBSTITUTE(D196,"第",""),"层","")),_爬塔队伍!$E$2:$E$1001)/COUNTIF(_爬塔队伍!$A$2:$A$1001,VALUE(SUBSTITUTE(SUBSTITUTE(D196,"第",""),"层","")))</f>
        <v/>
      </c>
      <c r="V196">
        <f>IF($U196="","",MIN(0.75,$U196/($U196+24000)))</f>
        <v/>
      </c>
      <c r="W196">
        <f>SUMIF(_爬塔队伍!$A$2:$A$1001,VALUE(SUBSTITUTE(SUBSTITUTE(D196,"第",""),"层","")),_爬塔队伍!$F$2:$F$1001)</f>
        <v/>
      </c>
      <c r="X196">
        <f>IF(OR($W196="",$Q196="",$Q196=0),"",$W196/$Q196)</f>
        <v/>
      </c>
      <c r="Y196">
        <f>IF(OR($R196="",$T196="",$T196=0),"",$R196/($T196*IF($O196="",1,$O196)))</f>
        <v/>
      </c>
      <c r="Z196">
        <f>IF(OR($X196="",$P196="",$P196=0),"",$X196/$P196)</f>
        <v/>
      </c>
      <c r="AA196">
        <f>IF($J196="","待填怪物等级",IF(OR($I196="",$Q196=""),"待填对照关卡",IF($P196="","已计算",IF(AND($Y196&lt;&gt;"",$Y196&lt;$X196),"生存不成立","已计算"))))</f>
        <v/>
      </c>
      <c r="AB196">
        <f>IF($J196="","待填",IF(AND(ISNUMBER($J196),$J196&gt;=1,$J196&lt;=500,MOD($J196,1)=0),"有效","超范围"))</f>
        <v/>
      </c>
      <c r="AC196">
        <f>IF(OR($J196="",ROW()=5,$B196&lt;&gt;$B195,$J195=""),"",IF($J196&lt;$J195,"下降",""))</f>
        <v/>
      </c>
      <c r="AD196" t="inlineStr">
        <is>
          <t>终局荣誉层：无同期对照，推荐战力封顶1,590,000（2026-09-20）</t>
        </is>
      </c>
      <c r="AE196" t="n">
        <v>1590000</v>
      </c>
      <c r="AF196">
        <f>INDEX(_统一战力!$B$2:$B$501,J196)</f>
        <v/>
      </c>
    </row>
    <row r="197">
      <c r="A197" t="inlineStr">
        <is>
          <t>当前配置</t>
        </is>
      </c>
      <c r="B197" t="inlineStr">
        <is>
          <t>爬塔</t>
        </is>
      </c>
      <c r="C197" t="inlineStr">
        <is>
          <t>现行包体5</t>
        </is>
      </c>
      <c r="D197" t="inlineStr">
        <is>
          <t>第193层</t>
        </is>
      </c>
      <c r="E197" t="n">
        <v>300493</v>
      </c>
      <c r="F197" t="inlineStr">
        <is>
          <t>普通怪</t>
        </is>
      </c>
      <c r="I197">
        <f>IF($H197="",$G197,$H197)</f>
        <v/>
      </c>
      <c r="J197" t="n">
        <v>473</v>
      </c>
      <c r="K197" t="n">
        <v>1.12582067235919</v>
      </c>
      <c r="L197" t="n">
        <v>0.729834891319568</v>
      </c>
      <c r="M197" t="n">
        <v>1</v>
      </c>
      <c r="Q197">
        <f>IF($I197="","",IFERROR(INDEX(_玩家曲线!$H$2:$H$286,MATCH($I197,_玩家曲线!$A$2:$A$286,0)),""))</f>
        <v/>
      </c>
      <c r="R197">
        <f>IF($I197="","",IFERROR(INDEX(_玩家曲线!$I$2:$I$286,MATCH($I197,_玩家曲线!$A$2:$A$286,0)),""))</f>
        <v/>
      </c>
      <c r="S197">
        <f>SUMIF(_爬塔队伍!$A$2:$A$1001,VALUE(SUBSTITUTE(SUBSTITUTE(D197,"第",""),"层","")),_爬塔队伍!$C$2:$C$1001)</f>
        <v/>
      </c>
      <c r="T197">
        <f>SUMIF(_爬塔队伍!$A$2:$A$1001,VALUE(SUBSTITUTE(SUBSTITUTE(D197,"第",""),"层","")),_爬塔队伍!$D$2:$D$1001)</f>
        <v/>
      </c>
      <c r="U197">
        <f>SUMIF(_爬塔队伍!$A$2:$A$1001,VALUE(SUBSTITUTE(SUBSTITUTE(D197,"第",""),"层","")),_爬塔队伍!$E$2:$E$1001)/COUNTIF(_爬塔队伍!$A$2:$A$1001,VALUE(SUBSTITUTE(SUBSTITUTE(D197,"第",""),"层","")))</f>
        <v/>
      </c>
      <c r="V197">
        <f>IF($U197="","",MIN(0.75,$U197/($U197+24000)))</f>
        <v/>
      </c>
      <c r="W197">
        <f>SUMIF(_爬塔队伍!$A$2:$A$1001,VALUE(SUBSTITUTE(SUBSTITUTE(D197,"第",""),"层","")),_爬塔队伍!$F$2:$F$1001)</f>
        <v/>
      </c>
      <c r="X197">
        <f>IF(OR($W197="",$Q197="",$Q197=0),"",$W197/$Q197)</f>
        <v/>
      </c>
      <c r="Y197">
        <f>IF(OR($R197="",$T197="",$T197=0),"",$R197/($T197*IF($O197="",1,$O197)))</f>
        <v/>
      </c>
      <c r="Z197">
        <f>IF(OR($X197="",$P197="",$P197=0),"",$X197/$P197)</f>
        <v/>
      </c>
      <c r="AA197">
        <f>IF($J197="","待填怪物等级",IF(OR($I197="",$Q197=""),"待填对照关卡",IF($P197="","已计算",IF(AND($Y197&lt;&gt;"",$Y197&lt;$X197),"生存不成立","已计算"))))</f>
        <v/>
      </c>
      <c r="AB197">
        <f>IF($J197="","待填",IF(AND(ISNUMBER($J197),$J197&gt;=1,$J197&lt;=500,MOD($J197,1)=0),"有效","超范围"))</f>
        <v/>
      </c>
      <c r="AC197">
        <f>IF(OR($J197="",ROW()=5,$B197&lt;&gt;$B196,$J196=""),"",IF($J197&lt;$J196,"下降",""))</f>
        <v/>
      </c>
      <c r="AD197" t="inlineStr">
        <is>
          <t>终局荣誉层：无同期对照，推荐战力封顶1,590,000（2026-09-20）</t>
        </is>
      </c>
      <c r="AE197" t="n">
        <v>1590000</v>
      </c>
      <c r="AF197">
        <f>INDEX(_统一战力!$B$2:$B$501,J197)</f>
        <v/>
      </c>
    </row>
    <row r="198">
      <c r="A198" t="inlineStr">
        <is>
          <t>当前配置</t>
        </is>
      </c>
      <c r="B198" t="inlineStr">
        <is>
          <t>爬塔</t>
        </is>
      </c>
      <c r="C198" t="inlineStr">
        <is>
          <t>现行包体5</t>
        </is>
      </c>
      <c r="D198" t="inlineStr">
        <is>
          <t>第194层</t>
        </is>
      </c>
      <c r="E198" t="n">
        <v>300494</v>
      </c>
      <c r="F198" t="inlineStr">
        <is>
          <t>普通怪</t>
        </is>
      </c>
      <c r="I198">
        <f>IF($H198="",$G198,$H198)</f>
        <v/>
      </c>
      <c r="J198" t="n">
        <v>477</v>
      </c>
      <c r="K198" t="n">
        <v>1.12582067235919</v>
      </c>
      <c r="L198" t="n">
        <v>0.729834891319568</v>
      </c>
      <c r="M198" t="n">
        <v>1</v>
      </c>
      <c r="Q198">
        <f>IF($I198="","",IFERROR(INDEX(_玩家曲线!$H$2:$H$286,MATCH($I198,_玩家曲线!$A$2:$A$286,0)),""))</f>
        <v/>
      </c>
      <c r="R198">
        <f>IF($I198="","",IFERROR(INDEX(_玩家曲线!$I$2:$I$286,MATCH($I198,_玩家曲线!$A$2:$A$286,0)),""))</f>
        <v/>
      </c>
      <c r="S198">
        <f>SUMIF(_爬塔队伍!$A$2:$A$1001,VALUE(SUBSTITUTE(SUBSTITUTE(D198,"第",""),"层","")),_爬塔队伍!$C$2:$C$1001)</f>
        <v/>
      </c>
      <c r="T198">
        <f>SUMIF(_爬塔队伍!$A$2:$A$1001,VALUE(SUBSTITUTE(SUBSTITUTE(D198,"第",""),"层","")),_爬塔队伍!$D$2:$D$1001)</f>
        <v/>
      </c>
      <c r="U198">
        <f>SUMIF(_爬塔队伍!$A$2:$A$1001,VALUE(SUBSTITUTE(SUBSTITUTE(D198,"第",""),"层","")),_爬塔队伍!$E$2:$E$1001)/COUNTIF(_爬塔队伍!$A$2:$A$1001,VALUE(SUBSTITUTE(SUBSTITUTE(D198,"第",""),"层","")))</f>
        <v/>
      </c>
      <c r="V198">
        <f>IF($U198="","",MIN(0.75,$U198/($U198+24000)))</f>
        <v/>
      </c>
      <c r="W198">
        <f>SUMIF(_爬塔队伍!$A$2:$A$1001,VALUE(SUBSTITUTE(SUBSTITUTE(D198,"第",""),"层","")),_爬塔队伍!$F$2:$F$1001)</f>
        <v/>
      </c>
      <c r="X198">
        <f>IF(OR($W198="",$Q198="",$Q198=0),"",$W198/$Q198)</f>
        <v/>
      </c>
      <c r="Y198">
        <f>IF(OR($R198="",$T198="",$T198=0),"",$R198/($T198*IF($O198="",1,$O198)))</f>
        <v/>
      </c>
      <c r="Z198">
        <f>IF(OR($X198="",$P198="",$P198=0),"",$X198/$P198)</f>
        <v/>
      </c>
      <c r="AA198">
        <f>IF($J198="","待填怪物等级",IF(OR($I198="",$Q198=""),"待填对照关卡",IF($P198="","已计算",IF(AND($Y198&lt;&gt;"",$Y198&lt;$X198),"生存不成立","已计算"))))</f>
        <v/>
      </c>
      <c r="AB198">
        <f>IF($J198="","待填",IF(AND(ISNUMBER($J198),$J198&gt;=1,$J198&lt;=500,MOD($J198,1)=0),"有效","超范围"))</f>
        <v/>
      </c>
      <c r="AC198">
        <f>IF(OR($J198="",ROW()=5,$B198&lt;&gt;$B197,$J197=""),"",IF($J198&lt;$J197,"下降",""))</f>
        <v/>
      </c>
      <c r="AD198" t="inlineStr">
        <is>
          <t>终局荣誉层：无同期对照，推荐战力封顶1,590,000（2026-09-20）</t>
        </is>
      </c>
      <c r="AE198" t="n">
        <v>1590000</v>
      </c>
      <c r="AF198">
        <f>INDEX(_统一战力!$B$2:$B$501,J198)</f>
        <v/>
      </c>
    </row>
    <row r="199">
      <c r="A199" t="inlineStr">
        <is>
          <t>当前配置</t>
        </is>
      </c>
      <c r="B199" t="inlineStr">
        <is>
          <t>爬塔</t>
        </is>
      </c>
      <c r="C199" t="inlineStr">
        <is>
          <t>现行包体5</t>
        </is>
      </c>
      <c r="D199" t="inlineStr">
        <is>
          <t>第195层</t>
        </is>
      </c>
      <c r="E199" t="n">
        <v>300495</v>
      </c>
      <c r="F199" t="inlineStr">
        <is>
          <t>精英怪</t>
        </is>
      </c>
      <c r="I199">
        <f>IF($H199="",$G199,$H199)</f>
        <v/>
      </c>
      <c r="J199" t="n">
        <v>481</v>
      </c>
      <c r="K199" t="n">
        <v>1.13108015591293</v>
      </c>
      <c r="L199" t="n">
        <v>0.726679309784578</v>
      </c>
      <c r="M199" t="n">
        <v>1</v>
      </c>
      <c r="Q199">
        <f>IF($I199="","",IFERROR(INDEX(_玩家曲线!$H$2:$H$286,MATCH($I199,_玩家曲线!$A$2:$A$286,0)),""))</f>
        <v/>
      </c>
      <c r="R199">
        <f>IF($I199="","",IFERROR(INDEX(_玩家曲线!$I$2:$I$286,MATCH($I199,_玩家曲线!$A$2:$A$286,0)),""))</f>
        <v/>
      </c>
      <c r="S199">
        <f>SUMIF(_爬塔队伍!$A$2:$A$1001,VALUE(SUBSTITUTE(SUBSTITUTE(D199,"第",""),"层","")),_爬塔队伍!$C$2:$C$1001)</f>
        <v/>
      </c>
      <c r="T199">
        <f>SUMIF(_爬塔队伍!$A$2:$A$1001,VALUE(SUBSTITUTE(SUBSTITUTE(D199,"第",""),"层","")),_爬塔队伍!$D$2:$D$1001)</f>
        <v/>
      </c>
      <c r="U199">
        <f>SUMIF(_爬塔队伍!$A$2:$A$1001,VALUE(SUBSTITUTE(SUBSTITUTE(D199,"第",""),"层","")),_爬塔队伍!$E$2:$E$1001)/COUNTIF(_爬塔队伍!$A$2:$A$1001,VALUE(SUBSTITUTE(SUBSTITUTE(D199,"第",""),"层","")))</f>
        <v/>
      </c>
      <c r="V199">
        <f>IF($U199="","",MIN(0.75,$U199/($U199+24000)))</f>
        <v/>
      </c>
      <c r="W199">
        <f>SUMIF(_爬塔队伍!$A$2:$A$1001,VALUE(SUBSTITUTE(SUBSTITUTE(D199,"第",""),"层","")),_爬塔队伍!$F$2:$F$1001)</f>
        <v/>
      </c>
      <c r="X199">
        <f>IF(OR($W199="",$Q199="",$Q199=0),"",$W199/$Q199)</f>
        <v/>
      </c>
      <c r="Y199">
        <f>IF(OR($R199="",$T199="",$T199=0),"",$R199/($T199*IF($O199="",1,$O199)))</f>
        <v/>
      </c>
      <c r="Z199">
        <f>IF(OR($X199="",$P199="",$P199=0),"",$X199/$P199)</f>
        <v/>
      </c>
      <c r="AA199">
        <f>IF($J199="","待填怪物等级",IF(OR($I199="",$Q199=""),"待填对照关卡",IF($P199="","已计算",IF(AND($Y199&lt;&gt;"",$Y199&lt;$X199),"生存不成立","已计算"))))</f>
        <v/>
      </c>
      <c r="AB199">
        <f>IF($J199="","待填",IF(AND(ISNUMBER($J199),$J199&gt;=1,$J199&lt;=500,MOD($J199,1)=0),"有效","超范围"))</f>
        <v/>
      </c>
      <c r="AC199">
        <f>IF(OR($J199="",ROW()=5,$B199&lt;&gt;$B198,$J198=""),"",IF($J199&lt;$J198,"下降",""))</f>
        <v/>
      </c>
      <c r="AD199" t="inlineStr">
        <is>
          <t>终局荣誉层：无同期对照，推荐战力封顶1,590,000（2026-09-20）</t>
        </is>
      </c>
      <c r="AE199" t="n">
        <v>1590000</v>
      </c>
      <c r="AF199">
        <f>INDEX(_统一战力!$B$2:$B$501,J199)</f>
        <v/>
      </c>
    </row>
    <row r="200">
      <c r="A200" t="inlineStr">
        <is>
          <t>当前配置</t>
        </is>
      </c>
      <c r="B200" t="inlineStr">
        <is>
          <t>爬塔</t>
        </is>
      </c>
      <c r="C200" t="inlineStr">
        <is>
          <t>现行包体5</t>
        </is>
      </c>
      <c r="D200" t="inlineStr">
        <is>
          <t>第196层</t>
        </is>
      </c>
      <c r="E200" t="n">
        <v>300496</v>
      </c>
      <c r="F200" t="inlineStr">
        <is>
          <t>普通怪</t>
        </is>
      </c>
      <c r="I200">
        <f>IF($H200="",$G200,$H200)</f>
        <v/>
      </c>
      <c r="J200" t="n">
        <v>485</v>
      </c>
      <c r="K200" t="n">
        <v>1.12582067235919</v>
      </c>
      <c r="L200" t="n">
        <v>0.729834891319568</v>
      </c>
      <c r="M200" t="n">
        <v>1</v>
      </c>
      <c r="Q200">
        <f>IF($I200="","",IFERROR(INDEX(_玩家曲线!$H$2:$H$286,MATCH($I200,_玩家曲线!$A$2:$A$286,0)),""))</f>
        <v/>
      </c>
      <c r="R200">
        <f>IF($I200="","",IFERROR(INDEX(_玩家曲线!$I$2:$I$286,MATCH($I200,_玩家曲线!$A$2:$A$286,0)),""))</f>
        <v/>
      </c>
      <c r="S200">
        <f>SUMIF(_爬塔队伍!$A$2:$A$1001,VALUE(SUBSTITUTE(SUBSTITUTE(D200,"第",""),"层","")),_爬塔队伍!$C$2:$C$1001)</f>
        <v/>
      </c>
      <c r="T200">
        <f>SUMIF(_爬塔队伍!$A$2:$A$1001,VALUE(SUBSTITUTE(SUBSTITUTE(D200,"第",""),"层","")),_爬塔队伍!$D$2:$D$1001)</f>
        <v/>
      </c>
      <c r="U200">
        <f>SUMIF(_爬塔队伍!$A$2:$A$1001,VALUE(SUBSTITUTE(SUBSTITUTE(D200,"第",""),"层","")),_爬塔队伍!$E$2:$E$1001)/COUNTIF(_爬塔队伍!$A$2:$A$1001,VALUE(SUBSTITUTE(SUBSTITUTE(D200,"第",""),"层","")))</f>
        <v/>
      </c>
      <c r="V200">
        <f>IF($U200="","",MIN(0.75,$U200/($U200+24000)))</f>
        <v/>
      </c>
      <c r="W200">
        <f>SUMIF(_爬塔队伍!$A$2:$A$1001,VALUE(SUBSTITUTE(SUBSTITUTE(D200,"第",""),"层","")),_爬塔队伍!$F$2:$F$1001)</f>
        <v/>
      </c>
      <c r="X200">
        <f>IF(OR($W200="",$Q200="",$Q200=0),"",$W200/$Q200)</f>
        <v/>
      </c>
      <c r="Y200">
        <f>IF(OR($R200="",$T200="",$T200=0),"",$R200/($T200*IF($O200="",1,$O200)))</f>
        <v/>
      </c>
      <c r="Z200">
        <f>IF(OR($X200="",$P200="",$P200=0),"",$X200/$P200)</f>
        <v/>
      </c>
      <c r="AA200">
        <f>IF($J200="","待填怪物等级",IF(OR($I200="",$Q200=""),"待填对照关卡",IF($P200="","已计算",IF(AND($Y200&lt;&gt;"",$Y200&lt;$X200),"生存不成立","已计算"))))</f>
        <v/>
      </c>
      <c r="AB200">
        <f>IF($J200="","待填",IF(AND(ISNUMBER($J200),$J200&gt;=1,$J200&lt;=500,MOD($J200,1)=0),"有效","超范围"))</f>
        <v/>
      </c>
      <c r="AC200">
        <f>IF(OR($J200="",ROW()=5,$B200&lt;&gt;$B199,$J199=""),"",IF($J200&lt;$J199,"下降",""))</f>
        <v/>
      </c>
      <c r="AD200" t="inlineStr">
        <is>
          <t>终局荣誉层：无同期对照，推荐战力封顶1,590,000（2026-09-20）</t>
        </is>
      </c>
      <c r="AE200" t="n">
        <v>1590000</v>
      </c>
      <c r="AF200">
        <f>INDEX(_统一战力!$B$2:$B$501,J200)</f>
        <v/>
      </c>
    </row>
    <row r="201">
      <c r="A201" t="inlineStr">
        <is>
          <t>当前配置</t>
        </is>
      </c>
      <c r="B201" t="inlineStr">
        <is>
          <t>爬塔</t>
        </is>
      </c>
      <c r="C201" t="inlineStr">
        <is>
          <t>现行包体5</t>
        </is>
      </c>
      <c r="D201" t="inlineStr">
        <is>
          <t>第197层</t>
        </is>
      </c>
      <c r="E201" t="n">
        <v>300497</v>
      </c>
      <c r="F201" t="inlineStr">
        <is>
          <t>普通怪</t>
        </is>
      </c>
      <c r="I201">
        <f>IF($H201="",$G201,$H201)</f>
        <v/>
      </c>
      <c r="J201" t="n">
        <v>489</v>
      </c>
      <c r="K201" t="n">
        <v>1.12582067235919</v>
      </c>
      <c r="L201" t="n">
        <v>0.729834891319568</v>
      </c>
      <c r="M201" t="n">
        <v>1</v>
      </c>
      <c r="Q201">
        <f>IF($I201="","",IFERROR(INDEX(_玩家曲线!$H$2:$H$286,MATCH($I201,_玩家曲线!$A$2:$A$286,0)),""))</f>
        <v/>
      </c>
      <c r="R201">
        <f>IF($I201="","",IFERROR(INDEX(_玩家曲线!$I$2:$I$286,MATCH($I201,_玩家曲线!$A$2:$A$286,0)),""))</f>
        <v/>
      </c>
      <c r="S201">
        <f>SUMIF(_爬塔队伍!$A$2:$A$1001,VALUE(SUBSTITUTE(SUBSTITUTE(D201,"第",""),"层","")),_爬塔队伍!$C$2:$C$1001)</f>
        <v/>
      </c>
      <c r="T201">
        <f>SUMIF(_爬塔队伍!$A$2:$A$1001,VALUE(SUBSTITUTE(SUBSTITUTE(D201,"第",""),"层","")),_爬塔队伍!$D$2:$D$1001)</f>
        <v/>
      </c>
      <c r="U201">
        <f>SUMIF(_爬塔队伍!$A$2:$A$1001,VALUE(SUBSTITUTE(SUBSTITUTE(D201,"第",""),"层","")),_爬塔队伍!$E$2:$E$1001)/COUNTIF(_爬塔队伍!$A$2:$A$1001,VALUE(SUBSTITUTE(SUBSTITUTE(D201,"第",""),"层","")))</f>
        <v/>
      </c>
      <c r="V201">
        <f>IF($U201="","",MIN(0.75,$U201/($U201+24000)))</f>
        <v/>
      </c>
      <c r="W201">
        <f>SUMIF(_爬塔队伍!$A$2:$A$1001,VALUE(SUBSTITUTE(SUBSTITUTE(D201,"第",""),"层","")),_爬塔队伍!$F$2:$F$1001)</f>
        <v/>
      </c>
      <c r="X201">
        <f>IF(OR($W201="",$Q201="",$Q201=0),"",$W201/$Q201)</f>
        <v/>
      </c>
      <c r="Y201">
        <f>IF(OR($R201="",$T201="",$T201=0),"",$R201/($T201*IF($O201="",1,$O201)))</f>
        <v/>
      </c>
      <c r="Z201">
        <f>IF(OR($X201="",$P201="",$P201=0),"",$X201/$P201)</f>
        <v/>
      </c>
      <c r="AA201">
        <f>IF($J201="","待填怪物等级",IF(OR($I201="",$Q201=""),"待填对照关卡",IF($P201="","已计算",IF(AND($Y201&lt;&gt;"",$Y201&lt;$X201),"生存不成立","已计算"))))</f>
        <v/>
      </c>
      <c r="AB201">
        <f>IF($J201="","待填",IF(AND(ISNUMBER($J201),$J201&gt;=1,$J201&lt;=500,MOD($J201,1)=0),"有效","超范围"))</f>
        <v/>
      </c>
      <c r="AC201">
        <f>IF(OR($J201="",ROW()=5,$B201&lt;&gt;$B200,$J200=""),"",IF($J201&lt;$J200,"下降",""))</f>
        <v/>
      </c>
      <c r="AD201" t="inlineStr">
        <is>
          <t>终局荣誉层：无同期对照，推荐战力封顶1,590,000（2026-09-20）</t>
        </is>
      </c>
      <c r="AE201" t="n">
        <v>1590000</v>
      </c>
      <c r="AF201">
        <f>INDEX(_统一战力!$B$2:$B$501,J201)</f>
        <v/>
      </c>
    </row>
    <row r="202">
      <c r="A202" t="inlineStr">
        <is>
          <t>当前配置</t>
        </is>
      </c>
      <c r="B202" t="inlineStr">
        <is>
          <t>爬塔</t>
        </is>
      </c>
      <c r="C202" t="inlineStr">
        <is>
          <t>现行包体5</t>
        </is>
      </c>
      <c r="D202" t="inlineStr">
        <is>
          <t>第198层</t>
        </is>
      </c>
      <c r="E202" t="n">
        <v>300498</v>
      </c>
      <c r="F202" t="inlineStr">
        <is>
          <t>普通怪</t>
        </is>
      </c>
      <c r="I202">
        <f>IF($H202="",$G202,$H202)</f>
        <v/>
      </c>
      <c r="J202" t="n">
        <v>492</v>
      </c>
      <c r="K202" t="n">
        <v>1.12582067235919</v>
      </c>
      <c r="L202" t="n">
        <v>0.729834891319568</v>
      </c>
      <c r="M202" t="n">
        <v>1</v>
      </c>
      <c r="Q202">
        <f>IF($I202="","",IFERROR(INDEX(_玩家曲线!$H$2:$H$286,MATCH($I202,_玩家曲线!$A$2:$A$286,0)),""))</f>
        <v/>
      </c>
      <c r="R202">
        <f>IF($I202="","",IFERROR(INDEX(_玩家曲线!$I$2:$I$286,MATCH($I202,_玩家曲线!$A$2:$A$286,0)),""))</f>
        <v/>
      </c>
      <c r="S202">
        <f>SUMIF(_爬塔队伍!$A$2:$A$1001,VALUE(SUBSTITUTE(SUBSTITUTE(D202,"第",""),"层","")),_爬塔队伍!$C$2:$C$1001)</f>
        <v/>
      </c>
      <c r="T202">
        <f>SUMIF(_爬塔队伍!$A$2:$A$1001,VALUE(SUBSTITUTE(SUBSTITUTE(D202,"第",""),"层","")),_爬塔队伍!$D$2:$D$1001)</f>
        <v/>
      </c>
      <c r="U202">
        <f>SUMIF(_爬塔队伍!$A$2:$A$1001,VALUE(SUBSTITUTE(SUBSTITUTE(D202,"第",""),"层","")),_爬塔队伍!$E$2:$E$1001)/COUNTIF(_爬塔队伍!$A$2:$A$1001,VALUE(SUBSTITUTE(SUBSTITUTE(D202,"第",""),"层","")))</f>
        <v/>
      </c>
      <c r="V202">
        <f>IF($U202="","",MIN(0.75,$U202/($U202+24000)))</f>
        <v/>
      </c>
      <c r="W202">
        <f>SUMIF(_爬塔队伍!$A$2:$A$1001,VALUE(SUBSTITUTE(SUBSTITUTE(D202,"第",""),"层","")),_爬塔队伍!$F$2:$F$1001)</f>
        <v/>
      </c>
      <c r="X202">
        <f>IF(OR($W202="",$Q202="",$Q202=0),"",$W202/$Q202)</f>
        <v/>
      </c>
      <c r="Y202">
        <f>IF(OR($R202="",$T202="",$T202=0),"",$R202/($T202*IF($O202="",1,$O202)))</f>
        <v/>
      </c>
      <c r="Z202">
        <f>IF(OR($X202="",$P202="",$P202=0),"",$X202/$P202)</f>
        <v/>
      </c>
      <c r="AA202">
        <f>IF($J202="","待填怪物等级",IF(OR($I202="",$Q202=""),"待填对照关卡",IF($P202="","已计算",IF(AND($Y202&lt;&gt;"",$Y202&lt;$X202),"生存不成立","已计算"))))</f>
        <v/>
      </c>
      <c r="AB202">
        <f>IF($J202="","待填",IF(AND(ISNUMBER($J202),$J202&gt;=1,$J202&lt;=500,MOD($J202,1)=0),"有效","超范围"))</f>
        <v/>
      </c>
      <c r="AC202">
        <f>IF(OR($J202="",ROW()=5,$B202&lt;&gt;$B201,$J201=""),"",IF($J202&lt;$J201,"下降",""))</f>
        <v/>
      </c>
      <c r="AD202" t="inlineStr">
        <is>
          <t>终局荣誉层：无同期对照，推荐战力封顶1,590,000（2026-09-20）</t>
        </is>
      </c>
      <c r="AE202" t="n">
        <v>1590000</v>
      </c>
      <c r="AF202">
        <f>INDEX(_统一战力!$B$2:$B$501,J202)</f>
        <v/>
      </c>
    </row>
    <row r="203">
      <c r="A203" t="inlineStr">
        <is>
          <t>当前配置</t>
        </is>
      </c>
      <c r="B203" t="inlineStr">
        <is>
          <t>爬塔</t>
        </is>
      </c>
      <c r="C203" t="inlineStr">
        <is>
          <t>现行包体5</t>
        </is>
      </c>
      <c r="D203" t="inlineStr">
        <is>
          <t>第199层</t>
        </is>
      </c>
      <c r="E203" t="n">
        <v>300499</v>
      </c>
      <c r="F203" t="inlineStr">
        <is>
          <t>普通怪</t>
        </is>
      </c>
      <c r="I203">
        <f>IF($H203="",$G203,$H203)</f>
        <v/>
      </c>
      <c r="J203" t="n">
        <v>496</v>
      </c>
      <c r="K203" t="n">
        <v>1.12582067235919</v>
      </c>
      <c r="L203" t="n">
        <v>0.729834891319568</v>
      </c>
      <c r="M203" t="n">
        <v>1</v>
      </c>
      <c r="Q203">
        <f>IF($I203="","",IFERROR(INDEX(_玩家曲线!$H$2:$H$286,MATCH($I203,_玩家曲线!$A$2:$A$286,0)),""))</f>
        <v/>
      </c>
      <c r="R203">
        <f>IF($I203="","",IFERROR(INDEX(_玩家曲线!$I$2:$I$286,MATCH($I203,_玩家曲线!$A$2:$A$286,0)),""))</f>
        <v/>
      </c>
      <c r="S203">
        <f>SUMIF(_爬塔队伍!$A$2:$A$1001,VALUE(SUBSTITUTE(SUBSTITUTE(D203,"第",""),"层","")),_爬塔队伍!$C$2:$C$1001)</f>
        <v/>
      </c>
      <c r="T203">
        <f>SUMIF(_爬塔队伍!$A$2:$A$1001,VALUE(SUBSTITUTE(SUBSTITUTE(D203,"第",""),"层","")),_爬塔队伍!$D$2:$D$1001)</f>
        <v/>
      </c>
      <c r="U203">
        <f>SUMIF(_爬塔队伍!$A$2:$A$1001,VALUE(SUBSTITUTE(SUBSTITUTE(D203,"第",""),"层","")),_爬塔队伍!$E$2:$E$1001)/COUNTIF(_爬塔队伍!$A$2:$A$1001,VALUE(SUBSTITUTE(SUBSTITUTE(D203,"第",""),"层","")))</f>
        <v/>
      </c>
      <c r="V203">
        <f>IF($U203="","",MIN(0.75,$U203/($U203+24000)))</f>
        <v/>
      </c>
      <c r="W203">
        <f>SUMIF(_爬塔队伍!$A$2:$A$1001,VALUE(SUBSTITUTE(SUBSTITUTE(D203,"第",""),"层","")),_爬塔队伍!$F$2:$F$1001)</f>
        <v/>
      </c>
      <c r="X203">
        <f>IF(OR($W203="",$Q203="",$Q203=0),"",$W203/$Q203)</f>
        <v/>
      </c>
      <c r="Y203">
        <f>IF(OR($R203="",$T203="",$T203=0),"",$R203/($T203*IF($O203="",1,$O203)))</f>
        <v/>
      </c>
      <c r="Z203">
        <f>IF(OR($X203="",$P203="",$P203=0),"",$X203/$P203)</f>
        <v/>
      </c>
      <c r="AA203">
        <f>IF($J203="","待填怪物等级",IF(OR($I203="",$Q203=""),"待填对照关卡",IF($P203="","已计算",IF(AND($Y203&lt;&gt;"",$Y203&lt;$X203),"生存不成立","已计算"))))</f>
        <v/>
      </c>
      <c r="AB203">
        <f>IF($J203="","待填",IF(AND(ISNUMBER($J203),$J203&gt;=1,$J203&lt;=500,MOD($J203,1)=0),"有效","超范围"))</f>
        <v/>
      </c>
      <c r="AC203">
        <f>IF(OR($J203="",ROW()=5,$B203&lt;&gt;$B202,$J202=""),"",IF($J203&lt;$J202,"下降",""))</f>
        <v/>
      </c>
      <c r="AD203" t="inlineStr">
        <is>
          <t>终局荣誉层：无同期对照，推荐战力封顶1,590,000（2026-09-20）</t>
        </is>
      </c>
      <c r="AE203" t="n">
        <v>1590000</v>
      </c>
      <c r="AF203">
        <f>INDEX(_统一战力!$B$2:$B$501,J203)</f>
        <v/>
      </c>
    </row>
    <row r="204">
      <c r="A204" t="inlineStr">
        <is>
          <t>当前配置</t>
        </is>
      </c>
      <c r="B204" t="inlineStr">
        <is>
          <t>爬塔</t>
        </is>
      </c>
      <c r="C204" t="inlineStr">
        <is>
          <t>现行包体5</t>
        </is>
      </c>
      <c r="D204" t="inlineStr">
        <is>
          <t>第200层</t>
        </is>
      </c>
      <c r="E204" t="n">
        <v>300500</v>
      </c>
      <c r="F204" t="inlineStr">
        <is>
          <t>Boss</t>
        </is>
      </c>
      <c r="I204">
        <f>IF($H204="",$G204,$H204)</f>
        <v/>
      </c>
      <c r="J204" t="n">
        <v>500</v>
      </c>
      <c r="K204" t="n">
        <v>1.12671592412141</v>
      </c>
      <c r="L204" t="n">
        <v>0.731229508674054</v>
      </c>
      <c r="M204" t="n">
        <v>1</v>
      </c>
      <c r="Q204">
        <f>IF($I204="","",IFERROR(INDEX(_玩家曲线!$H$2:$H$286,MATCH($I204,_玩家曲线!$A$2:$A$286,0)),""))</f>
        <v/>
      </c>
      <c r="R204">
        <f>IF($I204="","",IFERROR(INDEX(_玩家曲线!$I$2:$I$286,MATCH($I204,_玩家曲线!$A$2:$A$286,0)),""))</f>
        <v/>
      </c>
      <c r="S204">
        <f>SUMIF(_爬塔队伍!$A$2:$A$1001,VALUE(SUBSTITUTE(SUBSTITUTE(D204,"第",""),"层","")),_爬塔队伍!$C$2:$C$1001)</f>
        <v/>
      </c>
      <c r="T204">
        <f>SUMIF(_爬塔队伍!$A$2:$A$1001,VALUE(SUBSTITUTE(SUBSTITUTE(D204,"第",""),"层","")),_爬塔队伍!$D$2:$D$1001)</f>
        <v/>
      </c>
      <c r="U204">
        <f>SUMIF(_爬塔队伍!$A$2:$A$1001,VALUE(SUBSTITUTE(SUBSTITUTE(D204,"第",""),"层","")),_爬塔队伍!$E$2:$E$1001)/COUNTIF(_爬塔队伍!$A$2:$A$1001,VALUE(SUBSTITUTE(SUBSTITUTE(D204,"第",""),"层","")))</f>
        <v/>
      </c>
      <c r="V204">
        <f>IF($U204="","",MIN(0.75,$U204/($U204+24000)))</f>
        <v/>
      </c>
      <c r="W204">
        <f>SUMIF(_爬塔队伍!$A$2:$A$1001,VALUE(SUBSTITUTE(SUBSTITUTE(D204,"第",""),"层","")),_爬塔队伍!$F$2:$F$1001)</f>
        <v/>
      </c>
      <c r="X204">
        <f>IF(OR($W204="",$Q204="",$Q204=0),"",$W204/$Q204)</f>
        <v/>
      </c>
      <c r="Y204">
        <f>IF(OR($R204="",$T204="",$T204=0),"",$R204/($T204*IF($O204="",1,$O204)))</f>
        <v/>
      </c>
      <c r="Z204">
        <f>IF(OR($X204="",$P204="",$P204=0),"",$X204/$P204)</f>
        <v/>
      </c>
      <c r="AA204">
        <f>IF($J204="","待填怪物等级",IF(OR($I204="",$Q204=""),"待填对照关卡",IF($P204="","已计算",IF(AND($Y204&lt;&gt;"",$Y204&lt;$X204),"生存不成立","已计算"))))</f>
        <v/>
      </c>
      <c r="AB204">
        <f>IF($J204="","待填",IF(AND(ISNUMBER($J204),$J204&gt;=1,$J204&lt;=500,MOD($J204,1)=0),"有效","超范围"))</f>
        <v/>
      </c>
      <c r="AC204">
        <f>IF(OR($J204="",ROW()=5,$B204&lt;&gt;$B203,$J203=""),"",IF($J204&lt;$J203,"下降",""))</f>
        <v/>
      </c>
      <c r="AD204" t="inlineStr">
        <is>
          <t>终局荣誉层：无同期对照，推荐战力封顶1,590,000（2026-09-20）</t>
        </is>
      </c>
      <c r="AE204" t="n">
        <v>1590000</v>
      </c>
      <c r="AF204">
        <f>INDEX(_统一战力!$B$2:$B$501,J204)</f>
        <v/>
      </c>
    </row>
  </sheetData>
  <mergeCells count="3">
    <mergeCell ref="A3:AD3"/>
    <mergeCell ref="A2:AD2"/>
    <mergeCell ref="A1:AD1"/>
  </mergeCells>
  <conditionalFormatting sqref="J5:J104">
    <cfRule type="expression" priority="1" dxfId="2">
      <formula>AND($A5&lt;&gt;"特殊：双方属性对算",$J5="")</formula>
    </cfRule>
  </conditionalFormatting>
  <conditionalFormatting sqref="AA5:AA104">
    <cfRule type="expression" priority="3" dxfId="0">
      <formula>$AA5="适中"</formula>
    </cfRule>
    <cfRule type="expression" priority="4" dxfId="3">
      <formula>$AA5="偏难"</formula>
    </cfRule>
    <cfRule type="expression" priority="5" dxfId="1">
      <formula>$AA5="过难"</formula>
    </cfRule>
    <cfRule type="expression" priority="6" dxfId="1">
      <formula>$AA5="生存不成立"</formula>
    </cfRule>
  </conditionalFormatting>
  <conditionalFormatting sqref="AB5:AB104">
    <cfRule type="expression" priority="2" dxfId="4">
      <formula>$AB5="超范围"</formula>
    </cfRule>
  </conditionalFormatting>
  <conditionalFormatting sqref="AC5:AC104">
    <cfRule type="expression" priority="7" dxfId="4">
      <formula>$AC5="下降"</formula>
    </cfRule>
  </conditionalFormatting>
  <dataValidations count="5">
    <dataValidation sqref="F5:F104" showDropDown="0" showInputMessage="0" showErrorMessage="0" allowBlank="0" type="list">
      <formula1>_字典!$A$2:$A$11</formula1>
    </dataValidation>
    <dataValidation sqref="H5:H104" showDropDown="0" showInputMessage="0" showErrorMessage="0" allowBlank="1" type="whole" operator="between">
      <formula1>1</formula1>
      <formula2>285</formula2>
    </dataValidation>
    <dataValidation sqref="J5:J104" showDropDown="0" showInputMessage="0" showErrorMessage="0" allowBlank="1" type="whole" operator="between">
      <formula1>1</formula1>
      <formula2>500</formula2>
    </dataValidation>
    <dataValidation sqref="P5:P104" showDropDown="0" showInputMessage="0" showErrorMessage="0" allowBlank="1" type="decimal" operator="between">
      <formula1>0.01</formula1>
      <formula2>3600</formula2>
    </dataValidation>
    <dataValidation sqref="K5:O104" showDropDown="0" showInputMessage="0" showErrorMessage="0" allowBlank="1" type="decimal" operator="between">
      <formula1>0</formula1>
      <formula2>100</formula2>
    </dataValidation>
  </dataValidations>
  <hyperlinks>
    <hyperlink xmlns:r="http://schemas.openxmlformats.org/officeDocument/2006/relationships" ref="A1" display="全玩法难度填写｜爬塔" r:id="rId1"/>
  </hyperlink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AF25"/>
  <sheetViews>
    <sheetView showGridLines="0" workbookViewId="0">
      <selection activeCell="A1" sqref="A1:AD1"/>
    </sheetView>
  </sheetViews>
  <sheetFormatPr baseColWidth="8" defaultColWidth="9" defaultRowHeight="13.5"/>
  <cols>
    <col width="12" customWidth="1" min="1" max="1"/>
    <col width="13" customWidth="1" min="2" max="2"/>
    <col width="18" customWidth="1" min="3" max="3"/>
    <col width="15" customWidth="1" min="4" max="4"/>
    <col width="35" customWidth="1" min="5" max="5"/>
    <col width="14" customWidth="1" min="6" max="9"/>
    <col width="12" customWidth="1" min="10" max="10"/>
    <col width="11" customWidth="1" min="11" max="13"/>
    <col width="13" customWidth="1" min="14" max="15"/>
    <col width="12" customWidth="1" min="16" max="16"/>
    <col width="16" customWidth="1" min="17" max="21"/>
    <col width="12" customWidth="1" min="22" max="22"/>
    <col width="17" customWidth="1" min="23" max="23"/>
    <col width="14" customWidth="1" min="24" max="25"/>
    <col width="12" customWidth="1" min="26" max="26"/>
    <col width="15" customWidth="1" min="27" max="27"/>
    <col width="12" customWidth="1" min="28" max="29"/>
    <col width="46" customWidth="1" min="30" max="30"/>
    <col width="22" customWidth="1" min="31" max="32"/>
  </cols>
  <sheetData>
    <row r="1" ht="34" customHeight="1">
      <c r="A1" s="23" t="inlineStr">
        <is>
          <t>全玩法难度填写｜Boss挑战</t>
        </is>
      </c>
    </row>
    <row r="2" ht="30" customHeight="1">
      <c r="A2" s="24" t="inlineStr">
        <is>
          <t>当前页已按开启顺序和玩法定位填入首版怪物等级。黄色J列可直接覆盖；G列是本版使用的玩家曲线对照节点。</t>
        </is>
      </c>
    </row>
    <row r="3" ht="14.25" customHeight="1">
      <c r="A3" s="25" t="inlineStr">
        <is>
          <t>公式口径：怪物实际属性=战斗公式标准模型×可选系数；怪物EHP=实际生命÷(1-防御减伤)×整关EHP倍率；TTK=怪物EHP÷玩家DPS。</t>
        </is>
      </c>
    </row>
    <row r="4" ht="30" customHeight="1">
      <c r="A4" s="26" t="inlineStr">
        <is>
          <t>状态</t>
        </is>
      </c>
      <c r="B4" s="26" t="inlineStr">
        <is>
          <t>玩法</t>
        </is>
      </c>
      <c r="C4" s="26" t="inlineStr">
        <is>
          <t>子玩法/共用范围</t>
        </is>
      </c>
      <c r="D4" s="26" t="inlineStr">
        <is>
          <t>节点名称</t>
        </is>
      </c>
      <c r="E4" s="26" t="inlineStr">
        <is>
          <t>LevelId/配置映射</t>
        </is>
      </c>
      <c r="F4" s="26" t="inlineStr">
        <is>
          <t>怪物类型</t>
        </is>
      </c>
      <c r="G4" s="26" t="inlineStr">
        <is>
          <t>默认对照关卡</t>
        </is>
      </c>
      <c r="H4" s="26" t="inlineStr">
        <is>
          <t>手动对照关卡</t>
        </is>
      </c>
      <c r="I4" s="26" t="inlineStr">
        <is>
          <t>实际对照关卡</t>
        </is>
      </c>
      <c r="J4" s="26" t="inlineStr">
        <is>
          <t>怪物等级</t>
        </is>
      </c>
      <c r="K4" s="26" t="inlineStr">
        <is>
          <t>生命系数</t>
        </is>
      </c>
      <c r="L4" s="26" t="inlineStr">
        <is>
          <t>攻击系数</t>
        </is>
      </c>
      <c r="M4" s="26" t="inlineStr">
        <is>
          <t>防御系数</t>
        </is>
      </c>
      <c r="N4" s="26" t="inlineStr">
        <is>
          <t>整关EHP倍率</t>
        </is>
      </c>
      <c r="O4" s="26" t="inlineStr">
        <is>
          <t>攻击压力倍率</t>
        </is>
      </c>
      <c r="P4" s="26" t="inlineStr">
        <is>
          <t>目标时间(s)</t>
        </is>
      </c>
      <c r="Q4" s="26" t="inlineStr">
        <is>
          <t>玩家DPS</t>
        </is>
      </c>
      <c r="R4" s="26" t="inlineStr">
        <is>
          <t>玩家队伍EHP</t>
        </is>
      </c>
      <c r="S4" s="26" t="inlineStr">
        <is>
          <t>怪物实际生命</t>
        </is>
      </c>
      <c r="T4" s="26" t="inlineStr">
        <is>
          <t>怪物实际攻击</t>
        </is>
      </c>
      <c r="U4" s="26" t="inlineStr">
        <is>
          <t>怪物实际防御</t>
        </is>
      </c>
      <c r="V4" s="26" t="inlineStr">
        <is>
          <t>怪物减伤率</t>
        </is>
      </c>
      <c r="W4" s="26" t="inlineStr">
        <is>
          <t>整关目标EHP</t>
        </is>
      </c>
      <c r="X4" s="26" t="inlineStr">
        <is>
          <t>预测TTK(s)</t>
        </is>
      </c>
      <c r="Y4" s="26" t="inlineStr">
        <is>
          <t>预测存活(s)</t>
        </is>
      </c>
      <c r="Z4" s="26" t="inlineStr">
        <is>
          <t>TTK/目标</t>
        </is>
      </c>
      <c r="AA4" s="26" t="inlineStr">
        <is>
          <t>难度判断</t>
        </is>
      </c>
      <c r="AB4" s="26" t="inlineStr">
        <is>
          <t>等级检查</t>
        </is>
      </c>
      <c r="AC4" s="26" t="inlineStr">
        <is>
          <t>等级趋势</t>
        </is>
      </c>
      <c r="AD4" s="26" t="inlineStr">
        <is>
          <t>备注</t>
        </is>
      </c>
      <c r="AE4" s="8" t="inlineStr">
        <is>
          <t>玩法推荐战力</t>
        </is>
      </c>
      <c r="AF4" s="8" t="inlineStr">
        <is>
          <t>标准等级战力</t>
        </is>
      </c>
    </row>
    <row r="5" ht="25" customHeight="1">
      <c r="A5" s="27" t="inlineStr">
        <is>
          <t>当前配置</t>
        </is>
      </c>
      <c r="B5" s="27" t="inlineStr">
        <is>
          <t>Boss挑战</t>
        </is>
      </c>
      <c r="C5" s="28" t="inlineStr">
        <is>
          <t>7个Boss共用</t>
        </is>
      </c>
      <c r="D5" s="28" t="inlineStr">
        <is>
          <t>难度1</t>
        </is>
      </c>
      <c r="E5" s="28" t="inlineStr">
        <is>
          <t>510001;520001;530001;540001;550001;560001;570001</t>
        </is>
      </c>
      <c r="F5" s="27" t="inlineStr">
        <is>
          <t>Boss</t>
        </is>
      </c>
      <c r="G5" s="37" t="n">
        <v>54</v>
      </c>
      <c r="H5" s="38" t="n"/>
      <c r="I5" s="39">
        <f>IF($H5="",$G5,$H5)</f>
        <v/>
      </c>
      <c r="J5" s="40" t="n">
        <v>105</v>
      </c>
      <c r="K5" s="72" t="n">
        <v>1.12337409306676</v>
      </c>
      <c r="L5" s="72" t="n">
        <v>0.74981292753363</v>
      </c>
      <c r="M5" s="72" t="n">
        <v>1</v>
      </c>
      <c r="N5" s="73" t="n"/>
      <c r="O5" s="73" t="n"/>
      <c r="P5" s="73" t="n"/>
      <c r="Q5" s="74">
        <f>IF($I5="","",IFERROR(INDEX(_玩家曲线!$H$2:$H$286,MATCH($I5,_玩家曲线!$A$2:$A$286,0)),""))</f>
        <v/>
      </c>
      <c r="R5" s="74">
        <f>IF($I5="","",IFERROR(INDEX(_玩家曲线!$I$2:$I$286,MATCH($I5,_玩家曲线!$A$2:$A$286,0)),""))</f>
        <v/>
      </c>
      <c r="S5" s="74">
        <f>IF(OR($J5="",$F5="不适用"),"",IFERROR(INDEX(_怪物模型!$D$2:$D$4501,(INT($J5)-1)*ROWS(_怪物类型!$A$2:$A$10)+MATCH($F5,_怪物类型!$A$2:$A$10,0))*IF($K5="",1,$K5),""))</f>
        <v/>
      </c>
      <c r="T5" s="74">
        <f>IF(OR($J5="",$F5="不适用"),"",IFERROR(INDEX(_怪物模型!$E$2:$E$4501,(INT($J5)-1)*ROWS(_怪物类型!$A$2:$A$10)+MATCH($F5,_怪物类型!$A$2:$A$10,0))*IF($L5="",1,$L5),""))</f>
        <v/>
      </c>
      <c r="U5" s="74">
        <f>IF(OR($J5="",$F5="不适用"),"",IFERROR(INDEX(_怪物模型!$F$2:$F$4501,(INT($J5)-1)*ROWS(_怪物类型!$A$2:$A$10)+MATCH($F5,_怪物类型!$A$2:$A$10,0))*IF($M5="",1,$M5),""))</f>
        <v/>
      </c>
      <c r="V5" s="75">
        <f>IF($U5="","",MIN(0.75,$U5/($U5+24000)))</f>
        <v/>
      </c>
      <c r="W5" s="76">
        <f>IF($S5="","",$S5/(1-$V5)*IF($N5="",1,$N5))</f>
        <v/>
      </c>
      <c r="X5" s="76">
        <f>IF(OR($W5="",$Q5="",$Q5=0),"",$W5/$Q5)</f>
        <v/>
      </c>
      <c r="Y5" s="76">
        <f>IF(OR($R5="",$T5="",$T5=0),"",$R5/($T5*IF($O5="",1,$O5)))</f>
        <v/>
      </c>
      <c r="Z5" s="77">
        <f>IF(OR($X5="",$P5="",$P5=0),"",$X5/$P5)</f>
        <v/>
      </c>
      <c r="AA5" s="27">
        <f>IF($J5="","待填怪物等级",IF(OR($I5="",$Q5=""),"待填对照关卡",IF($P5="","已计算",IF(AND($Y5&lt;&gt;"",$Y5&lt;$X5),"生存不成立",IF($Z5&lt;0.5,"碾压",IF($Z5&lt;0.8,"偏简单",IF($Z5&lt;=1.2,"适中",IF($Z5&lt;=1.5,"偏难","过难"))))))))</f>
        <v/>
      </c>
      <c r="AB5" s="27">
        <f>IF($J5="","待填",IF(AND(ISNUMBER($J5),$J5&gt;=1,$J5&lt;=500,MOD($J5,1)=0),"有效","超范围"))</f>
        <v/>
      </c>
      <c r="AC5" s="27">
        <f>IF(OR($J5="",ROW()=5,$B5&lt;&gt;$B4,$J4=""),"",IF($J5&lt;$J4,"下降",""))</f>
        <v/>
      </c>
      <c r="AD5" s="28" t="inlineStr">
        <is>
          <t>2026-08-27 新玩家节点曲线校准；对照S54；等级87→68；保留原难度定位。｜2026-09-14 难度上调（仅源表）：等级按重度档上调至105，K/L系数与对照G不变；AE按60s击杀/扛20s最早通关反查（进度见备注链）。</t>
        </is>
      </c>
      <c r="AE5" t="n">
        <v>105000</v>
      </c>
      <c r="AF5">
        <f>INDEX(_统一战力!$B$2:$B$501,J5)</f>
        <v/>
      </c>
    </row>
    <row r="6" ht="25" customHeight="1">
      <c r="A6" s="27" t="inlineStr">
        <is>
          <t>当前配置</t>
        </is>
      </c>
      <c r="B6" s="27" t="inlineStr">
        <is>
          <t>Boss挑战</t>
        </is>
      </c>
      <c r="C6" s="28" t="inlineStr">
        <is>
          <t>7个Boss共用</t>
        </is>
      </c>
      <c r="D6" s="28" t="inlineStr">
        <is>
          <t>难度2</t>
        </is>
      </c>
      <c r="E6" s="28" t="inlineStr">
        <is>
          <t>510002;520002;530002;540002;550002;560002;570002</t>
        </is>
      </c>
      <c r="F6" s="27" t="inlineStr">
        <is>
          <t>Boss</t>
        </is>
      </c>
      <c r="G6" s="37" t="n">
        <v>64</v>
      </c>
      <c r="H6" s="38" t="n"/>
      <c r="I6" s="39">
        <f>IF($H6="",$G6,$H6)</f>
        <v/>
      </c>
      <c r="J6" s="40" t="n">
        <v>145</v>
      </c>
      <c r="K6" s="72" t="n">
        <v>1.09907357478448</v>
      </c>
      <c r="L6" s="72" t="n">
        <v>0.791963262055697</v>
      </c>
      <c r="M6" s="72" t="n">
        <v>1</v>
      </c>
      <c r="N6" s="73" t="n"/>
      <c r="O6" s="73" t="n"/>
      <c r="P6" s="73" t="n"/>
      <c r="Q6" s="74">
        <f>IF($I6="","",IFERROR(INDEX(_玩家曲线!$H$2:$H$286,MATCH($I6,_玩家曲线!$A$2:$A$286,0)),""))</f>
        <v/>
      </c>
      <c r="R6" s="74">
        <f>IF($I6="","",IFERROR(INDEX(_玩家曲线!$I$2:$I$286,MATCH($I6,_玩家曲线!$A$2:$A$286,0)),""))</f>
        <v/>
      </c>
      <c r="S6" s="74">
        <f>IF(OR($J6="",$F6="不适用"),"",IFERROR(INDEX(_怪物模型!$D$2:$D$4501,(INT($J6)-1)*ROWS(_怪物类型!$A$2:$A$10)+MATCH($F6,_怪物类型!$A$2:$A$10,0))*IF($K6="",1,$K6),""))</f>
        <v/>
      </c>
      <c r="T6" s="74">
        <f>IF(OR($J6="",$F6="不适用"),"",IFERROR(INDEX(_怪物模型!$E$2:$E$4501,(INT($J6)-1)*ROWS(_怪物类型!$A$2:$A$10)+MATCH($F6,_怪物类型!$A$2:$A$10,0))*IF($L6="",1,$L6),""))</f>
        <v/>
      </c>
      <c r="U6" s="74">
        <f>IF(OR($J6="",$F6="不适用"),"",IFERROR(INDEX(_怪物模型!$F$2:$F$4501,(INT($J6)-1)*ROWS(_怪物类型!$A$2:$A$10)+MATCH($F6,_怪物类型!$A$2:$A$10,0))*IF($M6="",1,$M6),""))</f>
        <v/>
      </c>
      <c r="V6" s="75">
        <f>IF($U6="","",MIN(0.75,$U6/($U6+24000)))</f>
        <v/>
      </c>
      <c r="W6" s="76">
        <f>IF($S6="","",$S6/(1-$V6)*IF($N6="",1,$N6))</f>
        <v/>
      </c>
      <c r="X6" s="76">
        <f>IF(OR($W6="",$Q6="",$Q6=0),"",$W6/$Q6)</f>
        <v/>
      </c>
      <c r="Y6" s="76">
        <f>IF(OR($R6="",$T6="",$T6=0),"",$R6/($T6*IF($O6="",1,$O6)))</f>
        <v/>
      </c>
      <c r="Z6" s="77">
        <f>IF(OR($X6="",$P6="",$P6=0),"",$X6/$P6)</f>
        <v/>
      </c>
      <c r="AA6" s="27">
        <f>IF($J6="","待填怪物等级",IF(OR($I6="",$Q6=""),"待填对照关卡",IF($P6="","已计算",IF(AND($Y6&lt;&gt;"",$Y6&lt;$X6),"生存不成立",IF($Z6&lt;0.5,"碾压",IF($Z6&lt;0.8,"偏简单",IF($Z6&lt;=1.2,"适中",IF($Z6&lt;=1.5,"偏难","过难"))))))))</f>
        <v/>
      </c>
      <c r="AB6" s="27">
        <f>IF($J6="","待填",IF(AND(ISNUMBER($J6),$J6&gt;=1,$J6&lt;=500,MOD($J6,1)=0),"有效","超范围"))</f>
        <v/>
      </c>
      <c r="AC6" s="27">
        <f>IF(OR($J6="",ROW()=5,$B6&lt;&gt;$B5,$J5=""),"",IF($J6&lt;$J5,"下降",""))</f>
        <v/>
      </c>
      <c r="AD6" s="28" t="inlineStr">
        <is>
          <t>2026-08-27 新玩家节点曲线校准；对照S64；等级118→95；保留原难度定位。｜2026-09-14 难度上调（仅源表）：等级按重度档上调至145，K/L系数与对照G不变；AE按60s击杀/扛20s最早通关反查（进度见备注链）。</t>
        </is>
      </c>
      <c r="AE6" t="n">
        <v>218000</v>
      </c>
      <c r="AF6">
        <f>INDEX(_统一战力!$B$2:$B$501,J6)</f>
        <v/>
      </c>
    </row>
    <row r="7" ht="25" customHeight="1">
      <c r="A7" s="27" t="inlineStr">
        <is>
          <t>当前配置</t>
        </is>
      </c>
      <c r="B7" s="27" t="inlineStr">
        <is>
          <t>Boss挑战</t>
        </is>
      </c>
      <c r="C7" s="28" t="inlineStr">
        <is>
          <t>7个Boss共用</t>
        </is>
      </c>
      <c r="D7" s="28" t="inlineStr">
        <is>
          <t>难度3</t>
        </is>
      </c>
      <c r="E7" s="28" t="inlineStr">
        <is>
          <t>510003;520003;530003;540003;550003;560003;570003</t>
        </is>
      </c>
      <c r="F7" s="27" t="inlineStr">
        <is>
          <t>Boss</t>
        </is>
      </c>
      <c r="G7" s="37" t="n">
        <v>76</v>
      </c>
      <c r="H7" s="38" t="n"/>
      <c r="I7" s="39">
        <f>IF($H7="",$G7,$H7)</f>
        <v/>
      </c>
      <c r="J7" s="40" t="n">
        <v>185</v>
      </c>
      <c r="K7" s="72" t="n">
        <v>1.07914424095209</v>
      </c>
      <c r="L7" s="72" t="n">
        <v>0.827303587460533</v>
      </c>
      <c r="M7" s="72" t="n">
        <v>1</v>
      </c>
      <c r="N7" s="73" t="n"/>
      <c r="O7" s="73" t="n"/>
      <c r="P7" s="73" t="n"/>
      <c r="Q7" s="74">
        <f>IF($I7="","",IFERROR(INDEX(_玩家曲线!$H$2:$H$286,MATCH($I7,_玩家曲线!$A$2:$A$286,0)),""))</f>
        <v/>
      </c>
      <c r="R7" s="74">
        <f>IF($I7="","",IFERROR(INDEX(_玩家曲线!$I$2:$I$286,MATCH($I7,_玩家曲线!$A$2:$A$286,0)),""))</f>
        <v/>
      </c>
      <c r="S7" s="74">
        <f>IF(OR($J7="",$F7="不适用"),"",IFERROR(INDEX(_怪物模型!$D$2:$D$4501,(INT($J7)-1)*ROWS(_怪物类型!$A$2:$A$10)+MATCH($F7,_怪物类型!$A$2:$A$10,0))*IF($K7="",1,$K7),""))</f>
        <v/>
      </c>
      <c r="T7" s="74">
        <f>IF(OR($J7="",$F7="不适用"),"",IFERROR(INDEX(_怪物模型!$E$2:$E$4501,(INT($J7)-1)*ROWS(_怪物类型!$A$2:$A$10)+MATCH($F7,_怪物类型!$A$2:$A$10,0))*IF($L7="",1,$L7),""))</f>
        <v/>
      </c>
      <c r="U7" s="74">
        <f>IF(OR($J7="",$F7="不适用"),"",IFERROR(INDEX(_怪物模型!$F$2:$F$4501,(INT($J7)-1)*ROWS(_怪物类型!$A$2:$A$10)+MATCH($F7,_怪物类型!$A$2:$A$10,0))*IF($M7="",1,$M7),""))</f>
        <v/>
      </c>
      <c r="V7" s="75">
        <f>IF($U7="","",MIN(0.75,$U7/($U7+24000)))</f>
        <v/>
      </c>
      <c r="W7" s="76">
        <f>IF($S7="","",$S7/(1-$V7)*IF($N7="",1,$N7))</f>
        <v/>
      </c>
      <c r="X7" s="76">
        <f>IF(OR($W7="",$Q7="",$Q7=0),"",$W7/$Q7)</f>
        <v/>
      </c>
      <c r="Y7" s="76">
        <f>IF(OR($R7="",$T7="",$T7=0),"",$R7/($T7*IF($O7="",1,$O7)))</f>
        <v/>
      </c>
      <c r="Z7" s="77">
        <f>IF(OR($X7="",$P7="",$P7=0),"",$X7/$P7)</f>
        <v/>
      </c>
      <c r="AA7" s="27">
        <f>IF($J7="","待填怪物等级",IF(OR($I7="",$Q7=""),"待填对照关卡",IF($P7="","已计算",IF(AND($Y7&lt;&gt;"",$Y7&lt;$X7),"生存不成立",IF($Z7&lt;0.5,"碾压",IF($Z7&lt;0.8,"偏简单",IF($Z7&lt;=1.2,"适中",IF($Z7&lt;=1.5,"偏难","过难"))))))))</f>
        <v/>
      </c>
      <c r="AB7" s="27">
        <f>IF($J7="","待填",IF(AND(ISNUMBER($J7),$J7&gt;=1,$J7&lt;=500,MOD($J7,1)=0),"有效","超范围"))</f>
        <v/>
      </c>
      <c r="AC7" s="27">
        <f>IF(OR($J7="",ROW()=5,$B7&lt;&gt;$B6,$J6=""),"",IF($J7&lt;$J6,"下降",""))</f>
        <v/>
      </c>
      <c r="AD7" s="28" t="inlineStr">
        <is>
          <t>2026-08-27 新玩家节点曲线校准；对照S76；等级148→120；保留原难度定位。｜2026-09-14 难度上调（仅源表）：等级按重度档上调至185，K/L系数与对照G不变；AE按60s击杀/扛20s最早通关反查（进度见备注链）。</t>
        </is>
      </c>
      <c r="AE7" t="n">
        <v>398000</v>
      </c>
      <c r="AF7">
        <f>INDEX(_统一战力!$B$2:$B$501,J7)</f>
        <v/>
      </c>
    </row>
    <row r="8" ht="25" customHeight="1">
      <c r="A8" s="27" t="inlineStr">
        <is>
          <t>当前配置</t>
        </is>
      </c>
      <c r="B8" s="27" t="inlineStr">
        <is>
          <t>Boss挑战</t>
        </is>
      </c>
      <c r="C8" s="28" t="inlineStr">
        <is>
          <t>7个Boss共用</t>
        </is>
      </c>
      <c r="D8" s="28" t="inlineStr">
        <is>
          <t>难度4</t>
        </is>
      </c>
      <c r="E8" s="28" t="inlineStr">
        <is>
          <t>510004;520004;530004;540004;550004;560004;570004</t>
        </is>
      </c>
      <c r="F8" s="27" t="inlineStr">
        <is>
          <t>Boss</t>
        </is>
      </c>
      <c r="G8" s="37" t="n">
        <v>89</v>
      </c>
      <c r="H8" s="38" t="n"/>
      <c r="I8" s="39">
        <f>IF($H8="",$G8,$H8)</f>
        <v/>
      </c>
      <c r="J8" s="40" t="n">
        <v>215</v>
      </c>
      <c r="K8" s="72" t="n">
        <v>1.05480649735759</v>
      </c>
      <c r="L8" s="72" t="n">
        <v>0.8546469906767989</v>
      </c>
      <c r="M8" s="72" t="n">
        <v>1</v>
      </c>
      <c r="N8" s="73" t="n"/>
      <c r="O8" s="73" t="n"/>
      <c r="P8" s="73" t="n"/>
      <c r="Q8" s="74">
        <f>IF($I8="","",IFERROR(INDEX(_玩家曲线!$H$2:$H$286,MATCH($I8,_玩家曲线!$A$2:$A$286,0)),""))</f>
        <v/>
      </c>
      <c r="R8" s="74">
        <f>IF($I8="","",IFERROR(INDEX(_玩家曲线!$I$2:$I$286,MATCH($I8,_玩家曲线!$A$2:$A$286,0)),""))</f>
        <v/>
      </c>
      <c r="S8" s="74">
        <f>IF(OR($J8="",$F8="不适用"),"",IFERROR(INDEX(_怪物模型!$D$2:$D$4501,(INT($J8)-1)*ROWS(_怪物类型!$A$2:$A$10)+MATCH($F8,_怪物类型!$A$2:$A$10,0))*IF($K8="",1,$K8),""))</f>
        <v/>
      </c>
      <c r="T8" s="74">
        <f>IF(OR($J8="",$F8="不适用"),"",IFERROR(INDEX(_怪物模型!$E$2:$E$4501,(INT($J8)-1)*ROWS(_怪物类型!$A$2:$A$10)+MATCH($F8,_怪物类型!$A$2:$A$10,0))*IF($L8="",1,$L8),""))</f>
        <v/>
      </c>
      <c r="U8" s="74">
        <f>IF(OR($J8="",$F8="不适用"),"",IFERROR(INDEX(_怪物模型!$F$2:$F$4501,(INT($J8)-1)*ROWS(_怪物类型!$A$2:$A$10)+MATCH($F8,_怪物类型!$A$2:$A$10,0))*IF($M8="",1,$M8),""))</f>
        <v/>
      </c>
      <c r="V8" s="75">
        <f>IF($U8="","",MIN(0.75,$U8/($U8+24000)))</f>
        <v/>
      </c>
      <c r="W8" s="76">
        <f>IF($S8="","",$S8/(1-$V8)*IF($N8="",1,$N8))</f>
        <v/>
      </c>
      <c r="X8" s="76">
        <f>IF(OR($W8="",$Q8="",$Q8=0),"",$W8/$Q8)</f>
        <v/>
      </c>
      <c r="Y8" s="76">
        <f>IF(OR($R8="",$T8="",$T8=0),"",$R8/($T8*IF($O8="",1,$O8)))</f>
        <v/>
      </c>
      <c r="Z8" s="77">
        <f>IF(OR($X8="",$P8="",$P8=0),"",$X8/$P8)</f>
        <v/>
      </c>
      <c r="AA8" s="27">
        <f>IF($J8="","待填怪物等级",IF(OR($I8="",$Q8=""),"待填对照关卡",IF($P8="","已计算",IF(AND($Y8&lt;&gt;"",$Y8&lt;$X8),"生存不成立",IF($Z8&lt;0.5,"碾压",IF($Z8&lt;0.8,"偏简单",IF($Z8&lt;=1.2,"适中",IF($Z8&lt;=1.5,"偏难","过难"))))))))</f>
        <v/>
      </c>
      <c r="AB8" s="27">
        <f>IF($J8="","待填",IF(AND(ISNUMBER($J8),$J8&gt;=1,$J8&lt;=500,MOD($J8,1)=0),"有效","超范围"))</f>
        <v/>
      </c>
      <c r="AC8" s="27">
        <f>IF(OR($J8="",ROW()=5,$B8&lt;&gt;$B7,$J7=""),"",IF($J8&lt;$J7,"下降",""))</f>
        <v/>
      </c>
      <c r="AD8" s="28" t="inlineStr">
        <is>
          <t>2026-08-27 新玩家节点曲线校准；对照S89；等级172→141；保留原难度定位。｜2026-09-14 难度上调（仅源表）：等级按重度档上调至215，K/L系数与对照G不变；AE按60s击杀/扛20s最早通关反查（进度见备注链）。</t>
        </is>
      </c>
      <c r="AE8" t="n">
        <v>577000</v>
      </c>
      <c r="AF8">
        <f>INDEX(_统一战力!$B$2:$B$501,J8)</f>
        <v/>
      </c>
    </row>
    <row r="9" ht="25" customHeight="1">
      <c r="A9" s="27" t="inlineStr">
        <is>
          <t>当前配置</t>
        </is>
      </c>
      <c r="B9" s="27" t="inlineStr">
        <is>
          <t>Boss挑战</t>
        </is>
      </c>
      <c r="C9" s="28" t="inlineStr">
        <is>
          <t>7个Boss共用</t>
        </is>
      </c>
      <c r="D9" s="28" t="inlineStr">
        <is>
          <t>难度5</t>
        </is>
      </c>
      <c r="E9" s="28" t="inlineStr">
        <is>
          <t>510005;520005;530005;540005;550005;560005;570005</t>
        </is>
      </c>
      <c r="F9" s="27" t="inlineStr">
        <is>
          <t>Boss</t>
        </is>
      </c>
      <c r="G9" s="37" t="n">
        <v>104</v>
      </c>
      <c r="H9" s="38" t="n"/>
      <c r="I9" s="39">
        <f>IF($H9="",$G9,$H9)</f>
        <v/>
      </c>
      <c r="J9" s="40" t="n">
        <v>250</v>
      </c>
      <c r="K9" s="72" t="n">
        <v>1.03967770900507</v>
      </c>
      <c r="L9" s="72" t="n">
        <v>0.886835348544449</v>
      </c>
      <c r="M9" s="72" t="n">
        <v>1</v>
      </c>
      <c r="N9" s="73" t="n"/>
      <c r="O9" s="73" t="n"/>
      <c r="P9" s="73" t="n"/>
      <c r="Q9" s="74">
        <f>IF($I9="","",IFERROR(INDEX(_玩家曲线!$H$2:$H$286,MATCH($I9,_玩家曲线!$A$2:$A$286,0)),""))</f>
        <v/>
      </c>
      <c r="R9" s="74">
        <f>IF($I9="","",IFERROR(INDEX(_玩家曲线!$I$2:$I$286,MATCH($I9,_玩家曲线!$A$2:$A$286,0)),""))</f>
        <v/>
      </c>
      <c r="S9" s="74">
        <f>IF(OR($J9="",$F9="不适用"),"",IFERROR(INDEX(_怪物模型!$D$2:$D$4501,(INT($J9)-1)*ROWS(_怪物类型!$A$2:$A$10)+MATCH($F9,_怪物类型!$A$2:$A$10,0))*IF($K9="",1,$K9),""))</f>
        <v/>
      </c>
      <c r="T9" s="74">
        <f>IF(OR($J9="",$F9="不适用"),"",IFERROR(INDEX(_怪物模型!$E$2:$E$4501,(INT($J9)-1)*ROWS(_怪物类型!$A$2:$A$10)+MATCH($F9,_怪物类型!$A$2:$A$10,0))*IF($L9="",1,$L9),""))</f>
        <v/>
      </c>
      <c r="U9" s="74">
        <f>IF(OR($J9="",$F9="不适用"),"",IFERROR(INDEX(_怪物模型!$F$2:$F$4501,(INT($J9)-1)*ROWS(_怪物类型!$A$2:$A$10)+MATCH($F9,_怪物类型!$A$2:$A$10,0))*IF($M9="",1,$M9),""))</f>
        <v/>
      </c>
      <c r="V9" s="75">
        <f>IF($U9="","",MIN(0.75,$U9/($U9+24000)))</f>
        <v/>
      </c>
      <c r="W9" s="76">
        <f>IF($S9="","",$S9/(1-$V9)*IF($N9="",1,$N9))</f>
        <v/>
      </c>
      <c r="X9" s="76">
        <f>IF(OR($W9="",$Q9="",$Q9=0),"",$W9/$Q9)</f>
        <v/>
      </c>
      <c r="Y9" s="76">
        <f>IF(OR($R9="",$T9="",$T9=0),"",$R9/($T9*IF($O9="",1,$O9)))</f>
        <v/>
      </c>
      <c r="Z9" s="77">
        <f>IF(OR($X9="",$P9="",$P9=0),"",$X9/$P9)</f>
        <v/>
      </c>
      <c r="AA9" s="27">
        <f>IF($J9="","待填怪物等级",IF(OR($I9="",$Q9=""),"待填对照关卡",IF($P9="","已计算",IF(AND($Y9&lt;&gt;"",$Y9&lt;$X9),"生存不成立",IF($Z9&lt;0.5,"碾压",IF($Z9&lt;0.8,"偏简单",IF($Z9&lt;=1.2,"适中",IF($Z9&lt;=1.5,"偏难","过难"))))))))</f>
        <v/>
      </c>
      <c r="AB9" s="27">
        <f>IF($J9="","待填",IF(AND(ISNUMBER($J9),$J9&gt;=1,$J9&lt;=500,MOD($J9,1)=0),"有效","超范围"))</f>
        <v/>
      </c>
      <c r="AC9" s="27">
        <f>IF(OR($J9="",ROW()=5,$B9&lt;&gt;$B8,$J8=""),"",IF($J9&lt;$J8,"下降",""))</f>
        <v/>
      </c>
      <c r="AD9" s="28" t="inlineStr">
        <is>
          <t>2026-08-27 新玩家节点曲线校准；对照S104；等级196→162；保留原难度定位。｜2026-09-14 难度上调（仅源表）：等级按重度档上调至250，K/L系数与对照G不变；AE按60s击杀/扛20s最早通关反查（进度见备注链）。</t>
        </is>
      </c>
      <c r="AE9" t="n">
        <v>840000</v>
      </c>
      <c r="AF9">
        <f>INDEX(_统一战力!$B$2:$B$501,J9)</f>
        <v/>
      </c>
    </row>
    <row r="10" ht="25" customHeight="1">
      <c r="A10" s="27" t="inlineStr">
        <is>
          <t>当前配置</t>
        </is>
      </c>
      <c r="B10" s="27" t="inlineStr">
        <is>
          <t>Boss挑战</t>
        </is>
      </c>
      <c r="C10" s="28" t="inlineStr">
        <is>
          <t>7个Boss共用</t>
        </is>
      </c>
      <c r="D10" s="28" t="inlineStr">
        <is>
          <t>难度6</t>
        </is>
      </c>
      <c r="E10" s="28" t="inlineStr">
        <is>
          <t>510006;520006;530006;540006;550006;560006;570006</t>
        </is>
      </c>
      <c r="F10" s="27" t="inlineStr">
        <is>
          <t>Boss</t>
        </is>
      </c>
      <c r="G10" s="37" t="n">
        <v>122</v>
      </c>
      <c r="H10" s="38" t="n"/>
      <c r="I10" s="39">
        <f>IF($H10="",$G10,$H10)</f>
        <v/>
      </c>
      <c r="J10" s="40" t="n">
        <v>250</v>
      </c>
      <c r="K10" s="72" t="n">
        <v>1.03127610503314</v>
      </c>
      <c r="L10" s="72" t="n">
        <v>0.939466811310611</v>
      </c>
      <c r="M10" s="72" t="n">
        <v>1</v>
      </c>
      <c r="N10" s="73" t="n"/>
      <c r="O10" s="73" t="n"/>
      <c r="P10" s="73" t="n"/>
      <c r="Q10" s="74">
        <f>IF($I10="","",IFERROR(INDEX(_玩家曲线!$H$2:$H$286,MATCH($I10,_玩家曲线!$A$2:$A$286,0)),""))</f>
        <v/>
      </c>
      <c r="R10" s="74">
        <f>IF($I10="","",IFERROR(INDEX(_玩家曲线!$I$2:$I$286,MATCH($I10,_玩家曲线!$A$2:$A$286,0)),""))</f>
        <v/>
      </c>
      <c r="S10" s="74">
        <f>IF(OR($J10="",$F10="不适用"),"",IFERROR(INDEX(_怪物模型!$D$2:$D$4501,(INT($J10)-1)*ROWS(_怪物类型!$A$2:$A$10)+MATCH($F10,_怪物类型!$A$2:$A$10,0))*IF($K10="",1,$K10),""))</f>
        <v/>
      </c>
      <c r="T10" s="74">
        <f>IF(OR($J10="",$F10="不适用"),"",IFERROR(INDEX(_怪物模型!$E$2:$E$4501,(INT($J10)-1)*ROWS(_怪物类型!$A$2:$A$10)+MATCH($F10,_怪物类型!$A$2:$A$10,0))*IF($L10="",1,$L10),""))</f>
        <v/>
      </c>
      <c r="U10" s="74">
        <f>IF(OR($J10="",$F10="不适用"),"",IFERROR(INDEX(_怪物模型!$F$2:$F$4501,(INT($J10)-1)*ROWS(_怪物类型!$A$2:$A$10)+MATCH($F10,_怪物类型!$A$2:$A$10,0))*IF($M10="",1,$M10),""))</f>
        <v/>
      </c>
      <c r="V10" s="75">
        <f>IF($U10="","",MIN(0.75,$U10/($U10+24000)))</f>
        <v/>
      </c>
      <c r="W10" s="76">
        <f>IF($S10="","",$S10/(1-$V10)*IF($N10="",1,$N10))</f>
        <v/>
      </c>
      <c r="X10" s="76">
        <f>IF(OR($W10="",$Q10="",$Q10=0),"",$W10/$Q10)</f>
        <v/>
      </c>
      <c r="Y10" s="76">
        <f>IF(OR($R10="",$T10="",$T10=0),"",$R10/($T10*IF($O10="",1,$O10)))</f>
        <v/>
      </c>
      <c r="Z10" s="77">
        <f>IF(OR($X10="",$P10="",$P10=0),"",$X10/$P10)</f>
        <v/>
      </c>
      <c r="AA10" s="27">
        <f>IF($J10="","待填怪物等级",IF(OR($I10="",$Q10=""),"待填对照关卡",IF($P10="","已计算",IF(AND($Y10&lt;&gt;"",$Y10&lt;$X10),"生存不成立",IF($Z10&lt;0.5,"碾压",IF($Z10&lt;0.8,"偏简单",IF($Z10&lt;=1.2,"适中",IF($Z10&lt;=1.5,"偏难","过难"))))))))</f>
        <v/>
      </c>
      <c r="AB10" s="27">
        <f>IF($J10="","待填",IF(AND(ISNUMBER($J10),$J10&gt;=1,$J10&lt;=500,MOD($J10,1)=0),"有效","超范围"))</f>
        <v/>
      </c>
      <c r="AC10" s="27">
        <f>IF(OR($J10="",ROW()=5,$B10&lt;&gt;$B9,$J9=""),"",IF($J10&lt;$J9,"下降",""))</f>
        <v/>
      </c>
      <c r="AD10" s="28" t="inlineStr">
        <is>
          <t>2026-08-27 新玩家节点曲线校准；对照S122；等级224→189；保留原难度定位。｜2026-09-14 难度上调（仅源表）：等级按重度档上调至290，K/L系数与对照G不变；AE按60s击杀/扛20s最早通关反查（进度见备注链）。｜2026-09-14 用户改档：第六层由290级改回250级，与第五层同等级；反查进度148&lt;第五层149，按组内单调钳制为149，AE=840,000与档5持平。</t>
        </is>
      </c>
      <c r="AE10" t="n">
        <v>840000</v>
      </c>
      <c r="AF10">
        <f>INDEX(_统一战力!$B$2:$B$501,J10)</f>
        <v/>
      </c>
    </row>
    <row r="11" ht="25" customHeight="1">
      <c r="A11" s="27" t="inlineStr">
        <is>
          <t>历史停用档（不落配置）</t>
        </is>
      </c>
      <c r="B11" s="27" t="inlineStr">
        <is>
          <t>Boss挑战</t>
        </is>
      </c>
      <c r="C11" s="28" t="inlineStr">
        <is>
          <t>7个Boss共用</t>
        </is>
      </c>
      <c r="D11" s="28" t="inlineStr">
        <is>
          <t>难度7</t>
        </is>
      </c>
      <c r="E11" s="28" t="inlineStr">
        <is>
          <t>510007;520007;530007;540007;550007;560007;570007</t>
        </is>
      </c>
      <c r="F11" s="27" t="inlineStr">
        <is>
          <t>Boss</t>
        </is>
      </c>
      <c r="G11" s="37" t="n">
        <v>144</v>
      </c>
      <c r="H11" s="38" t="n"/>
      <c r="I11" s="39">
        <f>IF($H11="",$G11,$H11)</f>
        <v/>
      </c>
      <c r="J11" s="40" t="n">
        <v>244</v>
      </c>
      <c r="K11" s="73" t="n"/>
      <c r="L11" s="73" t="n"/>
      <c r="M11" s="73" t="n"/>
      <c r="N11" s="73" t="n"/>
      <c r="O11" s="73" t="n"/>
      <c r="P11" s="73" t="n"/>
      <c r="Q11" s="74">
        <f>IF($I11="","",IFERROR(INDEX(_玩家曲线!$H$2:$H$286,MATCH($I11,_玩家曲线!$A$2:$A$286,0)),""))</f>
        <v/>
      </c>
      <c r="R11" s="74">
        <f>IF($I11="","",IFERROR(INDEX(_玩家曲线!$I$2:$I$286,MATCH($I11,_玩家曲线!$A$2:$A$286,0)),""))</f>
        <v/>
      </c>
      <c r="S11" s="74">
        <f>IF(OR($J11="",$F11="不适用"),"",IFERROR(INDEX(_怪物模型!$D$2:$D$4501,(INT($J11)-1)*ROWS(_怪物类型!$A$2:$A$10)+MATCH($F11,_怪物类型!$A$2:$A$10,0))*IF($K11="",1,$K11),""))</f>
        <v/>
      </c>
      <c r="T11" s="74">
        <f>IF(OR($J11="",$F11="不适用"),"",IFERROR(INDEX(_怪物模型!$E$2:$E$4501,(INT($J11)-1)*ROWS(_怪物类型!$A$2:$A$10)+MATCH($F11,_怪物类型!$A$2:$A$10,0))*IF($L11="",1,$L11),""))</f>
        <v/>
      </c>
      <c r="U11" s="74">
        <f>IF(OR($J11="",$F11="不适用"),"",IFERROR(INDEX(_怪物模型!$F$2:$F$4501,(INT($J11)-1)*ROWS(_怪物类型!$A$2:$A$10)+MATCH($F11,_怪物类型!$A$2:$A$10,0))*IF($M11="",1,$M11),""))</f>
        <v/>
      </c>
      <c r="V11" s="75">
        <f>IF($U11="","",MIN(0.75,$U11/($U11+24000)))</f>
        <v/>
      </c>
      <c r="W11" s="76">
        <f>IF($S11="","",$S11/(1-$V11)*IF($N11="",1,$N11))</f>
        <v/>
      </c>
      <c r="X11" s="76">
        <f>IF(OR($W11="",$Q11="",$Q11=0),"",$W11/$Q11)</f>
        <v/>
      </c>
      <c r="Y11" s="76">
        <f>IF(OR($R11="",$T11="",$T11=0),"",$R11/($T11*IF($O11="",1,$O11)))</f>
        <v/>
      </c>
      <c r="Z11" s="77">
        <f>IF(OR($X11="",$P11="",$P11=0),"",$X11/$P11)</f>
        <v/>
      </c>
      <c r="AA11" s="27">
        <f>IF($J11="","待填怪物等级",IF(OR($I11="",$Q11=""),"待填对照关卡",IF($P11="","已计算",IF(AND($Y11&lt;&gt;"",$Y11&lt;$X11),"生存不成立",IF($Z11&lt;0.5,"碾压",IF($Z11&lt;0.8,"偏简单",IF($Z11&lt;=1.2,"适中",IF($Z11&lt;=1.5,"偏难","过难"))))))))</f>
        <v/>
      </c>
      <c r="AB11" s="27">
        <f>IF($J11="","待填",IF(AND(ISNUMBER($J11),$J11&gt;=1,$J11&lt;=500,MOD($J11,1)=0),"有效","超范围"))</f>
        <v/>
      </c>
      <c r="AC11" s="27">
        <f>IF(OR($J11="",ROW()=5,$B11&lt;&gt;$B10,$J10=""),"",IF($J11&lt;$J10,"下降",""))</f>
        <v/>
      </c>
      <c r="AD11" s="28" t="inlineStr">
        <is>
          <t>Boss挑战通关4-15/S54开放；7个Boss共用难度档｜修正版V4：首档Lv120送进度，前5档缓升后接回验证强度；对照S144｜V4同步最新玩家曲线：Lv317→Lv305，保留原TTK/生存压力目标｜曲线同步20260811：Lv305→Lv266，保持原玩法定位与TTK/生存压力</t>
        </is>
      </c>
      <c r="AE11" t="n">
        <v>445000</v>
      </c>
    </row>
    <row r="12" ht="25" customHeight="1">
      <c r="A12" s="27" t="inlineStr">
        <is>
          <t>历史停用档（不落配置）</t>
        </is>
      </c>
      <c r="B12" s="27" t="inlineStr">
        <is>
          <t>Boss挑战</t>
        </is>
      </c>
      <c r="C12" s="28" t="inlineStr">
        <is>
          <t>7个Boss共用</t>
        </is>
      </c>
      <c r="D12" s="28" t="inlineStr">
        <is>
          <t>难度8</t>
        </is>
      </c>
      <c r="E12" s="28" t="inlineStr">
        <is>
          <t>510008;520008;530008;540008;550008;560008;570008</t>
        </is>
      </c>
      <c r="F12" s="27" t="inlineStr">
        <is>
          <t>Boss</t>
        </is>
      </c>
      <c r="G12" s="37" t="n">
        <v>172</v>
      </c>
      <c r="H12" s="38" t="n"/>
      <c r="I12" s="39">
        <f>IF($H12="",$G12,$H12)</f>
        <v/>
      </c>
      <c r="J12" s="40" t="n">
        <v>263</v>
      </c>
      <c r="K12" s="73" t="n"/>
      <c r="L12" s="73" t="n"/>
      <c r="M12" s="73" t="n"/>
      <c r="N12" s="73" t="n"/>
      <c r="O12" s="73" t="n"/>
      <c r="P12" s="73" t="n"/>
      <c r="Q12" s="74">
        <f>IF($I12="","",IFERROR(INDEX(_玩家曲线!$H$2:$H$286,MATCH($I12,_玩家曲线!$A$2:$A$286,0)),""))</f>
        <v/>
      </c>
      <c r="R12" s="74">
        <f>IF($I12="","",IFERROR(INDEX(_玩家曲线!$I$2:$I$286,MATCH($I12,_玩家曲线!$A$2:$A$286,0)),""))</f>
        <v/>
      </c>
      <c r="S12" s="74">
        <f>IF(OR($J12="",$F12="不适用"),"",IFERROR(INDEX(_怪物模型!$D$2:$D$4501,(INT($J12)-1)*ROWS(_怪物类型!$A$2:$A$10)+MATCH($F12,_怪物类型!$A$2:$A$10,0))*IF($K12="",1,$K12),""))</f>
        <v/>
      </c>
      <c r="T12" s="74">
        <f>IF(OR($J12="",$F12="不适用"),"",IFERROR(INDEX(_怪物模型!$E$2:$E$4501,(INT($J12)-1)*ROWS(_怪物类型!$A$2:$A$10)+MATCH($F12,_怪物类型!$A$2:$A$10,0))*IF($L12="",1,$L12),""))</f>
        <v/>
      </c>
      <c r="U12" s="74">
        <f>IF(OR($J12="",$F12="不适用"),"",IFERROR(INDEX(_怪物模型!$F$2:$F$4501,(INT($J12)-1)*ROWS(_怪物类型!$A$2:$A$10)+MATCH($F12,_怪物类型!$A$2:$A$10,0))*IF($M12="",1,$M12),""))</f>
        <v/>
      </c>
      <c r="V12" s="75">
        <f>IF($U12="","",MIN(0.75,$U12/($U12+24000)))</f>
        <v/>
      </c>
      <c r="W12" s="76">
        <f>IF($S12="","",$S12/(1-$V12)*IF($N12="",1,$N12))</f>
        <v/>
      </c>
      <c r="X12" s="76">
        <f>IF(OR($W12="",$Q12="",$Q12=0),"",$W12/$Q12)</f>
        <v/>
      </c>
      <c r="Y12" s="76">
        <f>IF(OR($R12="",$T12="",$T12=0),"",$R12/($T12*IF($O12="",1,$O12)))</f>
        <v/>
      </c>
      <c r="Z12" s="77">
        <f>IF(OR($X12="",$P12="",$P12=0),"",$X12/$P12)</f>
        <v/>
      </c>
      <c r="AA12" s="27">
        <f>IF($J12="","待填怪物等级",IF(OR($I12="",$Q12=""),"待填对照关卡",IF($P12="","已计算",IF(AND($Y12&lt;&gt;"",$Y12&lt;$X12),"生存不成立",IF($Z12&lt;0.5,"碾压",IF($Z12&lt;0.8,"偏简单",IF($Z12&lt;=1.2,"适中",IF($Z12&lt;=1.5,"偏难","过难"))))))))</f>
        <v/>
      </c>
      <c r="AB12" s="27">
        <f>IF($J12="","待填",IF(AND(ISNUMBER($J12),$J12&gt;=1,$J12&lt;=500,MOD($J12,1)=0),"有效","超范围"))</f>
        <v/>
      </c>
      <c r="AC12" s="27">
        <f>IF(OR($J12="",ROW()=5,$B12&lt;&gt;$B11,$J11=""),"",IF($J12&lt;$J11,"下降",""))</f>
        <v/>
      </c>
      <c r="AD12" s="28" t="inlineStr">
        <is>
          <t>Boss挑战通关4-15/S54开放；7个Boss共用难度档｜修正版V4：首档Lv120送进度，前5档缓升后接回验证强度；对照S172｜V4同步最新玩家曲线：Lv337→Lv326，保留原TTK/生存压力目标｜曲线同步20260811：Lv326→Lv285，保持原玩法定位与TTK/生存压力</t>
        </is>
      </c>
      <c r="AE12" t="n">
        <v>522000</v>
      </c>
    </row>
    <row r="13" ht="25" customHeight="1">
      <c r="A13" s="27" t="inlineStr">
        <is>
          <t>历史停用档（不落配置）</t>
        </is>
      </c>
      <c r="B13" s="27" t="inlineStr">
        <is>
          <t>Boss挑战</t>
        </is>
      </c>
      <c r="C13" s="28" t="inlineStr">
        <is>
          <t>7个Boss共用</t>
        </is>
      </c>
      <c r="D13" s="28" t="inlineStr">
        <is>
          <t>难度9</t>
        </is>
      </c>
      <c r="E13" s="28" t="inlineStr">
        <is>
          <t>510009;520009;530009;540009;550009;560009;570009</t>
        </is>
      </c>
      <c r="F13" s="27" t="inlineStr">
        <is>
          <t>Boss</t>
        </is>
      </c>
      <c r="G13" s="37" t="n">
        <v>209</v>
      </c>
      <c r="H13" s="38" t="n"/>
      <c r="I13" s="39">
        <f>IF($H13="",$G13,$H13)</f>
        <v/>
      </c>
      <c r="J13" s="40" t="n">
        <v>279</v>
      </c>
      <c r="K13" s="73" t="n"/>
      <c r="L13" s="73" t="n"/>
      <c r="M13" s="73" t="n"/>
      <c r="N13" s="73" t="n"/>
      <c r="O13" s="73" t="n"/>
      <c r="P13" s="73" t="n"/>
      <c r="Q13" s="74">
        <f>IF($I13="","",IFERROR(INDEX(_玩家曲线!$H$2:$H$286,MATCH($I13,_玩家曲线!$A$2:$A$286,0)),""))</f>
        <v/>
      </c>
      <c r="R13" s="74">
        <f>IF($I13="","",IFERROR(INDEX(_玩家曲线!$I$2:$I$286,MATCH($I13,_玩家曲线!$A$2:$A$286,0)),""))</f>
        <v/>
      </c>
      <c r="S13" s="74">
        <f>IF(OR($J13="",$F13="不适用"),"",IFERROR(INDEX(_怪物模型!$D$2:$D$4501,(INT($J13)-1)*ROWS(_怪物类型!$A$2:$A$10)+MATCH($F13,_怪物类型!$A$2:$A$10,0))*IF($K13="",1,$K13),""))</f>
        <v/>
      </c>
      <c r="T13" s="74">
        <f>IF(OR($J13="",$F13="不适用"),"",IFERROR(INDEX(_怪物模型!$E$2:$E$4501,(INT($J13)-1)*ROWS(_怪物类型!$A$2:$A$10)+MATCH($F13,_怪物类型!$A$2:$A$10,0))*IF($L13="",1,$L13),""))</f>
        <v/>
      </c>
      <c r="U13" s="74">
        <f>IF(OR($J13="",$F13="不适用"),"",IFERROR(INDEX(_怪物模型!$F$2:$F$4501,(INT($J13)-1)*ROWS(_怪物类型!$A$2:$A$10)+MATCH($F13,_怪物类型!$A$2:$A$10,0))*IF($M13="",1,$M13),""))</f>
        <v/>
      </c>
      <c r="V13" s="75">
        <f>IF($U13="","",MIN(0.75,$U13/($U13+24000)))</f>
        <v/>
      </c>
      <c r="W13" s="76">
        <f>IF($S13="","",$S13/(1-$V13)*IF($N13="",1,$N13))</f>
        <v/>
      </c>
      <c r="X13" s="76">
        <f>IF(OR($W13="",$Q13="",$Q13=0),"",$W13/$Q13)</f>
        <v/>
      </c>
      <c r="Y13" s="76">
        <f>IF(OR($R13="",$T13="",$T13=0),"",$R13/($T13*IF($O13="",1,$O13)))</f>
        <v/>
      </c>
      <c r="Z13" s="77">
        <f>IF(OR($X13="",$P13="",$P13=0),"",$X13/$P13)</f>
        <v/>
      </c>
      <c r="AA13" s="27">
        <f>IF($J13="","待填怪物等级",IF(OR($I13="",$Q13=""),"待填对照关卡",IF($P13="","已计算",IF(AND($Y13&lt;&gt;"",$Y13&lt;$X13),"生存不成立",IF($Z13&lt;0.5,"碾压",IF($Z13&lt;0.8,"偏简单",IF($Z13&lt;=1.2,"适中",IF($Z13&lt;=1.5,"偏难","过难"))))))))</f>
        <v/>
      </c>
      <c r="AB13" s="27">
        <f>IF($J13="","待填",IF(AND(ISNUMBER($J13),$J13&gt;=1,$J13&lt;=500,MOD($J13,1)=0),"有效","超范围"))</f>
        <v/>
      </c>
      <c r="AC13" s="27">
        <f>IF(OR($J13="",ROW()=5,$B13&lt;&gt;$B12,$J12=""),"",IF($J13&lt;$J12,"下降",""))</f>
        <v/>
      </c>
      <c r="AD13" s="28" t="inlineStr">
        <is>
          <t>Boss挑战通关4-15/S54开放；7个Boss共用难度档｜修正版V4：首档Lv120送进度，前5档缓升后接回验证强度；对照S209｜V4同步最新玩家曲线：Lv354→Lv344，保留原TTK/生存压力目标｜曲线同步20260811：Lv344→Lv302，保持原玩法定位与TTK/生存压力</t>
        </is>
      </c>
      <c r="AE13" t="n">
        <v>595000</v>
      </c>
    </row>
    <row r="14" ht="25" customHeight="1">
      <c r="A14" s="27" t="inlineStr">
        <is>
          <t>历史停用档（不落配置）</t>
        </is>
      </c>
      <c r="B14" s="27" t="inlineStr">
        <is>
          <t>Boss挑战</t>
        </is>
      </c>
      <c r="C14" s="28" t="inlineStr">
        <is>
          <t>7个Boss共用</t>
        </is>
      </c>
      <c r="D14" s="28" t="inlineStr">
        <is>
          <t>难度10</t>
        </is>
      </c>
      <c r="E14" s="28" t="inlineStr">
        <is>
          <t>510010;520010;530010;540010;550010;560010;570010</t>
        </is>
      </c>
      <c r="F14" s="27" t="inlineStr">
        <is>
          <t>Boss</t>
        </is>
      </c>
      <c r="G14" s="37" t="n">
        <v>254</v>
      </c>
      <c r="H14" s="38" t="n"/>
      <c r="I14" s="39">
        <f>IF($H14="",$G14,$H14)</f>
        <v/>
      </c>
      <c r="J14" s="40" t="n">
        <v>295</v>
      </c>
      <c r="K14" s="73" t="n"/>
      <c r="L14" s="73" t="n"/>
      <c r="M14" s="73" t="n"/>
      <c r="N14" s="73" t="n"/>
      <c r="O14" s="73" t="n"/>
      <c r="P14" s="73" t="n"/>
      <c r="Q14" s="74">
        <f>IF($I14="","",IFERROR(INDEX(_玩家曲线!$H$2:$H$286,MATCH($I14,_玩家曲线!$A$2:$A$286,0)),""))</f>
        <v/>
      </c>
      <c r="R14" s="74">
        <f>IF($I14="","",IFERROR(INDEX(_玩家曲线!$I$2:$I$286,MATCH($I14,_玩家曲线!$A$2:$A$286,0)),""))</f>
        <v/>
      </c>
      <c r="S14" s="74">
        <f>IF(OR($J14="",$F14="不适用"),"",IFERROR(INDEX(_怪物模型!$D$2:$D$4501,(INT($J14)-1)*ROWS(_怪物类型!$A$2:$A$10)+MATCH($F14,_怪物类型!$A$2:$A$10,0))*IF($K14="",1,$K14),""))</f>
        <v/>
      </c>
      <c r="T14" s="74">
        <f>IF(OR($J14="",$F14="不适用"),"",IFERROR(INDEX(_怪物模型!$E$2:$E$4501,(INT($J14)-1)*ROWS(_怪物类型!$A$2:$A$10)+MATCH($F14,_怪物类型!$A$2:$A$10,0))*IF($L14="",1,$L14),""))</f>
        <v/>
      </c>
      <c r="U14" s="74">
        <f>IF(OR($J14="",$F14="不适用"),"",IFERROR(INDEX(_怪物模型!$F$2:$F$4501,(INT($J14)-1)*ROWS(_怪物类型!$A$2:$A$10)+MATCH($F14,_怪物类型!$A$2:$A$10,0))*IF($M14="",1,$M14),""))</f>
        <v/>
      </c>
      <c r="V14" s="75">
        <f>IF($U14="","",MIN(0.75,$U14/($U14+24000)))</f>
        <v/>
      </c>
      <c r="W14" s="76">
        <f>IF($S14="","",$S14/(1-$V14)*IF($N14="",1,$N14))</f>
        <v/>
      </c>
      <c r="X14" s="76">
        <f>IF(OR($W14="",$Q14="",$Q14=0),"",$W14/$Q14)</f>
        <v/>
      </c>
      <c r="Y14" s="76">
        <f>IF(OR($R14="",$T14="",$T14=0),"",$R14/($T14*IF($O14="",1,$O14)))</f>
        <v/>
      </c>
      <c r="Z14" s="77">
        <f>IF(OR($X14="",$P14="",$P14=0),"",$X14/$P14)</f>
        <v/>
      </c>
      <c r="AA14" s="27">
        <f>IF($J14="","待填怪物等级",IF(OR($I14="",$Q14=""),"待填对照关卡",IF($P14="","已计算",IF(AND($Y14&lt;&gt;"",$Y14&lt;$X14),"生存不成立",IF($Z14&lt;0.5,"碾压",IF($Z14&lt;0.8,"偏简单",IF($Z14&lt;=1.2,"适中",IF($Z14&lt;=1.5,"偏难","过难"))))))))</f>
        <v/>
      </c>
      <c r="AB14" s="27">
        <f>IF($J14="","待填",IF(AND(ISNUMBER($J14),$J14&gt;=1,$J14&lt;=500,MOD($J14,1)=0),"有效","超范围"))</f>
        <v/>
      </c>
      <c r="AC14" s="27">
        <f>IF(OR($J14="",ROW()=5,$B14&lt;&gt;$B13,$J13=""),"",IF($J14&lt;$J13,"下降",""))</f>
        <v/>
      </c>
      <c r="AD14" s="28" t="inlineStr">
        <is>
          <t>Boss挑战通关4-15/S54开放；7个Boss共用难度档｜修正版V4：首档Lv120送进度，前5档缓升后接回验证强度；对照S254｜V4同步最新玩家曲线：Lv371→Lv361，保留原TTK/生存压力目标｜曲线同步20260811：Lv361→Lv318，保持原玩法定位与TTK/生存压力</t>
        </is>
      </c>
      <c r="AE14" t="n">
        <v>677000</v>
      </c>
    </row>
    <row r="15">
      <c r="A15" t="inlineStr">
        <is>
          <t>——以下为 2026-09-14 补档：Boss挑战循环层（BossAdvanceDungeon，2Boss×10层，LevelId 510101~510110/520101~520110，正式旧级98~360系数空）；定稿：前期变难、顶档380，K/L=1.0；已落 level/UIlevel——</t>
        </is>
      </c>
    </row>
    <row r="16">
      <c r="A16" t="inlineStr">
        <is>
          <t>当前源表（2026-09-14补）</t>
        </is>
      </c>
      <c r="B16" t="inlineStr">
        <is>
          <t>Boss挑战</t>
        </is>
      </c>
      <c r="C16" t="inlineStr">
        <is>
          <t>循环层10档</t>
        </is>
      </c>
      <c r="D16" t="inlineStr">
        <is>
          <t>循环层1</t>
        </is>
      </c>
      <c r="E16" t="inlineStr">
        <is>
          <t>510101;520101</t>
        </is>
      </c>
      <c r="F16" t="inlineStr">
        <is>
          <t>Boss</t>
        </is>
      </c>
      <c r="G16" t="n">
        <v>68</v>
      </c>
      <c r="I16" t="n">
        <v>68</v>
      </c>
      <c r="J16" t="n">
        <v>150</v>
      </c>
      <c r="K16" t="n">
        <v>1</v>
      </c>
      <c r="L16" t="n">
        <v>1</v>
      </c>
      <c r="Q16">
        <f>IF($I16="","",IFERROR(INDEX(_玩家曲线!$H$2:$H$286,MATCH($I16,_玩家曲线!$A$2:$A$286,0)),""))</f>
        <v/>
      </c>
      <c r="R16">
        <f>IF($I16="","",IFERROR(INDEX(_玩家曲线!$I$2:$I$286,MATCH($I16,_玩家曲线!$A$2:$A$286,0)),""))</f>
        <v/>
      </c>
      <c r="S16">
        <f>IF(OR($J16="",$F16="不适用"),"",IFERROR(INDEX(_怪物模型!$D$2:$D$4501,(INT($J16)-1)*ROWS(_怪物类型!$A$2:$A$10)+MATCH($F16,_怪物类型!$A$2:$A$10,0))*IF($K16="",1,$K16),""))</f>
        <v/>
      </c>
      <c r="T16">
        <f>IF(OR($J16="",$F16="不适用"),"",IFERROR(INDEX(_怪物模型!$E$2:$E$4501,(INT($J16)-1)*ROWS(_怪物类型!$A$2:$A$10)+MATCH($F16,_怪物类型!$A$2:$A$10,0))*IF($L16="",1,$L16),""))</f>
        <v/>
      </c>
      <c r="U16">
        <f>IF(OR($J16="",$F16="不适用"),"",IFERROR(INDEX(_怪物模型!$F$2:$F$4501,(INT($J16)-1)*ROWS(_怪物类型!$A$2:$A$10)+MATCH($F16,_怪物类型!$A$2:$A$10,0))*IF($M16="",1,$M16),""))</f>
        <v/>
      </c>
      <c r="V16">
        <f>IF($U16="","",MIN(0.75,$U16/($U16+24000)))</f>
        <v/>
      </c>
      <c r="W16">
        <f>IF($S16="","",$S16/(1-$V16)*IF($N16="",1,$N16))</f>
        <v/>
      </c>
      <c r="X16">
        <f>IF(OR($W16="",$Q16="",$Q16=0),"",$W16/$Q16)</f>
        <v/>
      </c>
      <c r="Y16">
        <f>IF(OR($R16="",$T16="",$T16=0),"",$R16/($T16*IF($O16="",1,$O16)))</f>
        <v/>
      </c>
      <c r="Z16">
        <f>IF(OR($X16="",$P16="",$P16=0),"",$X16/$P16)</f>
        <v/>
      </c>
      <c r="AB16">
        <f>IF($J16="","待填",IF(AND(ISNUMBER($J16),$J16&gt;=1,$J16&lt;=500,MOD($J16,1)=0),"有效","超范围"))</f>
        <v/>
      </c>
      <c r="AD16" t="inlineStr">
        <is>
          <t>2026-09-14 循环层定稿：旧级98→150（前难后收，步长47→19），K/L=1.0；AE按60s/20s反查。</t>
        </is>
      </c>
      <c r="AE16" t="n">
        <v>218000</v>
      </c>
      <c r="AF16">
        <f>INDEX(_统一战力!$B$2:$B$501,J16)</f>
        <v/>
      </c>
    </row>
    <row r="17">
      <c r="A17" t="inlineStr">
        <is>
          <t>当前源表（2026-09-14补）</t>
        </is>
      </c>
      <c r="B17" t="inlineStr">
        <is>
          <t>Boss挑战</t>
        </is>
      </c>
      <c r="C17" t="inlineStr">
        <is>
          <t>循环层10档</t>
        </is>
      </c>
      <c r="D17" t="inlineStr">
        <is>
          <t>循环层2</t>
        </is>
      </c>
      <c r="E17" t="inlineStr">
        <is>
          <t>510102;520102</t>
        </is>
      </c>
      <c r="F17" t="inlineStr">
        <is>
          <t>Boss</t>
        </is>
      </c>
      <c r="G17" t="n">
        <v>104</v>
      </c>
      <c r="I17" t="n">
        <v>104</v>
      </c>
      <c r="J17" t="n">
        <v>197</v>
      </c>
      <c r="K17" t="n">
        <v>1</v>
      </c>
      <c r="L17" t="n">
        <v>1</v>
      </c>
      <c r="Q17">
        <f>IF($I17="","",IFERROR(INDEX(_玩家曲线!$H$2:$H$286,MATCH($I17,_玩家曲线!$A$2:$A$286,0)),""))</f>
        <v/>
      </c>
      <c r="R17">
        <f>IF($I17="","",IFERROR(INDEX(_玩家曲线!$I$2:$I$286,MATCH($I17,_玩家曲线!$A$2:$A$286,0)),""))</f>
        <v/>
      </c>
      <c r="S17">
        <f>IF(OR($J17="",$F17="不适用"),"",IFERROR(INDEX(_怪物模型!$D$2:$D$4501,(INT($J17)-1)*ROWS(_怪物类型!$A$2:$A$10)+MATCH($F17,_怪物类型!$A$2:$A$10,0))*IF($K17="",1,$K17),""))</f>
        <v/>
      </c>
      <c r="T17">
        <f>IF(OR($J17="",$F17="不适用"),"",IFERROR(INDEX(_怪物模型!$E$2:$E$4501,(INT($J17)-1)*ROWS(_怪物类型!$A$2:$A$10)+MATCH($F17,_怪物类型!$A$2:$A$10,0))*IF($L17="",1,$L17),""))</f>
        <v/>
      </c>
      <c r="U17">
        <f>IF(OR($J17="",$F17="不适用"),"",IFERROR(INDEX(_怪物模型!$F$2:$F$4501,(INT($J17)-1)*ROWS(_怪物类型!$A$2:$A$10)+MATCH($F17,_怪物类型!$A$2:$A$10,0))*IF($M17="",1,$M17),""))</f>
        <v/>
      </c>
      <c r="V17">
        <f>IF($U17="","",MIN(0.75,$U17/($U17+24000)))</f>
        <v/>
      </c>
      <c r="W17">
        <f>IF($S17="","",$S17/(1-$V17)*IF($N17="",1,$N17))</f>
        <v/>
      </c>
      <c r="X17">
        <f>IF(OR($W17="",$Q17="",$Q17=0),"",$W17/$Q17)</f>
        <v/>
      </c>
      <c r="Y17">
        <f>IF(OR($R17="",$T17="",$T17=0),"",$R17/($T17*IF($O17="",1,$O17)))</f>
        <v/>
      </c>
      <c r="Z17">
        <f>IF(OR($X17="",$P17="",$P17=0),"",$X17/$P17)</f>
        <v/>
      </c>
      <c r="AB17">
        <f>IF($J17="","待填",IF(AND(ISNUMBER($J17),$J17&gt;=1,$J17&lt;=500,MOD($J17,1)=0),"有效","超范围"))</f>
        <v/>
      </c>
      <c r="AD17" t="inlineStr">
        <is>
          <t>2026-09-14 循环层定稿：旧级115→197（前难后收，步长47→19），K/L=1.0；AE按60s/20s反查。</t>
        </is>
      </c>
      <c r="AE17" t="n">
        <v>445000</v>
      </c>
      <c r="AF17">
        <f>INDEX(_统一战力!$B$2:$B$501,J17)</f>
        <v/>
      </c>
    </row>
    <row r="18">
      <c r="A18" t="inlineStr">
        <is>
          <t>当前源表（2026-09-14补）</t>
        </is>
      </c>
      <c r="B18" t="inlineStr">
        <is>
          <t>Boss挑战</t>
        </is>
      </c>
      <c r="C18" t="inlineStr">
        <is>
          <t>循环层10档</t>
        </is>
      </c>
      <c r="D18" t="inlineStr">
        <is>
          <t>循环层3</t>
        </is>
      </c>
      <c r="E18" t="inlineStr">
        <is>
          <t>510103;520103</t>
        </is>
      </c>
      <c r="F18" t="inlineStr">
        <is>
          <t>Boss</t>
        </is>
      </c>
      <c r="G18" t="n">
        <v>125</v>
      </c>
      <c r="I18" t="n">
        <v>125</v>
      </c>
      <c r="J18" t="n">
        <v>228</v>
      </c>
      <c r="K18" t="n">
        <v>1</v>
      </c>
      <c r="L18" t="n">
        <v>1</v>
      </c>
      <c r="Q18">
        <f>IF($I18="","",IFERROR(INDEX(_玩家曲线!$H$2:$H$286,MATCH($I18,_玩家曲线!$A$2:$A$286,0)),""))</f>
        <v/>
      </c>
      <c r="R18">
        <f>IF($I18="","",IFERROR(INDEX(_玩家曲线!$I$2:$I$286,MATCH($I18,_玩家曲线!$A$2:$A$286,0)),""))</f>
        <v/>
      </c>
      <c r="S18">
        <f>IF(OR($J18="",$F18="不适用"),"",IFERROR(INDEX(_怪物模型!$D$2:$D$4501,(INT($J18)-1)*ROWS(_怪物类型!$A$2:$A$10)+MATCH($F18,_怪物类型!$A$2:$A$10,0))*IF($K18="",1,$K18),""))</f>
        <v/>
      </c>
      <c r="T18">
        <f>IF(OR($J18="",$F18="不适用"),"",IFERROR(INDEX(_怪物模型!$E$2:$E$4501,(INT($J18)-1)*ROWS(_怪物类型!$A$2:$A$10)+MATCH($F18,_怪物类型!$A$2:$A$10,0))*IF($L18="",1,$L18),""))</f>
        <v/>
      </c>
      <c r="U18">
        <f>IF(OR($J18="",$F18="不适用"),"",IFERROR(INDEX(_怪物模型!$F$2:$F$4501,(INT($J18)-1)*ROWS(_怪物类型!$A$2:$A$10)+MATCH($F18,_怪物类型!$A$2:$A$10,0))*IF($M18="",1,$M18),""))</f>
        <v/>
      </c>
      <c r="V18">
        <f>IF($U18="","",MIN(0.75,$U18/($U18+24000)))</f>
        <v/>
      </c>
      <c r="W18">
        <f>IF($S18="","",$S18/(1-$V18)*IF($N18="",1,$N18))</f>
        <v/>
      </c>
      <c r="X18">
        <f>IF(OR($W18="",$Q18="",$Q18=0),"",$W18/$Q18)</f>
        <v/>
      </c>
      <c r="Y18">
        <f>IF(OR($R18="",$T18="",$T18=0),"",$R18/($T18*IF($O18="",1,$O18)))</f>
        <v/>
      </c>
      <c r="Z18">
        <f>IF(OR($X18="",$P18="",$P18=0),"",$X18/$P18)</f>
        <v/>
      </c>
      <c r="AB18">
        <f>IF($J18="","待填",IF(AND(ISNUMBER($J18),$J18&gt;=1,$J18&lt;=500,MOD($J18,1)=0),"有效","超范围"))</f>
        <v/>
      </c>
      <c r="AD18" t="inlineStr">
        <is>
          <t>2026-09-14 循环层定稿：旧级132→228（前难后收，步长47→19），K/L=1.0；AE按60s/20s反查。</t>
        </is>
      </c>
      <c r="AE18" t="n">
        <v>640000</v>
      </c>
      <c r="AF18">
        <f>INDEX(_统一战力!$B$2:$B$501,J18)</f>
        <v/>
      </c>
    </row>
    <row r="19">
      <c r="A19" t="inlineStr">
        <is>
          <t>当前源表（2026-09-14补）</t>
        </is>
      </c>
      <c r="B19" t="inlineStr">
        <is>
          <t>Boss挑战</t>
        </is>
      </c>
      <c r="C19" t="inlineStr">
        <is>
          <t>循环层10档</t>
        </is>
      </c>
      <c r="D19" t="inlineStr">
        <is>
          <t>循环层4</t>
        </is>
      </c>
      <c r="E19" t="inlineStr">
        <is>
          <t>510104;520104</t>
        </is>
      </c>
      <c r="F19" t="inlineStr">
        <is>
          <t>Boss</t>
        </is>
      </c>
      <c r="G19" t="n">
        <v>150</v>
      </c>
      <c r="I19" t="n">
        <v>150</v>
      </c>
      <c r="J19" t="n">
        <v>254</v>
      </c>
      <c r="K19" t="n">
        <v>1</v>
      </c>
      <c r="L19" t="n">
        <v>1</v>
      </c>
      <c r="Q19">
        <f>IF($I19="","",IFERROR(INDEX(_玩家曲线!$H$2:$H$286,MATCH($I19,_玩家曲线!$A$2:$A$286,0)),""))</f>
        <v/>
      </c>
      <c r="R19">
        <f>IF($I19="","",IFERROR(INDEX(_玩家曲线!$I$2:$I$286,MATCH($I19,_玩家曲线!$A$2:$A$286,0)),""))</f>
        <v/>
      </c>
      <c r="S19">
        <f>IF(OR($J19="",$F19="不适用"),"",IFERROR(INDEX(_怪物模型!$D$2:$D$4501,(INT($J19)-1)*ROWS(_怪物类型!$A$2:$A$10)+MATCH($F19,_怪物类型!$A$2:$A$10,0))*IF($K19="",1,$K19),""))</f>
        <v/>
      </c>
      <c r="T19">
        <f>IF(OR($J19="",$F19="不适用"),"",IFERROR(INDEX(_怪物模型!$E$2:$E$4501,(INT($J19)-1)*ROWS(_怪物类型!$A$2:$A$10)+MATCH($F19,_怪物类型!$A$2:$A$10,0))*IF($L19="",1,$L19),""))</f>
        <v/>
      </c>
      <c r="U19">
        <f>IF(OR($J19="",$F19="不适用"),"",IFERROR(INDEX(_怪物模型!$F$2:$F$4501,(INT($J19)-1)*ROWS(_怪物类型!$A$2:$A$10)+MATCH($F19,_怪物类型!$A$2:$A$10,0))*IF($M19="",1,$M19),""))</f>
        <v/>
      </c>
      <c r="V19">
        <f>IF($U19="","",MIN(0.75,$U19/($U19+24000)))</f>
        <v/>
      </c>
      <c r="W19">
        <f>IF($S19="","",$S19/(1-$V19)*IF($N19="",1,$N19))</f>
        <v/>
      </c>
      <c r="X19">
        <f>IF(OR($W19="",$Q19="",$Q19=0),"",$W19/$Q19)</f>
        <v/>
      </c>
      <c r="Y19">
        <f>IF(OR($R19="",$T19="",$T19=0),"",$R19/($T19*IF($O19="",1,$O19)))</f>
        <v/>
      </c>
      <c r="Z19">
        <f>IF(OR($X19="",$P19="",$P19=0),"",$X19/$P19)</f>
        <v/>
      </c>
      <c r="AB19">
        <f>IF($J19="","待填",IF(AND(ISNUMBER($J19),$J19&gt;=1,$J19&lt;=500,MOD($J19,1)=0),"有效","超范围"))</f>
        <v/>
      </c>
      <c r="AD19" t="inlineStr">
        <is>
          <t>2026-09-14 循环层定稿：旧级149→254（前难后收，步长47→19），K/L=1.0；AE按60s/20s反查。</t>
        </is>
      </c>
      <c r="AE19" t="n">
        <v>847000</v>
      </c>
      <c r="AF19">
        <f>INDEX(_统一战力!$B$2:$B$501,J19)</f>
        <v/>
      </c>
    </row>
    <row r="20">
      <c r="A20" t="inlineStr">
        <is>
          <t>当前源表（2026-09-14补）</t>
        </is>
      </c>
      <c r="B20" t="inlineStr">
        <is>
          <t>Boss挑战</t>
        </is>
      </c>
      <c r="C20" t="inlineStr">
        <is>
          <t>循环层10档</t>
        </is>
      </c>
      <c r="D20" t="inlineStr">
        <is>
          <t>循环层5</t>
        </is>
      </c>
      <c r="E20" t="inlineStr">
        <is>
          <t>510105;520105</t>
        </is>
      </c>
      <c r="F20" t="inlineStr">
        <is>
          <t>Boss</t>
        </is>
      </c>
      <c r="G20" t="n">
        <v>182</v>
      </c>
      <c r="I20" t="n">
        <v>182</v>
      </c>
      <c r="J20" t="n">
        <v>278</v>
      </c>
      <c r="K20" t="n">
        <v>1</v>
      </c>
      <c r="L20" t="n">
        <v>1</v>
      </c>
      <c r="Q20">
        <f>IF($I20="","",IFERROR(INDEX(_玩家曲线!$H$2:$H$286,MATCH($I20,_玩家曲线!$A$2:$A$286,0)),""))</f>
        <v/>
      </c>
      <c r="R20">
        <f>IF($I20="","",IFERROR(INDEX(_玩家曲线!$I$2:$I$286,MATCH($I20,_玩家曲线!$A$2:$A$286,0)),""))</f>
        <v/>
      </c>
      <c r="S20">
        <f>IF(OR($J20="",$F20="不适用"),"",IFERROR(INDEX(_怪物模型!$D$2:$D$4501,(INT($J20)-1)*ROWS(_怪物类型!$A$2:$A$10)+MATCH($F20,_怪物类型!$A$2:$A$10,0))*IF($K20="",1,$K20),""))</f>
        <v/>
      </c>
      <c r="T20">
        <f>IF(OR($J20="",$F20="不适用"),"",IFERROR(INDEX(_怪物模型!$E$2:$E$4501,(INT($J20)-1)*ROWS(_怪物类型!$A$2:$A$10)+MATCH($F20,_怪物类型!$A$2:$A$10,0))*IF($L20="",1,$L20),""))</f>
        <v/>
      </c>
      <c r="U20">
        <f>IF(OR($J20="",$F20="不适用"),"",IFERROR(INDEX(_怪物模型!$F$2:$F$4501,(INT($J20)-1)*ROWS(_怪物类型!$A$2:$A$10)+MATCH($F20,_怪物类型!$A$2:$A$10,0))*IF($M20="",1,$M20),""))</f>
        <v/>
      </c>
      <c r="V20">
        <f>IF($U20="","",MIN(0.75,$U20/($U20+24000)))</f>
        <v/>
      </c>
      <c r="W20">
        <f>IF($S20="","",$S20/(1-$V20)*IF($N20="",1,$N20))</f>
        <v/>
      </c>
      <c r="X20">
        <f>IF(OR($W20="",$Q20="",$Q20=0),"",$W20/$Q20)</f>
        <v/>
      </c>
      <c r="Y20">
        <f>IF(OR($R20="",$T20="",$T20=0),"",$R20/($T20*IF($O20="",1,$O20)))</f>
        <v/>
      </c>
      <c r="Z20">
        <f>IF(OR($X20="",$P20="",$P20=0),"",$X20/$P20)</f>
        <v/>
      </c>
      <c r="AB20">
        <f>IF($J20="","待填",IF(AND(ISNUMBER($J20),$J20&gt;=1,$J20&lt;=500,MOD($J20,1)=0),"有效","超范围"))</f>
        <v/>
      </c>
      <c r="AD20" t="inlineStr">
        <is>
          <t>2026-09-14 循环层定稿：旧级166→278（前难后收，步长47→19），K/L=1.0；AE按60s/20s反查。</t>
        </is>
      </c>
      <c r="AE20" t="n">
        <v>1070000</v>
      </c>
      <c r="AF20">
        <f>INDEX(_统一战力!$B$2:$B$501,J20)</f>
        <v/>
      </c>
    </row>
    <row r="21">
      <c r="A21" t="inlineStr">
        <is>
          <t>当前源表（2026-09-14补）</t>
        </is>
      </c>
      <c r="B21" t="inlineStr">
        <is>
          <t>Boss挑战</t>
        </is>
      </c>
      <c r="C21" t="inlineStr">
        <is>
          <t>循环层10档</t>
        </is>
      </c>
      <c r="D21" t="inlineStr">
        <is>
          <t>循环层6</t>
        </is>
      </c>
      <c r="E21" t="inlineStr">
        <is>
          <t>510106;520106</t>
        </is>
      </c>
      <c r="F21" t="inlineStr">
        <is>
          <t>Boss</t>
        </is>
      </c>
      <c r="G21" t="n">
        <v>223</v>
      </c>
      <c r="I21" t="n">
        <v>223</v>
      </c>
      <c r="J21" t="n">
        <v>301</v>
      </c>
      <c r="K21" t="n">
        <v>1</v>
      </c>
      <c r="L21" t="n">
        <v>1</v>
      </c>
      <c r="Q21">
        <f>IF($I21="","",IFERROR(INDEX(_玩家曲线!$H$2:$H$286,MATCH($I21,_玩家曲线!$A$2:$A$286,0)),""))</f>
        <v/>
      </c>
      <c r="R21">
        <f>IF($I21="","",IFERROR(INDEX(_玩家曲线!$I$2:$I$286,MATCH($I21,_玩家曲线!$A$2:$A$286,0)),""))</f>
        <v/>
      </c>
      <c r="S21">
        <f>IF(OR($J21="",$F21="不适用"),"",IFERROR(INDEX(_怪物模型!$D$2:$D$4501,(INT($J21)-1)*ROWS(_怪物类型!$A$2:$A$10)+MATCH($F21,_怪物类型!$A$2:$A$10,0))*IF($K21="",1,$K21),""))</f>
        <v/>
      </c>
      <c r="T21">
        <f>IF(OR($J21="",$F21="不适用"),"",IFERROR(INDEX(_怪物模型!$E$2:$E$4501,(INT($J21)-1)*ROWS(_怪物类型!$A$2:$A$10)+MATCH($F21,_怪物类型!$A$2:$A$10,0))*IF($L21="",1,$L21),""))</f>
        <v/>
      </c>
      <c r="U21">
        <f>IF(OR($J21="",$F21="不适用"),"",IFERROR(INDEX(_怪物模型!$F$2:$F$4501,(INT($J21)-1)*ROWS(_怪物类型!$A$2:$A$10)+MATCH($F21,_怪物类型!$A$2:$A$10,0))*IF($M21="",1,$M21),""))</f>
        <v/>
      </c>
      <c r="V21">
        <f>IF($U21="","",MIN(0.75,$U21/($U21+24000)))</f>
        <v/>
      </c>
      <c r="W21">
        <f>IF($S21="","",$S21/(1-$V21)*IF($N21="",1,$N21))</f>
        <v/>
      </c>
      <c r="X21">
        <f>IF(OR($W21="",$Q21="",$Q21=0),"",$W21/$Q21)</f>
        <v/>
      </c>
      <c r="Y21">
        <f>IF(OR($R21="",$T21="",$T21=0),"",$R21/($T21*IF($O21="",1,$O21)))</f>
        <v/>
      </c>
      <c r="Z21">
        <f>IF(OR($X21="",$P21="",$P21=0),"",$X21/$P21)</f>
        <v/>
      </c>
      <c r="AB21">
        <f>IF($J21="","待填",IF(AND(ISNUMBER($J21),$J21&gt;=1,$J21&lt;=500,MOD($J21,1)=0),"有效","超范围"))</f>
        <v/>
      </c>
      <c r="AD21" t="inlineStr">
        <is>
          <t>2026-09-14 循环层定稿：旧级195→301（前难后收，步长47→19），K/L=1.0；AE按60s/20s反查。</t>
        </is>
      </c>
      <c r="AE21" t="n">
        <v>1320000</v>
      </c>
      <c r="AF21">
        <f>INDEX(_统一战力!$B$2:$B$501,J21)</f>
        <v/>
      </c>
    </row>
    <row r="22">
      <c r="A22" t="inlineStr">
        <is>
          <t>当前源表（2026-09-14补）</t>
        </is>
      </c>
      <c r="B22" t="inlineStr">
        <is>
          <t>Boss挑战</t>
        </is>
      </c>
      <c r="C22" t="inlineStr">
        <is>
          <t>循环层10档</t>
        </is>
      </c>
      <c r="D22" t="inlineStr">
        <is>
          <t>循环层7</t>
        </is>
      </c>
      <c r="E22" t="inlineStr">
        <is>
          <t>510107;520107</t>
        </is>
      </c>
      <c r="F22" t="inlineStr">
        <is>
          <t>Boss</t>
        </is>
      </c>
      <c r="G22" t="n">
        <v>271</v>
      </c>
      <c r="I22" t="n">
        <v>271</v>
      </c>
      <c r="J22" t="n">
        <v>322</v>
      </c>
      <c r="K22" t="n">
        <v>1</v>
      </c>
      <c r="L22" t="n">
        <v>1</v>
      </c>
      <c r="Q22">
        <f>IF($I22="","",IFERROR(INDEX(_玩家曲线!$H$2:$H$286,MATCH($I22,_玩家曲线!$A$2:$A$286,0)),""))</f>
        <v/>
      </c>
      <c r="R22">
        <f>IF($I22="","",IFERROR(INDEX(_玩家曲线!$I$2:$I$286,MATCH($I22,_玩家曲线!$A$2:$A$286,0)),""))</f>
        <v/>
      </c>
      <c r="S22">
        <f>IF(OR($J22="",$F22="不适用"),"",IFERROR(INDEX(_怪物模型!$D$2:$D$4501,(INT($J22)-1)*ROWS(_怪物类型!$A$2:$A$10)+MATCH($F22,_怪物类型!$A$2:$A$10,0))*IF($K22="",1,$K22),""))</f>
        <v/>
      </c>
      <c r="T22">
        <f>IF(OR($J22="",$F22="不适用"),"",IFERROR(INDEX(_怪物模型!$E$2:$E$4501,(INT($J22)-1)*ROWS(_怪物类型!$A$2:$A$10)+MATCH($F22,_怪物类型!$A$2:$A$10,0))*IF($L22="",1,$L22),""))</f>
        <v/>
      </c>
      <c r="U22">
        <f>IF(OR($J22="",$F22="不适用"),"",IFERROR(INDEX(_怪物模型!$F$2:$F$4501,(INT($J22)-1)*ROWS(_怪物类型!$A$2:$A$10)+MATCH($F22,_怪物类型!$A$2:$A$10,0))*IF($M22="",1,$M22),""))</f>
        <v/>
      </c>
      <c r="V22">
        <f>IF($U22="","",MIN(0.75,$U22/($U22+24000)))</f>
        <v/>
      </c>
      <c r="W22">
        <f>IF($S22="","",$S22/(1-$V22)*IF($N22="",1,$N22))</f>
        <v/>
      </c>
      <c r="X22">
        <f>IF(OR($W22="",$Q22="",$Q22=0),"",$W22/$Q22)</f>
        <v/>
      </c>
      <c r="Y22">
        <f>IF(OR($R22="",$T22="",$T22=0),"",$R22/($T22*IF($O22="",1,$O22)))</f>
        <v/>
      </c>
      <c r="Z22">
        <f>IF(OR($X22="",$P22="",$P22=0),"",$X22/$P22)</f>
        <v/>
      </c>
      <c r="AB22">
        <f>IF($J22="","待填",IF(AND(ISNUMBER($J22),$J22&gt;=1,$J22&lt;=500,MOD($J22,1)=0),"有效","超范围"))</f>
        <v/>
      </c>
      <c r="AD22" t="inlineStr">
        <is>
          <t>2026-09-14 循环层定稿：旧级230→322（前难后收，步长47→19），K/L=1.0；AE按60s/20s反查。</t>
        </is>
      </c>
      <c r="AE22" t="n">
        <v>1560000</v>
      </c>
      <c r="AF22">
        <f>INDEX(_统一战力!$B$2:$B$501,J22)</f>
        <v/>
      </c>
    </row>
    <row r="23">
      <c r="A23" t="inlineStr">
        <is>
          <t>当前源表（2026-09-14补）</t>
        </is>
      </c>
      <c r="B23" t="inlineStr">
        <is>
          <t>Boss挑战</t>
        </is>
      </c>
      <c r="C23" t="inlineStr">
        <is>
          <t>循环层10档</t>
        </is>
      </c>
      <c r="D23" t="inlineStr">
        <is>
          <t>循环层8</t>
        </is>
      </c>
      <c r="E23" t="inlineStr">
        <is>
          <t>510108;520108</t>
        </is>
      </c>
      <c r="F23" t="inlineStr">
        <is>
          <t>Boss</t>
        </is>
      </c>
      <c r="G23" t="n">
        <v>279</v>
      </c>
      <c r="I23" t="n">
        <v>279</v>
      </c>
      <c r="J23" t="n">
        <v>342</v>
      </c>
      <c r="K23" t="n">
        <v>1</v>
      </c>
      <c r="L23" t="n">
        <v>1</v>
      </c>
      <c r="Q23">
        <f>IF($I23="","",IFERROR(INDEX(_玩家曲线!$H$2:$H$286,MATCH($I23,_玩家曲线!$A$2:$A$286,0)),""))</f>
        <v/>
      </c>
      <c r="R23">
        <f>IF($I23="","",IFERROR(INDEX(_玩家曲线!$I$2:$I$286,MATCH($I23,_玩家曲线!$A$2:$A$286,0)),""))</f>
        <v/>
      </c>
      <c r="S23">
        <f>IF(OR($J23="",$F23="不适用"),"",IFERROR(INDEX(_怪物模型!$D$2:$D$4501,(INT($J23)-1)*ROWS(_怪物类型!$A$2:$A$10)+MATCH($F23,_怪物类型!$A$2:$A$10,0))*IF($K23="",1,$K23),""))</f>
        <v/>
      </c>
      <c r="T23">
        <f>IF(OR($J23="",$F23="不适用"),"",IFERROR(INDEX(_怪物模型!$E$2:$E$4501,(INT($J23)-1)*ROWS(_怪物类型!$A$2:$A$10)+MATCH($F23,_怪物类型!$A$2:$A$10,0))*IF($L23="",1,$L23),""))</f>
        <v/>
      </c>
      <c r="U23">
        <f>IF(OR($J23="",$F23="不适用"),"",IFERROR(INDEX(_怪物模型!$F$2:$F$4501,(INT($J23)-1)*ROWS(_怪物类型!$A$2:$A$10)+MATCH($F23,_怪物类型!$A$2:$A$10,0))*IF($M23="",1,$M23),""))</f>
        <v/>
      </c>
      <c r="V23">
        <f>IF($U23="","",MIN(0.75,$U23/($U23+24000)))</f>
        <v/>
      </c>
      <c r="W23">
        <f>IF($S23="","",$S23/(1-$V23)*IF($N23="",1,$N23))</f>
        <v/>
      </c>
      <c r="X23">
        <f>IF(OR($W23="",$Q23="",$Q23=0),"",$W23/$Q23)</f>
        <v/>
      </c>
      <c r="Y23">
        <f>IF(OR($R23="",$T23="",$T23=0),"",$R23/($T23*IF($O23="",1,$O23)))</f>
        <v/>
      </c>
      <c r="Z23">
        <f>IF(OR($X23="",$P23="",$P23=0),"",$X23/$P23)</f>
        <v/>
      </c>
      <c r="AB23">
        <f>IF($J23="","待填",IF(AND(ISNUMBER($J23),$J23&gt;=1,$J23&lt;=500,MOD($J23,1)=0),"有效","超范围"))</f>
        <v/>
      </c>
      <c r="AD23" t="inlineStr">
        <is>
          <t>2026-09-14 循环层定稿：旧级277→342（前难后收，步长47→19），K/L=1.0；AE按60s/20s反查。</t>
        </is>
      </c>
      <c r="AE23" t="n">
        <v>1600000</v>
      </c>
      <c r="AF23">
        <f>INDEX(_统一战力!$B$2:$B$501,J23)</f>
        <v/>
      </c>
    </row>
    <row r="24">
      <c r="A24" t="inlineStr">
        <is>
          <t>当前源表（2026-09-14补）</t>
        </is>
      </c>
      <c r="B24" t="inlineStr">
        <is>
          <t>Boss挑战</t>
        </is>
      </c>
      <c r="C24" t="inlineStr">
        <is>
          <t>循环层10档</t>
        </is>
      </c>
      <c r="D24" t="inlineStr">
        <is>
          <t>循环层9</t>
        </is>
      </c>
      <c r="E24" t="inlineStr">
        <is>
          <t>510109;520109</t>
        </is>
      </c>
      <c r="F24" t="inlineStr">
        <is>
          <t>Boss</t>
        </is>
      </c>
      <c r="G24" t="n">
        <v>279</v>
      </c>
      <c r="I24" t="n">
        <v>279</v>
      </c>
      <c r="J24" t="n">
        <v>361</v>
      </c>
      <c r="K24" t="n">
        <v>1</v>
      </c>
      <c r="L24" t="n">
        <v>1</v>
      </c>
      <c r="Q24">
        <f>IF($I24="","",IFERROR(INDEX(_玩家曲线!$H$2:$H$286,MATCH($I24,_玩家曲线!$A$2:$A$286,0)),""))</f>
        <v/>
      </c>
      <c r="R24">
        <f>IF($I24="","",IFERROR(INDEX(_玩家曲线!$I$2:$I$286,MATCH($I24,_玩家曲线!$A$2:$A$286,0)),""))</f>
        <v/>
      </c>
      <c r="S24">
        <f>IF(OR($J24="",$F24="不适用"),"",IFERROR(INDEX(_怪物模型!$D$2:$D$4501,(INT($J24)-1)*ROWS(_怪物类型!$A$2:$A$10)+MATCH($F24,_怪物类型!$A$2:$A$10,0))*IF($K24="",1,$K24),""))</f>
        <v/>
      </c>
      <c r="T24">
        <f>IF(OR($J24="",$F24="不适用"),"",IFERROR(INDEX(_怪物模型!$E$2:$E$4501,(INT($J24)-1)*ROWS(_怪物类型!$A$2:$A$10)+MATCH($F24,_怪物类型!$A$2:$A$10,0))*IF($L24="",1,$L24),""))</f>
        <v/>
      </c>
      <c r="U24">
        <f>IF(OR($J24="",$F24="不适用"),"",IFERROR(INDEX(_怪物模型!$F$2:$F$4501,(INT($J24)-1)*ROWS(_怪物类型!$A$2:$A$10)+MATCH($F24,_怪物类型!$A$2:$A$10,0))*IF($M24="",1,$M24),""))</f>
        <v/>
      </c>
      <c r="V24">
        <f>IF($U24="","",MIN(0.75,$U24/($U24+24000)))</f>
        <v/>
      </c>
      <c r="W24">
        <f>IF($S24="","",$S24/(1-$V24)*IF($N24="",1,$N24))</f>
        <v/>
      </c>
      <c r="X24">
        <f>IF(OR($W24="",$Q24="",$Q24=0),"",$W24/$Q24)</f>
        <v/>
      </c>
      <c r="Y24">
        <f>IF(OR($R24="",$T24="",$T24=0),"",$R24/($T24*IF($O24="",1,$O24)))</f>
        <v/>
      </c>
      <c r="Z24">
        <f>IF(OR($X24="",$P24="",$P24=0),"",$X24/$P24)</f>
        <v/>
      </c>
      <c r="AB24">
        <f>IF($J24="","待填",IF(AND(ISNUMBER($J24),$J24&gt;=1,$J24&lt;=500,MOD($J24,1)=0),"有效","超范围"))</f>
        <v/>
      </c>
      <c r="AD24" t="inlineStr">
        <is>
          <t>2026-09-14 循环层定稿：旧级329→361（前难后收，步长47→19），K/L=1.0；AE按60s/20s反查。</t>
        </is>
      </c>
      <c r="AE24" t="n">
        <v>1600000</v>
      </c>
      <c r="AF24">
        <f>INDEX(_统一战力!$B$2:$B$501,J24)</f>
        <v/>
      </c>
    </row>
    <row r="25">
      <c r="A25" t="inlineStr">
        <is>
          <t>当前源表（2026-09-14补）</t>
        </is>
      </c>
      <c r="B25" t="inlineStr">
        <is>
          <t>Boss挑战</t>
        </is>
      </c>
      <c r="C25" t="inlineStr">
        <is>
          <t>循环层10档</t>
        </is>
      </c>
      <c r="D25" t="inlineStr">
        <is>
          <t>循环层10</t>
        </is>
      </c>
      <c r="E25" t="inlineStr">
        <is>
          <t>510110;520110</t>
        </is>
      </c>
      <c r="F25" t="inlineStr">
        <is>
          <t>Boss</t>
        </is>
      </c>
      <c r="G25" t="n">
        <v>279</v>
      </c>
      <c r="I25" t="n">
        <v>279</v>
      </c>
      <c r="J25" t="n">
        <v>380</v>
      </c>
      <c r="K25" t="n">
        <v>1</v>
      </c>
      <c r="L25" t="n">
        <v>1</v>
      </c>
      <c r="Q25">
        <f>IF($I25="","",IFERROR(INDEX(_玩家曲线!$H$2:$H$286,MATCH($I25,_玩家曲线!$A$2:$A$286,0)),""))</f>
        <v/>
      </c>
      <c r="R25">
        <f>IF($I25="","",IFERROR(INDEX(_玩家曲线!$I$2:$I$286,MATCH($I25,_玩家曲线!$A$2:$A$286,0)),""))</f>
        <v/>
      </c>
      <c r="S25">
        <f>IF(OR($J25="",$F25="不适用"),"",IFERROR(INDEX(_怪物模型!$D$2:$D$4501,(INT($J25)-1)*ROWS(_怪物类型!$A$2:$A$10)+MATCH($F25,_怪物类型!$A$2:$A$10,0))*IF($K25="",1,$K25),""))</f>
        <v/>
      </c>
      <c r="T25">
        <f>IF(OR($J25="",$F25="不适用"),"",IFERROR(INDEX(_怪物模型!$E$2:$E$4501,(INT($J25)-1)*ROWS(_怪物类型!$A$2:$A$10)+MATCH($F25,_怪物类型!$A$2:$A$10,0))*IF($L25="",1,$L25),""))</f>
        <v/>
      </c>
      <c r="U25">
        <f>IF(OR($J25="",$F25="不适用"),"",IFERROR(INDEX(_怪物模型!$F$2:$F$4501,(INT($J25)-1)*ROWS(_怪物类型!$A$2:$A$10)+MATCH($F25,_怪物类型!$A$2:$A$10,0))*IF($M25="",1,$M25),""))</f>
        <v/>
      </c>
      <c r="V25">
        <f>IF($U25="","",MIN(0.75,$U25/($U25+24000)))</f>
        <v/>
      </c>
      <c r="W25">
        <f>IF($S25="","",$S25/(1-$V25)*IF($N25="",1,$N25))</f>
        <v/>
      </c>
      <c r="X25">
        <f>IF(OR($W25="",$Q25="",$Q25=0),"",$W25/$Q25)</f>
        <v/>
      </c>
      <c r="Y25">
        <f>IF(OR($R25="",$T25="",$T25=0),"",$R25/($T25*IF($O25="",1,$O25)))</f>
        <v/>
      </c>
      <c r="Z25">
        <f>IF(OR($X25="",$P25="",$P25=0),"",$X25/$P25)</f>
        <v/>
      </c>
      <c r="AB25">
        <f>IF($J25="","待填",IF(AND(ISNUMBER($J25),$J25&gt;=1,$J25&lt;=500,MOD($J25,1)=0),"有效","超范围"))</f>
        <v/>
      </c>
      <c r="AD25" t="inlineStr">
        <is>
          <t>2026-09-14 循环层定稿：旧级360→380（前难后收，步长47→19），K/L=1.0；AE按60s/20s反查。</t>
        </is>
      </c>
      <c r="AE25" t="n">
        <v>1600000</v>
      </c>
      <c r="AF25">
        <f>INDEX(_统一战力!$B$2:$B$501,J25)</f>
        <v/>
      </c>
    </row>
  </sheetData>
  <mergeCells count="3">
    <mergeCell ref="A3:AD3"/>
    <mergeCell ref="A2:AD2"/>
    <mergeCell ref="A1:AD1"/>
  </mergeCells>
  <conditionalFormatting sqref="J5:J14">
    <cfRule type="expression" priority="1" dxfId="2">
      <formula>AND($A5&lt;&gt;"特殊：双方属性对算",$J5="")</formula>
    </cfRule>
  </conditionalFormatting>
  <conditionalFormatting sqref="AA5:AA14">
    <cfRule type="expression" priority="3" dxfId="0">
      <formula>$AA5="适中"</formula>
    </cfRule>
    <cfRule type="expression" priority="4" dxfId="3">
      <formula>$AA5="偏难"</formula>
    </cfRule>
    <cfRule type="expression" priority="5" dxfId="1">
      <formula>$AA5="过难"</formula>
    </cfRule>
    <cfRule type="expression" priority="6" dxfId="1">
      <formula>$AA5="生存不成立"</formula>
    </cfRule>
  </conditionalFormatting>
  <conditionalFormatting sqref="AB5:AB14">
    <cfRule type="expression" priority="2" dxfId="4">
      <formula>$AB5="超范围"</formula>
    </cfRule>
  </conditionalFormatting>
  <conditionalFormatting sqref="AC5:AC14">
    <cfRule type="expression" priority="7" dxfId="4">
      <formula>$AC5="下降"</formula>
    </cfRule>
  </conditionalFormatting>
  <dataValidations count="5">
    <dataValidation sqref="F5:F14" showDropDown="0" showInputMessage="0" showErrorMessage="0" allowBlank="0" type="list">
      <formula1>_字典!$A$2:$A$11</formula1>
    </dataValidation>
    <dataValidation sqref="H5:H14" showDropDown="0" showInputMessage="0" showErrorMessage="0" allowBlank="1" type="whole" operator="between">
      <formula1>1</formula1>
      <formula2>285</formula2>
    </dataValidation>
    <dataValidation sqref="J5:J14" showDropDown="0" showInputMessage="0" showErrorMessage="0" allowBlank="1" type="whole" operator="between">
      <formula1>1</formula1>
      <formula2>500</formula2>
    </dataValidation>
    <dataValidation sqref="P5:P14" showDropDown="0" showInputMessage="0" showErrorMessage="0" allowBlank="1" type="decimal" operator="between">
      <formula1>0.01</formula1>
      <formula2>3600</formula2>
    </dataValidation>
    <dataValidation sqref="K5:O14" showDropDown="0" showInputMessage="0" showErrorMessage="0" allowBlank="1" type="decimal" operator="between">
      <formula1>0</formula1>
      <formula2>100</formula2>
    </dataValidation>
  </dataValidations>
  <hyperlinks>
    <hyperlink xmlns:r="http://schemas.openxmlformats.org/officeDocument/2006/relationships" ref="A1" display="全玩法难度填写｜Boss挑战" r:id="rId1"/>
  </hyperlink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tabColor rgb="FF5B9BD5"/>
    <outlinePr summaryBelow="1" summaryRight="1"/>
    <pageSetUpPr/>
  </sheetPr>
  <dimension ref="A1:AF29"/>
  <sheetViews>
    <sheetView showGridLines="0" workbookViewId="0">
      <selection activeCell="A1" sqref="A1:AD1"/>
    </sheetView>
  </sheetViews>
  <sheetFormatPr baseColWidth="8" defaultColWidth="9" defaultRowHeight="13.5"/>
  <cols>
    <col width="12" customWidth="1" min="1" max="1"/>
    <col width="13" customWidth="1" min="2" max="2"/>
    <col width="18" customWidth="1" min="3" max="3"/>
    <col width="15" customWidth="1" min="4" max="4"/>
    <col width="35" customWidth="1" min="5" max="5"/>
    <col width="14" customWidth="1" min="6" max="9"/>
    <col width="12" customWidth="1" min="10" max="10"/>
    <col width="11" customWidth="1" min="11" max="13"/>
    <col width="13" customWidth="1" min="14" max="15"/>
    <col width="12" customWidth="1" min="16" max="16"/>
    <col width="16" customWidth="1" min="17" max="21"/>
    <col width="12" customWidth="1" min="22" max="22"/>
    <col width="17" customWidth="1" min="23" max="23"/>
    <col width="14" customWidth="1" min="24" max="25"/>
    <col width="12" customWidth="1" min="26" max="26"/>
    <col width="15" customWidth="1" min="27" max="27"/>
    <col width="12" customWidth="1" min="28" max="29"/>
    <col width="46" customWidth="1" min="30" max="30"/>
    <col width="22" customWidth="1" min="31" max="32"/>
  </cols>
  <sheetData>
    <row r="1" ht="34" customHeight="1">
      <c r="A1" s="23" t="inlineStr">
        <is>
          <t>全玩法难度填写｜大秘境</t>
        </is>
      </c>
    </row>
    <row r="2" ht="30" customHeight="1">
      <c r="A2" s="24" t="inlineStr">
        <is>
          <t>当前页已按开启顺序和玩法定位填入首版怪物等级。黄色J列可直接覆盖；G列是本版使用的玩家曲线对照节点。</t>
        </is>
      </c>
    </row>
    <row r="3" ht="14.25" customHeight="1">
      <c r="A3" s="25" t="inlineStr">
        <is>
          <t>公式口径：怪物实际属性=战斗公式标准模型×可选系数；怪物EHP=实际生命÷(1-防御减伤)×整关EHP倍率；TTK=怪物EHP÷玩家DPS。</t>
        </is>
      </c>
    </row>
    <row r="4" ht="30" customHeight="1">
      <c r="A4" s="26" t="inlineStr">
        <is>
          <t>状态</t>
        </is>
      </c>
      <c r="B4" s="26" t="inlineStr">
        <is>
          <t>玩法</t>
        </is>
      </c>
      <c r="C4" s="26" t="inlineStr">
        <is>
          <t>子玩法/共用范围</t>
        </is>
      </c>
      <c r="D4" s="26" t="inlineStr">
        <is>
          <t>节点名称</t>
        </is>
      </c>
      <c r="E4" s="26" t="inlineStr">
        <is>
          <t>LevelId/配置映射</t>
        </is>
      </c>
      <c r="F4" s="26" t="inlineStr">
        <is>
          <t>怪物类型</t>
        </is>
      </c>
      <c r="G4" s="26" t="inlineStr">
        <is>
          <t>默认对照关卡</t>
        </is>
      </c>
      <c r="H4" s="26" t="inlineStr">
        <is>
          <t>手动对照关卡</t>
        </is>
      </c>
      <c r="I4" s="26" t="inlineStr">
        <is>
          <t>实际对照关卡</t>
        </is>
      </c>
      <c r="J4" s="26" t="inlineStr">
        <is>
          <t>怪物等级</t>
        </is>
      </c>
      <c r="K4" s="26" t="inlineStr">
        <is>
          <t>生命系数</t>
        </is>
      </c>
      <c r="L4" s="26" t="inlineStr">
        <is>
          <t>攻击系数</t>
        </is>
      </c>
      <c r="M4" s="26" t="inlineStr">
        <is>
          <t>防御系数</t>
        </is>
      </c>
      <c r="N4" s="26" t="inlineStr">
        <is>
          <t>整关EHP倍率</t>
        </is>
      </c>
      <c r="O4" s="26" t="inlineStr">
        <is>
          <t>攻击压力倍率</t>
        </is>
      </c>
      <c r="P4" s="26" t="inlineStr">
        <is>
          <t>目标时间(s)</t>
        </is>
      </c>
      <c r="Q4" s="26" t="inlineStr">
        <is>
          <t>玩家DPS</t>
        </is>
      </c>
      <c r="R4" s="26" t="inlineStr">
        <is>
          <t>玩家队伍EHP</t>
        </is>
      </c>
      <c r="S4" s="26" t="inlineStr">
        <is>
          <t>怪物实际生命</t>
        </is>
      </c>
      <c r="T4" s="26" t="inlineStr">
        <is>
          <t>怪物实际攻击</t>
        </is>
      </c>
      <c r="U4" s="26" t="inlineStr">
        <is>
          <t>怪物实际防御</t>
        </is>
      </c>
      <c r="V4" s="26" t="inlineStr">
        <is>
          <t>怪物减伤率</t>
        </is>
      </c>
      <c r="W4" s="26" t="inlineStr">
        <is>
          <t>整关目标EHP</t>
        </is>
      </c>
      <c r="X4" s="26" t="inlineStr">
        <is>
          <t>预测TTK(s)</t>
        </is>
      </c>
      <c r="Y4" s="26" t="inlineStr">
        <is>
          <t>预测存活(s)</t>
        </is>
      </c>
      <c r="Z4" s="26" t="inlineStr">
        <is>
          <t>TTK/目标</t>
        </is>
      </c>
      <c r="AA4" s="26" t="inlineStr">
        <is>
          <t>难度判断</t>
        </is>
      </c>
      <c r="AB4" s="26" t="inlineStr">
        <is>
          <t>等级检查</t>
        </is>
      </c>
      <c r="AC4" s="26" t="inlineStr">
        <is>
          <t>等级趋势</t>
        </is>
      </c>
      <c r="AD4" s="26" t="inlineStr">
        <is>
          <t>备注</t>
        </is>
      </c>
      <c r="AE4" s="8" t="inlineStr">
        <is>
          <t>玩法推荐战力</t>
        </is>
      </c>
      <c r="AF4" s="8" t="inlineStr">
        <is>
          <t>标准等级战力</t>
        </is>
      </c>
    </row>
    <row r="5" ht="25" customHeight="1">
      <c r="A5" s="27" t="inlineStr">
        <is>
          <t>当前关闭</t>
        </is>
      </c>
      <c r="B5" s="27" t="inlineStr">
        <is>
          <t>大秘境</t>
        </is>
      </c>
      <c r="C5" s="28" t="inlineStr">
        <is>
          <t>4环境共用</t>
        </is>
      </c>
      <c r="D5" s="28" t="inlineStr">
        <is>
          <t>第1层</t>
        </is>
      </c>
      <c r="E5" s="28" t="inlineStr">
        <is>
          <t>320001;320026;320051;320076</t>
        </is>
      </c>
      <c r="F5" s="27" t="inlineStr">
        <is>
          <t>普通怪</t>
        </is>
      </c>
      <c r="G5" s="37" t="n">
        <v>95</v>
      </c>
      <c r="H5" s="38" t="n"/>
      <c r="I5" s="39">
        <f>IF($H5="",$G5,$H5)</f>
        <v/>
      </c>
      <c r="J5" s="40" t="n">
        <v>143</v>
      </c>
      <c r="K5" s="72" t="n">
        <v>0.9765409298208541</v>
      </c>
      <c r="L5" s="72" t="n">
        <v>1.08067173483721</v>
      </c>
      <c r="M5" s="72" t="n">
        <v>1</v>
      </c>
      <c r="N5" s="73" t="n"/>
      <c r="O5" s="73" t="n"/>
      <c r="P5" s="73" t="n"/>
      <c r="Q5" s="74">
        <f>IF($I5="","",IFERROR(INDEX(_玩家曲线!$H$2:$H$286,MATCH($I5,_玩家曲线!$A$2:$A$286,0)),""))</f>
        <v/>
      </c>
      <c r="R5" s="74">
        <f>IF($I5="","",IFERROR(INDEX(_玩家曲线!$I$2:$I$286,MATCH($I5,_玩家曲线!$A$2:$A$286,0)),""))</f>
        <v/>
      </c>
      <c r="S5" s="74">
        <f>IF(OR($J5="",$F5="不适用"),"",IFERROR(INDEX(_怪物模型!$D$2:$D$4501,(INT($J5)-1)*ROWS(_怪物类型!$A$2:$A$10)+MATCH($F5,_怪物类型!$A$2:$A$10,0))*IF($K5="",1,$K5),""))</f>
        <v/>
      </c>
      <c r="T5" s="74">
        <f>IF(OR($J5="",$F5="不适用"),"",IFERROR(INDEX(_怪物模型!$E$2:$E$4501,(INT($J5)-1)*ROWS(_怪物类型!$A$2:$A$10)+MATCH($F5,_怪物类型!$A$2:$A$10,0))*IF($L5="",1,$L5),""))</f>
        <v/>
      </c>
      <c r="U5" s="74">
        <f>IF(OR($J5="",$F5="不适用"),"",IFERROR(INDEX(_怪物模型!$F$2:$F$4501,(INT($J5)-1)*ROWS(_怪物类型!$A$2:$A$10)+MATCH($F5,_怪物类型!$A$2:$A$10,0))*IF($M5="",1,$M5),""))</f>
        <v/>
      </c>
      <c r="V5" s="75">
        <f>IF($U5="","",MIN(0.75,$U5/($U5+24000)))</f>
        <v/>
      </c>
      <c r="W5" s="76">
        <f>IF($S5="","",$S5/(1-$V5)*IF($N5="",1,$N5))</f>
        <v/>
      </c>
      <c r="X5" s="76">
        <f>IF(OR($W5="",$Q5="",$Q5=0),"",$W5/$Q5)</f>
        <v/>
      </c>
      <c r="Y5" s="76">
        <f>IF(OR($R5="",$T5="",$T5=0),"",$R5/($T5*IF($O5="",1,$O5)))</f>
        <v/>
      </c>
      <c r="Z5" s="77">
        <f>IF(OR($X5="",$P5="",$P5=0),"",$X5/$P5)</f>
        <v/>
      </c>
      <c r="AA5" s="27">
        <f>IF($J5="","待填怪物等级",IF(OR($I5="",$Q5=""),"待填对照关卡",IF($P5="","已计算",IF(AND($Y5&lt;&gt;"",$Y5&lt;$X5),"生存不成立",IF($Z5&lt;0.5,"碾压",IF($Z5&lt;0.8,"偏简单",IF($Z5&lt;=1.2,"适中",IF($Z5&lt;=1.5,"偏难","过难"))))))))</f>
        <v/>
      </c>
      <c r="AB5" s="27">
        <f>IF($J5="","待填",IF(AND(ISNUMBER($J5),$J5&gt;=1,$J5&lt;=500,MOD($J5,1)=0),"有效","超范围"))</f>
        <v/>
      </c>
      <c r="AC5" s="27">
        <f>IF(OR($J5="",ROW()=5,$B5&lt;&gt;$B4,$J4=""),"",IF($J5&lt;$J4,"下降",""))</f>
        <v/>
      </c>
      <c r="AD5" s="28" t="inlineStr">
        <is>
          <t>2026-08-27 新玩家节点曲线校准；对照S95；等级183→143；保留原难度定位。</t>
        </is>
      </c>
      <c r="AE5" t="n">
        <v>125000</v>
      </c>
      <c r="AF5">
        <f>INDEX(_统一战力!$B$2:$B$501,J5)</f>
        <v/>
      </c>
    </row>
    <row r="6" ht="25" customHeight="1">
      <c r="A6" s="27" t="inlineStr">
        <is>
          <t>当前关闭</t>
        </is>
      </c>
      <c r="B6" s="27" t="inlineStr">
        <is>
          <t>大秘境</t>
        </is>
      </c>
      <c r="C6" s="28" t="inlineStr">
        <is>
          <t>4环境共用</t>
        </is>
      </c>
      <c r="D6" s="28" t="inlineStr">
        <is>
          <t>第2层</t>
        </is>
      </c>
      <c r="E6" s="28" t="inlineStr">
        <is>
          <t>320002;320027;320052;320077</t>
        </is>
      </c>
      <c r="F6" s="27" t="inlineStr">
        <is>
          <t>普通怪</t>
        </is>
      </c>
      <c r="G6" s="37" t="n">
        <v>101</v>
      </c>
      <c r="H6" s="38" t="n"/>
      <c r="I6" s="39">
        <f>IF($H6="",$G6,$H6)</f>
        <v/>
      </c>
      <c r="J6" s="40" t="n">
        <v>151</v>
      </c>
      <c r="K6" s="72" t="n">
        <v>0.969744926924125</v>
      </c>
      <c r="L6" s="72" t="n">
        <v>1.09016192045715</v>
      </c>
      <c r="M6" s="72" t="n">
        <v>1</v>
      </c>
      <c r="N6" s="73" t="n"/>
      <c r="O6" s="73" t="n"/>
      <c r="P6" s="73" t="n"/>
      <c r="Q6" s="74">
        <f>IF($I6="","",IFERROR(INDEX(_玩家曲线!$H$2:$H$286,MATCH($I6,_玩家曲线!$A$2:$A$286,0)),""))</f>
        <v/>
      </c>
      <c r="R6" s="74">
        <f>IF($I6="","",IFERROR(INDEX(_玩家曲线!$I$2:$I$286,MATCH($I6,_玩家曲线!$A$2:$A$286,0)),""))</f>
        <v/>
      </c>
      <c r="S6" s="74">
        <f>IF(OR($J6="",$F6="不适用"),"",IFERROR(INDEX(_怪物模型!$D$2:$D$4501,(INT($J6)-1)*ROWS(_怪物类型!$A$2:$A$10)+MATCH($F6,_怪物类型!$A$2:$A$10,0))*IF($K6="",1,$K6),""))</f>
        <v/>
      </c>
      <c r="T6" s="74">
        <f>IF(OR($J6="",$F6="不适用"),"",IFERROR(INDEX(_怪物模型!$E$2:$E$4501,(INT($J6)-1)*ROWS(_怪物类型!$A$2:$A$10)+MATCH($F6,_怪物类型!$A$2:$A$10,0))*IF($L6="",1,$L6),""))</f>
        <v/>
      </c>
      <c r="U6" s="74">
        <f>IF(OR($J6="",$F6="不适用"),"",IFERROR(INDEX(_怪物模型!$F$2:$F$4501,(INT($J6)-1)*ROWS(_怪物类型!$A$2:$A$10)+MATCH($F6,_怪物类型!$A$2:$A$10,0))*IF($M6="",1,$M6),""))</f>
        <v/>
      </c>
      <c r="V6" s="75">
        <f>IF($U6="","",MIN(0.75,$U6/($U6+24000)))</f>
        <v/>
      </c>
      <c r="W6" s="76">
        <f>IF($S6="","",$S6/(1-$V6)*IF($N6="",1,$N6))</f>
        <v/>
      </c>
      <c r="X6" s="76">
        <f>IF(OR($W6="",$Q6="",$Q6=0),"",$W6/$Q6)</f>
        <v/>
      </c>
      <c r="Y6" s="76">
        <f>IF(OR($R6="",$T6="",$T6=0),"",$R6/($T6*IF($O6="",1,$O6)))</f>
        <v/>
      </c>
      <c r="Z6" s="77">
        <f>IF(OR($X6="",$P6="",$P6=0),"",$X6/$P6)</f>
        <v/>
      </c>
      <c r="AA6" s="27">
        <f>IF($J6="","待填怪物等级",IF(OR($I6="",$Q6=""),"待填对照关卡",IF($P6="","已计算",IF(AND($Y6&lt;&gt;"",$Y6&lt;$X6),"生存不成立",IF($Z6&lt;0.5,"碾压",IF($Z6&lt;0.8,"偏简单",IF($Z6&lt;=1.2,"适中",IF($Z6&lt;=1.5,"偏难","过难"))))))))</f>
        <v/>
      </c>
      <c r="AB6" s="27">
        <f>IF($J6="","待填",IF(AND(ISNUMBER($J6),$J6&gt;=1,$J6&lt;=500,MOD($J6,1)=0),"有效","超范围"))</f>
        <v/>
      </c>
      <c r="AC6" s="27">
        <f>IF(OR($J6="",ROW()=5,$B6&lt;&gt;$B5,$J5=""),"",IF($J6&lt;$J5,"下降",""))</f>
        <v/>
      </c>
      <c r="AD6" s="28" t="inlineStr">
        <is>
          <t>2026-08-27 新玩家节点曲线校准；对照S101；等级192→151；保留原难度定位。</t>
        </is>
      </c>
      <c r="AE6" t="n">
        <v>142000</v>
      </c>
      <c r="AF6">
        <f>INDEX(_统一战力!$B$2:$B$501,J6)</f>
        <v/>
      </c>
    </row>
    <row r="7" ht="25" customHeight="1">
      <c r="A7" s="27" t="inlineStr">
        <is>
          <t>当前关闭</t>
        </is>
      </c>
      <c r="B7" s="27" t="inlineStr">
        <is>
          <t>大秘境</t>
        </is>
      </c>
      <c r="C7" s="28" t="inlineStr">
        <is>
          <t>4环境共用</t>
        </is>
      </c>
      <c r="D7" s="28" t="inlineStr">
        <is>
          <t>第3层</t>
        </is>
      </c>
      <c r="E7" s="28" t="inlineStr">
        <is>
          <t>320003;320028;320053;320078</t>
        </is>
      </c>
      <c r="F7" s="27" t="inlineStr">
        <is>
          <t>普通怪</t>
        </is>
      </c>
      <c r="G7" s="37" t="n">
        <v>107</v>
      </c>
      <c r="H7" s="38" t="n"/>
      <c r="I7" s="39">
        <f>IF($H7="",$G7,$H7)</f>
        <v/>
      </c>
      <c r="J7" s="40" t="n">
        <v>159</v>
      </c>
      <c r="K7" s="72" t="n">
        <v>0.964580870355496</v>
      </c>
      <c r="L7" s="72" t="n">
        <v>1.1035478487286</v>
      </c>
      <c r="M7" s="72" t="n">
        <v>1</v>
      </c>
      <c r="N7" s="73" t="n"/>
      <c r="O7" s="73" t="n"/>
      <c r="P7" s="73" t="n"/>
      <c r="Q7" s="74">
        <f>IF($I7="","",IFERROR(INDEX(_玩家曲线!$H$2:$H$286,MATCH($I7,_玩家曲线!$A$2:$A$286,0)),""))</f>
        <v/>
      </c>
      <c r="R7" s="74">
        <f>IF($I7="","",IFERROR(INDEX(_玩家曲线!$I$2:$I$286,MATCH($I7,_玩家曲线!$A$2:$A$286,0)),""))</f>
        <v/>
      </c>
      <c r="S7" s="74">
        <f>IF(OR($J7="",$F7="不适用"),"",IFERROR(INDEX(_怪物模型!$D$2:$D$4501,(INT($J7)-1)*ROWS(_怪物类型!$A$2:$A$10)+MATCH($F7,_怪物类型!$A$2:$A$10,0))*IF($K7="",1,$K7),""))</f>
        <v/>
      </c>
      <c r="T7" s="74">
        <f>IF(OR($J7="",$F7="不适用"),"",IFERROR(INDEX(_怪物模型!$E$2:$E$4501,(INT($J7)-1)*ROWS(_怪物类型!$A$2:$A$10)+MATCH($F7,_怪物类型!$A$2:$A$10,0))*IF($L7="",1,$L7),""))</f>
        <v/>
      </c>
      <c r="U7" s="74">
        <f>IF(OR($J7="",$F7="不适用"),"",IFERROR(INDEX(_怪物模型!$F$2:$F$4501,(INT($J7)-1)*ROWS(_怪物类型!$A$2:$A$10)+MATCH($F7,_怪物类型!$A$2:$A$10,0))*IF($M7="",1,$M7),""))</f>
        <v/>
      </c>
      <c r="V7" s="75">
        <f>IF($U7="","",MIN(0.75,$U7/($U7+24000)))</f>
        <v/>
      </c>
      <c r="W7" s="76">
        <f>IF($S7="","",$S7/(1-$V7)*IF($N7="",1,$N7))</f>
        <v/>
      </c>
      <c r="X7" s="76">
        <f>IF(OR($W7="",$Q7="",$Q7=0),"",$W7/$Q7)</f>
        <v/>
      </c>
      <c r="Y7" s="76">
        <f>IF(OR($R7="",$T7="",$T7=0),"",$R7/($T7*IF($O7="",1,$O7)))</f>
        <v/>
      </c>
      <c r="Z7" s="77">
        <f>IF(OR($X7="",$P7="",$P7=0),"",$X7/$P7)</f>
        <v/>
      </c>
      <c r="AA7" s="27">
        <f>IF($J7="","待填怪物等级",IF(OR($I7="",$Q7=""),"待填对照关卡",IF($P7="","已计算",IF(AND($Y7&lt;&gt;"",$Y7&lt;$X7),"生存不成立",IF($Z7&lt;0.5,"碾压",IF($Z7&lt;0.8,"偏简单",IF($Z7&lt;=1.2,"适中",IF($Z7&lt;=1.5,"偏难","过难"))))))))</f>
        <v/>
      </c>
      <c r="AB7" s="27">
        <f>IF($J7="","待填",IF(AND(ISNUMBER($J7),$J7&gt;=1,$J7&lt;=500,MOD($J7,1)=0),"有效","超范围"))</f>
        <v/>
      </c>
      <c r="AC7" s="27">
        <f>IF(OR($J7="",ROW()=5,$B7&lt;&gt;$B6,$J6=""),"",IF($J7&lt;$J6,"下降",""))</f>
        <v/>
      </c>
      <c r="AD7" s="28" t="inlineStr">
        <is>
          <t>2026-08-27 新玩家节点曲线校准；对照S107；等级201→159；保留原难度定位。</t>
        </is>
      </c>
      <c r="AE7" t="n">
        <v>156000</v>
      </c>
      <c r="AF7">
        <f>INDEX(_统一战力!$B$2:$B$501,J7)</f>
        <v/>
      </c>
    </row>
    <row r="8" ht="25" customHeight="1">
      <c r="A8" s="27" t="inlineStr">
        <is>
          <t>当前关闭</t>
        </is>
      </c>
      <c r="B8" s="27" t="inlineStr">
        <is>
          <t>大秘境</t>
        </is>
      </c>
      <c r="C8" s="28" t="inlineStr">
        <is>
          <t>4环境共用</t>
        </is>
      </c>
      <c r="D8" s="28" t="inlineStr">
        <is>
          <t>第4层</t>
        </is>
      </c>
      <c r="E8" s="28" t="inlineStr">
        <is>
          <t>320004;320029;320054;320079</t>
        </is>
      </c>
      <c r="F8" s="27" t="inlineStr">
        <is>
          <t>普通怪</t>
        </is>
      </c>
      <c r="G8" s="37" t="n">
        <v>114</v>
      </c>
      <c r="H8" s="38" t="n"/>
      <c r="I8" s="39">
        <f>IF($H8="",$G8,$H8)</f>
        <v/>
      </c>
      <c r="J8" s="40" t="n">
        <v>168</v>
      </c>
      <c r="K8" s="72" t="n">
        <v>0.9630583360773</v>
      </c>
      <c r="L8" s="72" t="n">
        <v>1.12238693404869</v>
      </c>
      <c r="M8" s="72" t="n">
        <v>1</v>
      </c>
      <c r="N8" s="73" t="n"/>
      <c r="O8" s="73" t="n"/>
      <c r="P8" s="73" t="n"/>
      <c r="Q8" s="74">
        <f>IF($I8="","",IFERROR(INDEX(_玩家曲线!$H$2:$H$286,MATCH($I8,_玩家曲线!$A$2:$A$286,0)),""))</f>
        <v/>
      </c>
      <c r="R8" s="74">
        <f>IF($I8="","",IFERROR(INDEX(_玩家曲线!$I$2:$I$286,MATCH($I8,_玩家曲线!$A$2:$A$286,0)),""))</f>
        <v/>
      </c>
      <c r="S8" s="74">
        <f>IF(OR($J8="",$F8="不适用"),"",IFERROR(INDEX(_怪物模型!$D$2:$D$4501,(INT($J8)-1)*ROWS(_怪物类型!$A$2:$A$10)+MATCH($F8,_怪物类型!$A$2:$A$10,0))*IF($K8="",1,$K8),""))</f>
        <v/>
      </c>
      <c r="T8" s="74">
        <f>IF(OR($J8="",$F8="不适用"),"",IFERROR(INDEX(_怪物模型!$E$2:$E$4501,(INT($J8)-1)*ROWS(_怪物类型!$A$2:$A$10)+MATCH($F8,_怪物类型!$A$2:$A$10,0))*IF($L8="",1,$L8),""))</f>
        <v/>
      </c>
      <c r="U8" s="74">
        <f>IF(OR($J8="",$F8="不适用"),"",IFERROR(INDEX(_怪物模型!$F$2:$F$4501,(INT($J8)-1)*ROWS(_怪物类型!$A$2:$A$10)+MATCH($F8,_怪物类型!$A$2:$A$10,0))*IF($M8="",1,$M8),""))</f>
        <v/>
      </c>
      <c r="V8" s="75">
        <f>IF($U8="","",MIN(0.75,$U8/($U8+24000)))</f>
        <v/>
      </c>
      <c r="W8" s="76">
        <f>IF($S8="","",$S8/(1-$V8)*IF($N8="",1,$N8))</f>
        <v/>
      </c>
      <c r="X8" s="76">
        <f>IF(OR($W8="",$Q8="",$Q8=0),"",$W8/$Q8)</f>
        <v/>
      </c>
      <c r="Y8" s="76">
        <f>IF(OR($R8="",$T8="",$T8=0),"",$R8/($T8*IF($O8="",1,$O8)))</f>
        <v/>
      </c>
      <c r="Z8" s="77">
        <f>IF(OR($X8="",$P8="",$P8=0),"",$X8/$P8)</f>
        <v/>
      </c>
      <c r="AA8" s="27">
        <f>IF($J8="","待填怪物等级",IF(OR($I8="",$Q8=""),"待填对照关卡",IF($P8="","已计算",IF(AND($Y8&lt;&gt;"",$Y8&lt;$X8),"生存不成立",IF($Z8&lt;0.5,"碾压",IF($Z8&lt;0.8,"偏简单",IF($Z8&lt;=1.2,"适中",IF($Z8&lt;=1.5,"偏难","过难"))))))))</f>
        <v/>
      </c>
      <c r="AB8" s="27">
        <f>IF($J8="","待填",IF(AND(ISNUMBER($J8),$J8&gt;=1,$J8&lt;=500,MOD($J8,1)=0),"有效","超范围"))</f>
        <v/>
      </c>
      <c r="AC8" s="27">
        <f>IF(OR($J8="",ROW()=5,$B8&lt;&gt;$B7,$J7=""),"",IF($J8&lt;$J7,"下降",""))</f>
        <v/>
      </c>
      <c r="AD8" s="28" t="inlineStr">
        <is>
          <t>2026-08-27 新玩家节点曲线校准；对照S114；等级210→168；保留原难度定位。</t>
        </is>
      </c>
      <c r="AE8" t="n">
        <v>175000</v>
      </c>
      <c r="AF8">
        <f>INDEX(_统一战力!$B$2:$B$501,J8)</f>
        <v/>
      </c>
    </row>
    <row r="9" ht="25" customHeight="1">
      <c r="A9" s="27" t="inlineStr">
        <is>
          <t>当前关闭</t>
        </is>
      </c>
      <c r="B9" s="27" t="inlineStr">
        <is>
          <t>大秘境</t>
        </is>
      </c>
      <c r="C9" s="28" t="inlineStr">
        <is>
          <t>4环境共用</t>
        </is>
      </c>
      <c r="D9" s="28" t="inlineStr">
        <is>
          <t>第5层</t>
        </is>
      </c>
      <c r="E9" s="28" t="inlineStr">
        <is>
          <t>320005;320030;320055;320080</t>
        </is>
      </c>
      <c r="F9" s="27" t="inlineStr">
        <is>
          <t>普通怪</t>
        </is>
      </c>
      <c r="G9" s="37" t="n">
        <v>121</v>
      </c>
      <c r="H9" s="38" t="n"/>
      <c r="I9" s="39">
        <f>IF($H9="",$G9,$H9)</f>
        <v/>
      </c>
      <c r="J9" s="40" t="n">
        <v>178</v>
      </c>
      <c r="K9" s="72" t="n">
        <v>0.951004591312042</v>
      </c>
      <c r="L9" s="72" t="n">
        <v>1.13234950495075</v>
      </c>
      <c r="M9" s="72" t="n">
        <v>1</v>
      </c>
      <c r="N9" s="73" t="n"/>
      <c r="O9" s="73" t="n"/>
      <c r="P9" s="73" t="n"/>
      <c r="Q9" s="74">
        <f>IF($I9="","",IFERROR(INDEX(_玩家曲线!$H$2:$H$286,MATCH($I9,_玩家曲线!$A$2:$A$286,0)),""))</f>
        <v/>
      </c>
      <c r="R9" s="74">
        <f>IF($I9="","",IFERROR(INDEX(_玩家曲线!$I$2:$I$286,MATCH($I9,_玩家曲线!$A$2:$A$286,0)),""))</f>
        <v/>
      </c>
      <c r="S9" s="74">
        <f>IF(OR($J9="",$F9="不适用"),"",IFERROR(INDEX(_怪物模型!$D$2:$D$4501,(INT($J9)-1)*ROWS(_怪物类型!$A$2:$A$10)+MATCH($F9,_怪物类型!$A$2:$A$10,0))*IF($K9="",1,$K9),""))</f>
        <v/>
      </c>
      <c r="T9" s="74">
        <f>IF(OR($J9="",$F9="不适用"),"",IFERROR(INDEX(_怪物模型!$E$2:$E$4501,(INT($J9)-1)*ROWS(_怪物类型!$A$2:$A$10)+MATCH($F9,_怪物类型!$A$2:$A$10,0))*IF($L9="",1,$L9),""))</f>
        <v/>
      </c>
      <c r="U9" s="74">
        <f>IF(OR($J9="",$F9="不适用"),"",IFERROR(INDEX(_怪物模型!$F$2:$F$4501,(INT($J9)-1)*ROWS(_怪物类型!$A$2:$A$10)+MATCH($F9,_怪物类型!$A$2:$A$10,0))*IF($M9="",1,$M9),""))</f>
        <v/>
      </c>
      <c r="V9" s="75">
        <f>IF($U9="","",MIN(0.75,$U9/($U9+24000)))</f>
        <v/>
      </c>
      <c r="W9" s="76">
        <f>IF($S9="","",$S9/(1-$V9)*IF($N9="",1,$N9))</f>
        <v/>
      </c>
      <c r="X9" s="76">
        <f>IF(OR($W9="",$Q9="",$Q9=0),"",$W9/$Q9)</f>
        <v/>
      </c>
      <c r="Y9" s="76">
        <f>IF(OR($R9="",$T9="",$T9=0),"",$R9/($T9*IF($O9="",1,$O9)))</f>
        <v/>
      </c>
      <c r="Z9" s="77">
        <f>IF(OR($X9="",$P9="",$P9=0),"",$X9/$P9)</f>
        <v/>
      </c>
      <c r="AA9" s="27">
        <f>IF($J9="","待填怪物等级",IF(OR($I9="",$Q9=""),"待填对照关卡",IF($P9="","已计算",IF(AND($Y9&lt;&gt;"",$Y9&lt;$X9),"生存不成立",IF($Z9&lt;0.5,"碾压",IF($Z9&lt;0.8,"偏简单",IF($Z9&lt;=1.2,"适中",IF($Z9&lt;=1.5,"偏难","过难"))))))))</f>
        <v/>
      </c>
      <c r="AB9" s="27">
        <f>IF($J9="","待填",IF(AND(ISNUMBER($J9),$J9&gt;=1,$J9&lt;=500,MOD($J9,1)=0),"有效","超范围"))</f>
        <v/>
      </c>
      <c r="AC9" s="27">
        <f>IF(OR($J9="",ROW()=5,$B9&lt;&gt;$B8,$J8=""),"",IF($J9&lt;$J8,"下降",""))</f>
        <v/>
      </c>
      <c r="AD9" s="28" t="inlineStr">
        <is>
          <t>2026-08-27 新玩家节点曲线校准；对照S121；等级220→178；保留原难度定位。</t>
        </is>
      </c>
      <c r="AE9" t="n">
        <v>197000</v>
      </c>
      <c r="AF9">
        <f>INDEX(_统一战力!$B$2:$B$501,J9)</f>
        <v/>
      </c>
    </row>
    <row r="10" ht="25" customHeight="1">
      <c r="A10" s="27" t="inlineStr">
        <is>
          <t>当前关闭</t>
        </is>
      </c>
      <c r="B10" s="27" t="inlineStr">
        <is>
          <t>大秘境</t>
        </is>
      </c>
      <c r="C10" s="28" t="inlineStr">
        <is>
          <t>4环境共用</t>
        </is>
      </c>
      <c r="D10" s="28" t="inlineStr">
        <is>
          <t>第6层</t>
        </is>
      </c>
      <c r="E10" s="28" t="inlineStr">
        <is>
          <t>320006;320031;320056;320081</t>
        </is>
      </c>
      <c r="F10" s="27" t="inlineStr">
        <is>
          <t>普通怪</t>
        </is>
      </c>
      <c r="G10" s="37" t="n">
        <v>128</v>
      </c>
      <c r="H10" s="38" t="n"/>
      <c r="I10" s="39">
        <f>IF($H10="",$G10,$H10)</f>
        <v/>
      </c>
      <c r="J10" s="40" t="n">
        <v>186</v>
      </c>
      <c r="K10" s="72" t="n">
        <v>0.943600541376085</v>
      </c>
      <c r="L10" s="72" t="n">
        <v>1.14291701848363</v>
      </c>
      <c r="M10" s="72" t="n">
        <v>1</v>
      </c>
      <c r="N10" s="73" t="n"/>
      <c r="O10" s="73" t="n"/>
      <c r="P10" s="73" t="n"/>
      <c r="Q10" s="74">
        <f>IF($I10="","",IFERROR(INDEX(_玩家曲线!$H$2:$H$286,MATCH($I10,_玩家曲线!$A$2:$A$286,0)),""))</f>
        <v/>
      </c>
      <c r="R10" s="74">
        <f>IF($I10="","",IFERROR(INDEX(_玩家曲线!$I$2:$I$286,MATCH($I10,_玩家曲线!$A$2:$A$286,0)),""))</f>
        <v/>
      </c>
      <c r="S10" s="74">
        <f>IF(OR($J10="",$F10="不适用"),"",IFERROR(INDEX(_怪物模型!$D$2:$D$4501,(INT($J10)-1)*ROWS(_怪物类型!$A$2:$A$10)+MATCH($F10,_怪物类型!$A$2:$A$10,0))*IF($K10="",1,$K10),""))</f>
        <v/>
      </c>
      <c r="T10" s="74">
        <f>IF(OR($J10="",$F10="不适用"),"",IFERROR(INDEX(_怪物模型!$E$2:$E$4501,(INT($J10)-1)*ROWS(_怪物类型!$A$2:$A$10)+MATCH($F10,_怪物类型!$A$2:$A$10,0))*IF($L10="",1,$L10),""))</f>
        <v/>
      </c>
      <c r="U10" s="74">
        <f>IF(OR($J10="",$F10="不适用"),"",IFERROR(INDEX(_怪物模型!$F$2:$F$4501,(INT($J10)-1)*ROWS(_怪物类型!$A$2:$A$10)+MATCH($F10,_怪物类型!$A$2:$A$10,0))*IF($M10="",1,$M10),""))</f>
        <v/>
      </c>
      <c r="V10" s="75">
        <f>IF($U10="","",MIN(0.75,$U10/($U10+24000)))</f>
        <v/>
      </c>
      <c r="W10" s="76">
        <f>IF($S10="","",$S10/(1-$V10)*IF($N10="",1,$N10))</f>
        <v/>
      </c>
      <c r="X10" s="76">
        <f>IF(OR($W10="",$Q10="",$Q10=0),"",$W10/$Q10)</f>
        <v/>
      </c>
      <c r="Y10" s="76">
        <f>IF(OR($R10="",$T10="",$T10=0),"",$R10/($T10*IF($O10="",1,$O10)))</f>
        <v/>
      </c>
      <c r="Z10" s="77">
        <f>IF(OR($X10="",$P10="",$P10=0),"",$X10/$P10)</f>
        <v/>
      </c>
      <c r="AA10" s="27">
        <f>IF($J10="","待填怪物等级",IF(OR($I10="",$Q10=""),"待填对照关卡",IF($P10="","已计算",IF(AND($Y10&lt;&gt;"",$Y10&lt;$X10),"生存不成立",IF($Z10&lt;0.5,"碾压",IF($Z10&lt;0.8,"偏简单",IF($Z10&lt;=1.2,"适中",IF($Z10&lt;=1.5,"偏难","过难"))))))))</f>
        <v/>
      </c>
      <c r="AB10" s="27">
        <f>IF($J10="","待填",IF(AND(ISNUMBER($J10),$J10&gt;=1,$J10&lt;=500,MOD($J10,1)=0),"有效","超范围"))</f>
        <v/>
      </c>
      <c r="AC10" s="27">
        <f>IF(OR($J10="",ROW()=5,$B10&lt;&gt;$B9,$J9=""),"",IF($J10&lt;$J9,"下降",""))</f>
        <v/>
      </c>
      <c r="AD10" s="28" t="inlineStr">
        <is>
          <t>2026-08-27 新玩家节点曲线校准；对照S128；等级227→186；保留原难度定位。</t>
        </is>
      </c>
      <c r="AE10" t="n">
        <v>218000</v>
      </c>
      <c r="AF10">
        <f>INDEX(_统一战力!$B$2:$B$501,J10)</f>
        <v/>
      </c>
    </row>
    <row r="11" ht="25" customHeight="1">
      <c r="A11" s="27" t="inlineStr">
        <is>
          <t>当前关闭</t>
        </is>
      </c>
      <c r="B11" s="27" t="inlineStr">
        <is>
          <t>大秘境</t>
        </is>
      </c>
      <c r="C11" s="28" t="inlineStr">
        <is>
          <t>4环境共用</t>
        </is>
      </c>
      <c r="D11" s="28" t="inlineStr">
        <is>
          <t>第7层</t>
        </is>
      </c>
      <c r="E11" s="28" t="inlineStr">
        <is>
          <t>320007;320032;320057;320082</t>
        </is>
      </c>
      <c r="F11" s="27" t="inlineStr">
        <is>
          <t>普通怪</t>
        </is>
      </c>
      <c r="G11" s="37" t="n">
        <v>135</v>
      </c>
      <c r="H11" s="38" t="n"/>
      <c r="I11" s="39">
        <f>IF($H11="",$G11,$H11)</f>
        <v/>
      </c>
      <c r="J11" s="40" t="n">
        <v>193</v>
      </c>
      <c r="K11" s="72" t="n">
        <v>0.947622018277534</v>
      </c>
      <c r="L11" s="72" t="n">
        <v>1.16023729995253</v>
      </c>
      <c r="M11" s="72" t="n">
        <v>1</v>
      </c>
      <c r="N11" s="73" t="n"/>
      <c r="O11" s="73" t="n"/>
      <c r="P11" s="73" t="n"/>
      <c r="Q11" s="74">
        <f>IF($I11="","",IFERROR(INDEX(_玩家曲线!$H$2:$H$286,MATCH($I11,_玩家曲线!$A$2:$A$286,0)),""))</f>
        <v/>
      </c>
      <c r="R11" s="74">
        <f>IF($I11="","",IFERROR(INDEX(_玩家曲线!$I$2:$I$286,MATCH($I11,_玩家曲线!$A$2:$A$286,0)),""))</f>
        <v/>
      </c>
      <c r="S11" s="74">
        <f>IF(OR($J11="",$F11="不适用"),"",IFERROR(INDEX(_怪物模型!$D$2:$D$4501,(INT($J11)-1)*ROWS(_怪物类型!$A$2:$A$10)+MATCH($F11,_怪物类型!$A$2:$A$10,0))*IF($K11="",1,$K11),""))</f>
        <v/>
      </c>
      <c r="T11" s="74">
        <f>IF(OR($J11="",$F11="不适用"),"",IFERROR(INDEX(_怪物模型!$E$2:$E$4501,(INT($J11)-1)*ROWS(_怪物类型!$A$2:$A$10)+MATCH($F11,_怪物类型!$A$2:$A$10,0))*IF($L11="",1,$L11),""))</f>
        <v/>
      </c>
      <c r="U11" s="74">
        <f>IF(OR($J11="",$F11="不适用"),"",IFERROR(INDEX(_怪物模型!$F$2:$F$4501,(INT($J11)-1)*ROWS(_怪物类型!$A$2:$A$10)+MATCH($F11,_怪物类型!$A$2:$A$10,0))*IF($M11="",1,$M11),""))</f>
        <v/>
      </c>
      <c r="V11" s="75">
        <f>IF($U11="","",MIN(0.75,$U11/($U11+24000)))</f>
        <v/>
      </c>
      <c r="W11" s="76">
        <f>IF($S11="","",$S11/(1-$V11)*IF($N11="",1,$N11))</f>
        <v/>
      </c>
      <c r="X11" s="76">
        <f>IF(OR($W11="",$Q11="",$Q11=0),"",$W11/$Q11)</f>
        <v/>
      </c>
      <c r="Y11" s="76">
        <f>IF(OR($R11="",$T11="",$T11=0),"",$R11/($T11*IF($O11="",1,$O11)))</f>
        <v/>
      </c>
      <c r="Z11" s="77">
        <f>IF(OR($X11="",$P11="",$P11=0),"",$X11/$P11)</f>
        <v/>
      </c>
      <c r="AA11" s="27">
        <f>IF($J11="","待填怪物等级",IF(OR($I11="",$Q11=""),"待填对照关卡",IF($P11="","已计算",IF(AND($Y11&lt;&gt;"",$Y11&lt;$X11),"生存不成立",IF($Z11&lt;0.5,"碾压",IF($Z11&lt;0.8,"偏简单",IF($Z11&lt;=1.2,"适中",IF($Z11&lt;=1.5,"偏难","过难"))))))))</f>
        <v/>
      </c>
      <c r="AB11" s="27">
        <f>IF($J11="","待填",IF(AND(ISNUMBER($J11),$J11&gt;=1,$J11&lt;=500,MOD($J11,1)=0),"有效","超范围"))</f>
        <v/>
      </c>
      <c r="AC11" s="27">
        <f>IF(OR($J11="",ROW()=5,$B11&lt;&gt;$B10,$J10=""),"",IF($J11&lt;$J10,"下降",""))</f>
        <v/>
      </c>
      <c r="AD11" s="28" t="inlineStr">
        <is>
          <t>2026-08-27 新玩家节点曲线校准；对照S135；等级234→193；保留原难度定位。</t>
        </is>
      </c>
      <c r="AE11" t="n">
        <v>231000</v>
      </c>
      <c r="AF11">
        <f>INDEX(_统一战力!$B$2:$B$501,J11)</f>
        <v/>
      </c>
    </row>
    <row r="12" ht="25" customHeight="1">
      <c r="A12" s="27" t="inlineStr">
        <is>
          <t>当前关闭</t>
        </is>
      </c>
      <c r="B12" s="27" t="inlineStr">
        <is>
          <t>大秘境</t>
        </is>
      </c>
      <c r="C12" s="28" t="inlineStr">
        <is>
          <t>4环境共用</t>
        </is>
      </c>
      <c r="D12" s="28" t="inlineStr">
        <is>
          <t>第8层</t>
        </is>
      </c>
      <c r="E12" s="28" t="inlineStr">
        <is>
          <t>320008;320033;320058;320083</t>
        </is>
      </c>
      <c r="F12" s="27" t="inlineStr">
        <is>
          <t>普通怪</t>
        </is>
      </c>
      <c r="G12" s="37" t="n">
        <v>142</v>
      </c>
      <c r="H12" s="38" t="n"/>
      <c r="I12" s="39">
        <f>IF($H12="",$G12,$H12)</f>
        <v/>
      </c>
      <c r="J12" s="40" t="n">
        <v>200</v>
      </c>
      <c r="K12" s="72" t="n">
        <v>0.9458954309358431</v>
      </c>
      <c r="L12" s="72" t="n">
        <v>1.1725216094445</v>
      </c>
      <c r="M12" s="72" t="n">
        <v>1</v>
      </c>
      <c r="N12" s="73" t="n"/>
      <c r="O12" s="73" t="n"/>
      <c r="P12" s="73" t="n"/>
      <c r="Q12" s="74">
        <f>IF($I12="","",IFERROR(INDEX(_玩家曲线!$H$2:$H$286,MATCH($I12,_玩家曲线!$A$2:$A$286,0)),""))</f>
        <v/>
      </c>
      <c r="R12" s="74">
        <f>IF($I12="","",IFERROR(INDEX(_玩家曲线!$I$2:$I$286,MATCH($I12,_玩家曲线!$A$2:$A$286,0)),""))</f>
        <v/>
      </c>
      <c r="S12" s="74">
        <f>IF(OR($J12="",$F12="不适用"),"",IFERROR(INDEX(_怪物模型!$D$2:$D$4501,(INT($J12)-1)*ROWS(_怪物类型!$A$2:$A$10)+MATCH($F12,_怪物类型!$A$2:$A$10,0))*IF($K12="",1,$K12),""))</f>
        <v/>
      </c>
      <c r="T12" s="74">
        <f>IF(OR($J12="",$F12="不适用"),"",IFERROR(INDEX(_怪物模型!$E$2:$E$4501,(INT($J12)-1)*ROWS(_怪物类型!$A$2:$A$10)+MATCH($F12,_怪物类型!$A$2:$A$10,0))*IF($L12="",1,$L12),""))</f>
        <v/>
      </c>
      <c r="U12" s="74">
        <f>IF(OR($J12="",$F12="不适用"),"",IFERROR(INDEX(_怪物模型!$F$2:$F$4501,(INT($J12)-1)*ROWS(_怪物类型!$A$2:$A$10)+MATCH($F12,_怪物类型!$A$2:$A$10,0))*IF($M12="",1,$M12),""))</f>
        <v/>
      </c>
      <c r="V12" s="75">
        <f>IF($U12="","",MIN(0.75,$U12/($U12+24000)))</f>
        <v/>
      </c>
      <c r="W12" s="76">
        <f>IF($S12="","",$S12/(1-$V12)*IF($N12="",1,$N12))</f>
        <v/>
      </c>
      <c r="X12" s="76">
        <f>IF(OR($W12="",$Q12="",$Q12=0),"",$W12/$Q12)</f>
        <v/>
      </c>
      <c r="Y12" s="76">
        <f>IF(OR($R12="",$T12="",$T12=0),"",$R12/($T12*IF($O12="",1,$O12)))</f>
        <v/>
      </c>
      <c r="Z12" s="77">
        <f>IF(OR($X12="",$P12="",$P12=0),"",$X12/$P12)</f>
        <v/>
      </c>
      <c r="AA12" s="27">
        <f>IF($J12="","待填怪物等级",IF(OR($I12="",$Q12=""),"待填对照关卡",IF($P12="","已计算",IF(AND($Y12&lt;&gt;"",$Y12&lt;$X12),"生存不成立",IF($Z12&lt;0.5,"碾压",IF($Z12&lt;0.8,"偏简单",IF($Z12&lt;=1.2,"适中",IF($Z12&lt;=1.5,"偏难","过难"))))))))</f>
        <v/>
      </c>
      <c r="AB12" s="27">
        <f>IF($J12="","待填",IF(AND(ISNUMBER($J12),$J12&gt;=1,$J12&lt;=500,MOD($J12,1)=0),"有效","超范围"))</f>
        <v/>
      </c>
      <c r="AC12" s="27">
        <f>IF(OR($J12="",ROW()=5,$B12&lt;&gt;$B11,$J11=""),"",IF($J12&lt;$J11,"下降",""))</f>
        <v/>
      </c>
      <c r="AD12" s="28" t="inlineStr">
        <is>
          <t>2026-08-27 新玩家节点曲线校准；对照S142；等级240→200；保留原难度定位。</t>
        </is>
      </c>
      <c r="AE12" t="n">
        <v>249000</v>
      </c>
      <c r="AF12">
        <f>INDEX(_统一战力!$B$2:$B$501,J12)</f>
        <v/>
      </c>
    </row>
    <row r="13" ht="25" customHeight="1">
      <c r="A13" s="27" t="inlineStr">
        <is>
          <t>当前关闭</t>
        </is>
      </c>
      <c r="B13" s="27" t="inlineStr">
        <is>
          <t>大秘境</t>
        </is>
      </c>
      <c r="C13" s="28" t="inlineStr">
        <is>
          <t>4环境共用</t>
        </is>
      </c>
      <c r="D13" s="28" t="inlineStr">
        <is>
          <t>第9层</t>
        </is>
      </c>
      <c r="E13" s="28" t="inlineStr">
        <is>
          <t>320009;320034;320059;320084</t>
        </is>
      </c>
      <c r="F13" s="27" t="inlineStr">
        <is>
          <t>普通怪</t>
        </is>
      </c>
      <c r="G13" s="37" t="n">
        <v>150</v>
      </c>
      <c r="H13" s="38" t="n"/>
      <c r="I13" s="39">
        <f>IF($H13="",$G13,$H13)</f>
        <v/>
      </c>
      <c r="J13" s="40" t="n">
        <v>208</v>
      </c>
      <c r="K13" s="72" t="n">
        <v>0.933227965834996</v>
      </c>
      <c r="L13" s="72" t="n">
        <v>1.17679486579661</v>
      </c>
      <c r="M13" s="72" t="n">
        <v>1</v>
      </c>
      <c r="N13" s="73" t="n"/>
      <c r="O13" s="73" t="n"/>
      <c r="P13" s="73" t="n"/>
      <c r="Q13" s="74">
        <f>IF($I13="","",IFERROR(INDEX(_玩家曲线!$H$2:$H$286,MATCH($I13,_玩家曲线!$A$2:$A$286,0)),""))</f>
        <v/>
      </c>
      <c r="R13" s="74">
        <f>IF($I13="","",IFERROR(INDEX(_玩家曲线!$I$2:$I$286,MATCH($I13,_玩家曲线!$A$2:$A$286,0)),""))</f>
        <v/>
      </c>
      <c r="S13" s="74">
        <f>IF(OR($J13="",$F13="不适用"),"",IFERROR(INDEX(_怪物模型!$D$2:$D$4501,(INT($J13)-1)*ROWS(_怪物类型!$A$2:$A$10)+MATCH($F13,_怪物类型!$A$2:$A$10,0))*IF($K13="",1,$K13),""))</f>
        <v/>
      </c>
      <c r="T13" s="74">
        <f>IF(OR($J13="",$F13="不适用"),"",IFERROR(INDEX(_怪物模型!$E$2:$E$4501,(INT($J13)-1)*ROWS(_怪物类型!$A$2:$A$10)+MATCH($F13,_怪物类型!$A$2:$A$10,0))*IF($L13="",1,$L13),""))</f>
        <v/>
      </c>
      <c r="U13" s="74">
        <f>IF(OR($J13="",$F13="不适用"),"",IFERROR(INDEX(_怪物模型!$F$2:$F$4501,(INT($J13)-1)*ROWS(_怪物类型!$A$2:$A$10)+MATCH($F13,_怪物类型!$A$2:$A$10,0))*IF($M13="",1,$M13),""))</f>
        <v/>
      </c>
      <c r="V13" s="75">
        <f>IF($U13="","",MIN(0.75,$U13/($U13+24000)))</f>
        <v/>
      </c>
      <c r="W13" s="76">
        <f>IF($S13="","",$S13/(1-$V13)*IF($N13="",1,$N13))</f>
        <v/>
      </c>
      <c r="X13" s="76">
        <f>IF(OR($W13="",$Q13="",$Q13=0),"",$W13/$Q13)</f>
        <v/>
      </c>
      <c r="Y13" s="76">
        <f>IF(OR($R13="",$T13="",$T13=0),"",$R13/($T13*IF($O13="",1,$O13)))</f>
        <v/>
      </c>
      <c r="Z13" s="77">
        <f>IF(OR($X13="",$P13="",$P13=0),"",$X13/$P13)</f>
        <v/>
      </c>
      <c r="AA13" s="27">
        <f>IF($J13="","待填怪物等级",IF(OR($I13="",$Q13=""),"待填对照关卡",IF($P13="","已计算",IF(AND($Y13&lt;&gt;"",$Y13&lt;$X13),"生存不成立",IF($Z13&lt;0.5,"碾压",IF($Z13&lt;0.8,"偏简单",IF($Z13&lt;=1.2,"适中",IF($Z13&lt;=1.5,"偏难","过难"))))))))</f>
        <v/>
      </c>
      <c r="AB13" s="27">
        <f>IF($J13="","待填",IF(AND(ISNUMBER($J13),$J13&gt;=1,$J13&lt;=500,MOD($J13,1)=0),"有效","超范围"))</f>
        <v/>
      </c>
      <c r="AC13" s="27">
        <f>IF(OR($J13="",ROW()=5,$B13&lt;&gt;$B12,$J12=""),"",IF($J13&lt;$J12,"下降",""))</f>
        <v/>
      </c>
      <c r="AD13" s="28" t="inlineStr">
        <is>
          <t>2026-08-27 新玩家节点曲线校准；对照S150；等级246→208；保留原难度定位。</t>
        </is>
      </c>
      <c r="AE13" t="n">
        <v>268000</v>
      </c>
      <c r="AF13">
        <f>INDEX(_统一战力!$B$2:$B$501,J13)</f>
        <v/>
      </c>
    </row>
    <row r="14" ht="25" customHeight="1">
      <c r="A14" s="27" t="inlineStr">
        <is>
          <t>当前关闭</t>
        </is>
      </c>
      <c r="B14" s="27" t="inlineStr">
        <is>
          <t>大秘境</t>
        </is>
      </c>
      <c r="C14" s="28" t="inlineStr">
        <is>
          <t>4环境共用</t>
        </is>
      </c>
      <c r="D14" s="28" t="inlineStr">
        <is>
          <t>第10层</t>
        </is>
      </c>
      <c r="E14" s="28" t="inlineStr">
        <is>
          <t>320010;320035;320060;320085</t>
        </is>
      </c>
      <c r="F14" s="27" t="inlineStr">
        <is>
          <t>普通怪</t>
        </is>
      </c>
      <c r="G14" s="37" t="n">
        <v>158</v>
      </c>
      <c r="H14" s="38" t="n"/>
      <c r="I14" s="39">
        <f>IF($H14="",$G14,$H14)</f>
        <v/>
      </c>
      <c r="J14" s="40" t="n">
        <v>215</v>
      </c>
      <c r="K14" s="72" t="n">
        <v>0.9277015189891999</v>
      </c>
      <c r="L14" s="72" t="n">
        <v>1.18518613830209</v>
      </c>
      <c r="M14" s="72" t="n">
        <v>1</v>
      </c>
      <c r="N14" s="73" t="n"/>
      <c r="O14" s="73" t="n"/>
      <c r="P14" s="73" t="n"/>
      <c r="Q14" s="74">
        <f>IF($I14="","",IFERROR(INDEX(_玩家曲线!$H$2:$H$286,MATCH($I14,_玩家曲线!$A$2:$A$286,0)),""))</f>
        <v/>
      </c>
      <c r="R14" s="74">
        <f>IF($I14="","",IFERROR(INDEX(_玩家曲线!$I$2:$I$286,MATCH($I14,_玩家曲线!$A$2:$A$286,0)),""))</f>
        <v/>
      </c>
      <c r="S14" s="74">
        <f>IF(OR($J14="",$F14="不适用"),"",IFERROR(INDEX(_怪物模型!$D$2:$D$4501,(INT($J14)-1)*ROWS(_怪物类型!$A$2:$A$10)+MATCH($F14,_怪物类型!$A$2:$A$10,0))*IF($K14="",1,$K14),""))</f>
        <v/>
      </c>
      <c r="T14" s="74">
        <f>IF(OR($J14="",$F14="不适用"),"",IFERROR(INDEX(_怪物模型!$E$2:$E$4501,(INT($J14)-1)*ROWS(_怪物类型!$A$2:$A$10)+MATCH($F14,_怪物类型!$A$2:$A$10,0))*IF($L14="",1,$L14),""))</f>
        <v/>
      </c>
      <c r="U14" s="74">
        <f>IF(OR($J14="",$F14="不适用"),"",IFERROR(INDEX(_怪物模型!$F$2:$F$4501,(INT($J14)-1)*ROWS(_怪物类型!$A$2:$A$10)+MATCH($F14,_怪物类型!$A$2:$A$10,0))*IF($M14="",1,$M14),""))</f>
        <v/>
      </c>
      <c r="V14" s="75">
        <f>IF($U14="","",MIN(0.75,$U14/($U14+24000)))</f>
        <v/>
      </c>
      <c r="W14" s="76">
        <f>IF($S14="","",$S14/(1-$V14)*IF($N14="",1,$N14))</f>
        <v/>
      </c>
      <c r="X14" s="76">
        <f>IF(OR($W14="",$Q14="",$Q14=0),"",$W14/$Q14)</f>
        <v/>
      </c>
      <c r="Y14" s="76">
        <f>IF(OR($R14="",$T14="",$T14=0),"",$R14/($T14*IF($O14="",1,$O14)))</f>
        <v/>
      </c>
      <c r="Z14" s="77">
        <f>IF(OR($X14="",$P14="",$P14=0),"",$X14/$P14)</f>
        <v/>
      </c>
      <c r="AA14" s="27">
        <f>IF($J14="","待填怪物等级",IF(OR($I14="",$Q14=""),"待填对照关卡",IF($P14="","已计算",IF(AND($Y14&lt;&gt;"",$Y14&lt;$X14),"生存不成立",IF($Z14&lt;0.5,"碾压",IF($Z14&lt;0.8,"偏简单",IF($Z14&lt;=1.2,"适中",IF($Z14&lt;=1.5,"偏难","过难"))))))))</f>
        <v/>
      </c>
      <c r="AB14" s="27">
        <f>IF($J14="","待填",IF(AND(ISNUMBER($J14),$J14&gt;=1,$J14&lt;=500,MOD($J14,1)=0),"有效","超范围"))</f>
        <v/>
      </c>
      <c r="AC14" s="27">
        <f>IF(OR($J14="",ROW()=5,$B14&lt;&gt;$B13,$J13=""),"",IF($J14&lt;$J13,"下降",""))</f>
        <v/>
      </c>
      <c r="AD14" s="28" t="inlineStr">
        <is>
          <t>2026-08-27 新玩家节点曲线校准；对照S158；等级251→215；保留原难度定位。</t>
        </is>
      </c>
      <c r="AE14" t="n">
        <v>287000</v>
      </c>
      <c r="AF14">
        <f>INDEX(_统一战力!$B$2:$B$501,J14)</f>
        <v/>
      </c>
    </row>
    <row r="15" ht="25" customHeight="1">
      <c r="A15" s="27" t="inlineStr">
        <is>
          <t>当前关闭</t>
        </is>
      </c>
      <c r="B15" s="27" t="inlineStr">
        <is>
          <t>大秘境</t>
        </is>
      </c>
      <c r="C15" s="28" t="inlineStr">
        <is>
          <t>4环境共用</t>
        </is>
      </c>
      <c r="D15" s="28" t="inlineStr">
        <is>
          <t>第11层</t>
        </is>
      </c>
      <c r="E15" s="28" t="inlineStr">
        <is>
          <t>320011;320036;320061;320086</t>
        </is>
      </c>
      <c r="F15" s="27" t="inlineStr">
        <is>
          <t>普通怪</t>
        </is>
      </c>
      <c r="G15" s="37" t="n">
        <v>165</v>
      </c>
      <c r="H15" s="38" t="n"/>
      <c r="I15" s="39">
        <f>IF($H15="",$G15,$H15)</f>
        <v/>
      </c>
      <c r="J15" s="40" t="n">
        <v>221</v>
      </c>
      <c r="K15" s="72" t="n">
        <v>0.930792810059927</v>
      </c>
      <c r="L15" s="72" t="n">
        <v>1.19841761076149</v>
      </c>
      <c r="M15" s="72" t="n">
        <v>1</v>
      </c>
      <c r="N15" s="73" t="n"/>
      <c r="O15" s="73" t="n"/>
      <c r="P15" s="73" t="n"/>
      <c r="Q15" s="74">
        <f>IF($I15="","",IFERROR(INDEX(_玩家曲线!$H$2:$H$286,MATCH($I15,_玩家曲线!$A$2:$A$286,0)),""))</f>
        <v/>
      </c>
      <c r="R15" s="74">
        <f>IF($I15="","",IFERROR(INDEX(_玩家曲线!$I$2:$I$286,MATCH($I15,_玩家曲线!$A$2:$A$286,0)),""))</f>
        <v/>
      </c>
      <c r="S15" s="74">
        <f>IF(OR($J15="",$F15="不适用"),"",IFERROR(INDEX(_怪物模型!$D$2:$D$4501,(INT($J15)-1)*ROWS(_怪物类型!$A$2:$A$10)+MATCH($F15,_怪物类型!$A$2:$A$10,0))*IF($K15="",1,$K15),""))</f>
        <v/>
      </c>
      <c r="T15" s="74">
        <f>IF(OR($J15="",$F15="不适用"),"",IFERROR(INDEX(_怪物模型!$E$2:$E$4501,(INT($J15)-1)*ROWS(_怪物类型!$A$2:$A$10)+MATCH($F15,_怪物类型!$A$2:$A$10,0))*IF($L15="",1,$L15),""))</f>
        <v/>
      </c>
      <c r="U15" s="74">
        <f>IF(OR($J15="",$F15="不适用"),"",IFERROR(INDEX(_怪物模型!$F$2:$F$4501,(INT($J15)-1)*ROWS(_怪物类型!$A$2:$A$10)+MATCH($F15,_怪物类型!$A$2:$A$10,0))*IF($M15="",1,$M15),""))</f>
        <v/>
      </c>
      <c r="V15" s="75">
        <f>IF($U15="","",MIN(0.75,$U15/($U15+24000)))</f>
        <v/>
      </c>
      <c r="W15" s="76">
        <f>IF($S15="","",$S15/(1-$V15)*IF($N15="",1,$N15))</f>
        <v/>
      </c>
      <c r="X15" s="76">
        <f>IF(OR($W15="",$Q15="",$Q15=0),"",$W15/$Q15)</f>
        <v/>
      </c>
      <c r="Y15" s="76">
        <f>IF(OR($R15="",$T15="",$T15=0),"",$R15/($T15*IF($O15="",1,$O15)))</f>
        <v/>
      </c>
      <c r="Z15" s="77">
        <f>IF(OR($X15="",$P15="",$P15=0),"",$X15/$P15)</f>
        <v/>
      </c>
      <c r="AA15" s="27">
        <f>IF($J15="","待填怪物等级",IF(OR($I15="",$Q15=""),"待填对照关卡",IF($P15="","已计算",IF(AND($Y15&lt;&gt;"",$Y15&lt;$X15),"生存不成立",IF($Z15&lt;0.5,"碾压",IF($Z15&lt;0.8,"偏简单",IF($Z15&lt;=1.2,"适中",IF($Z15&lt;=1.5,"偏难","过难"))))))))</f>
        <v/>
      </c>
      <c r="AB15" s="27">
        <f>IF($J15="","待填",IF(AND(ISNUMBER($J15),$J15&gt;=1,$J15&lt;=500,MOD($J15,1)=0),"有效","超范围"))</f>
        <v/>
      </c>
      <c r="AC15" s="27">
        <f>IF(OR($J15="",ROW()=5,$B15&lt;&gt;$B14,$J14=""),"",IF($J15&lt;$J14,"下降",""))</f>
        <v/>
      </c>
      <c r="AD15" s="28" t="inlineStr">
        <is>
          <t>2026-08-27 新玩家节点曲线校准；对照S165；等级256→221；保留原难度定位。</t>
        </is>
      </c>
      <c r="AE15" t="n">
        <v>307000</v>
      </c>
      <c r="AF15">
        <f>INDEX(_统一战力!$B$2:$B$501,J15)</f>
        <v/>
      </c>
    </row>
    <row r="16" ht="25" customHeight="1">
      <c r="A16" s="27" t="inlineStr">
        <is>
          <t>当前关闭</t>
        </is>
      </c>
      <c r="B16" s="27" t="inlineStr">
        <is>
          <t>大秘境</t>
        </is>
      </c>
      <c r="C16" s="28" t="inlineStr">
        <is>
          <t>4环境共用</t>
        </is>
      </c>
      <c r="D16" s="28" t="inlineStr">
        <is>
          <t>第12层</t>
        </is>
      </c>
      <c r="E16" s="28" t="inlineStr">
        <is>
          <t>320012;320037;320062;320087</t>
        </is>
      </c>
      <c r="F16" s="27" t="inlineStr">
        <is>
          <t>普通怪</t>
        </is>
      </c>
      <c r="G16" s="37" t="n">
        <v>173</v>
      </c>
      <c r="H16" s="38" t="n"/>
      <c r="I16" s="39">
        <f>IF($H16="",$G16,$H16)</f>
        <v/>
      </c>
      <c r="J16" s="40" t="n">
        <v>227</v>
      </c>
      <c r="K16" s="72" t="n">
        <v>0.929622893890929</v>
      </c>
      <c r="L16" s="72" t="n">
        <v>1.20840448217647</v>
      </c>
      <c r="M16" s="72" t="n">
        <v>1</v>
      </c>
      <c r="N16" s="73" t="n"/>
      <c r="O16" s="73" t="n"/>
      <c r="P16" s="73" t="n"/>
      <c r="Q16" s="74">
        <f>IF($I16="","",IFERROR(INDEX(_玩家曲线!$H$2:$H$286,MATCH($I16,_玩家曲线!$A$2:$A$286,0)),""))</f>
        <v/>
      </c>
      <c r="R16" s="74">
        <f>IF($I16="","",IFERROR(INDEX(_玩家曲线!$I$2:$I$286,MATCH($I16,_玩家曲线!$A$2:$A$286,0)),""))</f>
        <v/>
      </c>
      <c r="S16" s="74">
        <f>IF(OR($J16="",$F16="不适用"),"",IFERROR(INDEX(_怪物模型!$D$2:$D$4501,(INT($J16)-1)*ROWS(_怪物类型!$A$2:$A$10)+MATCH($F16,_怪物类型!$A$2:$A$10,0))*IF($K16="",1,$K16),""))</f>
        <v/>
      </c>
      <c r="T16" s="74">
        <f>IF(OR($J16="",$F16="不适用"),"",IFERROR(INDEX(_怪物模型!$E$2:$E$4501,(INT($J16)-1)*ROWS(_怪物类型!$A$2:$A$10)+MATCH($F16,_怪物类型!$A$2:$A$10,0))*IF($L16="",1,$L16),""))</f>
        <v/>
      </c>
      <c r="U16" s="74">
        <f>IF(OR($J16="",$F16="不适用"),"",IFERROR(INDEX(_怪物模型!$F$2:$F$4501,(INT($J16)-1)*ROWS(_怪物类型!$A$2:$A$10)+MATCH($F16,_怪物类型!$A$2:$A$10,0))*IF($M16="",1,$M16),""))</f>
        <v/>
      </c>
      <c r="V16" s="75">
        <f>IF($U16="","",MIN(0.75,$U16/($U16+24000)))</f>
        <v/>
      </c>
      <c r="W16" s="76">
        <f>IF($S16="","",$S16/(1-$V16)*IF($N16="",1,$N16))</f>
        <v/>
      </c>
      <c r="X16" s="76">
        <f>IF(OR($W16="",$Q16="",$Q16=0),"",$W16/$Q16)</f>
        <v/>
      </c>
      <c r="Y16" s="76">
        <f>IF(OR($R16="",$T16="",$T16=0),"",$R16/($T16*IF($O16="",1,$O16)))</f>
        <v/>
      </c>
      <c r="Z16" s="77">
        <f>IF(OR($X16="",$P16="",$P16=0),"",$X16/$P16)</f>
        <v/>
      </c>
      <c r="AA16" s="27">
        <f>IF($J16="","待填怪物等级",IF(OR($I16="",$Q16=""),"待填对照关卡",IF($P16="","已计算",IF(AND($Y16&lt;&gt;"",$Y16&lt;$X16),"生存不成立",IF($Z16&lt;0.5,"碾压",IF($Z16&lt;0.8,"偏简单",IF($Z16&lt;=1.2,"适中",IF($Z16&lt;=1.5,"偏难","过难"))))))))</f>
        <v/>
      </c>
      <c r="AB16" s="27">
        <f>IF($J16="","待填",IF(AND(ISNUMBER($J16),$J16&gt;=1,$J16&lt;=500,MOD($J16,1)=0),"有效","超范围"))</f>
        <v/>
      </c>
      <c r="AC16" s="27">
        <f>IF(OR($J16="",ROW()=5,$B16&lt;&gt;$B15,$J15=""),"",IF($J16&lt;$J15,"下降",""))</f>
        <v/>
      </c>
      <c r="AD16" s="28" t="inlineStr">
        <is>
          <t>2026-08-27 新玩家节点曲线校准；对照S173；等级260→227；保留原难度定位。</t>
        </is>
      </c>
      <c r="AE16" t="n">
        <v>320000</v>
      </c>
      <c r="AF16">
        <f>INDEX(_统一战力!$B$2:$B$501,J16)</f>
        <v/>
      </c>
    </row>
    <row r="17" ht="25" customHeight="1">
      <c r="A17" s="27" t="inlineStr">
        <is>
          <t>当前关闭</t>
        </is>
      </c>
      <c r="B17" s="27" t="inlineStr">
        <is>
          <t>大秘境</t>
        </is>
      </c>
      <c r="C17" s="28" t="inlineStr">
        <is>
          <t>4环境共用</t>
        </is>
      </c>
      <c r="D17" s="28" t="inlineStr">
        <is>
          <t>第13层</t>
        </is>
      </c>
      <c r="E17" s="28" t="inlineStr">
        <is>
          <t>320013;320038;320063;320088</t>
        </is>
      </c>
      <c r="F17" s="27" t="inlineStr">
        <is>
          <t>普通怪</t>
        </is>
      </c>
      <c r="G17" s="37" t="n">
        <v>181</v>
      </c>
      <c r="H17" s="38" t="n"/>
      <c r="I17" s="39">
        <f>IF($H17="",$G17,$H17)</f>
        <v/>
      </c>
      <c r="J17" s="40" t="n">
        <v>233</v>
      </c>
      <c r="K17" s="72" t="n">
        <v>0.927414459259092</v>
      </c>
      <c r="L17" s="72" t="n">
        <v>1.21679232322575</v>
      </c>
      <c r="M17" s="72" t="n">
        <v>1</v>
      </c>
      <c r="N17" s="73" t="n"/>
      <c r="O17" s="73" t="n"/>
      <c r="P17" s="73" t="n"/>
      <c r="Q17" s="74">
        <f>IF($I17="","",IFERROR(INDEX(_玩家曲线!$H$2:$H$286,MATCH($I17,_玩家曲线!$A$2:$A$286,0)),""))</f>
        <v/>
      </c>
      <c r="R17" s="74">
        <f>IF($I17="","",IFERROR(INDEX(_玩家曲线!$I$2:$I$286,MATCH($I17,_玩家曲线!$A$2:$A$286,0)),""))</f>
        <v/>
      </c>
      <c r="S17" s="74">
        <f>IF(OR($J17="",$F17="不适用"),"",IFERROR(INDEX(_怪物模型!$D$2:$D$4501,(INT($J17)-1)*ROWS(_怪物类型!$A$2:$A$10)+MATCH($F17,_怪物类型!$A$2:$A$10,0))*IF($K17="",1,$K17),""))</f>
        <v/>
      </c>
      <c r="T17" s="74">
        <f>IF(OR($J17="",$F17="不适用"),"",IFERROR(INDEX(_怪物模型!$E$2:$E$4501,(INT($J17)-1)*ROWS(_怪物类型!$A$2:$A$10)+MATCH($F17,_怪物类型!$A$2:$A$10,0))*IF($L17="",1,$L17),""))</f>
        <v/>
      </c>
      <c r="U17" s="74">
        <f>IF(OR($J17="",$F17="不适用"),"",IFERROR(INDEX(_怪物模型!$F$2:$F$4501,(INT($J17)-1)*ROWS(_怪物类型!$A$2:$A$10)+MATCH($F17,_怪物类型!$A$2:$A$10,0))*IF($M17="",1,$M17),""))</f>
        <v/>
      </c>
      <c r="V17" s="75">
        <f>IF($U17="","",MIN(0.75,$U17/($U17+24000)))</f>
        <v/>
      </c>
      <c r="W17" s="76">
        <f>IF($S17="","",$S17/(1-$V17)*IF($N17="",1,$N17))</f>
        <v/>
      </c>
      <c r="X17" s="76">
        <f>IF(OR($W17="",$Q17="",$Q17=0),"",$W17/$Q17)</f>
        <v/>
      </c>
      <c r="Y17" s="76">
        <f>IF(OR($R17="",$T17="",$T17=0),"",$R17/($T17*IF($O17="",1,$O17)))</f>
        <v/>
      </c>
      <c r="Z17" s="77">
        <f>IF(OR($X17="",$P17="",$P17=0),"",$X17/$P17)</f>
        <v/>
      </c>
      <c r="AA17" s="27">
        <f>IF($J17="","待填怪物等级",IF(OR($I17="",$Q17=""),"待填对照关卡",IF($P17="","已计算",IF(AND($Y17&lt;&gt;"",$Y17&lt;$X17),"生存不成立",IF($Z17&lt;0.5,"碾压",IF($Z17&lt;0.8,"偏简单",IF($Z17&lt;=1.2,"适中",IF($Z17&lt;=1.5,"偏难","过难"))))))))</f>
        <v/>
      </c>
      <c r="AB17" s="27">
        <f>IF($J17="","待填",IF(AND(ISNUMBER($J17),$J17&gt;=1,$J17&lt;=500,MOD($J17,1)=0),"有效","超范围"))</f>
        <v/>
      </c>
      <c r="AC17" s="27">
        <f>IF(OR($J17="",ROW()=5,$B17&lt;&gt;$B16,$J16=""),"",IF($J17&lt;$J16,"下降",""))</f>
        <v/>
      </c>
      <c r="AD17" s="28" t="inlineStr">
        <is>
          <t>2026-08-27 新玩家节点曲线校准；对照S181；等级264→233；保留原难度定位。</t>
        </is>
      </c>
      <c r="AE17" t="n">
        <v>342000</v>
      </c>
      <c r="AF17">
        <f>INDEX(_统一战力!$B$2:$B$501,J17)</f>
        <v/>
      </c>
    </row>
    <row r="18" ht="25" customHeight="1">
      <c r="A18" s="27" t="inlineStr">
        <is>
          <t>当前关闭</t>
        </is>
      </c>
      <c r="B18" s="27" t="inlineStr">
        <is>
          <t>大秘境</t>
        </is>
      </c>
      <c r="C18" s="28" t="inlineStr">
        <is>
          <t>4环境共用</t>
        </is>
      </c>
      <c r="D18" s="28" t="inlineStr">
        <is>
          <t>第14层</t>
        </is>
      </c>
      <c r="E18" s="28" t="inlineStr">
        <is>
          <t>320014;320039;320064;320089</t>
        </is>
      </c>
      <c r="F18" s="27" t="inlineStr">
        <is>
          <t>普通怪</t>
        </is>
      </c>
      <c r="G18" s="37" t="n">
        <v>189</v>
      </c>
      <c r="H18" s="38" t="n"/>
      <c r="I18" s="39">
        <f>IF($H18="",$G18,$H18)</f>
        <v/>
      </c>
      <c r="J18" s="40" t="n">
        <v>239</v>
      </c>
      <c r="K18" s="72" t="n">
        <v>0.929136960829456</v>
      </c>
      <c r="L18" s="72" t="n">
        <v>1.22853771020941</v>
      </c>
      <c r="M18" s="72" t="n">
        <v>1</v>
      </c>
      <c r="N18" s="73" t="n"/>
      <c r="O18" s="73" t="n"/>
      <c r="P18" s="73" t="n"/>
      <c r="Q18" s="74">
        <f>IF($I18="","",IFERROR(INDEX(_玩家曲线!$H$2:$H$286,MATCH($I18,_玩家曲线!$A$2:$A$286,0)),""))</f>
        <v/>
      </c>
      <c r="R18" s="74">
        <f>IF($I18="","",IFERROR(INDEX(_玩家曲线!$I$2:$I$286,MATCH($I18,_玩家曲线!$A$2:$A$286,0)),""))</f>
        <v/>
      </c>
      <c r="S18" s="74">
        <f>IF(OR($J18="",$F18="不适用"),"",IFERROR(INDEX(_怪物模型!$D$2:$D$4501,(INT($J18)-1)*ROWS(_怪物类型!$A$2:$A$10)+MATCH($F18,_怪物类型!$A$2:$A$10,0))*IF($K18="",1,$K18),""))</f>
        <v/>
      </c>
      <c r="T18" s="74">
        <f>IF(OR($J18="",$F18="不适用"),"",IFERROR(INDEX(_怪物模型!$E$2:$E$4501,(INT($J18)-1)*ROWS(_怪物类型!$A$2:$A$10)+MATCH($F18,_怪物类型!$A$2:$A$10,0))*IF($L18="",1,$L18),""))</f>
        <v/>
      </c>
      <c r="U18" s="74">
        <f>IF(OR($J18="",$F18="不适用"),"",IFERROR(INDEX(_怪物模型!$F$2:$F$4501,(INT($J18)-1)*ROWS(_怪物类型!$A$2:$A$10)+MATCH($F18,_怪物类型!$A$2:$A$10,0))*IF($M18="",1,$M18),""))</f>
        <v/>
      </c>
      <c r="V18" s="75">
        <f>IF($U18="","",MIN(0.75,$U18/($U18+24000)))</f>
        <v/>
      </c>
      <c r="W18" s="76">
        <f>IF($S18="","",$S18/(1-$V18)*IF($N18="",1,$N18))</f>
        <v/>
      </c>
      <c r="X18" s="76">
        <f>IF(OR($W18="",$Q18="",$Q18=0),"",$W18/$Q18)</f>
        <v/>
      </c>
      <c r="Y18" s="76">
        <f>IF(OR($R18="",$T18="",$T18=0),"",$R18/($T18*IF($O18="",1,$O18)))</f>
        <v/>
      </c>
      <c r="Z18" s="77">
        <f>IF(OR($X18="",$P18="",$P18=0),"",$X18/$P18)</f>
        <v/>
      </c>
      <c r="AA18" s="27">
        <f>IF($J18="","待填怪物等级",IF(OR($I18="",$Q18=""),"待填对照关卡",IF($P18="","已计算",IF(AND($Y18&lt;&gt;"",$Y18&lt;$X18),"生存不成立",IF($Z18&lt;0.5,"碾压",IF($Z18&lt;0.8,"偏简单",IF($Z18&lt;=1.2,"适中",IF($Z18&lt;=1.5,"偏难","过难"))))))))</f>
        <v/>
      </c>
      <c r="AB18" s="27">
        <f>IF($J18="","待填",IF(AND(ISNUMBER($J18),$J18&gt;=1,$J18&lt;=500,MOD($J18,1)=0),"有效","超范围"))</f>
        <v/>
      </c>
      <c r="AC18" s="27">
        <f>IF(OR($J18="",ROW()=5,$B18&lt;&gt;$B17,$J17=""),"",IF($J18&lt;$J17,"下降",""))</f>
        <v/>
      </c>
      <c r="AD18" s="28" t="inlineStr">
        <is>
          <t>2026-08-27 新玩家节点曲线校准；对照S189；等级268→239；保留原难度定位。</t>
        </is>
      </c>
      <c r="AE18" t="n">
        <v>358000</v>
      </c>
      <c r="AF18">
        <f>INDEX(_统一战力!$B$2:$B$501,J18)</f>
        <v/>
      </c>
    </row>
    <row r="19" ht="25" customHeight="1">
      <c r="A19" s="27" t="inlineStr">
        <is>
          <t>当前关闭</t>
        </is>
      </c>
      <c r="B19" s="27" t="inlineStr">
        <is>
          <t>大秘境</t>
        </is>
      </c>
      <c r="C19" s="28" t="inlineStr">
        <is>
          <t>4环境共用</t>
        </is>
      </c>
      <c r="D19" s="28" t="inlineStr">
        <is>
          <t>第15层</t>
        </is>
      </c>
      <c r="E19" s="28" t="inlineStr">
        <is>
          <t>320015;320040;320065;320090</t>
        </is>
      </c>
      <c r="F19" s="27" t="inlineStr">
        <is>
          <t>普通怪</t>
        </is>
      </c>
      <c r="G19" s="37" t="n">
        <v>197</v>
      </c>
      <c r="H19" s="38" t="n"/>
      <c r="I19" s="39">
        <f>IF($H19="",$G19,$H19)</f>
        <v/>
      </c>
      <c r="J19" s="40" t="n">
        <v>245</v>
      </c>
      <c r="K19" s="72" t="n">
        <v>0.917613635352208</v>
      </c>
      <c r="L19" s="72" t="n">
        <v>1.22815728624221</v>
      </c>
      <c r="M19" s="72" t="n">
        <v>1</v>
      </c>
      <c r="N19" s="73" t="n"/>
      <c r="O19" s="73" t="n"/>
      <c r="P19" s="73" t="n"/>
      <c r="Q19" s="74">
        <f>IF($I19="","",IFERROR(INDEX(_玩家曲线!$H$2:$H$286,MATCH($I19,_玩家曲线!$A$2:$A$286,0)),""))</f>
        <v/>
      </c>
      <c r="R19" s="74">
        <f>IF($I19="","",IFERROR(INDEX(_玩家曲线!$I$2:$I$286,MATCH($I19,_玩家曲线!$A$2:$A$286,0)),""))</f>
        <v/>
      </c>
      <c r="S19" s="74">
        <f>IF(OR($J19="",$F19="不适用"),"",IFERROR(INDEX(_怪物模型!$D$2:$D$4501,(INT($J19)-1)*ROWS(_怪物类型!$A$2:$A$10)+MATCH($F19,_怪物类型!$A$2:$A$10,0))*IF($K19="",1,$K19),""))</f>
        <v/>
      </c>
      <c r="T19" s="74">
        <f>IF(OR($J19="",$F19="不适用"),"",IFERROR(INDEX(_怪物模型!$E$2:$E$4501,(INT($J19)-1)*ROWS(_怪物类型!$A$2:$A$10)+MATCH($F19,_怪物类型!$A$2:$A$10,0))*IF($L19="",1,$L19),""))</f>
        <v/>
      </c>
      <c r="U19" s="74">
        <f>IF(OR($J19="",$F19="不适用"),"",IFERROR(INDEX(_怪物模型!$F$2:$F$4501,(INT($J19)-1)*ROWS(_怪物类型!$A$2:$A$10)+MATCH($F19,_怪物类型!$A$2:$A$10,0))*IF($M19="",1,$M19),""))</f>
        <v/>
      </c>
      <c r="V19" s="75">
        <f>IF($U19="","",MIN(0.75,$U19/($U19+24000)))</f>
        <v/>
      </c>
      <c r="W19" s="76">
        <f>IF($S19="","",$S19/(1-$V19)*IF($N19="",1,$N19))</f>
        <v/>
      </c>
      <c r="X19" s="76">
        <f>IF(OR($W19="",$Q19="",$Q19=0),"",$W19/$Q19)</f>
        <v/>
      </c>
      <c r="Y19" s="76">
        <f>IF(OR($R19="",$T19="",$T19=0),"",$R19/($T19*IF($O19="",1,$O19)))</f>
        <v/>
      </c>
      <c r="Z19" s="77">
        <f>IF(OR($X19="",$P19="",$P19=0),"",$X19/$P19)</f>
        <v/>
      </c>
      <c r="AA19" s="27">
        <f>IF($J19="","待填怪物等级",IF(OR($I19="",$Q19=""),"待填对照关卡",IF($P19="","已计算",IF(AND($Y19&lt;&gt;"",$Y19&lt;$X19),"生存不成立",IF($Z19&lt;0.5,"碾压",IF($Z19&lt;0.8,"偏简单",IF($Z19&lt;=1.2,"适中",IF($Z19&lt;=1.5,"偏难","过难"))))))))</f>
        <v/>
      </c>
      <c r="AB19" s="27">
        <f>IF($J19="","待填",IF(AND(ISNUMBER($J19),$J19&gt;=1,$J19&lt;=500,MOD($J19,1)=0),"有效","超范围"))</f>
        <v/>
      </c>
      <c r="AC19" s="27">
        <f>IF(OR($J19="",ROW()=5,$B19&lt;&gt;$B18,$J18=""),"",IF($J19&lt;$J18,"下降",""))</f>
        <v/>
      </c>
      <c r="AD19" s="28" t="inlineStr">
        <is>
          <t>2026-08-27 新玩家节点曲线校准；对照S197；等级271→245；保留原难度定位。</t>
        </is>
      </c>
      <c r="AE19" t="n">
        <v>375000</v>
      </c>
      <c r="AF19">
        <f>INDEX(_统一战力!$B$2:$B$501,J19)</f>
        <v/>
      </c>
    </row>
    <row r="20" ht="25" customHeight="1">
      <c r="A20" s="27" t="inlineStr">
        <is>
          <t>当前关闭</t>
        </is>
      </c>
      <c r="B20" s="27" t="inlineStr">
        <is>
          <t>大秘境</t>
        </is>
      </c>
      <c r="C20" s="28" t="inlineStr">
        <is>
          <t>4环境共用</t>
        </is>
      </c>
      <c r="D20" s="28" t="inlineStr">
        <is>
          <t>第16层</t>
        </is>
      </c>
      <c r="E20" s="28" t="inlineStr">
        <is>
          <t>320016;320041;320066;320091</t>
        </is>
      </c>
      <c r="F20" s="27" t="inlineStr">
        <is>
          <t>普通怪</t>
        </is>
      </c>
      <c r="G20" s="37" t="n">
        <v>205</v>
      </c>
      <c r="H20" s="38" t="n"/>
      <c r="I20" s="39">
        <f>IF($H20="",$G20,$H20)</f>
        <v/>
      </c>
      <c r="J20" s="40" t="n">
        <v>250</v>
      </c>
      <c r="K20" s="72" t="n">
        <v>0.921752132659619</v>
      </c>
      <c r="L20" s="72" t="n">
        <v>1.24026886843341</v>
      </c>
      <c r="M20" s="72" t="n">
        <v>1</v>
      </c>
      <c r="N20" s="73" t="n"/>
      <c r="O20" s="73" t="n"/>
      <c r="P20" s="73" t="n"/>
      <c r="Q20" s="74">
        <f>IF($I20="","",IFERROR(INDEX(_玩家曲线!$H$2:$H$286,MATCH($I20,_玩家曲线!$A$2:$A$286,0)),""))</f>
        <v/>
      </c>
      <c r="R20" s="74">
        <f>IF($I20="","",IFERROR(INDEX(_玩家曲线!$I$2:$I$286,MATCH($I20,_玩家曲线!$A$2:$A$286,0)),""))</f>
        <v/>
      </c>
      <c r="S20" s="74">
        <f>IF(OR($J20="",$F20="不适用"),"",IFERROR(INDEX(_怪物模型!$D$2:$D$4501,(INT($J20)-1)*ROWS(_怪物类型!$A$2:$A$10)+MATCH($F20,_怪物类型!$A$2:$A$10,0))*IF($K20="",1,$K20),""))</f>
        <v/>
      </c>
      <c r="T20" s="74">
        <f>IF(OR($J20="",$F20="不适用"),"",IFERROR(INDEX(_怪物模型!$E$2:$E$4501,(INT($J20)-1)*ROWS(_怪物类型!$A$2:$A$10)+MATCH($F20,_怪物类型!$A$2:$A$10,0))*IF($L20="",1,$L20),""))</f>
        <v/>
      </c>
      <c r="U20" s="74">
        <f>IF(OR($J20="",$F20="不适用"),"",IFERROR(INDEX(_怪物模型!$F$2:$F$4501,(INT($J20)-1)*ROWS(_怪物类型!$A$2:$A$10)+MATCH($F20,_怪物类型!$A$2:$A$10,0))*IF($M20="",1,$M20),""))</f>
        <v/>
      </c>
      <c r="V20" s="75">
        <f>IF($U20="","",MIN(0.75,$U20/($U20+24000)))</f>
        <v/>
      </c>
      <c r="W20" s="76">
        <f>IF($S20="","",$S20/(1-$V20)*IF($N20="",1,$N20))</f>
        <v/>
      </c>
      <c r="X20" s="76">
        <f>IF(OR($W20="",$Q20="",$Q20=0),"",$W20/$Q20)</f>
        <v/>
      </c>
      <c r="Y20" s="76">
        <f>IF(OR($R20="",$T20="",$T20=0),"",$R20/($T20*IF($O20="",1,$O20)))</f>
        <v/>
      </c>
      <c r="Z20" s="77">
        <f>IF(OR($X20="",$P20="",$P20=0),"",$X20/$P20)</f>
        <v/>
      </c>
      <c r="AA20" s="27">
        <f>IF($J20="","待填怪物等级",IF(OR($I20="",$Q20=""),"待填对照关卡",IF($P20="","已计算",IF(AND($Y20&lt;&gt;"",$Y20&lt;$X20),"生存不成立",IF($Z20&lt;0.5,"碾压",IF($Z20&lt;0.8,"偏简单",IF($Z20&lt;=1.2,"适中",IF($Z20&lt;=1.5,"偏难","过难"))))))))</f>
        <v/>
      </c>
      <c r="AB20" s="27">
        <f>IF($J20="","待填",IF(AND(ISNUMBER($J20),$J20&gt;=1,$J20&lt;=500,MOD($J20,1)=0),"有效","超范围"))</f>
        <v/>
      </c>
      <c r="AC20" s="27">
        <f>IF(OR($J20="",ROW()=5,$B20&lt;&gt;$B19,$J19=""),"",IF($J20&lt;$J19,"下降",""))</f>
        <v/>
      </c>
      <c r="AD20" s="28" t="inlineStr">
        <is>
          <t>2026-08-27 新玩家节点曲线校准；对照S205；等级274→250；保留原难度定位。</t>
        </is>
      </c>
      <c r="AE20" t="n">
        <v>398000</v>
      </c>
      <c r="AF20">
        <f>INDEX(_统一战力!$B$2:$B$501,J20)</f>
        <v/>
      </c>
    </row>
    <row r="21" ht="25" customHeight="1">
      <c r="A21" s="27" t="inlineStr">
        <is>
          <t>当前关闭</t>
        </is>
      </c>
      <c r="B21" s="27" t="inlineStr">
        <is>
          <t>大秘境</t>
        </is>
      </c>
      <c r="C21" s="28" t="inlineStr">
        <is>
          <t>4环境共用</t>
        </is>
      </c>
      <c r="D21" s="28" t="inlineStr">
        <is>
          <t>第17层</t>
        </is>
      </c>
      <c r="E21" s="28" t="inlineStr">
        <is>
          <t>320017;320042;320067;320092</t>
        </is>
      </c>
      <c r="F21" s="27" t="inlineStr">
        <is>
          <t>普通怪</t>
        </is>
      </c>
      <c r="G21" s="37" t="n">
        <v>213</v>
      </c>
      <c r="H21" s="38" t="n"/>
      <c r="I21" s="39">
        <f>IF($H21="",$G21,$H21)</f>
        <v/>
      </c>
      <c r="J21" s="40" t="n">
        <v>257</v>
      </c>
      <c r="K21" s="72" t="n">
        <v>0.911918349262879</v>
      </c>
      <c r="L21" s="72" t="n">
        <v>1.24174258364797</v>
      </c>
      <c r="M21" s="72" t="n">
        <v>1</v>
      </c>
      <c r="N21" s="73" t="n"/>
      <c r="O21" s="73" t="n"/>
      <c r="P21" s="73" t="n"/>
      <c r="Q21" s="74">
        <f>IF($I21="","",IFERROR(INDEX(_玩家曲线!$H$2:$H$286,MATCH($I21,_玩家曲线!$A$2:$A$286,0)),""))</f>
        <v/>
      </c>
      <c r="R21" s="74">
        <f>IF($I21="","",IFERROR(INDEX(_玩家曲线!$I$2:$I$286,MATCH($I21,_玩家曲线!$A$2:$A$286,0)),""))</f>
        <v/>
      </c>
      <c r="S21" s="74">
        <f>IF(OR($J21="",$F21="不适用"),"",IFERROR(INDEX(_怪物模型!$D$2:$D$4501,(INT($J21)-1)*ROWS(_怪物类型!$A$2:$A$10)+MATCH($F21,_怪物类型!$A$2:$A$10,0))*IF($K21="",1,$K21),""))</f>
        <v/>
      </c>
      <c r="T21" s="74">
        <f>IF(OR($J21="",$F21="不适用"),"",IFERROR(INDEX(_怪物模型!$E$2:$E$4501,(INT($J21)-1)*ROWS(_怪物类型!$A$2:$A$10)+MATCH($F21,_怪物类型!$A$2:$A$10,0))*IF($L21="",1,$L21),""))</f>
        <v/>
      </c>
      <c r="U21" s="74">
        <f>IF(OR($J21="",$F21="不适用"),"",IFERROR(INDEX(_怪物模型!$F$2:$F$4501,(INT($J21)-1)*ROWS(_怪物类型!$A$2:$A$10)+MATCH($F21,_怪物类型!$A$2:$A$10,0))*IF($M21="",1,$M21),""))</f>
        <v/>
      </c>
      <c r="V21" s="75">
        <f>IF($U21="","",MIN(0.75,$U21/($U21+24000)))</f>
        <v/>
      </c>
      <c r="W21" s="76">
        <f>IF($S21="","",$S21/(1-$V21)*IF($N21="",1,$N21))</f>
        <v/>
      </c>
      <c r="X21" s="76">
        <f>IF(OR($W21="",$Q21="",$Q21=0),"",$W21/$Q21)</f>
        <v/>
      </c>
      <c r="Y21" s="76">
        <f>IF(OR($R21="",$T21="",$T21=0),"",$R21/($T21*IF($O21="",1,$O21)))</f>
        <v/>
      </c>
      <c r="Z21" s="77">
        <f>IF(OR($X21="",$P21="",$P21=0),"",$X21/$P21)</f>
        <v/>
      </c>
      <c r="AA21" s="27">
        <f>IF($J21="","待填怪物等级",IF(OR($I21="",$Q21=""),"待填对照关卡",IF($P21="","已计算",IF(AND($Y21&lt;&gt;"",$Y21&lt;$X21),"生存不成立",IF($Z21&lt;0.5,"碾压",IF($Z21&lt;0.8,"偏简单",IF($Z21&lt;=1.2,"适中",IF($Z21&lt;=1.5,"偏难","过难"))))))))</f>
        <v/>
      </c>
      <c r="AB21" s="27">
        <f>IF($J21="","待填",IF(AND(ISNUMBER($J21),$J21&gt;=1,$J21&lt;=500,MOD($J21,1)=0),"有效","超范围"))</f>
        <v/>
      </c>
      <c r="AC21" s="27">
        <f>IF(OR($J21="",ROW()=5,$B21&lt;&gt;$B20,$J20=""),"",IF($J21&lt;$J20,"下降",""))</f>
        <v/>
      </c>
      <c r="AD21" s="28" t="inlineStr">
        <is>
          <t>2026-08-27 新玩家节点曲线校准；对照S213；等级278→257；保留原难度定位。</t>
        </is>
      </c>
      <c r="AE21" t="n">
        <v>417000</v>
      </c>
      <c r="AF21">
        <f>INDEX(_统一战力!$B$2:$B$501,J21)</f>
        <v/>
      </c>
    </row>
    <row r="22" ht="25" customHeight="1">
      <c r="A22" s="27" t="inlineStr">
        <is>
          <t>当前关闭</t>
        </is>
      </c>
      <c r="B22" s="27" t="inlineStr">
        <is>
          <t>大秘境</t>
        </is>
      </c>
      <c r="C22" s="28" t="inlineStr">
        <is>
          <t>4环境共用</t>
        </is>
      </c>
      <c r="D22" s="28" t="inlineStr">
        <is>
          <t>第18层</t>
        </is>
      </c>
      <c r="E22" s="28" t="inlineStr">
        <is>
          <t>320018;320043;320068;320093</t>
        </is>
      </c>
      <c r="F22" s="27" t="inlineStr">
        <is>
          <t>普通怪</t>
        </is>
      </c>
      <c r="G22" s="37" t="n">
        <v>221</v>
      </c>
      <c r="H22" s="38" t="n"/>
      <c r="I22" s="39">
        <f>IF($H22="",$G22,$H22)</f>
        <v/>
      </c>
      <c r="J22" s="40" t="n">
        <v>262</v>
      </c>
      <c r="K22" s="72" t="n">
        <v>0.916961783923683</v>
      </c>
      <c r="L22" s="72" t="n">
        <v>1.25417897101172</v>
      </c>
      <c r="M22" s="72" t="n">
        <v>1</v>
      </c>
      <c r="N22" s="73" t="n"/>
      <c r="O22" s="73" t="n"/>
      <c r="P22" s="73" t="n"/>
      <c r="Q22" s="74">
        <f>IF($I22="","",IFERROR(INDEX(_玩家曲线!$H$2:$H$286,MATCH($I22,_玩家曲线!$A$2:$A$286,0)),""))</f>
        <v/>
      </c>
      <c r="R22" s="74">
        <f>IF($I22="","",IFERROR(INDEX(_玩家曲线!$I$2:$I$286,MATCH($I22,_玩家曲线!$A$2:$A$286,0)),""))</f>
        <v/>
      </c>
      <c r="S22" s="74">
        <f>IF(OR($J22="",$F22="不适用"),"",IFERROR(INDEX(_怪物模型!$D$2:$D$4501,(INT($J22)-1)*ROWS(_怪物类型!$A$2:$A$10)+MATCH($F22,_怪物类型!$A$2:$A$10,0))*IF($K22="",1,$K22),""))</f>
        <v/>
      </c>
      <c r="T22" s="74">
        <f>IF(OR($J22="",$F22="不适用"),"",IFERROR(INDEX(_怪物模型!$E$2:$E$4501,(INT($J22)-1)*ROWS(_怪物类型!$A$2:$A$10)+MATCH($F22,_怪物类型!$A$2:$A$10,0))*IF($L22="",1,$L22),""))</f>
        <v/>
      </c>
      <c r="U22" s="74">
        <f>IF(OR($J22="",$F22="不适用"),"",IFERROR(INDEX(_怪物模型!$F$2:$F$4501,(INT($J22)-1)*ROWS(_怪物类型!$A$2:$A$10)+MATCH($F22,_怪物类型!$A$2:$A$10,0))*IF($M22="",1,$M22),""))</f>
        <v/>
      </c>
      <c r="V22" s="75">
        <f>IF($U22="","",MIN(0.75,$U22/($U22+24000)))</f>
        <v/>
      </c>
      <c r="W22" s="76">
        <f>IF($S22="","",$S22/(1-$V22)*IF($N22="",1,$N22))</f>
        <v/>
      </c>
      <c r="X22" s="76">
        <f>IF(OR($W22="",$Q22="",$Q22=0),"",$W22/$Q22)</f>
        <v/>
      </c>
      <c r="Y22" s="76">
        <f>IF(OR($R22="",$T22="",$T22=0),"",$R22/($T22*IF($O22="",1,$O22)))</f>
        <v/>
      </c>
      <c r="Z22" s="77">
        <f>IF(OR($X22="",$P22="",$P22=0),"",$X22/$P22)</f>
        <v/>
      </c>
      <c r="AA22" s="27">
        <f>IF($J22="","待填怪物等级",IF(OR($I22="",$Q22=""),"待填对照关卡",IF($P22="","已计算",IF(AND($Y22&lt;&gt;"",$Y22&lt;$X22),"生存不成立",IF($Z22&lt;0.5,"碾压",IF($Z22&lt;0.8,"偏简单",IF($Z22&lt;=1.2,"适中",IF($Z22&lt;=1.5,"偏难","过难"))))))))</f>
        <v/>
      </c>
      <c r="AB22" s="27">
        <f>IF($J22="","待填",IF(AND(ISNUMBER($J22),$J22&gt;=1,$J22&lt;=500,MOD($J22,1)=0),"有效","超范围"))</f>
        <v/>
      </c>
      <c r="AC22" s="27">
        <f>IF(OR($J22="",ROW()=5,$B22&lt;&gt;$B21,$J21=""),"",IF($J22&lt;$J21,"下降",""))</f>
        <v/>
      </c>
      <c r="AD22" s="28" t="inlineStr">
        <is>
          <t>2026-08-27 新玩家节点曲线校准；对照S221；等级281→262；保留原难度定位。</t>
        </is>
      </c>
      <c r="AE22" t="n">
        <v>445000</v>
      </c>
      <c r="AF22">
        <f>INDEX(_统一战力!$B$2:$B$501,J22)</f>
        <v/>
      </c>
    </row>
    <row r="23" ht="25" customHeight="1">
      <c r="A23" s="27" t="inlineStr">
        <is>
          <t>当前关闭</t>
        </is>
      </c>
      <c r="B23" s="27" t="inlineStr">
        <is>
          <t>大秘境</t>
        </is>
      </c>
      <c r="C23" s="28" t="inlineStr">
        <is>
          <t>4环境共用</t>
        </is>
      </c>
      <c r="D23" s="28" t="inlineStr">
        <is>
          <t>第19层</t>
        </is>
      </c>
      <c r="E23" s="28" t="inlineStr">
        <is>
          <t>320019;320044;320069;320094</t>
        </is>
      </c>
      <c r="F23" s="27" t="inlineStr">
        <is>
          <t>普通怪</t>
        </is>
      </c>
      <c r="G23" s="37" t="n">
        <v>229</v>
      </c>
      <c r="H23" s="38" t="n"/>
      <c r="I23" s="39">
        <f>IF($H23="",$G23,$H23)</f>
        <v/>
      </c>
      <c r="J23" s="40" t="n">
        <v>268</v>
      </c>
      <c r="K23" s="72" t="n">
        <v>0.909825071533798</v>
      </c>
      <c r="L23" s="72" t="n">
        <v>1.2564527283729</v>
      </c>
      <c r="M23" s="72" t="n">
        <v>1</v>
      </c>
      <c r="N23" s="73" t="n"/>
      <c r="O23" s="73" t="n"/>
      <c r="P23" s="73" t="n"/>
      <c r="Q23" s="74">
        <f>IF($I23="","",IFERROR(INDEX(_玩家曲线!$H$2:$H$286,MATCH($I23,_玩家曲线!$A$2:$A$286,0)),""))</f>
        <v/>
      </c>
      <c r="R23" s="74">
        <f>IF($I23="","",IFERROR(INDEX(_玩家曲线!$I$2:$I$286,MATCH($I23,_玩家曲线!$A$2:$A$286,0)),""))</f>
        <v/>
      </c>
      <c r="S23" s="74">
        <f>IF(OR($J23="",$F23="不适用"),"",IFERROR(INDEX(_怪物模型!$D$2:$D$4501,(INT($J23)-1)*ROWS(_怪物类型!$A$2:$A$10)+MATCH($F23,_怪物类型!$A$2:$A$10,0))*IF($K23="",1,$K23),""))</f>
        <v/>
      </c>
      <c r="T23" s="74">
        <f>IF(OR($J23="",$F23="不适用"),"",IFERROR(INDEX(_怪物模型!$E$2:$E$4501,(INT($J23)-1)*ROWS(_怪物类型!$A$2:$A$10)+MATCH($F23,_怪物类型!$A$2:$A$10,0))*IF($L23="",1,$L23),""))</f>
        <v/>
      </c>
      <c r="U23" s="74">
        <f>IF(OR($J23="",$F23="不适用"),"",IFERROR(INDEX(_怪物模型!$F$2:$F$4501,(INT($J23)-1)*ROWS(_怪物类型!$A$2:$A$10)+MATCH($F23,_怪物类型!$A$2:$A$10,0))*IF($M23="",1,$M23),""))</f>
        <v/>
      </c>
      <c r="V23" s="75">
        <f>IF($U23="","",MIN(0.75,$U23/($U23+24000)))</f>
        <v/>
      </c>
      <c r="W23" s="76">
        <f>IF($S23="","",$S23/(1-$V23)*IF($N23="",1,$N23))</f>
        <v/>
      </c>
      <c r="X23" s="76">
        <f>IF(OR($W23="",$Q23="",$Q23=0),"",$W23/$Q23)</f>
        <v/>
      </c>
      <c r="Y23" s="76">
        <f>IF(OR($R23="",$T23="",$T23=0),"",$R23/($T23*IF($O23="",1,$O23)))</f>
        <v/>
      </c>
      <c r="Z23" s="77">
        <f>IF(OR($X23="",$P23="",$P23=0),"",$X23/$P23)</f>
        <v/>
      </c>
      <c r="AA23" s="27">
        <f>IF($J23="","待填怪物等级",IF(OR($I23="",$Q23=""),"待填对照关卡",IF($P23="","已计算",IF(AND($Y23&lt;&gt;"",$Y23&lt;$X23),"生存不成立",IF($Z23&lt;0.5,"碾压",IF($Z23&lt;0.8,"偏简单",IF($Z23&lt;=1.2,"适中",IF($Z23&lt;=1.5,"偏难","过难"))))))))</f>
        <v/>
      </c>
      <c r="AB23" s="27">
        <f>IF($J23="","待填",IF(AND(ISNUMBER($J23),$J23&gt;=1,$J23&lt;=500,MOD($J23,1)=0),"有效","超范围"))</f>
        <v/>
      </c>
      <c r="AC23" s="27">
        <f>IF(OR($J23="",ROW()=5,$B23&lt;&gt;$B22,$J22=""),"",IF($J23&lt;$J22,"下降",""))</f>
        <v/>
      </c>
      <c r="AD23" s="28" t="inlineStr">
        <is>
          <t>2026-08-27 新玩家节点曲线校准；对照S229；等级284→268；保留原难度定位。</t>
        </is>
      </c>
      <c r="AE23" t="n">
        <v>463000</v>
      </c>
      <c r="AF23">
        <f>INDEX(_统一战力!$B$2:$B$501,J23)</f>
        <v/>
      </c>
    </row>
    <row r="24" ht="25" customHeight="1">
      <c r="A24" s="27" t="inlineStr">
        <is>
          <t>当前关闭</t>
        </is>
      </c>
      <c r="B24" s="27" t="inlineStr">
        <is>
          <t>大秘境</t>
        </is>
      </c>
      <c r="C24" s="28" t="inlineStr">
        <is>
          <t>4环境共用</t>
        </is>
      </c>
      <c r="D24" s="28" t="inlineStr">
        <is>
          <t>第20层</t>
        </is>
      </c>
      <c r="E24" s="28" t="inlineStr">
        <is>
          <t>320020;320045;320070;320095</t>
        </is>
      </c>
      <c r="F24" s="27" t="inlineStr">
        <is>
          <t>普通怪</t>
        </is>
      </c>
      <c r="G24" s="37" t="n">
        <v>237</v>
      </c>
      <c r="H24" s="38" t="n"/>
      <c r="I24" s="39">
        <f>IF($H24="",$G24,$H24)</f>
        <v/>
      </c>
      <c r="J24" s="40" t="n">
        <v>273</v>
      </c>
      <c r="K24" s="72" t="n">
        <v>0.915593429943015</v>
      </c>
      <c r="L24" s="72" t="n">
        <v>1.26924978638973</v>
      </c>
      <c r="M24" s="72" t="n">
        <v>1</v>
      </c>
      <c r="N24" s="73" t="n"/>
      <c r="O24" s="73" t="n"/>
      <c r="P24" s="73" t="n"/>
      <c r="Q24" s="74">
        <f>IF($I24="","",IFERROR(INDEX(_玩家曲线!$H$2:$H$286,MATCH($I24,_玩家曲线!$A$2:$A$286,0)),""))</f>
        <v/>
      </c>
      <c r="R24" s="74">
        <f>IF($I24="","",IFERROR(INDEX(_玩家曲线!$I$2:$I$286,MATCH($I24,_玩家曲线!$A$2:$A$286,0)),""))</f>
        <v/>
      </c>
      <c r="S24" s="74">
        <f>IF(OR($J24="",$F24="不适用"),"",IFERROR(INDEX(_怪物模型!$D$2:$D$4501,(INT($J24)-1)*ROWS(_怪物类型!$A$2:$A$10)+MATCH($F24,_怪物类型!$A$2:$A$10,0))*IF($K24="",1,$K24),""))</f>
        <v/>
      </c>
      <c r="T24" s="74">
        <f>IF(OR($J24="",$F24="不适用"),"",IFERROR(INDEX(_怪物模型!$E$2:$E$4501,(INT($J24)-1)*ROWS(_怪物类型!$A$2:$A$10)+MATCH($F24,_怪物类型!$A$2:$A$10,0))*IF($L24="",1,$L24),""))</f>
        <v/>
      </c>
      <c r="U24" s="74">
        <f>IF(OR($J24="",$F24="不适用"),"",IFERROR(INDEX(_怪物模型!$F$2:$F$4501,(INT($J24)-1)*ROWS(_怪物类型!$A$2:$A$10)+MATCH($F24,_怪物类型!$A$2:$A$10,0))*IF($M24="",1,$M24),""))</f>
        <v/>
      </c>
      <c r="V24" s="75">
        <f>IF($U24="","",MIN(0.75,$U24/($U24+24000)))</f>
        <v/>
      </c>
      <c r="W24" s="76">
        <f>IF($S24="","",$S24/(1-$V24)*IF($N24="",1,$N24))</f>
        <v/>
      </c>
      <c r="X24" s="76">
        <f>IF(OR($W24="",$Q24="",$Q24=0),"",$W24/$Q24)</f>
        <v/>
      </c>
      <c r="Y24" s="76">
        <f>IF(OR($R24="",$T24="",$T24=0),"",$R24/($T24*IF($O24="",1,$O24)))</f>
        <v/>
      </c>
      <c r="Z24" s="77">
        <f>IF(OR($X24="",$P24="",$P24=0),"",$X24/$P24)</f>
        <v/>
      </c>
      <c r="AA24" s="27">
        <f>IF($J24="","待填怪物等级",IF(OR($I24="",$Q24=""),"待填对照关卡",IF($P24="","已计算",IF(AND($Y24&lt;&gt;"",$Y24&lt;$X24),"生存不成立",IF($Z24&lt;0.5,"碾压",IF($Z24&lt;0.8,"偏简单",IF($Z24&lt;=1.2,"适中",IF($Z24&lt;=1.5,"偏难","过难"))))))))</f>
        <v/>
      </c>
      <c r="AB24" s="27">
        <f>IF($J24="","待填",IF(AND(ISNUMBER($J24),$J24&gt;=1,$J24&lt;=500,MOD($J24,1)=0),"有效","超范围"))</f>
        <v/>
      </c>
      <c r="AC24" s="27">
        <f>IF(OR($J24="",ROW()=5,$B24&lt;&gt;$B23,$J23=""),"",IF($J24&lt;$J23,"下降",""))</f>
        <v/>
      </c>
      <c r="AD24" s="28" t="inlineStr">
        <is>
          <t>2026-08-27 新玩家节点曲线校准；对照S237；等级287→273；保留原难度定位。</t>
        </is>
      </c>
      <c r="AE24" t="n">
        <v>492000</v>
      </c>
      <c r="AF24">
        <f>INDEX(_统一战力!$B$2:$B$501,J24)</f>
        <v/>
      </c>
    </row>
    <row r="25" ht="25" customHeight="1">
      <c r="A25" s="27" t="inlineStr">
        <is>
          <t>当前关闭</t>
        </is>
      </c>
      <c r="B25" s="27" t="inlineStr">
        <is>
          <t>大秘境</t>
        </is>
      </c>
      <c r="C25" s="28" t="inlineStr">
        <is>
          <t>4环境共用</t>
        </is>
      </c>
      <c r="D25" s="28" t="inlineStr">
        <is>
          <t>第21层</t>
        </is>
      </c>
      <c r="E25" s="28" t="inlineStr">
        <is>
          <t>320021;320046;320071;320096</t>
        </is>
      </c>
      <c r="F25" s="27" t="inlineStr">
        <is>
          <t>普通怪</t>
        </is>
      </c>
      <c r="G25" s="37" t="n">
        <v>246</v>
      </c>
      <c r="H25" s="38" t="n"/>
      <c r="I25" s="39">
        <f>IF($H25="",$G25,$H25)</f>
        <v/>
      </c>
      <c r="J25" s="40" t="n">
        <v>278</v>
      </c>
      <c r="K25" s="72" t="n">
        <v>0.914079132756287</v>
      </c>
      <c r="L25" s="72" t="n">
        <v>1.27558658621214</v>
      </c>
      <c r="M25" s="72" t="n">
        <v>1</v>
      </c>
      <c r="N25" s="73" t="n"/>
      <c r="O25" s="73" t="n"/>
      <c r="P25" s="73" t="n"/>
      <c r="Q25" s="74">
        <f>IF($I25="","",IFERROR(INDEX(_玩家曲线!$H$2:$H$286,MATCH($I25,_玩家曲线!$A$2:$A$286,0)),""))</f>
        <v/>
      </c>
      <c r="R25" s="74">
        <f>IF($I25="","",IFERROR(INDEX(_玩家曲线!$I$2:$I$286,MATCH($I25,_玩家曲线!$A$2:$A$286,0)),""))</f>
        <v/>
      </c>
      <c r="S25" s="74">
        <f>IF(OR($J25="",$F25="不适用"),"",IFERROR(INDEX(_怪物模型!$D$2:$D$4501,(INT($J25)-1)*ROWS(_怪物类型!$A$2:$A$10)+MATCH($F25,_怪物类型!$A$2:$A$10,0))*IF($K25="",1,$K25),""))</f>
        <v/>
      </c>
      <c r="T25" s="74">
        <f>IF(OR($J25="",$F25="不适用"),"",IFERROR(INDEX(_怪物模型!$E$2:$E$4501,(INT($J25)-1)*ROWS(_怪物类型!$A$2:$A$10)+MATCH($F25,_怪物类型!$A$2:$A$10,0))*IF($L25="",1,$L25),""))</f>
        <v/>
      </c>
      <c r="U25" s="74">
        <f>IF(OR($J25="",$F25="不适用"),"",IFERROR(INDEX(_怪物模型!$F$2:$F$4501,(INT($J25)-1)*ROWS(_怪物类型!$A$2:$A$10)+MATCH($F25,_怪物类型!$A$2:$A$10,0))*IF($M25="",1,$M25),""))</f>
        <v/>
      </c>
      <c r="V25" s="75">
        <f>IF($U25="","",MIN(0.75,$U25/($U25+24000)))</f>
        <v/>
      </c>
      <c r="W25" s="76">
        <f>IF($S25="","",$S25/(1-$V25)*IF($N25="",1,$N25))</f>
        <v/>
      </c>
      <c r="X25" s="76">
        <f>IF(OR($W25="",$Q25="",$Q25=0),"",$W25/$Q25)</f>
        <v/>
      </c>
      <c r="Y25" s="76">
        <f>IF(OR($R25="",$T25="",$T25=0),"",$R25/($T25*IF($O25="",1,$O25)))</f>
        <v/>
      </c>
      <c r="Z25" s="77">
        <f>IF(OR($X25="",$P25="",$P25=0),"",$X25/$P25)</f>
        <v/>
      </c>
      <c r="AA25" s="27">
        <f>IF($J25="","待填怪物等级",IF(OR($I25="",$Q25=""),"待填对照关卡",IF($P25="","已计算",IF(AND($Y25&lt;&gt;"",$Y25&lt;$X25),"生存不成立",IF($Z25&lt;0.5,"碾压",IF($Z25&lt;0.8,"偏简单",IF($Z25&lt;=1.2,"适中",IF($Z25&lt;=1.5,"偏难","过难"))))))))</f>
        <v/>
      </c>
      <c r="AB25" s="27">
        <f>IF($J25="","待填",IF(AND(ISNUMBER($J25),$J25&gt;=1,$J25&lt;=500,MOD($J25,1)=0),"有效","超范围"))</f>
        <v/>
      </c>
      <c r="AC25" s="27">
        <f>IF(OR($J25="",ROW()=5,$B25&lt;&gt;$B24,$J24=""),"",IF($J25&lt;$J24,"下降",""))</f>
        <v/>
      </c>
      <c r="AD25" s="28" t="inlineStr">
        <is>
          <t>2026-08-27 新玩家节点曲线校准；对照S246；等级289→278；保留原难度定位。</t>
        </is>
      </c>
      <c r="AE25" t="n">
        <v>512000</v>
      </c>
      <c r="AF25">
        <f>INDEX(_统一战力!$B$2:$B$501,J25)</f>
        <v/>
      </c>
    </row>
    <row r="26" ht="25" customHeight="1">
      <c r="A26" s="27" t="inlineStr">
        <is>
          <t>当前关闭</t>
        </is>
      </c>
      <c r="B26" s="27" t="inlineStr">
        <is>
          <t>大秘境</t>
        </is>
      </c>
      <c r="C26" s="28" t="inlineStr">
        <is>
          <t>4环境共用</t>
        </is>
      </c>
      <c r="D26" s="28" t="inlineStr">
        <is>
          <t>第22层</t>
        </is>
      </c>
      <c r="E26" s="28" t="inlineStr">
        <is>
          <t>320022;320047;320072;320097</t>
        </is>
      </c>
      <c r="F26" s="27" t="inlineStr">
        <is>
          <t>普通怪</t>
        </is>
      </c>
      <c r="G26" s="37" t="n">
        <v>254</v>
      </c>
      <c r="H26" s="38" t="n"/>
      <c r="I26" s="39">
        <f>IF($H26="",$G26,$H26)</f>
        <v/>
      </c>
      <c r="J26" s="40" t="n">
        <v>284</v>
      </c>
      <c r="K26" s="72" t="n">
        <v>0.9091038252153389</v>
      </c>
      <c r="L26" s="72" t="n">
        <v>1.27916804703092</v>
      </c>
      <c r="M26" s="72" t="n">
        <v>1</v>
      </c>
      <c r="N26" s="73" t="n"/>
      <c r="O26" s="73" t="n"/>
      <c r="P26" s="73" t="n"/>
      <c r="Q26" s="74">
        <f>IF($I26="","",IFERROR(INDEX(_玩家曲线!$H$2:$H$286,MATCH($I26,_玩家曲线!$A$2:$A$286,0)),""))</f>
        <v/>
      </c>
      <c r="R26" s="74">
        <f>IF($I26="","",IFERROR(INDEX(_玩家曲线!$I$2:$I$286,MATCH($I26,_玩家曲线!$A$2:$A$286,0)),""))</f>
        <v/>
      </c>
      <c r="S26" s="74">
        <f>IF(OR($J26="",$F26="不适用"),"",IFERROR(INDEX(_怪物模型!$D$2:$D$4501,(INT($J26)-1)*ROWS(_怪物类型!$A$2:$A$10)+MATCH($F26,_怪物类型!$A$2:$A$10,0))*IF($K26="",1,$K26),""))</f>
        <v/>
      </c>
      <c r="T26" s="74">
        <f>IF(OR($J26="",$F26="不适用"),"",IFERROR(INDEX(_怪物模型!$E$2:$E$4501,(INT($J26)-1)*ROWS(_怪物类型!$A$2:$A$10)+MATCH($F26,_怪物类型!$A$2:$A$10,0))*IF($L26="",1,$L26),""))</f>
        <v/>
      </c>
      <c r="U26" s="74">
        <f>IF(OR($J26="",$F26="不适用"),"",IFERROR(INDEX(_怪物模型!$F$2:$F$4501,(INT($J26)-1)*ROWS(_怪物类型!$A$2:$A$10)+MATCH($F26,_怪物类型!$A$2:$A$10,0))*IF($M26="",1,$M26),""))</f>
        <v/>
      </c>
      <c r="V26" s="75">
        <f>IF($U26="","",MIN(0.75,$U26/($U26+24000)))</f>
        <v/>
      </c>
      <c r="W26" s="76">
        <f>IF($S26="","",$S26/(1-$V26)*IF($N26="",1,$N26))</f>
        <v/>
      </c>
      <c r="X26" s="76">
        <f>IF(OR($W26="",$Q26="",$Q26=0),"",$W26/$Q26)</f>
        <v/>
      </c>
      <c r="Y26" s="76">
        <f>IF(OR($R26="",$T26="",$T26=0),"",$R26/($T26*IF($O26="",1,$O26)))</f>
        <v/>
      </c>
      <c r="Z26" s="77">
        <f>IF(OR($X26="",$P26="",$P26=0),"",$X26/$P26)</f>
        <v/>
      </c>
      <c r="AA26" s="27">
        <f>IF($J26="","待填怪物等级",IF(OR($I26="",$Q26=""),"待填对照关卡",IF($P26="","已计算",IF(AND($Y26&lt;&gt;"",$Y26&lt;$X26),"生存不成立",IF($Z26&lt;0.5,"碾压",IF($Z26&lt;0.8,"偏简单",IF($Z26&lt;=1.2,"适中",IF($Z26&lt;=1.5,"偏难","过难"))))))))</f>
        <v/>
      </c>
      <c r="AB26" s="27">
        <f>IF($J26="","待填",IF(AND(ISNUMBER($J26),$J26&gt;=1,$J26&lt;=500,MOD($J26,1)=0),"有效","超范围"))</f>
        <v/>
      </c>
      <c r="AC26" s="27">
        <f>IF(OR($J26="",ROW()=5,$B26&lt;&gt;$B25,$J25=""),"",IF($J26&lt;$J25,"下降",""))</f>
        <v/>
      </c>
      <c r="AD26" s="28" t="inlineStr">
        <is>
          <t>2026-08-27 新玩家节点曲线校准；对照S254；等级292→284；保留原难度定位。</t>
        </is>
      </c>
      <c r="AE26" t="n">
        <v>532000</v>
      </c>
      <c r="AF26">
        <f>INDEX(_统一战力!$B$2:$B$501,J26)</f>
        <v/>
      </c>
    </row>
    <row r="27" ht="25" customHeight="1">
      <c r="A27" s="27" t="inlineStr">
        <is>
          <t>当前关闭</t>
        </is>
      </c>
      <c r="B27" s="27" t="inlineStr">
        <is>
          <t>大秘境</t>
        </is>
      </c>
      <c r="C27" s="28" t="inlineStr">
        <is>
          <t>4环境共用</t>
        </is>
      </c>
      <c r="D27" s="28" t="inlineStr">
        <is>
          <t>第23层</t>
        </is>
      </c>
      <c r="E27" s="28" t="inlineStr">
        <is>
          <t>320023;320048;320073;320098</t>
        </is>
      </c>
      <c r="F27" s="27" t="inlineStr">
        <is>
          <t>普通怪</t>
        </is>
      </c>
      <c r="G27" s="37" t="n">
        <v>262</v>
      </c>
      <c r="H27" s="38" t="n"/>
      <c r="I27" s="39">
        <f>IF($H27="",$G27,$H27)</f>
        <v/>
      </c>
      <c r="J27" s="40" t="n">
        <v>291</v>
      </c>
      <c r="K27" s="72" t="n">
        <v>0.904626307456486</v>
      </c>
      <c r="L27" s="72" t="n">
        <v>1.28379377873449</v>
      </c>
      <c r="M27" s="72" t="n">
        <v>1</v>
      </c>
      <c r="N27" s="73" t="n"/>
      <c r="O27" s="73" t="n"/>
      <c r="P27" s="73" t="n"/>
      <c r="Q27" s="74">
        <f>IF($I27="","",IFERROR(INDEX(_玩家曲线!$H$2:$H$286,MATCH($I27,_玩家曲线!$A$2:$A$286,0)),""))</f>
        <v/>
      </c>
      <c r="R27" s="74">
        <f>IF($I27="","",IFERROR(INDEX(_玩家曲线!$I$2:$I$286,MATCH($I27,_玩家曲线!$A$2:$A$286,0)),""))</f>
        <v/>
      </c>
      <c r="S27" s="74">
        <f>IF(OR($J27="",$F27="不适用"),"",IFERROR(INDEX(_怪物模型!$D$2:$D$4501,(INT($J27)-1)*ROWS(_怪物类型!$A$2:$A$10)+MATCH($F27,_怪物类型!$A$2:$A$10,0))*IF($K27="",1,$K27),""))</f>
        <v/>
      </c>
      <c r="T27" s="74">
        <f>IF(OR($J27="",$F27="不适用"),"",IFERROR(INDEX(_怪物模型!$E$2:$E$4501,(INT($J27)-1)*ROWS(_怪物类型!$A$2:$A$10)+MATCH($F27,_怪物类型!$A$2:$A$10,0))*IF($L27="",1,$L27),""))</f>
        <v/>
      </c>
      <c r="U27" s="74">
        <f>IF(OR($J27="",$F27="不适用"),"",IFERROR(INDEX(_怪物模型!$F$2:$F$4501,(INT($J27)-1)*ROWS(_怪物类型!$A$2:$A$10)+MATCH($F27,_怪物类型!$A$2:$A$10,0))*IF($M27="",1,$M27),""))</f>
        <v/>
      </c>
      <c r="V27" s="75">
        <f>IF($U27="","",MIN(0.75,$U27/($U27+24000)))</f>
        <v/>
      </c>
      <c r="W27" s="76">
        <f>IF($S27="","",$S27/(1-$V27)*IF($N27="",1,$N27))</f>
        <v/>
      </c>
      <c r="X27" s="76">
        <f>IF(OR($W27="",$Q27="",$Q27=0),"",$W27/$Q27)</f>
        <v/>
      </c>
      <c r="Y27" s="76">
        <f>IF(OR($R27="",$T27="",$T27=0),"",$R27/($T27*IF($O27="",1,$O27)))</f>
        <v/>
      </c>
      <c r="Z27" s="77">
        <f>IF(OR($X27="",$P27="",$P27=0),"",$X27/$P27)</f>
        <v/>
      </c>
      <c r="AA27" s="27">
        <f>IF($J27="","待填怪物等级",IF(OR($I27="",$Q27=""),"待填对照关卡",IF($P27="","已计算",IF(AND($Y27&lt;&gt;"",$Y27&lt;$X27),"生存不成立",IF($Z27&lt;0.5,"碾压",IF($Z27&lt;0.8,"偏简单",IF($Z27&lt;=1.2,"适中",IF($Z27&lt;=1.5,"偏难","过难"))))))))</f>
        <v/>
      </c>
      <c r="AB27" s="27">
        <f>IF($J27="","待填",IF(AND(ISNUMBER($J27),$J27&gt;=1,$J27&lt;=500,MOD($J27,1)=0),"有效","超范围"))</f>
        <v/>
      </c>
      <c r="AC27" s="27">
        <f>IF(OR($J27="",ROW()=5,$B27&lt;&gt;$B26,$J26=""),"",IF($J27&lt;$J26,"下降",""))</f>
        <v/>
      </c>
      <c r="AD27" s="28" t="inlineStr">
        <is>
          <t>2026-08-27 新玩家节点曲线校准；对照S262；等级296→291；保留原难度定位。</t>
        </is>
      </c>
      <c r="AE27" t="n">
        <v>569000</v>
      </c>
      <c r="AF27">
        <f>INDEX(_统一战力!$B$2:$B$501,J27)</f>
        <v/>
      </c>
    </row>
    <row r="28" ht="25" customHeight="1">
      <c r="A28" s="27" t="inlineStr">
        <is>
          <t>当前关闭</t>
        </is>
      </c>
      <c r="B28" s="27" t="inlineStr">
        <is>
          <t>大秘境</t>
        </is>
      </c>
      <c r="C28" s="28" t="inlineStr">
        <is>
          <t>4环境共用</t>
        </is>
      </c>
      <c r="D28" s="28" t="inlineStr">
        <is>
          <t>第24层</t>
        </is>
      </c>
      <c r="E28" s="28" t="inlineStr">
        <is>
          <t>320024;320049;320074;320099</t>
        </is>
      </c>
      <c r="F28" s="27" t="inlineStr">
        <is>
          <t>普通怪</t>
        </is>
      </c>
      <c r="G28" s="37" t="n">
        <v>271</v>
      </c>
      <c r="H28" s="38" t="n"/>
      <c r="I28" s="39">
        <f>IF($H28="",$G28,$H28)</f>
        <v/>
      </c>
      <c r="J28" s="40" t="n">
        <v>297</v>
      </c>
      <c r="K28" s="72" t="n">
        <v>0.904349238860208</v>
      </c>
      <c r="L28" s="72" t="n">
        <v>1.29150814643165</v>
      </c>
      <c r="M28" s="72" t="n">
        <v>1</v>
      </c>
      <c r="N28" s="73" t="n"/>
      <c r="O28" s="73" t="n"/>
      <c r="P28" s="73" t="n"/>
      <c r="Q28" s="74">
        <f>IF($I28="","",IFERROR(INDEX(_玩家曲线!$H$2:$H$286,MATCH($I28,_玩家曲线!$A$2:$A$286,0)),""))</f>
        <v/>
      </c>
      <c r="R28" s="74">
        <f>IF($I28="","",IFERROR(INDEX(_玩家曲线!$I$2:$I$286,MATCH($I28,_玩家曲线!$A$2:$A$286,0)),""))</f>
        <v/>
      </c>
      <c r="S28" s="74">
        <f>IF(OR($J28="",$F28="不适用"),"",IFERROR(INDEX(_怪物模型!$D$2:$D$4501,(INT($J28)-1)*ROWS(_怪物类型!$A$2:$A$10)+MATCH($F28,_怪物类型!$A$2:$A$10,0))*IF($K28="",1,$K28),""))</f>
        <v/>
      </c>
      <c r="T28" s="74">
        <f>IF(OR($J28="",$F28="不适用"),"",IFERROR(INDEX(_怪物模型!$E$2:$E$4501,(INT($J28)-1)*ROWS(_怪物类型!$A$2:$A$10)+MATCH($F28,_怪物类型!$A$2:$A$10,0))*IF($L28="",1,$L28),""))</f>
        <v/>
      </c>
      <c r="U28" s="74">
        <f>IF(OR($J28="",$F28="不适用"),"",IFERROR(INDEX(_怪物模型!$F$2:$F$4501,(INT($J28)-1)*ROWS(_怪物类型!$A$2:$A$10)+MATCH($F28,_怪物类型!$A$2:$A$10,0))*IF($M28="",1,$M28),""))</f>
        <v/>
      </c>
      <c r="V28" s="75">
        <f>IF($U28="","",MIN(0.75,$U28/($U28+24000)))</f>
        <v/>
      </c>
      <c r="W28" s="76">
        <f>IF($S28="","",$S28/(1-$V28)*IF($N28="",1,$N28))</f>
        <v/>
      </c>
      <c r="X28" s="76">
        <f>IF(OR($W28="",$Q28="",$Q28=0),"",$W28/$Q28)</f>
        <v/>
      </c>
      <c r="Y28" s="76">
        <f>IF(OR($R28="",$T28="",$T28=0),"",$R28/($T28*IF($O28="",1,$O28)))</f>
        <v/>
      </c>
      <c r="Z28" s="77">
        <f>IF(OR($X28="",$P28="",$P28=0),"",$X28/$P28)</f>
        <v/>
      </c>
      <c r="AA28" s="27">
        <f>IF($J28="","待填怪物等级",IF(OR($I28="",$Q28=""),"待填对照关卡",IF($P28="","已计算",IF(AND($Y28&lt;&gt;"",$Y28&lt;$X28),"生存不成立",IF($Z28&lt;0.5,"碾压",IF($Z28&lt;0.8,"偏简单",IF($Z28&lt;=1.2,"适中",IF($Z28&lt;=1.5,"偏难","过难"))))))))</f>
        <v/>
      </c>
      <c r="AB28" s="27">
        <f>IF($J28="","待填",IF(AND(ISNUMBER($J28),$J28&gt;=1,$J28&lt;=500,MOD($J28,1)=0),"有效","超范围"))</f>
        <v/>
      </c>
      <c r="AC28" s="27">
        <f>IF(OR($J28="",ROW()=5,$B28&lt;&gt;$B27,$J27=""),"",IF($J28&lt;$J27,"下降",""))</f>
        <v/>
      </c>
      <c r="AD28" s="28" t="inlineStr">
        <is>
          <t>2026-08-27 新玩家节点曲线校准；对照S271；等级299→297；保留原难度定位。</t>
        </is>
      </c>
      <c r="AE28" t="n">
        <v>595000</v>
      </c>
      <c r="AF28">
        <f>INDEX(_统一战力!$B$2:$B$501,J28)</f>
        <v/>
      </c>
    </row>
    <row r="29" ht="25" customHeight="1">
      <c r="A29" s="27" t="inlineStr">
        <is>
          <t>当前关闭</t>
        </is>
      </c>
      <c r="B29" s="27" t="inlineStr">
        <is>
          <t>大秘境</t>
        </is>
      </c>
      <c r="C29" s="28" t="inlineStr">
        <is>
          <t>4环境共用</t>
        </is>
      </c>
      <c r="D29" s="28" t="inlineStr">
        <is>
          <t>第25层</t>
        </is>
      </c>
      <c r="E29" s="28" t="inlineStr">
        <is>
          <t>320025;320050;320075;320100</t>
        </is>
      </c>
      <c r="F29" s="27" t="inlineStr">
        <is>
          <t>普通怪</t>
        </is>
      </c>
      <c r="G29" s="37" t="n">
        <v>279</v>
      </c>
      <c r="H29" s="38" t="n"/>
      <c r="I29" s="39">
        <f>IF($H29="",$G29,$H29)</f>
        <v/>
      </c>
      <c r="J29" s="40" t="n">
        <v>302</v>
      </c>
      <c r="K29" s="72" t="n">
        <v>0.901352615473646</v>
      </c>
      <c r="L29" s="72" t="n">
        <v>1.29532433930881</v>
      </c>
      <c r="M29" s="72" t="n">
        <v>1</v>
      </c>
      <c r="N29" s="73" t="n"/>
      <c r="O29" s="73" t="n"/>
      <c r="P29" s="73" t="n"/>
      <c r="Q29" s="74">
        <f>IF($I29="","",IFERROR(INDEX(_玩家曲线!$H$2:$H$286,MATCH($I29,_玩家曲线!$A$2:$A$286,0)),""))</f>
        <v/>
      </c>
      <c r="R29" s="74">
        <f>IF($I29="","",IFERROR(INDEX(_玩家曲线!$I$2:$I$286,MATCH($I29,_玩家曲线!$A$2:$A$286,0)),""))</f>
        <v/>
      </c>
      <c r="S29" s="74">
        <f>IF(OR($J29="",$F29="不适用"),"",IFERROR(INDEX(_怪物模型!$D$2:$D$4501,(INT($J29)-1)*ROWS(_怪物类型!$A$2:$A$10)+MATCH($F29,_怪物类型!$A$2:$A$10,0))*IF($K29="",1,$K29),""))</f>
        <v/>
      </c>
      <c r="T29" s="74">
        <f>IF(OR($J29="",$F29="不适用"),"",IFERROR(INDEX(_怪物模型!$E$2:$E$4501,(INT($J29)-1)*ROWS(_怪物类型!$A$2:$A$10)+MATCH($F29,_怪物类型!$A$2:$A$10,0))*IF($L29="",1,$L29),""))</f>
        <v/>
      </c>
      <c r="U29" s="74">
        <f>IF(OR($J29="",$F29="不适用"),"",IFERROR(INDEX(_怪物模型!$F$2:$F$4501,(INT($J29)-1)*ROWS(_怪物类型!$A$2:$A$10)+MATCH($F29,_怪物类型!$A$2:$A$10,0))*IF($M29="",1,$M29),""))</f>
        <v/>
      </c>
      <c r="V29" s="75">
        <f>IF($U29="","",MIN(0.75,$U29/($U29+24000)))</f>
        <v/>
      </c>
      <c r="W29" s="76">
        <f>IF($S29="","",$S29/(1-$V29)*IF($N29="",1,$N29))</f>
        <v/>
      </c>
      <c r="X29" s="76">
        <f>IF(OR($W29="",$Q29="",$Q29=0),"",$W29/$Q29)</f>
        <v/>
      </c>
      <c r="Y29" s="76">
        <f>IF(OR($R29="",$T29="",$T29=0),"",$R29/($T29*IF($O29="",1,$O29)))</f>
        <v/>
      </c>
      <c r="Z29" s="77">
        <f>IF(OR($X29="",$P29="",$P29=0),"",$X29/$P29)</f>
        <v/>
      </c>
      <c r="AA29" s="27">
        <f>IF($J29="","待填怪物等级",IF(OR($I29="",$Q29=""),"待填对照关卡",IF($P29="","已计算",IF(AND($Y29&lt;&gt;"",$Y29&lt;$X29),"生存不成立",IF($Z29&lt;0.5,"碾压",IF($Z29&lt;0.8,"偏简单",IF($Z29&lt;=1.2,"适中",IF($Z29&lt;=1.5,"偏难","过难"))))))))</f>
        <v/>
      </c>
      <c r="AB29" s="27">
        <f>IF($J29="","待填",IF(AND(ISNUMBER($J29),$J29&gt;=1,$J29&lt;=500,MOD($J29,1)=0),"有效","超范围"))</f>
        <v/>
      </c>
      <c r="AC29" s="27">
        <f>IF(OR($J29="",ROW()=5,$B29&lt;&gt;$B28,$J28=""),"",IF($J29&lt;$J28,"下降",""))</f>
        <v/>
      </c>
      <c r="AD29" s="28" t="inlineStr">
        <is>
          <t>2026-08-27 新玩家节点曲线校准；对照S279；等级301→302；保留原难度定位。</t>
        </is>
      </c>
      <c r="AE29" t="n">
        <v>622000</v>
      </c>
      <c r="AF29">
        <f>INDEX(_统一战力!$B$2:$B$501,J29)</f>
        <v/>
      </c>
    </row>
  </sheetData>
  <mergeCells count="3">
    <mergeCell ref="A3:AD3"/>
    <mergeCell ref="A2:AD2"/>
    <mergeCell ref="A1:AD1"/>
  </mergeCells>
  <conditionalFormatting sqref="J5:J29">
    <cfRule type="expression" priority="1" dxfId="2">
      <formula>AND($A5&lt;&gt;"特殊：双方属性对算",$J5="")</formula>
    </cfRule>
  </conditionalFormatting>
  <conditionalFormatting sqref="AA5:AA29">
    <cfRule type="expression" priority="3" dxfId="0">
      <formula>$AA5="适中"</formula>
    </cfRule>
    <cfRule type="expression" priority="4" dxfId="3">
      <formula>$AA5="偏难"</formula>
    </cfRule>
    <cfRule type="expression" priority="5" dxfId="1">
      <formula>$AA5="过难"</formula>
    </cfRule>
    <cfRule type="expression" priority="6" dxfId="1">
      <formula>$AA5="生存不成立"</formula>
    </cfRule>
  </conditionalFormatting>
  <conditionalFormatting sqref="AB5:AB29">
    <cfRule type="expression" priority="2" dxfId="4">
      <formula>$AB5="超范围"</formula>
    </cfRule>
  </conditionalFormatting>
  <conditionalFormatting sqref="AC5:AC29">
    <cfRule type="expression" priority="7" dxfId="4">
      <formula>$AC5="下降"</formula>
    </cfRule>
  </conditionalFormatting>
  <dataValidations count="5">
    <dataValidation sqref="F5:F29" showDropDown="0" showInputMessage="0" showErrorMessage="0" allowBlank="0" type="list">
      <formula1>_字典!$A$2:$A$11</formula1>
    </dataValidation>
    <dataValidation sqref="H5:H29" showDropDown="0" showInputMessage="0" showErrorMessage="0" allowBlank="1" type="whole" operator="between">
      <formula1>1</formula1>
      <formula2>285</formula2>
    </dataValidation>
    <dataValidation sqref="J5:J29" showDropDown="0" showInputMessage="0" showErrorMessage="0" allowBlank="1" type="whole" operator="between">
      <formula1>1</formula1>
      <formula2>500</formula2>
    </dataValidation>
    <dataValidation sqref="P5:P29" showDropDown="0" showInputMessage="0" showErrorMessage="0" allowBlank="1" type="decimal" operator="between">
      <formula1>0.01</formula1>
      <formula2>3600</formula2>
    </dataValidation>
    <dataValidation sqref="K5:O29" showDropDown="0" showInputMessage="0" showErrorMessage="0" allowBlank="1" type="decimal" operator="between">
      <formula1>0</formula1>
      <formula2>100</formula2>
    </dataValidation>
  </dataValidations>
  <hyperlinks>
    <hyperlink xmlns:r="http://schemas.openxmlformats.org/officeDocument/2006/relationships" ref="A1" display="全玩法难度填写｜大秘境" r:id="rId1"/>
  </hyperlink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tabColor rgb="FF7F7F7F"/>
    <outlinePr summaryBelow="1" summaryRight="1"/>
    <pageSetUpPr/>
  </sheetPr>
  <dimension ref="A1:AD6"/>
  <sheetViews>
    <sheetView showGridLines="0" workbookViewId="0">
      <selection activeCell="A1" sqref="A1:AD1"/>
    </sheetView>
  </sheetViews>
  <sheetFormatPr baseColWidth="8" defaultColWidth="9" defaultRowHeight="13.5" outlineLevelRow="5"/>
  <cols>
    <col width="12" customWidth="1" min="1" max="1"/>
    <col width="13" customWidth="1" min="2" max="2"/>
    <col width="18" customWidth="1" min="3" max="3"/>
    <col width="15" customWidth="1" min="4" max="4"/>
    <col width="35" customWidth="1" min="5" max="5"/>
    <col width="14" customWidth="1" min="6" max="9"/>
    <col width="12" customWidth="1" min="10" max="10"/>
    <col width="11" customWidth="1" min="11" max="13"/>
    <col width="13" customWidth="1" min="14" max="15"/>
    <col width="12" customWidth="1" min="16" max="16"/>
    <col width="16" customWidth="1" min="17" max="21"/>
    <col width="12" customWidth="1" min="22" max="22"/>
    <col width="17" customWidth="1" min="23" max="23"/>
    <col width="14" customWidth="1" min="24" max="25"/>
    <col width="12" customWidth="1" min="26" max="26"/>
    <col width="15" customWidth="1" min="27" max="27"/>
    <col width="12" customWidth="1" min="28" max="29"/>
    <col width="46" customWidth="1" min="30" max="30"/>
  </cols>
  <sheetData>
    <row r="1" ht="34" customHeight="1">
      <c r="A1" s="23" t="inlineStr">
        <is>
          <t>全玩法难度填写｜PVPVE</t>
        </is>
      </c>
    </row>
    <row r="2" ht="30" customHeight="1">
      <c r="A2" s="24" t="inlineStr">
        <is>
          <t>当前页只维护【PVPVE】。默认只填黄色J列怪物等级；浅蓝输入区可选覆盖，点击标题返回玩法汇总。</t>
        </is>
      </c>
    </row>
    <row r="3" ht="14.25" customHeight="1">
      <c r="A3" s="25" t="inlineStr">
        <is>
          <t>公式口径：怪物实际属性=战斗公式标准模型×可选系数；怪物EHP=实际生命÷(1-防御减伤)×整关EHP倍率；TTK=怪物EHP÷玩家DPS。</t>
        </is>
      </c>
    </row>
    <row r="4" ht="36" customHeight="1">
      <c r="A4" s="26" t="inlineStr">
        <is>
          <t>状态</t>
        </is>
      </c>
      <c r="B4" s="26" t="inlineStr">
        <is>
          <t>玩法</t>
        </is>
      </c>
      <c r="C4" s="26" t="inlineStr">
        <is>
          <t>子玩法/共用范围</t>
        </is>
      </c>
      <c r="D4" s="26" t="inlineStr">
        <is>
          <t>节点名称</t>
        </is>
      </c>
      <c r="E4" s="26" t="inlineStr">
        <is>
          <t>LevelId/配置映射</t>
        </is>
      </c>
      <c r="F4" s="26" t="inlineStr">
        <is>
          <t>怪物类型</t>
        </is>
      </c>
      <c r="G4" s="26" t="inlineStr">
        <is>
          <t>默认对照关卡</t>
        </is>
      </c>
      <c r="H4" s="26" t="inlineStr">
        <is>
          <t>手动对照关卡</t>
        </is>
      </c>
      <c r="I4" s="26" t="inlineStr">
        <is>
          <t>实际对照关卡</t>
        </is>
      </c>
      <c r="J4" s="26" t="inlineStr">
        <is>
          <t>怪物等级</t>
        </is>
      </c>
      <c r="K4" s="26" t="inlineStr">
        <is>
          <t>生命系数</t>
        </is>
      </c>
      <c r="L4" s="26" t="inlineStr">
        <is>
          <t>攻击系数</t>
        </is>
      </c>
      <c r="M4" s="26" t="inlineStr">
        <is>
          <t>防御系数</t>
        </is>
      </c>
      <c r="N4" s="26" t="inlineStr">
        <is>
          <t>整关EHP倍率</t>
        </is>
      </c>
      <c r="O4" s="26" t="inlineStr">
        <is>
          <t>攻击压力倍率</t>
        </is>
      </c>
      <c r="P4" s="26" t="inlineStr">
        <is>
          <t>目标时间(s)</t>
        </is>
      </c>
      <c r="Q4" s="26" t="inlineStr">
        <is>
          <t>玩家DPS</t>
        </is>
      </c>
      <c r="R4" s="26" t="inlineStr">
        <is>
          <t>玩家队伍EHP</t>
        </is>
      </c>
      <c r="S4" s="26" t="inlineStr">
        <is>
          <t>怪物实际生命</t>
        </is>
      </c>
      <c r="T4" s="26" t="inlineStr">
        <is>
          <t>怪物实际攻击</t>
        </is>
      </c>
      <c r="U4" s="26" t="inlineStr">
        <is>
          <t>怪物实际防御</t>
        </is>
      </c>
      <c r="V4" s="26" t="inlineStr">
        <is>
          <t>怪物减伤率</t>
        </is>
      </c>
      <c r="W4" s="26" t="inlineStr">
        <is>
          <t>整关目标EHP</t>
        </is>
      </c>
      <c r="X4" s="26" t="inlineStr">
        <is>
          <t>预测TTK(s)</t>
        </is>
      </c>
      <c r="Y4" s="26" t="inlineStr">
        <is>
          <t>预测存活(s)</t>
        </is>
      </c>
      <c r="Z4" s="26" t="inlineStr">
        <is>
          <t>TTK/目标</t>
        </is>
      </c>
      <c r="AA4" s="26" t="inlineStr">
        <is>
          <t>难度判断</t>
        </is>
      </c>
      <c r="AB4" s="26" t="inlineStr">
        <is>
          <t>等级检查</t>
        </is>
      </c>
      <c r="AC4" s="26" t="inlineStr">
        <is>
          <t>等级趋势</t>
        </is>
      </c>
      <c r="AD4" s="26" t="inlineStr">
        <is>
          <t>备注</t>
        </is>
      </c>
    </row>
    <row r="5" ht="25" customHeight="1">
      <c r="A5" s="27" t="inlineStr">
        <is>
          <t>特殊：双方属性对算</t>
        </is>
      </c>
      <c r="B5" s="27" t="inlineStr">
        <is>
          <t>PVPVE</t>
        </is>
      </c>
      <c r="C5" s="28" t="inlineStr">
        <is>
          <t>属性对算</t>
        </is>
      </c>
      <c r="D5" s="28" t="inlineStr">
        <is>
          <t>竞技场场景1</t>
        </is>
      </c>
      <c r="E5" s="28" t="inlineStr">
        <is>
          <t>700000</t>
        </is>
      </c>
      <c r="F5" s="27" t="inlineStr">
        <is>
          <t>不适用</t>
        </is>
      </c>
      <c r="G5" s="29" t="n"/>
      <c r="H5" s="29" t="n"/>
      <c r="I5" s="30" t="n"/>
      <c r="J5" s="29" t="n"/>
      <c r="K5" s="78" t="n"/>
      <c r="L5" s="78" t="n"/>
      <c r="M5" s="78" t="n"/>
      <c r="N5" s="78" t="n"/>
      <c r="O5" s="78" t="n"/>
      <c r="P5" s="78" t="n"/>
      <c r="Q5" s="79" t="n"/>
      <c r="R5" s="79" t="n"/>
      <c r="S5" s="79">
        <f>IF(OR($J5="",$F5="不适用"),"",IFERROR(INDEX(_怪物模型!$D$2:$D$4501,(INT($J5)-1)*ROWS(_怪物类型!$A$2:$A$10)+MATCH($F5,_怪物类型!$A$2:$A$10,0))*IF($K5="",1,$K5),""))</f>
        <v/>
      </c>
      <c r="T5" s="79">
        <f>IF(OR($J5="",$F5="不适用"),"",IFERROR(INDEX(_怪物模型!$E$2:$E$4501,(INT($J5)-1)*ROWS(_怪物类型!$A$2:$A$10)+MATCH($F5,_怪物类型!$A$2:$A$10,0))*IF($L5="",1,$L5),""))</f>
        <v/>
      </c>
      <c r="U5" s="79">
        <f>IF(OR($J5="",$F5="不适用"),"",IFERROR(INDEX(_怪物模型!$F$2:$F$4501,(INT($J5)-1)*ROWS(_怪物类型!$A$2:$A$10)+MATCH($F5,_怪物类型!$A$2:$A$10,0))*IF($M5="",1,$M5),""))</f>
        <v/>
      </c>
      <c r="V5" s="80" t="n"/>
      <c r="W5" s="81" t="n"/>
      <c r="X5" s="81" t="n"/>
      <c r="Y5" s="81" t="n"/>
      <c r="Z5" s="82" t="n"/>
      <c r="AA5" s="36" t="n"/>
      <c r="AB5" s="36" t="n"/>
      <c r="AC5" s="36" t="n"/>
      <c r="AD5" s="28" t="inlineStr">
        <is>
          <t>不使用怪物等级；按双方属性生成对抗参数</t>
        </is>
      </c>
    </row>
    <row r="6" ht="25" customHeight="1">
      <c r="A6" s="27" t="inlineStr">
        <is>
          <t>特殊：双方属性对算</t>
        </is>
      </c>
      <c r="B6" s="27" t="inlineStr">
        <is>
          <t>PVPVE</t>
        </is>
      </c>
      <c r="C6" s="28" t="inlineStr">
        <is>
          <t>属性对算</t>
        </is>
      </c>
      <c r="D6" s="28" t="inlineStr">
        <is>
          <t>竞技场场景2</t>
        </is>
      </c>
      <c r="E6" s="28" t="inlineStr">
        <is>
          <t>700001</t>
        </is>
      </c>
      <c r="F6" s="27" t="inlineStr">
        <is>
          <t>不适用</t>
        </is>
      </c>
      <c r="G6" s="29" t="n"/>
      <c r="H6" s="29" t="n"/>
      <c r="I6" s="30" t="n"/>
      <c r="J6" s="29" t="n"/>
      <c r="K6" s="78" t="n"/>
      <c r="L6" s="78" t="n"/>
      <c r="M6" s="78" t="n"/>
      <c r="N6" s="78" t="n"/>
      <c r="O6" s="78" t="n"/>
      <c r="P6" s="78" t="n"/>
      <c r="Q6" s="79" t="n"/>
      <c r="R6" s="79" t="n"/>
      <c r="S6" s="79">
        <f>IF(OR($J6="",$F6="不适用"),"",IFERROR(INDEX(_怪物模型!$D$2:$D$4501,(INT($J6)-1)*ROWS(_怪物类型!$A$2:$A$10)+MATCH($F6,_怪物类型!$A$2:$A$10,0))*IF($K6="",1,$K6),""))</f>
        <v/>
      </c>
      <c r="T6" s="79">
        <f>IF(OR($J6="",$F6="不适用"),"",IFERROR(INDEX(_怪物模型!$E$2:$E$4501,(INT($J6)-1)*ROWS(_怪物类型!$A$2:$A$10)+MATCH($F6,_怪物类型!$A$2:$A$10,0))*IF($L6="",1,$L6),""))</f>
        <v/>
      </c>
      <c r="U6" s="79">
        <f>IF(OR($J6="",$F6="不适用"),"",IFERROR(INDEX(_怪物模型!$F$2:$F$4501,(INT($J6)-1)*ROWS(_怪物类型!$A$2:$A$10)+MATCH($F6,_怪物类型!$A$2:$A$10,0))*IF($M6="",1,$M6),""))</f>
        <v/>
      </c>
      <c r="V6" s="80" t="n"/>
      <c r="W6" s="81" t="n"/>
      <c r="X6" s="81" t="n"/>
      <c r="Y6" s="81" t="n"/>
      <c r="Z6" s="82" t="n"/>
      <c r="AA6" s="36" t="n"/>
      <c r="AB6" s="36" t="n"/>
      <c r="AC6" s="36" t="n"/>
      <c r="AD6" s="28" t="inlineStr">
        <is>
          <t>不使用怪物等级；按双方属性生成对抗参数</t>
        </is>
      </c>
    </row>
  </sheetData>
  <mergeCells count="3">
    <mergeCell ref="A3:AD3"/>
    <mergeCell ref="A2:AD2"/>
    <mergeCell ref="A1:AD1"/>
  </mergeCells>
  <conditionalFormatting sqref="J5:J6">
    <cfRule type="expression" priority="1" dxfId="2">
      <formula>AND($A5&lt;&gt;"特殊：双方属性对算",$J5="")</formula>
    </cfRule>
  </conditionalFormatting>
  <conditionalFormatting sqref="AA5:AA6">
    <cfRule type="expression" priority="3" dxfId="0">
      <formula>$AA5="适中"</formula>
    </cfRule>
    <cfRule type="expression" priority="4" dxfId="3">
      <formula>$AA5="偏难"</formula>
    </cfRule>
    <cfRule type="expression" priority="5" dxfId="1">
      <formula>$AA5="过难"</formula>
    </cfRule>
    <cfRule type="expression" priority="6" dxfId="1">
      <formula>$AA5="生存不成立"</formula>
    </cfRule>
  </conditionalFormatting>
  <conditionalFormatting sqref="AB5:AB6">
    <cfRule type="expression" priority="2" dxfId="4">
      <formula>$AB5="超范围"</formula>
    </cfRule>
  </conditionalFormatting>
  <conditionalFormatting sqref="AC5:AC6">
    <cfRule type="expression" priority="7" dxfId="4">
      <formula>$AC5="下降"</formula>
    </cfRule>
  </conditionalFormatting>
  <dataValidations count="5">
    <dataValidation sqref="F5:F6" showDropDown="0" showInputMessage="0" showErrorMessage="0" allowBlank="0" type="list">
      <formula1>_字典!$A$2:$A$11</formula1>
    </dataValidation>
    <dataValidation sqref="H5:H6" showDropDown="0" showInputMessage="0" showErrorMessage="0" allowBlank="1" type="whole" operator="between">
      <formula1>1</formula1>
      <formula2>285</formula2>
    </dataValidation>
    <dataValidation sqref="J5:J6" showDropDown="0" showInputMessage="0" showErrorMessage="0" allowBlank="1" type="whole" operator="between">
      <formula1>1</formula1>
      <formula2>500</formula2>
    </dataValidation>
    <dataValidation sqref="P5:P6" showDropDown="0" showInputMessage="0" showErrorMessage="0" allowBlank="1" type="decimal" operator="between">
      <formula1>0.01</formula1>
      <formula2>3600</formula2>
    </dataValidation>
    <dataValidation sqref="K5:O6" showDropDown="0" showInputMessage="0" showErrorMessage="0" allowBlank="1" type="decimal" operator="between">
      <formula1>0</formula1>
      <formula2>100</formula2>
    </dataValidation>
  </dataValidations>
  <hyperlinks>
    <hyperlink xmlns:r="http://schemas.openxmlformats.org/officeDocument/2006/relationships" ref="A1" display="全玩法难度填写｜PVPVE" r:id="rId1"/>
  </hyperlink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280"/>
  <sheetViews>
    <sheetView workbookViewId="0">
      <selection activeCell="A1" sqref="A1"/>
    </sheetView>
  </sheetViews>
  <sheetFormatPr baseColWidth="8" defaultColWidth="9" defaultRowHeight="13.5"/>
  <sheetData>
    <row r="1" ht="15" customHeight="1">
      <c r="A1" s="22" t="inlineStr">
        <is>
          <t>关卡序号</t>
        </is>
      </c>
      <c r="B1" s="22" t="inlineStr">
        <is>
          <t>玩家等级</t>
        </is>
      </c>
      <c r="C1" s="22" t="inlineStr">
        <is>
          <t>章节</t>
        </is>
      </c>
      <c r="D1" s="22" t="inlineStr">
        <is>
          <t>章内关卡</t>
        </is>
      </c>
      <c r="E1" s="22" t="inlineStr">
        <is>
          <t>上阵人数</t>
        </is>
      </c>
      <c r="F1" s="22" t="inlineStr">
        <is>
          <t>最终攻击</t>
        </is>
      </c>
      <c r="G1" s="22" t="inlineStr">
        <is>
          <t>最终防御</t>
        </is>
      </c>
      <c r="H1" s="22" t="inlineStr">
        <is>
          <t>玩家DPS</t>
        </is>
      </c>
      <c r="I1" s="22" t="inlineStr">
        <is>
          <t>玩家队伍EHP</t>
        </is>
      </c>
      <c r="J1" s="22" t="inlineStr">
        <is>
          <t>Boss目标TTK</t>
        </is>
      </c>
      <c r="K1" s="22" t="inlineStr">
        <is>
          <t>等价怪物等级</t>
        </is>
      </c>
    </row>
    <row r="2">
      <c r="A2" t="n">
        <v>1</v>
      </c>
      <c r="B2" t="n">
        <v>1</v>
      </c>
      <c r="C2" t="n">
        <v>0</v>
      </c>
      <c r="D2" t="n">
        <v>1</v>
      </c>
      <c r="E2" t="n">
        <v>1</v>
      </c>
      <c r="F2" t="n">
        <v>1500</v>
      </c>
      <c r="G2" t="n">
        <v>1000</v>
      </c>
      <c r="H2" t="n">
        <v>1535.625</v>
      </c>
      <c r="I2" t="n">
        <v>5208.33333333333</v>
      </c>
      <c r="J2" t="n">
        <v>35</v>
      </c>
      <c r="K2" t="n">
        <v>5</v>
      </c>
    </row>
    <row r="3">
      <c r="A3" t="n">
        <v>2</v>
      </c>
      <c r="B3" t="n">
        <v>2</v>
      </c>
      <c r="C3" t="n">
        <v>0</v>
      </c>
      <c r="D3" t="n">
        <v>2</v>
      </c>
      <c r="E3" t="n">
        <v>1</v>
      </c>
      <c r="F3" t="n">
        <v>1597.93729098783</v>
      </c>
      <c r="G3" t="n">
        <v>1065.29152732522</v>
      </c>
      <c r="H3" t="n">
        <v>1635.88830164879</v>
      </c>
      <c r="I3" t="n">
        <v>5562.88389458253</v>
      </c>
      <c r="J3" t="n">
        <v>35.0134246399219</v>
      </c>
      <c r="K3" t="n">
        <v>5</v>
      </c>
    </row>
    <row r="4">
      <c r="A4" t="n">
        <v>3</v>
      </c>
      <c r="B4" t="n">
        <v>3</v>
      </c>
      <c r="C4" t="n">
        <v>0</v>
      </c>
      <c r="D4" t="n">
        <v>3</v>
      </c>
      <c r="E4" t="n">
        <v>2</v>
      </c>
      <c r="F4" t="n">
        <v>1695.87458197565</v>
      </c>
      <c r="G4" t="n">
        <v>1130.58305465044</v>
      </c>
      <c r="H4" t="n">
        <v>2170.18950412197</v>
      </c>
      <c r="I4" t="n">
        <v>7399.01337371697</v>
      </c>
      <c r="J4" t="n">
        <v>35.026983526243</v>
      </c>
      <c r="K4" t="n">
        <v>7</v>
      </c>
    </row>
    <row r="5">
      <c r="A5" t="n">
        <v>4</v>
      </c>
      <c r="B5" t="n">
        <v>4</v>
      </c>
      <c r="C5" t="n">
        <v>0</v>
      </c>
      <c r="D5" t="n">
        <v>4</v>
      </c>
      <c r="E5" t="n">
        <v>2</v>
      </c>
      <c r="F5" t="n">
        <v>1791.61383451839</v>
      </c>
      <c r="G5" t="n">
        <v>1194.40922301226</v>
      </c>
      <c r="H5" t="n">
        <v>2751.2469946323</v>
      </c>
      <c r="I5" t="n">
        <v>9403.885857597181</v>
      </c>
      <c r="J5" t="n">
        <v>35.0406780014273</v>
      </c>
      <c r="K5" t="n">
        <v>9</v>
      </c>
    </row>
    <row r="6">
      <c r="A6" t="n">
        <v>5</v>
      </c>
      <c r="B6" t="n">
        <v>5</v>
      </c>
      <c r="C6" t="n">
        <v>1</v>
      </c>
      <c r="D6" t="n">
        <v>1</v>
      </c>
      <c r="E6" t="n">
        <v>2</v>
      </c>
      <c r="F6" t="n">
        <v>1885.91699827298</v>
      </c>
      <c r="G6" t="n">
        <v>1257.27799884866</v>
      </c>
      <c r="H6" t="n">
        <v>3378.73817221844</v>
      </c>
      <c r="I6" t="n">
        <v>11577.4968526717</v>
      </c>
      <c r="J6" t="n">
        <v>35.0545094213634</v>
      </c>
      <c r="K6" t="n">
        <v>10</v>
      </c>
    </row>
    <row r="7">
      <c r="A7" t="n">
        <v>6</v>
      </c>
      <c r="B7" t="n">
        <v>6</v>
      </c>
      <c r="C7" t="n">
        <v>1</v>
      </c>
      <c r="D7" t="n">
        <v>2</v>
      </c>
      <c r="E7" t="n">
        <v>2</v>
      </c>
      <c r="F7" t="n">
        <v>1978.80561457126</v>
      </c>
      <c r="G7" t="n">
        <v>1319.20374304751</v>
      </c>
      <c r="H7" t="n">
        <v>4051.60449583466</v>
      </c>
      <c r="I7" t="n">
        <v>13917.1618120045</v>
      </c>
      <c r="J7" t="n">
        <v>35.0684791554989</v>
      </c>
      <c r="K7" t="n">
        <v>12</v>
      </c>
    </row>
    <row r="8">
      <c r="A8" t="n">
        <v>7</v>
      </c>
      <c r="B8" t="n">
        <v>6</v>
      </c>
      <c r="C8" t="n">
        <v>1</v>
      </c>
      <c r="D8" t="n">
        <v>3</v>
      </c>
      <c r="E8" t="n">
        <v>3</v>
      </c>
      <c r="F8" t="n">
        <v>2070.30090162506</v>
      </c>
      <c r="G8" t="n">
        <v>1380.20060108337</v>
      </c>
      <c r="H8" t="n">
        <v>4945.43127875686</v>
      </c>
      <c r="I8" t="n">
        <v>17028.3595053211</v>
      </c>
      <c r="J8" t="n">
        <v>35.0825885869758</v>
      </c>
      <c r="K8" t="n">
        <v>14</v>
      </c>
    </row>
    <row r="9">
      <c r="A9" t="n">
        <v>8</v>
      </c>
      <c r="B9" t="n">
        <v>7</v>
      </c>
      <c r="C9" t="n">
        <v>1</v>
      </c>
      <c r="D9" t="n">
        <v>4</v>
      </c>
      <c r="E9" t="n">
        <v>3</v>
      </c>
      <c r="F9" t="n">
        <v>2159.74783793994</v>
      </c>
      <c r="G9" t="n">
        <v>1439.83189195996</v>
      </c>
      <c r="H9" t="n">
        <v>5896.11159757605</v>
      </c>
      <c r="I9" t="n">
        <v>20349.4896023023</v>
      </c>
      <c r="J9" t="n">
        <v>35.0968391127674</v>
      </c>
      <c r="K9" t="n">
        <v>17</v>
      </c>
    </row>
    <row r="10">
      <c r="A10" t="n">
        <v>9</v>
      </c>
      <c r="B10" t="n">
        <v>8</v>
      </c>
      <c r="C10" t="n">
        <v>1</v>
      </c>
      <c r="D10" t="n">
        <v>5</v>
      </c>
      <c r="E10" t="n">
        <v>3</v>
      </c>
      <c r="F10" t="n">
        <v>2249.19477425483</v>
      </c>
      <c r="G10" t="n">
        <v>1499.46318283655</v>
      </c>
      <c r="H10" t="n">
        <v>6907.83945043014</v>
      </c>
      <c r="I10" t="n">
        <v>23897.1913904747</v>
      </c>
      <c r="J10" t="n">
        <v>35.1112321438169</v>
      </c>
      <c r="K10" t="n">
        <v>19</v>
      </c>
    </row>
    <row r="11">
      <c r="A11" t="n">
        <v>10</v>
      </c>
      <c r="B11" t="n">
        <v>9</v>
      </c>
      <c r="C11" t="n">
        <v>1</v>
      </c>
      <c r="D11" t="n">
        <v>6</v>
      </c>
      <c r="E11" t="n">
        <v>4</v>
      </c>
      <c r="F11" t="n">
        <v>2336.63422391338</v>
      </c>
      <c r="G11" t="n">
        <v>1557.75614927559</v>
      </c>
      <c r="H11" t="n">
        <v>7654.81371754023</v>
      </c>
      <c r="I11" t="n">
        <v>26541.83453548</v>
      </c>
      <c r="J11" t="n">
        <v>35.125769105177</v>
      </c>
      <c r="K11" t="n">
        <v>21</v>
      </c>
    </row>
    <row r="12">
      <c r="A12" t="n">
        <v>11</v>
      </c>
      <c r="B12" t="n">
        <v>10</v>
      </c>
      <c r="C12" t="n">
        <v>1</v>
      </c>
      <c r="D12" t="n">
        <v>7</v>
      </c>
      <c r="E12" t="n">
        <v>4</v>
      </c>
      <c r="F12" t="n">
        <v>2422.11612289269</v>
      </c>
      <c r="G12" t="n">
        <v>1614.74408192846</v>
      </c>
      <c r="H12" t="n">
        <v>8430.780694758751</v>
      </c>
      <c r="I12" t="n">
        <v>29297.5566282877</v>
      </c>
      <c r="J12" t="n">
        <v>35.1404514361506</v>
      </c>
      <c r="K12" t="n">
        <v>23</v>
      </c>
    </row>
    <row r="13">
      <c r="A13" t="n">
        <v>12</v>
      </c>
      <c r="B13" t="n">
        <v>10</v>
      </c>
      <c r="C13" t="n">
        <v>1</v>
      </c>
      <c r="D13" t="n">
        <v>8</v>
      </c>
      <c r="E13" t="n">
        <v>4</v>
      </c>
      <c r="F13" t="n">
        <v>2507.59802187201</v>
      </c>
      <c r="G13" t="n">
        <v>1671.73201458134</v>
      </c>
      <c r="H13" t="n">
        <v>9241.7525096093</v>
      </c>
      <c r="I13" t="n">
        <v>32187.1922088963</v>
      </c>
      <c r="J13" t="n">
        <v>35.155280590434</v>
      </c>
      <c r="K13" t="n">
        <v>24</v>
      </c>
    </row>
    <row r="14">
      <c r="A14" t="n">
        <v>13</v>
      </c>
      <c r="B14" t="n">
        <v>11</v>
      </c>
      <c r="C14" t="n">
        <v>2</v>
      </c>
      <c r="D14" t="n">
        <v>1</v>
      </c>
      <c r="E14" t="n">
        <v>4</v>
      </c>
      <c r="F14" t="n">
        <v>2591.1614228163</v>
      </c>
      <c r="G14" t="n">
        <v>1727.4409485442</v>
      </c>
      <c r="H14" t="n">
        <v>10080.2657251111</v>
      </c>
      <c r="I14" t="n">
        <v>35183.7527049831</v>
      </c>
      <c r="J14" t="n">
        <v>35.1702580362602</v>
      </c>
      <c r="K14" t="n">
        <v>26</v>
      </c>
    </row>
    <row r="15">
      <c r="A15" t="n">
        <v>14</v>
      </c>
      <c r="B15" t="n">
        <v>12</v>
      </c>
      <c r="C15" t="n">
        <v>2</v>
      </c>
      <c r="D15" t="n">
        <v>2</v>
      </c>
      <c r="E15" t="n">
        <v>4</v>
      </c>
      <c r="F15" t="n">
        <v>2673.47137274642</v>
      </c>
      <c r="G15" t="n">
        <v>1782.31424849762</v>
      </c>
      <c r="H15" t="n">
        <v>10947.8652713966</v>
      </c>
      <c r="I15" t="n">
        <v>38293.4883702837</v>
      </c>
      <c r="J15" t="n">
        <v>35.1853852565447</v>
      </c>
      <c r="K15" t="n">
        <v>28</v>
      </c>
    </row>
    <row r="16">
      <c r="A16" t="n">
        <v>15</v>
      </c>
      <c r="B16" t="n">
        <v>13</v>
      </c>
      <c r="C16" t="n">
        <v>2</v>
      </c>
      <c r="D16" t="n">
        <v>3</v>
      </c>
      <c r="E16" t="n">
        <v>4</v>
      </c>
      <c r="F16" t="n">
        <v>2770.75640543898</v>
      </c>
      <c r="G16" t="n">
        <v>1847.17093695932</v>
      </c>
      <c r="H16" t="n">
        <v>11554.7916589384</v>
      </c>
      <c r="I16" t="n">
        <v>40054.7709950847</v>
      </c>
      <c r="J16" t="n">
        <v>35.200663749032</v>
      </c>
      <c r="K16" t="n">
        <v>29</v>
      </c>
    </row>
    <row r="17">
      <c r="A17" t="n">
        <v>16</v>
      </c>
      <c r="B17" t="n">
        <v>13</v>
      </c>
      <c r="C17" t="n">
        <v>2</v>
      </c>
      <c r="D17" t="n">
        <v>4</v>
      </c>
      <c r="E17" t="n">
        <v>4</v>
      </c>
      <c r="F17" t="n">
        <v>2985.79353076356</v>
      </c>
      <c r="G17" t="n">
        <v>1990.52902050904</v>
      </c>
      <c r="H17" t="n">
        <v>12729.4716557661</v>
      </c>
      <c r="I17" t="n">
        <v>43361.3035091893</v>
      </c>
      <c r="J17" t="n">
        <v>35.2160950264442</v>
      </c>
      <c r="K17" t="n">
        <v>31</v>
      </c>
    </row>
    <row r="18">
      <c r="A18" t="n">
        <v>17</v>
      </c>
      <c r="B18" t="n">
        <v>13</v>
      </c>
      <c r="C18" t="n">
        <v>2</v>
      </c>
      <c r="D18" t="n">
        <v>5</v>
      </c>
      <c r="E18" t="n">
        <v>4</v>
      </c>
      <c r="F18" t="n">
        <v>3202.78504064886</v>
      </c>
      <c r="G18" t="n">
        <v>2135.19002709924</v>
      </c>
      <c r="H18" t="n">
        <v>13957.0878273227</v>
      </c>
      <c r="I18" t="n">
        <v>46731.0163987609</v>
      </c>
      <c r="J18" t="n">
        <v>35.2316806166305</v>
      </c>
      <c r="K18" t="n">
        <v>33</v>
      </c>
    </row>
    <row r="19">
      <c r="A19" t="n">
        <v>18</v>
      </c>
      <c r="B19" t="n">
        <v>14</v>
      </c>
      <c r="C19" t="n">
        <v>2</v>
      </c>
      <c r="D19" t="n">
        <v>6</v>
      </c>
      <c r="E19" t="n">
        <v>4</v>
      </c>
      <c r="F19" t="n">
        <v>3421.73093509487</v>
      </c>
      <c r="G19" t="n">
        <v>2281.15395672991</v>
      </c>
      <c r="H19" t="n">
        <v>15239.1437306135</v>
      </c>
      <c r="I19" t="n">
        <v>50164.8230046736</v>
      </c>
      <c r="J19" t="n">
        <v>35.2474220627186</v>
      </c>
      <c r="K19" t="n">
        <v>35</v>
      </c>
    </row>
    <row r="20">
      <c r="A20" t="n">
        <v>19</v>
      </c>
      <c r="B20" t="n">
        <v>14</v>
      </c>
      <c r="C20" t="n">
        <v>2</v>
      </c>
      <c r="D20" t="n">
        <v>7</v>
      </c>
      <c r="E20" t="n">
        <v>4</v>
      </c>
      <c r="F20" t="n">
        <v>3642.63121410159</v>
      </c>
      <c r="G20" t="n">
        <v>2428.42080940106</v>
      </c>
      <c r="H20" t="n">
        <v>16577.1744599968</v>
      </c>
      <c r="I20" t="n">
        <v>53663.6446921413</v>
      </c>
      <c r="J20" t="n">
        <v>35.2633209232677</v>
      </c>
      <c r="K20" t="n">
        <v>37</v>
      </c>
    </row>
    <row r="21">
      <c r="A21" t="n">
        <v>20</v>
      </c>
      <c r="B21" t="n">
        <v>15</v>
      </c>
      <c r="C21" t="n">
        <v>2</v>
      </c>
      <c r="D21" t="n">
        <v>8</v>
      </c>
      <c r="E21" t="n">
        <v>5</v>
      </c>
      <c r="F21" t="n">
        <v>3865.48587766903</v>
      </c>
      <c r="G21" t="n">
        <v>2576.99058511268</v>
      </c>
      <c r="H21" t="n">
        <v>18422.0658556409</v>
      </c>
      <c r="I21" t="n">
        <v>58659.1211219852</v>
      </c>
      <c r="J21" t="n">
        <v>35.2793787724222</v>
      </c>
      <c r="K21" t="n">
        <v>40</v>
      </c>
    </row>
    <row r="22">
      <c r="A22" t="n">
        <v>21</v>
      </c>
      <c r="B22" t="n">
        <v>15</v>
      </c>
      <c r="C22" t="n">
        <v>2</v>
      </c>
      <c r="D22" t="n">
        <v>9</v>
      </c>
      <c r="E22" t="n">
        <v>5</v>
      </c>
      <c r="F22" t="n">
        <v>4072.42560243131</v>
      </c>
      <c r="G22" t="n">
        <v>2714.95040162087</v>
      </c>
      <c r="H22" t="n">
        <v>20272.2134954798</v>
      </c>
      <c r="I22" t="n">
        <v>63598.9013580518</v>
      </c>
      <c r="J22" t="n">
        <v>35.2955972000683</v>
      </c>
      <c r="K22" t="n">
        <v>43</v>
      </c>
    </row>
    <row r="23">
      <c r="A23" t="n">
        <v>22</v>
      </c>
      <c r="B23" t="n">
        <v>15</v>
      </c>
      <c r="C23" t="n">
        <v>2</v>
      </c>
      <c r="D23" t="n">
        <v>10</v>
      </c>
      <c r="E23" t="n">
        <v>5</v>
      </c>
      <c r="F23" t="n">
        <v>4281.03213966342</v>
      </c>
      <c r="G23" t="n">
        <v>2854.02142644228</v>
      </c>
      <c r="H23" t="n">
        <v>22243.9427367402</v>
      </c>
      <c r="I23" t="n">
        <v>68767.70361748731</v>
      </c>
      <c r="J23" t="n">
        <v>35.3119778119909</v>
      </c>
      <c r="K23" t="n">
        <v>45</v>
      </c>
    </row>
    <row r="24">
      <c r="A24" t="n">
        <v>23</v>
      </c>
      <c r="B24" t="n">
        <v>16</v>
      </c>
      <c r="C24" t="n">
        <v>2</v>
      </c>
      <c r="D24" t="n">
        <v>11</v>
      </c>
      <c r="E24" t="n">
        <v>5</v>
      </c>
      <c r="F24" t="n">
        <v>4491.30548936536</v>
      </c>
      <c r="G24" t="n">
        <v>2994.20365957691</v>
      </c>
      <c r="H24" t="n">
        <v>24342.4922848202</v>
      </c>
      <c r="I24" t="n">
        <v>74170.6710651302</v>
      </c>
      <c r="J24" t="n">
        <v>35.3285222300327</v>
      </c>
      <c r="K24" t="n">
        <v>48</v>
      </c>
    </row>
    <row r="25">
      <c r="A25" t="n">
        <v>24</v>
      </c>
      <c r="B25" t="n">
        <v>16</v>
      </c>
      <c r="C25" t="n">
        <v>2</v>
      </c>
      <c r="D25" t="n">
        <v>12</v>
      </c>
      <c r="E25" t="n">
        <v>5</v>
      </c>
      <c r="F25" t="n">
        <v>4703.24565153712</v>
      </c>
      <c r="G25" t="n">
        <v>3135.49710102475</v>
      </c>
      <c r="H25" t="n">
        <v>26573.2561562461</v>
      </c>
      <c r="I25" t="n">
        <v>79813.0282432992</v>
      </c>
      <c r="J25" t="n">
        <v>35.3452320922549</v>
      </c>
      <c r="K25" t="n">
        <v>50</v>
      </c>
    </row>
    <row r="26">
      <c r="A26" t="n">
        <v>25</v>
      </c>
      <c r="B26" t="n">
        <v>17</v>
      </c>
      <c r="C26" t="n">
        <v>3</v>
      </c>
      <c r="D26" t="n">
        <v>1</v>
      </c>
      <c r="E26" t="n">
        <v>5</v>
      </c>
      <c r="F26" t="n">
        <v>4816.45759838054</v>
      </c>
      <c r="G26" t="n">
        <v>3210.9717322537</v>
      </c>
      <c r="H26" t="n">
        <v>28151.9107154301</v>
      </c>
      <c r="I26" t="n">
        <v>83890.0209961095</v>
      </c>
      <c r="J26" t="n">
        <v>35.3621090530993</v>
      </c>
      <c r="K26" t="n">
        <v>52</v>
      </c>
    </row>
    <row r="27">
      <c r="A27" t="n">
        <v>26</v>
      </c>
      <c r="B27" t="n">
        <v>17</v>
      </c>
      <c r="C27" t="n">
        <v>3</v>
      </c>
      <c r="D27" t="n">
        <v>2</v>
      </c>
      <c r="E27" t="n">
        <v>5</v>
      </c>
      <c r="F27" t="n">
        <v>4927.08073527648</v>
      </c>
      <c r="G27" t="n">
        <v>3284.72049018432</v>
      </c>
      <c r="H27" t="n">
        <v>29761.1521947349</v>
      </c>
      <c r="I27" t="n">
        <v>88019.0522964827</v>
      </c>
      <c r="J27" t="n">
        <v>35.3791547835521</v>
      </c>
      <c r="K27" t="n">
        <v>54</v>
      </c>
    </row>
    <row r="28">
      <c r="A28" t="n">
        <v>27</v>
      </c>
      <c r="B28" t="n">
        <v>17</v>
      </c>
      <c r="C28" t="n">
        <v>3</v>
      </c>
      <c r="D28" t="n">
        <v>3</v>
      </c>
      <c r="E28" t="n">
        <v>5</v>
      </c>
      <c r="F28" t="n">
        <v>5038.28613890109</v>
      </c>
      <c r="G28" t="n">
        <v>3358.85742593406</v>
      </c>
      <c r="H28" t="n">
        <v>31434.3368316531</v>
      </c>
      <c r="I28" t="n">
        <v>92272.4866090822</v>
      </c>
      <c r="J28" t="n">
        <v>35.3963709713095</v>
      </c>
      <c r="K28" t="n">
        <v>55</v>
      </c>
    </row>
    <row r="29">
      <c r="A29" t="n">
        <v>28</v>
      </c>
      <c r="B29" t="n">
        <v>18</v>
      </c>
      <c r="C29" t="n">
        <v>3</v>
      </c>
      <c r="D29" t="n">
        <v>4</v>
      </c>
      <c r="E29" t="n">
        <v>5</v>
      </c>
      <c r="F29" t="n">
        <v>5150.07380925438</v>
      </c>
      <c r="G29" t="n">
        <v>3433.38253950292</v>
      </c>
      <c r="H29" t="n">
        <v>33173.1132173505</v>
      </c>
      <c r="I29" t="n">
        <v>96652.17318935911</v>
      </c>
      <c r="J29" t="n">
        <v>35.4137593209445</v>
      </c>
      <c r="K29" t="n">
        <v>57</v>
      </c>
    </row>
    <row r="30">
      <c r="A30" t="n">
        <v>29</v>
      </c>
      <c r="B30" t="n">
        <v>18</v>
      </c>
      <c r="C30" t="n">
        <v>3</v>
      </c>
      <c r="D30" t="n">
        <v>5</v>
      </c>
      <c r="E30" t="n">
        <v>5</v>
      </c>
      <c r="F30" t="n">
        <v>5262.44374633635</v>
      </c>
      <c r="G30" t="n">
        <v>3508.2958308909</v>
      </c>
      <c r="H30" t="n">
        <v>34979.1578961386</v>
      </c>
      <c r="I30" t="n">
        <v>101159.979251687</v>
      </c>
      <c r="J30" t="n">
        <v>35.4313215540758</v>
      </c>
      <c r="K30" t="n">
        <v>59</v>
      </c>
    </row>
    <row r="31">
      <c r="A31" t="n">
        <v>30</v>
      </c>
      <c r="B31" t="n">
        <v>19</v>
      </c>
      <c r="C31" t="n">
        <v>3</v>
      </c>
      <c r="D31" t="n">
        <v>6</v>
      </c>
      <c r="E31" t="n">
        <v>5</v>
      </c>
      <c r="F31" t="n">
        <v>5372.60765547397</v>
      </c>
      <c r="G31" t="n">
        <v>3581.73843698265</v>
      </c>
      <c r="H31" t="n">
        <v>36095.8982350441</v>
      </c>
      <c r="I31" t="n">
        <v>103648.571416605</v>
      </c>
      <c r="J31" t="n">
        <v>35.4490594095384</v>
      </c>
      <c r="K31" t="n">
        <v>60</v>
      </c>
    </row>
    <row r="32">
      <c r="A32" t="n">
        <v>31</v>
      </c>
      <c r="B32" t="n">
        <v>19</v>
      </c>
      <c r="C32" t="n">
        <v>3</v>
      </c>
      <c r="D32" t="n">
        <v>7</v>
      </c>
      <c r="E32" t="n">
        <v>5</v>
      </c>
      <c r="F32" t="n">
        <v>5579.60320629262</v>
      </c>
      <c r="G32" t="n">
        <v>3719.73547086175</v>
      </c>
      <c r="H32" t="n">
        <v>38109.7223997486</v>
      </c>
      <c r="I32" t="n">
        <v>108222.241635925</v>
      </c>
      <c r="J32" t="n">
        <v>35.4669746435557</v>
      </c>
      <c r="K32" t="n">
        <v>62</v>
      </c>
    </row>
    <row r="33">
      <c r="A33" t="n">
        <v>32</v>
      </c>
      <c r="B33" t="n">
        <v>19</v>
      </c>
      <c r="C33" t="n">
        <v>3</v>
      </c>
      <c r="D33" t="n">
        <v>8</v>
      </c>
      <c r="E33" t="n">
        <v>5</v>
      </c>
      <c r="F33" t="n">
        <v>5787.91956333222</v>
      </c>
      <c r="G33" t="n">
        <v>3858.61304222148</v>
      </c>
      <c r="H33" t="n">
        <v>40188.015975026</v>
      </c>
      <c r="I33" t="n">
        <v>112891.038669981</v>
      </c>
      <c r="J33" t="n">
        <v>35.4850690299131</v>
      </c>
      <c r="K33" t="n">
        <v>63</v>
      </c>
    </row>
    <row r="34">
      <c r="A34" t="n">
        <v>33</v>
      </c>
      <c r="B34" t="n">
        <v>20</v>
      </c>
      <c r="C34" t="n">
        <v>3</v>
      </c>
      <c r="D34" t="n">
        <v>9</v>
      </c>
      <c r="E34" t="n">
        <v>5</v>
      </c>
      <c r="F34" t="n">
        <v>5997.55672659277</v>
      </c>
      <c r="G34" t="n">
        <v>3998.37115106184</v>
      </c>
      <c r="H34" t="n">
        <v>42332.3252975087</v>
      </c>
      <c r="I34" t="n">
        <v>117656.323591464</v>
      </c>
      <c r="J34" t="n">
        <v>35.5033443601341</v>
      </c>
      <c r="K34" t="n">
        <v>65</v>
      </c>
    </row>
    <row r="35">
      <c r="A35" t="n">
        <v>34</v>
      </c>
      <c r="B35" t="n">
        <v>20</v>
      </c>
      <c r="C35" t="n">
        <v>3</v>
      </c>
      <c r="D35" t="n">
        <v>10</v>
      </c>
      <c r="E35" t="n">
        <v>5</v>
      </c>
      <c r="F35" t="n">
        <v>6208.51469607426</v>
      </c>
      <c r="G35" t="n">
        <v>4139.00979738284</v>
      </c>
      <c r="H35" t="n">
        <v>44544.2269978621</v>
      </c>
      <c r="I35" t="n">
        <v>122519.471284752</v>
      </c>
      <c r="J35" t="n">
        <v>35.5218024436573</v>
      </c>
      <c r="K35" t="n">
        <v>67</v>
      </c>
    </row>
    <row r="36">
      <c r="A36" t="n">
        <v>35</v>
      </c>
      <c r="B36" t="n">
        <v>20</v>
      </c>
      <c r="C36" t="n">
        <v>3</v>
      </c>
      <c r="D36" t="n">
        <v>11</v>
      </c>
      <c r="E36" t="n">
        <v>5</v>
      </c>
      <c r="F36" t="n">
        <v>6428.33995496727</v>
      </c>
      <c r="G36" t="n">
        <v>4285.55996997818</v>
      </c>
      <c r="H36" t="n">
        <v>46881.9910589673</v>
      </c>
      <c r="I36" t="n">
        <v>127632.800244011</v>
      </c>
      <c r="J36" t="n">
        <v>35.5404451080158</v>
      </c>
      <c r="K36" t="n">
        <v>68</v>
      </c>
    </row>
    <row r="37">
      <c r="A37" t="n">
        <v>36</v>
      </c>
      <c r="B37" t="n">
        <v>21</v>
      </c>
      <c r="C37" t="n">
        <v>3</v>
      </c>
      <c r="D37" t="n">
        <v>12</v>
      </c>
      <c r="E37" t="n">
        <v>5</v>
      </c>
      <c r="F37" t="n">
        <v>6649.46819470304</v>
      </c>
      <c r="G37" t="n">
        <v>4432.9787964687</v>
      </c>
      <c r="H37" t="n">
        <v>49292.692507259</v>
      </c>
      <c r="I37" t="n">
        <v>132853.171023986</v>
      </c>
      <c r="J37" t="n">
        <v>35.5592741990178</v>
      </c>
      <c r="K37" t="n">
        <v>70</v>
      </c>
    </row>
    <row r="38">
      <c r="A38" t="n">
        <v>37</v>
      </c>
      <c r="B38" t="n">
        <v>21</v>
      </c>
      <c r="C38" t="n">
        <v>3</v>
      </c>
      <c r="D38" t="n">
        <v>13</v>
      </c>
      <c r="E38" t="n">
        <v>5</v>
      </c>
      <c r="F38" t="n">
        <v>6871.89941528157</v>
      </c>
      <c r="G38" t="n">
        <v>4581.26627685438</v>
      </c>
      <c r="H38" t="n">
        <v>51778.075027361</v>
      </c>
      <c r="I38" t="n">
        <v>138182.080970152</v>
      </c>
      <c r="J38" t="n">
        <v>35.5782915809298</v>
      </c>
      <c r="K38" t="n">
        <v>72</v>
      </c>
    </row>
    <row r="39">
      <c r="A39" t="n">
        <v>38</v>
      </c>
      <c r="B39" t="n">
        <v>21</v>
      </c>
      <c r="C39" t="n">
        <v>3</v>
      </c>
      <c r="D39" t="n">
        <v>14</v>
      </c>
      <c r="E39" t="n">
        <v>5</v>
      </c>
      <c r="F39" t="n">
        <v>7095.63361670285</v>
      </c>
      <c r="G39" t="n">
        <v>4730.42241113523</v>
      </c>
      <c r="H39" t="n">
        <v>54339.9167049591</v>
      </c>
      <c r="I39" t="n">
        <v>143621.04196543</v>
      </c>
      <c r="J39" t="n">
        <v>35.597499136661</v>
      </c>
      <c r="K39" t="n">
        <v>74</v>
      </c>
    </row>
    <row r="40">
      <c r="A40" t="n">
        <v>39</v>
      </c>
      <c r="B40" t="n">
        <v>22</v>
      </c>
      <c r="C40" t="n">
        <v>3</v>
      </c>
      <c r="D40" t="n">
        <v>15</v>
      </c>
      <c r="E40" t="n">
        <v>5</v>
      </c>
      <c r="F40" t="n">
        <v>7320.67079896689</v>
      </c>
      <c r="G40" t="n">
        <v>4880.44719931126</v>
      </c>
      <c r="H40" t="n">
        <v>56980.0305564188</v>
      </c>
      <c r="I40" t="n">
        <v>149171.580490756</v>
      </c>
      <c r="J40" t="n">
        <v>35.6168987679495</v>
      </c>
      <c r="K40" t="n">
        <v>75</v>
      </c>
    </row>
    <row r="41">
      <c r="A41" t="n">
        <v>40</v>
      </c>
      <c r="B41" t="n">
        <v>22</v>
      </c>
      <c r="C41" t="n">
        <v>4</v>
      </c>
      <c r="D41" t="n">
        <v>1</v>
      </c>
      <c r="E41" t="n">
        <v>5</v>
      </c>
      <c r="F41" t="n">
        <v>7549.60418155508</v>
      </c>
      <c r="G41" t="n">
        <v>5033.06945437006</v>
      </c>
      <c r="H41" t="n">
        <v>59707.7034555283</v>
      </c>
      <c r="I41" t="n">
        <v>154857.631643349</v>
      </c>
      <c r="J41" t="n">
        <v>35.6364923955508</v>
      </c>
      <c r="K41" t="n">
        <v>77</v>
      </c>
    </row>
    <row r="42">
      <c r="A42" t="n">
        <v>41</v>
      </c>
      <c r="B42" t="n">
        <v>22</v>
      </c>
      <c r="C42" t="n">
        <v>4</v>
      </c>
      <c r="D42" t="n">
        <v>2</v>
      </c>
      <c r="E42" t="n">
        <v>5</v>
      </c>
      <c r="F42" t="n">
        <v>7835.10058538876</v>
      </c>
      <c r="G42" t="n">
        <v>5223.40039025917</v>
      </c>
      <c r="H42" t="n">
        <v>63108.2459551658</v>
      </c>
      <c r="I42" t="n">
        <v>161940.831805921</v>
      </c>
      <c r="J42" t="n">
        <v>35.6562819594282</v>
      </c>
      <c r="K42" t="n">
        <v>79</v>
      </c>
    </row>
    <row r="43">
      <c r="A43" t="n">
        <v>42</v>
      </c>
      <c r="B43" t="n">
        <v>23</v>
      </c>
      <c r="C43" t="n">
        <v>4</v>
      </c>
      <c r="D43" t="n">
        <v>3</v>
      </c>
      <c r="E43" t="n">
        <v>5</v>
      </c>
      <c r="F43" t="n">
        <v>8122.03810302249</v>
      </c>
      <c r="G43" t="n">
        <v>5414.69206868166</v>
      </c>
      <c r="H43" t="n">
        <v>66623.8615756816</v>
      </c>
      <c r="I43" t="n">
        <v>169193.906792731</v>
      </c>
      <c r="J43" t="n">
        <v>35.6762694189444</v>
      </c>
      <c r="K43" t="n">
        <v>81</v>
      </c>
    </row>
    <row r="44">
      <c r="A44" t="n">
        <v>43</v>
      </c>
      <c r="B44" t="n">
        <v>23</v>
      </c>
      <c r="C44" t="n">
        <v>4</v>
      </c>
      <c r="D44" t="n">
        <v>4</v>
      </c>
      <c r="E44" t="n">
        <v>5</v>
      </c>
      <c r="F44" t="n">
        <v>8410.41673445627</v>
      </c>
      <c r="G44" t="n">
        <v>5606.94448963752</v>
      </c>
      <c r="H44" t="n">
        <v>70257.6309570927</v>
      </c>
      <c r="I44" t="n">
        <v>176619.321141999</v>
      </c>
      <c r="J44" t="n">
        <v>35.6964567530557</v>
      </c>
      <c r="K44" t="n">
        <v>83</v>
      </c>
    </row>
    <row r="45">
      <c r="A45" t="n">
        <v>44</v>
      </c>
      <c r="B45" t="n">
        <v>23</v>
      </c>
      <c r="C45" t="n">
        <v>4</v>
      </c>
      <c r="D45" t="n">
        <v>5</v>
      </c>
      <c r="E45" t="n">
        <v>5</v>
      </c>
      <c r="F45" t="n">
        <v>8700.236479690109</v>
      </c>
      <c r="G45" t="n">
        <v>5800.15765312674</v>
      </c>
      <c r="H45" t="n">
        <v>74012.70380462499</v>
      </c>
      <c r="I45" t="n">
        <v>184219.561156841</v>
      </c>
      <c r="J45" t="n">
        <v>35.7168459605081</v>
      </c>
      <c r="K45" t="n">
        <v>85</v>
      </c>
    </row>
    <row r="46">
      <c r="A46" t="n">
        <v>45</v>
      </c>
      <c r="B46" t="n">
        <v>24</v>
      </c>
      <c r="C46" t="n">
        <v>4</v>
      </c>
      <c r="D46" t="n">
        <v>6</v>
      </c>
      <c r="E46" t="n">
        <v>5</v>
      </c>
      <c r="F46" t="n">
        <v>8991.49733872401</v>
      </c>
      <c r="G46" t="n">
        <v>5994.33155914934</v>
      </c>
      <c r="H46" t="n">
        <v>77892.30003934421</v>
      </c>
      <c r="I46" t="n">
        <v>191997.134968003</v>
      </c>
      <c r="J46" t="n">
        <v>35.7374390600351</v>
      </c>
      <c r="K46" t="n">
        <v>87</v>
      </c>
    </row>
    <row r="47">
      <c r="A47" t="n">
        <v>46</v>
      </c>
      <c r="B47" t="n">
        <v>24</v>
      </c>
      <c r="C47" t="n">
        <v>4</v>
      </c>
      <c r="D47" t="n">
        <v>7</v>
      </c>
      <c r="E47" t="n">
        <v>5</v>
      </c>
      <c r="F47" t="n">
        <v>9284.19931155797</v>
      </c>
      <c r="G47" t="n">
        <v>6189.46620770531</v>
      </c>
      <c r="H47" t="n">
        <v>81899.7109607037</v>
      </c>
      <c r="I47" t="n">
        <v>199954.572596594</v>
      </c>
      <c r="J47" t="n">
        <v>35.7582380905573</v>
      </c>
      <c r="K47" t="n">
        <v>89</v>
      </c>
    </row>
    <row r="48">
      <c r="A48" t="n">
        <v>47</v>
      </c>
      <c r="B48" t="n">
        <v>24</v>
      </c>
      <c r="C48" t="n">
        <v>4</v>
      </c>
      <c r="D48" t="n">
        <v>8</v>
      </c>
      <c r="E48" t="n">
        <v>5</v>
      </c>
      <c r="F48" t="n">
        <v>9578.34239819198</v>
      </c>
      <c r="G48" t="n">
        <v>6385.56159879465</v>
      </c>
      <c r="H48" t="n">
        <v>86038.30042106401</v>
      </c>
      <c r="I48" t="n">
        <v>208094.426016822</v>
      </c>
      <c r="J48" t="n">
        <v>35.7792451113847</v>
      </c>
      <c r="K48" t="n">
        <v>91</v>
      </c>
    </row>
    <row r="49">
      <c r="A49" t="n">
        <v>48</v>
      </c>
      <c r="B49" t="n">
        <v>25</v>
      </c>
      <c r="C49" t="n">
        <v>4</v>
      </c>
      <c r="D49" t="n">
        <v>9</v>
      </c>
      <c r="E49" t="n">
        <v>5</v>
      </c>
      <c r="F49" t="n">
        <v>9873.926598626051</v>
      </c>
      <c r="G49" t="n">
        <v>6582.61773241737</v>
      </c>
      <c r="H49" t="n">
        <v>90311.5060122421</v>
      </c>
      <c r="I49" t="n">
        <v>216419.269218726</v>
      </c>
      <c r="J49" t="n">
        <v>35.8004622024204</v>
      </c>
      <c r="K49" t="n">
        <v>93</v>
      </c>
    </row>
    <row r="50">
      <c r="A50" t="n">
        <v>49</v>
      </c>
      <c r="B50" t="n">
        <v>25</v>
      </c>
      <c r="C50" t="n">
        <v>4</v>
      </c>
      <c r="D50" t="n">
        <v>10</v>
      </c>
      <c r="E50" t="n">
        <v>5</v>
      </c>
      <c r="F50" t="n">
        <v>10170.9519128602</v>
      </c>
      <c r="G50" t="n">
        <v>6780.63460857345</v>
      </c>
      <c r="H50" t="n">
        <v>94722.8402641455</v>
      </c>
      <c r="I50" t="n">
        <v>224931.698270911</v>
      </c>
      <c r="J50" t="n">
        <v>35.8218914643665</v>
      </c>
      <c r="K50" t="n">
        <v>95</v>
      </c>
    </row>
    <row r="51">
      <c r="A51" t="n">
        <v>50</v>
      </c>
      <c r="B51" t="n">
        <v>25</v>
      </c>
      <c r="C51" t="n">
        <v>4</v>
      </c>
      <c r="D51" t="n">
        <v>11</v>
      </c>
      <c r="E51" t="n">
        <v>5</v>
      </c>
      <c r="F51" t="n">
        <v>10469.4183408944</v>
      </c>
      <c r="G51" t="n">
        <v>6979.61222726291</v>
      </c>
      <c r="H51" t="n">
        <v>99275.8918555477</v>
      </c>
      <c r="I51" t="n">
        <v>233634.331383281</v>
      </c>
      <c r="J51" t="n">
        <v>35.843535018932</v>
      </c>
      <c r="K51" t="n">
        <v>96</v>
      </c>
    </row>
    <row r="52">
      <c r="A52" t="n">
        <v>51</v>
      </c>
      <c r="B52" t="n">
        <v>26</v>
      </c>
      <c r="C52" t="n">
        <v>4</v>
      </c>
      <c r="D52" t="n">
        <v>12</v>
      </c>
      <c r="E52" t="n">
        <v>5</v>
      </c>
      <c r="F52" t="n">
        <v>10769.3258827286</v>
      </c>
      <c r="G52" t="n">
        <v>7179.55058848573</v>
      </c>
      <c r="H52" t="n">
        <v>103974.326837061</v>
      </c>
      <c r="I52" t="n">
        <v>242529.808969776</v>
      </c>
      <c r="J52" t="n">
        <v>35.8653950090432</v>
      </c>
      <c r="K52" t="n">
        <v>98</v>
      </c>
    </row>
    <row r="53">
      <c r="A53" t="n">
        <v>52</v>
      </c>
      <c r="B53" t="n">
        <v>26</v>
      </c>
      <c r="C53" t="n">
        <v>4</v>
      </c>
      <c r="D53" t="n">
        <v>13</v>
      </c>
      <c r="E53" t="n">
        <v>5</v>
      </c>
      <c r="F53" t="n">
        <v>11070.6745383629</v>
      </c>
      <c r="G53" t="n">
        <v>7380.44969224193</v>
      </c>
      <c r="H53" t="n">
        <v>108821.889866361</v>
      </c>
      <c r="I53" t="n">
        <v>251620.793711101</v>
      </c>
      <c r="J53" t="n">
        <v>35.8874735990555</v>
      </c>
      <c r="K53" t="n">
        <v>100</v>
      </c>
    </row>
    <row r="54">
      <c r="A54" t="n">
        <v>53</v>
      </c>
      <c r="B54" t="n">
        <v>26</v>
      </c>
      <c r="C54" t="n">
        <v>4</v>
      </c>
      <c r="D54" t="n">
        <v>14</v>
      </c>
      <c r="E54" t="n">
        <v>5</v>
      </c>
      <c r="F54" t="n">
        <v>11373.4643077972</v>
      </c>
      <c r="G54" t="n">
        <v>7582.3095385315</v>
      </c>
      <c r="H54" t="n">
        <v>113822.405455727</v>
      </c>
      <c r="I54" t="n">
        <v>260909.970617466</v>
      </c>
      <c r="J54" t="n">
        <v>35.909772974968</v>
      </c>
      <c r="K54" t="n">
        <v>102</v>
      </c>
    </row>
    <row r="55">
      <c r="A55" t="n">
        <v>54</v>
      </c>
      <c r="B55" t="n">
        <v>27</v>
      </c>
      <c r="C55" t="n">
        <v>4</v>
      </c>
      <c r="D55" t="n">
        <v>15</v>
      </c>
      <c r="E55" t="n">
        <v>5</v>
      </c>
      <c r="F55" t="n">
        <v>11677.6951910317</v>
      </c>
      <c r="G55" t="n">
        <v>7785.13012735443</v>
      </c>
      <c r="H55" t="n">
        <v>118979.779231941</v>
      </c>
      <c r="I55" t="n">
        <v>270400.047091314</v>
      </c>
      <c r="J55" t="n">
        <v>35.9322953446395</v>
      </c>
      <c r="K55" t="n">
        <v>104</v>
      </c>
    </row>
    <row r="56">
      <c r="A56" t="n">
        <v>55</v>
      </c>
      <c r="B56" t="n">
        <v>27</v>
      </c>
      <c r="C56" t="n">
        <v>5</v>
      </c>
      <c r="D56" t="n">
        <v>1</v>
      </c>
      <c r="E56" t="n">
        <v>5</v>
      </c>
      <c r="F56" t="n">
        <v>11941.4755965497</v>
      </c>
      <c r="G56" t="n">
        <v>7960.98373103312</v>
      </c>
      <c r="H56" t="n">
        <v>123546.244245202</v>
      </c>
      <c r="I56" t="n">
        <v>278746.593810699</v>
      </c>
      <c r="J56" t="n">
        <v>35.9550429380078</v>
      </c>
      <c r="K56" t="n">
        <v>106</v>
      </c>
    </row>
    <row r="57">
      <c r="A57" t="n">
        <v>56</v>
      </c>
      <c r="B57" t="n">
        <v>27</v>
      </c>
      <c r="C57" t="n">
        <v>5</v>
      </c>
      <c r="D57" t="n">
        <v>2</v>
      </c>
      <c r="E57" t="n">
        <v>5</v>
      </c>
      <c r="F57" t="n">
        <v>12182.3942320607</v>
      </c>
      <c r="G57" t="n">
        <v>8121.59615470715</v>
      </c>
      <c r="H57" t="n">
        <v>127797.09981723</v>
      </c>
      <c r="I57" t="n">
        <v>286466.971429899</v>
      </c>
      <c r="J57" t="n">
        <v>35.9780180073097</v>
      </c>
      <c r="K57" t="n">
        <v>107</v>
      </c>
    </row>
    <row r="58">
      <c r="A58" t="n">
        <v>57</v>
      </c>
      <c r="B58" t="n">
        <v>28</v>
      </c>
      <c r="C58" t="n">
        <v>5</v>
      </c>
      <c r="D58" t="n">
        <v>3</v>
      </c>
      <c r="E58" t="n">
        <v>5</v>
      </c>
      <c r="F58" t="n">
        <v>12424.236828172</v>
      </c>
      <c r="G58" t="n">
        <v>8282.82455211466</v>
      </c>
      <c r="H58" t="n">
        <v>132150.182793862</v>
      </c>
      <c r="I58" t="n">
        <v>294315.434812568</v>
      </c>
      <c r="J58" t="n">
        <v>36.0012228273047</v>
      </c>
      <c r="K58" t="n">
        <v>109</v>
      </c>
    </row>
    <row r="59">
      <c r="A59" t="n">
        <v>58</v>
      </c>
      <c r="B59" t="n">
        <v>28</v>
      </c>
      <c r="C59" t="n">
        <v>5</v>
      </c>
      <c r="D59" t="n">
        <v>4</v>
      </c>
      <c r="E59" t="n">
        <v>5</v>
      </c>
      <c r="F59" t="n">
        <v>12667.0033848835</v>
      </c>
      <c r="G59" t="n">
        <v>8444.668923255629</v>
      </c>
      <c r="H59" t="n">
        <v>136607.494103308</v>
      </c>
      <c r="I59" t="n">
        <v>302293.344300543</v>
      </c>
      <c r="J59" t="n">
        <v>36.0246596954996</v>
      </c>
      <c r="K59" t="n">
        <v>110</v>
      </c>
    </row>
    <row r="60">
      <c r="A60" t="n">
        <v>59</v>
      </c>
      <c r="B60" t="n">
        <v>28</v>
      </c>
      <c r="C60" t="n">
        <v>5</v>
      </c>
      <c r="D60" t="n">
        <v>5</v>
      </c>
      <c r="E60" t="n">
        <v>5</v>
      </c>
      <c r="F60" t="n">
        <v>12910.6939021951</v>
      </c>
      <c r="G60" t="n">
        <v>8607.12926813008</v>
      </c>
      <c r="H60" t="n">
        <v>141171.066951545</v>
      </c>
      <c r="I60" t="n">
        <v>310402.069130767</v>
      </c>
      <c r="J60" t="n">
        <v>36.0483309323765</v>
      </c>
      <c r="K60" t="n">
        <v>112</v>
      </c>
    </row>
    <row r="61">
      <c r="A61" t="n">
        <v>60</v>
      </c>
      <c r="B61" t="n">
        <v>29</v>
      </c>
      <c r="C61" t="n">
        <v>5</v>
      </c>
      <c r="D61" t="n">
        <v>6</v>
      </c>
      <c r="E61" t="n">
        <v>5</v>
      </c>
      <c r="F61" t="n">
        <v>13155.308380107</v>
      </c>
      <c r="G61" t="n">
        <v>8770.20558673798</v>
      </c>
      <c r="H61" t="n">
        <v>145842.967208347</v>
      </c>
      <c r="I61" t="n">
        <v>318642.987455275</v>
      </c>
      <c r="J61" t="n">
        <v>36.0722388816221</v>
      </c>
      <c r="K61" t="n">
        <v>113</v>
      </c>
    </row>
    <row r="62">
      <c r="A62" t="n">
        <v>61</v>
      </c>
      <c r="B62" t="n">
        <v>29</v>
      </c>
      <c r="C62" t="n">
        <v>5</v>
      </c>
      <c r="D62" t="n">
        <v>7</v>
      </c>
      <c r="E62" t="n">
        <v>5</v>
      </c>
      <c r="F62" t="n">
        <v>13400.846818619</v>
      </c>
      <c r="G62" t="n">
        <v>8933.897879079361</v>
      </c>
      <c r="H62" t="n">
        <v>150625.293796219</v>
      </c>
      <c r="I62" t="n">
        <v>327017.486361194</v>
      </c>
      <c r="J62" t="n">
        <v>36.0963859103602</v>
      </c>
      <c r="K62" t="n">
        <v>114</v>
      </c>
    </row>
    <row r="63">
      <c r="A63" t="n">
        <v>62</v>
      </c>
      <c r="B63" t="n">
        <v>29</v>
      </c>
      <c r="C63" t="n">
        <v>5</v>
      </c>
      <c r="D63" t="n">
        <v>8</v>
      </c>
      <c r="E63" t="n">
        <v>5</v>
      </c>
      <c r="F63" t="n">
        <v>13647.3092177313</v>
      </c>
      <c r="G63" t="n">
        <v>9098.20614515421</v>
      </c>
      <c r="H63" t="n">
        <v>155520.17908224</v>
      </c>
      <c r="I63" t="n">
        <v>335526.961890732</v>
      </c>
      <c r="J63" t="n">
        <v>36.1207744093856</v>
      </c>
      <c r="K63" t="n">
        <v>116</v>
      </c>
    </row>
    <row r="64">
      <c r="A64" t="n">
        <v>63</v>
      </c>
      <c r="B64" t="n">
        <v>29</v>
      </c>
      <c r="C64" t="n">
        <v>5</v>
      </c>
      <c r="D64" t="n">
        <v>9</v>
      </c>
      <c r="E64" t="n">
        <v>5</v>
      </c>
      <c r="F64" t="n">
        <v>13894.6955774438</v>
      </c>
      <c r="G64" t="n">
        <v>9263.13038496252</v>
      </c>
      <c r="H64" t="n">
        <v>160529.789272844</v>
      </c>
      <c r="I64" t="n">
        <v>344172.819061175</v>
      </c>
      <c r="J64" t="n">
        <v>36.1454067934014</v>
      </c>
      <c r="K64" t="n">
        <v>117</v>
      </c>
    </row>
    <row r="65">
      <c r="A65" t="n">
        <v>64</v>
      </c>
      <c r="B65" t="n">
        <v>30</v>
      </c>
      <c r="C65" t="n">
        <v>5</v>
      </c>
      <c r="D65" t="n">
        <v>10</v>
      </c>
      <c r="E65" t="n">
        <v>5</v>
      </c>
      <c r="F65" t="n">
        <v>14143.0058977565</v>
      </c>
      <c r="G65" t="n">
        <v>9428.67059850431</v>
      </c>
      <c r="H65" t="n">
        <v>165656.324811522</v>
      </c>
      <c r="I65" t="n">
        <v>352956.471884879</v>
      </c>
      <c r="J65" t="n">
        <v>36.1702855012573</v>
      </c>
      <c r="K65" t="n">
        <v>119</v>
      </c>
    </row>
    <row r="66">
      <c r="A66" t="n">
        <v>65</v>
      </c>
      <c r="B66" t="n">
        <v>30</v>
      </c>
      <c r="C66" t="n">
        <v>5</v>
      </c>
      <c r="D66" t="n">
        <v>11</v>
      </c>
      <c r="E66" t="n">
        <v>5</v>
      </c>
      <c r="F66" t="n">
        <v>14484.7108708138</v>
      </c>
      <c r="G66" t="n">
        <v>9656.47391387586</v>
      </c>
      <c r="H66" t="n">
        <v>171927.518056297</v>
      </c>
      <c r="I66" t="n">
        <v>364957.353601822</v>
      </c>
      <c r="J66" t="n">
        <v>36.1954129961917</v>
      </c>
      <c r="K66" t="n">
        <v>121</v>
      </c>
    </row>
    <row r="67">
      <c r="A67" t="n">
        <v>66</v>
      </c>
      <c r="B67" t="n">
        <v>30</v>
      </c>
      <c r="C67" t="n">
        <v>5</v>
      </c>
      <c r="D67" t="n">
        <v>12</v>
      </c>
      <c r="E67" t="n">
        <v>5</v>
      </c>
      <c r="F67" t="n">
        <v>14827.2464100907</v>
      </c>
      <c r="G67" t="n">
        <v>9884.830940060459</v>
      </c>
      <c r="H67" t="n">
        <v>178344.228129454</v>
      </c>
      <c r="I67" t="n">
        <v>377173.040240432</v>
      </c>
      <c r="J67" t="n">
        <v>36.2207917660755</v>
      </c>
      <c r="K67" t="n">
        <v>122</v>
      </c>
    </row>
    <row r="68">
      <c r="A68" t="n">
        <v>67</v>
      </c>
      <c r="B68" t="n">
        <v>30</v>
      </c>
      <c r="C68" t="n">
        <v>5</v>
      </c>
      <c r="D68" t="n">
        <v>13</v>
      </c>
      <c r="E68" t="n">
        <v>5</v>
      </c>
      <c r="F68" t="n">
        <v>15170.6125155872</v>
      </c>
      <c r="G68" t="n">
        <v>10113.7416770581</v>
      </c>
      <c r="H68" t="n">
        <v>184909.132903604</v>
      </c>
      <c r="I68" t="n">
        <v>389605.676229176</v>
      </c>
      <c r="J68" t="n">
        <v>36.2464243236581</v>
      </c>
      <c r="K68" t="n">
        <v>124</v>
      </c>
    </row>
    <row r="69">
      <c r="A69" t="n">
        <v>68</v>
      </c>
      <c r="B69" t="n">
        <v>31</v>
      </c>
      <c r="C69" t="n">
        <v>5</v>
      </c>
      <c r="D69" t="n">
        <v>14</v>
      </c>
      <c r="E69" t="n">
        <v>5</v>
      </c>
      <c r="F69" t="n">
        <v>15514.8091873032</v>
      </c>
      <c r="G69" t="n">
        <v>10343.2061248688</v>
      </c>
      <c r="H69" t="n">
        <v>191624.950037364</v>
      </c>
      <c r="I69" t="n">
        <v>402257.4157323</v>
      </c>
      <c r="J69" t="n">
        <v>36.2723132068165</v>
      </c>
      <c r="K69" t="n">
        <v>126</v>
      </c>
    </row>
    <row r="70">
      <c r="A70" t="n">
        <v>69</v>
      </c>
      <c r="B70" t="n">
        <v>31</v>
      </c>
      <c r="C70" t="n">
        <v>5</v>
      </c>
      <c r="D70" t="n">
        <v>15</v>
      </c>
      <c r="E70" t="n">
        <v>5</v>
      </c>
      <c r="F70" t="n">
        <v>15859.8364252389</v>
      </c>
      <c r="G70" t="n">
        <v>10573.2242834926</v>
      </c>
      <c r="H70" t="n">
        <v>198494.437394498</v>
      </c>
      <c r="I70" t="n">
        <v>415130.422661991</v>
      </c>
      <c r="J70" t="n">
        <v>36.2984609788066</v>
      </c>
      <c r="K70" t="n">
        <v>127</v>
      </c>
    </row>
    <row r="71">
      <c r="A71" t="n">
        <v>70</v>
      </c>
      <c r="B71" t="n">
        <v>31</v>
      </c>
      <c r="C71" t="n">
        <v>6</v>
      </c>
      <c r="D71" t="n">
        <v>1</v>
      </c>
      <c r="E71" t="n">
        <v>5</v>
      </c>
      <c r="F71" t="n">
        <v>16185.932617058</v>
      </c>
      <c r="G71" t="n">
        <v>10790.6217447053</v>
      </c>
      <c r="H71" t="n">
        <v>205109.400628112</v>
      </c>
      <c r="I71" t="n">
        <v>427468.367251895</v>
      </c>
      <c r="J71" t="n">
        <v>36.3248702285165</v>
      </c>
      <c r="K71" t="n">
        <v>129</v>
      </c>
    </row>
    <row r="72">
      <c r="A72" t="n">
        <v>71</v>
      </c>
      <c r="B72" t="n">
        <v>32</v>
      </c>
      <c r="C72" t="n">
        <v>6</v>
      </c>
      <c r="D72" t="n">
        <v>2</v>
      </c>
      <c r="E72" t="n">
        <v>5</v>
      </c>
      <c r="F72" t="n">
        <v>16469.2628012316</v>
      </c>
      <c r="G72" t="n">
        <v>10979.5085341544</v>
      </c>
      <c r="H72" t="n">
        <v>210946.374313077</v>
      </c>
      <c r="I72" t="n">
        <v>438316.654491512</v>
      </c>
      <c r="J72" t="n">
        <v>36.3515435707235</v>
      </c>
      <c r="K72" t="n">
        <v>130</v>
      </c>
    </row>
    <row r="73">
      <c r="A73" t="n">
        <v>72</v>
      </c>
      <c r="B73" t="n">
        <v>32</v>
      </c>
      <c r="C73" t="n">
        <v>6</v>
      </c>
      <c r="D73" t="n">
        <v>3</v>
      </c>
      <c r="E73" t="n">
        <v>5</v>
      </c>
      <c r="F73" t="n">
        <v>16753.1688190113</v>
      </c>
      <c r="G73" t="n">
        <v>11168.7792126742</v>
      </c>
      <c r="H73" t="n">
        <v>216890.590855432</v>
      </c>
      <c r="I73" t="n">
        <v>449316.591842609</v>
      </c>
      <c r="J73" t="n">
        <v>36.3784836463527</v>
      </c>
      <c r="K73" t="n">
        <v>132</v>
      </c>
    </row>
    <row r="74">
      <c r="A74" t="n">
        <v>73</v>
      </c>
      <c r="B74" t="n">
        <v>32</v>
      </c>
      <c r="C74" t="n">
        <v>6</v>
      </c>
      <c r="D74" t="n">
        <v>4</v>
      </c>
      <c r="E74" t="n">
        <v>5</v>
      </c>
      <c r="F74" t="n">
        <v>17037.6506703973</v>
      </c>
      <c r="G74" t="n">
        <v>11358.4337802648</v>
      </c>
      <c r="H74" t="n">
        <v>222943.62405799</v>
      </c>
      <c r="I74" t="n">
        <v>460469.387865687</v>
      </c>
      <c r="J74" t="n">
        <v>36.4056931227381</v>
      </c>
      <c r="K74" t="n">
        <v>133</v>
      </c>
    </row>
    <row r="75">
      <c r="A75" t="n">
        <v>74</v>
      </c>
      <c r="B75" t="n">
        <v>32</v>
      </c>
      <c r="C75" t="n">
        <v>6</v>
      </c>
      <c r="D75" t="n">
        <v>5</v>
      </c>
      <c r="E75" t="n">
        <v>5</v>
      </c>
      <c r="F75" t="n">
        <v>17322.7083553894</v>
      </c>
      <c r="G75" t="n">
        <v>11548.4722369263</v>
      </c>
      <c r="H75" t="n">
        <v>229107.066317105</v>
      </c>
      <c r="I75" t="n">
        <v>471776.255639066</v>
      </c>
      <c r="J75" t="n">
        <v>36.4331746938873</v>
      </c>
      <c r="K75" t="n">
        <v>135</v>
      </c>
    </row>
    <row r="76">
      <c r="A76" t="n">
        <v>75</v>
      </c>
      <c r="B76" t="n">
        <v>33</v>
      </c>
      <c r="C76" t="n">
        <v>6</v>
      </c>
      <c r="D76" t="n">
        <v>6</v>
      </c>
      <c r="E76" t="n">
        <v>5</v>
      </c>
      <c r="F76" t="n">
        <v>17608.3418739877</v>
      </c>
      <c r="G76" t="n">
        <v>11738.8945826584</v>
      </c>
      <c r="H76" t="n">
        <v>235382.528779146</v>
      </c>
      <c r="I76" t="n">
        <v>483238.412763624</v>
      </c>
      <c r="J76" t="n">
        <v>36.460931080748</v>
      </c>
      <c r="K76" t="n">
        <v>136</v>
      </c>
    </row>
    <row r="77">
      <c r="A77" t="n">
        <v>76</v>
      </c>
      <c r="B77" t="n">
        <v>33</v>
      </c>
      <c r="C77" t="n">
        <v>6</v>
      </c>
      <c r="D77" t="n">
        <v>7</v>
      </c>
      <c r="E77" t="n">
        <v>5</v>
      </c>
      <c r="F77" t="n">
        <v>17894.5512261921</v>
      </c>
      <c r="G77" t="n">
        <v>11929.7008174614</v>
      </c>
      <c r="H77" t="n">
        <v>241771.641497773</v>
      </c>
      <c r="I77" t="n">
        <v>494857.08136754</v>
      </c>
      <c r="J77" t="n">
        <v>36.4889650314774</v>
      </c>
      <c r="K77" t="n">
        <v>137</v>
      </c>
    </row>
    <row r="78">
      <c r="A78" t="n">
        <v>77</v>
      </c>
      <c r="B78" t="n">
        <v>33</v>
      </c>
      <c r="C78" t="n">
        <v>6</v>
      </c>
      <c r="D78" t="n">
        <v>8</v>
      </c>
      <c r="E78" t="n">
        <v>5</v>
      </c>
      <c r="F78" t="n">
        <v>18181.3364120028</v>
      </c>
      <c r="G78" t="n">
        <v>12120.8909413352</v>
      </c>
      <c r="H78" t="n">
        <v>248276.053592022</v>
      </c>
      <c r="I78" t="n">
        <v>506633.48811103</v>
      </c>
      <c r="J78" t="n">
        <v>36.517279321714</v>
      </c>
      <c r="K78" t="n">
        <v>139</v>
      </c>
    </row>
    <row r="79">
      <c r="A79" t="n">
        <v>78</v>
      </c>
      <c r="B79" t="n">
        <v>33</v>
      </c>
      <c r="C79" t="n">
        <v>6</v>
      </c>
      <c r="D79" t="n">
        <v>9</v>
      </c>
      <c r="E79" t="n">
        <v>5</v>
      </c>
      <c r="F79" t="n">
        <v>18468.6974314196</v>
      </c>
      <c r="G79" t="n">
        <v>12312.4649542798</v>
      </c>
      <c r="H79" t="n">
        <v>254897.433405208</v>
      </c>
      <c r="I79" t="n">
        <v>518568.864191088</v>
      </c>
      <c r="J79" t="n">
        <v>36.545876754853</v>
      </c>
      <c r="K79" t="n">
        <v>140</v>
      </c>
    </row>
    <row r="80">
      <c r="A80" t="n">
        <v>79</v>
      </c>
      <c r="B80" t="n">
        <v>33</v>
      </c>
      <c r="C80" t="n">
        <v>6</v>
      </c>
      <c r="D80" t="n">
        <v>10</v>
      </c>
      <c r="E80" t="n">
        <v>5</v>
      </c>
      <c r="F80" t="n">
        <v>18756.6342844426</v>
      </c>
      <c r="G80" t="n">
        <v>12504.4228562951</v>
      </c>
      <c r="H80" t="n">
        <v>261637.468664634</v>
      </c>
      <c r="I80" t="n">
        <v>530664.445346229</v>
      </c>
      <c r="J80" t="n">
        <v>36.5747601623234</v>
      </c>
      <c r="K80" t="n">
        <v>141</v>
      </c>
    </row>
    <row r="81">
      <c r="A81" t="n">
        <v>80</v>
      </c>
      <c r="B81" t="n">
        <v>34</v>
      </c>
      <c r="C81" t="n">
        <v>6</v>
      </c>
      <c r="D81" t="n">
        <v>11</v>
      </c>
      <c r="E81" t="n">
        <v>5</v>
      </c>
      <c r="F81" t="n">
        <v>19045.1469710718</v>
      </c>
      <c r="G81" t="n">
        <v>12696.7646473812</v>
      </c>
      <c r="H81" t="n">
        <v>268497.866642121</v>
      </c>
      <c r="I81" t="n">
        <v>542921.471861221</v>
      </c>
      <c r="J81" t="n">
        <v>36.6039324038685</v>
      </c>
      <c r="K81" t="n">
        <v>143</v>
      </c>
    </row>
    <row r="82">
      <c r="A82" t="n">
        <v>81</v>
      </c>
      <c r="B82" t="n">
        <v>34</v>
      </c>
      <c r="C82" t="n">
        <v>6</v>
      </c>
      <c r="D82" t="n">
        <v>12</v>
      </c>
      <c r="E82" t="n">
        <v>5</v>
      </c>
      <c r="F82" t="n">
        <v>19334.2354913072</v>
      </c>
      <c r="G82" t="n">
        <v>12889.4903275381</v>
      </c>
      <c r="H82" t="n">
        <v>275480.354315355</v>
      </c>
      <c r="I82" t="n">
        <v>555341.188571833</v>
      </c>
      <c r="J82" t="n">
        <v>36.6333963678291</v>
      </c>
      <c r="K82" t="n">
        <v>144</v>
      </c>
    </row>
    <row r="83">
      <c r="A83" t="n">
        <v>82</v>
      </c>
      <c r="B83" t="n">
        <v>34</v>
      </c>
      <c r="C83" t="n">
        <v>6</v>
      </c>
      <c r="D83" t="n">
        <v>13</v>
      </c>
      <c r="E83" t="n">
        <v>5</v>
      </c>
      <c r="F83" t="n">
        <v>19623.8998451488</v>
      </c>
      <c r="G83" t="n">
        <v>13082.5998967658</v>
      </c>
      <c r="H83" t="n">
        <v>282586.67853005</v>
      </c>
      <c r="I83" t="n">
        <v>567924.844869571</v>
      </c>
      <c r="J83" t="n">
        <v>36.6631549714293</v>
      </c>
      <c r="K83" t="n">
        <v>146</v>
      </c>
    </row>
    <row r="84">
      <c r="A84" t="n">
        <v>83</v>
      </c>
      <c r="B84" t="n">
        <v>34</v>
      </c>
      <c r="C84" t="n">
        <v>6</v>
      </c>
      <c r="D84" t="n">
        <v>14</v>
      </c>
      <c r="E84" t="n">
        <v>5</v>
      </c>
      <c r="F84" t="n">
        <v>19914.1400325965</v>
      </c>
      <c r="G84" t="n">
        <v>13276.0933550643</v>
      </c>
      <c r="H84" t="n">
        <v>289818.606162935</v>
      </c>
      <c r="I84" t="n">
        <v>580673.694706417</v>
      </c>
      <c r="J84" t="n">
        <v>36.6932111610654</v>
      </c>
      <c r="K84" t="n">
        <v>147</v>
      </c>
    </row>
    <row r="85">
      <c r="A85" t="n">
        <v>84</v>
      </c>
      <c r="B85" t="n">
        <v>34</v>
      </c>
      <c r="C85" t="n">
        <v>6</v>
      </c>
      <c r="D85" t="n">
        <v>15</v>
      </c>
      <c r="E85" t="n">
        <v>5</v>
      </c>
      <c r="F85" t="n">
        <v>20204.9560536504</v>
      </c>
      <c r="G85" t="n">
        <v>13469.9707024336</v>
      </c>
      <c r="H85" t="n">
        <v>297177.924285564</v>
      </c>
      <c r="I85" t="n">
        <v>593588.9965995681</v>
      </c>
      <c r="J85" t="n">
        <v>36.7235679125979</v>
      </c>
      <c r="K85" t="n">
        <v>148</v>
      </c>
    </row>
    <row r="86">
      <c r="A86" t="n">
        <v>85</v>
      </c>
      <c r="B86" t="n">
        <v>35</v>
      </c>
      <c r="C86" t="n">
        <v>7</v>
      </c>
      <c r="D86" t="n">
        <v>1</v>
      </c>
      <c r="E86" t="n">
        <v>5</v>
      </c>
      <c r="F86" t="n">
        <v>20456.1446803752</v>
      </c>
      <c r="G86" t="n">
        <v>13637.4297869168</v>
      </c>
      <c r="H86" t="n">
        <v>303608.455403675</v>
      </c>
      <c r="I86" t="n">
        <v>604842.67487879</v>
      </c>
      <c r="J86" t="n">
        <v>36.7542282316458</v>
      </c>
      <c r="K86" t="n">
        <v>149</v>
      </c>
    </row>
    <row r="87">
      <c r="A87" t="n">
        <v>86</v>
      </c>
      <c r="B87" t="n">
        <v>35</v>
      </c>
      <c r="C87" t="n">
        <v>7</v>
      </c>
      <c r="D87" t="n">
        <v>2</v>
      </c>
      <c r="E87" t="n">
        <v>5</v>
      </c>
      <c r="F87" t="n">
        <v>20674.444735015</v>
      </c>
      <c r="G87" t="n">
        <v>13782.9631566767</v>
      </c>
      <c r="H87" t="n">
        <v>309251.070113964</v>
      </c>
      <c r="I87" t="n">
        <v>614695.104720324</v>
      </c>
      <c r="J87" t="n">
        <v>36.7851951538841</v>
      </c>
      <c r="K87" t="n">
        <v>150</v>
      </c>
    </row>
    <row r="88">
      <c r="A88" t="n">
        <v>87</v>
      </c>
      <c r="B88" t="n">
        <v>35</v>
      </c>
      <c r="C88" t="n">
        <v>7</v>
      </c>
      <c r="D88" t="n">
        <v>3</v>
      </c>
      <c r="E88" t="n">
        <v>5</v>
      </c>
      <c r="F88" t="n">
        <v>20893.0838145575</v>
      </c>
      <c r="G88" t="n">
        <v>13928.7225430384</v>
      </c>
      <c r="H88" t="n">
        <v>314966.783031065</v>
      </c>
      <c r="I88" t="n">
        <v>624642.209425444</v>
      </c>
      <c r="J88" t="n">
        <v>36.8164717453448</v>
      </c>
      <c r="K88" t="n">
        <v>151</v>
      </c>
    </row>
    <row r="89">
      <c r="A89" t="n">
        <v>88</v>
      </c>
      <c r="B89" t="n">
        <v>35</v>
      </c>
      <c r="C89" t="n">
        <v>7</v>
      </c>
      <c r="D89" t="n">
        <v>4</v>
      </c>
      <c r="E89" t="n">
        <v>5</v>
      </c>
      <c r="F89" t="n">
        <v>21112.0619190027</v>
      </c>
      <c r="G89" t="n">
        <v>14074.7079460018</v>
      </c>
      <c r="H89" t="n">
        <v>320756.358565467</v>
      </c>
      <c r="I89" t="n">
        <v>634684.526130003</v>
      </c>
      <c r="J89" t="n">
        <v>36.8480611027201</v>
      </c>
      <c r="K89" t="n">
        <v>152</v>
      </c>
    </row>
    <row r="90">
      <c r="A90" t="n">
        <v>89</v>
      </c>
      <c r="B90" t="n">
        <v>35</v>
      </c>
      <c r="C90" t="n">
        <v>7</v>
      </c>
      <c r="D90" t="n">
        <v>5</v>
      </c>
      <c r="E90" t="n">
        <v>5</v>
      </c>
      <c r="F90" t="n">
        <v>21331.3790483506</v>
      </c>
      <c r="G90" t="n">
        <v>14220.919365567</v>
      </c>
      <c r="H90" t="n">
        <v>326620.567530564</v>
      </c>
      <c r="I90" t="n">
        <v>644822.593466224</v>
      </c>
      <c r="J90" t="n">
        <v>36.8799663536692</v>
      </c>
      <c r="K90" t="n">
        <v>153</v>
      </c>
    </row>
    <row r="91">
      <c r="A91" t="n">
        <v>90</v>
      </c>
      <c r="B91" t="n">
        <v>36</v>
      </c>
      <c r="C91" t="n">
        <v>7</v>
      </c>
      <c r="D91" t="n">
        <v>6</v>
      </c>
      <c r="E91" t="n">
        <v>5</v>
      </c>
      <c r="F91" t="n">
        <v>21551.0352026011</v>
      </c>
      <c r="G91" t="n">
        <v>14367.3568017341</v>
      </c>
      <c r="H91" t="n">
        <v>332560.187181101</v>
      </c>
      <c r="I91" t="n">
        <v>655056.951563923</v>
      </c>
      <c r="J91" t="n">
        <v>36.9121906571278</v>
      </c>
      <c r="K91" t="n">
        <v>154</v>
      </c>
    </row>
    <row r="92">
      <c r="A92" t="n">
        <v>91</v>
      </c>
      <c r="B92" t="n">
        <v>36</v>
      </c>
      <c r="C92" t="n">
        <v>7</v>
      </c>
      <c r="D92" t="n">
        <v>7</v>
      </c>
      <c r="E92" t="n">
        <v>5</v>
      </c>
      <c r="F92" t="n">
        <v>21771.0303817543</v>
      </c>
      <c r="G92" t="n">
        <v>14514.0202545028</v>
      </c>
      <c r="H92" t="n">
        <v>338576.001251768</v>
      </c>
      <c r="I92" t="n">
        <v>665388.142051713</v>
      </c>
      <c r="J92" t="n">
        <v>36.9447372036209</v>
      </c>
      <c r="K92" t="n">
        <v>156</v>
      </c>
    </row>
    <row r="93">
      <c r="A93" t="n">
        <v>92</v>
      </c>
      <c r="B93" t="n">
        <v>36</v>
      </c>
      <c r="C93" t="n">
        <v>7</v>
      </c>
      <c r="D93" t="n">
        <v>8</v>
      </c>
      <c r="E93" t="n">
        <v>5</v>
      </c>
      <c r="F93" t="n">
        <v>21991.3645858101</v>
      </c>
      <c r="G93" t="n">
        <v>14660.9097238734</v>
      </c>
      <c r="H93" t="n">
        <v>344668.799995937</v>
      </c>
      <c r="I93" t="n">
        <v>675816.7080582239</v>
      </c>
      <c r="J93" t="n">
        <v>36.977609215579</v>
      </c>
      <c r="K93" t="n">
        <v>157</v>
      </c>
    </row>
    <row r="94">
      <c r="A94" t="n">
        <v>93</v>
      </c>
      <c r="B94" t="n">
        <v>36</v>
      </c>
      <c r="C94" t="n">
        <v>7</v>
      </c>
      <c r="D94" t="n">
        <v>9</v>
      </c>
      <c r="E94" t="n">
        <v>5</v>
      </c>
      <c r="F94" t="n">
        <v>22212.0378147687</v>
      </c>
      <c r="G94" t="n">
        <v>14808.0252098458</v>
      </c>
      <c r="H94" t="n">
        <v>350839.380224539</v>
      </c>
      <c r="I94" t="n">
        <v>686343.194213315</v>
      </c>
      <c r="J94" t="n">
        <v>37.0108099476567</v>
      </c>
      <c r="K94" t="n">
        <v>158</v>
      </c>
    </row>
    <row r="95">
      <c r="A95" t="n">
        <v>94</v>
      </c>
      <c r="B95" t="n">
        <v>36</v>
      </c>
      <c r="C95" t="n">
        <v>7</v>
      </c>
      <c r="D95" t="n">
        <v>10</v>
      </c>
      <c r="E95" t="n">
        <v>5</v>
      </c>
      <c r="F95" t="n">
        <v>22433.0500686299</v>
      </c>
      <c r="G95" t="n">
        <v>14955.3667124199</v>
      </c>
      <c r="H95" t="n">
        <v>357088.545345091</v>
      </c>
      <c r="I95" t="n">
        <v>696968.1466492841</v>
      </c>
      <c r="J95" t="n">
        <v>37.0443426870551</v>
      </c>
      <c r="K95" t="n">
        <v>159</v>
      </c>
    </row>
    <row r="96">
      <c r="A96" t="n">
        <v>95</v>
      </c>
      <c r="B96" t="n">
        <v>37</v>
      </c>
      <c r="C96" t="n">
        <v>7</v>
      </c>
      <c r="D96" t="n">
        <v>11</v>
      </c>
      <c r="E96" t="n">
        <v>5</v>
      </c>
      <c r="F96" t="n">
        <v>22654.4013473938</v>
      </c>
      <c r="G96" t="n">
        <v>15102.9342315958</v>
      </c>
      <c r="H96" t="n">
        <v>363417.105400859</v>
      </c>
      <c r="I96" t="n">
        <v>707692.113002087</v>
      </c>
      <c r="J96" t="n">
        <v>37.0782107538475</v>
      </c>
      <c r="K96" t="n">
        <v>160</v>
      </c>
    </row>
    <row r="97">
      <c r="A97" t="n">
        <v>96</v>
      </c>
      <c r="B97" t="n">
        <v>37</v>
      </c>
      <c r="C97" t="n">
        <v>7</v>
      </c>
      <c r="D97" t="n">
        <v>12</v>
      </c>
      <c r="E97" t="n">
        <v>5</v>
      </c>
      <c r="F97" t="n">
        <v>22876.0916510603</v>
      </c>
      <c r="G97" t="n">
        <v>15250.7277673735</v>
      </c>
      <c r="H97" t="n">
        <v>369825.877110177</v>
      </c>
      <c r="I97" t="n">
        <v>718515.642412547</v>
      </c>
      <c r="J97" t="n">
        <v>37.1124175013079</v>
      </c>
      <c r="K97" t="n">
        <v>161</v>
      </c>
    </row>
    <row r="98">
      <c r="A98" t="n">
        <v>97</v>
      </c>
      <c r="B98" t="n">
        <v>37</v>
      </c>
      <c r="C98" t="n">
        <v>7</v>
      </c>
      <c r="D98" t="n">
        <v>13</v>
      </c>
      <c r="E98" t="n">
        <v>5</v>
      </c>
      <c r="F98" t="n">
        <v>23098.1209796295</v>
      </c>
      <c r="G98" t="n">
        <v>15398.747319753</v>
      </c>
      <c r="H98" t="n">
        <v>376315.683905898</v>
      </c>
      <c r="I98" t="n">
        <v>729439.285527569</v>
      </c>
      <c r="J98" t="n">
        <v>37.1469663162428</v>
      </c>
      <c r="K98" t="n">
        <v>162</v>
      </c>
    </row>
    <row r="99">
      <c r="A99" t="n">
        <v>98</v>
      </c>
      <c r="B99" t="n">
        <v>37</v>
      </c>
      <c r="C99" t="n">
        <v>7</v>
      </c>
      <c r="D99" t="n">
        <v>14</v>
      </c>
      <c r="E99" t="n">
        <v>5</v>
      </c>
      <c r="F99" t="n">
        <v>23320.4893331014</v>
      </c>
      <c r="G99" t="n">
        <v>15546.9928887343</v>
      </c>
      <c r="H99" t="n">
        <v>382887.355974998</v>
      </c>
      <c r="I99" t="n">
        <v>740463.594501353</v>
      </c>
      <c r="J99" t="n">
        <v>37.1818606193271</v>
      </c>
      <c r="K99" t="n">
        <v>163</v>
      </c>
    </row>
    <row r="100">
      <c r="A100" t="n">
        <v>99</v>
      </c>
      <c r="B100" t="n">
        <v>37</v>
      </c>
      <c r="C100" t="n">
        <v>7</v>
      </c>
      <c r="D100" t="n">
        <v>15</v>
      </c>
      <c r="E100" t="n">
        <v>5</v>
      </c>
      <c r="F100" t="n">
        <v>23543.196711476</v>
      </c>
      <c r="G100" t="n">
        <v>15695.4644743173</v>
      </c>
      <c r="H100" t="n">
        <v>389541.730298325</v>
      </c>
      <c r="I100" t="n">
        <v>751589.12299661</v>
      </c>
      <c r="J100" t="n">
        <v>37.2171038654422</v>
      </c>
      <c r="K100" t="n">
        <v>164</v>
      </c>
    </row>
    <row r="101">
      <c r="A101" t="n">
        <v>100</v>
      </c>
      <c r="B101" t="n">
        <v>38</v>
      </c>
      <c r="C101" t="n">
        <v>8</v>
      </c>
      <c r="D101" t="n">
        <v>1</v>
      </c>
      <c r="E101" t="n">
        <v>5</v>
      </c>
      <c r="F101" t="n">
        <v>23735.6146168678</v>
      </c>
      <c r="G101" t="n">
        <v>15823.7430779119</v>
      </c>
      <c r="H101" t="n">
        <v>395331.076252464</v>
      </c>
      <c r="I101" t="n">
        <v>761253.295545268</v>
      </c>
      <c r="J101" t="n">
        <v>37.2526995440185</v>
      </c>
      <c r="K101" t="n">
        <v>164</v>
      </c>
    </row>
    <row r="102">
      <c r="A102" t="n">
        <v>101</v>
      </c>
      <c r="B102" t="n">
        <v>38</v>
      </c>
      <c r="C102" t="n">
        <v>8</v>
      </c>
      <c r="D102" t="n">
        <v>2</v>
      </c>
      <c r="E102" t="n">
        <v>5</v>
      </c>
      <c r="F102" t="n">
        <v>24067.2483730615</v>
      </c>
      <c r="G102" t="n">
        <v>16044.8322487077</v>
      </c>
      <c r="H102" t="n">
        <v>405743.55804063</v>
      </c>
      <c r="I102" t="n">
        <v>776696.17263262</v>
      </c>
      <c r="J102" t="n">
        <v>37.2886511793806</v>
      </c>
      <c r="K102" t="n">
        <v>166</v>
      </c>
    </row>
    <row r="103">
      <c r="A103" t="n">
        <v>102</v>
      </c>
      <c r="B103" t="n">
        <v>38</v>
      </c>
      <c r="C103" t="n">
        <v>8</v>
      </c>
      <c r="D103" t="n">
        <v>3</v>
      </c>
      <c r="E103" t="n">
        <v>5</v>
      </c>
      <c r="F103" t="n">
        <v>24399.4903232651</v>
      </c>
      <c r="G103" t="n">
        <v>16266.3268821767</v>
      </c>
      <c r="H103" t="n">
        <v>416356.082201349</v>
      </c>
      <c r="I103" t="n">
        <v>792319.104933243</v>
      </c>
      <c r="J103" t="n">
        <v>37.3249623310963</v>
      </c>
      <c r="K103" t="n">
        <v>167</v>
      </c>
    </row>
    <row r="104">
      <c r="A104" t="n">
        <v>103</v>
      </c>
      <c r="B104" t="n">
        <v>38</v>
      </c>
      <c r="C104" t="n">
        <v>8</v>
      </c>
      <c r="D104" t="n">
        <v>4</v>
      </c>
      <c r="E104" t="n">
        <v>5</v>
      </c>
      <c r="F104" t="n">
        <v>24732.3404674785</v>
      </c>
      <c r="G104" t="n">
        <v>16488.226978319</v>
      </c>
      <c r="H104" t="n">
        <v>427171.772189702</v>
      </c>
      <c r="I104" t="n">
        <v>808123.2536556789</v>
      </c>
      <c r="J104" t="n">
        <v>37.3616365943291</v>
      </c>
      <c r="K104" t="n">
        <v>169</v>
      </c>
    </row>
    <row r="105">
      <c r="A105" t="n">
        <v>104</v>
      </c>
      <c r="B105" t="n">
        <v>38</v>
      </c>
      <c r="C105" t="n">
        <v>8</v>
      </c>
      <c r="D105" t="n">
        <v>5</v>
      </c>
      <c r="E105" t="n">
        <v>5</v>
      </c>
      <c r="F105" t="n">
        <v>25065.7988057019</v>
      </c>
      <c r="G105" t="n">
        <v>16710.5325371346</v>
      </c>
      <c r="H105" t="n">
        <v>438193.789707759</v>
      </c>
      <c r="I105" t="n">
        <v>824109.783432818</v>
      </c>
      <c r="J105" t="n">
        <v>37.3986776001942</v>
      </c>
      <c r="K105" t="n">
        <v>170</v>
      </c>
    </row>
    <row r="106">
      <c r="A106" t="n">
        <v>105</v>
      </c>
      <c r="B106" t="n">
        <v>39</v>
      </c>
      <c r="C106" t="n">
        <v>8</v>
      </c>
      <c r="D106" t="n">
        <v>6</v>
      </c>
      <c r="E106" t="n">
        <v>5</v>
      </c>
      <c r="F106" t="n">
        <v>25399.8653379351</v>
      </c>
      <c r="G106" t="n">
        <v>16933.2435586234</v>
      </c>
      <c r="H106" t="n">
        <v>449425.335023812</v>
      </c>
      <c r="I106" t="n">
        <v>840279.862324229</v>
      </c>
      <c r="J106" t="n">
        <v>37.4360890161181</v>
      </c>
      <c r="K106" t="n">
        <v>172</v>
      </c>
    </row>
    <row r="107">
      <c r="A107" t="n">
        <v>106</v>
      </c>
      <c r="C107" t="n">
        <v>8</v>
      </c>
      <c r="D107" t="n">
        <v>7</v>
      </c>
      <c r="E107" t="n">
        <v>5</v>
      </c>
      <c r="F107" t="n">
        <v>25734.5400641782</v>
      </c>
      <c r="G107" t="n">
        <v>17156.3600427854</v>
      </c>
      <c r="H107" t="n">
        <v>460869.647293257</v>
      </c>
      <c r="I107" t="n">
        <v>856634.661818488</v>
      </c>
      <c r="J107" t="n">
        <v>37.4738745462011</v>
      </c>
      <c r="K107" t="n">
        <v>174</v>
      </c>
    </row>
    <row r="108">
      <c r="A108" t="n">
        <v>107</v>
      </c>
      <c r="C108" t="n">
        <v>8</v>
      </c>
      <c r="D108" t="n">
        <v>8</v>
      </c>
      <c r="E108" t="n">
        <v>5</v>
      </c>
      <c r="F108" t="n">
        <v>26069.8229844311</v>
      </c>
      <c r="G108" t="n">
        <v>17379.8819896207</v>
      </c>
      <c r="H108" t="n">
        <v>472530.004881104</v>
      </c>
      <c r="I108" t="n">
        <v>873175.356835511</v>
      </c>
      <c r="J108" t="n">
        <v>37.512037931585</v>
      </c>
      <c r="K108" t="n">
        <v>175</v>
      </c>
    </row>
    <row r="109">
      <c r="A109" t="n">
        <v>108</v>
      </c>
      <c r="C109" t="n">
        <v>8</v>
      </c>
      <c r="D109" t="n">
        <v>9</v>
      </c>
      <c r="E109" t="n">
        <v>5</v>
      </c>
      <c r="F109" t="n">
        <v>26405.714098694</v>
      </c>
      <c r="G109" t="n">
        <v>17603.8093991293</v>
      </c>
      <c r="H109" t="n">
        <v>484409.725686147</v>
      </c>
      <c r="I109" t="n">
        <v>889903.1257288801</v>
      </c>
      <c r="J109" t="n">
        <v>37.5505829508227</v>
      </c>
      <c r="K109" t="n">
        <v>177</v>
      </c>
    </row>
    <row r="110">
      <c r="A110" t="n">
        <v>109</v>
      </c>
      <c r="C110" t="n">
        <v>8</v>
      </c>
      <c r="D110" t="n">
        <v>10</v>
      </c>
      <c r="E110" t="n">
        <v>5</v>
      </c>
      <c r="F110" t="n">
        <v>26742.2134069667</v>
      </c>
      <c r="G110" t="n">
        <v>17828.1422713111</v>
      </c>
      <c r="H110" t="n">
        <v>496512.167466769</v>
      </c>
      <c r="I110" t="n">
        <v>906819.150288173</v>
      </c>
      <c r="J110" t="n">
        <v>37.5895134202528</v>
      </c>
      <c r="K110" t="n">
        <v>178</v>
      </c>
    </row>
    <row r="111">
      <c r="A111" t="n">
        <v>110</v>
      </c>
      <c r="C111" t="n">
        <v>8</v>
      </c>
      <c r="D111" t="n">
        <v>11</v>
      </c>
      <c r="E111" t="n">
        <v>5</v>
      </c>
      <c r="F111" t="n">
        <v>27079.3209092493</v>
      </c>
      <c r="G111" t="n">
        <v>18052.8806061662</v>
      </c>
      <c r="H111" t="n">
        <v>508840.728168413</v>
      </c>
      <c r="I111" t="n">
        <v>923924.615741295</v>
      </c>
      <c r="J111" t="n">
        <v>37.6288331943772</v>
      </c>
      <c r="K111" t="n">
        <v>180</v>
      </c>
    </row>
    <row r="112">
      <c r="A112" t="n">
        <v>111</v>
      </c>
      <c r="C112" t="n">
        <v>8</v>
      </c>
      <c r="D112" t="n">
        <v>12</v>
      </c>
      <c r="E112" t="n">
        <v>5</v>
      </c>
      <c r="F112" t="n">
        <v>27417.0366055418</v>
      </c>
      <c r="G112" t="n">
        <v>18278.0244036945</v>
      </c>
      <c r="H112" t="n">
        <v>521398.846252701</v>
      </c>
      <c r="I112" t="n">
        <v>941220.710756804</v>
      </c>
      <c r="J112" t="n">
        <v>37.6685461662428</v>
      </c>
      <c r="K112" t="n">
        <v>181</v>
      </c>
    </row>
    <row r="113">
      <c r="A113" t="n">
        <v>112</v>
      </c>
      <c r="C113" t="n">
        <v>8</v>
      </c>
      <c r="D113" t="n">
        <v>13</v>
      </c>
      <c r="E113" t="n">
        <v>5</v>
      </c>
      <c r="F113" t="n">
        <v>27755.3604958441</v>
      </c>
      <c r="G113" t="n">
        <v>18503.5736638961</v>
      </c>
      <c r="H113" t="n">
        <v>534190.001028219</v>
      </c>
      <c r="I113" t="n">
        <v>958708.627446248</v>
      </c>
      <c r="J113" t="n">
        <v>37.7086562678271</v>
      </c>
      <c r="K113" t="n">
        <v>183</v>
      </c>
    </row>
    <row r="114">
      <c r="A114" t="n">
        <v>113</v>
      </c>
      <c r="C114" t="n">
        <v>8</v>
      </c>
      <c r="D114" t="n">
        <v>14</v>
      </c>
      <c r="E114" t="n">
        <v>5</v>
      </c>
      <c r="F114" t="n">
        <v>28094.2925801564</v>
      </c>
      <c r="G114" t="n">
        <v>18729.5283867709</v>
      </c>
      <c r="H114" t="n">
        <v>547217.712982964</v>
      </c>
      <c r="I114" t="n">
        <v>976389.561366485</v>
      </c>
      <c r="J114" t="n">
        <v>37.7491674704273</v>
      </c>
      <c r="K114" t="n">
        <v>184</v>
      </c>
    </row>
    <row r="115">
      <c r="A115" t="n">
        <v>114</v>
      </c>
      <c r="C115" t="n">
        <v>8</v>
      </c>
      <c r="D115" t="n">
        <v>15</v>
      </c>
      <c r="E115" t="n">
        <v>5</v>
      </c>
      <c r="F115" t="n">
        <v>28433.8328584785</v>
      </c>
      <c r="G115" t="n">
        <v>18955.888572319</v>
      </c>
      <c r="H115" t="n">
        <v>560485.544118465</v>
      </c>
      <c r="I115" t="n">
        <v>994264.7115220201</v>
      </c>
      <c r="J115" t="n">
        <v>37.7900837850534</v>
      </c>
      <c r="K115" t="n">
        <v>186</v>
      </c>
    </row>
    <row r="116">
      <c r="A116" t="n">
        <v>115</v>
      </c>
      <c r="C116" t="n">
        <v>9</v>
      </c>
      <c r="D116" t="n">
        <v>1</v>
      </c>
      <c r="E116" t="n">
        <v>5</v>
      </c>
      <c r="F116" t="n">
        <v>28740.4179184727</v>
      </c>
      <c r="G116" t="n">
        <v>19160.2786123152</v>
      </c>
      <c r="H116" t="n">
        <v>572645.187392917</v>
      </c>
      <c r="I116" t="n">
        <v>1010558.92461012</v>
      </c>
      <c r="J116" t="n">
        <v>37.8314092628258</v>
      </c>
      <c r="K116" t="n">
        <v>187</v>
      </c>
    </row>
    <row r="117">
      <c r="A117" t="n">
        <v>116</v>
      </c>
      <c r="C117" t="n">
        <v>9</v>
      </c>
      <c r="D117" t="n">
        <v>2</v>
      </c>
      <c r="E117" t="n">
        <v>5</v>
      </c>
      <c r="F117" t="n">
        <v>29019.142988657</v>
      </c>
      <c r="G117" t="n">
        <v>19346.0953257713</v>
      </c>
      <c r="H117" t="n">
        <v>583850.116220235</v>
      </c>
      <c r="I117" t="n">
        <v>1025502.4129998</v>
      </c>
      <c r="J117" t="n">
        <v>37.8731479953759</v>
      </c>
      <c r="K117" t="n">
        <v>188</v>
      </c>
    </row>
    <row r="118">
      <c r="A118" t="n">
        <v>117</v>
      </c>
      <c r="C118" t="n">
        <v>9</v>
      </c>
      <c r="D118" t="n">
        <v>3</v>
      </c>
      <c r="E118" t="n">
        <v>5</v>
      </c>
      <c r="F118" t="n">
        <v>29298.3027137419</v>
      </c>
      <c r="G118" t="n">
        <v>19532.2018091613</v>
      </c>
      <c r="H118" t="n">
        <v>595222.457060331</v>
      </c>
      <c r="I118" t="n">
        <v>1040579.63637491</v>
      </c>
      <c r="J118" t="n">
        <v>37.9153041152516</v>
      </c>
      <c r="K118" t="n">
        <v>189</v>
      </c>
    </row>
    <row r="119">
      <c r="A119" t="n">
        <v>118</v>
      </c>
      <c r="C119" t="n">
        <v>9</v>
      </c>
      <c r="D119" t="n">
        <v>4</v>
      </c>
      <c r="E119" t="n">
        <v>5</v>
      </c>
      <c r="F119" t="n">
        <v>29577.8970937274</v>
      </c>
      <c r="G119" t="n">
        <v>19718.5980624849</v>
      </c>
      <c r="H119" t="n">
        <v>606764.251379888</v>
      </c>
      <c r="I119" t="n">
        <v>1055791.28503891</v>
      </c>
      <c r="J119" t="n">
        <v>37.957881796326</v>
      </c>
      <c r="K119" t="n">
        <v>191</v>
      </c>
    </row>
    <row r="120">
      <c r="A120" t="n">
        <v>119</v>
      </c>
      <c r="C120" t="n">
        <v>9</v>
      </c>
      <c r="D120" t="n">
        <v>5</v>
      </c>
      <c r="E120" t="n">
        <v>5</v>
      </c>
      <c r="F120" t="n">
        <v>29857.9261286135</v>
      </c>
      <c r="G120" t="n">
        <v>19905.2840857423</v>
      </c>
      <c r="H120" t="n">
        <v>618477.560118961</v>
      </c>
      <c r="I120" t="n">
        <v>1071138.0509984</v>
      </c>
      <c r="J120" t="n">
        <v>38.0008852542111</v>
      </c>
      <c r="K120" t="n">
        <v>192</v>
      </c>
    </row>
    <row r="121">
      <c r="A121" t="n">
        <v>120</v>
      </c>
      <c r="C121" t="n">
        <v>9</v>
      </c>
      <c r="D121" t="n">
        <v>6</v>
      </c>
      <c r="E121" t="n">
        <v>5</v>
      </c>
      <c r="F121" t="n">
        <v>30138.3898184002</v>
      </c>
      <c r="G121" t="n">
        <v>20092.2598789335</v>
      </c>
      <c r="H121" t="n">
        <v>630364.463819801</v>
      </c>
      <c r="I121" t="n">
        <v>1086620.62796408</v>
      </c>
      <c r="J121" t="n">
        <v>38.0443187466751</v>
      </c>
      <c r="K121" t="n">
        <v>193</v>
      </c>
    </row>
    <row r="122">
      <c r="A122" t="n">
        <v>121</v>
      </c>
      <c r="C122" t="n">
        <v>9</v>
      </c>
      <c r="D122" t="n">
        <v>7</v>
      </c>
      <c r="E122" t="n">
        <v>5</v>
      </c>
      <c r="F122" t="n">
        <v>30419.2881630876</v>
      </c>
      <c r="G122" t="n">
        <v>20279.5254420584</v>
      </c>
      <c r="H122" t="n">
        <v>642427.062756206</v>
      </c>
      <c r="I122" t="n">
        <v>1102239.71135184</v>
      </c>
      <c r="J122" t="n">
        <v>38.0881865740637</v>
      </c>
      <c r="K122" t="n">
        <v>194</v>
      </c>
    </row>
    <row r="123">
      <c r="A123" t="n">
        <v>122</v>
      </c>
      <c r="C123" t="n">
        <v>9</v>
      </c>
      <c r="D123" t="n">
        <v>8</v>
      </c>
      <c r="E123" t="n">
        <v>5</v>
      </c>
      <c r="F123" t="n">
        <v>30700.6211626755</v>
      </c>
      <c r="G123" t="n">
        <v>20467.080775117</v>
      </c>
      <c r="H123" t="n">
        <v>654667.477063403</v>
      </c>
      <c r="I123" t="n">
        <v>1117995.99828374</v>
      </c>
      <c r="J123" t="n">
        <v>38.1324930797262</v>
      </c>
      <c r="K123" t="n">
        <v>196</v>
      </c>
    </row>
    <row r="124">
      <c r="A124" t="n">
        <v>123</v>
      </c>
      <c r="C124" t="n">
        <v>9</v>
      </c>
      <c r="D124" t="n">
        <v>9</v>
      </c>
      <c r="E124" t="n">
        <v>5</v>
      </c>
      <c r="F124" t="n">
        <v>30982.3888171641</v>
      </c>
      <c r="G124" t="n">
        <v>20654.9258781094</v>
      </c>
      <c r="H124" t="n">
        <v>667087.846868461</v>
      </c>
      <c r="I124" t="n">
        <v>1133890.18758906</v>
      </c>
      <c r="J124" t="n">
        <v>38.1772426504453</v>
      </c>
      <c r="K124" t="n">
        <v>197</v>
      </c>
    </row>
    <row r="125">
      <c r="A125" t="n">
        <v>124</v>
      </c>
      <c r="C125" t="n">
        <v>9</v>
      </c>
      <c r="D125" t="n">
        <v>10</v>
      </c>
      <c r="E125" t="n">
        <v>5</v>
      </c>
      <c r="F125" t="n">
        <v>31264.5911265532</v>
      </c>
      <c r="G125" t="n">
        <v>20843.0607510355</v>
      </c>
      <c r="H125" t="n">
        <v>679690.332421241</v>
      </c>
      <c r="I125" t="n">
        <v>1149922.97980537</v>
      </c>
      <c r="J125" t="n">
        <v>38.2224397168716</v>
      </c>
      <c r="K125" t="n">
        <v>198</v>
      </c>
    </row>
    <row r="126">
      <c r="A126" t="n">
        <v>125</v>
      </c>
      <c r="C126" t="n">
        <v>9</v>
      </c>
      <c r="D126" t="n">
        <v>11</v>
      </c>
      <c r="E126" t="n">
        <v>5</v>
      </c>
      <c r="F126" t="n">
        <v>31547.228090843</v>
      </c>
      <c r="G126" t="n">
        <v>21031.4853938953</v>
      </c>
      <c r="H126" t="n">
        <v>692477.114225873</v>
      </c>
      <c r="I126" t="n">
        <v>1166095.07717948</v>
      </c>
      <c r="J126" t="n">
        <v>38.2680887539622</v>
      </c>
      <c r="K126" t="n">
        <v>199</v>
      </c>
    </row>
    <row r="127">
      <c r="A127" t="n">
        <v>126</v>
      </c>
      <c r="C127" t="n">
        <v>9</v>
      </c>
      <c r="D127" t="n">
        <v>12</v>
      </c>
      <c r="E127" t="n">
        <v>5</v>
      </c>
      <c r="F127" t="n">
        <v>31830.2997100334</v>
      </c>
      <c r="G127" t="n">
        <v>21220.1998066889</v>
      </c>
      <c r="H127" t="n">
        <v>705450.39317277</v>
      </c>
      <c r="I127" t="n">
        <v>1182407.18366855</v>
      </c>
      <c r="J127" t="n">
        <v>38.3141942814237</v>
      </c>
      <c r="K127" t="n">
        <v>201</v>
      </c>
    </row>
    <row r="128">
      <c r="A128" t="n">
        <v>127</v>
      </c>
      <c r="C128" t="n">
        <v>9</v>
      </c>
      <c r="D128" t="n">
        <v>13</v>
      </c>
      <c r="E128" t="n">
        <v>5</v>
      </c>
      <c r="F128" t="n">
        <v>32113.8059841244</v>
      </c>
      <c r="G128" t="n">
        <v>21409.2039894163</v>
      </c>
      <c r="H128" t="n">
        <v>718612.39067118</v>
      </c>
      <c r="I128" t="n">
        <v>1198860.00494108</v>
      </c>
      <c r="J128" t="n">
        <v>38.3607608641598</v>
      </c>
      <c r="K128" t="n">
        <v>202</v>
      </c>
    </row>
    <row r="129">
      <c r="A129" t="n">
        <v>128</v>
      </c>
      <c r="C129" t="n">
        <v>9</v>
      </c>
      <c r="D129" t="n">
        <v>14</v>
      </c>
      <c r="E129" t="n">
        <v>5</v>
      </c>
      <c r="F129" t="n">
        <v>32397.746913116</v>
      </c>
      <c r="G129" t="n">
        <v>21598.4979420773</v>
      </c>
      <c r="H129" t="n">
        <v>731965.3487822741</v>
      </c>
      <c r="I129" t="n">
        <v>1215454.24837794</v>
      </c>
      <c r="J129" t="n">
        <v>38.4077931127233</v>
      </c>
      <c r="K129" t="n">
        <v>203</v>
      </c>
    </row>
    <row r="130">
      <c r="A130" t="n">
        <v>129</v>
      </c>
      <c r="C130" t="n">
        <v>9</v>
      </c>
      <c r="D130" t="n">
        <v>15</v>
      </c>
      <c r="E130" t="n">
        <v>5</v>
      </c>
      <c r="F130" t="n">
        <v>32682.1224970083</v>
      </c>
      <c r="G130" t="n">
        <v>21788.0816646722</v>
      </c>
      <c r="H130" t="n">
        <v>745511.530352768</v>
      </c>
      <c r="I130" t="n">
        <v>1232190.62307342</v>
      </c>
      <c r="J130" t="n">
        <v>38.4552956837724</v>
      </c>
      <c r="K130" t="n">
        <v>204</v>
      </c>
    </row>
    <row r="131">
      <c r="A131" t="n">
        <v>130</v>
      </c>
      <c r="C131" t="n">
        <v>10</v>
      </c>
      <c r="D131" t="n">
        <v>1</v>
      </c>
      <c r="E131" t="n">
        <v>5</v>
      </c>
      <c r="F131" t="n">
        <v>32940.6217869384</v>
      </c>
      <c r="G131" t="n">
        <v>21960.4145246256</v>
      </c>
      <c r="H131" t="n">
        <v>757968.357025353</v>
      </c>
      <c r="I131" t="n">
        <v>1247521.37459489</v>
      </c>
      <c r="J131" t="n">
        <v>38.503273280532</v>
      </c>
      <c r="K131" t="n">
        <v>205</v>
      </c>
    </row>
    <row r="132">
      <c r="A132" t="n">
        <v>131</v>
      </c>
      <c r="C132" t="n">
        <v>10</v>
      </c>
      <c r="D132" t="n">
        <v>2</v>
      </c>
      <c r="E132" t="n">
        <v>5</v>
      </c>
      <c r="F132" t="n">
        <v>33177.2551883882</v>
      </c>
      <c r="G132" t="n">
        <v>22118.1701255922</v>
      </c>
      <c r="H132" t="n">
        <v>769493.660291692</v>
      </c>
      <c r="I132" t="n">
        <v>1261656.44907191</v>
      </c>
      <c r="J132" t="n">
        <v>38.5517306532592</v>
      </c>
      <c r="K132" t="n">
        <v>206</v>
      </c>
    </row>
    <row r="133">
      <c r="A133" t="n">
        <v>132</v>
      </c>
      <c r="C133" t="n">
        <v>10</v>
      </c>
      <c r="D133" t="n">
        <v>3</v>
      </c>
      <c r="E133" t="n">
        <v>5</v>
      </c>
      <c r="F133" t="n">
        <v>33414.2062027351</v>
      </c>
      <c r="G133" t="n">
        <v>22276.1374684901</v>
      </c>
      <c r="H133" t="n">
        <v>781156.4243384789</v>
      </c>
      <c r="I133" t="n">
        <v>1275891.98519872</v>
      </c>
      <c r="J133" t="n">
        <v>38.6006725997136</v>
      </c>
      <c r="K133" t="n">
        <v>207</v>
      </c>
    </row>
    <row r="134">
      <c r="A134" t="n">
        <v>133</v>
      </c>
      <c r="C134" t="n">
        <v>10</v>
      </c>
      <c r="D134" t="n">
        <v>4</v>
      </c>
      <c r="E134" t="n">
        <v>5</v>
      </c>
      <c r="F134" t="n">
        <v>33651.4748299792</v>
      </c>
      <c r="G134" t="n">
        <v>22434.3165533194</v>
      </c>
      <c r="H134" t="n">
        <v>792957.9911183669</v>
      </c>
      <c r="I134" t="n">
        <v>1290228.40844806</v>
      </c>
      <c r="J134" t="n">
        <v>38.6501039656326</v>
      </c>
      <c r="K134" t="n">
        <v>209</v>
      </c>
    </row>
    <row r="135">
      <c r="A135" t="n">
        <v>134</v>
      </c>
      <c r="C135" t="n">
        <v>10</v>
      </c>
      <c r="D135" t="n">
        <v>5</v>
      </c>
      <c r="E135" t="n">
        <v>5</v>
      </c>
      <c r="F135" t="n">
        <v>33889.0610701203</v>
      </c>
      <c r="G135" t="n">
        <v>22592.7073800802</v>
      </c>
      <c r="H135" t="n">
        <v>804899.71283569</v>
      </c>
      <c r="I135" t="n">
        <v>1304666.14518556</v>
      </c>
      <c r="J135" t="n">
        <v>38.7000296452108</v>
      </c>
      <c r="K135" t="n">
        <v>210</v>
      </c>
    </row>
    <row r="136">
      <c r="A136" t="n">
        <v>135</v>
      </c>
      <c r="C136" t="n">
        <v>10</v>
      </c>
      <c r="D136" t="n">
        <v>6</v>
      </c>
      <c r="E136" t="n">
        <v>5</v>
      </c>
      <c r="F136" t="n">
        <v>34126.9649231585</v>
      </c>
      <c r="G136" t="n">
        <v>22751.3099487723</v>
      </c>
      <c r="H136" t="n">
        <v>816982.952001487</v>
      </c>
      <c r="I136" t="n">
        <v>1319205.62267016</v>
      </c>
      <c r="J136" t="n">
        <v>38.7504545815848</v>
      </c>
      <c r="K136" t="n">
        <v>211</v>
      </c>
    </row>
    <row r="137">
      <c r="A137" t="n">
        <v>136</v>
      </c>
      <c r="C137" t="n">
        <v>10</v>
      </c>
      <c r="D137" t="n">
        <v>7</v>
      </c>
      <c r="E137" t="n">
        <v>5</v>
      </c>
      <c r="F137" t="n">
        <v>34365.1863890938</v>
      </c>
      <c r="G137" t="n">
        <v>22910.1242593959</v>
      </c>
      <c r="H137" t="n">
        <v>829209.081488704</v>
      </c>
      <c r="I137" t="n">
        <v>1333847.26905468</v>
      </c>
      <c r="J137" t="n">
        <v>38.8013837673225</v>
      </c>
      <c r="K137" t="n">
        <v>212</v>
      </c>
    </row>
    <row r="138">
      <c r="A138" t="n">
        <v>137</v>
      </c>
      <c r="C138" t="n">
        <v>10</v>
      </c>
      <c r="D138" t="n">
        <v>8</v>
      </c>
      <c r="E138" t="n">
        <v>5</v>
      </c>
      <c r="F138" t="n">
        <v>34603.7254679262</v>
      </c>
      <c r="G138" t="n">
        <v>23069.1503119508</v>
      </c>
      <c r="H138" t="n">
        <v>841579.4845875819</v>
      </c>
      <c r="I138" t="n">
        <v>1348591.51338622</v>
      </c>
      <c r="J138" t="n">
        <v>38.8528222449176</v>
      </c>
      <c r="K138" t="n">
        <v>213</v>
      </c>
    </row>
    <row r="139">
      <c r="A139" t="n">
        <v>138</v>
      </c>
      <c r="C139" t="n">
        <v>10</v>
      </c>
      <c r="D139" t="n">
        <v>9</v>
      </c>
      <c r="E139" t="n">
        <v>5</v>
      </c>
      <c r="F139" t="n">
        <v>34842.5821596558</v>
      </c>
      <c r="G139" t="n">
        <v>23228.3881064372</v>
      </c>
      <c r="H139" t="n">
        <v>854095.555061231</v>
      </c>
      <c r="I139" t="n">
        <v>1363438.7856067</v>
      </c>
      <c r="J139" t="n">
        <v>38.9047751072887</v>
      </c>
      <c r="K139" t="n">
        <v>214</v>
      </c>
    </row>
    <row r="140">
      <c r="A140" t="n">
        <v>139</v>
      </c>
      <c r="C140" t="n">
        <v>10</v>
      </c>
      <c r="D140" t="n">
        <v>10</v>
      </c>
      <c r="E140" t="n">
        <v>5</v>
      </c>
      <c r="F140" t="n">
        <v>35081.7564642824</v>
      </c>
      <c r="G140" t="n">
        <v>23387.8376428549</v>
      </c>
      <c r="H140" t="n">
        <v>866758.697201397</v>
      </c>
      <c r="I140" t="n">
        <v>1378389.51655333</v>
      </c>
      <c r="J140" t="n">
        <v>38.9572474982834</v>
      </c>
      <c r="K140" t="n">
        <v>215</v>
      </c>
    </row>
    <row r="141">
      <c r="A141" t="n">
        <v>140</v>
      </c>
      <c r="C141" t="n">
        <v>10</v>
      </c>
      <c r="D141" t="n">
        <v>11</v>
      </c>
      <c r="E141" t="n">
        <v>5</v>
      </c>
      <c r="F141" t="n">
        <v>35321.2483818061</v>
      </c>
      <c r="G141" t="n">
        <v>23547.4989212041</v>
      </c>
      <c r="H141" t="n">
        <v>879570.325884402</v>
      </c>
      <c r="I141" t="n">
        <v>1393444.13795912</v>
      </c>
      <c r="J141" t="n">
        <v>39.0102446131881</v>
      </c>
      <c r="K141" t="n">
        <v>216</v>
      </c>
    </row>
    <row r="142">
      <c r="A142" t="n">
        <v>141</v>
      </c>
      <c r="C142" t="n">
        <v>10</v>
      </c>
      <c r="D142" t="n">
        <v>12</v>
      </c>
      <c r="E142" t="n">
        <v>5</v>
      </c>
      <c r="F142" t="n">
        <v>35561.0579122269</v>
      </c>
      <c r="G142" t="n">
        <v>23707.3719414846</v>
      </c>
      <c r="H142" t="n">
        <v>892531.8666272759</v>
      </c>
      <c r="I142" t="n">
        <v>1408603.08245331</v>
      </c>
      <c r="J142" t="n">
        <v>39.0637716992419</v>
      </c>
      <c r="K142" t="n">
        <v>217</v>
      </c>
    </row>
    <row r="143">
      <c r="A143" t="n">
        <v>142</v>
      </c>
      <c r="C143" t="n">
        <v>10</v>
      </c>
      <c r="D143" t="n">
        <v>13</v>
      </c>
      <c r="E143" t="n">
        <v>5</v>
      </c>
      <c r="F143" t="n">
        <v>35801.1850555449</v>
      </c>
      <c r="G143" t="n">
        <v>23867.4567036966</v>
      </c>
      <c r="H143" t="n">
        <v>905644.755644088</v>
      </c>
      <c r="I143" t="n">
        <v>1423866.78356194</v>
      </c>
      <c r="J143" t="n">
        <v>39.1178340561562</v>
      </c>
      <c r="K143" t="n">
        <v>218</v>
      </c>
    </row>
    <row r="144">
      <c r="A144" t="n">
        <v>143</v>
      </c>
      <c r="C144" t="n">
        <v>10</v>
      </c>
      <c r="D144" t="n">
        <v>14</v>
      </c>
      <c r="E144" t="n">
        <v>5</v>
      </c>
      <c r="F144" t="n">
        <v>36041.6298117599</v>
      </c>
      <c r="G144" t="n">
        <v>24027.7532078399</v>
      </c>
      <c r="H144" t="n">
        <v>918910.439902437</v>
      </c>
      <c r="I144" t="n">
        <v>1439235.67570825</v>
      </c>
      <c r="J144" t="n">
        <v>39.1724370366396</v>
      </c>
      <c r="K144" t="n">
        <v>219</v>
      </c>
    </row>
    <row r="145">
      <c r="A145" t="n">
        <v>144</v>
      </c>
      <c r="C145" t="n">
        <v>10</v>
      </c>
      <c r="D145" t="n">
        <v>15</v>
      </c>
      <c r="E145" t="n">
        <v>5</v>
      </c>
      <c r="F145" t="n">
        <v>36282.392180872</v>
      </c>
      <c r="G145" t="n">
        <v>24188.2614539147</v>
      </c>
      <c r="H145" t="n">
        <v>932330.3771801631</v>
      </c>
      <c r="I145" t="n">
        <v>1454710.19421322</v>
      </c>
      <c r="J145" t="n">
        <v>39.2275860469279</v>
      </c>
      <c r="K145" t="n">
        <v>220</v>
      </c>
    </row>
    <row r="146">
      <c r="A146" t="n">
        <v>145</v>
      </c>
      <c r="C146" t="n">
        <v>11</v>
      </c>
      <c r="D146" t="n">
        <v>1</v>
      </c>
      <c r="E146" t="n">
        <v>5</v>
      </c>
      <c r="F146" t="n">
        <v>36502.9017574792</v>
      </c>
      <c r="G146" t="n">
        <v>24335.2678383195</v>
      </c>
      <c r="H146" t="n">
        <v>944736.740100976</v>
      </c>
      <c r="I146" t="n">
        <v>1468975.82144667</v>
      </c>
      <c r="J146" t="n">
        <v>39.283286547319</v>
      </c>
      <c r="K146" t="n">
        <v>221</v>
      </c>
    </row>
    <row r="147">
      <c r="A147" t="n">
        <v>146</v>
      </c>
      <c r="C147" t="n">
        <v>11</v>
      </c>
      <c r="D147" t="n">
        <v>2</v>
      </c>
      <c r="E147" t="n">
        <v>5</v>
      </c>
      <c r="F147" t="n">
        <v>36706.3036658168</v>
      </c>
      <c r="G147" t="n">
        <v>24470.8691105446</v>
      </c>
      <c r="H147" t="n">
        <v>956281.237189549</v>
      </c>
      <c r="I147" t="n">
        <v>1482216.44272426</v>
      </c>
      <c r="J147" t="n">
        <v>39.3395440527141</v>
      </c>
      <c r="K147" t="n">
        <v>222</v>
      </c>
    </row>
    <row r="148">
      <c r="A148" t="n">
        <v>147</v>
      </c>
      <c r="C148" t="n">
        <v>11</v>
      </c>
      <c r="D148" t="n">
        <v>3</v>
      </c>
      <c r="E148" t="n">
        <v>5</v>
      </c>
      <c r="F148" t="n">
        <v>36909.9434644092</v>
      </c>
      <c r="G148" t="n">
        <v>24606.6289762728</v>
      </c>
      <c r="H148" t="n">
        <v>967938.34373787</v>
      </c>
      <c r="I148" t="n">
        <v>1495533.98106693</v>
      </c>
      <c r="J148" t="n">
        <v>39.3963641331631</v>
      </c>
      <c r="K148" t="n">
        <v>223</v>
      </c>
    </row>
    <row r="149">
      <c r="A149" t="n">
        <v>148</v>
      </c>
      <c r="C149" t="n">
        <v>11</v>
      </c>
      <c r="D149" t="n">
        <v>4</v>
      </c>
      <c r="E149" t="n">
        <v>5</v>
      </c>
      <c r="F149" t="n">
        <v>37113.8211532564</v>
      </c>
      <c r="G149" t="n">
        <v>24742.5474355043</v>
      </c>
      <c r="H149" t="n">
        <v>979708.960954924</v>
      </c>
      <c r="I149" t="n">
        <v>1508928.7098391</v>
      </c>
      <c r="J149" t="n">
        <v>39.4537524144166</v>
      </c>
      <c r="K149" t="n">
        <v>224</v>
      </c>
    </row>
    <row r="150">
      <c r="A150" t="n">
        <v>149</v>
      </c>
      <c r="C150" t="n">
        <v>11</v>
      </c>
      <c r="D150" t="n">
        <v>5</v>
      </c>
      <c r="E150" t="n">
        <v>5</v>
      </c>
      <c r="F150" t="n">
        <v>37317.9367323583</v>
      </c>
      <c r="G150" t="n">
        <v>24878.6244882389</v>
      </c>
      <c r="H150" t="n">
        <v>991593.995702325</v>
      </c>
      <c r="I150" t="n">
        <v>1522400.90290121</v>
      </c>
      <c r="J150" t="n">
        <v>39.5117145784826</v>
      </c>
      <c r="K150" t="n">
        <v>225</v>
      </c>
    </row>
    <row r="151">
      <c r="A151" t="n">
        <v>150</v>
      </c>
      <c r="C151" t="n">
        <v>11</v>
      </c>
      <c r="D151" t="n">
        <v>6</v>
      </c>
      <c r="E151" t="n">
        <v>5</v>
      </c>
      <c r="F151" t="n">
        <v>37522.290201715</v>
      </c>
      <c r="G151" t="n">
        <v>25014.8601344766</v>
      </c>
      <c r="H151" t="n">
        <v>1003594.36051948</v>
      </c>
      <c r="I151" t="n">
        <v>1535950.83460991</v>
      </c>
      <c r="J151" t="n">
        <v>39.5702563641893</v>
      </c>
      <c r="K151" t="n">
        <v>226</v>
      </c>
    </row>
    <row r="152">
      <c r="A152" t="n">
        <v>151</v>
      </c>
      <c r="C152" t="n">
        <v>11</v>
      </c>
      <c r="D152" t="n">
        <v>7</v>
      </c>
      <c r="E152" t="n">
        <v>5</v>
      </c>
      <c r="F152" t="n">
        <v>37726.8815613264</v>
      </c>
      <c r="G152" t="n">
        <v>25151.2543742176</v>
      </c>
      <c r="H152" t="n">
        <v>1015710.9736488</v>
      </c>
      <c r="I152" t="n">
        <v>1549578.77981835</v>
      </c>
      <c r="J152" t="n">
        <v>39.6293835677531</v>
      </c>
      <c r="K152" t="n">
        <v>227</v>
      </c>
    </row>
    <row r="153">
      <c r="A153" t="n">
        <v>152</v>
      </c>
      <c r="C153" t="n">
        <v>11</v>
      </c>
      <c r="D153" t="n">
        <v>8</v>
      </c>
      <c r="E153" t="n">
        <v>5</v>
      </c>
      <c r="F153" t="n">
        <v>37931.7108111926</v>
      </c>
      <c r="G153" t="n">
        <v>25287.8072074617</v>
      </c>
      <c r="H153" t="n">
        <v>1027944.75906103</v>
      </c>
      <c r="I153" t="n">
        <v>1563285.0138764</v>
      </c>
      <c r="J153" t="n">
        <v>39.6891020433525</v>
      </c>
      <c r="K153" t="n">
        <v>227</v>
      </c>
    </row>
    <row r="154">
      <c r="A154" t="n">
        <v>153</v>
      </c>
      <c r="C154" t="n">
        <v>11</v>
      </c>
      <c r="D154" t="n">
        <v>9</v>
      </c>
      <c r="E154" t="n">
        <v>5</v>
      </c>
      <c r="F154" t="n">
        <v>38136.7779513135</v>
      </c>
      <c r="G154" t="n">
        <v>25424.518634209</v>
      </c>
      <c r="H154" t="n">
        <v>1040296.64648059</v>
      </c>
      <c r="I154" t="n">
        <v>1577069.8126309</v>
      </c>
      <c r="J154" t="n">
        <v>39.7494177037079</v>
      </c>
      <c r="K154" t="n">
        <v>228</v>
      </c>
    </row>
    <row r="155">
      <c r="A155" t="n">
        <v>154</v>
      </c>
      <c r="C155" t="n">
        <v>11</v>
      </c>
      <c r="D155" t="n">
        <v>10</v>
      </c>
      <c r="E155" t="n">
        <v>5</v>
      </c>
      <c r="F155" t="n">
        <v>38342.0829816892</v>
      </c>
      <c r="G155" t="n">
        <v>25561.3886544594</v>
      </c>
      <c r="H155" t="n">
        <v>1052767.57141103</v>
      </c>
      <c r="I155" t="n">
        <v>1590933.45242592</v>
      </c>
      <c r="J155" t="n">
        <v>39.8103365206668</v>
      </c>
      <c r="K155" t="n">
        <v>229</v>
      </c>
    </row>
    <row r="156">
      <c r="A156" t="n">
        <v>155</v>
      </c>
      <c r="C156" t="n">
        <v>11</v>
      </c>
      <c r="D156" t="n">
        <v>11</v>
      </c>
      <c r="E156" t="n">
        <v>5</v>
      </c>
      <c r="F156" t="n">
        <v>38547.6259023196</v>
      </c>
      <c r="G156" t="n">
        <v>25698.4172682131</v>
      </c>
      <c r="H156" t="n">
        <v>1065358.47516053</v>
      </c>
      <c r="I156" t="n">
        <v>1604876.210103</v>
      </c>
      <c r="J156" t="n">
        <v>39.8718645257953</v>
      </c>
      <c r="K156" t="n">
        <v>230</v>
      </c>
    </row>
    <row r="157">
      <c r="A157" t="n">
        <v>156</v>
      </c>
      <c r="C157" t="n">
        <v>11</v>
      </c>
      <c r="D157" t="n">
        <v>12</v>
      </c>
      <c r="E157" t="n">
        <v>5</v>
      </c>
      <c r="F157" t="n">
        <v>38753.4067132048</v>
      </c>
      <c r="G157" t="n">
        <v>25835.6044754699</v>
      </c>
      <c r="H157" t="n">
        <v>1078070.3048675</v>
      </c>
      <c r="I157" t="n">
        <v>1618898.36300139</v>
      </c>
      <c r="J157" t="n">
        <v>39.9340078109752</v>
      </c>
      <c r="K157" t="n">
        <v>231</v>
      </c>
    </row>
    <row r="158">
      <c r="A158" t="n">
        <v>157</v>
      </c>
      <c r="C158" t="n">
        <v>11</v>
      </c>
      <c r="D158" t="n">
        <v>13</v>
      </c>
      <c r="E158" t="n">
        <v>5</v>
      </c>
      <c r="F158" t="n">
        <v>38959.4254143447</v>
      </c>
      <c r="G158" t="n">
        <v>25972.9502762298</v>
      </c>
      <c r="H158" t="n">
        <v>1090904.01352621</v>
      </c>
      <c r="I158" t="n">
        <v>1633000.1889583</v>
      </c>
      <c r="J158" t="n">
        <v>39.9967725290068</v>
      </c>
      <c r="K158" t="n">
        <v>232</v>
      </c>
    </row>
    <row r="159">
      <c r="A159" t="n">
        <v>158</v>
      </c>
      <c r="C159" t="n">
        <v>11</v>
      </c>
      <c r="D159" t="n">
        <v>14</v>
      </c>
      <c r="E159" t="n">
        <v>5</v>
      </c>
      <c r="F159" t="n">
        <v>39165.6820057394</v>
      </c>
      <c r="G159" t="n">
        <v>26110.454670493</v>
      </c>
      <c r="H159" t="n">
        <v>1103860.56001256</v>
      </c>
      <c r="I159" t="n">
        <v>1647181.96630916</v>
      </c>
      <c r="J159" t="n">
        <v>40.0601648942187</v>
      </c>
      <c r="K159" t="n">
        <v>233</v>
      </c>
    </row>
    <row r="160">
      <c r="A160" t="n">
        <v>159</v>
      </c>
      <c r="C160" t="n">
        <v>11</v>
      </c>
      <c r="D160" t="n">
        <v>15</v>
      </c>
      <c r="E160" t="n">
        <v>5</v>
      </c>
      <c r="F160" t="n">
        <v>39372.1764873889</v>
      </c>
      <c r="G160" t="n">
        <v>26248.1176582593</v>
      </c>
      <c r="H160" t="n">
        <v>1116940.9091098</v>
      </c>
      <c r="I160" t="n">
        <v>1661443.97388784</v>
      </c>
      <c r="J160" t="n">
        <v>40.1241911830828</v>
      </c>
      <c r="K160" t="n">
        <v>234</v>
      </c>
    </row>
    <row r="161">
      <c r="A161" t="n">
        <v>160</v>
      </c>
      <c r="C161" t="n">
        <v>12</v>
      </c>
      <c r="D161" t="n">
        <v>1</v>
      </c>
      <c r="E161" t="n">
        <v>5</v>
      </c>
      <c r="F161" t="n">
        <v>39562.8601773199</v>
      </c>
      <c r="G161" t="n">
        <v>26375.2401182132</v>
      </c>
      <c r="H161" t="n">
        <v>1129115.08125373</v>
      </c>
      <c r="I161" t="n">
        <v>1674690.4784511</v>
      </c>
      <c r="J161" t="n">
        <v>40.1888577348355</v>
      </c>
      <c r="K161" t="n">
        <v>235</v>
      </c>
    </row>
    <row r="162">
      <c r="A162" t="n">
        <v>161</v>
      </c>
      <c r="C162" t="n">
        <v>12</v>
      </c>
      <c r="D162" t="n">
        <v>2</v>
      </c>
      <c r="E162" t="n">
        <v>5</v>
      </c>
      <c r="F162" t="n">
        <v>39740.192442493</v>
      </c>
      <c r="G162" t="n">
        <v>26493.4616283286</v>
      </c>
      <c r="H162" t="n">
        <v>1140522.16986367</v>
      </c>
      <c r="I162" t="n">
        <v>1687078.1380113</v>
      </c>
      <c r="J162" t="n">
        <v>40.2541709521057</v>
      </c>
      <c r="K162" t="n">
        <v>236</v>
      </c>
    </row>
    <row r="163">
      <c r="A163" t="n">
        <v>162</v>
      </c>
      <c r="C163" t="n">
        <v>12</v>
      </c>
      <c r="D163" t="n">
        <v>3</v>
      </c>
      <c r="E163" t="n">
        <v>5</v>
      </c>
      <c r="F163" t="n">
        <v>39917.7076967437</v>
      </c>
      <c r="G163" t="n">
        <v>26611.8051311624</v>
      </c>
      <c r="H163" t="n">
        <v>1152022.39224362</v>
      </c>
      <c r="I163" t="n">
        <v>1699526.14481934</v>
      </c>
      <c r="J163" t="n">
        <v>40.3201373015486</v>
      </c>
      <c r="K163" t="n">
        <v>236</v>
      </c>
    </row>
    <row r="164">
      <c r="A164" t="n">
        <v>163</v>
      </c>
      <c r="C164" t="n">
        <v>12</v>
      </c>
      <c r="D164" t="n">
        <v>4</v>
      </c>
      <c r="E164" t="n">
        <v>5</v>
      </c>
      <c r="F164" t="n">
        <v>40095.405940072</v>
      </c>
      <c r="G164" t="n">
        <v>26730.2706267147</v>
      </c>
      <c r="H164" t="n">
        <v>1163616.37353158</v>
      </c>
      <c r="I164" t="n">
        <v>1712034.68265956</v>
      </c>
      <c r="J164" t="n">
        <v>40.386763314486</v>
      </c>
      <c r="K164" t="n">
        <v>237</v>
      </c>
    </row>
    <row r="165">
      <c r="A165" t="n">
        <v>164</v>
      </c>
      <c r="C165" t="n">
        <v>12</v>
      </c>
      <c r="D165" t="n">
        <v>5</v>
      </c>
      <c r="E165" t="n">
        <v>5</v>
      </c>
      <c r="F165" t="n">
        <v>40273.2871724779</v>
      </c>
      <c r="G165" t="n">
        <v>26848.8581149853</v>
      </c>
      <c r="H165" t="n">
        <v>1175304.74216067</v>
      </c>
      <c r="I165" t="n">
        <v>1724603.93560932</v>
      </c>
      <c r="J165" t="n">
        <v>40.4540555875527</v>
      </c>
      <c r="K165" t="n">
        <v>238</v>
      </c>
    </row>
    <row r="166">
      <c r="A166" t="n">
        <v>165</v>
      </c>
      <c r="C166" t="n">
        <v>12</v>
      </c>
      <c r="D166" t="n">
        <v>6</v>
      </c>
      <c r="E166" t="n">
        <v>5</v>
      </c>
      <c r="F166" t="n">
        <v>40451.3513939615</v>
      </c>
      <c r="G166" t="n">
        <v>26967.5675959743</v>
      </c>
      <c r="H166" t="n">
        <v>1187088.12987151</v>
      </c>
      <c r="I166" t="n">
        <v>1737234.08803906</v>
      </c>
      <c r="J166" t="n">
        <v>40.5220207833501</v>
      </c>
      <c r="K166" t="n">
        <v>239</v>
      </c>
    </row>
    <row r="167">
      <c r="A167" t="n">
        <v>166</v>
      </c>
      <c r="C167" t="n">
        <v>12</v>
      </c>
      <c r="D167" t="n">
        <v>7</v>
      </c>
      <c r="E167" t="n">
        <v>5</v>
      </c>
      <c r="F167" t="n">
        <v>40629.5986045227</v>
      </c>
      <c r="G167" t="n">
        <v>27086.3990696818</v>
      </c>
      <c r="H167" t="n">
        <v>1198967.1717247</v>
      </c>
      <c r="I167" t="n">
        <v>1749925.3246125</v>
      </c>
      <c r="J167" t="n">
        <v>40.5906656311055</v>
      </c>
      <c r="K167" t="n">
        <v>240</v>
      </c>
    </row>
    <row r="168">
      <c r="A168" t="n">
        <v>167</v>
      </c>
      <c r="C168" t="n">
        <v>12</v>
      </c>
      <c r="D168" t="n">
        <v>8</v>
      </c>
      <c r="E168" t="n">
        <v>5</v>
      </c>
      <c r="F168" t="n">
        <v>40808.0288041614</v>
      </c>
      <c r="G168" t="n">
        <v>27205.3525361076</v>
      </c>
      <c r="H168" t="n">
        <v>1210942.50611328</v>
      </c>
      <c r="I168" t="n">
        <v>1762677.83028673</v>
      </c>
      <c r="J168" t="n">
        <v>40.6599969273384</v>
      </c>
      <c r="K168" t="n">
        <v>240</v>
      </c>
    </row>
    <row r="169">
      <c r="A169" t="n">
        <v>168</v>
      </c>
      <c r="C169" t="n">
        <v>12</v>
      </c>
      <c r="D169" t="n">
        <v>9</v>
      </c>
      <c r="E169" t="n">
        <v>5</v>
      </c>
      <c r="F169" t="n">
        <v>40986.6419928778</v>
      </c>
      <c r="G169" t="n">
        <v>27324.4279952519</v>
      </c>
      <c r="H169" t="n">
        <v>1223014.77477528</v>
      </c>
      <c r="I169" t="n">
        <v>1775491.79031239</v>
      </c>
      <c r="J169" t="n">
        <v>40.7300215365336</v>
      </c>
      <c r="K169" t="n">
        <v>241</v>
      </c>
    </row>
    <row r="170">
      <c r="A170" t="n">
        <v>169</v>
      </c>
      <c r="C170" t="n">
        <v>12</v>
      </c>
      <c r="D170" t="n">
        <v>10</v>
      </c>
      <c r="E170" t="n">
        <v>5</v>
      </c>
      <c r="F170" t="n">
        <v>41165.4381706718</v>
      </c>
      <c r="G170" t="n">
        <v>27443.6254471146</v>
      </c>
      <c r="H170" t="n">
        <v>1235184.6228062</v>
      </c>
      <c r="I170" t="n">
        <v>1788367.39023376</v>
      </c>
      <c r="J170" t="n">
        <v>40.8007463918208</v>
      </c>
      <c r="K170" t="n">
        <v>242</v>
      </c>
    </row>
    <row r="171">
      <c r="A171" t="n">
        <v>170</v>
      </c>
      <c r="C171" t="n">
        <v>12</v>
      </c>
      <c r="D171" t="n">
        <v>11</v>
      </c>
      <c r="E171" t="n">
        <v>5</v>
      </c>
      <c r="F171" t="n">
        <v>41344.4173375434</v>
      </c>
      <c r="G171" t="n">
        <v>27562.9448916956</v>
      </c>
      <c r="H171" t="n">
        <v>1247452.69867163</v>
      </c>
      <c r="I171" t="n">
        <v>1801304.81588891</v>
      </c>
      <c r="J171" t="n">
        <v>40.8721784956609</v>
      </c>
      <c r="K171" t="n">
        <v>243</v>
      </c>
    </row>
    <row r="172">
      <c r="A172" t="n">
        <v>171</v>
      </c>
      <c r="C172" t="n">
        <v>12</v>
      </c>
      <c r="D172" t="n">
        <v>12</v>
      </c>
      <c r="E172" t="n">
        <v>5</v>
      </c>
      <c r="F172" t="n">
        <v>41523.5794934927</v>
      </c>
      <c r="G172" t="n">
        <v>27682.3863289951</v>
      </c>
      <c r="H172" t="n">
        <v>1259819.65421983</v>
      </c>
      <c r="I172" t="n">
        <v>1814304.25340985</v>
      </c>
      <c r="J172" t="n">
        <v>40.9443249205394</v>
      </c>
      <c r="K172" t="n">
        <v>244</v>
      </c>
    </row>
    <row r="173">
      <c r="A173" t="n">
        <v>172</v>
      </c>
      <c r="C173" t="n">
        <v>12</v>
      </c>
      <c r="D173" t="n">
        <v>13</v>
      </c>
      <c r="E173" t="n">
        <v>5</v>
      </c>
      <c r="F173" t="n">
        <v>41702.9246385195</v>
      </c>
      <c r="G173" t="n">
        <v>27801.949759013</v>
      </c>
      <c r="H173" t="n">
        <v>1272286.14469434</v>
      </c>
      <c r="I173" t="n">
        <v>1827365.88922263</v>
      </c>
      <c r="J173" t="n">
        <v>41.0171928096667</v>
      </c>
      <c r="K173" t="n">
        <v>245</v>
      </c>
    </row>
    <row r="174">
      <c r="A174" t="n">
        <v>173</v>
      </c>
      <c r="C174" t="n">
        <v>12</v>
      </c>
      <c r="D174" t="n">
        <v>14</v>
      </c>
      <c r="E174" t="n">
        <v>5</v>
      </c>
      <c r="F174" t="n">
        <v>41882.452772624</v>
      </c>
      <c r="G174" t="n">
        <v>27921.6351817493</v>
      </c>
      <c r="H174" t="n">
        <v>1284852.8287467</v>
      </c>
      <c r="I174" t="n">
        <v>1840489.9100475</v>
      </c>
      <c r="J174" t="n">
        <v>41.0907893776852</v>
      </c>
      <c r="K174" t="n">
        <v>245</v>
      </c>
    </row>
    <row r="175">
      <c r="A175" t="n">
        <v>174</v>
      </c>
      <c r="C175" t="n">
        <v>12</v>
      </c>
      <c r="D175" t="n">
        <v>15</v>
      </c>
      <c r="E175" t="n">
        <v>5</v>
      </c>
      <c r="F175" t="n">
        <v>42062.1638958061</v>
      </c>
      <c r="G175" t="n">
        <v>28041.442597204</v>
      </c>
      <c r="H175" t="n">
        <v>1297520.36844906</v>
      </c>
      <c r="I175" t="n">
        <v>1853676.50289907</v>
      </c>
      <c r="J175" t="n">
        <v>41.1651219113839</v>
      </c>
      <c r="K175" t="n">
        <v>246</v>
      </c>
    </row>
    <row r="176">
      <c r="A176" t="n">
        <v>175</v>
      </c>
      <c r="C176" t="n">
        <v>13</v>
      </c>
      <c r="D176" t="n">
        <v>1</v>
      </c>
      <c r="E176" t="n">
        <v>5</v>
      </c>
      <c r="F176" t="n">
        <v>42229.5572459456</v>
      </c>
      <c r="G176" t="n">
        <v>28153.0381639637</v>
      </c>
      <c r="H176" t="n">
        <v>1309401.49905533</v>
      </c>
      <c r="I176" t="n">
        <v>1866024.64599777</v>
      </c>
      <c r="J176" t="n">
        <v>41.2401977704196</v>
      </c>
      <c r="K176" t="n">
        <v>247</v>
      </c>
    </row>
    <row r="177">
      <c r="A177" t="n">
        <v>176</v>
      </c>
      <c r="C177" t="n">
        <v>13</v>
      </c>
      <c r="D177" t="n">
        <v>2</v>
      </c>
      <c r="E177" t="n">
        <v>5</v>
      </c>
      <c r="F177" t="n">
        <v>42386.5514896177</v>
      </c>
      <c r="G177" t="n">
        <v>28257.7009930785</v>
      </c>
      <c r="H177" t="n">
        <v>1320619.49238058</v>
      </c>
      <c r="I177" t="n">
        <v>1877665.20238618</v>
      </c>
      <c r="J177" t="n">
        <v>41.3160243880457</v>
      </c>
      <c r="K177" t="n">
        <v>248</v>
      </c>
    </row>
    <row r="178">
      <c r="A178" t="n">
        <v>177</v>
      </c>
      <c r="C178" t="n">
        <v>13</v>
      </c>
      <c r="D178" t="n">
        <v>3</v>
      </c>
      <c r="E178" t="n">
        <v>5</v>
      </c>
      <c r="F178" t="n">
        <v>42543.6904662475</v>
      </c>
      <c r="G178" t="n">
        <v>28362.4603108317</v>
      </c>
      <c r="H178" t="n">
        <v>1331915.87274714</v>
      </c>
      <c r="I178" t="n">
        <v>1889354.44010575</v>
      </c>
      <c r="J178" t="n">
        <v>41.392609271848</v>
      </c>
      <c r="K178" t="n">
        <v>248</v>
      </c>
    </row>
    <row r="179">
      <c r="A179" t="n">
        <v>178</v>
      </c>
      <c r="C179" t="n">
        <v>13</v>
      </c>
      <c r="D179" t="n">
        <v>4</v>
      </c>
      <c r="E179" t="n">
        <v>5</v>
      </c>
      <c r="F179" t="n">
        <v>42700.9741758349</v>
      </c>
      <c r="G179" t="n">
        <v>28467.3161172232</v>
      </c>
      <c r="H179" t="n">
        <v>1343291.09127087</v>
      </c>
      <c r="I179" t="n">
        <v>1901092.48870919</v>
      </c>
      <c r="J179" t="n">
        <v>41.4699600044884</v>
      </c>
      <c r="K179" t="n">
        <v>249</v>
      </c>
    </row>
    <row r="180">
      <c r="A180" t="n">
        <v>179</v>
      </c>
      <c r="C180" t="n">
        <v>13</v>
      </c>
      <c r="D180" t="n">
        <v>5</v>
      </c>
      <c r="E180" t="n">
        <v>5</v>
      </c>
      <c r="F180" t="n">
        <v>42858.4026183798</v>
      </c>
      <c r="G180" t="n">
        <v>28572.2684122532</v>
      </c>
      <c r="H180" t="n">
        <v>1354745.60111033</v>
      </c>
      <c r="I180" t="n">
        <v>1912879.47793354</v>
      </c>
      <c r="J180" t="n">
        <v>41.5480842444551</v>
      </c>
      <c r="K180" t="n">
        <v>250</v>
      </c>
    </row>
    <row r="181">
      <c r="A181" t="n">
        <v>180</v>
      </c>
      <c r="C181" t="n">
        <v>13</v>
      </c>
      <c r="D181" t="n">
        <v>6</v>
      </c>
      <c r="E181" t="n">
        <v>5</v>
      </c>
      <c r="F181" t="n">
        <v>43015.9757938824</v>
      </c>
      <c r="G181" t="n">
        <v>28677.3171959216</v>
      </c>
      <c r="H181" t="n">
        <v>1366279.85747347</v>
      </c>
      <c r="I181" t="n">
        <v>1924715.5377002</v>
      </c>
      <c r="J181" t="n">
        <v>41.6269897268215</v>
      </c>
      <c r="K181" t="n">
        <v>251</v>
      </c>
    </row>
    <row r="182">
      <c r="A182" t="n">
        <v>181</v>
      </c>
      <c r="C182" t="n">
        <v>13</v>
      </c>
      <c r="D182" t="n">
        <v>7</v>
      </c>
      <c r="E182" t="n">
        <v>5</v>
      </c>
      <c r="F182" t="n">
        <v>43173.6937023426</v>
      </c>
      <c r="G182" t="n">
        <v>28782.4624682284</v>
      </c>
      <c r="H182" t="n">
        <v>1377894.31762429</v>
      </c>
      <c r="I182" t="n">
        <v>1936600.79811508</v>
      </c>
      <c r="J182" t="n">
        <v>41.7066842640116</v>
      </c>
      <c r="K182" t="n">
        <v>251</v>
      </c>
    </row>
    <row r="183">
      <c r="A183" t="n">
        <v>182</v>
      </c>
      <c r="C183" t="n">
        <v>13</v>
      </c>
      <c r="D183" t="n">
        <v>8</v>
      </c>
      <c r="E183" t="n">
        <v>5</v>
      </c>
      <c r="F183" t="n">
        <v>43331.5563437603</v>
      </c>
      <c r="G183" t="n">
        <v>28887.7042291736</v>
      </c>
      <c r="H183" t="n">
        <v>1389589.4408895</v>
      </c>
      <c r="I183" t="n">
        <v>1948535.3894686</v>
      </c>
      <c r="J183" t="n">
        <v>41.7871757465736</v>
      </c>
      <c r="K183" t="n">
        <v>252</v>
      </c>
    </row>
    <row r="184">
      <c r="A184" t="n">
        <v>183</v>
      </c>
      <c r="C184" t="n">
        <v>13</v>
      </c>
      <c r="D184" t="n">
        <v>9</v>
      </c>
      <c r="E184" t="n">
        <v>5</v>
      </c>
      <c r="F184" t="n">
        <v>43489.5637181357</v>
      </c>
      <c r="G184" t="n">
        <v>28993.0424787571</v>
      </c>
      <c r="H184" t="n">
        <v>1401365.68866524</v>
      </c>
      <c r="I184" t="n">
        <v>1960519.44223585</v>
      </c>
      <c r="J184" t="n">
        <v>41.8684721439612</v>
      </c>
      <c r="K184" t="n">
        <v>253</v>
      </c>
    </row>
    <row r="185">
      <c r="A185" t="n">
        <v>184</v>
      </c>
      <c r="C185" t="n">
        <v>13</v>
      </c>
      <c r="D185" t="n">
        <v>10</v>
      </c>
      <c r="E185" t="n">
        <v>5</v>
      </c>
      <c r="F185" t="n">
        <v>43647.7158254687</v>
      </c>
      <c r="G185" t="n">
        <v>29098.4772169791</v>
      </c>
      <c r="H185" t="n">
        <v>1413223.5244238</v>
      </c>
      <c r="I185" t="n">
        <v>1972553.08707659</v>
      </c>
      <c r="J185" t="n">
        <v>41.9505815053227</v>
      </c>
      <c r="K185" t="n">
        <v>254</v>
      </c>
    </row>
    <row r="186">
      <c r="A186" t="n">
        <v>185</v>
      </c>
      <c r="C186" t="n">
        <v>13</v>
      </c>
      <c r="D186" t="n">
        <v>11</v>
      </c>
      <c r="E186" t="n">
        <v>5</v>
      </c>
      <c r="F186" t="n">
        <v>43806.0126657592</v>
      </c>
      <c r="G186" t="n">
        <v>29204.0084438395</v>
      </c>
      <c r="H186" t="n">
        <v>1425163.41372032</v>
      </c>
      <c r="I186" t="n">
        <v>1984636.45483537</v>
      </c>
      <c r="J186" t="n">
        <v>42.0335119602978</v>
      </c>
      <c r="K186" t="n">
        <v>254</v>
      </c>
    </row>
    <row r="187">
      <c r="A187" t="n">
        <v>186</v>
      </c>
      <c r="C187" t="n">
        <v>13</v>
      </c>
      <c r="D187" t="n">
        <v>12</v>
      </c>
      <c r="E187" t="n">
        <v>5</v>
      </c>
      <c r="F187" t="n">
        <v>43964.4542390074</v>
      </c>
      <c r="G187" t="n">
        <v>29309.6361593383</v>
      </c>
      <c r="H187" t="n">
        <v>1437185.82419955</v>
      </c>
      <c r="I187" t="n">
        <v>1996769.67654163</v>
      </c>
      <c r="J187" t="n">
        <v>42.1172717198226</v>
      </c>
      <c r="K187" t="n">
        <v>255</v>
      </c>
    </row>
    <row r="188">
      <c r="A188" t="n">
        <v>187</v>
      </c>
      <c r="C188" t="n">
        <v>13</v>
      </c>
      <c r="D188" t="n">
        <v>13</v>
      </c>
      <c r="E188" t="n">
        <v>5</v>
      </c>
      <c r="F188" t="n">
        <v>44123.0405452132</v>
      </c>
      <c r="G188" t="n">
        <v>29415.3603634755</v>
      </c>
      <c r="H188" t="n">
        <v>1449291.22560258</v>
      </c>
      <c r="I188" t="n">
        <v>2008952.88340971</v>
      </c>
      <c r="J188" t="n">
        <v>42.2018690769427</v>
      </c>
      <c r="K188" t="n">
        <v>256</v>
      </c>
    </row>
    <row r="189">
      <c r="A189" t="n">
        <v>188</v>
      </c>
      <c r="C189" t="n">
        <v>13</v>
      </c>
      <c r="D189" t="n">
        <v>14</v>
      </c>
      <c r="E189" t="n">
        <v>5</v>
      </c>
      <c r="F189" t="n">
        <v>44281.7715843766</v>
      </c>
      <c r="G189" t="n">
        <v>29521.181056251</v>
      </c>
      <c r="H189" t="n">
        <v>1461480.08977365</v>
      </c>
      <c r="I189" t="n">
        <v>2021186.206839</v>
      </c>
      <c r="J189" t="n">
        <v>42.287312407634</v>
      </c>
      <c r="K189" t="n">
        <v>257</v>
      </c>
    </row>
    <row r="190">
      <c r="A190" t="n">
        <v>189</v>
      </c>
      <c r="C190" t="n">
        <v>13</v>
      </c>
      <c r="D190" t="n">
        <v>15</v>
      </c>
      <c r="E190" t="n">
        <v>5</v>
      </c>
      <c r="F190" t="n">
        <v>44440.6473564975</v>
      </c>
      <c r="G190" t="n">
        <v>29627.098237665</v>
      </c>
      <c r="H190" t="n">
        <v>1473752.89066686</v>
      </c>
      <c r="I190" t="n">
        <v>2033469.77841399</v>
      </c>
      <c r="J190" t="n">
        <v>42.3736101716322</v>
      </c>
      <c r="K190" t="n">
        <v>257</v>
      </c>
    </row>
    <row r="191">
      <c r="A191" t="n">
        <v>190</v>
      </c>
      <c r="C191" t="n">
        <v>14</v>
      </c>
      <c r="D191" t="n">
        <v>1</v>
      </c>
      <c r="E191" t="n">
        <v>5</v>
      </c>
      <c r="F191" t="n">
        <v>44589.9423974624</v>
      </c>
      <c r="G191" t="n">
        <v>29726.628264975</v>
      </c>
      <c r="H191" t="n">
        <v>1485358.61627873</v>
      </c>
      <c r="I191" t="n">
        <v>2045070.07669524</v>
      </c>
      <c r="J191" t="n">
        <v>42.4607709132704</v>
      </c>
      <c r="K191" t="n">
        <v>258</v>
      </c>
    </row>
    <row r="192">
      <c r="A192" t="n">
        <v>191</v>
      </c>
      <c r="C192" t="n">
        <v>14</v>
      </c>
      <c r="D192" t="n">
        <v>2</v>
      </c>
      <c r="E192" t="n">
        <v>5</v>
      </c>
      <c r="F192" t="n">
        <v>44731.1507991921</v>
      </c>
      <c r="G192" t="n">
        <v>29820.7671994614</v>
      </c>
      <c r="H192" t="n">
        <v>1496403.83683261</v>
      </c>
      <c r="I192" t="n">
        <v>2056094.86709971</v>
      </c>
      <c r="J192" t="n">
        <v>42.548803262325</v>
      </c>
      <c r="K192" t="n">
        <v>259</v>
      </c>
    </row>
    <row r="193">
      <c r="A193" t="n">
        <v>192</v>
      </c>
      <c r="C193" t="n">
        <v>14</v>
      </c>
      <c r="D193" t="n">
        <v>3</v>
      </c>
      <c r="E193" t="n">
        <v>5</v>
      </c>
      <c r="F193" t="n">
        <v>44872.476946103</v>
      </c>
      <c r="G193" t="n">
        <v>29914.9846307354</v>
      </c>
      <c r="H193" t="n">
        <v>1507516.52441406</v>
      </c>
      <c r="I193" t="n">
        <v>2067160.09543407</v>
      </c>
      <c r="J193" t="n">
        <v>42.6377159348701</v>
      </c>
      <c r="K193" t="n">
        <v>260</v>
      </c>
    </row>
    <row r="194">
      <c r="A194" t="n">
        <v>193</v>
      </c>
      <c r="C194" t="n">
        <v>14</v>
      </c>
      <c r="D194" t="n">
        <v>4</v>
      </c>
      <c r="E194" t="n">
        <v>5</v>
      </c>
      <c r="F194" t="n">
        <v>45013.9208381953</v>
      </c>
      <c r="G194" t="n">
        <v>30009.2805587969</v>
      </c>
      <c r="H194" t="n">
        <v>1518697.01896005</v>
      </c>
      <c r="I194" t="n">
        <v>2078265.85746423</v>
      </c>
      <c r="J194" t="n">
        <v>42.7275177341407</v>
      </c>
      <c r="K194" t="n">
        <v>260</v>
      </c>
    </row>
    <row r="195">
      <c r="A195" t="n">
        <v>194</v>
      </c>
      <c r="C195" t="n">
        <v>14</v>
      </c>
      <c r="D195" t="n">
        <v>5</v>
      </c>
      <c r="E195" t="n">
        <v>5</v>
      </c>
      <c r="F195" t="n">
        <v>45155.4824754689</v>
      </c>
      <c r="G195" t="n">
        <v>30103.6549836459</v>
      </c>
      <c r="H195" t="n">
        <v>1529945.66175761</v>
      </c>
      <c r="I195" t="n">
        <v>2089412.24907948</v>
      </c>
      <c r="J195" t="n">
        <v>42.818217551404</v>
      </c>
      <c r="K195" t="n">
        <v>261</v>
      </c>
    </row>
    <row r="196">
      <c r="A196" t="n">
        <v>195</v>
      </c>
      <c r="C196" t="n">
        <v>14</v>
      </c>
      <c r="D196" t="n">
        <v>6</v>
      </c>
      <c r="E196" t="n">
        <v>5</v>
      </c>
      <c r="F196" t="n">
        <v>45297.1618579237</v>
      </c>
      <c r="G196" t="n">
        <v>30198.1079052825</v>
      </c>
      <c r="H196" t="n">
        <v>1541262.7954477</v>
      </c>
      <c r="I196" t="n">
        <v>2100599.36629256</v>
      </c>
      <c r="J196" t="n">
        <v>42.9098243668399</v>
      </c>
      <c r="K196" t="n">
        <v>262</v>
      </c>
    </row>
    <row r="197">
      <c r="A197" t="n">
        <v>196</v>
      </c>
      <c r="C197" t="n">
        <v>14</v>
      </c>
      <c r="D197" t="n">
        <v>7</v>
      </c>
      <c r="E197" t="n">
        <v>5</v>
      </c>
      <c r="F197" t="n">
        <v>45438.9589855599</v>
      </c>
      <c r="G197" t="n">
        <v>30292.6393237066</v>
      </c>
      <c r="H197" t="n">
        <v>1552648.7640291</v>
      </c>
      <c r="I197" t="n">
        <v>2111827.30523971</v>
      </c>
      <c r="J197" t="n">
        <v>43.0023472504301</v>
      </c>
      <c r="K197" t="n">
        <v>262</v>
      </c>
    </row>
    <row r="198">
      <c r="A198" t="n">
        <v>197</v>
      </c>
      <c r="C198" t="n">
        <v>14</v>
      </c>
      <c r="D198" t="n">
        <v>8</v>
      </c>
      <c r="E198" t="n">
        <v>5</v>
      </c>
      <c r="F198" t="n">
        <v>45580.8738583774</v>
      </c>
      <c r="G198" t="n">
        <v>30387.2492389183</v>
      </c>
      <c r="H198" t="n">
        <v>1564103.91286231</v>
      </c>
      <c r="I198" t="n">
        <v>2123096.1621807</v>
      </c>
      <c r="J198" t="n">
        <v>43.0957953628563</v>
      </c>
      <c r="K198" t="n">
        <v>263</v>
      </c>
    </row>
    <row r="199">
      <c r="A199" t="n">
        <v>198</v>
      </c>
      <c r="C199" t="n">
        <v>14</v>
      </c>
      <c r="D199" t="n">
        <v>9</v>
      </c>
      <c r="E199" t="n">
        <v>5</v>
      </c>
      <c r="F199" t="n">
        <v>45722.9064763762</v>
      </c>
      <c r="G199" t="n">
        <v>30481.9376509175</v>
      </c>
      <c r="H199" t="n">
        <v>1575628.58867343</v>
      </c>
      <c r="I199" t="n">
        <v>2134406.03349888</v>
      </c>
      <c r="J199" t="n">
        <v>43.1901779564067</v>
      </c>
      <c r="K199" t="n">
        <v>264</v>
      </c>
    </row>
    <row r="200">
      <c r="A200" t="n">
        <v>199</v>
      </c>
      <c r="C200" t="n">
        <v>14</v>
      </c>
      <c r="D200" t="n">
        <v>10</v>
      </c>
      <c r="E200" t="n">
        <v>5</v>
      </c>
      <c r="F200" t="n">
        <v>45865.0568395563</v>
      </c>
      <c r="G200" t="n">
        <v>30576.7045597042</v>
      </c>
      <c r="H200" t="n">
        <v>1587223.13955809</v>
      </c>
      <c r="I200" t="n">
        <v>2145757.01570127</v>
      </c>
      <c r="J200" t="n">
        <v>43.2855043758927</v>
      </c>
      <c r="K200" t="n">
        <v>264</v>
      </c>
    </row>
    <row r="201">
      <c r="A201" t="n">
        <v>200</v>
      </c>
      <c r="C201" t="n">
        <v>14</v>
      </c>
      <c r="D201" t="n">
        <v>11</v>
      </c>
      <c r="E201" t="n">
        <v>5</v>
      </c>
      <c r="F201" t="n">
        <v>46007.3249479177</v>
      </c>
      <c r="G201" t="n">
        <v>30671.5499652785</v>
      </c>
      <c r="H201" t="n">
        <v>1598887.91498532</v>
      </c>
      <c r="I201" t="n">
        <v>2157149.20541855</v>
      </c>
      <c r="J201" t="n">
        <v>43.3817840595735</v>
      </c>
      <c r="K201" t="n">
        <v>265</v>
      </c>
    </row>
    <row r="202">
      <c r="A202" t="n">
        <v>201</v>
      </c>
      <c r="C202" t="n">
        <v>14</v>
      </c>
      <c r="D202" t="n">
        <v>12</v>
      </c>
      <c r="E202" t="n">
        <v>5</v>
      </c>
      <c r="F202" t="n">
        <v>46149.7108014604</v>
      </c>
      <c r="G202" t="n">
        <v>30766.4738676403</v>
      </c>
      <c r="H202" t="n">
        <v>1610623.26580153</v>
      </c>
      <c r="I202" t="n">
        <v>2168582.69940516</v>
      </c>
      <c r="J202" t="n">
        <v>43.4790265400911</v>
      </c>
      <c r="K202" t="n">
        <v>266</v>
      </c>
    </row>
    <row r="203">
      <c r="A203" t="n">
        <v>202</v>
      </c>
      <c r="C203" t="n">
        <v>14</v>
      </c>
      <c r="D203" t="n">
        <v>13</v>
      </c>
      <c r="E203" t="n">
        <v>5</v>
      </c>
      <c r="F203" t="n">
        <v>46292.2144001844</v>
      </c>
      <c r="G203" t="n">
        <v>30861.4762667896</v>
      </c>
      <c r="H203" t="n">
        <v>1622429.54423439</v>
      </c>
      <c r="I203" t="n">
        <v>2180057.5945393</v>
      </c>
      <c r="J203" t="n">
        <v>43.5772414454138</v>
      </c>
      <c r="K203" t="n">
        <v>267</v>
      </c>
    </row>
    <row r="204">
      <c r="A204" t="n">
        <v>203</v>
      </c>
      <c r="C204" t="n">
        <v>14</v>
      </c>
      <c r="D204" t="n">
        <v>14</v>
      </c>
      <c r="E204" t="n">
        <v>5</v>
      </c>
      <c r="F204" t="n">
        <v>46434.8357440898</v>
      </c>
      <c r="G204" t="n">
        <v>30956.5571627265</v>
      </c>
      <c r="H204" t="n">
        <v>1634307.10389677</v>
      </c>
      <c r="I204" t="n">
        <v>2191573.98782304</v>
      </c>
      <c r="J204" t="n">
        <v>43.6764384997899</v>
      </c>
      <c r="K204" t="n">
        <v>267</v>
      </c>
    </row>
    <row r="205">
      <c r="A205" t="n">
        <v>204</v>
      </c>
      <c r="C205" t="n">
        <v>14</v>
      </c>
      <c r="D205" t="n">
        <v>15</v>
      </c>
      <c r="E205" t="n">
        <v>5</v>
      </c>
      <c r="F205" t="n">
        <v>46577.5748331764</v>
      </c>
      <c r="G205" t="n">
        <v>31051.7165554509</v>
      </c>
      <c r="H205" t="n">
        <v>1646256.29979071</v>
      </c>
      <c r="I205" t="n">
        <v>2203131.97638233</v>
      </c>
      <c r="J205" t="n">
        <v>43.7766275247096</v>
      </c>
      <c r="K205" t="n">
        <v>268</v>
      </c>
    </row>
    <row r="206">
      <c r="A206" t="n">
        <v>205</v>
      </c>
      <c r="C206" t="n">
        <v>15</v>
      </c>
      <c r="D206" t="n">
        <v>1</v>
      </c>
      <c r="E206" t="n">
        <v>5</v>
      </c>
      <c r="F206" t="n">
        <v>46712.8718746922</v>
      </c>
      <c r="G206" t="n">
        <v>31141.9145831281</v>
      </c>
      <c r="H206" t="n">
        <v>1657649.79878015</v>
      </c>
      <c r="I206" t="n">
        <v>2214138.83140036</v>
      </c>
      <c r="J206" t="n">
        <v>43.8778184398786</v>
      </c>
      <c r="K206" t="n">
        <v>269</v>
      </c>
    </row>
    <row r="207">
      <c r="A207" t="n">
        <v>206</v>
      </c>
      <c r="C207" t="n">
        <v>15</v>
      </c>
      <c r="D207" t="n">
        <v>2</v>
      </c>
      <c r="E207" t="n">
        <v>5</v>
      </c>
      <c r="F207" t="n">
        <v>46841.8886745646</v>
      </c>
      <c r="G207" t="n">
        <v>31227.9257830431</v>
      </c>
      <c r="H207" t="n">
        <v>1668578.05099321</v>
      </c>
      <c r="I207" t="n">
        <v>2224682.36762306</v>
      </c>
      <c r="J207" t="n">
        <v>43.9800212641992</v>
      </c>
      <c r="K207" t="n">
        <v>269</v>
      </c>
    </row>
    <row r="208">
      <c r="A208" t="n">
        <v>207</v>
      </c>
      <c r="C208" t="n">
        <v>15</v>
      </c>
      <c r="D208" t="n">
        <v>3</v>
      </c>
      <c r="E208" t="n">
        <v>5</v>
      </c>
      <c r="F208" t="n">
        <v>46971.0039416786</v>
      </c>
      <c r="G208" t="n">
        <v>31314.0026277857</v>
      </c>
      <c r="H208" t="n">
        <v>1679565.81881905</v>
      </c>
      <c r="I208" t="n">
        <v>2235260.48838387</v>
      </c>
      <c r="J208" t="n">
        <v>44.0832461167631</v>
      </c>
      <c r="K208" t="n">
        <v>270</v>
      </c>
    </row>
    <row r="209">
      <c r="A209" t="n">
        <v>208</v>
      </c>
      <c r="C209" t="n">
        <v>15</v>
      </c>
      <c r="D209" t="n">
        <v>4</v>
      </c>
      <c r="E209" t="n">
        <v>5</v>
      </c>
      <c r="F209" t="n">
        <v>47100.2176760343</v>
      </c>
      <c r="G209" t="n">
        <v>31400.1451173562</v>
      </c>
      <c r="H209" t="n">
        <v>1690613.36997241</v>
      </c>
      <c r="I209" t="n">
        <v>2245873.26779447</v>
      </c>
      <c r="J209" t="n">
        <v>44.1875032178526</v>
      </c>
      <c r="K209" t="n">
        <v>271</v>
      </c>
    </row>
    <row r="210">
      <c r="A210" t="n">
        <v>209</v>
      </c>
      <c r="C210" t="n">
        <v>15</v>
      </c>
      <c r="D210" t="n">
        <v>5</v>
      </c>
      <c r="E210" t="n">
        <v>5</v>
      </c>
      <c r="F210" t="n">
        <v>47229.5298776316</v>
      </c>
      <c r="G210" t="n">
        <v>31486.3532517544</v>
      </c>
      <c r="H210" t="n">
        <v>1701720.97311869</v>
      </c>
      <c r="I210" t="n">
        <v>2256520.78005422</v>
      </c>
      <c r="J210" t="n">
        <v>44.292802889953</v>
      </c>
      <c r="K210" t="n">
        <v>271</v>
      </c>
    </row>
    <row r="211">
      <c r="A211" t="n">
        <v>210</v>
      </c>
      <c r="C211" t="n">
        <v>15</v>
      </c>
      <c r="D211" t="n">
        <v>6</v>
      </c>
      <c r="E211" t="n">
        <v>5</v>
      </c>
      <c r="F211" t="n">
        <v>47358.9405464706</v>
      </c>
      <c r="G211" t="n">
        <v>31572.6270309804</v>
      </c>
      <c r="H211" t="n">
        <v>1712888.89787635</v>
      </c>
      <c r="I211" t="n">
        <v>2267203.09945018</v>
      </c>
      <c r="J211" t="n">
        <v>44.3991555587744</v>
      </c>
      <c r="K211" t="n">
        <v>272</v>
      </c>
    </row>
    <row r="212">
      <c r="A212" t="n">
        <v>211</v>
      </c>
      <c r="C212" t="n">
        <v>15</v>
      </c>
      <c r="D212" t="n">
        <v>7</v>
      </c>
      <c r="E212" t="n">
        <v>5</v>
      </c>
      <c r="F212" t="n">
        <v>47488.4496825512</v>
      </c>
      <c r="G212" t="n">
        <v>31658.9664550341</v>
      </c>
      <c r="H212" t="n">
        <v>1724117.41481938</v>
      </c>
      <c r="I212" t="n">
        <v>2277920.30035716</v>
      </c>
      <c r="J212" t="n">
        <v>44.506571754284</v>
      </c>
      <c r="K212" t="n">
        <v>273</v>
      </c>
    </row>
    <row r="213">
      <c r="A213" t="n">
        <v>212</v>
      </c>
      <c r="C213" t="n">
        <v>15</v>
      </c>
      <c r="D213" t="n">
        <v>8</v>
      </c>
      <c r="E213" t="n">
        <v>5</v>
      </c>
      <c r="F213" t="n">
        <v>47618.0572858735</v>
      </c>
      <c r="G213" t="n">
        <v>31745.3715239156</v>
      </c>
      <c r="H213" t="n">
        <v>1735406.79547979</v>
      </c>
      <c r="I213" t="n">
        <v>2288672.45723772</v>
      </c>
      <c r="J213" t="n">
        <v>44.6150621117487</v>
      </c>
      <c r="K213" t="n">
        <v>273</v>
      </c>
    </row>
    <row r="214">
      <c r="A214" t="n">
        <v>213</v>
      </c>
      <c r="C214" t="n">
        <v>15</v>
      </c>
      <c r="D214" t="n">
        <v>9</v>
      </c>
      <c r="E214" t="n">
        <v>5</v>
      </c>
      <c r="F214" t="n">
        <v>47747.7633564374</v>
      </c>
      <c r="G214" t="n">
        <v>31831.8422376249</v>
      </c>
      <c r="H214" t="n">
        <v>1746757.31235003</v>
      </c>
      <c r="I214" t="n">
        <v>2299459.64464222</v>
      </c>
      <c r="J214" t="n">
        <v>44.7246373727881</v>
      </c>
      <c r="K214" t="n">
        <v>274</v>
      </c>
    </row>
    <row r="215">
      <c r="A215" t="n">
        <v>214</v>
      </c>
      <c r="C215" t="n">
        <v>15</v>
      </c>
      <c r="D215" t="n">
        <v>10</v>
      </c>
      <c r="E215" t="n">
        <v>5</v>
      </c>
      <c r="F215" t="n">
        <v>47877.5678942429</v>
      </c>
      <c r="G215" t="n">
        <v>31918.3785961619</v>
      </c>
      <c r="H215" t="n">
        <v>1758169.23888546</v>
      </c>
      <c r="I215" t="n">
        <v>2310281.93720886</v>
      </c>
      <c r="J215" t="n">
        <v>44.8353083864378</v>
      </c>
      <c r="K215" t="n">
        <v>275</v>
      </c>
    </row>
    <row r="216">
      <c r="A216" t="n">
        <v>215</v>
      </c>
      <c r="C216" t="n">
        <v>15</v>
      </c>
      <c r="D216" t="n">
        <v>11</v>
      </c>
      <c r="E216" t="n">
        <v>5</v>
      </c>
      <c r="F216" t="n">
        <v>48007.4708992901</v>
      </c>
      <c r="G216" t="n">
        <v>32004.9805995267</v>
      </c>
      <c r="H216" t="n">
        <v>1769642.84950686</v>
      </c>
      <c r="I216" t="n">
        <v>2321139.40966373</v>
      </c>
      <c r="J216" t="n">
        <v>44.9470861102241</v>
      </c>
      <c r="K216" t="n">
        <v>275</v>
      </c>
    </row>
    <row r="217">
      <c r="A217" t="n">
        <v>216</v>
      </c>
      <c r="C217" t="n">
        <v>15</v>
      </c>
      <c r="D217" t="n">
        <v>12</v>
      </c>
      <c r="E217" t="n">
        <v>5</v>
      </c>
      <c r="F217" t="n">
        <v>48137.472371579</v>
      </c>
      <c r="G217" t="n">
        <v>32091.6482477193</v>
      </c>
      <c r="H217" t="n">
        <v>1781178.41960286</v>
      </c>
      <c r="I217" t="n">
        <v>2332032.1368208</v>
      </c>
      <c r="J217" t="n">
        <v>45.0599816112482</v>
      </c>
      <c r="K217" t="n">
        <v>276</v>
      </c>
    </row>
    <row r="218">
      <c r="A218" t="n">
        <v>217</v>
      </c>
      <c r="C218" t="n">
        <v>15</v>
      </c>
      <c r="D218" t="n">
        <v>13</v>
      </c>
      <c r="E218" t="n">
        <v>5</v>
      </c>
      <c r="F218" t="n">
        <v>48267.5723111094</v>
      </c>
      <c r="G218" t="n">
        <v>32178.3815407396</v>
      </c>
      <c r="H218" t="n">
        <v>1792776.22553243</v>
      </c>
      <c r="I218" t="n">
        <v>2342960.19358197</v>
      </c>
      <c r="J218" t="n">
        <v>45.1740060672825</v>
      </c>
      <c r="K218" t="n">
        <v>277</v>
      </c>
    </row>
    <row r="219">
      <c r="A219" t="n">
        <v>218</v>
      </c>
      <c r="C219" t="n">
        <v>15</v>
      </c>
      <c r="D219" t="n">
        <v>14</v>
      </c>
      <c r="E219" t="n">
        <v>5</v>
      </c>
      <c r="F219" t="n">
        <v>48397.7707178816</v>
      </c>
      <c r="G219" t="n">
        <v>32265.1804785877</v>
      </c>
      <c r="H219" t="n">
        <v>1804436.54462739</v>
      </c>
      <c r="I219" t="n">
        <v>2353923.65493714</v>
      </c>
      <c r="J219" t="n">
        <v>45.2891707678772</v>
      </c>
      <c r="K219" t="n">
        <v>278</v>
      </c>
    </row>
    <row r="220">
      <c r="A220" t="n">
        <v>219</v>
      </c>
      <c r="C220" t="n">
        <v>15</v>
      </c>
      <c r="D220" t="n">
        <v>15</v>
      </c>
      <c r="E220" t="n">
        <v>5</v>
      </c>
      <c r="F220" t="n">
        <v>48528.0675918953</v>
      </c>
      <c r="G220" t="n">
        <v>32352.0450612636</v>
      </c>
      <c r="H220" t="n">
        <v>1816159.65519485</v>
      </c>
      <c r="I220" t="n">
        <v>2364922.59596417</v>
      </c>
      <c r="J220" t="n">
        <v>45.4054871154779</v>
      </c>
      <c r="K220" t="n">
        <v>278</v>
      </c>
    </row>
    <row r="221">
      <c r="A221" t="n">
        <v>220</v>
      </c>
      <c r="C221" t="n">
        <v>16</v>
      </c>
      <c r="D221" t="n">
        <v>1</v>
      </c>
      <c r="E221" t="n">
        <v>5</v>
      </c>
      <c r="F221" t="n">
        <v>48652.5899000999</v>
      </c>
      <c r="G221" t="n">
        <v>32435.0599333999</v>
      </c>
      <c r="H221" t="n">
        <v>1827426.75878982</v>
      </c>
      <c r="I221" t="n">
        <v>2375480.7110152</v>
      </c>
      <c r="J221" t="n">
        <v>45.5229666265545</v>
      </c>
      <c r="K221" t="n">
        <v>279</v>
      </c>
    </row>
    <row r="222">
      <c r="A222" t="n">
        <v>221</v>
      </c>
      <c r="C222" t="n">
        <v>16</v>
      </c>
      <c r="D222" t="n">
        <v>2</v>
      </c>
      <c r="E222" t="n">
        <v>5</v>
      </c>
      <c r="F222" t="n">
        <v>48772.2400821149</v>
      </c>
      <c r="G222" t="n">
        <v>32514.8267214099</v>
      </c>
      <c r="H222" t="n">
        <v>1838313.57172641</v>
      </c>
      <c r="I222" t="n">
        <v>2385668.99803778</v>
      </c>
      <c r="J222" t="n">
        <v>45.6416209327419</v>
      </c>
      <c r="K222" t="n">
        <v>280</v>
      </c>
    </row>
    <row r="223">
      <c r="A223" t="n">
        <v>222</v>
      </c>
      <c r="C223" t="n">
        <v>16</v>
      </c>
      <c r="D223" t="n">
        <v>3</v>
      </c>
      <c r="E223" t="n">
        <v>5</v>
      </c>
      <c r="F223" t="n">
        <v>48891.9747897537</v>
      </c>
      <c r="G223" t="n">
        <v>32594.6498598358</v>
      </c>
      <c r="H223" t="n">
        <v>1849254.20604753</v>
      </c>
      <c r="I223" t="n">
        <v>2395887.69513312</v>
      </c>
      <c r="J223" t="n">
        <v>45.7614617819912</v>
      </c>
      <c r="K223" t="n">
        <v>280</v>
      </c>
    </row>
    <row r="224">
      <c r="A224" t="n">
        <v>223</v>
      </c>
      <c r="C224" t="n">
        <v>16</v>
      </c>
      <c r="D224" t="n">
        <v>4</v>
      </c>
      <c r="E224" t="n">
        <v>5</v>
      </c>
      <c r="F224" t="n">
        <v>49011.7940230165</v>
      </c>
      <c r="G224" t="n">
        <v>32674.5293486776</v>
      </c>
      <c r="H224" t="n">
        <v>1860248.88176251</v>
      </c>
      <c r="I224" t="n">
        <v>2406136.86215929</v>
      </c>
      <c r="J224" t="n">
        <v>45.882501039733</v>
      </c>
      <c r="K224" t="n">
        <v>281</v>
      </c>
    </row>
    <row r="225">
      <c r="A225" t="n">
        <v>224</v>
      </c>
      <c r="C225" t="n">
        <v>16</v>
      </c>
      <c r="D225" t="n">
        <v>5</v>
      </c>
      <c r="E225" t="n">
        <v>5</v>
      </c>
      <c r="F225" t="n">
        <v>49131.697781903</v>
      </c>
      <c r="G225" t="n">
        <v>32754.4651879353</v>
      </c>
      <c r="H225" t="n">
        <v>1871297.81959147</v>
      </c>
      <c r="I225" t="n">
        <v>2416416.55904013</v>
      </c>
      <c r="J225" t="n">
        <v>46.0047506900522</v>
      </c>
      <c r="K225" t="n">
        <v>281</v>
      </c>
    </row>
    <row r="226">
      <c r="A226" t="n">
        <v>225</v>
      </c>
      <c r="C226" t="n">
        <v>16</v>
      </c>
      <c r="D226" t="n">
        <v>6</v>
      </c>
      <c r="E226" t="n">
        <v>5</v>
      </c>
      <c r="F226" t="n">
        <v>49251.6860664134</v>
      </c>
      <c r="G226" t="n">
        <v>32834.4573776089</v>
      </c>
      <c r="H226" t="n">
        <v>1882401.24096701</v>
      </c>
      <c r="I226" t="n">
        <v>2426726.84576534</v>
      </c>
      <c r="J226" t="n">
        <v>46.1282228368746</v>
      </c>
      <c r="K226" t="n">
        <v>282</v>
      </c>
    </row>
    <row r="227">
      <c r="A227" t="n">
        <v>226</v>
      </c>
      <c r="C227" t="n">
        <v>16</v>
      </c>
      <c r="D227" t="n">
        <v>7</v>
      </c>
      <c r="E227" t="n">
        <v>5</v>
      </c>
      <c r="F227" t="n">
        <v>49371.7588765476</v>
      </c>
      <c r="G227" t="n">
        <v>32914.5059176984</v>
      </c>
      <c r="H227" t="n">
        <v>1893559.36803586</v>
      </c>
      <c r="I227" t="n">
        <v>2437067.78239048</v>
      </c>
      <c r="J227" t="n">
        <v>46.2529297051652</v>
      </c>
      <c r="K227" t="n">
        <v>283</v>
      </c>
    </row>
    <row r="228">
      <c r="A228" t="n">
        <v>227</v>
      </c>
      <c r="C228" t="n">
        <v>16</v>
      </c>
      <c r="D228" t="n">
        <v>8</v>
      </c>
      <c r="E228" t="n">
        <v>5</v>
      </c>
      <c r="F228" t="n">
        <v>49491.9162123057</v>
      </c>
      <c r="G228" t="n">
        <v>32994.6108082038</v>
      </c>
      <c r="H228" t="n">
        <v>1904772.42366058</v>
      </c>
      <c r="I228" t="n">
        <v>2447439.42903698</v>
      </c>
      <c r="J228" t="n">
        <v>46.3788836421387</v>
      </c>
      <c r="K228" t="n">
        <v>283</v>
      </c>
    </row>
    <row r="229">
      <c r="A229" t="n">
        <v>228</v>
      </c>
      <c r="C229" t="n">
        <v>16</v>
      </c>
      <c r="D229" t="n">
        <v>9</v>
      </c>
      <c r="E229" t="n">
        <v>5</v>
      </c>
      <c r="F229" t="n">
        <v>49612.1580736877</v>
      </c>
      <c r="G229" t="n">
        <v>33074.7720491251</v>
      </c>
      <c r="H229" t="n">
        <v>1916040.63142122</v>
      </c>
      <c r="I229" t="n">
        <v>2457841.84589219</v>
      </c>
      <c r="J229" t="n">
        <v>46.506097118482</v>
      </c>
      <c r="K229" t="n">
        <v>284</v>
      </c>
    </row>
    <row r="230">
      <c r="A230" t="n">
        <v>229</v>
      </c>
      <c r="C230" t="n">
        <v>16</v>
      </c>
      <c r="D230" t="n">
        <v>10</v>
      </c>
      <c r="E230" t="n">
        <v>5</v>
      </c>
      <c r="F230" t="n">
        <v>49732.4844606935</v>
      </c>
      <c r="G230" t="n">
        <v>33154.9896404623</v>
      </c>
      <c r="H230" t="n">
        <v>1927364.21561704</v>
      </c>
      <c r="I230" t="n">
        <v>2468275.0932094</v>
      </c>
      <c r="J230" t="n">
        <v>46.6345827295887</v>
      </c>
      <c r="K230" t="n">
        <v>285</v>
      </c>
    </row>
    <row r="231">
      <c r="A231" t="n">
        <v>230</v>
      </c>
      <c r="C231" t="n">
        <v>16</v>
      </c>
      <c r="D231" t="n">
        <v>11</v>
      </c>
      <c r="E231" t="n">
        <v>5</v>
      </c>
      <c r="F231" t="n">
        <v>49852.8953733231</v>
      </c>
      <c r="G231" t="n">
        <v>33235.2635822154</v>
      </c>
      <c r="H231" t="n">
        <v>1938743.40126813</v>
      </c>
      <c r="I231" t="n">
        <v>2478739.23130783</v>
      </c>
      <c r="J231" t="n">
        <v>46.7643531968064</v>
      </c>
      <c r="K231" t="n">
        <v>285</v>
      </c>
    </row>
    <row r="232">
      <c r="A232" t="n">
        <v>231</v>
      </c>
      <c r="C232" t="n">
        <v>16</v>
      </c>
      <c r="D232" t="n">
        <v>12</v>
      </c>
      <c r="E232" t="n">
        <v>5</v>
      </c>
      <c r="F232" t="n">
        <v>49973.3908115766</v>
      </c>
      <c r="G232" t="n">
        <v>33315.5938743844</v>
      </c>
      <c r="H232" t="n">
        <v>1950178.41411716</v>
      </c>
      <c r="I232" t="n">
        <v>2489234.3205727</v>
      </c>
      <c r="J232" t="n">
        <v>46.8954213686964</v>
      </c>
      <c r="K232" t="n">
        <v>286</v>
      </c>
    </row>
    <row r="233">
      <c r="A233" t="n">
        <v>232</v>
      </c>
      <c r="C233" t="n">
        <v>16</v>
      </c>
      <c r="D233" t="n">
        <v>13</v>
      </c>
      <c r="E233" t="n">
        <v>5</v>
      </c>
      <c r="F233" t="n">
        <v>50093.9707754539</v>
      </c>
      <c r="G233" t="n">
        <v>33395.9805169693</v>
      </c>
      <c r="H233" t="n">
        <v>1961669.48063103</v>
      </c>
      <c r="I233" t="n">
        <v>2499760.42145523</v>
      </c>
      <c r="J233" t="n">
        <v>47.0278002223052</v>
      </c>
      <c r="K233" t="n">
        <v>287</v>
      </c>
    </row>
    <row r="234">
      <c r="A234" t="n">
        <v>233</v>
      </c>
      <c r="C234" t="n">
        <v>16</v>
      </c>
      <c r="D234" t="n">
        <v>14</v>
      </c>
      <c r="E234" t="n">
        <v>5</v>
      </c>
      <c r="F234" t="n">
        <v>50214.635264955</v>
      </c>
      <c r="G234" t="n">
        <v>33476.42350997</v>
      </c>
      <c r="H234" t="n">
        <v>1973216.82800258</v>
      </c>
      <c r="I234" t="n">
        <v>2510317.59447266</v>
      </c>
      <c r="J234" t="n">
        <v>47.1615028644501</v>
      </c>
      <c r="K234" t="n">
        <v>288</v>
      </c>
    </row>
    <row r="235">
      <c r="A235" t="n">
        <v>234</v>
      </c>
      <c r="C235" t="n">
        <v>16</v>
      </c>
      <c r="D235" t="n">
        <v>15</v>
      </c>
      <c r="E235" t="n">
        <v>5</v>
      </c>
      <c r="F235" t="n">
        <v>50335.38428008</v>
      </c>
      <c r="G235" t="n">
        <v>33556.9228533867</v>
      </c>
      <c r="H235" t="n">
        <v>1984820.68415226</v>
      </c>
      <c r="I235" t="n">
        <v>2520905.90020828</v>
      </c>
      <c r="J235" t="n">
        <v>47.2965425330165</v>
      </c>
      <c r="K235" t="n">
        <v>288</v>
      </c>
    </row>
    <row r="236">
      <c r="A236" t="n">
        <v>235</v>
      </c>
      <c r="C236" t="n">
        <v>17</v>
      </c>
      <c r="D236" t="n">
        <v>1</v>
      </c>
      <c r="E236" t="n">
        <v>5</v>
      </c>
      <c r="F236" t="n">
        <v>50451.6566347404</v>
      </c>
      <c r="G236" t="n">
        <v>33634.4377564936</v>
      </c>
      <c r="H236" t="n">
        <v>1996055.27130674</v>
      </c>
      <c r="I236" t="n">
        <v>2531144.1730032</v>
      </c>
      <c r="J236" t="n">
        <v>47.4329325982685</v>
      </c>
      <c r="K236" t="n">
        <v>289</v>
      </c>
    </row>
    <row r="237">
      <c r="A237" t="n">
        <v>236</v>
      </c>
      <c r="C237" t="n">
        <v>17</v>
      </c>
      <c r="D237" t="n">
        <v>2</v>
      </c>
      <c r="E237" t="n">
        <v>5</v>
      </c>
      <c r="F237" t="n">
        <v>50564.1527501929</v>
      </c>
      <c r="G237" t="n">
        <v>33709.4351667952</v>
      </c>
      <c r="H237" t="n">
        <v>2006983.31497726</v>
      </c>
      <c r="I237" t="n">
        <v>2541089.47735712</v>
      </c>
      <c r="J237" t="n">
        <v>47.5706865641731</v>
      </c>
      <c r="K237" t="n">
        <v>290</v>
      </c>
    </row>
    <row r="238">
      <c r="A238" t="n">
        <v>237</v>
      </c>
      <c r="C238" t="n">
        <v>17</v>
      </c>
      <c r="D238" t="n">
        <v>3</v>
      </c>
      <c r="E238" t="n">
        <v>5</v>
      </c>
      <c r="F238" t="n">
        <v>50676.7231884388</v>
      </c>
      <c r="G238" t="n">
        <v>33784.4821256259</v>
      </c>
      <c r="H238" t="n">
        <v>2017961.19053141</v>
      </c>
      <c r="I238" t="n">
        <v>2551062.20789098</v>
      </c>
      <c r="J238" t="n">
        <v>47.7098180697367</v>
      </c>
      <c r="K238" t="n">
        <v>290</v>
      </c>
    </row>
    <row r="239">
      <c r="A239" t="n">
        <v>238</v>
      </c>
      <c r="C239" t="n">
        <v>17</v>
      </c>
      <c r="D239" t="n">
        <v>4</v>
      </c>
      <c r="E239" t="n">
        <v>5</v>
      </c>
      <c r="F239" t="n">
        <v>50789.3679494783</v>
      </c>
      <c r="G239" t="n">
        <v>33859.5786329855</v>
      </c>
      <c r="H239" t="n">
        <v>2028989.08602258</v>
      </c>
      <c r="I239" t="n">
        <v>2561062.41485282</v>
      </c>
      <c r="J239" t="n">
        <v>47.8503408903559</v>
      </c>
      <c r="K239" t="n">
        <v>291</v>
      </c>
    </row>
    <row r="240">
      <c r="A240" t="n">
        <v>239</v>
      </c>
      <c r="C240" t="n">
        <v>17</v>
      </c>
      <c r="D240" t="n">
        <v>5</v>
      </c>
      <c r="E240" t="n">
        <v>5</v>
      </c>
      <c r="F240" t="n">
        <v>50902.0870333113</v>
      </c>
      <c r="G240" t="n">
        <v>33934.7246888742</v>
      </c>
      <c r="H240" t="n">
        <v>2040067.19006558</v>
      </c>
      <c r="I240" t="n">
        <v>2571090.14854254</v>
      </c>
      <c r="J240" t="n">
        <v>47.9922689391813</v>
      </c>
      <c r="K240" t="n">
        <v>291</v>
      </c>
    </row>
    <row r="241">
      <c r="A241" t="n">
        <v>240</v>
      </c>
      <c r="C241" t="n">
        <v>17</v>
      </c>
      <c r="D241" t="n">
        <v>6</v>
      </c>
      <c r="E241" t="n">
        <v>5</v>
      </c>
      <c r="F241" t="n">
        <v>51014.8804399377</v>
      </c>
      <c r="G241" t="n">
        <v>34009.9202932918</v>
      </c>
      <c r="H241" t="n">
        <v>2051195.6918378</v>
      </c>
      <c r="I241" t="n">
        <v>2581145.459312</v>
      </c>
      <c r="J241" t="n">
        <v>48.135616268495</v>
      </c>
      <c r="K241" t="n">
        <v>292</v>
      </c>
    </row>
    <row r="242">
      <c r="A242" t="n">
        <v>241</v>
      </c>
      <c r="C242" t="n">
        <v>17</v>
      </c>
      <c r="D242" t="n">
        <v>7</v>
      </c>
      <c r="E242" t="n">
        <v>5</v>
      </c>
      <c r="F242" t="n">
        <v>51127.7481693577</v>
      </c>
      <c r="G242" t="n">
        <v>34085.1654462384</v>
      </c>
      <c r="H242" t="n">
        <v>2062374.78108053</v>
      </c>
      <c r="I242" t="n">
        <v>2591228.397565</v>
      </c>
      <c r="J242" t="n">
        <v>48.2803970711018</v>
      </c>
      <c r="K242" t="n">
        <v>293</v>
      </c>
    </row>
    <row r="243">
      <c r="A243" t="n">
        <v>242</v>
      </c>
      <c r="C243" t="n">
        <v>17</v>
      </c>
      <c r="D243" t="n">
        <v>8</v>
      </c>
      <c r="E243" t="n">
        <v>5</v>
      </c>
      <c r="F243" t="n">
        <v>51240.6902215711</v>
      </c>
      <c r="G243" t="n">
        <v>34160.4601477141</v>
      </c>
      <c r="H243" t="n">
        <v>2073604.64810008</v>
      </c>
      <c r="I243" t="n">
        <v>2601339.0137573</v>
      </c>
      <c r="J243" t="n">
        <v>48.4266256817347</v>
      </c>
      <c r="K243" t="n">
        <v>293</v>
      </c>
    </row>
    <row r="244">
      <c r="A244" t="n">
        <v>243</v>
      </c>
      <c r="C244" t="n">
        <v>17</v>
      </c>
      <c r="D244" t="n">
        <v>9</v>
      </c>
      <c r="E244" t="n">
        <v>5</v>
      </c>
      <c r="F244" t="n">
        <v>51353.706596578</v>
      </c>
      <c r="G244" t="n">
        <v>34235.8043977187</v>
      </c>
      <c r="H244" t="n">
        <v>2084885.48376909</v>
      </c>
      <c r="I244" t="n">
        <v>2611477.35839663</v>
      </c>
      <c r="J244" t="n">
        <v>48.5743165784739</v>
      </c>
      <c r="K244" t="n">
        <v>294</v>
      </c>
    </row>
    <row r="245">
      <c r="A245" t="n">
        <v>244</v>
      </c>
      <c r="C245" t="n">
        <v>17</v>
      </c>
      <c r="D245" t="n">
        <v>10</v>
      </c>
      <c r="E245" t="n">
        <v>5</v>
      </c>
      <c r="F245" t="n">
        <v>51466.7972943784</v>
      </c>
      <c r="G245" t="n">
        <v>34311.1981962523</v>
      </c>
      <c r="H245" t="n">
        <v>2096217.47952773</v>
      </c>
      <c r="I245" t="n">
        <v>2621643.48204274</v>
      </c>
      <c r="J245" t="n">
        <v>48.7234843841805</v>
      </c>
      <c r="K245" t="n">
        <v>295</v>
      </c>
    </row>
    <row r="246">
      <c r="A246" t="n">
        <v>245</v>
      </c>
      <c r="C246" t="n">
        <v>17</v>
      </c>
      <c r="D246" t="n">
        <v>11</v>
      </c>
      <c r="E246" t="n">
        <v>5</v>
      </c>
      <c r="F246" t="n">
        <v>51579.9623149723</v>
      </c>
      <c r="G246" t="n">
        <v>34386.6415433149</v>
      </c>
      <c r="H246" t="n">
        <v>2107600.82738491</v>
      </c>
      <c r="I246" t="n">
        <v>2631837.4353074</v>
      </c>
      <c r="J246" t="n">
        <v>48.8741438679442</v>
      </c>
      <c r="K246" t="n">
        <v>295</v>
      </c>
    </row>
    <row r="247">
      <c r="A247" t="n">
        <v>246</v>
      </c>
      <c r="C247" t="n">
        <v>17</v>
      </c>
      <c r="D247" t="n">
        <v>12</v>
      </c>
      <c r="E247" t="n">
        <v>5</v>
      </c>
      <c r="F247" t="n">
        <v>51693.2016583598</v>
      </c>
      <c r="G247" t="n">
        <v>34462.1344389065</v>
      </c>
      <c r="H247" t="n">
        <v>2119035.71991954</v>
      </c>
      <c r="I247" t="n">
        <v>2642059.2688544</v>
      </c>
      <c r="J247" t="n">
        <v>49.0263099465455</v>
      </c>
      <c r="K247" t="n">
        <v>296</v>
      </c>
    </row>
    <row r="248">
      <c r="A248" t="n">
        <v>247</v>
      </c>
      <c r="C248" t="n">
        <v>17</v>
      </c>
      <c r="D248" t="n">
        <v>13</v>
      </c>
      <c r="E248" t="n">
        <v>5</v>
      </c>
      <c r="F248" t="n">
        <v>51806.5153245407</v>
      </c>
      <c r="G248" t="n">
        <v>34537.6768830271</v>
      </c>
      <c r="H248" t="n">
        <v>2130522.35028177</v>
      </c>
      <c r="I248" t="n">
        <v>2652309.03339959</v>
      </c>
      <c r="J248" t="n">
        <v>49.1799976859328</v>
      </c>
      <c r="K248" t="n">
        <v>297</v>
      </c>
    </row>
    <row r="249">
      <c r="A249" t="n">
        <v>248</v>
      </c>
      <c r="C249" t="n">
        <v>17</v>
      </c>
      <c r="D249" t="n">
        <v>14</v>
      </c>
      <c r="E249" t="n">
        <v>5</v>
      </c>
      <c r="F249" t="n">
        <v>51919.9033135151</v>
      </c>
      <c r="G249" t="n">
        <v>34613.2688756767</v>
      </c>
      <c r="H249" t="n">
        <v>2142060.91219421</v>
      </c>
      <c r="I249" t="n">
        <v>2662586.77971091</v>
      </c>
      <c r="J249" t="n">
        <v>49.335222302714</v>
      </c>
      <c r="K249" t="n">
        <v>298</v>
      </c>
    </row>
    <row r="250">
      <c r="A250" t="n">
        <v>249</v>
      </c>
      <c r="C250" t="n">
        <v>17</v>
      </c>
      <c r="D250" t="n">
        <v>15</v>
      </c>
      <c r="E250" t="n">
        <v>5</v>
      </c>
      <c r="F250" t="n">
        <v>52033.3656252829</v>
      </c>
      <c r="G250" t="n">
        <v>34688.9104168553</v>
      </c>
      <c r="H250" t="n">
        <v>2153651.59995315</v>
      </c>
      <c r="I250" t="n">
        <v>2672892.55860836</v>
      </c>
      <c r="J250" t="n">
        <v>49.491999165663</v>
      </c>
      <c r="K250" t="n">
        <v>298</v>
      </c>
    </row>
    <row r="251">
      <c r="A251" t="n">
        <v>250</v>
      </c>
      <c r="C251" t="n">
        <v>18</v>
      </c>
      <c r="D251" t="n">
        <v>1</v>
      </c>
      <c r="E251" t="n">
        <v>5</v>
      </c>
      <c r="F251" t="n">
        <v>52143.3602361355</v>
      </c>
      <c r="G251" t="n">
        <v>34762.2401574237</v>
      </c>
      <c r="H251" t="n">
        <v>2164947.01594006</v>
      </c>
      <c r="I251" t="n">
        <v>2682922.27977204</v>
      </c>
      <c r="J251" t="n">
        <v>49.6503437972415</v>
      </c>
      <c r="K251" t="n">
        <v>299</v>
      </c>
    </row>
    <row r="252">
      <c r="A252" t="n">
        <v>251</v>
      </c>
      <c r="C252" t="n">
        <v>18</v>
      </c>
      <c r="D252" t="n">
        <v>2</v>
      </c>
      <c r="E252" t="n">
        <v>5</v>
      </c>
      <c r="F252" t="n">
        <v>52250.4304815663</v>
      </c>
      <c r="G252" t="n">
        <v>34833.6203210442</v>
      </c>
      <c r="H252" t="n">
        <v>2175998.7140497</v>
      </c>
      <c r="I252" t="n">
        <v>2692721.60592807</v>
      </c>
      <c r="J252" t="n">
        <v>49.8102718751358</v>
      </c>
      <c r="K252" t="n">
        <v>300</v>
      </c>
    </row>
    <row r="253">
      <c r="A253" t="n">
        <v>252</v>
      </c>
      <c r="C253" t="n">
        <v>18</v>
      </c>
      <c r="D253" t="n">
        <v>3</v>
      </c>
      <c r="E253" t="n">
        <v>5</v>
      </c>
      <c r="F253" t="n">
        <v>52357.5674994267</v>
      </c>
      <c r="G253" t="n">
        <v>34905.0449996178</v>
      </c>
      <c r="H253" t="n">
        <v>2187097.54412049</v>
      </c>
      <c r="I253" t="n">
        <v>2702546.22836956</v>
      </c>
      <c r="J253" t="n">
        <v>49.9717992338091</v>
      </c>
      <c r="K253" t="n">
        <v>300</v>
      </c>
    </row>
    <row r="254">
      <c r="A254" t="n">
        <v>253</v>
      </c>
      <c r="C254" t="n">
        <v>18</v>
      </c>
      <c r="D254" t="n">
        <v>4</v>
      </c>
      <c r="E254" t="n">
        <v>5</v>
      </c>
      <c r="F254" t="n">
        <v>52464.7712897167</v>
      </c>
      <c r="G254" t="n">
        <v>34976.5141931444</v>
      </c>
      <c r="H254" t="n">
        <v>2198243.67261002</v>
      </c>
      <c r="I254" t="n">
        <v>2712396.19073116</v>
      </c>
      <c r="J254" t="n">
        <v>50.134941866069</v>
      </c>
      <c r="K254" t="n">
        <v>301</v>
      </c>
    </row>
    <row r="255">
      <c r="A255" t="n">
        <v>254</v>
      </c>
      <c r="C255" t="n">
        <v>18</v>
      </c>
      <c r="D255" t="n">
        <v>5</v>
      </c>
      <c r="E255" t="n">
        <v>5</v>
      </c>
      <c r="F255" t="n">
        <v>52572.0418524363</v>
      </c>
      <c r="G255" t="n">
        <v>35048.0279016242</v>
      </c>
      <c r="H255" t="n">
        <v>2209437.26644121</v>
      </c>
      <c r="I255" t="n">
        <v>2722271.5366903</v>
      </c>
      <c r="J255" t="n">
        <v>50.2997159246516</v>
      </c>
      <c r="K255" t="n">
        <v>302</v>
      </c>
    </row>
    <row r="256">
      <c r="A256" t="n">
        <v>255</v>
      </c>
      <c r="C256" t="n">
        <v>18</v>
      </c>
      <c r="D256" t="n">
        <v>6</v>
      </c>
      <c r="E256" t="n">
        <v>5</v>
      </c>
      <c r="F256" t="n">
        <v>52679.3791875856</v>
      </c>
      <c r="G256" t="n">
        <v>35119.586125057</v>
      </c>
      <c r="H256" t="n">
        <v>2220678.49300333</v>
      </c>
      <c r="I256" t="n">
        <v>2732172.30996716</v>
      </c>
      <c r="J256" t="n">
        <v>50.46613772382</v>
      </c>
      <c r="K256" t="n">
        <v>302</v>
      </c>
    </row>
    <row r="257">
      <c r="A257" t="n">
        <v>256</v>
      </c>
      <c r="C257" t="n">
        <v>18</v>
      </c>
      <c r="D257" t="n">
        <v>7</v>
      </c>
      <c r="E257" t="n">
        <v>5</v>
      </c>
      <c r="F257" t="n">
        <v>52786.7832951645</v>
      </c>
      <c r="G257" t="n">
        <v>35191.188863443</v>
      </c>
      <c r="H257" t="n">
        <v>2231967.5201529</v>
      </c>
      <c r="I257" t="n">
        <v>2742098.55432471</v>
      </c>
      <c r="J257" t="n">
        <v>50.63422374098</v>
      </c>
      <c r="K257" t="n">
        <v>303</v>
      </c>
    </row>
    <row r="258">
      <c r="A258" t="n">
        <v>257</v>
      </c>
      <c r="C258" t="n">
        <v>18</v>
      </c>
      <c r="D258" t="n">
        <v>8</v>
      </c>
      <c r="E258" t="n">
        <v>5</v>
      </c>
      <c r="F258" t="n">
        <v>52894.254175173</v>
      </c>
      <c r="G258" t="n">
        <v>35262.836116782</v>
      </c>
      <c r="H258" t="n">
        <v>2243304.51621467</v>
      </c>
      <c r="I258" t="n">
        <v>2752050.31356875</v>
      </c>
      <c r="J258" t="n">
        <v>50.8039906183117</v>
      </c>
      <c r="K258" t="n">
        <v>304</v>
      </c>
    </row>
    <row r="259">
      <c r="A259" t="n">
        <v>258</v>
      </c>
      <c r="C259" t="n">
        <v>18</v>
      </c>
      <c r="D259" t="n">
        <v>9</v>
      </c>
      <c r="E259" t="n">
        <v>5</v>
      </c>
      <c r="F259" t="n">
        <v>53001.7918276112</v>
      </c>
      <c r="G259" t="n">
        <v>35334.5278850741</v>
      </c>
      <c r="H259" t="n">
        <v>2254689.64998256</v>
      </c>
      <c r="I259" t="n">
        <v>2762027.63154784</v>
      </c>
      <c r="J259" t="n">
        <v>50.9754551644167</v>
      </c>
      <c r="K259" t="n">
        <v>304</v>
      </c>
    </row>
    <row r="260">
      <c r="A260" t="n">
        <v>259</v>
      </c>
      <c r="C260" t="n">
        <v>18</v>
      </c>
      <c r="D260" t="n">
        <v>10</v>
      </c>
      <c r="E260" t="n">
        <v>5</v>
      </c>
      <c r="F260" t="n">
        <v>53109.396252479</v>
      </c>
      <c r="G260" t="n">
        <v>35406.2641683193</v>
      </c>
      <c r="H260" t="n">
        <v>2266123.09072064</v>
      </c>
      <c r="I260" t="n">
        <v>2772030.55215342</v>
      </c>
      <c r="J260" t="n">
        <v>51.1486343559827</v>
      </c>
      <c r="K260" t="n">
        <v>305</v>
      </c>
    </row>
    <row r="261">
      <c r="A261" t="n">
        <v>260</v>
      </c>
      <c r="C261" t="n">
        <v>18</v>
      </c>
      <c r="D261" t="n">
        <v>11</v>
      </c>
      <c r="E261" t="n">
        <v>5</v>
      </c>
      <c r="F261" t="n">
        <v>53217.0674497764</v>
      </c>
      <c r="G261" t="n">
        <v>35478.0449665176</v>
      </c>
      <c r="H261" t="n">
        <v>2277605.00816405</v>
      </c>
      <c r="I261" t="n">
        <v>2782059.11931975</v>
      </c>
      <c r="J261" t="n">
        <v>51.3235453394644</v>
      </c>
      <c r="K261" t="n">
        <v>306</v>
      </c>
    </row>
    <row r="262">
      <c r="A262" t="n">
        <v>261</v>
      </c>
      <c r="C262" t="n">
        <v>18</v>
      </c>
      <c r="D262" t="n">
        <v>12</v>
      </c>
      <c r="E262" t="n">
        <v>5</v>
      </c>
      <c r="F262" t="n">
        <v>53324.8054195034</v>
      </c>
      <c r="G262" t="n">
        <v>35549.870279669</v>
      </c>
      <c r="H262" t="n">
        <v>2289135.57251998</v>
      </c>
      <c r="I262" t="n">
        <v>2792113.37702394</v>
      </c>
      <c r="J262" t="n">
        <v>51.5002054327809</v>
      </c>
      <c r="K262" t="n">
        <v>306</v>
      </c>
    </row>
    <row r="263">
      <c r="A263" t="n">
        <v>262</v>
      </c>
      <c r="C263" t="n">
        <v>18</v>
      </c>
      <c r="D263" t="n">
        <v>13</v>
      </c>
      <c r="E263" t="n">
        <v>5</v>
      </c>
      <c r="F263" t="n">
        <v>53432.6101616601</v>
      </c>
      <c r="G263" t="n">
        <v>35621.7401077734</v>
      </c>
      <c r="H263" t="n">
        <v>2300714.95446865</v>
      </c>
      <c r="I263" t="n">
        <v>2802193.369286</v>
      </c>
      <c r="J263" t="n">
        <v>51.6786321270306</v>
      </c>
      <c r="K263" t="n">
        <v>307</v>
      </c>
    </row>
    <row r="264">
      <c r="A264" t="n">
        <v>263</v>
      </c>
      <c r="C264" t="n">
        <v>18</v>
      </c>
      <c r="D264" t="n">
        <v>14</v>
      </c>
      <c r="E264" t="n">
        <v>5</v>
      </c>
      <c r="F264" t="n">
        <v>53540.4816762464</v>
      </c>
      <c r="G264" t="n">
        <v>35693.654450831</v>
      </c>
      <c r="H264" t="n">
        <v>2312343.32516421</v>
      </c>
      <c r="I264" t="n">
        <v>2812299.14016879</v>
      </c>
      <c r="J264" t="n">
        <v>51.8588430882228</v>
      </c>
      <c r="K264" t="n">
        <v>308</v>
      </c>
    </row>
    <row r="265">
      <c r="A265" t="n">
        <v>264</v>
      </c>
      <c r="C265" t="n">
        <v>18</v>
      </c>
      <c r="D265" t="n">
        <v>15</v>
      </c>
      <c r="E265" t="n">
        <v>5</v>
      </c>
      <c r="F265" t="n">
        <v>53648.4199632624</v>
      </c>
      <c r="G265" t="n">
        <v>35765.6133088416</v>
      </c>
      <c r="H265" t="n">
        <v>2324020.85623578</v>
      </c>
      <c r="I265" t="n">
        <v>2822430.73377811</v>
      </c>
      <c r="J265" t="n">
        <v>52.0408561590269</v>
      </c>
      <c r="K265" t="n">
        <v>308</v>
      </c>
    </row>
    <row r="266">
      <c r="A266" t="n">
        <v>265</v>
      </c>
      <c r="C266" t="n">
        <v>19</v>
      </c>
      <c r="D266" t="n">
        <v>1</v>
      </c>
      <c r="E266" t="n">
        <v>5</v>
      </c>
      <c r="F266" t="n">
        <v>53753.6741704127</v>
      </c>
      <c r="G266" t="n">
        <v>35835.7827802752</v>
      </c>
      <c r="H266" t="n">
        <v>2335465.37458556</v>
      </c>
      <c r="I266" t="n">
        <v>2832346.09955202</v>
      </c>
      <c r="J266" t="n">
        <v>52.224689360539</v>
      </c>
      <c r="K266" t="n">
        <v>309</v>
      </c>
    </row>
    <row r="267">
      <c r="A267" t="n">
        <v>266</v>
      </c>
      <c r="C267" t="n">
        <v>19</v>
      </c>
      <c r="D267" t="n">
        <v>2</v>
      </c>
      <c r="E267" t="n">
        <v>5</v>
      </c>
      <c r="F267" t="n">
        <v>53856.6656461533</v>
      </c>
      <c r="G267" t="n">
        <v>35904.4437641022</v>
      </c>
      <c r="H267" t="n">
        <v>2346718.99723995</v>
      </c>
      <c r="I267" t="n">
        <v>2842081.65517013</v>
      </c>
      <c r="J267" t="n">
        <v>52.4103608940663</v>
      </c>
      <c r="K267" t="n">
        <v>310</v>
      </c>
    </row>
    <row r="268">
      <c r="A268" t="n">
        <v>267</v>
      </c>
      <c r="C268" t="n">
        <v>19</v>
      </c>
      <c r="D268" t="n">
        <v>3</v>
      </c>
      <c r="E268" t="n">
        <v>5</v>
      </c>
      <c r="F268" t="n">
        <v>53959.718249371</v>
      </c>
      <c r="G268" t="n">
        <v>35973.1454995807</v>
      </c>
      <c r="H268" t="n">
        <v>2358018.03420821</v>
      </c>
      <c r="I268" t="n">
        <v>2851840.99737294</v>
      </c>
      <c r="J268" t="n">
        <v>52.5978891429288</v>
      </c>
      <c r="K268" t="n">
        <v>310</v>
      </c>
    </row>
    <row r="269">
      <c r="A269" t="n">
        <v>268</v>
      </c>
      <c r="C269" t="n">
        <v>19</v>
      </c>
      <c r="D269" t="n">
        <v>4</v>
      </c>
      <c r="E269" t="n">
        <v>5</v>
      </c>
      <c r="F269" t="n">
        <v>54062.8319800657</v>
      </c>
      <c r="G269" t="n">
        <v>36041.8879867105</v>
      </c>
      <c r="H269" t="n">
        <v>2369362.6373402</v>
      </c>
      <c r="I269" t="n">
        <v>2861624.16516861</v>
      </c>
      <c r="J269" t="n">
        <v>52.78729267428</v>
      </c>
      <c r="K269" t="n">
        <v>311</v>
      </c>
    </row>
    <row r="270">
      <c r="A270" t="n">
        <v>269</v>
      </c>
      <c r="C270" t="n">
        <v>19</v>
      </c>
      <c r="D270" t="n">
        <v>5</v>
      </c>
      <c r="E270" t="n">
        <v>5</v>
      </c>
      <c r="F270" t="n">
        <v>54166.0068382375</v>
      </c>
      <c r="G270" t="n">
        <v>36110.6712254916</v>
      </c>
      <c r="H270" t="n">
        <v>2380752.95888789</v>
      </c>
      <c r="I270" t="n">
        <v>2871431.19760187</v>
      </c>
      <c r="J270" t="n">
        <v>52.9785902409446</v>
      </c>
      <c r="K270" t="n">
        <v>312</v>
      </c>
    </row>
    <row r="271">
      <c r="A271" t="n">
        <v>270</v>
      </c>
      <c r="C271" t="n">
        <v>19</v>
      </c>
      <c r="D271" t="n">
        <v>6</v>
      </c>
      <c r="E271" t="n">
        <v>5</v>
      </c>
      <c r="F271" t="n">
        <v>54269.2428238863</v>
      </c>
      <c r="G271" t="n">
        <v>36179.4952159242</v>
      </c>
      <c r="H271" t="n">
        <v>2392189.15150611</v>
      </c>
      <c r="I271" t="n">
        <v>2881262.13375399</v>
      </c>
      <c r="J271" t="n">
        <v>53.1718007832759</v>
      </c>
      <c r="K271" t="n">
        <v>312</v>
      </c>
    </row>
    <row r="272">
      <c r="A272" t="n">
        <v>271</v>
      </c>
      <c r="C272" t="n">
        <v>19</v>
      </c>
      <c r="D272" t="n">
        <v>7</v>
      </c>
      <c r="E272" t="n">
        <v>5</v>
      </c>
      <c r="F272" t="n">
        <v>54372.5399370121</v>
      </c>
      <c r="G272" t="n">
        <v>36248.3599580081</v>
      </c>
      <c r="H272" t="n">
        <v>2403671.36825338</v>
      </c>
      <c r="I272" t="n">
        <v>2891117.01274283</v>
      </c>
      <c r="J272" t="n">
        <v>53.3669434310306</v>
      </c>
      <c r="K272" t="n">
        <v>313</v>
      </c>
    </row>
    <row r="273">
      <c r="A273" t="n">
        <v>272</v>
      </c>
      <c r="C273" t="n">
        <v>19</v>
      </c>
      <c r="D273" t="n">
        <v>8</v>
      </c>
      <c r="E273" t="n">
        <v>5</v>
      </c>
      <c r="F273" t="n">
        <v>54475.898177615</v>
      </c>
      <c r="G273" t="n">
        <v>36317.2654517434</v>
      </c>
      <c r="H273" t="n">
        <v>2415199.76259264</v>
      </c>
      <c r="I273" t="n">
        <v>2900995.87372283</v>
      </c>
      <c r="J273" t="n">
        <v>53.5640375052627</v>
      </c>
      <c r="K273" t="n">
        <v>314</v>
      </c>
    </row>
    <row r="274">
      <c r="A274" t="n">
        <v>273</v>
      </c>
      <c r="C274" t="n">
        <v>19</v>
      </c>
      <c r="D274" t="n">
        <v>9</v>
      </c>
      <c r="E274" t="n">
        <v>5</v>
      </c>
      <c r="F274" t="n">
        <v>54579.317545695</v>
      </c>
      <c r="G274" t="n">
        <v>36386.21169713</v>
      </c>
      <c r="H274" t="n">
        <v>2426774.48839207</v>
      </c>
      <c r="I274" t="n">
        <v>2910898.75588501</v>
      </c>
      <c r="J274" t="n">
        <v>53.7631025202372</v>
      </c>
      <c r="K274" t="n">
        <v>314</v>
      </c>
    </row>
    <row r="275">
      <c r="A275" t="n">
        <v>274</v>
      </c>
      <c r="C275" t="n">
        <v>19</v>
      </c>
      <c r="D275" t="n">
        <v>10</v>
      </c>
      <c r="E275" t="n">
        <v>5</v>
      </c>
      <c r="F275" t="n">
        <v>54682.798041252</v>
      </c>
      <c r="G275" t="n">
        <v>36455.198694168</v>
      </c>
      <c r="H275" t="n">
        <v>2438395.69992584</v>
      </c>
      <c r="I275" t="n">
        <v>2920825.69845703</v>
      </c>
      <c r="J275" t="n">
        <v>53.9641581853615</v>
      </c>
      <c r="K275" t="n">
        <v>315</v>
      </c>
    </row>
    <row r="276">
      <c r="A276" t="n">
        <v>275</v>
      </c>
      <c r="C276" t="n">
        <v>19</v>
      </c>
      <c r="D276" t="n">
        <v>11</v>
      </c>
      <c r="E276" t="n">
        <v>5</v>
      </c>
      <c r="F276" t="n">
        <v>54786.339664286</v>
      </c>
      <c r="G276" t="n">
        <v>36524.2264428573</v>
      </c>
      <c r="H276" t="n">
        <v>2450063.55187492</v>
      </c>
      <c r="I276" t="n">
        <v>2930776.74070315</v>
      </c>
      <c r="J276" t="n">
        <v>54.167224407137</v>
      </c>
      <c r="K276" t="n">
        <v>316</v>
      </c>
    </row>
    <row r="277">
      <c r="A277" t="n">
        <v>276</v>
      </c>
      <c r="C277" t="n">
        <v>19</v>
      </c>
      <c r="D277" t="n">
        <v>12</v>
      </c>
      <c r="E277" t="n">
        <v>5</v>
      </c>
      <c r="F277" t="n">
        <v>54889.9424147971</v>
      </c>
      <c r="G277" t="n">
        <v>36593.2949431981</v>
      </c>
      <c r="H277" t="n">
        <v>2461778.19932786</v>
      </c>
      <c r="I277" t="n">
        <v>2940751.92192427</v>
      </c>
      <c r="J277" t="n">
        <v>54.3723212911302</v>
      </c>
      <c r="K277" t="n">
        <v>317</v>
      </c>
    </row>
    <row r="278">
      <c r="A278" t="n">
        <v>277</v>
      </c>
      <c r="C278" t="n">
        <v>19</v>
      </c>
      <c r="D278" t="n">
        <v>13</v>
      </c>
      <c r="E278" t="n">
        <v>5</v>
      </c>
      <c r="F278" t="n">
        <v>54993.6062927852</v>
      </c>
      <c r="G278" t="n">
        <v>36662.4041951902</v>
      </c>
      <c r="H278" t="n">
        <v>2473539.79778156</v>
      </c>
      <c r="I278" t="n">
        <v>2950751.28145794</v>
      </c>
      <c r="J278" t="n">
        <v>54.5794691439634</v>
      </c>
      <c r="K278" t="n">
        <v>317</v>
      </c>
    </row>
    <row r="279">
      <c r="A279" t="n">
        <v>278</v>
      </c>
      <c r="C279" t="n">
        <v>19</v>
      </c>
      <c r="D279" t="n">
        <v>14</v>
      </c>
      <c r="E279" t="n">
        <v>5</v>
      </c>
      <c r="F279" t="n">
        <v>55097.3312982504</v>
      </c>
      <c r="G279" t="n">
        <v>36731.5541988336</v>
      </c>
      <c r="H279" t="n">
        <v>2485348.50314207</v>
      </c>
      <c r="I279" t="n">
        <v>2960774.85867836</v>
      </c>
      <c r="J279" t="n">
        <v>54.7886884753249</v>
      </c>
      <c r="K279" t="n">
        <v>318</v>
      </c>
    </row>
    <row r="280">
      <c r="A280" t="n">
        <v>279</v>
      </c>
      <c r="B280" t="n">
        <v>0</v>
      </c>
      <c r="C280" t="n">
        <v>19</v>
      </c>
      <c r="D280" t="n">
        <v>15</v>
      </c>
      <c r="E280" t="n">
        <v>5</v>
      </c>
      <c r="F280" t="n">
        <v>55201.1174311927</v>
      </c>
      <c r="G280" t="n">
        <v>36800.7449541284</v>
      </c>
      <c r="H280" t="n">
        <v>2497204.47172539</v>
      </c>
      <c r="I280" t="n">
        <v>2970822.69299639</v>
      </c>
      <c r="J280" t="n">
        <v>55</v>
      </c>
      <c r="K280" t="n">
        <v>319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4501"/>
  <sheetViews>
    <sheetView workbookViewId="0">
      <selection activeCell="A1" sqref="A1"/>
    </sheetView>
  </sheetViews>
  <sheetFormatPr baseColWidth="8" defaultColWidth="9" defaultRowHeight="13.5"/>
  <sheetData>
    <row r="1" ht="15" customHeight="1">
      <c r="A1" s="22" t="inlineStr">
        <is>
          <t>索引键</t>
        </is>
      </c>
      <c r="B1" s="22" t="inlineStr">
        <is>
          <t>怪物等级</t>
        </is>
      </c>
      <c r="C1" s="22" t="inlineStr">
        <is>
          <t>怪物类型</t>
        </is>
      </c>
      <c r="D1" s="22" t="inlineStr">
        <is>
          <t>基础生命</t>
        </is>
      </c>
      <c r="E1" s="22" t="inlineStr">
        <is>
          <t>基础攻击</t>
        </is>
      </c>
      <c r="F1" s="22" t="inlineStr">
        <is>
          <t>基础防御</t>
        </is>
      </c>
    </row>
    <row r="2">
      <c r="A2" t="inlineStr">
        <is>
          <t>1|普通怪</t>
        </is>
      </c>
      <c r="B2" t="n">
        <v>1</v>
      </c>
      <c r="C2" t="inlineStr">
        <is>
          <t>普通怪</t>
        </is>
      </c>
      <c r="D2" t="n">
        <v>99</v>
      </c>
      <c r="E2" t="n">
        <v>44</v>
      </c>
      <c r="F2" t="n">
        <v>74</v>
      </c>
    </row>
    <row r="3">
      <c r="A3" t="inlineStr">
        <is>
          <t>1|盾怪</t>
        </is>
      </c>
      <c r="B3" t="n">
        <v>1</v>
      </c>
      <c r="C3" t="inlineStr">
        <is>
          <t>盾怪</t>
        </is>
      </c>
      <c r="D3" t="n">
        <v>297</v>
      </c>
      <c r="E3" t="n">
        <v>44</v>
      </c>
      <c r="F3" t="n">
        <v>74</v>
      </c>
    </row>
    <row r="4">
      <c r="A4" t="inlineStr">
        <is>
          <t>1|二级普通怪</t>
        </is>
      </c>
      <c r="B4" t="n">
        <v>1</v>
      </c>
      <c r="C4" t="inlineStr">
        <is>
          <t>二级普通怪</t>
        </is>
      </c>
      <c r="D4" t="n">
        <v>179</v>
      </c>
      <c r="E4" t="n">
        <v>44</v>
      </c>
      <c r="F4" t="n">
        <v>74</v>
      </c>
    </row>
    <row r="5">
      <c r="A5" t="inlineStr">
        <is>
          <t>1|站桩怪</t>
        </is>
      </c>
      <c r="B5" t="n">
        <v>1</v>
      </c>
      <c r="C5" t="inlineStr">
        <is>
          <t>站桩怪</t>
        </is>
      </c>
      <c r="D5" t="n">
        <v>50</v>
      </c>
      <c r="E5" t="n">
        <v>44</v>
      </c>
      <c r="F5" t="n">
        <v>74</v>
      </c>
    </row>
    <row r="6">
      <c r="A6" t="inlineStr">
        <is>
          <t>1|炮灰怪</t>
        </is>
      </c>
      <c r="B6" t="n">
        <v>1</v>
      </c>
      <c r="C6" t="inlineStr">
        <is>
          <t>炮灰怪</t>
        </is>
      </c>
      <c r="D6" t="n">
        <v>15</v>
      </c>
      <c r="E6" t="n">
        <v>44</v>
      </c>
      <c r="F6" t="n">
        <v>74</v>
      </c>
    </row>
    <row r="7">
      <c r="A7" t="inlineStr">
        <is>
          <t>1|精英怪</t>
        </is>
      </c>
      <c r="B7" t="n">
        <v>1</v>
      </c>
      <c r="C7" t="inlineStr">
        <is>
          <t>精英怪</t>
        </is>
      </c>
      <c r="D7" t="n">
        <v>396</v>
      </c>
      <c r="E7" t="n">
        <v>44</v>
      </c>
      <c r="F7" t="n">
        <v>74</v>
      </c>
    </row>
    <row r="8">
      <c r="A8" t="inlineStr">
        <is>
          <t>1|精英盾怪</t>
        </is>
      </c>
      <c r="B8" t="n">
        <v>1</v>
      </c>
      <c r="C8" t="inlineStr">
        <is>
          <t>精英盾怪</t>
        </is>
      </c>
      <c r="D8" t="n">
        <v>891</v>
      </c>
      <c r="E8" t="n">
        <v>44</v>
      </c>
      <c r="F8" t="n">
        <v>74</v>
      </c>
    </row>
    <row r="9">
      <c r="A9" t="inlineStr">
        <is>
          <t>1|Boss</t>
        </is>
      </c>
      <c r="B9" t="n">
        <v>1</v>
      </c>
      <c r="C9" t="inlineStr">
        <is>
          <t>Boss</t>
        </is>
      </c>
      <c r="D9" t="n">
        <v>11094</v>
      </c>
      <c r="E9" t="n">
        <v>55</v>
      </c>
      <c r="F9" t="n">
        <v>74</v>
      </c>
    </row>
    <row r="10">
      <c r="A10" t="inlineStr">
        <is>
          <t>1|装备副本Boss</t>
        </is>
      </c>
      <c r="B10" t="n">
        <v>1</v>
      </c>
      <c r="C10" t="inlineStr">
        <is>
          <t>装备副本Boss</t>
        </is>
      </c>
      <c r="D10" t="n">
        <v>5547</v>
      </c>
      <c r="E10" t="n">
        <v>55</v>
      </c>
      <c r="F10" t="n">
        <v>74</v>
      </c>
    </row>
    <row r="11">
      <c r="A11" t="inlineStr">
        <is>
          <t>2|普通怪</t>
        </is>
      </c>
      <c r="B11" t="n">
        <v>2</v>
      </c>
      <c r="C11" t="inlineStr">
        <is>
          <t>普通怪</t>
        </is>
      </c>
      <c r="D11" t="n">
        <v>205</v>
      </c>
      <c r="E11" t="n">
        <v>89</v>
      </c>
      <c r="F11" t="n">
        <v>148</v>
      </c>
    </row>
    <row r="12">
      <c r="A12" t="inlineStr">
        <is>
          <t>2|盾怪</t>
        </is>
      </c>
      <c r="B12" t="n">
        <v>2</v>
      </c>
      <c r="C12" t="inlineStr">
        <is>
          <t>盾怪</t>
        </is>
      </c>
      <c r="D12" t="n">
        <v>615</v>
      </c>
      <c r="E12" t="n">
        <v>89</v>
      </c>
      <c r="F12" t="n">
        <v>148</v>
      </c>
    </row>
    <row r="13">
      <c r="A13" t="inlineStr">
        <is>
          <t>2|二级普通怪</t>
        </is>
      </c>
      <c r="B13" t="n">
        <v>2</v>
      </c>
      <c r="C13" t="inlineStr">
        <is>
          <t>二级普通怪</t>
        </is>
      </c>
      <c r="D13" t="n">
        <v>369</v>
      </c>
      <c r="E13" t="n">
        <v>89</v>
      </c>
      <c r="F13" t="n">
        <v>148</v>
      </c>
    </row>
    <row r="14">
      <c r="A14" t="inlineStr">
        <is>
          <t>2|站桩怪</t>
        </is>
      </c>
      <c r="B14" t="n">
        <v>2</v>
      </c>
      <c r="C14" t="inlineStr">
        <is>
          <t>站桩怪</t>
        </is>
      </c>
      <c r="D14" t="n">
        <v>103</v>
      </c>
      <c r="E14" t="n">
        <v>89</v>
      </c>
      <c r="F14" t="n">
        <v>148</v>
      </c>
    </row>
    <row r="15">
      <c r="A15" t="inlineStr">
        <is>
          <t>2|炮灰怪</t>
        </is>
      </c>
      <c r="B15" t="n">
        <v>2</v>
      </c>
      <c r="C15" t="inlineStr">
        <is>
          <t>炮灰怪</t>
        </is>
      </c>
      <c r="D15" t="n">
        <v>31</v>
      </c>
      <c r="E15" t="n">
        <v>89</v>
      </c>
      <c r="F15" t="n">
        <v>148</v>
      </c>
    </row>
    <row r="16">
      <c r="A16" t="inlineStr">
        <is>
          <t>2|精英怪</t>
        </is>
      </c>
      <c r="B16" t="n">
        <v>2</v>
      </c>
      <c r="C16" t="inlineStr">
        <is>
          <t>精英怪</t>
        </is>
      </c>
      <c r="D16" t="n">
        <v>820</v>
      </c>
      <c r="E16" t="n">
        <v>89</v>
      </c>
      <c r="F16" t="n">
        <v>148</v>
      </c>
    </row>
    <row r="17">
      <c r="A17" t="inlineStr">
        <is>
          <t>2|精英盾怪</t>
        </is>
      </c>
      <c r="B17" t="n">
        <v>2</v>
      </c>
      <c r="C17" t="inlineStr">
        <is>
          <t>精英盾怪</t>
        </is>
      </c>
      <c r="D17" t="n">
        <v>1845</v>
      </c>
      <c r="E17" t="n">
        <v>89</v>
      </c>
      <c r="F17" t="n">
        <v>148</v>
      </c>
    </row>
    <row r="18">
      <c r="A18" t="inlineStr">
        <is>
          <t>2|Boss</t>
        </is>
      </c>
      <c r="B18" t="n">
        <v>2</v>
      </c>
      <c r="C18" t="inlineStr">
        <is>
          <t>Boss</t>
        </is>
      </c>
      <c r="D18" t="n">
        <v>22268</v>
      </c>
      <c r="E18" t="n">
        <v>111</v>
      </c>
      <c r="F18" t="n">
        <v>148</v>
      </c>
    </row>
    <row r="19">
      <c r="A19" t="inlineStr">
        <is>
          <t>2|装备副本Boss</t>
        </is>
      </c>
      <c r="B19" t="n">
        <v>2</v>
      </c>
      <c r="C19" t="inlineStr">
        <is>
          <t>装备副本Boss</t>
        </is>
      </c>
      <c r="D19" t="n">
        <v>11134</v>
      </c>
      <c r="E19" t="n">
        <v>111</v>
      </c>
      <c r="F19" t="n">
        <v>148</v>
      </c>
    </row>
    <row r="20">
      <c r="A20" t="inlineStr">
        <is>
          <t>3|普通怪</t>
        </is>
      </c>
      <c r="B20" t="n">
        <v>3</v>
      </c>
      <c r="C20" t="inlineStr">
        <is>
          <t>普通怪</t>
        </is>
      </c>
      <c r="D20" t="n">
        <v>316</v>
      </c>
      <c r="E20" t="n">
        <v>134</v>
      </c>
      <c r="F20" t="n">
        <v>222</v>
      </c>
    </row>
    <row r="21">
      <c r="A21" t="inlineStr">
        <is>
          <t>3|盾怪</t>
        </is>
      </c>
      <c r="B21" t="n">
        <v>3</v>
      </c>
      <c r="C21" t="inlineStr">
        <is>
          <t>盾怪</t>
        </is>
      </c>
      <c r="D21" t="n">
        <v>948</v>
      </c>
      <c r="E21" t="n">
        <v>134</v>
      </c>
      <c r="F21" t="n">
        <v>222</v>
      </c>
    </row>
    <row r="22">
      <c r="A22" t="inlineStr">
        <is>
          <t>3|二级普通怪</t>
        </is>
      </c>
      <c r="B22" t="n">
        <v>3</v>
      </c>
      <c r="C22" t="inlineStr">
        <is>
          <t>二级普通怪</t>
        </is>
      </c>
      <c r="D22" t="n">
        <v>569</v>
      </c>
      <c r="E22" t="n">
        <v>134</v>
      </c>
      <c r="F22" t="n">
        <v>222</v>
      </c>
    </row>
    <row r="23">
      <c r="A23" t="inlineStr">
        <is>
          <t>3|站桩怪</t>
        </is>
      </c>
      <c r="B23" t="n">
        <v>3</v>
      </c>
      <c r="C23" t="inlineStr">
        <is>
          <t>站桩怪</t>
        </is>
      </c>
      <c r="D23" t="n">
        <v>158</v>
      </c>
      <c r="E23" t="n">
        <v>134</v>
      </c>
      <c r="F23" t="n">
        <v>222</v>
      </c>
    </row>
    <row r="24">
      <c r="A24" t="inlineStr">
        <is>
          <t>3|炮灰怪</t>
        </is>
      </c>
      <c r="B24" t="n">
        <v>3</v>
      </c>
      <c r="C24" t="inlineStr">
        <is>
          <t>炮灰怪</t>
        </is>
      </c>
      <c r="D24" t="n">
        <v>48</v>
      </c>
      <c r="E24" t="n">
        <v>134</v>
      </c>
      <c r="F24" t="n">
        <v>222</v>
      </c>
    </row>
    <row r="25">
      <c r="A25" t="inlineStr">
        <is>
          <t>3|精英怪</t>
        </is>
      </c>
      <c r="B25" t="n">
        <v>3</v>
      </c>
      <c r="C25" t="inlineStr">
        <is>
          <t>精英怪</t>
        </is>
      </c>
      <c r="D25" t="n">
        <v>1264</v>
      </c>
      <c r="E25" t="n">
        <v>134</v>
      </c>
      <c r="F25" t="n">
        <v>222</v>
      </c>
    </row>
    <row r="26">
      <c r="A26" t="inlineStr">
        <is>
          <t>3|精英盾怪</t>
        </is>
      </c>
      <c r="B26" t="n">
        <v>3</v>
      </c>
      <c r="C26" t="inlineStr">
        <is>
          <t>精英盾怪</t>
        </is>
      </c>
      <c r="D26" t="n">
        <v>2844</v>
      </c>
      <c r="E26" t="n">
        <v>134</v>
      </c>
      <c r="F26" t="n">
        <v>222</v>
      </c>
    </row>
    <row r="27">
      <c r="A27" t="inlineStr">
        <is>
          <t>3|Boss</t>
        </is>
      </c>
      <c r="B27" t="n">
        <v>3</v>
      </c>
      <c r="C27" t="inlineStr">
        <is>
          <t>Boss</t>
        </is>
      </c>
      <c r="D27" t="n">
        <v>33626</v>
      </c>
      <c r="E27" t="n">
        <v>167</v>
      </c>
      <c r="F27" t="n">
        <v>222</v>
      </c>
    </row>
    <row r="28">
      <c r="A28" t="inlineStr">
        <is>
          <t>3|装备副本Boss</t>
        </is>
      </c>
      <c r="B28" t="n">
        <v>3</v>
      </c>
      <c r="C28" t="inlineStr">
        <is>
          <t>装备副本Boss</t>
        </is>
      </c>
      <c r="D28" t="n">
        <v>16813</v>
      </c>
      <c r="E28" t="n">
        <v>167</v>
      </c>
      <c r="F28" t="n">
        <v>222</v>
      </c>
    </row>
    <row r="29">
      <c r="A29" t="inlineStr">
        <is>
          <t>4|普通怪</t>
        </is>
      </c>
      <c r="B29" t="n">
        <v>4</v>
      </c>
      <c r="C29" t="inlineStr">
        <is>
          <t>普通怪</t>
        </is>
      </c>
      <c r="D29" t="n">
        <v>432</v>
      </c>
      <c r="E29" t="n">
        <v>180</v>
      </c>
      <c r="F29" t="n">
        <v>297</v>
      </c>
    </row>
    <row r="30">
      <c r="A30" t="inlineStr">
        <is>
          <t>4|盾怪</t>
        </is>
      </c>
      <c r="B30" t="n">
        <v>4</v>
      </c>
      <c r="C30" t="inlineStr">
        <is>
          <t>盾怪</t>
        </is>
      </c>
      <c r="D30" t="n">
        <v>1296</v>
      </c>
      <c r="E30" t="n">
        <v>180</v>
      </c>
      <c r="F30" t="n">
        <v>297</v>
      </c>
    </row>
    <row r="31">
      <c r="A31" t="inlineStr">
        <is>
          <t>4|二级普通怪</t>
        </is>
      </c>
      <c r="B31" t="n">
        <v>4</v>
      </c>
      <c r="C31" t="inlineStr">
        <is>
          <t>二级普通怪</t>
        </is>
      </c>
      <c r="D31" t="n">
        <v>778</v>
      </c>
      <c r="E31" t="n">
        <v>180</v>
      </c>
      <c r="F31" t="n">
        <v>297</v>
      </c>
    </row>
    <row r="32">
      <c r="A32" t="inlineStr">
        <is>
          <t>4|站桩怪</t>
        </is>
      </c>
      <c r="B32" t="n">
        <v>4</v>
      </c>
      <c r="C32" t="inlineStr">
        <is>
          <t>站桩怪</t>
        </is>
      </c>
      <c r="D32" t="n">
        <v>216</v>
      </c>
      <c r="E32" t="n">
        <v>180</v>
      </c>
      <c r="F32" t="n">
        <v>297</v>
      </c>
    </row>
    <row r="33">
      <c r="A33" t="inlineStr">
        <is>
          <t>4|炮灰怪</t>
        </is>
      </c>
      <c r="B33" t="n">
        <v>4</v>
      </c>
      <c r="C33" t="inlineStr">
        <is>
          <t>炮灰怪</t>
        </is>
      </c>
      <c r="D33" t="n">
        <v>65</v>
      </c>
      <c r="E33" t="n">
        <v>180</v>
      </c>
      <c r="F33" t="n">
        <v>297</v>
      </c>
    </row>
    <row r="34">
      <c r="A34" t="inlineStr">
        <is>
          <t>4|精英怪</t>
        </is>
      </c>
      <c r="B34" t="n">
        <v>4</v>
      </c>
      <c r="C34" t="inlineStr">
        <is>
          <t>精英怪</t>
        </is>
      </c>
      <c r="D34" t="n">
        <v>1728</v>
      </c>
      <c r="E34" t="n">
        <v>180</v>
      </c>
      <c r="F34" t="n">
        <v>297</v>
      </c>
    </row>
    <row r="35">
      <c r="A35" t="inlineStr">
        <is>
          <t>4|精英盾怪</t>
        </is>
      </c>
      <c r="B35" t="n">
        <v>4</v>
      </c>
      <c r="C35" t="inlineStr">
        <is>
          <t>精英盾怪</t>
        </is>
      </c>
      <c r="D35" t="n">
        <v>3888</v>
      </c>
      <c r="E35" t="n">
        <v>180</v>
      </c>
      <c r="F35" t="n">
        <v>297</v>
      </c>
    </row>
    <row r="36">
      <c r="A36" t="inlineStr">
        <is>
          <t>4|Boss</t>
        </is>
      </c>
      <c r="B36" t="n">
        <v>4</v>
      </c>
      <c r="C36" t="inlineStr">
        <is>
          <t>Boss</t>
        </is>
      </c>
      <c r="D36" t="n">
        <v>45146</v>
      </c>
      <c r="E36" t="n">
        <v>224</v>
      </c>
      <c r="F36" t="n">
        <v>297</v>
      </c>
    </row>
    <row r="37">
      <c r="A37" t="inlineStr">
        <is>
          <t>4|装备副本Boss</t>
        </is>
      </c>
      <c r="B37" t="n">
        <v>4</v>
      </c>
      <c r="C37" t="inlineStr">
        <is>
          <t>装备副本Boss</t>
        </is>
      </c>
      <c r="D37" t="n">
        <v>22573</v>
      </c>
      <c r="E37" t="n">
        <v>224</v>
      </c>
      <c r="F37" t="n">
        <v>297</v>
      </c>
    </row>
    <row r="38">
      <c r="A38" t="inlineStr">
        <is>
          <t>5|普通怪</t>
        </is>
      </c>
      <c r="B38" t="n">
        <v>5</v>
      </c>
      <c r="C38" t="inlineStr">
        <is>
          <t>普通怪</t>
        </is>
      </c>
      <c r="D38" t="n">
        <v>554</v>
      </c>
      <c r="E38" t="n">
        <v>225</v>
      </c>
      <c r="F38" t="n">
        <v>372</v>
      </c>
    </row>
    <row r="39">
      <c r="A39" t="inlineStr">
        <is>
          <t>5|盾怪</t>
        </is>
      </c>
      <c r="B39" t="n">
        <v>5</v>
      </c>
      <c r="C39" t="inlineStr">
        <is>
          <t>盾怪</t>
        </is>
      </c>
      <c r="D39" t="n">
        <v>1662</v>
      </c>
      <c r="E39" t="n">
        <v>225</v>
      </c>
      <c r="F39" t="n">
        <v>372</v>
      </c>
    </row>
    <row r="40">
      <c r="A40" t="inlineStr">
        <is>
          <t>5|二级普通怪</t>
        </is>
      </c>
      <c r="B40" t="n">
        <v>5</v>
      </c>
      <c r="C40" t="inlineStr">
        <is>
          <t>二级普通怪</t>
        </is>
      </c>
      <c r="D40" t="n">
        <v>998</v>
      </c>
      <c r="E40" t="n">
        <v>225</v>
      </c>
      <c r="F40" t="n">
        <v>372</v>
      </c>
    </row>
    <row r="41">
      <c r="A41" t="inlineStr">
        <is>
          <t>5|站桩怪</t>
        </is>
      </c>
      <c r="B41" t="n">
        <v>5</v>
      </c>
      <c r="C41" t="inlineStr">
        <is>
          <t>站桩怪</t>
        </is>
      </c>
      <c r="D41" t="n">
        <v>277</v>
      </c>
      <c r="E41" t="n">
        <v>225</v>
      </c>
      <c r="F41" t="n">
        <v>372</v>
      </c>
    </row>
    <row r="42">
      <c r="A42" t="inlineStr">
        <is>
          <t>5|炮灰怪</t>
        </is>
      </c>
      <c r="B42" t="n">
        <v>5</v>
      </c>
      <c r="C42" t="inlineStr">
        <is>
          <t>炮灰怪</t>
        </is>
      </c>
      <c r="D42" t="n">
        <v>84</v>
      </c>
      <c r="E42" t="n">
        <v>225</v>
      </c>
      <c r="F42" t="n">
        <v>372</v>
      </c>
    </row>
    <row r="43">
      <c r="A43" t="inlineStr">
        <is>
          <t>5|精英怪</t>
        </is>
      </c>
      <c r="B43" t="n">
        <v>5</v>
      </c>
      <c r="C43" t="inlineStr">
        <is>
          <t>精英怪</t>
        </is>
      </c>
      <c r="D43" t="n">
        <v>2216</v>
      </c>
      <c r="E43" t="n">
        <v>225</v>
      </c>
      <c r="F43" t="n">
        <v>372</v>
      </c>
    </row>
    <row r="44">
      <c r="A44" t="inlineStr">
        <is>
          <t>5|精英盾怪</t>
        </is>
      </c>
      <c r="B44" t="n">
        <v>5</v>
      </c>
      <c r="C44" t="inlineStr">
        <is>
          <t>精英盾怪</t>
        </is>
      </c>
      <c r="D44" t="n">
        <v>4986</v>
      </c>
      <c r="E44" t="n">
        <v>225</v>
      </c>
      <c r="F44" t="n">
        <v>372</v>
      </c>
    </row>
    <row r="45">
      <c r="A45" t="inlineStr">
        <is>
          <t>5|Boss</t>
        </is>
      </c>
      <c r="B45" t="n">
        <v>5</v>
      </c>
      <c r="C45" t="inlineStr">
        <is>
          <t>Boss</t>
        </is>
      </c>
      <c r="D45" t="n">
        <v>56808</v>
      </c>
      <c r="E45" t="n">
        <v>281</v>
      </c>
      <c r="F45" t="n">
        <v>372</v>
      </c>
    </row>
    <row r="46">
      <c r="A46" t="inlineStr">
        <is>
          <t>5|装备副本Boss</t>
        </is>
      </c>
      <c r="B46" t="n">
        <v>5</v>
      </c>
      <c r="C46" t="inlineStr">
        <is>
          <t>装备副本Boss</t>
        </is>
      </c>
      <c r="D46" t="n">
        <v>28404</v>
      </c>
      <c r="E46" t="n">
        <v>281</v>
      </c>
      <c r="F46" t="n">
        <v>372</v>
      </c>
    </row>
    <row r="47">
      <c r="A47" t="inlineStr">
        <is>
          <t>6|普通怪</t>
        </is>
      </c>
      <c r="B47" t="n">
        <v>6</v>
      </c>
      <c r="C47" t="inlineStr">
        <is>
          <t>普通怪</t>
        </is>
      </c>
      <c r="D47" t="n">
        <v>682</v>
      </c>
      <c r="E47" t="n">
        <v>271</v>
      </c>
      <c r="F47" t="n">
        <v>447</v>
      </c>
    </row>
    <row r="48">
      <c r="A48" t="inlineStr">
        <is>
          <t>6|盾怪</t>
        </is>
      </c>
      <c r="B48" t="n">
        <v>6</v>
      </c>
      <c r="C48" t="inlineStr">
        <is>
          <t>盾怪</t>
        </is>
      </c>
      <c r="D48" t="n">
        <v>2046</v>
      </c>
      <c r="E48" t="n">
        <v>271</v>
      </c>
      <c r="F48" t="n">
        <v>447</v>
      </c>
    </row>
    <row r="49">
      <c r="A49" t="inlineStr">
        <is>
          <t>6|二级普通怪</t>
        </is>
      </c>
      <c r="B49" t="n">
        <v>6</v>
      </c>
      <c r="C49" t="inlineStr">
        <is>
          <t>二级普通怪</t>
        </is>
      </c>
      <c r="D49" t="n">
        <v>1228</v>
      </c>
      <c r="E49" t="n">
        <v>271</v>
      </c>
      <c r="F49" t="n">
        <v>447</v>
      </c>
    </row>
    <row r="50">
      <c r="A50" t="inlineStr">
        <is>
          <t>6|站桩怪</t>
        </is>
      </c>
      <c r="B50" t="n">
        <v>6</v>
      </c>
      <c r="C50" t="inlineStr">
        <is>
          <t>站桩怪</t>
        </is>
      </c>
      <c r="D50" t="n">
        <v>341</v>
      </c>
      <c r="E50" t="n">
        <v>271</v>
      </c>
      <c r="F50" t="n">
        <v>447</v>
      </c>
    </row>
    <row r="51">
      <c r="A51" t="inlineStr">
        <is>
          <t>6|炮灰怪</t>
        </is>
      </c>
      <c r="B51" t="n">
        <v>6</v>
      </c>
      <c r="C51" t="inlineStr">
        <is>
          <t>炮灰怪</t>
        </is>
      </c>
      <c r="D51" t="n">
        <v>103</v>
      </c>
      <c r="E51" t="n">
        <v>271</v>
      </c>
      <c r="F51" t="n">
        <v>447</v>
      </c>
    </row>
    <row r="52">
      <c r="A52" t="inlineStr">
        <is>
          <t>6|精英怪</t>
        </is>
      </c>
      <c r="B52" t="n">
        <v>6</v>
      </c>
      <c r="C52" t="inlineStr">
        <is>
          <t>精英怪</t>
        </is>
      </c>
      <c r="D52" t="n">
        <v>2728</v>
      </c>
      <c r="E52" t="n">
        <v>271</v>
      </c>
      <c r="F52" t="n">
        <v>447</v>
      </c>
    </row>
    <row r="53">
      <c r="A53" t="inlineStr">
        <is>
          <t>6|精英盾怪</t>
        </is>
      </c>
      <c r="B53" t="n">
        <v>6</v>
      </c>
      <c r="C53" t="inlineStr">
        <is>
          <t>精英盾怪</t>
        </is>
      </c>
      <c r="D53" t="n">
        <v>6138</v>
      </c>
      <c r="E53" t="n">
        <v>271</v>
      </c>
      <c r="F53" t="n">
        <v>447</v>
      </c>
    </row>
    <row r="54">
      <c r="A54" t="inlineStr">
        <is>
          <t>6|Boss</t>
        </is>
      </c>
      <c r="B54" t="n">
        <v>6</v>
      </c>
      <c r="C54" t="inlineStr">
        <is>
          <t>Boss</t>
        </is>
      </c>
      <c r="D54" t="n">
        <v>68595</v>
      </c>
      <c r="E54" t="n">
        <v>338</v>
      </c>
      <c r="F54" t="n">
        <v>447</v>
      </c>
    </row>
    <row r="55">
      <c r="A55" t="inlineStr">
        <is>
          <t>6|装备副本Boss</t>
        </is>
      </c>
      <c r="B55" t="n">
        <v>6</v>
      </c>
      <c r="C55" t="inlineStr">
        <is>
          <t>装备副本Boss</t>
        </is>
      </c>
      <c r="D55" t="n">
        <v>34297</v>
      </c>
      <c r="E55" t="n">
        <v>338</v>
      </c>
      <c r="F55" t="n">
        <v>447</v>
      </c>
    </row>
    <row r="56">
      <c r="A56" t="inlineStr">
        <is>
          <t>7|普通怪</t>
        </is>
      </c>
      <c r="B56" t="n">
        <v>7</v>
      </c>
      <c r="C56" t="inlineStr">
        <is>
          <t>普通怪</t>
        </is>
      </c>
      <c r="D56" t="n">
        <v>815</v>
      </c>
      <c r="E56" t="n">
        <v>318</v>
      </c>
      <c r="F56" t="n">
        <v>522</v>
      </c>
    </row>
    <row r="57">
      <c r="A57" t="inlineStr">
        <is>
          <t>7|盾怪</t>
        </is>
      </c>
      <c r="B57" t="n">
        <v>7</v>
      </c>
      <c r="C57" t="inlineStr">
        <is>
          <t>盾怪</t>
        </is>
      </c>
      <c r="D57" t="n">
        <v>2445</v>
      </c>
      <c r="E57" t="n">
        <v>318</v>
      </c>
      <c r="F57" t="n">
        <v>522</v>
      </c>
    </row>
    <row r="58">
      <c r="A58" t="inlineStr">
        <is>
          <t>7|二级普通怪</t>
        </is>
      </c>
      <c r="B58" t="n">
        <v>7</v>
      </c>
      <c r="C58" t="inlineStr">
        <is>
          <t>二级普通怪</t>
        </is>
      </c>
      <c r="D58" t="n">
        <v>1467</v>
      </c>
      <c r="E58" t="n">
        <v>318</v>
      </c>
      <c r="F58" t="n">
        <v>522</v>
      </c>
    </row>
    <row r="59">
      <c r="A59" t="inlineStr">
        <is>
          <t>7|站桩怪</t>
        </is>
      </c>
      <c r="B59" t="n">
        <v>7</v>
      </c>
      <c r="C59" t="inlineStr">
        <is>
          <t>站桩怪</t>
        </is>
      </c>
      <c r="D59" t="n">
        <v>408</v>
      </c>
      <c r="E59" t="n">
        <v>318</v>
      </c>
      <c r="F59" t="n">
        <v>522</v>
      </c>
    </row>
    <row r="60">
      <c r="A60" t="inlineStr">
        <is>
          <t>7|炮灰怪</t>
        </is>
      </c>
      <c r="B60" t="n">
        <v>7</v>
      </c>
      <c r="C60" t="inlineStr">
        <is>
          <t>炮灰怪</t>
        </is>
      </c>
      <c r="D60" t="n">
        <v>123</v>
      </c>
      <c r="E60" t="n">
        <v>318</v>
      </c>
      <c r="F60" t="n">
        <v>522</v>
      </c>
    </row>
    <row r="61">
      <c r="A61" t="inlineStr">
        <is>
          <t>7|精英怪</t>
        </is>
      </c>
      <c r="B61" t="n">
        <v>7</v>
      </c>
      <c r="C61" t="inlineStr">
        <is>
          <t>精英怪</t>
        </is>
      </c>
      <c r="D61" t="n">
        <v>3260</v>
      </c>
      <c r="E61" t="n">
        <v>318</v>
      </c>
      <c r="F61" t="n">
        <v>522</v>
      </c>
    </row>
    <row r="62">
      <c r="A62" t="inlineStr">
        <is>
          <t>7|精英盾怪</t>
        </is>
      </c>
      <c r="B62" t="n">
        <v>7</v>
      </c>
      <c r="C62" t="inlineStr">
        <is>
          <t>精英盾怪</t>
        </is>
      </c>
      <c r="D62" t="n">
        <v>7335</v>
      </c>
      <c r="E62" t="n">
        <v>318</v>
      </c>
      <c r="F62" t="n">
        <v>522</v>
      </c>
    </row>
    <row r="63">
      <c r="A63" t="inlineStr">
        <is>
          <t>7|Boss</t>
        </is>
      </c>
      <c r="B63" t="n">
        <v>7</v>
      </c>
      <c r="C63" t="inlineStr">
        <is>
          <t>Boss</t>
        </is>
      </c>
      <c r="D63" t="n">
        <v>80386</v>
      </c>
      <c r="E63" t="n">
        <v>396</v>
      </c>
      <c r="F63" t="n">
        <v>522</v>
      </c>
    </row>
    <row r="64">
      <c r="A64" t="inlineStr">
        <is>
          <t>7|装备副本Boss</t>
        </is>
      </c>
      <c r="B64" t="n">
        <v>7</v>
      </c>
      <c r="C64" t="inlineStr">
        <is>
          <t>装备副本Boss</t>
        </is>
      </c>
      <c r="D64" t="n">
        <v>40193</v>
      </c>
      <c r="E64" t="n">
        <v>396</v>
      </c>
      <c r="F64" t="n">
        <v>522</v>
      </c>
    </row>
    <row r="65">
      <c r="A65" t="inlineStr">
        <is>
          <t>8|普通怪</t>
        </is>
      </c>
      <c r="B65" t="n">
        <v>8</v>
      </c>
      <c r="C65" t="inlineStr">
        <is>
          <t>普通怪</t>
        </is>
      </c>
      <c r="D65" t="n">
        <v>953</v>
      </c>
      <c r="E65" t="n">
        <v>365</v>
      </c>
      <c r="F65" t="n">
        <v>598</v>
      </c>
    </row>
    <row r="66">
      <c r="A66" t="inlineStr">
        <is>
          <t>8|盾怪</t>
        </is>
      </c>
      <c r="B66" t="n">
        <v>8</v>
      </c>
      <c r="C66" t="inlineStr">
        <is>
          <t>盾怪</t>
        </is>
      </c>
      <c r="D66" t="n">
        <v>2859</v>
      </c>
      <c r="E66" t="n">
        <v>365</v>
      </c>
      <c r="F66" t="n">
        <v>598</v>
      </c>
    </row>
    <row r="67">
      <c r="A67" t="inlineStr">
        <is>
          <t>8|二级普通怪</t>
        </is>
      </c>
      <c r="B67" t="n">
        <v>8</v>
      </c>
      <c r="C67" t="inlineStr">
        <is>
          <t>二级普通怪</t>
        </is>
      </c>
      <c r="D67" t="n">
        <v>1716</v>
      </c>
      <c r="E67" t="n">
        <v>365</v>
      </c>
      <c r="F67" t="n">
        <v>598</v>
      </c>
    </row>
    <row r="68">
      <c r="A68" t="inlineStr">
        <is>
          <t>8|站桩怪</t>
        </is>
      </c>
      <c r="B68" t="n">
        <v>8</v>
      </c>
      <c r="C68" t="inlineStr">
        <is>
          <t>站桩怪</t>
        </is>
      </c>
      <c r="D68" t="n">
        <v>477</v>
      </c>
      <c r="E68" t="n">
        <v>365</v>
      </c>
      <c r="F68" t="n">
        <v>598</v>
      </c>
    </row>
    <row r="69">
      <c r="A69" t="inlineStr">
        <is>
          <t>8|炮灰怪</t>
        </is>
      </c>
      <c r="B69" t="n">
        <v>8</v>
      </c>
      <c r="C69" t="inlineStr">
        <is>
          <t>炮灰怪</t>
        </is>
      </c>
      <c r="D69" t="n">
        <v>143</v>
      </c>
      <c r="E69" t="n">
        <v>365</v>
      </c>
      <c r="F69" t="n">
        <v>598</v>
      </c>
    </row>
    <row r="70">
      <c r="A70" t="inlineStr">
        <is>
          <t>8|精英怪</t>
        </is>
      </c>
      <c r="B70" t="n">
        <v>8</v>
      </c>
      <c r="C70" t="inlineStr">
        <is>
          <t>精英怪</t>
        </is>
      </c>
      <c r="D70" t="n">
        <v>3812</v>
      </c>
      <c r="E70" t="n">
        <v>365</v>
      </c>
      <c r="F70" t="n">
        <v>598</v>
      </c>
    </row>
    <row r="71">
      <c r="A71" t="inlineStr">
        <is>
          <t>8|精英盾怪</t>
        </is>
      </c>
      <c r="B71" t="n">
        <v>8</v>
      </c>
      <c r="C71" t="inlineStr">
        <is>
          <t>精英盾怪</t>
        </is>
      </c>
      <c r="D71" t="n">
        <v>8577</v>
      </c>
      <c r="E71" t="n">
        <v>365</v>
      </c>
      <c r="F71" t="n">
        <v>598</v>
      </c>
    </row>
    <row r="72">
      <c r="A72" t="inlineStr">
        <is>
          <t>8|Boss</t>
        </is>
      </c>
      <c r="B72" t="n">
        <v>8</v>
      </c>
      <c r="C72" t="inlineStr">
        <is>
          <t>Boss</t>
        </is>
      </c>
      <c r="D72" t="n">
        <v>92392</v>
      </c>
      <c r="E72" t="n">
        <v>454</v>
      </c>
      <c r="F72" t="n">
        <v>598</v>
      </c>
    </row>
    <row r="73">
      <c r="A73" t="inlineStr">
        <is>
          <t>8|装备副本Boss</t>
        </is>
      </c>
      <c r="B73" t="n">
        <v>8</v>
      </c>
      <c r="C73" t="inlineStr">
        <is>
          <t>装备副本Boss</t>
        </is>
      </c>
      <c r="D73" t="n">
        <v>46196</v>
      </c>
      <c r="E73" t="n">
        <v>454</v>
      </c>
      <c r="F73" t="n">
        <v>598</v>
      </c>
    </row>
    <row r="74">
      <c r="A74" t="inlineStr">
        <is>
          <t>9|普通怪</t>
        </is>
      </c>
      <c r="B74" t="n">
        <v>9</v>
      </c>
      <c r="C74" t="inlineStr">
        <is>
          <t>普通怪</t>
        </is>
      </c>
      <c r="D74" t="n">
        <v>1097</v>
      </c>
      <c r="E74" t="n">
        <v>413</v>
      </c>
      <c r="F74" t="n">
        <v>674</v>
      </c>
    </row>
    <row r="75">
      <c r="A75" t="inlineStr">
        <is>
          <t>9|盾怪</t>
        </is>
      </c>
      <c r="B75" t="n">
        <v>9</v>
      </c>
      <c r="C75" t="inlineStr">
        <is>
          <t>盾怪</t>
        </is>
      </c>
      <c r="D75" t="n">
        <v>3291</v>
      </c>
      <c r="E75" t="n">
        <v>413</v>
      </c>
      <c r="F75" t="n">
        <v>674</v>
      </c>
    </row>
    <row r="76">
      <c r="A76" t="inlineStr">
        <is>
          <t>9|二级普通怪</t>
        </is>
      </c>
      <c r="B76" t="n">
        <v>9</v>
      </c>
      <c r="C76" t="inlineStr">
        <is>
          <t>二级普通怪</t>
        </is>
      </c>
      <c r="D76" t="n">
        <v>1975</v>
      </c>
      <c r="E76" t="n">
        <v>413</v>
      </c>
      <c r="F76" t="n">
        <v>674</v>
      </c>
    </row>
    <row r="77">
      <c r="A77" t="inlineStr">
        <is>
          <t>9|站桩怪</t>
        </is>
      </c>
      <c r="B77" t="n">
        <v>9</v>
      </c>
      <c r="C77" t="inlineStr">
        <is>
          <t>站桩怪</t>
        </is>
      </c>
      <c r="D77" t="n">
        <v>549</v>
      </c>
      <c r="E77" t="n">
        <v>413</v>
      </c>
      <c r="F77" t="n">
        <v>674</v>
      </c>
    </row>
    <row r="78">
      <c r="A78" t="inlineStr">
        <is>
          <t>9|炮灰怪</t>
        </is>
      </c>
      <c r="B78" t="n">
        <v>9</v>
      </c>
      <c r="C78" t="inlineStr">
        <is>
          <t>炮灰怪</t>
        </is>
      </c>
      <c r="D78" t="n">
        <v>165</v>
      </c>
      <c r="E78" t="n">
        <v>413</v>
      </c>
      <c r="F78" t="n">
        <v>674</v>
      </c>
    </row>
    <row r="79">
      <c r="A79" t="inlineStr">
        <is>
          <t>9|精英怪</t>
        </is>
      </c>
      <c r="B79" t="n">
        <v>9</v>
      </c>
      <c r="C79" t="inlineStr">
        <is>
          <t>精英怪</t>
        </is>
      </c>
      <c r="D79" t="n">
        <v>4388</v>
      </c>
      <c r="E79" t="n">
        <v>413</v>
      </c>
      <c r="F79" t="n">
        <v>674</v>
      </c>
    </row>
    <row r="80">
      <c r="A80" t="inlineStr">
        <is>
          <t>9|精英盾怪</t>
        </is>
      </c>
      <c r="B80" t="n">
        <v>9</v>
      </c>
      <c r="C80" t="inlineStr">
        <is>
          <t>精英盾怪</t>
        </is>
      </c>
      <c r="D80" t="n">
        <v>9873</v>
      </c>
      <c r="E80" t="n">
        <v>413</v>
      </c>
      <c r="F80" t="n">
        <v>674</v>
      </c>
    </row>
    <row r="81">
      <c r="A81" t="inlineStr">
        <is>
          <t>9|Boss</t>
        </is>
      </c>
      <c r="B81" t="n">
        <v>9</v>
      </c>
      <c r="C81" t="inlineStr">
        <is>
          <t>Boss</t>
        </is>
      </c>
      <c r="D81" t="n">
        <v>104596</v>
      </c>
      <c r="E81" t="n">
        <v>513</v>
      </c>
      <c r="F81" t="n">
        <v>674</v>
      </c>
    </row>
    <row r="82">
      <c r="A82" t="inlineStr">
        <is>
          <t>9|装备副本Boss</t>
        </is>
      </c>
      <c r="B82" t="n">
        <v>9</v>
      </c>
      <c r="C82" t="inlineStr">
        <is>
          <t>装备副本Boss</t>
        </is>
      </c>
      <c r="D82" t="n">
        <v>52298</v>
      </c>
      <c r="E82" t="n">
        <v>513</v>
      </c>
      <c r="F82" t="n">
        <v>674</v>
      </c>
    </row>
    <row r="83">
      <c r="A83" t="inlineStr">
        <is>
          <t>10|普通怪</t>
        </is>
      </c>
      <c r="B83" t="n">
        <v>10</v>
      </c>
      <c r="C83" t="inlineStr">
        <is>
          <t>普通怪</t>
        </is>
      </c>
      <c r="D83" t="n">
        <v>1246</v>
      </c>
      <c r="E83" t="n">
        <v>461</v>
      </c>
      <c r="F83" t="n">
        <v>750</v>
      </c>
    </row>
    <row r="84">
      <c r="A84" t="inlineStr">
        <is>
          <t>10|盾怪</t>
        </is>
      </c>
      <c r="B84" t="n">
        <v>10</v>
      </c>
      <c r="C84" t="inlineStr">
        <is>
          <t>盾怪</t>
        </is>
      </c>
      <c r="D84" t="n">
        <v>3738</v>
      </c>
      <c r="E84" t="n">
        <v>461</v>
      </c>
      <c r="F84" t="n">
        <v>750</v>
      </c>
    </row>
    <row r="85">
      <c r="A85" t="inlineStr">
        <is>
          <t>10|二级普通怪</t>
        </is>
      </c>
      <c r="B85" t="n">
        <v>10</v>
      </c>
      <c r="C85" t="inlineStr">
        <is>
          <t>二级普通怪</t>
        </is>
      </c>
      <c r="D85" t="n">
        <v>2243</v>
      </c>
      <c r="E85" t="n">
        <v>461</v>
      </c>
      <c r="F85" t="n">
        <v>750</v>
      </c>
    </row>
    <row r="86">
      <c r="A86" t="inlineStr">
        <is>
          <t>10|站桩怪</t>
        </is>
      </c>
      <c r="B86" t="n">
        <v>10</v>
      </c>
      <c r="C86" t="inlineStr">
        <is>
          <t>站桩怪</t>
        </is>
      </c>
      <c r="D86" t="n">
        <v>623</v>
      </c>
      <c r="E86" t="n">
        <v>461</v>
      </c>
      <c r="F86" t="n">
        <v>750</v>
      </c>
    </row>
    <row r="87">
      <c r="A87" t="inlineStr">
        <is>
          <t>10|炮灰怪</t>
        </is>
      </c>
      <c r="B87" t="n">
        <v>10</v>
      </c>
      <c r="C87" t="inlineStr">
        <is>
          <t>炮灰怪</t>
        </is>
      </c>
      <c r="D87" t="n">
        <v>187</v>
      </c>
      <c r="E87" t="n">
        <v>461</v>
      </c>
      <c r="F87" t="n">
        <v>750</v>
      </c>
    </row>
    <row r="88">
      <c r="A88" t="inlineStr">
        <is>
          <t>10|精英怪</t>
        </is>
      </c>
      <c r="B88" t="n">
        <v>10</v>
      </c>
      <c r="C88" t="inlineStr">
        <is>
          <t>精英怪</t>
        </is>
      </c>
      <c r="D88" t="n">
        <v>4984</v>
      </c>
      <c r="E88" t="n">
        <v>461</v>
      </c>
      <c r="F88" t="n">
        <v>750</v>
      </c>
    </row>
    <row r="89">
      <c r="A89" t="inlineStr">
        <is>
          <t>10|精英盾怪</t>
        </is>
      </c>
      <c r="B89" t="n">
        <v>10</v>
      </c>
      <c r="C89" t="inlineStr">
        <is>
          <t>精英盾怪</t>
        </is>
      </c>
      <c r="D89" t="n">
        <v>11214</v>
      </c>
      <c r="E89" t="n">
        <v>461</v>
      </c>
      <c r="F89" t="n">
        <v>750</v>
      </c>
    </row>
    <row r="90">
      <c r="A90" t="inlineStr">
        <is>
          <t>10|Boss</t>
        </is>
      </c>
      <c r="B90" t="n">
        <v>10</v>
      </c>
      <c r="C90" t="inlineStr">
        <is>
          <t>Boss</t>
        </is>
      </c>
      <c r="D90" t="n">
        <v>116786</v>
      </c>
      <c r="E90" t="n">
        <v>572</v>
      </c>
      <c r="F90" t="n">
        <v>750</v>
      </c>
    </row>
    <row r="91">
      <c r="A91" t="inlineStr">
        <is>
          <t>10|装备副本Boss</t>
        </is>
      </c>
      <c r="B91" t="n">
        <v>10</v>
      </c>
      <c r="C91" t="inlineStr">
        <is>
          <t>装备副本Boss</t>
        </is>
      </c>
      <c r="D91" t="n">
        <v>58393</v>
      </c>
      <c r="E91" t="n">
        <v>572</v>
      </c>
      <c r="F91" t="n">
        <v>750</v>
      </c>
    </row>
    <row r="92">
      <c r="A92" t="inlineStr">
        <is>
          <t>11|普通怪</t>
        </is>
      </c>
      <c r="B92" t="n">
        <v>11</v>
      </c>
      <c r="C92" t="inlineStr">
        <is>
          <t>普通怪</t>
        </is>
      </c>
      <c r="D92" t="n">
        <v>1400</v>
      </c>
      <c r="E92" t="n">
        <v>508</v>
      </c>
      <c r="F92" t="n">
        <v>826</v>
      </c>
    </row>
    <row r="93">
      <c r="A93" t="inlineStr">
        <is>
          <t>11|盾怪</t>
        </is>
      </c>
      <c r="B93" t="n">
        <v>11</v>
      </c>
      <c r="C93" t="inlineStr">
        <is>
          <t>盾怪</t>
        </is>
      </c>
      <c r="D93" t="n">
        <v>4200</v>
      </c>
      <c r="E93" t="n">
        <v>508</v>
      </c>
      <c r="F93" t="n">
        <v>826</v>
      </c>
    </row>
    <row r="94">
      <c r="A94" t="inlineStr">
        <is>
          <t>11|二级普通怪</t>
        </is>
      </c>
      <c r="B94" t="n">
        <v>11</v>
      </c>
      <c r="C94" t="inlineStr">
        <is>
          <t>二级普通怪</t>
        </is>
      </c>
      <c r="D94" t="n">
        <v>2520</v>
      </c>
      <c r="E94" t="n">
        <v>508</v>
      </c>
      <c r="F94" t="n">
        <v>826</v>
      </c>
    </row>
    <row r="95">
      <c r="A95" t="inlineStr">
        <is>
          <t>11|站桩怪</t>
        </is>
      </c>
      <c r="B95" t="n">
        <v>11</v>
      </c>
      <c r="C95" t="inlineStr">
        <is>
          <t>站桩怪</t>
        </is>
      </c>
      <c r="D95" t="n">
        <v>700</v>
      </c>
      <c r="E95" t="n">
        <v>508</v>
      </c>
      <c r="F95" t="n">
        <v>826</v>
      </c>
    </row>
    <row r="96">
      <c r="A96" t="inlineStr">
        <is>
          <t>11|炮灰怪</t>
        </is>
      </c>
      <c r="B96" t="n">
        <v>11</v>
      </c>
      <c r="C96" t="inlineStr">
        <is>
          <t>炮灰怪</t>
        </is>
      </c>
      <c r="D96" t="n">
        <v>210</v>
      </c>
      <c r="E96" t="n">
        <v>508</v>
      </c>
      <c r="F96" t="n">
        <v>826</v>
      </c>
    </row>
    <row r="97">
      <c r="A97" t="inlineStr">
        <is>
          <t>11|精英怪</t>
        </is>
      </c>
      <c r="B97" t="n">
        <v>11</v>
      </c>
      <c r="C97" t="inlineStr">
        <is>
          <t>精英怪</t>
        </is>
      </c>
      <c r="D97" t="n">
        <v>5600</v>
      </c>
      <c r="E97" t="n">
        <v>508</v>
      </c>
      <c r="F97" t="n">
        <v>826</v>
      </c>
    </row>
    <row r="98">
      <c r="A98" t="inlineStr">
        <is>
          <t>11|精英盾怪</t>
        </is>
      </c>
      <c r="B98" t="n">
        <v>11</v>
      </c>
      <c r="C98" t="inlineStr">
        <is>
          <t>精英盾怪</t>
        </is>
      </c>
      <c r="D98" t="n">
        <v>12600</v>
      </c>
      <c r="E98" t="n">
        <v>508</v>
      </c>
      <c r="F98" t="n">
        <v>826</v>
      </c>
    </row>
    <row r="99">
      <c r="A99" t="inlineStr">
        <is>
          <t>11|Boss</t>
        </is>
      </c>
      <c r="B99" t="n">
        <v>11</v>
      </c>
      <c r="C99" t="inlineStr">
        <is>
          <t>Boss</t>
        </is>
      </c>
      <c r="D99" t="n">
        <v>129161</v>
      </c>
      <c r="E99" t="n">
        <v>631</v>
      </c>
      <c r="F99" t="n">
        <v>826</v>
      </c>
    </row>
    <row r="100">
      <c r="A100" t="inlineStr">
        <is>
          <t>11|装备副本Boss</t>
        </is>
      </c>
      <c r="B100" t="n">
        <v>11</v>
      </c>
      <c r="C100" t="inlineStr">
        <is>
          <t>装备副本Boss</t>
        </is>
      </c>
      <c r="D100" t="n">
        <v>64581</v>
      </c>
      <c r="E100" t="n">
        <v>631</v>
      </c>
      <c r="F100" t="n">
        <v>826</v>
      </c>
    </row>
    <row r="101">
      <c r="A101" t="inlineStr">
        <is>
          <t>12|普通怪</t>
        </is>
      </c>
      <c r="B101" t="n">
        <v>12</v>
      </c>
      <c r="C101" t="inlineStr">
        <is>
          <t>普通怪</t>
        </is>
      </c>
      <c r="D101" t="n">
        <v>1560</v>
      </c>
      <c r="E101" t="n">
        <v>557</v>
      </c>
      <c r="F101" t="n">
        <v>902</v>
      </c>
    </row>
    <row r="102">
      <c r="A102" t="inlineStr">
        <is>
          <t>12|盾怪</t>
        </is>
      </c>
      <c r="B102" t="n">
        <v>12</v>
      </c>
      <c r="C102" t="inlineStr">
        <is>
          <t>盾怪</t>
        </is>
      </c>
      <c r="D102" t="n">
        <v>4680</v>
      </c>
      <c r="E102" t="n">
        <v>557</v>
      </c>
      <c r="F102" t="n">
        <v>902</v>
      </c>
    </row>
    <row r="103">
      <c r="A103" t="inlineStr">
        <is>
          <t>12|二级普通怪</t>
        </is>
      </c>
      <c r="B103" t="n">
        <v>12</v>
      </c>
      <c r="C103" t="inlineStr">
        <is>
          <t>二级普通怪</t>
        </is>
      </c>
      <c r="D103" t="n">
        <v>2808</v>
      </c>
      <c r="E103" t="n">
        <v>557</v>
      </c>
      <c r="F103" t="n">
        <v>902</v>
      </c>
    </row>
    <row r="104">
      <c r="A104" t="inlineStr">
        <is>
          <t>12|站桩怪</t>
        </is>
      </c>
      <c r="B104" t="n">
        <v>12</v>
      </c>
      <c r="C104" t="inlineStr">
        <is>
          <t>站桩怪</t>
        </is>
      </c>
      <c r="D104" t="n">
        <v>780</v>
      </c>
      <c r="E104" t="n">
        <v>557</v>
      </c>
      <c r="F104" t="n">
        <v>902</v>
      </c>
    </row>
    <row r="105">
      <c r="A105" t="inlineStr">
        <is>
          <t>12|炮灰怪</t>
        </is>
      </c>
      <c r="B105" t="n">
        <v>12</v>
      </c>
      <c r="C105" t="inlineStr">
        <is>
          <t>炮灰怪</t>
        </is>
      </c>
      <c r="D105" t="n">
        <v>234</v>
      </c>
      <c r="E105" t="n">
        <v>557</v>
      </c>
      <c r="F105" t="n">
        <v>902</v>
      </c>
    </row>
    <row r="106">
      <c r="A106" t="inlineStr">
        <is>
          <t>12|精英怪</t>
        </is>
      </c>
      <c r="B106" t="n">
        <v>12</v>
      </c>
      <c r="C106" t="inlineStr">
        <is>
          <t>精英怪</t>
        </is>
      </c>
      <c r="D106" t="n">
        <v>6240</v>
      </c>
      <c r="E106" t="n">
        <v>557</v>
      </c>
      <c r="F106" t="n">
        <v>902</v>
      </c>
    </row>
    <row r="107">
      <c r="A107" t="inlineStr">
        <is>
          <t>12|精英盾怪</t>
        </is>
      </c>
      <c r="B107" t="n">
        <v>12</v>
      </c>
      <c r="C107" t="inlineStr">
        <is>
          <t>精英盾怪</t>
        </is>
      </c>
      <c r="D107" t="n">
        <v>14040</v>
      </c>
      <c r="E107" t="n">
        <v>557</v>
      </c>
      <c r="F107" t="n">
        <v>902</v>
      </c>
    </row>
    <row r="108">
      <c r="A108" t="inlineStr">
        <is>
          <t>12|Boss</t>
        </is>
      </c>
      <c r="B108" t="n">
        <v>12</v>
      </c>
      <c r="C108" t="inlineStr">
        <is>
          <t>Boss</t>
        </is>
      </c>
      <c r="D108" t="n">
        <v>141619</v>
      </c>
      <c r="E108" t="n">
        <v>691</v>
      </c>
      <c r="F108" t="n">
        <v>902</v>
      </c>
    </row>
    <row r="109">
      <c r="A109" t="inlineStr">
        <is>
          <t>12|装备副本Boss</t>
        </is>
      </c>
      <c r="B109" t="n">
        <v>12</v>
      </c>
      <c r="C109" t="inlineStr">
        <is>
          <t>装备副本Boss</t>
        </is>
      </c>
      <c r="D109" t="n">
        <v>70810</v>
      </c>
      <c r="E109" t="n">
        <v>691</v>
      </c>
      <c r="F109" t="n">
        <v>902</v>
      </c>
    </row>
    <row r="110">
      <c r="A110" t="inlineStr">
        <is>
          <t>13|普通怪</t>
        </is>
      </c>
      <c r="B110" t="n">
        <v>13</v>
      </c>
      <c r="C110" t="inlineStr">
        <is>
          <t>普通怪</t>
        </is>
      </c>
      <c r="D110" t="n">
        <v>1724</v>
      </c>
      <c r="E110" t="n">
        <v>606</v>
      </c>
      <c r="F110" t="n">
        <v>979</v>
      </c>
    </row>
    <row r="111">
      <c r="A111" t="inlineStr">
        <is>
          <t>13|盾怪</t>
        </is>
      </c>
      <c r="B111" t="n">
        <v>13</v>
      </c>
      <c r="C111" t="inlineStr">
        <is>
          <t>盾怪</t>
        </is>
      </c>
      <c r="D111" t="n">
        <v>5172</v>
      </c>
      <c r="E111" t="n">
        <v>606</v>
      </c>
      <c r="F111" t="n">
        <v>979</v>
      </c>
    </row>
    <row r="112">
      <c r="A112" t="inlineStr">
        <is>
          <t>13|二级普通怪</t>
        </is>
      </c>
      <c r="B112" t="n">
        <v>13</v>
      </c>
      <c r="C112" t="inlineStr">
        <is>
          <t>二级普通怪</t>
        </is>
      </c>
      <c r="D112" t="n">
        <v>3104</v>
      </c>
      <c r="E112" t="n">
        <v>606</v>
      </c>
      <c r="F112" t="n">
        <v>979</v>
      </c>
    </row>
    <row r="113">
      <c r="A113" t="inlineStr">
        <is>
          <t>13|站桩怪</t>
        </is>
      </c>
      <c r="B113" t="n">
        <v>13</v>
      </c>
      <c r="C113" t="inlineStr">
        <is>
          <t>站桩怪</t>
        </is>
      </c>
      <c r="D113" t="n">
        <v>862</v>
      </c>
      <c r="E113" t="n">
        <v>606</v>
      </c>
      <c r="F113" t="n">
        <v>979</v>
      </c>
    </row>
    <row r="114">
      <c r="A114" t="inlineStr">
        <is>
          <t>13|炮灰怪</t>
        </is>
      </c>
      <c r="B114" t="n">
        <v>13</v>
      </c>
      <c r="C114" t="inlineStr">
        <is>
          <t>炮灰怪</t>
        </is>
      </c>
      <c r="D114" t="n">
        <v>259</v>
      </c>
      <c r="E114" t="n">
        <v>606</v>
      </c>
      <c r="F114" t="n">
        <v>979</v>
      </c>
    </row>
    <row r="115">
      <c r="A115" t="inlineStr">
        <is>
          <t>13|精英怪</t>
        </is>
      </c>
      <c r="B115" t="n">
        <v>13</v>
      </c>
      <c r="C115" t="inlineStr">
        <is>
          <t>精英怪</t>
        </is>
      </c>
      <c r="D115" t="n">
        <v>6896</v>
      </c>
      <c r="E115" t="n">
        <v>606</v>
      </c>
      <c r="F115" t="n">
        <v>979</v>
      </c>
    </row>
    <row r="116">
      <c r="A116" t="inlineStr">
        <is>
          <t>13|精英盾怪</t>
        </is>
      </c>
      <c r="B116" t="n">
        <v>13</v>
      </c>
      <c r="C116" t="inlineStr">
        <is>
          <t>精英盾怪</t>
        </is>
      </c>
      <c r="D116" t="n">
        <v>15516</v>
      </c>
      <c r="E116" t="n">
        <v>606</v>
      </c>
      <c r="F116" t="n">
        <v>979</v>
      </c>
    </row>
    <row r="117">
      <c r="A117" t="inlineStr">
        <is>
          <t>13|Boss</t>
        </is>
      </c>
      <c r="B117" t="n">
        <v>13</v>
      </c>
      <c r="C117" t="inlineStr">
        <is>
          <t>Boss</t>
        </is>
      </c>
      <c r="D117" t="n">
        <v>154253</v>
      </c>
      <c r="E117" t="n">
        <v>751</v>
      </c>
      <c r="F117" t="n">
        <v>979</v>
      </c>
    </row>
    <row r="118">
      <c r="A118" t="inlineStr">
        <is>
          <t>13|装备副本Boss</t>
        </is>
      </c>
      <c r="B118" t="n">
        <v>13</v>
      </c>
      <c r="C118" t="inlineStr">
        <is>
          <t>装备副本Boss</t>
        </is>
      </c>
      <c r="D118" t="n">
        <v>77127</v>
      </c>
      <c r="E118" t="n">
        <v>751</v>
      </c>
      <c r="F118" t="n">
        <v>979</v>
      </c>
    </row>
    <row r="119">
      <c r="A119" t="inlineStr">
        <is>
          <t>14|普通怪</t>
        </is>
      </c>
      <c r="B119" t="n">
        <v>14</v>
      </c>
      <c r="C119" t="inlineStr">
        <is>
          <t>普通怪</t>
        </is>
      </c>
      <c r="D119" t="n">
        <v>1894</v>
      </c>
      <c r="E119" t="n">
        <v>656</v>
      </c>
      <c r="F119" t="n">
        <v>1056</v>
      </c>
    </row>
    <row r="120">
      <c r="A120" t="inlineStr">
        <is>
          <t>14|盾怪</t>
        </is>
      </c>
      <c r="B120" t="n">
        <v>14</v>
      </c>
      <c r="C120" t="inlineStr">
        <is>
          <t>盾怪</t>
        </is>
      </c>
      <c r="D120" t="n">
        <v>5682</v>
      </c>
      <c r="E120" t="n">
        <v>656</v>
      </c>
      <c r="F120" t="n">
        <v>1056</v>
      </c>
    </row>
    <row r="121">
      <c r="A121" t="inlineStr">
        <is>
          <t>14|二级普通怪</t>
        </is>
      </c>
      <c r="B121" t="n">
        <v>14</v>
      </c>
      <c r="C121" t="inlineStr">
        <is>
          <t>二级普通怪</t>
        </is>
      </c>
      <c r="D121" t="n">
        <v>3410</v>
      </c>
      <c r="E121" t="n">
        <v>656</v>
      </c>
      <c r="F121" t="n">
        <v>1056</v>
      </c>
    </row>
    <row r="122">
      <c r="A122" t="inlineStr">
        <is>
          <t>14|站桩怪</t>
        </is>
      </c>
      <c r="B122" t="n">
        <v>14</v>
      </c>
      <c r="C122" t="inlineStr">
        <is>
          <t>站桩怪</t>
        </is>
      </c>
      <c r="D122" t="n">
        <v>947</v>
      </c>
      <c r="E122" t="n">
        <v>656</v>
      </c>
      <c r="F122" t="n">
        <v>1056</v>
      </c>
    </row>
    <row r="123">
      <c r="A123" t="inlineStr">
        <is>
          <t>14|炮灰怪</t>
        </is>
      </c>
      <c r="B123" t="n">
        <v>14</v>
      </c>
      <c r="C123" t="inlineStr">
        <is>
          <t>炮灰怪</t>
        </is>
      </c>
      <c r="D123" t="n">
        <v>285</v>
      </c>
      <c r="E123" t="n">
        <v>656</v>
      </c>
      <c r="F123" t="n">
        <v>1056</v>
      </c>
    </row>
    <row r="124">
      <c r="A124" t="inlineStr">
        <is>
          <t>14|精英怪</t>
        </is>
      </c>
      <c r="B124" t="n">
        <v>14</v>
      </c>
      <c r="C124" t="inlineStr">
        <is>
          <t>精英怪</t>
        </is>
      </c>
      <c r="D124" t="n">
        <v>7576</v>
      </c>
      <c r="E124" t="n">
        <v>656</v>
      </c>
      <c r="F124" t="n">
        <v>1056</v>
      </c>
    </row>
    <row r="125">
      <c r="A125" t="inlineStr">
        <is>
          <t>14|精英盾怪</t>
        </is>
      </c>
      <c r="B125" t="n">
        <v>14</v>
      </c>
      <c r="C125" t="inlineStr">
        <is>
          <t>精英盾怪</t>
        </is>
      </c>
      <c r="D125" t="n">
        <v>17046</v>
      </c>
      <c r="E125" t="n">
        <v>656</v>
      </c>
      <c r="F125" t="n">
        <v>1056</v>
      </c>
    </row>
    <row r="126">
      <c r="A126" t="inlineStr">
        <is>
          <t>14|Boss</t>
        </is>
      </c>
      <c r="B126" t="n">
        <v>14</v>
      </c>
      <c r="C126" t="inlineStr">
        <is>
          <t>Boss</t>
        </is>
      </c>
      <c r="D126" t="n">
        <v>167060</v>
      </c>
      <c r="E126" t="n">
        <v>812</v>
      </c>
      <c r="F126" t="n">
        <v>1056</v>
      </c>
    </row>
    <row r="127">
      <c r="A127" t="inlineStr">
        <is>
          <t>14|装备副本Boss</t>
        </is>
      </c>
      <c r="B127" t="n">
        <v>14</v>
      </c>
      <c r="C127" t="inlineStr">
        <is>
          <t>装备副本Boss</t>
        </is>
      </c>
      <c r="D127" t="n">
        <v>83530</v>
      </c>
      <c r="E127" t="n">
        <v>812</v>
      </c>
      <c r="F127" t="n">
        <v>1056</v>
      </c>
    </row>
    <row r="128">
      <c r="A128" t="inlineStr">
        <is>
          <t>15|普通怪</t>
        </is>
      </c>
      <c r="B128" t="n">
        <v>15</v>
      </c>
      <c r="C128" t="inlineStr">
        <is>
          <t>普通怪</t>
        </is>
      </c>
      <c r="D128" t="n">
        <v>2069</v>
      </c>
      <c r="E128" t="n">
        <v>705</v>
      </c>
      <c r="F128" t="n">
        <v>1133</v>
      </c>
    </row>
    <row r="129">
      <c r="A129" t="inlineStr">
        <is>
          <t>15|盾怪</t>
        </is>
      </c>
      <c r="B129" t="n">
        <v>15</v>
      </c>
      <c r="C129" t="inlineStr">
        <is>
          <t>盾怪</t>
        </is>
      </c>
      <c r="D129" t="n">
        <v>6207</v>
      </c>
      <c r="E129" t="n">
        <v>705</v>
      </c>
      <c r="F129" t="n">
        <v>1133</v>
      </c>
    </row>
    <row r="130">
      <c r="A130" t="inlineStr">
        <is>
          <t>15|二级普通怪</t>
        </is>
      </c>
      <c r="B130" t="n">
        <v>15</v>
      </c>
      <c r="C130" t="inlineStr">
        <is>
          <t>二级普通怪</t>
        </is>
      </c>
      <c r="D130" t="n">
        <v>3725</v>
      </c>
      <c r="E130" t="n">
        <v>705</v>
      </c>
      <c r="F130" t="n">
        <v>1133</v>
      </c>
    </row>
    <row r="131">
      <c r="A131" t="inlineStr">
        <is>
          <t>15|站桩怪</t>
        </is>
      </c>
      <c r="B131" t="n">
        <v>15</v>
      </c>
      <c r="C131" t="inlineStr">
        <is>
          <t>站桩怪</t>
        </is>
      </c>
      <c r="D131" t="n">
        <v>1035</v>
      </c>
      <c r="E131" t="n">
        <v>705</v>
      </c>
      <c r="F131" t="n">
        <v>1133</v>
      </c>
    </row>
    <row r="132">
      <c r="A132" t="inlineStr">
        <is>
          <t>15|炮灰怪</t>
        </is>
      </c>
      <c r="B132" t="n">
        <v>15</v>
      </c>
      <c r="C132" t="inlineStr">
        <is>
          <t>炮灰怪</t>
        </is>
      </c>
      <c r="D132" t="n">
        <v>311</v>
      </c>
      <c r="E132" t="n">
        <v>705</v>
      </c>
      <c r="F132" t="n">
        <v>1133</v>
      </c>
    </row>
    <row r="133">
      <c r="A133" t="inlineStr">
        <is>
          <t>15|精英怪</t>
        </is>
      </c>
      <c r="B133" t="n">
        <v>15</v>
      </c>
      <c r="C133" t="inlineStr">
        <is>
          <t>精英怪</t>
        </is>
      </c>
      <c r="D133" t="n">
        <v>8276</v>
      </c>
      <c r="E133" t="n">
        <v>705</v>
      </c>
      <c r="F133" t="n">
        <v>1133</v>
      </c>
    </row>
    <row r="134">
      <c r="A134" t="inlineStr">
        <is>
          <t>15|精英盾怪</t>
        </is>
      </c>
      <c r="B134" t="n">
        <v>15</v>
      </c>
      <c r="C134" t="inlineStr">
        <is>
          <t>精英盾怪</t>
        </is>
      </c>
      <c r="D134" t="n">
        <v>18621</v>
      </c>
      <c r="E134" t="n">
        <v>705</v>
      </c>
      <c r="F134" t="n">
        <v>1133</v>
      </c>
    </row>
    <row r="135">
      <c r="A135" t="inlineStr">
        <is>
          <t>15|Boss</t>
        </is>
      </c>
      <c r="B135" t="n">
        <v>15</v>
      </c>
      <c r="C135" t="inlineStr">
        <is>
          <t>Boss</t>
        </is>
      </c>
      <c r="D135" t="n">
        <v>179947</v>
      </c>
      <c r="E135" t="n">
        <v>873</v>
      </c>
      <c r="F135" t="n">
        <v>1133</v>
      </c>
    </row>
    <row r="136">
      <c r="A136" t="inlineStr">
        <is>
          <t>15|装备副本Boss</t>
        </is>
      </c>
      <c r="B136" t="n">
        <v>15</v>
      </c>
      <c r="C136" t="inlineStr">
        <is>
          <t>装备副本Boss</t>
        </is>
      </c>
      <c r="D136" t="n">
        <v>89974</v>
      </c>
      <c r="E136" t="n">
        <v>873</v>
      </c>
      <c r="F136" t="n">
        <v>1133</v>
      </c>
    </row>
    <row r="137">
      <c r="A137" t="inlineStr">
        <is>
          <t>16|普通怪</t>
        </is>
      </c>
      <c r="B137" t="n">
        <v>16</v>
      </c>
      <c r="C137" t="inlineStr">
        <is>
          <t>普通怪</t>
        </is>
      </c>
      <c r="D137" t="n">
        <v>2249</v>
      </c>
      <c r="E137" t="n">
        <v>755</v>
      </c>
      <c r="F137" t="n">
        <v>1210</v>
      </c>
    </row>
    <row r="138">
      <c r="A138" t="inlineStr">
        <is>
          <t>16|盾怪</t>
        </is>
      </c>
      <c r="B138" t="n">
        <v>16</v>
      </c>
      <c r="C138" t="inlineStr">
        <is>
          <t>盾怪</t>
        </is>
      </c>
      <c r="D138" t="n">
        <v>6747</v>
      </c>
      <c r="E138" t="n">
        <v>755</v>
      </c>
      <c r="F138" t="n">
        <v>1210</v>
      </c>
    </row>
    <row r="139">
      <c r="A139" t="inlineStr">
        <is>
          <t>16|二级普通怪</t>
        </is>
      </c>
      <c r="B139" t="n">
        <v>16</v>
      </c>
      <c r="C139" t="inlineStr">
        <is>
          <t>二级普通怪</t>
        </is>
      </c>
      <c r="D139" t="n">
        <v>4049</v>
      </c>
      <c r="E139" t="n">
        <v>755</v>
      </c>
      <c r="F139" t="n">
        <v>1210</v>
      </c>
    </row>
    <row r="140">
      <c r="A140" t="inlineStr">
        <is>
          <t>16|站桩怪</t>
        </is>
      </c>
      <c r="B140" t="n">
        <v>16</v>
      </c>
      <c r="C140" t="inlineStr">
        <is>
          <t>站桩怪</t>
        </is>
      </c>
      <c r="D140" t="n">
        <v>1125</v>
      </c>
      <c r="E140" t="n">
        <v>755</v>
      </c>
      <c r="F140" t="n">
        <v>1210</v>
      </c>
    </row>
    <row r="141">
      <c r="A141" t="inlineStr">
        <is>
          <t>16|炮灰怪</t>
        </is>
      </c>
      <c r="B141" t="n">
        <v>16</v>
      </c>
      <c r="C141" t="inlineStr">
        <is>
          <t>炮灰怪</t>
        </is>
      </c>
      <c r="D141" t="n">
        <v>338</v>
      </c>
      <c r="E141" t="n">
        <v>755</v>
      </c>
      <c r="F141" t="n">
        <v>1210</v>
      </c>
    </row>
    <row r="142">
      <c r="A142" t="inlineStr">
        <is>
          <t>16|精英怪</t>
        </is>
      </c>
      <c r="B142" t="n">
        <v>16</v>
      </c>
      <c r="C142" t="inlineStr">
        <is>
          <t>精英怪</t>
        </is>
      </c>
      <c r="D142" t="n">
        <v>8996</v>
      </c>
      <c r="E142" t="n">
        <v>755</v>
      </c>
      <c r="F142" t="n">
        <v>1210</v>
      </c>
    </row>
    <row r="143">
      <c r="A143" t="inlineStr">
        <is>
          <t>16|精英盾怪</t>
        </is>
      </c>
      <c r="B143" t="n">
        <v>16</v>
      </c>
      <c r="C143" t="inlineStr">
        <is>
          <t>精英盾怪</t>
        </is>
      </c>
      <c r="D143" t="n">
        <v>20241</v>
      </c>
      <c r="E143" t="n">
        <v>755</v>
      </c>
      <c r="F143" t="n">
        <v>1210</v>
      </c>
    </row>
    <row r="144">
      <c r="A144" t="inlineStr">
        <is>
          <t>16|Boss</t>
        </is>
      </c>
      <c r="B144" t="n">
        <v>16</v>
      </c>
      <c r="C144" t="inlineStr">
        <is>
          <t>Boss</t>
        </is>
      </c>
      <c r="D144" t="n">
        <v>193008</v>
      </c>
      <c r="E144" t="n">
        <v>934</v>
      </c>
      <c r="F144" t="n">
        <v>1210</v>
      </c>
    </row>
    <row r="145">
      <c r="A145" t="inlineStr">
        <is>
          <t>16|装备副本Boss</t>
        </is>
      </c>
      <c r="B145" t="n">
        <v>16</v>
      </c>
      <c r="C145" t="inlineStr">
        <is>
          <t>装备副本Boss</t>
        </is>
      </c>
      <c r="D145" t="n">
        <v>96504</v>
      </c>
      <c r="E145" t="n">
        <v>934</v>
      </c>
      <c r="F145" t="n">
        <v>1210</v>
      </c>
    </row>
    <row r="146">
      <c r="A146" t="inlineStr">
        <is>
          <t>17|普通怪</t>
        </is>
      </c>
      <c r="B146" t="n">
        <v>17</v>
      </c>
      <c r="C146" t="inlineStr">
        <is>
          <t>普通怪</t>
        </is>
      </c>
      <c r="D146" t="n">
        <v>2434</v>
      </c>
      <c r="E146" t="n">
        <v>806</v>
      </c>
      <c r="F146" t="n">
        <v>1288</v>
      </c>
    </row>
    <row r="147">
      <c r="A147" t="inlineStr">
        <is>
          <t>17|盾怪</t>
        </is>
      </c>
      <c r="B147" t="n">
        <v>17</v>
      </c>
      <c r="C147" t="inlineStr">
        <is>
          <t>盾怪</t>
        </is>
      </c>
      <c r="D147" t="n">
        <v>7302</v>
      </c>
      <c r="E147" t="n">
        <v>806</v>
      </c>
      <c r="F147" t="n">
        <v>1288</v>
      </c>
    </row>
    <row r="148">
      <c r="A148" t="inlineStr">
        <is>
          <t>17|二级普通怪</t>
        </is>
      </c>
      <c r="B148" t="n">
        <v>17</v>
      </c>
      <c r="C148" t="inlineStr">
        <is>
          <t>二级普通怪</t>
        </is>
      </c>
      <c r="D148" t="n">
        <v>4382</v>
      </c>
      <c r="E148" t="n">
        <v>806</v>
      </c>
      <c r="F148" t="n">
        <v>1288</v>
      </c>
    </row>
    <row r="149">
      <c r="A149" t="inlineStr">
        <is>
          <t>17|站桩怪</t>
        </is>
      </c>
      <c r="B149" t="n">
        <v>17</v>
      </c>
      <c r="C149" t="inlineStr">
        <is>
          <t>站桩怪</t>
        </is>
      </c>
      <c r="D149" t="n">
        <v>1217</v>
      </c>
      <c r="E149" t="n">
        <v>806</v>
      </c>
      <c r="F149" t="n">
        <v>1288</v>
      </c>
    </row>
    <row r="150">
      <c r="A150" t="inlineStr">
        <is>
          <t>17|炮灰怪</t>
        </is>
      </c>
      <c r="B150" t="n">
        <v>17</v>
      </c>
      <c r="C150" t="inlineStr">
        <is>
          <t>炮灰怪</t>
        </is>
      </c>
      <c r="D150" t="n">
        <v>366</v>
      </c>
      <c r="E150" t="n">
        <v>806</v>
      </c>
      <c r="F150" t="n">
        <v>1288</v>
      </c>
    </row>
    <row r="151">
      <c r="A151" t="inlineStr">
        <is>
          <t>17|精英怪</t>
        </is>
      </c>
      <c r="B151" t="n">
        <v>17</v>
      </c>
      <c r="C151" t="inlineStr">
        <is>
          <t>精英怪</t>
        </is>
      </c>
      <c r="D151" t="n">
        <v>9736</v>
      </c>
      <c r="E151" t="n">
        <v>806</v>
      </c>
      <c r="F151" t="n">
        <v>1288</v>
      </c>
    </row>
    <row r="152">
      <c r="A152" t="inlineStr">
        <is>
          <t>17|精英盾怪</t>
        </is>
      </c>
      <c r="B152" t="n">
        <v>17</v>
      </c>
      <c r="C152" t="inlineStr">
        <is>
          <t>精英盾怪</t>
        </is>
      </c>
      <c r="D152" t="n">
        <v>21906</v>
      </c>
      <c r="E152" t="n">
        <v>806</v>
      </c>
      <c r="F152" t="n">
        <v>1288</v>
      </c>
    </row>
    <row r="153">
      <c r="A153" t="inlineStr">
        <is>
          <t>17|Boss</t>
        </is>
      </c>
      <c r="B153" t="n">
        <v>17</v>
      </c>
      <c r="C153" t="inlineStr">
        <is>
          <t>Boss</t>
        </is>
      </c>
      <c r="D153" t="n">
        <v>206242</v>
      </c>
      <c r="E153" t="n">
        <v>996</v>
      </c>
      <c r="F153" t="n">
        <v>1288</v>
      </c>
    </row>
    <row r="154">
      <c r="A154" t="inlineStr">
        <is>
          <t>17|装备副本Boss</t>
        </is>
      </c>
      <c r="B154" t="n">
        <v>17</v>
      </c>
      <c r="C154" t="inlineStr">
        <is>
          <t>装备副本Boss</t>
        </is>
      </c>
      <c r="D154" t="n">
        <v>103121</v>
      </c>
      <c r="E154" t="n">
        <v>996</v>
      </c>
      <c r="F154" t="n">
        <v>1288</v>
      </c>
    </row>
    <row r="155">
      <c r="A155" t="inlineStr">
        <is>
          <t>18|普通怪</t>
        </is>
      </c>
      <c r="B155" t="n">
        <v>18</v>
      </c>
      <c r="C155" t="inlineStr">
        <is>
          <t>普通怪</t>
        </is>
      </c>
      <c r="D155" t="n">
        <v>2624</v>
      </c>
      <c r="E155" t="n">
        <v>857</v>
      </c>
      <c r="F155" t="n">
        <v>1366</v>
      </c>
    </row>
    <row r="156">
      <c r="A156" t="inlineStr">
        <is>
          <t>18|盾怪</t>
        </is>
      </c>
      <c r="B156" t="n">
        <v>18</v>
      </c>
      <c r="C156" t="inlineStr">
        <is>
          <t>盾怪</t>
        </is>
      </c>
      <c r="D156" t="n">
        <v>7872</v>
      </c>
      <c r="E156" t="n">
        <v>857</v>
      </c>
      <c r="F156" t="n">
        <v>1366</v>
      </c>
    </row>
    <row r="157">
      <c r="A157" t="inlineStr">
        <is>
          <t>18|二级普通怪</t>
        </is>
      </c>
      <c r="B157" t="n">
        <v>18</v>
      </c>
      <c r="C157" t="inlineStr">
        <is>
          <t>二级普通怪</t>
        </is>
      </c>
      <c r="D157" t="n">
        <v>4724</v>
      </c>
      <c r="E157" t="n">
        <v>857</v>
      </c>
      <c r="F157" t="n">
        <v>1366</v>
      </c>
    </row>
    <row r="158">
      <c r="A158" t="inlineStr">
        <is>
          <t>18|站桩怪</t>
        </is>
      </c>
      <c r="B158" t="n">
        <v>18</v>
      </c>
      <c r="C158" t="inlineStr">
        <is>
          <t>站桩怪</t>
        </is>
      </c>
      <c r="D158" t="n">
        <v>1312</v>
      </c>
      <c r="E158" t="n">
        <v>857</v>
      </c>
      <c r="F158" t="n">
        <v>1366</v>
      </c>
    </row>
    <row r="159">
      <c r="A159" t="inlineStr">
        <is>
          <t>18|炮灰怪</t>
        </is>
      </c>
      <c r="B159" t="n">
        <v>18</v>
      </c>
      <c r="C159" t="inlineStr">
        <is>
          <t>炮灰怪</t>
        </is>
      </c>
      <c r="D159" t="n">
        <v>394</v>
      </c>
      <c r="E159" t="n">
        <v>857</v>
      </c>
      <c r="F159" t="n">
        <v>1366</v>
      </c>
    </row>
    <row r="160">
      <c r="A160" t="inlineStr">
        <is>
          <t>18|精英怪</t>
        </is>
      </c>
      <c r="B160" t="n">
        <v>18</v>
      </c>
      <c r="C160" t="inlineStr">
        <is>
          <t>精英怪</t>
        </is>
      </c>
      <c r="D160" t="n">
        <v>10496</v>
      </c>
      <c r="E160" t="n">
        <v>857</v>
      </c>
      <c r="F160" t="n">
        <v>1366</v>
      </c>
    </row>
    <row r="161">
      <c r="A161" t="inlineStr">
        <is>
          <t>18|精英盾怪</t>
        </is>
      </c>
      <c r="B161" t="n">
        <v>18</v>
      </c>
      <c r="C161" t="inlineStr">
        <is>
          <t>精英盾怪</t>
        </is>
      </c>
      <c r="D161" t="n">
        <v>23616</v>
      </c>
      <c r="E161" t="n">
        <v>857</v>
      </c>
      <c r="F161" t="n">
        <v>1366</v>
      </c>
    </row>
    <row r="162">
      <c r="A162" t="inlineStr">
        <is>
          <t>18|Boss</t>
        </is>
      </c>
      <c r="B162" t="n">
        <v>18</v>
      </c>
      <c r="C162" t="inlineStr">
        <is>
          <t>Boss</t>
        </is>
      </c>
      <c r="D162" t="n">
        <v>219652</v>
      </c>
      <c r="E162" t="n">
        <v>1058</v>
      </c>
      <c r="F162" t="n">
        <v>1366</v>
      </c>
    </row>
    <row r="163">
      <c r="A163" t="inlineStr">
        <is>
          <t>18|装备副本Boss</t>
        </is>
      </c>
      <c r="B163" t="n">
        <v>18</v>
      </c>
      <c r="C163" t="inlineStr">
        <is>
          <t>装备副本Boss</t>
        </is>
      </c>
      <c r="D163" t="n">
        <v>109826</v>
      </c>
      <c r="E163" t="n">
        <v>1058</v>
      </c>
      <c r="F163" t="n">
        <v>1366</v>
      </c>
    </row>
    <row r="164">
      <c r="A164" t="inlineStr">
        <is>
          <t>19|普通怪</t>
        </is>
      </c>
      <c r="B164" t="n">
        <v>19</v>
      </c>
      <c r="C164" t="inlineStr">
        <is>
          <t>普通怪</t>
        </is>
      </c>
      <c r="D164" t="n">
        <v>2820</v>
      </c>
      <c r="E164" t="n">
        <v>908</v>
      </c>
      <c r="F164" t="n">
        <v>1444</v>
      </c>
    </row>
    <row r="165">
      <c r="A165" t="inlineStr">
        <is>
          <t>19|盾怪</t>
        </is>
      </c>
      <c r="B165" t="n">
        <v>19</v>
      </c>
      <c r="C165" t="inlineStr">
        <is>
          <t>盾怪</t>
        </is>
      </c>
      <c r="D165" t="n">
        <v>8460</v>
      </c>
      <c r="E165" t="n">
        <v>908</v>
      </c>
      <c r="F165" t="n">
        <v>1444</v>
      </c>
    </row>
    <row r="166">
      <c r="A166" t="inlineStr">
        <is>
          <t>19|二级普通怪</t>
        </is>
      </c>
      <c r="B166" t="n">
        <v>19</v>
      </c>
      <c r="C166" t="inlineStr">
        <is>
          <t>二级普通怪</t>
        </is>
      </c>
      <c r="D166" t="n">
        <v>5076</v>
      </c>
      <c r="E166" t="n">
        <v>908</v>
      </c>
      <c r="F166" t="n">
        <v>1444</v>
      </c>
    </row>
    <row r="167">
      <c r="A167" t="inlineStr">
        <is>
          <t>19|站桩怪</t>
        </is>
      </c>
      <c r="B167" t="n">
        <v>19</v>
      </c>
      <c r="C167" t="inlineStr">
        <is>
          <t>站桩怪</t>
        </is>
      </c>
      <c r="D167" t="n">
        <v>1410</v>
      </c>
      <c r="E167" t="n">
        <v>908</v>
      </c>
      <c r="F167" t="n">
        <v>1444</v>
      </c>
    </row>
    <row r="168">
      <c r="A168" t="inlineStr">
        <is>
          <t>19|炮灰怪</t>
        </is>
      </c>
      <c r="B168" t="n">
        <v>19</v>
      </c>
      <c r="C168" t="inlineStr">
        <is>
          <t>炮灰怪</t>
        </is>
      </c>
      <c r="D168" t="n">
        <v>423</v>
      </c>
      <c r="E168" t="n">
        <v>908</v>
      </c>
      <c r="F168" t="n">
        <v>1444</v>
      </c>
    </row>
    <row r="169">
      <c r="A169" t="inlineStr">
        <is>
          <t>19|精英怪</t>
        </is>
      </c>
      <c r="B169" t="n">
        <v>19</v>
      </c>
      <c r="C169" t="inlineStr">
        <is>
          <t>精英怪</t>
        </is>
      </c>
      <c r="D169" t="n">
        <v>11280</v>
      </c>
      <c r="E169" t="n">
        <v>908</v>
      </c>
      <c r="F169" t="n">
        <v>1444</v>
      </c>
    </row>
    <row r="170">
      <c r="A170" t="inlineStr">
        <is>
          <t>19|精英盾怪</t>
        </is>
      </c>
      <c r="B170" t="n">
        <v>19</v>
      </c>
      <c r="C170" t="inlineStr">
        <is>
          <t>精英盾怪</t>
        </is>
      </c>
      <c r="D170" t="n">
        <v>25380</v>
      </c>
      <c r="E170" t="n">
        <v>908</v>
      </c>
      <c r="F170" t="n">
        <v>1444</v>
      </c>
    </row>
    <row r="171">
      <c r="A171" t="inlineStr">
        <is>
          <t>19|Boss</t>
        </is>
      </c>
      <c r="B171" t="n">
        <v>19</v>
      </c>
      <c r="C171" t="inlineStr">
        <is>
          <t>Boss</t>
        </is>
      </c>
      <c r="D171" t="n">
        <v>233241</v>
      </c>
      <c r="E171" t="n">
        <v>1121</v>
      </c>
      <c r="F171" t="n">
        <v>1444</v>
      </c>
    </row>
    <row r="172">
      <c r="A172" t="inlineStr">
        <is>
          <t>19|装备副本Boss</t>
        </is>
      </c>
      <c r="B172" t="n">
        <v>19</v>
      </c>
      <c r="C172" t="inlineStr">
        <is>
          <t>装备副本Boss</t>
        </is>
      </c>
      <c r="D172" t="n">
        <v>116620</v>
      </c>
      <c r="E172" t="n">
        <v>1121</v>
      </c>
      <c r="F172" t="n">
        <v>1444</v>
      </c>
    </row>
    <row r="173">
      <c r="A173" t="inlineStr">
        <is>
          <t>20|普通怪</t>
        </is>
      </c>
      <c r="B173" t="n">
        <v>20</v>
      </c>
      <c r="C173" t="inlineStr">
        <is>
          <t>普通怪</t>
        </is>
      </c>
      <c r="D173" t="n">
        <v>3020</v>
      </c>
      <c r="E173" t="n">
        <v>960</v>
      </c>
      <c r="F173" t="n">
        <v>1522</v>
      </c>
    </row>
    <row r="174">
      <c r="A174" t="inlineStr">
        <is>
          <t>20|盾怪</t>
        </is>
      </c>
      <c r="B174" t="n">
        <v>20</v>
      </c>
      <c r="C174" t="inlineStr">
        <is>
          <t>盾怪</t>
        </is>
      </c>
      <c r="D174" t="n">
        <v>9060</v>
      </c>
      <c r="E174" t="n">
        <v>960</v>
      </c>
      <c r="F174" t="n">
        <v>1522</v>
      </c>
    </row>
    <row r="175">
      <c r="A175" t="inlineStr">
        <is>
          <t>20|二级普通怪</t>
        </is>
      </c>
      <c r="B175" t="n">
        <v>20</v>
      </c>
      <c r="C175" t="inlineStr">
        <is>
          <t>二级普通怪</t>
        </is>
      </c>
      <c r="D175" t="n">
        <v>5436</v>
      </c>
      <c r="E175" t="n">
        <v>960</v>
      </c>
      <c r="F175" t="n">
        <v>1522</v>
      </c>
    </row>
    <row r="176">
      <c r="A176" t="inlineStr">
        <is>
          <t>20|站桩怪</t>
        </is>
      </c>
      <c r="B176" t="n">
        <v>20</v>
      </c>
      <c r="C176" t="inlineStr">
        <is>
          <t>站桩怪</t>
        </is>
      </c>
      <c r="D176" t="n">
        <v>1510</v>
      </c>
      <c r="E176" t="n">
        <v>960</v>
      </c>
      <c r="F176" t="n">
        <v>1522</v>
      </c>
    </row>
    <row r="177">
      <c r="A177" t="inlineStr">
        <is>
          <t>20|炮灰怪</t>
        </is>
      </c>
      <c r="B177" t="n">
        <v>20</v>
      </c>
      <c r="C177" t="inlineStr">
        <is>
          <t>炮灰怪</t>
        </is>
      </c>
      <c r="D177" t="n">
        <v>453</v>
      </c>
      <c r="E177" t="n">
        <v>960</v>
      </c>
      <c r="F177" t="n">
        <v>1522</v>
      </c>
    </row>
    <row r="178">
      <c r="A178" t="inlineStr">
        <is>
          <t>20|精英怪</t>
        </is>
      </c>
      <c r="B178" t="n">
        <v>20</v>
      </c>
      <c r="C178" t="inlineStr">
        <is>
          <t>精英怪</t>
        </is>
      </c>
      <c r="D178" t="n">
        <v>12080</v>
      </c>
      <c r="E178" t="n">
        <v>960</v>
      </c>
      <c r="F178" t="n">
        <v>1522</v>
      </c>
    </row>
    <row r="179">
      <c r="A179" t="inlineStr">
        <is>
          <t>20|精英盾怪</t>
        </is>
      </c>
      <c r="B179" t="n">
        <v>20</v>
      </c>
      <c r="C179" t="inlineStr">
        <is>
          <t>精英盾怪</t>
        </is>
      </c>
      <c r="D179" t="n">
        <v>27180</v>
      </c>
      <c r="E179" t="n">
        <v>960</v>
      </c>
      <c r="F179" t="n">
        <v>1522</v>
      </c>
    </row>
    <row r="180">
      <c r="A180" t="inlineStr">
        <is>
          <t>20|Boss</t>
        </is>
      </c>
      <c r="B180" t="n">
        <v>20</v>
      </c>
      <c r="C180" t="inlineStr">
        <is>
          <t>Boss</t>
        </is>
      </c>
      <c r="D180" t="n">
        <v>247012</v>
      </c>
      <c r="E180" t="n">
        <v>1184</v>
      </c>
      <c r="F180" t="n">
        <v>1522</v>
      </c>
    </row>
    <row r="181">
      <c r="A181" t="inlineStr">
        <is>
          <t>20|装备副本Boss</t>
        </is>
      </c>
      <c r="B181" t="n">
        <v>20</v>
      </c>
      <c r="C181" t="inlineStr">
        <is>
          <t>装备副本Boss</t>
        </is>
      </c>
      <c r="D181" t="n">
        <v>123506</v>
      </c>
      <c r="E181" t="n">
        <v>1184</v>
      </c>
      <c r="F181" t="n">
        <v>1522</v>
      </c>
    </row>
    <row r="182">
      <c r="A182" t="inlineStr">
        <is>
          <t>21|普通怪</t>
        </is>
      </c>
      <c r="B182" t="n">
        <v>21</v>
      </c>
      <c r="C182" t="inlineStr">
        <is>
          <t>普通怪</t>
        </is>
      </c>
      <c r="D182" t="n">
        <v>3225</v>
      </c>
      <c r="E182" t="n">
        <v>1012</v>
      </c>
      <c r="F182" t="n">
        <v>1600</v>
      </c>
    </row>
    <row r="183">
      <c r="A183" t="inlineStr">
        <is>
          <t>21|盾怪</t>
        </is>
      </c>
      <c r="B183" t="n">
        <v>21</v>
      </c>
      <c r="C183" t="inlineStr">
        <is>
          <t>盾怪</t>
        </is>
      </c>
      <c r="D183" t="n">
        <v>9675</v>
      </c>
      <c r="E183" t="n">
        <v>1012</v>
      </c>
      <c r="F183" t="n">
        <v>1600</v>
      </c>
    </row>
    <row r="184">
      <c r="A184" t="inlineStr">
        <is>
          <t>21|二级普通怪</t>
        </is>
      </c>
      <c r="B184" t="n">
        <v>21</v>
      </c>
      <c r="C184" t="inlineStr">
        <is>
          <t>二级普通怪</t>
        </is>
      </c>
      <c r="D184" t="n">
        <v>5805</v>
      </c>
      <c r="E184" t="n">
        <v>1012</v>
      </c>
      <c r="F184" t="n">
        <v>1600</v>
      </c>
    </row>
    <row r="185">
      <c r="A185" t="inlineStr">
        <is>
          <t>21|站桩怪</t>
        </is>
      </c>
      <c r="B185" t="n">
        <v>21</v>
      </c>
      <c r="C185" t="inlineStr">
        <is>
          <t>站桩怪</t>
        </is>
      </c>
      <c r="D185" t="n">
        <v>1613</v>
      </c>
      <c r="E185" t="n">
        <v>1012</v>
      </c>
      <c r="F185" t="n">
        <v>1600</v>
      </c>
    </row>
    <row r="186">
      <c r="A186" t="inlineStr">
        <is>
          <t>21|炮灰怪</t>
        </is>
      </c>
      <c r="B186" t="n">
        <v>21</v>
      </c>
      <c r="C186" t="inlineStr">
        <is>
          <t>炮灰怪</t>
        </is>
      </c>
      <c r="D186" t="n">
        <v>484</v>
      </c>
      <c r="E186" t="n">
        <v>1012</v>
      </c>
      <c r="F186" t="n">
        <v>1600</v>
      </c>
    </row>
    <row r="187">
      <c r="A187" t="inlineStr">
        <is>
          <t>21|精英怪</t>
        </is>
      </c>
      <c r="B187" t="n">
        <v>21</v>
      </c>
      <c r="C187" t="inlineStr">
        <is>
          <t>精英怪</t>
        </is>
      </c>
      <c r="D187" t="n">
        <v>12900</v>
      </c>
      <c r="E187" t="n">
        <v>1012</v>
      </c>
      <c r="F187" t="n">
        <v>1600</v>
      </c>
    </row>
    <row r="188">
      <c r="A188" t="inlineStr">
        <is>
          <t>21|精英盾怪</t>
        </is>
      </c>
      <c r="B188" t="n">
        <v>21</v>
      </c>
      <c r="C188" t="inlineStr">
        <is>
          <t>精英盾怪</t>
        </is>
      </c>
      <c r="D188" t="n">
        <v>29025</v>
      </c>
      <c r="E188" t="n">
        <v>1012</v>
      </c>
      <c r="F188" t="n">
        <v>1600</v>
      </c>
    </row>
    <row r="189">
      <c r="A189" t="inlineStr">
        <is>
          <t>21|Boss</t>
        </is>
      </c>
      <c r="B189" t="n">
        <v>21</v>
      </c>
      <c r="C189" t="inlineStr">
        <is>
          <t>Boss</t>
        </is>
      </c>
      <c r="D189" t="n">
        <v>260969</v>
      </c>
      <c r="E189" t="n">
        <v>1247</v>
      </c>
      <c r="F189" t="n">
        <v>1600</v>
      </c>
    </row>
    <row r="190">
      <c r="A190" t="inlineStr">
        <is>
          <t>21|装备副本Boss</t>
        </is>
      </c>
      <c r="B190" t="n">
        <v>21</v>
      </c>
      <c r="C190" t="inlineStr">
        <is>
          <t>装备副本Boss</t>
        </is>
      </c>
      <c r="D190" t="n">
        <v>130485</v>
      </c>
      <c r="E190" t="n">
        <v>1247</v>
      </c>
      <c r="F190" t="n">
        <v>1600</v>
      </c>
    </row>
    <row r="191">
      <c r="A191" t="inlineStr">
        <is>
          <t>22|普通怪</t>
        </is>
      </c>
      <c r="B191" t="n">
        <v>22</v>
      </c>
      <c r="C191" t="inlineStr">
        <is>
          <t>普通怪</t>
        </is>
      </c>
      <c r="D191" t="n">
        <v>3435</v>
      </c>
      <c r="E191" t="n">
        <v>1064</v>
      </c>
      <c r="F191" t="n">
        <v>1679</v>
      </c>
    </row>
    <row r="192">
      <c r="A192" t="inlineStr">
        <is>
          <t>22|盾怪</t>
        </is>
      </c>
      <c r="B192" t="n">
        <v>22</v>
      </c>
      <c r="C192" t="inlineStr">
        <is>
          <t>盾怪</t>
        </is>
      </c>
      <c r="D192" t="n">
        <v>10305</v>
      </c>
      <c r="E192" t="n">
        <v>1064</v>
      </c>
      <c r="F192" t="n">
        <v>1679</v>
      </c>
    </row>
    <row r="193">
      <c r="A193" t="inlineStr">
        <is>
          <t>22|二级普通怪</t>
        </is>
      </c>
      <c r="B193" t="n">
        <v>22</v>
      </c>
      <c r="C193" t="inlineStr">
        <is>
          <t>二级普通怪</t>
        </is>
      </c>
      <c r="D193" t="n">
        <v>6183</v>
      </c>
      <c r="E193" t="n">
        <v>1064</v>
      </c>
      <c r="F193" t="n">
        <v>1679</v>
      </c>
    </row>
    <row r="194">
      <c r="A194" t="inlineStr">
        <is>
          <t>22|站桩怪</t>
        </is>
      </c>
      <c r="B194" t="n">
        <v>22</v>
      </c>
      <c r="C194" t="inlineStr">
        <is>
          <t>站桩怪</t>
        </is>
      </c>
      <c r="D194" t="n">
        <v>1718</v>
      </c>
      <c r="E194" t="n">
        <v>1064</v>
      </c>
      <c r="F194" t="n">
        <v>1679</v>
      </c>
    </row>
    <row r="195">
      <c r="A195" t="inlineStr">
        <is>
          <t>22|炮灰怪</t>
        </is>
      </c>
      <c r="B195" t="n">
        <v>22</v>
      </c>
      <c r="C195" t="inlineStr">
        <is>
          <t>炮灰怪</t>
        </is>
      </c>
      <c r="D195" t="n">
        <v>516</v>
      </c>
      <c r="E195" t="n">
        <v>1064</v>
      </c>
      <c r="F195" t="n">
        <v>1679</v>
      </c>
    </row>
    <row r="196">
      <c r="A196" t="inlineStr">
        <is>
          <t>22|精英怪</t>
        </is>
      </c>
      <c r="B196" t="n">
        <v>22</v>
      </c>
      <c r="C196" t="inlineStr">
        <is>
          <t>精英怪</t>
        </is>
      </c>
      <c r="D196" t="n">
        <v>13740</v>
      </c>
      <c r="E196" t="n">
        <v>1064</v>
      </c>
      <c r="F196" t="n">
        <v>1679</v>
      </c>
    </row>
    <row r="197">
      <c r="A197" t="inlineStr">
        <is>
          <t>22|精英盾怪</t>
        </is>
      </c>
      <c r="B197" t="n">
        <v>22</v>
      </c>
      <c r="C197" t="inlineStr">
        <is>
          <t>精英盾怪</t>
        </is>
      </c>
      <c r="D197" t="n">
        <v>30915</v>
      </c>
      <c r="E197" t="n">
        <v>1064</v>
      </c>
      <c r="F197" t="n">
        <v>1679</v>
      </c>
    </row>
    <row r="198">
      <c r="A198" t="inlineStr">
        <is>
          <t>22|Boss</t>
        </is>
      </c>
      <c r="B198" t="n">
        <v>22</v>
      </c>
      <c r="C198" t="inlineStr">
        <is>
          <t>Boss</t>
        </is>
      </c>
      <c r="D198" t="n">
        <v>275196</v>
      </c>
      <c r="E198" t="n">
        <v>1311</v>
      </c>
      <c r="F198" t="n">
        <v>1679</v>
      </c>
    </row>
    <row r="199">
      <c r="A199" t="inlineStr">
        <is>
          <t>22|装备副本Boss</t>
        </is>
      </c>
      <c r="B199" t="n">
        <v>22</v>
      </c>
      <c r="C199" t="inlineStr">
        <is>
          <t>装备副本Boss</t>
        </is>
      </c>
      <c r="D199" t="n">
        <v>137598</v>
      </c>
      <c r="E199" t="n">
        <v>1311</v>
      </c>
      <c r="F199" t="n">
        <v>1679</v>
      </c>
    </row>
    <row r="200">
      <c r="A200" t="inlineStr">
        <is>
          <t>23|普通怪</t>
        </is>
      </c>
      <c r="B200" t="n">
        <v>23</v>
      </c>
      <c r="C200" t="inlineStr">
        <is>
          <t>普通怪</t>
        </is>
      </c>
      <c r="D200" t="n">
        <v>3650</v>
      </c>
      <c r="E200" t="n">
        <v>1118</v>
      </c>
      <c r="F200" t="n">
        <v>1758</v>
      </c>
    </row>
    <row r="201">
      <c r="A201" t="inlineStr">
        <is>
          <t>23|盾怪</t>
        </is>
      </c>
      <c r="B201" t="n">
        <v>23</v>
      </c>
      <c r="C201" t="inlineStr">
        <is>
          <t>盾怪</t>
        </is>
      </c>
      <c r="D201" t="n">
        <v>10950</v>
      </c>
      <c r="E201" t="n">
        <v>1118</v>
      </c>
      <c r="F201" t="n">
        <v>1758</v>
      </c>
    </row>
    <row r="202">
      <c r="A202" t="inlineStr">
        <is>
          <t>23|二级普通怪</t>
        </is>
      </c>
      <c r="B202" t="n">
        <v>23</v>
      </c>
      <c r="C202" t="inlineStr">
        <is>
          <t>二级普通怪</t>
        </is>
      </c>
      <c r="D202" t="n">
        <v>6570</v>
      </c>
      <c r="E202" t="n">
        <v>1118</v>
      </c>
      <c r="F202" t="n">
        <v>1758</v>
      </c>
    </row>
    <row r="203">
      <c r="A203" t="inlineStr">
        <is>
          <t>23|站桩怪</t>
        </is>
      </c>
      <c r="B203" t="n">
        <v>23</v>
      </c>
      <c r="C203" t="inlineStr">
        <is>
          <t>站桩怪</t>
        </is>
      </c>
      <c r="D203" t="n">
        <v>1825</v>
      </c>
      <c r="E203" t="n">
        <v>1118</v>
      </c>
      <c r="F203" t="n">
        <v>1758</v>
      </c>
    </row>
    <row r="204">
      <c r="A204" t="inlineStr">
        <is>
          <t>23|炮灰怪</t>
        </is>
      </c>
      <c r="B204" t="n">
        <v>23</v>
      </c>
      <c r="C204" t="inlineStr">
        <is>
          <t>炮灰怪</t>
        </is>
      </c>
      <c r="D204" t="n">
        <v>548</v>
      </c>
      <c r="E204" t="n">
        <v>1118</v>
      </c>
      <c r="F204" t="n">
        <v>1758</v>
      </c>
    </row>
    <row r="205">
      <c r="A205" t="inlineStr">
        <is>
          <t>23|精英怪</t>
        </is>
      </c>
      <c r="B205" t="n">
        <v>23</v>
      </c>
      <c r="C205" t="inlineStr">
        <is>
          <t>精英怪</t>
        </is>
      </c>
      <c r="D205" t="n">
        <v>14600</v>
      </c>
      <c r="E205" t="n">
        <v>1118</v>
      </c>
      <c r="F205" t="n">
        <v>1758</v>
      </c>
    </row>
    <row r="206">
      <c r="A206" t="inlineStr">
        <is>
          <t>23|精英盾怪</t>
        </is>
      </c>
      <c r="B206" t="n">
        <v>23</v>
      </c>
      <c r="C206" t="inlineStr">
        <is>
          <t>精英盾怪</t>
        </is>
      </c>
      <c r="D206" t="n">
        <v>32850</v>
      </c>
      <c r="E206" t="n">
        <v>1118</v>
      </c>
      <c r="F206" t="n">
        <v>1758</v>
      </c>
    </row>
    <row r="207">
      <c r="A207" t="inlineStr">
        <is>
          <t>23|Boss</t>
        </is>
      </c>
      <c r="B207" t="n">
        <v>23</v>
      </c>
      <c r="C207" t="inlineStr">
        <is>
          <t>Boss</t>
        </is>
      </c>
      <c r="D207" t="n">
        <v>289619</v>
      </c>
      <c r="E207" t="n">
        <v>1376</v>
      </c>
      <c r="F207" t="n">
        <v>1758</v>
      </c>
    </row>
    <row r="208">
      <c r="A208" t="inlineStr">
        <is>
          <t>23|装备副本Boss</t>
        </is>
      </c>
      <c r="B208" t="n">
        <v>23</v>
      </c>
      <c r="C208" t="inlineStr">
        <is>
          <t>装备副本Boss</t>
        </is>
      </c>
      <c r="D208" t="n">
        <v>144810</v>
      </c>
      <c r="E208" t="n">
        <v>1376</v>
      </c>
      <c r="F208" t="n">
        <v>1758</v>
      </c>
    </row>
    <row r="209">
      <c r="A209" t="inlineStr">
        <is>
          <t>24|普通怪</t>
        </is>
      </c>
      <c r="B209" t="n">
        <v>24</v>
      </c>
      <c r="C209" t="inlineStr">
        <is>
          <t>普通怪</t>
        </is>
      </c>
      <c r="D209" t="n">
        <v>3871</v>
      </c>
      <c r="E209" t="n">
        <v>1171</v>
      </c>
      <c r="F209" t="n">
        <v>1837</v>
      </c>
    </row>
    <row r="210">
      <c r="A210" t="inlineStr">
        <is>
          <t>24|盾怪</t>
        </is>
      </c>
      <c r="B210" t="n">
        <v>24</v>
      </c>
      <c r="C210" t="inlineStr">
        <is>
          <t>盾怪</t>
        </is>
      </c>
      <c r="D210" t="n">
        <v>11613</v>
      </c>
      <c r="E210" t="n">
        <v>1171</v>
      </c>
      <c r="F210" t="n">
        <v>1837</v>
      </c>
    </row>
    <row r="211">
      <c r="A211" t="inlineStr">
        <is>
          <t>24|二级普通怪</t>
        </is>
      </c>
      <c r="B211" t="n">
        <v>24</v>
      </c>
      <c r="C211" t="inlineStr">
        <is>
          <t>二级普通怪</t>
        </is>
      </c>
      <c r="D211" t="n">
        <v>6968</v>
      </c>
      <c r="E211" t="n">
        <v>1171</v>
      </c>
      <c r="F211" t="n">
        <v>1837</v>
      </c>
    </row>
    <row r="212">
      <c r="A212" t="inlineStr">
        <is>
          <t>24|站桩怪</t>
        </is>
      </c>
      <c r="B212" t="n">
        <v>24</v>
      </c>
      <c r="C212" t="inlineStr">
        <is>
          <t>站桩怪</t>
        </is>
      </c>
      <c r="D212" t="n">
        <v>1936</v>
      </c>
      <c r="E212" t="n">
        <v>1171</v>
      </c>
      <c r="F212" t="n">
        <v>1837</v>
      </c>
    </row>
    <row r="213">
      <c r="A213" t="inlineStr">
        <is>
          <t>24|炮灰怪</t>
        </is>
      </c>
      <c r="B213" t="n">
        <v>24</v>
      </c>
      <c r="C213" t="inlineStr">
        <is>
          <t>炮灰怪</t>
        </is>
      </c>
      <c r="D213" t="n">
        <v>581</v>
      </c>
      <c r="E213" t="n">
        <v>1171</v>
      </c>
      <c r="F213" t="n">
        <v>1837</v>
      </c>
    </row>
    <row r="214">
      <c r="A214" t="inlineStr">
        <is>
          <t>24|精英怪</t>
        </is>
      </c>
      <c r="B214" t="n">
        <v>24</v>
      </c>
      <c r="C214" t="inlineStr">
        <is>
          <t>精英怪</t>
        </is>
      </c>
      <c r="D214" t="n">
        <v>15484</v>
      </c>
      <c r="E214" t="n">
        <v>1171</v>
      </c>
      <c r="F214" t="n">
        <v>1837</v>
      </c>
    </row>
    <row r="215">
      <c r="A215" t="inlineStr">
        <is>
          <t>24|精英盾怪</t>
        </is>
      </c>
      <c r="B215" t="n">
        <v>24</v>
      </c>
      <c r="C215" t="inlineStr">
        <is>
          <t>精英盾怪</t>
        </is>
      </c>
      <c r="D215" t="n">
        <v>34839</v>
      </c>
      <c r="E215" t="n">
        <v>1171</v>
      </c>
      <c r="F215" t="n">
        <v>1837</v>
      </c>
    </row>
    <row r="216">
      <c r="A216" t="inlineStr">
        <is>
          <t>24|Boss</t>
        </is>
      </c>
      <c r="B216" t="n">
        <v>24</v>
      </c>
      <c r="C216" t="inlineStr">
        <is>
          <t>Boss</t>
        </is>
      </c>
      <c r="D216" t="n">
        <v>304319</v>
      </c>
      <c r="E216" t="n">
        <v>1440</v>
      </c>
      <c r="F216" t="n">
        <v>1837</v>
      </c>
    </row>
    <row r="217">
      <c r="A217" t="inlineStr">
        <is>
          <t>24|装备副本Boss</t>
        </is>
      </c>
      <c r="B217" t="n">
        <v>24</v>
      </c>
      <c r="C217" t="inlineStr">
        <is>
          <t>装备副本Boss</t>
        </is>
      </c>
      <c r="D217" t="n">
        <v>152159</v>
      </c>
      <c r="E217" t="n">
        <v>1440</v>
      </c>
      <c r="F217" t="n">
        <v>1837</v>
      </c>
    </row>
    <row r="218">
      <c r="A218" t="inlineStr">
        <is>
          <t>25|普通怪</t>
        </is>
      </c>
      <c r="B218" t="n">
        <v>25</v>
      </c>
      <c r="C218" t="inlineStr">
        <is>
          <t>普通怪</t>
        </is>
      </c>
      <c r="D218" t="n">
        <v>4096</v>
      </c>
      <c r="E218" t="n">
        <v>1225</v>
      </c>
      <c r="F218" t="n">
        <v>1917</v>
      </c>
    </row>
    <row r="219">
      <c r="A219" t="inlineStr">
        <is>
          <t>25|盾怪</t>
        </is>
      </c>
      <c r="B219" t="n">
        <v>25</v>
      </c>
      <c r="C219" t="inlineStr">
        <is>
          <t>盾怪</t>
        </is>
      </c>
      <c r="D219" t="n">
        <v>12288</v>
      </c>
      <c r="E219" t="n">
        <v>1225</v>
      </c>
      <c r="F219" t="n">
        <v>1917</v>
      </c>
    </row>
    <row r="220">
      <c r="A220" t="inlineStr">
        <is>
          <t>25|二级普通怪</t>
        </is>
      </c>
      <c r="B220" t="n">
        <v>25</v>
      </c>
      <c r="C220" t="inlineStr">
        <is>
          <t>二级普通怪</t>
        </is>
      </c>
      <c r="D220" t="n">
        <v>7373</v>
      </c>
      <c r="E220" t="n">
        <v>1225</v>
      </c>
      <c r="F220" t="n">
        <v>1917</v>
      </c>
    </row>
    <row r="221">
      <c r="A221" t="inlineStr">
        <is>
          <t>25|站桩怪</t>
        </is>
      </c>
      <c r="B221" t="n">
        <v>25</v>
      </c>
      <c r="C221" t="inlineStr">
        <is>
          <t>站桩怪</t>
        </is>
      </c>
      <c r="D221" t="n">
        <v>2048</v>
      </c>
      <c r="E221" t="n">
        <v>1225</v>
      </c>
      <c r="F221" t="n">
        <v>1917</v>
      </c>
    </row>
    <row r="222">
      <c r="A222" t="inlineStr">
        <is>
          <t>25|炮灰怪</t>
        </is>
      </c>
      <c r="B222" t="n">
        <v>25</v>
      </c>
      <c r="C222" t="inlineStr">
        <is>
          <t>炮灰怪</t>
        </is>
      </c>
      <c r="D222" t="n">
        <v>615</v>
      </c>
      <c r="E222" t="n">
        <v>1225</v>
      </c>
      <c r="F222" t="n">
        <v>1917</v>
      </c>
    </row>
    <row r="223">
      <c r="A223" t="inlineStr">
        <is>
          <t>25|精英怪</t>
        </is>
      </c>
      <c r="B223" t="n">
        <v>25</v>
      </c>
      <c r="C223" t="inlineStr">
        <is>
          <t>精英怪</t>
        </is>
      </c>
      <c r="D223" t="n">
        <v>16384</v>
      </c>
      <c r="E223" t="n">
        <v>1225</v>
      </c>
      <c r="F223" t="n">
        <v>1917</v>
      </c>
    </row>
    <row r="224">
      <c r="A224" t="inlineStr">
        <is>
          <t>25|精英盾怪</t>
        </is>
      </c>
      <c r="B224" t="n">
        <v>25</v>
      </c>
      <c r="C224" t="inlineStr">
        <is>
          <t>精英盾怪</t>
        </is>
      </c>
      <c r="D224" t="n">
        <v>36864</v>
      </c>
      <c r="E224" t="n">
        <v>1225</v>
      </c>
      <c r="F224" t="n">
        <v>1917</v>
      </c>
    </row>
    <row r="225">
      <c r="A225" t="inlineStr">
        <is>
          <t>25|Boss</t>
        </is>
      </c>
      <c r="B225" t="n">
        <v>25</v>
      </c>
      <c r="C225" t="inlineStr">
        <is>
          <t>Boss</t>
        </is>
      </c>
      <c r="D225" t="n">
        <v>319225</v>
      </c>
      <c r="E225" t="n">
        <v>1506</v>
      </c>
      <c r="F225" t="n">
        <v>1917</v>
      </c>
    </row>
    <row r="226">
      <c r="A226" t="inlineStr">
        <is>
          <t>25|装备副本Boss</t>
        </is>
      </c>
      <c r="B226" t="n">
        <v>25</v>
      </c>
      <c r="C226" t="inlineStr">
        <is>
          <t>装备副本Boss</t>
        </is>
      </c>
      <c r="D226" t="n">
        <v>159613</v>
      </c>
      <c r="E226" t="n">
        <v>1506</v>
      </c>
      <c r="F226" t="n">
        <v>1917</v>
      </c>
    </row>
    <row r="227">
      <c r="A227" t="inlineStr">
        <is>
          <t>26|普通怪</t>
        </is>
      </c>
      <c r="B227" t="n">
        <v>26</v>
      </c>
      <c r="C227" t="inlineStr">
        <is>
          <t>普通怪</t>
        </is>
      </c>
      <c r="D227" t="n">
        <v>4326</v>
      </c>
      <c r="E227" t="n">
        <v>1279</v>
      </c>
      <c r="F227" t="n">
        <v>1996</v>
      </c>
    </row>
    <row r="228">
      <c r="A228" t="inlineStr">
        <is>
          <t>26|盾怪</t>
        </is>
      </c>
      <c r="B228" t="n">
        <v>26</v>
      </c>
      <c r="C228" t="inlineStr">
        <is>
          <t>盾怪</t>
        </is>
      </c>
      <c r="D228" t="n">
        <v>12978</v>
      </c>
      <c r="E228" t="n">
        <v>1279</v>
      </c>
      <c r="F228" t="n">
        <v>1996</v>
      </c>
    </row>
    <row r="229">
      <c r="A229" t="inlineStr">
        <is>
          <t>26|二级普通怪</t>
        </is>
      </c>
      <c r="B229" t="n">
        <v>26</v>
      </c>
      <c r="C229" t="inlineStr">
        <is>
          <t>二级普通怪</t>
        </is>
      </c>
      <c r="D229" t="n">
        <v>7787</v>
      </c>
      <c r="E229" t="n">
        <v>1279</v>
      </c>
      <c r="F229" t="n">
        <v>1996</v>
      </c>
    </row>
    <row r="230">
      <c r="A230" t="inlineStr">
        <is>
          <t>26|站桩怪</t>
        </is>
      </c>
      <c r="B230" t="n">
        <v>26</v>
      </c>
      <c r="C230" t="inlineStr">
        <is>
          <t>站桩怪</t>
        </is>
      </c>
      <c r="D230" t="n">
        <v>2163</v>
      </c>
      <c r="E230" t="n">
        <v>1279</v>
      </c>
      <c r="F230" t="n">
        <v>1996</v>
      </c>
    </row>
    <row r="231">
      <c r="A231" t="inlineStr">
        <is>
          <t>26|炮灰怪</t>
        </is>
      </c>
      <c r="B231" t="n">
        <v>26</v>
      </c>
      <c r="C231" t="inlineStr">
        <is>
          <t>炮灰怪</t>
        </is>
      </c>
      <c r="D231" t="n">
        <v>649</v>
      </c>
      <c r="E231" t="n">
        <v>1279</v>
      </c>
      <c r="F231" t="n">
        <v>1996</v>
      </c>
    </row>
    <row r="232">
      <c r="A232" t="inlineStr">
        <is>
          <t>26|精英怪</t>
        </is>
      </c>
      <c r="B232" t="n">
        <v>26</v>
      </c>
      <c r="C232" t="inlineStr">
        <is>
          <t>精英怪</t>
        </is>
      </c>
      <c r="D232" t="n">
        <v>17304</v>
      </c>
      <c r="E232" t="n">
        <v>1279</v>
      </c>
      <c r="F232" t="n">
        <v>1996</v>
      </c>
    </row>
    <row r="233">
      <c r="A233" t="inlineStr">
        <is>
          <t>26|精英盾怪</t>
        </is>
      </c>
      <c r="B233" t="n">
        <v>26</v>
      </c>
      <c r="C233" t="inlineStr">
        <is>
          <t>精英盾怪</t>
        </is>
      </c>
      <c r="D233" t="n">
        <v>38934</v>
      </c>
      <c r="E233" t="n">
        <v>1279</v>
      </c>
      <c r="F233" t="n">
        <v>1996</v>
      </c>
    </row>
    <row r="234">
      <c r="A234" t="inlineStr">
        <is>
          <t>26|Boss</t>
        </is>
      </c>
      <c r="B234" t="n">
        <v>26</v>
      </c>
      <c r="C234" t="inlineStr">
        <is>
          <t>Boss</t>
        </is>
      </c>
      <c r="D234" t="n">
        <v>334418</v>
      </c>
      <c r="E234" t="n">
        <v>1571</v>
      </c>
      <c r="F234" t="n">
        <v>1996</v>
      </c>
    </row>
    <row r="235">
      <c r="A235" t="inlineStr">
        <is>
          <t>26|装备副本Boss</t>
        </is>
      </c>
      <c r="B235" t="n">
        <v>26</v>
      </c>
      <c r="C235" t="inlineStr">
        <is>
          <t>装备副本Boss</t>
        </is>
      </c>
      <c r="D235" t="n">
        <v>167209</v>
      </c>
      <c r="E235" t="n">
        <v>1571</v>
      </c>
      <c r="F235" t="n">
        <v>1996</v>
      </c>
    </row>
    <row r="236">
      <c r="A236" t="inlineStr">
        <is>
          <t>27|普通怪</t>
        </is>
      </c>
      <c r="B236" t="n">
        <v>27</v>
      </c>
      <c r="C236" t="inlineStr">
        <is>
          <t>普通怪</t>
        </is>
      </c>
      <c r="D236" t="n">
        <v>4561</v>
      </c>
      <c r="E236" t="n">
        <v>1333</v>
      </c>
      <c r="F236" t="n">
        <v>2076</v>
      </c>
    </row>
    <row r="237">
      <c r="A237" t="inlineStr">
        <is>
          <t>27|盾怪</t>
        </is>
      </c>
      <c r="B237" t="n">
        <v>27</v>
      </c>
      <c r="C237" t="inlineStr">
        <is>
          <t>盾怪</t>
        </is>
      </c>
      <c r="D237" t="n">
        <v>13683</v>
      </c>
      <c r="E237" t="n">
        <v>1333</v>
      </c>
      <c r="F237" t="n">
        <v>2076</v>
      </c>
    </row>
    <row r="238">
      <c r="A238" t="inlineStr">
        <is>
          <t>27|二级普通怪</t>
        </is>
      </c>
      <c r="B238" t="n">
        <v>27</v>
      </c>
      <c r="C238" t="inlineStr">
        <is>
          <t>二级普通怪</t>
        </is>
      </c>
      <c r="D238" t="n">
        <v>8210</v>
      </c>
      <c r="E238" t="n">
        <v>1333</v>
      </c>
      <c r="F238" t="n">
        <v>2076</v>
      </c>
    </row>
    <row r="239">
      <c r="A239" t="inlineStr">
        <is>
          <t>27|站桩怪</t>
        </is>
      </c>
      <c r="B239" t="n">
        <v>27</v>
      </c>
      <c r="C239" t="inlineStr">
        <is>
          <t>站桩怪</t>
        </is>
      </c>
      <c r="D239" t="n">
        <v>2281</v>
      </c>
      <c r="E239" t="n">
        <v>1333</v>
      </c>
      <c r="F239" t="n">
        <v>2076</v>
      </c>
    </row>
    <row r="240">
      <c r="A240" t="inlineStr">
        <is>
          <t>27|炮灰怪</t>
        </is>
      </c>
      <c r="B240" t="n">
        <v>27</v>
      </c>
      <c r="C240" t="inlineStr">
        <is>
          <t>炮灰怪</t>
        </is>
      </c>
      <c r="D240" t="n">
        <v>685</v>
      </c>
      <c r="E240" t="n">
        <v>1333</v>
      </c>
      <c r="F240" t="n">
        <v>2076</v>
      </c>
    </row>
    <row r="241">
      <c r="A241" t="inlineStr">
        <is>
          <t>27|精英怪</t>
        </is>
      </c>
      <c r="B241" t="n">
        <v>27</v>
      </c>
      <c r="C241" t="inlineStr">
        <is>
          <t>精英怪</t>
        </is>
      </c>
      <c r="D241" t="n">
        <v>18244</v>
      </c>
      <c r="E241" t="n">
        <v>1333</v>
      </c>
      <c r="F241" t="n">
        <v>2076</v>
      </c>
    </row>
    <row r="242">
      <c r="A242" t="inlineStr">
        <is>
          <t>27|精英盾怪</t>
        </is>
      </c>
      <c r="B242" t="n">
        <v>27</v>
      </c>
      <c r="C242" t="inlineStr">
        <is>
          <t>精英盾怪</t>
        </is>
      </c>
      <c r="D242" t="n">
        <v>41049</v>
      </c>
      <c r="E242" t="n">
        <v>1333</v>
      </c>
      <c r="F242" t="n">
        <v>2076</v>
      </c>
    </row>
    <row r="243">
      <c r="A243" t="inlineStr">
        <is>
          <t>27|Boss</t>
        </is>
      </c>
      <c r="B243" t="n">
        <v>27</v>
      </c>
      <c r="C243" t="inlineStr">
        <is>
          <t>Boss</t>
        </is>
      </c>
      <c r="D243" t="n">
        <v>349830</v>
      </c>
      <c r="E243" t="n">
        <v>1637</v>
      </c>
      <c r="F243" t="n">
        <v>2076</v>
      </c>
    </row>
    <row r="244">
      <c r="A244" t="inlineStr">
        <is>
          <t>27|装备副本Boss</t>
        </is>
      </c>
      <c r="B244" t="n">
        <v>27</v>
      </c>
      <c r="C244" t="inlineStr">
        <is>
          <t>装备副本Boss</t>
        </is>
      </c>
      <c r="D244" t="n">
        <v>174915</v>
      </c>
      <c r="E244" t="n">
        <v>1637</v>
      </c>
      <c r="F244" t="n">
        <v>2076</v>
      </c>
    </row>
    <row r="245">
      <c r="A245" t="inlineStr">
        <is>
          <t>28|普通怪</t>
        </is>
      </c>
      <c r="B245" t="n">
        <v>28</v>
      </c>
      <c r="C245" t="inlineStr">
        <is>
          <t>普通怪</t>
        </is>
      </c>
      <c r="D245" t="n">
        <v>4801</v>
      </c>
      <c r="E245" t="n">
        <v>1389</v>
      </c>
      <c r="F245" t="n">
        <v>2156</v>
      </c>
    </row>
    <row r="246">
      <c r="A246" t="inlineStr">
        <is>
          <t>28|盾怪</t>
        </is>
      </c>
      <c r="B246" t="n">
        <v>28</v>
      </c>
      <c r="C246" t="inlineStr">
        <is>
          <t>盾怪</t>
        </is>
      </c>
      <c r="D246" t="n">
        <v>14403</v>
      </c>
      <c r="E246" t="n">
        <v>1389</v>
      </c>
      <c r="F246" t="n">
        <v>2156</v>
      </c>
    </row>
    <row r="247">
      <c r="A247" t="inlineStr">
        <is>
          <t>28|二级普通怪</t>
        </is>
      </c>
      <c r="B247" t="n">
        <v>28</v>
      </c>
      <c r="C247" t="inlineStr">
        <is>
          <t>二级普通怪</t>
        </is>
      </c>
      <c r="D247" t="n">
        <v>8642</v>
      </c>
      <c r="E247" t="n">
        <v>1389</v>
      </c>
      <c r="F247" t="n">
        <v>2156</v>
      </c>
    </row>
    <row r="248">
      <c r="A248" t="inlineStr">
        <is>
          <t>28|站桩怪</t>
        </is>
      </c>
      <c r="B248" t="n">
        <v>28</v>
      </c>
      <c r="C248" t="inlineStr">
        <is>
          <t>站桩怪</t>
        </is>
      </c>
      <c r="D248" t="n">
        <v>2401</v>
      </c>
      <c r="E248" t="n">
        <v>1389</v>
      </c>
      <c r="F248" t="n">
        <v>2156</v>
      </c>
    </row>
    <row r="249">
      <c r="A249" t="inlineStr">
        <is>
          <t>28|炮灰怪</t>
        </is>
      </c>
      <c r="B249" t="n">
        <v>28</v>
      </c>
      <c r="C249" t="inlineStr">
        <is>
          <t>炮灰怪</t>
        </is>
      </c>
      <c r="D249" t="n">
        <v>721</v>
      </c>
      <c r="E249" t="n">
        <v>1389</v>
      </c>
      <c r="F249" t="n">
        <v>2156</v>
      </c>
    </row>
    <row r="250">
      <c r="A250" t="inlineStr">
        <is>
          <t>28|精英怪</t>
        </is>
      </c>
      <c r="B250" t="n">
        <v>28</v>
      </c>
      <c r="C250" t="inlineStr">
        <is>
          <t>精英怪</t>
        </is>
      </c>
      <c r="D250" t="n">
        <v>19204</v>
      </c>
      <c r="E250" t="n">
        <v>1389</v>
      </c>
      <c r="F250" t="n">
        <v>2156</v>
      </c>
    </row>
    <row r="251">
      <c r="A251" t="inlineStr">
        <is>
          <t>28|精英盾怪</t>
        </is>
      </c>
      <c r="B251" t="n">
        <v>28</v>
      </c>
      <c r="C251" t="inlineStr">
        <is>
          <t>精英盾怪</t>
        </is>
      </c>
      <c r="D251" t="n">
        <v>43209</v>
      </c>
      <c r="E251" t="n">
        <v>1389</v>
      </c>
      <c r="F251" t="n">
        <v>2156</v>
      </c>
    </row>
    <row r="252">
      <c r="A252" t="inlineStr">
        <is>
          <t>28|Boss</t>
        </is>
      </c>
      <c r="B252" t="n">
        <v>28</v>
      </c>
      <c r="C252" t="inlineStr">
        <is>
          <t>Boss</t>
        </is>
      </c>
      <c r="D252" t="n">
        <v>365611</v>
      </c>
      <c r="E252" t="n">
        <v>1704</v>
      </c>
      <c r="F252" t="n">
        <v>2156</v>
      </c>
    </row>
    <row r="253">
      <c r="A253" t="inlineStr">
        <is>
          <t>28|装备副本Boss</t>
        </is>
      </c>
      <c r="B253" t="n">
        <v>28</v>
      </c>
      <c r="C253" t="inlineStr">
        <is>
          <t>装备副本Boss</t>
        </is>
      </c>
      <c r="D253" t="n">
        <v>182806</v>
      </c>
      <c r="E253" t="n">
        <v>1704</v>
      </c>
      <c r="F253" t="n">
        <v>2156</v>
      </c>
    </row>
    <row r="254">
      <c r="A254" t="inlineStr">
        <is>
          <t>29|普通怪</t>
        </is>
      </c>
      <c r="B254" t="n">
        <v>29</v>
      </c>
      <c r="C254" t="inlineStr">
        <is>
          <t>普通怪</t>
        </is>
      </c>
      <c r="D254" t="n">
        <v>5046</v>
      </c>
      <c r="E254" t="n">
        <v>1444</v>
      </c>
      <c r="F254" t="n">
        <v>2236</v>
      </c>
    </row>
    <row r="255">
      <c r="A255" t="inlineStr">
        <is>
          <t>29|盾怪</t>
        </is>
      </c>
      <c r="B255" t="n">
        <v>29</v>
      </c>
      <c r="C255" t="inlineStr">
        <is>
          <t>盾怪</t>
        </is>
      </c>
      <c r="D255" t="n">
        <v>15138</v>
      </c>
      <c r="E255" t="n">
        <v>1444</v>
      </c>
      <c r="F255" t="n">
        <v>2236</v>
      </c>
    </row>
    <row r="256">
      <c r="A256" t="inlineStr">
        <is>
          <t>29|二级普通怪</t>
        </is>
      </c>
      <c r="B256" t="n">
        <v>29</v>
      </c>
      <c r="C256" t="inlineStr">
        <is>
          <t>二级普通怪</t>
        </is>
      </c>
      <c r="D256" t="n">
        <v>9083</v>
      </c>
      <c r="E256" t="n">
        <v>1444</v>
      </c>
      <c r="F256" t="n">
        <v>2236</v>
      </c>
    </row>
    <row r="257">
      <c r="A257" t="inlineStr">
        <is>
          <t>29|站桩怪</t>
        </is>
      </c>
      <c r="B257" t="n">
        <v>29</v>
      </c>
      <c r="C257" t="inlineStr">
        <is>
          <t>站桩怪</t>
        </is>
      </c>
      <c r="D257" t="n">
        <v>2523</v>
      </c>
      <c r="E257" t="n">
        <v>1444</v>
      </c>
      <c r="F257" t="n">
        <v>2236</v>
      </c>
    </row>
    <row r="258">
      <c r="A258" t="inlineStr">
        <is>
          <t>29|炮灰怪</t>
        </is>
      </c>
      <c r="B258" t="n">
        <v>29</v>
      </c>
      <c r="C258" t="inlineStr">
        <is>
          <t>炮灰怪</t>
        </is>
      </c>
      <c r="D258" t="n">
        <v>757</v>
      </c>
      <c r="E258" t="n">
        <v>1444</v>
      </c>
      <c r="F258" t="n">
        <v>2236</v>
      </c>
    </row>
    <row r="259">
      <c r="A259" t="inlineStr">
        <is>
          <t>29|精英怪</t>
        </is>
      </c>
      <c r="B259" t="n">
        <v>29</v>
      </c>
      <c r="C259" t="inlineStr">
        <is>
          <t>精英怪</t>
        </is>
      </c>
      <c r="D259" t="n">
        <v>20184</v>
      </c>
      <c r="E259" t="n">
        <v>1444</v>
      </c>
      <c r="F259" t="n">
        <v>2236</v>
      </c>
    </row>
    <row r="260">
      <c r="A260" t="inlineStr">
        <is>
          <t>29|精英盾怪</t>
        </is>
      </c>
      <c r="B260" t="n">
        <v>29</v>
      </c>
      <c r="C260" t="inlineStr">
        <is>
          <t>精英盾怪</t>
        </is>
      </c>
      <c r="D260" t="n">
        <v>45414</v>
      </c>
      <c r="E260" t="n">
        <v>1444</v>
      </c>
      <c r="F260" t="n">
        <v>2236</v>
      </c>
    </row>
    <row r="261">
      <c r="A261" t="inlineStr">
        <is>
          <t>29|Boss</t>
        </is>
      </c>
      <c r="B261" t="n">
        <v>29</v>
      </c>
      <c r="C261" t="inlineStr">
        <is>
          <t>Boss</t>
        </is>
      </c>
      <c r="D261" t="n">
        <v>381624</v>
      </c>
      <c r="E261" t="n">
        <v>1771</v>
      </c>
      <c r="F261" t="n">
        <v>2236</v>
      </c>
    </row>
    <row r="262">
      <c r="A262" t="inlineStr">
        <is>
          <t>29|装备副本Boss</t>
        </is>
      </c>
      <c r="B262" t="n">
        <v>29</v>
      </c>
      <c r="C262" t="inlineStr">
        <is>
          <t>装备副本Boss</t>
        </is>
      </c>
      <c r="D262" t="n">
        <v>190812</v>
      </c>
      <c r="E262" t="n">
        <v>1771</v>
      </c>
      <c r="F262" t="n">
        <v>2236</v>
      </c>
    </row>
    <row r="263">
      <c r="A263" t="inlineStr">
        <is>
          <t>30|普通怪</t>
        </is>
      </c>
      <c r="B263" t="n">
        <v>30</v>
      </c>
      <c r="C263" t="inlineStr">
        <is>
          <t>普通怪</t>
        </is>
      </c>
      <c r="D263" t="n">
        <v>5297</v>
      </c>
      <c r="E263" t="n">
        <v>1500</v>
      </c>
      <c r="F263" t="n">
        <v>2317</v>
      </c>
    </row>
    <row r="264">
      <c r="A264" t="inlineStr">
        <is>
          <t>30|盾怪</t>
        </is>
      </c>
      <c r="B264" t="n">
        <v>30</v>
      </c>
      <c r="C264" t="inlineStr">
        <is>
          <t>盾怪</t>
        </is>
      </c>
      <c r="D264" t="n">
        <v>15891</v>
      </c>
      <c r="E264" t="n">
        <v>1500</v>
      </c>
      <c r="F264" t="n">
        <v>2317</v>
      </c>
    </row>
    <row r="265">
      <c r="A265" t="inlineStr">
        <is>
          <t>30|二级普通怪</t>
        </is>
      </c>
      <c r="B265" t="n">
        <v>30</v>
      </c>
      <c r="C265" t="inlineStr">
        <is>
          <t>二级普通怪</t>
        </is>
      </c>
      <c r="D265" t="n">
        <v>9535</v>
      </c>
      <c r="E265" t="n">
        <v>1500</v>
      </c>
      <c r="F265" t="n">
        <v>2317</v>
      </c>
    </row>
    <row r="266">
      <c r="A266" t="inlineStr">
        <is>
          <t>30|站桩怪</t>
        </is>
      </c>
      <c r="B266" t="n">
        <v>30</v>
      </c>
      <c r="C266" t="inlineStr">
        <is>
          <t>站桩怪</t>
        </is>
      </c>
      <c r="D266" t="n">
        <v>2649</v>
      </c>
      <c r="E266" t="n">
        <v>1500</v>
      </c>
      <c r="F266" t="n">
        <v>2317</v>
      </c>
    </row>
    <row r="267">
      <c r="A267" t="inlineStr">
        <is>
          <t>30|炮灰怪</t>
        </is>
      </c>
      <c r="B267" t="n">
        <v>30</v>
      </c>
      <c r="C267" t="inlineStr">
        <is>
          <t>炮灰怪</t>
        </is>
      </c>
      <c r="D267" t="n">
        <v>795</v>
      </c>
      <c r="E267" t="n">
        <v>1500</v>
      </c>
      <c r="F267" t="n">
        <v>2317</v>
      </c>
    </row>
    <row r="268">
      <c r="A268" t="inlineStr">
        <is>
          <t>30|精英怪</t>
        </is>
      </c>
      <c r="B268" t="n">
        <v>30</v>
      </c>
      <c r="C268" t="inlineStr">
        <is>
          <t>精英怪</t>
        </is>
      </c>
      <c r="D268" t="n">
        <v>21188</v>
      </c>
      <c r="E268" t="n">
        <v>1500</v>
      </c>
      <c r="F268" t="n">
        <v>2317</v>
      </c>
    </row>
    <row r="269">
      <c r="A269" t="inlineStr">
        <is>
          <t>30|精英盾怪</t>
        </is>
      </c>
      <c r="B269" t="n">
        <v>30</v>
      </c>
      <c r="C269" t="inlineStr">
        <is>
          <t>精英盾怪</t>
        </is>
      </c>
      <c r="D269" t="n">
        <v>47673</v>
      </c>
      <c r="E269" t="n">
        <v>1500</v>
      </c>
      <c r="F269" t="n">
        <v>2317</v>
      </c>
    </row>
    <row r="270">
      <c r="A270" t="inlineStr">
        <is>
          <t>30|Boss</t>
        </is>
      </c>
      <c r="B270" t="n">
        <v>30</v>
      </c>
      <c r="C270" t="inlineStr">
        <is>
          <t>Boss</t>
        </is>
      </c>
      <c r="D270" t="n">
        <v>398013</v>
      </c>
      <c r="E270" t="n">
        <v>1838</v>
      </c>
      <c r="F270" t="n">
        <v>2317</v>
      </c>
    </row>
    <row r="271">
      <c r="A271" t="inlineStr">
        <is>
          <t>30|装备副本Boss</t>
        </is>
      </c>
      <c r="B271" t="n">
        <v>30</v>
      </c>
      <c r="C271" t="inlineStr">
        <is>
          <t>装备副本Boss</t>
        </is>
      </c>
      <c r="D271" t="n">
        <v>199007</v>
      </c>
      <c r="E271" t="n">
        <v>1838</v>
      </c>
      <c r="F271" t="n">
        <v>2317</v>
      </c>
    </row>
    <row r="272">
      <c r="A272" t="inlineStr">
        <is>
          <t>31|普通怪</t>
        </is>
      </c>
      <c r="B272" t="n">
        <v>31</v>
      </c>
      <c r="C272" t="inlineStr">
        <is>
          <t>普通怪</t>
        </is>
      </c>
      <c r="D272" t="n">
        <v>5552</v>
      </c>
      <c r="E272" t="n">
        <v>1557</v>
      </c>
      <c r="F272" t="n">
        <v>2398</v>
      </c>
    </row>
    <row r="273">
      <c r="A273" t="inlineStr">
        <is>
          <t>31|盾怪</t>
        </is>
      </c>
      <c r="B273" t="n">
        <v>31</v>
      </c>
      <c r="C273" t="inlineStr">
        <is>
          <t>盾怪</t>
        </is>
      </c>
      <c r="D273" t="n">
        <v>16656</v>
      </c>
      <c r="E273" t="n">
        <v>1557</v>
      </c>
      <c r="F273" t="n">
        <v>2398</v>
      </c>
    </row>
    <row r="274">
      <c r="A274" t="inlineStr">
        <is>
          <t>31|二级普通怪</t>
        </is>
      </c>
      <c r="B274" t="n">
        <v>31</v>
      </c>
      <c r="C274" t="inlineStr">
        <is>
          <t>二级普通怪</t>
        </is>
      </c>
      <c r="D274" t="n">
        <v>9994</v>
      </c>
      <c r="E274" t="n">
        <v>1557</v>
      </c>
      <c r="F274" t="n">
        <v>2398</v>
      </c>
    </row>
    <row r="275">
      <c r="A275" t="inlineStr">
        <is>
          <t>31|站桩怪</t>
        </is>
      </c>
      <c r="B275" t="n">
        <v>31</v>
      </c>
      <c r="C275" t="inlineStr">
        <is>
          <t>站桩怪</t>
        </is>
      </c>
      <c r="D275" t="n">
        <v>2776</v>
      </c>
      <c r="E275" t="n">
        <v>1557</v>
      </c>
      <c r="F275" t="n">
        <v>2398</v>
      </c>
    </row>
    <row r="276">
      <c r="A276" t="inlineStr">
        <is>
          <t>31|炮灰怪</t>
        </is>
      </c>
      <c r="B276" t="n">
        <v>31</v>
      </c>
      <c r="C276" t="inlineStr">
        <is>
          <t>炮灰怪</t>
        </is>
      </c>
      <c r="D276" t="n">
        <v>833</v>
      </c>
      <c r="E276" t="n">
        <v>1557</v>
      </c>
      <c r="F276" t="n">
        <v>2398</v>
      </c>
    </row>
    <row r="277">
      <c r="A277" t="inlineStr">
        <is>
          <t>31|精英怪</t>
        </is>
      </c>
      <c r="B277" t="n">
        <v>31</v>
      </c>
      <c r="C277" t="inlineStr">
        <is>
          <t>精英怪</t>
        </is>
      </c>
      <c r="D277" t="n">
        <v>22208</v>
      </c>
      <c r="E277" t="n">
        <v>1557</v>
      </c>
      <c r="F277" t="n">
        <v>2398</v>
      </c>
    </row>
    <row r="278">
      <c r="A278" t="inlineStr">
        <is>
          <t>31|精英盾怪</t>
        </is>
      </c>
      <c r="B278" t="n">
        <v>31</v>
      </c>
      <c r="C278" t="inlineStr">
        <is>
          <t>精英盾怪</t>
        </is>
      </c>
      <c r="D278" t="n">
        <v>49968</v>
      </c>
      <c r="E278" t="n">
        <v>1557</v>
      </c>
      <c r="F278" t="n">
        <v>2398</v>
      </c>
    </row>
    <row r="279">
      <c r="A279" t="inlineStr">
        <is>
          <t>31|Boss</t>
        </is>
      </c>
      <c r="B279" t="n">
        <v>31</v>
      </c>
      <c r="C279" t="inlineStr">
        <is>
          <t>Boss</t>
        </is>
      </c>
      <c r="D279" t="n">
        <v>414648</v>
      </c>
      <c r="E279" t="n">
        <v>1906</v>
      </c>
      <c r="F279" t="n">
        <v>2398</v>
      </c>
    </row>
    <row r="280">
      <c r="A280" t="inlineStr">
        <is>
          <t>31|装备副本Boss</t>
        </is>
      </c>
      <c r="B280" t="n">
        <v>31</v>
      </c>
      <c r="C280" t="inlineStr">
        <is>
          <t>装备副本Boss</t>
        </is>
      </c>
      <c r="D280" t="n">
        <v>207324</v>
      </c>
      <c r="E280" t="n">
        <v>1906</v>
      </c>
      <c r="F280" t="n">
        <v>2398</v>
      </c>
    </row>
    <row r="281">
      <c r="A281" t="inlineStr">
        <is>
          <t>32|普通怪</t>
        </is>
      </c>
      <c r="B281" t="n">
        <v>32</v>
      </c>
      <c r="C281" t="inlineStr">
        <is>
          <t>普通怪</t>
        </is>
      </c>
      <c r="D281" t="n">
        <v>5812</v>
      </c>
      <c r="E281" t="n">
        <v>1613</v>
      </c>
      <c r="F281" t="n">
        <v>2479</v>
      </c>
    </row>
    <row r="282">
      <c r="A282" t="inlineStr">
        <is>
          <t>32|盾怪</t>
        </is>
      </c>
      <c r="B282" t="n">
        <v>32</v>
      </c>
      <c r="C282" t="inlineStr">
        <is>
          <t>盾怪</t>
        </is>
      </c>
      <c r="D282" t="n">
        <v>17436</v>
      </c>
      <c r="E282" t="n">
        <v>1613</v>
      </c>
      <c r="F282" t="n">
        <v>2479</v>
      </c>
    </row>
    <row r="283">
      <c r="A283" t="inlineStr">
        <is>
          <t>32|二级普通怪</t>
        </is>
      </c>
      <c r="B283" t="n">
        <v>32</v>
      </c>
      <c r="C283" t="inlineStr">
        <is>
          <t>二级普通怪</t>
        </is>
      </c>
      <c r="D283" t="n">
        <v>10462</v>
      </c>
      <c r="E283" t="n">
        <v>1613</v>
      </c>
      <c r="F283" t="n">
        <v>2479</v>
      </c>
    </row>
    <row r="284">
      <c r="A284" t="inlineStr">
        <is>
          <t>32|站桩怪</t>
        </is>
      </c>
      <c r="B284" t="n">
        <v>32</v>
      </c>
      <c r="C284" t="inlineStr">
        <is>
          <t>站桩怪</t>
        </is>
      </c>
      <c r="D284" t="n">
        <v>2906</v>
      </c>
      <c r="E284" t="n">
        <v>1613</v>
      </c>
      <c r="F284" t="n">
        <v>2479</v>
      </c>
    </row>
    <row r="285">
      <c r="A285" t="inlineStr">
        <is>
          <t>32|炮灰怪</t>
        </is>
      </c>
      <c r="B285" t="n">
        <v>32</v>
      </c>
      <c r="C285" t="inlineStr">
        <is>
          <t>炮灰怪</t>
        </is>
      </c>
      <c r="D285" t="n">
        <v>872</v>
      </c>
      <c r="E285" t="n">
        <v>1613</v>
      </c>
      <c r="F285" t="n">
        <v>2479</v>
      </c>
    </row>
    <row r="286">
      <c r="A286" t="inlineStr">
        <is>
          <t>32|精英怪</t>
        </is>
      </c>
      <c r="B286" t="n">
        <v>32</v>
      </c>
      <c r="C286" t="inlineStr">
        <is>
          <t>精英怪</t>
        </is>
      </c>
      <c r="D286" t="n">
        <v>23248</v>
      </c>
      <c r="E286" t="n">
        <v>1613</v>
      </c>
      <c r="F286" t="n">
        <v>2479</v>
      </c>
    </row>
    <row r="287">
      <c r="A287" t="inlineStr">
        <is>
          <t>32|精英盾怪</t>
        </is>
      </c>
      <c r="B287" t="n">
        <v>32</v>
      </c>
      <c r="C287" t="inlineStr">
        <is>
          <t>精英盾怪</t>
        </is>
      </c>
      <c r="D287" t="n">
        <v>52308</v>
      </c>
      <c r="E287" t="n">
        <v>1613</v>
      </c>
      <c r="F287" t="n">
        <v>2479</v>
      </c>
    </row>
    <row r="288">
      <c r="A288" t="inlineStr">
        <is>
          <t>32|Boss</t>
        </is>
      </c>
      <c r="B288" t="n">
        <v>32</v>
      </c>
      <c r="C288" t="inlineStr">
        <is>
          <t>Boss</t>
        </is>
      </c>
      <c r="D288" t="n">
        <v>431669</v>
      </c>
      <c r="E288" t="n">
        <v>1974</v>
      </c>
      <c r="F288" t="n">
        <v>2479</v>
      </c>
    </row>
    <row r="289">
      <c r="A289" t="inlineStr">
        <is>
          <t>32|装备副本Boss</t>
        </is>
      </c>
      <c r="B289" t="n">
        <v>32</v>
      </c>
      <c r="C289" t="inlineStr">
        <is>
          <t>装备副本Boss</t>
        </is>
      </c>
      <c r="D289" t="n">
        <v>215835</v>
      </c>
      <c r="E289" t="n">
        <v>1974</v>
      </c>
      <c r="F289" t="n">
        <v>2479</v>
      </c>
    </row>
    <row r="290">
      <c r="A290" t="inlineStr">
        <is>
          <t>33|普通怪</t>
        </is>
      </c>
      <c r="B290" t="n">
        <v>33</v>
      </c>
      <c r="C290" t="inlineStr">
        <is>
          <t>普通怪</t>
        </is>
      </c>
      <c r="D290" t="n">
        <v>6078</v>
      </c>
      <c r="E290" t="n">
        <v>1671</v>
      </c>
      <c r="F290" t="n">
        <v>2560</v>
      </c>
    </row>
    <row r="291">
      <c r="A291" t="inlineStr">
        <is>
          <t>33|盾怪</t>
        </is>
      </c>
      <c r="B291" t="n">
        <v>33</v>
      </c>
      <c r="C291" t="inlineStr">
        <is>
          <t>盾怪</t>
        </is>
      </c>
      <c r="D291" t="n">
        <v>18234</v>
      </c>
      <c r="E291" t="n">
        <v>1671</v>
      </c>
      <c r="F291" t="n">
        <v>2560</v>
      </c>
    </row>
    <row r="292">
      <c r="A292" t="inlineStr">
        <is>
          <t>33|二级普通怪</t>
        </is>
      </c>
      <c r="B292" t="n">
        <v>33</v>
      </c>
      <c r="C292" t="inlineStr">
        <is>
          <t>二级普通怪</t>
        </is>
      </c>
      <c r="D292" t="n">
        <v>10941</v>
      </c>
      <c r="E292" t="n">
        <v>1671</v>
      </c>
      <c r="F292" t="n">
        <v>2560</v>
      </c>
    </row>
    <row r="293">
      <c r="A293" t="inlineStr">
        <is>
          <t>33|站桩怪</t>
        </is>
      </c>
      <c r="B293" t="n">
        <v>33</v>
      </c>
      <c r="C293" t="inlineStr">
        <is>
          <t>站桩怪</t>
        </is>
      </c>
      <c r="D293" t="n">
        <v>3039</v>
      </c>
      <c r="E293" t="n">
        <v>1671</v>
      </c>
      <c r="F293" t="n">
        <v>2560</v>
      </c>
    </row>
    <row r="294">
      <c r="A294" t="inlineStr">
        <is>
          <t>33|炮灰怪</t>
        </is>
      </c>
      <c r="B294" t="n">
        <v>33</v>
      </c>
      <c r="C294" t="inlineStr">
        <is>
          <t>炮灰怪</t>
        </is>
      </c>
      <c r="D294" t="n">
        <v>912</v>
      </c>
      <c r="E294" t="n">
        <v>1671</v>
      </c>
      <c r="F294" t="n">
        <v>2560</v>
      </c>
    </row>
    <row r="295">
      <c r="A295" t="inlineStr">
        <is>
          <t>33|精英怪</t>
        </is>
      </c>
      <c r="B295" t="n">
        <v>33</v>
      </c>
      <c r="C295" t="inlineStr">
        <is>
          <t>精英怪</t>
        </is>
      </c>
      <c r="D295" t="n">
        <v>24312</v>
      </c>
      <c r="E295" t="n">
        <v>1671</v>
      </c>
      <c r="F295" t="n">
        <v>2560</v>
      </c>
    </row>
    <row r="296">
      <c r="A296" t="inlineStr">
        <is>
          <t>33|精英盾怪</t>
        </is>
      </c>
      <c r="B296" t="n">
        <v>33</v>
      </c>
      <c r="C296" t="inlineStr">
        <is>
          <t>精英盾怪</t>
        </is>
      </c>
      <c r="D296" t="n">
        <v>54702</v>
      </c>
      <c r="E296" t="n">
        <v>1671</v>
      </c>
      <c r="F296" t="n">
        <v>2560</v>
      </c>
    </row>
    <row r="297">
      <c r="A297" t="inlineStr">
        <is>
          <t>33|Boss</t>
        </is>
      </c>
      <c r="B297" t="n">
        <v>33</v>
      </c>
      <c r="C297" t="inlineStr">
        <is>
          <t>Boss</t>
        </is>
      </c>
      <c r="D297" t="n">
        <v>449016</v>
      </c>
      <c r="E297" t="n">
        <v>2043</v>
      </c>
      <c r="F297" t="n">
        <v>2560</v>
      </c>
    </row>
    <row r="298">
      <c r="A298" t="inlineStr">
        <is>
          <t>33|装备副本Boss</t>
        </is>
      </c>
      <c r="B298" t="n">
        <v>33</v>
      </c>
      <c r="C298" t="inlineStr">
        <is>
          <t>装备副本Boss</t>
        </is>
      </c>
      <c r="D298" t="n">
        <v>224508</v>
      </c>
      <c r="E298" t="n">
        <v>2043</v>
      </c>
      <c r="F298" t="n">
        <v>2560</v>
      </c>
    </row>
    <row r="299">
      <c r="A299" t="inlineStr">
        <is>
          <t>34|普通怪</t>
        </is>
      </c>
      <c r="B299" t="n">
        <v>34</v>
      </c>
      <c r="C299" t="inlineStr">
        <is>
          <t>普通怪</t>
        </is>
      </c>
      <c r="D299" t="n">
        <v>6348</v>
      </c>
      <c r="E299" t="n">
        <v>1728</v>
      </c>
      <c r="F299" t="n">
        <v>2641</v>
      </c>
    </row>
    <row r="300">
      <c r="A300" t="inlineStr">
        <is>
          <t>34|盾怪</t>
        </is>
      </c>
      <c r="B300" t="n">
        <v>34</v>
      </c>
      <c r="C300" t="inlineStr">
        <is>
          <t>盾怪</t>
        </is>
      </c>
      <c r="D300" t="n">
        <v>19044</v>
      </c>
      <c r="E300" t="n">
        <v>1728</v>
      </c>
      <c r="F300" t="n">
        <v>2641</v>
      </c>
    </row>
    <row r="301">
      <c r="A301" t="inlineStr">
        <is>
          <t>34|二级普通怪</t>
        </is>
      </c>
      <c r="B301" t="n">
        <v>34</v>
      </c>
      <c r="C301" t="inlineStr">
        <is>
          <t>二级普通怪</t>
        </is>
      </c>
      <c r="D301" t="n">
        <v>11427</v>
      </c>
      <c r="E301" t="n">
        <v>1728</v>
      </c>
      <c r="F301" t="n">
        <v>2641</v>
      </c>
    </row>
    <row r="302">
      <c r="A302" t="inlineStr">
        <is>
          <t>34|站桩怪</t>
        </is>
      </c>
      <c r="B302" t="n">
        <v>34</v>
      </c>
      <c r="C302" t="inlineStr">
        <is>
          <t>站桩怪</t>
        </is>
      </c>
      <c r="D302" t="n">
        <v>3174</v>
      </c>
      <c r="E302" t="n">
        <v>1728</v>
      </c>
      <c r="F302" t="n">
        <v>2641</v>
      </c>
    </row>
    <row r="303">
      <c r="A303" t="inlineStr">
        <is>
          <t>34|炮灰怪</t>
        </is>
      </c>
      <c r="B303" t="n">
        <v>34</v>
      </c>
      <c r="C303" t="inlineStr">
        <is>
          <t>炮灰怪</t>
        </is>
      </c>
      <c r="D303" t="n">
        <v>953</v>
      </c>
      <c r="E303" t="n">
        <v>1728</v>
      </c>
      <c r="F303" t="n">
        <v>2641</v>
      </c>
    </row>
    <row r="304">
      <c r="A304" t="inlineStr">
        <is>
          <t>34|精英怪</t>
        </is>
      </c>
      <c r="B304" t="n">
        <v>34</v>
      </c>
      <c r="C304" t="inlineStr">
        <is>
          <t>精英怪</t>
        </is>
      </c>
      <c r="D304" t="n">
        <v>25392</v>
      </c>
      <c r="E304" t="n">
        <v>1728</v>
      </c>
      <c r="F304" t="n">
        <v>2641</v>
      </c>
    </row>
    <row r="305">
      <c r="A305" t="inlineStr">
        <is>
          <t>34|精英盾怪</t>
        </is>
      </c>
      <c r="B305" t="n">
        <v>34</v>
      </c>
      <c r="C305" t="inlineStr">
        <is>
          <t>精英盾怪</t>
        </is>
      </c>
      <c r="D305" t="n">
        <v>57132</v>
      </c>
      <c r="E305" t="n">
        <v>1728</v>
      </c>
      <c r="F305" t="n">
        <v>2641</v>
      </c>
    </row>
    <row r="306">
      <c r="A306" t="inlineStr">
        <is>
          <t>34|Boss</t>
        </is>
      </c>
      <c r="B306" t="n">
        <v>34</v>
      </c>
      <c r="C306" t="inlineStr">
        <is>
          <t>Boss</t>
        </is>
      </c>
      <c r="D306" t="n">
        <v>466758</v>
      </c>
      <c r="E306" t="n">
        <v>2112</v>
      </c>
      <c r="F306" t="n">
        <v>2641</v>
      </c>
    </row>
    <row r="307">
      <c r="A307" t="inlineStr">
        <is>
          <t>34|装备副本Boss</t>
        </is>
      </c>
      <c r="B307" t="n">
        <v>34</v>
      </c>
      <c r="C307" t="inlineStr">
        <is>
          <t>装备副本Boss</t>
        </is>
      </c>
      <c r="D307" t="n">
        <v>233379</v>
      </c>
      <c r="E307" t="n">
        <v>2112</v>
      </c>
      <c r="F307" t="n">
        <v>2641</v>
      </c>
    </row>
    <row r="308">
      <c r="A308" t="inlineStr">
        <is>
          <t>35|普通怪</t>
        </is>
      </c>
      <c r="B308" t="n">
        <v>35</v>
      </c>
      <c r="C308" t="inlineStr">
        <is>
          <t>普通怪</t>
        </is>
      </c>
      <c r="D308" t="n">
        <v>6624</v>
      </c>
      <c r="E308" t="n">
        <v>1787</v>
      </c>
      <c r="F308" t="n">
        <v>2723</v>
      </c>
    </row>
    <row r="309">
      <c r="A309" t="inlineStr">
        <is>
          <t>35|盾怪</t>
        </is>
      </c>
      <c r="B309" t="n">
        <v>35</v>
      </c>
      <c r="C309" t="inlineStr">
        <is>
          <t>盾怪</t>
        </is>
      </c>
      <c r="D309" t="n">
        <v>19872</v>
      </c>
      <c r="E309" t="n">
        <v>1787</v>
      </c>
      <c r="F309" t="n">
        <v>2723</v>
      </c>
    </row>
    <row r="310">
      <c r="A310" t="inlineStr">
        <is>
          <t>35|二级普通怪</t>
        </is>
      </c>
      <c r="B310" t="n">
        <v>35</v>
      </c>
      <c r="C310" t="inlineStr">
        <is>
          <t>二级普通怪</t>
        </is>
      </c>
      <c r="D310" t="n">
        <v>11924</v>
      </c>
      <c r="E310" t="n">
        <v>1787</v>
      </c>
      <c r="F310" t="n">
        <v>2723</v>
      </c>
    </row>
    <row r="311">
      <c r="A311" t="inlineStr">
        <is>
          <t>35|站桩怪</t>
        </is>
      </c>
      <c r="B311" t="n">
        <v>35</v>
      </c>
      <c r="C311" t="inlineStr">
        <is>
          <t>站桩怪</t>
        </is>
      </c>
      <c r="D311" t="n">
        <v>3312</v>
      </c>
      <c r="E311" t="n">
        <v>1787</v>
      </c>
      <c r="F311" t="n">
        <v>2723</v>
      </c>
    </row>
    <row r="312">
      <c r="A312" t="inlineStr">
        <is>
          <t>35|炮灰怪</t>
        </is>
      </c>
      <c r="B312" t="n">
        <v>35</v>
      </c>
      <c r="C312" t="inlineStr">
        <is>
          <t>炮灰怪</t>
        </is>
      </c>
      <c r="D312" t="n">
        <v>994</v>
      </c>
      <c r="E312" t="n">
        <v>1787</v>
      </c>
      <c r="F312" t="n">
        <v>2723</v>
      </c>
    </row>
    <row r="313">
      <c r="A313" t="inlineStr">
        <is>
          <t>35|精英怪</t>
        </is>
      </c>
      <c r="B313" t="n">
        <v>35</v>
      </c>
      <c r="C313" t="inlineStr">
        <is>
          <t>精英怪</t>
        </is>
      </c>
      <c r="D313" t="n">
        <v>26496</v>
      </c>
      <c r="E313" t="n">
        <v>1787</v>
      </c>
      <c r="F313" t="n">
        <v>2723</v>
      </c>
    </row>
    <row r="314">
      <c r="A314" t="inlineStr">
        <is>
          <t>35|精英盾怪</t>
        </is>
      </c>
      <c r="B314" t="n">
        <v>35</v>
      </c>
      <c r="C314" t="inlineStr">
        <is>
          <t>精英盾怪</t>
        </is>
      </c>
      <c r="D314" t="n">
        <v>59616</v>
      </c>
      <c r="E314" t="n">
        <v>1787</v>
      </c>
      <c r="F314" t="n">
        <v>2723</v>
      </c>
    </row>
    <row r="315">
      <c r="A315" t="inlineStr">
        <is>
          <t>35|Boss</t>
        </is>
      </c>
      <c r="B315" t="n">
        <v>35</v>
      </c>
      <c r="C315" t="inlineStr">
        <is>
          <t>Boss</t>
        </is>
      </c>
      <c r="D315" t="n">
        <v>484837</v>
      </c>
      <c r="E315" t="n">
        <v>2182</v>
      </c>
      <c r="F315" t="n">
        <v>2723</v>
      </c>
    </row>
    <row r="316">
      <c r="A316" t="inlineStr">
        <is>
          <t>35|装备副本Boss</t>
        </is>
      </c>
      <c r="B316" t="n">
        <v>35</v>
      </c>
      <c r="C316" t="inlineStr">
        <is>
          <t>装备副本Boss</t>
        </is>
      </c>
      <c r="D316" t="n">
        <v>242419</v>
      </c>
      <c r="E316" t="n">
        <v>2182</v>
      </c>
      <c r="F316" t="n">
        <v>2723</v>
      </c>
    </row>
    <row r="317">
      <c r="A317" t="inlineStr">
        <is>
          <t>36|普通怪</t>
        </is>
      </c>
      <c r="B317" t="n">
        <v>36</v>
      </c>
      <c r="C317" t="inlineStr">
        <is>
          <t>普通怪</t>
        </is>
      </c>
      <c r="D317" t="n">
        <v>6904</v>
      </c>
      <c r="E317" t="n">
        <v>1845</v>
      </c>
      <c r="F317" t="n">
        <v>2805</v>
      </c>
    </row>
    <row r="318">
      <c r="A318" t="inlineStr">
        <is>
          <t>36|盾怪</t>
        </is>
      </c>
      <c r="B318" t="n">
        <v>36</v>
      </c>
      <c r="C318" t="inlineStr">
        <is>
          <t>盾怪</t>
        </is>
      </c>
      <c r="D318" t="n">
        <v>20712</v>
      </c>
      <c r="E318" t="n">
        <v>1845</v>
      </c>
      <c r="F318" t="n">
        <v>2805</v>
      </c>
    </row>
    <row r="319">
      <c r="A319" t="inlineStr">
        <is>
          <t>36|二级普通怪</t>
        </is>
      </c>
      <c r="B319" t="n">
        <v>36</v>
      </c>
      <c r="C319" t="inlineStr">
        <is>
          <t>二级普通怪</t>
        </is>
      </c>
      <c r="D319" t="n">
        <v>12428</v>
      </c>
      <c r="E319" t="n">
        <v>1845</v>
      </c>
      <c r="F319" t="n">
        <v>2805</v>
      </c>
    </row>
    <row r="320">
      <c r="A320" t="inlineStr">
        <is>
          <t>36|站桩怪</t>
        </is>
      </c>
      <c r="B320" t="n">
        <v>36</v>
      </c>
      <c r="C320" t="inlineStr">
        <is>
          <t>站桩怪</t>
        </is>
      </c>
      <c r="D320" t="n">
        <v>3452</v>
      </c>
      <c r="E320" t="n">
        <v>1845</v>
      </c>
      <c r="F320" t="n">
        <v>2805</v>
      </c>
    </row>
    <row r="321">
      <c r="A321" t="inlineStr">
        <is>
          <t>36|炮灰怪</t>
        </is>
      </c>
      <c r="B321" t="n">
        <v>36</v>
      </c>
      <c r="C321" t="inlineStr">
        <is>
          <t>炮灰怪</t>
        </is>
      </c>
      <c r="D321" t="n">
        <v>1036</v>
      </c>
      <c r="E321" t="n">
        <v>1845</v>
      </c>
      <c r="F321" t="n">
        <v>2805</v>
      </c>
    </row>
    <row r="322">
      <c r="A322" t="inlineStr">
        <is>
          <t>36|精英怪</t>
        </is>
      </c>
      <c r="B322" t="n">
        <v>36</v>
      </c>
      <c r="C322" t="inlineStr">
        <is>
          <t>精英怪</t>
        </is>
      </c>
      <c r="D322" t="n">
        <v>27616</v>
      </c>
      <c r="E322" t="n">
        <v>1845</v>
      </c>
      <c r="F322" t="n">
        <v>2805</v>
      </c>
    </row>
    <row r="323">
      <c r="A323" t="inlineStr">
        <is>
          <t>36|精英盾怪</t>
        </is>
      </c>
      <c r="B323" t="n">
        <v>36</v>
      </c>
      <c r="C323" t="inlineStr">
        <is>
          <t>精英盾怪</t>
        </is>
      </c>
      <c r="D323" t="n">
        <v>62136</v>
      </c>
      <c r="E323" t="n">
        <v>1845</v>
      </c>
      <c r="F323" t="n">
        <v>2805</v>
      </c>
    </row>
    <row r="324">
      <c r="A324" t="inlineStr">
        <is>
          <t>36|Boss</t>
        </is>
      </c>
      <c r="B324" t="n">
        <v>36</v>
      </c>
      <c r="C324" t="inlineStr">
        <is>
          <t>Boss</t>
        </is>
      </c>
      <c r="D324" t="n">
        <v>503258</v>
      </c>
      <c r="E324" t="n">
        <v>2252</v>
      </c>
      <c r="F324" t="n">
        <v>2805</v>
      </c>
    </row>
    <row r="325">
      <c r="A325" t="inlineStr">
        <is>
          <t>36|装备副本Boss</t>
        </is>
      </c>
      <c r="B325" t="n">
        <v>36</v>
      </c>
      <c r="C325" t="inlineStr">
        <is>
          <t>装备副本Boss</t>
        </is>
      </c>
      <c r="D325" t="n">
        <v>251629</v>
      </c>
      <c r="E325" t="n">
        <v>2252</v>
      </c>
      <c r="F325" t="n">
        <v>2805</v>
      </c>
    </row>
    <row r="326">
      <c r="A326" t="inlineStr">
        <is>
          <t>37|普通怪</t>
        </is>
      </c>
      <c r="B326" t="n">
        <v>37</v>
      </c>
      <c r="C326" t="inlineStr">
        <is>
          <t>普通怪</t>
        </is>
      </c>
      <c r="D326" t="n">
        <v>7190</v>
      </c>
      <c r="E326" t="n">
        <v>1904</v>
      </c>
      <c r="F326" t="n">
        <v>2887</v>
      </c>
    </row>
    <row r="327">
      <c r="A327" t="inlineStr">
        <is>
          <t>37|盾怪</t>
        </is>
      </c>
      <c r="B327" t="n">
        <v>37</v>
      </c>
      <c r="C327" t="inlineStr">
        <is>
          <t>盾怪</t>
        </is>
      </c>
      <c r="D327" t="n">
        <v>21570</v>
      </c>
      <c r="E327" t="n">
        <v>1904</v>
      </c>
      <c r="F327" t="n">
        <v>2887</v>
      </c>
    </row>
    <row r="328">
      <c r="A328" t="inlineStr">
        <is>
          <t>37|二级普通怪</t>
        </is>
      </c>
      <c r="B328" t="n">
        <v>37</v>
      </c>
      <c r="C328" t="inlineStr">
        <is>
          <t>二级普通怪</t>
        </is>
      </c>
      <c r="D328" t="n">
        <v>12942</v>
      </c>
      <c r="E328" t="n">
        <v>1904</v>
      </c>
      <c r="F328" t="n">
        <v>2887</v>
      </c>
    </row>
    <row r="329">
      <c r="A329" t="inlineStr">
        <is>
          <t>37|站桩怪</t>
        </is>
      </c>
      <c r="B329" t="n">
        <v>37</v>
      </c>
      <c r="C329" t="inlineStr">
        <is>
          <t>站桩怪</t>
        </is>
      </c>
      <c r="D329" t="n">
        <v>3595</v>
      </c>
      <c r="E329" t="n">
        <v>1904</v>
      </c>
      <c r="F329" t="n">
        <v>2887</v>
      </c>
    </row>
    <row r="330">
      <c r="A330" t="inlineStr">
        <is>
          <t>37|炮灰怪</t>
        </is>
      </c>
      <c r="B330" t="n">
        <v>37</v>
      </c>
      <c r="C330" t="inlineStr">
        <is>
          <t>炮灰怪</t>
        </is>
      </c>
      <c r="D330" t="n">
        <v>1079</v>
      </c>
      <c r="E330" t="n">
        <v>1904</v>
      </c>
      <c r="F330" t="n">
        <v>2887</v>
      </c>
    </row>
    <row r="331">
      <c r="A331" t="inlineStr">
        <is>
          <t>37|精英怪</t>
        </is>
      </c>
      <c r="B331" t="n">
        <v>37</v>
      </c>
      <c r="C331" t="inlineStr">
        <is>
          <t>精英怪</t>
        </is>
      </c>
      <c r="D331" t="n">
        <v>28760</v>
      </c>
      <c r="E331" t="n">
        <v>1904</v>
      </c>
      <c r="F331" t="n">
        <v>2887</v>
      </c>
    </row>
    <row r="332">
      <c r="A332" t="inlineStr">
        <is>
          <t>37|精英盾怪</t>
        </is>
      </c>
      <c r="B332" t="n">
        <v>37</v>
      </c>
      <c r="C332" t="inlineStr">
        <is>
          <t>精英盾怪</t>
        </is>
      </c>
      <c r="D332" t="n">
        <v>64710</v>
      </c>
      <c r="E332" t="n">
        <v>1904</v>
      </c>
      <c r="F332" t="n">
        <v>2887</v>
      </c>
    </row>
    <row r="333">
      <c r="A333" t="inlineStr">
        <is>
          <t>37|Boss</t>
        </is>
      </c>
      <c r="B333" t="n">
        <v>37</v>
      </c>
      <c r="C333" t="inlineStr">
        <is>
          <t>Boss</t>
        </is>
      </c>
      <c r="D333" t="n">
        <v>522154</v>
      </c>
      <c r="E333" t="n">
        <v>2322</v>
      </c>
      <c r="F333" t="n">
        <v>2887</v>
      </c>
    </row>
    <row r="334">
      <c r="A334" t="inlineStr">
        <is>
          <t>37|装备副本Boss</t>
        </is>
      </c>
      <c r="B334" t="n">
        <v>37</v>
      </c>
      <c r="C334" t="inlineStr">
        <is>
          <t>装备副本Boss</t>
        </is>
      </c>
      <c r="D334" t="n">
        <v>261077</v>
      </c>
      <c r="E334" t="n">
        <v>2322</v>
      </c>
      <c r="F334" t="n">
        <v>2887</v>
      </c>
    </row>
    <row r="335">
      <c r="A335" t="inlineStr">
        <is>
          <t>38|普通怪</t>
        </is>
      </c>
      <c r="B335" t="n">
        <v>38</v>
      </c>
      <c r="C335" t="inlineStr">
        <is>
          <t>普通怪</t>
        </is>
      </c>
      <c r="D335" t="n">
        <v>7481</v>
      </c>
      <c r="E335" t="n">
        <v>1963</v>
      </c>
      <c r="F335" t="n">
        <v>2969</v>
      </c>
    </row>
    <row r="336">
      <c r="A336" t="inlineStr">
        <is>
          <t>38|盾怪</t>
        </is>
      </c>
      <c r="B336" t="n">
        <v>38</v>
      </c>
      <c r="C336" t="inlineStr">
        <is>
          <t>盾怪</t>
        </is>
      </c>
      <c r="D336" t="n">
        <v>22443</v>
      </c>
      <c r="E336" t="n">
        <v>1963</v>
      </c>
      <c r="F336" t="n">
        <v>2969</v>
      </c>
    </row>
    <row r="337">
      <c r="A337" t="inlineStr">
        <is>
          <t>38|二级普通怪</t>
        </is>
      </c>
      <c r="B337" t="n">
        <v>38</v>
      </c>
      <c r="C337" t="inlineStr">
        <is>
          <t>二级普通怪</t>
        </is>
      </c>
      <c r="D337" t="n">
        <v>13466</v>
      </c>
      <c r="E337" t="n">
        <v>1963</v>
      </c>
      <c r="F337" t="n">
        <v>2969</v>
      </c>
    </row>
    <row r="338">
      <c r="A338" t="inlineStr">
        <is>
          <t>38|站桩怪</t>
        </is>
      </c>
      <c r="B338" t="n">
        <v>38</v>
      </c>
      <c r="C338" t="inlineStr">
        <is>
          <t>站桩怪</t>
        </is>
      </c>
      <c r="D338" t="n">
        <v>3741</v>
      </c>
      <c r="E338" t="n">
        <v>1963</v>
      </c>
      <c r="F338" t="n">
        <v>2969</v>
      </c>
    </row>
    <row r="339">
      <c r="A339" t="inlineStr">
        <is>
          <t>38|炮灰怪</t>
        </is>
      </c>
      <c r="B339" t="n">
        <v>38</v>
      </c>
      <c r="C339" t="inlineStr">
        <is>
          <t>炮灰怪</t>
        </is>
      </c>
      <c r="D339" t="n">
        <v>1123</v>
      </c>
      <c r="E339" t="n">
        <v>1963</v>
      </c>
      <c r="F339" t="n">
        <v>2969</v>
      </c>
    </row>
    <row r="340">
      <c r="A340" t="inlineStr">
        <is>
          <t>38|精英怪</t>
        </is>
      </c>
      <c r="B340" t="n">
        <v>38</v>
      </c>
      <c r="C340" t="inlineStr">
        <is>
          <t>精英怪</t>
        </is>
      </c>
      <c r="D340" t="n">
        <v>29924</v>
      </c>
      <c r="E340" t="n">
        <v>1963</v>
      </c>
      <c r="F340" t="n">
        <v>2969</v>
      </c>
    </row>
    <row r="341">
      <c r="A341" t="inlineStr">
        <is>
          <t>38|精英盾怪</t>
        </is>
      </c>
      <c r="B341" t="n">
        <v>38</v>
      </c>
      <c r="C341" t="inlineStr">
        <is>
          <t>精英盾怪</t>
        </is>
      </c>
      <c r="D341" t="n">
        <v>67329</v>
      </c>
      <c r="E341" t="n">
        <v>1963</v>
      </c>
      <c r="F341" t="n">
        <v>2969</v>
      </c>
    </row>
    <row r="342">
      <c r="A342" t="inlineStr">
        <is>
          <t>38|Boss</t>
        </is>
      </c>
      <c r="B342" t="n">
        <v>38</v>
      </c>
      <c r="C342" t="inlineStr">
        <is>
          <t>Boss</t>
        </is>
      </c>
      <c r="D342" t="n">
        <v>541403</v>
      </c>
      <c r="E342" t="n">
        <v>2393</v>
      </c>
      <c r="F342" t="n">
        <v>2969</v>
      </c>
    </row>
    <row r="343">
      <c r="A343" t="inlineStr">
        <is>
          <t>38|装备副本Boss</t>
        </is>
      </c>
      <c r="B343" t="n">
        <v>38</v>
      </c>
      <c r="C343" t="inlineStr">
        <is>
          <t>装备副本Boss</t>
        </is>
      </c>
      <c r="D343" t="n">
        <v>270702</v>
      </c>
      <c r="E343" t="n">
        <v>2393</v>
      </c>
      <c r="F343" t="n">
        <v>2969</v>
      </c>
    </row>
    <row r="344">
      <c r="A344" t="inlineStr">
        <is>
          <t>39|普通怪</t>
        </is>
      </c>
      <c r="B344" t="n">
        <v>39</v>
      </c>
      <c r="C344" t="inlineStr">
        <is>
          <t>普通怪</t>
        </is>
      </c>
      <c r="D344" t="n">
        <v>7777</v>
      </c>
      <c r="E344" t="n">
        <v>2023</v>
      </c>
      <c r="F344" t="n">
        <v>3052</v>
      </c>
    </row>
    <row r="345">
      <c r="A345" t="inlineStr">
        <is>
          <t>39|盾怪</t>
        </is>
      </c>
      <c r="B345" t="n">
        <v>39</v>
      </c>
      <c r="C345" t="inlineStr">
        <is>
          <t>盾怪</t>
        </is>
      </c>
      <c r="D345" t="n">
        <v>23331</v>
      </c>
      <c r="E345" t="n">
        <v>2023</v>
      </c>
      <c r="F345" t="n">
        <v>3052</v>
      </c>
    </row>
    <row r="346">
      <c r="A346" t="inlineStr">
        <is>
          <t>39|二级普通怪</t>
        </is>
      </c>
      <c r="B346" t="n">
        <v>39</v>
      </c>
      <c r="C346" t="inlineStr">
        <is>
          <t>二级普通怪</t>
        </is>
      </c>
      <c r="D346" t="n">
        <v>13999</v>
      </c>
      <c r="E346" t="n">
        <v>2023</v>
      </c>
      <c r="F346" t="n">
        <v>3052</v>
      </c>
    </row>
    <row r="347">
      <c r="A347" t="inlineStr">
        <is>
          <t>39|站桩怪</t>
        </is>
      </c>
      <c r="B347" t="n">
        <v>39</v>
      </c>
      <c r="C347" t="inlineStr">
        <is>
          <t>站桩怪</t>
        </is>
      </c>
      <c r="D347" t="n">
        <v>3889</v>
      </c>
      <c r="E347" t="n">
        <v>2023</v>
      </c>
      <c r="F347" t="n">
        <v>3052</v>
      </c>
    </row>
    <row r="348">
      <c r="A348" t="inlineStr">
        <is>
          <t>39|炮灰怪</t>
        </is>
      </c>
      <c r="B348" t="n">
        <v>39</v>
      </c>
      <c r="C348" t="inlineStr">
        <is>
          <t>炮灰怪</t>
        </is>
      </c>
      <c r="D348" t="n">
        <v>1167</v>
      </c>
      <c r="E348" t="n">
        <v>2023</v>
      </c>
      <c r="F348" t="n">
        <v>3052</v>
      </c>
    </row>
    <row r="349">
      <c r="A349" t="inlineStr">
        <is>
          <t>39|精英怪</t>
        </is>
      </c>
      <c r="B349" t="n">
        <v>39</v>
      </c>
      <c r="C349" t="inlineStr">
        <is>
          <t>精英怪</t>
        </is>
      </c>
      <c r="D349" t="n">
        <v>31108</v>
      </c>
      <c r="E349" t="n">
        <v>2023</v>
      </c>
      <c r="F349" t="n">
        <v>3052</v>
      </c>
    </row>
    <row r="350">
      <c r="A350" t="inlineStr">
        <is>
          <t>39|精英盾怪</t>
        </is>
      </c>
      <c r="B350" t="n">
        <v>39</v>
      </c>
      <c r="C350" t="inlineStr">
        <is>
          <t>精英盾怪</t>
        </is>
      </c>
      <c r="D350" t="n">
        <v>69993</v>
      </c>
      <c r="E350" t="n">
        <v>2023</v>
      </c>
      <c r="F350" t="n">
        <v>3052</v>
      </c>
    </row>
    <row r="351">
      <c r="A351" t="inlineStr">
        <is>
          <t>39|Boss</t>
        </is>
      </c>
      <c r="B351" t="n">
        <v>39</v>
      </c>
      <c r="C351" t="inlineStr">
        <is>
          <t>Boss</t>
        </is>
      </c>
      <c r="D351" t="n">
        <v>561073</v>
      </c>
      <c r="E351" t="n">
        <v>2464</v>
      </c>
      <c r="F351" t="n">
        <v>3052</v>
      </c>
    </row>
    <row r="352">
      <c r="A352" t="inlineStr">
        <is>
          <t>39|装备副本Boss</t>
        </is>
      </c>
      <c r="B352" t="n">
        <v>39</v>
      </c>
      <c r="C352" t="inlineStr">
        <is>
          <t>装备副本Boss</t>
        </is>
      </c>
      <c r="D352" t="n">
        <v>280537</v>
      </c>
      <c r="E352" t="n">
        <v>2464</v>
      </c>
      <c r="F352" t="n">
        <v>3052</v>
      </c>
    </row>
    <row r="353">
      <c r="A353" t="inlineStr">
        <is>
          <t>40|普通怪</t>
        </is>
      </c>
      <c r="B353" t="n">
        <v>40</v>
      </c>
      <c r="C353" t="inlineStr">
        <is>
          <t>普通怪</t>
        </is>
      </c>
      <c r="D353" t="n">
        <v>8079</v>
      </c>
      <c r="E353" t="n">
        <v>2083</v>
      </c>
      <c r="F353" t="n">
        <v>3135</v>
      </c>
    </row>
    <row r="354">
      <c r="A354" t="inlineStr">
        <is>
          <t>40|盾怪</t>
        </is>
      </c>
      <c r="B354" t="n">
        <v>40</v>
      </c>
      <c r="C354" t="inlineStr">
        <is>
          <t>盾怪</t>
        </is>
      </c>
      <c r="D354" t="n">
        <v>24237</v>
      </c>
      <c r="E354" t="n">
        <v>2083</v>
      </c>
      <c r="F354" t="n">
        <v>3135</v>
      </c>
    </row>
    <row r="355">
      <c r="A355" t="inlineStr">
        <is>
          <t>40|二级普通怪</t>
        </is>
      </c>
      <c r="B355" t="n">
        <v>40</v>
      </c>
      <c r="C355" t="inlineStr">
        <is>
          <t>二级普通怪</t>
        </is>
      </c>
      <c r="D355" t="n">
        <v>14543</v>
      </c>
      <c r="E355" t="n">
        <v>2083</v>
      </c>
      <c r="F355" t="n">
        <v>3135</v>
      </c>
    </row>
    <row r="356">
      <c r="A356" t="inlineStr">
        <is>
          <t>40|站桩怪</t>
        </is>
      </c>
      <c r="B356" t="n">
        <v>40</v>
      </c>
      <c r="C356" t="inlineStr">
        <is>
          <t>站桩怪</t>
        </is>
      </c>
      <c r="D356" t="n">
        <v>4040</v>
      </c>
      <c r="E356" t="n">
        <v>2083</v>
      </c>
      <c r="F356" t="n">
        <v>3135</v>
      </c>
    </row>
    <row r="357">
      <c r="A357" t="inlineStr">
        <is>
          <t>40|炮灰怪</t>
        </is>
      </c>
      <c r="B357" t="n">
        <v>40</v>
      </c>
      <c r="C357" t="inlineStr">
        <is>
          <t>炮灰怪</t>
        </is>
      </c>
      <c r="D357" t="n">
        <v>1212</v>
      </c>
      <c r="E357" t="n">
        <v>2083</v>
      </c>
      <c r="F357" t="n">
        <v>3135</v>
      </c>
    </row>
    <row r="358">
      <c r="A358" t="inlineStr">
        <is>
          <t>40|精英怪</t>
        </is>
      </c>
      <c r="B358" t="n">
        <v>40</v>
      </c>
      <c r="C358" t="inlineStr">
        <is>
          <t>精英怪</t>
        </is>
      </c>
      <c r="D358" t="n">
        <v>32316</v>
      </c>
      <c r="E358" t="n">
        <v>2083</v>
      </c>
      <c r="F358" t="n">
        <v>3135</v>
      </c>
    </row>
    <row r="359">
      <c r="A359" t="inlineStr">
        <is>
          <t>40|精英盾怪</t>
        </is>
      </c>
      <c r="B359" t="n">
        <v>40</v>
      </c>
      <c r="C359" t="inlineStr">
        <is>
          <t>精英盾怪</t>
        </is>
      </c>
      <c r="D359" t="n">
        <v>72711</v>
      </c>
      <c r="E359" t="n">
        <v>2083</v>
      </c>
      <c r="F359" t="n">
        <v>3135</v>
      </c>
    </row>
    <row r="360">
      <c r="A360" t="inlineStr">
        <is>
          <t>40|Boss</t>
        </is>
      </c>
      <c r="B360" t="n">
        <v>40</v>
      </c>
      <c r="C360" t="inlineStr">
        <is>
          <t>Boss</t>
        </is>
      </c>
      <c r="D360" t="n">
        <v>581169</v>
      </c>
      <c r="E360" t="n">
        <v>2536</v>
      </c>
      <c r="F360" t="n">
        <v>3135</v>
      </c>
    </row>
    <row r="361">
      <c r="A361" t="inlineStr">
        <is>
          <t>40|装备副本Boss</t>
        </is>
      </c>
      <c r="B361" t="n">
        <v>40</v>
      </c>
      <c r="C361" t="inlineStr">
        <is>
          <t>装备副本Boss</t>
        </is>
      </c>
      <c r="D361" t="n">
        <v>290585</v>
      </c>
      <c r="E361" t="n">
        <v>2536</v>
      </c>
      <c r="F361" t="n">
        <v>3135</v>
      </c>
    </row>
    <row r="362">
      <c r="A362" t="inlineStr">
        <is>
          <t>41|普通怪</t>
        </is>
      </c>
      <c r="B362" t="n">
        <v>41</v>
      </c>
      <c r="C362" t="inlineStr">
        <is>
          <t>普通怪</t>
        </is>
      </c>
      <c r="D362" t="n">
        <v>8386</v>
      </c>
      <c r="E362" t="n">
        <v>2144</v>
      </c>
      <c r="F362" t="n">
        <v>3218</v>
      </c>
    </row>
    <row r="363">
      <c r="A363" t="inlineStr">
        <is>
          <t>41|盾怪</t>
        </is>
      </c>
      <c r="B363" t="n">
        <v>41</v>
      </c>
      <c r="C363" t="inlineStr">
        <is>
          <t>盾怪</t>
        </is>
      </c>
      <c r="D363" t="n">
        <v>25158</v>
      </c>
      <c r="E363" t="n">
        <v>2144</v>
      </c>
      <c r="F363" t="n">
        <v>3218</v>
      </c>
    </row>
    <row r="364">
      <c r="A364" t="inlineStr">
        <is>
          <t>41|二级普通怪</t>
        </is>
      </c>
      <c r="B364" t="n">
        <v>41</v>
      </c>
      <c r="C364" t="inlineStr">
        <is>
          <t>二级普通怪</t>
        </is>
      </c>
      <c r="D364" t="n">
        <v>15095</v>
      </c>
      <c r="E364" t="n">
        <v>2144</v>
      </c>
      <c r="F364" t="n">
        <v>3218</v>
      </c>
    </row>
    <row r="365">
      <c r="A365" t="inlineStr">
        <is>
          <t>41|站桩怪</t>
        </is>
      </c>
      <c r="B365" t="n">
        <v>41</v>
      </c>
      <c r="C365" t="inlineStr">
        <is>
          <t>站桩怪</t>
        </is>
      </c>
      <c r="D365" t="n">
        <v>4193</v>
      </c>
      <c r="E365" t="n">
        <v>2144</v>
      </c>
      <c r="F365" t="n">
        <v>3218</v>
      </c>
    </row>
    <row r="366">
      <c r="A366" t="inlineStr">
        <is>
          <t>41|炮灰怪</t>
        </is>
      </c>
      <c r="B366" t="n">
        <v>41</v>
      </c>
      <c r="C366" t="inlineStr">
        <is>
          <t>炮灰怪</t>
        </is>
      </c>
      <c r="D366" t="n">
        <v>1258</v>
      </c>
      <c r="E366" t="n">
        <v>2144</v>
      </c>
      <c r="F366" t="n">
        <v>3218</v>
      </c>
    </row>
    <row r="367">
      <c r="A367" t="inlineStr">
        <is>
          <t>41|精英怪</t>
        </is>
      </c>
      <c r="B367" t="n">
        <v>41</v>
      </c>
      <c r="C367" t="inlineStr">
        <is>
          <t>精英怪</t>
        </is>
      </c>
      <c r="D367" t="n">
        <v>33544</v>
      </c>
      <c r="E367" t="n">
        <v>2144</v>
      </c>
      <c r="F367" t="n">
        <v>3218</v>
      </c>
    </row>
    <row r="368">
      <c r="A368" t="inlineStr">
        <is>
          <t>41|精英盾怪</t>
        </is>
      </c>
      <c r="B368" t="n">
        <v>41</v>
      </c>
      <c r="C368" t="inlineStr">
        <is>
          <t>精英盾怪</t>
        </is>
      </c>
      <c r="D368" t="n">
        <v>75474</v>
      </c>
      <c r="E368" t="n">
        <v>2144</v>
      </c>
      <c r="F368" t="n">
        <v>3218</v>
      </c>
    </row>
    <row r="369">
      <c r="A369" t="inlineStr">
        <is>
          <t>41|Boss</t>
        </is>
      </c>
      <c r="B369" t="n">
        <v>41</v>
      </c>
      <c r="C369" t="inlineStr">
        <is>
          <t>Boss</t>
        </is>
      </c>
      <c r="D369" t="n">
        <v>601696</v>
      </c>
      <c r="E369" t="n">
        <v>2609</v>
      </c>
      <c r="F369" t="n">
        <v>3218</v>
      </c>
    </row>
    <row r="370">
      <c r="A370" t="inlineStr">
        <is>
          <t>41|装备副本Boss</t>
        </is>
      </c>
      <c r="B370" t="n">
        <v>41</v>
      </c>
      <c r="C370" t="inlineStr">
        <is>
          <t>装备副本Boss</t>
        </is>
      </c>
      <c r="D370" t="n">
        <v>300848</v>
      </c>
      <c r="E370" t="n">
        <v>2609</v>
      </c>
      <c r="F370" t="n">
        <v>3218</v>
      </c>
    </row>
    <row r="371">
      <c r="A371" t="inlineStr">
        <is>
          <t>42|普通怪</t>
        </is>
      </c>
      <c r="B371" t="n">
        <v>42</v>
      </c>
      <c r="C371" t="inlineStr">
        <is>
          <t>普通怪</t>
        </is>
      </c>
      <c r="D371" t="n">
        <v>8698</v>
      </c>
      <c r="E371" t="n">
        <v>2206</v>
      </c>
      <c r="F371" t="n">
        <v>3301</v>
      </c>
    </row>
    <row r="372">
      <c r="A372" t="inlineStr">
        <is>
          <t>42|盾怪</t>
        </is>
      </c>
      <c r="B372" t="n">
        <v>42</v>
      </c>
      <c r="C372" t="inlineStr">
        <is>
          <t>盾怪</t>
        </is>
      </c>
      <c r="D372" t="n">
        <v>26094</v>
      </c>
      <c r="E372" t="n">
        <v>2206</v>
      </c>
      <c r="F372" t="n">
        <v>3301</v>
      </c>
    </row>
    <row r="373">
      <c r="A373" t="inlineStr">
        <is>
          <t>42|二级普通怪</t>
        </is>
      </c>
      <c r="B373" t="n">
        <v>42</v>
      </c>
      <c r="C373" t="inlineStr">
        <is>
          <t>二级普通怪</t>
        </is>
      </c>
      <c r="D373" t="n">
        <v>15657</v>
      </c>
      <c r="E373" t="n">
        <v>2206</v>
      </c>
      <c r="F373" t="n">
        <v>3301</v>
      </c>
    </row>
    <row r="374">
      <c r="A374" t="inlineStr">
        <is>
          <t>42|站桩怪</t>
        </is>
      </c>
      <c r="B374" t="n">
        <v>42</v>
      </c>
      <c r="C374" t="inlineStr">
        <is>
          <t>站桩怪</t>
        </is>
      </c>
      <c r="D374" t="n">
        <v>4349</v>
      </c>
      <c r="E374" t="n">
        <v>2206</v>
      </c>
      <c r="F374" t="n">
        <v>3301</v>
      </c>
    </row>
    <row r="375">
      <c r="A375" t="inlineStr">
        <is>
          <t>42|炮灰怪</t>
        </is>
      </c>
      <c r="B375" t="n">
        <v>42</v>
      </c>
      <c r="C375" t="inlineStr">
        <is>
          <t>炮灰怪</t>
        </is>
      </c>
      <c r="D375" t="n">
        <v>1305</v>
      </c>
      <c r="E375" t="n">
        <v>2206</v>
      </c>
      <c r="F375" t="n">
        <v>3301</v>
      </c>
    </row>
    <row r="376">
      <c r="A376" t="inlineStr">
        <is>
          <t>42|精英怪</t>
        </is>
      </c>
      <c r="B376" t="n">
        <v>42</v>
      </c>
      <c r="C376" t="inlineStr">
        <is>
          <t>精英怪</t>
        </is>
      </c>
      <c r="D376" t="n">
        <v>34792</v>
      </c>
      <c r="E376" t="n">
        <v>2206</v>
      </c>
      <c r="F376" t="n">
        <v>3301</v>
      </c>
    </row>
    <row r="377">
      <c r="A377" t="inlineStr">
        <is>
          <t>42|精英盾怪</t>
        </is>
      </c>
      <c r="B377" t="n">
        <v>42</v>
      </c>
      <c r="C377" t="inlineStr">
        <is>
          <t>精英盾怪</t>
        </is>
      </c>
      <c r="D377" t="n">
        <v>78282</v>
      </c>
      <c r="E377" t="n">
        <v>2206</v>
      </c>
      <c r="F377" t="n">
        <v>3301</v>
      </c>
    </row>
    <row r="378">
      <c r="A378" t="inlineStr">
        <is>
          <t>42|Boss</t>
        </is>
      </c>
      <c r="B378" t="n">
        <v>42</v>
      </c>
      <c r="C378" t="inlineStr">
        <is>
          <t>Boss</t>
        </is>
      </c>
      <c r="D378" t="n">
        <v>622719</v>
      </c>
      <c r="E378" t="n">
        <v>2682</v>
      </c>
      <c r="F378" t="n">
        <v>3301</v>
      </c>
    </row>
    <row r="379">
      <c r="A379" t="inlineStr">
        <is>
          <t>42|装备副本Boss</t>
        </is>
      </c>
      <c r="B379" t="n">
        <v>42</v>
      </c>
      <c r="C379" t="inlineStr">
        <is>
          <t>装备副本Boss</t>
        </is>
      </c>
      <c r="D379" t="n">
        <v>311359</v>
      </c>
      <c r="E379" t="n">
        <v>2682</v>
      </c>
      <c r="F379" t="n">
        <v>3301</v>
      </c>
    </row>
    <row r="380">
      <c r="A380" t="inlineStr">
        <is>
          <t>43|普通怪</t>
        </is>
      </c>
      <c r="B380" t="n">
        <v>43</v>
      </c>
      <c r="C380" t="inlineStr">
        <is>
          <t>普通怪</t>
        </is>
      </c>
      <c r="D380" t="n">
        <v>9015</v>
      </c>
      <c r="E380" t="n">
        <v>2267</v>
      </c>
      <c r="F380" t="n">
        <v>3384</v>
      </c>
    </row>
    <row r="381">
      <c r="A381" t="inlineStr">
        <is>
          <t>43|盾怪</t>
        </is>
      </c>
      <c r="B381" t="n">
        <v>43</v>
      </c>
      <c r="C381" t="inlineStr">
        <is>
          <t>盾怪</t>
        </is>
      </c>
      <c r="D381" t="n">
        <v>27045</v>
      </c>
      <c r="E381" t="n">
        <v>2267</v>
      </c>
      <c r="F381" t="n">
        <v>3384</v>
      </c>
    </row>
    <row r="382">
      <c r="A382" t="inlineStr">
        <is>
          <t>43|二级普通怪</t>
        </is>
      </c>
      <c r="B382" t="n">
        <v>43</v>
      </c>
      <c r="C382" t="inlineStr">
        <is>
          <t>二级普通怪</t>
        </is>
      </c>
      <c r="D382" t="n">
        <v>16227</v>
      </c>
      <c r="E382" t="n">
        <v>2267</v>
      </c>
      <c r="F382" t="n">
        <v>3384</v>
      </c>
    </row>
    <row r="383">
      <c r="A383" t="inlineStr">
        <is>
          <t>43|站桩怪</t>
        </is>
      </c>
      <c r="B383" t="n">
        <v>43</v>
      </c>
      <c r="C383" t="inlineStr">
        <is>
          <t>站桩怪</t>
        </is>
      </c>
      <c r="D383" t="n">
        <v>4508</v>
      </c>
      <c r="E383" t="n">
        <v>2267</v>
      </c>
      <c r="F383" t="n">
        <v>3384</v>
      </c>
    </row>
    <row r="384">
      <c r="A384" t="inlineStr">
        <is>
          <t>43|炮灰怪</t>
        </is>
      </c>
      <c r="B384" t="n">
        <v>43</v>
      </c>
      <c r="C384" t="inlineStr">
        <is>
          <t>炮灰怪</t>
        </is>
      </c>
      <c r="D384" t="n">
        <v>1353</v>
      </c>
      <c r="E384" t="n">
        <v>2267</v>
      </c>
      <c r="F384" t="n">
        <v>3384</v>
      </c>
    </row>
    <row r="385">
      <c r="A385" t="inlineStr">
        <is>
          <t>43|精英怪</t>
        </is>
      </c>
      <c r="B385" t="n">
        <v>43</v>
      </c>
      <c r="C385" t="inlineStr">
        <is>
          <t>精英怪</t>
        </is>
      </c>
      <c r="D385" t="n">
        <v>36060</v>
      </c>
      <c r="E385" t="n">
        <v>2267</v>
      </c>
      <c r="F385" t="n">
        <v>3384</v>
      </c>
    </row>
    <row r="386">
      <c r="A386" t="inlineStr">
        <is>
          <t>43|精英盾怪</t>
        </is>
      </c>
      <c r="B386" t="n">
        <v>43</v>
      </c>
      <c r="C386" t="inlineStr">
        <is>
          <t>精英盾怪</t>
        </is>
      </c>
      <c r="D386" t="n">
        <v>81135</v>
      </c>
      <c r="E386" t="n">
        <v>2267</v>
      </c>
      <c r="F386" t="n">
        <v>3384</v>
      </c>
    </row>
    <row r="387">
      <c r="A387" t="inlineStr">
        <is>
          <t>43|Boss</t>
        </is>
      </c>
      <c r="B387" t="n">
        <v>43</v>
      </c>
      <c r="C387" t="inlineStr">
        <is>
          <t>Boss</t>
        </is>
      </c>
      <c r="D387" t="n">
        <v>644120</v>
      </c>
      <c r="E387" t="n">
        <v>2755</v>
      </c>
      <c r="F387" t="n">
        <v>3384</v>
      </c>
    </row>
    <row r="388">
      <c r="A388" t="inlineStr">
        <is>
          <t>43|装备副本Boss</t>
        </is>
      </c>
      <c r="B388" t="n">
        <v>43</v>
      </c>
      <c r="C388" t="inlineStr">
        <is>
          <t>装备副本Boss</t>
        </is>
      </c>
      <c r="D388" t="n">
        <v>322060</v>
      </c>
      <c r="E388" t="n">
        <v>2755</v>
      </c>
      <c r="F388" t="n">
        <v>3384</v>
      </c>
    </row>
    <row r="389">
      <c r="A389" t="inlineStr">
        <is>
          <t>44|普通怪</t>
        </is>
      </c>
      <c r="B389" t="n">
        <v>44</v>
      </c>
      <c r="C389" t="inlineStr">
        <is>
          <t>普通怪</t>
        </is>
      </c>
      <c r="D389" t="n">
        <v>9338</v>
      </c>
      <c r="E389" t="n">
        <v>2329</v>
      </c>
      <c r="F389" t="n">
        <v>3468</v>
      </c>
    </row>
    <row r="390">
      <c r="A390" t="inlineStr">
        <is>
          <t>44|盾怪</t>
        </is>
      </c>
      <c r="B390" t="n">
        <v>44</v>
      </c>
      <c r="C390" t="inlineStr">
        <is>
          <t>盾怪</t>
        </is>
      </c>
      <c r="D390" t="n">
        <v>28014</v>
      </c>
      <c r="E390" t="n">
        <v>2329</v>
      </c>
      <c r="F390" t="n">
        <v>3468</v>
      </c>
    </row>
    <row r="391">
      <c r="A391" t="inlineStr">
        <is>
          <t>44|二级普通怪</t>
        </is>
      </c>
      <c r="B391" t="n">
        <v>44</v>
      </c>
      <c r="C391" t="inlineStr">
        <is>
          <t>二级普通怪</t>
        </is>
      </c>
      <c r="D391" t="n">
        <v>16809</v>
      </c>
      <c r="E391" t="n">
        <v>2329</v>
      </c>
      <c r="F391" t="n">
        <v>3468</v>
      </c>
    </row>
    <row r="392">
      <c r="A392" t="inlineStr">
        <is>
          <t>44|站桩怪</t>
        </is>
      </c>
      <c r="B392" t="n">
        <v>44</v>
      </c>
      <c r="C392" t="inlineStr">
        <is>
          <t>站桩怪</t>
        </is>
      </c>
      <c r="D392" t="n">
        <v>4669</v>
      </c>
      <c r="E392" t="n">
        <v>2329</v>
      </c>
      <c r="F392" t="n">
        <v>3468</v>
      </c>
    </row>
    <row r="393">
      <c r="A393" t="inlineStr">
        <is>
          <t>44|炮灰怪</t>
        </is>
      </c>
      <c r="B393" t="n">
        <v>44</v>
      </c>
      <c r="C393" t="inlineStr">
        <is>
          <t>炮灰怪</t>
        </is>
      </c>
      <c r="D393" t="n">
        <v>1401</v>
      </c>
      <c r="E393" t="n">
        <v>2329</v>
      </c>
      <c r="F393" t="n">
        <v>3468</v>
      </c>
    </row>
    <row r="394">
      <c r="A394" t="inlineStr">
        <is>
          <t>44|精英怪</t>
        </is>
      </c>
      <c r="B394" t="n">
        <v>44</v>
      </c>
      <c r="C394" t="inlineStr">
        <is>
          <t>精英怪</t>
        </is>
      </c>
      <c r="D394" t="n">
        <v>37352</v>
      </c>
      <c r="E394" t="n">
        <v>2329</v>
      </c>
      <c r="F394" t="n">
        <v>3468</v>
      </c>
    </row>
    <row r="395">
      <c r="A395" t="inlineStr">
        <is>
          <t>44|精英盾怪</t>
        </is>
      </c>
      <c r="B395" t="n">
        <v>44</v>
      </c>
      <c r="C395" t="inlineStr">
        <is>
          <t>精英盾怪</t>
        </is>
      </c>
      <c r="D395" t="n">
        <v>84042</v>
      </c>
      <c r="E395" t="n">
        <v>2329</v>
      </c>
      <c r="F395" t="n">
        <v>3468</v>
      </c>
    </row>
    <row r="396">
      <c r="A396" t="inlineStr">
        <is>
          <t>44|Boss</t>
        </is>
      </c>
      <c r="B396" t="n">
        <v>44</v>
      </c>
      <c r="C396" t="inlineStr">
        <is>
          <t>Boss</t>
        </is>
      </c>
      <c r="D396" t="n">
        <v>666026</v>
      </c>
      <c r="E396" t="n">
        <v>2829</v>
      </c>
      <c r="F396" t="n">
        <v>3468</v>
      </c>
    </row>
    <row r="397">
      <c r="A397" t="inlineStr">
        <is>
          <t>44|装备副本Boss</t>
        </is>
      </c>
      <c r="B397" t="n">
        <v>44</v>
      </c>
      <c r="C397" t="inlineStr">
        <is>
          <t>装备副本Boss</t>
        </is>
      </c>
      <c r="D397" t="n">
        <v>333013</v>
      </c>
      <c r="E397" t="n">
        <v>2829</v>
      </c>
      <c r="F397" t="n">
        <v>3468</v>
      </c>
    </row>
    <row r="398">
      <c r="A398" t="inlineStr">
        <is>
          <t>45|普通怪</t>
        </is>
      </c>
      <c r="B398" t="n">
        <v>45</v>
      </c>
      <c r="C398" t="inlineStr">
        <is>
          <t>普通怪</t>
        </is>
      </c>
      <c r="D398" t="n">
        <v>9666</v>
      </c>
      <c r="E398" t="n">
        <v>2392</v>
      </c>
      <c r="F398" t="n">
        <v>3552</v>
      </c>
    </row>
    <row r="399">
      <c r="A399" t="inlineStr">
        <is>
          <t>45|盾怪</t>
        </is>
      </c>
      <c r="B399" t="n">
        <v>45</v>
      </c>
      <c r="C399" t="inlineStr">
        <is>
          <t>盾怪</t>
        </is>
      </c>
      <c r="D399" t="n">
        <v>28998</v>
      </c>
      <c r="E399" t="n">
        <v>2392</v>
      </c>
      <c r="F399" t="n">
        <v>3552</v>
      </c>
    </row>
    <row r="400">
      <c r="A400" t="inlineStr">
        <is>
          <t>45|二级普通怪</t>
        </is>
      </c>
      <c r="B400" t="n">
        <v>45</v>
      </c>
      <c r="C400" t="inlineStr">
        <is>
          <t>二级普通怪</t>
        </is>
      </c>
      <c r="D400" t="n">
        <v>17399</v>
      </c>
      <c r="E400" t="n">
        <v>2392</v>
      </c>
      <c r="F400" t="n">
        <v>3552</v>
      </c>
    </row>
    <row r="401">
      <c r="A401" t="inlineStr">
        <is>
          <t>45|站桩怪</t>
        </is>
      </c>
      <c r="B401" t="n">
        <v>45</v>
      </c>
      <c r="C401" t="inlineStr">
        <is>
          <t>站桩怪</t>
        </is>
      </c>
      <c r="D401" t="n">
        <v>4833</v>
      </c>
      <c r="E401" t="n">
        <v>2392</v>
      </c>
      <c r="F401" t="n">
        <v>3552</v>
      </c>
    </row>
    <row r="402">
      <c r="A402" t="inlineStr">
        <is>
          <t>45|炮灰怪</t>
        </is>
      </c>
      <c r="B402" t="n">
        <v>45</v>
      </c>
      <c r="C402" t="inlineStr">
        <is>
          <t>炮灰怪</t>
        </is>
      </c>
      <c r="D402" t="n">
        <v>1450</v>
      </c>
      <c r="E402" t="n">
        <v>2392</v>
      </c>
      <c r="F402" t="n">
        <v>3552</v>
      </c>
    </row>
    <row r="403">
      <c r="A403" t="inlineStr">
        <is>
          <t>45|精英怪</t>
        </is>
      </c>
      <c r="B403" t="n">
        <v>45</v>
      </c>
      <c r="C403" t="inlineStr">
        <is>
          <t>精英怪</t>
        </is>
      </c>
      <c r="D403" t="n">
        <v>38664</v>
      </c>
      <c r="E403" t="n">
        <v>2392</v>
      </c>
      <c r="F403" t="n">
        <v>3552</v>
      </c>
    </row>
    <row r="404">
      <c r="A404" t="inlineStr">
        <is>
          <t>45|精英盾怪</t>
        </is>
      </c>
      <c r="B404" t="n">
        <v>45</v>
      </c>
      <c r="C404" t="inlineStr">
        <is>
          <t>精英盾怪</t>
        </is>
      </c>
      <c r="D404" t="n">
        <v>86994</v>
      </c>
      <c r="E404" t="n">
        <v>2392</v>
      </c>
      <c r="F404" t="n">
        <v>3552</v>
      </c>
    </row>
    <row r="405">
      <c r="A405" t="inlineStr">
        <is>
          <t>45|Boss</t>
        </is>
      </c>
      <c r="B405" t="n">
        <v>45</v>
      </c>
      <c r="C405" t="inlineStr">
        <is>
          <t>Boss</t>
        </is>
      </c>
      <c r="D405" t="n">
        <v>688439</v>
      </c>
      <c r="E405" t="n">
        <v>2903</v>
      </c>
      <c r="F405" t="n">
        <v>3552</v>
      </c>
    </row>
    <row r="406">
      <c r="A406" t="inlineStr">
        <is>
          <t>45|装备副本Boss</t>
        </is>
      </c>
      <c r="B406" t="n">
        <v>45</v>
      </c>
      <c r="C406" t="inlineStr">
        <is>
          <t>装备副本Boss</t>
        </is>
      </c>
      <c r="D406" t="n">
        <v>344219</v>
      </c>
      <c r="E406" t="n">
        <v>2903</v>
      </c>
      <c r="F406" t="n">
        <v>3552</v>
      </c>
    </row>
    <row r="407">
      <c r="A407" t="inlineStr">
        <is>
          <t>46|普通怪</t>
        </is>
      </c>
      <c r="B407" t="n">
        <v>46</v>
      </c>
      <c r="C407" t="inlineStr">
        <is>
          <t>普通怪</t>
        </is>
      </c>
      <c r="D407" t="n">
        <v>9999</v>
      </c>
      <c r="E407" t="n">
        <v>2455</v>
      </c>
      <c r="F407" t="n">
        <v>3636</v>
      </c>
    </row>
    <row r="408">
      <c r="A408" t="inlineStr">
        <is>
          <t>46|盾怪</t>
        </is>
      </c>
      <c r="B408" t="n">
        <v>46</v>
      </c>
      <c r="C408" t="inlineStr">
        <is>
          <t>盾怪</t>
        </is>
      </c>
      <c r="D408" t="n">
        <v>29997</v>
      </c>
      <c r="E408" t="n">
        <v>2455</v>
      </c>
      <c r="F408" t="n">
        <v>3636</v>
      </c>
    </row>
    <row r="409">
      <c r="A409" t="inlineStr">
        <is>
          <t>46|二级普通怪</t>
        </is>
      </c>
      <c r="B409" t="n">
        <v>46</v>
      </c>
      <c r="C409" t="inlineStr">
        <is>
          <t>二级普通怪</t>
        </is>
      </c>
      <c r="D409" t="n">
        <v>17999</v>
      </c>
      <c r="E409" t="n">
        <v>2455</v>
      </c>
      <c r="F409" t="n">
        <v>3636</v>
      </c>
    </row>
    <row r="410">
      <c r="A410" t="inlineStr">
        <is>
          <t>46|站桩怪</t>
        </is>
      </c>
      <c r="B410" t="n">
        <v>46</v>
      </c>
      <c r="C410" t="inlineStr">
        <is>
          <t>站桩怪</t>
        </is>
      </c>
      <c r="D410" t="n">
        <v>5000</v>
      </c>
      <c r="E410" t="n">
        <v>2455</v>
      </c>
      <c r="F410" t="n">
        <v>3636</v>
      </c>
    </row>
    <row r="411">
      <c r="A411" t="inlineStr">
        <is>
          <t>46|炮灰怪</t>
        </is>
      </c>
      <c r="B411" t="n">
        <v>46</v>
      </c>
      <c r="C411" t="inlineStr">
        <is>
          <t>炮灰怪</t>
        </is>
      </c>
      <c r="D411" t="n">
        <v>1500</v>
      </c>
      <c r="E411" t="n">
        <v>2455</v>
      </c>
      <c r="F411" t="n">
        <v>3636</v>
      </c>
    </row>
    <row r="412">
      <c r="A412" t="inlineStr">
        <is>
          <t>46|精英怪</t>
        </is>
      </c>
      <c r="B412" t="n">
        <v>46</v>
      </c>
      <c r="C412" t="inlineStr">
        <is>
          <t>精英怪</t>
        </is>
      </c>
      <c r="D412" t="n">
        <v>39996</v>
      </c>
      <c r="E412" t="n">
        <v>2455</v>
      </c>
      <c r="F412" t="n">
        <v>3636</v>
      </c>
    </row>
    <row r="413">
      <c r="A413" t="inlineStr">
        <is>
          <t>46|精英盾怪</t>
        </is>
      </c>
      <c r="B413" t="n">
        <v>46</v>
      </c>
      <c r="C413" t="inlineStr">
        <is>
          <t>精英盾怪</t>
        </is>
      </c>
      <c r="D413" t="n">
        <v>89991</v>
      </c>
      <c r="E413" t="n">
        <v>2455</v>
      </c>
      <c r="F413" t="n">
        <v>3636</v>
      </c>
    </row>
    <row r="414">
      <c r="A414" t="inlineStr">
        <is>
          <t>46|Boss</t>
        </is>
      </c>
      <c r="B414" t="n">
        <v>46</v>
      </c>
      <c r="C414" t="inlineStr">
        <is>
          <t>Boss</t>
        </is>
      </c>
      <c r="D414" t="n">
        <v>711304</v>
      </c>
      <c r="E414" t="n">
        <v>2978</v>
      </c>
      <c r="F414" t="n">
        <v>3636</v>
      </c>
    </row>
    <row r="415">
      <c r="A415" t="inlineStr">
        <is>
          <t>46|装备副本Boss</t>
        </is>
      </c>
      <c r="B415" t="n">
        <v>46</v>
      </c>
      <c r="C415" t="inlineStr">
        <is>
          <t>装备副本Boss</t>
        </is>
      </c>
      <c r="D415" t="n">
        <v>355652</v>
      </c>
      <c r="E415" t="n">
        <v>2978</v>
      </c>
      <c r="F415" t="n">
        <v>3636</v>
      </c>
    </row>
    <row r="416">
      <c r="A416" t="inlineStr">
        <is>
          <t>47|普通怪</t>
        </is>
      </c>
      <c r="B416" t="n">
        <v>47</v>
      </c>
      <c r="C416" t="inlineStr">
        <is>
          <t>普通怪</t>
        </is>
      </c>
      <c r="D416" t="n">
        <v>10338</v>
      </c>
      <c r="E416" t="n">
        <v>2519</v>
      </c>
      <c r="F416" t="n">
        <v>3721</v>
      </c>
    </row>
    <row r="417">
      <c r="A417" t="inlineStr">
        <is>
          <t>47|盾怪</t>
        </is>
      </c>
      <c r="B417" t="n">
        <v>47</v>
      </c>
      <c r="C417" t="inlineStr">
        <is>
          <t>盾怪</t>
        </is>
      </c>
      <c r="D417" t="n">
        <v>31014</v>
      </c>
      <c r="E417" t="n">
        <v>2519</v>
      </c>
      <c r="F417" t="n">
        <v>3721</v>
      </c>
    </row>
    <row r="418">
      <c r="A418" t="inlineStr">
        <is>
          <t>47|二级普通怪</t>
        </is>
      </c>
      <c r="B418" t="n">
        <v>47</v>
      </c>
      <c r="C418" t="inlineStr">
        <is>
          <t>二级普通怪</t>
        </is>
      </c>
      <c r="D418" t="n">
        <v>18609</v>
      </c>
      <c r="E418" t="n">
        <v>2519</v>
      </c>
      <c r="F418" t="n">
        <v>3721</v>
      </c>
    </row>
    <row r="419">
      <c r="A419" t="inlineStr">
        <is>
          <t>47|站桩怪</t>
        </is>
      </c>
      <c r="B419" t="n">
        <v>47</v>
      </c>
      <c r="C419" t="inlineStr">
        <is>
          <t>站桩怪</t>
        </is>
      </c>
      <c r="D419" t="n">
        <v>5169</v>
      </c>
      <c r="E419" t="n">
        <v>2519</v>
      </c>
      <c r="F419" t="n">
        <v>3721</v>
      </c>
    </row>
    <row r="420">
      <c r="A420" t="inlineStr">
        <is>
          <t>47|炮灰怪</t>
        </is>
      </c>
      <c r="B420" t="n">
        <v>47</v>
      </c>
      <c r="C420" t="inlineStr">
        <is>
          <t>炮灰怪</t>
        </is>
      </c>
      <c r="D420" t="n">
        <v>1551</v>
      </c>
      <c r="E420" t="n">
        <v>2519</v>
      </c>
      <c r="F420" t="n">
        <v>3721</v>
      </c>
    </row>
    <row r="421">
      <c r="A421" t="inlineStr">
        <is>
          <t>47|精英怪</t>
        </is>
      </c>
      <c r="B421" t="n">
        <v>47</v>
      </c>
      <c r="C421" t="inlineStr">
        <is>
          <t>精英怪</t>
        </is>
      </c>
      <c r="D421" t="n">
        <v>41352</v>
      </c>
      <c r="E421" t="n">
        <v>2519</v>
      </c>
      <c r="F421" t="n">
        <v>3721</v>
      </c>
    </row>
    <row r="422">
      <c r="A422" t="inlineStr">
        <is>
          <t>47|精英盾怪</t>
        </is>
      </c>
      <c r="B422" t="n">
        <v>47</v>
      </c>
      <c r="C422" t="inlineStr">
        <is>
          <t>精英盾怪</t>
        </is>
      </c>
      <c r="D422" t="n">
        <v>93042</v>
      </c>
      <c r="E422" t="n">
        <v>2519</v>
      </c>
      <c r="F422" t="n">
        <v>3721</v>
      </c>
    </row>
    <row r="423">
      <c r="A423" t="inlineStr">
        <is>
          <t>47|Boss</t>
        </is>
      </c>
      <c r="B423" t="n">
        <v>47</v>
      </c>
      <c r="C423" t="inlineStr">
        <is>
          <t>Boss</t>
        </is>
      </c>
      <c r="D423" t="n">
        <v>734685</v>
      </c>
      <c r="E423" t="n">
        <v>3053</v>
      </c>
      <c r="F423" t="n">
        <v>3721</v>
      </c>
    </row>
    <row r="424">
      <c r="A424" t="inlineStr">
        <is>
          <t>47|装备副本Boss</t>
        </is>
      </c>
      <c r="B424" t="n">
        <v>47</v>
      </c>
      <c r="C424" t="inlineStr">
        <is>
          <t>装备副本Boss</t>
        </is>
      </c>
      <c r="D424" t="n">
        <v>367342</v>
      </c>
      <c r="E424" t="n">
        <v>3053</v>
      </c>
      <c r="F424" t="n">
        <v>3721</v>
      </c>
    </row>
    <row r="425">
      <c r="A425" t="inlineStr">
        <is>
          <t>48|普通怪</t>
        </is>
      </c>
      <c r="B425" t="n">
        <v>48</v>
      </c>
      <c r="C425" t="inlineStr">
        <is>
          <t>普通怪</t>
        </is>
      </c>
      <c r="D425" t="n">
        <v>10683</v>
      </c>
      <c r="E425" t="n">
        <v>2582</v>
      </c>
      <c r="F425" t="n">
        <v>3805</v>
      </c>
    </row>
    <row r="426">
      <c r="A426" t="inlineStr">
        <is>
          <t>48|盾怪</t>
        </is>
      </c>
      <c r="B426" t="n">
        <v>48</v>
      </c>
      <c r="C426" t="inlineStr">
        <is>
          <t>盾怪</t>
        </is>
      </c>
      <c r="D426" t="n">
        <v>32049</v>
      </c>
      <c r="E426" t="n">
        <v>2582</v>
      </c>
      <c r="F426" t="n">
        <v>3805</v>
      </c>
    </row>
    <row r="427">
      <c r="A427" t="inlineStr">
        <is>
          <t>48|二级普通怪</t>
        </is>
      </c>
      <c r="B427" t="n">
        <v>48</v>
      </c>
      <c r="C427" t="inlineStr">
        <is>
          <t>二级普通怪</t>
        </is>
      </c>
      <c r="D427" t="n">
        <v>19230</v>
      </c>
      <c r="E427" t="n">
        <v>2582</v>
      </c>
      <c r="F427" t="n">
        <v>3805</v>
      </c>
    </row>
    <row r="428">
      <c r="A428" t="inlineStr">
        <is>
          <t>48|站桩怪</t>
        </is>
      </c>
      <c r="B428" t="n">
        <v>48</v>
      </c>
      <c r="C428" t="inlineStr">
        <is>
          <t>站桩怪</t>
        </is>
      </c>
      <c r="D428" t="n">
        <v>5342</v>
      </c>
      <c r="E428" t="n">
        <v>2582</v>
      </c>
      <c r="F428" t="n">
        <v>3805</v>
      </c>
    </row>
    <row r="429">
      <c r="A429" t="inlineStr">
        <is>
          <t>48|炮灰怪</t>
        </is>
      </c>
      <c r="B429" t="n">
        <v>48</v>
      </c>
      <c r="C429" t="inlineStr">
        <is>
          <t>炮灰怪</t>
        </is>
      </c>
      <c r="D429" t="n">
        <v>1603</v>
      </c>
      <c r="E429" t="n">
        <v>2582</v>
      </c>
      <c r="F429" t="n">
        <v>3805</v>
      </c>
    </row>
    <row r="430">
      <c r="A430" t="inlineStr">
        <is>
          <t>48|精英怪</t>
        </is>
      </c>
      <c r="B430" t="n">
        <v>48</v>
      </c>
      <c r="C430" t="inlineStr">
        <is>
          <t>精英怪</t>
        </is>
      </c>
      <c r="D430" t="n">
        <v>42732</v>
      </c>
      <c r="E430" t="n">
        <v>2582</v>
      </c>
      <c r="F430" t="n">
        <v>3805</v>
      </c>
    </row>
    <row r="431">
      <c r="A431" t="inlineStr">
        <is>
          <t>48|精英盾怪</t>
        </is>
      </c>
      <c r="B431" t="n">
        <v>48</v>
      </c>
      <c r="C431" t="inlineStr">
        <is>
          <t>精英盾怪</t>
        </is>
      </c>
      <c r="D431" t="n">
        <v>96147</v>
      </c>
      <c r="E431" t="n">
        <v>2582</v>
      </c>
      <c r="F431" t="n">
        <v>3805</v>
      </c>
    </row>
    <row r="432">
      <c r="A432" t="inlineStr">
        <is>
          <t>48|Boss</t>
        </is>
      </c>
      <c r="B432" t="n">
        <v>48</v>
      </c>
      <c r="C432" t="inlineStr">
        <is>
          <t>Boss</t>
        </is>
      </c>
      <c r="D432" t="n">
        <v>758525</v>
      </c>
      <c r="E432" t="n">
        <v>3128</v>
      </c>
      <c r="F432" t="n">
        <v>3805</v>
      </c>
    </row>
    <row r="433">
      <c r="A433" t="inlineStr">
        <is>
          <t>48|装备副本Boss</t>
        </is>
      </c>
      <c r="B433" t="n">
        <v>48</v>
      </c>
      <c r="C433" t="inlineStr">
        <is>
          <t>装备副本Boss</t>
        </is>
      </c>
      <c r="D433" t="n">
        <v>379263</v>
      </c>
      <c r="E433" t="n">
        <v>3128</v>
      </c>
      <c r="F433" t="n">
        <v>3805</v>
      </c>
    </row>
    <row r="434">
      <c r="A434" t="inlineStr">
        <is>
          <t>49|普通怪</t>
        </is>
      </c>
      <c r="B434" t="n">
        <v>49</v>
      </c>
      <c r="C434" t="inlineStr">
        <is>
          <t>普通怪</t>
        </is>
      </c>
      <c r="D434" t="n">
        <v>11033</v>
      </c>
      <c r="E434" t="n">
        <v>2647</v>
      </c>
      <c r="F434" t="n">
        <v>3890</v>
      </c>
    </row>
    <row r="435">
      <c r="A435" t="inlineStr">
        <is>
          <t>49|盾怪</t>
        </is>
      </c>
      <c r="B435" t="n">
        <v>49</v>
      </c>
      <c r="C435" t="inlineStr">
        <is>
          <t>盾怪</t>
        </is>
      </c>
      <c r="D435" t="n">
        <v>33099</v>
      </c>
      <c r="E435" t="n">
        <v>2647</v>
      </c>
      <c r="F435" t="n">
        <v>3890</v>
      </c>
    </row>
    <row r="436">
      <c r="A436" t="inlineStr">
        <is>
          <t>49|二级普通怪</t>
        </is>
      </c>
      <c r="B436" t="n">
        <v>49</v>
      </c>
      <c r="C436" t="inlineStr">
        <is>
          <t>二级普通怪</t>
        </is>
      </c>
      <c r="D436" t="n">
        <v>19860</v>
      </c>
      <c r="E436" t="n">
        <v>2647</v>
      </c>
      <c r="F436" t="n">
        <v>3890</v>
      </c>
    </row>
    <row r="437">
      <c r="A437" t="inlineStr">
        <is>
          <t>49|站桩怪</t>
        </is>
      </c>
      <c r="B437" t="n">
        <v>49</v>
      </c>
      <c r="C437" t="inlineStr">
        <is>
          <t>站桩怪</t>
        </is>
      </c>
      <c r="D437" t="n">
        <v>5517</v>
      </c>
      <c r="E437" t="n">
        <v>2647</v>
      </c>
      <c r="F437" t="n">
        <v>3890</v>
      </c>
    </row>
    <row r="438">
      <c r="A438" t="inlineStr">
        <is>
          <t>49|炮灰怪</t>
        </is>
      </c>
      <c r="B438" t="n">
        <v>49</v>
      </c>
      <c r="C438" t="inlineStr">
        <is>
          <t>炮灰怪</t>
        </is>
      </c>
      <c r="D438" t="n">
        <v>1655</v>
      </c>
      <c r="E438" t="n">
        <v>2647</v>
      </c>
      <c r="F438" t="n">
        <v>3890</v>
      </c>
    </row>
    <row r="439">
      <c r="A439" t="inlineStr">
        <is>
          <t>49|精英怪</t>
        </is>
      </c>
      <c r="B439" t="n">
        <v>49</v>
      </c>
      <c r="C439" t="inlineStr">
        <is>
          <t>精英怪</t>
        </is>
      </c>
      <c r="D439" t="n">
        <v>44132</v>
      </c>
      <c r="E439" t="n">
        <v>2647</v>
      </c>
      <c r="F439" t="n">
        <v>3890</v>
      </c>
    </row>
    <row r="440">
      <c r="A440" t="inlineStr">
        <is>
          <t>49|精英盾怪</t>
        </is>
      </c>
      <c r="B440" t="n">
        <v>49</v>
      </c>
      <c r="C440" t="inlineStr">
        <is>
          <t>精英盾怪</t>
        </is>
      </c>
      <c r="D440" t="n">
        <v>99297</v>
      </c>
      <c r="E440" t="n">
        <v>2647</v>
      </c>
      <c r="F440" t="n">
        <v>3890</v>
      </c>
    </row>
    <row r="441">
      <c r="A441" t="inlineStr">
        <is>
          <t>49|Boss</t>
        </is>
      </c>
      <c r="B441" t="n">
        <v>49</v>
      </c>
      <c r="C441" t="inlineStr">
        <is>
          <t>Boss</t>
        </is>
      </c>
      <c r="D441" t="n">
        <v>782946</v>
      </c>
      <c r="E441" t="n">
        <v>3205</v>
      </c>
      <c r="F441" t="n">
        <v>3890</v>
      </c>
    </row>
    <row r="442">
      <c r="A442" t="inlineStr">
        <is>
          <t>49|装备副本Boss</t>
        </is>
      </c>
      <c r="B442" t="n">
        <v>49</v>
      </c>
      <c r="C442" t="inlineStr">
        <is>
          <t>装备副本Boss</t>
        </is>
      </c>
      <c r="D442" t="n">
        <v>391473</v>
      </c>
      <c r="E442" t="n">
        <v>3205</v>
      </c>
      <c r="F442" t="n">
        <v>3890</v>
      </c>
    </row>
    <row r="443">
      <c r="A443" t="inlineStr">
        <is>
          <t>50|普通怪</t>
        </is>
      </c>
      <c r="B443" t="n">
        <v>50</v>
      </c>
      <c r="C443" t="inlineStr">
        <is>
          <t>普通怪</t>
        </is>
      </c>
      <c r="D443" t="n">
        <v>11389</v>
      </c>
      <c r="E443" t="n">
        <v>2712</v>
      </c>
      <c r="F443" t="n">
        <v>3975</v>
      </c>
    </row>
    <row r="444">
      <c r="A444" t="inlineStr">
        <is>
          <t>50|盾怪</t>
        </is>
      </c>
      <c r="B444" t="n">
        <v>50</v>
      </c>
      <c r="C444" t="inlineStr">
        <is>
          <t>盾怪</t>
        </is>
      </c>
      <c r="D444" t="n">
        <v>34167</v>
      </c>
      <c r="E444" t="n">
        <v>2712</v>
      </c>
      <c r="F444" t="n">
        <v>3975</v>
      </c>
    </row>
    <row r="445">
      <c r="A445" t="inlineStr">
        <is>
          <t>50|二级普通怪</t>
        </is>
      </c>
      <c r="B445" t="n">
        <v>50</v>
      </c>
      <c r="C445" t="inlineStr">
        <is>
          <t>二级普通怪</t>
        </is>
      </c>
      <c r="D445" t="n">
        <v>20501</v>
      </c>
      <c r="E445" t="n">
        <v>2712</v>
      </c>
      <c r="F445" t="n">
        <v>3975</v>
      </c>
    </row>
    <row r="446">
      <c r="A446" t="inlineStr">
        <is>
          <t>50|站桩怪</t>
        </is>
      </c>
      <c r="B446" t="n">
        <v>50</v>
      </c>
      <c r="C446" t="inlineStr">
        <is>
          <t>站桩怪</t>
        </is>
      </c>
      <c r="D446" t="n">
        <v>5695</v>
      </c>
      <c r="E446" t="n">
        <v>2712</v>
      </c>
      <c r="F446" t="n">
        <v>3975</v>
      </c>
    </row>
    <row r="447">
      <c r="A447" t="inlineStr">
        <is>
          <t>50|炮灰怪</t>
        </is>
      </c>
      <c r="B447" t="n">
        <v>50</v>
      </c>
      <c r="C447" t="inlineStr">
        <is>
          <t>炮灰怪</t>
        </is>
      </c>
      <c r="D447" t="n">
        <v>1709</v>
      </c>
      <c r="E447" t="n">
        <v>2712</v>
      </c>
      <c r="F447" t="n">
        <v>3975</v>
      </c>
    </row>
    <row r="448">
      <c r="A448" t="inlineStr">
        <is>
          <t>50|精英怪</t>
        </is>
      </c>
      <c r="B448" t="n">
        <v>50</v>
      </c>
      <c r="C448" t="inlineStr">
        <is>
          <t>精英怪</t>
        </is>
      </c>
      <c r="D448" t="n">
        <v>45556</v>
      </c>
      <c r="E448" t="n">
        <v>2712</v>
      </c>
      <c r="F448" t="n">
        <v>3975</v>
      </c>
    </row>
    <row r="449">
      <c r="A449" t="inlineStr">
        <is>
          <t>50|精英盾怪</t>
        </is>
      </c>
      <c r="B449" t="n">
        <v>50</v>
      </c>
      <c r="C449" t="inlineStr">
        <is>
          <t>精英盾怪</t>
        </is>
      </c>
      <c r="D449" t="n">
        <v>102501</v>
      </c>
      <c r="E449" t="n">
        <v>2712</v>
      </c>
      <c r="F449" t="n">
        <v>3975</v>
      </c>
    </row>
    <row r="450">
      <c r="A450" t="inlineStr">
        <is>
          <t>50|Boss</t>
        </is>
      </c>
      <c r="B450" t="n">
        <v>50</v>
      </c>
      <c r="C450" t="inlineStr">
        <is>
          <t>Boss</t>
        </is>
      </c>
      <c r="D450" t="n">
        <v>807834</v>
      </c>
      <c r="E450" t="n">
        <v>3281</v>
      </c>
      <c r="F450" t="n">
        <v>3975</v>
      </c>
    </row>
    <row r="451">
      <c r="A451" t="inlineStr">
        <is>
          <t>50|装备副本Boss</t>
        </is>
      </c>
      <c r="B451" t="n">
        <v>50</v>
      </c>
      <c r="C451" t="inlineStr">
        <is>
          <t>装备副本Boss</t>
        </is>
      </c>
      <c r="D451" t="n">
        <v>403917</v>
      </c>
      <c r="E451" t="n">
        <v>3281</v>
      </c>
      <c r="F451" t="n">
        <v>3975</v>
      </c>
    </row>
    <row r="452">
      <c r="A452" t="inlineStr">
        <is>
          <t>51|普通怪</t>
        </is>
      </c>
      <c r="B452" t="n">
        <v>51</v>
      </c>
      <c r="C452" t="inlineStr">
        <is>
          <t>普通怪</t>
        </is>
      </c>
      <c r="D452" t="n">
        <v>11750</v>
      </c>
      <c r="E452" t="n">
        <v>2777</v>
      </c>
      <c r="F452" t="n">
        <v>4061</v>
      </c>
    </row>
    <row r="453">
      <c r="A453" t="inlineStr">
        <is>
          <t>51|盾怪</t>
        </is>
      </c>
      <c r="B453" t="n">
        <v>51</v>
      </c>
      <c r="C453" t="inlineStr">
        <is>
          <t>盾怪</t>
        </is>
      </c>
      <c r="D453" t="n">
        <v>35250</v>
      </c>
      <c r="E453" t="n">
        <v>2777</v>
      </c>
      <c r="F453" t="n">
        <v>4061</v>
      </c>
    </row>
    <row r="454">
      <c r="A454" t="inlineStr">
        <is>
          <t>51|二级普通怪</t>
        </is>
      </c>
      <c r="B454" t="n">
        <v>51</v>
      </c>
      <c r="C454" t="inlineStr">
        <is>
          <t>二级普通怪</t>
        </is>
      </c>
      <c r="D454" t="n">
        <v>21150</v>
      </c>
      <c r="E454" t="n">
        <v>2777</v>
      </c>
      <c r="F454" t="n">
        <v>4061</v>
      </c>
    </row>
    <row r="455">
      <c r="A455" t="inlineStr">
        <is>
          <t>51|站桩怪</t>
        </is>
      </c>
      <c r="B455" t="n">
        <v>51</v>
      </c>
      <c r="C455" t="inlineStr">
        <is>
          <t>站桩怪</t>
        </is>
      </c>
      <c r="D455" t="n">
        <v>5875</v>
      </c>
      <c r="E455" t="n">
        <v>2777</v>
      </c>
      <c r="F455" t="n">
        <v>4061</v>
      </c>
    </row>
    <row r="456">
      <c r="A456" t="inlineStr">
        <is>
          <t>51|炮灰怪</t>
        </is>
      </c>
      <c r="B456" t="n">
        <v>51</v>
      </c>
      <c r="C456" t="inlineStr">
        <is>
          <t>炮灰怪</t>
        </is>
      </c>
      <c r="D456" t="n">
        <v>1763</v>
      </c>
      <c r="E456" t="n">
        <v>2777</v>
      </c>
      <c r="F456" t="n">
        <v>4061</v>
      </c>
    </row>
    <row r="457">
      <c r="A457" t="inlineStr">
        <is>
          <t>51|精英怪</t>
        </is>
      </c>
      <c r="B457" t="n">
        <v>51</v>
      </c>
      <c r="C457" t="inlineStr">
        <is>
          <t>精英怪</t>
        </is>
      </c>
      <c r="D457" t="n">
        <v>47000</v>
      </c>
      <c r="E457" t="n">
        <v>2777</v>
      </c>
      <c r="F457" t="n">
        <v>4061</v>
      </c>
    </row>
    <row r="458">
      <c r="A458" t="inlineStr">
        <is>
          <t>51|精英盾怪</t>
        </is>
      </c>
      <c r="B458" t="n">
        <v>51</v>
      </c>
      <c r="C458" t="inlineStr">
        <is>
          <t>精英盾怪</t>
        </is>
      </c>
      <c r="D458" t="n">
        <v>105750</v>
      </c>
      <c r="E458" t="n">
        <v>2777</v>
      </c>
      <c r="F458" t="n">
        <v>4061</v>
      </c>
    </row>
    <row r="459">
      <c r="A459" t="inlineStr">
        <is>
          <t>51|Boss</t>
        </is>
      </c>
      <c r="B459" t="n">
        <v>51</v>
      </c>
      <c r="C459" t="inlineStr">
        <is>
          <t>Boss</t>
        </is>
      </c>
      <c r="D459" t="n">
        <v>833308</v>
      </c>
      <c r="E459" t="n">
        <v>3358</v>
      </c>
      <c r="F459" t="n">
        <v>4061</v>
      </c>
    </row>
    <row r="460">
      <c r="A460" t="inlineStr">
        <is>
          <t>51|装备副本Boss</t>
        </is>
      </c>
      <c r="B460" t="n">
        <v>51</v>
      </c>
      <c r="C460" t="inlineStr">
        <is>
          <t>装备副本Boss</t>
        </is>
      </c>
      <c r="D460" t="n">
        <v>416654</v>
      </c>
      <c r="E460" t="n">
        <v>3358</v>
      </c>
      <c r="F460" t="n">
        <v>4061</v>
      </c>
    </row>
    <row r="461">
      <c r="A461" t="inlineStr">
        <is>
          <t>52|普通怪</t>
        </is>
      </c>
      <c r="B461" t="n">
        <v>52</v>
      </c>
      <c r="C461" t="inlineStr">
        <is>
          <t>普通怪</t>
        </is>
      </c>
      <c r="D461" t="n">
        <v>12117</v>
      </c>
      <c r="E461" t="n">
        <v>2843</v>
      </c>
      <c r="F461" t="n">
        <v>4146</v>
      </c>
    </row>
    <row r="462">
      <c r="A462" t="inlineStr">
        <is>
          <t>52|盾怪</t>
        </is>
      </c>
      <c r="B462" t="n">
        <v>52</v>
      </c>
      <c r="C462" t="inlineStr">
        <is>
          <t>盾怪</t>
        </is>
      </c>
      <c r="D462" t="n">
        <v>36351</v>
      </c>
      <c r="E462" t="n">
        <v>2843</v>
      </c>
      <c r="F462" t="n">
        <v>4146</v>
      </c>
    </row>
    <row r="463">
      <c r="A463" t="inlineStr">
        <is>
          <t>52|二级普通怪</t>
        </is>
      </c>
      <c r="B463" t="n">
        <v>52</v>
      </c>
      <c r="C463" t="inlineStr">
        <is>
          <t>二级普通怪</t>
        </is>
      </c>
      <c r="D463" t="n">
        <v>21811</v>
      </c>
      <c r="E463" t="n">
        <v>2843</v>
      </c>
      <c r="F463" t="n">
        <v>4146</v>
      </c>
    </row>
    <row r="464">
      <c r="A464" t="inlineStr">
        <is>
          <t>52|站桩怪</t>
        </is>
      </c>
      <c r="B464" t="n">
        <v>52</v>
      </c>
      <c r="C464" t="inlineStr">
        <is>
          <t>站桩怪</t>
        </is>
      </c>
      <c r="D464" t="n">
        <v>6059</v>
      </c>
      <c r="E464" t="n">
        <v>2843</v>
      </c>
      <c r="F464" t="n">
        <v>4146</v>
      </c>
    </row>
    <row r="465">
      <c r="A465" t="inlineStr">
        <is>
          <t>52|炮灰怪</t>
        </is>
      </c>
      <c r="B465" t="n">
        <v>52</v>
      </c>
      <c r="C465" t="inlineStr">
        <is>
          <t>炮灰怪</t>
        </is>
      </c>
      <c r="D465" t="n">
        <v>1818</v>
      </c>
      <c r="E465" t="n">
        <v>2843</v>
      </c>
      <c r="F465" t="n">
        <v>4146</v>
      </c>
    </row>
    <row r="466">
      <c r="A466" t="inlineStr">
        <is>
          <t>52|精英怪</t>
        </is>
      </c>
      <c r="B466" t="n">
        <v>52</v>
      </c>
      <c r="C466" t="inlineStr">
        <is>
          <t>精英怪</t>
        </is>
      </c>
      <c r="D466" t="n">
        <v>48468</v>
      </c>
      <c r="E466" t="n">
        <v>2843</v>
      </c>
      <c r="F466" t="n">
        <v>4146</v>
      </c>
    </row>
    <row r="467">
      <c r="A467" t="inlineStr">
        <is>
          <t>52|精英盾怪</t>
        </is>
      </c>
      <c r="B467" t="n">
        <v>52</v>
      </c>
      <c r="C467" t="inlineStr">
        <is>
          <t>精英盾怪</t>
        </is>
      </c>
      <c r="D467" t="n">
        <v>109053</v>
      </c>
      <c r="E467" t="n">
        <v>2843</v>
      </c>
      <c r="F467" t="n">
        <v>4146</v>
      </c>
    </row>
    <row r="468">
      <c r="A468" t="inlineStr">
        <is>
          <t>52|Boss</t>
        </is>
      </c>
      <c r="B468" t="n">
        <v>52</v>
      </c>
      <c r="C468" t="inlineStr">
        <is>
          <t>Boss</t>
        </is>
      </c>
      <c r="D468" t="n">
        <v>859313</v>
      </c>
      <c r="E468" t="n">
        <v>3436</v>
      </c>
      <c r="F468" t="n">
        <v>4146</v>
      </c>
    </row>
    <row r="469">
      <c r="A469" t="inlineStr">
        <is>
          <t>52|装备副本Boss</t>
        </is>
      </c>
      <c r="B469" t="n">
        <v>52</v>
      </c>
      <c r="C469" t="inlineStr">
        <is>
          <t>装备副本Boss</t>
        </is>
      </c>
      <c r="D469" t="n">
        <v>429657</v>
      </c>
      <c r="E469" t="n">
        <v>3436</v>
      </c>
      <c r="F469" t="n">
        <v>4146</v>
      </c>
    </row>
    <row r="470">
      <c r="A470" t="inlineStr">
        <is>
          <t>53|普通怪</t>
        </is>
      </c>
      <c r="B470" t="n">
        <v>53</v>
      </c>
      <c r="C470" t="inlineStr">
        <is>
          <t>普通怪</t>
        </is>
      </c>
      <c r="D470" t="n">
        <v>12490</v>
      </c>
      <c r="E470" t="n">
        <v>2909</v>
      </c>
      <c r="F470" t="n">
        <v>4232</v>
      </c>
    </row>
    <row r="471">
      <c r="A471" t="inlineStr">
        <is>
          <t>53|盾怪</t>
        </is>
      </c>
      <c r="B471" t="n">
        <v>53</v>
      </c>
      <c r="C471" t="inlineStr">
        <is>
          <t>盾怪</t>
        </is>
      </c>
      <c r="D471" t="n">
        <v>37470</v>
      </c>
      <c r="E471" t="n">
        <v>2909</v>
      </c>
      <c r="F471" t="n">
        <v>4232</v>
      </c>
    </row>
    <row r="472">
      <c r="A472" t="inlineStr">
        <is>
          <t>53|二级普通怪</t>
        </is>
      </c>
      <c r="B472" t="n">
        <v>53</v>
      </c>
      <c r="C472" t="inlineStr">
        <is>
          <t>二级普通怪</t>
        </is>
      </c>
      <c r="D472" t="n">
        <v>22482</v>
      </c>
      <c r="E472" t="n">
        <v>2909</v>
      </c>
      <c r="F472" t="n">
        <v>4232</v>
      </c>
    </row>
    <row r="473">
      <c r="A473" t="inlineStr">
        <is>
          <t>53|站桩怪</t>
        </is>
      </c>
      <c r="B473" t="n">
        <v>53</v>
      </c>
      <c r="C473" t="inlineStr">
        <is>
          <t>站桩怪</t>
        </is>
      </c>
      <c r="D473" t="n">
        <v>6245</v>
      </c>
      <c r="E473" t="n">
        <v>2909</v>
      </c>
      <c r="F473" t="n">
        <v>4232</v>
      </c>
    </row>
    <row r="474">
      <c r="A474" t="inlineStr">
        <is>
          <t>53|炮灰怪</t>
        </is>
      </c>
      <c r="B474" t="n">
        <v>53</v>
      </c>
      <c r="C474" t="inlineStr">
        <is>
          <t>炮灰怪</t>
        </is>
      </c>
      <c r="D474" t="n">
        <v>1874</v>
      </c>
      <c r="E474" t="n">
        <v>2909</v>
      </c>
      <c r="F474" t="n">
        <v>4232</v>
      </c>
    </row>
    <row r="475">
      <c r="A475" t="inlineStr">
        <is>
          <t>53|精英怪</t>
        </is>
      </c>
      <c r="B475" t="n">
        <v>53</v>
      </c>
      <c r="C475" t="inlineStr">
        <is>
          <t>精英怪</t>
        </is>
      </c>
      <c r="D475" t="n">
        <v>49960</v>
      </c>
      <c r="E475" t="n">
        <v>2909</v>
      </c>
      <c r="F475" t="n">
        <v>4232</v>
      </c>
    </row>
    <row r="476">
      <c r="A476" t="inlineStr">
        <is>
          <t>53|精英盾怪</t>
        </is>
      </c>
      <c r="B476" t="n">
        <v>53</v>
      </c>
      <c r="C476" t="inlineStr">
        <is>
          <t>精英盾怪</t>
        </is>
      </c>
      <c r="D476" t="n">
        <v>112410</v>
      </c>
      <c r="E476" t="n">
        <v>2909</v>
      </c>
      <c r="F476" t="n">
        <v>4232</v>
      </c>
    </row>
    <row r="477">
      <c r="A477" t="inlineStr">
        <is>
          <t>53|Boss</t>
        </is>
      </c>
      <c r="B477" t="n">
        <v>53</v>
      </c>
      <c r="C477" t="inlineStr">
        <is>
          <t>Boss</t>
        </is>
      </c>
      <c r="D477" t="n">
        <v>885853</v>
      </c>
      <c r="E477" t="n">
        <v>3514</v>
      </c>
      <c r="F477" t="n">
        <v>4232</v>
      </c>
    </row>
    <row r="478">
      <c r="A478" t="inlineStr">
        <is>
          <t>53|装备副本Boss</t>
        </is>
      </c>
      <c r="B478" t="n">
        <v>53</v>
      </c>
      <c r="C478" t="inlineStr">
        <is>
          <t>装备副本Boss</t>
        </is>
      </c>
      <c r="D478" t="n">
        <v>442926</v>
      </c>
      <c r="E478" t="n">
        <v>3514</v>
      </c>
      <c r="F478" t="n">
        <v>4232</v>
      </c>
    </row>
    <row r="479">
      <c r="A479" t="inlineStr">
        <is>
          <t>54|普通怪</t>
        </is>
      </c>
      <c r="B479" t="n">
        <v>54</v>
      </c>
      <c r="C479" t="inlineStr">
        <is>
          <t>普通怪</t>
        </is>
      </c>
      <c r="D479" t="n">
        <v>12868</v>
      </c>
      <c r="E479" t="n">
        <v>2977</v>
      </c>
      <c r="F479" t="n">
        <v>4318</v>
      </c>
    </row>
    <row r="480">
      <c r="A480" t="inlineStr">
        <is>
          <t>54|盾怪</t>
        </is>
      </c>
      <c r="B480" t="n">
        <v>54</v>
      </c>
      <c r="C480" t="inlineStr">
        <is>
          <t>盾怪</t>
        </is>
      </c>
      <c r="D480" t="n">
        <v>38604</v>
      </c>
      <c r="E480" t="n">
        <v>2977</v>
      </c>
      <c r="F480" t="n">
        <v>4318</v>
      </c>
    </row>
    <row r="481">
      <c r="A481" t="inlineStr">
        <is>
          <t>54|二级普通怪</t>
        </is>
      </c>
      <c r="B481" t="n">
        <v>54</v>
      </c>
      <c r="C481" t="inlineStr">
        <is>
          <t>二级普通怪</t>
        </is>
      </c>
      <c r="D481" t="n">
        <v>23163</v>
      </c>
      <c r="E481" t="n">
        <v>2977</v>
      </c>
      <c r="F481" t="n">
        <v>4318</v>
      </c>
    </row>
    <row r="482">
      <c r="A482" t="inlineStr">
        <is>
          <t>54|站桩怪</t>
        </is>
      </c>
      <c r="B482" t="n">
        <v>54</v>
      </c>
      <c r="C482" t="inlineStr">
        <is>
          <t>站桩怪</t>
        </is>
      </c>
      <c r="D482" t="n">
        <v>6434</v>
      </c>
      <c r="E482" t="n">
        <v>2977</v>
      </c>
      <c r="F482" t="n">
        <v>4318</v>
      </c>
    </row>
    <row r="483">
      <c r="A483" t="inlineStr">
        <is>
          <t>54|炮灰怪</t>
        </is>
      </c>
      <c r="B483" t="n">
        <v>54</v>
      </c>
      <c r="C483" t="inlineStr">
        <is>
          <t>炮灰怪</t>
        </is>
      </c>
      <c r="D483" t="n">
        <v>1931</v>
      </c>
      <c r="E483" t="n">
        <v>2977</v>
      </c>
      <c r="F483" t="n">
        <v>4318</v>
      </c>
    </row>
    <row r="484">
      <c r="A484" t="inlineStr">
        <is>
          <t>54|精英怪</t>
        </is>
      </c>
      <c r="B484" t="n">
        <v>54</v>
      </c>
      <c r="C484" t="inlineStr">
        <is>
          <t>精英怪</t>
        </is>
      </c>
      <c r="D484" t="n">
        <v>51472</v>
      </c>
      <c r="E484" t="n">
        <v>2977</v>
      </c>
      <c r="F484" t="n">
        <v>4318</v>
      </c>
    </row>
    <row r="485">
      <c r="A485" t="inlineStr">
        <is>
          <t>54|精英盾怪</t>
        </is>
      </c>
      <c r="B485" t="n">
        <v>54</v>
      </c>
      <c r="C485" t="inlineStr">
        <is>
          <t>精英盾怪</t>
        </is>
      </c>
      <c r="D485" t="n">
        <v>115812</v>
      </c>
      <c r="E485" t="n">
        <v>2977</v>
      </c>
      <c r="F485" t="n">
        <v>4318</v>
      </c>
    </row>
    <row r="486">
      <c r="A486" t="inlineStr">
        <is>
          <t>54|Boss</t>
        </is>
      </c>
      <c r="B486" t="n">
        <v>54</v>
      </c>
      <c r="C486" t="inlineStr">
        <is>
          <t>Boss</t>
        </is>
      </c>
      <c r="D486" t="n">
        <v>912985</v>
      </c>
      <c r="E486" t="n">
        <v>3593</v>
      </c>
      <c r="F486" t="n">
        <v>4318</v>
      </c>
    </row>
    <row r="487">
      <c r="A487" t="inlineStr">
        <is>
          <t>54|装备副本Boss</t>
        </is>
      </c>
      <c r="B487" t="n">
        <v>54</v>
      </c>
      <c r="C487" t="inlineStr">
        <is>
          <t>装备副本Boss</t>
        </is>
      </c>
      <c r="D487" t="n">
        <v>456493</v>
      </c>
      <c r="E487" t="n">
        <v>3593</v>
      </c>
      <c r="F487" t="n">
        <v>4318</v>
      </c>
    </row>
    <row r="488">
      <c r="A488" t="inlineStr">
        <is>
          <t>55|普通怪</t>
        </is>
      </c>
      <c r="B488" t="n">
        <v>55</v>
      </c>
      <c r="C488" t="inlineStr">
        <is>
          <t>普通怪</t>
        </is>
      </c>
      <c r="D488" t="n">
        <v>13252</v>
      </c>
      <c r="E488" t="n">
        <v>3044</v>
      </c>
      <c r="F488" t="n">
        <v>4404</v>
      </c>
    </row>
    <row r="489">
      <c r="A489" t="inlineStr">
        <is>
          <t>55|盾怪</t>
        </is>
      </c>
      <c r="B489" t="n">
        <v>55</v>
      </c>
      <c r="C489" t="inlineStr">
        <is>
          <t>盾怪</t>
        </is>
      </c>
      <c r="D489" t="n">
        <v>39756</v>
      </c>
      <c r="E489" t="n">
        <v>3044</v>
      </c>
      <c r="F489" t="n">
        <v>4404</v>
      </c>
    </row>
    <row r="490">
      <c r="A490" t="inlineStr">
        <is>
          <t>55|二级普通怪</t>
        </is>
      </c>
      <c r="B490" t="n">
        <v>55</v>
      </c>
      <c r="C490" t="inlineStr">
        <is>
          <t>二级普通怪</t>
        </is>
      </c>
      <c r="D490" t="n">
        <v>23854</v>
      </c>
      <c r="E490" t="n">
        <v>3044</v>
      </c>
      <c r="F490" t="n">
        <v>4404</v>
      </c>
    </row>
    <row r="491">
      <c r="A491" t="inlineStr">
        <is>
          <t>55|站桩怪</t>
        </is>
      </c>
      <c r="B491" t="n">
        <v>55</v>
      </c>
      <c r="C491" t="inlineStr">
        <is>
          <t>站桩怪</t>
        </is>
      </c>
      <c r="D491" t="n">
        <v>6626</v>
      </c>
      <c r="E491" t="n">
        <v>3044</v>
      </c>
      <c r="F491" t="n">
        <v>4404</v>
      </c>
    </row>
    <row r="492">
      <c r="A492" t="inlineStr">
        <is>
          <t>55|炮灰怪</t>
        </is>
      </c>
      <c r="B492" t="n">
        <v>55</v>
      </c>
      <c r="C492" t="inlineStr">
        <is>
          <t>炮灰怪</t>
        </is>
      </c>
      <c r="D492" t="n">
        <v>1988</v>
      </c>
      <c r="E492" t="n">
        <v>3044</v>
      </c>
      <c r="F492" t="n">
        <v>4404</v>
      </c>
    </row>
    <row r="493">
      <c r="A493" t="inlineStr">
        <is>
          <t>55|精英怪</t>
        </is>
      </c>
      <c r="B493" t="n">
        <v>55</v>
      </c>
      <c r="C493" t="inlineStr">
        <is>
          <t>精英怪</t>
        </is>
      </c>
      <c r="D493" t="n">
        <v>53008</v>
      </c>
      <c r="E493" t="n">
        <v>3044</v>
      </c>
      <c r="F493" t="n">
        <v>4404</v>
      </c>
    </row>
    <row r="494">
      <c r="A494" t="inlineStr">
        <is>
          <t>55|精英盾怪</t>
        </is>
      </c>
      <c r="B494" t="n">
        <v>55</v>
      </c>
      <c r="C494" t="inlineStr">
        <is>
          <t>精英盾怪</t>
        </is>
      </c>
      <c r="D494" t="n">
        <v>119268</v>
      </c>
      <c r="E494" t="n">
        <v>3044</v>
      </c>
      <c r="F494" t="n">
        <v>4404</v>
      </c>
    </row>
    <row r="495">
      <c r="A495" t="inlineStr">
        <is>
          <t>55|Boss</t>
        </is>
      </c>
      <c r="B495" t="n">
        <v>55</v>
      </c>
      <c r="C495" t="inlineStr">
        <is>
          <t>Boss</t>
        </is>
      </c>
      <c r="D495" t="n">
        <v>940658</v>
      </c>
      <c r="E495" t="n">
        <v>3672</v>
      </c>
      <c r="F495" t="n">
        <v>4404</v>
      </c>
    </row>
    <row r="496">
      <c r="A496" t="inlineStr">
        <is>
          <t>55|装备副本Boss</t>
        </is>
      </c>
      <c r="B496" t="n">
        <v>55</v>
      </c>
      <c r="C496" t="inlineStr">
        <is>
          <t>装备副本Boss</t>
        </is>
      </c>
      <c r="D496" t="n">
        <v>470329</v>
      </c>
      <c r="E496" t="n">
        <v>3672</v>
      </c>
      <c r="F496" t="n">
        <v>4404</v>
      </c>
    </row>
    <row r="497">
      <c r="A497" t="inlineStr">
        <is>
          <t>56|普通怪</t>
        </is>
      </c>
      <c r="B497" t="n">
        <v>56</v>
      </c>
      <c r="C497" t="inlineStr">
        <is>
          <t>普通怪</t>
        </is>
      </c>
      <c r="D497" t="n">
        <v>13643</v>
      </c>
      <c r="E497" t="n">
        <v>3112</v>
      </c>
      <c r="F497" t="n">
        <v>4491</v>
      </c>
    </row>
    <row r="498">
      <c r="A498" t="inlineStr">
        <is>
          <t>56|盾怪</t>
        </is>
      </c>
      <c r="B498" t="n">
        <v>56</v>
      </c>
      <c r="C498" t="inlineStr">
        <is>
          <t>盾怪</t>
        </is>
      </c>
      <c r="D498" t="n">
        <v>40929</v>
      </c>
      <c r="E498" t="n">
        <v>3112</v>
      </c>
      <c r="F498" t="n">
        <v>4491</v>
      </c>
    </row>
    <row r="499">
      <c r="A499" t="inlineStr">
        <is>
          <t>56|二级普通怪</t>
        </is>
      </c>
      <c r="B499" t="n">
        <v>56</v>
      </c>
      <c r="C499" t="inlineStr">
        <is>
          <t>二级普通怪</t>
        </is>
      </c>
      <c r="D499" t="n">
        <v>24558</v>
      </c>
      <c r="E499" t="n">
        <v>3112</v>
      </c>
      <c r="F499" t="n">
        <v>4491</v>
      </c>
    </row>
    <row r="500">
      <c r="A500" t="inlineStr">
        <is>
          <t>56|站桩怪</t>
        </is>
      </c>
      <c r="B500" t="n">
        <v>56</v>
      </c>
      <c r="C500" t="inlineStr">
        <is>
          <t>站桩怪</t>
        </is>
      </c>
      <c r="D500" t="n">
        <v>6822</v>
      </c>
      <c r="E500" t="n">
        <v>3112</v>
      </c>
      <c r="F500" t="n">
        <v>4491</v>
      </c>
    </row>
    <row r="501">
      <c r="A501" t="inlineStr">
        <is>
          <t>56|炮灰怪</t>
        </is>
      </c>
      <c r="B501" t="n">
        <v>56</v>
      </c>
      <c r="C501" t="inlineStr">
        <is>
          <t>炮灰怪</t>
        </is>
      </c>
      <c r="D501" t="n">
        <v>2047</v>
      </c>
      <c r="E501" t="n">
        <v>3112</v>
      </c>
      <c r="F501" t="n">
        <v>4491</v>
      </c>
    </row>
    <row r="502">
      <c r="A502" t="inlineStr">
        <is>
          <t>56|精英怪</t>
        </is>
      </c>
      <c r="B502" t="n">
        <v>56</v>
      </c>
      <c r="C502" t="inlineStr">
        <is>
          <t>精英怪</t>
        </is>
      </c>
      <c r="D502" t="n">
        <v>54572</v>
      </c>
      <c r="E502" t="n">
        <v>3112</v>
      </c>
      <c r="F502" t="n">
        <v>4491</v>
      </c>
    </row>
    <row r="503">
      <c r="A503" t="inlineStr">
        <is>
          <t>56|精英盾怪</t>
        </is>
      </c>
      <c r="B503" t="n">
        <v>56</v>
      </c>
      <c r="C503" t="inlineStr">
        <is>
          <t>精英盾怪</t>
        </is>
      </c>
      <c r="D503" t="n">
        <v>122787</v>
      </c>
      <c r="E503" t="n">
        <v>3112</v>
      </c>
      <c r="F503" t="n">
        <v>4491</v>
      </c>
    </row>
    <row r="504">
      <c r="A504" t="inlineStr">
        <is>
          <t>56|Boss</t>
        </is>
      </c>
      <c r="B504" t="n">
        <v>56</v>
      </c>
      <c r="C504" t="inlineStr">
        <is>
          <t>Boss</t>
        </is>
      </c>
      <c r="D504" t="n">
        <v>968929</v>
      </c>
      <c r="E504" t="n">
        <v>3752</v>
      </c>
      <c r="F504" t="n">
        <v>4491</v>
      </c>
    </row>
    <row r="505">
      <c r="A505" t="inlineStr">
        <is>
          <t>56|装备副本Boss</t>
        </is>
      </c>
      <c r="B505" t="n">
        <v>56</v>
      </c>
      <c r="C505" t="inlineStr">
        <is>
          <t>装备副本Boss</t>
        </is>
      </c>
      <c r="D505" t="n">
        <v>484465</v>
      </c>
      <c r="E505" t="n">
        <v>3752</v>
      </c>
      <c r="F505" t="n">
        <v>4491</v>
      </c>
    </row>
    <row r="506">
      <c r="A506" t="inlineStr">
        <is>
          <t>57|普通怪</t>
        </is>
      </c>
      <c r="B506" t="n">
        <v>57</v>
      </c>
      <c r="C506" t="inlineStr">
        <is>
          <t>普通怪</t>
        </is>
      </c>
      <c r="D506" t="n">
        <v>14039</v>
      </c>
      <c r="E506" t="n">
        <v>3180</v>
      </c>
      <c r="F506" t="n">
        <v>4577</v>
      </c>
    </row>
    <row r="507">
      <c r="A507" t="inlineStr">
        <is>
          <t>57|盾怪</t>
        </is>
      </c>
      <c r="B507" t="n">
        <v>57</v>
      </c>
      <c r="C507" t="inlineStr">
        <is>
          <t>盾怪</t>
        </is>
      </c>
      <c r="D507" t="n">
        <v>42117</v>
      </c>
      <c r="E507" t="n">
        <v>3180</v>
      </c>
      <c r="F507" t="n">
        <v>4577</v>
      </c>
    </row>
    <row r="508">
      <c r="A508" t="inlineStr">
        <is>
          <t>57|二级普通怪</t>
        </is>
      </c>
      <c r="B508" t="n">
        <v>57</v>
      </c>
      <c r="C508" t="inlineStr">
        <is>
          <t>二级普通怪</t>
        </is>
      </c>
      <c r="D508" t="n">
        <v>25271</v>
      </c>
      <c r="E508" t="n">
        <v>3180</v>
      </c>
      <c r="F508" t="n">
        <v>4577</v>
      </c>
    </row>
    <row r="509">
      <c r="A509" t="inlineStr">
        <is>
          <t>57|站桩怪</t>
        </is>
      </c>
      <c r="B509" t="n">
        <v>57</v>
      </c>
      <c r="C509" t="inlineStr">
        <is>
          <t>站桩怪</t>
        </is>
      </c>
      <c r="D509" t="n">
        <v>7020</v>
      </c>
      <c r="E509" t="n">
        <v>3180</v>
      </c>
      <c r="F509" t="n">
        <v>4577</v>
      </c>
    </row>
    <row r="510">
      <c r="A510" t="inlineStr">
        <is>
          <t>57|炮灰怪</t>
        </is>
      </c>
      <c r="B510" t="n">
        <v>57</v>
      </c>
      <c r="C510" t="inlineStr">
        <is>
          <t>炮灰怪</t>
        </is>
      </c>
      <c r="D510" t="n">
        <v>2106</v>
      </c>
      <c r="E510" t="n">
        <v>3180</v>
      </c>
      <c r="F510" t="n">
        <v>4577</v>
      </c>
    </row>
    <row r="511">
      <c r="A511" t="inlineStr">
        <is>
          <t>57|精英怪</t>
        </is>
      </c>
      <c r="B511" t="n">
        <v>57</v>
      </c>
      <c r="C511" t="inlineStr">
        <is>
          <t>精英怪</t>
        </is>
      </c>
      <c r="D511" t="n">
        <v>56156</v>
      </c>
      <c r="E511" t="n">
        <v>3180</v>
      </c>
      <c r="F511" t="n">
        <v>4577</v>
      </c>
    </row>
    <row r="512">
      <c r="A512" t="inlineStr">
        <is>
          <t>57|精英盾怪</t>
        </is>
      </c>
      <c r="B512" t="n">
        <v>57</v>
      </c>
      <c r="C512" t="inlineStr">
        <is>
          <t>精英盾怪</t>
        </is>
      </c>
      <c r="D512" t="n">
        <v>126351</v>
      </c>
      <c r="E512" t="n">
        <v>3180</v>
      </c>
      <c r="F512" t="n">
        <v>4577</v>
      </c>
    </row>
    <row r="513">
      <c r="A513" t="inlineStr">
        <is>
          <t>57|Boss</t>
        </is>
      </c>
      <c r="B513" t="n">
        <v>57</v>
      </c>
      <c r="C513" t="inlineStr">
        <is>
          <t>Boss</t>
        </is>
      </c>
      <c r="D513" t="n">
        <v>997745</v>
      </c>
      <c r="E513" t="n">
        <v>3832</v>
      </c>
      <c r="F513" t="n">
        <v>4577</v>
      </c>
    </row>
    <row r="514">
      <c r="A514" t="inlineStr">
        <is>
          <t>57|装备副本Boss</t>
        </is>
      </c>
      <c r="B514" t="n">
        <v>57</v>
      </c>
      <c r="C514" t="inlineStr">
        <is>
          <t>装备副本Boss</t>
        </is>
      </c>
      <c r="D514" t="n">
        <v>498872</v>
      </c>
      <c r="E514" t="n">
        <v>3832</v>
      </c>
      <c r="F514" t="n">
        <v>4577</v>
      </c>
    </row>
    <row r="515">
      <c r="A515" t="inlineStr">
        <is>
          <t>58|普通怪</t>
        </is>
      </c>
      <c r="B515" t="n">
        <v>58</v>
      </c>
      <c r="C515" t="inlineStr">
        <is>
          <t>普通怪</t>
        </is>
      </c>
      <c r="D515" t="n">
        <v>14441</v>
      </c>
      <c r="E515" t="n">
        <v>3249</v>
      </c>
      <c r="F515" t="n">
        <v>4664</v>
      </c>
    </row>
    <row r="516">
      <c r="A516" t="inlineStr">
        <is>
          <t>58|盾怪</t>
        </is>
      </c>
      <c r="B516" t="n">
        <v>58</v>
      </c>
      <c r="C516" t="inlineStr">
        <is>
          <t>盾怪</t>
        </is>
      </c>
      <c r="D516" t="n">
        <v>43323</v>
      </c>
      <c r="E516" t="n">
        <v>3249</v>
      </c>
      <c r="F516" t="n">
        <v>4664</v>
      </c>
    </row>
    <row r="517">
      <c r="A517" t="inlineStr">
        <is>
          <t>58|二级普通怪</t>
        </is>
      </c>
      <c r="B517" t="n">
        <v>58</v>
      </c>
      <c r="C517" t="inlineStr">
        <is>
          <t>二级普通怪</t>
        </is>
      </c>
      <c r="D517" t="n">
        <v>25994</v>
      </c>
      <c r="E517" t="n">
        <v>3249</v>
      </c>
      <c r="F517" t="n">
        <v>4664</v>
      </c>
    </row>
    <row r="518">
      <c r="A518" t="inlineStr">
        <is>
          <t>58|站桩怪</t>
        </is>
      </c>
      <c r="B518" t="n">
        <v>58</v>
      </c>
      <c r="C518" t="inlineStr">
        <is>
          <t>站桩怪</t>
        </is>
      </c>
      <c r="D518" t="n">
        <v>7221</v>
      </c>
      <c r="E518" t="n">
        <v>3249</v>
      </c>
      <c r="F518" t="n">
        <v>4664</v>
      </c>
    </row>
    <row r="519">
      <c r="A519" t="inlineStr">
        <is>
          <t>58|炮灰怪</t>
        </is>
      </c>
      <c r="B519" t="n">
        <v>58</v>
      </c>
      <c r="C519" t="inlineStr">
        <is>
          <t>炮灰怪</t>
        </is>
      </c>
      <c r="D519" t="n">
        <v>2167</v>
      </c>
      <c r="E519" t="n">
        <v>3249</v>
      </c>
      <c r="F519" t="n">
        <v>4664</v>
      </c>
    </row>
    <row r="520">
      <c r="A520" t="inlineStr">
        <is>
          <t>58|精英怪</t>
        </is>
      </c>
      <c r="B520" t="n">
        <v>58</v>
      </c>
      <c r="C520" t="inlineStr">
        <is>
          <t>精英怪</t>
        </is>
      </c>
      <c r="D520" t="n">
        <v>57764</v>
      </c>
      <c r="E520" t="n">
        <v>3249</v>
      </c>
      <c r="F520" t="n">
        <v>4664</v>
      </c>
    </row>
    <row r="521">
      <c r="A521" t="inlineStr">
        <is>
          <t>58|精英盾怪</t>
        </is>
      </c>
      <c r="B521" t="n">
        <v>58</v>
      </c>
      <c r="C521" t="inlineStr">
        <is>
          <t>精英盾怪</t>
        </is>
      </c>
      <c r="D521" t="n">
        <v>129969</v>
      </c>
      <c r="E521" t="n">
        <v>3249</v>
      </c>
      <c r="F521" t="n">
        <v>4664</v>
      </c>
    </row>
    <row r="522">
      <c r="A522" t="inlineStr">
        <is>
          <t>58|Boss</t>
        </is>
      </c>
      <c r="B522" t="n">
        <v>58</v>
      </c>
      <c r="C522" t="inlineStr">
        <is>
          <t>Boss</t>
        </is>
      </c>
      <c r="D522" t="n">
        <v>1027219</v>
      </c>
      <c r="E522" t="n">
        <v>3912</v>
      </c>
      <c r="F522" t="n">
        <v>4664</v>
      </c>
    </row>
    <row r="523">
      <c r="A523" t="inlineStr">
        <is>
          <t>58|装备副本Boss</t>
        </is>
      </c>
      <c r="B523" t="n">
        <v>58</v>
      </c>
      <c r="C523" t="inlineStr">
        <is>
          <t>装备副本Boss</t>
        </is>
      </c>
      <c r="D523" t="n">
        <v>513609</v>
      </c>
      <c r="E523" t="n">
        <v>3912</v>
      </c>
      <c r="F523" t="n">
        <v>4664</v>
      </c>
    </row>
    <row r="524">
      <c r="A524" t="inlineStr">
        <is>
          <t>59|普通怪</t>
        </is>
      </c>
      <c r="B524" t="n">
        <v>59</v>
      </c>
      <c r="C524" t="inlineStr">
        <is>
          <t>普通怪</t>
        </is>
      </c>
      <c r="D524" t="n">
        <v>14849</v>
      </c>
      <c r="E524" t="n">
        <v>3319</v>
      </c>
      <c r="F524" t="n">
        <v>4751</v>
      </c>
    </row>
    <row r="525">
      <c r="A525" t="inlineStr">
        <is>
          <t>59|盾怪</t>
        </is>
      </c>
      <c r="B525" t="n">
        <v>59</v>
      </c>
      <c r="C525" t="inlineStr">
        <is>
          <t>盾怪</t>
        </is>
      </c>
      <c r="D525" t="n">
        <v>44547</v>
      </c>
      <c r="E525" t="n">
        <v>3319</v>
      </c>
      <c r="F525" t="n">
        <v>4751</v>
      </c>
    </row>
    <row r="526">
      <c r="A526" t="inlineStr">
        <is>
          <t>59|二级普通怪</t>
        </is>
      </c>
      <c r="B526" t="n">
        <v>59</v>
      </c>
      <c r="C526" t="inlineStr">
        <is>
          <t>二级普通怪</t>
        </is>
      </c>
      <c r="D526" t="n">
        <v>26729</v>
      </c>
      <c r="E526" t="n">
        <v>3319</v>
      </c>
      <c r="F526" t="n">
        <v>4751</v>
      </c>
    </row>
    <row r="527">
      <c r="A527" t="inlineStr">
        <is>
          <t>59|站桩怪</t>
        </is>
      </c>
      <c r="B527" t="n">
        <v>59</v>
      </c>
      <c r="C527" t="inlineStr">
        <is>
          <t>站桩怪</t>
        </is>
      </c>
      <c r="D527" t="n">
        <v>7425</v>
      </c>
      <c r="E527" t="n">
        <v>3319</v>
      </c>
      <c r="F527" t="n">
        <v>4751</v>
      </c>
    </row>
    <row r="528">
      <c r="A528" t="inlineStr">
        <is>
          <t>59|炮灰怪</t>
        </is>
      </c>
      <c r="B528" t="n">
        <v>59</v>
      </c>
      <c r="C528" t="inlineStr">
        <is>
          <t>炮灰怪</t>
        </is>
      </c>
      <c r="D528" t="n">
        <v>2228</v>
      </c>
      <c r="E528" t="n">
        <v>3319</v>
      </c>
      <c r="F528" t="n">
        <v>4751</v>
      </c>
    </row>
    <row r="529">
      <c r="A529" t="inlineStr">
        <is>
          <t>59|精英怪</t>
        </is>
      </c>
      <c r="B529" t="n">
        <v>59</v>
      </c>
      <c r="C529" t="inlineStr">
        <is>
          <t>精英怪</t>
        </is>
      </c>
      <c r="D529" t="n">
        <v>59396</v>
      </c>
      <c r="E529" t="n">
        <v>3319</v>
      </c>
      <c r="F529" t="n">
        <v>4751</v>
      </c>
    </row>
    <row r="530">
      <c r="A530" t="inlineStr">
        <is>
          <t>59|精英盾怪</t>
        </is>
      </c>
      <c r="B530" t="n">
        <v>59</v>
      </c>
      <c r="C530" t="inlineStr">
        <is>
          <t>精英盾怪</t>
        </is>
      </c>
      <c r="D530" t="n">
        <v>133641</v>
      </c>
      <c r="E530" t="n">
        <v>3319</v>
      </c>
      <c r="F530" t="n">
        <v>4751</v>
      </c>
    </row>
    <row r="531">
      <c r="A531" t="inlineStr">
        <is>
          <t>59|Boss</t>
        </is>
      </c>
      <c r="B531" t="n">
        <v>59</v>
      </c>
      <c r="C531" t="inlineStr">
        <is>
          <t>Boss</t>
        </is>
      </c>
      <c r="D531" t="n">
        <v>1057242</v>
      </c>
      <c r="E531" t="n">
        <v>3994</v>
      </c>
      <c r="F531" t="n">
        <v>4751</v>
      </c>
    </row>
    <row r="532">
      <c r="A532" t="inlineStr">
        <is>
          <t>59|装备副本Boss</t>
        </is>
      </c>
      <c r="B532" t="n">
        <v>59</v>
      </c>
      <c r="C532" t="inlineStr">
        <is>
          <t>装备副本Boss</t>
        </is>
      </c>
      <c r="D532" t="n">
        <v>528621</v>
      </c>
      <c r="E532" t="n">
        <v>3994</v>
      </c>
      <c r="F532" t="n">
        <v>4751</v>
      </c>
    </row>
    <row r="533">
      <c r="A533" t="inlineStr">
        <is>
          <t>60|普通怪</t>
        </is>
      </c>
      <c r="B533" t="n">
        <v>60</v>
      </c>
      <c r="C533" t="inlineStr">
        <is>
          <t>普通怪</t>
        </is>
      </c>
      <c r="D533" t="n">
        <v>15263</v>
      </c>
      <c r="E533" t="n">
        <v>3388</v>
      </c>
      <c r="F533" t="n">
        <v>4839</v>
      </c>
    </row>
    <row r="534">
      <c r="A534" t="inlineStr">
        <is>
          <t>60|盾怪</t>
        </is>
      </c>
      <c r="B534" t="n">
        <v>60</v>
      </c>
      <c r="C534" t="inlineStr">
        <is>
          <t>盾怪</t>
        </is>
      </c>
      <c r="D534" t="n">
        <v>45789</v>
      </c>
      <c r="E534" t="n">
        <v>3388</v>
      </c>
      <c r="F534" t="n">
        <v>4839</v>
      </c>
    </row>
    <row r="535">
      <c r="A535" t="inlineStr">
        <is>
          <t>60|二级普通怪</t>
        </is>
      </c>
      <c r="B535" t="n">
        <v>60</v>
      </c>
      <c r="C535" t="inlineStr">
        <is>
          <t>二级普通怪</t>
        </is>
      </c>
      <c r="D535" t="n">
        <v>27474</v>
      </c>
      <c r="E535" t="n">
        <v>3388</v>
      </c>
      <c r="F535" t="n">
        <v>4839</v>
      </c>
    </row>
    <row r="536">
      <c r="A536" t="inlineStr">
        <is>
          <t>60|站桩怪</t>
        </is>
      </c>
      <c r="B536" t="n">
        <v>60</v>
      </c>
      <c r="C536" t="inlineStr">
        <is>
          <t>站桩怪</t>
        </is>
      </c>
      <c r="D536" t="n">
        <v>7632</v>
      </c>
      <c r="E536" t="n">
        <v>3388</v>
      </c>
      <c r="F536" t="n">
        <v>4839</v>
      </c>
    </row>
    <row r="537">
      <c r="A537" t="inlineStr">
        <is>
          <t>60|炮灰怪</t>
        </is>
      </c>
      <c r="B537" t="n">
        <v>60</v>
      </c>
      <c r="C537" t="inlineStr">
        <is>
          <t>炮灰怪</t>
        </is>
      </c>
      <c r="D537" t="n">
        <v>2290</v>
      </c>
      <c r="E537" t="n">
        <v>3388</v>
      </c>
      <c r="F537" t="n">
        <v>4839</v>
      </c>
    </row>
    <row r="538">
      <c r="A538" t="inlineStr">
        <is>
          <t>60|精英怪</t>
        </is>
      </c>
      <c r="B538" t="n">
        <v>60</v>
      </c>
      <c r="C538" t="inlineStr">
        <is>
          <t>精英怪</t>
        </is>
      </c>
      <c r="D538" t="n">
        <v>61052</v>
      </c>
      <c r="E538" t="n">
        <v>3388</v>
      </c>
      <c r="F538" t="n">
        <v>4839</v>
      </c>
    </row>
    <row r="539">
      <c r="A539" t="inlineStr">
        <is>
          <t>60|精英盾怪</t>
        </is>
      </c>
      <c r="B539" t="n">
        <v>60</v>
      </c>
      <c r="C539" t="inlineStr">
        <is>
          <t>精英盾怪</t>
        </is>
      </c>
      <c r="D539" t="n">
        <v>137367</v>
      </c>
      <c r="E539" t="n">
        <v>3388</v>
      </c>
      <c r="F539" t="n">
        <v>4839</v>
      </c>
    </row>
    <row r="540">
      <c r="A540" t="inlineStr">
        <is>
          <t>60|Boss</t>
        </is>
      </c>
      <c r="B540" t="n">
        <v>60</v>
      </c>
      <c r="C540" t="inlineStr">
        <is>
          <t>Boss</t>
        </is>
      </c>
      <c r="D540" t="n">
        <v>1087927</v>
      </c>
      <c r="E540" t="n">
        <v>4075</v>
      </c>
      <c r="F540" t="n">
        <v>4839</v>
      </c>
    </row>
    <row r="541">
      <c r="A541" t="inlineStr">
        <is>
          <t>60|装备副本Boss</t>
        </is>
      </c>
      <c r="B541" t="n">
        <v>60</v>
      </c>
      <c r="C541" t="inlineStr">
        <is>
          <t>装备副本Boss</t>
        </is>
      </c>
      <c r="D541" t="n">
        <v>543964</v>
      </c>
      <c r="E541" t="n">
        <v>4075</v>
      </c>
      <c r="F541" t="n">
        <v>4839</v>
      </c>
    </row>
    <row r="542">
      <c r="A542" t="inlineStr">
        <is>
          <t>61|普通怪</t>
        </is>
      </c>
      <c r="B542" t="n">
        <v>61</v>
      </c>
      <c r="C542" t="inlineStr">
        <is>
          <t>普通怪</t>
        </is>
      </c>
      <c r="D542" t="n">
        <v>15683</v>
      </c>
      <c r="E542" t="n">
        <v>3458</v>
      </c>
      <c r="F542" t="n">
        <v>4926</v>
      </c>
    </row>
    <row r="543">
      <c r="A543" t="inlineStr">
        <is>
          <t>61|盾怪</t>
        </is>
      </c>
      <c r="B543" t="n">
        <v>61</v>
      </c>
      <c r="C543" t="inlineStr">
        <is>
          <t>盾怪</t>
        </is>
      </c>
      <c r="D543" t="n">
        <v>47049</v>
      </c>
      <c r="E543" t="n">
        <v>3458</v>
      </c>
      <c r="F543" t="n">
        <v>4926</v>
      </c>
    </row>
    <row r="544">
      <c r="A544" t="inlineStr">
        <is>
          <t>61|二级普通怪</t>
        </is>
      </c>
      <c r="B544" t="n">
        <v>61</v>
      </c>
      <c r="C544" t="inlineStr">
        <is>
          <t>二级普通怪</t>
        </is>
      </c>
      <c r="D544" t="n">
        <v>28230</v>
      </c>
      <c r="E544" t="n">
        <v>3458</v>
      </c>
      <c r="F544" t="n">
        <v>4926</v>
      </c>
    </row>
    <row r="545">
      <c r="A545" t="inlineStr">
        <is>
          <t>61|站桩怪</t>
        </is>
      </c>
      <c r="B545" t="n">
        <v>61</v>
      </c>
      <c r="C545" t="inlineStr">
        <is>
          <t>站桩怪</t>
        </is>
      </c>
      <c r="D545" t="n">
        <v>7842</v>
      </c>
      <c r="E545" t="n">
        <v>3458</v>
      </c>
      <c r="F545" t="n">
        <v>4926</v>
      </c>
    </row>
    <row r="546">
      <c r="A546" t="inlineStr">
        <is>
          <t>61|炮灰怪</t>
        </is>
      </c>
      <c r="B546" t="n">
        <v>61</v>
      </c>
      <c r="C546" t="inlineStr">
        <is>
          <t>炮灰怪</t>
        </is>
      </c>
      <c r="D546" t="n">
        <v>2353</v>
      </c>
      <c r="E546" t="n">
        <v>3458</v>
      </c>
      <c r="F546" t="n">
        <v>4926</v>
      </c>
    </row>
    <row r="547">
      <c r="A547" t="inlineStr">
        <is>
          <t>61|精英怪</t>
        </is>
      </c>
      <c r="B547" t="n">
        <v>61</v>
      </c>
      <c r="C547" t="inlineStr">
        <is>
          <t>精英怪</t>
        </is>
      </c>
      <c r="D547" t="n">
        <v>62732</v>
      </c>
      <c r="E547" t="n">
        <v>3458</v>
      </c>
      <c r="F547" t="n">
        <v>4926</v>
      </c>
    </row>
    <row r="548">
      <c r="A548" t="inlineStr">
        <is>
          <t>61|精英盾怪</t>
        </is>
      </c>
      <c r="B548" t="n">
        <v>61</v>
      </c>
      <c r="C548" t="inlineStr">
        <is>
          <t>精英盾怪</t>
        </is>
      </c>
      <c r="D548" t="n">
        <v>141147</v>
      </c>
      <c r="E548" t="n">
        <v>3458</v>
      </c>
      <c r="F548" t="n">
        <v>4926</v>
      </c>
    </row>
    <row r="549">
      <c r="A549" t="inlineStr">
        <is>
          <t>61|Boss</t>
        </is>
      </c>
      <c r="B549" t="n">
        <v>61</v>
      </c>
      <c r="C549" t="inlineStr">
        <is>
          <t>Boss</t>
        </is>
      </c>
      <c r="D549" t="n">
        <v>1119166</v>
      </c>
      <c r="E549" t="n">
        <v>4157</v>
      </c>
      <c r="F549" t="n">
        <v>4926</v>
      </c>
    </row>
    <row r="550">
      <c r="A550" t="inlineStr">
        <is>
          <t>61|装备副本Boss</t>
        </is>
      </c>
      <c r="B550" t="n">
        <v>61</v>
      </c>
      <c r="C550" t="inlineStr">
        <is>
          <t>装备副本Boss</t>
        </is>
      </c>
      <c r="D550" t="n">
        <v>559583</v>
      </c>
      <c r="E550" t="n">
        <v>4157</v>
      </c>
      <c r="F550" t="n">
        <v>4926</v>
      </c>
    </row>
    <row r="551">
      <c r="A551" t="inlineStr">
        <is>
          <t>62|普通怪</t>
        </is>
      </c>
      <c r="B551" t="n">
        <v>62</v>
      </c>
      <c r="C551" t="inlineStr">
        <is>
          <t>普通怪</t>
        </is>
      </c>
      <c r="D551" t="n">
        <v>16110</v>
      </c>
      <c r="E551" t="n">
        <v>3529</v>
      </c>
      <c r="F551" t="n">
        <v>5014</v>
      </c>
    </row>
    <row r="552">
      <c r="A552" t="inlineStr">
        <is>
          <t>62|盾怪</t>
        </is>
      </c>
      <c r="B552" t="n">
        <v>62</v>
      </c>
      <c r="C552" t="inlineStr">
        <is>
          <t>盾怪</t>
        </is>
      </c>
      <c r="D552" t="n">
        <v>48330</v>
      </c>
      <c r="E552" t="n">
        <v>3529</v>
      </c>
      <c r="F552" t="n">
        <v>5014</v>
      </c>
    </row>
    <row r="553">
      <c r="A553" t="inlineStr">
        <is>
          <t>62|二级普通怪</t>
        </is>
      </c>
      <c r="B553" t="n">
        <v>62</v>
      </c>
      <c r="C553" t="inlineStr">
        <is>
          <t>二级普通怪</t>
        </is>
      </c>
      <c r="D553" t="n">
        <v>28998</v>
      </c>
      <c r="E553" t="n">
        <v>3529</v>
      </c>
      <c r="F553" t="n">
        <v>5014</v>
      </c>
    </row>
    <row r="554">
      <c r="A554" t="inlineStr">
        <is>
          <t>62|站桩怪</t>
        </is>
      </c>
      <c r="B554" t="n">
        <v>62</v>
      </c>
      <c r="C554" t="inlineStr">
        <is>
          <t>站桩怪</t>
        </is>
      </c>
      <c r="D554" t="n">
        <v>8055</v>
      </c>
      <c r="E554" t="n">
        <v>3529</v>
      </c>
      <c r="F554" t="n">
        <v>5014</v>
      </c>
    </row>
    <row r="555">
      <c r="A555" t="inlineStr">
        <is>
          <t>62|炮灰怪</t>
        </is>
      </c>
      <c r="B555" t="n">
        <v>62</v>
      </c>
      <c r="C555" t="inlineStr">
        <is>
          <t>炮灰怪</t>
        </is>
      </c>
      <c r="D555" t="n">
        <v>2417</v>
      </c>
      <c r="E555" t="n">
        <v>3529</v>
      </c>
      <c r="F555" t="n">
        <v>5014</v>
      </c>
    </row>
    <row r="556">
      <c r="A556" t="inlineStr">
        <is>
          <t>62|精英怪</t>
        </is>
      </c>
      <c r="B556" t="n">
        <v>62</v>
      </c>
      <c r="C556" t="inlineStr">
        <is>
          <t>精英怪</t>
        </is>
      </c>
      <c r="D556" t="n">
        <v>64440</v>
      </c>
      <c r="E556" t="n">
        <v>3529</v>
      </c>
      <c r="F556" t="n">
        <v>5014</v>
      </c>
    </row>
    <row r="557">
      <c r="A557" t="inlineStr">
        <is>
          <t>62|精英盾怪</t>
        </is>
      </c>
      <c r="B557" t="n">
        <v>62</v>
      </c>
      <c r="C557" t="inlineStr">
        <is>
          <t>精英盾怪</t>
        </is>
      </c>
      <c r="D557" t="n">
        <v>144990</v>
      </c>
      <c r="E557" t="n">
        <v>3529</v>
      </c>
      <c r="F557" t="n">
        <v>5014</v>
      </c>
    </row>
    <row r="558">
      <c r="A558" t="inlineStr">
        <is>
          <t>62|Boss</t>
        </is>
      </c>
      <c r="B558" t="n">
        <v>62</v>
      </c>
      <c r="C558" t="inlineStr">
        <is>
          <t>Boss</t>
        </is>
      </c>
      <c r="D558" t="n">
        <v>1151069</v>
      </c>
      <c r="E558" t="n">
        <v>4240</v>
      </c>
      <c r="F558" t="n">
        <v>5014</v>
      </c>
    </row>
    <row r="559">
      <c r="A559" t="inlineStr">
        <is>
          <t>62|装备副本Boss</t>
        </is>
      </c>
      <c r="B559" t="n">
        <v>62</v>
      </c>
      <c r="C559" t="inlineStr">
        <is>
          <t>装备副本Boss</t>
        </is>
      </c>
      <c r="D559" t="n">
        <v>575534</v>
      </c>
      <c r="E559" t="n">
        <v>4240</v>
      </c>
      <c r="F559" t="n">
        <v>5014</v>
      </c>
    </row>
    <row r="560">
      <c r="A560" t="inlineStr">
        <is>
          <t>63|普通怪</t>
        </is>
      </c>
      <c r="B560" t="n">
        <v>63</v>
      </c>
      <c r="C560" t="inlineStr">
        <is>
          <t>普通怪</t>
        </is>
      </c>
      <c r="D560" t="n">
        <v>16542</v>
      </c>
      <c r="E560" t="n">
        <v>3600</v>
      </c>
      <c r="F560" t="n">
        <v>5102</v>
      </c>
    </row>
    <row r="561">
      <c r="A561" t="inlineStr">
        <is>
          <t>63|盾怪</t>
        </is>
      </c>
      <c r="B561" t="n">
        <v>63</v>
      </c>
      <c r="C561" t="inlineStr">
        <is>
          <t>盾怪</t>
        </is>
      </c>
      <c r="D561" t="n">
        <v>49626</v>
      </c>
      <c r="E561" t="n">
        <v>3600</v>
      </c>
      <c r="F561" t="n">
        <v>5102</v>
      </c>
    </row>
    <row r="562">
      <c r="A562" t="inlineStr">
        <is>
          <t>63|二级普通怪</t>
        </is>
      </c>
      <c r="B562" t="n">
        <v>63</v>
      </c>
      <c r="C562" t="inlineStr">
        <is>
          <t>二级普通怪</t>
        </is>
      </c>
      <c r="D562" t="n">
        <v>29776</v>
      </c>
      <c r="E562" t="n">
        <v>3600</v>
      </c>
      <c r="F562" t="n">
        <v>5102</v>
      </c>
    </row>
    <row r="563">
      <c r="A563" t="inlineStr">
        <is>
          <t>63|站桩怪</t>
        </is>
      </c>
      <c r="B563" t="n">
        <v>63</v>
      </c>
      <c r="C563" t="inlineStr">
        <is>
          <t>站桩怪</t>
        </is>
      </c>
      <c r="D563" t="n">
        <v>8271</v>
      </c>
      <c r="E563" t="n">
        <v>3600</v>
      </c>
      <c r="F563" t="n">
        <v>5102</v>
      </c>
    </row>
    <row r="564">
      <c r="A564" t="inlineStr">
        <is>
          <t>63|炮灰怪</t>
        </is>
      </c>
      <c r="B564" t="n">
        <v>63</v>
      </c>
      <c r="C564" t="inlineStr">
        <is>
          <t>炮灰怪</t>
        </is>
      </c>
      <c r="D564" t="n">
        <v>2482</v>
      </c>
      <c r="E564" t="n">
        <v>3600</v>
      </c>
      <c r="F564" t="n">
        <v>5102</v>
      </c>
    </row>
    <row r="565">
      <c r="A565" t="inlineStr">
        <is>
          <t>63|精英怪</t>
        </is>
      </c>
      <c r="B565" t="n">
        <v>63</v>
      </c>
      <c r="C565" t="inlineStr">
        <is>
          <t>精英怪</t>
        </is>
      </c>
      <c r="D565" t="n">
        <v>66168</v>
      </c>
      <c r="E565" t="n">
        <v>3600</v>
      </c>
      <c r="F565" t="n">
        <v>5102</v>
      </c>
    </row>
    <row r="566">
      <c r="A566" t="inlineStr">
        <is>
          <t>63|精英盾怪</t>
        </is>
      </c>
      <c r="B566" t="n">
        <v>63</v>
      </c>
      <c r="C566" t="inlineStr">
        <is>
          <t>精英盾怪</t>
        </is>
      </c>
      <c r="D566" t="n">
        <v>148878</v>
      </c>
      <c r="E566" t="n">
        <v>3600</v>
      </c>
      <c r="F566" t="n">
        <v>5102</v>
      </c>
    </row>
    <row r="567">
      <c r="A567" t="inlineStr">
        <is>
          <t>63|Boss</t>
        </is>
      </c>
      <c r="B567" t="n">
        <v>63</v>
      </c>
      <c r="C567" t="inlineStr">
        <is>
          <t>Boss</t>
        </is>
      </c>
      <c r="D567" t="n">
        <v>1183638</v>
      </c>
      <c r="E567" t="n">
        <v>4323</v>
      </c>
      <c r="F567" t="n">
        <v>5102</v>
      </c>
    </row>
    <row r="568">
      <c r="A568" t="inlineStr">
        <is>
          <t>63|装备副本Boss</t>
        </is>
      </c>
      <c r="B568" t="n">
        <v>63</v>
      </c>
      <c r="C568" t="inlineStr">
        <is>
          <t>装备副本Boss</t>
        </is>
      </c>
      <c r="D568" t="n">
        <v>591819</v>
      </c>
      <c r="E568" t="n">
        <v>4323</v>
      </c>
      <c r="F568" t="n">
        <v>5102</v>
      </c>
    </row>
    <row r="569">
      <c r="A569" t="inlineStr">
        <is>
          <t>64|普通怪</t>
        </is>
      </c>
      <c r="B569" t="n">
        <v>64</v>
      </c>
      <c r="C569" t="inlineStr">
        <is>
          <t>普通怪</t>
        </is>
      </c>
      <c r="D569" t="n">
        <v>16981</v>
      </c>
      <c r="E569" t="n">
        <v>3672</v>
      </c>
      <c r="F569" t="n">
        <v>5190</v>
      </c>
    </row>
    <row r="570">
      <c r="A570" t="inlineStr">
        <is>
          <t>64|盾怪</t>
        </is>
      </c>
      <c r="B570" t="n">
        <v>64</v>
      </c>
      <c r="C570" t="inlineStr">
        <is>
          <t>盾怪</t>
        </is>
      </c>
      <c r="D570" t="n">
        <v>50943</v>
      </c>
      <c r="E570" t="n">
        <v>3672</v>
      </c>
      <c r="F570" t="n">
        <v>5190</v>
      </c>
    </row>
    <row r="571">
      <c r="A571" t="inlineStr">
        <is>
          <t>64|二级普通怪</t>
        </is>
      </c>
      <c r="B571" t="n">
        <v>64</v>
      </c>
      <c r="C571" t="inlineStr">
        <is>
          <t>二级普通怪</t>
        </is>
      </c>
      <c r="D571" t="n">
        <v>30566</v>
      </c>
      <c r="E571" t="n">
        <v>3672</v>
      </c>
      <c r="F571" t="n">
        <v>5190</v>
      </c>
    </row>
    <row r="572">
      <c r="A572" t="inlineStr">
        <is>
          <t>64|站桩怪</t>
        </is>
      </c>
      <c r="B572" t="n">
        <v>64</v>
      </c>
      <c r="C572" t="inlineStr">
        <is>
          <t>站桩怪</t>
        </is>
      </c>
      <c r="D572" t="n">
        <v>8491</v>
      </c>
      <c r="E572" t="n">
        <v>3672</v>
      </c>
      <c r="F572" t="n">
        <v>5190</v>
      </c>
    </row>
    <row r="573">
      <c r="A573" t="inlineStr">
        <is>
          <t>64|炮灰怪</t>
        </is>
      </c>
      <c r="B573" t="n">
        <v>64</v>
      </c>
      <c r="C573" t="inlineStr">
        <is>
          <t>炮灰怪</t>
        </is>
      </c>
      <c r="D573" t="n">
        <v>2548</v>
      </c>
      <c r="E573" t="n">
        <v>3672</v>
      </c>
      <c r="F573" t="n">
        <v>5190</v>
      </c>
    </row>
    <row r="574">
      <c r="A574" t="inlineStr">
        <is>
          <t>64|精英怪</t>
        </is>
      </c>
      <c r="B574" t="n">
        <v>64</v>
      </c>
      <c r="C574" t="inlineStr">
        <is>
          <t>精英怪</t>
        </is>
      </c>
      <c r="D574" t="n">
        <v>67924</v>
      </c>
      <c r="E574" t="n">
        <v>3672</v>
      </c>
      <c r="F574" t="n">
        <v>5190</v>
      </c>
    </row>
    <row r="575">
      <c r="A575" t="inlineStr">
        <is>
          <t>64|精英盾怪</t>
        </is>
      </c>
      <c r="B575" t="n">
        <v>64</v>
      </c>
      <c r="C575" t="inlineStr">
        <is>
          <t>精英盾怪</t>
        </is>
      </c>
      <c r="D575" t="n">
        <v>152829</v>
      </c>
      <c r="E575" t="n">
        <v>3672</v>
      </c>
      <c r="F575" t="n">
        <v>5190</v>
      </c>
    </row>
    <row r="576">
      <c r="A576" t="inlineStr">
        <is>
          <t>64|Boss</t>
        </is>
      </c>
      <c r="B576" t="n">
        <v>64</v>
      </c>
      <c r="C576" t="inlineStr">
        <is>
          <t>Boss</t>
        </is>
      </c>
      <c r="D576" t="n">
        <v>1216821</v>
      </c>
      <c r="E576" t="n">
        <v>4407</v>
      </c>
      <c r="F576" t="n">
        <v>5190</v>
      </c>
    </row>
    <row r="577">
      <c r="A577" t="inlineStr">
        <is>
          <t>64|装备副本Boss</t>
        </is>
      </c>
      <c r="B577" t="n">
        <v>64</v>
      </c>
      <c r="C577" t="inlineStr">
        <is>
          <t>装备副本Boss</t>
        </is>
      </c>
      <c r="D577" t="n">
        <v>608410</v>
      </c>
      <c r="E577" t="n">
        <v>4407</v>
      </c>
      <c r="F577" t="n">
        <v>5190</v>
      </c>
    </row>
    <row r="578">
      <c r="A578" t="inlineStr">
        <is>
          <t>65|普通怪</t>
        </is>
      </c>
      <c r="B578" t="n">
        <v>65</v>
      </c>
      <c r="C578" t="inlineStr">
        <is>
          <t>普通怪</t>
        </is>
      </c>
      <c r="D578" t="n">
        <v>17427</v>
      </c>
      <c r="E578" t="n">
        <v>3745</v>
      </c>
      <c r="F578" t="n">
        <v>5279</v>
      </c>
    </row>
    <row r="579">
      <c r="A579" t="inlineStr">
        <is>
          <t>65|盾怪</t>
        </is>
      </c>
      <c r="B579" t="n">
        <v>65</v>
      </c>
      <c r="C579" t="inlineStr">
        <is>
          <t>盾怪</t>
        </is>
      </c>
      <c r="D579" t="n">
        <v>52281</v>
      </c>
      <c r="E579" t="n">
        <v>3745</v>
      </c>
      <c r="F579" t="n">
        <v>5279</v>
      </c>
    </row>
    <row r="580">
      <c r="A580" t="inlineStr">
        <is>
          <t>65|二级普通怪</t>
        </is>
      </c>
      <c r="B580" t="n">
        <v>65</v>
      </c>
      <c r="C580" t="inlineStr">
        <is>
          <t>二级普通怪</t>
        </is>
      </c>
      <c r="D580" t="n">
        <v>31369</v>
      </c>
      <c r="E580" t="n">
        <v>3745</v>
      </c>
      <c r="F580" t="n">
        <v>5279</v>
      </c>
    </row>
    <row r="581">
      <c r="A581" t="inlineStr">
        <is>
          <t>65|站桩怪</t>
        </is>
      </c>
      <c r="B581" t="n">
        <v>65</v>
      </c>
      <c r="C581" t="inlineStr">
        <is>
          <t>站桩怪</t>
        </is>
      </c>
      <c r="D581" t="n">
        <v>8714</v>
      </c>
      <c r="E581" t="n">
        <v>3745</v>
      </c>
      <c r="F581" t="n">
        <v>5279</v>
      </c>
    </row>
    <row r="582">
      <c r="A582" t="inlineStr">
        <is>
          <t>65|炮灰怪</t>
        </is>
      </c>
      <c r="B582" t="n">
        <v>65</v>
      </c>
      <c r="C582" t="inlineStr">
        <is>
          <t>炮灰怪</t>
        </is>
      </c>
      <c r="D582" t="n">
        <v>2615</v>
      </c>
      <c r="E582" t="n">
        <v>3745</v>
      </c>
      <c r="F582" t="n">
        <v>5279</v>
      </c>
    </row>
    <row r="583">
      <c r="A583" t="inlineStr">
        <is>
          <t>65|精英怪</t>
        </is>
      </c>
      <c r="B583" t="n">
        <v>65</v>
      </c>
      <c r="C583" t="inlineStr">
        <is>
          <t>精英怪</t>
        </is>
      </c>
      <c r="D583" t="n">
        <v>69708</v>
      </c>
      <c r="E583" t="n">
        <v>3745</v>
      </c>
      <c r="F583" t="n">
        <v>5279</v>
      </c>
    </row>
    <row r="584">
      <c r="A584" t="inlineStr">
        <is>
          <t>65|精英盾怪</t>
        </is>
      </c>
      <c r="B584" t="n">
        <v>65</v>
      </c>
      <c r="C584" t="inlineStr">
        <is>
          <t>精英盾怪</t>
        </is>
      </c>
      <c r="D584" t="n">
        <v>156843</v>
      </c>
      <c r="E584" t="n">
        <v>3745</v>
      </c>
      <c r="F584" t="n">
        <v>5279</v>
      </c>
    </row>
    <row r="585">
      <c r="A585" t="inlineStr">
        <is>
          <t>65|Boss</t>
        </is>
      </c>
      <c r="B585" t="n">
        <v>65</v>
      </c>
      <c r="C585" t="inlineStr">
        <is>
          <t>Boss</t>
        </is>
      </c>
      <c r="D585" t="n">
        <v>1250618</v>
      </c>
      <c r="E585" t="n">
        <v>4491</v>
      </c>
      <c r="F585" t="n">
        <v>5279</v>
      </c>
    </row>
    <row r="586">
      <c r="A586" t="inlineStr">
        <is>
          <t>65|装备副本Boss</t>
        </is>
      </c>
      <c r="B586" t="n">
        <v>65</v>
      </c>
      <c r="C586" t="inlineStr">
        <is>
          <t>装备副本Boss</t>
        </is>
      </c>
      <c r="D586" t="n">
        <v>625309</v>
      </c>
      <c r="E586" t="n">
        <v>4491</v>
      </c>
      <c r="F586" t="n">
        <v>5279</v>
      </c>
    </row>
    <row r="587">
      <c r="A587" t="inlineStr">
        <is>
          <t>66|普通怪</t>
        </is>
      </c>
      <c r="B587" t="n">
        <v>66</v>
      </c>
      <c r="C587" t="inlineStr">
        <is>
          <t>普通怪</t>
        </is>
      </c>
      <c r="D587" t="n">
        <v>17879</v>
      </c>
      <c r="E587" t="n">
        <v>3818</v>
      </c>
      <c r="F587" t="n">
        <v>5367</v>
      </c>
    </row>
    <row r="588">
      <c r="A588" t="inlineStr">
        <is>
          <t>66|盾怪</t>
        </is>
      </c>
      <c r="B588" t="n">
        <v>66</v>
      </c>
      <c r="C588" t="inlineStr">
        <is>
          <t>盾怪</t>
        </is>
      </c>
      <c r="D588" t="n">
        <v>53637</v>
      </c>
      <c r="E588" t="n">
        <v>3818</v>
      </c>
      <c r="F588" t="n">
        <v>5367</v>
      </c>
    </row>
    <row r="589">
      <c r="A589" t="inlineStr">
        <is>
          <t>66|二级普通怪</t>
        </is>
      </c>
      <c r="B589" t="n">
        <v>66</v>
      </c>
      <c r="C589" t="inlineStr">
        <is>
          <t>二级普通怪</t>
        </is>
      </c>
      <c r="D589" t="n">
        <v>32183</v>
      </c>
      <c r="E589" t="n">
        <v>3818</v>
      </c>
      <c r="F589" t="n">
        <v>5367</v>
      </c>
    </row>
    <row r="590">
      <c r="A590" t="inlineStr">
        <is>
          <t>66|站桩怪</t>
        </is>
      </c>
      <c r="B590" t="n">
        <v>66</v>
      </c>
      <c r="C590" t="inlineStr">
        <is>
          <t>站桩怪</t>
        </is>
      </c>
      <c r="D590" t="n">
        <v>8940</v>
      </c>
      <c r="E590" t="n">
        <v>3818</v>
      </c>
      <c r="F590" t="n">
        <v>5367</v>
      </c>
    </row>
    <row r="591">
      <c r="A591" t="inlineStr">
        <is>
          <t>66|炮灰怪</t>
        </is>
      </c>
      <c r="B591" t="n">
        <v>66</v>
      </c>
      <c r="C591" t="inlineStr">
        <is>
          <t>炮灰怪</t>
        </is>
      </c>
      <c r="D591" t="n">
        <v>2682</v>
      </c>
      <c r="E591" t="n">
        <v>3818</v>
      </c>
      <c r="F591" t="n">
        <v>5367</v>
      </c>
    </row>
    <row r="592">
      <c r="A592" t="inlineStr">
        <is>
          <t>66|精英怪</t>
        </is>
      </c>
      <c r="B592" t="n">
        <v>66</v>
      </c>
      <c r="C592" t="inlineStr">
        <is>
          <t>精英怪</t>
        </is>
      </c>
      <c r="D592" t="n">
        <v>71516</v>
      </c>
      <c r="E592" t="n">
        <v>3818</v>
      </c>
      <c r="F592" t="n">
        <v>5367</v>
      </c>
    </row>
    <row r="593">
      <c r="A593" t="inlineStr">
        <is>
          <t>66|精英盾怪</t>
        </is>
      </c>
      <c r="B593" t="n">
        <v>66</v>
      </c>
      <c r="C593" t="inlineStr">
        <is>
          <t>精英盾怪</t>
        </is>
      </c>
      <c r="D593" t="n">
        <v>160911</v>
      </c>
      <c r="E593" t="n">
        <v>3818</v>
      </c>
      <c r="F593" t="n">
        <v>5367</v>
      </c>
    </row>
    <row r="594">
      <c r="A594" t="inlineStr">
        <is>
          <t>66|Boss</t>
        </is>
      </c>
      <c r="B594" t="n">
        <v>66</v>
      </c>
      <c r="C594" t="inlineStr">
        <is>
          <t>Boss</t>
        </is>
      </c>
      <c r="D594" t="n">
        <v>1285140</v>
      </c>
      <c r="E594" t="n">
        <v>4576</v>
      </c>
      <c r="F594" t="n">
        <v>5367</v>
      </c>
    </row>
    <row r="595">
      <c r="A595" t="inlineStr">
        <is>
          <t>66|装备副本Boss</t>
        </is>
      </c>
      <c r="B595" t="n">
        <v>66</v>
      </c>
      <c r="C595" t="inlineStr">
        <is>
          <t>装备副本Boss</t>
        </is>
      </c>
      <c r="D595" t="n">
        <v>642570</v>
      </c>
      <c r="E595" t="n">
        <v>4576</v>
      </c>
      <c r="F595" t="n">
        <v>5367</v>
      </c>
    </row>
    <row r="596">
      <c r="A596" t="inlineStr">
        <is>
          <t>67|普通怪</t>
        </is>
      </c>
      <c r="B596" t="n">
        <v>67</v>
      </c>
      <c r="C596" t="inlineStr">
        <is>
          <t>普通怪</t>
        </is>
      </c>
      <c r="D596" t="n">
        <v>18337</v>
      </c>
      <c r="E596" t="n">
        <v>3891</v>
      </c>
      <c r="F596" t="n">
        <v>5456</v>
      </c>
    </row>
    <row r="597">
      <c r="A597" t="inlineStr">
        <is>
          <t>67|盾怪</t>
        </is>
      </c>
      <c r="B597" t="n">
        <v>67</v>
      </c>
      <c r="C597" t="inlineStr">
        <is>
          <t>盾怪</t>
        </is>
      </c>
      <c r="D597" t="n">
        <v>55011</v>
      </c>
      <c r="E597" t="n">
        <v>3891</v>
      </c>
      <c r="F597" t="n">
        <v>5456</v>
      </c>
    </row>
    <row r="598">
      <c r="A598" t="inlineStr">
        <is>
          <t>67|二级普通怪</t>
        </is>
      </c>
      <c r="B598" t="n">
        <v>67</v>
      </c>
      <c r="C598" t="inlineStr">
        <is>
          <t>二级普通怪</t>
        </is>
      </c>
      <c r="D598" t="n">
        <v>33007</v>
      </c>
      <c r="E598" t="n">
        <v>3891</v>
      </c>
      <c r="F598" t="n">
        <v>5456</v>
      </c>
    </row>
    <row r="599">
      <c r="A599" t="inlineStr">
        <is>
          <t>67|站桩怪</t>
        </is>
      </c>
      <c r="B599" t="n">
        <v>67</v>
      </c>
      <c r="C599" t="inlineStr">
        <is>
          <t>站桩怪</t>
        </is>
      </c>
      <c r="D599" t="n">
        <v>9169</v>
      </c>
      <c r="E599" t="n">
        <v>3891</v>
      </c>
      <c r="F599" t="n">
        <v>5456</v>
      </c>
    </row>
    <row r="600">
      <c r="A600" t="inlineStr">
        <is>
          <t>67|炮灰怪</t>
        </is>
      </c>
      <c r="B600" t="n">
        <v>67</v>
      </c>
      <c r="C600" t="inlineStr">
        <is>
          <t>炮灰怪</t>
        </is>
      </c>
      <c r="D600" t="n">
        <v>2751</v>
      </c>
      <c r="E600" t="n">
        <v>3891</v>
      </c>
      <c r="F600" t="n">
        <v>5456</v>
      </c>
    </row>
    <row r="601">
      <c r="A601" t="inlineStr">
        <is>
          <t>67|精英怪</t>
        </is>
      </c>
      <c r="B601" t="n">
        <v>67</v>
      </c>
      <c r="C601" t="inlineStr">
        <is>
          <t>精英怪</t>
        </is>
      </c>
      <c r="D601" t="n">
        <v>73348</v>
      </c>
      <c r="E601" t="n">
        <v>3891</v>
      </c>
      <c r="F601" t="n">
        <v>5456</v>
      </c>
    </row>
    <row r="602">
      <c r="A602" t="inlineStr">
        <is>
          <t>67|精英盾怪</t>
        </is>
      </c>
      <c r="B602" t="n">
        <v>67</v>
      </c>
      <c r="C602" t="inlineStr">
        <is>
          <t>精英盾怪</t>
        </is>
      </c>
      <c r="D602" t="n">
        <v>165033</v>
      </c>
      <c r="E602" t="n">
        <v>3891</v>
      </c>
      <c r="F602" t="n">
        <v>5456</v>
      </c>
    </row>
    <row r="603">
      <c r="A603" t="inlineStr">
        <is>
          <t>67|Boss</t>
        </is>
      </c>
      <c r="B603" t="n">
        <v>67</v>
      </c>
      <c r="C603" t="inlineStr">
        <is>
          <t>Boss</t>
        </is>
      </c>
      <c r="D603" t="n">
        <v>1320279</v>
      </c>
      <c r="E603" t="n">
        <v>4661</v>
      </c>
      <c r="F603" t="n">
        <v>5456</v>
      </c>
    </row>
    <row r="604">
      <c r="A604" t="inlineStr">
        <is>
          <t>67|装备副本Boss</t>
        </is>
      </c>
      <c r="B604" t="n">
        <v>67</v>
      </c>
      <c r="C604" t="inlineStr">
        <is>
          <t>装备副本Boss</t>
        </is>
      </c>
      <c r="D604" t="n">
        <v>660139</v>
      </c>
      <c r="E604" t="n">
        <v>4661</v>
      </c>
      <c r="F604" t="n">
        <v>5456</v>
      </c>
    </row>
    <row r="605">
      <c r="A605" t="inlineStr">
        <is>
          <t>68|普通怪</t>
        </is>
      </c>
      <c r="B605" t="n">
        <v>68</v>
      </c>
      <c r="C605" t="inlineStr">
        <is>
          <t>普通怪</t>
        </is>
      </c>
      <c r="D605" t="n">
        <v>18802</v>
      </c>
      <c r="E605" t="n">
        <v>3965</v>
      </c>
      <c r="F605" t="n">
        <v>5546</v>
      </c>
    </row>
    <row r="606">
      <c r="A606" t="inlineStr">
        <is>
          <t>68|盾怪</t>
        </is>
      </c>
      <c r="B606" t="n">
        <v>68</v>
      </c>
      <c r="C606" t="inlineStr">
        <is>
          <t>盾怪</t>
        </is>
      </c>
      <c r="D606" t="n">
        <v>56406</v>
      </c>
      <c r="E606" t="n">
        <v>3965</v>
      </c>
      <c r="F606" t="n">
        <v>5546</v>
      </c>
    </row>
    <row r="607">
      <c r="A607" t="inlineStr">
        <is>
          <t>68|二级普通怪</t>
        </is>
      </c>
      <c r="B607" t="n">
        <v>68</v>
      </c>
      <c r="C607" t="inlineStr">
        <is>
          <t>二级普通怪</t>
        </is>
      </c>
      <c r="D607" t="n">
        <v>33844</v>
      </c>
      <c r="E607" t="n">
        <v>3965</v>
      </c>
      <c r="F607" t="n">
        <v>5546</v>
      </c>
    </row>
    <row r="608">
      <c r="A608" t="inlineStr">
        <is>
          <t>68|站桩怪</t>
        </is>
      </c>
      <c r="B608" t="n">
        <v>68</v>
      </c>
      <c r="C608" t="inlineStr">
        <is>
          <t>站桩怪</t>
        </is>
      </c>
      <c r="D608" t="n">
        <v>9401</v>
      </c>
      <c r="E608" t="n">
        <v>3965</v>
      </c>
      <c r="F608" t="n">
        <v>5546</v>
      </c>
    </row>
    <row r="609">
      <c r="A609" t="inlineStr">
        <is>
          <t>68|炮灰怪</t>
        </is>
      </c>
      <c r="B609" t="n">
        <v>68</v>
      </c>
      <c r="C609" t="inlineStr">
        <is>
          <t>炮灰怪</t>
        </is>
      </c>
      <c r="D609" t="n">
        <v>2821</v>
      </c>
      <c r="E609" t="n">
        <v>3965</v>
      </c>
      <c r="F609" t="n">
        <v>5546</v>
      </c>
    </row>
    <row r="610">
      <c r="A610" t="inlineStr">
        <is>
          <t>68|精英怪</t>
        </is>
      </c>
      <c r="B610" t="n">
        <v>68</v>
      </c>
      <c r="C610" t="inlineStr">
        <is>
          <t>精英怪</t>
        </is>
      </c>
      <c r="D610" t="n">
        <v>75208</v>
      </c>
      <c r="E610" t="n">
        <v>3965</v>
      </c>
      <c r="F610" t="n">
        <v>5546</v>
      </c>
    </row>
    <row r="611">
      <c r="A611" t="inlineStr">
        <is>
          <t>68|精英盾怪</t>
        </is>
      </c>
      <c r="B611" t="n">
        <v>68</v>
      </c>
      <c r="C611" t="inlineStr">
        <is>
          <t>精英盾怪</t>
        </is>
      </c>
      <c r="D611" t="n">
        <v>169218</v>
      </c>
      <c r="E611" t="n">
        <v>3965</v>
      </c>
      <c r="F611" t="n">
        <v>5546</v>
      </c>
    </row>
    <row r="612">
      <c r="A612" t="inlineStr">
        <is>
          <t>68|Boss</t>
        </is>
      </c>
      <c r="B612" t="n">
        <v>68</v>
      </c>
      <c r="C612" t="inlineStr">
        <is>
          <t>Boss</t>
        </is>
      </c>
      <c r="D612" t="n">
        <v>1356090</v>
      </c>
      <c r="E612" t="n">
        <v>4747</v>
      </c>
      <c r="F612" t="n">
        <v>5546</v>
      </c>
    </row>
    <row r="613">
      <c r="A613" t="inlineStr">
        <is>
          <t>68|装备副本Boss</t>
        </is>
      </c>
      <c r="B613" t="n">
        <v>68</v>
      </c>
      <c r="C613" t="inlineStr">
        <is>
          <t>装备副本Boss</t>
        </is>
      </c>
      <c r="D613" t="n">
        <v>678045</v>
      </c>
      <c r="E613" t="n">
        <v>4747</v>
      </c>
      <c r="F613" t="n">
        <v>5546</v>
      </c>
    </row>
    <row r="614">
      <c r="A614" t="inlineStr">
        <is>
          <t>69|普通怪</t>
        </is>
      </c>
      <c r="B614" t="n">
        <v>69</v>
      </c>
      <c r="C614" t="inlineStr">
        <is>
          <t>普通怪</t>
        </is>
      </c>
      <c r="D614" t="n">
        <v>19273</v>
      </c>
      <c r="E614" t="n">
        <v>4040</v>
      </c>
      <c r="F614" t="n">
        <v>5635</v>
      </c>
    </row>
    <row r="615">
      <c r="A615" t="inlineStr">
        <is>
          <t>69|盾怪</t>
        </is>
      </c>
      <c r="B615" t="n">
        <v>69</v>
      </c>
      <c r="C615" t="inlineStr">
        <is>
          <t>盾怪</t>
        </is>
      </c>
      <c r="D615" t="n">
        <v>57819</v>
      </c>
      <c r="E615" t="n">
        <v>4040</v>
      </c>
      <c r="F615" t="n">
        <v>5635</v>
      </c>
    </row>
    <row r="616">
      <c r="A616" t="inlineStr">
        <is>
          <t>69|二级普通怪</t>
        </is>
      </c>
      <c r="B616" t="n">
        <v>69</v>
      </c>
      <c r="C616" t="inlineStr">
        <is>
          <t>二级普通怪</t>
        </is>
      </c>
      <c r="D616" t="n">
        <v>34692</v>
      </c>
      <c r="E616" t="n">
        <v>4040</v>
      </c>
      <c r="F616" t="n">
        <v>5635</v>
      </c>
    </row>
    <row r="617">
      <c r="A617" t="inlineStr">
        <is>
          <t>69|站桩怪</t>
        </is>
      </c>
      <c r="B617" t="n">
        <v>69</v>
      </c>
      <c r="C617" t="inlineStr">
        <is>
          <t>站桩怪</t>
        </is>
      </c>
      <c r="D617" t="n">
        <v>9637</v>
      </c>
      <c r="E617" t="n">
        <v>4040</v>
      </c>
      <c r="F617" t="n">
        <v>5635</v>
      </c>
    </row>
    <row r="618">
      <c r="A618" t="inlineStr">
        <is>
          <t>69|炮灰怪</t>
        </is>
      </c>
      <c r="B618" t="n">
        <v>69</v>
      </c>
      <c r="C618" t="inlineStr">
        <is>
          <t>炮灰怪</t>
        </is>
      </c>
      <c r="D618" t="n">
        <v>2891</v>
      </c>
      <c r="E618" t="n">
        <v>4040</v>
      </c>
      <c r="F618" t="n">
        <v>5635</v>
      </c>
    </row>
    <row r="619">
      <c r="A619" t="inlineStr">
        <is>
          <t>69|精英怪</t>
        </is>
      </c>
      <c r="B619" t="n">
        <v>69</v>
      </c>
      <c r="C619" t="inlineStr">
        <is>
          <t>精英怪</t>
        </is>
      </c>
      <c r="D619" t="n">
        <v>77092</v>
      </c>
      <c r="E619" t="n">
        <v>4040</v>
      </c>
      <c r="F619" t="n">
        <v>5635</v>
      </c>
    </row>
    <row r="620">
      <c r="A620" t="inlineStr">
        <is>
          <t>69|精英盾怪</t>
        </is>
      </c>
      <c r="B620" t="n">
        <v>69</v>
      </c>
      <c r="C620" t="inlineStr">
        <is>
          <t>精英盾怪</t>
        </is>
      </c>
      <c r="D620" t="n">
        <v>173457</v>
      </c>
      <c r="E620" t="n">
        <v>4040</v>
      </c>
      <c r="F620" t="n">
        <v>5635</v>
      </c>
    </row>
    <row r="621">
      <c r="A621" t="inlineStr">
        <is>
          <t>69|Boss</t>
        </is>
      </c>
      <c r="B621" t="n">
        <v>69</v>
      </c>
      <c r="C621" t="inlineStr">
        <is>
          <t>Boss</t>
        </is>
      </c>
      <c r="D621" t="n">
        <v>1392627</v>
      </c>
      <c r="E621" t="n">
        <v>4834</v>
      </c>
      <c r="F621" t="n">
        <v>5635</v>
      </c>
    </row>
    <row r="622">
      <c r="A622" t="inlineStr">
        <is>
          <t>69|装备副本Boss</t>
        </is>
      </c>
      <c r="B622" t="n">
        <v>69</v>
      </c>
      <c r="C622" t="inlineStr">
        <is>
          <t>装备副本Boss</t>
        </is>
      </c>
      <c r="D622" t="n">
        <v>696314</v>
      </c>
      <c r="E622" t="n">
        <v>4834</v>
      </c>
      <c r="F622" t="n">
        <v>5635</v>
      </c>
    </row>
    <row r="623">
      <c r="A623" t="inlineStr">
        <is>
          <t>70|普通怪</t>
        </is>
      </c>
      <c r="B623" t="n">
        <v>70</v>
      </c>
      <c r="C623" t="inlineStr">
        <is>
          <t>普通怪</t>
        </is>
      </c>
      <c r="D623" t="n">
        <v>19751</v>
      </c>
      <c r="E623" t="n">
        <v>4115</v>
      </c>
      <c r="F623" t="n">
        <v>5725</v>
      </c>
    </row>
    <row r="624">
      <c r="A624" t="inlineStr">
        <is>
          <t>70|盾怪</t>
        </is>
      </c>
      <c r="B624" t="n">
        <v>70</v>
      </c>
      <c r="C624" t="inlineStr">
        <is>
          <t>盾怪</t>
        </is>
      </c>
      <c r="D624" t="n">
        <v>59253</v>
      </c>
      <c r="E624" t="n">
        <v>4115</v>
      </c>
      <c r="F624" t="n">
        <v>5725</v>
      </c>
    </row>
    <row r="625">
      <c r="A625" t="inlineStr">
        <is>
          <t>70|二级普通怪</t>
        </is>
      </c>
      <c r="B625" t="n">
        <v>70</v>
      </c>
      <c r="C625" t="inlineStr">
        <is>
          <t>二级普通怪</t>
        </is>
      </c>
      <c r="D625" t="n">
        <v>35552</v>
      </c>
      <c r="E625" t="n">
        <v>4115</v>
      </c>
      <c r="F625" t="n">
        <v>5725</v>
      </c>
    </row>
    <row r="626">
      <c r="A626" t="inlineStr">
        <is>
          <t>70|站桩怪</t>
        </is>
      </c>
      <c r="B626" t="n">
        <v>70</v>
      </c>
      <c r="C626" t="inlineStr">
        <is>
          <t>站桩怪</t>
        </is>
      </c>
      <c r="D626" t="n">
        <v>9876</v>
      </c>
      <c r="E626" t="n">
        <v>4115</v>
      </c>
      <c r="F626" t="n">
        <v>5725</v>
      </c>
    </row>
    <row r="627">
      <c r="A627" t="inlineStr">
        <is>
          <t>70|炮灰怪</t>
        </is>
      </c>
      <c r="B627" t="n">
        <v>70</v>
      </c>
      <c r="C627" t="inlineStr">
        <is>
          <t>炮灰怪</t>
        </is>
      </c>
      <c r="D627" t="n">
        <v>2963</v>
      </c>
      <c r="E627" t="n">
        <v>4115</v>
      </c>
      <c r="F627" t="n">
        <v>5725</v>
      </c>
    </row>
    <row r="628">
      <c r="A628" t="inlineStr">
        <is>
          <t>70|精英怪</t>
        </is>
      </c>
      <c r="B628" t="n">
        <v>70</v>
      </c>
      <c r="C628" t="inlineStr">
        <is>
          <t>精英怪</t>
        </is>
      </c>
      <c r="D628" t="n">
        <v>79004</v>
      </c>
      <c r="E628" t="n">
        <v>4115</v>
      </c>
      <c r="F628" t="n">
        <v>5725</v>
      </c>
    </row>
    <row r="629">
      <c r="A629" t="inlineStr">
        <is>
          <t>70|精英盾怪</t>
        </is>
      </c>
      <c r="B629" t="n">
        <v>70</v>
      </c>
      <c r="C629" t="inlineStr">
        <is>
          <t>精英盾怪</t>
        </is>
      </c>
      <c r="D629" t="n">
        <v>177759</v>
      </c>
      <c r="E629" t="n">
        <v>4115</v>
      </c>
      <c r="F629" t="n">
        <v>5725</v>
      </c>
    </row>
    <row r="630">
      <c r="A630" t="inlineStr">
        <is>
          <t>70|Boss</t>
        </is>
      </c>
      <c r="B630" t="n">
        <v>70</v>
      </c>
      <c r="C630" t="inlineStr">
        <is>
          <t>Boss</t>
        </is>
      </c>
      <c r="D630" t="n">
        <v>1429839</v>
      </c>
      <c r="E630" t="n">
        <v>4921</v>
      </c>
      <c r="F630" t="n">
        <v>5725</v>
      </c>
    </row>
    <row r="631">
      <c r="A631" t="inlineStr">
        <is>
          <t>70|装备副本Boss</t>
        </is>
      </c>
      <c r="B631" t="n">
        <v>70</v>
      </c>
      <c r="C631" t="inlineStr">
        <is>
          <t>装备副本Boss</t>
        </is>
      </c>
      <c r="D631" t="n">
        <v>714920</v>
      </c>
      <c r="E631" t="n">
        <v>4921</v>
      </c>
      <c r="F631" t="n">
        <v>5725</v>
      </c>
    </row>
    <row r="632">
      <c r="A632" t="inlineStr">
        <is>
          <t>71|普通怪</t>
        </is>
      </c>
      <c r="B632" t="n">
        <v>71</v>
      </c>
      <c r="C632" t="inlineStr">
        <is>
          <t>普通怪</t>
        </is>
      </c>
      <c r="D632" t="n">
        <v>20236</v>
      </c>
      <c r="E632" t="n">
        <v>4190</v>
      </c>
      <c r="F632" t="n">
        <v>5814</v>
      </c>
    </row>
    <row r="633">
      <c r="A633" t="inlineStr">
        <is>
          <t>71|盾怪</t>
        </is>
      </c>
      <c r="B633" t="n">
        <v>71</v>
      </c>
      <c r="C633" t="inlineStr">
        <is>
          <t>盾怪</t>
        </is>
      </c>
      <c r="D633" t="n">
        <v>60708</v>
      </c>
      <c r="E633" t="n">
        <v>4190</v>
      </c>
      <c r="F633" t="n">
        <v>5814</v>
      </c>
    </row>
    <row r="634">
      <c r="A634" t="inlineStr">
        <is>
          <t>71|二级普通怪</t>
        </is>
      </c>
      <c r="B634" t="n">
        <v>71</v>
      </c>
      <c r="C634" t="inlineStr">
        <is>
          <t>二级普通怪</t>
        </is>
      </c>
      <c r="D634" t="n">
        <v>36425</v>
      </c>
      <c r="E634" t="n">
        <v>4190</v>
      </c>
      <c r="F634" t="n">
        <v>5814</v>
      </c>
    </row>
    <row r="635">
      <c r="A635" t="inlineStr">
        <is>
          <t>71|站桩怪</t>
        </is>
      </c>
      <c r="B635" t="n">
        <v>71</v>
      </c>
      <c r="C635" t="inlineStr">
        <is>
          <t>站桩怪</t>
        </is>
      </c>
      <c r="D635" t="n">
        <v>10118</v>
      </c>
      <c r="E635" t="n">
        <v>4190</v>
      </c>
      <c r="F635" t="n">
        <v>5814</v>
      </c>
    </row>
    <row r="636">
      <c r="A636" t="inlineStr">
        <is>
          <t>71|炮灰怪</t>
        </is>
      </c>
      <c r="B636" t="n">
        <v>71</v>
      </c>
      <c r="C636" t="inlineStr">
        <is>
          <t>炮灰怪</t>
        </is>
      </c>
      <c r="D636" t="n">
        <v>3036</v>
      </c>
      <c r="E636" t="n">
        <v>4190</v>
      </c>
      <c r="F636" t="n">
        <v>5814</v>
      </c>
    </row>
    <row r="637">
      <c r="A637" t="inlineStr">
        <is>
          <t>71|精英怪</t>
        </is>
      </c>
      <c r="B637" t="n">
        <v>71</v>
      </c>
      <c r="C637" t="inlineStr">
        <is>
          <t>精英怪</t>
        </is>
      </c>
      <c r="D637" t="n">
        <v>80944</v>
      </c>
      <c r="E637" t="n">
        <v>4190</v>
      </c>
      <c r="F637" t="n">
        <v>5814</v>
      </c>
    </row>
    <row r="638">
      <c r="A638" t="inlineStr">
        <is>
          <t>71|精英盾怪</t>
        </is>
      </c>
      <c r="B638" t="n">
        <v>71</v>
      </c>
      <c r="C638" t="inlineStr">
        <is>
          <t>精英盾怪</t>
        </is>
      </c>
      <c r="D638" t="n">
        <v>182124</v>
      </c>
      <c r="E638" t="n">
        <v>4190</v>
      </c>
      <c r="F638" t="n">
        <v>5814</v>
      </c>
    </row>
    <row r="639">
      <c r="A639" t="inlineStr">
        <is>
          <t>71|Boss</t>
        </is>
      </c>
      <c r="B639" t="n">
        <v>71</v>
      </c>
      <c r="C639" t="inlineStr">
        <is>
          <t>Boss</t>
        </is>
      </c>
      <c r="D639" t="n">
        <v>1467726</v>
      </c>
      <c r="E639" t="n">
        <v>5008</v>
      </c>
      <c r="F639" t="n">
        <v>5814</v>
      </c>
    </row>
    <row r="640">
      <c r="A640" t="inlineStr">
        <is>
          <t>71|装备副本Boss</t>
        </is>
      </c>
      <c r="B640" t="n">
        <v>71</v>
      </c>
      <c r="C640" t="inlineStr">
        <is>
          <t>装备副本Boss</t>
        </is>
      </c>
      <c r="D640" t="n">
        <v>733863</v>
      </c>
      <c r="E640" t="n">
        <v>5008</v>
      </c>
      <c r="F640" t="n">
        <v>5814</v>
      </c>
    </row>
    <row r="641">
      <c r="A641" t="inlineStr">
        <is>
          <t>72|普通怪</t>
        </is>
      </c>
      <c r="B641" t="n">
        <v>72</v>
      </c>
      <c r="C641" t="inlineStr">
        <is>
          <t>普通怪</t>
        </is>
      </c>
      <c r="D641" t="n">
        <v>20727</v>
      </c>
      <c r="E641" t="n">
        <v>4266</v>
      </c>
      <c r="F641" t="n">
        <v>5905</v>
      </c>
    </row>
    <row r="642">
      <c r="A642" t="inlineStr">
        <is>
          <t>72|盾怪</t>
        </is>
      </c>
      <c r="B642" t="n">
        <v>72</v>
      </c>
      <c r="C642" t="inlineStr">
        <is>
          <t>盾怪</t>
        </is>
      </c>
      <c r="D642" t="n">
        <v>62181</v>
      </c>
      <c r="E642" t="n">
        <v>4266</v>
      </c>
      <c r="F642" t="n">
        <v>5905</v>
      </c>
    </row>
    <row r="643">
      <c r="A643" t="inlineStr">
        <is>
          <t>72|二级普通怪</t>
        </is>
      </c>
      <c r="B643" t="n">
        <v>72</v>
      </c>
      <c r="C643" t="inlineStr">
        <is>
          <t>二级普通怪</t>
        </is>
      </c>
      <c r="D643" t="n">
        <v>37309</v>
      </c>
      <c r="E643" t="n">
        <v>4266</v>
      </c>
      <c r="F643" t="n">
        <v>5905</v>
      </c>
    </row>
    <row r="644">
      <c r="A644" t="inlineStr">
        <is>
          <t>72|站桩怪</t>
        </is>
      </c>
      <c r="B644" t="n">
        <v>72</v>
      </c>
      <c r="C644" t="inlineStr">
        <is>
          <t>站桩怪</t>
        </is>
      </c>
      <c r="D644" t="n">
        <v>10364</v>
      </c>
      <c r="E644" t="n">
        <v>4266</v>
      </c>
      <c r="F644" t="n">
        <v>5905</v>
      </c>
    </row>
    <row r="645">
      <c r="A645" t="inlineStr">
        <is>
          <t>72|炮灰怪</t>
        </is>
      </c>
      <c r="B645" t="n">
        <v>72</v>
      </c>
      <c r="C645" t="inlineStr">
        <is>
          <t>炮灰怪</t>
        </is>
      </c>
      <c r="D645" t="n">
        <v>3110</v>
      </c>
      <c r="E645" t="n">
        <v>4266</v>
      </c>
      <c r="F645" t="n">
        <v>5905</v>
      </c>
    </row>
    <row r="646">
      <c r="A646" t="inlineStr">
        <is>
          <t>72|精英怪</t>
        </is>
      </c>
      <c r="B646" t="n">
        <v>72</v>
      </c>
      <c r="C646" t="inlineStr">
        <is>
          <t>精英怪</t>
        </is>
      </c>
      <c r="D646" t="n">
        <v>82908</v>
      </c>
      <c r="E646" t="n">
        <v>4266</v>
      </c>
      <c r="F646" t="n">
        <v>5905</v>
      </c>
    </row>
    <row r="647">
      <c r="A647" t="inlineStr">
        <is>
          <t>72|精英盾怪</t>
        </is>
      </c>
      <c r="B647" t="n">
        <v>72</v>
      </c>
      <c r="C647" t="inlineStr">
        <is>
          <t>精英盾怪</t>
        </is>
      </c>
      <c r="D647" t="n">
        <v>186543</v>
      </c>
      <c r="E647" t="n">
        <v>4266</v>
      </c>
      <c r="F647" t="n">
        <v>5905</v>
      </c>
    </row>
    <row r="648">
      <c r="A648" t="inlineStr">
        <is>
          <t>72|Boss</t>
        </is>
      </c>
      <c r="B648" t="n">
        <v>72</v>
      </c>
      <c r="C648" t="inlineStr">
        <is>
          <t>Boss</t>
        </is>
      </c>
      <c r="D648" t="n">
        <v>1506289</v>
      </c>
      <c r="E648" t="n">
        <v>5096</v>
      </c>
      <c r="F648" t="n">
        <v>5905</v>
      </c>
    </row>
    <row r="649">
      <c r="A649" t="inlineStr">
        <is>
          <t>72|装备副本Boss</t>
        </is>
      </c>
      <c r="B649" t="n">
        <v>72</v>
      </c>
      <c r="C649" t="inlineStr">
        <is>
          <t>装备副本Boss</t>
        </is>
      </c>
      <c r="D649" t="n">
        <v>753145</v>
      </c>
      <c r="E649" t="n">
        <v>5096</v>
      </c>
      <c r="F649" t="n">
        <v>5905</v>
      </c>
    </row>
    <row r="650">
      <c r="A650" t="inlineStr">
        <is>
          <t>73|普通怪</t>
        </is>
      </c>
      <c r="B650" t="n">
        <v>73</v>
      </c>
      <c r="C650" t="inlineStr">
        <is>
          <t>普通怪</t>
        </is>
      </c>
      <c r="D650" t="n">
        <v>21225</v>
      </c>
      <c r="E650" t="n">
        <v>4343</v>
      </c>
      <c r="F650" t="n">
        <v>5995</v>
      </c>
    </row>
    <row r="651">
      <c r="A651" t="inlineStr">
        <is>
          <t>73|盾怪</t>
        </is>
      </c>
      <c r="B651" t="n">
        <v>73</v>
      </c>
      <c r="C651" t="inlineStr">
        <is>
          <t>盾怪</t>
        </is>
      </c>
      <c r="D651" t="n">
        <v>63675</v>
      </c>
      <c r="E651" t="n">
        <v>4343</v>
      </c>
      <c r="F651" t="n">
        <v>5995</v>
      </c>
    </row>
    <row r="652">
      <c r="A652" t="inlineStr">
        <is>
          <t>73|二级普通怪</t>
        </is>
      </c>
      <c r="B652" t="n">
        <v>73</v>
      </c>
      <c r="C652" t="inlineStr">
        <is>
          <t>二级普通怪</t>
        </is>
      </c>
      <c r="D652" t="n">
        <v>38205</v>
      </c>
      <c r="E652" t="n">
        <v>4343</v>
      </c>
      <c r="F652" t="n">
        <v>5995</v>
      </c>
    </row>
    <row r="653">
      <c r="A653" t="inlineStr">
        <is>
          <t>73|站桩怪</t>
        </is>
      </c>
      <c r="B653" t="n">
        <v>73</v>
      </c>
      <c r="C653" t="inlineStr">
        <is>
          <t>站桩怪</t>
        </is>
      </c>
      <c r="D653" t="n">
        <v>10613</v>
      </c>
      <c r="E653" t="n">
        <v>4343</v>
      </c>
      <c r="F653" t="n">
        <v>5995</v>
      </c>
    </row>
    <row r="654">
      <c r="A654" t="inlineStr">
        <is>
          <t>73|炮灰怪</t>
        </is>
      </c>
      <c r="B654" t="n">
        <v>73</v>
      </c>
      <c r="C654" t="inlineStr">
        <is>
          <t>炮灰怪</t>
        </is>
      </c>
      <c r="D654" t="n">
        <v>3184</v>
      </c>
      <c r="E654" t="n">
        <v>4343</v>
      </c>
      <c r="F654" t="n">
        <v>5995</v>
      </c>
    </row>
    <row r="655">
      <c r="A655" t="inlineStr">
        <is>
          <t>73|精英怪</t>
        </is>
      </c>
      <c r="B655" t="n">
        <v>73</v>
      </c>
      <c r="C655" t="inlineStr">
        <is>
          <t>精英怪</t>
        </is>
      </c>
      <c r="D655" t="n">
        <v>84900</v>
      </c>
      <c r="E655" t="n">
        <v>4343</v>
      </c>
      <c r="F655" t="n">
        <v>5995</v>
      </c>
    </row>
    <row r="656">
      <c r="A656" t="inlineStr">
        <is>
          <t>73|精英盾怪</t>
        </is>
      </c>
      <c r="B656" t="n">
        <v>73</v>
      </c>
      <c r="C656" t="inlineStr">
        <is>
          <t>精英盾怪</t>
        </is>
      </c>
      <c r="D656" t="n">
        <v>191025</v>
      </c>
      <c r="E656" t="n">
        <v>4343</v>
      </c>
      <c r="F656" t="n">
        <v>5995</v>
      </c>
    </row>
    <row r="657">
      <c r="A657" t="inlineStr">
        <is>
          <t>73|Boss</t>
        </is>
      </c>
      <c r="B657" t="n">
        <v>73</v>
      </c>
      <c r="C657" t="inlineStr">
        <is>
          <t>Boss</t>
        </is>
      </c>
      <c r="D657" t="n">
        <v>1545582</v>
      </c>
      <c r="E657" t="n">
        <v>5185</v>
      </c>
      <c r="F657" t="n">
        <v>5995</v>
      </c>
    </row>
    <row r="658">
      <c r="A658" t="inlineStr">
        <is>
          <t>73|装备副本Boss</t>
        </is>
      </c>
      <c r="B658" t="n">
        <v>73</v>
      </c>
      <c r="C658" t="inlineStr">
        <is>
          <t>装备副本Boss</t>
        </is>
      </c>
      <c r="D658" t="n">
        <v>772791</v>
      </c>
      <c r="E658" t="n">
        <v>5185</v>
      </c>
      <c r="F658" t="n">
        <v>5995</v>
      </c>
    </row>
    <row r="659">
      <c r="A659" t="inlineStr">
        <is>
          <t>74|普通怪</t>
        </is>
      </c>
      <c r="B659" t="n">
        <v>74</v>
      </c>
      <c r="C659" t="inlineStr">
        <is>
          <t>普通怪</t>
        </is>
      </c>
      <c r="D659" t="n">
        <v>21730</v>
      </c>
      <c r="E659" t="n">
        <v>4420</v>
      </c>
      <c r="F659" t="n">
        <v>6085</v>
      </c>
    </row>
    <row r="660">
      <c r="A660" t="inlineStr">
        <is>
          <t>74|盾怪</t>
        </is>
      </c>
      <c r="B660" t="n">
        <v>74</v>
      </c>
      <c r="C660" t="inlineStr">
        <is>
          <t>盾怪</t>
        </is>
      </c>
      <c r="D660" t="n">
        <v>65190</v>
      </c>
      <c r="E660" t="n">
        <v>4420</v>
      </c>
      <c r="F660" t="n">
        <v>6085</v>
      </c>
    </row>
    <row r="661">
      <c r="A661" t="inlineStr">
        <is>
          <t>74|二级普通怪</t>
        </is>
      </c>
      <c r="B661" t="n">
        <v>74</v>
      </c>
      <c r="C661" t="inlineStr">
        <is>
          <t>二级普通怪</t>
        </is>
      </c>
      <c r="D661" t="n">
        <v>39114</v>
      </c>
      <c r="E661" t="n">
        <v>4420</v>
      </c>
      <c r="F661" t="n">
        <v>6085</v>
      </c>
    </row>
    <row r="662">
      <c r="A662" t="inlineStr">
        <is>
          <t>74|站桩怪</t>
        </is>
      </c>
      <c r="B662" t="n">
        <v>74</v>
      </c>
      <c r="C662" t="inlineStr">
        <is>
          <t>站桩怪</t>
        </is>
      </c>
      <c r="D662" t="n">
        <v>10865</v>
      </c>
      <c r="E662" t="n">
        <v>4420</v>
      </c>
      <c r="F662" t="n">
        <v>6085</v>
      </c>
    </row>
    <row r="663">
      <c r="A663" t="inlineStr">
        <is>
          <t>74|炮灰怪</t>
        </is>
      </c>
      <c r="B663" t="n">
        <v>74</v>
      </c>
      <c r="C663" t="inlineStr">
        <is>
          <t>炮灰怪</t>
        </is>
      </c>
      <c r="D663" t="n">
        <v>3260</v>
      </c>
      <c r="E663" t="n">
        <v>4420</v>
      </c>
      <c r="F663" t="n">
        <v>6085</v>
      </c>
    </row>
    <row r="664">
      <c r="A664" t="inlineStr">
        <is>
          <t>74|精英怪</t>
        </is>
      </c>
      <c r="B664" t="n">
        <v>74</v>
      </c>
      <c r="C664" t="inlineStr">
        <is>
          <t>精英怪</t>
        </is>
      </c>
      <c r="D664" t="n">
        <v>86920</v>
      </c>
      <c r="E664" t="n">
        <v>4420</v>
      </c>
      <c r="F664" t="n">
        <v>6085</v>
      </c>
    </row>
    <row r="665">
      <c r="A665" t="inlineStr">
        <is>
          <t>74|精英盾怪</t>
        </is>
      </c>
      <c r="B665" t="n">
        <v>74</v>
      </c>
      <c r="C665" t="inlineStr">
        <is>
          <t>精英盾怪</t>
        </is>
      </c>
      <c r="D665" t="n">
        <v>195570</v>
      </c>
      <c r="E665" t="n">
        <v>4420</v>
      </c>
      <c r="F665" t="n">
        <v>6085</v>
      </c>
    </row>
    <row r="666">
      <c r="A666" t="inlineStr">
        <is>
          <t>74|Boss</t>
        </is>
      </c>
      <c r="B666" t="n">
        <v>74</v>
      </c>
      <c r="C666" t="inlineStr">
        <is>
          <t>Boss</t>
        </is>
      </c>
      <c r="D666" t="n">
        <v>1585604</v>
      </c>
      <c r="E666" t="n">
        <v>5274</v>
      </c>
      <c r="F666" t="n">
        <v>6085</v>
      </c>
    </row>
    <row r="667">
      <c r="A667" t="inlineStr">
        <is>
          <t>74|装备副本Boss</t>
        </is>
      </c>
      <c r="B667" t="n">
        <v>74</v>
      </c>
      <c r="C667" t="inlineStr">
        <is>
          <t>装备副本Boss</t>
        </is>
      </c>
      <c r="D667" t="n">
        <v>792802</v>
      </c>
      <c r="E667" t="n">
        <v>5274</v>
      </c>
      <c r="F667" t="n">
        <v>6085</v>
      </c>
    </row>
    <row r="668">
      <c r="A668" t="inlineStr">
        <is>
          <t>75|普通怪</t>
        </is>
      </c>
      <c r="B668" t="n">
        <v>75</v>
      </c>
      <c r="C668" t="inlineStr">
        <is>
          <t>普通怪</t>
        </is>
      </c>
      <c r="D668" t="n">
        <v>22242</v>
      </c>
      <c r="E668" t="n">
        <v>4497</v>
      </c>
      <c r="F668" t="n">
        <v>6176</v>
      </c>
    </row>
    <row r="669">
      <c r="A669" t="inlineStr">
        <is>
          <t>75|盾怪</t>
        </is>
      </c>
      <c r="B669" t="n">
        <v>75</v>
      </c>
      <c r="C669" t="inlineStr">
        <is>
          <t>盾怪</t>
        </is>
      </c>
      <c r="D669" t="n">
        <v>66726</v>
      </c>
      <c r="E669" t="n">
        <v>4497</v>
      </c>
      <c r="F669" t="n">
        <v>6176</v>
      </c>
    </row>
    <row r="670">
      <c r="A670" t="inlineStr">
        <is>
          <t>75|二级普通怪</t>
        </is>
      </c>
      <c r="B670" t="n">
        <v>75</v>
      </c>
      <c r="C670" t="inlineStr">
        <is>
          <t>二级普通怪</t>
        </is>
      </c>
      <c r="D670" t="n">
        <v>40036</v>
      </c>
      <c r="E670" t="n">
        <v>4497</v>
      </c>
      <c r="F670" t="n">
        <v>6176</v>
      </c>
    </row>
    <row r="671">
      <c r="A671" t="inlineStr">
        <is>
          <t>75|站桩怪</t>
        </is>
      </c>
      <c r="B671" t="n">
        <v>75</v>
      </c>
      <c r="C671" t="inlineStr">
        <is>
          <t>站桩怪</t>
        </is>
      </c>
      <c r="D671" t="n">
        <v>11121</v>
      </c>
      <c r="E671" t="n">
        <v>4497</v>
      </c>
      <c r="F671" t="n">
        <v>6176</v>
      </c>
    </row>
    <row r="672">
      <c r="A672" t="inlineStr">
        <is>
          <t>75|炮灰怪</t>
        </is>
      </c>
      <c r="B672" t="n">
        <v>75</v>
      </c>
      <c r="C672" t="inlineStr">
        <is>
          <t>炮灰怪</t>
        </is>
      </c>
      <c r="D672" t="n">
        <v>3337</v>
      </c>
      <c r="E672" t="n">
        <v>4497</v>
      </c>
      <c r="F672" t="n">
        <v>6176</v>
      </c>
    </row>
    <row r="673">
      <c r="A673" t="inlineStr">
        <is>
          <t>75|精英怪</t>
        </is>
      </c>
      <c r="B673" t="n">
        <v>75</v>
      </c>
      <c r="C673" t="inlineStr">
        <is>
          <t>精英怪</t>
        </is>
      </c>
      <c r="D673" t="n">
        <v>88968</v>
      </c>
      <c r="E673" t="n">
        <v>4497</v>
      </c>
      <c r="F673" t="n">
        <v>6176</v>
      </c>
    </row>
    <row r="674">
      <c r="A674" t="inlineStr">
        <is>
          <t>75|精英盾怪</t>
        </is>
      </c>
      <c r="B674" t="n">
        <v>75</v>
      </c>
      <c r="C674" t="inlineStr">
        <is>
          <t>精英盾怪</t>
        </is>
      </c>
      <c r="D674" t="n">
        <v>200178</v>
      </c>
      <c r="E674" t="n">
        <v>4497</v>
      </c>
      <c r="F674" t="n">
        <v>6176</v>
      </c>
    </row>
    <row r="675">
      <c r="A675" t="inlineStr">
        <is>
          <t>75|Boss</t>
        </is>
      </c>
      <c r="B675" t="n">
        <v>75</v>
      </c>
      <c r="C675" t="inlineStr">
        <is>
          <t>Boss</t>
        </is>
      </c>
      <c r="D675" t="n">
        <v>1626358</v>
      </c>
      <c r="E675" t="n">
        <v>5363</v>
      </c>
      <c r="F675" t="n">
        <v>6176</v>
      </c>
    </row>
    <row r="676">
      <c r="A676" t="inlineStr">
        <is>
          <t>75|装备副本Boss</t>
        </is>
      </c>
      <c r="B676" t="n">
        <v>75</v>
      </c>
      <c r="C676" t="inlineStr">
        <is>
          <t>装备副本Boss</t>
        </is>
      </c>
      <c r="D676" t="n">
        <v>813179</v>
      </c>
      <c r="E676" t="n">
        <v>5363</v>
      </c>
      <c r="F676" t="n">
        <v>6176</v>
      </c>
    </row>
    <row r="677">
      <c r="A677" t="inlineStr">
        <is>
          <t>76|普通怪</t>
        </is>
      </c>
      <c r="B677" t="n">
        <v>76</v>
      </c>
      <c r="C677" t="inlineStr">
        <is>
          <t>普通怪</t>
        </is>
      </c>
      <c r="D677" t="n">
        <v>22762</v>
      </c>
      <c r="E677" t="n">
        <v>4576</v>
      </c>
      <c r="F677" t="n">
        <v>6267</v>
      </c>
    </row>
    <row r="678">
      <c r="A678" t="inlineStr">
        <is>
          <t>76|盾怪</t>
        </is>
      </c>
      <c r="B678" t="n">
        <v>76</v>
      </c>
      <c r="C678" t="inlineStr">
        <is>
          <t>盾怪</t>
        </is>
      </c>
      <c r="D678" t="n">
        <v>68286</v>
      </c>
      <c r="E678" t="n">
        <v>4576</v>
      </c>
      <c r="F678" t="n">
        <v>6267</v>
      </c>
    </row>
    <row r="679">
      <c r="A679" t="inlineStr">
        <is>
          <t>76|二级普通怪</t>
        </is>
      </c>
      <c r="B679" t="n">
        <v>76</v>
      </c>
      <c r="C679" t="inlineStr">
        <is>
          <t>二级普通怪</t>
        </is>
      </c>
      <c r="D679" t="n">
        <v>40972</v>
      </c>
      <c r="E679" t="n">
        <v>4576</v>
      </c>
      <c r="F679" t="n">
        <v>6267</v>
      </c>
    </row>
    <row r="680">
      <c r="A680" t="inlineStr">
        <is>
          <t>76|站桩怪</t>
        </is>
      </c>
      <c r="B680" t="n">
        <v>76</v>
      </c>
      <c r="C680" t="inlineStr">
        <is>
          <t>站桩怪</t>
        </is>
      </c>
      <c r="D680" t="n">
        <v>11381</v>
      </c>
      <c r="E680" t="n">
        <v>4576</v>
      </c>
      <c r="F680" t="n">
        <v>6267</v>
      </c>
    </row>
    <row r="681">
      <c r="A681" t="inlineStr">
        <is>
          <t>76|炮灰怪</t>
        </is>
      </c>
      <c r="B681" t="n">
        <v>76</v>
      </c>
      <c r="C681" t="inlineStr">
        <is>
          <t>炮灰怪</t>
        </is>
      </c>
      <c r="D681" t="n">
        <v>3415</v>
      </c>
      <c r="E681" t="n">
        <v>4576</v>
      </c>
      <c r="F681" t="n">
        <v>6267</v>
      </c>
    </row>
    <row r="682">
      <c r="A682" t="inlineStr">
        <is>
          <t>76|精英怪</t>
        </is>
      </c>
      <c r="B682" t="n">
        <v>76</v>
      </c>
      <c r="C682" t="inlineStr">
        <is>
          <t>精英怪</t>
        </is>
      </c>
      <c r="D682" t="n">
        <v>91048</v>
      </c>
      <c r="E682" t="n">
        <v>4576</v>
      </c>
      <c r="F682" t="n">
        <v>6267</v>
      </c>
    </row>
    <row r="683">
      <c r="A683" t="inlineStr">
        <is>
          <t>76|精英盾怪</t>
        </is>
      </c>
      <c r="B683" t="n">
        <v>76</v>
      </c>
      <c r="C683" t="inlineStr">
        <is>
          <t>精英盾怪</t>
        </is>
      </c>
      <c r="D683" t="n">
        <v>204858</v>
      </c>
      <c r="E683" t="n">
        <v>4576</v>
      </c>
      <c r="F683" t="n">
        <v>6267</v>
      </c>
    </row>
    <row r="684">
      <c r="A684" t="inlineStr">
        <is>
          <t>76|Boss</t>
        </is>
      </c>
      <c r="B684" t="n">
        <v>76</v>
      </c>
      <c r="C684" t="inlineStr">
        <is>
          <t>Boss</t>
        </is>
      </c>
      <c r="D684" t="n">
        <v>1667789</v>
      </c>
      <c r="E684" t="n">
        <v>5454</v>
      </c>
      <c r="F684" t="n">
        <v>6267</v>
      </c>
    </row>
    <row r="685">
      <c r="A685" t="inlineStr">
        <is>
          <t>76|装备副本Boss</t>
        </is>
      </c>
      <c r="B685" t="n">
        <v>76</v>
      </c>
      <c r="C685" t="inlineStr">
        <is>
          <t>装备副本Boss</t>
        </is>
      </c>
      <c r="D685" t="n">
        <v>833895</v>
      </c>
      <c r="E685" t="n">
        <v>5454</v>
      </c>
      <c r="F685" t="n">
        <v>6267</v>
      </c>
    </row>
    <row r="686">
      <c r="A686" t="inlineStr">
        <is>
          <t>77|普通怪</t>
        </is>
      </c>
      <c r="B686" t="n">
        <v>77</v>
      </c>
      <c r="C686" t="inlineStr">
        <is>
          <t>普通怪</t>
        </is>
      </c>
      <c r="D686" t="n">
        <v>23288</v>
      </c>
      <c r="E686" t="n">
        <v>4654</v>
      </c>
      <c r="F686" t="n">
        <v>6358</v>
      </c>
    </row>
    <row r="687">
      <c r="A687" t="inlineStr">
        <is>
          <t>77|盾怪</t>
        </is>
      </c>
      <c r="B687" t="n">
        <v>77</v>
      </c>
      <c r="C687" t="inlineStr">
        <is>
          <t>盾怪</t>
        </is>
      </c>
      <c r="D687" t="n">
        <v>69864</v>
      </c>
      <c r="E687" t="n">
        <v>4654</v>
      </c>
      <c r="F687" t="n">
        <v>6358</v>
      </c>
    </row>
    <row r="688">
      <c r="A688" t="inlineStr">
        <is>
          <t>77|二级普通怪</t>
        </is>
      </c>
      <c r="B688" t="n">
        <v>77</v>
      </c>
      <c r="C688" t="inlineStr">
        <is>
          <t>二级普通怪</t>
        </is>
      </c>
      <c r="D688" t="n">
        <v>41919</v>
      </c>
      <c r="E688" t="n">
        <v>4654</v>
      </c>
      <c r="F688" t="n">
        <v>6358</v>
      </c>
    </row>
    <row r="689">
      <c r="A689" t="inlineStr">
        <is>
          <t>77|站桩怪</t>
        </is>
      </c>
      <c r="B689" t="n">
        <v>77</v>
      </c>
      <c r="C689" t="inlineStr">
        <is>
          <t>站桩怪</t>
        </is>
      </c>
      <c r="D689" t="n">
        <v>11644</v>
      </c>
      <c r="E689" t="n">
        <v>4654</v>
      </c>
      <c r="F689" t="n">
        <v>6358</v>
      </c>
    </row>
    <row r="690">
      <c r="A690" t="inlineStr">
        <is>
          <t>77|炮灰怪</t>
        </is>
      </c>
      <c r="B690" t="n">
        <v>77</v>
      </c>
      <c r="C690" t="inlineStr">
        <is>
          <t>炮灰怪</t>
        </is>
      </c>
      <c r="D690" t="n">
        <v>3494</v>
      </c>
      <c r="E690" t="n">
        <v>4654</v>
      </c>
      <c r="F690" t="n">
        <v>6358</v>
      </c>
    </row>
    <row r="691">
      <c r="A691" t="inlineStr">
        <is>
          <t>77|精英怪</t>
        </is>
      </c>
      <c r="B691" t="n">
        <v>77</v>
      </c>
      <c r="C691" t="inlineStr">
        <is>
          <t>精英怪</t>
        </is>
      </c>
      <c r="D691" t="n">
        <v>93152</v>
      </c>
      <c r="E691" t="n">
        <v>4654</v>
      </c>
      <c r="F691" t="n">
        <v>6358</v>
      </c>
    </row>
    <row r="692">
      <c r="A692" t="inlineStr">
        <is>
          <t>77|精英盾怪</t>
        </is>
      </c>
      <c r="B692" t="n">
        <v>77</v>
      </c>
      <c r="C692" t="inlineStr">
        <is>
          <t>精英盾怪</t>
        </is>
      </c>
      <c r="D692" t="n">
        <v>209592</v>
      </c>
      <c r="E692" t="n">
        <v>4654</v>
      </c>
      <c r="F692" t="n">
        <v>6358</v>
      </c>
    </row>
    <row r="693">
      <c r="A693" t="inlineStr">
        <is>
          <t>77|Boss</t>
        </is>
      </c>
      <c r="B693" t="n">
        <v>77</v>
      </c>
      <c r="C693" t="inlineStr">
        <is>
          <t>Boss</t>
        </is>
      </c>
      <c r="D693" t="n">
        <v>1710005</v>
      </c>
      <c r="E693" t="n">
        <v>5544</v>
      </c>
      <c r="F693" t="n">
        <v>6358</v>
      </c>
    </row>
    <row r="694">
      <c r="A694" t="inlineStr">
        <is>
          <t>77|装备副本Boss</t>
        </is>
      </c>
      <c r="B694" t="n">
        <v>77</v>
      </c>
      <c r="C694" t="inlineStr">
        <is>
          <t>装备副本Boss</t>
        </is>
      </c>
      <c r="D694" t="n">
        <v>855003</v>
      </c>
      <c r="E694" t="n">
        <v>5544</v>
      </c>
      <c r="F694" t="n">
        <v>6358</v>
      </c>
    </row>
    <row r="695">
      <c r="A695" t="inlineStr">
        <is>
          <t>78|普通怪</t>
        </is>
      </c>
      <c r="B695" t="n">
        <v>78</v>
      </c>
      <c r="C695" t="inlineStr">
        <is>
          <t>普通怪</t>
        </is>
      </c>
      <c r="D695" t="n">
        <v>23821</v>
      </c>
      <c r="E695" t="n">
        <v>4734</v>
      </c>
      <c r="F695" t="n">
        <v>6450</v>
      </c>
    </row>
    <row r="696">
      <c r="A696" t="inlineStr">
        <is>
          <t>78|盾怪</t>
        </is>
      </c>
      <c r="B696" t="n">
        <v>78</v>
      </c>
      <c r="C696" t="inlineStr">
        <is>
          <t>盾怪</t>
        </is>
      </c>
      <c r="D696" t="n">
        <v>71463</v>
      </c>
      <c r="E696" t="n">
        <v>4734</v>
      </c>
      <c r="F696" t="n">
        <v>6450</v>
      </c>
    </row>
    <row r="697">
      <c r="A697" t="inlineStr">
        <is>
          <t>78|二级普通怪</t>
        </is>
      </c>
      <c r="B697" t="n">
        <v>78</v>
      </c>
      <c r="C697" t="inlineStr">
        <is>
          <t>二级普通怪</t>
        </is>
      </c>
      <c r="D697" t="n">
        <v>42878</v>
      </c>
      <c r="E697" t="n">
        <v>4734</v>
      </c>
      <c r="F697" t="n">
        <v>6450</v>
      </c>
    </row>
    <row r="698">
      <c r="A698" t="inlineStr">
        <is>
          <t>78|站桩怪</t>
        </is>
      </c>
      <c r="B698" t="n">
        <v>78</v>
      </c>
      <c r="C698" t="inlineStr">
        <is>
          <t>站桩怪</t>
        </is>
      </c>
      <c r="D698" t="n">
        <v>11911</v>
      </c>
      <c r="E698" t="n">
        <v>4734</v>
      </c>
      <c r="F698" t="n">
        <v>6450</v>
      </c>
    </row>
    <row r="699">
      <c r="A699" t="inlineStr">
        <is>
          <t>78|炮灰怪</t>
        </is>
      </c>
      <c r="B699" t="n">
        <v>78</v>
      </c>
      <c r="C699" t="inlineStr">
        <is>
          <t>炮灰怪</t>
        </is>
      </c>
      <c r="D699" t="n">
        <v>3574</v>
      </c>
      <c r="E699" t="n">
        <v>4734</v>
      </c>
      <c r="F699" t="n">
        <v>6450</v>
      </c>
    </row>
    <row r="700">
      <c r="A700" t="inlineStr">
        <is>
          <t>78|精英怪</t>
        </is>
      </c>
      <c r="B700" t="n">
        <v>78</v>
      </c>
      <c r="C700" t="inlineStr">
        <is>
          <t>精英怪</t>
        </is>
      </c>
      <c r="D700" t="n">
        <v>95284</v>
      </c>
      <c r="E700" t="n">
        <v>4734</v>
      </c>
      <c r="F700" t="n">
        <v>6450</v>
      </c>
    </row>
    <row r="701">
      <c r="A701" t="inlineStr">
        <is>
          <t>78|精英盾怪</t>
        </is>
      </c>
      <c r="B701" t="n">
        <v>78</v>
      </c>
      <c r="C701" t="inlineStr">
        <is>
          <t>精英盾怪</t>
        </is>
      </c>
      <c r="D701" t="n">
        <v>214389</v>
      </c>
      <c r="E701" t="n">
        <v>4734</v>
      </c>
      <c r="F701" t="n">
        <v>6450</v>
      </c>
    </row>
    <row r="702">
      <c r="A702" t="inlineStr">
        <is>
          <t>78|Boss</t>
        </is>
      </c>
      <c r="B702" t="n">
        <v>78</v>
      </c>
      <c r="C702" t="inlineStr">
        <is>
          <t>Boss</t>
        </is>
      </c>
      <c r="D702" t="n">
        <v>1752953</v>
      </c>
      <c r="E702" t="n">
        <v>5636</v>
      </c>
      <c r="F702" t="n">
        <v>6450</v>
      </c>
    </row>
    <row r="703">
      <c r="A703" t="inlineStr">
        <is>
          <t>78|装备副本Boss</t>
        </is>
      </c>
      <c r="B703" t="n">
        <v>78</v>
      </c>
      <c r="C703" t="inlineStr">
        <is>
          <t>装备副本Boss</t>
        </is>
      </c>
      <c r="D703" t="n">
        <v>876477</v>
      </c>
      <c r="E703" t="n">
        <v>5636</v>
      </c>
      <c r="F703" t="n">
        <v>6450</v>
      </c>
    </row>
    <row r="704">
      <c r="A704" t="inlineStr">
        <is>
          <t>79|普通怪</t>
        </is>
      </c>
      <c r="B704" t="n">
        <v>79</v>
      </c>
      <c r="C704" t="inlineStr">
        <is>
          <t>普通怪</t>
        </is>
      </c>
      <c r="D704" t="n">
        <v>24362</v>
      </c>
      <c r="E704" t="n">
        <v>4814</v>
      </c>
      <c r="F704" t="n">
        <v>6542</v>
      </c>
    </row>
    <row r="705">
      <c r="A705" t="inlineStr">
        <is>
          <t>79|盾怪</t>
        </is>
      </c>
      <c r="B705" t="n">
        <v>79</v>
      </c>
      <c r="C705" t="inlineStr">
        <is>
          <t>盾怪</t>
        </is>
      </c>
      <c r="D705" t="n">
        <v>73086</v>
      </c>
      <c r="E705" t="n">
        <v>4814</v>
      </c>
      <c r="F705" t="n">
        <v>6542</v>
      </c>
    </row>
    <row r="706">
      <c r="A706" t="inlineStr">
        <is>
          <t>79|二级普通怪</t>
        </is>
      </c>
      <c r="B706" t="n">
        <v>79</v>
      </c>
      <c r="C706" t="inlineStr">
        <is>
          <t>二级普通怪</t>
        </is>
      </c>
      <c r="D706" t="n">
        <v>43852</v>
      </c>
      <c r="E706" t="n">
        <v>4814</v>
      </c>
      <c r="F706" t="n">
        <v>6542</v>
      </c>
    </row>
    <row r="707">
      <c r="A707" t="inlineStr">
        <is>
          <t>79|站桩怪</t>
        </is>
      </c>
      <c r="B707" t="n">
        <v>79</v>
      </c>
      <c r="C707" t="inlineStr">
        <is>
          <t>站桩怪</t>
        </is>
      </c>
      <c r="D707" t="n">
        <v>12181</v>
      </c>
      <c r="E707" t="n">
        <v>4814</v>
      </c>
      <c r="F707" t="n">
        <v>6542</v>
      </c>
    </row>
    <row r="708">
      <c r="A708" t="inlineStr">
        <is>
          <t>79|炮灰怪</t>
        </is>
      </c>
      <c r="B708" t="n">
        <v>79</v>
      </c>
      <c r="C708" t="inlineStr">
        <is>
          <t>炮灰怪</t>
        </is>
      </c>
      <c r="D708" t="n">
        <v>3655</v>
      </c>
      <c r="E708" t="n">
        <v>4814</v>
      </c>
      <c r="F708" t="n">
        <v>6542</v>
      </c>
    </row>
    <row r="709">
      <c r="A709" t="inlineStr">
        <is>
          <t>79|精英怪</t>
        </is>
      </c>
      <c r="B709" t="n">
        <v>79</v>
      </c>
      <c r="C709" t="inlineStr">
        <is>
          <t>精英怪</t>
        </is>
      </c>
      <c r="D709" t="n">
        <v>97448</v>
      </c>
      <c r="E709" t="n">
        <v>4814</v>
      </c>
      <c r="F709" t="n">
        <v>6542</v>
      </c>
    </row>
    <row r="710">
      <c r="A710" t="inlineStr">
        <is>
          <t>79|精英盾怪</t>
        </is>
      </c>
      <c r="B710" t="n">
        <v>79</v>
      </c>
      <c r="C710" t="inlineStr">
        <is>
          <t>精英盾怪</t>
        </is>
      </c>
      <c r="D710" t="n">
        <v>219258</v>
      </c>
      <c r="E710" t="n">
        <v>4814</v>
      </c>
      <c r="F710" t="n">
        <v>6542</v>
      </c>
    </row>
    <row r="711">
      <c r="A711" t="inlineStr">
        <is>
          <t>79|Boss</t>
        </is>
      </c>
      <c r="B711" t="n">
        <v>79</v>
      </c>
      <c r="C711" t="inlineStr">
        <is>
          <t>Boss</t>
        </is>
      </c>
      <c r="D711" t="n">
        <v>1796633</v>
      </c>
      <c r="E711" t="n">
        <v>5728</v>
      </c>
      <c r="F711" t="n">
        <v>6542</v>
      </c>
    </row>
    <row r="712">
      <c r="A712" t="inlineStr">
        <is>
          <t>79|装备副本Boss</t>
        </is>
      </c>
      <c r="B712" t="n">
        <v>79</v>
      </c>
      <c r="C712" t="inlineStr">
        <is>
          <t>装备副本Boss</t>
        </is>
      </c>
      <c r="D712" t="n">
        <v>898317</v>
      </c>
      <c r="E712" t="n">
        <v>5728</v>
      </c>
      <c r="F712" t="n">
        <v>6542</v>
      </c>
    </row>
    <row r="713">
      <c r="A713" t="inlineStr">
        <is>
          <t>80|普通怪</t>
        </is>
      </c>
      <c r="B713" t="n">
        <v>80</v>
      </c>
      <c r="C713" t="inlineStr">
        <is>
          <t>普通怪</t>
        </is>
      </c>
      <c r="D713" t="n">
        <v>24910</v>
      </c>
      <c r="E713" t="n">
        <v>4893</v>
      </c>
      <c r="F713" t="n">
        <v>6633</v>
      </c>
    </row>
    <row r="714">
      <c r="A714" t="inlineStr">
        <is>
          <t>80|盾怪</t>
        </is>
      </c>
      <c r="B714" t="n">
        <v>80</v>
      </c>
      <c r="C714" t="inlineStr">
        <is>
          <t>盾怪</t>
        </is>
      </c>
      <c r="D714" t="n">
        <v>74730</v>
      </c>
      <c r="E714" t="n">
        <v>4893</v>
      </c>
      <c r="F714" t="n">
        <v>6633</v>
      </c>
    </row>
    <row r="715">
      <c r="A715" t="inlineStr">
        <is>
          <t>80|二级普通怪</t>
        </is>
      </c>
      <c r="B715" t="n">
        <v>80</v>
      </c>
      <c r="C715" t="inlineStr">
        <is>
          <t>二级普通怪</t>
        </is>
      </c>
      <c r="D715" t="n">
        <v>44838</v>
      </c>
      <c r="E715" t="n">
        <v>4893</v>
      </c>
      <c r="F715" t="n">
        <v>6633</v>
      </c>
    </row>
    <row r="716">
      <c r="A716" t="inlineStr">
        <is>
          <t>80|站桩怪</t>
        </is>
      </c>
      <c r="B716" t="n">
        <v>80</v>
      </c>
      <c r="C716" t="inlineStr">
        <is>
          <t>站桩怪</t>
        </is>
      </c>
      <c r="D716" t="n">
        <v>12455</v>
      </c>
      <c r="E716" t="n">
        <v>4893</v>
      </c>
      <c r="F716" t="n">
        <v>6633</v>
      </c>
    </row>
    <row r="717">
      <c r="A717" t="inlineStr">
        <is>
          <t>80|炮灰怪</t>
        </is>
      </c>
      <c r="B717" t="n">
        <v>80</v>
      </c>
      <c r="C717" t="inlineStr">
        <is>
          <t>炮灰怪</t>
        </is>
      </c>
      <c r="D717" t="n">
        <v>3737</v>
      </c>
      <c r="E717" t="n">
        <v>4893</v>
      </c>
      <c r="F717" t="n">
        <v>6633</v>
      </c>
    </row>
    <row r="718">
      <c r="A718" t="inlineStr">
        <is>
          <t>80|精英怪</t>
        </is>
      </c>
      <c r="B718" t="n">
        <v>80</v>
      </c>
      <c r="C718" t="inlineStr">
        <is>
          <t>精英怪</t>
        </is>
      </c>
      <c r="D718" t="n">
        <v>99640</v>
      </c>
      <c r="E718" t="n">
        <v>4893</v>
      </c>
      <c r="F718" t="n">
        <v>6633</v>
      </c>
    </row>
    <row r="719">
      <c r="A719" t="inlineStr">
        <is>
          <t>80|精英盾怪</t>
        </is>
      </c>
      <c r="B719" t="n">
        <v>80</v>
      </c>
      <c r="C719" t="inlineStr">
        <is>
          <t>精英盾怪</t>
        </is>
      </c>
      <c r="D719" t="n">
        <v>224190</v>
      </c>
      <c r="E719" t="n">
        <v>4893</v>
      </c>
      <c r="F719" t="n">
        <v>6633</v>
      </c>
    </row>
    <row r="720">
      <c r="A720" t="inlineStr">
        <is>
          <t>80|Boss</t>
        </is>
      </c>
      <c r="B720" t="n">
        <v>80</v>
      </c>
      <c r="C720" t="inlineStr">
        <is>
          <t>Boss</t>
        </is>
      </c>
      <c r="D720" t="n">
        <v>1841099</v>
      </c>
      <c r="E720" t="n">
        <v>5820</v>
      </c>
      <c r="F720" t="n">
        <v>6633</v>
      </c>
    </row>
    <row r="721">
      <c r="A721" t="inlineStr">
        <is>
          <t>80|装备副本Boss</t>
        </is>
      </c>
      <c r="B721" t="n">
        <v>80</v>
      </c>
      <c r="C721" t="inlineStr">
        <is>
          <t>装备副本Boss</t>
        </is>
      </c>
      <c r="D721" t="n">
        <v>920549</v>
      </c>
      <c r="E721" t="n">
        <v>5820</v>
      </c>
      <c r="F721" t="n">
        <v>6633</v>
      </c>
    </row>
    <row r="722">
      <c r="A722" t="inlineStr">
        <is>
          <t>81|普通怪</t>
        </is>
      </c>
      <c r="B722" t="n">
        <v>81</v>
      </c>
      <c r="C722" t="inlineStr">
        <is>
          <t>普通怪</t>
        </is>
      </c>
      <c r="D722" t="n">
        <v>25465</v>
      </c>
      <c r="E722" t="n">
        <v>4974</v>
      </c>
      <c r="F722" t="n">
        <v>6726</v>
      </c>
    </row>
    <row r="723">
      <c r="A723" t="inlineStr">
        <is>
          <t>81|盾怪</t>
        </is>
      </c>
      <c r="B723" t="n">
        <v>81</v>
      </c>
      <c r="C723" t="inlineStr">
        <is>
          <t>盾怪</t>
        </is>
      </c>
      <c r="D723" t="n">
        <v>76395</v>
      </c>
      <c r="E723" t="n">
        <v>4974</v>
      </c>
      <c r="F723" t="n">
        <v>6726</v>
      </c>
    </row>
    <row r="724">
      <c r="A724" t="inlineStr">
        <is>
          <t>81|二级普通怪</t>
        </is>
      </c>
      <c r="B724" t="n">
        <v>81</v>
      </c>
      <c r="C724" t="inlineStr">
        <is>
          <t>二级普通怪</t>
        </is>
      </c>
      <c r="D724" t="n">
        <v>45837</v>
      </c>
      <c r="E724" t="n">
        <v>4974</v>
      </c>
      <c r="F724" t="n">
        <v>6726</v>
      </c>
    </row>
    <row r="725">
      <c r="A725" t="inlineStr">
        <is>
          <t>81|站桩怪</t>
        </is>
      </c>
      <c r="B725" t="n">
        <v>81</v>
      </c>
      <c r="C725" t="inlineStr">
        <is>
          <t>站桩怪</t>
        </is>
      </c>
      <c r="D725" t="n">
        <v>12733</v>
      </c>
      <c r="E725" t="n">
        <v>4974</v>
      </c>
      <c r="F725" t="n">
        <v>6726</v>
      </c>
    </row>
    <row r="726">
      <c r="A726" t="inlineStr">
        <is>
          <t>81|炮灰怪</t>
        </is>
      </c>
      <c r="B726" t="n">
        <v>81</v>
      </c>
      <c r="C726" t="inlineStr">
        <is>
          <t>炮灰怪</t>
        </is>
      </c>
      <c r="D726" t="n">
        <v>3820</v>
      </c>
      <c r="E726" t="n">
        <v>4974</v>
      </c>
      <c r="F726" t="n">
        <v>6726</v>
      </c>
    </row>
    <row r="727">
      <c r="A727" t="inlineStr">
        <is>
          <t>81|精英怪</t>
        </is>
      </c>
      <c r="B727" t="n">
        <v>81</v>
      </c>
      <c r="C727" t="inlineStr">
        <is>
          <t>精英怪</t>
        </is>
      </c>
      <c r="D727" t="n">
        <v>101860</v>
      </c>
      <c r="E727" t="n">
        <v>4974</v>
      </c>
      <c r="F727" t="n">
        <v>6726</v>
      </c>
    </row>
    <row r="728">
      <c r="A728" t="inlineStr">
        <is>
          <t>81|精英盾怪</t>
        </is>
      </c>
      <c r="B728" t="n">
        <v>81</v>
      </c>
      <c r="C728" t="inlineStr">
        <is>
          <t>精英盾怪</t>
        </is>
      </c>
      <c r="D728" t="n">
        <v>229185</v>
      </c>
      <c r="E728" t="n">
        <v>4974</v>
      </c>
      <c r="F728" t="n">
        <v>6726</v>
      </c>
    </row>
    <row r="729">
      <c r="A729" t="inlineStr">
        <is>
          <t>81|Boss</t>
        </is>
      </c>
      <c r="B729" t="n">
        <v>81</v>
      </c>
      <c r="C729" t="inlineStr">
        <is>
          <t>Boss</t>
        </is>
      </c>
      <c r="D729" t="n">
        <v>1886297</v>
      </c>
      <c r="E729" t="n">
        <v>5913</v>
      </c>
      <c r="F729" t="n">
        <v>6726</v>
      </c>
    </row>
    <row r="730">
      <c r="A730" t="inlineStr">
        <is>
          <t>81|装备副本Boss</t>
        </is>
      </c>
      <c r="B730" t="n">
        <v>81</v>
      </c>
      <c r="C730" t="inlineStr">
        <is>
          <t>装备副本Boss</t>
        </is>
      </c>
      <c r="D730" t="n">
        <v>943148</v>
      </c>
      <c r="E730" t="n">
        <v>5913</v>
      </c>
      <c r="F730" t="n">
        <v>6726</v>
      </c>
    </row>
    <row r="731">
      <c r="A731" t="inlineStr">
        <is>
          <t>82|普通怪</t>
        </is>
      </c>
      <c r="B731" t="n">
        <v>82</v>
      </c>
      <c r="C731" t="inlineStr">
        <is>
          <t>普通怪</t>
        </is>
      </c>
      <c r="D731" t="n">
        <v>26027</v>
      </c>
      <c r="E731" t="n">
        <v>5056</v>
      </c>
      <c r="F731" t="n">
        <v>6818</v>
      </c>
    </row>
    <row r="732">
      <c r="A732" t="inlineStr">
        <is>
          <t>82|盾怪</t>
        </is>
      </c>
      <c r="B732" t="n">
        <v>82</v>
      </c>
      <c r="C732" t="inlineStr">
        <is>
          <t>盾怪</t>
        </is>
      </c>
      <c r="D732" t="n">
        <v>78081</v>
      </c>
      <c r="E732" t="n">
        <v>5056</v>
      </c>
      <c r="F732" t="n">
        <v>6818</v>
      </c>
    </row>
    <row r="733">
      <c r="A733" t="inlineStr">
        <is>
          <t>82|二级普通怪</t>
        </is>
      </c>
      <c r="B733" t="n">
        <v>82</v>
      </c>
      <c r="C733" t="inlineStr">
        <is>
          <t>二级普通怪</t>
        </is>
      </c>
      <c r="D733" t="n">
        <v>46849</v>
      </c>
      <c r="E733" t="n">
        <v>5056</v>
      </c>
      <c r="F733" t="n">
        <v>6818</v>
      </c>
    </row>
    <row r="734">
      <c r="A734" t="inlineStr">
        <is>
          <t>82|站桩怪</t>
        </is>
      </c>
      <c r="B734" t="n">
        <v>82</v>
      </c>
      <c r="C734" t="inlineStr">
        <is>
          <t>站桩怪</t>
        </is>
      </c>
      <c r="D734" t="n">
        <v>13014</v>
      </c>
      <c r="E734" t="n">
        <v>5056</v>
      </c>
      <c r="F734" t="n">
        <v>6818</v>
      </c>
    </row>
    <row r="735">
      <c r="A735" t="inlineStr">
        <is>
          <t>82|炮灰怪</t>
        </is>
      </c>
      <c r="B735" t="n">
        <v>82</v>
      </c>
      <c r="C735" t="inlineStr">
        <is>
          <t>炮灰怪</t>
        </is>
      </c>
      <c r="D735" t="n">
        <v>3905</v>
      </c>
      <c r="E735" t="n">
        <v>5056</v>
      </c>
      <c r="F735" t="n">
        <v>6818</v>
      </c>
    </row>
    <row r="736">
      <c r="A736" t="inlineStr">
        <is>
          <t>82|精英怪</t>
        </is>
      </c>
      <c r="B736" t="n">
        <v>82</v>
      </c>
      <c r="C736" t="inlineStr">
        <is>
          <t>精英怪</t>
        </is>
      </c>
      <c r="D736" t="n">
        <v>104108</v>
      </c>
      <c r="E736" t="n">
        <v>5056</v>
      </c>
      <c r="F736" t="n">
        <v>6818</v>
      </c>
    </row>
    <row r="737">
      <c r="A737" t="inlineStr">
        <is>
          <t>82|精英盾怪</t>
        </is>
      </c>
      <c r="B737" t="n">
        <v>82</v>
      </c>
      <c r="C737" t="inlineStr">
        <is>
          <t>精英盾怪</t>
        </is>
      </c>
      <c r="D737" t="n">
        <v>234243</v>
      </c>
      <c r="E737" t="n">
        <v>5056</v>
      </c>
      <c r="F737" t="n">
        <v>6818</v>
      </c>
    </row>
    <row r="738">
      <c r="A738" t="inlineStr">
        <is>
          <t>82|Boss</t>
        </is>
      </c>
      <c r="B738" t="n">
        <v>82</v>
      </c>
      <c r="C738" t="inlineStr">
        <is>
          <t>Boss</t>
        </is>
      </c>
      <c r="D738" t="n">
        <v>1932332</v>
      </c>
      <c r="E738" t="n">
        <v>6007</v>
      </c>
      <c r="F738" t="n">
        <v>6818</v>
      </c>
    </row>
    <row r="739">
      <c r="A739" t="inlineStr">
        <is>
          <t>82|装备副本Boss</t>
        </is>
      </c>
      <c r="B739" t="n">
        <v>82</v>
      </c>
      <c r="C739" t="inlineStr">
        <is>
          <t>装备副本Boss</t>
        </is>
      </c>
      <c r="D739" t="n">
        <v>966166</v>
      </c>
      <c r="E739" t="n">
        <v>6007</v>
      </c>
      <c r="F739" t="n">
        <v>6818</v>
      </c>
    </row>
    <row r="740">
      <c r="A740" t="inlineStr">
        <is>
          <t>83|普通怪</t>
        </is>
      </c>
      <c r="B740" t="n">
        <v>83</v>
      </c>
      <c r="C740" t="inlineStr">
        <is>
          <t>普通怪</t>
        </is>
      </c>
      <c r="D740" t="n">
        <v>26598</v>
      </c>
      <c r="E740" t="n">
        <v>5138</v>
      </c>
      <c r="F740" t="n">
        <v>6911</v>
      </c>
    </row>
    <row r="741">
      <c r="A741" t="inlineStr">
        <is>
          <t>83|盾怪</t>
        </is>
      </c>
      <c r="B741" t="n">
        <v>83</v>
      </c>
      <c r="C741" t="inlineStr">
        <is>
          <t>盾怪</t>
        </is>
      </c>
      <c r="D741" t="n">
        <v>79794</v>
      </c>
      <c r="E741" t="n">
        <v>5138</v>
      </c>
      <c r="F741" t="n">
        <v>6911</v>
      </c>
    </row>
    <row r="742">
      <c r="A742" t="inlineStr">
        <is>
          <t>83|二级普通怪</t>
        </is>
      </c>
      <c r="B742" t="n">
        <v>83</v>
      </c>
      <c r="C742" t="inlineStr">
        <is>
          <t>二级普通怪</t>
        </is>
      </c>
      <c r="D742" t="n">
        <v>47877</v>
      </c>
      <c r="E742" t="n">
        <v>5138</v>
      </c>
      <c r="F742" t="n">
        <v>6911</v>
      </c>
    </row>
    <row r="743">
      <c r="A743" t="inlineStr">
        <is>
          <t>83|站桩怪</t>
        </is>
      </c>
      <c r="B743" t="n">
        <v>83</v>
      </c>
      <c r="C743" t="inlineStr">
        <is>
          <t>站桩怪</t>
        </is>
      </c>
      <c r="D743" t="n">
        <v>13299</v>
      </c>
      <c r="E743" t="n">
        <v>5138</v>
      </c>
      <c r="F743" t="n">
        <v>6911</v>
      </c>
    </row>
    <row r="744">
      <c r="A744" t="inlineStr">
        <is>
          <t>83|炮灰怪</t>
        </is>
      </c>
      <c r="B744" t="n">
        <v>83</v>
      </c>
      <c r="C744" t="inlineStr">
        <is>
          <t>炮灰怪</t>
        </is>
      </c>
      <c r="D744" t="n">
        <v>3990</v>
      </c>
      <c r="E744" t="n">
        <v>5138</v>
      </c>
      <c r="F744" t="n">
        <v>6911</v>
      </c>
    </row>
    <row r="745">
      <c r="A745" t="inlineStr">
        <is>
          <t>83|精英怪</t>
        </is>
      </c>
      <c r="B745" t="n">
        <v>83</v>
      </c>
      <c r="C745" t="inlineStr">
        <is>
          <t>精英怪</t>
        </is>
      </c>
      <c r="D745" t="n">
        <v>106392</v>
      </c>
      <c r="E745" t="n">
        <v>5138</v>
      </c>
      <c r="F745" t="n">
        <v>6911</v>
      </c>
    </row>
    <row r="746">
      <c r="A746" t="inlineStr">
        <is>
          <t>83|精英盾怪</t>
        </is>
      </c>
      <c r="B746" t="n">
        <v>83</v>
      </c>
      <c r="C746" t="inlineStr">
        <is>
          <t>精英盾怪</t>
        </is>
      </c>
      <c r="D746" t="n">
        <v>239382</v>
      </c>
      <c r="E746" t="n">
        <v>5138</v>
      </c>
      <c r="F746" t="n">
        <v>6911</v>
      </c>
    </row>
    <row r="747">
      <c r="A747" t="inlineStr">
        <is>
          <t>83|Boss</t>
        </is>
      </c>
      <c r="B747" t="n">
        <v>83</v>
      </c>
      <c r="C747" t="inlineStr">
        <is>
          <t>Boss</t>
        </is>
      </c>
      <c r="D747" t="n">
        <v>1979049</v>
      </c>
      <c r="E747" t="n">
        <v>6101</v>
      </c>
      <c r="F747" t="n">
        <v>6911</v>
      </c>
    </row>
    <row r="748">
      <c r="A748" t="inlineStr">
        <is>
          <t>83|装备副本Boss</t>
        </is>
      </c>
      <c r="B748" t="n">
        <v>83</v>
      </c>
      <c r="C748" t="inlineStr">
        <is>
          <t>装备副本Boss</t>
        </is>
      </c>
      <c r="D748" t="n">
        <v>989525</v>
      </c>
      <c r="E748" t="n">
        <v>6101</v>
      </c>
      <c r="F748" t="n">
        <v>6911</v>
      </c>
    </row>
    <row r="749">
      <c r="A749" t="inlineStr">
        <is>
          <t>84|普通怪</t>
        </is>
      </c>
      <c r="B749" t="n">
        <v>84</v>
      </c>
      <c r="C749" t="inlineStr">
        <is>
          <t>普通怪</t>
        </is>
      </c>
      <c r="D749" t="n">
        <v>27175</v>
      </c>
      <c r="E749" t="n">
        <v>5221</v>
      </c>
      <c r="F749" t="n">
        <v>7003</v>
      </c>
    </row>
    <row r="750">
      <c r="A750" t="inlineStr">
        <is>
          <t>84|盾怪</t>
        </is>
      </c>
      <c r="B750" t="n">
        <v>84</v>
      </c>
      <c r="C750" t="inlineStr">
        <is>
          <t>盾怪</t>
        </is>
      </c>
      <c r="D750" t="n">
        <v>81525</v>
      </c>
      <c r="E750" t="n">
        <v>5221</v>
      </c>
      <c r="F750" t="n">
        <v>7003</v>
      </c>
    </row>
    <row r="751">
      <c r="A751" t="inlineStr">
        <is>
          <t>84|二级普通怪</t>
        </is>
      </c>
      <c r="B751" t="n">
        <v>84</v>
      </c>
      <c r="C751" t="inlineStr">
        <is>
          <t>二级普通怪</t>
        </is>
      </c>
      <c r="D751" t="n">
        <v>48915</v>
      </c>
      <c r="E751" t="n">
        <v>5221</v>
      </c>
      <c r="F751" t="n">
        <v>7003</v>
      </c>
    </row>
    <row r="752">
      <c r="A752" t="inlineStr">
        <is>
          <t>84|站桩怪</t>
        </is>
      </c>
      <c r="B752" t="n">
        <v>84</v>
      </c>
      <c r="C752" t="inlineStr">
        <is>
          <t>站桩怪</t>
        </is>
      </c>
      <c r="D752" t="n">
        <v>13588</v>
      </c>
      <c r="E752" t="n">
        <v>5221</v>
      </c>
      <c r="F752" t="n">
        <v>7003</v>
      </c>
    </row>
    <row r="753">
      <c r="A753" t="inlineStr">
        <is>
          <t>84|炮灰怪</t>
        </is>
      </c>
      <c r="B753" t="n">
        <v>84</v>
      </c>
      <c r="C753" t="inlineStr">
        <is>
          <t>炮灰怪</t>
        </is>
      </c>
      <c r="D753" t="n">
        <v>4077</v>
      </c>
      <c r="E753" t="n">
        <v>5221</v>
      </c>
      <c r="F753" t="n">
        <v>7003</v>
      </c>
    </row>
    <row r="754">
      <c r="A754" t="inlineStr">
        <is>
          <t>84|精英怪</t>
        </is>
      </c>
      <c r="B754" t="n">
        <v>84</v>
      </c>
      <c r="C754" t="inlineStr">
        <is>
          <t>精英怪</t>
        </is>
      </c>
      <c r="D754" t="n">
        <v>108700</v>
      </c>
      <c r="E754" t="n">
        <v>5221</v>
      </c>
      <c r="F754" t="n">
        <v>7003</v>
      </c>
    </row>
    <row r="755">
      <c r="A755" t="inlineStr">
        <is>
          <t>84|精英盾怪</t>
        </is>
      </c>
      <c r="B755" t="n">
        <v>84</v>
      </c>
      <c r="C755" t="inlineStr">
        <is>
          <t>精英盾怪</t>
        </is>
      </c>
      <c r="D755" t="n">
        <v>244575</v>
      </c>
      <c r="E755" t="n">
        <v>5221</v>
      </c>
      <c r="F755" t="n">
        <v>7003</v>
      </c>
    </row>
    <row r="756">
      <c r="A756" t="inlineStr">
        <is>
          <t>84|Boss</t>
        </is>
      </c>
      <c r="B756" t="n">
        <v>84</v>
      </c>
      <c r="C756" t="inlineStr">
        <is>
          <t>Boss</t>
        </is>
      </c>
      <c r="D756" t="n">
        <v>2026603</v>
      </c>
      <c r="E756" t="n">
        <v>6196</v>
      </c>
      <c r="F756" t="n">
        <v>7003</v>
      </c>
    </row>
    <row r="757">
      <c r="A757" t="inlineStr">
        <is>
          <t>84|装备副本Boss</t>
        </is>
      </c>
      <c r="B757" t="n">
        <v>84</v>
      </c>
      <c r="C757" t="inlineStr">
        <is>
          <t>装备副本Boss</t>
        </is>
      </c>
      <c r="D757" t="n">
        <v>1013302</v>
      </c>
      <c r="E757" t="n">
        <v>6196</v>
      </c>
      <c r="F757" t="n">
        <v>7003</v>
      </c>
    </row>
    <row r="758">
      <c r="A758" t="inlineStr">
        <is>
          <t>85|普通怪</t>
        </is>
      </c>
      <c r="B758" t="n">
        <v>85</v>
      </c>
      <c r="C758" t="inlineStr">
        <is>
          <t>普通怪</t>
        </is>
      </c>
      <c r="D758" t="n">
        <v>27760</v>
      </c>
      <c r="E758" t="n">
        <v>5304</v>
      </c>
      <c r="F758" t="n">
        <v>7096</v>
      </c>
    </row>
    <row r="759">
      <c r="A759" t="inlineStr">
        <is>
          <t>85|盾怪</t>
        </is>
      </c>
      <c r="B759" t="n">
        <v>85</v>
      </c>
      <c r="C759" t="inlineStr">
        <is>
          <t>盾怪</t>
        </is>
      </c>
      <c r="D759" t="n">
        <v>83280</v>
      </c>
      <c r="E759" t="n">
        <v>5304</v>
      </c>
      <c r="F759" t="n">
        <v>7096</v>
      </c>
    </row>
    <row r="760">
      <c r="A760" t="inlineStr">
        <is>
          <t>85|二级普通怪</t>
        </is>
      </c>
      <c r="B760" t="n">
        <v>85</v>
      </c>
      <c r="C760" t="inlineStr">
        <is>
          <t>二级普通怪</t>
        </is>
      </c>
      <c r="D760" t="n">
        <v>49968</v>
      </c>
      <c r="E760" t="n">
        <v>5304</v>
      </c>
      <c r="F760" t="n">
        <v>7096</v>
      </c>
    </row>
    <row r="761">
      <c r="A761" t="inlineStr">
        <is>
          <t>85|站桩怪</t>
        </is>
      </c>
      <c r="B761" t="n">
        <v>85</v>
      </c>
      <c r="C761" t="inlineStr">
        <is>
          <t>站桩怪</t>
        </is>
      </c>
      <c r="D761" t="n">
        <v>13880</v>
      </c>
      <c r="E761" t="n">
        <v>5304</v>
      </c>
      <c r="F761" t="n">
        <v>7096</v>
      </c>
    </row>
    <row r="762">
      <c r="A762" t="inlineStr">
        <is>
          <t>85|炮灰怪</t>
        </is>
      </c>
      <c r="B762" t="n">
        <v>85</v>
      </c>
      <c r="C762" t="inlineStr">
        <is>
          <t>炮灰怪</t>
        </is>
      </c>
      <c r="D762" t="n">
        <v>4164</v>
      </c>
      <c r="E762" t="n">
        <v>5304</v>
      </c>
      <c r="F762" t="n">
        <v>7096</v>
      </c>
    </row>
    <row r="763">
      <c r="A763" t="inlineStr">
        <is>
          <t>85|精英怪</t>
        </is>
      </c>
      <c r="B763" t="n">
        <v>85</v>
      </c>
      <c r="C763" t="inlineStr">
        <is>
          <t>精英怪</t>
        </is>
      </c>
      <c r="D763" t="n">
        <v>111040</v>
      </c>
      <c r="E763" t="n">
        <v>5304</v>
      </c>
      <c r="F763" t="n">
        <v>7096</v>
      </c>
    </row>
    <row r="764">
      <c r="A764" t="inlineStr">
        <is>
          <t>85|精英盾怪</t>
        </is>
      </c>
      <c r="B764" t="n">
        <v>85</v>
      </c>
      <c r="C764" t="inlineStr">
        <is>
          <t>精英盾怪</t>
        </is>
      </c>
      <c r="D764" t="n">
        <v>249840</v>
      </c>
      <c r="E764" t="n">
        <v>5304</v>
      </c>
      <c r="F764" t="n">
        <v>7096</v>
      </c>
    </row>
    <row r="765">
      <c r="A765" t="inlineStr">
        <is>
          <t>85|Boss</t>
        </is>
      </c>
      <c r="B765" t="n">
        <v>85</v>
      </c>
      <c r="C765" t="inlineStr">
        <is>
          <t>Boss</t>
        </is>
      </c>
      <c r="D765" t="n">
        <v>2074943</v>
      </c>
      <c r="E765" t="n">
        <v>6291</v>
      </c>
      <c r="F765" t="n">
        <v>7096</v>
      </c>
    </row>
    <row r="766">
      <c r="A766" t="inlineStr">
        <is>
          <t>85|装备副本Boss</t>
        </is>
      </c>
      <c r="B766" t="n">
        <v>85</v>
      </c>
      <c r="C766" t="inlineStr">
        <is>
          <t>装备副本Boss</t>
        </is>
      </c>
      <c r="D766" t="n">
        <v>1037472</v>
      </c>
      <c r="E766" t="n">
        <v>6291</v>
      </c>
      <c r="F766" t="n">
        <v>7096</v>
      </c>
    </row>
    <row r="767">
      <c r="A767" t="inlineStr">
        <is>
          <t>86|普通怪</t>
        </is>
      </c>
      <c r="B767" t="n">
        <v>86</v>
      </c>
      <c r="C767" t="inlineStr">
        <is>
          <t>普通怪</t>
        </is>
      </c>
      <c r="D767" t="n">
        <v>28353</v>
      </c>
      <c r="E767" t="n">
        <v>5388</v>
      </c>
      <c r="F767" t="n">
        <v>7190</v>
      </c>
    </row>
    <row r="768">
      <c r="A768" t="inlineStr">
        <is>
          <t>86|盾怪</t>
        </is>
      </c>
      <c r="B768" t="n">
        <v>86</v>
      </c>
      <c r="C768" t="inlineStr">
        <is>
          <t>盾怪</t>
        </is>
      </c>
      <c r="D768" t="n">
        <v>85059</v>
      </c>
      <c r="E768" t="n">
        <v>5388</v>
      </c>
      <c r="F768" t="n">
        <v>7190</v>
      </c>
    </row>
    <row r="769">
      <c r="A769" t="inlineStr">
        <is>
          <t>86|二级普通怪</t>
        </is>
      </c>
      <c r="B769" t="n">
        <v>86</v>
      </c>
      <c r="C769" t="inlineStr">
        <is>
          <t>二级普通怪</t>
        </is>
      </c>
      <c r="D769" t="n">
        <v>51036</v>
      </c>
      <c r="E769" t="n">
        <v>5388</v>
      </c>
      <c r="F769" t="n">
        <v>7190</v>
      </c>
    </row>
    <row r="770">
      <c r="A770" t="inlineStr">
        <is>
          <t>86|站桩怪</t>
        </is>
      </c>
      <c r="B770" t="n">
        <v>86</v>
      </c>
      <c r="C770" t="inlineStr">
        <is>
          <t>站桩怪</t>
        </is>
      </c>
      <c r="D770" t="n">
        <v>14177</v>
      </c>
      <c r="E770" t="n">
        <v>5388</v>
      </c>
      <c r="F770" t="n">
        <v>7190</v>
      </c>
    </row>
    <row r="771">
      <c r="A771" t="inlineStr">
        <is>
          <t>86|炮灰怪</t>
        </is>
      </c>
      <c r="B771" t="n">
        <v>86</v>
      </c>
      <c r="C771" t="inlineStr">
        <is>
          <t>炮灰怪</t>
        </is>
      </c>
      <c r="D771" t="n">
        <v>4253</v>
      </c>
      <c r="E771" t="n">
        <v>5388</v>
      </c>
      <c r="F771" t="n">
        <v>7190</v>
      </c>
    </row>
    <row r="772">
      <c r="A772" t="inlineStr">
        <is>
          <t>86|精英怪</t>
        </is>
      </c>
      <c r="B772" t="n">
        <v>86</v>
      </c>
      <c r="C772" t="inlineStr">
        <is>
          <t>精英怪</t>
        </is>
      </c>
      <c r="D772" t="n">
        <v>113412</v>
      </c>
      <c r="E772" t="n">
        <v>5388</v>
      </c>
      <c r="F772" t="n">
        <v>7190</v>
      </c>
    </row>
    <row r="773">
      <c r="A773" t="inlineStr">
        <is>
          <t>86|精英盾怪</t>
        </is>
      </c>
      <c r="B773" t="n">
        <v>86</v>
      </c>
      <c r="C773" t="inlineStr">
        <is>
          <t>精英盾怪</t>
        </is>
      </c>
      <c r="D773" t="n">
        <v>255177</v>
      </c>
      <c r="E773" t="n">
        <v>5388</v>
      </c>
      <c r="F773" t="n">
        <v>7190</v>
      </c>
    </row>
    <row r="774">
      <c r="A774" t="inlineStr">
        <is>
          <t>86|Boss</t>
        </is>
      </c>
      <c r="B774" t="n">
        <v>86</v>
      </c>
      <c r="C774" t="inlineStr">
        <is>
          <t>Boss</t>
        </is>
      </c>
      <c r="D774" t="n">
        <v>2124121</v>
      </c>
      <c r="E774" t="n">
        <v>6387</v>
      </c>
      <c r="F774" t="n">
        <v>7190</v>
      </c>
    </row>
    <row r="775">
      <c r="A775" t="inlineStr">
        <is>
          <t>86|装备副本Boss</t>
        </is>
      </c>
      <c r="B775" t="n">
        <v>86</v>
      </c>
      <c r="C775" t="inlineStr">
        <is>
          <t>装备副本Boss</t>
        </is>
      </c>
      <c r="D775" t="n">
        <v>1062060</v>
      </c>
      <c r="E775" t="n">
        <v>6387</v>
      </c>
      <c r="F775" t="n">
        <v>7190</v>
      </c>
    </row>
    <row r="776">
      <c r="A776" t="inlineStr">
        <is>
          <t>87|普通怪</t>
        </is>
      </c>
      <c r="B776" t="n">
        <v>87</v>
      </c>
      <c r="C776" t="inlineStr">
        <is>
          <t>普通怪</t>
        </is>
      </c>
      <c r="D776" t="n">
        <v>28954</v>
      </c>
      <c r="E776" t="n">
        <v>5471</v>
      </c>
      <c r="F776" t="n">
        <v>7283</v>
      </c>
    </row>
    <row r="777">
      <c r="A777" t="inlineStr">
        <is>
          <t>87|盾怪</t>
        </is>
      </c>
      <c r="B777" t="n">
        <v>87</v>
      </c>
      <c r="C777" t="inlineStr">
        <is>
          <t>盾怪</t>
        </is>
      </c>
      <c r="D777" t="n">
        <v>86862</v>
      </c>
      <c r="E777" t="n">
        <v>5471</v>
      </c>
      <c r="F777" t="n">
        <v>7283</v>
      </c>
    </row>
    <row r="778">
      <c r="A778" t="inlineStr">
        <is>
          <t>87|二级普通怪</t>
        </is>
      </c>
      <c r="B778" t="n">
        <v>87</v>
      </c>
      <c r="C778" t="inlineStr">
        <is>
          <t>二级普通怪</t>
        </is>
      </c>
      <c r="D778" t="n">
        <v>52118</v>
      </c>
      <c r="E778" t="n">
        <v>5471</v>
      </c>
      <c r="F778" t="n">
        <v>7283</v>
      </c>
    </row>
    <row r="779">
      <c r="A779" t="inlineStr">
        <is>
          <t>87|站桩怪</t>
        </is>
      </c>
      <c r="B779" t="n">
        <v>87</v>
      </c>
      <c r="C779" t="inlineStr">
        <is>
          <t>站桩怪</t>
        </is>
      </c>
      <c r="D779" t="n">
        <v>14477</v>
      </c>
      <c r="E779" t="n">
        <v>5471</v>
      </c>
      <c r="F779" t="n">
        <v>7283</v>
      </c>
    </row>
    <row r="780">
      <c r="A780" t="inlineStr">
        <is>
          <t>87|炮灰怪</t>
        </is>
      </c>
      <c r="B780" t="n">
        <v>87</v>
      </c>
      <c r="C780" t="inlineStr">
        <is>
          <t>炮灰怪</t>
        </is>
      </c>
      <c r="D780" t="n">
        <v>4344</v>
      </c>
      <c r="E780" t="n">
        <v>5471</v>
      </c>
      <c r="F780" t="n">
        <v>7283</v>
      </c>
    </row>
    <row r="781">
      <c r="A781" t="inlineStr">
        <is>
          <t>87|精英怪</t>
        </is>
      </c>
      <c r="B781" t="n">
        <v>87</v>
      </c>
      <c r="C781" t="inlineStr">
        <is>
          <t>精英怪</t>
        </is>
      </c>
      <c r="D781" t="n">
        <v>115816</v>
      </c>
      <c r="E781" t="n">
        <v>5471</v>
      </c>
      <c r="F781" t="n">
        <v>7283</v>
      </c>
    </row>
    <row r="782">
      <c r="A782" t="inlineStr">
        <is>
          <t>87|精英盾怪</t>
        </is>
      </c>
      <c r="B782" t="n">
        <v>87</v>
      </c>
      <c r="C782" t="inlineStr">
        <is>
          <t>精英盾怪</t>
        </is>
      </c>
      <c r="D782" t="n">
        <v>260586</v>
      </c>
      <c r="E782" t="n">
        <v>5471</v>
      </c>
      <c r="F782" t="n">
        <v>7283</v>
      </c>
    </row>
    <row r="783">
      <c r="A783" t="inlineStr">
        <is>
          <t>87|Boss</t>
        </is>
      </c>
      <c r="B783" t="n">
        <v>87</v>
      </c>
      <c r="C783" t="inlineStr">
        <is>
          <t>Boss</t>
        </is>
      </c>
      <c r="D783" t="n">
        <v>2174032</v>
      </c>
      <c r="E783" t="n">
        <v>6483</v>
      </c>
      <c r="F783" t="n">
        <v>7283</v>
      </c>
    </row>
    <row r="784">
      <c r="A784" t="inlineStr">
        <is>
          <t>87|装备副本Boss</t>
        </is>
      </c>
      <c r="B784" t="n">
        <v>87</v>
      </c>
      <c r="C784" t="inlineStr">
        <is>
          <t>装备副本Boss</t>
        </is>
      </c>
      <c r="D784" t="n">
        <v>1087016</v>
      </c>
      <c r="E784" t="n">
        <v>6483</v>
      </c>
      <c r="F784" t="n">
        <v>7283</v>
      </c>
    </row>
    <row r="785">
      <c r="A785" t="inlineStr">
        <is>
          <t>88|普通怪</t>
        </is>
      </c>
      <c r="B785" t="n">
        <v>88</v>
      </c>
      <c r="C785" t="inlineStr">
        <is>
          <t>普通怪</t>
        </is>
      </c>
      <c r="D785" t="n">
        <v>29563</v>
      </c>
      <c r="E785" t="n">
        <v>5557</v>
      </c>
      <c r="F785" t="n">
        <v>7377</v>
      </c>
    </row>
    <row r="786">
      <c r="A786" t="inlineStr">
        <is>
          <t>88|盾怪</t>
        </is>
      </c>
      <c r="B786" t="n">
        <v>88</v>
      </c>
      <c r="C786" t="inlineStr">
        <is>
          <t>盾怪</t>
        </is>
      </c>
      <c r="D786" t="n">
        <v>88689</v>
      </c>
      <c r="E786" t="n">
        <v>5557</v>
      </c>
      <c r="F786" t="n">
        <v>7377</v>
      </c>
    </row>
    <row r="787">
      <c r="A787" t="inlineStr">
        <is>
          <t>88|二级普通怪</t>
        </is>
      </c>
      <c r="B787" t="n">
        <v>88</v>
      </c>
      <c r="C787" t="inlineStr">
        <is>
          <t>二级普通怪</t>
        </is>
      </c>
      <c r="D787" t="n">
        <v>53214</v>
      </c>
      <c r="E787" t="n">
        <v>5557</v>
      </c>
      <c r="F787" t="n">
        <v>7377</v>
      </c>
    </row>
    <row r="788">
      <c r="A788" t="inlineStr">
        <is>
          <t>88|站桩怪</t>
        </is>
      </c>
      <c r="B788" t="n">
        <v>88</v>
      </c>
      <c r="C788" t="inlineStr">
        <is>
          <t>站桩怪</t>
        </is>
      </c>
      <c r="D788" t="n">
        <v>14782</v>
      </c>
      <c r="E788" t="n">
        <v>5557</v>
      </c>
      <c r="F788" t="n">
        <v>7377</v>
      </c>
    </row>
    <row r="789">
      <c r="A789" t="inlineStr">
        <is>
          <t>88|炮灰怪</t>
        </is>
      </c>
      <c r="B789" t="n">
        <v>88</v>
      </c>
      <c r="C789" t="inlineStr">
        <is>
          <t>炮灰怪</t>
        </is>
      </c>
      <c r="D789" t="n">
        <v>4435</v>
      </c>
      <c r="E789" t="n">
        <v>5557</v>
      </c>
      <c r="F789" t="n">
        <v>7377</v>
      </c>
    </row>
    <row r="790">
      <c r="A790" t="inlineStr">
        <is>
          <t>88|精英怪</t>
        </is>
      </c>
      <c r="B790" t="n">
        <v>88</v>
      </c>
      <c r="C790" t="inlineStr">
        <is>
          <t>精英怪</t>
        </is>
      </c>
      <c r="D790" t="n">
        <v>118252</v>
      </c>
      <c r="E790" t="n">
        <v>5557</v>
      </c>
      <c r="F790" t="n">
        <v>7377</v>
      </c>
    </row>
    <row r="791">
      <c r="A791" t="inlineStr">
        <is>
          <t>88|精英盾怪</t>
        </is>
      </c>
      <c r="B791" t="n">
        <v>88</v>
      </c>
      <c r="C791" t="inlineStr">
        <is>
          <t>精英盾怪</t>
        </is>
      </c>
      <c r="D791" t="n">
        <v>266067</v>
      </c>
      <c r="E791" t="n">
        <v>5557</v>
      </c>
      <c r="F791" t="n">
        <v>7377</v>
      </c>
    </row>
    <row r="792">
      <c r="A792" t="inlineStr">
        <is>
          <t>88|Boss</t>
        </is>
      </c>
      <c r="B792" t="n">
        <v>88</v>
      </c>
      <c r="C792" t="inlineStr">
        <is>
          <t>Boss</t>
        </is>
      </c>
      <c r="D792" t="n">
        <v>2224832</v>
      </c>
      <c r="E792" t="n">
        <v>6581</v>
      </c>
      <c r="F792" t="n">
        <v>7377</v>
      </c>
    </row>
    <row r="793">
      <c r="A793" t="inlineStr">
        <is>
          <t>88|装备副本Boss</t>
        </is>
      </c>
      <c r="B793" t="n">
        <v>88</v>
      </c>
      <c r="C793" t="inlineStr">
        <is>
          <t>装备副本Boss</t>
        </is>
      </c>
      <c r="D793" t="n">
        <v>1112416</v>
      </c>
      <c r="E793" t="n">
        <v>6581</v>
      </c>
      <c r="F793" t="n">
        <v>7377</v>
      </c>
    </row>
    <row r="794">
      <c r="A794" t="inlineStr">
        <is>
          <t>89|普通怪</t>
        </is>
      </c>
      <c r="B794" t="n">
        <v>89</v>
      </c>
      <c r="C794" t="inlineStr">
        <is>
          <t>普通怪</t>
        </is>
      </c>
      <c r="D794" t="n">
        <v>30179</v>
      </c>
      <c r="E794" t="n">
        <v>5642</v>
      </c>
      <c r="F794" t="n">
        <v>7471</v>
      </c>
    </row>
    <row r="795">
      <c r="A795" t="inlineStr">
        <is>
          <t>89|盾怪</t>
        </is>
      </c>
      <c r="B795" t="n">
        <v>89</v>
      </c>
      <c r="C795" t="inlineStr">
        <is>
          <t>盾怪</t>
        </is>
      </c>
      <c r="D795" t="n">
        <v>90537</v>
      </c>
      <c r="E795" t="n">
        <v>5642</v>
      </c>
      <c r="F795" t="n">
        <v>7471</v>
      </c>
    </row>
    <row r="796">
      <c r="A796" t="inlineStr">
        <is>
          <t>89|二级普通怪</t>
        </is>
      </c>
      <c r="B796" t="n">
        <v>89</v>
      </c>
      <c r="C796" t="inlineStr">
        <is>
          <t>二级普通怪</t>
        </is>
      </c>
      <c r="D796" t="n">
        <v>54323</v>
      </c>
      <c r="E796" t="n">
        <v>5642</v>
      </c>
      <c r="F796" t="n">
        <v>7471</v>
      </c>
    </row>
    <row r="797">
      <c r="A797" t="inlineStr">
        <is>
          <t>89|站桩怪</t>
        </is>
      </c>
      <c r="B797" t="n">
        <v>89</v>
      </c>
      <c r="C797" t="inlineStr">
        <is>
          <t>站桩怪</t>
        </is>
      </c>
      <c r="D797" t="n">
        <v>15090</v>
      </c>
      <c r="E797" t="n">
        <v>5642</v>
      </c>
      <c r="F797" t="n">
        <v>7471</v>
      </c>
    </row>
    <row r="798">
      <c r="A798" t="inlineStr">
        <is>
          <t>89|炮灰怪</t>
        </is>
      </c>
      <c r="B798" t="n">
        <v>89</v>
      </c>
      <c r="C798" t="inlineStr">
        <is>
          <t>炮灰怪</t>
        </is>
      </c>
      <c r="D798" t="n">
        <v>4527</v>
      </c>
      <c r="E798" t="n">
        <v>5642</v>
      </c>
      <c r="F798" t="n">
        <v>7471</v>
      </c>
    </row>
    <row r="799">
      <c r="A799" t="inlineStr">
        <is>
          <t>89|精英怪</t>
        </is>
      </c>
      <c r="B799" t="n">
        <v>89</v>
      </c>
      <c r="C799" t="inlineStr">
        <is>
          <t>精英怪</t>
        </is>
      </c>
      <c r="D799" t="n">
        <v>120716</v>
      </c>
      <c r="E799" t="n">
        <v>5642</v>
      </c>
      <c r="F799" t="n">
        <v>7471</v>
      </c>
    </row>
    <row r="800">
      <c r="A800" t="inlineStr">
        <is>
          <t>89|精英盾怪</t>
        </is>
      </c>
      <c r="B800" t="n">
        <v>89</v>
      </c>
      <c r="C800" t="inlineStr">
        <is>
          <t>精英盾怪</t>
        </is>
      </c>
      <c r="D800" t="n">
        <v>271611</v>
      </c>
      <c r="E800" t="n">
        <v>5642</v>
      </c>
      <c r="F800" t="n">
        <v>7471</v>
      </c>
    </row>
    <row r="801">
      <c r="A801" t="inlineStr">
        <is>
          <t>89|Boss</t>
        </is>
      </c>
      <c r="B801" t="n">
        <v>89</v>
      </c>
      <c r="C801" t="inlineStr">
        <is>
          <t>Boss</t>
        </is>
      </c>
      <c r="D801" t="n">
        <v>2276366</v>
      </c>
      <c r="E801" t="n">
        <v>6678</v>
      </c>
      <c r="F801" t="n">
        <v>7471</v>
      </c>
    </row>
    <row r="802">
      <c r="A802" t="inlineStr">
        <is>
          <t>89|装备副本Boss</t>
        </is>
      </c>
      <c r="B802" t="n">
        <v>89</v>
      </c>
      <c r="C802" t="inlineStr">
        <is>
          <t>装备副本Boss</t>
        </is>
      </c>
      <c r="D802" t="n">
        <v>1138183</v>
      </c>
      <c r="E802" t="n">
        <v>6678</v>
      </c>
      <c r="F802" t="n">
        <v>7471</v>
      </c>
    </row>
    <row r="803">
      <c r="A803" t="inlineStr">
        <is>
          <t>90|普通怪</t>
        </is>
      </c>
      <c r="B803" t="n">
        <v>90</v>
      </c>
      <c r="C803" t="inlineStr">
        <is>
          <t>普通怪</t>
        </is>
      </c>
      <c r="D803" t="n">
        <v>30804</v>
      </c>
      <c r="E803" t="n">
        <v>5728</v>
      </c>
      <c r="F803" t="n">
        <v>7565</v>
      </c>
    </row>
    <row r="804">
      <c r="A804" t="inlineStr">
        <is>
          <t>90|盾怪</t>
        </is>
      </c>
      <c r="B804" t="n">
        <v>90</v>
      </c>
      <c r="C804" t="inlineStr">
        <is>
          <t>盾怪</t>
        </is>
      </c>
      <c r="D804" t="n">
        <v>92412</v>
      </c>
      <c r="E804" t="n">
        <v>5728</v>
      </c>
      <c r="F804" t="n">
        <v>7565</v>
      </c>
    </row>
    <row r="805">
      <c r="A805" t="inlineStr">
        <is>
          <t>90|二级普通怪</t>
        </is>
      </c>
      <c r="B805" t="n">
        <v>90</v>
      </c>
      <c r="C805" t="inlineStr">
        <is>
          <t>二级普通怪</t>
        </is>
      </c>
      <c r="D805" t="n">
        <v>55448</v>
      </c>
      <c r="E805" t="n">
        <v>5728</v>
      </c>
      <c r="F805" t="n">
        <v>7565</v>
      </c>
    </row>
    <row r="806">
      <c r="A806" t="inlineStr">
        <is>
          <t>90|站桩怪</t>
        </is>
      </c>
      <c r="B806" t="n">
        <v>90</v>
      </c>
      <c r="C806" t="inlineStr">
        <is>
          <t>站桩怪</t>
        </is>
      </c>
      <c r="D806" t="n">
        <v>15402</v>
      </c>
      <c r="E806" t="n">
        <v>5728</v>
      </c>
      <c r="F806" t="n">
        <v>7565</v>
      </c>
    </row>
    <row r="807">
      <c r="A807" t="inlineStr">
        <is>
          <t>90|炮灰怪</t>
        </is>
      </c>
      <c r="B807" t="n">
        <v>90</v>
      </c>
      <c r="C807" t="inlineStr">
        <is>
          <t>炮灰怪</t>
        </is>
      </c>
      <c r="D807" t="n">
        <v>4621</v>
      </c>
      <c r="E807" t="n">
        <v>5728</v>
      </c>
      <c r="F807" t="n">
        <v>7565</v>
      </c>
    </row>
    <row r="808">
      <c r="A808" t="inlineStr">
        <is>
          <t>90|精英怪</t>
        </is>
      </c>
      <c r="B808" t="n">
        <v>90</v>
      </c>
      <c r="C808" t="inlineStr">
        <is>
          <t>精英怪</t>
        </is>
      </c>
      <c r="D808" t="n">
        <v>123216</v>
      </c>
      <c r="E808" t="n">
        <v>5728</v>
      </c>
      <c r="F808" t="n">
        <v>7565</v>
      </c>
    </row>
    <row r="809">
      <c r="A809" t="inlineStr">
        <is>
          <t>90|精英盾怪</t>
        </is>
      </c>
      <c r="B809" t="n">
        <v>90</v>
      </c>
      <c r="C809" t="inlineStr">
        <is>
          <t>精英盾怪</t>
        </is>
      </c>
      <c r="D809" t="n">
        <v>277236</v>
      </c>
      <c r="E809" t="n">
        <v>5728</v>
      </c>
      <c r="F809" t="n">
        <v>7565</v>
      </c>
    </row>
    <row r="810">
      <c r="A810" t="inlineStr">
        <is>
          <t>90|Boss</t>
        </is>
      </c>
      <c r="B810" t="n">
        <v>90</v>
      </c>
      <c r="C810" t="inlineStr">
        <is>
          <t>Boss</t>
        </is>
      </c>
      <c r="D810" t="n">
        <v>2328789</v>
      </c>
      <c r="E810" t="n">
        <v>6776</v>
      </c>
      <c r="F810" t="n">
        <v>7565</v>
      </c>
    </row>
    <row r="811">
      <c r="A811" t="inlineStr">
        <is>
          <t>90|装备副本Boss</t>
        </is>
      </c>
      <c r="B811" t="n">
        <v>90</v>
      </c>
      <c r="C811" t="inlineStr">
        <is>
          <t>装备副本Boss</t>
        </is>
      </c>
      <c r="D811" t="n">
        <v>1164394</v>
      </c>
      <c r="E811" t="n">
        <v>6776</v>
      </c>
      <c r="F811" t="n">
        <v>7565</v>
      </c>
    </row>
    <row r="812">
      <c r="A812" t="inlineStr">
        <is>
          <t>91|普通怪</t>
        </is>
      </c>
      <c r="B812" t="n">
        <v>91</v>
      </c>
      <c r="C812" t="inlineStr">
        <is>
          <t>普通怪</t>
        </is>
      </c>
      <c r="D812" t="n">
        <v>31436</v>
      </c>
      <c r="E812" t="n">
        <v>5815</v>
      </c>
      <c r="F812" t="n">
        <v>7659</v>
      </c>
    </row>
    <row r="813">
      <c r="A813" t="inlineStr">
        <is>
          <t>91|盾怪</t>
        </is>
      </c>
      <c r="B813" t="n">
        <v>91</v>
      </c>
      <c r="C813" t="inlineStr">
        <is>
          <t>盾怪</t>
        </is>
      </c>
      <c r="D813" t="n">
        <v>94308</v>
      </c>
      <c r="E813" t="n">
        <v>5815</v>
      </c>
      <c r="F813" t="n">
        <v>7659</v>
      </c>
    </row>
    <row r="814">
      <c r="A814" t="inlineStr">
        <is>
          <t>91|二级普通怪</t>
        </is>
      </c>
      <c r="B814" t="n">
        <v>91</v>
      </c>
      <c r="C814" t="inlineStr">
        <is>
          <t>二级普通怪</t>
        </is>
      </c>
      <c r="D814" t="n">
        <v>56585</v>
      </c>
      <c r="E814" t="n">
        <v>5815</v>
      </c>
      <c r="F814" t="n">
        <v>7659</v>
      </c>
    </row>
    <row r="815">
      <c r="A815" t="inlineStr">
        <is>
          <t>91|站桩怪</t>
        </is>
      </c>
      <c r="B815" t="n">
        <v>91</v>
      </c>
      <c r="C815" t="inlineStr">
        <is>
          <t>站桩怪</t>
        </is>
      </c>
      <c r="D815" t="n">
        <v>15718</v>
      </c>
      <c r="E815" t="n">
        <v>5815</v>
      </c>
      <c r="F815" t="n">
        <v>7659</v>
      </c>
    </row>
    <row r="816">
      <c r="A816" t="inlineStr">
        <is>
          <t>91|炮灰怪</t>
        </is>
      </c>
      <c r="B816" t="n">
        <v>91</v>
      </c>
      <c r="C816" t="inlineStr">
        <is>
          <t>炮灰怪</t>
        </is>
      </c>
      <c r="D816" t="n">
        <v>4716</v>
      </c>
      <c r="E816" t="n">
        <v>5815</v>
      </c>
      <c r="F816" t="n">
        <v>7659</v>
      </c>
    </row>
    <row r="817">
      <c r="A817" t="inlineStr">
        <is>
          <t>91|精英怪</t>
        </is>
      </c>
      <c r="B817" t="n">
        <v>91</v>
      </c>
      <c r="C817" t="inlineStr">
        <is>
          <t>精英怪</t>
        </is>
      </c>
      <c r="D817" t="n">
        <v>125744</v>
      </c>
      <c r="E817" t="n">
        <v>5815</v>
      </c>
      <c r="F817" t="n">
        <v>7659</v>
      </c>
    </row>
    <row r="818">
      <c r="A818" t="inlineStr">
        <is>
          <t>91|精英盾怪</t>
        </is>
      </c>
      <c r="B818" t="n">
        <v>91</v>
      </c>
      <c r="C818" t="inlineStr">
        <is>
          <t>精英盾怪</t>
        </is>
      </c>
      <c r="D818" t="n">
        <v>282924</v>
      </c>
      <c r="E818" t="n">
        <v>5815</v>
      </c>
      <c r="F818" t="n">
        <v>7659</v>
      </c>
    </row>
    <row r="819">
      <c r="A819" t="inlineStr">
        <is>
          <t>91|Boss</t>
        </is>
      </c>
      <c r="B819" t="n">
        <v>91</v>
      </c>
      <c r="C819" t="inlineStr">
        <is>
          <t>Boss</t>
        </is>
      </c>
      <c r="D819" t="n">
        <v>2382049</v>
      </c>
      <c r="E819" t="n">
        <v>6875</v>
      </c>
      <c r="F819" t="n">
        <v>7659</v>
      </c>
    </row>
    <row r="820">
      <c r="A820" t="inlineStr">
        <is>
          <t>91|装备副本Boss</t>
        </is>
      </c>
      <c r="B820" t="n">
        <v>91</v>
      </c>
      <c r="C820" t="inlineStr">
        <is>
          <t>装备副本Boss</t>
        </is>
      </c>
      <c r="D820" t="n">
        <v>1191024</v>
      </c>
      <c r="E820" t="n">
        <v>6875</v>
      </c>
      <c r="F820" t="n">
        <v>7659</v>
      </c>
    </row>
    <row r="821">
      <c r="A821" t="inlineStr">
        <is>
          <t>92|普通怪</t>
        </is>
      </c>
      <c r="B821" t="n">
        <v>92</v>
      </c>
      <c r="C821" t="inlineStr">
        <is>
          <t>普通怪</t>
        </is>
      </c>
      <c r="D821" t="n">
        <v>32077</v>
      </c>
      <c r="E821" t="n">
        <v>5902</v>
      </c>
      <c r="F821" t="n">
        <v>7754</v>
      </c>
    </row>
    <row r="822">
      <c r="A822" t="inlineStr">
        <is>
          <t>92|盾怪</t>
        </is>
      </c>
      <c r="B822" t="n">
        <v>92</v>
      </c>
      <c r="C822" t="inlineStr">
        <is>
          <t>盾怪</t>
        </is>
      </c>
      <c r="D822" t="n">
        <v>96231</v>
      </c>
      <c r="E822" t="n">
        <v>5902</v>
      </c>
      <c r="F822" t="n">
        <v>7754</v>
      </c>
    </row>
    <row r="823">
      <c r="A823" t="inlineStr">
        <is>
          <t>92|二级普通怪</t>
        </is>
      </c>
      <c r="B823" t="n">
        <v>92</v>
      </c>
      <c r="C823" t="inlineStr">
        <is>
          <t>二级普通怪</t>
        </is>
      </c>
      <c r="D823" t="n">
        <v>57739</v>
      </c>
      <c r="E823" t="n">
        <v>5902</v>
      </c>
      <c r="F823" t="n">
        <v>7754</v>
      </c>
    </row>
    <row r="824">
      <c r="A824" t="inlineStr">
        <is>
          <t>92|站桩怪</t>
        </is>
      </c>
      <c r="B824" t="n">
        <v>92</v>
      </c>
      <c r="C824" t="inlineStr">
        <is>
          <t>站桩怪</t>
        </is>
      </c>
      <c r="D824" t="n">
        <v>16039</v>
      </c>
      <c r="E824" t="n">
        <v>5902</v>
      </c>
      <c r="F824" t="n">
        <v>7754</v>
      </c>
    </row>
    <row r="825">
      <c r="A825" t="inlineStr">
        <is>
          <t>92|炮灰怪</t>
        </is>
      </c>
      <c r="B825" t="n">
        <v>92</v>
      </c>
      <c r="C825" t="inlineStr">
        <is>
          <t>炮灰怪</t>
        </is>
      </c>
      <c r="D825" t="n">
        <v>4812</v>
      </c>
      <c r="E825" t="n">
        <v>5902</v>
      </c>
      <c r="F825" t="n">
        <v>7754</v>
      </c>
    </row>
    <row r="826">
      <c r="A826" t="inlineStr">
        <is>
          <t>92|精英怪</t>
        </is>
      </c>
      <c r="B826" t="n">
        <v>92</v>
      </c>
      <c r="C826" t="inlineStr">
        <is>
          <t>精英怪</t>
        </is>
      </c>
      <c r="D826" t="n">
        <v>128308</v>
      </c>
      <c r="E826" t="n">
        <v>5902</v>
      </c>
      <c r="F826" t="n">
        <v>7754</v>
      </c>
    </row>
    <row r="827">
      <c r="A827" t="inlineStr">
        <is>
          <t>92|精英盾怪</t>
        </is>
      </c>
      <c r="B827" t="n">
        <v>92</v>
      </c>
      <c r="C827" t="inlineStr">
        <is>
          <t>精英盾怪</t>
        </is>
      </c>
      <c r="D827" t="n">
        <v>288693</v>
      </c>
      <c r="E827" t="n">
        <v>5902</v>
      </c>
      <c r="F827" t="n">
        <v>7754</v>
      </c>
    </row>
    <row r="828">
      <c r="A828" t="inlineStr">
        <is>
          <t>92|Boss</t>
        </is>
      </c>
      <c r="B828" t="n">
        <v>92</v>
      </c>
      <c r="C828" t="inlineStr">
        <is>
          <t>Boss</t>
        </is>
      </c>
      <c r="D828" t="n">
        <v>2436094</v>
      </c>
      <c r="E828" t="n">
        <v>6975</v>
      </c>
      <c r="F828" t="n">
        <v>7754</v>
      </c>
    </row>
    <row r="829">
      <c r="A829" t="inlineStr">
        <is>
          <t>92|装备副本Boss</t>
        </is>
      </c>
      <c r="B829" t="n">
        <v>92</v>
      </c>
      <c r="C829" t="inlineStr">
        <is>
          <t>装备副本Boss</t>
        </is>
      </c>
      <c r="D829" t="n">
        <v>1218047</v>
      </c>
      <c r="E829" t="n">
        <v>6975</v>
      </c>
      <c r="F829" t="n">
        <v>7754</v>
      </c>
    </row>
    <row r="830">
      <c r="A830" t="inlineStr">
        <is>
          <t>93|普通怪</t>
        </is>
      </c>
      <c r="B830" t="n">
        <v>93</v>
      </c>
      <c r="C830" t="inlineStr">
        <is>
          <t>普通怪</t>
        </is>
      </c>
      <c r="D830" t="n">
        <v>32725</v>
      </c>
      <c r="E830" t="n">
        <v>5990</v>
      </c>
      <c r="F830" t="n">
        <v>7849</v>
      </c>
    </row>
    <row r="831">
      <c r="A831" t="inlineStr">
        <is>
          <t>93|盾怪</t>
        </is>
      </c>
      <c r="B831" t="n">
        <v>93</v>
      </c>
      <c r="C831" t="inlineStr">
        <is>
          <t>盾怪</t>
        </is>
      </c>
      <c r="D831" t="n">
        <v>98175</v>
      </c>
      <c r="E831" t="n">
        <v>5990</v>
      </c>
      <c r="F831" t="n">
        <v>7849</v>
      </c>
    </row>
    <row r="832">
      <c r="A832" t="inlineStr">
        <is>
          <t>93|二级普通怪</t>
        </is>
      </c>
      <c r="B832" t="n">
        <v>93</v>
      </c>
      <c r="C832" t="inlineStr">
        <is>
          <t>二级普通怪</t>
        </is>
      </c>
      <c r="D832" t="n">
        <v>58905</v>
      </c>
      <c r="E832" t="n">
        <v>5990</v>
      </c>
      <c r="F832" t="n">
        <v>7849</v>
      </c>
    </row>
    <row r="833">
      <c r="A833" t="inlineStr">
        <is>
          <t>93|站桩怪</t>
        </is>
      </c>
      <c r="B833" t="n">
        <v>93</v>
      </c>
      <c r="C833" t="inlineStr">
        <is>
          <t>站桩怪</t>
        </is>
      </c>
      <c r="D833" t="n">
        <v>16363</v>
      </c>
      <c r="E833" t="n">
        <v>5990</v>
      </c>
      <c r="F833" t="n">
        <v>7849</v>
      </c>
    </row>
    <row r="834">
      <c r="A834" t="inlineStr">
        <is>
          <t>93|炮灰怪</t>
        </is>
      </c>
      <c r="B834" t="n">
        <v>93</v>
      </c>
      <c r="C834" t="inlineStr">
        <is>
          <t>炮灰怪</t>
        </is>
      </c>
      <c r="D834" t="n">
        <v>4909</v>
      </c>
      <c r="E834" t="n">
        <v>5990</v>
      </c>
      <c r="F834" t="n">
        <v>7849</v>
      </c>
    </row>
    <row r="835">
      <c r="A835" t="inlineStr">
        <is>
          <t>93|精英怪</t>
        </is>
      </c>
      <c r="B835" t="n">
        <v>93</v>
      </c>
      <c r="C835" t="inlineStr">
        <is>
          <t>精英怪</t>
        </is>
      </c>
      <c r="D835" t="n">
        <v>130900</v>
      </c>
      <c r="E835" t="n">
        <v>5990</v>
      </c>
      <c r="F835" t="n">
        <v>7849</v>
      </c>
    </row>
    <row r="836">
      <c r="A836" t="inlineStr">
        <is>
          <t>93|精英盾怪</t>
        </is>
      </c>
      <c r="B836" t="n">
        <v>93</v>
      </c>
      <c r="C836" t="inlineStr">
        <is>
          <t>精英盾怪</t>
        </is>
      </c>
      <c r="D836" t="n">
        <v>294525</v>
      </c>
      <c r="E836" t="n">
        <v>5990</v>
      </c>
      <c r="F836" t="n">
        <v>7849</v>
      </c>
    </row>
    <row r="837">
      <c r="A837" t="inlineStr">
        <is>
          <t>93|Boss</t>
        </is>
      </c>
      <c r="B837" t="n">
        <v>93</v>
      </c>
      <c r="C837" t="inlineStr">
        <is>
          <t>Boss</t>
        </is>
      </c>
      <c r="D837" t="n">
        <v>2491028</v>
      </c>
      <c r="E837" t="n">
        <v>7075</v>
      </c>
      <c r="F837" t="n">
        <v>7849</v>
      </c>
    </row>
    <row r="838">
      <c r="A838" t="inlineStr">
        <is>
          <t>93|装备副本Boss</t>
        </is>
      </c>
      <c r="B838" t="n">
        <v>93</v>
      </c>
      <c r="C838" t="inlineStr">
        <is>
          <t>装备副本Boss</t>
        </is>
      </c>
      <c r="D838" t="n">
        <v>1245514</v>
      </c>
      <c r="E838" t="n">
        <v>7075</v>
      </c>
      <c r="F838" t="n">
        <v>7849</v>
      </c>
    </row>
    <row r="839">
      <c r="A839" t="inlineStr">
        <is>
          <t>94|普通怪</t>
        </is>
      </c>
      <c r="B839" t="n">
        <v>94</v>
      </c>
      <c r="C839" t="inlineStr">
        <is>
          <t>普通怪</t>
        </is>
      </c>
      <c r="D839" t="n">
        <v>33383</v>
      </c>
      <c r="E839" t="n">
        <v>6079</v>
      </c>
      <c r="F839" t="n">
        <v>7944</v>
      </c>
    </row>
    <row r="840">
      <c r="A840" t="inlineStr">
        <is>
          <t>94|盾怪</t>
        </is>
      </c>
      <c r="B840" t="n">
        <v>94</v>
      </c>
      <c r="C840" t="inlineStr">
        <is>
          <t>盾怪</t>
        </is>
      </c>
      <c r="D840" t="n">
        <v>100149</v>
      </c>
      <c r="E840" t="n">
        <v>6079</v>
      </c>
      <c r="F840" t="n">
        <v>7944</v>
      </c>
    </row>
    <row r="841">
      <c r="A841" t="inlineStr">
        <is>
          <t>94|二级普通怪</t>
        </is>
      </c>
      <c r="B841" t="n">
        <v>94</v>
      </c>
      <c r="C841" t="inlineStr">
        <is>
          <t>二级普通怪</t>
        </is>
      </c>
      <c r="D841" t="n">
        <v>60090</v>
      </c>
      <c r="E841" t="n">
        <v>6079</v>
      </c>
      <c r="F841" t="n">
        <v>7944</v>
      </c>
    </row>
    <row r="842">
      <c r="A842" t="inlineStr">
        <is>
          <t>94|站桩怪</t>
        </is>
      </c>
      <c r="B842" t="n">
        <v>94</v>
      </c>
      <c r="C842" t="inlineStr">
        <is>
          <t>站桩怪</t>
        </is>
      </c>
      <c r="D842" t="n">
        <v>16692</v>
      </c>
      <c r="E842" t="n">
        <v>6079</v>
      </c>
      <c r="F842" t="n">
        <v>7944</v>
      </c>
    </row>
    <row r="843">
      <c r="A843" t="inlineStr">
        <is>
          <t>94|炮灰怪</t>
        </is>
      </c>
      <c r="B843" t="n">
        <v>94</v>
      </c>
      <c r="C843" t="inlineStr">
        <is>
          <t>炮灰怪</t>
        </is>
      </c>
      <c r="D843" t="n">
        <v>5008</v>
      </c>
      <c r="E843" t="n">
        <v>6079</v>
      </c>
      <c r="F843" t="n">
        <v>7944</v>
      </c>
    </row>
    <row r="844">
      <c r="A844" t="inlineStr">
        <is>
          <t>94|精英怪</t>
        </is>
      </c>
      <c r="B844" t="n">
        <v>94</v>
      </c>
      <c r="C844" t="inlineStr">
        <is>
          <t>精英怪</t>
        </is>
      </c>
      <c r="D844" t="n">
        <v>133532</v>
      </c>
      <c r="E844" t="n">
        <v>6079</v>
      </c>
      <c r="F844" t="n">
        <v>7944</v>
      </c>
    </row>
    <row r="845">
      <c r="A845" t="inlineStr">
        <is>
          <t>94|精英盾怪</t>
        </is>
      </c>
      <c r="B845" t="n">
        <v>94</v>
      </c>
      <c r="C845" t="inlineStr">
        <is>
          <t>精英盾怪</t>
        </is>
      </c>
      <c r="D845" t="n">
        <v>300447</v>
      </c>
      <c r="E845" t="n">
        <v>6079</v>
      </c>
      <c r="F845" t="n">
        <v>7944</v>
      </c>
    </row>
    <row r="846">
      <c r="A846" t="inlineStr">
        <is>
          <t>94|Boss</t>
        </is>
      </c>
      <c r="B846" t="n">
        <v>94</v>
      </c>
      <c r="C846" t="inlineStr">
        <is>
          <t>Boss</t>
        </is>
      </c>
      <c r="D846" t="n">
        <v>2546798</v>
      </c>
      <c r="E846" t="n">
        <v>7176</v>
      </c>
      <c r="F846" t="n">
        <v>7944</v>
      </c>
    </row>
    <row r="847">
      <c r="A847" t="inlineStr">
        <is>
          <t>94|装备副本Boss</t>
        </is>
      </c>
      <c r="B847" t="n">
        <v>94</v>
      </c>
      <c r="C847" t="inlineStr">
        <is>
          <t>装备副本Boss</t>
        </is>
      </c>
      <c r="D847" t="n">
        <v>1273399</v>
      </c>
      <c r="E847" t="n">
        <v>7176</v>
      </c>
      <c r="F847" t="n">
        <v>7944</v>
      </c>
    </row>
    <row r="848">
      <c r="A848" t="inlineStr">
        <is>
          <t>95|普通怪</t>
        </is>
      </c>
      <c r="B848" t="n">
        <v>95</v>
      </c>
      <c r="C848" t="inlineStr">
        <is>
          <t>普通怪</t>
        </is>
      </c>
      <c r="D848" t="n">
        <v>34048</v>
      </c>
      <c r="E848" t="n">
        <v>6167</v>
      </c>
      <c r="F848" t="n">
        <v>8039</v>
      </c>
    </row>
    <row r="849">
      <c r="A849" t="inlineStr">
        <is>
          <t>95|盾怪</t>
        </is>
      </c>
      <c r="B849" t="n">
        <v>95</v>
      </c>
      <c r="C849" t="inlineStr">
        <is>
          <t>盾怪</t>
        </is>
      </c>
      <c r="D849" t="n">
        <v>102144</v>
      </c>
      <c r="E849" t="n">
        <v>6167</v>
      </c>
      <c r="F849" t="n">
        <v>8039</v>
      </c>
    </row>
    <row r="850">
      <c r="A850" t="inlineStr">
        <is>
          <t>95|二级普通怪</t>
        </is>
      </c>
      <c r="B850" t="n">
        <v>95</v>
      </c>
      <c r="C850" t="inlineStr">
        <is>
          <t>二级普通怪</t>
        </is>
      </c>
      <c r="D850" t="n">
        <v>61287</v>
      </c>
      <c r="E850" t="n">
        <v>6167</v>
      </c>
      <c r="F850" t="n">
        <v>8039</v>
      </c>
    </row>
    <row r="851">
      <c r="A851" t="inlineStr">
        <is>
          <t>95|站桩怪</t>
        </is>
      </c>
      <c r="B851" t="n">
        <v>95</v>
      </c>
      <c r="C851" t="inlineStr">
        <is>
          <t>站桩怪</t>
        </is>
      </c>
      <c r="D851" t="n">
        <v>17024</v>
      </c>
      <c r="E851" t="n">
        <v>6167</v>
      </c>
      <c r="F851" t="n">
        <v>8039</v>
      </c>
    </row>
    <row r="852">
      <c r="A852" t="inlineStr">
        <is>
          <t>95|炮灰怪</t>
        </is>
      </c>
      <c r="B852" t="n">
        <v>95</v>
      </c>
      <c r="C852" t="inlineStr">
        <is>
          <t>炮灰怪</t>
        </is>
      </c>
      <c r="D852" t="n">
        <v>5108</v>
      </c>
      <c r="E852" t="n">
        <v>6167</v>
      </c>
      <c r="F852" t="n">
        <v>8039</v>
      </c>
    </row>
    <row r="853">
      <c r="A853" t="inlineStr">
        <is>
          <t>95|精英怪</t>
        </is>
      </c>
      <c r="B853" t="n">
        <v>95</v>
      </c>
      <c r="C853" t="inlineStr">
        <is>
          <t>精英怪</t>
        </is>
      </c>
      <c r="D853" t="n">
        <v>136192</v>
      </c>
      <c r="E853" t="n">
        <v>6167</v>
      </c>
      <c r="F853" t="n">
        <v>8039</v>
      </c>
    </row>
    <row r="854">
      <c r="A854" t="inlineStr">
        <is>
          <t>95|精英盾怪</t>
        </is>
      </c>
      <c r="B854" t="n">
        <v>95</v>
      </c>
      <c r="C854" t="inlineStr">
        <is>
          <t>精英盾怪</t>
        </is>
      </c>
      <c r="D854" t="n">
        <v>306432</v>
      </c>
      <c r="E854" t="n">
        <v>6167</v>
      </c>
      <c r="F854" t="n">
        <v>8039</v>
      </c>
    </row>
    <row r="855">
      <c r="A855" t="inlineStr">
        <is>
          <t>95|Boss</t>
        </is>
      </c>
      <c r="B855" t="n">
        <v>95</v>
      </c>
      <c r="C855" t="inlineStr">
        <is>
          <t>Boss</t>
        </is>
      </c>
      <c r="D855" t="n">
        <v>2603456</v>
      </c>
      <c r="E855" t="n">
        <v>7277</v>
      </c>
      <c r="F855" t="n">
        <v>8039</v>
      </c>
    </row>
    <row r="856">
      <c r="A856" t="inlineStr">
        <is>
          <t>95|装备副本Boss</t>
        </is>
      </c>
      <c r="B856" t="n">
        <v>95</v>
      </c>
      <c r="C856" t="inlineStr">
        <is>
          <t>装备副本Boss</t>
        </is>
      </c>
      <c r="D856" t="n">
        <v>1301728</v>
      </c>
      <c r="E856" t="n">
        <v>7277</v>
      </c>
      <c r="F856" t="n">
        <v>8039</v>
      </c>
    </row>
    <row r="857">
      <c r="A857" t="inlineStr">
        <is>
          <t>96|普通怪</t>
        </is>
      </c>
      <c r="B857" t="n">
        <v>96</v>
      </c>
      <c r="C857" t="inlineStr">
        <is>
          <t>普通怪</t>
        </is>
      </c>
      <c r="D857" t="n">
        <v>34722</v>
      </c>
      <c r="E857" t="n">
        <v>6257</v>
      </c>
      <c r="F857" t="n">
        <v>8135</v>
      </c>
    </row>
    <row r="858">
      <c r="A858" t="inlineStr">
        <is>
          <t>96|盾怪</t>
        </is>
      </c>
      <c r="B858" t="n">
        <v>96</v>
      </c>
      <c r="C858" t="inlineStr">
        <is>
          <t>盾怪</t>
        </is>
      </c>
      <c r="D858" t="n">
        <v>104166</v>
      </c>
      <c r="E858" t="n">
        <v>6257</v>
      </c>
      <c r="F858" t="n">
        <v>8135</v>
      </c>
    </row>
    <row r="859">
      <c r="A859" t="inlineStr">
        <is>
          <t>96|二级普通怪</t>
        </is>
      </c>
      <c r="B859" t="n">
        <v>96</v>
      </c>
      <c r="C859" t="inlineStr">
        <is>
          <t>二级普通怪</t>
        </is>
      </c>
      <c r="D859" t="n">
        <v>62500</v>
      </c>
      <c r="E859" t="n">
        <v>6257</v>
      </c>
      <c r="F859" t="n">
        <v>8135</v>
      </c>
    </row>
    <row r="860">
      <c r="A860" t="inlineStr">
        <is>
          <t>96|站桩怪</t>
        </is>
      </c>
      <c r="B860" t="n">
        <v>96</v>
      </c>
      <c r="C860" t="inlineStr">
        <is>
          <t>站桩怪</t>
        </is>
      </c>
      <c r="D860" t="n">
        <v>17361</v>
      </c>
      <c r="E860" t="n">
        <v>6257</v>
      </c>
      <c r="F860" t="n">
        <v>8135</v>
      </c>
    </row>
    <row r="861">
      <c r="A861" t="inlineStr">
        <is>
          <t>96|炮灰怪</t>
        </is>
      </c>
      <c r="B861" t="n">
        <v>96</v>
      </c>
      <c r="C861" t="inlineStr">
        <is>
          <t>炮灰怪</t>
        </is>
      </c>
      <c r="D861" t="n">
        <v>5209</v>
      </c>
      <c r="E861" t="n">
        <v>6257</v>
      </c>
      <c r="F861" t="n">
        <v>8135</v>
      </c>
    </row>
    <row r="862">
      <c r="A862" t="inlineStr">
        <is>
          <t>96|精英怪</t>
        </is>
      </c>
      <c r="B862" t="n">
        <v>96</v>
      </c>
      <c r="C862" t="inlineStr">
        <is>
          <t>精英怪</t>
        </is>
      </c>
      <c r="D862" t="n">
        <v>138888</v>
      </c>
      <c r="E862" t="n">
        <v>6257</v>
      </c>
      <c r="F862" t="n">
        <v>8135</v>
      </c>
    </row>
    <row r="863">
      <c r="A863" t="inlineStr">
        <is>
          <t>96|精英盾怪</t>
        </is>
      </c>
      <c r="B863" t="n">
        <v>96</v>
      </c>
      <c r="C863" t="inlineStr">
        <is>
          <t>精英盾怪</t>
        </is>
      </c>
      <c r="D863" t="n">
        <v>312498</v>
      </c>
      <c r="E863" t="n">
        <v>6257</v>
      </c>
      <c r="F863" t="n">
        <v>8135</v>
      </c>
    </row>
    <row r="864">
      <c r="A864" t="inlineStr">
        <is>
          <t>96|Boss</t>
        </is>
      </c>
      <c r="B864" t="n">
        <v>96</v>
      </c>
      <c r="C864" t="inlineStr">
        <is>
          <t>Boss</t>
        </is>
      </c>
      <c r="D864" t="n">
        <v>2660951</v>
      </c>
      <c r="E864" t="n">
        <v>7379</v>
      </c>
      <c r="F864" t="n">
        <v>8135</v>
      </c>
    </row>
    <row r="865">
      <c r="A865" t="inlineStr">
        <is>
          <t>96|装备副本Boss</t>
        </is>
      </c>
      <c r="B865" t="n">
        <v>96</v>
      </c>
      <c r="C865" t="inlineStr">
        <is>
          <t>装备副本Boss</t>
        </is>
      </c>
      <c r="D865" t="n">
        <v>1330475</v>
      </c>
      <c r="E865" t="n">
        <v>7379</v>
      </c>
      <c r="F865" t="n">
        <v>8135</v>
      </c>
    </row>
    <row r="866">
      <c r="A866" t="inlineStr">
        <is>
          <t>97|普通怪</t>
        </is>
      </c>
      <c r="B866" t="n">
        <v>97</v>
      </c>
      <c r="C866" t="inlineStr">
        <is>
          <t>普通怪</t>
        </is>
      </c>
      <c r="D866" t="n">
        <v>35404</v>
      </c>
      <c r="E866" t="n">
        <v>6347</v>
      </c>
      <c r="F866" t="n">
        <v>8231</v>
      </c>
    </row>
    <row r="867">
      <c r="A867" t="inlineStr">
        <is>
          <t>97|盾怪</t>
        </is>
      </c>
      <c r="B867" t="n">
        <v>97</v>
      </c>
      <c r="C867" t="inlineStr">
        <is>
          <t>盾怪</t>
        </is>
      </c>
      <c r="D867" t="n">
        <v>106212</v>
      </c>
      <c r="E867" t="n">
        <v>6347</v>
      </c>
      <c r="F867" t="n">
        <v>8231</v>
      </c>
    </row>
    <row r="868">
      <c r="A868" t="inlineStr">
        <is>
          <t>97|二级普通怪</t>
        </is>
      </c>
      <c r="B868" t="n">
        <v>97</v>
      </c>
      <c r="C868" t="inlineStr">
        <is>
          <t>二级普通怪</t>
        </is>
      </c>
      <c r="D868" t="n">
        <v>63728</v>
      </c>
      <c r="E868" t="n">
        <v>6347</v>
      </c>
      <c r="F868" t="n">
        <v>8231</v>
      </c>
    </row>
    <row r="869">
      <c r="A869" t="inlineStr">
        <is>
          <t>97|站桩怪</t>
        </is>
      </c>
      <c r="B869" t="n">
        <v>97</v>
      </c>
      <c r="C869" t="inlineStr">
        <is>
          <t>站桩怪</t>
        </is>
      </c>
      <c r="D869" t="n">
        <v>17702</v>
      </c>
      <c r="E869" t="n">
        <v>6347</v>
      </c>
      <c r="F869" t="n">
        <v>8231</v>
      </c>
    </row>
    <row r="870">
      <c r="A870" t="inlineStr">
        <is>
          <t>97|炮灰怪</t>
        </is>
      </c>
      <c r="B870" t="n">
        <v>97</v>
      </c>
      <c r="C870" t="inlineStr">
        <is>
          <t>炮灰怪</t>
        </is>
      </c>
      <c r="D870" t="n">
        <v>5311</v>
      </c>
      <c r="E870" t="n">
        <v>6347</v>
      </c>
      <c r="F870" t="n">
        <v>8231</v>
      </c>
    </row>
    <row r="871">
      <c r="A871" t="inlineStr">
        <is>
          <t>97|精英怪</t>
        </is>
      </c>
      <c r="B871" t="n">
        <v>97</v>
      </c>
      <c r="C871" t="inlineStr">
        <is>
          <t>精英怪</t>
        </is>
      </c>
      <c r="D871" t="n">
        <v>141616</v>
      </c>
      <c r="E871" t="n">
        <v>6347</v>
      </c>
      <c r="F871" t="n">
        <v>8231</v>
      </c>
    </row>
    <row r="872">
      <c r="A872" t="inlineStr">
        <is>
          <t>97|精英盾怪</t>
        </is>
      </c>
      <c r="B872" t="n">
        <v>97</v>
      </c>
      <c r="C872" t="inlineStr">
        <is>
          <t>精英盾怪</t>
        </is>
      </c>
      <c r="D872" t="n">
        <v>318636</v>
      </c>
      <c r="E872" t="n">
        <v>6347</v>
      </c>
      <c r="F872" t="n">
        <v>8231</v>
      </c>
    </row>
    <row r="873">
      <c r="A873" t="inlineStr">
        <is>
          <t>97|Boss</t>
        </is>
      </c>
      <c r="B873" t="n">
        <v>97</v>
      </c>
      <c r="C873" t="inlineStr">
        <is>
          <t>Boss</t>
        </is>
      </c>
      <c r="D873" t="n">
        <v>2719333</v>
      </c>
      <c r="E873" t="n">
        <v>7481</v>
      </c>
      <c r="F873" t="n">
        <v>8231</v>
      </c>
    </row>
    <row r="874">
      <c r="A874" t="inlineStr">
        <is>
          <t>97|装备副本Boss</t>
        </is>
      </c>
      <c r="B874" t="n">
        <v>97</v>
      </c>
      <c r="C874" t="inlineStr">
        <is>
          <t>装备副本Boss</t>
        </is>
      </c>
      <c r="D874" t="n">
        <v>1359666</v>
      </c>
      <c r="E874" t="n">
        <v>7481</v>
      </c>
      <c r="F874" t="n">
        <v>8231</v>
      </c>
    </row>
    <row r="875">
      <c r="A875" t="inlineStr">
        <is>
          <t>98|普通怪</t>
        </is>
      </c>
      <c r="B875" t="n">
        <v>98</v>
      </c>
      <c r="C875" t="inlineStr">
        <is>
          <t>普通怪</t>
        </is>
      </c>
      <c r="D875" t="n">
        <v>36095</v>
      </c>
      <c r="E875" t="n">
        <v>6438</v>
      </c>
      <c r="F875" t="n">
        <v>8327</v>
      </c>
    </row>
    <row r="876">
      <c r="A876" t="inlineStr">
        <is>
          <t>98|盾怪</t>
        </is>
      </c>
      <c r="B876" t="n">
        <v>98</v>
      </c>
      <c r="C876" t="inlineStr">
        <is>
          <t>盾怪</t>
        </is>
      </c>
      <c r="D876" t="n">
        <v>108285</v>
      </c>
      <c r="E876" t="n">
        <v>6438</v>
      </c>
      <c r="F876" t="n">
        <v>8327</v>
      </c>
    </row>
    <row r="877">
      <c r="A877" t="inlineStr">
        <is>
          <t>98|二级普通怪</t>
        </is>
      </c>
      <c r="B877" t="n">
        <v>98</v>
      </c>
      <c r="C877" t="inlineStr">
        <is>
          <t>二级普通怪</t>
        </is>
      </c>
      <c r="D877" t="n">
        <v>64971</v>
      </c>
      <c r="E877" t="n">
        <v>6438</v>
      </c>
      <c r="F877" t="n">
        <v>8327</v>
      </c>
    </row>
    <row r="878">
      <c r="A878" t="inlineStr">
        <is>
          <t>98|站桩怪</t>
        </is>
      </c>
      <c r="B878" t="n">
        <v>98</v>
      </c>
      <c r="C878" t="inlineStr">
        <is>
          <t>站桩怪</t>
        </is>
      </c>
      <c r="D878" t="n">
        <v>18048</v>
      </c>
      <c r="E878" t="n">
        <v>6438</v>
      </c>
      <c r="F878" t="n">
        <v>8327</v>
      </c>
    </row>
    <row r="879">
      <c r="A879" t="inlineStr">
        <is>
          <t>98|炮灰怪</t>
        </is>
      </c>
      <c r="B879" t="n">
        <v>98</v>
      </c>
      <c r="C879" t="inlineStr">
        <is>
          <t>炮灰怪</t>
        </is>
      </c>
      <c r="D879" t="n">
        <v>5415</v>
      </c>
      <c r="E879" t="n">
        <v>6438</v>
      </c>
      <c r="F879" t="n">
        <v>8327</v>
      </c>
    </row>
    <row r="880">
      <c r="A880" t="inlineStr">
        <is>
          <t>98|精英怪</t>
        </is>
      </c>
      <c r="B880" t="n">
        <v>98</v>
      </c>
      <c r="C880" t="inlineStr">
        <is>
          <t>精英怪</t>
        </is>
      </c>
      <c r="D880" t="n">
        <v>144380</v>
      </c>
      <c r="E880" t="n">
        <v>6438</v>
      </c>
      <c r="F880" t="n">
        <v>8327</v>
      </c>
    </row>
    <row r="881">
      <c r="A881" t="inlineStr">
        <is>
          <t>98|精英盾怪</t>
        </is>
      </c>
      <c r="B881" t="n">
        <v>98</v>
      </c>
      <c r="C881" t="inlineStr">
        <is>
          <t>精英盾怪</t>
        </is>
      </c>
      <c r="D881" t="n">
        <v>324855</v>
      </c>
      <c r="E881" t="n">
        <v>6438</v>
      </c>
      <c r="F881" t="n">
        <v>8327</v>
      </c>
    </row>
    <row r="882">
      <c r="A882" t="inlineStr">
        <is>
          <t>98|Boss</t>
        </is>
      </c>
      <c r="B882" t="n">
        <v>98</v>
      </c>
      <c r="C882" t="inlineStr">
        <is>
          <t>Boss</t>
        </is>
      </c>
      <c r="D882" t="n">
        <v>2778550</v>
      </c>
      <c r="E882" t="n">
        <v>7585</v>
      </c>
      <c r="F882" t="n">
        <v>8327</v>
      </c>
    </row>
    <row r="883">
      <c r="A883" t="inlineStr">
        <is>
          <t>98|装备副本Boss</t>
        </is>
      </c>
      <c r="B883" t="n">
        <v>98</v>
      </c>
      <c r="C883" t="inlineStr">
        <is>
          <t>装备副本Boss</t>
        </is>
      </c>
      <c r="D883" t="n">
        <v>1389275</v>
      </c>
      <c r="E883" t="n">
        <v>7585</v>
      </c>
      <c r="F883" t="n">
        <v>8327</v>
      </c>
    </row>
    <row r="884">
      <c r="A884" t="inlineStr">
        <is>
          <t>99|普通怪</t>
        </is>
      </c>
      <c r="B884" t="n">
        <v>99</v>
      </c>
      <c r="C884" t="inlineStr">
        <is>
          <t>普通怪</t>
        </is>
      </c>
      <c r="D884" t="n">
        <v>36794</v>
      </c>
      <c r="E884" t="n">
        <v>6529</v>
      </c>
      <c r="F884" t="n">
        <v>8423</v>
      </c>
    </row>
    <row r="885">
      <c r="A885" t="inlineStr">
        <is>
          <t>99|盾怪</t>
        </is>
      </c>
      <c r="B885" t="n">
        <v>99</v>
      </c>
      <c r="C885" t="inlineStr">
        <is>
          <t>盾怪</t>
        </is>
      </c>
      <c r="D885" t="n">
        <v>110382</v>
      </c>
      <c r="E885" t="n">
        <v>6529</v>
      </c>
      <c r="F885" t="n">
        <v>8423</v>
      </c>
    </row>
    <row r="886">
      <c r="A886" t="inlineStr">
        <is>
          <t>99|二级普通怪</t>
        </is>
      </c>
      <c r="B886" t="n">
        <v>99</v>
      </c>
      <c r="C886" t="inlineStr">
        <is>
          <t>二级普通怪</t>
        </is>
      </c>
      <c r="D886" t="n">
        <v>66230</v>
      </c>
      <c r="E886" t="n">
        <v>6529</v>
      </c>
      <c r="F886" t="n">
        <v>8423</v>
      </c>
    </row>
    <row r="887">
      <c r="A887" t="inlineStr">
        <is>
          <t>99|站桩怪</t>
        </is>
      </c>
      <c r="B887" t="n">
        <v>99</v>
      </c>
      <c r="C887" t="inlineStr">
        <is>
          <t>站桩怪</t>
        </is>
      </c>
      <c r="D887" t="n">
        <v>18397</v>
      </c>
      <c r="E887" t="n">
        <v>6529</v>
      </c>
      <c r="F887" t="n">
        <v>8423</v>
      </c>
    </row>
    <row r="888">
      <c r="A888" t="inlineStr">
        <is>
          <t>99|炮灰怪</t>
        </is>
      </c>
      <c r="B888" t="n">
        <v>99</v>
      </c>
      <c r="C888" t="inlineStr">
        <is>
          <t>炮灰怪</t>
        </is>
      </c>
      <c r="D888" t="n">
        <v>5520</v>
      </c>
      <c r="E888" t="n">
        <v>6529</v>
      </c>
      <c r="F888" t="n">
        <v>8423</v>
      </c>
    </row>
    <row r="889">
      <c r="A889" t="inlineStr">
        <is>
          <t>99|精英怪</t>
        </is>
      </c>
      <c r="B889" t="n">
        <v>99</v>
      </c>
      <c r="C889" t="inlineStr">
        <is>
          <t>精英怪</t>
        </is>
      </c>
      <c r="D889" t="n">
        <v>147176</v>
      </c>
      <c r="E889" t="n">
        <v>6529</v>
      </c>
      <c r="F889" t="n">
        <v>8423</v>
      </c>
    </row>
    <row r="890">
      <c r="A890" t="inlineStr">
        <is>
          <t>99|精英盾怪</t>
        </is>
      </c>
      <c r="B890" t="n">
        <v>99</v>
      </c>
      <c r="C890" t="inlineStr">
        <is>
          <t>精英盾怪</t>
        </is>
      </c>
      <c r="D890" t="n">
        <v>331146</v>
      </c>
      <c r="E890" t="n">
        <v>6529</v>
      </c>
      <c r="F890" t="n">
        <v>8423</v>
      </c>
    </row>
    <row r="891">
      <c r="A891" t="inlineStr">
        <is>
          <t>99|Boss</t>
        </is>
      </c>
      <c r="B891" t="n">
        <v>99</v>
      </c>
      <c r="C891" t="inlineStr">
        <is>
          <t>Boss</t>
        </is>
      </c>
      <c r="D891" t="n">
        <v>2838706</v>
      </c>
      <c r="E891" t="n">
        <v>7688</v>
      </c>
      <c r="F891" t="n">
        <v>8423</v>
      </c>
    </row>
    <row r="892">
      <c r="A892" t="inlineStr">
        <is>
          <t>99|装备副本Boss</t>
        </is>
      </c>
      <c r="B892" t="n">
        <v>99</v>
      </c>
      <c r="C892" t="inlineStr">
        <is>
          <t>装备副本Boss</t>
        </is>
      </c>
      <c r="D892" t="n">
        <v>1419353</v>
      </c>
      <c r="E892" t="n">
        <v>7688</v>
      </c>
      <c r="F892" t="n">
        <v>8423</v>
      </c>
    </row>
    <row r="893">
      <c r="A893" t="inlineStr">
        <is>
          <t>100|普通怪</t>
        </is>
      </c>
      <c r="B893" t="n">
        <v>100</v>
      </c>
      <c r="C893" t="inlineStr">
        <is>
          <t>普通怪</t>
        </is>
      </c>
      <c r="D893" t="n">
        <v>37502</v>
      </c>
      <c r="E893" t="n">
        <v>6622</v>
      </c>
      <c r="F893" t="n">
        <v>8519</v>
      </c>
    </row>
    <row r="894">
      <c r="A894" t="inlineStr">
        <is>
          <t>100|盾怪</t>
        </is>
      </c>
      <c r="B894" t="n">
        <v>100</v>
      </c>
      <c r="C894" t="inlineStr">
        <is>
          <t>盾怪</t>
        </is>
      </c>
      <c r="D894" t="n">
        <v>112506</v>
      </c>
      <c r="E894" t="n">
        <v>6622</v>
      </c>
      <c r="F894" t="n">
        <v>8519</v>
      </c>
    </row>
    <row r="895">
      <c r="A895" t="inlineStr">
        <is>
          <t>100|二级普通怪</t>
        </is>
      </c>
      <c r="B895" t="n">
        <v>100</v>
      </c>
      <c r="C895" t="inlineStr">
        <is>
          <t>二级普通怪</t>
        </is>
      </c>
      <c r="D895" t="n">
        <v>67504</v>
      </c>
      <c r="E895" t="n">
        <v>6622</v>
      </c>
      <c r="F895" t="n">
        <v>8519</v>
      </c>
    </row>
    <row r="896">
      <c r="A896" t="inlineStr">
        <is>
          <t>100|站桩怪</t>
        </is>
      </c>
      <c r="B896" t="n">
        <v>100</v>
      </c>
      <c r="C896" t="inlineStr">
        <is>
          <t>站桩怪</t>
        </is>
      </c>
      <c r="D896" t="n">
        <v>18751</v>
      </c>
      <c r="E896" t="n">
        <v>6622</v>
      </c>
      <c r="F896" t="n">
        <v>8519</v>
      </c>
    </row>
    <row r="897">
      <c r="A897" t="inlineStr">
        <is>
          <t>100|炮灰怪</t>
        </is>
      </c>
      <c r="B897" t="n">
        <v>100</v>
      </c>
      <c r="C897" t="inlineStr">
        <is>
          <t>炮灰怪</t>
        </is>
      </c>
      <c r="D897" t="n">
        <v>5626</v>
      </c>
      <c r="E897" t="n">
        <v>6622</v>
      </c>
      <c r="F897" t="n">
        <v>8519</v>
      </c>
    </row>
    <row r="898">
      <c r="A898" t="inlineStr">
        <is>
          <t>100|精英怪</t>
        </is>
      </c>
      <c r="B898" t="n">
        <v>100</v>
      </c>
      <c r="C898" t="inlineStr">
        <is>
          <t>精英怪</t>
        </is>
      </c>
      <c r="D898" t="n">
        <v>150008</v>
      </c>
      <c r="E898" t="n">
        <v>6622</v>
      </c>
      <c r="F898" t="n">
        <v>8519</v>
      </c>
    </row>
    <row r="899">
      <c r="A899" t="inlineStr">
        <is>
          <t>100|精英盾怪</t>
        </is>
      </c>
      <c r="B899" t="n">
        <v>100</v>
      </c>
      <c r="C899" t="inlineStr">
        <is>
          <t>精英盾怪</t>
        </is>
      </c>
      <c r="D899" t="n">
        <v>337518</v>
      </c>
      <c r="E899" t="n">
        <v>6622</v>
      </c>
      <c r="F899" t="n">
        <v>8519</v>
      </c>
    </row>
    <row r="900">
      <c r="A900" t="inlineStr">
        <is>
          <t>100|Boss</t>
        </is>
      </c>
      <c r="B900" t="n">
        <v>100</v>
      </c>
      <c r="C900" t="inlineStr">
        <is>
          <t>Boss</t>
        </is>
      </c>
      <c r="D900" t="n">
        <v>2899749</v>
      </c>
      <c r="E900" t="n">
        <v>7793</v>
      </c>
      <c r="F900" t="n">
        <v>8519</v>
      </c>
    </row>
    <row r="901">
      <c r="A901" t="inlineStr">
        <is>
          <t>100|装备副本Boss</t>
        </is>
      </c>
      <c r="B901" t="n">
        <v>100</v>
      </c>
      <c r="C901" t="inlineStr">
        <is>
          <t>装备副本Boss</t>
        </is>
      </c>
      <c r="D901" t="n">
        <v>1449875</v>
      </c>
      <c r="E901" t="n">
        <v>7793</v>
      </c>
      <c r="F901" t="n">
        <v>8519</v>
      </c>
    </row>
    <row r="902">
      <c r="A902" t="inlineStr">
        <is>
          <t>101|普通怪</t>
        </is>
      </c>
      <c r="B902" t="n">
        <v>101</v>
      </c>
      <c r="C902" t="inlineStr">
        <is>
          <t>普通怪</t>
        </is>
      </c>
      <c r="D902" t="n">
        <v>38219</v>
      </c>
      <c r="E902" t="n">
        <v>6714</v>
      </c>
      <c r="F902" t="n">
        <v>8616</v>
      </c>
    </row>
    <row r="903">
      <c r="A903" t="inlineStr">
        <is>
          <t>101|盾怪</t>
        </is>
      </c>
      <c r="B903" t="n">
        <v>101</v>
      </c>
      <c r="C903" t="inlineStr">
        <is>
          <t>盾怪</t>
        </is>
      </c>
      <c r="D903" t="n">
        <v>114657</v>
      </c>
      <c r="E903" t="n">
        <v>6714</v>
      </c>
      <c r="F903" t="n">
        <v>8616</v>
      </c>
    </row>
    <row r="904">
      <c r="A904" t="inlineStr">
        <is>
          <t>101|二级普通怪</t>
        </is>
      </c>
      <c r="B904" t="n">
        <v>101</v>
      </c>
      <c r="C904" t="inlineStr">
        <is>
          <t>二级普通怪</t>
        </is>
      </c>
      <c r="D904" t="n">
        <v>68795</v>
      </c>
      <c r="E904" t="n">
        <v>6714</v>
      </c>
      <c r="F904" t="n">
        <v>8616</v>
      </c>
    </row>
    <row r="905">
      <c r="A905" t="inlineStr">
        <is>
          <t>101|站桩怪</t>
        </is>
      </c>
      <c r="B905" t="n">
        <v>101</v>
      </c>
      <c r="C905" t="inlineStr">
        <is>
          <t>站桩怪</t>
        </is>
      </c>
      <c r="D905" t="n">
        <v>19110</v>
      </c>
      <c r="E905" t="n">
        <v>6714</v>
      </c>
      <c r="F905" t="n">
        <v>8616</v>
      </c>
    </row>
    <row r="906">
      <c r="A906" t="inlineStr">
        <is>
          <t>101|炮灰怪</t>
        </is>
      </c>
      <c r="B906" t="n">
        <v>101</v>
      </c>
      <c r="C906" t="inlineStr">
        <is>
          <t>炮灰怪</t>
        </is>
      </c>
      <c r="D906" t="n">
        <v>5733</v>
      </c>
      <c r="E906" t="n">
        <v>6714</v>
      </c>
      <c r="F906" t="n">
        <v>8616</v>
      </c>
    </row>
    <row r="907">
      <c r="A907" t="inlineStr">
        <is>
          <t>101|精英怪</t>
        </is>
      </c>
      <c r="B907" t="n">
        <v>101</v>
      </c>
      <c r="C907" t="inlineStr">
        <is>
          <t>精英怪</t>
        </is>
      </c>
      <c r="D907" t="n">
        <v>152876</v>
      </c>
      <c r="E907" t="n">
        <v>6714</v>
      </c>
      <c r="F907" t="n">
        <v>8616</v>
      </c>
    </row>
    <row r="908">
      <c r="A908" t="inlineStr">
        <is>
          <t>101|精英盾怪</t>
        </is>
      </c>
      <c r="B908" t="n">
        <v>101</v>
      </c>
      <c r="C908" t="inlineStr">
        <is>
          <t>精英盾怪</t>
        </is>
      </c>
      <c r="D908" t="n">
        <v>343971</v>
      </c>
      <c r="E908" t="n">
        <v>6714</v>
      </c>
      <c r="F908" t="n">
        <v>8616</v>
      </c>
    </row>
    <row r="909">
      <c r="A909" t="inlineStr">
        <is>
          <t>101|Boss</t>
        </is>
      </c>
      <c r="B909" t="n">
        <v>101</v>
      </c>
      <c r="C909" t="inlineStr">
        <is>
          <t>Boss</t>
        </is>
      </c>
      <c r="D909" t="n">
        <v>2961730</v>
      </c>
      <c r="E909" t="n">
        <v>7898</v>
      </c>
      <c r="F909" t="n">
        <v>8616</v>
      </c>
    </row>
    <row r="910">
      <c r="A910" t="inlineStr">
        <is>
          <t>101|装备副本Boss</t>
        </is>
      </c>
      <c r="B910" t="n">
        <v>101</v>
      </c>
      <c r="C910" t="inlineStr">
        <is>
          <t>装备副本Boss</t>
        </is>
      </c>
      <c r="D910" t="n">
        <v>1480865</v>
      </c>
      <c r="E910" t="n">
        <v>7898</v>
      </c>
      <c r="F910" t="n">
        <v>8616</v>
      </c>
    </row>
    <row r="911">
      <c r="A911" t="inlineStr">
        <is>
          <t>102|普通怪</t>
        </is>
      </c>
      <c r="B911" t="n">
        <v>102</v>
      </c>
      <c r="C911" t="inlineStr">
        <is>
          <t>普通怪</t>
        </is>
      </c>
      <c r="D911" t="n">
        <v>38945</v>
      </c>
      <c r="E911" t="n">
        <v>6807</v>
      </c>
      <c r="F911" t="n">
        <v>8713</v>
      </c>
    </row>
    <row r="912">
      <c r="A912" t="inlineStr">
        <is>
          <t>102|盾怪</t>
        </is>
      </c>
      <c r="B912" t="n">
        <v>102</v>
      </c>
      <c r="C912" t="inlineStr">
        <is>
          <t>盾怪</t>
        </is>
      </c>
      <c r="D912" t="n">
        <v>116835</v>
      </c>
      <c r="E912" t="n">
        <v>6807</v>
      </c>
      <c r="F912" t="n">
        <v>8713</v>
      </c>
    </row>
    <row r="913">
      <c r="A913" t="inlineStr">
        <is>
          <t>102|二级普通怪</t>
        </is>
      </c>
      <c r="B913" t="n">
        <v>102</v>
      </c>
      <c r="C913" t="inlineStr">
        <is>
          <t>二级普通怪</t>
        </is>
      </c>
      <c r="D913" t="n">
        <v>70101</v>
      </c>
      <c r="E913" t="n">
        <v>6807</v>
      </c>
      <c r="F913" t="n">
        <v>8713</v>
      </c>
    </row>
    <row r="914">
      <c r="A914" t="inlineStr">
        <is>
          <t>102|站桩怪</t>
        </is>
      </c>
      <c r="B914" t="n">
        <v>102</v>
      </c>
      <c r="C914" t="inlineStr">
        <is>
          <t>站桩怪</t>
        </is>
      </c>
      <c r="D914" t="n">
        <v>19473</v>
      </c>
      <c r="E914" t="n">
        <v>6807</v>
      </c>
      <c r="F914" t="n">
        <v>8713</v>
      </c>
    </row>
    <row r="915">
      <c r="A915" t="inlineStr">
        <is>
          <t>102|炮灰怪</t>
        </is>
      </c>
      <c r="B915" t="n">
        <v>102</v>
      </c>
      <c r="C915" t="inlineStr">
        <is>
          <t>炮灰怪</t>
        </is>
      </c>
      <c r="D915" t="n">
        <v>5842</v>
      </c>
      <c r="E915" t="n">
        <v>6807</v>
      </c>
      <c r="F915" t="n">
        <v>8713</v>
      </c>
    </row>
    <row r="916">
      <c r="A916" t="inlineStr">
        <is>
          <t>102|精英怪</t>
        </is>
      </c>
      <c r="B916" t="n">
        <v>102</v>
      </c>
      <c r="C916" t="inlineStr">
        <is>
          <t>精英怪</t>
        </is>
      </c>
      <c r="D916" t="n">
        <v>155780</v>
      </c>
      <c r="E916" t="n">
        <v>6807</v>
      </c>
      <c r="F916" t="n">
        <v>8713</v>
      </c>
    </row>
    <row r="917">
      <c r="A917" t="inlineStr">
        <is>
          <t>102|精英盾怪</t>
        </is>
      </c>
      <c r="B917" t="n">
        <v>102</v>
      </c>
      <c r="C917" t="inlineStr">
        <is>
          <t>精英盾怪</t>
        </is>
      </c>
      <c r="D917" t="n">
        <v>350505</v>
      </c>
      <c r="E917" t="n">
        <v>6807</v>
      </c>
      <c r="F917" t="n">
        <v>8713</v>
      </c>
    </row>
    <row r="918">
      <c r="A918" t="inlineStr">
        <is>
          <t>102|Boss</t>
        </is>
      </c>
      <c r="B918" t="n">
        <v>102</v>
      </c>
      <c r="C918" t="inlineStr">
        <is>
          <t>Boss</t>
        </is>
      </c>
      <c r="D918" t="n">
        <v>3024545</v>
      </c>
      <c r="E918" t="n">
        <v>8003</v>
      </c>
      <c r="F918" t="n">
        <v>8713</v>
      </c>
    </row>
    <row r="919">
      <c r="A919" t="inlineStr">
        <is>
          <t>102|装备副本Boss</t>
        </is>
      </c>
      <c r="B919" t="n">
        <v>102</v>
      </c>
      <c r="C919" t="inlineStr">
        <is>
          <t>装备副本Boss</t>
        </is>
      </c>
      <c r="D919" t="n">
        <v>1512272</v>
      </c>
      <c r="E919" t="n">
        <v>8003</v>
      </c>
      <c r="F919" t="n">
        <v>8713</v>
      </c>
    </row>
    <row r="920">
      <c r="A920" t="inlineStr">
        <is>
          <t>103|普通怪</t>
        </is>
      </c>
      <c r="B920" t="n">
        <v>103</v>
      </c>
      <c r="C920" t="inlineStr">
        <is>
          <t>普通怪</t>
        </is>
      </c>
      <c r="D920" t="n">
        <v>39680</v>
      </c>
      <c r="E920" t="n">
        <v>6901</v>
      </c>
      <c r="F920" t="n">
        <v>8810</v>
      </c>
    </row>
    <row r="921">
      <c r="A921" t="inlineStr">
        <is>
          <t>103|盾怪</t>
        </is>
      </c>
      <c r="B921" t="n">
        <v>103</v>
      </c>
      <c r="C921" t="inlineStr">
        <is>
          <t>盾怪</t>
        </is>
      </c>
      <c r="D921" t="n">
        <v>119040</v>
      </c>
      <c r="E921" t="n">
        <v>6901</v>
      </c>
      <c r="F921" t="n">
        <v>8810</v>
      </c>
    </row>
    <row r="922">
      <c r="A922" t="inlineStr">
        <is>
          <t>103|二级普通怪</t>
        </is>
      </c>
      <c r="B922" t="n">
        <v>103</v>
      </c>
      <c r="C922" t="inlineStr">
        <is>
          <t>二级普通怪</t>
        </is>
      </c>
      <c r="D922" t="n">
        <v>71424</v>
      </c>
      <c r="E922" t="n">
        <v>6901</v>
      </c>
      <c r="F922" t="n">
        <v>8810</v>
      </c>
    </row>
    <row r="923">
      <c r="A923" t="inlineStr">
        <is>
          <t>103|站桩怪</t>
        </is>
      </c>
      <c r="B923" t="n">
        <v>103</v>
      </c>
      <c r="C923" t="inlineStr">
        <is>
          <t>站桩怪</t>
        </is>
      </c>
      <c r="D923" t="n">
        <v>19840</v>
      </c>
      <c r="E923" t="n">
        <v>6901</v>
      </c>
      <c r="F923" t="n">
        <v>8810</v>
      </c>
    </row>
    <row r="924">
      <c r="A924" t="inlineStr">
        <is>
          <t>103|炮灰怪</t>
        </is>
      </c>
      <c r="B924" t="n">
        <v>103</v>
      </c>
      <c r="C924" t="inlineStr">
        <is>
          <t>炮灰怪</t>
        </is>
      </c>
      <c r="D924" t="n">
        <v>5952</v>
      </c>
      <c r="E924" t="n">
        <v>6901</v>
      </c>
      <c r="F924" t="n">
        <v>8810</v>
      </c>
    </row>
    <row r="925">
      <c r="A925" t="inlineStr">
        <is>
          <t>103|精英怪</t>
        </is>
      </c>
      <c r="B925" t="n">
        <v>103</v>
      </c>
      <c r="C925" t="inlineStr">
        <is>
          <t>精英怪</t>
        </is>
      </c>
      <c r="D925" t="n">
        <v>158720</v>
      </c>
      <c r="E925" t="n">
        <v>6901</v>
      </c>
      <c r="F925" t="n">
        <v>8810</v>
      </c>
    </row>
    <row r="926">
      <c r="A926" t="inlineStr">
        <is>
          <t>103|精英盾怪</t>
        </is>
      </c>
      <c r="B926" t="n">
        <v>103</v>
      </c>
      <c r="C926" t="inlineStr">
        <is>
          <t>精英盾怪</t>
        </is>
      </c>
      <c r="D926" t="n">
        <v>357120</v>
      </c>
      <c r="E926" t="n">
        <v>6901</v>
      </c>
      <c r="F926" t="n">
        <v>8810</v>
      </c>
    </row>
    <row r="927">
      <c r="A927" t="inlineStr">
        <is>
          <t>103|Boss</t>
        </is>
      </c>
      <c r="B927" t="n">
        <v>103</v>
      </c>
      <c r="C927" t="inlineStr">
        <is>
          <t>Boss</t>
        </is>
      </c>
      <c r="D927" t="n">
        <v>3088349</v>
      </c>
      <c r="E927" t="n">
        <v>8110</v>
      </c>
      <c r="F927" t="n">
        <v>8810</v>
      </c>
    </row>
    <row r="928">
      <c r="A928" t="inlineStr">
        <is>
          <t>103|装备副本Boss</t>
        </is>
      </c>
      <c r="B928" t="n">
        <v>103</v>
      </c>
      <c r="C928" t="inlineStr">
        <is>
          <t>装备副本Boss</t>
        </is>
      </c>
      <c r="D928" t="n">
        <v>1544174</v>
      </c>
      <c r="E928" t="n">
        <v>8110</v>
      </c>
      <c r="F928" t="n">
        <v>8810</v>
      </c>
    </row>
    <row r="929">
      <c r="A929" t="inlineStr">
        <is>
          <t>104|普通怪</t>
        </is>
      </c>
      <c r="B929" t="n">
        <v>104</v>
      </c>
      <c r="C929" t="inlineStr">
        <is>
          <t>普通怪</t>
        </is>
      </c>
      <c r="D929" t="n">
        <v>40424</v>
      </c>
      <c r="E929" t="n">
        <v>6996</v>
      </c>
      <c r="F929" t="n">
        <v>8907</v>
      </c>
    </row>
    <row r="930">
      <c r="A930" t="inlineStr">
        <is>
          <t>104|盾怪</t>
        </is>
      </c>
      <c r="B930" t="n">
        <v>104</v>
      </c>
      <c r="C930" t="inlineStr">
        <is>
          <t>盾怪</t>
        </is>
      </c>
      <c r="D930" t="n">
        <v>121272</v>
      </c>
      <c r="E930" t="n">
        <v>6996</v>
      </c>
      <c r="F930" t="n">
        <v>8907</v>
      </c>
    </row>
    <row r="931">
      <c r="A931" t="inlineStr">
        <is>
          <t>104|二级普通怪</t>
        </is>
      </c>
      <c r="B931" t="n">
        <v>104</v>
      </c>
      <c r="C931" t="inlineStr">
        <is>
          <t>二级普通怪</t>
        </is>
      </c>
      <c r="D931" t="n">
        <v>72764</v>
      </c>
      <c r="E931" t="n">
        <v>6996</v>
      </c>
      <c r="F931" t="n">
        <v>8907</v>
      </c>
    </row>
    <row r="932">
      <c r="A932" t="inlineStr">
        <is>
          <t>104|站桩怪</t>
        </is>
      </c>
      <c r="B932" t="n">
        <v>104</v>
      </c>
      <c r="C932" t="inlineStr">
        <is>
          <t>站桩怪</t>
        </is>
      </c>
      <c r="D932" t="n">
        <v>20212</v>
      </c>
      <c r="E932" t="n">
        <v>6996</v>
      </c>
      <c r="F932" t="n">
        <v>8907</v>
      </c>
    </row>
    <row r="933">
      <c r="A933" t="inlineStr">
        <is>
          <t>104|炮灰怪</t>
        </is>
      </c>
      <c r="B933" t="n">
        <v>104</v>
      </c>
      <c r="C933" t="inlineStr">
        <is>
          <t>炮灰怪</t>
        </is>
      </c>
      <c r="D933" t="n">
        <v>6064</v>
      </c>
      <c r="E933" t="n">
        <v>6996</v>
      </c>
      <c r="F933" t="n">
        <v>8907</v>
      </c>
    </row>
    <row r="934">
      <c r="A934" t="inlineStr">
        <is>
          <t>104|精英怪</t>
        </is>
      </c>
      <c r="B934" t="n">
        <v>104</v>
      </c>
      <c r="C934" t="inlineStr">
        <is>
          <t>精英怪</t>
        </is>
      </c>
      <c r="D934" t="n">
        <v>161696</v>
      </c>
      <c r="E934" t="n">
        <v>6996</v>
      </c>
      <c r="F934" t="n">
        <v>8907</v>
      </c>
    </row>
    <row r="935">
      <c r="A935" t="inlineStr">
        <is>
          <t>104|精英盾怪</t>
        </is>
      </c>
      <c r="B935" t="n">
        <v>104</v>
      </c>
      <c r="C935" t="inlineStr">
        <is>
          <t>精英盾怪</t>
        </is>
      </c>
      <c r="D935" t="n">
        <v>363816</v>
      </c>
      <c r="E935" t="n">
        <v>6996</v>
      </c>
      <c r="F935" t="n">
        <v>8907</v>
      </c>
    </row>
    <row r="936">
      <c r="A936" t="inlineStr">
        <is>
          <t>104|Boss</t>
        </is>
      </c>
      <c r="B936" t="n">
        <v>104</v>
      </c>
      <c r="C936" t="inlineStr">
        <is>
          <t>Boss</t>
        </is>
      </c>
      <c r="D936" t="n">
        <v>3153038</v>
      </c>
      <c r="E936" t="n">
        <v>8217</v>
      </c>
      <c r="F936" t="n">
        <v>8907</v>
      </c>
    </row>
    <row r="937">
      <c r="A937" t="inlineStr">
        <is>
          <t>104|装备副本Boss</t>
        </is>
      </c>
      <c r="B937" t="n">
        <v>104</v>
      </c>
      <c r="C937" t="inlineStr">
        <is>
          <t>装备副本Boss</t>
        </is>
      </c>
      <c r="D937" t="n">
        <v>1576519</v>
      </c>
      <c r="E937" t="n">
        <v>8217</v>
      </c>
      <c r="F937" t="n">
        <v>8907</v>
      </c>
    </row>
    <row r="938">
      <c r="A938" t="inlineStr">
        <is>
          <t>105|普通怪</t>
        </is>
      </c>
      <c r="B938" t="n">
        <v>105</v>
      </c>
      <c r="C938" t="inlineStr">
        <is>
          <t>普通怪</t>
        </is>
      </c>
      <c r="D938" t="n">
        <v>41177</v>
      </c>
      <c r="E938" t="n">
        <v>7091</v>
      </c>
      <c r="F938" t="n">
        <v>9005</v>
      </c>
    </row>
    <row r="939">
      <c r="A939" t="inlineStr">
        <is>
          <t>105|盾怪</t>
        </is>
      </c>
      <c r="B939" t="n">
        <v>105</v>
      </c>
      <c r="C939" t="inlineStr">
        <is>
          <t>盾怪</t>
        </is>
      </c>
      <c r="D939" t="n">
        <v>123531</v>
      </c>
      <c r="E939" t="n">
        <v>7091</v>
      </c>
      <c r="F939" t="n">
        <v>9005</v>
      </c>
    </row>
    <row r="940">
      <c r="A940" t="inlineStr">
        <is>
          <t>105|二级普通怪</t>
        </is>
      </c>
      <c r="B940" t="n">
        <v>105</v>
      </c>
      <c r="C940" t="inlineStr">
        <is>
          <t>二级普通怪</t>
        </is>
      </c>
      <c r="D940" t="n">
        <v>74119</v>
      </c>
      <c r="E940" t="n">
        <v>7091</v>
      </c>
      <c r="F940" t="n">
        <v>9005</v>
      </c>
    </row>
    <row r="941">
      <c r="A941" t="inlineStr">
        <is>
          <t>105|站桩怪</t>
        </is>
      </c>
      <c r="B941" t="n">
        <v>105</v>
      </c>
      <c r="C941" t="inlineStr">
        <is>
          <t>站桩怪</t>
        </is>
      </c>
      <c r="D941" t="n">
        <v>20589</v>
      </c>
      <c r="E941" t="n">
        <v>7091</v>
      </c>
      <c r="F941" t="n">
        <v>9005</v>
      </c>
    </row>
    <row r="942">
      <c r="A942" t="inlineStr">
        <is>
          <t>105|炮灰怪</t>
        </is>
      </c>
      <c r="B942" t="n">
        <v>105</v>
      </c>
      <c r="C942" t="inlineStr">
        <is>
          <t>炮灰怪</t>
        </is>
      </c>
      <c r="D942" t="n">
        <v>6177</v>
      </c>
      <c r="E942" t="n">
        <v>7091</v>
      </c>
      <c r="F942" t="n">
        <v>9005</v>
      </c>
    </row>
    <row r="943">
      <c r="A943" t="inlineStr">
        <is>
          <t>105|精英怪</t>
        </is>
      </c>
      <c r="B943" t="n">
        <v>105</v>
      </c>
      <c r="C943" t="inlineStr">
        <is>
          <t>精英怪</t>
        </is>
      </c>
      <c r="D943" t="n">
        <v>164708</v>
      </c>
      <c r="E943" t="n">
        <v>7091</v>
      </c>
      <c r="F943" t="n">
        <v>9005</v>
      </c>
    </row>
    <row r="944">
      <c r="A944" t="inlineStr">
        <is>
          <t>105|精英盾怪</t>
        </is>
      </c>
      <c r="B944" t="n">
        <v>105</v>
      </c>
      <c r="C944" t="inlineStr">
        <is>
          <t>精英盾怪</t>
        </is>
      </c>
      <c r="D944" t="n">
        <v>370593</v>
      </c>
      <c r="E944" t="n">
        <v>7091</v>
      </c>
      <c r="F944" t="n">
        <v>9005</v>
      </c>
    </row>
    <row r="945">
      <c r="A945" t="inlineStr">
        <is>
          <t>105|Boss</t>
        </is>
      </c>
      <c r="B945" t="n">
        <v>105</v>
      </c>
      <c r="C945" t="inlineStr">
        <is>
          <t>Boss</t>
        </is>
      </c>
      <c r="D945" t="n">
        <v>3218664</v>
      </c>
      <c r="E945" t="n">
        <v>8324</v>
      </c>
      <c r="F945" t="n">
        <v>9005</v>
      </c>
    </row>
    <row r="946">
      <c r="A946" t="inlineStr">
        <is>
          <t>105|装备副本Boss</t>
        </is>
      </c>
      <c r="B946" t="n">
        <v>105</v>
      </c>
      <c r="C946" t="inlineStr">
        <is>
          <t>装备副本Boss</t>
        </is>
      </c>
      <c r="D946" t="n">
        <v>1609332</v>
      </c>
      <c r="E946" t="n">
        <v>8324</v>
      </c>
      <c r="F946" t="n">
        <v>9005</v>
      </c>
    </row>
    <row r="947">
      <c r="A947" t="inlineStr">
        <is>
          <t>106|普通怪</t>
        </is>
      </c>
      <c r="B947" t="n">
        <v>106</v>
      </c>
      <c r="C947" t="inlineStr">
        <is>
          <t>普通怪</t>
        </is>
      </c>
      <c r="D947" t="n">
        <v>41939</v>
      </c>
      <c r="E947" t="n">
        <v>7186</v>
      </c>
      <c r="F947" t="n">
        <v>9103</v>
      </c>
    </row>
    <row r="948">
      <c r="A948" t="inlineStr">
        <is>
          <t>106|盾怪</t>
        </is>
      </c>
      <c r="B948" t="n">
        <v>106</v>
      </c>
      <c r="C948" t="inlineStr">
        <is>
          <t>盾怪</t>
        </is>
      </c>
      <c r="D948" t="n">
        <v>125817</v>
      </c>
      <c r="E948" t="n">
        <v>7186</v>
      </c>
      <c r="F948" t="n">
        <v>9103</v>
      </c>
    </row>
    <row r="949">
      <c r="A949" t="inlineStr">
        <is>
          <t>106|二级普通怪</t>
        </is>
      </c>
      <c r="B949" t="n">
        <v>106</v>
      </c>
      <c r="C949" t="inlineStr">
        <is>
          <t>二级普通怪</t>
        </is>
      </c>
      <c r="D949" t="n">
        <v>75491</v>
      </c>
      <c r="E949" t="n">
        <v>7186</v>
      </c>
      <c r="F949" t="n">
        <v>9103</v>
      </c>
    </row>
    <row r="950">
      <c r="A950" t="inlineStr">
        <is>
          <t>106|站桩怪</t>
        </is>
      </c>
      <c r="B950" t="n">
        <v>106</v>
      </c>
      <c r="C950" t="inlineStr">
        <is>
          <t>站桩怪</t>
        </is>
      </c>
      <c r="D950" t="n">
        <v>20970</v>
      </c>
      <c r="E950" t="n">
        <v>7186</v>
      </c>
      <c r="F950" t="n">
        <v>9103</v>
      </c>
    </row>
    <row r="951">
      <c r="A951" t="inlineStr">
        <is>
          <t>106|炮灰怪</t>
        </is>
      </c>
      <c r="B951" t="n">
        <v>106</v>
      </c>
      <c r="C951" t="inlineStr">
        <is>
          <t>炮灰怪</t>
        </is>
      </c>
      <c r="D951" t="n">
        <v>6291</v>
      </c>
      <c r="E951" t="n">
        <v>7186</v>
      </c>
      <c r="F951" t="n">
        <v>9103</v>
      </c>
    </row>
    <row r="952">
      <c r="A952" t="inlineStr">
        <is>
          <t>106|精英怪</t>
        </is>
      </c>
      <c r="B952" t="n">
        <v>106</v>
      </c>
      <c r="C952" t="inlineStr">
        <is>
          <t>精英怪</t>
        </is>
      </c>
      <c r="D952" t="n">
        <v>167756</v>
      </c>
      <c r="E952" t="n">
        <v>7186</v>
      </c>
      <c r="F952" t="n">
        <v>9103</v>
      </c>
    </row>
    <row r="953">
      <c r="A953" t="inlineStr">
        <is>
          <t>106|精英盾怪</t>
        </is>
      </c>
      <c r="B953" t="n">
        <v>106</v>
      </c>
      <c r="C953" t="inlineStr">
        <is>
          <t>精英盾怪</t>
        </is>
      </c>
      <c r="D953" t="n">
        <v>377451</v>
      </c>
      <c r="E953" t="n">
        <v>7186</v>
      </c>
      <c r="F953" t="n">
        <v>9103</v>
      </c>
    </row>
    <row r="954">
      <c r="A954" t="inlineStr">
        <is>
          <t>106|Boss</t>
        </is>
      </c>
      <c r="B954" t="n">
        <v>106</v>
      </c>
      <c r="C954" t="inlineStr">
        <is>
          <t>Boss</t>
        </is>
      </c>
      <c r="D954" t="n">
        <v>3285226</v>
      </c>
      <c r="E954" t="n">
        <v>8432</v>
      </c>
      <c r="F954" t="n">
        <v>9103</v>
      </c>
    </row>
    <row r="955">
      <c r="A955" t="inlineStr">
        <is>
          <t>106|装备副本Boss</t>
        </is>
      </c>
      <c r="B955" t="n">
        <v>106</v>
      </c>
      <c r="C955" t="inlineStr">
        <is>
          <t>装备副本Boss</t>
        </is>
      </c>
      <c r="D955" t="n">
        <v>1642613</v>
      </c>
      <c r="E955" t="n">
        <v>8432</v>
      </c>
      <c r="F955" t="n">
        <v>9103</v>
      </c>
    </row>
    <row r="956">
      <c r="A956" t="inlineStr">
        <is>
          <t>107|普通怪</t>
        </is>
      </c>
      <c r="B956" t="n">
        <v>107</v>
      </c>
      <c r="C956" t="inlineStr">
        <is>
          <t>普通怪</t>
        </is>
      </c>
      <c r="D956" t="n">
        <v>42710</v>
      </c>
      <c r="E956" t="n">
        <v>7283</v>
      </c>
      <c r="F956" t="n">
        <v>9201</v>
      </c>
    </row>
    <row r="957">
      <c r="A957" t="inlineStr">
        <is>
          <t>107|盾怪</t>
        </is>
      </c>
      <c r="B957" t="n">
        <v>107</v>
      </c>
      <c r="C957" t="inlineStr">
        <is>
          <t>盾怪</t>
        </is>
      </c>
      <c r="D957" t="n">
        <v>128130</v>
      </c>
      <c r="E957" t="n">
        <v>7283</v>
      </c>
      <c r="F957" t="n">
        <v>9201</v>
      </c>
    </row>
    <row r="958">
      <c r="A958" t="inlineStr">
        <is>
          <t>107|二级普通怪</t>
        </is>
      </c>
      <c r="B958" t="n">
        <v>107</v>
      </c>
      <c r="C958" t="inlineStr">
        <is>
          <t>二级普通怪</t>
        </is>
      </c>
      <c r="D958" t="n">
        <v>76878</v>
      </c>
      <c r="E958" t="n">
        <v>7283</v>
      </c>
      <c r="F958" t="n">
        <v>9201</v>
      </c>
    </row>
    <row r="959">
      <c r="A959" t="inlineStr">
        <is>
          <t>107|站桩怪</t>
        </is>
      </c>
      <c r="B959" t="n">
        <v>107</v>
      </c>
      <c r="C959" t="inlineStr">
        <is>
          <t>站桩怪</t>
        </is>
      </c>
      <c r="D959" t="n">
        <v>21355</v>
      </c>
      <c r="E959" t="n">
        <v>7283</v>
      </c>
      <c r="F959" t="n">
        <v>9201</v>
      </c>
    </row>
    <row r="960">
      <c r="A960" t="inlineStr">
        <is>
          <t>107|炮灰怪</t>
        </is>
      </c>
      <c r="B960" t="n">
        <v>107</v>
      </c>
      <c r="C960" t="inlineStr">
        <is>
          <t>炮灰怪</t>
        </is>
      </c>
      <c r="D960" t="n">
        <v>6407</v>
      </c>
      <c r="E960" t="n">
        <v>7283</v>
      </c>
      <c r="F960" t="n">
        <v>9201</v>
      </c>
    </row>
    <row r="961">
      <c r="A961" t="inlineStr">
        <is>
          <t>107|精英怪</t>
        </is>
      </c>
      <c r="B961" t="n">
        <v>107</v>
      </c>
      <c r="C961" t="inlineStr">
        <is>
          <t>精英怪</t>
        </is>
      </c>
      <c r="D961" t="n">
        <v>170840</v>
      </c>
      <c r="E961" t="n">
        <v>7283</v>
      </c>
      <c r="F961" t="n">
        <v>9201</v>
      </c>
    </row>
    <row r="962">
      <c r="A962" t="inlineStr">
        <is>
          <t>107|精英盾怪</t>
        </is>
      </c>
      <c r="B962" t="n">
        <v>107</v>
      </c>
      <c r="C962" t="inlineStr">
        <is>
          <t>精英盾怪</t>
        </is>
      </c>
      <c r="D962" t="n">
        <v>384390</v>
      </c>
      <c r="E962" t="n">
        <v>7283</v>
      </c>
      <c r="F962" t="n">
        <v>9201</v>
      </c>
    </row>
    <row r="963">
      <c r="A963" t="inlineStr">
        <is>
          <t>107|Boss</t>
        </is>
      </c>
      <c r="B963" t="n">
        <v>107</v>
      </c>
      <c r="C963" t="inlineStr">
        <is>
          <t>Boss</t>
        </is>
      </c>
      <c r="D963" t="n">
        <v>3352775</v>
      </c>
      <c r="E963" t="n">
        <v>8541</v>
      </c>
      <c r="F963" t="n">
        <v>9201</v>
      </c>
    </row>
    <row r="964">
      <c r="A964" t="inlineStr">
        <is>
          <t>107|装备副本Boss</t>
        </is>
      </c>
      <c r="B964" t="n">
        <v>107</v>
      </c>
      <c r="C964" t="inlineStr">
        <is>
          <t>装备副本Boss</t>
        </is>
      </c>
      <c r="D964" t="n">
        <v>1676388</v>
      </c>
      <c r="E964" t="n">
        <v>8541</v>
      </c>
      <c r="F964" t="n">
        <v>9201</v>
      </c>
    </row>
    <row r="965">
      <c r="A965" t="inlineStr">
        <is>
          <t>108|普通怪</t>
        </is>
      </c>
      <c r="B965" t="n">
        <v>108</v>
      </c>
      <c r="C965" t="inlineStr">
        <is>
          <t>普通怪</t>
        </is>
      </c>
      <c r="D965" t="n">
        <v>43490</v>
      </c>
      <c r="E965" t="n">
        <v>7380</v>
      </c>
      <c r="F965" t="n">
        <v>9299</v>
      </c>
    </row>
    <row r="966">
      <c r="A966" t="inlineStr">
        <is>
          <t>108|盾怪</t>
        </is>
      </c>
      <c r="B966" t="n">
        <v>108</v>
      </c>
      <c r="C966" t="inlineStr">
        <is>
          <t>盾怪</t>
        </is>
      </c>
      <c r="D966" t="n">
        <v>130470</v>
      </c>
      <c r="E966" t="n">
        <v>7380</v>
      </c>
      <c r="F966" t="n">
        <v>9299</v>
      </c>
    </row>
    <row r="967">
      <c r="A967" t="inlineStr">
        <is>
          <t>108|二级普通怪</t>
        </is>
      </c>
      <c r="B967" t="n">
        <v>108</v>
      </c>
      <c r="C967" t="inlineStr">
        <is>
          <t>二级普通怪</t>
        </is>
      </c>
      <c r="D967" t="n">
        <v>78282</v>
      </c>
      <c r="E967" t="n">
        <v>7380</v>
      </c>
      <c r="F967" t="n">
        <v>9299</v>
      </c>
    </row>
    <row r="968">
      <c r="A968" t="inlineStr">
        <is>
          <t>108|站桩怪</t>
        </is>
      </c>
      <c r="B968" t="n">
        <v>108</v>
      </c>
      <c r="C968" t="inlineStr">
        <is>
          <t>站桩怪</t>
        </is>
      </c>
      <c r="D968" t="n">
        <v>21745</v>
      </c>
      <c r="E968" t="n">
        <v>7380</v>
      </c>
      <c r="F968" t="n">
        <v>9299</v>
      </c>
    </row>
    <row r="969">
      <c r="A969" t="inlineStr">
        <is>
          <t>108|炮灰怪</t>
        </is>
      </c>
      <c r="B969" t="n">
        <v>108</v>
      </c>
      <c r="C969" t="inlineStr">
        <is>
          <t>炮灰怪</t>
        </is>
      </c>
      <c r="D969" t="n">
        <v>6524</v>
      </c>
      <c r="E969" t="n">
        <v>7380</v>
      </c>
      <c r="F969" t="n">
        <v>9299</v>
      </c>
    </row>
    <row r="970">
      <c r="A970" t="inlineStr">
        <is>
          <t>108|精英怪</t>
        </is>
      </c>
      <c r="B970" t="n">
        <v>108</v>
      </c>
      <c r="C970" t="inlineStr">
        <is>
          <t>精英怪</t>
        </is>
      </c>
      <c r="D970" t="n">
        <v>173960</v>
      </c>
      <c r="E970" t="n">
        <v>7380</v>
      </c>
      <c r="F970" t="n">
        <v>9299</v>
      </c>
    </row>
    <row r="971">
      <c r="A971" t="inlineStr">
        <is>
          <t>108|精英盾怪</t>
        </is>
      </c>
      <c r="B971" t="n">
        <v>108</v>
      </c>
      <c r="C971" t="inlineStr">
        <is>
          <t>精英盾怪</t>
        </is>
      </c>
      <c r="D971" t="n">
        <v>391410</v>
      </c>
      <c r="E971" t="n">
        <v>7380</v>
      </c>
      <c r="F971" t="n">
        <v>9299</v>
      </c>
    </row>
    <row r="972">
      <c r="A972" t="inlineStr">
        <is>
          <t>108|Boss</t>
        </is>
      </c>
      <c r="B972" t="n">
        <v>108</v>
      </c>
      <c r="C972" t="inlineStr">
        <is>
          <t>Boss</t>
        </is>
      </c>
      <c r="D972" t="n">
        <v>3421209</v>
      </c>
      <c r="E972" t="n">
        <v>8651</v>
      </c>
      <c r="F972" t="n">
        <v>9299</v>
      </c>
    </row>
    <row r="973">
      <c r="A973" t="inlineStr">
        <is>
          <t>108|装备副本Boss</t>
        </is>
      </c>
      <c r="B973" t="n">
        <v>108</v>
      </c>
      <c r="C973" t="inlineStr">
        <is>
          <t>装备副本Boss</t>
        </is>
      </c>
      <c r="D973" t="n">
        <v>1710604</v>
      </c>
      <c r="E973" t="n">
        <v>8651</v>
      </c>
      <c r="F973" t="n">
        <v>9299</v>
      </c>
    </row>
    <row r="974">
      <c r="A974" t="inlineStr">
        <is>
          <t>109|普通怪</t>
        </is>
      </c>
      <c r="B974" t="n">
        <v>109</v>
      </c>
      <c r="C974" t="inlineStr">
        <is>
          <t>普通怪</t>
        </is>
      </c>
      <c r="D974" t="n">
        <v>44280</v>
      </c>
      <c r="E974" t="n">
        <v>7478</v>
      </c>
      <c r="F974" t="n">
        <v>9398</v>
      </c>
    </row>
    <row r="975">
      <c r="A975" t="inlineStr">
        <is>
          <t>109|盾怪</t>
        </is>
      </c>
      <c r="B975" t="n">
        <v>109</v>
      </c>
      <c r="C975" t="inlineStr">
        <is>
          <t>盾怪</t>
        </is>
      </c>
      <c r="D975" t="n">
        <v>132840</v>
      </c>
      <c r="E975" t="n">
        <v>7478</v>
      </c>
      <c r="F975" t="n">
        <v>9398</v>
      </c>
    </row>
    <row r="976">
      <c r="A976" t="inlineStr">
        <is>
          <t>109|二级普通怪</t>
        </is>
      </c>
      <c r="B976" t="n">
        <v>109</v>
      </c>
      <c r="C976" t="inlineStr">
        <is>
          <t>二级普通怪</t>
        </is>
      </c>
      <c r="D976" t="n">
        <v>79704</v>
      </c>
      <c r="E976" t="n">
        <v>7478</v>
      </c>
      <c r="F976" t="n">
        <v>9398</v>
      </c>
    </row>
    <row r="977">
      <c r="A977" t="inlineStr">
        <is>
          <t>109|站桩怪</t>
        </is>
      </c>
      <c r="B977" t="n">
        <v>109</v>
      </c>
      <c r="C977" t="inlineStr">
        <is>
          <t>站桩怪</t>
        </is>
      </c>
      <c r="D977" t="n">
        <v>22140</v>
      </c>
      <c r="E977" t="n">
        <v>7478</v>
      </c>
      <c r="F977" t="n">
        <v>9398</v>
      </c>
    </row>
    <row r="978">
      <c r="A978" t="inlineStr">
        <is>
          <t>109|炮灰怪</t>
        </is>
      </c>
      <c r="B978" t="n">
        <v>109</v>
      </c>
      <c r="C978" t="inlineStr">
        <is>
          <t>炮灰怪</t>
        </is>
      </c>
      <c r="D978" t="n">
        <v>6642</v>
      </c>
      <c r="E978" t="n">
        <v>7478</v>
      </c>
      <c r="F978" t="n">
        <v>9398</v>
      </c>
    </row>
    <row r="979">
      <c r="A979" t="inlineStr">
        <is>
          <t>109|精英怪</t>
        </is>
      </c>
      <c r="B979" t="n">
        <v>109</v>
      </c>
      <c r="C979" t="inlineStr">
        <is>
          <t>精英怪</t>
        </is>
      </c>
      <c r="D979" t="n">
        <v>177120</v>
      </c>
      <c r="E979" t="n">
        <v>7478</v>
      </c>
      <c r="F979" t="n">
        <v>9398</v>
      </c>
    </row>
    <row r="980">
      <c r="A980" t="inlineStr">
        <is>
          <t>109|精英盾怪</t>
        </is>
      </c>
      <c r="B980" t="n">
        <v>109</v>
      </c>
      <c r="C980" t="inlineStr">
        <is>
          <t>精英盾怪</t>
        </is>
      </c>
      <c r="D980" t="n">
        <v>398520</v>
      </c>
      <c r="E980" t="n">
        <v>7478</v>
      </c>
      <c r="F980" t="n">
        <v>9398</v>
      </c>
    </row>
    <row r="981">
      <c r="A981" t="inlineStr">
        <is>
          <t>109|Boss</t>
        </is>
      </c>
      <c r="B981" t="n">
        <v>109</v>
      </c>
      <c r="C981" t="inlineStr">
        <is>
          <t>Boss</t>
        </is>
      </c>
      <c r="D981" t="n">
        <v>3490680</v>
      </c>
      <c r="E981" t="n">
        <v>8761</v>
      </c>
      <c r="F981" t="n">
        <v>9398</v>
      </c>
    </row>
    <row r="982">
      <c r="A982" t="inlineStr">
        <is>
          <t>109|装备副本Boss</t>
        </is>
      </c>
      <c r="B982" t="n">
        <v>109</v>
      </c>
      <c r="C982" t="inlineStr">
        <is>
          <t>装备副本Boss</t>
        </is>
      </c>
      <c r="D982" t="n">
        <v>1745340</v>
      </c>
      <c r="E982" t="n">
        <v>8761</v>
      </c>
      <c r="F982" t="n">
        <v>9398</v>
      </c>
    </row>
    <row r="983">
      <c r="A983" t="inlineStr">
        <is>
          <t>110|普通怪</t>
        </is>
      </c>
      <c r="B983" t="n">
        <v>110</v>
      </c>
      <c r="C983" t="inlineStr">
        <is>
          <t>普通怪</t>
        </is>
      </c>
      <c r="D983" t="n">
        <v>45080</v>
      </c>
      <c r="E983" t="n">
        <v>7576</v>
      </c>
      <c r="F983" t="n">
        <v>9496</v>
      </c>
    </row>
    <row r="984">
      <c r="A984" t="inlineStr">
        <is>
          <t>110|盾怪</t>
        </is>
      </c>
      <c r="B984" t="n">
        <v>110</v>
      </c>
      <c r="C984" t="inlineStr">
        <is>
          <t>盾怪</t>
        </is>
      </c>
      <c r="D984" t="n">
        <v>135240</v>
      </c>
      <c r="E984" t="n">
        <v>7576</v>
      </c>
      <c r="F984" t="n">
        <v>9496</v>
      </c>
    </row>
    <row r="985">
      <c r="A985" t="inlineStr">
        <is>
          <t>110|二级普通怪</t>
        </is>
      </c>
      <c r="B985" t="n">
        <v>110</v>
      </c>
      <c r="C985" t="inlineStr">
        <is>
          <t>二级普通怪</t>
        </is>
      </c>
      <c r="D985" t="n">
        <v>81144</v>
      </c>
      <c r="E985" t="n">
        <v>7576</v>
      </c>
      <c r="F985" t="n">
        <v>9496</v>
      </c>
    </row>
    <row r="986">
      <c r="A986" t="inlineStr">
        <is>
          <t>110|站桩怪</t>
        </is>
      </c>
      <c r="B986" t="n">
        <v>110</v>
      </c>
      <c r="C986" t="inlineStr">
        <is>
          <t>站桩怪</t>
        </is>
      </c>
      <c r="D986" t="n">
        <v>22540</v>
      </c>
      <c r="E986" t="n">
        <v>7576</v>
      </c>
      <c r="F986" t="n">
        <v>9496</v>
      </c>
    </row>
    <row r="987">
      <c r="A987" t="inlineStr">
        <is>
          <t>110|炮灰怪</t>
        </is>
      </c>
      <c r="B987" t="n">
        <v>110</v>
      </c>
      <c r="C987" t="inlineStr">
        <is>
          <t>炮灰怪</t>
        </is>
      </c>
      <c r="D987" t="n">
        <v>6762</v>
      </c>
      <c r="E987" t="n">
        <v>7576</v>
      </c>
      <c r="F987" t="n">
        <v>9496</v>
      </c>
    </row>
    <row r="988">
      <c r="A988" t="inlineStr">
        <is>
          <t>110|精英怪</t>
        </is>
      </c>
      <c r="B988" t="n">
        <v>110</v>
      </c>
      <c r="C988" t="inlineStr">
        <is>
          <t>精英怪</t>
        </is>
      </c>
      <c r="D988" t="n">
        <v>180320</v>
      </c>
      <c r="E988" t="n">
        <v>7576</v>
      </c>
      <c r="F988" t="n">
        <v>9496</v>
      </c>
    </row>
    <row r="989">
      <c r="A989" t="inlineStr">
        <is>
          <t>110|精英盾怪</t>
        </is>
      </c>
      <c r="B989" t="n">
        <v>110</v>
      </c>
      <c r="C989" t="inlineStr">
        <is>
          <t>精英盾怪</t>
        </is>
      </c>
      <c r="D989" t="n">
        <v>405720</v>
      </c>
      <c r="E989" t="n">
        <v>7576</v>
      </c>
      <c r="F989" t="n">
        <v>9496</v>
      </c>
    </row>
    <row r="990">
      <c r="A990" t="inlineStr">
        <is>
          <t>110|Boss</t>
        </is>
      </c>
      <c r="B990" t="n">
        <v>110</v>
      </c>
      <c r="C990" t="inlineStr">
        <is>
          <t>Boss</t>
        </is>
      </c>
      <c r="D990" t="n">
        <v>3561035</v>
      </c>
      <c r="E990" t="n">
        <v>8872</v>
      </c>
      <c r="F990" t="n">
        <v>9496</v>
      </c>
    </row>
    <row r="991">
      <c r="A991" t="inlineStr">
        <is>
          <t>110|装备副本Boss</t>
        </is>
      </c>
      <c r="B991" t="n">
        <v>110</v>
      </c>
      <c r="C991" t="inlineStr">
        <is>
          <t>装备副本Boss</t>
        </is>
      </c>
      <c r="D991" t="n">
        <v>1780518</v>
      </c>
      <c r="E991" t="n">
        <v>8872</v>
      </c>
      <c r="F991" t="n">
        <v>9496</v>
      </c>
    </row>
    <row r="992">
      <c r="A992" t="inlineStr">
        <is>
          <t>111|普通怪</t>
        </is>
      </c>
      <c r="B992" t="n">
        <v>111</v>
      </c>
      <c r="C992" t="inlineStr">
        <is>
          <t>普通怪</t>
        </is>
      </c>
      <c r="D992" t="n">
        <v>45889</v>
      </c>
      <c r="E992" t="n">
        <v>7675</v>
      </c>
      <c r="F992" t="n">
        <v>9595</v>
      </c>
    </row>
    <row r="993">
      <c r="A993" t="inlineStr">
        <is>
          <t>111|盾怪</t>
        </is>
      </c>
      <c r="B993" t="n">
        <v>111</v>
      </c>
      <c r="C993" t="inlineStr">
        <is>
          <t>盾怪</t>
        </is>
      </c>
      <c r="D993" t="n">
        <v>137667</v>
      </c>
      <c r="E993" t="n">
        <v>7675</v>
      </c>
      <c r="F993" t="n">
        <v>9595</v>
      </c>
    </row>
    <row r="994">
      <c r="A994" t="inlineStr">
        <is>
          <t>111|二级普通怪</t>
        </is>
      </c>
      <c r="B994" t="n">
        <v>111</v>
      </c>
      <c r="C994" t="inlineStr">
        <is>
          <t>二级普通怪</t>
        </is>
      </c>
      <c r="D994" t="n">
        <v>82601</v>
      </c>
      <c r="E994" t="n">
        <v>7675</v>
      </c>
      <c r="F994" t="n">
        <v>9595</v>
      </c>
    </row>
    <row r="995">
      <c r="A995" t="inlineStr">
        <is>
          <t>111|站桩怪</t>
        </is>
      </c>
      <c r="B995" t="n">
        <v>111</v>
      </c>
      <c r="C995" t="inlineStr">
        <is>
          <t>站桩怪</t>
        </is>
      </c>
      <c r="D995" t="n">
        <v>22945</v>
      </c>
      <c r="E995" t="n">
        <v>7675</v>
      </c>
      <c r="F995" t="n">
        <v>9595</v>
      </c>
    </row>
    <row r="996">
      <c r="A996" t="inlineStr">
        <is>
          <t>111|炮灰怪</t>
        </is>
      </c>
      <c r="B996" t="n">
        <v>111</v>
      </c>
      <c r="C996" t="inlineStr">
        <is>
          <t>炮灰怪</t>
        </is>
      </c>
      <c r="D996" t="n">
        <v>6884</v>
      </c>
      <c r="E996" t="n">
        <v>7675</v>
      </c>
      <c r="F996" t="n">
        <v>9595</v>
      </c>
    </row>
    <row r="997">
      <c r="A997" t="inlineStr">
        <is>
          <t>111|精英怪</t>
        </is>
      </c>
      <c r="B997" t="n">
        <v>111</v>
      </c>
      <c r="C997" t="inlineStr">
        <is>
          <t>精英怪</t>
        </is>
      </c>
      <c r="D997" t="n">
        <v>183556</v>
      </c>
      <c r="E997" t="n">
        <v>7675</v>
      </c>
      <c r="F997" t="n">
        <v>9595</v>
      </c>
    </row>
    <row r="998">
      <c r="A998" t="inlineStr">
        <is>
          <t>111|精英盾怪</t>
        </is>
      </c>
      <c r="B998" t="n">
        <v>111</v>
      </c>
      <c r="C998" t="inlineStr">
        <is>
          <t>精英盾怪</t>
        </is>
      </c>
      <c r="D998" t="n">
        <v>413001</v>
      </c>
      <c r="E998" t="n">
        <v>7675</v>
      </c>
      <c r="F998" t="n">
        <v>9595</v>
      </c>
    </row>
    <row r="999">
      <c r="A999" t="inlineStr">
        <is>
          <t>111|Boss</t>
        </is>
      </c>
      <c r="B999" t="n">
        <v>111</v>
      </c>
      <c r="C999" t="inlineStr">
        <is>
          <t>Boss</t>
        </is>
      </c>
      <c r="D999" t="n">
        <v>3632427</v>
      </c>
      <c r="E999" t="n">
        <v>8983</v>
      </c>
      <c r="F999" t="n">
        <v>9595</v>
      </c>
    </row>
    <row r="1000">
      <c r="A1000" t="inlineStr">
        <is>
          <t>111|装备副本Boss</t>
        </is>
      </c>
      <c r="B1000" t="n">
        <v>111</v>
      </c>
      <c r="C1000" t="inlineStr">
        <is>
          <t>装备副本Boss</t>
        </is>
      </c>
      <c r="D1000" t="n">
        <v>1816214</v>
      </c>
      <c r="E1000" t="n">
        <v>8983</v>
      </c>
      <c r="F1000" t="n">
        <v>9595</v>
      </c>
    </row>
    <row r="1001">
      <c r="A1001" t="inlineStr">
        <is>
          <t>112|普通怪</t>
        </is>
      </c>
      <c r="B1001" t="n">
        <v>112</v>
      </c>
      <c r="C1001" t="inlineStr">
        <is>
          <t>普通怪</t>
        </is>
      </c>
      <c r="D1001" t="n">
        <v>46708</v>
      </c>
      <c r="E1001" t="n">
        <v>7774</v>
      </c>
      <c r="F1001" t="n">
        <v>9694</v>
      </c>
    </row>
    <row r="1002">
      <c r="A1002" t="inlineStr">
        <is>
          <t>112|盾怪</t>
        </is>
      </c>
      <c r="B1002" t="n">
        <v>112</v>
      </c>
      <c r="C1002" t="inlineStr">
        <is>
          <t>盾怪</t>
        </is>
      </c>
      <c r="D1002" t="n">
        <v>140124</v>
      </c>
      <c r="E1002" t="n">
        <v>7774</v>
      </c>
      <c r="F1002" t="n">
        <v>9694</v>
      </c>
    </row>
    <row r="1003">
      <c r="A1003" t="inlineStr">
        <is>
          <t>112|二级普通怪</t>
        </is>
      </c>
      <c r="B1003" t="n">
        <v>112</v>
      </c>
      <c r="C1003" t="inlineStr">
        <is>
          <t>二级普通怪</t>
        </is>
      </c>
      <c r="D1003" t="n">
        <v>84075</v>
      </c>
      <c r="E1003" t="n">
        <v>7774</v>
      </c>
      <c r="F1003" t="n">
        <v>9694</v>
      </c>
    </row>
    <row r="1004">
      <c r="A1004" t="inlineStr">
        <is>
          <t>112|站桩怪</t>
        </is>
      </c>
      <c r="B1004" t="n">
        <v>112</v>
      </c>
      <c r="C1004" t="inlineStr">
        <is>
          <t>站桩怪</t>
        </is>
      </c>
      <c r="D1004" t="n">
        <v>23354</v>
      </c>
      <c r="E1004" t="n">
        <v>7774</v>
      </c>
      <c r="F1004" t="n">
        <v>9694</v>
      </c>
    </row>
    <row r="1005">
      <c r="A1005" t="inlineStr">
        <is>
          <t>112|炮灰怪</t>
        </is>
      </c>
      <c r="B1005" t="n">
        <v>112</v>
      </c>
      <c r="C1005" t="inlineStr">
        <is>
          <t>炮灰怪</t>
        </is>
      </c>
      <c r="D1005" t="n">
        <v>7007</v>
      </c>
      <c r="E1005" t="n">
        <v>7774</v>
      </c>
      <c r="F1005" t="n">
        <v>9694</v>
      </c>
    </row>
    <row r="1006">
      <c r="A1006" t="inlineStr">
        <is>
          <t>112|精英怪</t>
        </is>
      </c>
      <c r="B1006" t="n">
        <v>112</v>
      </c>
      <c r="C1006" t="inlineStr">
        <is>
          <t>精英怪</t>
        </is>
      </c>
      <c r="D1006" t="n">
        <v>186832</v>
      </c>
      <c r="E1006" t="n">
        <v>7774</v>
      </c>
      <c r="F1006" t="n">
        <v>9694</v>
      </c>
    </row>
    <row r="1007">
      <c r="A1007" t="inlineStr">
        <is>
          <t>112|精英盾怪</t>
        </is>
      </c>
      <c r="B1007" t="n">
        <v>112</v>
      </c>
      <c r="C1007" t="inlineStr">
        <is>
          <t>精英盾怪</t>
        </is>
      </c>
      <c r="D1007" t="n">
        <v>420372</v>
      </c>
      <c r="E1007" t="n">
        <v>7774</v>
      </c>
      <c r="F1007" t="n">
        <v>9694</v>
      </c>
    </row>
    <row r="1008">
      <c r="A1008" t="inlineStr">
        <is>
          <t>112|Boss</t>
        </is>
      </c>
      <c r="B1008" t="n">
        <v>112</v>
      </c>
      <c r="C1008" t="inlineStr">
        <is>
          <t>Boss</t>
        </is>
      </c>
      <c r="D1008" t="n">
        <v>3704805</v>
      </c>
      <c r="E1008" t="n">
        <v>9095</v>
      </c>
      <c r="F1008" t="n">
        <v>9694</v>
      </c>
    </row>
    <row r="1009">
      <c r="A1009" t="inlineStr">
        <is>
          <t>112|装备副本Boss</t>
        </is>
      </c>
      <c r="B1009" t="n">
        <v>112</v>
      </c>
      <c r="C1009" t="inlineStr">
        <is>
          <t>装备副本Boss</t>
        </is>
      </c>
      <c r="D1009" t="n">
        <v>1852402</v>
      </c>
      <c r="E1009" t="n">
        <v>9095</v>
      </c>
      <c r="F1009" t="n">
        <v>9694</v>
      </c>
    </row>
    <row r="1010">
      <c r="A1010" t="inlineStr">
        <is>
          <t>113|普通怪</t>
        </is>
      </c>
      <c r="B1010" t="n">
        <v>113</v>
      </c>
      <c r="C1010" t="inlineStr">
        <is>
          <t>普通怪</t>
        </is>
      </c>
      <c r="D1010" t="n">
        <v>47536</v>
      </c>
      <c r="E1010" t="n">
        <v>7875</v>
      </c>
      <c r="F1010" t="n">
        <v>9794</v>
      </c>
    </row>
    <row r="1011">
      <c r="A1011" t="inlineStr">
        <is>
          <t>113|盾怪</t>
        </is>
      </c>
      <c r="B1011" t="n">
        <v>113</v>
      </c>
      <c r="C1011" t="inlineStr">
        <is>
          <t>盾怪</t>
        </is>
      </c>
      <c r="D1011" t="n">
        <v>142608</v>
      </c>
      <c r="E1011" t="n">
        <v>7875</v>
      </c>
      <c r="F1011" t="n">
        <v>9794</v>
      </c>
    </row>
    <row r="1012">
      <c r="A1012" t="inlineStr">
        <is>
          <t>113|二级普通怪</t>
        </is>
      </c>
      <c r="B1012" t="n">
        <v>113</v>
      </c>
      <c r="C1012" t="inlineStr">
        <is>
          <t>二级普通怪</t>
        </is>
      </c>
      <c r="D1012" t="n">
        <v>85565</v>
      </c>
      <c r="E1012" t="n">
        <v>7875</v>
      </c>
      <c r="F1012" t="n">
        <v>9794</v>
      </c>
    </row>
    <row r="1013">
      <c r="A1013" t="inlineStr">
        <is>
          <t>113|站桩怪</t>
        </is>
      </c>
      <c r="B1013" t="n">
        <v>113</v>
      </c>
      <c r="C1013" t="inlineStr">
        <is>
          <t>站桩怪</t>
        </is>
      </c>
      <c r="D1013" t="n">
        <v>23768</v>
      </c>
      <c r="E1013" t="n">
        <v>7875</v>
      </c>
      <c r="F1013" t="n">
        <v>9794</v>
      </c>
    </row>
    <row r="1014">
      <c r="A1014" t="inlineStr">
        <is>
          <t>113|炮灰怪</t>
        </is>
      </c>
      <c r="B1014" t="n">
        <v>113</v>
      </c>
      <c r="C1014" t="inlineStr">
        <is>
          <t>炮灰怪</t>
        </is>
      </c>
      <c r="D1014" t="n">
        <v>7131</v>
      </c>
      <c r="E1014" t="n">
        <v>7875</v>
      </c>
      <c r="F1014" t="n">
        <v>9794</v>
      </c>
    </row>
    <row r="1015">
      <c r="A1015" t="inlineStr">
        <is>
          <t>113|精英怪</t>
        </is>
      </c>
      <c r="B1015" t="n">
        <v>113</v>
      </c>
      <c r="C1015" t="inlineStr">
        <is>
          <t>精英怪</t>
        </is>
      </c>
      <c r="D1015" t="n">
        <v>190144</v>
      </c>
      <c r="E1015" t="n">
        <v>7875</v>
      </c>
      <c r="F1015" t="n">
        <v>9794</v>
      </c>
    </row>
    <row r="1016">
      <c r="A1016" t="inlineStr">
        <is>
          <t>113|精英盾怪</t>
        </is>
      </c>
      <c r="B1016" t="n">
        <v>113</v>
      </c>
      <c r="C1016" t="inlineStr">
        <is>
          <t>精英盾怪</t>
        </is>
      </c>
      <c r="D1016" t="n">
        <v>427824</v>
      </c>
      <c r="E1016" t="n">
        <v>7875</v>
      </c>
      <c r="F1016" t="n">
        <v>9794</v>
      </c>
    </row>
    <row r="1017">
      <c r="A1017" t="inlineStr">
        <is>
          <t>113|Boss</t>
        </is>
      </c>
      <c r="B1017" t="n">
        <v>113</v>
      </c>
      <c r="C1017" t="inlineStr">
        <is>
          <t>Boss</t>
        </is>
      </c>
      <c r="D1017" t="n">
        <v>3778167</v>
      </c>
      <c r="E1017" t="n">
        <v>9208</v>
      </c>
      <c r="F1017" t="n">
        <v>9794</v>
      </c>
    </row>
    <row r="1018">
      <c r="A1018" t="inlineStr">
        <is>
          <t>113|装备副本Boss</t>
        </is>
      </c>
      <c r="B1018" t="n">
        <v>113</v>
      </c>
      <c r="C1018" t="inlineStr">
        <is>
          <t>装备副本Boss</t>
        </is>
      </c>
      <c r="D1018" t="n">
        <v>1889084</v>
      </c>
      <c r="E1018" t="n">
        <v>9208</v>
      </c>
      <c r="F1018" t="n">
        <v>9794</v>
      </c>
    </row>
    <row r="1019">
      <c r="A1019" t="inlineStr">
        <is>
          <t>114|普通怪</t>
        </is>
      </c>
      <c r="B1019" t="n">
        <v>114</v>
      </c>
      <c r="C1019" t="inlineStr">
        <is>
          <t>普通怪</t>
        </is>
      </c>
      <c r="D1019" t="n">
        <v>48374</v>
      </c>
      <c r="E1019" t="n">
        <v>7976</v>
      </c>
      <c r="F1019" t="n">
        <v>9894</v>
      </c>
    </row>
    <row r="1020">
      <c r="A1020" t="inlineStr">
        <is>
          <t>114|盾怪</t>
        </is>
      </c>
      <c r="B1020" t="n">
        <v>114</v>
      </c>
      <c r="C1020" t="inlineStr">
        <is>
          <t>盾怪</t>
        </is>
      </c>
      <c r="D1020" t="n">
        <v>145122</v>
      </c>
      <c r="E1020" t="n">
        <v>7976</v>
      </c>
      <c r="F1020" t="n">
        <v>9894</v>
      </c>
    </row>
    <row r="1021">
      <c r="A1021" t="inlineStr">
        <is>
          <t>114|二级普通怪</t>
        </is>
      </c>
      <c r="B1021" t="n">
        <v>114</v>
      </c>
      <c r="C1021" t="inlineStr">
        <is>
          <t>二级普通怪</t>
        </is>
      </c>
      <c r="D1021" t="n">
        <v>87074</v>
      </c>
      <c r="E1021" t="n">
        <v>7976</v>
      </c>
      <c r="F1021" t="n">
        <v>9894</v>
      </c>
    </row>
    <row r="1022">
      <c r="A1022" t="inlineStr">
        <is>
          <t>114|站桩怪</t>
        </is>
      </c>
      <c r="B1022" t="n">
        <v>114</v>
      </c>
      <c r="C1022" t="inlineStr">
        <is>
          <t>站桩怪</t>
        </is>
      </c>
      <c r="D1022" t="n">
        <v>24187</v>
      </c>
      <c r="E1022" t="n">
        <v>7976</v>
      </c>
      <c r="F1022" t="n">
        <v>9894</v>
      </c>
    </row>
    <row r="1023">
      <c r="A1023" t="inlineStr">
        <is>
          <t>114|炮灰怪</t>
        </is>
      </c>
      <c r="B1023" t="n">
        <v>114</v>
      </c>
      <c r="C1023" t="inlineStr">
        <is>
          <t>炮灰怪</t>
        </is>
      </c>
      <c r="D1023" t="n">
        <v>7257</v>
      </c>
      <c r="E1023" t="n">
        <v>7976</v>
      </c>
      <c r="F1023" t="n">
        <v>9894</v>
      </c>
    </row>
    <row r="1024">
      <c r="A1024" t="inlineStr">
        <is>
          <t>114|精英怪</t>
        </is>
      </c>
      <c r="B1024" t="n">
        <v>114</v>
      </c>
      <c r="C1024" t="inlineStr">
        <is>
          <t>精英怪</t>
        </is>
      </c>
      <c r="D1024" t="n">
        <v>193496</v>
      </c>
      <c r="E1024" t="n">
        <v>7976</v>
      </c>
      <c r="F1024" t="n">
        <v>9894</v>
      </c>
    </row>
    <row r="1025">
      <c r="A1025" t="inlineStr">
        <is>
          <t>114|精英盾怪</t>
        </is>
      </c>
      <c r="B1025" t="n">
        <v>114</v>
      </c>
      <c r="C1025" t="inlineStr">
        <is>
          <t>精英盾怪</t>
        </is>
      </c>
      <c r="D1025" t="n">
        <v>435366</v>
      </c>
      <c r="E1025" t="n">
        <v>7976</v>
      </c>
      <c r="F1025" t="n">
        <v>9894</v>
      </c>
    </row>
    <row r="1026">
      <c r="A1026" t="inlineStr">
        <is>
          <t>114|Boss</t>
        </is>
      </c>
      <c r="B1026" t="n">
        <v>114</v>
      </c>
      <c r="C1026" t="inlineStr">
        <is>
          <t>Boss</t>
        </is>
      </c>
      <c r="D1026" t="n">
        <v>3852515</v>
      </c>
      <c r="E1026" t="n">
        <v>9322</v>
      </c>
      <c r="F1026" t="n">
        <v>9894</v>
      </c>
    </row>
    <row r="1027">
      <c r="A1027" t="inlineStr">
        <is>
          <t>114|装备副本Boss</t>
        </is>
      </c>
      <c r="B1027" t="n">
        <v>114</v>
      </c>
      <c r="C1027" t="inlineStr">
        <is>
          <t>装备副本Boss</t>
        </is>
      </c>
      <c r="D1027" t="n">
        <v>1926257</v>
      </c>
      <c r="E1027" t="n">
        <v>9322</v>
      </c>
      <c r="F1027" t="n">
        <v>9894</v>
      </c>
    </row>
    <row r="1028">
      <c r="A1028" t="inlineStr">
        <is>
          <t>115|普通怪</t>
        </is>
      </c>
      <c r="B1028" t="n">
        <v>115</v>
      </c>
      <c r="C1028" t="inlineStr">
        <is>
          <t>普通怪</t>
        </is>
      </c>
      <c r="D1028" t="n">
        <v>49222</v>
      </c>
      <c r="E1028" t="n">
        <v>8077</v>
      </c>
      <c r="F1028" t="n">
        <v>9993</v>
      </c>
    </row>
    <row r="1029">
      <c r="A1029" t="inlineStr">
        <is>
          <t>115|盾怪</t>
        </is>
      </c>
      <c r="B1029" t="n">
        <v>115</v>
      </c>
      <c r="C1029" t="inlineStr">
        <is>
          <t>盾怪</t>
        </is>
      </c>
      <c r="D1029" t="n">
        <v>147666</v>
      </c>
      <c r="E1029" t="n">
        <v>8077</v>
      </c>
      <c r="F1029" t="n">
        <v>9993</v>
      </c>
    </row>
    <row r="1030">
      <c r="A1030" t="inlineStr">
        <is>
          <t>115|二级普通怪</t>
        </is>
      </c>
      <c r="B1030" t="n">
        <v>115</v>
      </c>
      <c r="C1030" t="inlineStr">
        <is>
          <t>二级普通怪</t>
        </is>
      </c>
      <c r="D1030" t="n">
        <v>88600</v>
      </c>
      <c r="E1030" t="n">
        <v>8077</v>
      </c>
      <c r="F1030" t="n">
        <v>9993</v>
      </c>
    </row>
    <row r="1031">
      <c r="A1031" t="inlineStr">
        <is>
          <t>115|站桩怪</t>
        </is>
      </c>
      <c r="B1031" t="n">
        <v>115</v>
      </c>
      <c r="C1031" t="inlineStr">
        <is>
          <t>站桩怪</t>
        </is>
      </c>
      <c r="D1031" t="n">
        <v>24611</v>
      </c>
      <c r="E1031" t="n">
        <v>8077</v>
      </c>
      <c r="F1031" t="n">
        <v>9993</v>
      </c>
    </row>
    <row r="1032">
      <c r="A1032" t="inlineStr">
        <is>
          <t>115|炮灰怪</t>
        </is>
      </c>
      <c r="B1032" t="n">
        <v>115</v>
      </c>
      <c r="C1032" t="inlineStr">
        <is>
          <t>炮灰怪</t>
        </is>
      </c>
      <c r="D1032" t="n">
        <v>7384</v>
      </c>
      <c r="E1032" t="n">
        <v>8077</v>
      </c>
      <c r="F1032" t="n">
        <v>9993</v>
      </c>
    </row>
    <row r="1033">
      <c r="A1033" t="inlineStr">
        <is>
          <t>115|精英怪</t>
        </is>
      </c>
      <c r="B1033" t="n">
        <v>115</v>
      </c>
      <c r="C1033" t="inlineStr">
        <is>
          <t>精英怪</t>
        </is>
      </c>
      <c r="D1033" t="n">
        <v>196888</v>
      </c>
      <c r="E1033" t="n">
        <v>8077</v>
      </c>
      <c r="F1033" t="n">
        <v>9993</v>
      </c>
    </row>
    <row r="1034">
      <c r="A1034" t="inlineStr">
        <is>
          <t>115|精英盾怪</t>
        </is>
      </c>
      <c r="B1034" t="n">
        <v>115</v>
      </c>
      <c r="C1034" t="inlineStr">
        <is>
          <t>精英盾怪</t>
        </is>
      </c>
      <c r="D1034" t="n">
        <v>442998</v>
      </c>
      <c r="E1034" t="n">
        <v>8077</v>
      </c>
      <c r="F1034" t="n">
        <v>9993</v>
      </c>
    </row>
    <row r="1035">
      <c r="A1035" t="inlineStr">
        <is>
          <t>115|Boss</t>
        </is>
      </c>
      <c r="B1035" t="n">
        <v>115</v>
      </c>
      <c r="C1035" t="inlineStr">
        <is>
          <t>Boss</t>
        </is>
      </c>
      <c r="D1035" t="n">
        <v>3927847</v>
      </c>
      <c r="E1035" t="n">
        <v>9436</v>
      </c>
      <c r="F1035" t="n">
        <v>9993</v>
      </c>
    </row>
    <row r="1036">
      <c r="A1036" t="inlineStr">
        <is>
          <t>115|装备副本Boss</t>
        </is>
      </c>
      <c r="B1036" t="n">
        <v>115</v>
      </c>
      <c r="C1036" t="inlineStr">
        <is>
          <t>装备副本Boss</t>
        </is>
      </c>
      <c r="D1036" t="n">
        <v>1963923</v>
      </c>
      <c r="E1036" t="n">
        <v>9436</v>
      </c>
      <c r="F1036" t="n">
        <v>9993</v>
      </c>
    </row>
    <row r="1037">
      <c r="A1037" t="inlineStr">
        <is>
          <t>116|普通怪</t>
        </is>
      </c>
      <c r="B1037" t="n">
        <v>116</v>
      </c>
      <c r="C1037" t="inlineStr">
        <is>
          <t>普通怪</t>
        </is>
      </c>
      <c r="D1037" t="n">
        <v>50080</v>
      </c>
      <c r="E1037" t="n">
        <v>8180</v>
      </c>
      <c r="F1037" t="n">
        <v>10093</v>
      </c>
    </row>
    <row r="1038">
      <c r="A1038" t="inlineStr">
        <is>
          <t>116|盾怪</t>
        </is>
      </c>
      <c r="B1038" t="n">
        <v>116</v>
      </c>
      <c r="C1038" t="inlineStr">
        <is>
          <t>盾怪</t>
        </is>
      </c>
      <c r="D1038" t="n">
        <v>150240</v>
      </c>
      <c r="E1038" t="n">
        <v>8180</v>
      </c>
      <c r="F1038" t="n">
        <v>10093</v>
      </c>
    </row>
    <row r="1039">
      <c r="A1039" t="inlineStr">
        <is>
          <t>116|二级普通怪</t>
        </is>
      </c>
      <c r="B1039" t="n">
        <v>116</v>
      </c>
      <c r="C1039" t="inlineStr">
        <is>
          <t>二级普通怪</t>
        </is>
      </c>
      <c r="D1039" t="n">
        <v>90144</v>
      </c>
      <c r="E1039" t="n">
        <v>8180</v>
      </c>
      <c r="F1039" t="n">
        <v>10093</v>
      </c>
    </row>
    <row r="1040">
      <c r="A1040" t="inlineStr">
        <is>
          <t>116|站桩怪</t>
        </is>
      </c>
      <c r="B1040" t="n">
        <v>116</v>
      </c>
      <c r="C1040" t="inlineStr">
        <is>
          <t>站桩怪</t>
        </is>
      </c>
      <c r="D1040" t="n">
        <v>25040</v>
      </c>
      <c r="E1040" t="n">
        <v>8180</v>
      </c>
      <c r="F1040" t="n">
        <v>10093</v>
      </c>
    </row>
    <row r="1041">
      <c r="A1041" t="inlineStr">
        <is>
          <t>116|炮灰怪</t>
        </is>
      </c>
      <c r="B1041" t="n">
        <v>116</v>
      </c>
      <c r="C1041" t="inlineStr">
        <is>
          <t>炮灰怪</t>
        </is>
      </c>
      <c r="D1041" t="n">
        <v>7512</v>
      </c>
      <c r="E1041" t="n">
        <v>8180</v>
      </c>
      <c r="F1041" t="n">
        <v>10093</v>
      </c>
    </row>
    <row r="1042">
      <c r="A1042" t="inlineStr">
        <is>
          <t>116|精英怪</t>
        </is>
      </c>
      <c r="B1042" t="n">
        <v>116</v>
      </c>
      <c r="C1042" t="inlineStr">
        <is>
          <t>精英怪</t>
        </is>
      </c>
      <c r="D1042" t="n">
        <v>200320</v>
      </c>
      <c r="E1042" t="n">
        <v>8180</v>
      </c>
      <c r="F1042" t="n">
        <v>10093</v>
      </c>
    </row>
    <row r="1043">
      <c r="A1043" t="inlineStr">
        <is>
          <t>116|精英盾怪</t>
        </is>
      </c>
      <c r="B1043" t="n">
        <v>116</v>
      </c>
      <c r="C1043" t="inlineStr">
        <is>
          <t>精英盾怪</t>
        </is>
      </c>
      <c r="D1043" t="n">
        <v>450720</v>
      </c>
      <c r="E1043" t="n">
        <v>8180</v>
      </c>
      <c r="F1043" t="n">
        <v>10093</v>
      </c>
    </row>
    <row r="1044">
      <c r="A1044" t="inlineStr">
        <is>
          <t>116|Boss</t>
        </is>
      </c>
      <c r="B1044" t="n">
        <v>116</v>
      </c>
      <c r="C1044" t="inlineStr">
        <is>
          <t>Boss</t>
        </is>
      </c>
      <c r="D1044" t="n">
        <v>4004214</v>
      </c>
      <c r="E1044" t="n">
        <v>9551</v>
      </c>
      <c r="F1044" t="n">
        <v>10093</v>
      </c>
    </row>
    <row r="1045">
      <c r="A1045" t="inlineStr">
        <is>
          <t>116|装备副本Boss</t>
        </is>
      </c>
      <c r="B1045" t="n">
        <v>116</v>
      </c>
      <c r="C1045" t="inlineStr">
        <is>
          <t>装备副本Boss</t>
        </is>
      </c>
      <c r="D1045" t="n">
        <v>2002107</v>
      </c>
      <c r="E1045" t="n">
        <v>9551</v>
      </c>
      <c r="F1045" t="n">
        <v>10093</v>
      </c>
    </row>
    <row r="1046">
      <c r="A1046" t="inlineStr">
        <is>
          <t>117|普通怪</t>
        </is>
      </c>
      <c r="B1046" t="n">
        <v>117</v>
      </c>
      <c r="C1046" t="inlineStr">
        <is>
          <t>普通怪</t>
        </is>
      </c>
      <c r="D1046" t="n">
        <v>50948</v>
      </c>
      <c r="E1046" t="n">
        <v>8282</v>
      </c>
      <c r="F1046" t="n">
        <v>10194</v>
      </c>
    </row>
    <row r="1047">
      <c r="A1047" t="inlineStr">
        <is>
          <t>117|盾怪</t>
        </is>
      </c>
      <c r="B1047" t="n">
        <v>117</v>
      </c>
      <c r="C1047" t="inlineStr">
        <is>
          <t>盾怪</t>
        </is>
      </c>
      <c r="D1047" t="n">
        <v>152844</v>
      </c>
      <c r="E1047" t="n">
        <v>8282</v>
      </c>
      <c r="F1047" t="n">
        <v>10194</v>
      </c>
    </row>
    <row r="1048">
      <c r="A1048" t="inlineStr">
        <is>
          <t>117|二级普通怪</t>
        </is>
      </c>
      <c r="B1048" t="n">
        <v>117</v>
      </c>
      <c r="C1048" t="inlineStr">
        <is>
          <t>二级普通怪</t>
        </is>
      </c>
      <c r="D1048" t="n">
        <v>91707</v>
      </c>
      <c r="E1048" t="n">
        <v>8282</v>
      </c>
      <c r="F1048" t="n">
        <v>10194</v>
      </c>
    </row>
    <row r="1049">
      <c r="A1049" t="inlineStr">
        <is>
          <t>117|站桩怪</t>
        </is>
      </c>
      <c r="B1049" t="n">
        <v>117</v>
      </c>
      <c r="C1049" t="inlineStr">
        <is>
          <t>站桩怪</t>
        </is>
      </c>
      <c r="D1049" t="n">
        <v>25474</v>
      </c>
      <c r="E1049" t="n">
        <v>8282</v>
      </c>
      <c r="F1049" t="n">
        <v>10194</v>
      </c>
    </row>
    <row r="1050">
      <c r="A1050" t="inlineStr">
        <is>
          <t>117|炮灰怪</t>
        </is>
      </c>
      <c r="B1050" t="n">
        <v>117</v>
      </c>
      <c r="C1050" t="inlineStr">
        <is>
          <t>炮灰怪</t>
        </is>
      </c>
      <c r="D1050" t="n">
        <v>7643</v>
      </c>
      <c r="E1050" t="n">
        <v>8282</v>
      </c>
      <c r="F1050" t="n">
        <v>10194</v>
      </c>
    </row>
    <row r="1051">
      <c r="A1051" t="inlineStr">
        <is>
          <t>117|精英怪</t>
        </is>
      </c>
      <c r="B1051" t="n">
        <v>117</v>
      </c>
      <c r="C1051" t="inlineStr">
        <is>
          <t>精英怪</t>
        </is>
      </c>
      <c r="D1051" t="n">
        <v>203792</v>
      </c>
      <c r="E1051" t="n">
        <v>8282</v>
      </c>
      <c r="F1051" t="n">
        <v>10194</v>
      </c>
    </row>
    <row r="1052">
      <c r="A1052" t="inlineStr">
        <is>
          <t>117|精英盾怪</t>
        </is>
      </c>
      <c r="B1052" t="n">
        <v>117</v>
      </c>
      <c r="C1052" t="inlineStr">
        <is>
          <t>精英盾怪</t>
        </is>
      </c>
      <c r="D1052" t="n">
        <v>458532</v>
      </c>
      <c r="E1052" t="n">
        <v>8282</v>
      </c>
      <c r="F1052" t="n">
        <v>10194</v>
      </c>
    </row>
    <row r="1053">
      <c r="A1053" t="inlineStr">
        <is>
          <t>117|Boss</t>
        </is>
      </c>
      <c r="B1053" t="n">
        <v>117</v>
      </c>
      <c r="C1053" t="inlineStr">
        <is>
          <t>Boss</t>
        </is>
      </c>
      <c r="D1053" t="n">
        <v>4081616</v>
      </c>
      <c r="E1053" t="n">
        <v>9666</v>
      </c>
      <c r="F1053" t="n">
        <v>10194</v>
      </c>
    </row>
    <row r="1054">
      <c r="A1054" t="inlineStr">
        <is>
          <t>117|装备副本Boss</t>
        </is>
      </c>
      <c r="B1054" t="n">
        <v>117</v>
      </c>
      <c r="C1054" t="inlineStr">
        <is>
          <t>装备副本Boss</t>
        </is>
      </c>
      <c r="D1054" t="n">
        <v>2040808</v>
      </c>
      <c r="E1054" t="n">
        <v>9666</v>
      </c>
      <c r="F1054" t="n">
        <v>10194</v>
      </c>
    </row>
    <row r="1055">
      <c r="A1055" t="inlineStr">
        <is>
          <t>118|普通怪</t>
        </is>
      </c>
      <c r="B1055" t="n">
        <v>118</v>
      </c>
      <c r="C1055" t="inlineStr">
        <is>
          <t>普通怪</t>
        </is>
      </c>
      <c r="D1055" t="n">
        <v>51827</v>
      </c>
      <c r="E1055" t="n">
        <v>8386</v>
      </c>
      <c r="F1055" t="n">
        <v>10294</v>
      </c>
    </row>
    <row r="1056">
      <c r="A1056" t="inlineStr">
        <is>
          <t>118|盾怪</t>
        </is>
      </c>
      <c r="B1056" t="n">
        <v>118</v>
      </c>
      <c r="C1056" t="inlineStr">
        <is>
          <t>盾怪</t>
        </is>
      </c>
      <c r="D1056" t="n">
        <v>155481</v>
      </c>
      <c r="E1056" t="n">
        <v>8386</v>
      </c>
      <c r="F1056" t="n">
        <v>10294</v>
      </c>
    </row>
    <row r="1057">
      <c r="A1057" t="inlineStr">
        <is>
          <t>118|二级普通怪</t>
        </is>
      </c>
      <c r="B1057" t="n">
        <v>118</v>
      </c>
      <c r="C1057" t="inlineStr">
        <is>
          <t>二级普通怪</t>
        </is>
      </c>
      <c r="D1057" t="n">
        <v>93289</v>
      </c>
      <c r="E1057" t="n">
        <v>8386</v>
      </c>
      <c r="F1057" t="n">
        <v>10294</v>
      </c>
    </row>
    <row r="1058">
      <c r="A1058" t="inlineStr">
        <is>
          <t>118|站桩怪</t>
        </is>
      </c>
      <c r="B1058" t="n">
        <v>118</v>
      </c>
      <c r="C1058" t="inlineStr">
        <is>
          <t>站桩怪</t>
        </is>
      </c>
      <c r="D1058" t="n">
        <v>25914</v>
      </c>
      <c r="E1058" t="n">
        <v>8386</v>
      </c>
      <c r="F1058" t="n">
        <v>10294</v>
      </c>
    </row>
    <row r="1059">
      <c r="A1059" t="inlineStr">
        <is>
          <t>118|炮灰怪</t>
        </is>
      </c>
      <c r="B1059" t="n">
        <v>118</v>
      </c>
      <c r="C1059" t="inlineStr">
        <is>
          <t>炮灰怪</t>
        </is>
      </c>
      <c r="D1059" t="n">
        <v>7775</v>
      </c>
      <c r="E1059" t="n">
        <v>8386</v>
      </c>
      <c r="F1059" t="n">
        <v>10294</v>
      </c>
    </row>
    <row r="1060">
      <c r="A1060" t="inlineStr">
        <is>
          <t>118|精英怪</t>
        </is>
      </c>
      <c r="B1060" t="n">
        <v>118</v>
      </c>
      <c r="C1060" t="inlineStr">
        <is>
          <t>精英怪</t>
        </is>
      </c>
      <c r="D1060" t="n">
        <v>207308</v>
      </c>
      <c r="E1060" t="n">
        <v>8386</v>
      </c>
      <c r="F1060" t="n">
        <v>10294</v>
      </c>
    </row>
    <row r="1061">
      <c r="A1061" t="inlineStr">
        <is>
          <t>118|精英盾怪</t>
        </is>
      </c>
      <c r="B1061" t="n">
        <v>118</v>
      </c>
      <c r="C1061" t="inlineStr">
        <is>
          <t>精英盾怪</t>
        </is>
      </c>
      <c r="D1061" t="n">
        <v>466443</v>
      </c>
      <c r="E1061" t="n">
        <v>8386</v>
      </c>
      <c r="F1061" t="n">
        <v>10294</v>
      </c>
    </row>
    <row r="1062">
      <c r="A1062" t="inlineStr">
        <is>
          <t>118|Boss</t>
        </is>
      </c>
      <c r="B1062" t="n">
        <v>118</v>
      </c>
      <c r="C1062" t="inlineStr">
        <is>
          <t>Boss</t>
        </is>
      </c>
      <c r="D1062" t="n">
        <v>4160053</v>
      </c>
      <c r="E1062" t="n">
        <v>9782</v>
      </c>
      <c r="F1062" t="n">
        <v>10294</v>
      </c>
    </row>
    <row r="1063">
      <c r="A1063" t="inlineStr">
        <is>
          <t>118|装备副本Boss</t>
        </is>
      </c>
      <c r="B1063" t="n">
        <v>118</v>
      </c>
      <c r="C1063" t="inlineStr">
        <is>
          <t>装备副本Boss</t>
        </is>
      </c>
      <c r="D1063" t="n">
        <v>2080026</v>
      </c>
      <c r="E1063" t="n">
        <v>9782</v>
      </c>
      <c r="F1063" t="n">
        <v>10294</v>
      </c>
    </row>
    <row r="1064">
      <c r="A1064" t="inlineStr">
        <is>
          <t>119|普通怪</t>
        </is>
      </c>
      <c r="B1064" t="n">
        <v>119</v>
      </c>
      <c r="C1064" t="inlineStr">
        <is>
          <t>普通怪</t>
        </is>
      </c>
      <c r="D1064" t="n">
        <v>52715</v>
      </c>
      <c r="E1064" t="n">
        <v>8490</v>
      </c>
      <c r="F1064" t="n">
        <v>10395</v>
      </c>
    </row>
    <row r="1065">
      <c r="A1065" t="inlineStr">
        <is>
          <t>119|盾怪</t>
        </is>
      </c>
      <c r="B1065" t="n">
        <v>119</v>
      </c>
      <c r="C1065" t="inlineStr">
        <is>
          <t>盾怪</t>
        </is>
      </c>
      <c r="D1065" t="n">
        <v>158145</v>
      </c>
      <c r="E1065" t="n">
        <v>8490</v>
      </c>
      <c r="F1065" t="n">
        <v>10395</v>
      </c>
    </row>
    <row r="1066">
      <c r="A1066" t="inlineStr">
        <is>
          <t>119|二级普通怪</t>
        </is>
      </c>
      <c r="B1066" t="n">
        <v>119</v>
      </c>
      <c r="C1066" t="inlineStr">
        <is>
          <t>二级普通怪</t>
        </is>
      </c>
      <c r="D1066" t="n">
        <v>94887</v>
      </c>
      <c r="E1066" t="n">
        <v>8490</v>
      </c>
      <c r="F1066" t="n">
        <v>10395</v>
      </c>
    </row>
    <row r="1067">
      <c r="A1067" t="inlineStr">
        <is>
          <t>119|站桩怪</t>
        </is>
      </c>
      <c r="B1067" t="n">
        <v>119</v>
      </c>
      <c r="C1067" t="inlineStr">
        <is>
          <t>站桩怪</t>
        </is>
      </c>
      <c r="D1067" t="n">
        <v>26358</v>
      </c>
      <c r="E1067" t="n">
        <v>8490</v>
      </c>
      <c r="F1067" t="n">
        <v>10395</v>
      </c>
    </row>
    <row r="1068">
      <c r="A1068" t="inlineStr">
        <is>
          <t>119|炮灰怪</t>
        </is>
      </c>
      <c r="B1068" t="n">
        <v>119</v>
      </c>
      <c r="C1068" t="inlineStr">
        <is>
          <t>炮灰怪</t>
        </is>
      </c>
      <c r="D1068" t="n">
        <v>7908</v>
      </c>
      <c r="E1068" t="n">
        <v>8490</v>
      </c>
      <c r="F1068" t="n">
        <v>10395</v>
      </c>
    </row>
    <row r="1069">
      <c r="A1069" t="inlineStr">
        <is>
          <t>119|精英怪</t>
        </is>
      </c>
      <c r="B1069" t="n">
        <v>119</v>
      </c>
      <c r="C1069" t="inlineStr">
        <is>
          <t>精英怪</t>
        </is>
      </c>
      <c r="D1069" t="n">
        <v>210860</v>
      </c>
      <c r="E1069" t="n">
        <v>8490</v>
      </c>
      <c r="F1069" t="n">
        <v>10395</v>
      </c>
    </row>
    <row r="1070">
      <c r="A1070" t="inlineStr">
        <is>
          <t>119|精英盾怪</t>
        </is>
      </c>
      <c r="B1070" t="n">
        <v>119</v>
      </c>
      <c r="C1070" t="inlineStr">
        <is>
          <t>精英盾怪</t>
        </is>
      </c>
      <c r="D1070" t="n">
        <v>474435</v>
      </c>
      <c r="E1070" t="n">
        <v>8490</v>
      </c>
      <c r="F1070" t="n">
        <v>10395</v>
      </c>
    </row>
    <row r="1071">
      <c r="A1071" t="inlineStr">
        <is>
          <t>119|Boss</t>
        </is>
      </c>
      <c r="B1071" t="n">
        <v>119</v>
      </c>
      <c r="C1071" t="inlineStr">
        <is>
          <t>Boss</t>
        </is>
      </c>
      <c r="D1071" t="n">
        <v>4239524</v>
      </c>
      <c r="E1071" t="n">
        <v>9899</v>
      </c>
      <c r="F1071" t="n">
        <v>10395</v>
      </c>
    </row>
    <row r="1072">
      <c r="A1072" t="inlineStr">
        <is>
          <t>119|装备副本Boss</t>
        </is>
      </c>
      <c r="B1072" t="n">
        <v>119</v>
      </c>
      <c r="C1072" t="inlineStr">
        <is>
          <t>装备副本Boss</t>
        </is>
      </c>
      <c r="D1072" t="n">
        <v>2119762</v>
      </c>
      <c r="E1072" t="n">
        <v>9899</v>
      </c>
      <c r="F1072" t="n">
        <v>10395</v>
      </c>
    </row>
    <row r="1073">
      <c r="A1073" t="inlineStr">
        <is>
          <t>120|普通怪</t>
        </is>
      </c>
      <c r="B1073" t="n">
        <v>120</v>
      </c>
      <c r="C1073" t="inlineStr">
        <is>
          <t>普通怪</t>
        </is>
      </c>
      <c r="D1073" t="n">
        <v>53614</v>
      </c>
      <c r="E1073" t="n">
        <v>8595</v>
      </c>
      <c r="F1073" t="n">
        <v>10496</v>
      </c>
    </row>
    <row r="1074">
      <c r="A1074" t="inlineStr">
        <is>
          <t>120|盾怪</t>
        </is>
      </c>
      <c r="B1074" t="n">
        <v>120</v>
      </c>
      <c r="C1074" t="inlineStr">
        <is>
          <t>盾怪</t>
        </is>
      </c>
      <c r="D1074" t="n">
        <v>160842</v>
      </c>
      <c r="E1074" t="n">
        <v>8595</v>
      </c>
      <c r="F1074" t="n">
        <v>10496</v>
      </c>
    </row>
    <row r="1075">
      <c r="A1075" t="inlineStr">
        <is>
          <t>120|二级普通怪</t>
        </is>
      </c>
      <c r="B1075" t="n">
        <v>120</v>
      </c>
      <c r="C1075" t="inlineStr">
        <is>
          <t>二级普通怪</t>
        </is>
      </c>
      <c r="D1075" t="n">
        <v>96506</v>
      </c>
      <c r="E1075" t="n">
        <v>8595</v>
      </c>
      <c r="F1075" t="n">
        <v>10496</v>
      </c>
    </row>
    <row r="1076">
      <c r="A1076" t="inlineStr">
        <is>
          <t>120|站桩怪</t>
        </is>
      </c>
      <c r="B1076" t="n">
        <v>120</v>
      </c>
      <c r="C1076" t="inlineStr">
        <is>
          <t>站桩怪</t>
        </is>
      </c>
      <c r="D1076" t="n">
        <v>26807</v>
      </c>
      <c r="E1076" t="n">
        <v>8595</v>
      </c>
      <c r="F1076" t="n">
        <v>10496</v>
      </c>
    </row>
    <row r="1077">
      <c r="A1077" t="inlineStr">
        <is>
          <t>120|炮灰怪</t>
        </is>
      </c>
      <c r="B1077" t="n">
        <v>120</v>
      </c>
      <c r="C1077" t="inlineStr">
        <is>
          <t>炮灰怪</t>
        </is>
      </c>
      <c r="D1077" t="n">
        <v>8043</v>
      </c>
      <c r="E1077" t="n">
        <v>8595</v>
      </c>
      <c r="F1077" t="n">
        <v>10496</v>
      </c>
    </row>
    <row r="1078">
      <c r="A1078" t="inlineStr">
        <is>
          <t>120|精英怪</t>
        </is>
      </c>
      <c r="B1078" t="n">
        <v>120</v>
      </c>
      <c r="C1078" t="inlineStr">
        <is>
          <t>精英怪</t>
        </is>
      </c>
      <c r="D1078" t="n">
        <v>214456</v>
      </c>
      <c r="E1078" t="n">
        <v>8595</v>
      </c>
      <c r="F1078" t="n">
        <v>10496</v>
      </c>
    </row>
    <row r="1079">
      <c r="A1079" t="inlineStr">
        <is>
          <t>120|精英盾怪</t>
        </is>
      </c>
      <c r="B1079" t="n">
        <v>120</v>
      </c>
      <c r="C1079" t="inlineStr">
        <is>
          <t>精英盾怪</t>
        </is>
      </c>
      <c r="D1079" t="n">
        <v>482526</v>
      </c>
      <c r="E1079" t="n">
        <v>8595</v>
      </c>
      <c r="F1079" t="n">
        <v>10496</v>
      </c>
    </row>
    <row r="1080">
      <c r="A1080" t="inlineStr">
        <is>
          <t>120|Boss</t>
        </is>
      </c>
      <c r="B1080" t="n">
        <v>120</v>
      </c>
      <c r="C1080" t="inlineStr">
        <is>
          <t>Boss</t>
        </is>
      </c>
      <c r="D1080" t="n">
        <v>4320029</v>
      </c>
      <c r="E1080" t="n">
        <v>10017</v>
      </c>
      <c r="F1080" t="n">
        <v>10496</v>
      </c>
    </row>
    <row r="1081">
      <c r="A1081" t="inlineStr">
        <is>
          <t>120|装备副本Boss</t>
        </is>
      </c>
      <c r="B1081" t="n">
        <v>120</v>
      </c>
      <c r="C1081" t="inlineStr">
        <is>
          <t>装备副本Boss</t>
        </is>
      </c>
      <c r="D1081" t="n">
        <v>2160014</v>
      </c>
      <c r="E1081" t="n">
        <v>10017</v>
      </c>
      <c r="F1081" t="n">
        <v>10496</v>
      </c>
    </row>
    <row r="1082">
      <c r="A1082" t="inlineStr">
        <is>
          <t>121|普通怪</t>
        </is>
      </c>
      <c r="B1082" t="n">
        <v>121</v>
      </c>
      <c r="C1082" t="inlineStr">
        <is>
          <t>普通怪</t>
        </is>
      </c>
      <c r="D1082" t="n">
        <v>54523</v>
      </c>
      <c r="E1082" t="n">
        <v>8700</v>
      </c>
      <c r="F1082" t="n">
        <v>10597</v>
      </c>
    </row>
    <row r="1083">
      <c r="A1083" t="inlineStr">
        <is>
          <t>121|盾怪</t>
        </is>
      </c>
      <c r="B1083" t="n">
        <v>121</v>
      </c>
      <c r="C1083" t="inlineStr">
        <is>
          <t>盾怪</t>
        </is>
      </c>
      <c r="D1083" t="n">
        <v>163569</v>
      </c>
      <c r="E1083" t="n">
        <v>8700</v>
      </c>
      <c r="F1083" t="n">
        <v>10597</v>
      </c>
    </row>
    <row r="1084">
      <c r="A1084" t="inlineStr">
        <is>
          <t>121|二级普通怪</t>
        </is>
      </c>
      <c r="B1084" t="n">
        <v>121</v>
      </c>
      <c r="C1084" t="inlineStr">
        <is>
          <t>二级普通怪</t>
        </is>
      </c>
      <c r="D1084" t="n">
        <v>98142</v>
      </c>
      <c r="E1084" t="n">
        <v>8700</v>
      </c>
      <c r="F1084" t="n">
        <v>10597</v>
      </c>
    </row>
    <row r="1085">
      <c r="A1085" t="inlineStr">
        <is>
          <t>121|站桩怪</t>
        </is>
      </c>
      <c r="B1085" t="n">
        <v>121</v>
      </c>
      <c r="C1085" t="inlineStr">
        <is>
          <t>站桩怪</t>
        </is>
      </c>
      <c r="D1085" t="n">
        <v>27262</v>
      </c>
      <c r="E1085" t="n">
        <v>8700</v>
      </c>
      <c r="F1085" t="n">
        <v>10597</v>
      </c>
    </row>
    <row r="1086">
      <c r="A1086" t="inlineStr">
        <is>
          <t>121|炮灰怪</t>
        </is>
      </c>
      <c r="B1086" t="n">
        <v>121</v>
      </c>
      <c r="C1086" t="inlineStr">
        <is>
          <t>炮灰怪</t>
        </is>
      </c>
      <c r="D1086" t="n">
        <v>8179</v>
      </c>
      <c r="E1086" t="n">
        <v>8700</v>
      </c>
      <c r="F1086" t="n">
        <v>10597</v>
      </c>
    </row>
    <row r="1087">
      <c r="A1087" t="inlineStr">
        <is>
          <t>121|精英怪</t>
        </is>
      </c>
      <c r="B1087" t="n">
        <v>121</v>
      </c>
      <c r="C1087" t="inlineStr">
        <is>
          <t>精英怪</t>
        </is>
      </c>
      <c r="D1087" t="n">
        <v>218092</v>
      </c>
      <c r="E1087" t="n">
        <v>8700</v>
      </c>
      <c r="F1087" t="n">
        <v>10597</v>
      </c>
    </row>
    <row r="1088">
      <c r="A1088" t="inlineStr">
        <is>
          <t>121|精英盾怪</t>
        </is>
      </c>
      <c r="B1088" t="n">
        <v>121</v>
      </c>
      <c r="C1088" t="inlineStr">
        <is>
          <t>精英盾怪</t>
        </is>
      </c>
      <c r="D1088" t="n">
        <v>490707</v>
      </c>
      <c r="E1088" t="n">
        <v>8700</v>
      </c>
      <c r="F1088" t="n">
        <v>10597</v>
      </c>
    </row>
    <row r="1089">
      <c r="A1089" t="inlineStr">
        <is>
          <t>121|Boss</t>
        </is>
      </c>
      <c r="B1089" t="n">
        <v>121</v>
      </c>
      <c r="C1089" t="inlineStr">
        <is>
          <t>Boss</t>
        </is>
      </c>
      <c r="D1089" t="n">
        <v>4401619</v>
      </c>
      <c r="E1089" t="n">
        <v>10135</v>
      </c>
      <c r="F1089" t="n">
        <v>10597</v>
      </c>
    </row>
    <row r="1090">
      <c r="A1090" t="inlineStr">
        <is>
          <t>121|装备副本Boss</t>
        </is>
      </c>
      <c r="B1090" t="n">
        <v>121</v>
      </c>
      <c r="C1090" t="inlineStr">
        <is>
          <t>装备副本Boss</t>
        </is>
      </c>
      <c r="D1090" t="n">
        <v>2200809</v>
      </c>
      <c r="E1090" t="n">
        <v>10135</v>
      </c>
      <c r="F1090" t="n">
        <v>10597</v>
      </c>
    </row>
    <row r="1091">
      <c r="A1091" t="inlineStr">
        <is>
          <t>122|普通怪</t>
        </is>
      </c>
      <c r="B1091" t="n">
        <v>122</v>
      </c>
      <c r="C1091" t="inlineStr">
        <is>
          <t>普通怪</t>
        </is>
      </c>
      <c r="D1091" t="n">
        <v>55442</v>
      </c>
      <c r="E1091" t="n">
        <v>8807</v>
      </c>
      <c r="F1091" t="n">
        <v>10699</v>
      </c>
    </row>
    <row r="1092">
      <c r="A1092" t="inlineStr">
        <is>
          <t>122|盾怪</t>
        </is>
      </c>
      <c r="B1092" t="n">
        <v>122</v>
      </c>
      <c r="C1092" t="inlineStr">
        <is>
          <t>盾怪</t>
        </is>
      </c>
      <c r="D1092" t="n">
        <v>166326</v>
      </c>
      <c r="E1092" t="n">
        <v>8807</v>
      </c>
      <c r="F1092" t="n">
        <v>10699</v>
      </c>
    </row>
    <row r="1093">
      <c r="A1093" t="inlineStr">
        <is>
          <t>122|二级普通怪</t>
        </is>
      </c>
      <c r="B1093" t="n">
        <v>122</v>
      </c>
      <c r="C1093" t="inlineStr">
        <is>
          <t>二级普通怪</t>
        </is>
      </c>
      <c r="D1093" t="n">
        <v>99796</v>
      </c>
      <c r="E1093" t="n">
        <v>8807</v>
      </c>
      <c r="F1093" t="n">
        <v>10699</v>
      </c>
    </row>
    <row r="1094">
      <c r="A1094" t="inlineStr">
        <is>
          <t>122|站桩怪</t>
        </is>
      </c>
      <c r="B1094" t="n">
        <v>122</v>
      </c>
      <c r="C1094" t="inlineStr">
        <is>
          <t>站桩怪</t>
        </is>
      </c>
      <c r="D1094" t="n">
        <v>27721</v>
      </c>
      <c r="E1094" t="n">
        <v>8807</v>
      </c>
      <c r="F1094" t="n">
        <v>10699</v>
      </c>
    </row>
    <row r="1095">
      <c r="A1095" t="inlineStr">
        <is>
          <t>122|炮灰怪</t>
        </is>
      </c>
      <c r="B1095" t="n">
        <v>122</v>
      </c>
      <c r="C1095" t="inlineStr">
        <is>
          <t>炮灰怪</t>
        </is>
      </c>
      <c r="D1095" t="n">
        <v>8317</v>
      </c>
      <c r="E1095" t="n">
        <v>8807</v>
      </c>
      <c r="F1095" t="n">
        <v>10699</v>
      </c>
    </row>
    <row r="1096">
      <c r="A1096" t="inlineStr">
        <is>
          <t>122|精英怪</t>
        </is>
      </c>
      <c r="B1096" t="n">
        <v>122</v>
      </c>
      <c r="C1096" t="inlineStr">
        <is>
          <t>精英怪</t>
        </is>
      </c>
      <c r="D1096" t="n">
        <v>221768</v>
      </c>
      <c r="E1096" t="n">
        <v>8807</v>
      </c>
      <c r="F1096" t="n">
        <v>10699</v>
      </c>
    </row>
    <row r="1097">
      <c r="A1097" t="inlineStr">
        <is>
          <t>122|精英盾怪</t>
        </is>
      </c>
      <c r="B1097" t="n">
        <v>122</v>
      </c>
      <c r="C1097" t="inlineStr">
        <is>
          <t>精英盾怪</t>
        </is>
      </c>
      <c r="D1097" t="n">
        <v>498978</v>
      </c>
      <c r="E1097" t="n">
        <v>8807</v>
      </c>
      <c r="F1097" t="n">
        <v>10699</v>
      </c>
    </row>
    <row r="1098">
      <c r="A1098" t="inlineStr">
        <is>
          <t>122|Boss</t>
        </is>
      </c>
      <c r="B1098" t="n">
        <v>122</v>
      </c>
      <c r="C1098" t="inlineStr">
        <is>
          <t>Boss</t>
        </is>
      </c>
      <c r="D1098" t="n">
        <v>4484242</v>
      </c>
      <c r="E1098" t="n">
        <v>10254</v>
      </c>
      <c r="F1098" t="n">
        <v>10699</v>
      </c>
    </row>
    <row r="1099">
      <c r="A1099" t="inlineStr">
        <is>
          <t>122|装备副本Boss</t>
        </is>
      </c>
      <c r="B1099" t="n">
        <v>122</v>
      </c>
      <c r="C1099" t="inlineStr">
        <is>
          <t>装备副本Boss</t>
        </is>
      </c>
      <c r="D1099" t="n">
        <v>2242121</v>
      </c>
      <c r="E1099" t="n">
        <v>10254</v>
      </c>
      <c r="F1099" t="n">
        <v>10699</v>
      </c>
    </row>
    <row r="1100">
      <c r="A1100" t="inlineStr">
        <is>
          <t>123|普通怪</t>
        </is>
      </c>
      <c r="B1100" t="n">
        <v>123</v>
      </c>
      <c r="C1100" t="inlineStr">
        <is>
          <t>普通怪</t>
        </is>
      </c>
      <c r="D1100" t="n">
        <v>56372</v>
      </c>
      <c r="E1100" t="n">
        <v>8914</v>
      </c>
      <c r="F1100" t="n">
        <v>10800</v>
      </c>
    </row>
    <row r="1101">
      <c r="A1101" t="inlineStr">
        <is>
          <t>123|盾怪</t>
        </is>
      </c>
      <c r="B1101" t="n">
        <v>123</v>
      </c>
      <c r="C1101" t="inlineStr">
        <is>
          <t>盾怪</t>
        </is>
      </c>
      <c r="D1101" t="n">
        <v>169116</v>
      </c>
      <c r="E1101" t="n">
        <v>8914</v>
      </c>
      <c r="F1101" t="n">
        <v>10800</v>
      </c>
    </row>
    <row r="1102">
      <c r="A1102" t="inlineStr">
        <is>
          <t>123|二级普通怪</t>
        </is>
      </c>
      <c r="B1102" t="n">
        <v>123</v>
      </c>
      <c r="C1102" t="inlineStr">
        <is>
          <t>二级普通怪</t>
        </is>
      </c>
      <c r="D1102" t="n">
        <v>101470</v>
      </c>
      <c r="E1102" t="n">
        <v>8914</v>
      </c>
      <c r="F1102" t="n">
        <v>10800</v>
      </c>
    </row>
    <row r="1103">
      <c r="A1103" t="inlineStr">
        <is>
          <t>123|站桩怪</t>
        </is>
      </c>
      <c r="B1103" t="n">
        <v>123</v>
      </c>
      <c r="C1103" t="inlineStr">
        <is>
          <t>站桩怪</t>
        </is>
      </c>
      <c r="D1103" t="n">
        <v>28186</v>
      </c>
      <c r="E1103" t="n">
        <v>8914</v>
      </c>
      <c r="F1103" t="n">
        <v>10800</v>
      </c>
    </row>
    <row r="1104">
      <c r="A1104" t="inlineStr">
        <is>
          <t>123|炮灰怪</t>
        </is>
      </c>
      <c r="B1104" t="n">
        <v>123</v>
      </c>
      <c r="C1104" t="inlineStr">
        <is>
          <t>炮灰怪</t>
        </is>
      </c>
      <c r="D1104" t="n">
        <v>8456</v>
      </c>
      <c r="E1104" t="n">
        <v>8914</v>
      </c>
      <c r="F1104" t="n">
        <v>10800</v>
      </c>
    </row>
    <row r="1105">
      <c r="A1105" t="inlineStr">
        <is>
          <t>123|精英怪</t>
        </is>
      </c>
      <c r="B1105" t="n">
        <v>123</v>
      </c>
      <c r="C1105" t="inlineStr">
        <is>
          <t>精英怪</t>
        </is>
      </c>
      <c r="D1105" t="n">
        <v>225488</v>
      </c>
      <c r="E1105" t="n">
        <v>8914</v>
      </c>
      <c r="F1105" t="n">
        <v>10800</v>
      </c>
    </row>
    <row r="1106">
      <c r="A1106" t="inlineStr">
        <is>
          <t>123|精英盾怪</t>
        </is>
      </c>
      <c r="B1106" t="n">
        <v>123</v>
      </c>
      <c r="C1106" t="inlineStr">
        <is>
          <t>精英盾怪</t>
        </is>
      </c>
      <c r="D1106" t="n">
        <v>507348</v>
      </c>
      <c r="E1106" t="n">
        <v>8914</v>
      </c>
      <c r="F1106" t="n">
        <v>10800</v>
      </c>
    </row>
    <row r="1107">
      <c r="A1107" t="inlineStr">
        <is>
          <t>123|Boss</t>
        </is>
      </c>
      <c r="B1107" t="n">
        <v>123</v>
      </c>
      <c r="C1107" t="inlineStr">
        <is>
          <t>Boss</t>
        </is>
      </c>
      <c r="D1107" t="n">
        <v>4567949</v>
      </c>
      <c r="E1107" t="n">
        <v>10374</v>
      </c>
      <c r="F1107" t="n">
        <v>10800</v>
      </c>
    </row>
    <row r="1108">
      <c r="A1108" t="inlineStr">
        <is>
          <t>123|装备副本Boss</t>
        </is>
      </c>
      <c r="B1108" t="n">
        <v>123</v>
      </c>
      <c r="C1108" t="inlineStr">
        <is>
          <t>装备副本Boss</t>
        </is>
      </c>
      <c r="D1108" t="n">
        <v>2283975</v>
      </c>
      <c r="E1108" t="n">
        <v>10374</v>
      </c>
      <c r="F1108" t="n">
        <v>10800</v>
      </c>
    </row>
    <row r="1109">
      <c r="A1109" t="inlineStr">
        <is>
          <t>124|普通怪</t>
        </is>
      </c>
      <c r="B1109" t="n">
        <v>124</v>
      </c>
      <c r="C1109" t="inlineStr">
        <is>
          <t>普通怪</t>
        </is>
      </c>
      <c r="D1109" t="n">
        <v>57313</v>
      </c>
      <c r="E1109" t="n">
        <v>9021</v>
      </c>
      <c r="F1109" t="n">
        <v>10902</v>
      </c>
    </row>
    <row r="1110">
      <c r="A1110" t="inlineStr">
        <is>
          <t>124|盾怪</t>
        </is>
      </c>
      <c r="B1110" t="n">
        <v>124</v>
      </c>
      <c r="C1110" t="inlineStr">
        <is>
          <t>盾怪</t>
        </is>
      </c>
      <c r="D1110" t="n">
        <v>171939</v>
      </c>
      <c r="E1110" t="n">
        <v>9021</v>
      </c>
      <c r="F1110" t="n">
        <v>10902</v>
      </c>
    </row>
    <row r="1111">
      <c r="A1111" t="inlineStr">
        <is>
          <t>124|二级普通怪</t>
        </is>
      </c>
      <c r="B1111" t="n">
        <v>124</v>
      </c>
      <c r="C1111" t="inlineStr">
        <is>
          <t>二级普通怪</t>
        </is>
      </c>
      <c r="D1111" t="n">
        <v>103164</v>
      </c>
      <c r="E1111" t="n">
        <v>9021</v>
      </c>
      <c r="F1111" t="n">
        <v>10902</v>
      </c>
    </row>
    <row r="1112">
      <c r="A1112" t="inlineStr">
        <is>
          <t>124|站桩怪</t>
        </is>
      </c>
      <c r="B1112" t="n">
        <v>124</v>
      </c>
      <c r="C1112" t="inlineStr">
        <is>
          <t>站桩怪</t>
        </is>
      </c>
      <c r="D1112" t="n">
        <v>28657</v>
      </c>
      <c r="E1112" t="n">
        <v>9021</v>
      </c>
      <c r="F1112" t="n">
        <v>10902</v>
      </c>
    </row>
    <row r="1113">
      <c r="A1113" t="inlineStr">
        <is>
          <t>124|炮灰怪</t>
        </is>
      </c>
      <c r="B1113" t="n">
        <v>124</v>
      </c>
      <c r="C1113" t="inlineStr">
        <is>
          <t>炮灰怪</t>
        </is>
      </c>
      <c r="D1113" t="n">
        <v>8597</v>
      </c>
      <c r="E1113" t="n">
        <v>9021</v>
      </c>
      <c r="F1113" t="n">
        <v>10902</v>
      </c>
    </row>
    <row r="1114">
      <c r="A1114" t="inlineStr">
        <is>
          <t>124|精英怪</t>
        </is>
      </c>
      <c r="B1114" t="n">
        <v>124</v>
      </c>
      <c r="C1114" t="inlineStr">
        <is>
          <t>精英怪</t>
        </is>
      </c>
      <c r="D1114" t="n">
        <v>229252</v>
      </c>
      <c r="E1114" t="n">
        <v>9021</v>
      </c>
      <c r="F1114" t="n">
        <v>10902</v>
      </c>
    </row>
    <row r="1115">
      <c r="A1115" t="inlineStr">
        <is>
          <t>124|精英盾怪</t>
        </is>
      </c>
      <c r="B1115" t="n">
        <v>124</v>
      </c>
      <c r="C1115" t="inlineStr">
        <is>
          <t>精英盾怪</t>
        </is>
      </c>
      <c r="D1115" t="n">
        <v>515817</v>
      </c>
      <c r="E1115" t="n">
        <v>9021</v>
      </c>
      <c r="F1115" t="n">
        <v>10902</v>
      </c>
    </row>
    <row r="1116">
      <c r="A1116" t="inlineStr">
        <is>
          <t>124|Boss</t>
        </is>
      </c>
      <c r="B1116" t="n">
        <v>124</v>
      </c>
      <c r="C1116" t="inlineStr">
        <is>
          <t>Boss</t>
        </is>
      </c>
      <c r="D1116" t="n">
        <v>4652740</v>
      </c>
      <c r="E1116" t="n">
        <v>10494</v>
      </c>
      <c r="F1116" t="n">
        <v>10902</v>
      </c>
    </row>
    <row r="1117">
      <c r="A1117" t="inlineStr">
        <is>
          <t>124|装备副本Boss</t>
        </is>
      </c>
      <c r="B1117" t="n">
        <v>124</v>
      </c>
      <c r="C1117" t="inlineStr">
        <is>
          <t>装备副本Boss</t>
        </is>
      </c>
      <c r="D1117" t="n">
        <v>2326370</v>
      </c>
      <c r="E1117" t="n">
        <v>10494</v>
      </c>
      <c r="F1117" t="n">
        <v>10902</v>
      </c>
    </row>
    <row r="1118">
      <c r="A1118" t="inlineStr">
        <is>
          <t>125|普通怪</t>
        </is>
      </c>
      <c r="B1118" t="n">
        <v>125</v>
      </c>
      <c r="C1118" t="inlineStr">
        <is>
          <t>普通怪</t>
        </is>
      </c>
      <c r="D1118" t="n">
        <v>58264</v>
      </c>
      <c r="E1118" t="n">
        <v>9130</v>
      </c>
      <c r="F1118" t="n">
        <v>11005</v>
      </c>
    </row>
    <row r="1119">
      <c r="A1119" t="inlineStr">
        <is>
          <t>125|盾怪</t>
        </is>
      </c>
      <c r="B1119" t="n">
        <v>125</v>
      </c>
      <c r="C1119" t="inlineStr">
        <is>
          <t>盾怪</t>
        </is>
      </c>
      <c r="D1119" t="n">
        <v>174792</v>
      </c>
      <c r="E1119" t="n">
        <v>9130</v>
      </c>
      <c r="F1119" t="n">
        <v>11005</v>
      </c>
    </row>
    <row r="1120">
      <c r="A1120" t="inlineStr">
        <is>
          <t>125|二级普通怪</t>
        </is>
      </c>
      <c r="B1120" t="n">
        <v>125</v>
      </c>
      <c r="C1120" t="inlineStr">
        <is>
          <t>二级普通怪</t>
        </is>
      </c>
      <c r="D1120" t="n">
        <v>104876</v>
      </c>
      <c r="E1120" t="n">
        <v>9130</v>
      </c>
      <c r="F1120" t="n">
        <v>11005</v>
      </c>
    </row>
    <row r="1121">
      <c r="A1121" t="inlineStr">
        <is>
          <t>125|站桩怪</t>
        </is>
      </c>
      <c r="B1121" t="n">
        <v>125</v>
      </c>
      <c r="C1121" t="inlineStr">
        <is>
          <t>站桩怪</t>
        </is>
      </c>
      <c r="D1121" t="n">
        <v>29132</v>
      </c>
      <c r="E1121" t="n">
        <v>9130</v>
      </c>
      <c r="F1121" t="n">
        <v>11005</v>
      </c>
    </row>
    <row r="1122">
      <c r="A1122" t="inlineStr">
        <is>
          <t>125|炮灰怪</t>
        </is>
      </c>
      <c r="B1122" t="n">
        <v>125</v>
      </c>
      <c r="C1122" t="inlineStr">
        <is>
          <t>炮灰怪</t>
        </is>
      </c>
      <c r="D1122" t="n">
        <v>8740</v>
      </c>
      <c r="E1122" t="n">
        <v>9130</v>
      </c>
      <c r="F1122" t="n">
        <v>11005</v>
      </c>
    </row>
    <row r="1123">
      <c r="A1123" t="inlineStr">
        <is>
          <t>125|精英怪</t>
        </is>
      </c>
      <c r="B1123" t="n">
        <v>125</v>
      </c>
      <c r="C1123" t="inlineStr">
        <is>
          <t>精英怪</t>
        </is>
      </c>
      <c r="D1123" t="n">
        <v>233056</v>
      </c>
      <c r="E1123" t="n">
        <v>9130</v>
      </c>
      <c r="F1123" t="n">
        <v>11005</v>
      </c>
    </row>
    <row r="1124">
      <c r="A1124" t="inlineStr">
        <is>
          <t>125|精英盾怪</t>
        </is>
      </c>
      <c r="B1124" t="n">
        <v>125</v>
      </c>
      <c r="C1124" t="inlineStr">
        <is>
          <t>精英盾怪</t>
        </is>
      </c>
      <c r="D1124" t="n">
        <v>524376</v>
      </c>
      <c r="E1124" t="n">
        <v>9130</v>
      </c>
      <c r="F1124" t="n">
        <v>11005</v>
      </c>
    </row>
    <row r="1125">
      <c r="A1125" t="inlineStr">
        <is>
          <t>125|Boss</t>
        </is>
      </c>
      <c r="B1125" t="n">
        <v>125</v>
      </c>
      <c r="C1125" t="inlineStr">
        <is>
          <t>Boss</t>
        </is>
      </c>
      <c r="D1125" t="n">
        <v>4738615</v>
      </c>
      <c r="E1125" t="n">
        <v>10615</v>
      </c>
      <c r="F1125" t="n">
        <v>11005</v>
      </c>
    </row>
    <row r="1126">
      <c r="A1126" t="inlineStr">
        <is>
          <t>125|装备副本Boss</t>
        </is>
      </c>
      <c r="B1126" t="n">
        <v>125</v>
      </c>
      <c r="C1126" t="inlineStr">
        <is>
          <t>装备副本Boss</t>
        </is>
      </c>
      <c r="D1126" t="n">
        <v>2369307</v>
      </c>
      <c r="E1126" t="n">
        <v>10615</v>
      </c>
      <c r="F1126" t="n">
        <v>11005</v>
      </c>
    </row>
    <row r="1127">
      <c r="A1127" t="inlineStr">
        <is>
          <t>126|普通怪</t>
        </is>
      </c>
      <c r="B1127" t="n">
        <v>126</v>
      </c>
      <c r="C1127" t="inlineStr">
        <is>
          <t>普通怪</t>
        </is>
      </c>
      <c r="D1127" t="n">
        <v>59227</v>
      </c>
      <c r="E1127" t="n">
        <v>9239</v>
      </c>
      <c r="F1127" t="n">
        <v>11107</v>
      </c>
    </row>
    <row r="1128">
      <c r="A1128" t="inlineStr">
        <is>
          <t>126|盾怪</t>
        </is>
      </c>
      <c r="B1128" t="n">
        <v>126</v>
      </c>
      <c r="C1128" t="inlineStr">
        <is>
          <t>盾怪</t>
        </is>
      </c>
      <c r="D1128" t="n">
        <v>177681</v>
      </c>
      <c r="E1128" t="n">
        <v>9239</v>
      </c>
      <c r="F1128" t="n">
        <v>11107</v>
      </c>
    </row>
    <row r="1129">
      <c r="A1129" t="inlineStr">
        <is>
          <t>126|二级普通怪</t>
        </is>
      </c>
      <c r="B1129" t="n">
        <v>126</v>
      </c>
      <c r="C1129" t="inlineStr">
        <is>
          <t>二级普通怪</t>
        </is>
      </c>
      <c r="D1129" t="n">
        <v>106609</v>
      </c>
      <c r="E1129" t="n">
        <v>9239</v>
      </c>
      <c r="F1129" t="n">
        <v>11107</v>
      </c>
    </row>
    <row r="1130">
      <c r="A1130" t="inlineStr">
        <is>
          <t>126|站桩怪</t>
        </is>
      </c>
      <c r="B1130" t="n">
        <v>126</v>
      </c>
      <c r="C1130" t="inlineStr">
        <is>
          <t>站桩怪</t>
        </is>
      </c>
      <c r="D1130" t="n">
        <v>29614</v>
      </c>
      <c r="E1130" t="n">
        <v>9239</v>
      </c>
      <c r="F1130" t="n">
        <v>11107</v>
      </c>
    </row>
    <row r="1131">
      <c r="A1131" t="inlineStr">
        <is>
          <t>126|炮灰怪</t>
        </is>
      </c>
      <c r="B1131" t="n">
        <v>126</v>
      </c>
      <c r="C1131" t="inlineStr">
        <is>
          <t>炮灰怪</t>
        </is>
      </c>
      <c r="D1131" t="n">
        <v>8885</v>
      </c>
      <c r="E1131" t="n">
        <v>9239</v>
      </c>
      <c r="F1131" t="n">
        <v>11107</v>
      </c>
    </row>
    <row r="1132">
      <c r="A1132" t="inlineStr">
        <is>
          <t>126|精英怪</t>
        </is>
      </c>
      <c r="B1132" t="n">
        <v>126</v>
      </c>
      <c r="C1132" t="inlineStr">
        <is>
          <t>精英怪</t>
        </is>
      </c>
      <c r="D1132" t="n">
        <v>236908</v>
      </c>
      <c r="E1132" t="n">
        <v>9239</v>
      </c>
      <c r="F1132" t="n">
        <v>11107</v>
      </c>
    </row>
    <row r="1133">
      <c r="A1133" t="inlineStr">
        <is>
          <t>126|精英盾怪</t>
        </is>
      </c>
      <c r="B1133" t="n">
        <v>126</v>
      </c>
      <c r="C1133" t="inlineStr">
        <is>
          <t>精英盾怪</t>
        </is>
      </c>
      <c r="D1133" t="n">
        <v>533043</v>
      </c>
      <c r="E1133" t="n">
        <v>9239</v>
      </c>
      <c r="F1133" t="n">
        <v>11107</v>
      </c>
    </row>
    <row r="1134">
      <c r="A1134" t="inlineStr">
        <is>
          <t>126|Boss</t>
        </is>
      </c>
      <c r="B1134" t="n">
        <v>126</v>
      </c>
      <c r="C1134" t="inlineStr">
        <is>
          <t>Boss</t>
        </is>
      </c>
      <c r="D1134" t="n">
        <v>4825572</v>
      </c>
      <c r="E1134" t="n">
        <v>10737</v>
      </c>
      <c r="F1134" t="n">
        <v>11107</v>
      </c>
    </row>
    <row r="1135">
      <c r="A1135" t="inlineStr">
        <is>
          <t>126|装备副本Boss</t>
        </is>
      </c>
      <c r="B1135" t="n">
        <v>126</v>
      </c>
      <c r="C1135" t="inlineStr">
        <is>
          <t>装备副本Boss</t>
        </is>
      </c>
      <c r="D1135" t="n">
        <v>2412786</v>
      </c>
      <c r="E1135" t="n">
        <v>10737</v>
      </c>
      <c r="F1135" t="n">
        <v>11107</v>
      </c>
    </row>
    <row r="1136">
      <c r="A1136" t="inlineStr">
        <is>
          <t>127|普通怪</t>
        </is>
      </c>
      <c r="B1136" t="n">
        <v>127</v>
      </c>
      <c r="C1136" t="inlineStr">
        <is>
          <t>普通怪</t>
        </is>
      </c>
      <c r="D1136" t="n">
        <v>60200</v>
      </c>
      <c r="E1136" t="n">
        <v>9349</v>
      </c>
      <c r="F1136" t="n">
        <v>11210</v>
      </c>
    </row>
    <row r="1137">
      <c r="A1137" t="inlineStr">
        <is>
          <t>127|盾怪</t>
        </is>
      </c>
      <c r="B1137" t="n">
        <v>127</v>
      </c>
      <c r="C1137" t="inlineStr">
        <is>
          <t>盾怪</t>
        </is>
      </c>
      <c r="D1137" t="n">
        <v>180600</v>
      </c>
      <c r="E1137" t="n">
        <v>9349</v>
      </c>
      <c r="F1137" t="n">
        <v>11210</v>
      </c>
    </row>
    <row r="1138">
      <c r="A1138" t="inlineStr">
        <is>
          <t>127|二级普通怪</t>
        </is>
      </c>
      <c r="B1138" t="n">
        <v>127</v>
      </c>
      <c r="C1138" t="inlineStr">
        <is>
          <t>二级普通怪</t>
        </is>
      </c>
      <c r="D1138" t="n">
        <v>108360</v>
      </c>
      <c r="E1138" t="n">
        <v>9349</v>
      </c>
      <c r="F1138" t="n">
        <v>11210</v>
      </c>
    </row>
    <row r="1139">
      <c r="A1139" t="inlineStr">
        <is>
          <t>127|站桩怪</t>
        </is>
      </c>
      <c r="B1139" t="n">
        <v>127</v>
      </c>
      <c r="C1139" t="inlineStr">
        <is>
          <t>站桩怪</t>
        </is>
      </c>
      <c r="D1139" t="n">
        <v>30100</v>
      </c>
      <c r="E1139" t="n">
        <v>9349</v>
      </c>
      <c r="F1139" t="n">
        <v>11210</v>
      </c>
    </row>
    <row r="1140">
      <c r="A1140" t="inlineStr">
        <is>
          <t>127|炮灰怪</t>
        </is>
      </c>
      <c r="B1140" t="n">
        <v>127</v>
      </c>
      <c r="C1140" t="inlineStr">
        <is>
          <t>炮灰怪</t>
        </is>
      </c>
      <c r="D1140" t="n">
        <v>9030</v>
      </c>
      <c r="E1140" t="n">
        <v>9349</v>
      </c>
      <c r="F1140" t="n">
        <v>11210</v>
      </c>
    </row>
    <row r="1141">
      <c r="A1141" t="inlineStr">
        <is>
          <t>127|精英怪</t>
        </is>
      </c>
      <c r="B1141" t="n">
        <v>127</v>
      </c>
      <c r="C1141" t="inlineStr">
        <is>
          <t>精英怪</t>
        </is>
      </c>
      <c r="D1141" t="n">
        <v>240800</v>
      </c>
      <c r="E1141" t="n">
        <v>9349</v>
      </c>
      <c r="F1141" t="n">
        <v>11210</v>
      </c>
    </row>
    <row r="1142">
      <c r="A1142" t="inlineStr">
        <is>
          <t>127|精英盾怪</t>
        </is>
      </c>
      <c r="B1142" t="n">
        <v>127</v>
      </c>
      <c r="C1142" t="inlineStr">
        <is>
          <t>精英盾怪</t>
        </is>
      </c>
      <c r="D1142" t="n">
        <v>541800</v>
      </c>
      <c r="E1142" t="n">
        <v>9349</v>
      </c>
      <c r="F1142" t="n">
        <v>11210</v>
      </c>
    </row>
    <row r="1143">
      <c r="A1143" t="inlineStr">
        <is>
          <t>127|Boss</t>
        </is>
      </c>
      <c r="B1143" t="n">
        <v>127</v>
      </c>
      <c r="C1143" t="inlineStr">
        <is>
          <t>Boss</t>
        </is>
      </c>
      <c r="D1143" t="n">
        <v>4913613</v>
      </c>
      <c r="E1143" t="n">
        <v>10860</v>
      </c>
      <c r="F1143" t="n">
        <v>11210</v>
      </c>
    </row>
    <row r="1144">
      <c r="A1144" t="inlineStr">
        <is>
          <t>127|装备副本Boss</t>
        </is>
      </c>
      <c r="B1144" t="n">
        <v>127</v>
      </c>
      <c r="C1144" t="inlineStr">
        <is>
          <t>装备副本Boss</t>
        </is>
      </c>
      <c r="D1144" t="n">
        <v>2456806</v>
      </c>
      <c r="E1144" t="n">
        <v>10860</v>
      </c>
      <c r="F1144" t="n">
        <v>11210</v>
      </c>
    </row>
    <row r="1145">
      <c r="A1145" t="inlineStr">
        <is>
          <t>128|普通怪</t>
        </is>
      </c>
      <c r="B1145" t="n">
        <v>128</v>
      </c>
      <c r="C1145" t="inlineStr">
        <is>
          <t>普通怪</t>
        </is>
      </c>
      <c r="D1145" t="n">
        <v>61184</v>
      </c>
      <c r="E1145" t="n">
        <v>9459</v>
      </c>
      <c r="F1145" t="n">
        <v>11312</v>
      </c>
    </row>
    <row r="1146">
      <c r="A1146" t="inlineStr">
        <is>
          <t>128|盾怪</t>
        </is>
      </c>
      <c r="B1146" t="n">
        <v>128</v>
      </c>
      <c r="C1146" t="inlineStr">
        <is>
          <t>盾怪</t>
        </is>
      </c>
      <c r="D1146" t="n">
        <v>183552</v>
      </c>
      <c r="E1146" t="n">
        <v>9459</v>
      </c>
      <c r="F1146" t="n">
        <v>11312</v>
      </c>
    </row>
    <row r="1147">
      <c r="A1147" t="inlineStr">
        <is>
          <t>128|二级普通怪</t>
        </is>
      </c>
      <c r="B1147" t="n">
        <v>128</v>
      </c>
      <c r="C1147" t="inlineStr">
        <is>
          <t>二级普通怪</t>
        </is>
      </c>
      <c r="D1147" t="n">
        <v>110132</v>
      </c>
      <c r="E1147" t="n">
        <v>9459</v>
      </c>
      <c r="F1147" t="n">
        <v>11312</v>
      </c>
    </row>
    <row r="1148">
      <c r="A1148" t="inlineStr">
        <is>
          <t>128|站桩怪</t>
        </is>
      </c>
      <c r="B1148" t="n">
        <v>128</v>
      </c>
      <c r="C1148" t="inlineStr">
        <is>
          <t>站桩怪</t>
        </is>
      </c>
      <c r="D1148" t="n">
        <v>30592</v>
      </c>
      <c r="E1148" t="n">
        <v>9459</v>
      </c>
      <c r="F1148" t="n">
        <v>11312</v>
      </c>
    </row>
    <row r="1149">
      <c r="A1149" t="inlineStr">
        <is>
          <t>128|炮灰怪</t>
        </is>
      </c>
      <c r="B1149" t="n">
        <v>128</v>
      </c>
      <c r="C1149" t="inlineStr">
        <is>
          <t>炮灰怪</t>
        </is>
      </c>
      <c r="D1149" t="n">
        <v>9178</v>
      </c>
      <c r="E1149" t="n">
        <v>9459</v>
      </c>
      <c r="F1149" t="n">
        <v>11312</v>
      </c>
    </row>
    <row r="1150">
      <c r="A1150" t="inlineStr">
        <is>
          <t>128|精英怪</t>
        </is>
      </c>
      <c r="B1150" t="n">
        <v>128</v>
      </c>
      <c r="C1150" t="inlineStr">
        <is>
          <t>精英怪</t>
        </is>
      </c>
      <c r="D1150" t="n">
        <v>244736</v>
      </c>
      <c r="E1150" t="n">
        <v>9459</v>
      </c>
      <c r="F1150" t="n">
        <v>11312</v>
      </c>
    </row>
    <row r="1151">
      <c r="A1151" t="inlineStr">
        <is>
          <t>128|精英盾怪</t>
        </is>
      </c>
      <c r="B1151" t="n">
        <v>128</v>
      </c>
      <c r="C1151" t="inlineStr">
        <is>
          <t>精英盾怪</t>
        </is>
      </c>
      <c r="D1151" t="n">
        <v>550656</v>
      </c>
      <c r="E1151" t="n">
        <v>9459</v>
      </c>
      <c r="F1151" t="n">
        <v>11312</v>
      </c>
    </row>
    <row r="1152">
      <c r="A1152" t="inlineStr">
        <is>
          <t>128|Boss</t>
        </is>
      </c>
      <c r="B1152" t="n">
        <v>128</v>
      </c>
      <c r="C1152" t="inlineStr">
        <is>
          <t>Boss</t>
        </is>
      </c>
      <c r="D1152" t="n">
        <v>5002787</v>
      </c>
      <c r="E1152" t="n">
        <v>10983</v>
      </c>
      <c r="F1152" t="n">
        <v>11312</v>
      </c>
    </row>
    <row r="1153">
      <c r="A1153" t="inlineStr">
        <is>
          <t>128|装备副本Boss</t>
        </is>
      </c>
      <c r="B1153" t="n">
        <v>128</v>
      </c>
      <c r="C1153" t="inlineStr">
        <is>
          <t>装备副本Boss</t>
        </is>
      </c>
      <c r="D1153" t="n">
        <v>2501393</v>
      </c>
      <c r="E1153" t="n">
        <v>10983</v>
      </c>
      <c r="F1153" t="n">
        <v>11312</v>
      </c>
    </row>
    <row r="1154">
      <c r="A1154" t="inlineStr">
        <is>
          <t>129|普通怪</t>
        </is>
      </c>
      <c r="B1154" t="n">
        <v>129</v>
      </c>
      <c r="C1154" t="inlineStr">
        <is>
          <t>普通怪</t>
        </is>
      </c>
      <c r="D1154" t="n">
        <v>62179</v>
      </c>
      <c r="E1154" t="n">
        <v>9570</v>
      </c>
      <c r="F1154" t="n">
        <v>11415</v>
      </c>
    </row>
    <row r="1155">
      <c r="A1155" t="inlineStr">
        <is>
          <t>129|盾怪</t>
        </is>
      </c>
      <c r="B1155" t="n">
        <v>129</v>
      </c>
      <c r="C1155" t="inlineStr">
        <is>
          <t>盾怪</t>
        </is>
      </c>
      <c r="D1155" t="n">
        <v>186537</v>
      </c>
      <c r="E1155" t="n">
        <v>9570</v>
      </c>
      <c r="F1155" t="n">
        <v>11415</v>
      </c>
    </row>
    <row r="1156">
      <c r="A1156" t="inlineStr">
        <is>
          <t>129|二级普通怪</t>
        </is>
      </c>
      <c r="B1156" t="n">
        <v>129</v>
      </c>
      <c r="C1156" t="inlineStr">
        <is>
          <t>二级普通怪</t>
        </is>
      </c>
      <c r="D1156" t="n">
        <v>111923</v>
      </c>
      <c r="E1156" t="n">
        <v>9570</v>
      </c>
      <c r="F1156" t="n">
        <v>11415</v>
      </c>
    </row>
    <row r="1157">
      <c r="A1157" t="inlineStr">
        <is>
          <t>129|站桩怪</t>
        </is>
      </c>
      <c r="B1157" t="n">
        <v>129</v>
      </c>
      <c r="C1157" t="inlineStr">
        <is>
          <t>站桩怪</t>
        </is>
      </c>
      <c r="D1157" t="n">
        <v>31090</v>
      </c>
      <c r="E1157" t="n">
        <v>9570</v>
      </c>
      <c r="F1157" t="n">
        <v>11415</v>
      </c>
    </row>
    <row r="1158">
      <c r="A1158" t="inlineStr">
        <is>
          <t>129|炮灰怪</t>
        </is>
      </c>
      <c r="B1158" t="n">
        <v>129</v>
      </c>
      <c r="C1158" t="inlineStr">
        <is>
          <t>炮灰怪</t>
        </is>
      </c>
      <c r="D1158" t="n">
        <v>9327</v>
      </c>
      <c r="E1158" t="n">
        <v>9570</v>
      </c>
      <c r="F1158" t="n">
        <v>11415</v>
      </c>
    </row>
    <row r="1159">
      <c r="A1159" t="inlineStr">
        <is>
          <t>129|精英怪</t>
        </is>
      </c>
      <c r="B1159" t="n">
        <v>129</v>
      </c>
      <c r="C1159" t="inlineStr">
        <is>
          <t>精英怪</t>
        </is>
      </c>
      <c r="D1159" t="n">
        <v>248716</v>
      </c>
      <c r="E1159" t="n">
        <v>9570</v>
      </c>
      <c r="F1159" t="n">
        <v>11415</v>
      </c>
    </row>
    <row r="1160">
      <c r="A1160" t="inlineStr">
        <is>
          <t>129|精英盾怪</t>
        </is>
      </c>
      <c r="B1160" t="n">
        <v>129</v>
      </c>
      <c r="C1160" t="inlineStr">
        <is>
          <t>精英盾怪</t>
        </is>
      </c>
      <c r="D1160" t="n">
        <v>559611</v>
      </c>
      <c r="E1160" t="n">
        <v>9570</v>
      </c>
      <c r="F1160" t="n">
        <v>11415</v>
      </c>
    </row>
    <row r="1161">
      <c r="A1161" t="inlineStr">
        <is>
          <t>129|Boss</t>
        </is>
      </c>
      <c r="B1161" t="n">
        <v>129</v>
      </c>
      <c r="C1161" t="inlineStr">
        <is>
          <t>Boss</t>
        </is>
      </c>
      <c r="D1161" t="n">
        <v>5093094</v>
      </c>
      <c r="E1161" t="n">
        <v>11107</v>
      </c>
      <c r="F1161" t="n">
        <v>11415</v>
      </c>
    </row>
    <row r="1162">
      <c r="A1162" t="inlineStr">
        <is>
          <t>129|装备副本Boss</t>
        </is>
      </c>
      <c r="B1162" t="n">
        <v>129</v>
      </c>
      <c r="C1162" t="inlineStr">
        <is>
          <t>装备副本Boss</t>
        </is>
      </c>
      <c r="D1162" t="n">
        <v>2546547</v>
      </c>
      <c r="E1162" t="n">
        <v>11107</v>
      </c>
      <c r="F1162" t="n">
        <v>11415</v>
      </c>
    </row>
    <row r="1163">
      <c r="A1163" t="inlineStr">
        <is>
          <t>130|普通怪</t>
        </is>
      </c>
      <c r="B1163" t="n">
        <v>130</v>
      </c>
      <c r="C1163" t="inlineStr">
        <is>
          <t>普通怪</t>
        </is>
      </c>
      <c r="D1163" t="n">
        <v>63185</v>
      </c>
      <c r="E1163" t="n">
        <v>9682</v>
      </c>
      <c r="F1163" t="n">
        <v>11519</v>
      </c>
    </row>
    <row r="1164">
      <c r="A1164" t="inlineStr">
        <is>
          <t>130|盾怪</t>
        </is>
      </c>
      <c r="B1164" t="n">
        <v>130</v>
      </c>
      <c r="C1164" t="inlineStr">
        <is>
          <t>盾怪</t>
        </is>
      </c>
      <c r="D1164" t="n">
        <v>189555</v>
      </c>
      <c r="E1164" t="n">
        <v>9682</v>
      </c>
      <c r="F1164" t="n">
        <v>11519</v>
      </c>
    </row>
    <row r="1165">
      <c r="A1165" t="inlineStr">
        <is>
          <t>130|二级普通怪</t>
        </is>
      </c>
      <c r="B1165" t="n">
        <v>130</v>
      </c>
      <c r="C1165" t="inlineStr">
        <is>
          <t>二级普通怪</t>
        </is>
      </c>
      <c r="D1165" t="n">
        <v>113733</v>
      </c>
      <c r="E1165" t="n">
        <v>9682</v>
      </c>
      <c r="F1165" t="n">
        <v>11519</v>
      </c>
    </row>
    <row r="1166">
      <c r="A1166" t="inlineStr">
        <is>
          <t>130|站桩怪</t>
        </is>
      </c>
      <c r="B1166" t="n">
        <v>130</v>
      </c>
      <c r="C1166" t="inlineStr">
        <is>
          <t>站桩怪</t>
        </is>
      </c>
      <c r="D1166" t="n">
        <v>31593</v>
      </c>
      <c r="E1166" t="n">
        <v>9682</v>
      </c>
      <c r="F1166" t="n">
        <v>11519</v>
      </c>
    </row>
    <row r="1167">
      <c r="A1167" t="inlineStr">
        <is>
          <t>130|炮灰怪</t>
        </is>
      </c>
      <c r="B1167" t="n">
        <v>130</v>
      </c>
      <c r="C1167" t="inlineStr">
        <is>
          <t>炮灰怪</t>
        </is>
      </c>
      <c r="D1167" t="n">
        <v>9478</v>
      </c>
      <c r="E1167" t="n">
        <v>9682</v>
      </c>
      <c r="F1167" t="n">
        <v>11519</v>
      </c>
    </row>
    <row r="1168">
      <c r="A1168" t="inlineStr">
        <is>
          <t>130|精英怪</t>
        </is>
      </c>
      <c r="B1168" t="n">
        <v>130</v>
      </c>
      <c r="C1168" t="inlineStr">
        <is>
          <t>精英怪</t>
        </is>
      </c>
      <c r="D1168" t="n">
        <v>252740</v>
      </c>
      <c r="E1168" t="n">
        <v>9682</v>
      </c>
      <c r="F1168" t="n">
        <v>11519</v>
      </c>
    </row>
    <row r="1169">
      <c r="A1169" t="inlineStr">
        <is>
          <t>130|精英盾怪</t>
        </is>
      </c>
      <c r="B1169" t="n">
        <v>130</v>
      </c>
      <c r="C1169" t="inlineStr">
        <is>
          <t>精英盾怪</t>
        </is>
      </c>
      <c r="D1169" t="n">
        <v>568665</v>
      </c>
      <c r="E1169" t="n">
        <v>9682</v>
      </c>
      <c r="F1169" t="n">
        <v>11519</v>
      </c>
    </row>
    <row r="1170">
      <c r="A1170" t="inlineStr">
        <is>
          <t>130|Boss</t>
        </is>
      </c>
      <c r="B1170" t="n">
        <v>130</v>
      </c>
      <c r="C1170" t="inlineStr">
        <is>
          <t>Boss</t>
        </is>
      </c>
      <c r="D1170" t="n">
        <v>5184535</v>
      </c>
      <c r="E1170" t="n">
        <v>11231</v>
      </c>
      <c r="F1170" t="n">
        <v>11519</v>
      </c>
    </row>
    <row r="1171">
      <c r="A1171" t="inlineStr">
        <is>
          <t>130|装备副本Boss</t>
        </is>
      </c>
      <c r="B1171" t="n">
        <v>130</v>
      </c>
      <c r="C1171" t="inlineStr">
        <is>
          <t>装备副本Boss</t>
        </is>
      </c>
      <c r="D1171" t="n">
        <v>2592268</v>
      </c>
      <c r="E1171" t="n">
        <v>11231</v>
      </c>
      <c r="F1171" t="n">
        <v>11519</v>
      </c>
    </row>
    <row r="1172">
      <c r="A1172" t="inlineStr">
        <is>
          <t>131|普通怪</t>
        </is>
      </c>
      <c r="B1172" t="n">
        <v>131</v>
      </c>
      <c r="C1172" t="inlineStr">
        <is>
          <t>普通怪</t>
        </is>
      </c>
      <c r="D1172" t="n">
        <v>64202</v>
      </c>
      <c r="E1172" t="n">
        <v>9795</v>
      </c>
      <c r="F1172" t="n">
        <v>11622</v>
      </c>
    </row>
    <row r="1173">
      <c r="A1173" t="inlineStr">
        <is>
          <t>131|盾怪</t>
        </is>
      </c>
      <c r="B1173" t="n">
        <v>131</v>
      </c>
      <c r="C1173" t="inlineStr">
        <is>
          <t>盾怪</t>
        </is>
      </c>
      <c r="D1173" t="n">
        <v>192606</v>
      </c>
      <c r="E1173" t="n">
        <v>9795</v>
      </c>
      <c r="F1173" t="n">
        <v>11622</v>
      </c>
    </row>
    <row r="1174">
      <c r="A1174" t="inlineStr">
        <is>
          <t>131|二级普通怪</t>
        </is>
      </c>
      <c r="B1174" t="n">
        <v>131</v>
      </c>
      <c r="C1174" t="inlineStr">
        <is>
          <t>二级普通怪</t>
        </is>
      </c>
      <c r="D1174" t="n">
        <v>115564</v>
      </c>
      <c r="E1174" t="n">
        <v>9795</v>
      </c>
      <c r="F1174" t="n">
        <v>11622</v>
      </c>
    </row>
    <row r="1175">
      <c r="A1175" t="inlineStr">
        <is>
          <t>131|站桩怪</t>
        </is>
      </c>
      <c r="B1175" t="n">
        <v>131</v>
      </c>
      <c r="C1175" t="inlineStr">
        <is>
          <t>站桩怪</t>
        </is>
      </c>
      <c r="D1175" t="n">
        <v>32101</v>
      </c>
      <c r="E1175" t="n">
        <v>9795</v>
      </c>
      <c r="F1175" t="n">
        <v>11622</v>
      </c>
    </row>
    <row r="1176">
      <c r="A1176" t="inlineStr">
        <is>
          <t>131|炮灰怪</t>
        </is>
      </c>
      <c r="B1176" t="n">
        <v>131</v>
      </c>
      <c r="C1176" t="inlineStr">
        <is>
          <t>炮灰怪</t>
        </is>
      </c>
      <c r="D1176" t="n">
        <v>9631</v>
      </c>
      <c r="E1176" t="n">
        <v>9795</v>
      </c>
      <c r="F1176" t="n">
        <v>11622</v>
      </c>
    </row>
    <row r="1177">
      <c r="A1177" t="inlineStr">
        <is>
          <t>131|精英怪</t>
        </is>
      </c>
      <c r="B1177" t="n">
        <v>131</v>
      </c>
      <c r="C1177" t="inlineStr">
        <is>
          <t>精英怪</t>
        </is>
      </c>
      <c r="D1177" t="n">
        <v>256808</v>
      </c>
      <c r="E1177" t="n">
        <v>9795</v>
      </c>
      <c r="F1177" t="n">
        <v>11622</v>
      </c>
    </row>
    <row r="1178">
      <c r="A1178" t="inlineStr">
        <is>
          <t>131|精英盾怪</t>
        </is>
      </c>
      <c r="B1178" t="n">
        <v>131</v>
      </c>
      <c r="C1178" t="inlineStr">
        <is>
          <t>精英盾怪</t>
        </is>
      </c>
      <c r="D1178" t="n">
        <v>577818</v>
      </c>
      <c r="E1178" t="n">
        <v>9795</v>
      </c>
      <c r="F1178" t="n">
        <v>11622</v>
      </c>
    </row>
    <row r="1179">
      <c r="A1179" t="inlineStr">
        <is>
          <t>131|Boss</t>
        </is>
      </c>
      <c r="B1179" t="n">
        <v>131</v>
      </c>
      <c r="C1179" t="inlineStr">
        <is>
          <t>Boss</t>
        </is>
      </c>
      <c r="D1179" t="n">
        <v>5277108</v>
      </c>
      <c r="E1179" t="n">
        <v>11357</v>
      </c>
      <c r="F1179" t="n">
        <v>11622</v>
      </c>
    </row>
    <row r="1180">
      <c r="A1180" t="inlineStr">
        <is>
          <t>131|装备副本Boss</t>
        </is>
      </c>
      <c r="B1180" t="n">
        <v>131</v>
      </c>
      <c r="C1180" t="inlineStr">
        <is>
          <t>装备副本Boss</t>
        </is>
      </c>
      <c r="D1180" t="n">
        <v>2638554</v>
      </c>
      <c r="E1180" t="n">
        <v>11357</v>
      </c>
      <c r="F1180" t="n">
        <v>11622</v>
      </c>
    </row>
    <row r="1181">
      <c r="A1181" t="inlineStr">
        <is>
          <t>132|普通怪</t>
        </is>
      </c>
      <c r="B1181" t="n">
        <v>132</v>
      </c>
      <c r="C1181" t="inlineStr">
        <is>
          <t>普通怪</t>
        </is>
      </c>
      <c r="D1181" t="n">
        <v>65231</v>
      </c>
      <c r="E1181" t="n">
        <v>9908</v>
      </c>
      <c r="F1181" t="n">
        <v>11726</v>
      </c>
    </row>
    <row r="1182">
      <c r="A1182" t="inlineStr">
        <is>
          <t>132|盾怪</t>
        </is>
      </c>
      <c r="B1182" t="n">
        <v>132</v>
      </c>
      <c r="C1182" t="inlineStr">
        <is>
          <t>盾怪</t>
        </is>
      </c>
      <c r="D1182" t="n">
        <v>195693</v>
      </c>
      <c r="E1182" t="n">
        <v>9908</v>
      </c>
      <c r="F1182" t="n">
        <v>11726</v>
      </c>
    </row>
    <row r="1183">
      <c r="A1183" t="inlineStr">
        <is>
          <t>132|二级普通怪</t>
        </is>
      </c>
      <c r="B1183" t="n">
        <v>132</v>
      </c>
      <c r="C1183" t="inlineStr">
        <is>
          <t>二级普通怪</t>
        </is>
      </c>
      <c r="D1183" t="n">
        <v>117416</v>
      </c>
      <c r="E1183" t="n">
        <v>9908</v>
      </c>
      <c r="F1183" t="n">
        <v>11726</v>
      </c>
    </row>
    <row r="1184">
      <c r="A1184" t="inlineStr">
        <is>
          <t>132|站桩怪</t>
        </is>
      </c>
      <c r="B1184" t="n">
        <v>132</v>
      </c>
      <c r="C1184" t="inlineStr">
        <is>
          <t>站桩怪</t>
        </is>
      </c>
      <c r="D1184" t="n">
        <v>32616</v>
      </c>
      <c r="E1184" t="n">
        <v>9908</v>
      </c>
      <c r="F1184" t="n">
        <v>11726</v>
      </c>
    </row>
    <row r="1185">
      <c r="A1185" t="inlineStr">
        <is>
          <t>132|炮灰怪</t>
        </is>
      </c>
      <c r="B1185" t="n">
        <v>132</v>
      </c>
      <c r="C1185" t="inlineStr">
        <is>
          <t>炮灰怪</t>
        </is>
      </c>
      <c r="D1185" t="n">
        <v>9785</v>
      </c>
      <c r="E1185" t="n">
        <v>9908</v>
      </c>
      <c r="F1185" t="n">
        <v>11726</v>
      </c>
    </row>
    <row r="1186">
      <c r="A1186" t="inlineStr">
        <is>
          <t>132|精英怪</t>
        </is>
      </c>
      <c r="B1186" t="n">
        <v>132</v>
      </c>
      <c r="C1186" t="inlineStr">
        <is>
          <t>精英怪</t>
        </is>
      </c>
      <c r="D1186" t="n">
        <v>260924</v>
      </c>
      <c r="E1186" t="n">
        <v>9908</v>
      </c>
      <c r="F1186" t="n">
        <v>11726</v>
      </c>
    </row>
    <row r="1187">
      <c r="A1187" t="inlineStr">
        <is>
          <t>132|精英盾怪</t>
        </is>
      </c>
      <c r="B1187" t="n">
        <v>132</v>
      </c>
      <c r="C1187" t="inlineStr">
        <is>
          <t>精英盾怪</t>
        </is>
      </c>
      <c r="D1187" t="n">
        <v>587079</v>
      </c>
      <c r="E1187" t="n">
        <v>9908</v>
      </c>
      <c r="F1187" t="n">
        <v>11726</v>
      </c>
    </row>
    <row r="1188">
      <c r="A1188" t="inlineStr">
        <is>
          <t>132|Boss</t>
        </is>
      </c>
      <c r="B1188" t="n">
        <v>132</v>
      </c>
      <c r="C1188" t="inlineStr">
        <is>
          <t>Boss</t>
        </is>
      </c>
      <c r="D1188" t="n">
        <v>5370814</v>
      </c>
      <c r="E1188" t="n">
        <v>11483</v>
      </c>
      <c r="F1188" t="n">
        <v>11726</v>
      </c>
    </row>
    <row r="1189">
      <c r="A1189" t="inlineStr">
        <is>
          <t>132|装备副本Boss</t>
        </is>
      </c>
      <c r="B1189" t="n">
        <v>132</v>
      </c>
      <c r="C1189" t="inlineStr">
        <is>
          <t>装备副本Boss</t>
        </is>
      </c>
      <c r="D1189" t="n">
        <v>2685407</v>
      </c>
      <c r="E1189" t="n">
        <v>11483</v>
      </c>
      <c r="F1189" t="n">
        <v>11726</v>
      </c>
    </row>
    <row r="1190">
      <c r="A1190" t="inlineStr">
        <is>
          <t>133|普通怪</t>
        </is>
      </c>
      <c r="B1190" t="n">
        <v>133</v>
      </c>
      <c r="C1190" t="inlineStr">
        <is>
          <t>普通怪</t>
        </is>
      </c>
      <c r="D1190" t="n">
        <v>66271</v>
      </c>
      <c r="E1190" t="n">
        <v>10022</v>
      </c>
      <c r="F1190" t="n">
        <v>11830</v>
      </c>
    </row>
    <row r="1191">
      <c r="A1191" t="inlineStr">
        <is>
          <t>133|盾怪</t>
        </is>
      </c>
      <c r="B1191" t="n">
        <v>133</v>
      </c>
      <c r="C1191" t="inlineStr">
        <is>
          <t>盾怪</t>
        </is>
      </c>
      <c r="D1191" t="n">
        <v>198813</v>
      </c>
      <c r="E1191" t="n">
        <v>10022</v>
      </c>
      <c r="F1191" t="n">
        <v>11830</v>
      </c>
    </row>
    <row r="1192">
      <c r="A1192" t="inlineStr">
        <is>
          <t>133|二级普通怪</t>
        </is>
      </c>
      <c r="B1192" t="n">
        <v>133</v>
      </c>
      <c r="C1192" t="inlineStr">
        <is>
          <t>二级普通怪</t>
        </is>
      </c>
      <c r="D1192" t="n">
        <v>119288</v>
      </c>
      <c r="E1192" t="n">
        <v>10022</v>
      </c>
      <c r="F1192" t="n">
        <v>11830</v>
      </c>
    </row>
    <row r="1193">
      <c r="A1193" t="inlineStr">
        <is>
          <t>133|站桩怪</t>
        </is>
      </c>
      <c r="B1193" t="n">
        <v>133</v>
      </c>
      <c r="C1193" t="inlineStr">
        <is>
          <t>站桩怪</t>
        </is>
      </c>
      <c r="D1193" t="n">
        <v>33136</v>
      </c>
      <c r="E1193" t="n">
        <v>10022</v>
      </c>
      <c r="F1193" t="n">
        <v>11830</v>
      </c>
    </row>
    <row r="1194">
      <c r="A1194" t="inlineStr">
        <is>
          <t>133|炮灰怪</t>
        </is>
      </c>
      <c r="B1194" t="n">
        <v>133</v>
      </c>
      <c r="C1194" t="inlineStr">
        <is>
          <t>炮灰怪</t>
        </is>
      </c>
      <c r="D1194" t="n">
        <v>9941</v>
      </c>
      <c r="E1194" t="n">
        <v>10022</v>
      </c>
      <c r="F1194" t="n">
        <v>11830</v>
      </c>
    </row>
    <row r="1195">
      <c r="A1195" t="inlineStr">
        <is>
          <t>133|精英怪</t>
        </is>
      </c>
      <c r="B1195" t="n">
        <v>133</v>
      </c>
      <c r="C1195" t="inlineStr">
        <is>
          <t>精英怪</t>
        </is>
      </c>
      <c r="D1195" t="n">
        <v>265084</v>
      </c>
      <c r="E1195" t="n">
        <v>10022</v>
      </c>
      <c r="F1195" t="n">
        <v>11830</v>
      </c>
    </row>
    <row r="1196">
      <c r="A1196" t="inlineStr">
        <is>
          <t>133|精英盾怪</t>
        </is>
      </c>
      <c r="B1196" t="n">
        <v>133</v>
      </c>
      <c r="C1196" t="inlineStr">
        <is>
          <t>精英盾怪</t>
        </is>
      </c>
      <c r="D1196" t="n">
        <v>596439</v>
      </c>
      <c r="E1196" t="n">
        <v>10022</v>
      </c>
      <c r="F1196" t="n">
        <v>11830</v>
      </c>
    </row>
    <row r="1197">
      <c r="A1197" t="inlineStr">
        <is>
          <t>133|Boss</t>
        </is>
      </c>
      <c r="B1197" t="n">
        <v>133</v>
      </c>
      <c r="C1197" t="inlineStr">
        <is>
          <t>Boss</t>
        </is>
      </c>
      <c r="D1197" t="n">
        <v>5465703</v>
      </c>
      <c r="E1197" t="n">
        <v>11610</v>
      </c>
      <c r="F1197" t="n">
        <v>11830</v>
      </c>
    </row>
    <row r="1198">
      <c r="A1198" t="inlineStr">
        <is>
          <t>133|装备副本Boss</t>
        </is>
      </c>
      <c r="B1198" t="n">
        <v>133</v>
      </c>
      <c r="C1198" t="inlineStr">
        <is>
          <t>装备副本Boss</t>
        </is>
      </c>
      <c r="D1198" t="n">
        <v>2732852</v>
      </c>
      <c r="E1198" t="n">
        <v>11610</v>
      </c>
      <c r="F1198" t="n">
        <v>11830</v>
      </c>
    </row>
    <row r="1199">
      <c r="A1199" t="inlineStr">
        <is>
          <t>134|普通怪</t>
        </is>
      </c>
      <c r="B1199" t="n">
        <v>134</v>
      </c>
      <c r="C1199" t="inlineStr">
        <is>
          <t>普通怪</t>
        </is>
      </c>
      <c r="D1199" t="n">
        <v>67323</v>
      </c>
      <c r="E1199" t="n">
        <v>10136</v>
      </c>
      <c r="F1199" t="n">
        <v>11934</v>
      </c>
    </row>
    <row r="1200">
      <c r="A1200" t="inlineStr">
        <is>
          <t>134|盾怪</t>
        </is>
      </c>
      <c r="B1200" t="n">
        <v>134</v>
      </c>
      <c r="C1200" t="inlineStr">
        <is>
          <t>盾怪</t>
        </is>
      </c>
      <c r="D1200" t="n">
        <v>201969</v>
      </c>
      <c r="E1200" t="n">
        <v>10136</v>
      </c>
      <c r="F1200" t="n">
        <v>11934</v>
      </c>
    </row>
    <row r="1201">
      <c r="A1201" t="inlineStr">
        <is>
          <t>134|二级普通怪</t>
        </is>
      </c>
      <c r="B1201" t="n">
        <v>134</v>
      </c>
      <c r="C1201" t="inlineStr">
        <is>
          <t>二级普通怪</t>
        </is>
      </c>
      <c r="D1201" t="n">
        <v>121182</v>
      </c>
      <c r="E1201" t="n">
        <v>10136</v>
      </c>
      <c r="F1201" t="n">
        <v>11934</v>
      </c>
    </row>
    <row r="1202">
      <c r="A1202" t="inlineStr">
        <is>
          <t>134|站桩怪</t>
        </is>
      </c>
      <c r="B1202" t="n">
        <v>134</v>
      </c>
      <c r="C1202" t="inlineStr">
        <is>
          <t>站桩怪</t>
        </is>
      </c>
      <c r="D1202" t="n">
        <v>33662</v>
      </c>
      <c r="E1202" t="n">
        <v>10136</v>
      </c>
      <c r="F1202" t="n">
        <v>11934</v>
      </c>
    </row>
    <row r="1203">
      <c r="A1203" t="inlineStr">
        <is>
          <t>134|炮灰怪</t>
        </is>
      </c>
      <c r="B1203" t="n">
        <v>134</v>
      </c>
      <c r="C1203" t="inlineStr">
        <is>
          <t>炮灰怪</t>
        </is>
      </c>
      <c r="D1203" t="n">
        <v>10099</v>
      </c>
      <c r="E1203" t="n">
        <v>10136</v>
      </c>
      <c r="F1203" t="n">
        <v>11934</v>
      </c>
    </row>
    <row r="1204">
      <c r="A1204" t="inlineStr">
        <is>
          <t>134|精英怪</t>
        </is>
      </c>
      <c r="B1204" t="n">
        <v>134</v>
      </c>
      <c r="C1204" t="inlineStr">
        <is>
          <t>精英怪</t>
        </is>
      </c>
      <c r="D1204" t="n">
        <v>269292</v>
      </c>
      <c r="E1204" t="n">
        <v>10136</v>
      </c>
      <c r="F1204" t="n">
        <v>11934</v>
      </c>
    </row>
    <row r="1205">
      <c r="A1205" t="inlineStr">
        <is>
          <t>134|精英盾怪</t>
        </is>
      </c>
      <c r="B1205" t="n">
        <v>134</v>
      </c>
      <c r="C1205" t="inlineStr">
        <is>
          <t>精英盾怪</t>
        </is>
      </c>
      <c r="D1205" t="n">
        <v>605907</v>
      </c>
      <c r="E1205" t="n">
        <v>10136</v>
      </c>
      <c r="F1205" t="n">
        <v>11934</v>
      </c>
    </row>
    <row r="1206">
      <c r="A1206" t="inlineStr">
        <is>
          <t>134|Boss</t>
        </is>
      </c>
      <c r="B1206" t="n">
        <v>134</v>
      </c>
      <c r="C1206" t="inlineStr">
        <is>
          <t>Boss</t>
        </is>
      </c>
      <c r="D1206" t="n">
        <v>5561724</v>
      </c>
      <c r="E1206" t="n">
        <v>11737</v>
      </c>
      <c r="F1206" t="n">
        <v>11934</v>
      </c>
    </row>
    <row r="1207">
      <c r="A1207" t="inlineStr">
        <is>
          <t>134|装备副本Boss</t>
        </is>
      </c>
      <c r="B1207" t="n">
        <v>134</v>
      </c>
      <c r="C1207" t="inlineStr">
        <is>
          <t>装备副本Boss</t>
        </is>
      </c>
      <c r="D1207" t="n">
        <v>2780862</v>
      </c>
      <c r="E1207" t="n">
        <v>11737</v>
      </c>
      <c r="F1207" t="n">
        <v>11934</v>
      </c>
    </row>
    <row r="1208">
      <c r="A1208" t="inlineStr">
        <is>
          <t>135|普通怪</t>
        </is>
      </c>
      <c r="B1208" t="n">
        <v>135</v>
      </c>
      <c r="C1208" t="inlineStr">
        <is>
          <t>普通怪</t>
        </is>
      </c>
      <c r="D1208" t="n">
        <v>68386</v>
      </c>
      <c r="E1208" t="n">
        <v>10252</v>
      </c>
      <c r="F1208" t="n">
        <v>12038</v>
      </c>
    </row>
    <row r="1209">
      <c r="A1209" t="inlineStr">
        <is>
          <t>135|盾怪</t>
        </is>
      </c>
      <c r="B1209" t="n">
        <v>135</v>
      </c>
      <c r="C1209" t="inlineStr">
        <is>
          <t>盾怪</t>
        </is>
      </c>
      <c r="D1209" t="n">
        <v>205158</v>
      </c>
      <c r="E1209" t="n">
        <v>10252</v>
      </c>
      <c r="F1209" t="n">
        <v>12038</v>
      </c>
    </row>
    <row r="1210">
      <c r="A1210" t="inlineStr">
        <is>
          <t>135|二级普通怪</t>
        </is>
      </c>
      <c r="B1210" t="n">
        <v>135</v>
      </c>
      <c r="C1210" t="inlineStr">
        <is>
          <t>二级普通怪</t>
        </is>
      </c>
      <c r="D1210" t="n">
        <v>123095</v>
      </c>
      <c r="E1210" t="n">
        <v>10252</v>
      </c>
      <c r="F1210" t="n">
        <v>12038</v>
      </c>
    </row>
    <row r="1211">
      <c r="A1211" t="inlineStr">
        <is>
          <t>135|站桩怪</t>
        </is>
      </c>
      <c r="B1211" t="n">
        <v>135</v>
      </c>
      <c r="C1211" t="inlineStr">
        <is>
          <t>站桩怪</t>
        </is>
      </c>
      <c r="D1211" t="n">
        <v>34193</v>
      </c>
      <c r="E1211" t="n">
        <v>10252</v>
      </c>
      <c r="F1211" t="n">
        <v>12038</v>
      </c>
    </row>
    <row r="1212">
      <c r="A1212" t="inlineStr">
        <is>
          <t>135|炮灰怪</t>
        </is>
      </c>
      <c r="B1212" t="n">
        <v>135</v>
      </c>
      <c r="C1212" t="inlineStr">
        <is>
          <t>炮灰怪</t>
        </is>
      </c>
      <c r="D1212" t="n">
        <v>10258</v>
      </c>
      <c r="E1212" t="n">
        <v>10252</v>
      </c>
      <c r="F1212" t="n">
        <v>12038</v>
      </c>
    </row>
    <row r="1213">
      <c r="A1213" t="inlineStr">
        <is>
          <t>135|精英怪</t>
        </is>
      </c>
      <c r="B1213" t="n">
        <v>135</v>
      </c>
      <c r="C1213" t="inlineStr">
        <is>
          <t>精英怪</t>
        </is>
      </c>
      <c r="D1213" t="n">
        <v>273544</v>
      </c>
      <c r="E1213" t="n">
        <v>10252</v>
      </c>
      <c r="F1213" t="n">
        <v>12038</v>
      </c>
    </row>
    <row r="1214">
      <c r="A1214" t="inlineStr">
        <is>
          <t>135|精英盾怪</t>
        </is>
      </c>
      <c r="B1214" t="n">
        <v>135</v>
      </c>
      <c r="C1214" t="inlineStr">
        <is>
          <t>精英盾怪</t>
        </is>
      </c>
      <c r="D1214" t="n">
        <v>615474</v>
      </c>
      <c r="E1214" t="n">
        <v>10252</v>
      </c>
      <c r="F1214" t="n">
        <v>12038</v>
      </c>
    </row>
    <row r="1215">
      <c r="A1215" t="inlineStr">
        <is>
          <t>135|Boss</t>
        </is>
      </c>
      <c r="B1215" t="n">
        <v>135</v>
      </c>
      <c r="C1215" t="inlineStr">
        <is>
          <t>Boss</t>
        </is>
      </c>
      <c r="D1215" t="n">
        <v>5658979</v>
      </c>
      <c r="E1215" t="n">
        <v>11866</v>
      </c>
      <c r="F1215" t="n">
        <v>12038</v>
      </c>
    </row>
    <row r="1216">
      <c r="A1216" t="inlineStr">
        <is>
          <t>135|装备副本Boss</t>
        </is>
      </c>
      <c r="B1216" t="n">
        <v>135</v>
      </c>
      <c r="C1216" t="inlineStr">
        <is>
          <t>装备副本Boss</t>
        </is>
      </c>
      <c r="D1216" t="n">
        <v>2829490</v>
      </c>
      <c r="E1216" t="n">
        <v>11866</v>
      </c>
      <c r="F1216" t="n">
        <v>12038</v>
      </c>
    </row>
    <row r="1217">
      <c r="A1217" t="inlineStr">
        <is>
          <t>136|普通怪</t>
        </is>
      </c>
      <c r="B1217" t="n">
        <v>136</v>
      </c>
      <c r="C1217" t="inlineStr">
        <is>
          <t>普通怪</t>
        </is>
      </c>
      <c r="D1217" t="n">
        <v>69461</v>
      </c>
      <c r="E1217" t="n">
        <v>10368</v>
      </c>
      <c r="F1217" t="n">
        <v>12143</v>
      </c>
    </row>
    <row r="1218">
      <c r="A1218" t="inlineStr">
        <is>
          <t>136|盾怪</t>
        </is>
      </c>
      <c r="B1218" t="n">
        <v>136</v>
      </c>
      <c r="C1218" t="inlineStr">
        <is>
          <t>盾怪</t>
        </is>
      </c>
      <c r="D1218" t="n">
        <v>208383</v>
      </c>
      <c r="E1218" t="n">
        <v>10368</v>
      </c>
      <c r="F1218" t="n">
        <v>12143</v>
      </c>
    </row>
    <row r="1219">
      <c r="A1219" t="inlineStr">
        <is>
          <t>136|二级普通怪</t>
        </is>
      </c>
      <c r="B1219" t="n">
        <v>136</v>
      </c>
      <c r="C1219" t="inlineStr">
        <is>
          <t>二级普通怪</t>
        </is>
      </c>
      <c r="D1219" t="n">
        <v>125030</v>
      </c>
      <c r="E1219" t="n">
        <v>10368</v>
      </c>
      <c r="F1219" t="n">
        <v>12143</v>
      </c>
    </row>
    <row r="1220">
      <c r="A1220" t="inlineStr">
        <is>
          <t>136|站桩怪</t>
        </is>
      </c>
      <c r="B1220" t="n">
        <v>136</v>
      </c>
      <c r="C1220" t="inlineStr">
        <is>
          <t>站桩怪</t>
        </is>
      </c>
      <c r="D1220" t="n">
        <v>34731</v>
      </c>
      <c r="E1220" t="n">
        <v>10368</v>
      </c>
      <c r="F1220" t="n">
        <v>12143</v>
      </c>
    </row>
    <row r="1221">
      <c r="A1221" t="inlineStr">
        <is>
          <t>136|炮灰怪</t>
        </is>
      </c>
      <c r="B1221" t="n">
        <v>136</v>
      </c>
      <c r="C1221" t="inlineStr">
        <is>
          <t>炮灰怪</t>
        </is>
      </c>
      <c r="D1221" t="n">
        <v>10420</v>
      </c>
      <c r="E1221" t="n">
        <v>10368</v>
      </c>
      <c r="F1221" t="n">
        <v>12143</v>
      </c>
    </row>
    <row r="1222">
      <c r="A1222" t="inlineStr">
        <is>
          <t>136|精英怪</t>
        </is>
      </c>
      <c r="B1222" t="n">
        <v>136</v>
      </c>
      <c r="C1222" t="inlineStr">
        <is>
          <t>精英怪</t>
        </is>
      </c>
      <c r="D1222" t="n">
        <v>277844</v>
      </c>
      <c r="E1222" t="n">
        <v>10368</v>
      </c>
      <c r="F1222" t="n">
        <v>12143</v>
      </c>
    </row>
    <row r="1223">
      <c r="A1223" t="inlineStr">
        <is>
          <t>136|精英盾怪</t>
        </is>
      </c>
      <c r="B1223" t="n">
        <v>136</v>
      </c>
      <c r="C1223" t="inlineStr">
        <is>
          <t>精英盾怪</t>
        </is>
      </c>
      <c r="D1223" t="n">
        <v>625149</v>
      </c>
      <c r="E1223" t="n">
        <v>10368</v>
      </c>
      <c r="F1223" t="n">
        <v>12143</v>
      </c>
    </row>
    <row r="1224">
      <c r="A1224" t="inlineStr">
        <is>
          <t>136|Boss</t>
        </is>
      </c>
      <c r="B1224" t="n">
        <v>136</v>
      </c>
      <c r="C1224" t="inlineStr">
        <is>
          <t>Boss</t>
        </is>
      </c>
      <c r="D1224" t="n">
        <v>5757365</v>
      </c>
      <c r="E1224" t="n">
        <v>11995</v>
      </c>
      <c r="F1224" t="n">
        <v>12143</v>
      </c>
    </row>
    <row r="1225">
      <c r="A1225" t="inlineStr">
        <is>
          <t>136|装备副本Boss</t>
        </is>
      </c>
      <c r="B1225" t="n">
        <v>136</v>
      </c>
      <c r="C1225" t="inlineStr">
        <is>
          <t>装备副本Boss</t>
        </is>
      </c>
      <c r="D1225" t="n">
        <v>2878683</v>
      </c>
      <c r="E1225" t="n">
        <v>11995</v>
      </c>
      <c r="F1225" t="n">
        <v>12143</v>
      </c>
    </row>
    <row r="1226">
      <c r="A1226" t="inlineStr">
        <is>
          <t>137|普通怪</t>
        </is>
      </c>
      <c r="B1226" t="n">
        <v>137</v>
      </c>
      <c r="C1226" t="inlineStr">
        <is>
          <t>普通怪</t>
        </is>
      </c>
      <c r="D1226" t="n">
        <v>70547</v>
      </c>
      <c r="E1226" t="n">
        <v>10485</v>
      </c>
      <c r="F1226" t="n">
        <v>12248</v>
      </c>
    </row>
    <row r="1227">
      <c r="A1227" t="inlineStr">
        <is>
          <t>137|盾怪</t>
        </is>
      </c>
      <c r="B1227" t="n">
        <v>137</v>
      </c>
      <c r="C1227" t="inlineStr">
        <is>
          <t>盾怪</t>
        </is>
      </c>
      <c r="D1227" t="n">
        <v>211641</v>
      </c>
      <c r="E1227" t="n">
        <v>10485</v>
      </c>
      <c r="F1227" t="n">
        <v>12248</v>
      </c>
    </row>
    <row r="1228">
      <c r="A1228" t="inlineStr">
        <is>
          <t>137|二级普通怪</t>
        </is>
      </c>
      <c r="B1228" t="n">
        <v>137</v>
      </c>
      <c r="C1228" t="inlineStr">
        <is>
          <t>二级普通怪</t>
        </is>
      </c>
      <c r="D1228" t="n">
        <v>126985</v>
      </c>
      <c r="E1228" t="n">
        <v>10485</v>
      </c>
      <c r="F1228" t="n">
        <v>12248</v>
      </c>
    </row>
    <row r="1229">
      <c r="A1229" t="inlineStr">
        <is>
          <t>137|站桩怪</t>
        </is>
      </c>
      <c r="B1229" t="n">
        <v>137</v>
      </c>
      <c r="C1229" t="inlineStr">
        <is>
          <t>站桩怪</t>
        </is>
      </c>
      <c r="D1229" t="n">
        <v>35274</v>
      </c>
      <c r="E1229" t="n">
        <v>10485</v>
      </c>
      <c r="F1229" t="n">
        <v>12248</v>
      </c>
    </row>
    <row r="1230">
      <c r="A1230" t="inlineStr">
        <is>
          <t>137|炮灰怪</t>
        </is>
      </c>
      <c r="B1230" t="n">
        <v>137</v>
      </c>
      <c r="C1230" t="inlineStr">
        <is>
          <t>炮灰怪</t>
        </is>
      </c>
      <c r="D1230" t="n">
        <v>10583</v>
      </c>
      <c r="E1230" t="n">
        <v>10485</v>
      </c>
      <c r="F1230" t="n">
        <v>12248</v>
      </c>
    </row>
    <row r="1231">
      <c r="A1231" t="inlineStr">
        <is>
          <t>137|精英怪</t>
        </is>
      </c>
      <c r="B1231" t="n">
        <v>137</v>
      </c>
      <c r="C1231" t="inlineStr">
        <is>
          <t>精英怪</t>
        </is>
      </c>
      <c r="D1231" t="n">
        <v>282188</v>
      </c>
      <c r="E1231" t="n">
        <v>10485</v>
      </c>
      <c r="F1231" t="n">
        <v>12248</v>
      </c>
    </row>
    <row r="1232">
      <c r="A1232" t="inlineStr">
        <is>
          <t>137|精英盾怪</t>
        </is>
      </c>
      <c r="B1232" t="n">
        <v>137</v>
      </c>
      <c r="C1232" t="inlineStr">
        <is>
          <t>精英盾怪</t>
        </is>
      </c>
      <c r="D1232" t="n">
        <v>634923</v>
      </c>
      <c r="E1232" t="n">
        <v>10485</v>
      </c>
      <c r="F1232" t="n">
        <v>12248</v>
      </c>
    </row>
    <row r="1233">
      <c r="A1233" t="inlineStr">
        <is>
          <t>137|Boss</t>
        </is>
      </c>
      <c r="B1233" t="n">
        <v>137</v>
      </c>
      <c r="C1233" t="inlineStr">
        <is>
          <t>Boss</t>
        </is>
      </c>
      <c r="D1233" t="n">
        <v>5856934</v>
      </c>
      <c r="E1233" t="n">
        <v>12125</v>
      </c>
      <c r="F1233" t="n">
        <v>12248</v>
      </c>
    </row>
    <row r="1234">
      <c r="A1234" t="inlineStr">
        <is>
          <t>137|装备副本Boss</t>
        </is>
      </c>
      <c r="B1234" t="n">
        <v>137</v>
      </c>
      <c r="C1234" t="inlineStr">
        <is>
          <t>装备副本Boss</t>
        </is>
      </c>
      <c r="D1234" t="n">
        <v>2928467</v>
      </c>
      <c r="E1234" t="n">
        <v>12125</v>
      </c>
      <c r="F1234" t="n">
        <v>12248</v>
      </c>
    </row>
    <row r="1235">
      <c r="A1235" t="inlineStr">
        <is>
          <t>138|普通怪</t>
        </is>
      </c>
      <c r="B1235" t="n">
        <v>138</v>
      </c>
      <c r="C1235" t="inlineStr">
        <is>
          <t>普通怪</t>
        </is>
      </c>
      <c r="D1235" t="n">
        <v>71646</v>
      </c>
      <c r="E1235" t="n">
        <v>10603</v>
      </c>
      <c r="F1235" t="n">
        <v>12353</v>
      </c>
    </row>
    <row r="1236">
      <c r="A1236" t="inlineStr">
        <is>
          <t>138|盾怪</t>
        </is>
      </c>
      <c r="B1236" t="n">
        <v>138</v>
      </c>
      <c r="C1236" t="inlineStr">
        <is>
          <t>盾怪</t>
        </is>
      </c>
      <c r="D1236" t="n">
        <v>214938</v>
      </c>
      <c r="E1236" t="n">
        <v>10603</v>
      </c>
      <c r="F1236" t="n">
        <v>12353</v>
      </c>
    </row>
    <row r="1237">
      <c r="A1237" t="inlineStr">
        <is>
          <t>138|二级普通怪</t>
        </is>
      </c>
      <c r="B1237" t="n">
        <v>138</v>
      </c>
      <c r="C1237" t="inlineStr">
        <is>
          <t>二级普通怪</t>
        </is>
      </c>
      <c r="D1237" t="n">
        <v>128963</v>
      </c>
      <c r="E1237" t="n">
        <v>10603</v>
      </c>
      <c r="F1237" t="n">
        <v>12353</v>
      </c>
    </row>
    <row r="1238">
      <c r="A1238" t="inlineStr">
        <is>
          <t>138|站桩怪</t>
        </is>
      </c>
      <c r="B1238" t="n">
        <v>138</v>
      </c>
      <c r="C1238" t="inlineStr">
        <is>
          <t>站桩怪</t>
        </is>
      </c>
      <c r="D1238" t="n">
        <v>35823</v>
      </c>
      <c r="E1238" t="n">
        <v>10603</v>
      </c>
      <c r="F1238" t="n">
        <v>12353</v>
      </c>
    </row>
    <row r="1239">
      <c r="A1239" t="inlineStr">
        <is>
          <t>138|炮灰怪</t>
        </is>
      </c>
      <c r="B1239" t="n">
        <v>138</v>
      </c>
      <c r="C1239" t="inlineStr">
        <is>
          <t>炮灰怪</t>
        </is>
      </c>
      <c r="D1239" t="n">
        <v>10747</v>
      </c>
      <c r="E1239" t="n">
        <v>10603</v>
      </c>
      <c r="F1239" t="n">
        <v>12353</v>
      </c>
    </row>
    <row r="1240">
      <c r="A1240" t="inlineStr">
        <is>
          <t>138|精英怪</t>
        </is>
      </c>
      <c r="B1240" t="n">
        <v>138</v>
      </c>
      <c r="C1240" t="inlineStr">
        <is>
          <t>精英怪</t>
        </is>
      </c>
      <c r="D1240" t="n">
        <v>286584</v>
      </c>
      <c r="E1240" t="n">
        <v>10603</v>
      </c>
      <c r="F1240" t="n">
        <v>12353</v>
      </c>
    </row>
    <row r="1241">
      <c r="A1241" t="inlineStr">
        <is>
          <t>138|精英盾怪</t>
        </is>
      </c>
      <c r="B1241" t="n">
        <v>138</v>
      </c>
      <c r="C1241" t="inlineStr">
        <is>
          <t>精英盾怪</t>
        </is>
      </c>
      <c r="D1241" t="n">
        <v>644814</v>
      </c>
      <c r="E1241" t="n">
        <v>10603</v>
      </c>
      <c r="F1241" t="n">
        <v>12353</v>
      </c>
    </row>
    <row r="1242">
      <c r="A1242" t="inlineStr">
        <is>
          <t>138|Boss</t>
        </is>
      </c>
      <c r="B1242" t="n">
        <v>138</v>
      </c>
      <c r="C1242" t="inlineStr">
        <is>
          <t>Boss</t>
        </is>
      </c>
      <c r="D1242" t="n">
        <v>5957735</v>
      </c>
      <c r="E1242" t="n">
        <v>12255</v>
      </c>
      <c r="F1242" t="n">
        <v>12353</v>
      </c>
    </row>
    <row r="1243">
      <c r="A1243" t="inlineStr">
        <is>
          <t>138|装备副本Boss</t>
        </is>
      </c>
      <c r="B1243" t="n">
        <v>138</v>
      </c>
      <c r="C1243" t="inlineStr">
        <is>
          <t>装备副本Boss</t>
        </is>
      </c>
      <c r="D1243" t="n">
        <v>2978868</v>
      </c>
      <c r="E1243" t="n">
        <v>12255</v>
      </c>
      <c r="F1243" t="n">
        <v>12353</v>
      </c>
    </row>
    <row r="1244">
      <c r="A1244" t="inlineStr">
        <is>
          <t>139|普通怪</t>
        </is>
      </c>
      <c r="B1244" t="n">
        <v>139</v>
      </c>
      <c r="C1244" t="inlineStr">
        <is>
          <t>普通怪</t>
        </is>
      </c>
      <c r="D1244" t="n">
        <v>72756</v>
      </c>
      <c r="E1244" t="n">
        <v>10722</v>
      </c>
      <c r="F1244" t="n">
        <v>12458</v>
      </c>
    </row>
    <row r="1245">
      <c r="A1245" t="inlineStr">
        <is>
          <t>139|盾怪</t>
        </is>
      </c>
      <c r="B1245" t="n">
        <v>139</v>
      </c>
      <c r="C1245" t="inlineStr">
        <is>
          <t>盾怪</t>
        </is>
      </c>
      <c r="D1245" t="n">
        <v>218268</v>
      </c>
      <c r="E1245" t="n">
        <v>10722</v>
      </c>
      <c r="F1245" t="n">
        <v>12458</v>
      </c>
    </row>
    <row r="1246">
      <c r="A1246" t="inlineStr">
        <is>
          <t>139|二级普通怪</t>
        </is>
      </c>
      <c r="B1246" t="n">
        <v>139</v>
      </c>
      <c r="C1246" t="inlineStr">
        <is>
          <t>二级普通怪</t>
        </is>
      </c>
      <c r="D1246" t="n">
        <v>130961</v>
      </c>
      <c r="E1246" t="n">
        <v>10722</v>
      </c>
      <c r="F1246" t="n">
        <v>12458</v>
      </c>
    </row>
    <row r="1247">
      <c r="A1247" t="inlineStr">
        <is>
          <t>139|站桩怪</t>
        </is>
      </c>
      <c r="B1247" t="n">
        <v>139</v>
      </c>
      <c r="C1247" t="inlineStr">
        <is>
          <t>站桩怪</t>
        </is>
      </c>
      <c r="D1247" t="n">
        <v>36378</v>
      </c>
      <c r="E1247" t="n">
        <v>10722</v>
      </c>
      <c r="F1247" t="n">
        <v>12458</v>
      </c>
    </row>
    <row r="1248">
      <c r="A1248" t="inlineStr">
        <is>
          <t>139|炮灰怪</t>
        </is>
      </c>
      <c r="B1248" t="n">
        <v>139</v>
      </c>
      <c r="C1248" t="inlineStr">
        <is>
          <t>炮灰怪</t>
        </is>
      </c>
      <c r="D1248" t="n">
        <v>10914</v>
      </c>
      <c r="E1248" t="n">
        <v>10722</v>
      </c>
      <c r="F1248" t="n">
        <v>12458</v>
      </c>
    </row>
    <row r="1249">
      <c r="A1249" t="inlineStr">
        <is>
          <t>139|精英怪</t>
        </is>
      </c>
      <c r="B1249" t="n">
        <v>139</v>
      </c>
      <c r="C1249" t="inlineStr">
        <is>
          <t>精英怪</t>
        </is>
      </c>
      <c r="D1249" t="n">
        <v>291024</v>
      </c>
      <c r="E1249" t="n">
        <v>10722</v>
      </c>
      <c r="F1249" t="n">
        <v>12458</v>
      </c>
    </row>
    <row r="1250">
      <c r="A1250" t="inlineStr">
        <is>
          <t>139|精英盾怪</t>
        </is>
      </c>
      <c r="B1250" t="n">
        <v>139</v>
      </c>
      <c r="C1250" t="inlineStr">
        <is>
          <t>精英盾怪</t>
        </is>
      </c>
      <c r="D1250" t="n">
        <v>654804</v>
      </c>
      <c r="E1250" t="n">
        <v>10722</v>
      </c>
      <c r="F1250" t="n">
        <v>12458</v>
      </c>
    </row>
    <row r="1251">
      <c r="A1251" t="inlineStr">
        <is>
          <t>139|Boss</t>
        </is>
      </c>
      <c r="B1251" t="n">
        <v>139</v>
      </c>
      <c r="C1251" t="inlineStr">
        <is>
          <t>Boss</t>
        </is>
      </c>
      <c r="D1251" t="n">
        <v>6059718</v>
      </c>
      <c r="E1251" t="n">
        <v>12387</v>
      </c>
      <c r="F1251" t="n">
        <v>12458</v>
      </c>
    </row>
    <row r="1252">
      <c r="A1252" t="inlineStr">
        <is>
          <t>139|装备副本Boss</t>
        </is>
      </c>
      <c r="B1252" t="n">
        <v>139</v>
      </c>
      <c r="C1252" t="inlineStr">
        <is>
          <t>装备副本Boss</t>
        </is>
      </c>
      <c r="D1252" t="n">
        <v>3029859</v>
      </c>
      <c r="E1252" t="n">
        <v>12387</v>
      </c>
      <c r="F1252" t="n">
        <v>12458</v>
      </c>
    </row>
    <row r="1253">
      <c r="A1253" t="inlineStr">
        <is>
          <t>140|普通怪</t>
        </is>
      </c>
      <c r="B1253" t="n">
        <v>140</v>
      </c>
      <c r="C1253" t="inlineStr">
        <is>
          <t>普通怪</t>
        </is>
      </c>
      <c r="D1253" t="n">
        <v>73878</v>
      </c>
      <c r="E1253" t="n">
        <v>10841</v>
      </c>
      <c r="F1253" t="n">
        <v>12564</v>
      </c>
    </row>
    <row r="1254">
      <c r="A1254" t="inlineStr">
        <is>
          <t>140|盾怪</t>
        </is>
      </c>
      <c r="B1254" t="n">
        <v>140</v>
      </c>
      <c r="C1254" t="inlineStr">
        <is>
          <t>盾怪</t>
        </is>
      </c>
      <c r="D1254" t="n">
        <v>221634</v>
      </c>
      <c r="E1254" t="n">
        <v>10841</v>
      </c>
      <c r="F1254" t="n">
        <v>12564</v>
      </c>
    </row>
    <row r="1255">
      <c r="A1255" t="inlineStr">
        <is>
          <t>140|二级普通怪</t>
        </is>
      </c>
      <c r="B1255" t="n">
        <v>140</v>
      </c>
      <c r="C1255" t="inlineStr">
        <is>
          <t>二级普通怪</t>
        </is>
      </c>
      <c r="D1255" t="n">
        <v>132981</v>
      </c>
      <c r="E1255" t="n">
        <v>10841</v>
      </c>
      <c r="F1255" t="n">
        <v>12564</v>
      </c>
    </row>
    <row r="1256">
      <c r="A1256" t="inlineStr">
        <is>
          <t>140|站桩怪</t>
        </is>
      </c>
      <c r="B1256" t="n">
        <v>140</v>
      </c>
      <c r="C1256" t="inlineStr">
        <is>
          <t>站桩怪</t>
        </is>
      </c>
      <c r="D1256" t="n">
        <v>36939</v>
      </c>
      <c r="E1256" t="n">
        <v>10841</v>
      </c>
      <c r="F1256" t="n">
        <v>12564</v>
      </c>
    </row>
    <row r="1257">
      <c r="A1257" t="inlineStr">
        <is>
          <t>140|炮灰怪</t>
        </is>
      </c>
      <c r="B1257" t="n">
        <v>140</v>
      </c>
      <c r="C1257" t="inlineStr">
        <is>
          <t>炮灰怪</t>
        </is>
      </c>
      <c r="D1257" t="n">
        <v>11082</v>
      </c>
      <c r="E1257" t="n">
        <v>10841</v>
      </c>
      <c r="F1257" t="n">
        <v>12564</v>
      </c>
    </row>
    <row r="1258">
      <c r="A1258" t="inlineStr">
        <is>
          <t>140|精英怪</t>
        </is>
      </c>
      <c r="B1258" t="n">
        <v>140</v>
      </c>
      <c r="C1258" t="inlineStr">
        <is>
          <t>精英怪</t>
        </is>
      </c>
      <c r="D1258" t="n">
        <v>295512</v>
      </c>
      <c r="E1258" t="n">
        <v>10841</v>
      </c>
      <c r="F1258" t="n">
        <v>12564</v>
      </c>
    </row>
    <row r="1259">
      <c r="A1259" t="inlineStr">
        <is>
          <t>140|精英盾怪</t>
        </is>
      </c>
      <c r="B1259" t="n">
        <v>140</v>
      </c>
      <c r="C1259" t="inlineStr">
        <is>
          <t>精英盾怪</t>
        </is>
      </c>
      <c r="D1259" t="n">
        <v>664902</v>
      </c>
      <c r="E1259" t="n">
        <v>10841</v>
      </c>
      <c r="F1259" t="n">
        <v>12564</v>
      </c>
    </row>
    <row r="1260">
      <c r="A1260" t="inlineStr">
        <is>
          <t>140|Boss</t>
        </is>
      </c>
      <c r="B1260" t="n">
        <v>140</v>
      </c>
      <c r="C1260" t="inlineStr">
        <is>
          <t>Boss</t>
        </is>
      </c>
      <c r="D1260" t="n">
        <v>6162934</v>
      </c>
      <c r="E1260" t="n">
        <v>12519</v>
      </c>
      <c r="F1260" t="n">
        <v>12564</v>
      </c>
    </row>
    <row r="1261">
      <c r="A1261" t="inlineStr">
        <is>
          <t>140|装备副本Boss</t>
        </is>
      </c>
      <c r="B1261" t="n">
        <v>140</v>
      </c>
      <c r="C1261" t="inlineStr">
        <is>
          <t>装备副本Boss</t>
        </is>
      </c>
      <c r="D1261" t="n">
        <v>3081467</v>
      </c>
      <c r="E1261" t="n">
        <v>12519</v>
      </c>
      <c r="F1261" t="n">
        <v>12564</v>
      </c>
    </row>
    <row r="1262">
      <c r="A1262" t="inlineStr">
        <is>
          <t>141|普通怪</t>
        </is>
      </c>
      <c r="B1262" t="n">
        <v>141</v>
      </c>
      <c r="C1262" t="inlineStr">
        <is>
          <t>普通怪</t>
        </is>
      </c>
      <c r="D1262" t="n">
        <v>75012</v>
      </c>
      <c r="E1262" t="n">
        <v>10961</v>
      </c>
      <c r="F1262" t="n">
        <v>12670</v>
      </c>
    </row>
    <row r="1263">
      <c r="A1263" t="inlineStr">
        <is>
          <t>141|盾怪</t>
        </is>
      </c>
      <c r="B1263" t="n">
        <v>141</v>
      </c>
      <c r="C1263" t="inlineStr">
        <is>
          <t>盾怪</t>
        </is>
      </c>
      <c r="D1263" t="n">
        <v>225036</v>
      </c>
      <c r="E1263" t="n">
        <v>10961</v>
      </c>
      <c r="F1263" t="n">
        <v>12670</v>
      </c>
    </row>
    <row r="1264">
      <c r="A1264" t="inlineStr">
        <is>
          <t>141|二级普通怪</t>
        </is>
      </c>
      <c r="B1264" t="n">
        <v>141</v>
      </c>
      <c r="C1264" t="inlineStr">
        <is>
          <t>二级普通怪</t>
        </is>
      </c>
      <c r="D1264" t="n">
        <v>135022</v>
      </c>
      <c r="E1264" t="n">
        <v>10961</v>
      </c>
      <c r="F1264" t="n">
        <v>12670</v>
      </c>
    </row>
    <row r="1265">
      <c r="A1265" t="inlineStr">
        <is>
          <t>141|站桩怪</t>
        </is>
      </c>
      <c r="B1265" t="n">
        <v>141</v>
      </c>
      <c r="C1265" t="inlineStr">
        <is>
          <t>站桩怪</t>
        </is>
      </c>
      <c r="D1265" t="n">
        <v>37506</v>
      </c>
      <c r="E1265" t="n">
        <v>10961</v>
      </c>
      <c r="F1265" t="n">
        <v>12670</v>
      </c>
    </row>
    <row r="1266">
      <c r="A1266" t="inlineStr">
        <is>
          <t>141|炮灰怪</t>
        </is>
      </c>
      <c r="B1266" t="n">
        <v>141</v>
      </c>
      <c r="C1266" t="inlineStr">
        <is>
          <t>炮灰怪</t>
        </is>
      </c>
      <c r="D1266" t="n">
        <v>11252</v>
      </c>
      <c r="E1266" t="n">
        <v>10961</v>
      </c>
      <c r="F1266" t="n">
        <v>12670</v>
      </c>
    </row>
    <row r="1267">
      <c r="A1267" t="inlineStr">
        <is>
          <t>141|精英怪</t>
        </is>
      </c>
      <c r="B1267" t="n">
        <v>141</v>
      </c>
      <c r="C1267" t="inlineStr">
        <is>
          <t>精英怪</t>
        </is>
      </c>
      <c r="D1267" t="n">
        <v>300048</v>
      </c>
      <c r="E1267" t="n">
        <v>10961</v>
      </c>
      <c r="F1267" t="n">
        <v>12670</v>
      </c>
    </row>
    <row r="1268">
      <c r="A1268" t="inlineStr">
        <is>
          <t>141|精英盾怪</t>
        </is>
      </c>
      <c r="B1268" t="n">
        <v>141</v>
      </c>
      <c r="C1268" t="inlineStr">
        <is>
          <t>精英盾怪</t>
        </is>
      </c>
      <c r="D1268" t="n">
        <v>675108</v>
      </c>
      <c r="E1268" t="n">
        <v>10961</v>
      </c>
      <c r="F1268" t="n">
        <v>12670</v>
      </c>
    </row>
    <row r="1269">
      <c r="A1269" t="inlineStr">
        <is>
          <t>141|Boss</t>
        </is>
      </c>
      <c r="B1269" t="n">
        <v>141</v>
      </c>
      <c r="C1269" t="inlineStr">
        <is>
          <t>Boss</t>
        </is>
      </c>
      <c r="D1269" t="n">
        <v>6267382</v>
      </c>
      <c r="E1269" t="n">
        <v>12652</v>
      </c>
      <c r="F1269" t="n">
        <v>12670</v>
      </c>
    </row>
    <row r="1270">
      <c r="A1270" t="inlineStr">
        <is>
          <t>141|装备副本Boss</t>
        </is>
      </c>
      <c r="B1270" t="n">
        <v>141</v>
      </c>
      <c r="C1270" t="inlineStr">
        <is>
          <t>装备副本Boss</t>
        </is>
      </c>
      <c r="D1270" t="n">
        <v>3133691</v>
      </c>
      <c r="E1270" t="n">
        <v>12652</v>
      </c>
      <c r="F1270" t="n">
        <v>12670</v>
      </c>
    </row>
    <row r="1271">
      <c r="A1271" t="inlineStr">
        <is>
          <t>142|普通怪</t>
        </is>
      </c>
      <c r="B1271" t="n">
        <v>142</v>
      </c>
      <c r="C1271" t="inlineStr">
        <is>
          <t>普通怪</t>
        </is>
      </c>
      <c r="D1271" t="n">
        <v>76159</v>
      </c>
      <c r="E1271" t="n">
        <v>11081</v>
      </c>
      <c r="F1271" t="n">
        <v>12776</v>
      </c>
    </row>
    <row r="1272">
      <c r="A1272" t="inlineStr">
        <is>
          <t>142|盾怪</t>
        </is>
      </c>
      <c r="B1272" t="n">
        <v>142</v>
      </c>
      <c r="C1272" t="inlineStr">
        <is>
          <t>盾怪</t>
        </is>
      </c>
      <c r="D1272" t="n">
        <v>228477</v>
      </c>
      <c r="E1272" t="n">
        <v>11081</v>
      </c>
      <c r="F1272" t="n">
        <v>12776</v>
      </c>
    </row>
    <row r="1273">
      <c r="A1273" t="inlineStr">
        <is>
          <t>142|二级普通怪</t>
        </is>
      </c>
      <c r="B1273" t="n">
        <v>142</v>
      </c>
      <c r="C1273" t="inlineStr">
        <is>
          <t>二级普通怪</t>
        </is>
      </c>
      <c r="D1273" t="n">
        <v>137087</v>
      </c>
      <c r="E1273" t="n">
        <v>11081</v>
      </c>
      <c r="F1273" t="n">
        <v>12776</v>
      </c>
    </row>
    <row r="1274">
      <c r="A1274" t="inlineStr">
        <is>
          <t>142|站桩怪</t>
        </is>
      </c>
      <c r="B1274" t="n">
        <v>142</v>
      </c>
      <c r="C1274" t="inlineStr">
        <is>
          <t>站桩怪</t>
        </is>
      </c>
      <c r="D1274" t="n">
        <v>38080</v>
      </c>
      <c r="E1274" t="n">
        <v>11081</v>
      </c>
      <c r="F1274" t="n">
        <v>12776</v>
      </c>
    </row>
    <row r="1275">
      <c r="A1275" t="inlineStr">
        <is>
          <t>142|炮灰怪</t>
        </is>
      </c>
      <c r="B1275" t="n">
        <v>142</v>
      </c>
      <c r="C1275" t="inlineStr">
        <is>
          <t>炮灰怪</t>
        </is>
      </c>
      <c r="D1275" t="n">
        <v>11424</v>
      </c>
      <c r="E1275" t="n">
        <v>11081</v>
      </c>
      <c r="F1275" t="n">
        <v>12776</v>
      </c>
    </row>
    <row r="1276">
      <c r="A1276" t="inlineStr">
        <is>
          <t>142|精英怪</t>
        </is>
      </c>
      <c r="B1276" t="n">
        <v>142</v>
      </c>
      <c r="C1276" t="inlineStr">
        <is>
          <t>精英怪</t>
        </is>
      </c>
      <c r="D1276" t="n">
        <v>304636</v>
      </c>
      <c r="E1276" t="n">
        <v>11081</v>
      </c>
      <c r="F1276" t="n">
        <v>12776</v>
      </c>
    </row>
    <row r="1277">
      <c r="A1277" t="inlineStr">
        <is>
          <t>142|精英盾怪</t>
        </is>
      </c>
      <c r="B1277" t="n">
        <v>142</v>
      </c>
      <c r="C1277" t="inlineStr">
        <is>
          <t>精英盾怪</t>
        </is>
      </c>
      <c r="D1277" t="n">
        <v>685431</v>
      </c>
      <c r="E1277" t="n">
        <v>11081</v>
      </c>
      <c r="F1277" t="n">
        <v>12776</v>
      </c>
    </row>
    <row r="1278">
      <c r="A1278" t="inlineStr">
        <is>
          <t>142|Boss</t>
        </is>
      </c>
      <c r="B1278" t="n">
        <v>142</v>
      </c>
      <c r="C1278" t="inlineStr">
        <is>
          <t>Boss</t>
        </is>
      </c>
      <c r="D1278" t="n">
        <v>6373062</v>
      </c>
      <c r="E1278" t="n">
        <v>12785</v>
      </c>
      <c r="F1278" t="n">
        <v>12776</v>
      </c>
    </row>
    <row r="1279">
      <c r="A1279" t="inlineStr">
        <is>
          <t>142|装备副本Boss</t>
        </is>
      </c>
      <c r="B1279" t="n">
        <v>142</v>
      </c>
      <c r="C1279" t="inlineStr">
        <is>
          <t>装备副本Boss</t>
        </is>
      </c>
      <c r="D1279" t="n">
        <v>3186531</v>
      </c>
      <c r="E1279" t="n">
        <v>12785</v>
      </c>
      <c r="F1279" t="n">
        <v>12776</v>
      </c>
    </row>
    <row r="1280">
      <c r="A1280" t="inlineStr">
        <is>
          <t>143|普通怪</t>
        </is>
      </c>
      <c r="B1280" t="n">
        <v>143</v>
      </c>
      <c r="C1280" t="inlineStr">
        <is>
          <t>普通怪</t>
        </is>
      </c>
      <c r="D1280" t="n">
        <v>77318</v>
      </c>
      <c r="E1280" t="n">
        <v>11203</v>
      </c>
      <c r="F1280" t="n">
        <v>12882</v>
      </c>
    </row>
    <row r="1281">
      <c r="A1281" t="inlineStr">
        <is>
          <t>143|盾怪</t>
        </is>
      </c>
      <c r="B1281" t="n">
        <v>143</v>
      </c>
      <c r="C1281" t="inlineStr">
        <is>
          <t>盾怪</t>
        </is>
      </c>
      <c r="D1281" t="n">
        <v>231954</v>
      </c>
      <c r="E1281" t="n">
        <v>11203</v>
      </c>
      <c r="F1281" t="n">
        <v>12882</v>
      </c>
    </row>
    <row r="1282">
      <c r="A1282" t="inlineStr">
        <is>
          <t>143|二级普通怪</t>
        </is>
      </c>
      <c r="B1282" t="n">
        <v>143</v>
      </c>
      <c r="C1282" t="inlineStr">
        <is>
          <t>二级普通怪</t>
        </is>
      </c>
      <c r="D1282" t="n">
        <v>139173</v>
      </c>
      <c r="E1282" t="n">
        <v>11203</v>
      </c>
      <c r="F1282" t="n">
        <v>12882</v>
      </c>
    </row>
    <row r="1283">
      <c r="A1283" t="inlineStr">
        <is>
          <t>143|站桩怪</t>
        </is>
      </c>
      <c r="B1283" t="n">
        <v>143</v>
      </c>
      <c r="C1283" t="inlineStr">
        <is>
          <t>站桩怪</t>
        </is>
      </c>
      <c r="D1283" t="n">
        <v>38659</v>
      </c>
      <c r="E1283" t="n">
        <v>11203</v>
      </c>
      <c r="F1283" t="n">
        <v>12882</v>
      </c>
    </row>
    <row r="1284">
      <c r="A1284" t="inlineStr">
        <is>
          <t>143|炮灰怪</t>
        </is>
      </c>
      <c r="B1284" t="n">
        <v>143</v>
      </c>
      <c r="C1284" t="inlineStr">
        <is>
          <t>炮灰怪</t>
        </is>
      </c>
      <c r="D1284" t="n">
        <v>11598</v>
      </c>
      <c r="E1284" t="n">
        <v>11203</v>
      </c>
      <c r="F1284" t="n">
        <v>12882</v>
      </c>
    </row>
    <row r="1285">
      <c r="A1285" t="inlineStr">
        <is>
          <t>143|精英怪</t>
        </is>
      </c>
      <c r="B1285" t="n">
        <v>143</v>
      </c>
      <c r="C1285" t="inlineStr">
        <is>
          <t>精英怪</t>
        </is>
      </c>
      <c r="D1285" t="n">
        <v>309272</v>
      </c>
      <c r="E1285" t="n">
        <v>11203</v>
      </c>
      <c r="F1285" t="n">
        <v>12882</v>
      </c>
    </row>
    <row r="1286">
      <c r="A1286" t="inlineStr">
        <is>
          <t>143|精英盾怪</t>
        </is>
      </c>
      <c r="B1286" t="n">
        <v>143</v>
      </c>
      <c r="C1286" t="inlineStr">
        <is>
          <t>精英盾怪</t>
        </is>
      </c>
      <c r="D1286" t="n">
        <v>695862</v>
      </c>
      <c r="E1286" t="n">
        <v>11203</v>
      </c>
      <c r="F1286" t="n">
        <v>12882</v>
      </c>
    </row>
    <row r="1287">
      <c r="A1287" t="inlineStr">
        <is>
          <t>143|Boss</t>
        </is>
      </c>
      <c r="B1287" t="n">
        <v>143</v>
      </c>
      <c r="C1287" t="inlineStr">
        <is>
          <t>Boss</t>
        </is>
      </c>
      <c r="D1287" t="n">
        <v>6479973</v>
      </c>
      <c r="E1287" t="n">
        <v>12920</v>
      </c>
      <c r="F1287" t="n">
        <v>12882</v>
      </c>
    </row>
    <row r="1288">
      <c r="A1288" t="inlineStr">
        <is>
          <t>143|装备副本Boss</t>
        </is>
      </c>
      <c r="B1288" t="n">
        <v>143</v>
      </c>
      <c r="C1288" t="inlineStr">
        <is>
          <t>装备副本Boss</t>
        </is>
      </c>
      <c r="D1288" t="n">
        <v>3239987</v>
      </c>
      <c r="E1288" t="n">
        <v>12920</v>
      </c>
      <c r="F1288" t="n">
        <v>12882</v>
      </c>
    </row>
    <row r="1289">
      <c r="A1289" t="inlineStr">
        <is>
          <t>144|普通怪</t>
        </is>
      </c>
      <c r="B1289" t="n">
        <v>144</v>
      </c>
      <c r="C1289" t="inlineStr">
        <is>
          <t>普通怪</t>
        </is>
      </c>
      <c r="D1289" t="n">
        <v>78489</v>
      </c>
      <c r="E1289" t="n">
        <v>11325</v>
      </c>
      <c r="F1289" t="n">
        <v>12988</v>
      </c>
    </row>
    <row r="1290">
      <c r="A1290" t="inlineStr">
        <is>
          <t>144|盾怪</t>
        </is>
      </c>
      <c r="B1290" t="n">
        <v>144</v>
      </c>
      <c r="C1290" t="inlineStr">
        <is>
          <t>盾怪</t>
        </is>
      </c>
      <c r="D1290" t="n">
        <v>235467</v>
      </c>
      <c r="E1290" t="n">
        <v>11325</v>
      </c>
      <c r="F1290" t="n">
        <v>12988</v>
      </c>
    </row>
    <row r="1291">
      <c r="A1291" t="inlineStr">
        <is>
          <t>144|二级普通怪</t>
        </is>
      </c>
      <c r="B1291" t="n">
        <v>144</v>
      </c>
      <c r="C1291" t="inlineStr">
        <is>
          <t>二级普通怪</t>
        </is>
      </c>
      <c r="D1291" t="n">
        <v>141281</v>
      </c>
      <c r="E1291" t="n">
        <v>11325</v>
      </c>
      <c r="F1291" t="n">
        <v>12988</v>
      </c>
    </row>
    <row r="1292">
      <c r="A1292" t="inlineStr">
        <is>
          <t>144|站桩怪</t>
        </is>
      </c>
      <c r="B1292" t="n">
        <v>144</v>
      </c>
      <c r="C1292" t="inlineStr">
        <is>
          <t>站桩怪</t>
        </is>
      </c>
      <c r="D1292" t="n">
        <v>39245</v>
      </c>
      <c r="E1292" t="n">
        <v>11325</v>
      </c>
      <c r="F1292" t="n">
        <v>12988</v>
      </c>
    </row>
    <row r="1293">
      <c r="A1293" t="inlineStr">
        <is>
          <t>144|炮灰怪</t>
        </is>
      </c>
      <c r="B1293" t="n">
        <v>144</v>
      </c>
      <c r="C1293" t="inlineStr">
        <is>
          <t>炮灰怪</t>
        </is>
      </c>
      <c r="D1293" t="n">
        <v>11774</v>
      </c>
      <c r="E1293" t="n">
        <v>11325</v>
      </c>
      <c r="F1293" t="n">
        <v>12988</v>
      </c>
    </row>
    <row r="1294">
      <c r="A1294" t="inlineStr">
        <is>
          <t>144|精英怪</t>
        </is>
      </c>
      <c r="B1294" t="n">
        <v>144</v>
      </c>
      <c r="C1294" t="inlineStr">
        <is>
          <t>精英怪</t>
        </is>
      </c>
      <c r="D1294" t="n">
        <v>313956</v>
      </c>
      <c r="E1294" t="n">
        <v>11325</v>
      </c>
      <c r="F1294" t="n">
        <v>12988</v>
      </c>
    </row>
    <row r="1295">
      <c r="A1295" t="inlineStr">
        <is>
          <t>144|精英盾怪</t>
        </is>
      </c>
      <c r="B1295" t="n">
        <v>144</v>
      </c>
      <c r="C1295" t="inlineStr">
        <is>
          <t>精英盾怪</t>
        </is>
      </c>
      <c r="D1295" t="n">
        <v>706401</v>
      </c>
      <c r="E1295" t="n">
        <v>11325</v>
      </c>
      <c r="F1295" t="n">
        <v>12988</v>
      </c>
    </row>
    <row r="1296">
      <c r="A1296" t="inlineStr">
        <is>
          <t>144|Boss</t>
        </is>
      </c>
      <c r="B1296" t="n">
        <v>144</v>
      </c>
      <c r="C1296" t="inlineStr">
        <is>
          <t>Boss</t>
        </is>
      </c>
      <c r="D1296" t="n">
        <v>6588167</v>
      </c>
      <c r="E1296" t="n">
        <v>13055</v>
      </c>
      <c r="F1296" t="n">
        <v>12988</v>
      </c>
    </row>
    <row r="1297">
      <c r="A1297" t="inlineStr">
        <is>
          <t>144|装备副本Boss</t>
        </is>
      </c>
      <c r="B1297" t="n">
        <v>144</v>
      </c>
      <c r="C1297" t="inlineStr">
        <is>
          <t>装备副本Boss</t>
        </is>
      </c>
      <c r="D1297" t="n">
        <v>3294084</v>
      </c>
      <c r="E1297" t="n">
        <v>13055</v>
      </c>
      <c r="F1297" t="n">
        <v>12988</v>
      </c>
    </row>
    <row r="1298">
      <c r="A1298" t="inlineStr">
        <is>
          <t>145|普通怪</t>
        </is>
      </c>
      <c r="B1298" t="n">
        <v>145</v>
      </c>
      <c r="C1298" t="inlineStr">
        <is>
          <t>普通怪</t>
        </is>
      </c>
      <c r="D1298" t="n">
        <v>79672</v>
      </c>
      <c r="E1298" t="n">
        <v>11448</v>
      </c>
      <c r="F1298" t="n">
        <v>13095</v>
      </c>
    </row>
    <row r="1299">
      <c r="A1299" t="inlineStr">
        <is>
          <t>145|盾怪</t>
        </is>
      </c>
      <c r="B1299" t="n">
        <v>145</v>
      </c>
      <c r="C1299" t="inlineStr">
        <is>
          <t>盾怪</t>
        </is>
      </c>
      <c r="D1299" t="n">
        <v>239016</v>
      </c>
      <c r="E1299" t="n">
        <v>11448</v>
      </c>
      <c r="F1299" t="n">
        <v>13095</v>
      </c>
    </row>
    <row r="1300">
      <c r="A1300" t="inlineStr">
        <is>
          <t>145|二级普通怪</t>
        </is>
      </c>
      <c r="B1300" t="n">
        <v>145</v>
      </c>
      <c r="C1300" t="inlineStr">
        <is>
          <t>二级普通怪</t>
        </is>
      </c>
      <c r="D1300" t="n">
        <v>143410</v>
      </c>
      <c r="E1300" t="n">
        <v>11448</v>
      </c>
      <c r="F1300" t="n">
        <v>13095</v>
      </c>
    </row>
    <row r="1301">
      <c r="A1301" t="inlineStr">
        <is>
          <t>145|站桩怪</t>
        </is>
      </c>
      <c r="B1301" t="n">
        <v>145</v>
      </c>
      <c r="C1301" t="inlineStr">
        <is>
          <t>站桩怪</t>
        </is>
      </c>
      <c r="D1301" t="n">
        <v>39836</v>
      </c>
      <c r="E1301" t="n">
        <v>11448</v>
      </c>
      <c r="F1301" t="n">
        <v>13095</v>
      </c>
    </row>
    <row r="1302">
      <c r="A1302" t="inlineStr">
        <is>
          <t>145|炮灰怪</t>
        </is>
      </c>
      <c r="B1302" t="n">
        <v>145</v>
      </c>
      <c r="C1302" t="inlineStr">
        <is>
          <t>炮灰怪</t>
        </is>
      </c>
      <c r="D1302" t="n">
        <v>11951</v>
      </c>
      <c r="E1302" t="n">
        <v>11448</v>
      </c>
      <c r="F1302" t="n">
        <v>13095</v>
      </c>
    </row>
    <row r="1303">
      <c r="A1303" t="inlineStr">
        <is>
          <t>145|精英怪</t>
        </is>
      </c>
      <c r="B1303" t="n">
        <v>145</v>
      </c>
      <c r="C1303" t="inlineStr">
        <is>
          <t>精英怪</t>
        </is>
      </c>
      <c r="D1303" t="n">
        <v>318688</v>
      </c>
      <c r="E1303" t="n">
        <v>11448</v>
      </c>
      <c r="F1303" t="n">
        <v>13095</v>
      </c>
    </row>
    <row r="1304">
      <c r="A1304" t="inlineStr">
        <is>
          <t>145|精英盾怪</t>
        </is>
      </c>
      <c r="B1304" t="n">
        <v>145</v>
      </c>
      <c r="C1304" t="inlineStr">
        <is>
          <t>精英盾怪</t>
        </is>
      </c>
      <c r="D1304" t="n">
        <v>717048</v>
      </c>
      <c r="E1304" t="n">
        <v>11448</v>
      </c>
      <c r="F1304" t="n">
        <v>13095</v>
      </c>
    </row>
    <row r="1305">
      <c r="A1305" t="inlineStr">
        <is>
          <t>145|Boss</t>
        </is>
      </c>
      <c r="B1305" t="n">
        <v>145</v>
      </c>
      <c r="C1305" t="inlineStr">
        <is>
          <t>Boss</t>
        </is>
      </c>
      <c r="D1305" t="n">
        <v>6697593</v>
      </c>
      <c r="E1305" t="n">
        <v>13191</v>
      </c>
      <c r="F1305" t="n">
        <v>13095</v>
      </c>
    </row>
    <row r="1306">
      <c r="A1306" t="inlineStr">
        <is>
          <t>145|装备副本Boss</t>
        </is>
      </c>
      <c r="B1306" t="n">
        <v>145</v>
      </c>
      <c r="C1306" t="inlineStr">
        <is>
          <t>装备副本Boss</t>
        </is>
      </c>
      <c r="D1306" t="n">
        <v>3348797</v>
      </c>
      <c r="E1306" t="n">
        <v>13191</v>
      </c>
      <c r="F1306" t="n">
        <v>13095</v>
      </c>
    </row>
    <row r="1307">
      <c r="A1307" t="inlineStr">
        <is>
          <t>146|普通怪</t>
        </is>
      </c>
      <c r="B1307" t="n">
        <v>146</v>
      </c>
      <c r="C1307" t="inlineStr">
        <is>
          <t>普通怪</t>
        </is>
      </c>
      <c r="D1307" t="n">
        <v>80869</v>
      </c>
      <c r="E1307" t="n">
        <v>11571</v>
      </c>
      <c r="F1307" t="n">
        <v>13202</v>
      </c>
    </row>
    <row r="1308">
      <c r="A1308" t="inlineStr">
        <is>
          <t>146|盾怪</t>
        </is>
      </c>
      <c r="B1308" t="n">
        <v>146</v>
      </c>
      <c r="C1308" t="inlineStr">
        <is>
          <t>盾怪</t>
        </is>
      </c>
      <c r="D1308" t="n">
        <v>242607</v>
      </c>
      <c r="E1308" t="n">
        <v>11571</v>
      </c>
      <c r="F1308" t="n">
        <v>13202</v>
      </c>
    </row>
    <row r="1309">
      <c r="A1309" t="inlineStr">
        <is>
          <t>146|二级普通怪</t>
        </is>
      </c>
      <c r="B1309" t="n">
        <v>146</v>
      </c>
      <c r="C1309" t="inlineStr">
        <is>
          <t>二级普通怪</t>
        </is>
      </c>
      <c r="D1309" t="n">
        <v>145565</v>
      </c>
      <c r="E1309" t="n">
        <v>11571</v>
      </c>
      <c r="F1309" t="n">
        <v>13202</v>
      </c>
    </row>
    <row r="1310">
      <c r="A1310" t="inlineStr">
        <is>
          <t>146|站桩怪</t>
        </is>
      </c>
      <c r="B1310" t="n">
        <v>146</v>
      </c>
      <c r="C1310" t="inlineStr">
        <is>
          <t>站桩怪</t>
        </is>
      </c>
      <c r="D1310" t="n">
        <v>40435</v>
      </c>
      <c r="E1310" t="n">
        <v>11571</v>
      </c>
      <c r="F1310" t="n">
        <v>13202</v>
      </c>
    </row>
    <row r="1311">
      <c r="A1311" t="inlineStr">
        <is>
          <t>146|炮灰怪</t>
        </is>
      </c>
      <c r="B1311" t="n">
        <v>146</v>
      </c>
      <c r="C1311" t="inlineStr">
        <is>
          <t>炮灰怪</t>
        </is>
      </c>
      <c r="D1311" t="n">
        <v>12131</v>
      </c>
      <c r="E1311" t="n">
        <v>11571</v>
      </c>
      <c r="F1311" t="n">
        <v>13202</v>
      </c>
    </row>
    <row r="1312">
      <c r="A1312" t="inlineStr">
        <is>
          <t>146|精英怪</t>
        </is>
      </c>
      <c r="B1312" t="n">
        <v>146</v>
      </c>
      <c r="C1312" t="inlineStr">
        <is>
          <t>精英怪</t>
        </is>
      </c>
      <c r="D1312" t="n">
        <v>323476</v>
      </c>
      <c r="E1312" t="n">
        <v>11571</v>
      </c>
      <c r="F1312" t="n">
        <v>13202</v>
      </c>
    </row>
    <row r="1313">
      <c r="A1313" t="inlineStr">
        <is>
          <t>146|精英盾怪</t>
        </is>
      </c>
      <c r="B1313" t="n">
        <v>146</v>
      </c>
      <c r="C1313" t="inlineStr">
        <is>
          <t>精英盾怪</t>
        </is>
      </c>
      <c r="D1313" t="n">
        <v>727821</v>
      </c>
      <c r="E1313" t="n">
        <v>11571</v>
      </c>
      <c r="F1313" t="n">
        <v>13202</v>
      </c>
    </row>
    <row r="1314">
      <c r="A1314" t="inlineStr">
        <is>
          <t>146|Boss</t>
        </is>
      </c>
      <c r="B1314" t="n">
        <v>146</v>
      </c>
      <c r="C1314" t="inlineStr">
        <is>
          <t>Boss</t>
        </is>
      </c>
      <c r="D1314" t="n">
        <v>6808301</v>
      </c>
      <c r="E1314" t="n">
        <v>13328</v>
      </c>
      <c r="F1314" t="n">
        <v>13202</v>
      </c>
    </row>
    <row r="1315">
      <c r="A1315" t="inlineStr">
        <is>
          <t>146|装备副本Boss</t>
        </is>
      </c>
      <c r="B1315" t="n">
        <v>146</v>
      </c>
      <c r="C1315" t="inlineStr">
        <is>
          <t>装备副本Boss</t>
        </is>
      </c>
      <c r="D1315" t="n">
        <v>3404150</v>
      </c>
      <c r="E1315" t="n">
        <v>13328</v>
      </c>
      <c r="F1315" t="n">
        <v>13202</v>
      </c>
    </row>
    <row r="1316">
      <c r="A1316" t="inlineStr">
        <is>
          <t>147|普通怪</t>
        </is>
      </c>
      <c r="B1316" t="n">
        <v>147</v>
      </c>
      <c r="C1316" t="inlineStr">
        <is>
          <t>普通怪</t>
        </is>
      </c>
      <c r="D1316" t="n">
        <v>82077</v>
      </c>
      <c r="E1316" t="n">
        <v>11695</v>
      </c>
      <c r="F1316" t="n">
        <v>13309</v>
      </c>
    </row>
    <row r="1317">
      <c r="A1317" t="inlineStr">
        <is>
          <t>147|盾怪</t>
        </is>
      </c>
      <c r="B1317" t="n">
        <v>147</v>
      </c>
      <c r="C1317" t="inlineStr">
        <is>
          <t>盾怪</t>
        </is>
      </c>
      <c r="D1317" t="n">
        <v>246231</v>
      </c>
      <c r="E1317" t="n">
        <v>11695</v>
      </c>
      <c r="F1317" t="n">
        <v>13309</v>
      </c>
    </row>
    <row r="1318">
      <c r="A1318" t="inlineStr">
        <is>
          <t>147|二级普通怪</t>
        </is>
      </c>
      <c r="B1318" t="n">
        <v>147</v>
      </c>
      <c r="C1318" t="inlineStr">
        <is>
          <t>二级普通怪</t>
        </is>
      </c>
      <c r="D1318" t="n">
        <v>147739</v>
      </c>
      <c r="E1318" t="n">
        <v>11695</v>
      </c>
      <c r="F1318" t="n">
        <v>13309</v>
      </c>
    </row>
    <row r="1319">
      <c r="A1319" t="inlineStr">
        <is>
          <t>147|站桩怪</t>
        </is>
      </c>
      <c r="B1319" t="n">
        <v>147</v>
      </c>
      <c r="C1319" t="inlineStr">
        <is>
          <t>站桩怪</t>
        </is>
      </c>
      <c r="D1319" t="n">
        <v>41039</v>
      </c>
      <c r="E1319" t="n">
        <v>11695</v>
      </c>
      <c r="F1319" t="n">
        <v>13309</v>
      </c>
    </row>
    <row r="1320">
      <c r="A1320" t="inlineStr">
        <is>
          <t>147|炮灰怪</t>
        </is>
      </c>
      <c r="B1320" t="n">
        <v>147</v>
      </c>
      <c r="C1320" t="inlineStr">
        <is>
          <t>炮灰怪</t>
        </is>
      </c>
      <c r="D1320" t="n">
        <v>12312</v>
      </c>
      <c r="E1320" t="n">
        <v>11695</v>
      </c>
      <c r="F1320" t="n">
        <v>13309</v>
      </c>
    </row>
    <row r="1321">
      <c r="A1321" t="inlineStr">
        <is>
          <t>147|精英怪</t>
        </is>
      </c>
      <c r="B1321" t="n">
        <v>147</v>
      </c>
      <c r="C1321" t="inlineStr">
        <is>
          <t>精英怪</t>
        </is>
      </c>
      <c r="D1321" t="n">
        <v>328308</v>
      </c>
      <c r="E1321" t="n">
        <v>11695</v>
      </c>
      <c r="F1321" t="n">
        <v>13309</v>
      </c>
    </row>
    <row r="1322">
      <c r="A1322" t="inlineStr">
        <is>
          <t>147|精英盾怪</t>
        </is>
      </c>
      <c r="B1322" t="n">
        <v>147</v>
      </c>
      <c r="C1322" t="inlineStr">
        <is>
          <t>精英盾怪</t>
        </is>
      </c>
      <c r="D1322" t="n">
        <v>738693</v>
      </c>
      <c r="E1322" t="n">
        <v>11695</v>
      </c>
      <c r="F1322" t="n">
        <v>13309</v>
      </c>
    </row>
    <row r="1323">
      <c r="A1323" t="inlineStr">
        <is>
          <t>147|Boss</t>
        </is>
      </c>
      <c r="B1323" t="n">
        <v>147</v>
      </c>
      <c r="C1323" t="inlineStr">
        <is>
          <t>Boss</t>
        </is>
      </c>
      <c r="D1323" t="n">
        <v>6920342</v>
      </c>
      <c r="E1323" t="n">
        <v>13465</v>
      </c>
      <c r="F1323" t="n">
        <v>13309</v>
      </c>
    </row>
    <row r="1324">
      <c r="A1324" t="inlineStr">
        <is>
          <t>147|装备副本Boss</t>
        </is>
      </c>
      <c r="B1324" t="n">
        <v>147</v>
      </c>
      <c r="C1324" t="inlineStr">
        <is>
          <t>装备副本Boss</t>
        </is>
      </c>
      <c r="D1324" t="n">
        <v>3460171</v>
      </c>
      <c r="E1324" t="n">
        <v>13465</v>
      </c>
      <c r="F1324" t="n">
        <v>13309</v>
      </c>
    </row>
    <row r="1325">
      <c r="A1325" t="inlineStr">
        <is>
          <t>148|普通怪</t>
        </is>
      </c>
      <c r="B1325" t="n">
        <v>148</v>
      </c>
      <c r="C1325" t="inlineStr">
        <is>
          <t>普通怪</t>
        </is>
      </c>
      <c r="D1325" t="n">
        <v>83299</v>
      </c>
      <c r="E1325" t="n">
        <v>11821</v>
      </c>
      <c r="F1325" t="n">
        <v>13417</v>
      </c>
    </row>
    <row r="1326">
      <c r="A1326" t="inlineStr">
        <is>
          <t>148|盾怪</t>
        </is>
      </c>
      <c r="B1326" t="n">
        <v>148</v>
      </c>
      <c r="C1326" t="inlineStr">
        <is>
          <t>盾怪</t>
        </is>
      </c>
      <c r="D1326" t="n">
        <v>249897</v>
      </c>
      <c r="E1326" t="n">
        <v>11821</v>
      </c>
      <c r="F1326" t="n">
        <v>13417</v>
      </c>
    </row>
    <row r="1327">
      <c r="A1327" t="inlineStr">
        <is>
          <t>148|二级普通怪</t>
        </is>
      </c>
      <c r="B1327" t="n">
        <v>148</v>
      </c>
      <c r="C1327" t="inlineStr">
        <is>
          <t>二级普通怪</t>
        </is>
      </c>
      <c r="D1327" t="n">
        <v>149939</v>
      </c>
      <c r="E1327" t="n">
        <v>11821</v>
      </c>
      <c r="F1327" t="n">
        <v>13417</v>
      </c>
    </row>
    <row r="1328">
      <c r="A1328" t="inlineStr">
        <is>
          <t>148|站桩怪</t>
        </is>
      </c>
      <c r="B1328" t="n">
        <v>148</v>
      </c>
      <c r="C1328" t="inlineStr">
        <is>
          <t>站桩怪</t>
        </is>
      </c>
      <c r="D1328" t="n">
        <v>41650</v>
      </c>
      <c r="E1328" t="n">
        <v>11821</v>
      </c>
      <c r="F1328" t="n">
        <v>13417</v>
      </c>
    </row>
    <row r="1329">
      <c r="A1329" t="inlineStr">
        <is>
          <t>148|炮灰怪</t>
        </is>
      </c>
      <c r="B1329" t="n">
        <v>148</v>
      </c>
      <c r="C1329" t="inlineStr">
        <is>
          <t>炮灰怪</t>
        </is>
      </c>
      <c r="D1329" t="n">
        <v>12495</v>
      </c>
      <c r="E1329" t="n">
        <v>11821</v>
      </c>
      <c r="F1329" t="n">
        <v>13417</v>
      </c>
    </row>
    <row r="1330">
      <c r="A1330" t="inlineStr">
        <is>
          <t>148|精英怪</t>
        </is>
      </c>
      <c r="B1330" t="n">
        <v>148</v>
      </c>
      <c r="C1330" t="inlineStr">
        <is>
          <t>精英怪</t>
        </is>
      </c>
      <c r="D1330" t="n">
        <v>333196</v>
      </c>
      <c r="E1330" t="n">
        <v>11821</v>
      </c>
      <c r="F1330" t="n">
        <v>13417</v>
      </c>
    </row>
    <row r="1331">
      <c r="A1331" t="inlineStr">
        <is>
          <t>148|精英盾怪</t>
        </is>
      </c>
      <c r="B1331" t="n">
        <v>148</v>
      </c>
      <c r="C1331" t="inlineStr">
        <is>
          <t>精英盾怪</t>
        </is>
      </c>
      <c r="D1331" t="n">
        <v>749691</v>
      </c>
      <c r="E1331" t="n">
        <v>11821</v>
      </c>
      <c r="F1331" t="n">
        <v>13417</v>
      </c>
    </row>
    <row r="1332">
      <c r="A1332" t="inlineStr">
        <is>
          <t>148|Boss</t>
        </is>
      </c>
      <c r="B1332" t="n">
        <v>148</v>
      </c>
      <c r="C1332" t="inlineStr">
        <is>
          <t>Boss</t>
        </is>
      </c>
      <c r="D1332" t="n">
        <v>7033613</v>
      </c>
      <c r="E1332" t="n">
        <v>13604</v>
      </c>
      <c r="F1332" t="n">
        <v>13417</v>
      </c>
    </row>
    <row r="1333">
      <c r="A1333" t="inlineStr">
        <is>
          <t>148|装备副本Boss</t>
        </is>
      </c>
      <c r="B1333" t="n">
        <v>148</v>
      </c>
      <c r="C1333" t="inlineStr">
        <is>
          <t>装备副本Boss</t>
        </is>
      </c>
      <c r="D1333" t="n">
        <v>3516807</v>
      </c>
      <c r="E1333" t="n">
        <v>13604</v>
      </c>
      <c r="F1333" t="n">
        <v>13417</v>
      </c>
    </row>
    <row r="1334">
      <c r="A1334" t="inlineStr">
        <is>
          <t>149|普通怪</t>
        </is>
      </c>
      <c r="B1334" t="n">
        <v>149</v>
      </c>
      <c r="C1334" t="inlineStr">
        <is>
          <t>普通怪</t>
        </is>
      </c>
      <c r="D1334" t="n">
        <v>84533</v>
      </c>
      <c r="E1334" t="n">
        <v>11947</v>
      </c>
      <c r="F1334" t="n">
        <v>13524</v>
      </c>
    </row>
    <row r="1335">
      <c r="A1335" t="inlineStr">
        <is>
          <t>149|盾怪</t>
        </is>
      </c>
      <c r="B1335" t="n">
        <v>149</v>
      </c>
      <c r="C1335" t="inlineStr">
        <is>
          <t>盾怪</t>
        </is>
      </c>
      <c r="D1335" t="n">
        <v>253599</v>
      </c>
      <c r="E1335" t="n">
        <v>11947</v>
      </c>
      <c r="F1335" t="n">
        <v>13524</v>
      </c>
    </row>
    <row r="1336">
      <c r="A1336" t="inlineStr">
        <is>
          <t>149|二级普通怪</t>
        </is>
      </c>
      <c r="B1336" t="n">
        <v>149</v>
      </c>
      <c r="C1336" t="inlineStr">
        <is>
          <t>二级普通怪</t>
        </is>
      </c>
      <c r="D1336" t="n">
        <v>152160</v>
      </c>
      <c r="E1336" t="n">
        <v>11947</v>
      </c>
      <c r="F1336" t="n">
        <v>13524</v>
      </c>
    </row>
    <row r="1337">
      <c r="A1337" t="inlineStr">
        <is>
          <t>149|站桩怪</t>
        </is>
      </c>
      <c r="B1337" t="n">
        <v>149</v>
      </c>
      <c r="C1337" t="inlineStr">
        <is>
          <t>站桩怪</t>
        </is>
      </c>
      <c r="D1337" t="n">
        <v>42267</v>
      </c>
      <c r="E1337" t="n">
        <v>11947</v>
      </c>
      <c r="F1337" t="n">
        <v>13524</v>
      </c>
    </row>
    <row r="1338">
      <c r="A1338" t="inlineStr">
        <is>
          <t>149|炮灰怪</t>
        </is>
      </c>
      <c r="B1338" t="n">
        <v>149</v>
      </c>
      <c r="C1338" t="inlineStr">
        <is>
          <t>炮灰怪</t>
        </is>
      </c>
      <c r="D1338" t="n">
        <v>12680</v>
      </c>
      <c r="E1338" t="n">
        <v>11947</v>
      </c>
      <c r="F1338" t="n">
        <v>13524</v>
      </c>
    </row>
    <row r="1339">
      <c r="A1339" t="inlineStr">
        <is>
          <t>149|精英怪</t>
        </is>
      </c>
      <c r="B1339" t="n">
        <v>149</v>
      </c>
      <c r="C1339" t="inlineStr">
        <is>
          <t>精英怪</t>
        </is>
      </c>
      <c r="D1339" t="n">
        <v>338132</v>
      </c>
      <c r="E1339" t="n">
        <v>11947</v>
      </c>
      <c r="F1339" t="n">
        <v>13524</v>
      </c>
    </row>
    <row r="1340">
      <c r="A1340" t="inlineStr">
        <is>
          <t>149|精英盾怪</t>
        </is>
      </c>
      <c r="B1340" t="n">
        <v>149</v>
      </c>
      <c r="C1340" t="inlineStr">
        <is>
          <t>精英盾怪</t>
        </is>
      </c>
      <c r="D1340" t="n">
        <v>760797</v>
      </c>
      <c r="E1340" t="n">
        <v>11947</v>
      </c>
      <c r="F1340" t="n">
        <v>13524</v>
      </c>
    </row>
    <row r="1341">
      <c r="A1341" t="inlineStr">
        <is>
          <t>149|Boss</t>
        </is>
      </c>
      <c r="B1341" t="n">
        <v>149</v>
      </c>
      <c r="C1341" t="inlineStr">
        <is>
          <t>Boss</t>
        </is>
      </c>
      <c r="D1341" t="n">
        <v>7148217</v>
      </c>
      <c r="E1341" t="n">
        <v>13743</v>
      </c>
      <c r="F1341" t="n">
        <v>13524</v>
      </c>
    </row>
    <row r="1342">
      <c r="A1342" t="inlineStr">
        <is>
          <t>149|装备副本Boss</t>
        </is>
      </c>
      <c r="B1342" t="n">
        <v>149</v>
      </c>
      <c r="C1342" t="inlineStr">
        <is>
          <t>装备副本Boss</t>
        </is>
      </c>
      <c r="D1342" t="n">
        <v>3574109</v>
      </c>
      <c r="E1342" t="n">
        <v>13743</v>
      </c>
      <c r="F1342" t="n">
        <v>13524</v>
      </c>
    </row>
    <row r="1343">
      <c r="A1343" t="inlineStr">
        <is>
          <t>150|普通怪</t>
        </is>
      </c>
      <c r="B1343" t="n">
        <v>150</v>
      </c>
      <c r="C1343" t="inlineStr">
        <is>
          <t>普通怪</t>
        </is>
      </c>
      <c r="D1343" t="n">
        <v>85780</v>
      </c>
      <c r="E1343" t="n">
        <v>12074</v>
      </c>
      <c r="F1343" t="n">
        <v>13632</v>
      </c>
    </row>
    <row r="1344">
      <c r="A1344" t="inlineStr">
        <is>
          <t>150|盾怪</t>
        </is>
      </c>
      <c r="B1344" t="n">
        <v>150</v>
      </c>
      <c r="C1344" t="inlineStr">
        <is>
          <t>盾怪</t>
        </is>
      </c>
      <c r="D1344" t="n">
        <v>257340</v>
      </c>
      <c r="E1344" t="n">
        <v>12074</v>
      </c>
      <c r="F1344" t="n">
        <v>13632</v>
      </c>
    </row>
    <row r="1345">
      <c r="A1345" t="inlineStr">
        <is>
          <t>150|二级普通怪</t>
        </is>
      </c>
      <c r="B1345" t="n">
        <v>150</v>
      </c>
      <c r="C1345" t="inlineStr">
        <is>
          <t>二级普通怪</t>
        </is>
      </c>
      <c r="D1345" t="n">
        <v>154404</v>
      </c>
      <c r="E1345" t="n">
        <v>12074</v>
      </c>
      <c r="F1345" t="n">
        <v>13632</v>
      </c>
    </row>
    <row r="1346">
      <c r="A1346" t="inlineStr">
        <is>
          <t>150|站桩怪</t>
        </is>
      </c>
      <c r="B1346" t="n">
        <v>150</v>
      </c>
      <c r="C1346" t="inlineStr">
        <is>
          <t>站桩怪</t>
        </is>
      </c>
      <c r="D1346" t="n">
        <v>42890</v>
      </c>
      <c r="E1346" t="n">
        <v>12074</v>
      </c>
      <c r="F1346" t="n">
        <v>13632</v>
      </c>
    </row>
    <row r="1347">
      <c r="A1347" t="inlineStr">
        <is>
          <t>150|炮灰怪</t>
        </is>
      </c>
      <c r="B1347" t="n">
        <v>150</v>
      </c>
      <c r="C1347" t="inlineStr">
        <is>
          <t>炮灰怪</t>
        </is>
      </c>
      <c r="D1347" t="n">
        <v>12867</v>
      </c>
      <c r="E1347" t="n">
        <v>12074</v>
      </c>
      <c r="F1347" t="n">
        <v>13632</v>
      </c>
    </row>
    <row r="1348">
      <c r="A1348" t="inlineStr">
        <is>
          <t>150|精英怪</t>
        </is>
      </c>
      <c r="B1348" t="n">
        <v>150</v>
      </c>
      <c r="C1348" t="inlineStr">
        <is>
          <t>精英怪</t>
        </is>
      </c>
      <c r="D1348" t="n">
        <v>343120</v>
      </c>
      <c r="E1348" t="n">
        <v>12074</v>
      </c>
      <c r="F1348" t="n">
        <v>13632</v>
      </c>
    </row>
    <row r="1349">
      <c r="A1349" t="inlineStr">
        <is>
          <t>150|精英盾怪</t>
        </is>
      </c>
      <c r="B1349" t="n">
        <v>150</v>
      </c>
      <c r="C1349" t="inlineStr">
        <is>
          <t>精英盾怪</t>
        </is>
      </c>
      <c r="D1349" t="n">
        <v>772020</v>
      </c>
      <c r="E1349" t="n">
        <v>12074</v>
      </c>
      <c r="F1349" t="n">
        <v>13632</v>
      </c>
    </row>
    <row r="1350">
      <c r="A1350" t="inlineStr">
        <is>
          <t>150|Boss</t>
        </is>
      </c>
      <c r="B1350" t="n">
        <v>150</v>
      </c>
      <c r="C1350" t="inlineStr">
        <is>
          <t>Boss</t>
        </is>
      </c>
      <c r="D1350" t="n">
        <v>7264154</v>
      </c>
      <c r="E1350" t="n">
        <v>13883</v>
      </c>
      <c r="F1350" t="n">
        <v>13632</v>
      </c>
    </row>
    <row r="1351">
      <c r="A1351" t="inlineStr">
        <is>
          <t>150|装备副本Boss</t>
        </is>
      </c>
      <c r="B1351" t="n">
        <v>150</v>
      </c>
      <c r="C1351" t="inlineStr">
        <is>
          <t>装备副本Boss</t>
        </is>
      </c>
      <c r="D1351" t="n">
        <v>3632077</v>
      </c>
      <c r="E1351" t="n">
        <v>13883</v>
      </c>
      <c r="F1351" t="n">
        <v>13632</v>
      </c>
    </row>
    <row r="1352">
      <c r="A1352" t="inlineStr">
        <is>
          <t>151|普通怪</t>
        </is>
      </c>
      <c r="B1352" t="n">
        <v>151</v>
      </c>
      <c r="C1352" t="inlineStr">
        <is>
          <t>普通怪</t>
        </is>
      </c>
      <c r="D1352" t="n">
        <v>87041</v>
      </c>
      <c r="E1352" t="n">
        <v>12202</v>
      </c>
      <c r="F1352" t="n">
        <v>13740</v>
      </c>
    </row>
    <row r="1353">
      <c r="A1353" t="inlineStr">
        <is>
          <t>151|盾怪</t>
        </is>
      </c>
      <c r="B1353" t="n">
        <v>151</v>
      </c>
      <c r="C1353" t="inlineStr">
        <is>
          <t>盾怪</t>
        </is>
      </c>
      <c r="D1353" t="n">
        <v>261123</v>
      </c>
      <c r="E1353" t="n">
        <v>12202</v>
      </c>
      <c r="F1353" t="n">
        <v>13740</v>
      </c>
    </row>
    <row r="1354">
      <c r="A1354" t="inlineStr">
        <is>
          <t>151|二级普通怪</t>
        </is>
      </c>
      <c r="B1354" t="n">
        <v>151</v>
      </c>
      <c r="C1354" t="inlineStr">
        <is>
          <t>二级普通怪</t>
        </is>
      </c>
      <c r="D1354" t="n">
        <v>156674</v>
      </c>
      <c r="E1354" t="n">
        <v>12202</v>
      </c>
      <c r="F1354" t="n">
        <v>13740</v>
      </c>
    </row>
    <row r="1355">
      <c r="A1355" t="inlineStr">
        <is>
          <t>151|站桩怪</t>
        </is>
      </c>
      <c r="B1355" t="n">
        <v>151</v>
      </c>
      <c r="C1355" t="inlineStr">
        <is>
          <t>站桩怪</t>
        </is>
      </c>
      <c r="D1355" t="n">
        <v>43521</v>
      </c>
      <c r="E1355" t="n">
        <v>12202</v>
      </c>
      <c r="F1355" t="n">
        <v>13740</v>
      </c>
    </row>
    <row r="1356">
      <c r="A1356" t="inlineStr">
        <is>
          <t>151|炮灰怪</t>
        </is>
      </c>
      <c r="B1356" t="n">
        <v>151</v>
      </c>
      <c r="C1356" t="inlineStr">
        <is>
          <t>炮灰怪</t>
        </is>
      </c>
      <c r="D1356" t="n">
        <v>13057</v>
      </c>
      <c r="E1356" t="n">
        <v>12202</v>
      </c>
      <c r="F1356" t="n">
        <v>13740</v>
      </c>
    </row>
    <row r="1357">
      <c r="A1357" t="inlineStr">
        <is>
          <t>151|精英怪</t>
        </is>
      </c>
      <c r="B1357" t="n">
        <v>151</v>
      </c>
      <c r="C1357" t="inlineStr">
        <is>
          <t>精英怪</t>
        </is>
      </c>
      <c r="D1357" t="n">
        <v>348164</v>
      </c>
      <c r="E1357" t="n">
        <v>12202</v>
      </c>
      <c r="F1357" t="n">
        <v>13740</v>
      </c>
    </row>
    <row r="1358">
      <c r="A1358" t="inlineStr">
        <is>
          <t>151|精英盾怪</t>
        </is>
      </c>
      <c r="B1358" t="n">
        <v>151</v>
      </c>
      <c r="C1358" t="inlineStr">
        <is>
          <t>精英盾怪</t>
        </is>
      </c>
      <c r="D1358" t="n">
        <v>783369</v>
      </c>
      <c r="E1358" t="n">
        <v>12202</v>
      </c>
      <c r="F1358" t="n">
        <v>13740</v>
      </c>
    </row>
    <row r="1359">
      <c r="A1359" t="inlineStr">
        <is>
          <t>151|Boss</t>
        </is>
      </c>
      <c r="B1359" t="n">
        <v>151</v>
      </c>
      <c r="C1359" t="inlineStr">
        <is>
          <t>Boss</t>
        </is>
      </c>
      <c r="D1359" t="n">
        <v>7381371</v>
      </c>
      <c r="E1359" t="n">
        <v>14024</v>
      </c>
      <c r="F1359" t="n">
        <v>13740</v>
      </c>
    </row>
    <row r="1360">
      <c r="A1360" t="inlineStr">
        <is>
          <t>151|装备副本Boss</t>
        </is>
      </c>
      <c r="B1360" t="n">
        <v>151</v>
      </c>
      <c r="C1360" t="inlineStr">
        <is>
          <t>装备副本Boss</t>
        </is>
      </c>
      <c r="D1360" t="n">
        <v>3690686</v>
      </c>
      <c r="E1360" t="n">
        <v>14024</v>
      </c>
      <c r="F1360" t="n">
        <v>13740</v>
      </c>
    </row>
    <row r="1361">
      <c r="A1361" t="inlineStr">
        <is>
          <t>152|普通怪</t>
        </is>
      </c>
      <c r="B1361" t="n">
        <v>152</v>
      </c>
      <c r="C1361" t="inlineStr">
        <is>
          <t>普通怪</t>
        </is>
      </c>
      <c r="D1361" t="n">
        <v>88314</v>
      </c>
      <c r="E1361" t="n">
        <v>12330</v>
      </c>
      <c r="F1361" t="n">
        <v>13848</v>
      </c>
    </row>
    <row r="1362">
      <c r="A1362" t="inlineStr">
        <is>
          <t>152|盾怪</t>
        </is>
      </c>
      <c r="B1362" t="n">
        <v>152</v>
      </c>
      <c r="C1362" t="inlineStr">
        <is>
          <t>盾怪</t>
        </is>
      </c>
      <c r="D1362" t="n">
        <v>264942</v>
      </c>
      <c r="E1362" t="n">
        <v>12330</v>
      </c>
      <c r="F1362" t="n">
        <v>13848</v>
      </c>
    </row>
    <row r="1363">
      <c r="A1363" t="inlineStr">
        <is>
          <t>152|二级普通怪</t>
        </is>
      </c>
      <c r="B1363" t="n">
        <v>152</v>
      </c>
      <c r="C1363" t="inlineStr">
        <is>
          <t>二级普通怪</t>
        </is>
      </c>
      <c r="D1363" t="n">
        <v>158966</v>
      </c>
      <c r="E1363" t="n">
        <v>12330</v>
      </c>
      <c r="F1363" t="n">
        <v>13848</v>
      </c>
    </row>
    <row r="1364">
      <c r="A1364" t="inlineStr">
        <is>
          <t>152|站桩怪</t>
        </is>
      </c>
      <c r="B1364" t="n">
        <v>152</v>
      </c>
      <c r="C1364" t="inlineStr">
        <is>
          <t>站桩怪</t>
        </is>
      </c>
      <c r="D1364" t="n">
        <v>44157</v>
      </c>
      <c r="E1364" t="n">
        <v>12330</v>
      </c>
      <c r="F1364" t="n">
        <v>13848</v>
      </c>
    </row>
    <row r="1365">
      <c r="A1365" t="inlineStr">
        <is>
          <t>152|炮灰怪</t>
        </is>
      </c>
      <c r="B1365" t="n">
        <v>152</v>
      </c>
      <c r="C1365" t="inlineStr">
        <is>
          <t>炮灰怪</t>
        </is>
      </c>
      <c r="D1365" t="n">
        <v>13248</v>
      </c>
      <c r="E1365" t="n">
        <v>12330</v>
      </c>
      <c r="F1365" t="n">
        <v>13848</v>
      </c>
    </row>
    <row r="1366">
      <c r="A1366" t="inlineStr">
        <is>
          <t>152|精英怪</t>
        </is>
      </c>
      <c r="B1366" t="n">
        <v>152</v>
      </c>
      <c r="C1366" t="inlineStr">
        <is>
          <t>精英怪</t>
        </is>
      </c>
      <c r="D1366" t="n">
        <v>353256</v>
      </c>
      <c r="E1366" t="n">
        <v>12330</v>
      </c>
      <c r="F1366" t="n">
        <v>13848</v>
      </c>
    </row>
    <row r="1367">
      <c r="A1367" t="inlineStr">
        <is>
          <t>152|精英盾怪</t>
        </is>
      </c>
      <c r="B1367" t="n">
        <v>152</v>
      </c>
      <c r="C1367" t="inlineStr">
        <is>
          <t>精英盾怪</t>
        </is>
      </c>
      <c r="D1367" t="n">
        <v>794826</v>
      </c>
      <c r="E1367" t="n">
        <v>12330</v>
      </c>
      <c r="F1367" t="n">
        <v>13848</v>
      </c>
    </row>
    <row r="1368">
      <c r="A1368" t="inlineStr">
        <is>
          <t>152|Boss</t>
        </is>
      </c>
      <c r="B1368" t="n">
        <v>152</v>
      </c>
      <c r="C1368" t="inlineStr">
        <is>
          <t>Boss</t>
        </is>
      </c>
      <c r="D1368" t="n">
        <v>7499972</v>
      </c>
      <c r="E1368" t="n">
        <v>14165</v>
      </c>
      <c r="F1368" t="n">
        <v>13848</v>
      </c>
    </row>
    <row r="1369">
      <c r="A1369" t="inlineStr">
        <is>
          <t>152|装备副本Boss</t>
        </is>
      </c>
      <c r="B1369" t="n">
        <v>152</v>
      </c>
      <c r="C1369" t="inlineStr">
        <is>
          <t>装备副本Boss</t>
        </is>
      </c>
      <c r="D1369" t="n">
        <v>3749986</v>
      </c>
      <c r="E1369" t="n">
        <v>14165</v>
      </c>
      <c r="F1369" t="n">
        <v>13848</v>
      </c>
    </row>
    <row r="1370">
      <c r="A1370" t="inlineStr">
        <is>
          <t>153|普通怪</t>
        </is>
      </c>
      <c r="B1370" t="n">
        <v>153</v>
      </c>
      <c r="C1370" t="inlineStr">
        <is>
          <t>普通怪</t>
        </is>
      </c>
      <c r="D1370" t="n">
        <v>89600</v>
      </c>
      <c r="E1370" t="n">
        <v>12459</v>
      </c>
      <c r="F1370" t="n">
        <v>13957</v>
      </c>
    </row>
    <row r="1371">
      <c r="A1371" t="inlineStr">
        <is>
          <t>153|盾怪</t>
        </is>
      </c>
      <c r="B1371" t="n">
        <v>153</v>
      </c>
      <c r="C1371" t="inlineStr">
        <is>
          <t>盾怪</t>
        </is>
      </c>
      <c r="D1371" t="n">
        <v>268800</v>
      </c>
      <c r="E1371" t="n">
        <v>12459</v>
      </c>
      <c r="F1371" t="n">
        <v>13957</v>
      </c>
    </row>
    <row r="1372">
      <c r="A1372" t="inlineStr">
        <is>
          <t>153|二级普通怪</t>
        </is>
      </c>
      <c r="B1372" t="n">
        <v>153</v>
      </c>
      <c r="C1372" t="inlineStr">
        <is>
          <t>二级普通怪</t>
        </is>
      </c>
      <c r="D1372" t="n">
        <v>161280</v>
      </c>
      <c r="E1372" t="n">
        <v>12459</v>
      </c>
      <c r="F1372" t="n">
        <v>13957</v>
      </c>
    </row>
    <row r="1373">
      <c r="A1373" t="inlineStr">
        <is>
          <t>153|站桩怪</t>
        </is>
      </c>
      <c r="B1373" t="n">
        <v>153</v>
      </c>
      <c r="C1373" t="inlineStr">
        <is>
          <t>站桩怪</t>
        </is>
      </c>
      <c r="D1373" t="n">
        <v>44800</v>
      </c>
      <c r="E1373" t="n">
        <v>12459</v>
      </c>
      <c r="F1373" t="n">
        <v>13957</v>
      </c>
    </row>
    <row r="1374">
      <c r="A1374" t="inlineStr">
        <is>
          <t>153|炮灰怪</t>
        </is>
      </c>
      <c r="B1374" t="n">
        <v>153</v>
      </c>
      <c r="C1374" t="inlineStr">
        <is>
          <t>炮灰怪</t>
        </is>
      </c>
      <c r="D1374" t="n">
        <v>13440</v>
      </c>
      <c r="E1374" t="n">
        <v>12459</v>
      </c>
      <c r="F1374" t="n">
        <v>13957</v>
      </c>
    </row>
    <row r="1375">
      <c r="A1375" t="inlineStr">
        <is>
          <t>153|精英怪</t>
        </is>
      </c>
      <c r="B1375" t="n">
        <v>153</v>
      </c>
      <c r="C1375" t="inlineStr">
        <is>
          <t>精英怪</t>
        </is>
      </c>
      <c r="D1375" t="n">
        <v>358400</v>
      </c>
      <c r="E1375" t="n">
        <v>12459</v>
      </c>
      <c r="F1375" t="n">
        <v>13957</v>
      </c>
    </row>
    <row r="1376">
      <c r="A1376" t="inlineStr">
        <is>
          <t>153|精英盾怪</t>
        </is>
      </c>
      <c r="B1376" t="n">
        <v>153</v>
      </c>
      <c r="C1376" t="inlineStr">
        <is>
          <t>精英盾怪</t>
        </is>
      </c>
      <c r="D1376" t="n">
        <v>806400</v>
      </c>
      <c r="E1376" t="n">
        <v>12459</v>
      </c>
      <c r="F1376" t="n">
        <v>13957</v>
      </c>
    </row>
    <row r="1377">
      <c r="A1377" t="inlineStr">
        <is>
          <t>153|Boss</t>
        </is>
      </c>
      <c r="B1377" t="n">
        <v>153</v>
      </c>
      <c r="C1377" t="inlineStr">
        <is>
          <t>Boss</t>
        </is>
      </c>
      <c r="D1377" t="n">
        <v>7619853</v>
      </c>
      <c r="E1377" t="n">
        <v>14308</v>
      </c>
      <c r="F1377" t="n">
        <v>13957</v>
      </c>
    </row>
    <row r="1378">
      <c r="A1378" t="inlineStr">
        <is>
          <t>153|装备副本Boss</t>
        </is>
      </c>
      <c r="B1378" t="n">
        <v>153</v>
      </c>
      <c r="C1378" t="inlineStr">
        <is>
          <t>装备副本Boss</t>
        </is>
      </c>
      <c r="D1378" t="n">
        <v>3809927</v>
      </c>
      <c r="E1378" t="n">
        <v>14308</v>
      </c>
      <c r="F1378" t="n">
        <v>13957</v>
      </c>
    </row>
    <row r="1379">
      <c r="A1379" t="inlineStr">
        <is>
          <t>154|普通怪</t>
        </is>
      </c>
      <c r="B1379" t="n">
        <v>154</v>
      </c>
      <c r="C1379" t="inlineStr">
        <is>
          <t>普通怪</t>
        </is>
      </c>
      <c r="D1379" t="n">
        <v>90900</v>
      </c>
      <c r="E1379" t="n">
        <v>12589</v>
      </c>
      <c r="F1379" t="n">
        <v>14066</v>
      </c>
    </row>
    <row r="1380">
      <c r="A1380" t="inlineStr">
        <is>
          <t>154|盾怪</t>
        </is>
      </c>
      <c r="B1380" t="n">
        <v>154</v>
      </c>
      <c r="C1380" t="inlineStr">
        <is>
          <t>盾怪</t>
        </is>
      </c>
      <c r="D1380" t="n">
        <v>272700</v>
      </c>
      <c r="E1380" t="n">
        <v>12589</v>
      </c>
      <c r="F1380" t="n">
        <v>14066</v>
      </c>
    </row>
    <row r="1381">
      <c r="A1381" t="inlineStr">
        <is>
          <t>154|二级普通怪</t>
        </is>
      </c>
      <c r="B1381" t="n">
        <v>154</v>
      </c>
      <c r="C1381" t="inlineStr">
        <is>
          <t>二级普通怪</t>
        </is>
      </c>
      <c r="D1381" t="n">
        <v>163620</v>
      </c>
      <c r="E1381" t="n">
        <v>12589</v>
      </c>
      <c r="F1381" t="n">
        <v>14066</v>
      </c>
    </row>
    <row r="1382">
      <c r="A1382" t="inlineStr">
        <is>
          <t>154|站桩怪</t>
        </is>
      </c>
      <c r="B1382" t="n">
        <v>154</v>
      </c>
      <c r="C1382" t="inlineStr">
        <is>
          <t>站桩怪</t>
        </is>
      </c>
      <c r="D1382" t="n">
        <v>45450</v>
      </c>
      <c r="E1382" t="n">
        <v>12589</v>
      </c>
      <c r="F1382" t="n">
        <v>14066</v>
      </c>
    </row>
    <row r="1383">
      <c r="A1383" t="inlineStr">
        <is>
          <t>154|炮灰怪</t>
        </is>
      </c>
      <c r="B1383" t="n">
        <v>154</v>
      </c>
      <c r="C1383" t="inlineStr">
        <is>
          <t>炮灰怪</t>
        </is>
      </c>
      <c r="D1383" t="n">
        <v>13635</v>
      </c>
      <c r="E1383" t="n">
        <v>12589</v>
      </c>
      <c r="F1383" t="n">
        <v>14066</v>
      </c>
    </row>
    <row r="1384">
      <c r="A1384" t="inlineStr">
        <is>
          <t>154|精英怪</t>
        </is>
      </c>
      <c r="B1384" t="n">
        <v>154</v>
      </c>
      <c r="C1384" t="inlineStr">
        <is>
          <t>精英怪</t>
        </is>
      </c>
      <c r="D1384" t="n">
        <v>363600</v>
      </c>
      <c r="E1384" t="n">
        <v>12589</v>
      </c>
      <c r="F1384" t="n">
        <v>14066</v>
      </c>
    </row>
    <row r="1385">
      <c r="A1385" t="inlineStr">
        <is>
          <t>154|精英盾怪</t>
        </is>
      </c>
      <c r="B1385" t="n">
        <v>154</v>
      </c>
      <c r="C1385" t="inlineStr">
        <is>
          <t>精英盾怪</t>
        </is>
      </c>
      <c r="D1385" t="n">
        <v>818100</v>
      </c>
      <c r="E1385" t="n">
        <v>12589</v>
      </c>
      <c r="F1385" t="n">
        <v>14066</v>
      </c>
    </row>
    <row r="1386">
      <c r="A1386" t="inlineStr">
        <is>
          <t>154|Boss</t>
        </is>
      </c>
      <c r="B1386" t="n">
        <v>154</v>
      </c>
      <c r="C1386" t="inlineStr">
        <is>
          <t>Boss</t>
        </is>
      </c>
      <c r="D1386" t="n">
        <v>7741117</v>
      </c>
      <c r="E1386" t="n">
        <v>14451</v>
      </c>
      <c r="F1386" t="n">
        <v>14066</v>
      </c>
    </row>
    <row r="1387">
      <c r="A1387" t="inlineStr">
        <is>
          <t>154|装备副本Boss</t>
        </is>
      </c>
      <c r="B1387" t="n">
        <v>154</v>
      </c>
      <c r="C1387" t="inlineStr">
        <is>
          <t>装备副本Boss</t>
        </is>
      </c>
      <c r="D1387" t="n">
        <v>3870559</v>
      </c>
      <c r="E1387" t="n">
        <v>14451</v>
      </c>
      <c r="F1387" t="n">
        <v>14066</v>
      </c>
    </row>
    <row r="1388">
      <c r="A1388" t="inlineStr">
        <is>
          <t>155|普通怪</t>
        </is>
      </c>
      <c r="B1388" t="n">
        <v>155</v>
      </c>
      <c r="C1388" t="inlineStr">
        <is>
          <t>普通怪</t>
        </is>
      </c>
      <c r="D1388" t="n">
        <v>92213</v>
      </c>
      <c r="E1388" t="n">
        <v>12720</v>
      </c>
      <c r="F1388" t="n">
        <v>14175</v>
      </c>
    </row>
    <row r="1389">
      <c r="A1389" t="inlineStr">
        <is>
          <t>155|盾怪</t>
        </is>
      </c>
      <c r="B1389" t="n">
        <v>155</v>
      </c>
      <c r="C1389" t="inlineStr">
        <is>
          <t>盾怪</t>
        </is>
      </c>
      <c r="D1389" t="n">
        <v>276639</v>
      </c>
      <c r="E1389" t="n">
        <v>12720</v>
      </c>
      <c r="F1389" t="n">
        <v>14175</v>
      </c>
    </row>
    <row r="1390">
      <c r="A1390" t="inlineStr">
        <is>
          <t>155|二级普通怪</t>
        </is>
      </c>
      <c r="B1390" t="n">
        <v>155</v>
      </c>
      <c r="C1390" t="inlineStr">
        <is>
          <t>二级普通怪</t>
        </is>
      </c>
      <c r="D1390" t="n">
        <v>165984</v>
      </c>
      <c r="E1390" t="n">
        <v>12720</v>
      </c>
      <c r="F1390" t="n">
        <v>14175</v>
      </c>
    </row>
    <row r="1391">
      <c r="A1391" t="inlineStr">
        <is>
          <t>155|站桩怪</t>
        </is>
      </c>
      <c r="B1391" t="n">
        <v>155</v>
      </c>
      <c r="C1391" t="inlineStr">
        <is>
          <t>站桩怪</t>
        </is>
      </c>
      <c r="D1391" t="n">
        <v>46107</v>
      </c>
      <c r="E1391" t="n">
        <v>12720</v>
      </c>
      <c r="F1391" t="n">
        <v>14175</v>
      </c>
    </row>
    <row r="1392">
      <c r="A1392" t="inlineStr">
        <is>
          <t>155|炮灰怪</t>
        </is>
      </c>
      <c r="B1392" t="n">
        <v>155</v>
      </c>
      <c r="C1392" t="inlineStr">
        <is>
          <t>炮灰怪</t>
        </is>
      </c>
      <c r="D1392" t="n">
        <v>13832</v>
      </c>
      <c r="E1392" t="n">
        <v>12720</v>
      </c>
      <c r="F1392" t="n">
        <v>14175</v>
      </c>
    </row>
    <row r="1393">
      <c r="A1393" t="inlineStr">
        <is>
          <t>155|精英怪</t>
        </is>
      </c>
      <c r="B1393" t="n">
        <v>155</v>
      </c>
      <c r="C1393" t="inlineStr">
        <is>
          <t>精英怪</t>
        </is>
      </c>
      <c r="D1393" t="n">
        <v>368852</v>
      </c>
      <c r="E1393" t="n">
        <v>12720</v>
      </c>
      <c r="F1393" t="n">
        <v>14175</v>
      </c>
    </row>
    <row r="1394">
      <c r="A1394" t="inlineStr">
        <is>
          <t>155|精英盾怪</t>
        </is>
      </c>
      <c r="B1394" t="n">
        <v>155</v>
      </c>
      <c r="C1394" t="inlineStr">
        <is>
          <t>精英盾怪</t>
        </is>
      </c>
      <c r="D1394" t="n">
        <v>829917</v>
      </c>
      <c r="E1394" t="n">
        <v>12720</v>
      </c>
      <c r="F1394" t="n">
        <v>14175</v>
      </c>
    </row>
    <row r="1395">
      <c r="A1395" t="inlineStr">
        <is>
          <t>155|Boss</t>
        </is>
      </c>
      <c r="B1395" t="n">
        <v>155</v>
      </c>
      <c r="C1395" t="inlineStr">
        <is>
          <t>Boss</t>
        </is>
      </c>
      <c r="D1395" t="n">
        <v>7863764</v>
      </c>
      <c r="E1395" t="n">
        <v>14595</v>
      </c>
      <c r="F1395" t="n">
        <v>14175</v>
      </c>
    </row>
    <row r="1396">
      <c r="A1396" t="inlineStr">
        <is>
          <t>155|装备副本Boss</t>
        </is>
      </c>
      <c r="B1396" t="n">
        <v>155</v>
      </c>
      <c r="C1396" t="inlineStr">
        <is>
          <t>装备副本Boss</t>
        </is>
      </c>
      <c r="D1396" t="n">
        <v>3931882</v>
      </c>
      <c r="E1396" t="n">
        <v>14595</v>
      </c>
      <c r="F1396" t="n">
        <v>14175</v>
      </c>
    </row>
    <row r="1397">
      <c r="A1397" t="inlineStr">
        <is>
          <t>156|普通怪</t>
        </is>
      </c>
      <c r="B1397" t="n">
        <v>156</v>
      </c>
      <c r="C1397" t="inlineStr">
        <is>
          <t>普通怪</t>
        </is>
      </c>
      <c r="D1397" t="n">
        <v>93540</v>
      </c>
      <c r="E1397" t="n">
        <v>12852</v>
      </c>
      <c r="F1397" t="n">
        <v>14284</v>
      </c>
    </row>
    <row r="1398">
      <c r="A1398" t="inlineStr">
        <is>
          <t>156|盾怪</t>
        </is>
      </c>
      <c r="B1398" t="n">
        <v>156</v>
      </c>
      <c r="C1398" t="inlineStr">
        <is>
          <t>盾怪</t>
        </is>
      </c>
      <c r="D1398" t="n">
        <v>280620</v>
      </c>
      <c r="E1398" t="n">
        <v>12852</v>
      </c>
      <c r="F1398" t="n">
        <v>14284</v>
      </c>
    </row>
    <row r="1399">
      <c r="A1399" t="inlineStr">
        <is>
          <t>156|二级普通怪</t>
        </is>
      </c>
      <c r="B1399" t="n">
        <v>156</v>
      </c>
      <c r="C1399" t="inlineStr">
        <is>
          <t>二级普通怪</t>
        </is>
      </c>
      <c r="D1399" t="n">
        <v>168372</v>
      </c>
      <c r="E1399" t="n">
        <v>12852</v>
      </c>
      <c r="F1399" t="n">
        <v>14284</v>
      </c>
    </row>
    <row r="1400">
      <c r="A1400" t="inlineStr">
        <is>
          <t>156|站桩怪</t>
        </is>
      </c>
      <c r="B1400" t="n">
        <v>156</v>
      </c>
      <c r="C1400" t="inlineStr">
        <is>
          <t>站桩怪</t>
        </is>
      </c>
      <c r="D1400" t="n">
        <v>46770</v>
      </c>
      <c r="E1400" t="n">
        <v>12852</v>
      </c>
      <c r="F1400" t="n">
        <v>14284</v>
      </c>
    </row>
    <row r="1401">
      <c r="A1401" t="inlineStr">
        <is>
          <t>156|炮灰怪</t>
        </is>
      </c>
      <c r="B1401" t="n">
        <v>156</v>
      </c>
      <c r="C1401" t="inlineStr">
        <is>
          <t>炮灰怪</t>
        </is>
      </c>
      <c r="D1401" t="n">
        <v>14031</v>
      </c>
      <c r="E1401" t="n">
        <v>12852</v>
      </c>
      <c r="F1401" t="n">
        <v>14284</v>
      </c>
    </row>
    <row r="1402">
      <c r="A1402" t="inlineStr">
        <is>
          <t>156|精英怪</t>
        </is>
      </c>
      <c r="B1402" t="n">
        <v>156</v>
      </c>
      <c r="C1402" t="inlineStr">
        <is>
          <t>精英怪</t>
        </is>
      </c>
      <c r="D1402" t="n">
        <v>374160</v>
      </c>
      <c r="E1402" t="n">
        <v>12852</v>
      </c>
      <c r="F1402" t="n">
        <v>14284</v>
      </c>
    </row>
    <row r="1403">
      <c r="A1403" t="inlineStr">
        <is>
          <t>156|精英盾怪</t>
        </is>
      </c>
      <c r="B1403" t="n">
        <v>156</v>
      </c>
      <c r="C1403" t="inlineStr">
        <is>
          <t>精英盾怪</t>
        </is>
      </c>
      <c r="D1403" t="n">
        <v>841860</v>
      </c>
      <c r="E1403" t="n">
        <v>12852</v>
      </c>
      <c r="F1403" t="n">
        <v>14284</v>
      </c>
    </row>
    <row r="1404">
      <c r="A1404" t="inlineStr">
        <is>
          <t>156|Boss</t>
        </is>
      </c>
      <c r="B1404" t="n">
        <v>156</v>
      </c>
      <c r="C1404" t="inlineStr">
        <is>
          <t>Boss</t>
        </is>
      </c>
      <c r="D1404" t="n">
        <v>7987793</v>
      </c>
      <c r="E1404" t="n">
        <v>14740</v>
      </c>
      <c r="F1404" t="n">
        <v>14284</v>
      </c>
    </row>
    <row r="1405">
      <c r="A1405" t="inlineStr">
        <is>
          <t>156|装备副本Boss</t>
        </is>
      </c>
      <c r="B1405" t="n">
        <v>156</v>
      </c>
      <c r="C1405" t="inlineStr">
        <is>
          <t>装备副本Boss</t>
        </is>
      </c>
      <c r="D1405" t="n">
        <v>3993897</v>
      </c>
      <c r="E1405" t="n">
        <v>14740</v>
      </c>
      <c r="F1405" t="n">
        <v>14284</v>
      </c>
    </row>
    <row r="1406">
      <c r="A1406" t="inlineStr">
        <is>
          <t>157|普通怪</t>
        </is>
      </c>
      <c r="B1406" t="n">
        <v>157</v>
      </c>
      <c r="C1406" t="inlineStr">
        <is>
          <t>普通怪</t>
        </is>
      </c>
      <c r="D1406" t="n">
        <v>94880</v>
      </c>
      <c r="E1406" t="n">
        <v>12985</v>
      </c>
      <c r="F1406" t="n">
        <v>14393</v>
      </c>
    </row>
    <row r="1407">
      <c r="A1407" t="inlineStr">
        <is>
          <t>157|盾怪</t>
        </is>
      </c>
      <c r="B1407" t="n">
        <v>157</v>
      </c>
      <c r="C1407" t="inlineStr">
        <is>
          <t>盾怪</t>
        </is>
      </c>
      <c r="D1407" t="n">
        <v>284640</v>
      </c>
      <c r="E1407" t="n">
        <v>12985</v>
      </c>
      <c r="F1407" t="n">
        <v>14393</v>
      </c>
    </row>
    <row r="1408">
      <c r="A1408" t="inlineStr">
        <is>
          <t>157|二级普通怪</t>
        </is>
      </c>
      <c r="B1408" t="n">
        <v>157</v>
      </c>
      <c r="C1408" t="inlineStr">
        <is>
          <t>二级普通怪</t>
        </is>
      </c>
      <c r="D1408" t="n">
        <v>170784</v>
      </c>
      <c r="E1408" t="n">
        <v>12985</v>
      </c>
      <c r="F1408" t="n">
        <v>14393</v>
      </c>
    </row>
    <row r="1409">
      <c r="A1409" t="inlineStr">
        <is>
          <t>157|站桩怪</t>
        </is>
      </c>
      <c r="B1409" t="n">
        <v>157</v>
      </c>
      <c r="C1409" t="inlineStr">
        <is>
          <t>站桩怪</t>
        </is>
      </c>
      <c r="D1409" t="n">
        <v>47440</v>
      </c>
      <c r="E1409" t="n">
        <v>12985</v>
      </c>
      <c r="F1409" t="n">
        <v>14393</v>
      </c>
    </row>
    <row r="1410">
      <c r="A1410" t="inlineStr">
        <is>
          <t>157|炮灰怪</t>
        </is>
      </c>
      <c r="B1410" t="n">
        <v>157</v>
      </c>
      <c r="C1410" t="inlineStr">
        <is>
          <t>炮灰怪</t>
        </is>
      </c>
      <c r="D1410" t="n">
        <v>14232</v>
      </c>
      <c r="E1410" t="n">
        <v>12985</v>
      </c>
      <c r="F1410" t="n">
        <v>14393</v>
      </c>
    </row>
    <row r="1411">
      <c r="A1411" t="inlineStr">
        <is>
          <t>157|精英怪</t>
        </is>
      </c>
      <c r="B1411" t="n">
        <v>157</v>
      </c>
      <c r="C1411" t="inlineStr">
        <is>
          <t>精英怪</t>
        </is>
      </c>
      <c r="D1411" t="n">
        <v>379520</v>
      </c>
      <c r="E1411" t="n">
        <v>12985</v>
      </c>
      <c r="F1411" t="n">
        <v>14393</v>
      </c>
    </row>
    <row r="1412">
      <c r="A1412" t="inlineStr">
        <is>
          <t>157|精英盾怪</t>
        </is>
      </c>
      <c r="B1412" t="n">
        <v>157</v>
      </c>
      <c r="C1412" t="inlineStr">
        <is>
          <t>精英盾怪</t>
        </is>
      </c>
      <c r="D1412" t="n">
        <v>853920</v>
      </c>
      <c r="E1412" t="n">
        <v>12985</v>
      </c>
      <c r="F1412" t="n">
        <v>14393</v>
      </c>
    </row>
    <row r="1413">
      <c r="A1413" t="inlineStr">
        <is>
          <t>157|Boss</t>
        </is>
      </c>
      <c r="B1413" t="n">
        <v>157</v>
      </c>
      <c r="C1413" t="inlineStr">
        <is>
          <t>Boss</t>
        </is>
      </c>
      <c r="D1413" t="n">
        <v>8113153</v>
      </c>
      <c r="E1413" t="n">
        <v>14886</v>
      </c>
      <c r="F1413" t="n">
        <v>14393</v>
      </c>
    </row>
    <row r="1414">
      <c r="A1414" t="inlineStr">
        <is>
          <t>157|装备副本Boss</t>
        </is>
      </c>
      <c r="B1414" t="n">
        <v>157</v>
      </c>
      <c r="C1414" t="inlineStr">
        <is>
          <t>装备副本Boss</t>
        </is>
      </c>
      <c r="D1414" t="n">
        <v>4056577</v>
      </c>
      <c r="E1414" t="n">
        <v>14886</v>
      </c>
      <c r="F1414" t="n">
        <v>14393</v>
      </c>
    </row>
    <row r="1415">
      <c r="A1415" t="inlineStr">
        <is>
          <t>158|普通怪</t>
        </is>
      </c>
      <c r="B1415" t="n">
        <v>158</v>
      </c>
      <c r="C1415" t="inlineStr">
        <is>
          <t>普通怪</t>
        </is>
      </c>
      <c r="D1415" t="n">
        <v>96234</v>
      </c>
      <c r="E1415" t="n">
        <v>13117</v>
      </c>
      <c r="F1415" t="n">
        <v>14503</v>
      </c>
    </row>
    <row r="1416">
      <c r="A1416" t="inlineStr">
        <is>
          <t>158|盾怪</t>
        </is>
      </c>
      <c r="B1416" t="n">
        <v>158</v>
      </c>
      <c r="C1416" t="inlineStr">
        <is>
          <t>盾怪</t>
        </is>
      </c>
      <c r="D1416" t="n">
        <v>288702</v>
      </c>
      <c r="E1416" t="n">
        <v>13117</v>
      </c>
      <c r="F1416" t="n">
        <v>14503</v>
      </c>
    </row>
    <row r="1417">
      <c r="A1417" t="inlineStr">
        <is>
          <t>158|二级普通怪</t>
        </is>
      </c>
      <c r="B1417" t="n">
        <v>158</v>
      </c>
      <c r="C1417" t="inlineStr">
        <is>
          <t>二级普通怪</t>
        </is>
      </c>
      <c r="D1417" t="n">
        <v>173222</v>
      </c>
      <c r="E1417" t="n">
        <v>13117</v>
      </c>
      <c r="F1417" t="n">
        <v>14503</v>
      </c>
    </row>
    <row r="1418">
      <c r="A1418" t="inlineStr">
        <is>
          <t>158|站桩怪</t>
        </is>
      </c>
      <c r="B1418" t="n">
        <v>158</v>
      </c>
      <c r="C1418" t="inlineStr">
        <is>
          <t>站桩怪</t>
        </is>
      </c>
      <c r="D1418" t="n">
        <v>48117</v>
      </c>
      <c r="E1418" t="n">
        <v>13117</v>
      </c>
      <c r="F1418" t="n">
        <v>14503</v>
      </c>
    </row>
    <row r="1419">
      <c r="A1419" t="inlineStr">
        <is>
          <t>158|炮灰怪</t>
        </is>
      </c>
      <c r="B1419" t="n">
        <v>158</v>
      </c>
      <c r="C1419" t="inlineStr">
        <is>
          <t>炮灰怪</t>
        </is>
      </c>
      <c r="D1419" t="n">
        <v>14436</v>
      </c>
      <c r="E1419" t="n">
        <v>13117</v>
      </c>
      <c r="F1419" t="n">
        <v>14503</v>
      </c>
    </row>
    <row r="1420">
      <c r="A1420" t="inlineStr">
        <is>
          <t>158|精英怪</t>
        </is>
      </c>
      <c r="B1420" t="n">
        <v>158</v>
      </c>
      <c r="C1420" t="inlineStr">
        <is>
          <t>精英怪</t>
        </is>
      </c>
      <c r="D1420" t="n">
        <v>384936</v>
      </c>
      <c r="E1420" t="n">
        <v>13117</v>
      </c>
      <c r="F1420" t="n">
        <v>14503</v>
      </c>
    </row>
    <row r="1421">
      <c r="A1421" t="inlineStr">
        <is>
          <t>158|精英盾怪</t>
        </is>
      </c>
      <c r="B1421" t="n">
        <v>158</v>
      </c>
      <c r="C1421" t="inlineStr">
        <is>
          <t>精英盾怪</t>
        </is>
      </c>
      <c r="D1421" t="n">
        <v>866106</v>
      </c>
      <c r="E1421" t="n">
        <v>13117</v>
      </c>
      <c r="F1421" t="n">
        <v>14503</v>
      </c>
    </row>
    <row r="1422">
      <c r="A1422" t="inlineStr">
        <is>
          <t>158|Boss</t>
        </is>
      </c>
      <c r="B1422" t="n">
        <v>158</v>
      </c>
      <c r="C1422" t="inlineStr">
        <is>
          <t>Boss</t>
        </is>
      </c>
      <c r="D1422" t="n">
        <v>8239946</v>
      </c>
      <c r="E1422" t="n">
        <v>15032</v>
      </c>
      <c r="F1422" t="n">
        <v>14503</v>
      </c>
    </row>
    <row r="1423">
      <c r="A1423" t="inlineStr">
        <is>
          <t>158|装备副本Boss</t>
        </is>
      </c>
      <c r="B1423" t="n">
        <v>158</v>
      </c>
      <c r="C1423" t="inlineStr">
        <is>
          <t>装备副本Boss</t>
        </is>
      </c>
      <c r="D1423" t="n">
        <v>4119973</v>
      </c>
      <c r="E1423" t="n">
        <v>15032</v>
      </c>
      <c r="F1423" t="n">
        <v>14503</v>
      </c>
    </row>
    <row r="1424">
      <c r="A1424" t="inlineStr">
        <is>
          <t>159|普通怪</t>
        </is>
      </c>
      <c r="B1424" t="n">
        <v>159</v>
      </c>
      <c r="C1424" t="inlineStr">
        <is>
          <t>普通怪</t>
        </is>
      </c>
      <c r="D1424" t="n">
        <v>97601</v>
      </c>
      <c r="E1424" t="n">
        <v>13251</v>
      </c>
      <c r="F1424" t="n">
        <v>14613</v>
      </c>
    </row>
    <row r="1425">
      <c r="A1425" t="inlineStr">
        <is>
          <t>159|盾怪</t>
        </is>
      </c>
      <c r="B1425" t="n">
        <v>159</v>
      </c>
      <c r="C1425" t="inlineStr">
        <is>
          <t>盾怪</t>
        </is>
      </c>
      <c r="D1425" t="n">
        <v>292803</v>
      </c>
      <c r="E1425" t="n">
        <v>13251</v>
      </c>
      <c r="F1425" t="n">
        <v>14613</v>
      </c>
    </row>
    <row r="1426">
      <c r="A1426" t="inlineStr">
        <is>
          <t>159|二级普通怪</t>
        </is>
      </c>
      <c r="B1426" t="n">
        <v>159</v>
      </c>
      <c r="C1426" t="inlineStr">
        <is>
          <t>二级普通怪</t>
        </is>
      </c>
      <c r="D1426" t="n">
        <v>175682</v>
      </c>
      <c r="E1426" t="n">
        <v>13251</v>
      </c>
      <c r="F1426" t="n">
        <v>14613</v>
      </c>
    </row>
    <row r="1427">
      <c r="A1427" t="inlineStr">
        <is>
          <t>159|站桩怪</t>
        </is>
      </c>
      <c r="B1427" t="n">
        <v>159</v>
      </c>
      <c r="C1427" t="inlineStr">
        <is>
          <t>站桩怪</t>
        </is>
      </c>
      <c r="D1427" t="n">
        <v>48801</v>
      </c>
      <c r="E1427" t="n">
        <v>13251</v>
      </c>
      <c r="F1427" t="n">
        <v>14613</v>
      </c>
    </row>
    <row r="1428">
      <c r="A1428" t="inlineStr">
        <is>
          <t>159|炮灰怪</t>
        </is>
      </c>
      <c r="B1428" t="n">
        <v>159</v>
      </c>
      <c r="C1428" t="inlineStr">
        <is>
          <t>炮灰怪</t>
        </is>
      </c>
      <c r="D1428" t="n">
        <v>14641</v>
      </c>
      <c r="E1428" t="n">
        <v>13251</v>
      </c>
      <c r="F1428" t="n">
        <v>14613</v>
      </c>
    </row>
    <row r="1429">
      <c r="A1429" t="inlineStr">
        <is>
          <t>159|精英怪</t>
        </is>
      </c>
      <c r="B1429" t="n">
        <v>159</v>
      </c>
      <c r="C1429" t="inlineStr">
        <is>
          <t>精英怪</t>
        </is>
      </c>
      <c r="D1429" t="n">
        <v>390404</v>
      </c>
      <c r="E1429" t="n">
        <v>13251</v>
      </c>
      <c r="F1429" t="n">
        <v>14613</v>
      </c>
    </row>
    <row r="1430">
      <c r="A1430" t="inlineStr">
        <is>
          <t>159|精英盾怪</t>
        </is>
      </c>
      <c r="B1430" t="n">
        <v>159</v>
      </c>
      <c r="C1430" t="inlineStr">
        <is>
          <t>精英盾怪</t>
        </is>
      </c>
      <c r="D1430" t="n">
        <v>878409</v>
      </c>
      <c r="E1430" t="n">
        <v>13251</v>
      </c>
      <c r="F1430" t="n">
        <v>14613</v>
      </c>
    </row>
    <row r="1431">
      <c r="A1431" t="inlineStr">
        <is>
          <t>159|Boss</t>
        </is>
      </c>
      <c r="B1431" t="n">
        <v>159</v>
      </c>
      <c r="C1431" t="inlineStr">
        <is>
          <t>Boss</t>
        </is>
      </c>
      <c r="D1431" t="n">
        <v>8368121</v>
      </c>
      <c r="E1431" t="n">
        <v>15179</v>
      </c>
      <c r="F1431" t="n">
        <v>14613</v>
      </c>
    </row>
    <row r="1432">
      <c r="A1432" t="inlineStr">
        <is>
          <t>159|装备副本Boss</t>
        </is>
      </c>
      <c r="B1432" t="n">
        <v>159</v>
      </c>
      <c r="C1432" t="inlineStr">
        <is>
          <t>装备副本Boss</t>
        </is>
      </c>
      <c r="D1432" t="n">
        <v>4184061</v>
      </c>
      <c r="E1432" t="n">
        <v>15179</v>
      </c>
      <c r="F1432" t="n">
        <v>14613</v>
      </c>
    </row>
    <row r="1433">
      <c r="A1433" t="inlineStr">
        <is>
          <t>160|普通怪</t>
        </is>
      </c>
      <c r="B1433" t="n">
        <v>160</v>
      </c>
      <c r="C1433" t="inlineStr">
        <is>
          <t>普通怪</t>
        </is>
      </c>
      <c r="D1433" t="n">
        <v>98983</v>
      </c>
      <c r="E1433" t="n">
        <v>13387</v>
      </c>
      <c r="F1433" t="n">
        <v>14723</v>
      </c>
    </row>
    <row r="1434">
      <c r="A1434" t="inlineStr">
        <is>
          <t>160|盾怪</t>
        </is>
      </c>
      <c r="B1434" t="n">
        <v>160</v>
      </c>
      <c r="C1434" t="inlineStr">
        <is>
          <t>盾怪</t>
        </is>
      </c>
      <c r="D1434" t="n">
        <v>296949</v>
      </c>
      <c r="E1434" t="n">
        <v>13387</v>
      </c>
      <c r="F1434" t="n">
        <v>14723</v>
      </c>
    </row>
    <row r="1435">
      <c r="A1435" t="inlineStr">
        <is>
          <t>160|二级普通怪</t>
        </is>
      </c>
      <c r="B1435" t="n">
        <v>160</v>
      </c>
      <c r="C1435" t="inlineStr">
        <is>
          <t>二级普通怪</t>
        </is>
      </c>
      <c r="D1435" t="n">
        <v>178170</v>
      </c>
      <c r="E1435" t="n">
        <v>13387</v>
      </c>
      <c r="F1435" t="n">
        <v>14723</v>
      </c>
    </row>
    <row r="1436">
      <c r="A1436" t="inlineStr">
        <is>
          <t>160|站桩怪</t>
        </is>
      </c>
      <c r="B1436" t="n">
        <v>160</v>
      </c>
      <c r="C1436" t="inlineStr">
        <is>
          <t>站桩怪</t>
        </is>
      </c>
      <c r="D1436" t="n">
        <v>49492</v>
      </c>
      <c r="E1436" t="n">
        <v>13387</v>
      </c>
      <c r="F1436" t="n">
        <v>14723</v>
      </c>
    </row>
    <row r="1437">
      <c r="A1437" t="inlineStr">
        <is>
          <t>160|炮灰怪</t>
        </is>
      </c>
      <c r="B1437" t="n">
        <v>160</v>
      </c>
      <c r="C1437" t="inlineStr">
        <is>
          <t>炮灰怪</t>
        </is>
      </c>
      <c r="D1437" t="n">
        <v>14848</v>
      </c>
      <c r="E1437" t="n">
        <v>13387</v>
      </c>
      <c r="F1437" t="n">
        <v>14723</v>
      </c>
    </row>
    <row r="1438">
      <c r="A1438" t="inlineStr">
        <is>
          <t>160|精英怪</t>
        </is>
      </c>
      <c r="B1438" t="n">
        <v>160</v>
      </c>
      <c r="C1438" t="inlineStr">
        <is>
          <t>精英怪</t>
        </is>
      </c>
      <c r="D1438" t="n">
        <v>395932</v>
      </c>
      <c r="E1438" t="n">
        <v>13387</v>
      </c>
      <c r="F1438" t="n">
        <v>14723</v>
      </c>
    </row>
    <row r="1439">
      <c r="A1439" t="inlineStr">
        <is>
          <t>160|精英盾怪</t>
        </is>
      </c>
      <c r="B1439" t="n">
        <v>160</v>
      </c>
      <c r="C1439" t="inlineStr">
        <is>
          <t>精英盾怪</t>
        </is>
      </c>
      <c r="D1439" t="n">
        <v>890847</v>
      </c>
      <c r="E1439" t="n">
        <v>13387</v>
      </c>
      <c r="F1439" t="n">
        <v>14723</v>
      </c>
    </row>
    <row r="1440">
      <c r="A1440" t="inlineStr">
        <is>
          <t>160|Boss</t>
        </is>
      </c>
      <c r="B1440" t="n">
        <v>160</v>
      </c>
      <c r="C1440" t="inlineStr">
        <is>
          <t>Boss</t>
        </is>
      </c>
      <c r="D1440" t="n">
        <v>8497729</v>
      </c>
      <c r="E1440" t="n">
        <v>15328</v>
      </c>
      <c r="F1440" t="n">
        <v>14723</v>
      </c>
    </row>
    <row r="1441">
      <c r="A1441" t="inlineStr">
        <is>
          <t>160|装备副本Boss</t>
        </is>
      </c>
      <c r="B1441" t="n">
        <v>160</v>
      </c>
      <c r="C1441" t="inlineStr">
        <is>
          <t>装备副本Boss</t>
        </is>
      </c>
      <c r="D1441" t="n">
        <v>4248864</v>
      </c>
      <c r="E1441" t="n">
        <v>15328</v>
      </c>
      <c r="F1441" t="n">
        <v>14723</v>
      </c>
    </row>
    <row r="1442">
      <c r="A1442" t="inlineStr">
        <is>
          <t>161|普通怪</t>
        </is>
      </c>
      <c r="B1442" t="n">
        <v>161</v>
      </c>
      <c r="C1442" t="inlineStr">
        <is>
          <t>普通怪</t>
        </is>
      </c>
      <c r="D1442" t="n">
        <v>100378</v>
      </c>
      <c r="E1442" t="n">
        <v>13522</v>
      </c>
      <c r="F1442" t="n">
        <v>14833</v>
      </c>
    </row>
    <row r="1443">
      <c r="A1443" t="inlineStr">
        <is>
          <t>161|盾怪</t>
        </is>
      </c>
      <c r="B1443" t="n">
        <v>161</v>
      </c>
      <c r="C1443" t="inlineStr">
        <is>
          <t>盾怪</t>
        </is>
      </c>
      <c r="D1443" t="n">
        <v>301134</v>
      </c>
      <c r="E1443" t="n">
        <v>13522</v>
      </c>
      <c r="F1443" t="n">
        <v>14833</v>
      </c>
    </row>
    <row r="1444">
      <c r="A1444" t="inlineStr">
        <is>
          <t>161|二级普通怪</t>
        </is>
      </c>
      <c r="B1444" t="n">
        <v>161</v>
      </c>
      <c r="C1444" t="inlineStr">
        <is>
          <t>二级普通怪</t>
        </is>
      </c>
      <c r="D1444" t="n">
        <v>180681</v>
      </c>
      <c r="E1444" t="n">
        <v>13522</v>
      </c>
      <c r="F1444" t="n">
        <v>14833</v>
      </c>
    </row>
    <row r="1445">
      <c r="A1445" t="inlineStr">
        <is>
          <t>161|站桩怪</t>
        </is>
      </c>
      <c r="B1445" t="n">
        <v>161</v>
      </c>
      <c r="C1445" t="inlineStr">
        <is>
          <t>站桩怪</t>
        </is>
      </c>
      <c r="D1445" t="n">
        <v>50189</v>
      </c>
      <c r="E1445" t="n">
        <v>13522</v>
      </c>
      <c r="F1445" t="n">
        <v>14833</v>
      </c>
    </row>
    <row r="1446">
      <c r="A1446" t="inlineStr">
        <is>
          <t>161|炮灰怪</t>
        </is>
      </c>
      <c r="B1446" t="n">
        <v>161</v>
      </c>
      <c r="C1446" t="inlineStr">
        <is>
          <t>炮灰怪</t>
        </is>
      </c>
      <c r="D1446" t="n">
        <v>15057</v>
      </c>
      <c r="E1446" t="n">
        <v>13522</v>
      </c>
      <c r="F1446" t="n">
        <v>14833</v>
      </c>
    </row>
    <row r="1447">
      <c r="A1447" t="inlineStr">
        <is>
          <t>161|精英怪</t>
        </is>
      </c>
      <c r="B1447" t="n">
        <v>161</v>
      </c>
      <c r="C1447" t="inlineStr">
        <is>
          <t>精英怪</t>
        </is>
      </c>
      <c r="D1447" t="n">
        <v>401512</v>
      </c>
      <c r="E1447" t="n">
        <v>13522</v>
      </c>
      <c r="F1447" t="n">
        <v>14833</v>
      </c>
    </row>
    <row r="1448">
      <c r="A1448" t="inlineStr">
        <is>
          <t>161|精英盾怪</t>
        </is>
      </c>
      <c r="B1448" t="n">
        <v>161</v>
      </c>
      <c r="C1448" t="inlineStr">
        <is>
          <t>精英盾怪</t>
        </is>
      </c>
      <c r="D1448" t="n">
        <v>903402</v>
      </c>
      <c r="E1448" t="n">
        <v>13522</v>
      </c>
      <c r="F1448" t="n">
        <v>14833</v>
      </c>
    </row>
    <row r="1449">
      <c r="A1449" t="inlineStr">
        <is>
          <t>161|Boss</t>
        </is>
      </c>
      <c r="B1449" t="n">
        <v>161</v>
      </c>
      <c r="C1449" t="inlineStr">
        <is>
          <t>Boss</t>
        </is>
      </c>
      <c r="D1449" t="n">
        <v>8628769</v>
      </c>
      <c r="E1449" t="n">
        <v>15477</v>
      </c>
      <c r="F1449" t="n">
        <v>14833</v>
      </c>
    </row>
    <row r="1450">
      <c r="A1450" t="inlineStr">
        <is>
          <t>161|装备副本Boss</t>
        </is>
      </c>
      <c r="B1450" t="n">
        <v>161</v>
      </c>
      <c r="C1450" t="inlineStr">
        <is>
          <t>装备副本Boss</t>
        </is>
      </c>
      <c r="D1450" t="n">
        <v>4314385</v>
      </c>
      <c r="E1450" t="n">
        <v>15477</v>
      </c>
      <c r="F1450" t="n">
        <v>14833</v>
      </c>
    </row>
    <row r="1451">
      <c r="A1451" t="inlineStr">
        <is>
          <t>162|普通怪</t>
        </is>
      </c>
      <c r="B1451" t="n">
        <v>162</v>
      </c>
      <c r="C1451" t="inlineStr">
        <is>
          <t>普通怪</t>
        </is>
      </c>
      <c r="D1451" t="n">
        <v>101788</v>
      </c>
      <c r="E1451" t="n">
        <v>13659</v>
      </c>
      <c r="F1451" t="n">
        <v>14944</v>
      </c>
    </row>
    <row r="1452">
      <c r="A1452" t="inlineStr">
        <is>
          <t>162|盾怪</t>
        </is>
      </c>
      <c r="B1452" t="n">
        <v>162</v>
      </c>
      <c r="C1452" t="inlineStr">
        <is>
          <t>盾怪</t>
        </is>
      </c>
      <c r="D1452" t="n">
        <v>305364</v>
      </c>
      <c r="E1452" t="n">
        <v>13659</v>
      </c>
      <c r="F1452" t="n">
        <v>14944</v>
      </c>
    </row>
    <row r="1453">
      <c r="A1453" t="inlineStr">
        <is>
          <t>162|二级普通怪</t>
        </is>
      </c>
      <c r="B1453" t="n">
        <v>162</v>
      </c>
      <c r="C1453" t="inlineStr">
        <is>
          <t>二级普通怪</t>
        </is>
      </c>
      <c r="D1453" t="n">
        <v>183219</v>
      </c>
      <c r="E1453" t="n">
        <v>13659</v>
      </c>
      <c r="F1453" t="n">
        <v>14944</v>
      </c>
    </row>
    <row r="1454">
      <c r="A1454" t="inlineStr">
        <is>
          <t>162|站桩怪</t>
        </is>
      </c>
      <c r="B1454" t="n">
        <v>162</v>
      </c>
      <c r="C1454" t="inlineStr">
        <is>
          <t>站桩怪</t>
        </is>
      </c>
      <c r="D1454" t="n">
        <v>50894</v>
      </c>
      <c r="E1454" t="n">
        <v>13659</v>
      </c>
      <c r="F1454" t="n">
        <v>14944</v>
      </c>
    </row>
    <row r="1455">
      <c r="A1455" t="inlineStr">
        <is>
          <t>162|炮灰怪</t>
        </is>
      </c>
      <c r="B1455" t="n">
        <v>162</v>
      </c>
      <c r="C1455" t="inlineStr">
        <is>
          <t>炮灰怪</t>
        </is>
      </c>
      <c r="D1455" t="n">
        <v>15269</v>
      </c>
      <c r="E1455" t="n">
        <v>13659</v>
      </c>
      <c r="F1455" t="n">
        <v>14944</v>
      </c>
    </row>
    <row r="1456">
      <c r="A1456" t="inlineStr">
        <is>
          <t>162|精英怪</t>
        </is>
      </c>
      <c r="B1456" t="n">
        <v>162</v>
      </c>
      <c r="C1456" t="inlineStr">
        <is>
          <t>精英怪</t>
        </is>
      </c>
      <c r="D1456" t="n">
        <v>407152</v>
      </c>
      <c r="E1456" t="n">
        <v>13659</v>
      </c>
      <c r="F1456" t="n">
        <v>14944</v>
      </c>
    </row>
    <row r="1457">
      <c r="A1457" t="inlineStr">
        <is>
          <t>162|精英盾怪</t>
        </is>
      </c>
      <c r="B1457" t="n">
        <v>162</v>
      </c>
      <c r="C1457" t="inlineStr">
        <is>
          <t>精英盾怪</t>
        </is>
      </c>
      <c r="D1457" t="n">
        <v>916092</v>
      </c>
      <c r="E1457" t="n">
        <v>13659</v>
      </c>
      <c r="F1457" t="n">
        <v>14944</v>
      </c>
    </row>
    <row r="1458">
      <c r="A1458" t="inlineStr">
        <is>
          <t>162|Boss</t>
        </is>
      </c>
      <c r="B1458" t="n">
        <v>162</v>
      </c>
      <c r="C1458" t="inlineStr">
        <is>
          <t>Boss</t>
        </is>
      </c>
      <c r="D1458" t="n">
        <v>8761242</v>
      </c>
      <c r="E1458" t="n">
        <v>15627</v>
      </c>
      <c r="F1458" t="n">
        <v>14944</v>
      </c>
    </row>
    <row r="1459">
      <c r="A1459" t="inlineStr">
        <is>
          <t>162|装备副本Boss</t>
        </is>
      </c>
      <c r="B1459" t="n">
        <v>162</v>
      </c>
      <c r="C1459" t="inlineStr">
        <is>
          <t>装备副本Boss</t>
        </is>
      </c>
      <c r="D1459" t="n">
        <v>4380621</v>
      </c>
      <c r="E1459" t="n">
        <v>15627</v>
      </c>
      <c r="F1459" t="n">
        <v>14944</v>
      </c>
    </row>
    <row r="1460">
      <c r="A1460" t="inlineStr">
        <is>
          <t>163|普通怪</t>
        </is>
      </c>
      <c r="B1460" t="n">
        <v>163</v>
      </c>
      <c r="C1460" t="inlineStr">
        <is>
          <t>普通怪</t>
        </is>
      </c>
      <c r="D1460" t="n">
        <v>103211</v>
      </c>
      <c r="E1460" t="n">
        <v>13796</v>
      </c>
      <c r="F1460" t="n">
        <v>15054</v>
      </c>
    </row>
    <row r="1461">
      <c r="A1461" t="inlineStr">
        <is>
          <t>163|盾怪</t>
        </is>
      </c>
      <c r="B1461" t="n">
        <v>163</v>
      </c>
      <c r="C1461" t="inlineStr">
        <is>
          <t>盾怪</t>
        </is>
      </c>
      <c r="D1461" t="n">
        <v>309633</v>
      </c>
      <c r="E1461" t="n">
        <v>13796</v>
      </c>
      <c r="F1461" t="n">
        <v>15054</v>
      </c>
    </row>
    <row r="1462">
      <c r="A1462" t="inlineStr">
        <is>
          <t>163|二级普通怪</t>
        </is>
      </c>
      <c r="B1462" t="n">
        <v>163</v>
      </c>
      <c r="C1462" t="inlineStr">
        <is>
          <t>二级普通怪</t>
        </is>
      </c>
      <c r="D1462" t="n">
        <v>185780</v>
      </c>
      <c r="E1462" t="n">
        <v>13796</v>
      </c>
      <c r="F1462" t="n">
        <v>15054</v>
      </c>
    </row>
    <row r="1463">
      <c r="A1463" t="inlineStr">
        <is>
          <t>163|站桩怪</t>
        </is>
      </c>
      <c r="B1463" t="n">
        <v>163</v>
      </c>
      <c r="C1463" t="inlineStr">
        <is>
          <t>站桩怪</t>
        </is>
      </c>
      <c r="D1463" t="n">
        <v>51606</v>
      </c>
      <c r="E1463" t="n">
        <v>13796</v>
      </c>
      <c r="F1463" t="n">
        <v>15054</v>
      </c>
    </row>
    <row r="1464">
      <c r="A1464" t="inlineStr">
        <is>
          <t>163|炮灰怪</t>
        </is>
      </c>
      <c r="B1464" t="n">
        <v>163</v>
      </c>
      <c r="C1464" t="inlineStr">
        <is>
          <t>炮灰怪</t>
        </is>
      </c>
      <c r="D1464" t="n">
        <v>15482</v>
      </c>
      <c r="E1464" t="n">
        <v>13796</v>
      </c>
      <c r="F1464" t="n">
        <v>15054</v>
      </c>
    </row>
    <row r="1465">
      <c r="A1465" t="inlineStr">
        <is>
          <t>163|精英怪</t>
        </is>
      </c>
      <c r="B1465" t="n">
        <v>163</v>
      </c>
      <c r="C1465" t="inlineStr">
        <is>
          <t>精英怪</t>
        </is>
      </c>
      <c r="D1465" t="n">
        <v>412844</v>
      </c>
      <c r="E1465" t="n">
        <v>13796</v>
      </c>
      <c r="F1465" t="n">
        <v>15054</v>
      </c>
    </row>
    <row r="1466">
      <c r="A1466" t="inlineStr">
        <is>
          <t>163|精英盾怪</t>
        </is>
      </c>
      <c r="B1466" t="n">
        <v>163</v>
      </c>
      <c r="C1466" t="inlineStr">
        <is>
          <t>精英盾怪</t>
        </is>
      </c>
      <c r="D1466" t="n">
        <v>928899</v>
      </c>
      <c r="E1466" t="n">
        <v>13796</v>
      </c>
      <c r="F1466" t="n">
        <v>15054</v>
      </c>
    </row>
    <row r="1467">
      <c r="A1467" t="inlineStr">
        <is>
          <t>163|Boss</t>
        </is>
      </c>
      <c r="B1467" t="n">
        <v>163</v>
      </c>
      <c r="C1467" t="inlineStr">
        <is>
          <t>Boss</t>
        </is>
      </c>
      <c r="D1467" t="n">
        <v>8895147</v>
      </c>
      <c r="E1467" t="n">
        <v>15777</v>
      </c>
      <c r="F1467" t="n">
        <v>15054</v>
      </c>
    </row>
    <row r="1468">
      <c r="A1468" t="inlineStr">
        <is>
          <t>163|装备副本Boss</t>
        </is>
      </c>
      <c r="B1468" t="n">
        <v>163</v>
      </c>
      <c r="C1468" t="inlineStr">
        <is>
          <t>装备副本Boss</t>
        </is>
      </c>
      <c r="D1468" t="n">
        <v>4447573</v>
      </c>
      <c r="E1468" t="n">
        <v>15777</v>
      </c>
      <c r="F1468" t="n">
        <v>15054</v>
      </c>
    </row>
    <row r="1469">
      <c r="A1469" t="inlineStr">
        <is>
          <t>164|普通怪</t>
        </is>
      </c>
      <c r="B1469" t="n">
        <v>164</v>
      </c>
      <c r="C1469" t="inlineStr">
        <is>
          <t>普通怪</t>
        </is>
      </c>
      <c r="D1469" t="n">
        <v>104649</v>
      </c>
      <c r="E1469" t="n">
        <v>13934</v>
      </c>
      <c r="F1469" t="n">
        <v>15165</v>
      </c>
    </row>
    <row r="1470">
      <c r="A1470" t="inlineStr">
        <is>
          <t>164|盾怪</t>
        </is>
      </c>
      <c r="B1470" t="n">
        <v>164</v>
      </c>
      <c r="C1470" t="inlineStr">
        <is>
          <t>盾怪</t>
        </is>
      </c>
      <c r="D1470" t="n">
        <v>313947</v>
      </c>
      <c r="E1470" t="n">
        <v>13934</v>
      </c>
      <c r="F1470" t="n">
        <v>15165</v>
      </c>
    </row>
    <row r="1471">
      <c r="A1471" t="inlineStr">
        <is>
          <t>164|二级普通怪</t>
        </is>
      </c>
      <c r="B1471" t="n">
        <v>164</v>
      </c>
      <c r="C1471" t="inlineStr">
        <is>
          <t>二级普通怪</t>
        </is>
      </c>
      <c r="D1471" t="n">
        <v>188369</v>
      </c>
      <c r="E1471" t="n">
        <v>13934</v>
      </c>
      <c r="F1471" t="n">
        <v>15165</v>
      </c>
    </row>
    <row r="1472">
      <c r="A1472" t="inlineStr">
        <is>
          <t>164|站桩怪</t>
        </is>
      </c>
      <c r="B1472" t="n">
        <v>164</v>
      </c>
      <c r="C1472" t="inlineStr">
        <is>
          <t>站桩怪</t>
        </is>
      </c>
      <c r="D1472" t="n">
        <v>52325</v>
      </c>
      <c r="E1472" t="n">
        <v>13934</v>
      </c>
      <c r="F1472" t="n">
        <v>15165</v>
      </c>
    </row>
    <row r="1473">
      <c r="A1473" t="inlineStr">
        <is>
          <t>164|炮灰怪</t>
        </is>
      </c>
      <c r="B1473" t="n">
        <v>164</v>
      </c>
      <c r="C1473" t="inlineStr">
        <is>
          <t>炮灰怪</t>
        </is>
      </c>
      <c r="D1473" t="n">
        <v>15698</v>
      </c>
      <c r="E1473" t="n">
        <v>13934</v>
      </c>
      <c r="F1473" t="n">
        <v>15165</v>
      </c>
    </row>
    <row r="1474">
      <c r="A1474" t="inlineStr">
        <is>
          <t>164|精英怪</t>
        </is>
      </c>
      <c r="B1474" t="n">
        <v>164</v>
      </c>
      <c r="C1474" t="inlineStr">
        <is>
          <t>精英怪</t>
        </is>
      </c>
      <c r="D1474" t="n">
        <v>418596</v>
      </c>
      <c r="E1474" t="n">
        <v>13934</v>
      </c>
      <c r="F1474" t="n">
        <v>15165</v>
      </c>
    </row>
    <row r="1475">
      <c r="A1475" t="inlineStr">
        <is>
          <t>164|精英盾怪</t>
        </is>
      </c>
      <c r="B1475" t="n">
        <v>164</v>
      </c>
      <c r="C1475" t="inlineStr">
        <is>
          <t>精英盾怪</t>
        </is>
      </c>
      <c r="D1475" t="n">
        <v>941841</v>
      </c>
      <c r="E1475" t="n">
        <v>13934</v>
      </c>
      <c r="F1475" t="n">
        <v>15165</v>
      </c>
    </row>
    <row r="1476">
      <c r="A1476" t="inlineStr">
        <is>
          <t>164|Boss</t>
        </is>
      </c>
      <c r="B1476" t="n">
        <v>164</v>
      </c>
      <c r="C1476" t="inlineStr">
        <is>
          <t>Boss</t>
        </is>
      </c>
      <c r="D1476" t="n">
        <v>9030484</v>
      </c>
      <c r="E1476" t="n">
        <v>15929</v>
      </c>
      <c r="F1476" t="n">
        <v>15165</v>
      </c>
    </row>
    <row r="1477">
      <c r="A1477" t="inlineStr">
        <is>
          <t>164|装备副本Boss</t>
        </is>
      </c>
      <c r="B1477" t="n">
        <v>164</v>
      </c>
      <c r="C1477" t="inlineStr">
        <is>
          <t>装备副本Boss</t>
        </is>
      </c>
      <c r="D1477" t="n">
        <v>4515242</v>
      </c>
      <c r="E1477" t="n">
        <v>15929</v>
      </c>
      <c r="F1477" t="n">
        <v>15165</v>
      </c>
    </row>
    <row r="1478">
      <c r="A1478" t="inlineStr">
        <is>
          <t>165|普通怪</t>
        </is>
      </c>
      <c r="B1478" t="n">
        <v>165</v>
      </c>
      <c r="C1478" t="inlineStr">
        <is>
          <t>普通怪</t>
        </is>
      </c>
      <c r="D1478" t="n">
        <v>106101</v>
      </c>
      <c r="E1478" t="n">
        <v>14073</v>
      </c>
      <c r="F1478" t="n">
        <v>15277</v>
      </c>
    </row>
    <row r="1479">
      <c r="A1479" t="inlineStr">
        <is>
          <t>165|盾怪</t>
        </is>
      </c>
      <c r="B1479" t="n">
        <v>165</v>
      </c>
      <c r="C1479" t="inlineStr">
        <is>
          <t>盾怪</t>
        </is>
      </c>
      <c r="D1479" t="n">
        <v>318303</v>
      </c>
      <c r="E1479" t="n">
        <v>14073</v>
      </c>
      <c r="F1479" t="n">
        <v>15277</v>
      </c>
    </row>
    <row r="1480">
      <c r="A1480" t="inlineStr">
        <is>
          <t>165|二级普通怪</t>
        </is>
      </c>
      <c r="B1480" t="n">
        <v>165</v>
      </c>
      <c r="C1480" t="inlineStr">
        <is>
          <t>二级普通怪</t>
        </is>
      </c>
      <c r="D1480" t="n">
        <v>190982</v>
      </c>
      <c r="E1480" t="n">
        <v>14073</v>
      </c>
      <c r="F1480" t="n">
        <v>15277</v>
      </c>
    </row>
    <row r="1481">
      <c r="A1481" t="inlineStr">
        <is>
          <t>165|站桩怪</t>
        </is>
      </c>
      <c r="B1481" t="n">
        <v>165</v>
      </c>
      <c r="C1481" t="inlineStr">
        <is>
          <t>站桩怪</t>
        </is>
      </c>
      <c r="D1481" t="n">
        <v>53051</v>
      </c>
      <c r="E1481" t="n">
        <v>14073</v>
      </c>
      <c r="F1481" t="n">
        <v>15277</v>
      </c>
    </row>
    <row r="1482">
      <c r="A1482" t="inlineStr">
        <is>
          <t>165|炮灰怪</t>
        </is>
      </c>
      <c r="B1482" t="n">
        <v>165</v>
      </c>
      <c r="C1482" t="inlineStr">
        <is>
          <t>炮灰怪</t>
        </is>
      </c>
      <c r="D1482" t="n">
        <v>15916</v>
      </c>
      <c r="E1482" t="n">
        <v>14073</v>
      </c>
      <c r="F1482" t="n">
        <v>15277</v>
      </c>
    </row>
    <row r="1483">
      <c r="A1483" t="inlineStr">
        <is>
          <t>165|精英怪</t>
        </is>
      </c>
      <c r="B1483" t="n">
        <v>165</v>
      </c>
      <c r="C1483" t="inlineStr">
        <is>
          <t>精英怪</t>
        </is>
      </c>
      <c r="D1483" t="n">
        <v>424404</v>
      </c>
      <c r="E1483" t="n">
        <v>14073</v>
      </c>
      <c r="F1483" t="n">
        <v>15277</v>
      </c>
    </row>
    <row r="1484">
      <c r="A1484" t="inlineStr">
        <is>
          <t>165|精英盾怪</t>
        </is>
      </c>
      <c r="B1484" t="n">
        <v>165</v>
      </c>
      <c r="C1484" t="inlineStr">
        <is>
          <t>精英盾怪</t>
        </is>
      </c>
      <c r="D1484" t="n">
        <v>954909</v>
      </c>
      <c r="E1484" t="n">
        <v>14073</v>
      </c>
      <c r="F1484" t="n">
        <v>15277</v>
      </c>
    </row>
    <row r="1485">
      <c r="A1485" t="inlineStr">
        <is>
          <t>165|Boss</t>
        </is>
      </c>
      <c r="B1485" t="n">
        <v>165</v>
      </c>
      <c r="C1485" t="inlineStr">
        <is>
          <t>Boss</t>
        </is>
      </c>
      <c r="D1485" t="n">
        <v>9167355</v>
      </c>
      <c r="E1485" t="n">
        <v>16081</v>
      </c>
      <c r="F1485" t="n">
        <v>15277</v>
      </c>
    </row>
    <row r="1486">
      <c r="A1486" t="inlineStr">
        <is>
          <t>165|装备副本Boss</t>
        </is>
      </c>
      <c r="B1486" t="n">
        <v>165</v>
      </c>
      <c r="C1486" t="inlineStr">
        <is>
          <t>装备副本Boss</t>
        </is>
      </c>
      <c r="D1486" t="n">
        <v>4583677</v>
      </c>
      <c r="E1486" t="n">
        <v>16081</v>
      </c>
      <c r="F1486" t="n">
        <v>15277</v>
      </c>
    </row>
    <row r="1487">
      <c r="A1487" t="inlineStr">
        <is>
          <t>166|普通怪</t>
        </is>
      </c>
      <c r="B1487" t="n">
        <v>166</v>
      </c>
      <c r="C1487" t="inlineStr">
        <is>
          <t>普通怪</t>
        </is>
      </c>
      <c r="D1487" t="n">
        <v>107567</v>
      </c>
      <c r="E1487" t="n">
        <v>14214</v>
      </c>
      <c r="F1487" t="n">
        <v>15388</v>
      </c>
    </row>
    <row r="1488">
      <c r="A1488" t="inlineStr">
        <is>
          <t>166|盾怪</t>
        </is>
      </c>
      <c r="B1488" t="n">
        <v>166</v>
      </c>
      <c r="C1488" t="inlineStr">
        <is>
          <t>盾怪</t>
        </is>
      </c>
      <c r="D1488" t="n">
        <v>322701</v>
      </c>
      <c r="E1488" t="n">
        <v>14214</v>
      </c>
      <c r="F1488" t="n">
        <v>15388</v>
      </c>
    </row>
    <row r="1489">
      <c r="A1489" t="inlineStr">
        <is>
          <t>166|二级普通怪</t>
        </is>
      </c>
      <c r="B1489" t="n">
        <v>166</v>
      </c>
      <c r="C1489" t="inlineStr">
        <is>
          <t>二级普通怪</t>
        </is>
      </c>
      <c r="D1489" t="n">
        <v>193621</v>
      </c>
      <c r="E1489" t="n">
        <v>14214</v>
      </c>
      <c r="F1489" t="n">
        <v>15388</v>
      </c>
    </row>
    <row r="1490">
      <c r="A1490" t="inlineStr">
        <is>
          <t>166|站桩怪</t>
        </is>
      </c>
      <c r="B1490" t="n">
        <v>166</v>
      </c>
      <c r="C1490" t="inlineStr">
        <is>
          <t>站桩怪</t>
        </is>
      </c>
      <c r="D1490" t="n">
        <v>53784</v>
      </c>
      <c r="E1490" t="n">
        <v>14214</v>
      </c>
      <c r="F1490" t="n">
        <v>15388</v>
      </c>
    </row>
    <row r="1491">
      <c r="A1491" t="inlineStr">
        <is>
          <t>166|炮灰怪</t>
        </is>
      </c>
      <c r="B1491" t="n">
        <v>166</v>
      </c>
      <c r="C1491" t="inlineStr">
        <is>
          <t>炮灰怪</t>
        </is>
      </c>
      <c r="D1491" t="n">
        <v>16136</v>
      </c>
      <c r="E1491" t="n">
        <v>14214</v>
      </c>
      <c r="F1491" t="n">
        <v>15388</v>
      </c>
    </row>
    <row r="1492">
      <c r="A1492" t="inlineStr">
        <is>
          <t>166|精英怪</t>
        </is>
      </c>
      <c r="B1492" t="n">
        <v>166</v>
      </c>
      <c r="C1492" t="inlineStr">
        <is>
          <t>精英怪</t>
        </is>
      </c>
      <c r="D1492" t="n">
        <v>430268</v>
      </c>
      <c r="E1492" t="n">
        <v>14214</v>
      </c>
      <c r="F1492" t="n">
        <v>15388</v>
      </c>
    </row>
    <row r="1493">
      <c r="A1493" t="inlineStr">
        <is>
          <t>166|精英盾怪</t>
        </is>
      </c>
      <c r="B1493" t="n">
        <v>166</v>
      </c>
      <c r="C1493" t="inlineStr">
        <is>
          <t>精英盾怪</t>
        </is>
      </c>
      <c r="D1493" t="n">
        <v>968103</v>
      </c>
      <c r="E1493" t="n">
        <v>14214</v>
      </c>
      <c r="F1493" t="n">
        <v>15388</v>
      </c>
    </row>
    <row r="1494">
      <c r="A1494" t="inlineStr">
        <is>
          <t>166|Boss</t>
        </is>
      </c>
      <c r="B1494" t="n">
        <v>166</v>
      </c>
      <c r="C1494" t="inlineStr">
        <is>
          <t>Boss</t>
        </is>
      </c>
      <c r="D1494" t="n">
        <v>9305658</v>
      </c>
      <c r="E1494" t="n">
        <v>16235</v>
      </c>
      <c r="F1494" t="n">
        <v>15388</v>
      </c>
    </row>
    <row r="1495">
      <c r="A1495" t="inlineStr">
        <is>
          <t>166|装备副本Boss</t>
        </is>
      </c>
      <c r="B1495" t="n">
        <v>166</v>
      </c>
      <c r="C1495" t="inlineStr">
        <is>
          <t>装备副本Boss</t>
        </is>
      </c>
      <c r="D1495" t="n">
        <v>4652829</v>
      </c>
      <c r="E1495" t="n">
        <v>16235</v>
      </c>
      <c r="F1495" t="n">
        <v>15388</v>
      </c>
    </row>
    <row r="1496">
      <c r="A1496" t="inlineStr">
        <is>
          <t>167|普通怪</t>
        </is>
      </c>
      <c r="B1496" t="n">
        <v>167</v>
      </c>
      <c r="C1496" t="inlineStr">
        <is>
          <t>普通怪</t>
        </is>
      </c>
      <c r="D1496" t="n">
        <v>109048</v>
      </c>
      <c r="E1496" t="n">
        <v>14354</v>
      </c>
      <c r="F1496" t="n">
        <v>15500</v>
      </c>
    </row>
    <row r="1497">
      <c r="A1497" t="inlineStr">
        <is>
          <t>167|盾怪</t>
        </is>
      </c>
      <c r="B1497" t="n">
        <v>167</v>
      </c>
      <c r="C1497" t="inlineStr">
        <is>
          <t>盾怪</t>
        </is>
      </c>
      <c r="D1497" t="n">
        <v>327144</v>
      </c>
      <c r="E1497" t="n">
        <v>14354</v>
      </c>
      <c r="F1497" t="n">
        <v>15500</v>
      </c>
    </row>
    <row r="1498">
      <c r="A1498" t="inlineStr">
        <is>
          <t>167|二级普通怪</t>
        </is>
      </c>
      <c r="B1498" t="n">
        <v>167</v>
      </c>
      <c r="C1498" t="inlineStr">
        <is>
          <t>二级普通怪</t>
        </is>
      </c>
      <c r="D1498" t="n">
        <v>196287</v>
      </c>
      <c r="E1498" t="n">
        <v>14354</v>
      </c>
      <c r="F1498" t="n">
        <v>15500</v>
      </c>
    </row>
    <row r="1499">
      <c r="A1499" t="inlineStr">
        <is>
          <t>167|站桩怪</t>
        </is>
      </c>
      <c r="B1499" t="n">
        <v>167</v>
      </c>
      <c r="C1499" t="inlineStr">
        <is>
          <t>站桩怪</t>
        </is>
      </c>
      <c r="D1499" t="n">
        <v>54524</v>
      </c>
      <c r="E1499" t="n">
        <v>14354</v>
      </c>
      <c r="F1499" t="n">
        <v>15500</v>
      </c>
    </row>
    <row r="1500">
      <c r="A1500" t="inlineStr">
        <is>
          <t>167|炮灰怪</t>
        </is>
      </c>
      <c r="B1500" t="n">
        <v>167</v>
      </c>
      <c r="C1500" t="inlineStr">
        <is>
          <t>炮灰怪</t>
        </is>
      </c>
      <c r="D1500" t="n">
        <v>16358</v>
      </c>
      <c r="E1500" t="n">
        <v>14354</v>
      </c>
      <c r="F1500" t="n">
        <v>15500</v>
      </c>
    </row>
    <row r="1501">
      <c r="A1501" t="inlineStr">
        <is>
          <t>167|精英怪</t>
        </is>
      </c>
      <c r="B1501" t="n">
        <v>167</v>
      </c>
      <c r="C1501" t="inlineStr">
        <is>
          <t>精英怪</t>
        </is>
      </c>
      <c r="D1501" t="n">
        <v>436192</v>
      </c>
      <c r="E1501" t="n">
        <v>14354</v>
      </c>
      <c r="F1501" t="n">
        <v>15500</v>
      </c>
    </row>
    <row r="1502">
      <c r="A1502" t="inlineStr">
        <is>
          <t>167|精英盾怪</t>
        </is>
      </c>
      <c r="B1502" t="n">
        <v>167</v>
      </c>
      <c r="C1502" t="inlineStr">
        <is>
          <t>精英盾怪</t>
        </is>
      </c>
      <c r="D1502" t="n">
        <v>981432</v>
      </c>
      <c r="E1502" t="n">
        <v>14354</v>
      </c>
      <c r="F1502" t="n">
        <v>15500</v>
      </c>
    </row>
    <row r="1503">
      <c r="A1503" t="inlineStr">
        <is>
          <t>167|Boss</t>
        </is>
      </c>
      <c r="B1503" t="n">
        <v>167</v>
      </c>
      <c r="C1503" t="inlineStr">
        <is>
          <t>Boss</t>
        </is>
      </c>
      <c r="D1503" t="n">
        <v>9445444</v>
      </c>
      <c r="E1503" t="n">
        <v>16389</v>
      </c>
      <c r="F1503" t="n">
        <v>15500</v>
      </c>
    </row>
    <row r="1504">
      <c r="A1504" t="inlineStr">
        <is>
          <t>167|装备副本Boss</t>
        </is>
      </c>
      <c r="B1504" t="n">
        <v>167</v>
      </c>
      <c r="C1504" t="inlineStr">
        <is>
          <t>装备副本Boss</t>
        </is>
      </c>
      <c r="D1504" t="n">
        <v>4722722</v>
      </c>
      <c r="E1504" t="n">
        <v>16389</v>
      </c>
      <c r="F1504" t="n">
        <v>15500</v>
      </c>
    </row>
    <row r="1505">
      <c r="A1505" t="inlineStr">
        <is>
          <t>168|普通怪</t>
        </is>
      </c>
      <c r="B1505" t="n">
        <v>168</v>
      </c>
      <c r="C1505" t="inlineStr">
        <is>
          <t>普通怪</t>
        </is>
      </c>
      <c r="D1505" t="n">
        <v>110544</v>
      </c>
      <c r="E1505" t="n">
        <v>14496</v>
      </c>
      <c r="F1505" t="n">
        <v>15612</v>
      </c>
    </row>
    <row r="1506">
      <c r="A1506" t="inlineStr">
        <is>
          <t>168|盾怪</t>
        </is>
      </c>
      <c r="B1506" t="n">
        <v>168</v>
      </c>
      <c r="C1506" t="inlineStr">
        <is>
          <t>盾怪</t>
        </is>
      </c>
      <c r="D1506" t="n">
        <v>331632</v>
      </c>
      <c r="E1506" t="n">
        <v>14496</v>
      </c>
      <c r="F1506" t="n">
        <v>15612</v>
      </c>
    </row>
    <row r="1507">
      <c r="A1507" t="inlineStr">
        <is>
          <t>168|二级普通怪</t>
        </is>
      </c>
      <c r="B1507" t="n">
        <v>168</v>
      </c>
      <c r="C1507" t="inlineStr">
        <is>
          <t>二级普通怪</t>
        </is>
      </c>
      <c r="D1507" t="n">
        <v>198980</v>
      </c>
      <c r="E1507" t="n">
        <v>14496</v>
      </c>
      <c r="F1507" t="n">
        <v>15612</v>
      </c>
    </row>
    <row r="1508">
      <c r="A1508" t="inlineStr">
        <is>
          <t>168|站桩怪</t>
        </is>
      </c>
      <c r="B1508" t="n">
        <v>168</v>
      </c>
      <c r="C1508" t="inlineStr">
        <is>
          <t>站桩怪</t>
        </is>
      </c>
      <c r="D1508" t="n">
        <v>55272</v>
      </c>
      <c r="E1508" t="n">
        <v>14496</v>
      </c>
      <c r="F1508" t="n">
        <v>15612</v>
      </c>
    </row>
    <row r="1509">
      <c r="A1509" t="inlineStr">
        <is>
          <t>168|炮灰怪</t>
        </is>
      </c>
      <c r="B1509" t="n">
        <v>168</v>
      </c>
      <c r="C1509" t="inlineStr">
        <is>
          <t>炮灰怪</t>
        </is>
      </c>
      <c r="D1509" t="n">
        <v>16582</v>
      </c>
      <c r="E1509" t="n">
        <v>14496</v>
      </c>
      <c r="F1509" t="n">
        <v>15612</v>
      </c>
    </row>
    <row r="1510">
      <c r="A1510" t="inlineStr">
        <is>
          <t>168|精英怪</t>
        </is>
      </c>
      <c r="B1510" t="n">
        <v>168</v>
      </c>
      <c r="C1510" t="inlineStr">
        <is>
          <t>精英怪</t>
        </is>
      </c>
      <c r="D1510" t="n">
        <v>442176</v>
      </c>
      <c r="E1510" t="n">
        <v>14496</v>
      </c>
      <c r="F1510" t="n">
        <v>15612</v>
      </c>
    </row>
    <row r="1511">
      <c r="A1511" t="inlineStr">
        <is>
          <t>168|精英盾怪</t>
        </is>
      </c>
      <c r="B1511" t="n">
        <v>168</v>
      </c>
      <c r="C1511" t="inlineStr">
        <is>
          <t>精英盾怪</t>
        </is>
      </c>
      <c r="D1511" t="n">
        <v>994896</v>
      </c>
      <c r="E1511" t="n">
        <v>14496</v>
      </c>
      <c r="F1511" t="n">
        <v>15612</v>
      </c>
    </row>
    <row r="1512">
      <c r="A1512" t="inlineStr">
        <is>
          <t>168|Boss</t>
        </is>
      </c>
      <c r="B1512" t="n">
        <v>168</v>
      </c>
      <c r="C1512" t="inlineStr">
        <is>
          <t>Boss</t>
        </is>
      </c>
      <c r="D1512" t="n">
        <v>9586763</v>
      </c>
      <c r="E1512" t="n">
        <v>16544</v>
      </c>
      <c r="F1512" t="n">
        <v>15612</v>
      </c>
    </row>
    <row r="1513">
      <c r="A1513" t="inlineStr">
        <is>
          <t>168|装备副本Boss</t>
        </is>
      </c>
      <c r="B1513" t="n">
        <v>168</v>
      </c>
      <c r="C1513" t="inlineStr">
        <is>
          <t>装备副本Boss</t>
        </is>
      </c>
      <c r="D1513" t="n">
        <v>4793381</v>
      </c>
      <c r="E1513" t="n">
        <v>16544</v>
      </c>
      <c r="F1513" t="n">
        <v>15612</v>
      </c>
    </row>
    <row r="1514">
      <c r="A1514" t="inlineStr">
        <is>
          <t>169|普通怪</t>
        </is>
      </c>
      <c r="B1514" t="n">
        <v>169</v>
      </c>
      <c r="C1514" t="inlineStr">
        <is>
          <t>普通怪</t>
        </is>
      </c>
      <c r="D1514" t="n">
        <v>112054</v>
      </c>
      <c r="E1514" t="n">
        <v>14638</v>
      </c>
      <c r="F1514" t="n">
        <v>15724</v>
      </c>
    </row>
    <row r="1515">
      <c r="A1515" t="inlineStr">
        <is>
          <t>169|盾怪</t>
        </is>
      </c>
      <c r="B1515" t="n">
        <v>169</v>
      </c>
      <c r="C1515" t="inlineStr">
        <is>
          <t>盾怪</t>
        </is>
      </c>
      <c r="D1515" t="n">
        <v>336162</v>
      </c>
      <c r="E1515" t="n">
        <v>14638</v>
      </c>
      <c r="F1515" t="n">
        <v>15724</v>
      </c>
    </row>
    <row r="1516">
      <c r="A1516" t="inlineStr">
        <is>
          <t>169|二级普通怪</t>
        </is>
      </c>
      <c r="B1516" t="n">
        <v>169</v>
      </c>
      <c r="C1516" t="inlineStr">
        <is>
          <t>二级普通怪</t>
        </is>
      </c>
      <c r="D1516" t="n">
        <v>201698</v>
      </c>
      <c r="E1516" t="n">
        <v>14638</v>
      </c>
      <c r="F1516" t="n">
        <v>15724</v>
      </c>
    </row>
    <row r="1517">
      <c r="A1517" t="inlineStr">
        <is>
          <t>169|站桩怪</t>
        </is>
      </c>
      <c r="B1517" t="n">
        <v>169</v>
      </c>
      <c r="C1517" t="inlineStr">
        <is>
          <t>站桩怪</t>
        </is>
      </c>
      <c r="D1517" t="n">
        <v>56027</v>
      </c>
      <c r="E1517" t="n">
        <v>14638</v>
      </c>
      <c r="F1517" t="n">
        <v>15724</v>
      </c>
    </row>
    <row r="1518">
      <c r="A1518" t="inlineStr">
        <is>
          <t>169|炮灰怪</t>
        </is>
      </c>
      <c r="B1518" t="n">
        <v>169</v>
      </c>
      <c r="C1518" t="inlineStr">
        <is>
          <t>炮灰怪</t>
        </is>
      </c>
      <c r="D1518" t="n">
        <v>16809</v>
      </c>
      <c r="E1518" t="n">
        <v>14638</v>
      </c>
      <c r="F1518" t="n">
        <v>15724</v>
      </c>
    </row>
    <row r="1519">
      <c r="A1519" t="inlineStr">
        <is>
          <t>169|精英怪</t>
        </is>
      </c>
      <c r="B1519" t="n">
        <v>169</v>
      </c>
      <c r="C1519" t="inlineStr">
        <is>
          <t>精英怪</t>
        </is>
      </c>
      <c r="D1519" t="n">
        <v>448216</v>
      </c>
      <c r="E1519" t="n">
        <v>14638</v>
      </c>
      <c r="F1519" t="n">
        <v>15724</v>
      </c>
    </row>
    <row r="1520">
      <c r="A1520" t="inlineStr">
        <is>
          <t>169|精英盾怪</t>
        </is>
      </c>
      <c r="B1520" t="n">
        <v>169</v>
      </c>
      <c r="C1520" t="inlineStr">
        <is>
          <t>精英盾怪</t>
        </is>
      </c>
      <c r="D1520" t="n">
        <v>1008486</v>
      </c>
      <c r="E1520" t="n">
        <v>14638</v>
      </c>
      <c r="F1520" t="n">
        <v>15724</v>
      </c>
    </row>
    <row r="1521">
      <c r="A1521" t="inlineStr">
        <is>
          <t>169|Boss</t>
        </is>
      </c>
      <c r="B1521" t="n">
        <v>169</v>
      </c>
      <c r="C1521" t="inlineStr">
        <is>
          <t>Boss</t>
        </is>
      </c>
      <c r="D1521" t="n">
        <v>9729616</v>
      </c>
      <c r="E1521" t="n">
        <v>16700</v>
      </c>
      <c r="F1521" t="n">
        <v>15724</v>
      </c>
    </row>
    <row r="1522">
      <c r="A1522" t="inlineStr">
        <is>
          <t>169|装备副本Boss</t>
        </is>
      </c>
      <c r="B1522" t="n">
        <v>169</v>
      </c>
      <c r="C1522" t="inlineStr">
        <is>
          <t>装备副本Boss</t>
        </is>
      </c>
      <c r="D1522" t="n">
        <v>4864808</v>
      </c>
      <c r="E1522" t="n">
        <v>16700</v>
      </c>
      <c r="F1522" t="n">
        <v>15724</v>
      </c>
    </row>
    <row r="1523">
      <c r="A1523" t="inlineStr">
        <is>
          <t>170|普通怪</t>
        </is>
      </c>
      <c r="B1523" t="n">
        <v>170</v>
      </c>
      <c r="C1523" t="inlineStr">
        <is>
          <t>普通怪</t>
        </is>
      </c>
      <c r="D1523" t="n">
        <v>113579</v>
      </c>
      <c r="E1523" t="n">
        <v>14782</v>
      </c>
      <c r="F1523" t="n">
        <v>15836</v>
      </c>
    </row>
    <row r="1524">
      <c r="A1524" t="inlineStr">
        <is>
          <t>170|盾怪</t>
        </is>
      </c>
      <c r="B1524" t="n">
        <v>170</v>
      </c>
      <c r="C1524" t="inlineStr">
        <is>
          <t>盾怪</t>
        </is>
      </c>
      <c r="D1524" t="n">
        <v>340737</v>
      </c>
      <c r="E1524" t="n">
        <v>14782</v>
      </c>
      <c r="F1524" t="n">
        <v>15836</v>
      </c>
    </row>
    <row r="1525">
      <c r="A1525" t="inlineStr">
        <is>
          <t>170|二级普通怪</t>
        </is>
      </c>
      <c r="B1525" t="n">
        <v>170</v>
      </c>
      <c r="C1525" t="inlineStr">
        <is>
          <t>二级普通怪</t>
        </is>
      </c>
      <c r="D1525" t="n">
        <v>204443</v>
      </c>
      <c r="E1525" t="n">
        <v>14782</v>
      </c>
      <c r="F1525" t="n">
        <v>15836</v>
      </c>
    </row>
    <row r="1526">
      <c r="A1526" t="inlineStr">
        <is>
          <t>170|站桩怪</t>
        </is>
      </c>
      <c r="B1526" t="n">
        <v>170</v>
      </c>
      <c r="C1526" t="inlineStr">
        <is>
          <t>站桩怪</t>
        </is>
      </c>
      <c r="D1526" t="n">
        <v>56790</v>
      </c>
      <c r="E1526" t="n">
        <v>14782</v>
      </c>
      <c r="F1526" t="n">
        <v>15836</v>
      </c>
    </row>
    <row r="1527">
      <c r="A1527" t="inlineStr">
        <is>
          <t>170|炮灰怪</t>
        </is>
      </c>
      <c r="B1527" t="n">
        <v>170</v>
      </c>
      <c r="C1527" t="inlineStr">
        <is>
          <t>炮灰怪</t>
        </is>
      </c>
      <c r="D1527" t="n">
        <v>17037</v>
      </c>
      <c r="E1527" t="n">
        <v>14782</v>
      </c>
      <c r="F1527" t="n">
        <v>15836</v>
      </c>
    </row>
    <row r="1528">
      <c r="A1528" t="inlineStr">
        <is>
          <t>170|精英怪</t>
        </is>
      </c>
      <c r="B1528" t="n">
        <v>170</v>
      </c>
      <c r="C1528" t="inlineStr">
        <is>
          <t>精英怪</t>
        </is>
      </c>
      <c r="D1528" t="n">
        <v>454316</v>
      </c>
      <c r="E1528" t="n">
        <v>14782</v>
      </c>
      <c r="F1528" t="n">
        <v>15836</v>
      </c>
    </row>
    <row r="1529">
      <c r="A1529" t="inlineStr">
        <is>
          <t>170|精英盾怪</t>
        </is>
      </c>
      <c r="B1529" t="n">
        <v>170</v>
      </c>
      <c r="C1529" t="inlineStr">
        <is>
          <t>精英盾怪</t>
        </is>
      </c>
      <c r="D1529" t="n">
        <v>1022211</v>
      </c>
      <c r="E1529" t="n">
        <v>14782</v>
      </c>
      <c r="F1529" t="n">
        <v>15836</v>
      </c>
    </row>
    <row r="1530">
      <c r="A1530" t="inlineStr">
        <is>
          <t>170|Boss</t>
        </is>
      </c>
      <c r="B1530" t="n">
        <v>170</v>
      </c>
      <c r="C1530" t="inlineStr">
        <is>
          <t>Boss</t>
        </is>
      </c>
      <c r="D1530" t="n">
        <v>9873951</v>
      </c>
      <c r="E1530" t="n">
        <v>16857</v>
      </c>
      <c r="F1530" t="n">
        <v>15836</v>
      </c>
    </row>
    <row r="1531">
      <c r="A1531" t="inlineStr">
        <is>
          <t>170|装备副本Boss</t>
        </is>
      </c>
      <c r="B1531" t="n">
        <v>170</v>
      </c>
      <c r="C1531" t="inlineStr">
        <is>
          <t>装备副本Boss</t>
        </is>
      </c>
      <c r="D1531" t="n">
        <v>4936976</v>
      </c>
      <c r="E1531" t="n">
        <v>16857</v>
      </c>
      <c r="F1531" t="n">
        <v>15836</v>
      </c>
    </row>
    <row r="1532">
      <c r="A1532" t="inlineStr">
        <is>
          <t>171|普通怪</t>
        </is>
      </c>
      <c r="B1532" t="n">
        <v>171</v>
      </c>
      <c r="C1532" t="inlineStr">
        <is>
          <t>普通怪</t>
        </is>
      </c>
      <c r="D1532" t="n">
        <v>115120</v>
      </c>
      <c r="E1532" t="n">
        <v>14926</v>
      </c>
      <c r="F1532" t="n">
        <v>15949</v>
      </c>
    </row>
    <row r="1533">
      <c r="A1533" t="inlineStr">
        <is>
          <t>171|盾怪</t>
        </is>
      </c>
      <c r="B1533" t="n">
        <v>171</v>
      </c>
      <c r="C1533" t="inlineStr">
        <is>
          <t>盾怪</t>
        </is>
      </c>
      <c r="D1533" t="n">
        <v>345360</v>
      </c>
      <c r="E1533" t="n">
        <v>14926</v>
      </c>
      <c r="F1533" t="n">
        <v>15949</v>
      </c>
    </row>
    <row r="1534">
      <c r="A1534" t="inlineStr">
        <is>
          <t>171|二级普通怪</t>
        </is>
      </c>
      <c r="B1534" t="n">
        <v>171</v>
      </c>
      <c r="C1534" t="inlineStr">
        <is>
          <t>二级普通怪</t>
        </is>
      </c>
      <c r="D1534" t="n">
        <v>207216</v>
      </c>
      <c r="E1534" t="n">
        <v>14926</v>
      </c>
      <c r="F1534" t="n">
        <v>15949</v>
      </c>
    </row>
    <row r="1535">
      <c r="A1535" t="inlineStr">
        <is>
          <t>171|站桩怪</t>
        </is>
      </c>
      <c r="B1535" t="n">
        <v>171</v>
      </c>
      <c r="C1535" t="inlineStr">
        <is>
          <t>站桩怪</t>
        </is>
      </c>
      <c r="D1535" t="n">
        <v>57560</v>
      </c>
      <c r="E1535" t="n">
        <v>14926</v>
      </c>
      <c r="F1535" t="n">
        <v>15949</v>
      </c>
    </row>
    <row r="1536">
      <c r="A1536" t="inlineStr">
        <is>
          <t>171|炮灰怪</t>
        </is>
      </c>
      <c r="B1536" t="n">
        <v>171</v>
      </c>
      <c r="C1536" t="inlineStr">
        <is>
          <t>炮灰怪</t>
        </is>
      </c>
      <c r="D1536" t="n">
        <v>17268</v>
      </c>
      <c r="E1536" t="n">
        <v>14926</v>
      </c>
      <c r="F1536" t="n">
        <v>15949</v>
      </c>
    </row>
    <row r="1537">
      <c r="A1537" t="inlineStr">
        <is>
          <t>171|精英怪</t>
        </is>
      </c>
      <c r="B1537" t="n">
        <v>171</v>
      </c>
      <c r="C1537" t="inlineStr">
        <is>
          <t>精英怪</t>
        </is>
      </c>
      <c r="D1537" t="n">
        <v>460480</v>
      </c>
      <c r="E1537" t="n">
        <v>14926</v>
      </c>
      <c r="F1537" t="n">
        <v>15949</v>
      </c>
    </row>
    <row r="1538">
      <c r="A1538" t="inlineStr">
        <is>
          <t>171|精英盾怪</t>
        </is>
      </c>
      <c r="B1538" t="n">
        <v>171</v>
      </c>
      <c r="C1538" t="inlineStr">
        <is>
          <t>精英盾怪</t>
        </is>
      </c>
      <c r="D1538" t="n">
        <v>1036080</v>
      </c>
      <c r="E1538" t="n">
        <v>14926</v>
      </c>
      <c r="F1538" t="n">
        <v>15949</v>
      </c>
    </row>
    <row r="1539">
      <c r="A1539" t="inlineStr">
        <is>
          <t>171|Boss</t>
        </is>
      </c>
      <c r="B1539" t="n">
        <v>171</v>
      </c>
      <c r="C1539" t="inlineStr">
        <is>
          <t>Boss</t>
        </is>
      </c>
      <c r="D1539" t="n">
        <v>10019820</v>
      </c>
      <c r="E1539" t="n">
        <v>17015</v>
      </c>
      <c r="F1539" t="n">
        <v>15949</v>
      </c>
    </row>
    <row r="1540">
      <c r="A1540" t="inlineStr">
        <is>
          <t>171|装备副本Boss</t>
        </is>
      </c>
      <c r="B1540" t="n">
        <v>171</v>
      </c>
      <c r="C1540" t="inlineStr">
        <is>
          <t>装备副本Boss</t>
        </is>
      </c>
      <c r="D1540" t="n">
        <v>5009910</v>
      </c>
      <c r="E1540" t="n">
        <v>17015</v>
      </c>
      <c r="F1540" t="n">
        <v>15949</v>
      </c>
    </row>
    <row r="1541">
      <c r="A1541" t="inlineStr">
        <is>
          <t>172|普通怪</t>
        </is>
      </c>
      <c r="B1541" t="n">
        <v>172</v>
      </c>
      <c r="C1541" t="inlineStr">
        <is>
          <t>普通怪</t>
        </is>
      </c>
      <c r="D1541" t="n">
        <v>116675</v>
      </c>
      <c r="E1541" t="n">
        <v>15071</v>
      </c>
      <c r="F1541" t="n">
        <v>16062</v>
      </c>
    </row>
    <row r="1542">
      <c r="A1542" t="inlineStr">
        <is>
          <t>172|盾怪</t>
        </is>
      </c>
      <c r="B1542" t="n">
        <v>172</v>
      </c>
      <c r="C1542" t="inlineStr">
        <is>
          <t>盾怪</t>
        </is>
      </c>
      <c r="D1542" t="n">
        <v>350025</v>
      </c>
      <c r="E1542" t="n">
        <v>15071</v>
      </c>
      <c r="F1542" t="n">
        <v>16062</v>
      </c>
    </row>
    <row r="1543">
      <c r="A1543" t="inlineStr">
        <is>
          <t>172|二级普通怪</t>
        </is>
      </c>
      <c r="B1543" t="n">
        <v>172</v>
      </c>
      <c r="C1543" t="inlineStr">
        <is>
          <t>二级普通怪</t>
        </is>
      </c>
      <c r="D1543" t="n">
        <v>210015</v>
      </c>
      <c r="E1543" t="n">
        <v>15071</v>
      </c>
      <c r="F1543" t="n">
        <v>16062</v>
      </c>
    </row>
    <row r="1544">
      <c r="A1544" t="inlineStr">
        <is>
          <t>172|站桩怪</t>
        </is>
      </c>
      <c r="B1544" t="n">
        <v>172</v>
      </c>
      <c r="C1544" t="inlineStr">
        <is>
          <t>站桩怪</t>
        </is>
      </c>
      <c r="D1544" t="n">
        <v>58338</v>
      </c>
      <c r="E1544" t="n">
        <v>15071</v>
      </c>
      <c r="F1544" t="n">
        <v>16062</v>
      </c>
    </row>
    <row r="1545">
      <c r="A1545" t="inlineStr">
        <is>
          <t>172|炮灰怪</t>
        </is>
      </c>
      <c r="B1545" t="n">
        <v>172</v>
      </c>
      <c r="C1545" t="inlineStr">
        <is>
          <t>炮灰怪</t>
        </is>
      </c>
      <c r="D1545" t="n">
        <v>17502</v>
      </c>
      <c r="E1545" t="n">
        <v>15071</v>
      </c>
      <c r="F1545" t="n">
        <v>16062</v>
      </c>
    </row>
    <row r="1546">
      <c r="A1546" t="inlineStr">
        <is>
          <t>172|精英怪</t>
        </is>
      </c>
      <c r="B1546" t="n">
        <v>172</v>
      </c>
      <c r="C1546" t="inlineStr">
        <is>
          <t>精英怪</t>
        </is>
      </c>
      <c r="D1546" t="n">
        <v>466700</v>
      </c>
      <c r="E1546" t="n">
        <v>15071</v>
      </c>
      <c r="F1546" t="n">
        <v>16062</v>
      </c>
    </row>
    <row r="1547">
      <c r="A1547" t="inlineStr">
        <is>
          <t>172|精英盾怪</t>
        </is>
      </c>
      <c r="B1547" t="n">
        <v>172</v>
      </c>
      <c r="C1547" t="inlineStr">
        <is>
          <t>精英盾怪</t>
        </is>
      </c>
      <c r="D1547" t="n">
        <v>1050075</v>
      </c>
      <c r="E1547" t="n">
        <v>15071</v>
      </c>
      <c r="F1547" t="n">
        <v>16062</v>
      </c>
    </row>
    <row r="1548">
      <c r="A1548" t="inlineStr">
        <is>
          <t>172|Boss</t>
        </is>
      </c>
      <c r="B1548" t="n">
        <v>172</v>
      </c>
      <c r="C1548" t="inlineStr">
        <is>
          <t>Boss</t>
        </is>
      </c>
      <c r="D1548" t="n">
        <v>10167222</v>
      </c>
      <c r="E1548" t="n">
        <v>17173</v>
      </c>
      <c r="F1548" t="n">
        <v>16062</v>
      </c>
    </row>
    <row r="1549">
      <c r="A1549" t="inlineStr">
        <is>
          <t>172|装备副本Boss</t>
        </is>
      </c>
      <c r="B1549" t="n">
        <v>172</v>
      </c>
      <c r="C1549" t="inlineStr">
        <is>
          <t>装备副本Boss</t>
        </is>
      </c>
      <c r="D1549" t="n">
        <v>5083611</v>
      </c>
      <c r="E1549" t="n">
        <v>17173</v>
      </c>
      <c r="F1549" t="n">
        <v>16062</v>
      </c>
    </row>
    <row r="1550">
      <c r="A1550" t="inlineStr">
        <is>
          <t>173|普通怪</t>
        </is>
      </c>
      <c r="B1550" t="n">
        <v>173</v>
      </c>
      <c r="C1550" t="inlineStr">
        <is>
          <t>普通怪</t>
        </is>
      </c>
      <c r="D1550" t="n">
        <v>118245</v>
      </c>
      <c r="E1550" t="n">
        <v>15217</v>
      </c>
      <c r="F1550" t="n">
        <v>16175</v>
      </c>
    </row>
    <row r="1551">
      <c r="A1551" t="inlineStr">
        <is>
          <t>173|盾怪</t>
        </is>
      </c>
      <c r="B1551" t="n">
        <v>173</v>
      </c>
      <c r="C1551" t="inlineStr">
        <is>
          <t>盾怪</t>
        </is>
      </c>
      <c r="D1551" t="n">
        <v>354735</v>
      </c>
      <c r="E1551" t="n">
        <v>15217</v>
      </c>
      <c r="F1551" t="n">
        <v>16175</v>
      </c>
    </row>
    <row r="1552">
      <c r="A1552" t="inlineStr">
        <is>
          <t>173|二级普通怪</t>
        </is>
      </c>
      <c r="B1552" t="n">
        <v>173</v>
      </c>
      <c r="C1552" t="inlineStr">
        <is>
          <t>二级普通怪</t>
        </is>
      </c>
      <c r="D1552" t="n">
        <v>212841</v>
      </c>
      <c r="E1552" t="n">
        <v>15217</v>
      </c>
      <c r="F1552" t="n">
        <v>16175</v>
      </c>
    </row>
    <row r="1553">
      <c r="A1553" t="inlineStr">
        <is>
          <t>173|站桩怪</t>
        </is>
      </c>
      <c r="B1553" t="n">
        <v>173</v>
      </c>
      <c r="C1553" t="inlineStr">
        <is>
          <t>站桩怪</t>
        </is>
      </c>
      <c r="D1553" t="n">
        <v>59123</v>
      </c>
      <c r="E1553" t="n">
        <v>15217</v>
      </c>
      <c r="F1553" t="n">
        <v>16175</v>
      </c>
    </row>
    <row r="1554">
      <c r="A1554" t="inlineStr">
        <is>
          <t>173|炮灰怪</t>
        </is>
      </c>
      <c r="B1554" t="n">
        <v>173</v>
      </c>
      <c r="C1554" t="inlineStr">
        <is>
          <t>炮灰怪</t>
        </is>
      </c>
      <c r="D1554" t="n">
        <v>17737</v>
      </c>
      <c r="E1554" t="n">
        <v>15217</v>
      </c>
      <c r="F1554" t="n">
        <v>16175</v>
      </c>
    </row>
    <row r="1555">
      <c r="A1555" t="inlineStr">
        <is>
          <t>173|精英怪</t>
        </is>
      </c>
      <c r="B1555" t="n">
        <v>173</v>
      </c>
      <c r="C1555" t="inlineStr">
        <is>
          <t>精英怪</t>
        </is>
      </c>
      <c r="D1555" t="n">
        <v>472980</v>
      </c>
      <c r="E1555" t="n">
        <v>15217</v>
      </c>
      <c r="F1555" t="n">
        <v>16175</v>
      </c>
    </row>
    <row r="1556">
      <c r="A1556" t="inlineStr">
        <is>
          <t>173|精英盾怪</t>
        </is>
      </c>
      <c r="B1556" t="n">
        <v>173</v>
      </c>
      <c r="C1556" t="inlineStr">
        <is>
          <t>精英盾怪</t>
        </is>
      </c>
      <c r="D1556" t="n">
        <v>1064205</v>
      </c>
      <c r="E1556" t="n">
        <v>15217</v>
      </c>
      <c r="F1556" t="n">
        <v>16175</v>
      </c>
    </row>
    <row r="1557">
      <c r="A1557" t="inlineStr">
        <is>
          <t>173|Boss</t>
        </is>
      </c>
      <c r="B1557" t="n">
        <v>173</v>
      </c>
      <c r="C1557" t="inlineStr">
        <is>
          <t>Boss</t>
        </is>
      </c>
      <c r="D1557" t="n">
        <v>10316208</v>
      </c>
      <c r="E1557" t="n">
        <v>17333</v>
      </c>
      <c r="F1557" t="n">
        <v>16175</v>
      </c>
    </row>
    <row r="1558">
      <c r="A1558" t="inlineStr">
        <is>
          <t>173|装备副本Boss</t>
        </is>
      </c>
      <c r="B1558" t="n">
        <v>173</v>
      </c>
      <c r="C1558" t="inlineStr">
        <is>
          <t>装备副本Boss</t>
        </is>
      </c>
      <c r="D1558" t="n">
        <v>5158104</v>
      </c>
      <c r="E1558" t="n">
        <v>17333</v>
      </c>
      <c r="F1558" t="n">
        <v>16175</v>
      </c>
    </row>
    <row r="1559">
      <c r="A1559" t="inlineStr">
        <is>
          <t>174|普通怪</t>
        </is>
      </c>
      <c r="B1559" t="n">
        <v>174</v>
      </c>
      <c r="C1559" t="inlineStr">
        <is>
          <t>普通怪</t>
        </is>
      </c>
      <c r="D1559" t="n">
        <v>119830</v>
      </c>
      <c r="E1559" t="n">
        <v>15364</v>
      </c>
      <c r="F1559" t="n">
        <v>16288</v>
      </c>
    </row>
    <row r="1560">
      <c r="A1560" t="inlineStr">
        <is>
          <t>174|盾怪</t>
        </is>
      </c>
      <c r="B1560" t="n">
        <v>174</v>
      </c>
      <c r="C1560" t="inlineStr">
        <is>
          <t>盾怪</t>
        </is>
      </c>
      <c r="D1560" t="n">
        <v>359490</v>
      </c>
      <c r="E1560" t="n">
        <v>15364</v>
      </c>
      <c r="F1560" t="n">
        <v>16288</v>
      </c>
    </row>
    <row r="1561">
      <c r="A1561" t="inlineStr">
        <is>
          <t>174|二级普通怪</t>
        </is>
      </c>
      <c r="B1561" t="n">
        <v>174</v>
      </c>
      <c r="C1561" t="inlineStr">
        <is>
          <t>二级普通怪</t>
        </is>
      </c>
      <c r="D1561" t="n">
        <v>215694</v>
      </c>
      <c r="E1561" t="n">
        <v>15364</v>
      </c>
      <c r="F1561" t="n">
        <v>16288</v>
      </c>
    </row>
    <row r="1562">
      <c r="A1562" t="inlineStr">
        <is>
          <t>174|站桩怪</t>
        </is>
      </c>
      <c r="B1562" t="n">
        <v>174</v>
      </c>
      <c r="C1562" t="inlineStr">
        <is>
          <t>站桩怪</t>
        </is>
      </c>
      <c r="D1562" t="n">
        <v>59915</v>
      </c>
      <c r="E1562" t="n">
        <v>15364</v>
      </c>
      <c r="F1562" t="n">
        <v>16288</v>
      </c>
    </row>
    <row r="1563">
      <c r="A1563" t="inlineStr">
        <is>
          <t>174|炮灰怪</t>
        </is>
      </c>
      <c r="B1563" t="n">
        <v>174</v>
      </c>
      <c r="C1563" t="inlineStr">
        <is>
          <t>炮灰怪</t>
        </is>
      </c>
      <c r="D1563" t="n">
        <v>17975</v>
      </c>
      <c r="E1563" t="n">
        <v>15364</v>
      </c>
      <c r="F1563" t="n">
        <v>16288</v>
      </c>
    </row>
    <row r="1564">
      <c r="A1564" t="inlineStr">
        <is>
          <t>174|精英怪</t>
        </is>
      </c>
      <c r="B1564" t="n">
        <v>174</v>
      </c>
      <c r="C1564" t="inlineStr">
        <is>
          <t>精英怪</t>
        </is>
      </c>
      <c r="D1564" t="n">
        <v>479320</v>
      </c>
      <c r="E1564" t="n">
        <v>15364</v>
      </c>
      <c r="F1564" t="n">
        <v>16288</v>
      </c>
    </row>
    <row r="1565">
      <c r="A1565" t="inlineStr">
        <is>
          <t>174|精英盾怪</t>
        </is>
      </c>
      <c r="B1565" t="n">
        <v>174</v>
      </c>
      <c r="C1565" t="inlineStr">
        <is>
          <t>精英盾怪</t>
        </is>
      </c>
      <c r="D1565" t="n">
        <v>1078470</v>
      </c>
      <c r="E1565" t="n">
        <v>15364</v>
      </c>
      <c r="F1565" t="n">
        <v>16288</v>
      </c>
    </row>
    <row r="1566">
      <c r="A1566" t="inlineStr">
        <is>
          <t>174|Boss</t>
        </is>
      </c>
      <c r="B1566" t="n">
        <v>174</v>
      </c>
      <c r="C1566" t="inlineStr">
        <is>
          <t>Boss</t>
        </is>
      </c>
      <c r="D1566" t="n">
        <v>10466727</v>
      </c>
      <c r="E1566" t="n">
        <v>17493</v>
      </c>
      <c r="F1566" t="n">
        <v>16288</v>
      </c>
    </row>
    <row r="1567">
      <c r="A1567" t="inlineStr">
        <is>
          <t>174|装备副本Boss</t>
        </is>
      </c>
      <c r="B1567" t="n">
        <v>174</v>
      </c>
      <c r="C1567" t="inlineStr">
        <is>
          <t>装备副本Boss</t>
        </is>
      </c>
      <c r="D1567" t="n">
        <v>5233363</v>
      </c>
      <c r="E1567" t="n">
        <v>17493</v>
      </c>
      <c r="F1567" t="n">
        <v>16288</v>
      </c>
    </row>
    <row r="1568">
      <c r="A1568" t="inlineStr">
        <is>
          <t>175|普通怪</t>
        </is>
      </c>
      <c r="B1568" t="n">
        <v>175</v>
      </c>
      <c r="C1568" t="inlineStr">
        <is>
          <t>普通怪</t>
        </is>
      </c>
      <c r="D1568" t="n">
        <v>121431</v>
      </c>
      <c r="E1568" t="n">
        <v>15511</v>
      </c>
      <c r="F1568" t="n">
        <v>16402</v>
      </c>
    </row>
    <row r="1569">
      <c r="A1569" t="inlineStr">
        <is>
          <t>175|盾怪</t>
        </is>
      </c>
      <c r="B1569" t="n">
        <v>175</v>
      </c>
      <c r="C1569" t="inlineStr">
        <is>
          <t>盾怪</t>
        </is>
      </c>
      <c r="D1569" t="n">
        <v>364293</v>
      </c>
      <c r="E1569" t="n">
        <v>15511</v>
      </c>
      <c r="F1569" t="n">
        <v>16402</v>
      </c>
    </row>
    <row r="1570">
      <c r="A1570" t="inlineStr">
        <is>
          <t>175|二级普通怪</t>
        </is>
      </c>
      <c r="B1570" t="n">
        <v>175</v>
      </c>
      <c r="C1570" t="inlineStr">
        <is>
          <t>二级普通怪</t>
        </is>
      </c>
      <c r="D1570" t="n">
        <v>218576</v>
      </c>
      <c r="E1570" t="n">
        <v>15511</v>
      </c>
      <c r="F1570" t="n">
        <v>16402</v>
      </c>
    </row>
    <row r="1571">
      <c r="A1571" t="inlineStr">
        <is>
          <t>175|站桩怪</t>
        </is>
      </c>
      <c r="B1571" t="n">
        <v>175</v>
      </c>
      <c r="C1571" t="inlineStr">
        <is>
          <t>站桩怪</t>
        </is>
      </c>
      <c r="D1571" t="n">
        <v>60716</v>
      </c>
      <c r="E1571" t="n">
        <v>15511</v>
      </c>
      <c r="F1571" t="n">
        <v>16402</v>
      </c>
    </row>
    <row r="1572">
      <c r="A1572" t="inlineStr">
        <is>
          <t>175|炮灰怪</t>
        </is>
      </c>
      <c r="B1572" t="n">
        <v>175</v>
      </c>
      <c r="C1572" t="inlineStr">
        <is>
          <t>炮灰怪</t>
        </is>
      </c>
      <c r="D1572" t="n">
        <v>18215</v>
      </c>
      <c r="E1572" t="n">
        <v>15511</v>
      </c>
      <c r="F1572" t="n">
        <v>16402</v>
      </c>
    </row>
    <row r="1573">
      <c r="A1573" t="inlineStr">
        <is>
          <t>175|精英怪</t>
        </is>
      </c>
      <c r="B1573" t="n">
        <v>175</v>
      </c>
      <c r="C1573" t="inlineStr">
        <is>
          <t>精英怪</t>
        </is>
      </c>
      <c r="D1573" t="n">
        <v>485724</v>
      </c>
      <c r="E1573" t="n">
        <v>15511</v>
      </c>
      <c r="F1573" t="n">
        <v>16402</v>
      </c>
    </row>
    <row r="1574">
      <c r="A1574" t="inlineStr">
        <is>
          <t>175|精英盾怪</t>
        </is>
      </c>
      <c r="B1574" t="n">
        <v>175</v>
      </c>
      <c r="C1574" t="inlineStr">
        <is>
          <t>精英盾怪</t>
        </is>
      </c>
      <c r="D1574" t="n">
        <v>1092879</v>
      </c>
      <c r="E1574" t="n">
        <v>15511</v>
      </c>
      <c r="F1574" t="n">
        <v>16402</v>
      </c>
    </row>
    <row r="1575">
      <c r="A1575" t="inlineStr">
        <is>
          <t>175|Boss</t>
        </is>
      </c>
      <c r="B1575" t="n">
        <v>175</v>
      </c>
      <c r="C1575" t="inlineStr">
        <is>
          <t>Boss</t>
        </is>
      </c>
      <c r="D1575" t="n">
        <v>10618881</v>
      </c>
      <c r="E1575" t="n">
        <v>17654</v>
      </c>
      <c r="F1575" t="n">
        <v>16402</v>
      </c>
    </row>
    <row r="1576">
      <c r="A1576" t="inlineStr">
        <is>
          <t>175|装备副本Boss</t>
        </is>
      </c>
      <c r="B1576" t="n">
        <v>175</v>
      </c>
      <c r="C1576" t="inlineStr">
        <is>
          <t>装备副本Boss</t>
        </is>
      </c>
      <c r="D1576" t="n">
        <v>5309440</v>
      </c>
      <c r="E1576" t="n">
        <v>17654</v>
      </c>
      <c r="F1576" t="n">
        <v>16402</v>
      </c>
    </row>
    <row r="1577">
      <c r="A1577" t="inlineStr">
        <is>
          <t>176|普通怪</t>
        </is>
      </c>
      <c r="B1577" t="n">
        <v>176</v>
      </c>
      <c r="C1577" t="inlineStr">
        <is>
          <t>普通怪</t>
        </is>
      </c>
      <c r="D1577" t="n">
        <v>123047</v>
      </c>
      <c r="E1577" t="n">
        <v>15661</v>
      </c>
      <c r="F1577" t="n">
        <v>16515</v>
      </c>
    </row>
    <row r="1578">
      <c r="A1578" t="inlineStr">
        <is>
          <t>176|盾怪</t>
        </is>
      </c>
      <c r="B1578" t="n">
        <v>176</v>
      </c>
      <c r="C1578" t="inlineStr">
        <is>
          <t>盾怪</t>
        </is>
      </c>
      <c r="D1578" t="n">
        <v>369141</v>
      </c>
      <c r="E1578" t="n">
        <v>15661</v>
      </c>
      <c r="F1578" t="n">
        <v>16515</v>
      </c>
    </row>
    <row r="1579">
      <c r="A1579" t="inlineStr">
        <is>
          <t>176|二级普通怪</t>
        </is>
      </c>
      <c r="B1579" t="n">
        <v>176</v>
      </c>
      <c r="C1579" t="inlineStr">
        <is>
          <t>二级普通怪</t>
        </is>
      </c>
      <c r="D1579" t="n">
        <v>221485</v>
      </c>
      <c r="E1579" t="n">
        <v>15661</v>
      </c>
      <c r="F1579" t="n">
        <v>16515</v>
      </c>
    </row>
    <row r="1580">
      <c r="A1580" t="inlineStr">
        <is>
          <t>176|站桩怪</t>
        </is>
      </c>
      <c r="B1580" t="n">
        <v>176</v>
      </c>
      <c r="C1580" t="inlineStr">
        <is>
          <t>站桩怪</t>
        </is>
      </c>
      <c r="D1580" t="n">
        <v>61524</v>
      </c>
      <c r="E1580" t="n">
        <v>15661</v>
      </c>
      <c r="F1580" t="n">
        <v>16515</v>
      </c>
    </row>
    <row r="1581">
      <c r="A1581" t="inlineStr">
        <is>
          <t>176|炮灰怪</t>
        </is>
      </c>
      <c r="B1581" t="n">
        <v>176</v>
      </c>
      <c r="C1581" t="inlineStr">
        <is>
          <t>炮灰怪</t>
        </is>
      </c>
      <c r="D1581" t="n">
        <v>18458</v>
      </c>
      <c r="E1581" t="n">
        <v>15661</v>
      </c>
      <c r="F1581" t="n">
        <v>16515</v>
      </c>
    </row>
    <row r="1582">
      <c r="A1582" t="inlineStr">
        <is>
          <t>176|精英怪</t>
        </is>
      </c>
      <c r="B1582" t="n">
        <v>176</v>
      </c>
      <c r="C1582" t="inlineStr">
        <is>
          <t>精英怪</t>
        </is>
      </c>
      <c r="D1582" t="n">
        <v>492188</v>
      </c>
      <c r="E1582" t="n">
        <v>15661</v>
      </c>
      <c r="F1582" t="n">
        <v>16515</v>
      </c>
    </row>
    <row r="1583">
      <c r="A1583" t="inlineStr">
        <is>
          <t>176|精英盾怪</t>
        </is>
      </c>
      <c r="B1583" t="n">
        <v>176</v>
      </c>
      <c r="C1583" t="inlineStr">
        <is>
          <t>精英盾怪</t>
        </is>
      </c>
      <c r="D1583" t="n">
        <v>1107423</v>
      </c>
      <c r="E1583" t="n">
        <v>15661</v>
      </c>
      <c r="F1583" t="n">
        <v>16515</v>
      </c>
    </row>
    <row r="1584">
      <c r="A1584" t="inlineStr">
        <is>
          <t>176|Boss</t>
        </is>
      </c>
      <c r="B1584" t="n">
        <v>176</v>
      </c>
      <c r="C1584" t="inlineStr">
        <is>
          <t>Boss</t>
        </is>
      </c>
      <c r="D1584" t="n">
        <v>10772619</v>
      </c>
      <c r="E1584" t="n">
        <v>17817</v>
      </c>
      <c r="F1584" t="n">
        <v>16515</v>
      </c>
    </row>
    <row r="1585">
      <c r="A1585" t="inlineStr">
        <is>
          <t>176|装备副本Boss</t>
        </is>
      </c>
      <c r="B1585" t="n">
        <v>176</v>
      </c>
      <c r="C1585" t="inlineStr">
        <is>
          <t>装备副本Boss</t>
        </is>
      </c>
      <c r="D1585" t="n">
        <v>5386309</v>
      </c>
      <c r="E1585" t="n">
        <v>17817</v>
      </c>
      <c r="F1585" t="n">
        <v>16515</v>
      </c>
    </row>
    <row r="1586">
      <c r="A1586" t="inlineStr">
        <is>
          <t>177|普通怪</t>
        </is>
      </c>
      <c r="B1586" t="n">
        <v>177</v>
      </c>
      <c r="C1586" t="inlineStr">
        <is>
          <t>普通怪</t>
        </is>
      </c>
      <c r="D1586" t="n">
        <v>124679</v>
      </c>
      <c r="E1586" t="n">
        <v>15810</v>
      </c>
      <c r="F1586" t="n">
        <v>16629</v>
      </c>
    </row>
    <row r="1587">
      <c r="A1587" t="inlineStr">
        <is>
          <t>177|盾怪</t>
        </is>
      </c>
      <c r="B1587" t="n">
        <v>177</v>
      </c>
      <c r="C1587" t="inlineStr">
        <is>
          <t>盾怪</t>
        </is>
      </c>
      <c r="D1587" t="n">
        <v>374037</v>
      </c>
      <c r="E1587" t="n">
        <v>15810</v>
      </c>
      <c r="F1587" t="n">
        <v>16629</v>
      </c>
    </row>
    <row r="1588">
      <c r="A1588" t="inlineStr">
        <is>
          <t>177|二级普通怪</t>
        </is>
      </c>
      <c r="B1588" t="n">
        <v>177</v>
      </c>
      <c r="C1588" t="inlineStr">
        <is>
          <t>二级普通怪</t>
        </is>
      </c>
      <c r="D1588" t="n">
        <v>224423</v>
      </c>
      <c r="E1588" t="n">
        <v>15810</v>
      </c>
      <c r="F1588" t="n">
        <v>16629</v>
      </c>
    </row>
    <row r="1589">
      <c r="A1589" t="inlineStr">
        <is>
          <t>177|站桩怪</t>
        </is>
      </c>
      <c r="B1589" t="n">
        <v>177</v>
      </c>
      <c r="C1589" t="inlineStr">
        <is>
          <t>站桩怪</t>
        </is>
      </c>
      <c r="D1589" t="n">
        <v>62340</v>
      </c>
      <c r="E1589" t="n">
        <v>15810</v>
      </c>
      <c r="F1589" t="n">
        <v>16629</v>
      </c>
    </row>
    <row r="1590">
      <c r="A1590" t="inlineStr">
        <is>
          <t>177|炮灰怪</t>
        </is>
      </c>
      <c r="B1590" t="n">
        <v>177</v>
      </c>
      <c r="C1590" t="inlineStr">
        <is>
          <t>炮灰怪</t>
        </is>
      </c>
      <c r="D1590" t="n">
        <v>18702</v>
      </c>
      <c r="E1590" t="n">
        <v>15810</v>
      </c>
      <c r="F1590" t="n">
        <v>16629</v>
      </c>
    </row>
    <row r="1591">
      <c r="A1591" t="inlineStr">
        <is>
          <t>177|精英怪</t>
        </is>
      </c>
      <c r="B1591" t="n">
        <v>177</v>
      </c>
      <c r="C1591" t="inlineStr">
        <is>
          <t>精英怪</t>
        </is>
      </c>
      <c r="D1591" t="n">
        <v>498716</v>
      </c>
      <c r="E1591" t="n">
        <v>15810</v>
      </c>
      <c r="F1591" t="n">
        <v>16629</v>
      </c>
    </row>
    <row r="1592">
      <c r="A1592" t="inlineStr">
        <is>
          <t>177|精英盾怪</t>
        </is>
      </c>
      <c r="B1592" t="n">
        <v>177</v>
      </c>
      <c r="C1592" t="inlineStr">
        <is>
          <t>精英盾怪</t>
        </is>
      </c>
      <c r="D1592" t="n">
        <v>1122111</v>
      </c>
      <c r="E1592" t="n">
        <v>15810</v>
      </c>
      <c r="F1592" t="n">
        <v>16629</v>
      </c>
    </row>
    <row r="1593">
      <c r="A1593" t="inlineStr">
        <is>
          <t>177|Boss</t>
        </is>
      </c>
      <c r="B1593" t="n">
        <v>177</v>
      </c>
      <c r="C1593" t="inlineStr">
        <is>
          <t>Boss</t>
        </is>
      </c>
      <c r="D1593" t="n">
        <v>10927889</v>
      </c>
      <c r="E1593" t="n">
        <v>17980</v>
      </c>
      <c r="F1593" t="n">
        <v>16629</v>
      </c>
    </row>
    <row r="1594">
      <c r="A1594" t="inlineStr">
        <is>
          <t>177|装备副本Boss</t>
        </is>
      </c>
      <c r="B1594" t="n">
        <v>177</v>
      </c>
      <c r="C1594" t="inlineStr">
        <is>
          <t>装备副本Boss</t>
        </is>
      </c>
      <c r="D1594" t="n">
        <v>5463945</v>
      </c>
      <c r="E1594" t="n">
        <v>17980</v>
      </c>
      <c r="F1594" t="n">
        <v>16629</v>
      </c>
    </row>
    <row r="1595">
      <c r="A1595" t="inlineStr">
        <is>
          <t>178|普通怪</t>
        </is>
      </c>
      <c r="B1595" t="n">
        <v>178</v>
      </c>
      <c r="C1595" t="inlineStr">
        <is>
          <t>普通怪</t>
        </is>
      </c>
      <c r="D1595" t="n">
        <v>126326</v>
      </c>
      <c r="E1595" t="n">
        <v>15960</v>
      </c>
      <c r="F1595" t="n">
        <v>16743</v>
      </c>
    </row>
    <row r="1596">
      <c r="A1596" t="inlineStr">
        <is>
          <t>178|盾怪</t>
        </is>
      </c>
      <c r="B1596" t="n">
        <v>178</v>
      </c>
      <c r="C1596" t="inlineStr">
        <is>
          <t>盾怪</t>
        </is>
      </c>
      <c r="D1596" t="n">
        <v>378978</v>
      </c>
      <c r="E1596" t="n">
        <v>15960</v>
      </c>
      <c r="F1596" t="n">
        <v>16743</v>
      </c>
    </row>
    <row r="1597">
      <c r="A1597" t="inlineStr">
        <is>
          <t>178|二级普通怪</t>
        </is>
      </c>
      <c r="B1597" t="n">
        <v>178</v>
      </c>
      <c r="C1597" t="inlineStr">
        <is>
          <t>二级普通怪</t>
        </is>
      </c>
      <c r="D1597" t="n">
        <v>227387</v>
      </c>
      <c r="E1597" t="n">
        <v>15960</v>
      </c>
      <c r="F1597" t="n">
        <v>16743</v>
      </c>
    </row>
    <row r="1598">
      <c r="A1598" t="inlineStr">
        <is>
          <t>178|站桩怪</t>
        </is>
      </c>
      <c r="B1598" t="n">
        <v>178</v>
      </c>
      <c r="C1598" t="inlineStr">
        <is>
          <t>站桩怪</t>
        </is>
      </c>
      <c r="D1598" t="n">
        <v>63163</v>
      </c>
      <c r="E1598" t="n">
        <v>15960</v>
      </c>
      <c r="F1598" t="n">
        <v>16743</v>
      </c>
    </row>
    <row r="1599">
      <c r="A1599" t="inlineStr">
        <is>
          <t>178|炮灰怪</t>
        </is>
      </c>
      <c r="B1599" t="n">
        <v>178</v>
      </c>
      <c r="C1599" t="inlineStr">
        <is>
          <t>炮灰怪</t>
        </is>
      </c>
      <c r="D1599" t="n">
        <v>18949</v>
      </c>
      <c r="E1599" t="n">
        <v>15960</v>
      </c>
      <c r="F1599" t="n">
        <v>16743</v>
      </c>
    </row>
    <row r="1600">
      <c r="A1600" t="inlineStr">
        <is>
          <t>178|精英怪</t>
        </is>
      </c>
      <c r="B1600" t="n">
        <v>178</v>
      </c>
      <c r="C1600" t="inlineStr">
        <is>
          <t>精英怪</t>
        </is>
      </c>
      <c r="D1600" t="n">
        <v>505304</v>
      </c>
      <c r="E1600" t="n">
        <v>15960</v>
      </c>
      <c r="F1600" t="n">
        <v>16743</v>
      </c>
    </row>
    <row r="1601">
      <c r="A1601" t="inlineStr">
        <is>
          <t>178|精英盾怪</t>
        </is>
      </c>
      <c r="B1601" t="n">
        <v>178</v>
      </c>
      <c r="C1601" t="inlineStr">
        <is>
          <t>精英盾怪</t>
        </is>
      </c>
      <c r="D1601" t="n">
        <v>1136934</v>
      </c>
      <c r="E1601" t="n">
        <v>15960</v>
      </c>
      <c r="F1601" t="n">
        <v>16743</v>
      </c>
    </row>
    <row r="1602">
      <c r="A1602" t="inlineStr">
        <is>
          <t>178|Boss</t>
        </is>
      </c>
      <c r="B1602" t="n">
        <v>178</v>
      </c>
      <c r="C1602" t="inlineStr">
        <is>
          <t>Boss</t>
        </is>
      </c>
      <c r="D1602" t="n">
        <v>11084845</v>
      </c>
      <c r="E1602" t="n">
        <v>18144</v>
      </c>
      <c r="F1602" t="n">
        <v>16743</v>
      </c>
    </row>
    <row r="1603">
      <c r="A1603" t="inlineStr">
        <is>
          <t>178|装备副本Boss</t>
        </is>
      </c>
      <c r="B1603" t="n">
        <v>178</v>
      </c>
      <c r="C1603" t="inlineStr">
        <is>
          <t>装备副本Boss</t>
        </is>
      </c>
      <c r="D1603" t="n">
        <v>5542423</v>
      </c>
      <c r="E1603" t="n">
        <v>18144</v>
      </c>
      <c r="F1603" t="n">
        <v>16743</v>
      </c>
    </row>
    <row r="1604">
      <c r="A1604" t="inlineStr">
        <is>
          <t>179|普通怪</t>
        </is>
      </c>
      <c r="B1604" t="n">
        <v>179</v>
      </c>
      <c r="C1604" t="inlineStr">
        <is>
          <t>普通怪</t>
        </is>
      </c>
      <c r="D1604" t="n">
        <v>127989</v>
      </c>
      <c r="E1604" t="n">
        <v>16112</v>
      </c>
      <c r="F1604" t="n">
        <v>16858</v>
      </c>
    </row>
    <row r="1605">
      <c r="A1605" t="inlineStr">
        <is>
          <t>179|盾怪</t>
        </is>
      </c>
      <c r="B1605" t="n">
        <v>179</v>
      </c>
      <c r="C1605" t="inlineStr">
        <is>
          <t>盾怪</t>
        </is>
      </c>
      <c r="D1605" t="n">
        <v>383967</v>
      </c>
      <c r="E1605" t="n">
        <v>16112</v>
      </c>
      <c r="F1605" t="n">
        <v>16858</v>
      </c>
    </row>
    <row r="1606">
      <c r="A1606" t="inlineStr">
        <is>
          <t>179|二级普通怪</t>
        </is>
      </c>
      <c r="B1606" t="n">
        <v>179</v>
      </c>
      <c r="C1606" t="inlineStr">
        <is>
          <t>二级普通怪</t>
        </is>
      </c>
      <c r="D1606" t="n">
        <v>230381</v>
      </c>
      <c r="E1606" t="n">
        <v>16112</v>
      </c>
      <c r="F1606" t="n">
        <v>16858</v>
      </c>
    </row>
    <row r="1607">
      <c r="A1607" t="inlineStr">
        <is>
          <t>179|站桩怪</t>
        </is>
      </c>
      <c r="B1607" t="n">
        <v>179</v>
      </c>
      <c r="C1607" t="inlineStr">
        <is>
          <t>站桩怪</t>
        </is>
      </c>
      <c r="D1607" t="n">
        <v>63995</v>
      </c>
      <c r="E1607" t="n">
        <v>16112</v>
      </c>
      <c r="F1607" t="n">
        <v>16858</v>
      </c>
    </row>
    <row r="1608">
      <c r="A1608" t="inlineStr">
        <is>
          <t>179|炮灰怪</t>
        </is>
      </c>
      <c r="B1608" t="n">
        <v>179</v>
      </c>
      <c r="C1608" t="inlineStr">
        <is>
          <t>炮灰怪</t>
        </is>
      </c>
      <c r="D1608" t="n">
        <v>19199</v>
      </c>
      <c r="E1608" t="n">
        <v>16112</v>
      </c>
      <c r="F1608" t="n">
        <v>16858</v>
      </c>
    </row>
    <row r="1609">
      <c r="A1609" t="inlineStr">
        <is>
          <t>179|精英怪</t>
        </is>
      </c>
      <c r="B1609" t="n">
        <v>179</v>
      </c>
      <c r="C1609" t="inlineStr">
        <is>
          <t>精英怪</t>
        </is>
      </c>
      <c r="D1609" t="n">
        <v>511956</v>
      </c>
      <c r="E1609" t="n">
        <v>16112</v>
      </c>
      <c r="F1609" t="n">
        <v>16858</v>
      </c>
    </row>
    <row r="1610">
      <c r="A1610" t="inlineStr">
        <is>
          <t>179|精英盾怪</t>
        </is>
      </c>
      <c r="B1610" t="n">
        <v>179</v>
      </c>
      <c r="C1610" t="inlineStr">
        <is>
          <t>精英盾怪</t>
        </is>
      </c>
      <c r="D1610" t="n">
        <v>1151901</v>
      </c>
      <c r="E1610" t="n">
        <v>16112</v>
      </c>
      <c r="F1610" t="n">
        <v>16858</v>
      </c>
    </row>
    <row r="1611">
      <c r="A1611" t="inlineStr">
        <is>
          <t>179|Boss</t>
        </is>
      </c>
      <c r="B1611" t="n">
        <v>179</v>
      </c>
      <c r="C1611" t="inlineStr">
        <is>
          <t>Boss</t>
        </is>
      </c>
      <c r="D1611" t="n">
        <v>11243385</v>
      </c>
      <c r="E1611" t="n">
        <v>18309</v>
      </c>
      <c r="F1611" t="n">
        <v>16858</v>
      </c>
    </row>
    <row r="1612">
      <c r="A1612" t="inlineStr">
        <is>
          <t>179|装备副本Boss</t>
        </is>
      </c>
      <c r="B1612" t="n">
        <v>179</v>
      </c>
      <c r="C1612" t="inlineStr">
        <is>
          <t>装备副本Boss</t>
        </is>
      </c>
      <c r="D1612" t="n">
        <v>5621692</v>
      </c>
      <c r="E1612" t="n">
        <v>18309</v>
      </c>
      <c r="F1612" t="n">
        <v>16858</v>
      </c>
    </row>
    <row r="1613">
      <c r="A1613" t="inlineStr">
        <is>
          <t>180|普通怪</t>
        </is>
      </c>
      <c r="B1613" t="n">
        <v>180</v>
      </c>
      <c r="C1613" t="inlineStr">
        <is>
          <t>普通怪</t>
        </is>
      </c>
      <c r="D1613" t="n">
        <v>129668</v>
      </c>
      <c r="E1613" t="n">
        <v>16264</v>
      </c>
      <c r="F1613" t="n">
        <v>16973</v>
      </c>
    </row>
    <row r="1614">
      <c r="A1614" t="inlineStr">
        <is>
          <t>180|盾怪</t>
        </is>
      </c>
      <c r="B1614" t="n">
        <v>180</v>
      </c>
      <c r="C1614" t="inlineStr">
        <is>
          <t>盾怪</t>
        </is>
      </c>
      <c r="D1614" t="n">
        <v>389004</v>
      </c>
      <c r="E1614" t="n">
        <v>16264</v>
      </c>
      <c r="F1614" t="n">
        <v>16973</v>
      </c>
    </row>
    <row r="1615">
      <c r="A1615" t="inlineStr">
        <is>
          <t>180|二级普通怪</t>
        </is>
      </c>
      <c r="B1615" t="n">
        <v>180</v>
      </c>
      <c r="C1615" t="inlineStr">
        <is>
          <t>二级普通怪</t>
        </is>
      </c>
      <c r="D1615" t="n">
        <v>233403</v>
      </c>
      <c r="E1615" t="n">
        <v>16264</v>
      </c>
      <c r="F1615" t="n">
        <v>16973</v>
      </c>
    </row>
    <row r="1616">
      <c r="A1616" t="inlineStr">
        <is>
          <t>180|站桩怪</t>
        </is>
      </c>
      <c r="B1616" t="n">
        <v>180</v>
      </c>
      <c r="C1616" t="inlineStr">
        <is>
          <t>站桩怪</t>
        </is>
      </c>
      <c r="D1616" t="n">
        <v>64834</v>
      </c>
      <c r="E1616" t="n">
        <v>16264</v>
      </c>
      <c r="F1616" t="n">
        <v>16973</v>
      </c>
    </row>
    <row r="1617">
      <c r="A1617" t="inlineStr">
        <is>
          <t>180|炮灰怪</t>
        </is>
      </c>
      <c r="B1617" t="n">
        <v>180</v>
      </c>
      <c r="C1617" t="inlineStr">
        <is>
          <t>炮灰怪</t>
        </is>
      </c>
      <c r="D1617" t="n">
        <v>19451</v>
      </c>
      <c r="E1617" t="n">
        <v>16264</v>
      </c>
      <c r="F1617" t="n">
        <v>16973</v>
      </c>
    </row>
    <row r="1618">
      <c r="A1618" t="inlineStr">
        <is>
          <t>180|精英怪</t>
        </is>
      </c>
      <c r="B1618" t="n">
        <v>180</v>
      </c>
      <c r="C1618" t="inlineStr">
        <is>
          <t>精英怪</t>
        </is>
      </c>
      <c r="D1618" t="n">
        <v>518672</v>
      </c>
      <c r="E1618" t="n">
        <v>16264</v>
      </c>
      <c r="F1618" t="n">
        <v>16973</v>
      </c>
    </row>
    <row r="1619">
      <c r="A1619" t="inlineStr">
        <is>
          <t>180|精英盾怪</t>
        </is>
      </c>
      <c r="B1619" t="n">
        <v>180</v>
      </c>
      <c r="C1619" t="inlineStr">
        <is>
          <t>精英盾怪</t>
        </is>
      </c>
      <c r="D1619" t="n">
        <v>1167012</v>
      </c>
      <c r="E1619" t="n">
        <v>16264</v>
      </c>
      <c r="F1619" t="n">
        <v>16973</v>
      </c>
    </row>
    <row r="1620">
      <c r="A1620" t="inlineStr">
        <is>
          <t>180|Boss</t>
        </is>
      </c>
      <c r="B1620" t="n">
        <v>180</v>
      </c>
      <c r="C1620" t="inlineStr">
        <is>
          <t>Boss</t>
        </is>
      </c>
      <c r="D1620" t="n">
        <v>11403610</v>
      </c>
      <c r="E1620" t="n">
        <v>18475</v>
      </c>
      <c r="F1620" t="n">
        <v>16973</v>
      </c>
    </row>
    <row r="1621">
      <c r="A1621" t="inlineStr">
        <is>
          <t>180|装备副本Boss</t>
        </is>
      </c>
      <c r="B1621" t="n">
        <v>180</v>
      </c>
      <c r="C1621" t="inlineStr">
        <is>
          <t>装备副本Boss</t>
        </is>
      </c>
      <c r="D1621" t="n">
        <v>5701805</v>
      </c>
      <c r="E1621" t="n">
        <v>18475</v>
      </c>
      <c r="F1621" t="n">
        <v>16973</v>
      </c>
    </row>
    <row r="1622">
      <c r="A1622" t="inlineStr">
        <is>
          <t>181|普通怪</t>
        </is>
      </c>
      <c r="B1622" t="n">
        <v>181</v>
      </c>
      <c r="C1622" t="inlineStr">
        <is>
          <t>普通怪</t>
        </is>
      </c>
      <c r="D1622" t="n">
        <v>131363</v>
      </c>
      <c r="E1622" t="n">
        <v>16418</v>
      </c>
      <c r="F1622" t="n">
        <v>17087</v>
      </c>
    </row>
    <row r="1623">
      <c r="A1623" t="inlineStr">
        <is>
          <t>181|盾怪</t>
        </is>
      </c>
      <c r="B1623" t="n">
        <v>181</v>
      </c>
      <c r="C1623" t="inlineStr">
        <is>
          <t>盾怪</t>
        </is>
      </c>
      <c r="D1623" t="n">
        <v>394089</v>
      </c>
      <c r="E1623" t="n">
        <v>16418</v>
      </c>
      <c r="F1623" t="n">
        <v>17087</v>
      </c>
    </row>
    <row r="1624">
      <c r="A1624" t="inlineStr">
        <is>
          <t>181|二级普通怪</t>
        </is>
      </c>
      <c r="B1624" t="n">
        <v>181</v>
      </c>
      <c r="C1624" t="inlineStr">
        <is>
          <t>二级普通怪</t>
        </is>
      </c>
      <c r="D1624" t="n">
        <v>236454</v>
      </c>
      <c r="E1624" t="n">
        <v>16418</v>
      </c>
      <c r="F1624" t="n">
        <v>17087</v>
      </c>
    </row>
    <row r="1625">
      <c r="A1625" t="inlineStr">
        <is>
          <t>181|站桩怪</t>
        </is>
      </c>
      <c r="B1625" t="n">
        <v>181</v>
      </c>
      <c r="C1625" t="inlineStr">
        <is>
          <t>站桩怪</t>
        </is>
      </c>
      <c r="D1625" t="n">
        <v>65682</v>
      </c>
      <c r="E1625" t="n">
        <v>16418</v>
      </c>
      <c r="F1625" t="n">
        <v>17087</v>
      </c>
    </row>
    <row r="1626">
      <c r="A1626" t="inlineStr">
        <is>
          <t>181|炮灰怪</t>
        </is>
      </c>
      <c r="B1626" t="n">
        <v>181</v>
      </c>
      <c r="C1626" t="inlineStr">
        <is>
          <t>炮灰怪</t>
        </is>
      </c>
      <c r="D1626" t="n">
        <v>19705</v>
      </c>
      <c r="E1626" t="n">
        <v>16418</v>
      </c>
      <c r="F1626" t="n">
        <v>17087</v>
      </c>
    </row>
    <row r="1627">
      <c r="A1627" t="inlineStr">
        <is>
          <t>181|精英怪</t>
        </is>
      </c>
      <c r="B1627" t="n">
        <v>181</v>
      </c>
      <c r="C1627" t="inlineStr">
        <is>
          <t>精英怪</t>
        </is>
      </c>
      <c r="D1627" t="n">
        <v>525452</v>
      </c>
      <c r="E1627" t="n">
        <v>16418</v>
      </c>
      <c r="F1627" t="n">
        <v>17087</v>
      </c>
    </row>
    <row r="1628">
      <c r="A1628" t="inlineStr">
        <is>
          <t>181|精英盾怪</t>
        </is>
      </c>
      <c r="B1628" t="n">
        <v>181</v>
      </c>
      <c r="C1628" t="inlineStr">
        <is>
          <t>精英盾怪</t>
        </is>
      </c>
      <c r="D1628" t="n">
        <v>1182267</v>
      </c>
      <c r="E1628" t="n">
        <v>16418</v>
      </c>
      <c r="F1628" t="n">
        <v>17087</v>
      </c>
    </row>
    <row r="1629">
      <c r="A1629" t="inlineStr">
        <is>
          <t>181|Boss</t>
        </is>
      </c>
      <c r="B1629" t="n">
        <v>181</v>
      </c>
      <c r="C1629" t="inlineStr">
        <is>
          <t>Boss</t>
        </is>
      </c>
      <c r="D1629" t="n">
        <v>11565469</v>
      </c>
      <c r="E1629" t="n">
        <v>18642</v>
      </c>
      <c r="F1629" t="n">
        <v>17087</v>
      </c>
    </row>
    <row r="1630">
      <c r="A1630" t="inlineStr">
        <is>
          <t>181|装备副本Boss</t>
        </is>
      </c>
      <c r="B1630" t="n">
        <v>181</v>
      </c>
      <c r="C1630" t="inlineStr">
        <is>
          <t>装备副本Boss</t>
        </is>
      </c>
      <c r="D1630" t="n">
        <v>5782735</v>
      </c>
      <c r="E1630" t="n">
        <v>18642</v>
      </c>
      <c r="F1630" t="n">
        <v>17087</v>
      </c>
    </row>
    <row r="1631">
      <c r="A1631" t="inlineStr">
        <is>
          <t>182|普通怪</t>
        </is>
      </c>
      <c r="B1631" t="n">
        <v>182</v>
      </c>
      <c r="C1631" t="inlineStr">
        <is>
          <t>普通怪</t>
        </is>
      </c>
      <c r="D1631" t="n">
        <v>133074</v>
      </c>
      <c r="E1631" t="n">
        <v>16571</v>
      </c>
      <c r="F1631" t="n">
        <v>17203</v>
      </c>
    </row>
    <row r="1632">
      <c r="A1632" t="inlineStr">
        <is>
          <t>182|盾怪</t>
        </is>
      </c>
      <c r="B1632" t="n">
        <v>182</v>
      </c>
      <c r="C1632" t="inlineStr">
        <is>
          <t>盾怪</t>
        </is>
      </c>
      <c r="D1632" t="n">
        <v>399222</v>
      </c>
      <c r="E1632" t="n">
        <v>16571</v>
      </c>
      <c r="F1632" t="n">
        <v>17203</v>
      </c>
    </row>
    <row r="1633">
      <c r="A1633" t="inlineStr">
        <is>
          <t>182|二级普通怪</t>
        </is>
      </c>
      <c r="B1633" t="n">
        <v>182</v>
      </c>
      <c r="C1633" t="inlineStr">
        <is>
          <t>二级普通怪</t>
        </is>
      </c>
      <c r="D1633" t="n">
        <v>239534</v>
      </c>
      <c r="E1633" t="n">
        <v>16571</v>
      </c>
      <c r="F1633" t="n">
        <v>17203</v>
      </c>
    </row>
    <row r="1634">
      <c r="A1634" t="inlineStr">
        <is>
          <t>182|站桩怪</t>
        </is>
      </c>
      <c r="B1634" t="n">
        <v>182</v>
      </c>
      <c r="C1634" t="inlineStr">
        <is>
          <t>站桩怪</t>
        </is>
      </c>
      <c r="D1634" t="n">
        <v>66537</v>
      </c>
      <c r="E1634" t="n">
        <v>16571</v>
      </c>
      <c r="F1634" t="n">
        <v>17203</v>
      </c>
    </row>
    <row r="1635">
      <c r="A1635" t="inlineStr">
        <is>
          <t>182|炮灰怪</t>
        </is>
      </c>
      <c r="B1635" t="n">
        <v>182</v>
      </c>
      <c r="C1635" t="inlineStr">
        <is>
          <t>炮灰怪</t>
        </is>
      </c>
      <c r="D1635" t="n">
        <v>19962</v>
      </c>
      <c r="E1635" t="n">
        <v>16571</v>
      </c>
      <c r="F1635" t="n">
        <v>17203</v>
      </c>
    </row>
    <row r="1636">
      <c r="A1636" t="inlineStr">
        <is>
          <t>182|精英怪</t>
        </is>
      </c>
      <c r="B1636" t="n">
        <v>182</v>
      </c>
      <c r="C1636" t="inlineStr">
        <is>
          <t>精英怪</t>
        </is>
      </c>
      <c r="D1636" t="n">
        <v>532296</v>
      </c>
      <c r="E1636" t="n">
        <v>16571</v>
      </c>
      <c r="F1636" t="n">
        <v>17203</v>
      </c>
    </row>
    <row r="1637">
      <c r="A1637" t="inlineStr">
        <is>
          <t>182|精英盾怪</t>
        </is>
      </c>
      <c r="B1637" t="n">
        <v>182</v>
      </c>
      <c r="C1637" t="inlineStr">
        <is>
          <t>精英盾怪</t>
        </is>
      </c>
      <c r="D1637" t="n">
        <v>1197666</v>
      </c>
      <c r="E1637" t="n">
        <v>16571</v>
      </c>
      <c r="F1637" t="n">
        <v>17203</v>
      </c>
    </row>
    <row r="1638">
      <c r="A1638" t="inlineStr">
        <is>
          <t>182|Boss</t>
        </is>
      </c>
      <c r="B1638" t="n">
        <v>182</v>
      </c>
      <c r="C1638" t="inlineStr">
        <is>
          <t>Boss</t>
        </is>
      </c>
      <c r="D1638" t="n">
        <v>11728963</v>
      </c>
      <c r="E1638" t="n">
        <v>18809</v>
      </c>
      <c r="F1638" t="n">
        <v>17203</v>
      </c>
    </row>
    <row r="1639">
      <c r="A1639" t="inlineStr">
        <is>
          <t>182|装备副本Boss</t>
        </is>
      </c>
      <c r="B1639" t="n">
        <v>182</v>
      </c>
      <c r="C1639" t="inlineStr">
        <is>
          <t>装备副本Boss</t>
        </is>
      </c>
      <c r="D1639" t="n">
        <v>5864482</v>
      </c>
      <c r="E1639" t="n">
        <v>18809</v>
      </c>
      <c r="F1639" t="n">
        <v>17203</v>
      </c>
    </row>
    <row r="1640">
      <c r="A1640" t="inlineStr">
        <is>
          <t>183|普通怪</t>
        </is>
      </c>
      <c r="B1640" t="n">
        <v>183</v>
      </c>
      <c r="C1640" t="inlineStr">
        <is>
          <t>普通怪</t>
        </is>
      </c>
      <c r="D1640" t="n">
        <v>134801</v>
      </c>
      <c r="E1640" t="n">
        <v>16726</v>
      </c>
      <c r="F1640" t="n">
        <v>17318</v>
      </c>
    </row>
    <row r="1641">
      <c r="A1641" t="inlineStr">
        <is>
          <t>183|盾怪</t>
        </is>
      </c>
      <c r="B1641" t="n">
        <v>183</v>
      </c>
      <c r="C1641" t="inlineStr">
        <is>
          <t>盾怪</t>
        </is>
      </c>
      <c r="D1641" t="n">
        <v>404403</v>
      </c>
      <c r="E1641" t="n">
        <v>16726</v>
      </c>
      <c r="F1641" t="n">
        <v>17318</v>
      </c>
    </row>
    <row r="1642">
      <c r="A1642" t="inlineStr">
        <is>
          <t>183|二级普通怪</t>
        </is>
      </c>
      <c r="B1642" t="n">
        <v>183</v>
      </c>
      <c r="C1642" t="inlineStr">
        <is>
          <t>二级普通怪</t>
        </is>
      </c>
      <c r="D1642" t="n">
        <v>242642</v>
      </c>
      <c r="E1642" t="n">
        <v>16726</v>
      </c>
      <c r="F1642" t="n">
        <v>17318</v>
      </c>
    </row>
    <row r="1643">
      <c r="A1643" t="inlineStr">
        <is>
          <t>183|站桩怪</t>
        </is>
      </c>
      <c r="B1643" t="n">
        <v>183</v>
      </c>
      <c r="C1643" t="inlineStr">
        <is>
          <t>站桩怪</t>
        </is>
      </c>
      <c r="D1643" t="n">
        <v>67401</v>
      </c>
      <c r="E1643" t="n">
        <v>16726</v>
      </c>
      <c r="F1643" t="n">
        <v>17318</v>
      </c>
    </row>
    <row r="1644">
      <c r="A1644" t="inlineStr">
        <is>
          <t>183|炮灰怪</t>
        </is>
      </c>
      <c r="B1644" t="n">
        <v>183</v>
      </c>
      <c r="C1644" t="inlineStr">
        <is>
          <t>炮灰怪</t>
        </is>
      </c>
      <c r="D1644" t="n">
        <v>20221</v>
      </c>
      <c r="E1644" t="n">
        <v>16726</v>
      </c>
      <c r="F1644" t="n">
        <v>17318</v>
      </c>
    </row>
    <row r="1645">
      <c r="A1645" t="inlineStr">
        <is>
          <t>183|精英怪</t>
        </is>
      </c>
      <c r="B1645" t="n">
        <v>183</v>
      </c>
      <c r="C1645" t="inlineStr">
        <is>
          <t>精英怪</t>
        </is>
      </c>
      <c r="D1645" t="n">
        <v>539204</v>
      </c>
      <c r="E1645" t="n">
        <v>16726</v>
      </c>
      <c r="F1645" t="n">
        <v>17318</v>
      </c>
    </row>
    <row r="1646">
      <c r="A1646" t="inlineStr">
        <is>
          <t>183|精英盾怪</t>
        </is>
      </c>
      <c r="B1646" t="n">
        <v>183</v>
      </c>
      <c r="C1646" t="inlineStr">
        <is>
          <t>精英盾怪</t>
        </is>
      </c>
      <c r="D1646" t="n">
        <v>1213209</v>
      </c>
      <c r="E1646" t="n">
        <v>16726</v>
      </c>
      <c r="F1646" t="n">
        <v>17318</v>
      </c>
    </row>
    <row r="1647">
      <c r="A1647" t="inlineStr">
        <is>
          <t>183|Boss</t>
        </is>
      </c>
      <c r="B1647" t="n">
        <v>183</v>
      </c>
      <c r="C1647" t="inlineStr">
        <is>
          <t>Boss</t>
        </is>
      </c>
      <c r="D1647" t="n">
        <v>11894142</v>
      </c>
      <c r="E1647" t="n">
        <v>18978</v>
      </c>
      <c r="F1647" t="n">
        <v>17318</v>
      </c>
    </row>
    <row r="1648">
      <c r="A1648" t="inlineStr">
        <is>
          <t>183|装备副本Boss</t>
        </is>
      </c>
      <c r="B1648" t="n">
        <v>183</v>
      </c>
      <c r="C1648" t="inlineStr">
        <is>
          <t>装备副本Boss</t>
        </is>
      </c>
      <c r="D1648" t="n">
        <v>5947071</v>
      </c>
      <c r="E1648" t="n">
        <v>18978</v>
      </c>
      <c r="F1648" t="n">
        <v>17318</v>
      </c>
    </row>
    <row r="1649">
      <c r="A1649" t="inlineStr">
        <is>
          <t>184|普通怪</t>
        </is>
      </c>
      <c r="B1649" t="n">
        <v>184</v>
      </c>
      <c r="C1649" t="inlineStr">
        <is>
          <t>普通怪</t>
        </is>
      </c>
      <c r="D1649" t="n">
        <v>136544</v>
      </c>
      <c r="E1649" t="n">
        <v>16882</v>
      </c>
      <c r="F1649" t="n">
        <v>17433</v>
      </c>
    </row>
    <row r="1650">
      <c r="A1650" t="inlineStr">
        <is>
          <t>184|盾怪</t>
        </is>
      </c>
      <c r="B1650" t="n">
        <v>184</v>
      </c>
      <c r="C1650" t="inlineStr">
        <is>
          <t>盾怪</t>
        </is>
      </c>
      <c r="D1650" t="n">
        <v>409632</v>
      </c>
      <c r="E1650" t="n">
        <v>16882</v>
      </c>
      <c r="F1650" t="n">
        <v>17433</v>
      </c>
    </row>
    <row r="1651">
      <c r="A1651" t="inlineStr">
        <is>
          <t>184|二级普通怪</t>
        </is>
      </c>
      <c r="B1651" t="n">
        <v>184</v>
      </c>
      <c r="C1651" t="inlineStr">
        <is>
          <t>二级普通怪</t>
        </is>
      </c>
      <c r="D1651" t="n">
        <v>245780</v>
      </c>
      <c r="E1651" t="n">
        <v>16882</v>
      </c>
      <c r="F1651" t="n">
        <v>17433</v>
      </c>
    </row>
    <row r="1652">
      <c r="A1652" t="inlineStr">
        <is>
          <t>184|站桩怪</t>
        </is>
      </c>
      <c r="B1652" t="n">
        <v>184</v>
      </c>
      <c r="C1652" t="inlineStr">
        <is>
          <t>站桩怪</t>
        </is>
      </c>
      <c r="D1652" t="n">
        <v>68272</v>
      </c>
      <c r="E1652" t="n">
        <v>16882</v>
      </c>
      <c r="F1652" t="n">
        <v>17433</v>
      </c>
    </row>
    <row r="1653">
      <c r="A1653" t="inlineStr">
        <is>
          <t>184|炮灰怪</t>
        </is>
      </c>
      <c r="B1653" t="n">
        <v>184</v>
      </c>
      <c r="C1653" t="inlineStr">
        <is>
          <t>炮灰怪</t>
        </is>
      </c>
      <c r="D1653" t="n">
        <v>20482</v>
      </c>
      <c r="E1653" t="n">
        <v>16882</v>
      </c>
      <c r="F1653" t="n">
        <v>17433</v>
      </c>
    </row>
    <row r="1654">
      <c r="A1654" t="inlineStr">
        <is>
          <t>184|精英怪</t>
        </is>
      </c>
      <c r="B1654" t="n">
        <v>184</v>
      </c>
      <c r="C1654" t="inlineStr">
        <is>
          <t>精英怪</t>
        </is>
      </c>
      <c r="D1654" t="n">
        <v>546176</v>
      </c>
      <c r="E1654" t="n">
        <v>16882</v>
      </c>
      <c r="F1654" t="n">
        <v>17433</v>
      </c>
    </row>
    <row r="1655">
      <c r="A1655" t="inlineStr">
        <is>
          <t>184|精英盾怪</t>
        </is>
      </c>
      <c r="B1655" t="n">
        <v>184</v>
      </c>
      <c r="C1655" t="inlineStr">
        <is>
          <t>精英盾怪</t>
        </is>
      </c>
      <c r="D1655" t="n">
        <v>1228896</v>
      </c>
      <c r="E1655" t="n">
        <v>16882</v>
      </c>
      <c r="F1655" t="n">
        <v>17433</v>
      </c>
    </row>
    <row r="1656">
      <c r="A1656" t="inlineStr">
        <is>
          <t>184|Boss</t>
        </is>
      </c>
      <c r="B1656" t="n">
        <v>184</v>
      </c>
      <c r="C1656" t="inlineStr">
        <is>
          <t>Boss</t>
        </is>
      </c>
      <c r="D1656" t="n">
        <v>12061006</v>
      </c>
      <c r="E1656" t="n">
        <v>19148</v>
      </c>
      <c r="F1656" t="n">
        <v>17433</v>
      </c>
    </row>
    <row r="1657">
      <c r="A1657" t="inlineStr">
        <is>
          <t>184|装备副本Boss</t>
        </is>
      </c>
      <c r="B1657" t="n">
        <v>184</v>
      </c>
      <c r="C1657" t="inlineStr">
        <is>
          <t>装备副本Boss</t>
        </is>
      </c>
      <c r="D1657" t="n">
        <v>6030503</v>
      </c>
      <c r="E1657" t="n">
        <v>19148</v>
      </c>
      <c r="F1657" t="n">
        <v>17433</v>
      </c>
    </row>
    <row r="1658">
      <c r="A1658" t="inlineStr">
        <is>
          <t>185|普通怪</t>
        </is>
      </c>
      <c r="B1658" t="n">
        <v>185</v>
      </c>
      <c r="C1658" t="inlineStr">
        <is>
          <t>普通怪</t>
        </is>
      </c>
      <c r="D1658" t="n">
        <v>138304</v>
      </c>
      <c r="E1658" t="n">
        <v>17039</v>
      </c>
      <c r="F1658" t="n">
        <v>17549</v>
      </c>
    </row>
    <row r="1659">
      <c r="A1659" t="inlineStr">
        <is>
          <t>185|盾怪</t>
        </is>
      </c>
      <c r="B1659" t="n">
        <v>185</v>
      </c>
      <c r="C1659" t="inlineStr">
        <is>
          <t>盾怪</t>
        </is>
      </c>
      <c r="D1659" t="n">
        <v>414912</v>
      </c>
      <c r="E1659" t="n">
        <v>17039</v>
      </c>
      <c r="F1659" t="n">
        <v>17549</v>
      </c>
    </row>
    <row r="1660">
      <c r="A1660" t="inlineStr">
        <is>
          <t>185|二级普通怪</t>
        </is>
      </c>
      <c r="B1660" t="n">
        <v>185</v>
      </c>
      <c r="C1660" t="inlineStr">
        <is>
          <t>二级普通怪</t>
        </is>
      </c>
      <c r="D1660" t="n">
        <v>248948</v>
      </c>
      <c r="E1660" t="n">
        <v>17039</v>
      </c>
      <c r="F1660" t="n">
        <v>17549</v>
      </c>
    </row>
    <row r="1661">
      <c r="A1661" t="inlineStr">
        <is>
          <t>185|站桩怪</t>
        </is>
      </c>
      <c r="B1661" t="n">
        <v>185</v>
      </c>
      <c r="C1661" t="inlineStr">
        <is>
          <t>站桩怪</t>
        </is>
      </c>
      <c r="D1661" t="n">
        <v>69152</v>
      </c>
      <c r="E1661" t="n">
        <v>17039</v>
      </c>
      <c r="F1661" t="n">
        <v>17549</v>
      </c>
    </row>
    <row r="1662">
      <c r="A1662" t="inlineStr">
        <is>
          <t>185|炮灰怪</t>
        </is>
      </c>
      <c r="B1662" t="n">
        <v>185</v>
      </c>
      <c r="C1662" t="inlineStr">
        <is>
          <t>炮灰怪</t>
        </is>
      </c>
      <c r="D1662" t="n">
        <v>20746</v>
      </c>
      <c r="E1662" t="n">
        <v>17039</v>
      </c>
      <c r="F1662" t="n">
        <v>17549</v>
      </c>
    </row>
    <row r="1663">
      <c r="A1663" t="inlineStr">
        <is>
          <t>185|精英怪</t>
        </is>
      </c>
      <c r="B1663" t="n">
        <v>185</v>
      </c>
      <c r="C1663" t="inlineStr">
        <is>
          <t>精英怪</t>
        </is>
      </c>
      <c r="D1663" t="n">
        <v>553216</v>
      </c>
      <c r="E1663" t="n">
        <v>17039</v>
      </c>
      <c r="F1663" t="n">
        <v>17549</v>
      </c>
    </row>
    <row r="1664">
      <c r="A1664" t="inlineStr">
        <is>
          <t>185|精英盾怪</t>
        </is>
      </c>
      <c r="B1664" t="n">
        <v>185</v>
      </c>
      <c r="C1664" t="inlineStr">
        <is>
          <t>精英盾怪</t>
        </is>
      </c>
      <c r="D1664" t="n">
        <v>1244736</v>
      </c>
      <c r="E1664" t="n">
        <v>17039</v>
      </c>
      <c r="F1664" t="n">
        <v>17549</v>
      </c>
    </row>
    <row r="1665">
      <c r="A1665" t="inlineStr">
        <is>
          <t>185|Boss</t>
        </is>
      </c>
      <c r="B1665" t="n">
        <v>185</v>
      </c>
      <c r="C1665" t="inlineStr">
        <is>
          <t>Boss</t>
        </is>
      </c>
      <c r="D1665" t="n">
        <v>12229555</v>
      </c>
      <c r="E1665" t="n">
        <v>19318</v>
      </c>
      <c r="F1665" t="n">
        <v>17549</v>
      </c>
    </row>
    <row r="1666">
      <c r="A1666" t="inlineStr">
        <is>
          <t>185|装备副本Boss</t>
        </is>
      </c>
      <c r="B1666" t="n">
        <v>185</v>
      </c>
      <c r="C1666" t="inlineStr">
        <is>
          <t>装备副本Boss</t>
        </is>
      </c>
      <c r="D1666" t="n">
        <v>6114778</v>
      </c>
      <c r="E1666" t="n">
        <v>19318</v>
      </c>
      <c r="F1666" t="n">
        <v>17549</v>
      </c>
    </row>
    <row r="1667">
      <c r="A1667" t="inlineStr">
        <is>
          <t>186|普通怪</t>
        </is>
      </c>
      <c r="B1667" t="n">
        <v>186</v>
      </c>
      <c r="C1667" t="inlineStr">
        <is>
          <t>普通怪</t>
        </is>
      </c>
      <c r="D1667" t="n">
        <v>140080</v>
      </c>
      <c r="E1667" t="n">
        <v>17197</v>
      </c>
      <c r="F1667" t="n">
        <v>17665</v>
      </c>
    </row>
    <row r="1668">
      <c r="A1668" t="inlineStr">
        <is>
          <t>186|盾怪</t>
        </is>
      </c>
      <c r="B1668" t="n">
        <v>186</v>
      </c>
      <c r="C1668" t="inlineStr">
        <is>
          <t>盾怪</t>
        </is>
      </c>
      <c r="D1668" t="n">
        <v>420240</v>
      </c>
      <c r="E1668" t="n">
        <v>17197</v>
      </c>
      <c r="F1668" t="n">
        <v>17665</v>
      </c>
    </row>
    <row r="1669">
      <c r="A1669" t="inlineStr">
        <is>
          <t>186|二级普通怪</t>
        </is>
      </c>
      <c r="B1669" t="n">
        <v>186</v>
      </c>
      <c r="C1669" t="inlineStr">
        <is>
          <t>二级普通怪</t>
        </is>
      </c>
      <c r="D1669" t="n">
        <v>252144</v>
      </c>
      <c r="E1669" t="n">
        <v>17197</v>
      </c>
      <c r="F1669" t="n">
        <v>17665</v>
      </c>
    </row>
    <row r="1670">
      <c r="A1670" t="inlineStr">
        <is>
          <t>186|站桩怪</t>
        </is>
      </c>
      <c r="B1670" t="n">
        <v>186</v>
      </c>
      <c r="C1670" t="inlineStr">
        <is>
          <t>站桩怪</t>
        </is>
      </c>
      <c r="D1670" t="n">
        <v>70040</v>
      </c>
      <c r="E1670" t="n">
        <v>17197</v>
      </c>
      <c r="F1670" t="n">
        <v>17665</v>
      </c>
    </row>
    <row r="1671">
      <c r="A1671" t="inlineStr">
        <is>
          <t>186|炮灰怪</t>
        </is>
      </c>
      <c r="B1671" t="n">
        <v>186</v>
      </c>
      <c r="C1671" t="inlineStr">
        <is>
          <t>炮灰怪</t>
        </is>
      </c>
      <c r="D1671" t="n">
        <v>21012</v>
      </c>
      <c r="E1671" t="n">
        <v>17197</v>
      </c>
      <c r="F1671" t="n">
        <v>17665</v>
      </c>
    </row>
    <row r="1672">
      <c r="A1672" t="inlineStr">
        <is>
          <t>186|精英怪</t>
        </is>
      </c>
      <c r="B1672" t="n">
        <v>186</v>
      </c>
      <c r="C1672" t="inlineStr">
        <is>
          <t>精英怪</t>
        </is>
      </c>
      <c r="D1672" t="n">
        <v>560320</v>
      </c>
      <c r="E1672" t="n">
        <v>17197</v>
      </c>
      <c r="F1672" t="n">
        <v>17665</v>
      </c>
    </row>
    <row r="1673">
      <c r="A1673" t="inlineStr">
        <is>
          <t>186|精英盾怪</t>
        </is>
      </c>
      <c r="B1673" t="n">
        <v>186</v>
      </c>
      <c r="C1673" t="inlineStr">
        <is>
          <t>精英盾怪</t>
        </is>
      </c>
      <c r="D1673" t="n">
        <v>1260720</v>
      </c>
      <c r="E1673" t="n">
        <v>17197</v>
      </c>
      <c r="F1673" t="n">
        <v>17665</v>
      </c>
    </row>
    <row r="1674">
      <c r="A1674" t="inlineStr">
        <is>
          <t>186|Boss</t>
        </is>
      </c>
      <c r="B1674" t="n">
        <v>186</v>
      </c>
      <c r="C1674" t="inlineStr">
        <is>
          <t>Boss</t>
        </is>
      </c>
      <c r="D1674" t="n">
        <v>12399841</v>
      </c>
      <c r="E1674" t="n">
        <v>19490</v>
      </c>
      <c r="F1674" t="n">
        <v>17665</v>
      </c>
    </row>
    <row r="1675">
      <c r="A1675" t="inlineStr">
        <is>
          <t>186|装备副本Boss</t>
        </is>
      </c>
      <c r="B1675" t="n">
        <v>186</v>
      </c>
      <c r="C1675" t="inlineStr">
        <is>
          <t>装备副本Boss</t>
        </is>
      </c>
      <c r="D1675" t="n">
        <v>6199920</v>
      </c>
      <c r="E1675" t="n">
        <v>19490</v>
      </c>
      <c r="F1675" t="n">
        <v>17665</v>
      </c>
    </row>
    <row r="1676">
      <c r="A1676" t="inlineStr">
        <is>
          <t>187|普通怪</t>
        </is>
      </c>
      <c r="B1676" t="n">
        <v>187</v>
      </c>
      <c r="C1676" t="inlineStr">
        <is>
          <t>普通怪</t>
        </is>
      </c>
      <c r="D1676" t="n">
        <v>141873</v>
      </c>
      <c r="E1676" t="n">
        <v>17356</v>
      </c>
      <c r="F1676" t="n">
        <v>17781</v>
      </c>
    </row>
    <row r="1677">
      <c r="A1677" t="inlineStr">
        <is>
          <t>187|盾怪</t>
        </is>
      </c>
      <c r="B1677" t="n">
        <v>187</v>
      </c>
      <c r="C1677" t="inlineStr">
        <is>
          <t>盾怪</t>
        </is>
      </c>
      <c r="D1677" t="n">
        <v>425619</v>
      </c>
      <c r="E1677" t="n">
        <v>17356</v>
      </c>
      <c r="F1677" t="n">
        <v>17781</v>
      </c>
    </row>
    <row r="1678">
      <c r="A1678" t="inlineStr">
        <is>
          <t>187|二级普通怪</t>
        </is>
      </c>
      <c r="B1678" t="n">
        <v>187</v>
      </c>
      <c r="C1678" t="inlineStr">
        <is>
          <t>二级普通怪</t>
        </is>
      </c>
      <c r="D1678" t="n">
        <v>255372</v>
      </c>
      <c r="E1678" t="n">
        <v>17356</v>
      </c>
      <c r="F1678" t="n">
        <v>17781</v>
      </c>
    </row>
    <row r="1679">
      <c r="A1679" t="inlineStr">
        <is>
          <t>187|站桩怪</t>
        </is>
      </c>
      <c r="B1679" t="n">
        <v>187</v>
      </c>
      <c r="C1679" t="inlineStr">
        <is>
          <t>站桩怪</t>
        </is>
      </c>
      <c r="D1679" t="n">
        <v>70937</v>
      </c>
      <c r="E1679" t="n">
        <v>17356</v>
      </c>
      <c r="F1679" t="n">
        <v>17781</v>
      </c>
    </row>
    <row r="1680">
      <c r="A1680" t="inlineStr">
        <is>
          <t>187|炮灰怪</t>
        </is>
      </c>
      <c r="B1680" t="n">
        <v>187</v>
      </c>
      <c r="C1680" t="inlineStr">
        <is>
          <t>炮灰怪</t>
        </is>
      </c>
      <c r="D1680" t="n">
        <v>21281</v>
      </c>
      <c r="E1680" t="n">
        <v>17356</v>
      </c>
      <c r="F1680" t="n">
        <v>17781</v>
      </c>
    </row>
    <row r="1681">
      <c r="A1681" t="inlineStr">
        <is>
          <t>187|精英怪</t>
        </is>
      </c>
      <c r="B1681" t="n">
        <v>187</v>
      </c>
      <c r="C1681" t="inlineStr">
        <is>
          <t>精英怪</t>
        </is>
      </c>
      <c r="D1681" t="n">
        <v>567492</v>
      </c>
      <c r="E1681" t="n">
        <v>17356</v>
      </c>
      <c r="F1681" t="n">
        <v>17781</v>
      </c>
    </row>
    <row r="1682">
      <c r="A1682" t="inlineStr">
        <is>
          <t>187|精英盾怪</t>
        </is>
      </c>
      <c r="B1682" t="n">
        <v>187</v>
      </c>
      <c r="C1682" t="inlineStr">
        <is>
          <t>精英盾怪</t>
        </is>
      </c>
      <c r="D1682" t="n">
        <v>1276857</v>
      </c>
      <c r="E1682" t="n">
        <v>17356</v>
      </c>
      <c r="F1682" t="n">
        <v>17781</v>
      </c>
    </row>
    <row r="1683">
      <c r="A1683" t="inlineStr">
        <is>
          <t>187|Boss</t>
        </is>
      </c>
      <c r="B1683" t="n">
        <v>187</v>
      </c>
      <c r="C1683" t="inlineStr">
        <is>
          <t>Boss</t>
        </is>
      </c>
      <c r="D1683" t="n">
        <v>12571862</v>
      </c>
      <c r="E1683" t="n">
        <v>19663</v>
      </c>
      <c r="F1683" t="n">
        <v>17781</v>
      </c>
    </row>
    <row r="1684">
      <c r="A1684" t="inlineStr">
        <is>
          <t>187|装备副本Boss</t>
        </is>
      </c>
      <c r="B1684" t="n">
        <v>187</v>
      </c>
      <c r="C1684" t="inlineStr">
        <is>
          <t>装备副本Boss</t>
        </is>
      </c>
      <c r="D1684" t="n">
        <v>6285931</v>
      </c>
      <c r="E1684" t="n">
        <v>19663</v>
      </c>
      <c r="F1684" t="n">
        <v>17781</v>
      </c>
    </row>
    <row r="1685">
      <c r="A1685" t="inlineStr">
        <is>
          <t>188|普通怪</t>
        </is>
      </c>
      <c r="B1685" t="n">
        <v>188</v>
      </c>
      <c r="C1685" t="inlineStr">
        <is>
          <t>普通怪</t>
        </is>
      </c>
      <c r="D1685" t="n">
        <v>143682</v>
      </c>
      <c r="E1685" t="n">
        <v>17515</v>
      </c>
      <c r="F1685" t="n">
        <v>17898</v>
      </c>
    </row>
    <row r="1686">
      <c r="A1686" t="inlineStr">
        <is>
          <t>188|盾怪</t>
        </is>
      </c>
      <c r="B1686" t="n">
        <v>188</v>
      </c>
      <c r="C1686" t="inlineStr">
        <is>
          <t>盾怪</t>
        </is>
      </c>
      <c r="D1686" t="n">
        <v>431046</v>
      </c>
      <c r="E1686" t="n">
        <v>17515</v>
      </c>
      <c r="F1686" t="n">
        <v>17898</v>
      </c>
    </row>
    <row r="1687">
      <c r="A1687" t="inlineStr">
        <is>
          <t>188|二级普通怪</t>
        </is>
      </c>
      <c r="B1687" t="n">
        <v>188</v>
      </c>
      <c r="C1687" t="inlineStr">
        <is>
          <t>二级普通怪</t>
        </is>
      </c>
      <c r="D1687" t="n">
        <v>258628</v>
      </c>
      <c r="E1687" t="n">
        <v>17515</v>
      </c>
      <c r="F1687" t="n">
        <v>17898</v>
      </c>
    </row>
    <row r="1688">
      <c r="A1688" t="inlineStr">
        <is>
          <t>188|站桩怪</t>
        </is>
      </c>
      <c r="B1688" t="n">
        <v>188</v>
      </c>
      <c r="C1688" t="inlineStr">
        <is>
          <t>站桩怪</t>
        </is>
      </c>
      <c r="D1688" t="n">
        <v>71841</v>
      </c>
      <c r="E1688" t="n">
        <v>17515</v>
      </c>
      <c r="F1688" t="n">
        <v>17898</v>
      </c>
    </row>
    <row r="1689">
      <c r="A1689" t="inlineStr">
        <is>
          <t>188|炮灰怪</t>
        </is>
      </c>
      <c r="B1689" t="n">
        <v>188</v>
      </c>
      <c r="C1689" t="inlineStr">
        <is>
          <t>炮灰怪</t>
        </is>
      </c>
      <c r="D1689" t="n">
        <v>21553</v>
      </c>
      <c r="E1689" t="n">
        <v>17515</v>
      </c>
      <c r="F1689" t="n">
        <v>17898</v>
      </c>
    </row>
    <row r="1690">
      <c r="A1690" t="inlineStr">
        <is>
          <t>188|精英怪</t>
        </is>
      </c>
      <c r="B1690" t="n">
        <v>188</v>
      </c>
      <c r="C1690" t="inlineStr">
        <is>
          <t>精英怪</t>
        </is>
      </c>
      <c r="D1690" t="n">
        <v>574728</v>
      </c>
      <c r="E1690" t="n">
        <v>17515</v>
      </c>
      <c r="F1690" t="n">
        <v>17898</v>
      </c>
    </row>
    <row r="1691">
      <c r="A1691" t="inlineStr">
        <is>
          <t>188|精英盾怪</t>
        </is>
      </c>
      <c r="B1691" t="n">
        <v>188</v>
      </c>
      <c r="C1691" t="inlineStr">
        <is>
          <t>精英盾怪</t>
        </is>
      </c>
      <c r="D1691" t="n">
        <v>1293138</v>
      </c>
      <c r="E1691" t="n">
        <v>17515</v>
      </c>
      <c r="F1691" t="n">
        <v>17898</v>
      </c>
    </row>
    <row r="1692">
      <c r="A1692" t="inlineStr">
        <is>
          <t>188|Boss</t>
        </is>
      </c>
      <c r="B1692" t="n">
        <v>188</v>
      </c>
      <c r="C1692" t="inlineStr">
        <is>
          <t>Boss</t>
        </is>
      </c>
      <c r="D1692" t="n">
        <v>12745568</v>
      </c>
      <c r="E1692" t="n">
        <v>19836</v>
      </c>
      <c r="F1692" t="n">
        <v>17898</v>
      </c>
    </row>
    <row r="1693">
      <c r="A1693" t="inlineStr">
        <is>
          <t>188|装备副本Boss</t>
        </is>
      </c>
      <c r="B1693" t="n">
        <v>188</v>
      </c>
      <c r="C1693" t="inlineStr">
        <is>
          <t>装备副本Boss</t>
        </is>
      </c>
      <c r="D1693" t="n">
        <v>6372784</v>
      </c>
      <c r="E1693" t="n">
        <v>19836</v>
      </c>
      <c r="F1693" t="n">
        <v>17898</v>
      </c>
    </row>
    <row r="1694">
      <c r="A1694" t="inlineStr">
        <is>
          <t>189|普通怪</t>
        </is>
      </c>
      <c r="B1694" t="n">
        <v>189</v>
      </c>
      <c r="C1694" t="inlineStr">
        <is>
          <t>普通怪</t>
        </is>
      </c>
      <c r="D1694" t="n">
        <v>145508</v>
      </c>
      <c r="E1694" t="n">
        <v>17677</v>
      </c>
      <c r="F1694" t="n">
        <v>18015</v>
      </c>
    </row>
    <row r="1695">
      <c r="A1695" t="inlineStr">
        <is>
          <t>189|盾怪</t>
        </is>
      </c>
      <c r="B1695" t="n">
        <v>189</v>
      </c>
      <c r="C1695" t="inlineStr">
        <is>
          <t>盾怪</t>
        </is>
      </c>
      <c r="D1695" t="n">
        <v>436524</v>
      </c>
      <c r="E1695" t="n">
        <v>17677</v>
      </c>
      <c r="F1695" t="n">
        <v>18015</v>
      </c>
    </row>
    <row r="1696">
      <c r="A1696" t="inlineStr">
        <is>
          <t>189|二级普通怪</t>
        </is>
      </c>
      <c r="B1696" t="n">
        <v>189</v>
      </c>
      <c r="C1696" t="inlineStr">
        <is>
          <t>二级普通怪</t>
        </is>
      </c>
      <c r="D1696" t="n">
        <v>261915</v>
      </c>
      <c r="E1696" t="n">
        <v>17677</v>
      </c>
      <c r="F1696" t="n">
        <v>18015</v>
      </c>
    </row>
    <row r="1697">
      <c r="A1697" t="inlineStr">
        <is>
          <t>189|站桩怪</t>
        </is>
      </c>
      <c r="B1697" t="n">
        <v>189</v>
      </c>
      <c r="C1697" t="inlineStr">
        <is>
          <t>站桩怪</t>
        </is>
      </c>
      <c r="D1697" t="n">
        <v>72754</v>
      </c>
      <c r="E1697" t="n">
        <v>17677</v>
      </c>
      <c r="F1697" t="n">
        <v>18015</v>
      </c>
    </row>
    <row r="1698">
      <c r="A1698" t="inlineStr">
        <is>
          <t>189|炮灰怪</t>
        </is>
      </c>
      <c r="B1698" t="n">
        <v>189</v>
      </c>
      <c r="C1698" t="inlineStr">
        <is>
          <t>炮灰怪</t>
        </is>
      </c>
      <c r="D1698" t="n">
        <v>21827</v>
      </c>
      <c r="E1698" t="n">
        <v>17677</v>
      </c>
      <c r="F1698" t="n">
        <v>18015</v>
      </c>
    </row>
    <row r="1699">
      <c r="A1699" t="inlineStr">
        <is>
          <t>189|精英怪</t>
        </is>
      </c>
      <c r="B1699" t="n">
        <v>189</v>
      </c>
      <c r="C1699" t="inlineStr">
        <is>
          <t>精英怪</t>
        </is>
      </c>
      <c r="D1699" t="n">
        <v>582032</v>
      </c>
      <c r="E1699" t="n">
        <v>17677</v>
      </c>
      <c r="F1699" t="n">
        <v>18015</v>
      </c>
    </row>
    <row r="1700">
      <c r="A1700" t="inlineStr">
        <is>
          <t>189|精英盾怪</t>
        </is>
      </c>
      <c r="B1700" t="n">
        <v>189</v>
      </c>
      <c r="C1700" t="inlineStr">
        <is>
          <t>精英盾怪</t>
        </is>
      </c>
      <c r="D1700" t="n">
        <v>1309572</v>
      </c>
      <c r="E1700" t="n">
        <v>17677</v>
      </c>
      <c r="F1700" t="n">
        <v>18015</v>
      </c>
    </row>
    <row r="1701">
      <c r="A1701" t="inlineStr">
        <is>
          <t>189|Boss</t>
        </is>
      </c>
      <c r="B1701" t="n">
        <v>189</v>
      </c>
      <c r="C1701" t="inlineStr">
        <is>
          <t>Boss</t>
        </is>
      </c>
      <c r="D1701" t="n">
        <v>12921061</v>
      </c>
      <c r="E1701" t="n">
        <v>20011</v>
      </c>
      <c r="F1701" t="n">
        <v>18015</v>
      </c>
    </row>
    <row r="1702">
      <c r="A1702" t="inlineStr">
        <is>
          <t>189|装备副本Boss</t>
        </is>
      </c>
      <c r="B1702" t="n">
        <v>189</v>
      </c>
      <c r="C1702" t="inlineStr">
        <is>
          <t>装备副本Boss</t>
        </is>
      </c>
      <c r="D1702" t="n">
        <v>6460530</v>
      </c>
      <c r="E1702" t="n">
        <v>20011</v>
      </c>
      <c r="F1702" t="n">
        <v>18015</v>
      </c>
    </row>
    <row r="1703">
      <c r="A1703" t="inlineStr">
        <is>
          <t>190|普通怪</t>
        </is>
      </c>
      <c r="B1703" t="n">
        <v>190</v>
      </c>
      <c r="C1703" t="inlineStr">
        <is>
          <t>普通怪</t>
        </is>
      </c>
      <c r="D1703" t="n">
        <v>147351</v>
      </c>
      <c r="E1703" t="n">
        <v>17838</v>
      </c>
      <c r="F1703" t="n">
        <v>18132</v>
      </c>
    </row>
    <row r="1704">
      <c r="A1704" t="inlineStr">
        <is>
          <t>190|盾怪</t>
        </is>
      </c>
      <c r="B1704" t="n">
        <v>190</v>
      </c>
      <c r="C1704" t="inlineStr">
        <is>
          <t>盾怪</t>
        </is>
      </c>
      <c r="D1704" t="n">
        <v>442053</v>
      </c>
      <c r="E1704" t="n">
        <v>17838</v>
      </c>
      <c r="F1704" t="n">
        <v>18132</v>
      </c>
    </row>
    <row r="1705">
      <c r="A1705" t="inlineStr">
        <is>
          <t>190|二级普通怪</t>
        </is>
      </c>
      <c r="B1705" t="n">
        <v>190</v>
      </c>
      <c r="C1705" t="inlineStr">
        <is>
          <t>二级普通怪</t>
        </is>
      </c>
      <c r="D1705" t="n">
        <v>265232</v>
      </c>
      <c r="E1705" t="n">
        <v>17838</v>
      </c>
      <c r="F1705" t="n">
        <v>18132</v>
      </c>
    </row>
    <row r="1706">
      <c r="A1706" t="inlineStr">
        <is>
          <t>190|站桩怪</t>
        </is>
      </c>
      <c r="B1706" t="n">
        <v>190</v>
      </c>
      <c r="C1706" t="inlineStr">
        <is>
          <t>站桩怪</t>
        </is>
      </c>
      <c r="D1706" t="n">
        <v>73676</v>
      </c>
      <c r="E1706" t="n">
        <v>17838</v>
      </c>
      <c r="F1706" t="n">
        <v>18132</v>
      </c>
    </row>
    <row r="1707">
      <c r="A1707" t="inlineStr">
        <is>
          <t>190|炮灰怪</t>
        </is>
      </c>
      <c r="B1707" t="n">
        <v>190</v>
      </c>
      <c r="C1707" t="inlineStr">
        <is>
          <t>炮灰怪</t>
        </is>
      </c>
      <c r="D1707" t="n">
        <v>22103</v>
      </c>
      <c r="E1707" t="n">
        <v>17838</v>
      </c>
      <c r="F1707" t="n">
        <v>18132</v>
      </c>
    </row>
    <row r="1708">
      <c r="A1708" t="inlineStr">
        <is>
          <t>190|精英怪</t>
        </is>
      </c>
      <c r="B1708" t="n">
        <v>190</v>
      </c>
      <c r="C1708" t="inlineStr">
        <is>
          <t>精英怪</t>
        </is>
      </c>
      <c r="D1708" t="n">
        <v>589404</v>
      </c>
      <c r="E1708" t="n">
        <v>17838</v>
      </c>
      <c r="F1708" t="n">
        <v>18132</v>
      </c>
    </row>
    <row r="1709">
      <c r="A1709" t="inlineStr">
        <is>
          <t>190|精英盾怪</t>
        </is>
      </c>
      <c r="B1709" t="n">
        <v>190</v>
      </c>
      <c r="C1709" t="inlineStr">
        <is>
          <t>精英盾怪</t>
        </is>
      </c>
      <c r="D1709" t="n">
        <v>1326159</v>
      </c>
      <c r="E1709" t="n">
        <v>17838</v>
      </c>
      <c r="F1709" t="n">
        <v>18132</v>
      </c>
    </row>
    <row r="1710">
      <c r="A1710" t="inlineStr">
        <is>
          <t>190|Boss</t>
        </is>
      </c>
      <c r="B1710" t="n">
        <v>190</v>
      </c>
      <c r="C1710" t="inlineStr">
        <is>
          <t>Boss</t>
        </is>
      </c>
      <c r="D1710" t="n">
        <v>13098340</v>
      </c>
      <c r="E1710" t="n">
        <v>20186</v>
      </c>
      <c r="F1710" t="n">
        <v>18132</v>
      </c>
    </row>
    <row r="1711">
      <c r="A1711" t="inlineStr">
        <is>
          <t>190|装备副本Boss</t>
        </is>
      </c>
      <c r="B1711" t="n">
        <v>190</v>
      </c>
      <c r="C1711" t="inlineStr">
        <is>
          <t>装备副本Boss</t>
        </is>
      </c>
      <c r="D1711" t="n">
        <v>6549170</v>
      </c>
      <c r="E1711" t="n">
        <v>20186</v>
      </c>
      <c r="F1711" t="n">
        <v>18132</v>
      </c>
    </row>
    <row r="1712">
      <c r="A1712" t="inlineStr">
        <is>
          <t>191|普通怪</t>
        </is>
      </c>
      <c r="B1712" t="n">
        <v>191</v>
      </c>
      <c r="C1712" t="inlineStr">
        <is>
          <t>普通怪</t>
        </is>
      </c>
      <c r="D1712" t="n">
        <v>149211</v>
      </c>
      <c r="E1712" t="n">
        <v>18001</v>
      </c>
      <c r="F1712" t="n">
        <v>18249</v>
      </c>
    </row>
    <row r="1713">
      <c r="A1713" t="inlineStr">
        <is>
          <t>191|盾怪</t>
        </is>
      </c>
      <c r="B1713" t="n">
        <v>191</v>
      </c>
      <c r="C1713" t="inlineStr">
        <is>
          <t>盾怪</t>
        </is>
      </c>
      <c r="D1713" t="n">
        <v>447633</v>
      </c>
      <c r="E1713" t="n">
        <v>18001</v>
      </c>
      <c r="F1713" t="n">
        <v>18249</v>
      </c>
    </row>
    <row r="1714">
      <c r="A1714" t="inlineStr">
        <is>
          <t>191|二级普通怪</t>
        </is>
      </c>
      <c r="B1714" t="n">
        <v>191</v>
      </c>
      <c r="C1714" t="inlineStr">
        <is>
          <t>二级普通怪</t>
        </is>
      </c>
      <c r="D1714" t="n">
        <v>268580</v>
      </c>
      <c r="E1714" t="n">
        <v>18001</v>
      </c>
      <c r="F1714" t="n">
        <v>18249</v>
      </c>
    </row>
    <row r="1715">
      <c r="A1715" t="inlineStr">
        <is>
          <t>191|站桩怪</t>
        </is>
      </c>
      <c r="B1715" t="n">
        <v>191</v>
      </c>
      <c r="C1715" t="inlineStr">
        <is>
          <t>站桩怪</t>
        </is>
      </c>
      <c r="D1715" t="n">
        <v>74606</v>
      </c>
      <c r="E1715" t="n">
        <v>18001</v>
      </c>
      <c r="F1715" t="n">
        <v>18249</v>
      </c>
    </row>
    <row r="1716">
      <c r="A1716" t="inlineStr">
        <is>
          <t>191|炮灰怪</t>
        </is>
      </c>
      <c r="B1716" t="n">
        <v>191</v>
      </c>
      <c r="C1716" t="inlineStr">
        <is>
          <t>炮灰怪</t>
        </is>
      </c>
      <c r="D1716" t="n">
        <v>22382</v>
      </c>
      <c r="E1716" t="n">
        <v>18001</v>
      </c>
      <c r="F1716" t="n">
        <v>18249</v>
      </c>
    </row>
    <row r="1717">
      <c r="A1717" t="inlineStr">
        <is>
          <t>191|精英怪</t>
        </is>
      </c>
      <c r="B1717" t="n">
        <v>191</v>
      </c>
      <c r="C1717" t="inlineStr">
        <is>
          <t>精英怪</t>
        </is>
      </c>
      <c r="D1717" t="n">
        <v>596844</v>
      </c>
      <c r="E1717" t="n">
        <v>18001</v>
      </c>
      <c r="F1717" t="n">
        <v>18249</v>
      </c>
    </row>
    <row r="1718">
      <c r="A1718" t="inlineStr">
        <is>
          <t>191|精英盾怪</t>
        </is>
      </c>
      <c r="B1718" t="n">
        <v>191</v>
      </c>
      <c r="C1718" t="inlineStr">
        <is>
          <t>精英盾怪</t>
        </is>
      </c>
      <c r="D1718" t="n">
        <v>1342899</v>
      </c>
      <c r="E1718" t="n">
        <v>18001</v>
      </c>
      <c r="F1718" t="n">
        <v>18249</v>
      </c>
    </row>
    <row r="1719">
      <c r="A1719" t="inlineStr">
        <is>
          <t>191|Boss</t>
        </is>
      </c>
      <c r="B1719" t="n">
        <v>191</v>
      </c>
      <c r="C1719" t="inlineStr">
        <is>
          <t>Boss</t>
        </is>
      </c>
      <c r="D1719" t="n">
        <v>13277356</v>
      </c>
      <c r="E1719" t="n">
        <v>20363</v>
      </c>
      <c r="F1719" t="n">
        <v>18249</v>
      </c>
    </row>
    <row r="1720">
      <c r="A1720" t="inlineStr">
        <is>
          <t>191|装备副本Boss</t>
        </is>
      </c>
      <c r="B1720" t="n">
        <v>191</v>
      </c>
      <c r="C1720" t="inlineStr">
        <is>
          <t>装备副本Boss</t>
        </is>
      </c>
      <c r="D1720" t="n">
        <v>6638678</v>
      </c>
      <c r="E1720" t="n">
        <v>20363</v>
      </c>
      <c r="F1720" t="n">
        <v>18249</v>
      </c>
    </row>
    <row r="1721">
      <c r="A1721" t="inlineStr">
        <is>
          <t>192|普通怪</t>
        </is>
      </c>
      <c r="B1721" t="n">
        <v>192</v>
      </c>
      <c r="C1721" t="inlineStr">
        <is>
          <t>普通怪</t>
        </is>
      </c>
      <c r="D1721" t="n">
        <v>151088</v>
      </c>
      <c r="E1721" t="n">
        <v>18164</v>
      </c>
      <c r="F1721" t="n">
        <v>18366</v>
      </c>
    </row>
    <row r="1722">
      <c r="A1722" t="inlineStr">
        <is>
          <t>192|盾怪</t>
        </is>
      </c>
      <c r="B1722" t="n">
        <v>192</v>
      </c>
      <c r="C1722" t="inlineStr">
        <is>
          <t>盾怪</t>
        </is>
      </c>
      <c r="D1722" t="n">
        <v>453264</v>
      </c>
      <c r="E1722" t="n">
        <v>18164</v>
      </c>
      <c r="F1722" t="n">
        <v>18366</v>
      </c>
    </row>
    <row r="1723">
      <c r="A1723" t="inlineStr">
        <is>
          <t>192|二级普通怪</t>
        </is>
      </c>
      <c r="B1723" t="n">
        <v>192</v>
      </c>
      <c r="C1723" t="inlineStr">
        <is>
          <t>二级普通怪</t>
        </is>
      </c>
      <c r="D1723" t="n">
        <v>271959</v>
      </c>
      <c r="E1723" t="n">
        <v>18164</v>
      </c>
      <c r="F1723" t="n">
        <v>18366</v>
      </c>
    </row>
    <row r="1724">
      <c r="A1724" t="inlineStr">
        <is>
          <t>192|站桩怪</t>
        </is>
      </c>
      <c r="B1724" t="n">
        <v>192</v>
      </c>
      <c r="C1724" t="inlineStr">
        <is>
          <t>站桩怪</t>
        </is>
      </c>
      <c r="D1724" t="n">
        <v>75544</v>
      </c>
      <c r="E1724" t="n">
        <v>18164</v>
      </c>
      <c r="F1724" t="n">
        <v>18366</v>
      </c>
    </row>
    <row r="1725">
      <c r="A1725" t="inlineStr">
        <is>
          <t>192|炮灰怪</t>
        </is>
      </c>
      <c r="B1725" t="n">
        <v>192</v>
      </c>
      <c r="C1725" t="inlineStr">
        <is>
          <t>炮灰怪</t>
        </is>
      </c>
      <c r="D1725" t="n">
        <v>22664</v>
      </c>
      <c r="E1725" t="n">
        <v>18164</v>
      </c>
      <c r="F1725" t="n">
        <v>18366</v>
      </c>
    </row>
    <row r="1726">
      <c r="A1726" t="inlineStr">
        <is>
          <t>192|精英怪</t>
        </is>
      </c>
      <c r="B1726" t="n">
        <v>192</v>
      </c>
      <c r="C1726" t="inlineStr">
        <is>
          <t>精英怪</t>
        </is>
      </c>
      <c r="D1726" t="n">
        <v>604352</v>
      </c>
      <c r="E1726" t="n">
        <v>18164</v>
      </c>
      <c r="F1726" t="n">
        <v>18366</v>
      </c>
    </row>
    <row r="1727">
      <c r="A1727" t="inlineStr">
        <is>
          <t>192|精英盾怪</t>
        </is>
      </c>
      <c r="B1727" t="n">
        <v>192</v>
      </c>
      <c r="C1727" t="inlineStr">
        <is>
          <t>精英盾怪</t>
        </is>
      </c>
      <c r="D1727" t="n">
        <v>1359792</v>
      </c>
      <c r="E1727" t="n">
        <v>18164</v>
      </c>
      <c r="F1727" t="n">
        <v>18366</v>
      </c>
    </row>
    <row r="1728">
      <c r="A1728" t="inlineStr">
        <is>
          <t>192|Boss</t>
        </is>
      </c>
      <c r="B1728" t="n">
        <v>192</v>
      </c>
      <c r="C1728" t="inlineStr">
        <is>
          <t>Boss</t>
        </is>
      </c>
      <c r="D1728" t="n">
        <v>13458107</v>
      </c>
      <c r="E1728" t="n">
        <v>20540</v>
      </c>
      <c r="F1728" t="n">
        <v>18366</v>
      </c>
    </row>
    <row r="1729">
      <c r="A1729" t="inlineStr">
        <is>
          <t>192|装备副本Boss</t>
        </is>
      </c>
      <c r="B1729" t="n">
        <v>192</v>
      </c>
      <c r="C1729" t="inlineStr">
        <is>
          <t>装备副本Boss</t>
        </is>
      </c>
      <c r="D1729" t="n">
        <v>6729053</v>
      </c>
      <c r="E1729" t="n">
        <v>20540</v>
      </c>
      <c r="F1729" t="n">
        <v>18366</v>
      </c>
    </row>
    <row r="1730">
      <c r="A1730" t="inlineStr">
        <is>
          <t>193|普通怪</t>
        </is>
      </c>
      <c r="B1730" t="n">
        <v>193</v>
      </c>
      <c r="C1730" t="inlineStr">
        <is>
          <t>普通怪</t>
        </is>
      </c>
      <c r="D1730" t="n">
        <v>152982</v>
      </c>
      <c r="E1730" t="n">
        <v>18328</v>
      </c>
      <c r="F1730" t="n">
        <v>18484</v>
      </c>
    </row>
    <row r="1731">
      <c r="A1731" t="inlineStr">
        <is>
          <t>193|盾怪</t>
        </is>
      </c>
      <c r="B1731" t="n">
        <v>193</v>
      </c>
      <c r="C1731" t="inlineStr">
        <is>
          <t>盾怪</t>
        </is>
      </c>
      <c r="D1731" t="n">
        <v>458946</v>
      </c>
      <c r="E1731" t="n">
        <v>18328</v>
      </c>
      <c r="F1731" t="n">
        <v>18484</v>
      </c>
    </row>
    <row r="1732">
      <c r="A1732" t="inlineStr">
        <is>
          <t>193|二级普通怪</t>
        </is>
      </c>
      <c r="B1732" t="n">
        <v>193</v>
      </c>
      <c r="C1732" t="inlineStr">
        <is>
          <t>二级普通怪</t>
        </is>
      </c>
      <c r="D1732" t="n">
        <v>275368</v>
      </c>
      <c r="E1732" t="n">
        <v>18328</v>
      </c>
      <c r="F1732" t="n">
        <v>18484</v>
      </c>
    </row>
    <row r="1733">
      <c r="A1733" t="inlineStr">
        <is>
          <t>193|站桩怪</t>
        </is>
      </c>
      <c r="B1733" t="n">
        <v>193</v>
      </c>
      <c r="C1733" t="inlineStr">
        <is>
          <t>站桩怪</t>
        </is>
      </c>
      <c r="D1733" t="n">
        <v>76491</v>
      </c>
      <c r="E1733" t="n">
        <v>18328</v>
      </c>
      <c r="F1733" t="n">
        <v>18484</v>
      </c>
    </row>
    <row r="1734">
      <c r="A1734" t="inlineStr">
        <is>
          <t>193|炮灰怪</t>
        </is>
      </c>
      <c r="B1734" t="n">
        <v>193</v>
      </c>
      <c r="C1734" t="inlineStr">
        <is>
          <t>炮灰怪</t>
        </is>
      </c>
      <c r="D1734" t="n">
        <v>22948</v>
      </c>
      <c r="E1734" t="n">
        <v>18328</v>
      </c>
      <c r="F1734" t="n">
        <v>18484</v>
      </c>
    </row>
    <row r="1735">
      <c r="A1735" t="inlineStr">
        <is>
          <t>193|精英怪</t>
        </is>
      </c>
      <c r="B1735" t="n">
        <v>193</v>
      </c>
      <c r="C1735" t="inlineStr">
        <is>
          <t>精英怪</t>
        </is>
      </c>
      <c r="D1735" t="n">
        <v>611928</v>
      </c>
      <c r="E1735" t="n">
        <v>18328</v>
      </c>
      <c r="F1735" t="n">
        <v>18484</v>
      </c>
    </row>
    <row r="1736">
      <c r="A1736" t="inlineStr">
        <is>
          <t>193|精英盾怪</t>
        </is>
      </c>
      <c r="B1736" t="n">
        <v>193</v>
      </c>
      <c r="C1736" t="inlineStr">
        <is>
          <t>精英盾怪</t>
        </is>
      </c>
      <c r="D1736" t="n">
        <v>1376838</v>
      </c>
      <c r="E1736" t="n">
        <v>18328</v>
      </c>
      <c r="F1736" t="n">
        <v>18484</v>
      </c>
    </row>
    <row r="1737">
      <c r="A1737" t="inlineStr">
        <is>
          <t>193|Boss</t>
        </is>
      </c>
      <c r="B1737" t="n">
        <v>193</v>
      </c>
      <c r="C1737" t="inlineStr">
        <is>
          <t>Boss</t>
        </is>
      </c>
      <c r="D1737" t="n">
        <v>13640746</v>
      </c>
      <c r="E1737" t="n">
        <v>20718</v>
      </c>
      <c r="F1737" t="n">
        <v>18484</v>
      </c>
    </row>
    <row r="1738">
      <c r="A1738" t="inlineStr">
        <is>
          <t>193|装备副本Boss</t>
        </is>
      </c>
      <c r="B1738" t="n">
        <v>193</v>
      </c>
      <c r="C1738" t="inlineStr">
        <is>
          <t>装备副本Boss</t>
        </is>
      </c>
      <c r="D1738" t="n">
        <v>6820373</v>
      </c>
      <c r="E1738" t="n">
        <v>20718</v>
      </c>
      <c r="F1738" t="n">
        <v>18484</v>
      </c>
    </row>
    <row r="1739">
      <c r="A1739" t="inlineStr">
        <is>
          <t>194|普通怪</t>
        </is>
      </c>
      <c r="B1739" t="n">
        <v>194</v>
      </c>
      <c r="C1739" t="inlineStr">
        <is>
          <t>普通怪</t>
        </is>
      </c>
      <c r="D1739" t="n">
        <v>154894</v>
      </c>
      <c r="E1739" t="n">
        <v>18494</v>
      </c>
      <c r="F1739" t="n">
        <v>18602</v>
      </c>
    </row>
    <row r="1740">
      <c r="A1740" t="inlineStr">
        <is>
          <t>194|盾怪</t>
        </is>
      </c>
      <c r="B1740" t="n">
        <v>194</v>
      </c>
      <c r="C1740" t="inlineStr">
        <is>
          <t>盾怪</t>
        </is>
      </c>
      <c r="D1740" t="n">
        <v>464682</v>
      </c>
      <c r="E1740" t="n">
        <v>18494</v>
      </c>
      <c r="F1740" t="n">
        <v>18602</v>
      </c>
    </row>
    <row r="1741">
      <c r="A1741" t="inlineStr">
        <is>
          <t>194|二级普通怪</t>
        </is>
      </c>
      <c r="B1741" t="n">
        <v>194</v>
      </c>
      <c r="C1741" t="inlineStr">
        <is>
          <t>二级普通怪</t>
        </is>
      </c>
      <c r="D1741" t="n">
        <v>278810</v>
      </c>
      <c r="E1741" t="n">
        <v>18494</v>
      </c>
      <c r="F1741" t="n">
        <v>18602</v>
      </c>
    </row>
    <row r="1742">
      <c r="A1742" t="inlineStr">
        <is>
          <t>194|站桩怪</t>
        </is>
      </c>
      <c r="B1742" t="n">
        <v>194</v>
      </c>
      <c r="C1742" t="inlineStr">
        <is>
          <t>站桩怪</t>
        </is>
      </c>
      <c r="D1742" t="n">
        <v>77447</v>
      </c>
      <c r="E1742" t="n">
        <v>18494</v>
      </c>
      <c r="F1742" t="n">
        <v>18602</v>
      </c>
    </row>
    <row r="1743">
      <c r="A1743" t="inlineStr">
        <is>
          <t>194|炮灰怪</t>
        </is>
      </c>
      <c r="B1743" t="n">
        <v>194</v>
      </c>
      <c r="C1743" t="inlineStr">
        <is>
          <t>炮灰怪</t>
        </is>
      </c>
      <c r="D1743" t="n">
        <v>23235</v>
      </c>
      <c r="E1743" t="n">
        <v>18494</v>
      </c>
      <c r="F1743" t="n">
        <v>18602</v>
      </c>
    </row>
    <row r="1744">
      <c r="A1744" t="inlineStr">
        <is>
          <t>194|精英怪</t>
        </is>
      </c>
      <c r="B1744" t="n">
        <v>194</v>
      </c>
      <c r="C1744" t="inlineStr">
        <is>
          <t>精英怪</t>
        </is>
      </c>
      <c r="D1744" t="n">
        <v>619576</v>
      </c>
      <c r="E1744" t="n">
        <v>18494</v>
      </c>
      <c r="F1744" t="n">
        <v>18602</v>
      </c>
    </row>
    <row r="1745">
      <c r="A1745" t="inlineStr">
        <is>
          <t>194|精英盾怪</t>
        </is>
      </c>
      <c r="B1745" t="n">
        <v>194</v>
      </c>
      <c r="C1745" t="inlineStr">
        <is>
          <t>精英盾怪</t>
        </is>
      </c>
      <c r="D1745" t="n">
        <v>1394046</v>
      </c>
      <c r="E1745" t="n">
        <v>18494</v>
      </c>
      <c r="F1745" t="n">
        <v>18602</v>
      </c>
    </row>
    <row r="1746">
      <c r="A1746" t="inlineStr">
        <is>
          <t>194|Boss</t>
        </is>
      </c>
      <c r="B1746" t="n">
        <v>194</v>
      </c>
      <c r="C1746" t="inlineStr">
        <is>
          <t>Boss</t>
        </is>
      </c>
      <c r="D1746" t="n">
        <v>13825121</v>
      </c>
      <c r="E1746" t="n">
        <v>20898</v>
      </c>
      <c r="F1746" t="n">
        <v>18602</v>
      </c>
    </row>
    <row r="1747">
      <c r="A1747" t="inlineStr">
        <is>
          <t>194|装备副本Boss</t>
        </is>
      </c>
      <c r="B1747" t="n">
        <v>194</v>
      </c>
      <c r="C1747" t="inlineStr">
        <is>
          <t>装备副本Boss</t>
        </is>
      </c>
      <c r="D1747" t="n">
        <v>6912561</v>
      </c>
      <c r="E1747" t="n">
        <v>20898</v>
      </c>
      <c r="F1747" t="n">
        <v>18602</v>
      </c>
    </row>
    <row r="1748">
      <c r="A1748" t="inlineStr">
        <is>
          <t>195|普通怪</t>
        </is>
      </c>
      <c r="B1748" t="n">
        <v>195</v>
      </c>
      <c r="C1748" t="inlineStr">
        <is>
          <t>普通怪</t>
        </is>
      </c>
      <c r="D1748" t="n">
        <v>156823</v>
      </c>
      <c r="E1748" t="n">
        <v>18660</v>
      </c>
      <c r="F1748" t="n">
        <v>18720</v>
      </c>
    </row>
    <row r="1749">
      <c r="A1749" t="inlineStr">
        <is>
          <t>195|盾怪</t>
        </is>
      </c>
      <c r="B1749" t="n">
        <v>195</v>
      </c>
      <c r="C1749" t="inlineStr">
        <is>
          <t>盾怪</t>
        </is>
      </c>
      <c r="D1749" t="n">
        <v>470469</v>
      </c>
      <c r="E1749" t="n">
        <v>18660</v>
      </c>
      <c r="F1749" t="n">
        <v>18720</v>
      </c>
    </row>
    <row r="1750">
      <c r="A1750" t="inlineStr">
        <is>
          <t>195|二级普通怪</t>
        </is>
      </c>
      <c r="B1750" t="n">
        <v>195</v>
      </c>
      <c r="C1750" t="inlineStr">
        <is>
          <t>二级普通怪</t>
        </is>
      </c>
      <c r="D1750" t="n">
        <v>282282</v>
      </c>
      <c r="E1750" t="n">
        <v>18660</v>
      </c>
      <c r="F1750" t="n">
        <v>18720</v>
      </c>
    </row>
    <row r="1751">
      <c r="A1751" t="inlineStr">
        <is>
          <t>195|站桩怪</t>
        </is>
      </c>
      <c r="B1751" t="n">
        <v>195</v>
      </c>
      <c r="C1751" t="inlineStr">
        <is>
          <t>站桩怪</t>
        </is>
      </c>
      <c r="D1751" t="n">
        <v>78412</v>
      </c>
      <c r="E1751" t="n">
        <v>18660</v>
      </c>
      <c r="F1751" t="n">
        <v>18720</v>
      </c>
    </row>
    <row r="1752">
      <c r="A1752" t="inlineStr">
        <is>
          <t>195|炮灰怪</t>
        </is>
      </c>
      <c r="B1752" t="n">
        <v>195</v>
      </c>
      <c r="C1752" t="inlineStr">
        <is>
          <t>炮灰怪</t>
        </is>
      </c>
      <c r="D1752" t="n">
        <v>23524</v>
      </c>
      <c r="E1752" t="n">
        <v>18660</v>
      </c>
      <c r="F1752" t="n">
        <v>18720</v>
      </c>
    </row>
    <row r="1753">
      <c r="A1753" t="inlineStr">
        <is>
          <t>195|精英怪</t>
        </is>
      </c>
      <c r="B1753" t="n">
        <v>195</v>
      </c>
      <c r="C1753" t="inlineStr">
        <is>
          <t>精英怪</t>
        </is>
      </c>
      <c r="D1753" t="n">
        <v>627292</v>
      </c>
      <c r="E1753" t="n">
        <v>18660</v>
      </c>
      <c r="F1753" t="n">
        <v>18720</v>
      </c>
    </row>
    <row r="1754">
      <c r="A1754" t="inlineStr">
        <is>
          <t>195|精英盾怪</t>
        </is>
      </c>
      <c r="B1754" t="n">
        <v>195</v>
      </c>
      <c r="C1754" t="inlineStr">
        <is>
          <t>精英盾怪</t>
        </is>
      </c>
      <c r="D1754" t="n">
        <v>1411407</v>
      </c>
      <c r="E1754" t="n">
        <v>18660</v>
      </c>
      <c r="F1754" t="n">
        <v>18720</v>
      </c>
    </row>
    <row r="1755">
      <c r="A1755" t="inlineStr">
        <is>
          <t>195|Boss</t>
        </is>
      </c>
      <c r="B1755" t="n">
        <v>195</v>
      </c>
      <c r="C1755" t="inlineStr">
        <is>
          <t>Boss</t>
        </is>
      </c>
      <c r="D1755" t="n">
        <v>14011385</v>
      </c>
      <c r="E1755" t="n">
        <v>21078</v>
      </c>
      <c r="F1755" t="n">
        <v>18720</v>
      </c>
    </row>
    <row r="1756">
      <c r="A1756" t="inlineStr">
        <is>
          <t>195|装备副本Boss</t>
        </is>
      </c>
      <c r="B1756" t="n">
        <v>195</v>
      </c>
      <c r="C1756" t="inlineStr">
        <is>
          <t>装备副本Boss</t>
        </is>
      </c>
      <c r="D1756" t="n">
        <v>7005692</v>
      </c>
      <c r="E1756" t="n">
        <v>21078</v>
      </c>
      <c r="F1756" t="n">
        <v>18720</v>
      </c>
    </row>
    <row r="1757">
      <c r="A1757" t="inlineStr">
        <is>
          <t>196|普通怪</t>
        </is>
      </c>
      <c r="B1757" t="n">
        <v>196</v>
      </c>
      <c r="C1757" t="inlineStr">
        <is>
          <t>普通怪</t>
        </is>
      </c>
      <c r="D1757" t="n">
        <v>158769</v>
      </c>
      <c r="E1757" t="n">
        <v>18828</v>
      </c>
      <c r="F1757" t="n">
        <v>18838</v>
      </c>
    </row>
    <row r="1758">
      <c r="A1758" t="inlineStr">
        <is>
          <t>196|盾怪</t>
        </is>
      </c>
      <c r="B1758" t="n">
        <v>196</v>
      </c>
      <c r="C1758" t="inlineStr">
        <is>
          <t>盾怪</t>
        </is>
      </c>
      <c r="D1758" t="n">
        <v>476307</v>
      </c>
      <c r="E1758" t="n">
        <v>18828</v>
      </c>
      <c r="F1758" t="n">
        <v>18838</v>
      </c>
    </row>
    <row r="1759">
      <c r="A1759" t="inlineStr">
        <is>
          <t>196|二级普通怪</t>
        </is>
      </c>
      <c r="B1759" t="n">
        <v>196</v>
      </c>
      <c r="C1759" t="inlineStr">
        <is>
          <t>二级普通怪</t>
        </is>
      </c>
      <c r="D1759" t="n">
        <v>285785</v>
      </c>
      <c r="E1759" t="n">
        <v>18828</v>
      </c>
      <c r="F1759" t="n">
        <v>18838</v>
      </c>
    </row>
    <row r="1760">
      <c r="A1760" t="inlineStr">
        <is>
          <t>196|站桩怪</t>
        </is>
      </c>
      <c r="B1760" t="n">
        <v>196</v>
      </c>
      <c r="C1760" t="inlineStr">
        <is>
          <t>站桩怪</t>
        </is>
      </c>
      <c r="D1760" t="n">
        <v>79385</v>
      </c>
      <c r="E1760" t="n">
        <v>18828</v>
      </c>
      <c r="F1760" t="n">
        <v>18838</v>
      </c>
    </row>
    <row r="1761">
      <c r="A1761" t="inlineStr">
        <is>
          <t>196|炮灰怪</t>
        </is>
      </c>
      <c r="B1761" t="n">
        <v>196</v>
      </c>
      <c r="C1761" t="inlineStr">
        <is>
          <t>炮灰怪</t>
        </is>
      </c>
      <c r="D1761" t="n">
        <v>23816</v>
      </c>
      <c r="E1761" t="n">
        <v>18828</v>
      </c>
      <c r="F1761" t="n">
        <v>18838</v>
      </c>
    </row>
    <row r="1762">
      <c r="A1762" t="inlineStr">
        <is>
          <t>196|精英怪</t>
        </is>
      </c>
      <c r="B1762" t="n">
        <v>196</v>
      </c>
      <c r="C1762" t="inlineStr">
        <is>
          <t>精英怪</t>
        </is>
      </c>
      <c r="D1762" t="n">
        <v>635076</v>
      </c>
      <c r="E1762" t="n">
        <v>18828</v>
      </c>
      <c r="F1762" t="n">
        <v>18838</v>
      </c>
    </row>
    <row r="1763">
      <c r="A1763" t="inlineStr">
        <is>
          <t>196|精英盾怪</t>
        </is>
      </c>
      <c r="B1763" t="n">
        <v>196</v>
      </c>
      <c r="C1763" t="inlineStr">
        <is>
          <t>精英盾怪</t>
        </is>
      </c>
      <c r="D1763" t="n">
        <v>1428921</v>
      </c>
      <c r="E1763" t="n">
        <v>18828</v>
      </c>
      <c r="F1763" t="n">
        <v>18838</v>
      </c>
    </row>
    <row r="1764">
      <c r="A1764" t="inlineStr">
        <is>
          <t>196|Boss</t>
        </is>
      </c>
      <c r="B1764" t="n">
        <v>196</v>
      </c>
      <c r="C1764" t="inlineStr">
        <is>
          <t>Boss</t>
        </is>
      </c>
      <c r="D1764" t="n">
        <v>14199435</v>
      </c>
      <c r="E1764" t="n">
        <v>21260</v>
      </c>
      <c r="F1764" t="n">
        <v>18838</v>
      </c>
    </row>
    <row r="1765">
      <c r="A1765" t="inlineStr">
        <is>
          <t>196|装备副本Boss</t>
        </is>
      </c>
      <c r="B1765" t="n">
        <v>196</v>
      </c>
      <c r="C1765" t="inlineStr">
        <is>
          <t>装备副本Boss</t>
        </is>
      </c>
      <c r="D1765" t="n">
        <v>7099717</v>
      </c>
      <c r="E1765" t="n">
        <v>21260</v>
      </c>
      <c r="F1765" t="n">
        <v>18838</v>
      </c>
    </row>
    <row r="1766">
      <c r="A1766" t="inlineStr">
        <is>
          <t>197|普通怪</t>
        </is>
      </c>
      <c r="B1766" t="n">
        <v>197</v>
      </c>
      <c r="C1766" t="inlineStr">
        <is>
          <t>普通怪</t>
        </is>
      </c>
      <c r="D1766" t="n">
        <v>160734</v>
      </c>
      <c r="E1766" t="n">
        <v>18997</v>
      </c>
      <c r="F1766" t="n">
        <v>18956</v>
      </c>
    </row>
    <row r="1767">
      <c r="A1767" t="inlineStr">
        <is>
          <t>197|盾怪</t>
        </is>
      </c>
      <c r="B1767" t="n">
        <v>197</v>
      </c>
      <c r="C1767" t="inlineStr">
        <is>
          <t>盾怪</t>
        </is>
      </c>
      <c r="D1767" t="n">
        <v>482202</v>
      </c>
      <c r="E1767" t="n">
        <v>18997</v>
      </c>
      <c r="F1767" t="n">
        <v>18956</v>
      </c>
    </row>
    <row r="1768">
      <c r="A1768" t="inlineStr">
        <is>
          <t>197|二级普通怪</t>
        </is>
      </c>
      <c r="B1768" t="n">
        <v>197</v>
      </c>
      <c r="C1768" t="inlineStr">
        <is>
          <t>二级普通怪</t>
        </is>
      </c>
      <c r="D1768" t="n">
        <v>289322</v>
      </c>
      <c r="E1768" t="n">
        <v>18997</v>
      </c>
      <c r="F1768" t="n">
        <v>18956</v>
      </c>
    </row>
    <row r="1769">
      <c r="A1769" t="inlineStr">
        <is>
          <t>197|站桩怪</t>
        </is>
      </c>
      <c r="B1769" t="n">
        <v>197</v>
      </c>
      <c r="C1769" t="inlineStr">
        <is>
          <t>站桩怪</t>
        </is>
      </c>
      <c r="D1769" t="n">
        <v>80367</v>
      </c>
      <c r="E1769" t="n">
        <v>18997</v>
      </c>
      <c r="F1769" t="n">
        <v>18956</v>
      </c>
    </row>
    <row r="1770">
      <c r="A1770" t="inlineStr">
        <is>
          <t>197|炮灰怪</t>
        </is>
      </c>
      <c r="B1770" t="n">
        <v>197</v>
      </c>
      <c r="C1770" t="inlineStr">
        <is>
          <t>炮灰怪</t>
        </is>
      </c>
      <c r="D1770" t="n">
        <v>24111</v>
      </c>
      <c r="E1770" t="n">
        <v>18997</v>
      </c>
      <c r="F1770" t="n">
        <v>18956</v>
      </c>
    </row>
    <row r="1771">
      <c r="A1771" t="inlineStr">
        <is>
          <t>197|精英怪</t>
        </is>
      </c>
      <c r="B1771" t="n">
        <v>197</v>
      </c>
      <c r="C1771" t="inlineStr">
        <is>
          <t>精英怪</t>
        </is>
      </c>
      <c r="D1771" t="n">
        <v>642936</v>
      </c>
      <c r="E1771" t="n">
        <v>18997</v>
      </c>
      <c r="F1771" t="n">
        <v>18956</v>
      </c>
    </row>
    <row r="1772">
      <c r="A1772" t="inlineStr">
        <is>
          <t>197|精英盾怪</t>
        </is>
      </c>
      <c r="B1772" t="n">
        <v>197</v>
      </c>
      <c r="C1772" t="inlineStr">
        <is>
          <t>精英盾怪</t>
        </is>
      </c>
      <c r="D1772" t="n">
        <v>1446606</v>
      </c>
      <c r="E1772" t="n">
        <v>18997</v>
      </c>
      <c r="F1772" t="n">
        <v>18956</v>
      </c>
    </row>
    <row r="1773">
      <c r="A1773" t="inlineStr">
        <is>
          <t>197|Boss</t>
        </is>
      </c>
      <c r="B1773" t="n">
        <v>197</v>
      </c>
      <c r="C1773" t="inlineStr">
        <is>
          <t>Boss</t>
        </is>
      </c>
      <c r="D1773" t="n">
        <v>14389373</v>
      </c>
      <c r="E1773" t="n">
        <v>21442</v>
      </c>
      <c r="F1773" t="n">
        <v>18956</v>
      </c>
    </row>
    <row r="1774">
      <c r="A1774" t="inlineStr">
        <is>
          <t>197|装备副本Boss</t>
        </is>
      </c>
      <c r="B1774" t="n">
        <v>197</v>
      </c>
      <c r="C1774" t="inlineStr">
        <is>
          <t>装备副本Boss</t>
        </is>
      </c>
      <c r="D1774" t="n">
        <v>7194687</v>
      </c>
      <c r="E1774" t="n">
        <v>21442</v>
      </c>
      <c r="F1774" t="n">
        <v>18956</v>
      </c>
    </row>
    <row r="1775">
      <c r="A1775" t="inlineStr">
        <is>
          <t>198|普通怪</t>
        </is>
      </c>
      <c r="B1775" t="n">
        <v>198</v>
      </c>
      <c r="C1775" t="inlineStr">
        <is>
          <t>普通怪</t>
        </is>
      </c>
      <c r="D1775" t="n">
        <v>162716</v>
      </c>
      <c r="E1775" t="n">
        <v>19166</v>
      </c>
      <c r="F1775" t="n">
        <v>19075</v>
      </c>
    </row>
    <row r="1776">
      <c r="A1776" t="inlineStr">
        <is>
          <t>198|盾怪</t>
        </is>
      </c>
      <c r="B1776" t="n">
        <v>198</v>
      </c>
      <c r="C1776" t="inlineStr">
        <is>
          <t>盾怪</t>
        </is>
      </c>
      <c r="D1776" t="n">
        <v>488148</v>
      </c>
      <c r="E1776" t="n">
        <v>19166</v>
      </c>
      <c r="F1776" t="n">
        <v>19075</v>
      </c>
    </row>
    <row r="1777">
      <c r="A1777" t="inlineStr">
        <is>
          <t>198|二级普通怪</t>
        </is>
      </c>
      <c r="B1777" t="n">
        <v>198</v>
      </c>
      <c r="C1777" t="inlineStr">
        <is>
          <t>二级普通怪</t>
        </is>
      </c>
      <c r="D1777" t="n">
        <v>292889</v>
      </c>
      <c r="E1777" t="n">
        <v>19166</v>
      </c>
      <c r="F1777" t="n">
        <v>19075</v>
      </c>
    </row>
    <row r="1778">
      <c r="A1778" t="inlineStr">
        <is>
          <t>198|站桩怪</t>
        </is>
      </c>
      <c r="B1778" t="n">
        <v>198</v>
      </c>
      <c r="C1778" t="inlineStr">
        <is>
          <t>站桩怪</t>
        </is>
      </c>
      <c r="D1778" t="n">
        <v>81358</v>
      </c>
      <c r="E1778" t="n">
        <v>19166</v>
      </c>
      <c r="F1778" t="n">
        <v>19075</v>
      </c>
    </row>
    <row r="1779">
      <c r="A1779" t="inlineStr">
        <is>
          <t>198|炮灰怪</t>
        </is>
      </c>
      <c r="B1779" t="n">
        <v>198</v>
      </c>
      <c r="C1779" t="inlineStr">
        <is>
          <t>炮灰怪</t>
        </is>
      </c>
      <c r="D1779" t="n">
        <v>24408</v>
      </c>
      <c r="E1779" t="n">
        <v>19166</v>
      </c>
      <c r="F1779" t="n">
        <v>19075</v>
      </c>
    </row>
    <row r="1780">
      <c r="A1780" t="inlineStr">
        <is>
          <t>198|精英怪</t>
        </is>
      </c>
      <c r="B1780" t="n">
        <v>198</v>
      </c>
      <c r="C1780" t="inlineStr">
        <is>
          <t>精英怪</t>
        </is>
      </c>
      <c r="D1780" t="n">
        <v>650864</v>
      </c>
      <c r="E1780" t="n">
        <v>19166</v>
      </c>
      <c r="F1780" t="n">
        <v>19075</v>
      </c>
    </row>
    <row r="1781">
      <c r="A1781" t="inlineStr">
        <is>
          <t>198|精英盾怪</t>
        </is>
      </c>
      <c r="B1781" t="n">
        <v>198</v>
      </c>
      <c r="C1781" t="inlineStr">
        <is>
          <t>精英盾怪</t>
        </is>
      </c>
      <c r="D1781" t="n">
        <v>1464444</v>
      </c>
      <c r="E1781" t="n">
        <v>19166</v>
      </c>
      <c r="F1781" t="n">
        <v>19075</v>
      </c>
    </row>
    <row r="1782">
      <c r="A1782" t="inlineStr">
        <is>
          <t>198|Boss</t>
        </is>
      </c>
      <c r="B1782" t="n">
        <v>198</v>
      </c>
      <c r="C1782" t="inlineStr">
        <is>
          <t>Boss</t>
        </is>
      </c>
      <c r="D1782" t="n">
        <v>14581149</v>
      </c>
      <c r="E1782" t="n">
        <v>21625</v>
      </c>
      <c r="F1782" t="n">
        <v>19075</v>
      </c>
    </row>
    <row r="1783">
      <c r="A1783" t="inlineStr">
        <is>
          <t>198|装备副本Boss</t>
        </is>
      </c>
      <c r="B1783" t="n">
        <v>198</v>
      </c>
      <c r="C1783" t="inlineStr">
        <is>
          <t>装备副本Boss</t>
        </is>
      </c>
      <c r="D1783" t="n">
        <v>7290574</v>
      </c>
      <c r="E1783" t="n">
        <v>21625</v>
      </c>
      <c r="F1783" t="n">
        <v>19075</v>
      </c>
    </row>
    <row r="1784">
      <c r="A1784" t="inlineStr">
        <is>
          <t>199|普通怪</t>
        </is>
      </c>
      <c r="B1784" t="n">
        <v>199</v>
      </c>
      <c r="C1784" t="inlineStr">
        <is>
          <t>普通怪</t>
        </is>
      </c>
      <c r="D1784" t="n">
        <v>164715</v>
      </c>
      <c r="E1784" t="n">
        <v>19337</v>
      </c>
      <c r="F1784" t="n">
        <v>19194</v>
      </c>
    </row>
    <row r="1785">
      <c r="A1785" t="inlineStr">
        <is>
          <t>199|盾怪</t>
        </is>
      </c>
      <c r="B1785" t="n">
        <v>199</v>
      </c>
      <c r="C1785" t="inlineStr">
        <is>
          <t>盾怪</t>
        </is>
      </c>
      <c r="D1785" t="n">
        <v>494145</v>
      </c>
      <c r="E1785" t="n">
        <v>19337</v>
      </c>
      <c r="F1785" t="n">
        <v>19194</v>
      </c>
    </row>
    <row r="1786">
      <c r="A1786" t="inlineStr">
        <is>
          <t>199|二级普通怪</t>
        </is>
      </c>
      <c r="B1786" t="n">
        <v>199</v>
      </c>
      <c r="C1786" t="inlineStr">
        <is>
          <t>二级普通怪</t>
        </is>
      </c>
      <c r="D1786" t="n">
        <v>296487</v>
      </c>
      <c r="E1786" t="n">
        <v>19337</v>
      </c>
      <c r="F1786" t="n">
        <v>19194</v>
      </c>
    </row>
    <row r="1787">
      <c r="A1787" t="inlineStr">
        <is>
          <t>199|站桩怪</t>
        </is>
      </c>
      <c r="B1787" t="n">
        <v>199</v>
      </c>
      <c r="C1787" t="inlineStr">
        <is>
          <t>站桩怪</t>
        </is>
      </c>
      <c r="D1787" t="n">
        <v>82358</v>
      </c>
      <c r="E1787" t="n">
        <v>19337</v>
      </c>
      <c r="F1787" t="n">
        <v>19194</v>
      </c>
    </row>
    <row r="1788">
      <c r="A1788" t="inlineStr">
        <is>
          <t>199|炮灰怪</t>
        </is>
      </c>
      <c r="B1788" t="n">
        <v>199</v>
      </c>
      <c r="C1788" t="inlineStr">
        <is>
          <t>炮灰怪</t>
        </is>
      </c>
      <c r="D1788" t="n">
        <v>24708</v>
      </c>
      <c r="E1788" t="n">
        <v>19337</v>
      </c>
      <c r="F1788" t="n">
        <v>19194</v>
      </c>
    </row>
    <row r="1789">
      <c r="A1789" t="inlineStr">
        <is>
          <t>199|精英怪</t>
        </is>
      </c>
      <c r="B1789" t="n">
        <v>199</v>
      </c>
      <c r="C1789" t="inlineStr">
        <is>
          <t>精英怪</t>
        </is>
      </c>
      <c r="D1789" t="n">
        <v>658860</v>
      </c>
      <c r="E1789" t="n">
        <v>19337</v>
      </c>
      <c r="F1789" t="n">
        <v>19194</v>
      </c>
    </row>
    <row r="1790">
      <c r="A1790" t="inlineStr">
        <is>
          <t>199|精英盾怪</t>
        </is>
      </c>
      <c r="B1790" t="n">
        <v>199</v>
      </c>
      <c r="C1790" t="inlineStr">
        <is>
          <t>精英盾怪</t>
        </is>
      </c>
      <c r="D1790" t="n">
        <v>1482435</v>
      </c>
      <c r="E1790" t="n">
        <v>19337</v>
      </c>
      <c r="F1790" t="n">
        <v>19194</v>
      </c>
    </row>
    <row r="1791">
      <c r="A1791" t="inlineStr">
        <is>
          <t>199|Boss</t>
        </is>
      </c>
      <c r="B1791" t="n">
        <v>199</v>
      </c>
      <c r="C1791" t="inlineStr">
        <is>
          <t>Boss</t>
        </is>
      </c>
      <c r="D1791" t="n">
        <v>14774813</v>
      </c>
      <c r="E1791" t="n">
        <v>21810</v>
      </c>
      <c r="F1791" t="n">
        <v>19194</v>
      </c>
    </row>
    <row r="1792">
      <c r="A1792" t="inlineStr">
        <is>
          <t>199|装备副本Boss</t>
        </is>
      </c>
      <c r="B1792" t="n">
        <v>199</v>
      </c>
      <c r="C1792" t="inlineStr">
        <is>
          <t>装备副本Boss</t>
        </is>
      </c>
      <c r="D1792" t="n">
        <v>7387406</v>
      </c>
      <c r="E1792" t="n">
        <v>21810</v>
      </c>
      <c r="F1792" t="n">
        <v>19194</v>
      </c>
    </row>
    <row r="1793">
      <c r="A1793" t="inlineStr">
        <is>
          <t>200|普通怪</t>
        </is>
      </c>
      <c r="B1793" t="n">
        <v>200</v>
      </c>
      <c r="C1793" t="inlineStr">
        <is>
          <t>普通怪</t>
        </is>
      </c>
      <c r="D1793" t="n">
        <v>166733</v>
      </c>
      <c r="E1793" t="n">
        <v>19508</v>
      </c>
      <c r="F1793" t="n">
        <v>19313</v>
      </c>
    </row>
    <row r="1794">
      <c r="A1794" t="inlineStr">
        <is>
          <t>200|盾怪</t>
        </is>
      </c>
      <c r="B1794" t="n">
        <v>200</v>
      </c>
      <c r="C1794" t="inlineStr">
        <is>
          <t>盾怪</t>
        </is>
      </c>
      <c r="D1794" t="n">
        <v>500199</v>
      </c>
      <c r="E1794" t="n">
        <v>19508</v>
      </c>
      <c r="F1794" t="n">
        <v>19313</v>
      </c>
    </row>
    <row r="1795">
      <c r="A1795" t="inlineStr">
        <is>
          <t>200|二级普通怪</t>
        </is>
      </c>
      <c r="B1795" t="n">
        <v>200</v>
      </c>
      <c r="C1795" t="inlineStr">
        <is>
          <t>二级普通怪</t>
        </is>
      </c>
      <c r="D1795" t="n">
        <v>300120</v>
      </c>
      <c r="E1795" t="n">
        <v>19508</v>
      </c>
      <c r="F1795" t="n">
        <v>19313</v>
      </c>
    </row>
    <row r="1796">
      <c r="A1796" t="inlineStr">
        <is>
          <t>200|站桩怪</t>
        </is>
      </c>
      <c r="B1796" t="n">
        <v>200</v>
      </c>
      <c r="C1796" t="inlineStr">
        <is>
          <t>站桩怪</t>
        </is>
      </c>
      <c r="D1796" t="n">
        <v>83367</v>
      </c>
      <c r="E1796" t="n">
        <v>19508</v>
      </c>
      <c r="F1796" t="n">
        <v>19313</v>
      </c>
    </row>
    <row r="1797">
      <c r="A1797" t="inlineStr">
        <is>
          <t>200|炮灰怪</t>
        </is>
      </c>
      <c r="B1797" t="n">
        <v>200</v>
      </c>
      <c r="C1797" t="inlineStr">
        <is>
          <t>炮灰怪</t>
        </is>
      </c>
      <c r="D1797" t="n">
        <v>25010</v>
      </c>
      <c r="E1797" t="n">
        <v>19508</v>
      </c>
      <c r="F1797" t="n">
        <v>19313</v>
      </c>
    </row>
    <row r="1798">
      <c r="A1798" t="inlineStr">
        <is>
          <t>200|精英怪</t>
        </is>
      </c>
      <c r="B1798" t="n">
        <v>200</v>
      </c>
      <c r="C1798" t="inlineStr">
        <is>
          <t>精英怪</t>
        </is>
      </c>
      <c r="D1798" t="n">
        <v>666932</v>
      </c>
      <c r="E1798" t="n">
        <v>19508</v>
      </c>
      <c r="F1798" t="n">
        <v>19313</v>
      </c>
    </row>
    <row r="1799">
      <c r="A1799" t="inlineStr">
        <is>
          <t>200|精英盾怪</t>
        </is>
      </c>
      <c r="B1799" t="n">
        <v>200</v>
      </c>
      <c r="C1799" t="inlineStr">
        <is>
          <t>精英盾怪</t>
        </is>
      </c>
      <c r="D1799" t="n">
        <v>1500597</v>
      </c>
      <c r="E1799" t="n">
        <v>19508</v>
      </c>
      <c r="F1799" t="n">
        <v>19313</v>
      </c>
    </row>
    <row r="1800">
      <c r="A1800" t="inlineStr">
        <is>
          <t>200|Boss</t>
        </is>
      </c>
      <c r="B1800" t="n">
        <v>200</v>
      </c>
      <c r="C1800" t="inlineStr">
        <is>
          <t>Boss</t>
        </is>
      </c>
      <c r="D1800" t="n">
        <v>14970365</v>
      </c>
      <c r="E1800" t="n">
        <v>21995</v>
      </c>
      <c r="F1800" t="n">
        <v>19313</v>
      </c>
    </row>
    <row r="1801">
      <c r="A1801" t="inlineStr">
        <is>
          <t>200|装备副本Boss</t>
        </is>
      </c>
      <c r="B1801" t="n">
        <v>200</v>
      </c>
      <c r="C1801" t="inlineStr">
        <is>
          <t>装备副本Boss</t>
        </is>
      </c>
      <c r="D1801" t="n">
        <v>7485182</v>
      </c>
      <c r="E1801" t="n">
        <v>21995</v>
      </c>
      <c r="F1801" t="n">
        <v>19313</v>
      </c>
    </row>
    <row r="1802">
      <c r="A1802" t="inlineStr">
        <is>
          <t>201|普通怪</t>
        </is>
      </c>
      <c r="B1802" t="n">
        <v>201</v>
      </c>
      <c r="C1802" t="inlineStr">
        <is>
          <t>普通怪</t>
        </is>
      </c>
      <c r="D1802" t="n">
        <v>168769</v>
      </c>
      <c r="E1802" t="n">
        <v>19681</v>
      </c>
      <c r="F1802" t="n">
        <v>19433</v>
      </c>
    </row>
    <row r="1803">
      <c r="A1803" t="inlineStr">
        <is>
          <t>201|盾怪</t>
        </is>
      </c>
      <c r="B1803" t="n">
        <v>201</v>
      </c>
      <c r="C1803" t="inlineStr">
        <is>
          <t>盾怪</t>
        </is>
      </c>
      <c r="D1803" t="n">
        <v>506307</v>
      </c>
      <c r="E1803" t="n">
        <v>19681</v>
      </c>
      <c r="F1803" t="n">
        <v>19433</v>
      </c>
    </row>
    <row r="1804">
      <c r="A1804" t="inlineStr">
        <is>
          <t>201|二级普通怪</t>
        </is>
      </c>
      <c r="B1804" t="n">
        <v>201</v>
      </c>
      <c r="C1804" t="inlineStr">
        <is>
          <t>二级普通怪</t>
        </is>
      </c>
      <c r="D1804" t="n">
        <v>303785</v>
      </c>
      <c r="E1804" t="n">
        <v>19681</v>
      </c>
      <c r="F1804" t="n">
        <v>19433</v>
      </c>
    </row>
    <row r="1805">
      <c r="A1805" t="inlineStr">
        <is>
          <t>201|站桩怪</t>
        </is>
      </c>
      <c r="B1805" t="n">
        <v>201</v>
      </c>
      <c r="C1805" t="inlineStr">
        <is>
          <t>站桩怪</t>
        </is>
      </c>
      <c r="D1805" t="n">
        <v>84385</v>
      </c>
      <c r="E1805" t="n">
        <v>19681</v>
      </c>
      <c r="F1805" t="n">
        <v>19433</v>
      </c>
    </row>
    <row r="1806">
      <c r="A1806" t="inlineStr">
        <is>
          <t>201|炮灰怪</t>
        </is>
      </c>
      <c r="B1806" t="n">
        <v>201</v>
      </c>
      <c r="C1806" t="inlineStr">
        <is>
          <t>炮灰怪</t>
        </is>
      </c>
      <c r="D1806" t="n">
        <v>25316</v>
      </c>
      <c r="E1806" t="n">
        <v>19681</v>
      </c>
      <c r="F1806" t="n">
        <v>19433</v>
      </c>
    </row>
    <row r="1807">
      <c r="A1807" t="inlineStr">
        <is>
          <t>201|精英怪</t>
        </is>
      </c>
      <c r="B1807" t="n">
        <v>201</v>
      </c>
      <c r="C1807" t="inlineStr">
        <is>
          <t>精英怪</t>
        </is>
      </c>
      <c r="D1807" t="n">
        <v>675076</v>
      </c>
      <c r="E1807" t="n">
        <v>19681</v>
      </c>
      <c r="F1807" t="n">
        <v>19433</v>
      </c>
    </row>
    <row r="1808">
      <c r="A1808" t="inlineStr">
        <is>
          <t>201|精英盾怪</t>
        </is>
      </c>
      <c r="B1808" t="n">
        <v>201</v>
      </c>
      <c r="C1808" t="inlineStr">
        <is>
          <t>精英盾怪</t>
        </is>
      </c>
      <c r="D1808" t="n">
        <v>1518921</v>
      </c>
      <c r="E1808" t="n">
        <v>19681</v>
      </c>
      <c r="F1808" t="n">
        <v>19433</v>
      </c>
    </row>
    <row r="1809">
      <c r="A1809" t="inlineStr">
        <is>
          <t>201|Boss</t>
        </is>
      </c>
      <c r="B1809" t="n">
        <v>201</v>
      </c>
      <c r="C1809" t="inlineStr">
        <is>
          <t>Boss</t>
        </is>
      </c>
      <c r="D1809" t="n">
        <v>15167805</v>
      </c>
      <c r="E1809" t="n">
        <v>22182</v>
      </c>
      <c r="F1809" t="n">
        <v>19433</v>
      </c>
    </row>
    <row r="1810">
      <c r="A1810" t="inlineStr">
        <is>
          <t>201|装备副本Boss</t>
        </is>
      </c>
      <c r="B1810" t="n">
        <v>201</v>
      </c>
      <c r="C1810" t="inlineStr">
        <is>
          <t>装备副本Boss</t>
        </is>
      </c>
      <c r="D1810" t="n">
        <v>7583903</v>
      </c>
      <c r="E1810" t="n">
        <v>22182</v>
      </c>
      <c r="F1810" t="n">
        <v>19433</v>
      </c>
    </row>
    <row r="1811">
      <c r="A1811" t="inlineStr">
        <is>
          <t>202|普通怪</t>
        </is>
      </c>
      <c r="B1811" t="n">
        <v>202</v>
      </c>
      <c r="C1811" t="inlineStr">
        <is>
          <t>普通怪</t>
        </is>
      </c>
      <c r="D1811" t="n">
        <v>170823</v>
      </c>
      <c r="E1811" t="n">
        <v>19854</v>
      </c>
      <c r="F1811" t="n">
        <v>19552</v>
      </c>
    </row>
    <row r="1812">
      <c r="A1812" t="inlineStr">
        <is>
          <t>202|盾怪</t>
        </is>
      </c>
      <c r="B1812" t="n">
        <v>202</v>
      </c>
      <c r="C1812" t="inlineStr">
        <is>
          <t>盾怪</t>
        </is>
      </c>
      <c r="D1812" t="n">
        <v>512469</v>
      </c>
      <c r="E1812" t="n">
        <v>19854</v>
      </c>
      <c r="F1812" t="n">
        <v>19552</v>
      </c>
    </row>
    <row r="1813">
      <c r="A1813" t="inlineStr">
        <is>
          <t>202|二级普通怪</t>
        </is>
      </c>
      <c r="B1813" t="n">
        <v>202</v>
      </c>
      <c r="C1813" t="inlineStr">
        <is>
          <t>二级普通怪</t>
        </is>
      </c>
      <c r="D1813" t="n">
        <v>307482</v>
      </c>
      <c r="E1813" t="n">
        <v>19854</v>
      </c>
      <c r="F1813" t="n">
        <v>19552</v>
      </c>
    </row>
    <row r="1814">
      <c r="A1814" t="inlineStr">
        <is>
          <t>202|站桩怪</t>
        </is>
      </c>
      <c r="B1814" t="n">
        <v>202</v>
      </c>
      <c r="C1814" t="inlineStr">
        <is>
          <t>站桩怪</t>
        </is>
      </c>
      <c r="D1814" t="n">
        <v>85412</v>
      </c>
      <c r="E1814" t="n">
        <v>19854</v>
      </c>
      <c r="F1814" t="n">
        <v>19552</v>
      </c>
    </row>
    <row r="1815">
      <c r="A1815" t="inlineStr">
        <is>
          <t>202|炮灰怪</t>
        </is>
      </c>
      <c r="B1815" t="n">
        <v>202</v>
      </c>
      <c r="C1815" t="inlineStr">
        <is>
          <t>炮灰怪</t>
        </is>
      </c>
      <c r="D1815" t="n">
        <v>25624</v>
      </c>
      <c r="E1815" t="n">
        <v>19854</v>
      </c>
      <c r="F1815" t="n">
        <v>19552</v>
      </c>
    </row>
    <row r="1816">
      <c r="A1816" t="inlineStr">
        <is>
          <t>202|精英怪</t>
        </is>
      </c>
      <c r="B1816" t="n">
        <v>202</v>
      </c>
      <c r="C1816" t="inlineStr">
        <is>
          <t>精英怪</t>
        </is>
      </c>
      <c r="D1816" t="n">
        <v>683292</v>
      </c>
      <c r="E1816" t="n">
        <v>19854</v>
      </c>
      <c r="F1816" t="n">
        <v>19552</v>
      </c>
    </row>
    <row r="1817">
      <c r="A1817" t="inlineStr">
        <is>
          <t>202|精英盾怪</t>
        </is>
      </c>
      <c r="B1817" t="n">
        <v>202</v>
      </c>
      <c r="C1817" t="inlineStr">
        <is>
          <t>精英盾怪</t>
        </is>
      </c>
      <c r="D1817" t="n">
        <v>1537407</v>
      </c>
      <c r="E1817" t="n">
        <v>19854</v>
      </c>
      <c r="F1817" t="n">
        <v>19552</v>
      </c>
    </row>
    <row r="1818">
      <c r="A1818" t="inlineStr">
        <is>
          <t>202|Boss</t>
        </is>
      </c>
      <c r="B1818" t="n">
        <v>202</v>
      </c>
      <c r="C1818" t="inlineStr">
        <is>
          <t>Boss</t>
        </is>
      </c>
      <c r="D1818" t="n">
        <v>15367185</v>
      </c>
      <c r="E1818" t="n">
        <v>22369</v>
      </c>
      <c r="F1818" t="n">
        <v>19552</v>
      </c>
    </row>
    <row r="1819">
      <c r="A1819" t="inlineStr">
        <is>
          <t>202|装备副本Boss</t>
        </is>
      </c>
      <c r="B1819" t="n">
        <v>202</v>
      </c>
      <c r="C1819" t="inlineStr">
        <is>
          <t>装备副本Boss</t>
        </is>
      </c>
      <c r="D1819" t="n">
        <v>7683592</v>
      </c>
      <c r="E1819" t="n">
        <v>22369</v>
      </c>
      <c r="F1819" t="n">
        <v>19552</v>
      </c>
    </row>
    <row r="1820">
      <c r="A1820" t="inlineStr">
        <is>
          <t>203|普通怪</t>
        </is>
      </c>
      <c r="B1820" t="n">
        <v>203</v>
      </c>
      <c r="C1820" t="inlineStr">
        <is>
          <t>普通怪</t>
        </is>
      </c>
      <c r="D1820" t="n">
        <v>172896</v>
      </c>
      <c r="E1820" t="n">
        <v>20028</v>
      </c>
      <c r="F1820" t="n">
        <v>19672</v>
      </c>
    </row>
    <row r="1821">
      <c r="A1821" t="inlineStr">
        <is>
          <t>203|盾怪</t>
        </is>
      </c>
      <c r="B1821" t="n">
        <v>203</v>
      </c>
      <c r="C1821" t="inlineStr">
        <is>
          <t>盾怪</t>
        </is>
      </c>
      <c r="D1821" t="n">
        <v>518688</v>
      </c>
      <c r="E1821" t="n">
        <v>20028</v>
      </c>
      <c r="F1821" t="n">
        <v>19672</v>
      </c>
    </row>
    <row r="1822">
      <c r="A1822" t="inlineStr">
        <is>
          <t>203|二级普通怪</t>
        </is>
      </c>
      <c r="B1822" t="n">
        <v>203</v>
      </c>
      <c r="C1822" t="inlineStr">
        <is>
          <t>二级普通怪</t>
        </is>
      </c>
      <c r="D1822" t="n">
        <v>311213</v>
      </c>
      <c r="E1822" t="n">
        <v>20028</v>
      </c>
      <c r="F1822" t="n">
        <v>19672</v>
      </c>
    </row>
    <row r="1823">
      <c r="A1823" t="inlineStr">
        <is>
          <t>203|站桩怪</t>
        </is>
      </c>
      <c r="B1823" t="n">
        <v>203</v>
      </c>
      <c r="C1823" t="inlineStr">
        <is>
          <t>站桩怪</t>
        </is>
      </c>
      <c r="D1823" t="n">
        <v>86448</v>
      </c>
      <c r="E1823" t="n">
        <v>20028</v>
      </c>
      <c r="F1823" t="n">
        <v>19672</v>
      </c>
    </row>
    <row r="1824">
      <c r="A1824" t="inlineStr">
        <is>
          <t>203|炮灰怪</t>
        </is>
      </c>
      <c r="B1824" t="n">
        <v>203</v>
      </c>
      <c r="C1824" t="inlineStr">
        <is>
          <t>炮灰怪</t>
        </is>
      </c>
      <c r="D1824" t="n">
        <v>25935</v>
      </c>
      <c r="E1824" t="n">
        <v>20028</v>
      </c>
      <c r="F1824" t="n">
        <v>19672</v>
      </c>
    </row>
    <row r="1825">
      <c r="A1825" t="inlineStr">
        <is>
          <t>203|精英怪</t>
        </is>
      </c>
      <c r="B1825" t="n">
        <v>203</v>
      </c>
      <c r="C1825" t="inlineStr">
        <is>
          <t>精英怪</t>
        </is>
      </c>
      <c r="D1825" t="n">
        <v>691584</v>
      </c>
      <c r="E1825" t="n">
        <v>20028</v>
      </c>
      <c r="F1825" t="n">
        <v>19672</v>
      </c>
    </row>
    <row r="1826">
      <c r="A1826" t="inlineStr">
        <is>
          <t>203|精英盾怪</t>
        </is>
      </c>
      <c r="B1826" t="n">
        <v>203</v>
      </c>
      <c r="C1826" t="inlineStr">
        <is>
          <t>精英盾怪</t>
        </is>
      </c>
      <c r="D1826" t="n">
        <v>1556064</v>
      </c>
      <c r="E1826" t="n">
        <v>20028</v>
      </c>
      <c r="F1826" t="n">
        <v>19672</v>
      </c>
    </row>
    <row r="1827">
      <c r="A1827" t="inlineStr">
        <is>
          <t>203|Boss</t>
        </is>
      </c>
      <c r="B1827" t="n">
        <v>203</v>
      </c>
      <c r="C1827" t="inlineStr">
        <is>
          <t>Boss</t>
        </is>
      </c>
      <c r="D1827" t="n">
        <v>15568452</v>
      </c>
      <c r="E1827" t="n">
        <v>22558</v>
      </c>
      <c r="F1827" t="n">
        <v>19672</v>
      </c>
    </row>
    <row r="1828">
      <c r="A1828" t="inlineStr">
        <is>
          <t>203|装备副本Boss</t>
        </is>
      </c>
      <c r="B1828" t="n">
        <v>203</v>
      </c>
      <c r="C1828" t="inlineStr">
        <is>
          <t>装备副本Boss</t>
        </is>
      </c>
      <c r="D1828" t="n">
        <v>7784226</v>
      </c>
      <c r="E1828" t="n">
        <v>22558</v>
      </c>
      <c r="F1828" t="n">
        <v>19672</v>
      </c>
    </row>
    <row r="1829">
      <c r="A1829" t="inlineStr">
        <is>
          <t>204|普通怪</t>
        </is>
      </c>
      <c r="B1829" t="n">
        <v>204</v>
      </c>
      <c r="C1829" t="inlineStr">
        <is>
          <t>普通怪</t>
        </is>
      </c>
      <c r="D1829" t="n">
        <v>174987</v>
      </c>
      <c r="E1829" t="n">
        <v>20204</v>
      </c>
      <c r="F1829" t="n">
        <v>19792</v>
      </c>
    </row>
    <row r="1830">
      <c r="A1830" t="inlineStr">
        <is>
          <t>204|盾怪</t>
        </is>
      </c>
      <c r="B1830" t="n">
        <v>204</v>
      </c>
      <c r="C1830" t="inlineStr">
        <is>
          <t>盾怪</t>
        </is>
      </c>
      <c r="D1830" t="n">
        <v>524961</v>
      </c>
      <c r="E1830" t="n">
        <v>20204</v>
      </c>
      <c r="F1830" t="n">
        <v>19792</v>
      </c>
    </row>
    <row r="1831">
      <c r="A1831" t="inlineStr">
        <is>
          <t>204|二级普通怪</t>
        </is>
      </c>
      <c r="B1831" t="n">
        <v>204</v>
      </c>
      <c r="C1831" t="inlineStr">
        <is>
          <t>二级普通怪</t>
        </is>
      </c>
      <c r="D1831" t="n">
        <v>314977</v>
      </c>
      <c r="E1831" t="n">
        <v>20204</v>
      </c>
      <c r="F1831" t="n">
        <v>19792</v>
      </c>
    </row>
    <row r="1832">
      <c r="A1832" t="inlineStr">
        <is>
          <t>204|站桩怪</t>
        </is>
      </c>
      <c r="B1832" t="n">
        <v>204</v>
      </c>
      <c r="C1832" t="inlineStr">
        <is>
          <t>站桩怪</t>
        </is>
      </c>
      <c r="D1832" t="n">
        <v>87494</v>
      </c>
      <c r="E1832" t="n">
        <v>20204</v>
      </c>
      <c r="F1832" t="n">
        <v>19792</v>
      </c>
    </row>
    <row r="1833">
      <c r="A1833" t="inlineStr">
        <is>
          <t>204|炮灰怪</t>
        </is>
      </c>
      <c r="B1833" t="n">
        <v>204</v>
      </c>
      <c r="C1833" t="inlineStr">
        <is>
          <t>炮灰怪</t>
        </is>
      </c>
      <c r="D1833" t="n">
        <v>26249</v>
      </c>
      <c r="E1833" t="n">
        <v>20204</v>
      </c>
      <c r="F1833" t="n">
        <v>19792</v>
      </c>
    </row>
    <row r="1834">
      <c r="A1834" t="inlineStr">
        <is>
          <t>204|精英怪</t>
        </is>
      </c>
      <c r="B1834" t="n">
        <v>204</v>
      </c>
      <c r="C1834" t="inlineStr">
        <is>
          <t>精英怪</t>
        </is>
      </c>
      <c r="D1834" t="n">
        <v>699948</v>
      </c>
      <c r="E1834" t="n">
        <v>20204</v>
      </c>
      <c r="F1834" t="n">
        <v>19792</v>
      </c>
    </row>
    <row r="1835">
      <c r="A1835" t="inlineStr">
        <is>
          <t>204|精英盾怪</t>
        </is>
      </c>
      <c r="B1835" t="n">
        <v>204</v>
      </c>
      <c r="C1835" t="inlineStr">
        <is>
          <t>精英盾怪</t>
        </is>
      </c>
      <c r="D1835" t="n">
        <v>1574883</v>
      </c>
      <c r="E1835" t="n">
        <v>20204</v>
      </c>
      <c r="F1835" t="n">
        <v>19792</v>
      </c>
    </row>
    <row r="1836">
      <c r="A1836" t="inlineStr">
        <is>
          <t>204|Boss</t>
        </is>
      </c>
      <c r="B1836" t="n">
        <v>204</v>
      </c>
      <c r="C1836" t="inlineStr">
        <is>
          <t>Boss</t>
        </is>
      </c>
      <c r="D1836" t="n">
        <v>15771710</v>
      </c>
      <c r="E1836" t="n">
        <v>22748</v>
      </c>
      <c r="F1836" t="n">
        <v>19792</v>
      </c>
    </row>
    <row r="1837">
      <c r="A1837" t="inlineStr">
        <is>
          <t>204|装备副本Boss</t>
        </is>
      </c>
      <c r="B1837" t="n">
        <v>204</v>
      </c>
      <c r="C1837" t="inlineStr">
        <is>
          <t>装备副本Boss</t>
        </is>
      </c>
      <c r="D1837" t="n">
        <v>7885855</v>
      </c>
      <c r="E1837" t="n">
        <v>22748</v>
      </c>
      <c r="F1837" t="n">
        <v>19792</v>
      </c>
    </row>
    <row r="1838">
      <c r="A1838" t="inlineStr">
        <is>
          <t>205|普通怪</t>
        </is>
      </c>
      <c r="B1838" t="n">
        <v>205</v>
      </c>
      <c r="C1838" t="inlineStr">
        <is>
          <t>普通怪</t>
        </is>
      </c>
      <c r="D1838" t="n">
        <v>177096</v>
      </c>
      <c r="E1838" t="n">
        <v>20380</v>
      </c>
      <c r="F1838" t="n">
        <v>19913</v>
      </c>
    </row>
    <row r="1839">
      <c r="A1839" t="inlineStr">
        <is>
          <t>205|盾怪</t>
        </is>
      </c>
      <c r="B1839" t="n">
        <v>205</v>
      </c>
      <c r="C1839" t="inlineStr">
        <is>
          <t>盾怪</t>
        </is>
      </c>
      <c r="D1839" t="n">
        <v>531288</v>
      </c>
      <c r="E1839" t="n">
        <v>20380</v>
      </c>
      <c r="F1839" t="n">
        <v>19913</v>
      </c>
    </row>
    <row r="1840">
      <c r="A1840" t="inlineStr">
        <is>
          <t>205|二级普通怪</t>
        </is>
      </c>
      <c r="B1840" t="n">
        <v>205</v>
      </c>
      <c r="C1840" t="inlineStr">
        <is>
          <t>二级普通怪</t>
        </is>
      </c>
      <c r="D1840" t="n">
        <v>318773</v>
      </c>
      <c r="E1840" t="n">
        <v>20380</v>
      </c>
      <c r="F1840" t="n">
        <v>19913</v>
      </c>
    </row>
    <row r="1841">
      <c r="A1841" t="inlineStr">
        <is>
          <t>205|站桩怪</t>
        </is>
      </c>
      <c r="B1841" t="n">
        <v>205</v>
      </c>
      <c r="C1841" t="inlineStr">
        <is>
          <t>站桩怪</t>
        </is>
      </c>
      <c r="D1841" t="n">
        <v>88548</v>
      </c>
      <c r="E1841" t="n">
        <v>20380</v>
      </c>
      <c r="F1841" t="n">
        <v>19913</v>
      </c>
    </row>
    <row r="1842">
      <c r="A1842" t="inlineStr">
        <is>
          <t>205|炮灰怪</t>
        </is>
      </c>
      <c r="B1842" t="n">
        <v>205</v>
      </c>
      <c r="C1842" t="inlineStr">
        <is>
          <t>炮灰怪</t>
        </is>
      </c>
      <c r="D1842" t="n">
        <v>26565</v>
      </c>
      <c r="E1842" t="n">
        <v>20380</v>
      </c>
      <c r="F1842" t="n">
        <v>19913</v>
      </c>
    </row>
    <row r="1843">
      <c r="A1843" t="inlineStr">
        <is>
          <t>205|精英怪</t>
        </is>
      </c>
      <c r="B1843" t="n">
        <v>205</v>
      </c>
      <c r="C1843" t="inlineStr">
        <is>
          <t>精英怪</t>
        </is>
      </c>
      <c r="D1843" t="n">
        <v>708384</v>
      </c>
      <c r="E1843" t="n">
        <v>20380</v>
      </c>
      <c r="F1843" t="n">
        <v>19913</v>
      </c>
    </row>
    <row r="1844">
      <c r="A1844" t="inlineStr">
        <is>
          <t>205|精英盾怪</t>
        </is>
      </c>
      <c r="B1844" t="n">
        <v>205</v>
      </c>
      <c r="C1844" t="inlineStr">
        <is>
          <t>精英盾怪</t>
        </is>
      </c>
      <c r="D1844" t="n">
        <v>1593864</v>
      </c>
      <c r="E1844" t="n">
        <v>20380</v>
      </c>
      <c r="F1844" t="n">
        <v>19913</v>
      </c>
    </row>
    <row r="1845">
      <c r="A1845" t="inlineStr">
        <is>
          <t>205|Boss</t>
        </is>
      </c>
      <c r="B1845" t="n">
        <v>205</v>
      </c>
      <c r="C1845" t="inlineStr">
        <is>
          <t>Boss</t>
        </is>
      </c>
      <c r="D1845" t="n">
        <v>15976907</v>
      </c>
      <c r="E1845" t="n">
        <v>22938</v>
      </c>
      <c r="F1845" t="n">
        <v>19913</v>
      </c>
    </row>
    <row r="1846">
      <c r="A1846" t="inlineStr">
        <is>
          <t>205|装备副本Boss</t>
        </is>
      </c>
      <c r="B1846" t="n">
        <v>205</v>
      </c>
      <c r="C1846" t="inlineStr">
        <is>
          <t>装备副本Boss</t>
        </is>
      </c>
      <c r="D1846" t="n">
        <v>7988453</v>
      </c>
      <c r="E1846" t="n">
        <v>22938</v>
      </c>
      <c r="F1846" t="n">
        <v>19913</v>
      </c>
    </row>
    <row r="1847">
      <c r="A1847" t="inlineStr">
        <is>
          <t>206|普通怪</t>
        </is>
      </c>
      <c r="B1847" t="n">
        <v>206</v>
      </c>
      <c r="C1847" t="inlineStr">
        <is>
          <t>普通怪</t>
        </is>
      </c>
      <c r="D1847" t="n">
        <v>179224</v>
      </c>
      <c r="E1847" t="n">
        <v>20558</v>
      </c>
      <c r="F1847" t="n">
        <v>20033</v>
      </c>
    </row>
    <row r="1848">
      <c r="A1848" t="inlineStr">
        <is>
          <t>206|盾怪</t>
        </is>
      </c>
      <c r="B1848" t="n">
        <v>206</v>
      </c>
      <c r="C1848" t="inlineStr">
        <is>
          <t>盾怪</t>
        </is>
      </c>
      <c r="D1848" t="n">
        <v>537672</v>
      </c>
      <c r="E1848" t="n">
        <v>20558</v>
      </c>
      <c r="F1848" t="n">
        <v>20033</v>
      </c>
    </row>
    <row r="1849">
      <c r="A1849" t="inlineStr">
        <is>
          <t>206|二级普通怪</t>
        </is>
      </c>
      <c r="B1849" t="n">
        <v>206</v>
      </c>
      <c r="C1849" t="inlineStr">
        <is>
          <t>二级普通怪</t>
        </is>
      </c>
      <c r="D1849" t="n">
        <v>322604</v>
      </c>
      <c r="E1849" t="n">
        <v>20558</v>
      </c>
      <c r="F1849" t="n">
        <v>20033</v>
      </c>
    </row>
    <row r="1850">
      <c r="A1850" t="inlineStr">
        <is>
          <t>206|站桩怪</t>
        </is>
      </c>
      <c r="B1850" t="n">
        <v>206</v>
      </c>
      <c r="C1850" t="inlineStr">
        <is>
          <t>站桩怪</t>
        </is>
      </c>
      <c r="D1850" t="n">
        <v>89612</v>
      </c>
      <c r="E1850" t="n">
        <v>20558</v>
      </c>
      <c r="F1850" t="n">
        <v>20033</v>
      </c>
    </row>
    <row r="1851">
      <c r="A1851" t="inlineStr">
        <is>
          <t>206|炮灰怪</t>
        </is>
      </c>
      <c r="B1851" t="n">
        <v>206</v>
      </c>
      <c r="C1851" t="inlineStr">
        <is>
          <t>炮灰怪</t>
        </is>
      </c>
      <c r="D1851" t="n">
        <v>26884</v>
      </c>
      <c r="E1851" t="n">
        <v>20558</v>
      </c>
      <c r="F1851" t="n">
        <v>20033</v>
      </c>
    </row>
    <row r="1852">
      <c r="A1852" t="inlineStr">
        <is>
          <t>206|精英怪</t>
        </is>
      </c>
      <c r="B1852" t="n">
        <v>206</v>
      </c>
      <c r="C1852" t="inlineStr">
        <is>
          <t>精英怪</t>
        </is>
      </c>
      <c r="D1852" t="n">
        <v>716896</v>
      </c>
      <c r="E1852" t="n">
        <v>20558</v>
      </c>
      <c r="F1852" t="n">
        <v>20033</v>
      </c>
    </row>
    <row r="1853">
      <c r="A1853" t="inlineStr">
        <is>
          <t>206|精英盾怪</t>
        </is>
      </c>
      <c r="B1853" t="n">
        <v>206</v>
      </c>
      <c r="C1853" t="inlineStr">
        <is>
          <t>精英盾怪</t>
        </is>
      </c>
      <c r="D1853" t="n">
        <v>1613016</v>
      </c>
      <c r="E1853" t="n">
        <v>20558</v>
      </c>
      <c r="F1853" t="n">
        <v>20033</v>
      </c>
    </row>
    <row r="1854">
      <c r="A1854" t="inlineStr">
        <is>
          <t>206|Boss</t>
        </is>
      </c>
      <c r="B1854" t="n">
        <v>206</v>
      </c>
      <c r="C1854" t="inlineStr">
        <is>
          <t>Boss</t>
        </is>
      </c>
      <c r="D1854" t="n">
        <v>16184042</v>
      </c>
      <c r="E1854" t="n">
        <v>23130</v>
      </c>
      <c r="F1854" t="n">
        <v>20033</v>
      </c>
    </row>
    <row r="1855">
      <c r="A1855" t="inlineStr">
        <is>
          <t>206|装备副本Boss</t>
        </is>
      </c>
      <c r="B1855" t="n">
        <v>206</v>
      </c>
      <c r="C1855" t="inlineStr">
        <is>
          <t>装备副本Boss</t>
        </is>
      </c>
      <c r="D1855" t="n">
        <v>8092021</v>
      </c>
      <c r="E1855" t="n">
        <v>23130</v>
      </c>
      <c r="F1855" t="n">
        <v>20033</v>
      </c>
    </row>
    <row r="1856">
      <c r="A1856" t="inlineStr">
        <is>
          <t>207|普通怪</t>
        </is>
      </c>
      <c r="B1856" t="n">
        <v>207</v>
      </c>
      <c r="C1856" t="inlineStr">
        <is>
          <t>普通怪</t>
        </is>
      </c>
      <c r="D1856" t="n">
        <v>181371</v>
      </c>
      <c r="E1856" t="n">
        <v>20737</v>
      </c>
      <c r="F1856" t="n">
        <v>20154</v>
      </c>
    </row>
    <row r="1857">
      <c r="A1857" t="inlineStr">
        <is>
          <t>207|盾怪</t>
        </is>
      </c>
      <c r="B1857" t="n">
        <v>207</v>
      </c>
      <c r="C1857" t="inlineStr">
        <is>
          <t>盾怪</t>
        </is>
      </c>
      <c r="D1857" t="n">
        <v>544113</v>
      </c>
      <c r="E1857" t="n">
        <v>20737</v>
      </c>
      <c r="F1857" t="n">
        <v>20154</v>
      </c>
    </row>
    <row r="1858">
      <c r="A1858" t="inlineStr">
        <is>
          <t>207|二级普通怪</t>
        </is>
      </c>
      <c r="B1858" t="n">
        <v>207</v>
      </c>
      <c r="C1858" t="inlineStr">
        <is>
          <t>二级普通怪</t>
        </is>
      </c>
      <c r="D1858" t="n">
        <v>326468</v>
      </c>
      <c r="E1858" t="n">
        <v>20737</v>
      </c>
      <c r="F1858" t="n">
        <v>20154</v>
      </c>
    </row>
    <row r="1859">
      <c r="A1859" t="inlineStr">
        <is>
          <t>207|站桩怪</t>
        </is>
      </c>
      <c r="B1859" t="n">
        <v>207</v>
      </c>
      <c r="C1859" t="inlineStr">
        <is>
          <t>站桩怪</t>
        </is>
      </c>
      <c r="D1859" t="n">
        <v>90686</v>
      </c>
      <c r="E1859" t="n">
        <v>20737</v>
      </c>
      <c r="F1859" t="n">
        <v>20154</v>
      </c>
    </row>
    <row r="1860">
      <c r="A1860" t="inlineStr">
        <is>
          <t>207|炮灰怪</t>
        </is>
      </c>
      <c r="B1860" t="n">
        <v>207</v>
      </c>
      <c r="C1860" t="inlineStr">
        <is>
          <t>炮灰怪</t>
        </is>
      </c>
      <c r="D1860" t="n">
        <v>27206</v>
      </c>
      <c r="E1860" t="n">
        <v>20737</v>
      </c>
      <c r="F1860" t="n">
        <v>20154</v>
      </c>
    </row>
    <row r="1861">
      <c r="A1861" t="inlineStr">
        <is>
          <t>207|精英怪</t>
        </is>
      </c>
      <c r="B1861" t="n">
        <v>207</v>
      </c>
      <c r="C1861" t="inlineStr">
        <is>
          <t>精英怪</t>
        </is>
      </c>
      <c r="D1861" t="n">
        <v>725484</v>
      </c>
      <c r="E1861" t="n">
        <v>20737</v>
      </c>
      <c r="F1861" t="n">
        <v>20154</v>
      </c>
    </row>
    <row r="1862">
      <c r="A1862" t="inlineStr">
        <is>
          <t>207|精英盾怪</t>
        </is>
      </c>
      <c r="B1862" t="n">
        <v>207</v>
      </c>
      <c r="C1862" t="inlineStr">
        <is>
          <t>精英盾怪</t>
        </is>
      </c>
      <c r="D1862" t="n">
        <v>1632339</v>
      </c>
      <c r="E1862" t="n">
        <v>20737</v>
      </c>
      <c r="F1862" t="n">
        <v>20154</v>
      </c>
    </row>
    <row r="1863">
      <c r="A1863" t="inlineStr">
        <is>
          <t>207|Boss</t>
        </is>
      </c>
      <c r="B1863" t="n">
        <v>207</v>
      </c>
      <c r="C1863" t="inlineStr">
        <is>
          <t>Boss</t>
        </is>
      </c>
      <c r="D1863" t="n">
        <v>16393219</v>
      </c>
      <c r="E1863" t="n">
        <v>23323</v>
      </c>
      <c r="F1863" t="n">
        <v>20154</v>
      </c>
    </row>
    <row r="1864">
      <c r="A1864" t="inlineStr">
        <is>
          <t>207|装备副本Boss</t>
        </is>
      </c>
      <c r="B1864" t="n">
        <v>207</v>
      </c>
      <c r="C1864" t="inlineStr">
        <is>
          <t>装备副本Boss</t>
        </is>
      </c>
      <c r="D1864" t="n">
        <v>8196610</v>
      </c>
      <c r="E1864" t="n">
        <v>23323</v>
      </c>
      <c r="F1864" t="n">
        <v>20154</v>
      </c>
    </row>
    <row r="1865">
      <c r="A1865" t="inlineStr">
        <is>
          <t>208|普通怪</t>
        </is>
      </c>
      <c r="B1865" t="n">
        <v>208</v>
      </c>
      <c r="C1865" t="inlineStr">
        <is>
          <t>普通怪</t>
        </is>
      </c>
      <c r="D1865" t="n">
        <v>183537</v>
      </c>
      <c r="E1865" t="n">
        <v>20916</v>
      </c>
      <c r="F1865" t="n">
        <v>20275</v>
      </c>
    </row>
    <row r="1866">
      <c r="A1866" t="inlineStr">
        <is>
          <t>208|盾怪</t>
        </is>
      </c>
      <c r="B1866" t="n">
        <v>208</v>
      </c>
      <c r="C1866" t="inlineStr">
        <is>
          <t>盾怪</t>
        </is>
      </c>
      <c r="D1866" t="n">
        <v>550611</v>
      </c>
      <c r="E1866" t="n">
        <v>20916</v>
      </c>
      <c r="F1866" t="n">
        <v>20275</v>
      </c>
    </row>
    <row r="1867">
      <c r="A1867" t="inlineStr">
        <is>
          <t>208|二级普通怪</t>
        </is>
      </c>
      <c r="B1867" t="n">
        <v>208</v>
      </c>
      <c r="C1867" t="inlineStr">
        <is>
          <t>二级普通怪</t>
        </is>
      </c>
      <c r="D1867" t="n">
        <v>330367</v>
      </c>
      <c r="E1867" t="n">
        <v>20916</v>
      </c>
      <c r="F1867" t="n">
        <v>20275</v>
      </c>
    </row>
    <row r="1868">
      <c r="A1868" t="inlineStr">
        <is>
          <t>208|站桩怪</t>
        </is>
      </c>
      <c r="B1868" t="n">
        <v>208</v>
      </c>
      <c r="C1868" t="inlineStr">
        <is>
          <t>站桩怪</t>
        </is>
      </c>
      <c r="D1868" t="n">
        <v>91769</v>
      </c>
      <c r="E1868" t="n">
        <v>20916</v>
      </c>
      <c r="F1868" t="n">
        <v>20275</v>
      </c>
    </row>
    <row r="1869">
      <c r="A1869" t="inlineStr">
        <is>
          <t>208|炮灰怪</t>
        </is>
      </c>
      <c r="B1869" t="n">
        <v>208</v>
      </c>
      <c r="C1869" t="inlineStr">
        <is>
          <t>炮灰怪</t>
        </is>
      </c>
      <c r="D1869" t="n">
        <v>27531</v>
      </c>
      <c r="E1869" t="n">
        <v>20916</v>
      </c>
      <c r="F1869" t="n">
        <v>20275</v>
      </c>
    </row>
    <row r="1870">
      <c r="A1870" t="inlineStr">
        <is>
          <t>208|精英怪</t>
        </is>
      </c>
      <c r="B1870" t="n">
        <v>208</v>
      </c>
      <c r="C1870" t="inlineStr">
        <is>
          <t>精英怪</t>
        </is>
      </c>
      <c r="D1870" t="n">
        <v>734148</v>
      </c>
      <c r="E1870" t="n">
        <v>20916</v>
      </c>
      <c r="F1870" t="n">
        <v>20275</v>
      </c>
    </row>
    <row r="1871">
      <c r="A1871" t="inlineStr">
        <is>
          <t>208|精英盾怪</t>
        </is>
      </c>
      <c r="B1871" t="n">
        <v>208</v>
      </c>
      <c r="C1871" t="inlineStr">
        <is>
          <t>精英盾怪</t>
        </is>
      </c>
      <c r="D1871" t="n">
        <v>1651833</v>
      </c>
      <c r="E1871" t="n">
        <v>20916</v>
      </c>
      <c r="F1871" t="n">
        <v>20275</v>
      </c>
    </row>
    <row r="1872">
      <c r="A1872" t="inlineStr">
        <is>
          <t>208|Boss</t>
        </is>
      </c>
      <c r="B1872" t="n">
        <v>208</v>
      </c>
      <c r="C1872" t="inlineStr">
        <is>
          <t>Boss</t>
        </is>
      </c>
      <c r="D1872" t="n">
        <v>16604386</v>
      </c>
      <c r="E1872" t="n">
        <v>23516</v>
      </c>
      <c r="F1872" t="n">
        <v>20275</v>
      </c>
    </row>
    <row r="1873">
      <c r="A1873" t="inlineStr">
        <is>
          <t>208|装备副本Boss</t>
        </is>
      </c>
      <c r="B1873" t="n">
        <v>208</v>
      </c>
      <c r="C1873" t="inlineStr">
        <is>
          <t>装备副本Boss</t>
        </is>
      </c>
      <c r="D1873" t="n">
        <v>8302193</v>
      </c>
      <c r="E1873" t="n">
        <v>23516</v>
      </c>
      <c r="F1873" t="n">
        <v>20275</v>
      </c>
    </row>
    <row r="1874">
      <c r="A1874" t="inlineStr">
        <is>
          <t>209|普通怪</t>
        </is>
      </c>
      <c r="B1874" t="n">
        <v>209</v>
      </c>
      <c r="C1874" t="inlineStr">
        <is>
          <t>普通怪</t>
        </is>
      </c>
      <c r="D1874" t="n">
        <v>185721</v>
      </c>
      <c r="E1874" t="n">
        <v>21097</v>
      </c>
      <c r="F1874" t="n">
        <v>20396</v>
      </c>
    </row>
    <row r="1875">
      <c r="A1875" t="inlineStr">
        <is>
          <t>209|盾怪</t>
        </is>
      </c>
      <c r="B1875" t="n">
        <v>209</v>
      </c>
      <c r="C1875" t="inlineStr">
        <is>
          <t>盾怪</t>
        </is>
      </c>
      <c r="D1875" t="n">
        <v>557163</v>
      </c>
      <c r="E1875" t="n">
        <v>21097</v>
      </c>
      <c r="F1875" t="n">
        <v>20396</v>
      </c>
    </row>
    <row r="1876">
      <c r="A1876" t="inlineStr">
        <is>
          <t>209|二级普通怪</t>
        </is>
      </c>
      <c r="B1876" t="n">
        <v>209</v>
      </c>
      <c r="C1876" t="inlineStr">
        <is>
          <t>二级普通怪</t>
        </is>
      </c>
      <c r="D1876" t="n">
        <v>334298</v>
      </c>
      <c r="E1876" t="n">
        <v>21097</v>
      </c>
      <c r="F1876" t="n">
        <v>20396</v>
      </c>
    </row>
    <row r="1877">
      <c r="A1877" t="inlineStr">
        <is>
          <t>209|站桩怪</t>
        </is>
      </c>
      <c r="B1877" t="n">
        <v>209</v>
      </c>
      <c r="C1877" t="inlineStr">
        <is>
          <t>站桩怪</t>
        </is>
      </c>
      <c r="D1877" t="n">
        <v>92861</v>
      </c>
      <c r="E1877" t="n">
        <v>21097</v>
      </c>
      <c r="F1877" t="n">
        <v>20396</v>
      </c>
    </row>
    <row r="1878">
      <c r="A1878" t="inlineStr">
        <is>
          <t>209|炮灰怪</t>
        </is>
      </c>
      <c r="B1878" t="n">
        <v>209</v>
      </c>
      <c r="C1878" t="inlineStr">
        <is>
          <t>炮灰怪</t>
        </is>
      </c>
      <c r="D1878" t="n">
        <v>27859</v>
      </c>
      <c r="E1878" t="n">
        <v>21097</v>
      </c>
      <c r="F1878" t="n">
        <v>20396</v>
      </c>
    </row>
    <row r="1879">
      <c r="A1879" t="inlineStr">
        <is>
          <t>209|精英怪</t>
        </is>
      </c>
      <c r="B1879" t="n">
        <v>209</v>
      </c>
      <c r="C1879" t="inlineStr">
        <is>
          <t>精英怪</t>
        </is>
      </c>
      <c r="D1879" t="n">
        <v>742884</v>
      </c>
      <c r="E1879" t="n">
        <v>21097</v>
      </c>
      <c r="F1879" t="n">
        <v>20396</v>
      </c>
    </row>
    <row r="1880">
      <c r="A1880" t="inlineStr">
        <is>
          <t>209|精英盾怪</t>
        </is>
      </c>
      <c r="B1880" t="n">
        <v>209</v>
      </c>
      <c r="C1880" t="inlineStr">
        <is>
          <t>精英盾怪</t>
        </is>
      </c>
      <c r="D1880" t="n">
        <v>1671489</v>
      </c>
      <c r="E1880" t="n">
        <v>21097</v>
      </c>
      <c r="F1880" t="n">
        <v>20396</v>
      </c>
    </row>
    <row r="1881">
      <c r="A1881" t="inlineStr">
        <is>
          <t>209|Boss</t>
        </is>
      </c>
      <c r="B1881" t="n">
        <v>209</v>
      </c>
      <c r="C1881" t="inlineStr">
        <is>
          <t>Boss</t>
        </is>
      </c>
      <c r="D1881" t="n">
        <v>16817542</v>
      </c>
      <c r="E1881" t="n">
        <v>23711</v>
      </c>
      <c r="F1881" t="n">
        <v>20396</v>
      </c>
    </row>
    <row r="1882">
      <c r="A1882" t="inlineStr">
        <is>
          <t>209|装备副本Boss</t>
        </is>
      </c>
      <c r="B1882" t="n">
        <v>209</v>
      </c>
      <c r="C1882" t="inlineStr">
        <is>
          <t>装备副本Boss</t>
        </is>
      </c>
      <c r="D1882" t="n">
        <v>8408771</v>
      </c>
      <c r="E1882" t="n">
        <v>23711</v>
      </c>
      <c r="F1882" t="n">
        <v>20396</v>
      </c>
    </row>
    <row r="1883">
      <c r="A1883" t="inlineStr">
        <is>
          <t>210|普通怪</t>
        </is>
      </c>
      <c r="B1883" t="n">
        <v>210</v>
      </c>
      <c r="C1883" t="inlineStr">
        <is>
          <t>普通怪</t>
        </is>
      </c>
      <c r="D1883" t="n">
        <v>187925</v>
      </c>
      <c r="E1883" t="n">
        <v>21279</v>
      </c>
      <c r="F1883" t="n">
        <v>20518</v>
      </c>
    </row>
    <row r="1884">
      <c r="A1884" t="inlineStr">
        <is>
          <t>210|盾怪</t>
        </is>
      </c>
      <c r="B1884" t="n">
        <v>210</v>
      </c>
      <c r="C1884" t="inlineStr">
        <is>
          <t>盾怪</t>
        </is>
      </c>
      <c r="D1884" t="n">
        <v>563775</v>
      </c>
      <c r="E1884" t="n">
        <v>21279</v>
      </c>
      <c r="F1884" t="n">
        <v>20518</v>
      </c>
    </row>
    <row r="1885">
      <c r="A1885" t="inlineStr">
        <is>
          <t>210|二级普通怪</t>
        </is>
      </c>
      <c r="B1885" t="n">
        <v>210</v>
      </c>
      <c r="C1885" t="inlineStr">
        <is>
          <t>二级普通怪</t>
        </is>
      </c>
      <c r="D1885" t="n">
        <v>338265</v>
      </c>
      <c r="E1885" t="n">
        <v>21279</v>
      </c>
      <c r="F1885" t="n">
        <v>20518</v>
      </c>
    </row>
    <row r="1886">
      <c r="A1886" t="inlineStr">
        <is>
          <t>210|站桩怪</t>
        </is>
      </c>
      <c r="B1886" t="n">
        <v>210</v>
      </c>
      <c r="C1886" t="inlineStr">
        <is>
          <t>站桩怪</t>
        </is>
      </c>
      <c r="D1886" t="n">
        <v>93963</v>
      </c>
      <c r="E1886" t="n">
        <v>21279</v>
      </c>
      <c r="F1886" t="n">
        <v>20518</v>
      </c>
    </row>
    <row r="1887">
      <c r="A1887" t="inlineStr">
        <is>
          <t>210|炮灰怪</t>
        </is>
      </c>
      <c r="B1887" t="n">
        <v>210</v>
      </c>
      <c r="C1887" t="inlineStr">
        <is>
          <t>炮灰怪</t>
        </is>
      </c>
      <c r="D1887" t="n">
        <v>28189</v>
      </c>
      <c r="E1887" t="n">
        <v>21279</v>
      </c>
      <c r="F1887" t="n">
        <v>20518</v>
      </c>
    </row>
    <row r="1888">
      <c r="A1888" t="inlineStr">
        <is>
          <t>210|精英怪</t>
        </is>
      </c>
      <c r="B1888" t="n">
        <v>210</v>
      </c>
      <c r="C1888" t="inlineStr">
        <is>
          <t>精英怪</t>
        </is>
      </c>
      <c r="D1888" t="n">
        <v>751700</v>
      </c>
      <c r="E1888" t="n">
        <v>21279</v>
      </c>
      <c r="F1888" t="n">
        <v>20518</v>
      </c>
    </row>
    <row r="1889">
      <c r="A1889" t="inlineStr">
        <is>
          <t>210|精英盾怪</t>
        </is>
      </c>
      <c r="B1889" t="n">
        <v>210</v>
      </c>
      <c r="C1889" t="inlineStr">
        <is>
          <t>精英盾怪</t>
        </is>
      </c>
      <c r="D1889" t="n">
        <v>1691325</v>
      </c>
      <c r="E1889" t="n">
        <v>21279</v>
      </c>
      <c r="F1889" t="n">
        <v>20518</v>
      </c>
    </row>
    <row r="1890">
      <c r="A1890" t="inlineStr">
        <is>
          <t>210|Boss</t>
        </is>
      </c>
      <c r="B1890" t="n">
        <v>210</v>
      </c>
      <c r="C1890" t="inlineStr">
        <is>
          <t>Boss</t>
        </is>
      </c>
      <c r="D1890" t="n">
        <v>17032739</v>
      </c>
      <c r="E1890" t="n">
        <v>23907</v>
      </c>
      <c r="F1890" t="n">
        <v>20518</v>
      </c>
    </row>
    <row r="1891">
      <c r="A1891" t="inlineStr">
        <is>
          <t>210|装备副本Boss</t>
        </is>
      </c>
      <c r="B1891" t="n">
        <v>210</v>
      </c>
      <c r="C1891" t="inlineStr">
        <is>
          <t>装备副本Boss</t>
        </is>
      </c>
      <c r="D1891" t="n">
        <v>8516370</v>
      </c>
      <c r="E1891" t="n">
        <v>23907</v>
      </c>
      <c r="F1891" t="n">
        <v>20518</v>
      </c>
    </row>
    <row r="1892">
      <c r="A1892" t="inlineStr">
        <is>
          <t>211|普通怪</t>
        </is>
      </c>
      <c r="B1892" t="n">
        <v>211</v>
      </c>
      <c r="C1892" t="inlineStr">
        <is>
          <t>普通怪</t>
        </is>
      </c>
      <c r="D1892" t="n">
        <v>190148</v>
      </c>
      <c r="E1892" t="n">
        <v>21461</v>
      </c>
      <c r="F1892" t="n">
        <v>20639</v>
      </c>
    </row>
    <row r="1893">
      <c r="A1893" t="inlineStr">
        <is>
          <t>211|盾怪</t>
        </is>
      </c>
      <c r="B1893" t="n">
        <v>211</v>
      </c>
      <c r="C1893" t="inlineStr">
        <is>
          <t>盾怪</t>
        </is>
      </c>
      <c r="D1893" t="n">
        <v>570444</v>
      </c>
      <c r="E1893" t="n">
        <v>21461</v>
      </c>
      <c r="F1893" t="n">
        <v>20639</v>
      </c>
    </row>
    <row r="1894">
      <c r="A1894" t="inlineStr">
        <is>
          <t>211|二级普通怪</t>
        </is>
      </c>
      <c r="B1894" t="n">
        <v>211</v>
      </c>
      <c r="C1894" t="inlineStr">
        <is>
          <t>二级普通怪</t>
        </is>
      </c>
      <c r="D1894" t="n">
        <v>342267</v>
      </c>
      <c r="E1894" t="n">
        <v>21461</v>
      </c>
      <c r="F1894" t="n">
        <v>20639</v>
      </c>
    </row>
    <row r="1895">
      <c r="A1895" t="inlineStr">
        <is>
          <t>211|站桩怪</t>
        </is>
      </c>
      <c r="B1895" t="n">
        <v>211</v>
      </c>
      <c r="C1895" t="inlineStr">
        <is>
          <t>站桩怪</t>
        </is>
      </c>
      <c r="D1895" t="n">
        <v>95074</v>
      </c>
      <c r="E1895" t="n">
        <v>21461</v>
      </c>
      <c r="F1895" t="n">
        <v>20639</v>
      </c>
    </row>
    <row r="1896">
      <c r="A1896" t="inlineStr">
        <is>
          <t>211|炮灰怪</t>
        </is>
      </c>
      <c r="B1896" t="n">
        <v>211</v>
      </c>
      <c r="C1896" t="inlineStr">
        <is>
          <t>炮灰怪</t>
        </is>
      </c>
      <c r="D1896" t="n">
        <v>28523</v>
      </c>
      <c r="E1896" t="n">
        <v>21461</v>
      </c>
      <c r="F1896" t="n">
        <v>20639</v>
      </c>
    </row>
    <row r="1897">
      <c r="A1897" t="inlineStr">
        <is>
          <t>211|精英怪</t>
        </is>
      </c>
      <c r="B1897" t="n">
        <v>211</v>
      </c>
      <c r="C1897" t="inlineStr">
        <is>
          <t>精英怪</t>
        </is>
      </c>
      <c r="D1897" t="n">
        <v>760592</v>
      </c>
      <c r="E1897" t="n">
        <v>21461</v>
      </c>
      <c r="F1897" t="n">
        <v>20639</v>
      </c>
    </row>
    <row r="1898">
      <c r="A1898" t="inlineStr">
        <is>
          <t>211|精英盾怪</t>
        </is>
      </c>
      <c r="B1898" t="n">
        <v>211</v>
      </c>
      <c r="C1898" t="inlineStr">
        <is>
          <t>精英盾怪</t>
        </is>
      </c>
      <c r="D1898" t="n">
        <v>1711332</v>
      </c>
      <c r="E1898" t="n">
        <v>21461</v>
      </c>
      <c r="F1898" t="n">
        <v>20639</v>
      </c>
    </row>
    <row r="1899">
      <c r="A1899" t="inlineStr">
        <is>
          <t>211|Boss</t>
        </is>
      </c>
      <c r="B1899" t="n">
        <v>211</v>
      </c>
      <c r="C1899" t="inlineStr">
        <is>
          <t>Boss</t>
        </is>
      </c>
      <c r="D1899" t="n">
        <v>17249927</v>
      </c>
      <c r="E1899" t="n">
        <v>24104</v>
      </c>
      <c r="F1899" t="n">
        <v>20639</v>
      </c>
    </row>
    <row r="1900">
      <c r="A1900" t="inlineStr">
        <is>
          <t>211|装备副本Boss</t>
        </is>
      </c>
      <c r="B1900" t="n">
        <v>211</v>
      </c>
      <c r="C1900" t="inlineStr">
        <is>
          <t>装备副本Boss</t>
        </is>
      </c>
      <c r="D1900" t="n">
        <v>8624963</v>
      </c>
      <c r="E1900" t="n">
        <v>24104</v>
      </c>
      <c r="F1900" t="n">
        <v>20639</v>
      </c>
    </row>
    <row r="1901">
      <c r="A1901" t="inlineStr">
        <is>
          <t>212|普通怪</t>
        </is>
      </c>
      <c r="B1901" t="n">
        <v>212</v>
      </c>
      <c r="C1901" t="inlineStr">
        <is>
          <t>普通怪</t>
        </is>
      </c>
      <c r="D1901" t="n">
        <v>192391</v>
      </c>
      <c r="E1901" t="n">
        <v>21646</v>
      </c>
      <c r="F1901" t="n">
        <v>20761</v>
      </c>
    </row>
    <row r="1902">
      <c r="A1902" t="inlineStr">
        <is>
          <t>212|盾怪</t>
        </is>
      </c>
      <c r="B1902" t="n">
        <v>212</v>
      </c>
      <c r="C1902" t="inlineStr">
        <is>
          <t>盾怪</t>
        </is>
      </c>
      <c r="D1902" t="n">
        <v>577173</v>
      </c>
      <c r="E1902" t="n">
        <v>21646</v>
      </c>
      <c r="F1902" t="n">
        <v>20761</v>
      </c>
    </row>
    <row r="1903">
      <c r="A1903" t="inlineStr">
        <is>
          <t>212|二级普通怪</t>
        </is>
      </c>
      <c r="B1903" t="n">
        <v>212</v>
      </c>
      <c r="C1903" t="inlineStr">
        <is>
          <t>二级普通怪</t>
        </is>
      </c>
      <c r="D1903" t="n">
        <v>346304</v>
      </c>
      <c r="E1903" t="n">
        <v>21646</v>
      </c>
      <c r="F1903" t="n">
        <v>20761</v>
      </c>
    </row>
    <row r="1904">
      <c r="A1904" t="inlineStr">
        <is>
          <t>212|站桩怪</t>
        </is>
      </c>
      <c r="B1904" t="n">
        <v>212</v>
      </c>
      <c r="C1904" t="inlineStr">
        <is>
          <t>站桩怪</t>
        </is>
      </c>
      <c r="D1904" t="n">
        <v>96196</v>
      </c>
      <c r="E1904" t="n">
        <v>21646</v>
      </c>
      <c r="F1904" t="n">
        <v>20761</v>
      </c>
    </row>
    <row r="1905">
      <c r="A1905" t="inlineStr">
        <is>
          <t>212|炮灰怪</t>
        </is>
      </c>
      <c r="B1905" t="n">
        <v>212</v>
      </c>
      <c r="C1905" t="inlineStr">
        <is>
          <t>炮灰怪</t>
        </is>
      </c>
      <c r="D1905" t="n">
        <v>28859</v>
      </c>
      <c r="E1905" t="n">
        <v>21646</v>
      </c>
      <c r="F1905" t="n">
        <v>20761</v>
      </c>
    </row>
    <row r="1906">
      <c r="A1906" t="inlineStr">
        <is>
          <t>212|精英怪</t>
        </is>
      </c>
      <c r="B1906" t="n">
        <v>212</v>
      </c>
      <c r="C1906" t="inlineStr">
        <is>
          <t>精英怪</t>
        </is>
      </c>
      <c r="D1906" t="n">
        <v>769564</v>
      </c>
      <c r="E1906" t="n">
        <v>21646</v>
      </c>
      <c r="F1906" t="n">
        <v>20761</v>
      </c>
    </row>
    <row r="1907">
      <c r="A1907" t="inlineStr">
        <is>
          <t>212|精英盾怪</t>
        </is>
      </c>
      <c r="B1907" t="n">
        <v>212</v>
      </c>
      <c r="C1907" t="inlineStr">
        <is>
          <t>精英盾怪</t>
        </is>
      </c>
      <c r="D1907" t="n">
        <v>1731519</v>
      </c>
      <c r="E1907" t="n">
        <v>21646</v>
      </c>
      <c r="F1907" t="n">
        <v>20761</v>
      </c>
    </row>
    <row r="1908">
      <c r="A1908" t="inlineStr">
        <is>
          <t>212|Boss</t>
        </is>
      </c>
      <c r="B1908" t="n">
        <v>212</v>
      </c>
      <c r="C1908" t="inlineStr">
        <is>
          <t>Boss</t>
        </is>
      </c>
      <c r="D1908" t="n">
        <v>17469206</v>
      </c>
      <c r="E1908" t="n">
        <v>24303</v>
      </c>
      <c r="F1908" t="n">
        <v>20761</v>
      </c>
    </row>
    <row r="1909">
      <c r="A1909" t="inlineStr">
        <is>
          <t>212|装备副本Boss</t>
        </is>
      </c>
      <c r="B1909" t="n">
        <v>212</v>
      </c>
      <c r="C1909" t="inlineStr">
        <is>
          <t>装备副本Boss</t>
        </is>
      </c>
      <c r="D1909" t="n">
        <v>8734603</v>
      </c>
      <c r="E1909" t="n">
        <v>24303</v>
      </c>
      <c r="F1909" t="n">
        <v>20761</v>
      </c>
    </row>
    <row r="1910">
      <c r="A1910" t="inlineStr">
        <is>
          <t>213|普通怪</t>
        </is>
      </c>
      <c r="B1910" t="n">
        <v>213</v>
      </c>
      <c r="C1910" t="inlineStr">
        <is>
          <t>普通怪</t>
        </is>
      </c>
      <c r="D1910" t="n">
        <v>194653</v>
      </c>
      <c r="E1910" t="n">
        <v>21831</v>
      </c>
      <c r="F1910" t="n">
        <v>20884</v>
      </c>
    </row>
    <row r="1911">
      <c r="A1911" t="inlineStr">
        <is>
          <t>213|盾怪</t>
        </is>
      </c>
      <c r="B1911" t="n">
        <v>213</v>
      </c>
      <c r="C1911" t="inlineStr">
        <is>
          <t>盾怪</t>
        </is>
      </c>
      <c r="D1911" t="n">
        <v>583959</v>
      </c>
      <c r="E1911" t="n">
        <v>21831</v>
      </c>
      <c r="F1911" t="n">
        <v>20884</v>
      </c>
    </row>
    <row r="1912">
      <c r="A1912" t="inlineStr">
        <is>
          <t>213|二级普通怪</t>
        </is>
      </c>
      <c r="B1912" t="n">
        <v>213</v>
      </c>
      <c r="C1912" t="inlineStr">
        <is>
          <t>二级普通怪</t>
        </is>
      </c>
      <c r="D1912" t="n">
        <v>350376</v>
      </c>
      <c r="E1912" t="n">
        <v>21831</v>
      </c>
      <c r="F1912" t="n">
        <v>20884</v>
      </c>
    </row>
    <row r="1913">
      <c r="A1913" t="inlineStr">
        <is>
          <t>213|站桩怪</t>
        </is>
      </c>
      <c r="B1913" t="n">
        <v>213</v>
      </c>
      <c r="C1913" t="inlineStr">
        <is>
          <t>站桩怪</t>
        </is>
      </c>
      <c r="D1913" t="n">
        <v>97327</v>
      </c>
      <c r="E1913" t="n">
        <v>21831</v>
      </c>
      <c r="F1913" t="n">
        <v>20884</v>
      </c>
    </row>
    <row r="1914">
      <c r="A1914" t="inlineStr">
        <is>
          <t>213|炮灰怪</t>
        </is>
      </c>
      <c r="B1914" t="n">
        <v>213</v>
      </c>
      <c r="C1914" t="inlineStr">
        <is>
          <t>炮灰怪</t>
        </is>
      </c>
      <c r="D1914" t="n">
        <v>29198</v>
      </c>
      <c r="E1914" t="n">
        <v>21831</v>
      </c>
      <c r="F1914" t="n">
        <v>20884</v>
      </c>
    </row>
    <row r="1915">
      <c r="A1915" t="inlineStr">
        <is>
          <t>213|精英怪</t>
        </is>
      </c>
      <c r="B1915" t="n">
        <v>213</v>
      </c>
      <c r="C1915" t="inlineStr">
        <is>
          <t>精英怪</t>
        </is>
      </c>
      <c r="D1915" t="n">
        <v>778612</v>
      </c>
      <c r="E1915" t="n">
        <v>21831</v>
      </c>
      <c r="F1915" t="n">
        <v>20884</v>
      </c>
    </row>
    <row r="1916">
      <c r="A1916" t="inlineStr">
        <is>
          <t>213|精英盾怪</t>
        </is>
      </c>
      <c r="B1916" t="n">
        <v>213</v>
      </c>
      <c r="C1916" t="inlineStr">
        <is>
          <t>精英盾怪</t>
        </is>
      </c>
      <c r="D1916" t="n">
        <v>1751877</v>
      </c>
      <c r="E1916" t="n">
        <v>21831</v>
      </c>
      <c r="F1916" t="n">
        <v>20884</v>
      </c>
    </row>
    <row r="1917">
      <c r="A1917" t="inlineStr">
        <is>
          <t>213|Boss</t>
        </is>
      </c>
      <c r="B1917" t="n">
        <v>213</v>
      </c>
      <c r="C1917" t="inlineStr">
        <is>
          <t>Boss</t>
        </is>
      </c>
      <c r="D1917" t="n">
        <v>17690576</v>
      </c>
      <c r="E1917" t="n">
        <v>24502</v>
      </c>
      <c r="F1917" t="n">
        <v>20884</v>
      </c>
    </row>
    <row r="1918">
      <c r="A1918" t="inlineStr">
        <is>
          <t>213|装备副本Boss</t>
        </is>
      </c>
      <c r="B1918" t="n">
        <v>213</v>
      </c>
      <c r="C1918" t="inlineStr">
        <is>
          <t>装备副本Boss</t>
        </is>
      </c>
      <c r="D1918" t="n">
        <v>8845288</v>
      </c>
      <c r="E1918" t="n">
        <v>24502</v>
      </c>
      <c r="F1918" t="n">
        <v>20884</v>
      </c>
    </row>
    <row r="1919">
      <c r="A1919" t="inlineStr">
        <is>
          <t>214|普通怪</t>
        </is>
      </c>
      <c r="B1919" t="n">
        <v>214</v>
      </c>
      <c r="C1919" t="inlineStr">
        <is>
          <t>普通怪</t>
        </is>
      </c>
      <c r="D1919" t="n">
        <v>196934</v>
      </c>
      <c r="E1919" t="n">
        <v>22017</v>
      </c>
      <c r="F1919" t="n">
        <v>21006</v>
      </c>
    </row>
    <row r="1920">
      <c r="A1920" t="inlineStr">
        <is>
          <t>214|盾怪</t>
        </is>
      </c>
      <c r="B1920" t="n">
        <v>214</v>
      </c>
      <c r="C1920" t="inlineStr">
        <is>
          <t>盾怪</t>
        </is>
      </c>
      <c r="D1920" t="n">
        <v>590802</v>
      </c>
      <c r="E1920" t="n">
        <v>22017</v>
      </c>
      <c r="F1920" t="n">
        <v>21006</v>
      </c>
    </row>
    <row r="1921">
      <c r="A1921" t="inlineStr">
        <is>
          <t>214|二级普通怪</t>
        </is>
      </c>
      <c r="B1921" t="n">
        <v>214</v>
      </c>
      <c r="C1921" t="inlineStr">
        <is>
          <t>二级普通怪</t>
        </is>
      </c>
      <c r="D1921" t="n">
        <v>354482</v>
      </c>
      <c r="E1921" t="n">
        <v>22017</v>
      </c>
      <c r="F1921" t="n">
        <v>21006</v>
      </c>
    </row>
    <row r="1922">
      <c r="A1922" t="inlineStr">
        <is>
          <t>214|站桩怪</t>
        </is>
      </c>
      <c r="B1922" t="n">
        <v>214</v>
      </c>
      <c r="C1922" t="inlineStr">
        <is>
          <t>站桩怪</t>
        </is>
      </c>
      <c r="D1922" t="n">
        <v>98467</v>
      </c>
      <c r="E1922" t="n">
        <v>22017</v>
      </c>
      <c r="F1922" t="n">
        <v>21006</v>
      </c>
    </row>
    <row r="1923">
      <c r="A1923" t="inlineStr">
        <is>
          <t>214|炮灰怪</t>
        </is>
      </c>
      <c r="B1923" t="n">
        <v>214</v>
      </c>
      <c r="C1923" t="inlineStr">
        <is>
          <t>炮灰怪</t>
        </is>
      </c>
      <c r="D1923" t="n">
        <v>29541</v>
      </c>
      <c r="E1923" t="n">
        <v>22017</v>
      </c>
      <c r="F1923" t="n">
        <v>21006</v>
      </c>
    </row>
    <row r="1924">
      <c r="A1924" t="inlineStr">
        <is>
          <t>214|精英怪</t>
        </is>
      </c>
      <c r="B1924" t="n">
        <v>214</v>
      </c>
      <c r="C1924" t="inlineStr">
        <is>
          <t>精英怪</t>
        </is>
      </c>
      <c r="D1924" t="n">
        <v>787736</v>
      </c>
      <c r="E1924" t="n">
        <v>22017</v>
      </c>
      <c r="F1924" t="n">
        <v>21006</v>
      </c>
    </row>
    <row r="1925">
      <c r="A1925" t="inlineStr">
        <is>
          <t>214|精英盾怪</t>
        </is>
      </c>
      <c r="B1925" t="n">
        <v>214</v>
      </c>
      <c r="C1925" t="inlineStr">
        <is>
          <t>精英盾怪</t>
        </is>
      </c>
      <c r="D1925" t="n">
        <v>1772406</v>
      </c>
      <c r="E1925" t="n">
        <v>22017</v>
      </c>
      <c r="F1925" t="n">
        <v>21006</v>
      </c>
    </row>
    <row r="1926">
      <c r="A1926" t="inlineStr">
        <is>
          <t>214|Boss</t>
        </is>
      </c>
      <c r="B1926" t="n">
        <v>214</v>
      </c>
      <c r="C1926" t="inlineStr">
        <is>
          <t>Boss</t>
        </is>
      </c>
      <c r="D1926" t="n">
        <v>17914039</v>
      </c>
      <c r="E1926" t="n">
        <v>24702</v>
      </c>
      <c r="F1926" t="n">
        <v>21006</v>
      </c>
    </row>
    <row r="1927">
      <c r="A1927" t="inlineStr">
        <is>
          <t>214|装备副本Boss</t>
        </is>
      </c>
      <c r="B1927" t="n">
        <v>214</v>
      </c>
      <c r="C1927" t="inlineStr">
        <is>
          <t>装备副本Boss</t>
        </is>
      </c>
      <c r="D1927" t="n">
        <v>8957019</v>
      </c>
      <c r="E1927" t="n">
        <v>24702</v>
      </c>
      <c r="F1927" t="n">
        <v>21006</v>
      </c>
    </row>
    <row r="1928">
      <c r="A1928" t="inlineStr">
        <is>
          <t>215|普通怪</t>
        </is>
      </c>
      <c r="B1928" t="n">
        <v>215</v>
      </c>
      <c r="C1928" t="inlineStr">
        <is>
          <t>普通怪</t>
        </is>
      </c>
      <c r="D1928" t="n">
        <v>199236</v>
      </c>
      <c r="E1928" t="n">
        <v>22204</v>
      </c>
      <c r="F1928" t="n">
        <v>21129</v>
      </c>
    </row>
    <row r="1929">
      <c r="A1929" t="inlineStr">
        <is>
          <t>215|盾怪</t>
        </is>
      </c>
      <c r="B1929" t="n">
        <v>215</v>
      </c>
      <c r="C1929" t="inlineStr">
        <is>
          <t>盾怪</t>
        </is>
      </c>
      <c r="D1929" t="n">
        <v>597708</v>
      </c>
      <c r="E1929" t="n">
        <v>22204</v>
      </c>
      <c r="F1929" t="n">
        <v>21129</v>
      </c>
    </row>
    <row r="1930">
      <c r="A1930" t="inlineStr">
        <is>
          <t>215|二级普通怪</t>
        </is>
      </c>
      <c r="B1930" t="n">
        <v>215</v>
      </c>
      <c r="C1930" t="inlineStr">
        <is>
          <t>二级普通怪</t>
        </is>
      </c>
      <c r="D1930" t="n">
        <v>358625</v>
      </c>
      <c r="E1930" t="n">
        <v>22204</v>
      </c>
      <c r="F1930" t="n">
        <v>21129</v>
      </c>
    </row>
    <row r="1931">
      <c r="A1931" t="inlineStr">
        <is>
          <t>215|站桩怪</t>
        </is>
      </c>
      <c r="B1931" t="n">
        <v>215</v>
      </c>
      <c r="C1931" t="inlineStr">
        <is>
          <t>站桩怪</t>
        </is>
      </c>
      <c r="D1931" t="n">
        <v>99618</v>
      </c>
      <c r="E1931" t="n">
        <v>22204</v>
      </c>
      <c r="F1931" t="n">
        <v>21129</v>
      </c>
    </row>
    <row r="1932">
      <c r="A1932" t="inlineStr">
        <is>
          <t>215|炮灰怪</t>
        </is>
      </c>
      <c r="B1932" t="n">
        <v>215</v>
      </c>
      <c r="C1932" t="inlineStr">
        <is>
          <t>炮灰怪</t>
        </is>
      </c>
      <c r="D1932" t="n">
        <v>29886</v>
      </c>
      <c r="E1932" t="n">
        <v>22204</v>
      </c>
      <c r="F1932" t="n">
        <v>21129</v>
      </c>
    </row>
    <row r="1933">
      <c r="A1933" t="inlineStr">
        <is>
          <t>215|精英怪</t>
        </is>
      </c>
      <c r="B1933" t="n">
        <v>215</v>
      </c>
      <c r="C1933" t="inlineStr">
        <is>
          <t>精英怪</t>
        </is>
      </c>
      <c r="D1933" t="n">
        <v>796944</v>
      </c>
      <c r="E1933" t="n">
        <v>22204</v>
      </c>
      <c r="F1933" t="n">
        <v>21129</v>
      </c>
    </row>
    <row r="1934">
      <c r="A1934" t="inlineStr">
        <is>
          <t>215|精英盾怪</t>
        </is>
      </c>
      <c r="B1934" t="n">
        <v>215</v>
      </c>
      <c r="C1934" t="inlineStr">
        <is>
          <t>精英盾怪</t>
        </is>
      </c>
      <c r="D1934" t="n">
        <v>1793124</v>
      </c>
      <c r="E1934" t="n">
        <v>22204</v>
      </c>
      <c r="F1934" t="n">
        <v>21129</v>
      </c>
    </row>
    <row r="1935">
      <c r="A1935" t="inlineStr">
        <is>
          <t>215|Boss</t>
        </is>
      </c>
      <c r="B1935" t="n">
        <v>215</v>
      </c>
      <c r="C1935" t="inlineStr">
        <is>
          <t>Boss</t>
        </is>
      </c>
      <c r="D1935" t="n">
        <v>18139542</v>
      </c>
      <c r="E1935" t="n">
        <v>24904</v>
      </c>
      <c r="F1935" t="n">
        <v>21129</v>
      </c>
    </row>
    <row r="1936">
      <c r="A1936" t="inlineStr">
        <is>
          <t>215|装备副本Boss</t>
        </is>
      </c>
      <c r="B1936" t="n">
        <v>215</v>
      </c>
      <c r="C1936" t="inlineStr">
        <is>
          <t>装备副本Boss</t>
        </is>
      </c>
      <c r="D1936" t="n">
        <v>9069771</v>
      </c>
      <c r="E1936" t="n">
        <v>24904</v>
      </c>
      <c r="F1936" t="n">
        <v>21129</v>
      </c>
    </row>
    <row r="1937">
      <c r="A1937" t="inlineStr">
        <is>
          <t>216|普通怪</t>
        </is>
      </c>
      <c r="B1937" t="n">
        <v>216</v>
      </c>
      <c r="C1937" t="inlineStr">
        <is>
          <t>普通怪</t>
        </is>
      </c>
      <c r="D1937" t="n">
        <v>201557</v>
      </c>
      <c r="E1937" t="n">
        <v>22392</v>
      </c>
      <c r="F1937" t="n">
        <v>21251</v>
      </c>
    </row>
    <row r="1938">
      <c r="A1938" t="inlineStr">
        <is>
          <t>216|盾怪</t>
        </is>
      </c>
      <c r="B1938" t="n">
        <v>216</v>
      </c>
      <c r="C1938" t="inlineStr">
        <is>
          <t>盾怪</t>
        </is>
      </c>
      <c r="D1938" t="n">
        <v>604671</v>
      </c>
      <c r="E1938" t="n">
        <v>22392</v>
      </c>
      <c r="F1938" t="n">
        <v>21251</v>
      </c>
    </row>
    <row r="1939">
      <c r="A1939" t="inlineStr">
        <is>
          <t>216|二级普通怪</t>
        </is>
      </c>
      <c r="B1939" t="n">
        <v>216</v>
      </c>
      <c r="C1939" t="inlineStr">
        <is>
          <t>二级普通怪</t>
        </is>
      </c>
      <c r="D1939" t="n">
        <v>362803</v>
      </c>
      <c r="E1939" t="n">
        <v>22392</v>
      </c>
      <c r="F1939" t="n">
        <v>21251</v>
      </c>
    </row>
    <row r="1940">
      <c r="A1940" t="inlineStr">
        <is>
          <t>216|站桩怪</t>
        </is>
      </c>
      <c r="B1940" t="n">
        <v>216</v>
      </c>
      <c r="C1940" t="inlineStr">
        <is>
          <t>站桩怪</t>
        </is>
      </c>
      <c r="D1940" t="n">
        <v>100779</v>
      </c>
      <c r="E1940" t="n">
        <v>22392</v>
      </c>
      <c r="F1940" t="n">
        <v>21251</v>
      </c>
    </row>
    <row r="1941">
      <c r="A1941" t="inlineStr">
        <is>
          <t>216|炮灰怪</t>
        </is>
      </c>
      <c r="B1941" t="n">
        <v>216</v>
      </c>
      <c r="C1941" t="inlineStr">
        <is>
          <t>炮灰怪</t>
        </is>
      </c>
      <c r="D1941" t="n">
        <v>30234</v>
      </c>
      <c r="E1941" t="n">
        <v>22392</v>
      </c>
      <c r="F1941" t="n">
        <v>21251</v>
      </c>
    </row>
    <row r="1942">
      <c r="A1942" t="inlineStr">
        <is>
          <t>216|精英怪</t>
        </is>
      </c>
      <c r="B1942" t="n">
        <v>216</v>
      </c>
      <c r="C1942" t="inlineStr">
        <is>
          <t>精英怪</t>
        </is>
      </c>
      <c r="D1942" t="n">
        <v>806228</v>
      </c>
      <c r="E1942" t="n">
        <v>22392</v>
      </c>
      <c r="F1942" t="n">
        <v>21251</v>
      </c>
    </row>
    <row r="1943">
      <c r="A1943" t="inlineStr">
        <is>
          <t>216|精英盾怪</t>
        </is>
      </c>
      <c r="B1943" t="n">
        <v>216</v>
      </c>
      <c r="C1943" t="inlineStr">
        <is>
          <t>精英盾怪</t>
        </is>
      </c>
      <c r="D1943" t="n">
        <v>1814013</v>
      </c>
      <c r="E1943" t="n">
        <v>22392</v>
      </c>
      <c r="F1943" t="n">
        <v>21251</v>
      </c>
    </row>
    <row r="1944">
      <c r="A1944" t="inlineStr">
        <is>
          <t>216|Boss</t>
        </is>
      </c>
      <c r="B1944" t="n">
        <v>216</v>
      </c>
      <c r="C1944" t="inlineStr">
        <is>
          <t>Boss</t>
        </is>
      </c>
      <c r="D1944" t="n">
        <v>18367188</v>
      </c>
      <c r="E1944" t="n">
        <v>25106</v>
      </c>
      <c r="F1944" t="n">
        <v>21251</v>
      </c>
    </row>
    <row r="1945">
      <c r="A1945" t="inlineStr">
        <is>
          <t>216|装备副本Boss</t>
        </is>
      </c>
      <c r="B1945" t="n">
        <v>216</v>
      </c>
      <c r="C1945" t="inlineStr">
        <is>
          <t>装备副本Boss</t>
        </is>
      </c>
      <c r="D1945" t="n">
        <v>9183594</v>
      </c>
      <c r="E1945" t="n">
        <v>25106</v>
      </c>
      <c r="F1945" t="n">
        <v>21251</v>
      </c>
    </row>
    <row r="1946">
      <c r="A1946" t="inlineStr">
        <is>
          <t>217|普通怪</t>
        </is>
      </c>
      <c r="B1946" t="n">
        <v>217</v>
      </c>
      <c r="C1946" t="inlineStr">
        <is>
          <t>普通怪</t>
        </is>
      </c>
      <c r="D1946" t="n">
        <v>203898</v>
      </c>
      <c r="E1946" t="n">
        <v>22582</v>
      </c>
      <c r="F1946" t="n">
        <v>21374</v>
      </c>
    </row>
    <row r="1947">
      <c r="A1947" t="inlineStr">
        <is>
          <t>217|盾怪</t>
        </is>
      </c>
      <c r="B1947" t="n">
        <v>217</v>
      </c>
      <c r="C1947" t="inlineStr">
        <is>
          <t>盾怪</t>
        </is>
      </c>
      <c r="D1947" t="n">
        <v>611694</v>
      </c>
      <c r="E1947" t="n">
        <v>22582</v>
      </c>
      <c r="F1947" t="n">
        <v>21374</v>
      </c>
    </row>
    <row r="1948">
      <c r="A1948" t="inlineStr">
        <is>
          <t>217|二级普通怪</t>
        </is>
      </c>
      <c r="B1948" t="n">
        <v>217</v>
      </c>
      <c r="C1948" t="inlineStr">
        <is>
          <t>二级普通怪</t>
        </is>
      </c>
      <c r="D1948" t="n">
        <v>367017</v>
      </c>
      <c r="E1948" t="n">
        <v>22582</v>
      </c>
      <c r="F1948" t="n">
        <v>21374</v>
      </c>
    </row>
    <row r="1949">
      <c r="A1949" t="inlineStr">
        <is>
          <t>217|站桩怪</t>
        </is>
      </c>
      <c r="B1949" t="n">
        <v>217</v>
      </c>
      <c r="C1949" t="inlineStr">
        <is>
          <t>站桩怪</t>
        </is>
      </c>
      <c r="D1949" t="n">
        <v>101949</v>
      </c>
      <c r="E1949" t="n">
        <v>22582</v>
      </c>
      <c r="F1949" t="n">
        <v>21374</v>
      </c>
    </row>
    <row r="1950">
      <c r="A1950" t="inlineStr">
        <is>
          <t>217|炮灰怪</t>
        </is>
      </c>
      <c r="B1950" t="n">
        <v>217</v>
      </c>
      <c r="C1950" t="inlineStr">
        <is>
          <t>炮灰怪</t>
        </is>
      </c>
      <c r="D1950" t="n">
        <v>30585</v>
      </c>
      <c r="E1950" t="n">
        <v>22582</v>
      </c>
      <c r="F1950" t="n">
        <v>21374</v>
      </c>
    </row>
    <row r="1951">
      <c r="A1951" t="inlineStr">
        <is>
          <t>217|精英怪</t>
        </is>
      </c>
      <c r="B1951" t="n">
        <v>217</v>
      </c>
      <c r="C1951" t="inlineStr">
        <is>
          <t>精英怪</t>
        </is>
      </c>
      <c r="D1951" t="n">
        <v>815592</v>
      </c>
      <c r="E1951" t="n">
        <v>22582</v>
      </c>
      <c r="F1951" t="n">
        <v>21374</v>
      </c>
    </row>
    <row r="1952">
      <c r="A1952" t="inlineStr">
        <is>
          <t>217|精英盾怪</t>
        </is>
      </c>
      <c r="B1952" t="n">
        <v>217</v>
      </c>
      <c r="C1952" t="inlineStr">
        <is>
          <t>精英盾怪</t>
        </is>
      </c>
      <c r="D1952" t="n">
        <v>1835082</v>
      </c>
      <c r="E1952" t="n">
        <v>22582</v>
      </c>
      <c r="F1952" t="n">
        <v>21374</v>
      </c>
    </row>
    <row r="1953">
      <c r="A1953" t="inlineStr">
        <is>
          <t>217|Boss</t>
        </is>
      </c>
      <c r="B1953" t="n">
        <v>217</v>
      </c>
      <c r="C1953" t="inlineStr">
        <is>
          <t>Boss</t>
        </is>
      </c>
      <c r="D1953" t="n">
        <v>18596977</v>
      </c>
      <c r="E1953" t="n">
        <v>25310</v>
      </c>
      <c r="F1953" t="n">
        <v>21374</v>
      </c>
    </row>
    <row r="1954">
      <c r="A1954" t="inlineStr">
        <is>
          <t>217|装备副本Boss</t>
        </is>
      </c>
      <c r="B1954" t="n">
        <v>217</v>
      </c>
      <c r="C1954" t="inlineStr">
        <is>
          <t>装备副本Boss</t>
        </is>
      </c>
      <c r="D1954" t="n">
        <v>9298488</v>
      </c>
      <c r="E1954" t="n">
        <v>25310</v>
      </c>
      <c r="F1954" t="n">
        <v>21374</v>
      </c>
    </row>
    <row r="1955">
      <c r="A1955" t="inlineStr">
        <is>
          <t>218|普通怪</t>
        </is>
      </c>
      <c r="B1955" t="n">
        <v>218</v>
      </c>
      <c r="C1955" t="inlineStr">
        <is>
          <t>普通怪</t>
        </is>
      </c>
      <c r="D1955" t="n">
        <v>206259</v>
      </c>
      <c r="E1955" t="n">
        <v>22771</v>
      </c>
      <c r="F1955" t="n">
        <v>21498</v>
      </c>
    </row>
    <row r="1956">
      <c r="A1956" t="inlineStr">
        <is>
          <t>218|盾怪</t>
        </is>
      </c>
      <c r="B1956" t="n">
        <v>218</v>
      </c>
      <c r="C1956" t="inlineStr">
        <is>
          <t>盾怪</t>
        </is>
      </c>
      <c r="D1956" t="n">
        <v>618777</v>
      </c>
      <c r="E1956" t="n">
        <v>22771</v>
      </c>
      <c r="F1956" t="n">
        <v>21498</v>
      </c>
    </row>
    <row r="1957">
      <c r="A1957" t="inlineStr">
        <is>
          <t>218|二级普通怪</t>
        </is>
      </c>
      <c r="B1957" t="n">
        <v>218</v>
      </c>
      <c r="C1957" t="inlineStr">
        <is>
          <t>二级普通怪</t>
        </is>
      </c>
      <c r="D1957" t="n">
        <v>371267</v>
      </c>
      <c r="E1957" t="n">
        <v>22771</v>
      </c>
      <c r="F1957" t="n">
        <v>21498</v>
      </c>
    </row>
    <row r="1958">
      <c r="A1958" t="inlineStr">
        <is>
          <t>218|站桩怪</t>
        </is>
      </c>
      <c r="B1958" t="n">
        <v>218</v>
      </c>
      <c r="C1958" t="inlineStr">
        <is>
          <t>站桩怪</t>
        </is>
      </c>
      <c r="D1958" t="n">
        <v>103130</v>
      </c>
      <c r="E1958" t="n">
        <v>22771</v>
      </c>
      <c r="F1958" t="n">
        <v>21498</v>
      </c>
    </row>
    <row r="1959">
      <c r="A1959" t="inlineStr">
        <is>
          <t>218|炮灰怪</t>
        </is>
      </c>
      <c r="B1959" t="n">
        <v>218</v>
      </c>
      <c r="C1959" t="inlineStr">
        <is>
          <t>炮灰怪</t>
        </is>
      </c>
      <c r="D1959" t="n">
        <v>30939</v>
      </c>
      <c r="E1959" t="n">
        <v>22771</v>
      </c>
      <c r="F1959" t="n">
        <v>21498</v>
      </c>
    </row>
    <row r="1960">
      <c r="A1960" t="inlineStr">
        <is>
          <t>218|精英怪</t>
        </is>
      </c>
      <c r="B1960" t="n">
        <v>218</v>
      </c>
      <c r="C1960" t="inlineStr">
        <is>
          <t>精英怪</t>
        </is>
      </c>
      <c r="D1960" t="n">
        <v>825036</v>
      </c>
      <c r="E1960" t="n">
        <v>22771</v>
      </c>
      <c r="F1960" t="n">
        <v>21498</v>
      </c>
    </row>
    <row r="1961">
      <c r="A1961" t="inlineStr">
        <is>
          <t>218|精英盾怪</t>
        </is>
      </c>
      <c r="B1961" t="n">
        <v>218</v>
      </c>
      <c r="C1961" t="inlineStr">
        <is>
          <t>精英盾怪</t>
        </is>
      </c>
      <c r="D1961" t="n">
        <v>1856331</v>
      </c>
      <c r="E1961" t="n">
        <v>22771</v>
      </c>
      <c r="F1961" t="n">
        <v>21498</v>
      </c>
    </row>
    <row r="1962">
      <c r="A1962" t="inlineStr">
        <is>
          <t>218|Boss</t>
        </is>
      </c>
      <c r="B1962" t="n">
        <v>218</v>
      </c>
      <c r="C1962" t="inlineStr">
        <is>
          <t>Boss</t>
        </is>
      </c>
      <c r="D1962" t="n">
        <v>18828908</v>
      </c>
      <c r="E1962" t="n">
        <v>25514</v>
      </c>
      <c r="F1962" t="n">
        <v>21498</v>
      </c>
    </row>
    <row r="1963">
      <c r="A1963" t="inlineStr">
        <is>
          <t>218|装备副本Boss</t>
        </is>
      </c>
      <c r="B1963" t="n">
        <v>218</v>
      </c>
      <c r="C1963" t="inlineStr">
        <is>
          <t>装备副本Boss</t>
        </is>
      </c>
      <c r="D1963" t="n">
        <v>9414454</v>
      </c>
      <c r="E1963" t="n">
        <v>25514</v>
      </c>
      <c r="F1963" t="n">
        <v>21498</v>
      </c>
    </row>
    <row r="1964">
      <c r="A1964" t="inlineStr">
        <is>
          <t>219|普通怪</t>
        </is>
      </c>
      <c r="B1964" t="n">
        <v>219</v>
      </c>
      <c r="C1964" t="inlineStr">
        <is>
          <t>普通怪</t>
        </is>
      </c>
      <c r="D1964" t="n">
        <v>208640</v>
      </c>
      <c r="E1964" t="n">
        <v>22963</v>
      </c>
      <c r="F1964" t="n">
        <v>21621</v>
      </c>
    </row>
    <row r="1965">
      <c r="A1965" t="inlineStr">
        <is>
          <t>219|盾怪</t>
        </is>
      </c>
      <c r="B1965" t="n">
        <v>219</v>
      </c>
      <c r="C1965" t="inlineStr">
        <is>
          <t>盾怪</t>
        </is>
      </c>
      <c r="D1965" t="n">
        <v>625920</v>
      </c>
      <c r="E1965" t="n">
        <v>22963</v>
      </c>
      <c r="F1965" t="n">
        <v>21621</v>
      </c>
    </row>
    <row r="1966">
      <c r="A1966" t="inlineStr">
        <is>
          <t>219|二级普通怪</t>
        </is>
      </c>
      <c r="B1966" t="n">
        <v>219</v>
      </c>
      <c r="C1966" t="inlineStr">
        <is>
          <t>二级普通怪</t>
        </is>
      </c>
      <c r="D1966" t="n">
        <v>375552</v>
      </c>
      <c r="E1966" t="n">
        <v>22963</v>
      </c>
      <c r="F1966" t="n">
        <v>21621</v>
      </c>
    </row>
    <row r="1967">
      <c r="A1967" t="inlineStr">
        <is>
          <t>219|站桩怪</t>
        </is>
      </c>
      <c r="B1967" t="n">
        <v>219</v>
      </c>
      <c r="C1967" t="inlineStr">
        <is>
          <t>站桩怪</t>
        </is>
      </c>
      <c r="D1967" t="n">
        <v>104320</v>
      </c>
      <c r="E1967" t="n">
        <v>22963</v>
      </c>
      <c r="F1967" t="n">
        <v>21621</v>
      </c>
    </row>
    <row r="1968">
      <c r="A1968" t="inlineStr">
        <is>
          <t>219|炮灰怪</t>
        </is>
      </c>
      <c r="B1968" t="n">
        <v>219</v>
      </c>
      <c r="C1968" t="inlineStr">
        <is>
          <t>炮灰怪</t>
        </is>
      </c>
      <c r="D1968" t="n">
        <v>31296</v>
      </c>
      <c r="E1968" t="n">
        <v>22963</v>
      </c>
      <c r="F1968" t="n">
        <v>21621</v>
      </c>
    </row>
    <row r="1969">
      <c r="A1969" t="inlineStr">
        <is>
          <t>219|精英怪</t>
        </is>
      </c>
      <c r="B1969" t="n">
        <v>219</v>
      </c>
      <c r="C1969" t="inlineStr">
        <is>
          <t>精英怪</t>
        </is>
      </c>
      <c r="D1969" t="n">
        <v>834560</v>
      </c>
      <c r="E1969" t="n">
        <v>22963</v>
      </c>
      <c r="F1969" t="n">
        <v>21621</v>
      </c>
    </row>
    <row r="1970">
      <c r="A1970" t="inlineStr">
        <is>
          <t>219|精英盾怪</t>
        </is>
      </c>
      <c r="B1970" t="n">
        <v>219</v>
      </c>
      <c r="C1970" t="inlineStr">
        <is>
          <t>精英盾怪</t>
        </is>
      </c>
      <c r="D1970" t="n">
        <v>1877760</v>
      </c>
      <c r="E1970" t="n">
        <v>22963</v>
      </c>
      <c r="F1970" t="n">
        <v>21621</v>
      </c>
    </row>
    <row r="1971">
      <c r="A1971" t="inlineStr">
        <is>
          <t>219|Boss</t>
        </is>
      </c>
      <c r="B1971" t="n">
        <v>219</v>
      </c>
      <c r="C1971" t="inlineStr">
        <is>
          <t>Boss</t>
        </is>
      </c>
      <c r="D1971" t="n">
        <v>19062931</v>
      </c>
      <c r="E1971" t="n">
        <v>25720</v>
      </c>
      <c r="F1971" t="n">
        <v>21621</v>
      </c>
    </row>
    <row r="1972">
      <c r="A1972" t="inlineStr">
        <is>
          <t>219|装备副本Boss</t>
        </is>
      </c>
      <c r="B1972" t="n">
        <v>219</v>
      </c>
      <c r="C1972" t="inlineStr">
        <is>
          <t>装备副本Boss</t>
        </is>
      </c>
      <c r="D1972" t="n">
        <v>9531465</v>
      </c>
      <c r="E1972" t="n">
        <v>25720</v>
      </c>
      <c r="F1972" t="n">
        <v>21621</v>
      </c>
    </row>
    <row r="1973">
      <c r="A1973" t="inlineStr">
        <is>
          <t>220|普通怪</t>
        </is>
      </c>
      <c r="B1973" t="n">
        <v>220</v>
      </c>
      <c r="C1973" t="inlineStr">
        <is>
          <t>普通怪</t>
        </is>
      </c>
      <c r="D1973" t="n">
        <v>211042</v>
      </c>
      <c r="E1973" t="n">
        <v>23156</v>
      </c>
      <c r="F1973" t="n">
        <v>21745</v>
      </c>
    </row>
    <row r="1974">
      <c r="A1974" t="inlineStr">
        <is>
          <t>220|盾怪</t>
        </is>
      </c>
      <c r="B1974" t="n">
        <v>220</v>
      </c>
      <c r="C1974" t="inlineStr">
        <is>
          <t>盾怪</t>
        </is>
      </c>
      <c r="D1974" t="n">
        <v>633126</v>
      </c>
      <c r="E1974" t="n">
        <v>23156</v>
      </c>
      <c r="F1974" t="n">
        <v>21745</v>
      </c>
    </row>
    <row r="1975">
      <c r="A1975" t="inlineStr">
        <is>
          <t>220|二级普通怪</t>
        </is>
      </c>
      <c r="B1975" t="n">
        <v>220</v>
      </c>
      <c r="C1975" t="inlineStr">
        <is>
          <t>二级普通怪</t>
        </is>
      </c>
      <c r="D1975" t="n">
        <v>379876</v>
      </c>
      <c r="E1975" t="n">
        <v>23156</v>
      </c>
      <c r="F1975" t="n">
        <v>21745</v>
      </c>
    </row>
    <row r="1976">
      <c r="A1976" t="inlineStr">
        <is>
          <t>220|站桩怪</t>
        </is>
      </c>
      <c r="B1976" t="n">
        <v>220</v>
      </c>
      <c r="C1976" t="inlineStr">
        <is>
          <t>站桩怪</t>
        </is>
      </c>
      <c r="D1976" t="n">
        <v>105521</v>
      </c>
      <c r="E1976" t="n">
        <v>23156</v>
      </c>
      <c r="F1976" t="n">
        <v>21745</v>
      </c>
    </row>
    <row r="1977">
      <c r="A1977" t="inlineStr">
        <is>
          <t>220|炮灰怪</t>
        </is>
      </c>
      <c r="B1977" t="n">
        <v>220</v>
      </c>
      <c r="C1977" t="inlineStr">
        <is>
          <t>炮灰怪</t>
        </is>
      </c>
      <c r="D1977" t="n">
        <v>31657</v>
      </c>
      <c r="E1977" t="n">
        <v>23156</v>
      </c>
      <c r="F1977" t="n">
        <v>21745</v>
      </c>
    </row>
    <row r="1978">
      <c r="A1978" t="inlineStr">
        <is>
          <t>220|精英怪</t>
        </is>
      </c>
      <c r="B1978" t="n">
        <v>220</v>
      </c>
      <c r="C1978" t="inlineStr">
        <is>
          <t>精英怪</t>
        </is>
      </c>
      <c r="D1978" t="n">
        <v>844168</v>
      </c>
      <c r="E1978" t="n">
        <v>23156</v>
      </c>
      <c r="F1978" t="n">
        <v>21745</v>
      </c>
    </row>
    <row r="1979">
      <c r="A1979" t="inlineStr">
        <is>
          <t>220|精英盾怪</t>
        </is>
      </c>
      <c r="B1979" t="n">
        <v>220</v>
      </c>
      <c r="C1979" t="inlineStr">
        <is>
          <t>精英盾怪</t>
        </is>
      </c>
      <c r="D1979" t="n">
        <v>1899378</v>
      </c>
      <c r="E1979" t="n">
        <v>23156</v>
      </c>
      <c r="F1979" t="n">
        <v>21745</v>
      </c>
    </row>
    <row r="1980">
      <c r="A1980" t="inlineStr">
        <is>
          <t>220|Boss</t>
        </is>
      </c>
      <c r="B1980" t="n">
        <v>220</v>
      </c>
      <c r="C1980" t="inlineStr">
        <is>
          <t>Boss</t>
        </is>
      </c>
      <c r="D1980" t="n">
        <v>19299198</v>
      </c>
      <c r="E1980" t="n">
        <v>25927</v>
      </c>
      <c r="F1980" t="n">
        <v>21745</v>
      </c>
    </row>
    <row r="1981">
      <c r="A1981" t="inlineStr">
        <is>
          <t>220|装备副本Boss</t>
        </is>
      </c>
      <c r="B1981" t="n">
        <v>220</v>
      </c>
      <c r="C1981" t="inlineStr">
        <is>
          <t>装备副本Boss</t>
        </is>
      </c>
      <c r="D1981" t="n">
        <v>9649599</v>
      </c>
      <c r="E1981" t="n">
        <v>25927</v>
      </c>
      <c r="F1981" t="n">
        <v>21745</v>
      </c>
    </row>
    <row r="1982">
      <c r="A1982" t="inlineStr">
        <is>
          <t>221|普通怪</t>
        </is>
      </c>
      <c r="B1982" t="n">
        <v>221</v>
      </c>
      <c r="C1982" t="inlineStr">
        <is>
          <t>普通怪</t>
        </is>
      </c>
      <c r="D1982" t="n">
        <v>213464</v>
      </c>
      <c r="E1982" t="n">
        <v>23350</v>
      </c>
      <c r="F1982" t="n">
        <v>21869</v>
      </c>
    </row>
    <row r="1983">
      <c r="A1983" t="inlineStr">
        <is>
          <t>221|盾怪</t>
        </is>
      </c>
      <c r="B1983" t="n">
        <v>221</v>
      </c>
      <c r="C1983" t="inlineStr">
        <is>
          <t>盾怪</t>
        </is>
      </c>
      <c r="D1983" t="n">
        <v>640392</v>
      </c>
      <c r="E1983" t="n">
        <v>23350</v>
      </c>
      <c r="F1983" t="n">
        <v>21869</v>
      </c>
    </row>
    <row r="1984">
      <c r="A1984" t="inlineStr">
        <is>
          <t>221|二级普通怪</t>
        </is>
      </c>
      <c r="B1984" t="n">
        <v>221</v>
      </c>
      <c r="C1984" t="inlineStr">
        <is>
          <t>二级普通怪</t>
        </is>
      </c>
      <c r="D1984" t="n">
        <v>384236</v>
      </c>
      <c r="E1984" t="n">
        <v>23350</v>
      </c>
      <c r="F1984" t="n">
        <v>21869</v>
      </c>
    </row>
    <row r="1985">
      <c r="A1985" t="inlineStr">
        <is>
          <t>221|站桩怪</t>
        </is>
      </c>
      <c r="B1985" t="n">
        <v>221</v>
      </c>
      <c r="C1985" t="inlineStr">
        <is>
          <t>站桩怪</t>
        </is>
      </c>
      <c r="D1985" t="n">
        <v>106732</v>
      </c>
      <c r="E1985" t="n">
        <v>23350</v>
      </c>
      <c r="F1985" t="n">
        <v>21869</v>
      </c>
    </row>
    <row r="1986">
      <c r="A1986" t="inlineStr">
        <is>
          <t>221|炮灰怪</t>
        </is>
      </c>
      <c r="B1986" t="n">
        <v>221</v>
      </c>
      <c r="C1986" t="inlineStr">
        <is>
          <t>炮灰怪</t>
        </is>
      </c>
      <c r="D1986" t="n">
        <v>32020</v>
      </c>
      <c r="E1986" t="n">
        <v>23350</v>
      </c>
      <c r="F1986" t="n">
        <v>21869</v>
      </c>
    </row>
    <row r="1987">
      <c r="A1987" t="inlineStr">
        <is>
          <t>221|精英怪</t>
        </is>
      </c>
      <c r="B1987" t="n">
        <v>221</v>
      </c>
      <c r="C1987" t="inlineStr">
        <is>
          <t>精英怪</t>
        </is>
      </c>
      <c r="D1987" t="n">
        <v>853856</v>
      </c>
      <c r="E1987" t="n">
        <v>23350</v>
      </c>
      <c r="F1987" t="n">
        <v>21869</v>
      </c>
    </row>
    <row r="1988">
      <c r="A1988" t="inlineStr">
        <is>
          <t>221|精英盾怪</t>
        </is>
      </c>
      <c r="B1988" t="n">
        <v>221</v>
      </c>
      <c r="C1988" t="inlineStr">
        <is>
          <t>精英盾怪</t>
        </is>
      </c>
      <c r="D1988" t="n">
        <v>1921176</v>
      </c>
      <c r="E1988" t="n">
        <v>23350</v>
      </c>
      <c r="F1988" t="n">
        <v>21869</v>
      </c>
    </row>
    <row r="1989">
      <c r="A1989" t="inlineStr">
        <is>
          <t>221|Boss</t>
        </is>
      </c>
      <c r="B1989" t="n">
        <v>221</v>
      </c>
      <c r="C1989" t="inlineStr">
        <is>
          <t>Boss</t>
        </is>
      </c>
      <c r="D1989" t="n">
        <v>19537608</v>
      </c>
      <c r="E1989" t="n">
        <v>26136</v>
      </c>
      <c r="F1989" t="n">
        <v>21869</v>
      </c>
    </row>
    <row r="1990">
      <c r="A1990" t="inlineStr">
        <is>
          <t>221|装备副本Boss</t>
        </is>
      </c>
      <c r="B1990" t="n">
        <v>221</v>
      </c>
      <c r="C1990" t="inlineStr">
        <is>
          <t>装备副本Boss</t>
        </is>
      </c>
      <c r="D1990" t="n">
        <v>9768804</v>
      </c>
      <c r="E1990" t="n">
        <v>26136</v>
      </c>
      <c r="F1990" t="n">
        <v>21869</v>
      </c>
    </row>
    <row r="1991">
      <c r="A1991" t="inlineStr">
        <is>
          <t>222|普通怪</t>
        </is>
      </c>
      <c r="B1991" t="n">
        <v>222</v>
      </c>
      <c r="C1991" t="inlineStr">
        <is>
          <t>普通怪</t>
        </is>
      </c>
      <c r="D1991" t="n">
        <v>215907</v>
      </c>
      <c r="E1991" t="n">
        <v>23545</v>
      </c>
      <c r="F1991" t="n">
        <v>21993</v>
      </c>
    </row>
    <row r="1992">
      <c r="A1992" t="inlineStr">
        <is>
          <t>222|盾怪</t>
        </is>
      </c>
      <c r="B1992" t="n">
        <v>222</v>
      </c>
      <c r="C1992" t="inlineStr">
        <is>
          <t>盾怪</t>
        </is>
      </c>
      <c r="D1992" t="n">
        <v>647721</v>
      </c>
      <c r="E1992" t="n">
        <v>23545</v>
      </c>
      <c r="F1992" t="n">
        <v>21993</v>
      </c>
    </row>
    <row r="1993">
      <c r="A1993" t="inlineStr">
        <is>
          <t>222|二级普通怪</t>
        </is>
      </c>
      <c r="B1993" t="n">
        <v>222</v>
      </c>
      <c r="C1993" t="inlineStr">
        <is>
          <t>二级普通怪</t>
        </is>
      </c>
      <c r="D1993" t="n">
        <v>388633</v>
      </c>
      <c r="E1993" t="n">
        <v>23545</v>
      </c>
      <c r="F1993" t="n">
        <v>21993</v>
      </c>
    </row>
    <row r="1994">
      <c r="A1994" t="inlineStr">
        <is>
          <t>222|站桩怪</t>
        </is>
      </c>
      <c r="B1994" t="n">
        <v>222</v>
      </c>
      <c r="C1994" t="inlineStr">
        <is>
          <t>站桩怪</t>
        </is>
      </c>
      <c r="D1994" t="n">
        <v>107954</v>
      </c>
      <c r="E1994" t="n">
        <v>23545</v>
      </c>
      <c r="F1994" t="n">
        <v>21993</v>
      </c>
    </row>
    <row r="1995">
      <c r="A1995" t="inlineStr">
        <is>
          <t>222|炮灰怪</t>
        </is>
      </c>
      <c r="B1995" t="n">
        <v>222</v>
      </c>
      <c r="C1995" t="inlineStr">
        <is>
          <t>炮灰怪</t>
        </is>
      </c>
      <c r="D1995" t="n">
        <v>32387</v>
      </c>
      <c r="E1995" t="n">
        <v>23545</v>
      </c>
      <c r="F1995" t="n">
        <v>21993</v>
      </c>
    </row>
    <row r="1996">
      <c r="A1996" t="inlineStr">
        <is>
          <t>222|精英怪</t>
        </is>
      </c>
      <c r="B1996" t="n">
        <v>222</v>
      </c>
      <c r="C1996" t="inlineStr">
        <is>
          <t>精英怪</t>
        </is>
      </c>
      <c r="D1996" t="n">
        <v>863628</v>
      </c>
      <c r="E1996" t="n">
        <v>23545</v>
      </c>
      <c r="F1996" t="n">
        <v>21993</v>
      </c>
    </row>
    <row r="1997">
      <c r="A1997" t="inlineStr">
        <is>
          <t>222|精英盾怪</t>
        </is>
      </c>
      <c r="B1997" t="n">
        <v>222</v>
      </c>
      <c r="C1997" t="inlineStr">
        <is>
          <t>精英盾怪</t>
        </is>
      </c>
      <c r="D1997" t="n">
        <v>1943163</v>
      </c>
      <c r="E1997" t="n">
        <v>23545</v>
      </c>
      <c r="F1997" t="n">
        <v>21993</v>
      </c>
    </row>
    <row r="1998">
      <c r="A1998" t="inlineStr">
        <is>
          <t>222|Boss</t>
        </is>
      </c>
      <c r="B1998" t="n">
        <v>222</v>
      </c>
      <c r="C1998" t="inlineStr">
        <is>
          <t>Boss</t>
        </is>
      </c>
      <c r="D1998" t="n">
        <v>19778263</v>
      </c>
      <c r="E1998" t="n">
        <v>26345</v>
      </c>
      <c r="F1998" t="n">
        <v>21993</v>
      </c>
    </row>
    <row r="1999">
      <c r="A1999" t="inlineStr">
        <is>
          <t>222|装备副本Boss</t>
        </is>
      </c>
      <c r="B1999" t="n">
        <v>222</v>
      </c>
      <c r="C1999" t="inlineStr">
        <is>
          <t>装备副本Boss</t>
        </is>
      </c>
      <c r="D1999" t="n">
        <v>9889132</v>
      </c>
      <c r="E1999" t="n">
        <v>26345</v>
      </c>
      <c r="F1999" t="n">
        <v>21993</v>
      </c>
    </row>
    <row r="2000">
      <c r="A2000" t="inlineStr">
        <is>
          <t>223|普通怪</t>
        </is>
      </c>
      <c r="B2000" t="n">
        <v>223</v>
      </c>
      <c r="C2000" t="inlineStr">
        <is>
          <t>普通怪</t>
        </is>
      </c>
      <c r="D2000" t="n">
        <v>218370</v>
      </c>
      <c r="E2000" t="n">
        <v>23740</v>
      </c>
      <c r="F2000" t="n">
        <v>22118</v>
      </c>
    </row>
    <row r="2001">
      <c r="A2001" t="inlineStr">
        <is>
          <t>223|盾怪</t>
        </is>
      </c>
      <c r="B2001" t="n">
        <v>223</v>
      </c>
      <c r="C2001" t="inlineStr">
        <is>
          <t>盾怪</t>
        </is>
      </c>
      <c r="D2001" t="n">
        <v>655110</v>
      </c>
      <c r="E2001" t="n">
        <v>23740</v>
      </c>
      <c r="F2001" t="n">
        <v>22118</v>
      </c>
    </row>
    <row r="2002">
      <c r="A2002" t="inlineStr">
        <is>
          <t>223|二级普通怪</t>
        </is>
      </c>
      <c r="B2002" t="n">
        <v>223</v>
      </c>
      <c r="C2002" t="inlineStr">
        <is>
          <t>二级普通怪</t>
        </is>
      </c>
      <c r="D2002" t="n">
        <v>393066</v>
      </c>
      <c r="E2002" t="n">
        <v>23740</v>
      </c>
      <c r="F2002" t="n">
        <v>22118</v>
      </c>
    </row>
    <row r="2003">
      <c r="A2003" t="inlineStr">
        <is>
          <t>223|站桩怪</t>
        </is>
      </c>
      <c r="B2003" t="n">
        <v>223</v>
      </c>
      <c r="C2003" t="inlineStr">
        <is>
          <t>站桩怪</t>
        </is>
      </c>
      <c r="D2003" t="n">
        <v>109185</v>
      </c>
      <c r="E2003" t="n">
        <v>23740</v>
      </c>
      <c r="F2003" t="n">
        <v>22118</v>
      </c>
    </row>
    <row r="2004">
      <c r="A2004" t="inlineStr">
        <is>
          <t>223|炮灰怪</t>
        </is>
      </c>
      <c r="B2004" t="n">
        <v>223</v>
      </c>
      <c r="C2004" t="inlineStr">
        <is>
          <t>炮灰怪</t>
        </is>
      </c>
      <c r="D2004" t="n">
        <v>32756</v>
      </c>
      <c r="E2004" t="n">
        <v>23740</v>
      </c>
      <c r="F2004" t="n">
        <v>22118</v>
      </c>
    </row>
    <row r="2005">
      <c r="A2005" t="inlineStr">
        <is>
          <t>223|精英怪</t>
        </is>
      </c>
      <c r="B2005" t="n">
        <v>223</v>
      </c>
      <c r="C2005" t="inlineStr">
        <is>
          <t>精英怪</t>
        </is>
      </c>
      <c r="D2005" t="n">
        <v>873480</v>
      </c>
      <c r="E2005" t="n">
        <v>23740</v>
      </c>
      <c r="F2005" t="n">
        <v>22118</v>
      </c>
    </row>
    <row r="2006">
      <c r="A2006" t="inlineStr">
        <is>
          <t>223|精英盾怪</t>
        </is>
      </c>
      <c r="B2006" t="n">
        <v>223</v>
      </c>
      <c r="C2006" t="inlineStr">
        <is>
          <t>精英盾怪</t>
        </is>
      </c>
      <c r="D2006" t="n">
        <v>1965330</v>
      </c>
      <c r="E2006" t="n">
        <v>23740</v>
      </c>
      <c r="F2006" t="n">
        <v>22118</v>
      </c>
    </row>
    <row r="2007">
      <c r="A2007" t="inlineStr">
        <is>
          <t>223|Boss</t>
        </is>
      </c>
      <c r="B2007" t="n">
        <v>223</v>
      </c>
      <c r="C2007" t="inlineStr">
        <is>
          <t>Boss</t>
        </is>
      </c>
      <c r="D2007" t="n">
        <v>20021111</v>
      </c>
      <c r="E2007" t="n">
        <v>26555</v>
      </c>
      <c r="F2007" t="n">
        <v>22118</v>
      </c>
    </row>
    <row r="2008">
      <c r="A2008" t="inlineStr">
        <is>
          <t>223|装备副本Boss</t>
        </is>
      </c>
      <c r="B2008" t="n">
        <v>223</v>
      </c>
      <c r="C2008" t="inlineStr">
        <is>
          <t>装备副本Boss</t>
        </is>
      </c>
      <c r="D2008" t="n">
        <v>10010556</v>
      </c>
      <c r="E2008" t="n">
        <v>26555</v>
      </c>
      <c r="F2008" t="n">
        <v>22118</v>
      </c>
    </row>
    <row r="2009">
      <c r="A2009" t="inlineStr">
        <is>
          <t>224|普通怪</t>
        </is>
      </c>
      <c r="B2009" t="n">
        <v>224</v>
      </c>
      <c r="C2009" t="inlineStr">
        <is>
          <t>普通怪</t>
        </is>
      </c>
      <c r="D2009" t="n">
        <v>220854</v>
      </c>
      <c r="E2009" t="n">
        <v>23938</v>
      </c>
      <c r="F2009" t="n">
        <v>22242</v>
      </c>
    </row>
    <row r="2010">
      <c r="A2010" t="inlineStr">
        <is>
          <t>224|盾怪</t>
        </is>
      </c>
      <c r="B2010" t="n">
        <v>224</v>
      </c>
      <c r="C2010" t="inlineStr">
        <is>
          <t>盾怪</t>
        </is>
      </c>
      <c r="D2010" t="n">
        <v>662562</v>
      </c>
      <c r="E2010" t="n">
        <v>23938</v>
      </c>
      <c r="F2010" t="n">
        <v>22242</v>
      </c>
    </row>
    <row r="2011">
      <c r="A2011" t="inlineStr">
        <is>
          <t>224|二级普通怪</t>
        </is>
      </c>
      <c r="B2011" t="n">
        <v>224</v>
      </c>
      <c r="C2011" t="inlineStr">
        <is>
          <t>二级普通怪</t>
        </is>
      </c>
      <c r="D2011" t="n">
        <v>397538</v>
      </c>
      <c r="E2011" t="n">
        <v>23938</v>
      </c>
      <c r="F2011" t="n">
        <v>22242</v>
      </c>
    </row>
    <row r="2012">
      <c r="A2012" t="inlineStr">
        <is>
          <t>224|站桩怪</t>
        </is>
      </c>
      <c r="B2012" t="n">
        <v>224</v>
      </c>
      <c r="C2012" t="inlineStr">
        <is>
          <t>站桩怪</t>
        </is>
      </c>
      <c r="D2012" t="n">
        <v>110427</v>
      </c>
      <c r="E2012" t="n">
        <v>23938</v>
      </c>
      <c r="F2012" t="n">
        <v>22242</v>
      </c>
    </row>
    <row r="2013">
      <c r="A2013" t="inlineStr">
        <is>
          <t>224|炮灰怪</t>
        </is>
      </c>
      <c r="B2013" t="n">
        <v>224</v>
      </c>
      <c r="C2013" t="inlineStr">
        <is>
          <t>炮灰怪</t>
        </is>
      </c>
      <c r="D2013" t="n">
        <v>33129</v>
      </c>
      <c r="E2013" t="n">
        <v>23938</v>
      </c>
      <c r="F2013" t="n">
        <v>22242</v>
      </c>
    </row>
    <row r="2014">
      <c r="A2014" t="inlineStr">
        <is>
          <t>224|精英怪</t>
        </is>
      </c>
      <c r="B2014" t="n">
        <v>224</v>
      </c>
      <c r="C2014" t="inlineStr">
        <is>
          <t>精英怪</t>
        </is>
      </c>
      <c r="D2014" t="n">
        <v>883416</v>
      </c>
      <c r="E2014" t="n">
        <v>23938</v>
      </c>
      <c r="F2014" t="n">
        <v>22242</v>
      </c>
    </row>
    <row r="2015">
      <c r="A2015" t="inlineStr">
        <is>
          <t>224|精英盾怪</t>
        </is>
      </c>
      <c r="B2015" t="n">
        <v>224</v>
      </c>
      <c r="C2015" t="inlineStr">
        <is>
          <t>精英盾怪</t>
        </is>
      </c>
      <c r="D2015" t="n">
        <v>1987686</v>
      </c>
      <c r="E2015" t="n">
        <v>23938</v>
      </c>
      <c r="F2015" t="n">
        <v>22242</v>
      </c>
    </row>
    <row r="2016">
      <c r="A2016" t="inlineStr">
        <is>
          <t>224|Boss</t>
        </is>
      </c>
      <c r="B2016" t="n">
        <v>224</v>
      </c>
      <c r="C2016" t="inlineStr">
        <is>
          <t>Boss</t>
        </is>
      </c>
      <c r="D2016" t="n">
        <v>20266204</v>
      </c>
      <c r="E2016" t="n">
        <v>26767</v>
      </c>
      <c r="F2016" t="n">
        <v>22242</v>
      </c>
    </row>
    <row r="2017">
      <c r="A2017" t="inlineStr">
        <is>
          <t>224|装备副本Boss</t>
        </is>
      </c>
      <c r="B2017" t="n">
        <v>224</v>
      </c>
      <c r="C2017" t="inlineStr">
        <is>
          <t>装备副本Boss</t>
        </is>
      </c>
      <c r="D2017" t="n">
        <v>10133102</v>
      </c>
      <c r="E2017" t="n">
        <v>26767</v>
      </c>
      <c r="F2017" t="n">
        <v>22242</v>
      </c>
    </row>
    <row r="2018">
      <c r="A2018" t="inlineStr">
        <is>
          <t>225|普通怪</t>
        </is>
      </c>
      <c r="B2018" t="n">
        <v>225</v>
      </c>
      <c r="C2018" t="inlineStr">
        <is>
          <t>普通怪</t>
        </is>
      </c>
      <c r="D2018" t="n">
        <v>223359</v>
      </c>
      <c r="E2018" t="n">
        <v>24136</v>
      </c>
      <c r="F2018" t="n">
        <v>22367</v>
      </c>
    </row>
    <row r="2019">
      <c r="A2019" t="inlineStr">
        <is>
          <t>225|盾怪</t>
        </is>
      </c>
      <c r="B2019" t="n">
        <v>225</v>
      </c>
      <c r="C2019" t="inlineStr">
        <is>
          <t>盾怪</t>
        </is>
      </c>
      <c r="D2019" t="n">
        <v>670077</v>
      </c>
      <c r="E2019" t="n">
        <v>24136</v>
      </c>
      <c r="F2019" t="n">
        <v>22367</v>
      </c>
    </row>
    <row r="2020">
      <c r="A2020" t="inlineStr">
        <is>
          <t>225|二级普通怪</t>
        </is>
      </c>
      <c r="B2020" t="n">
        <v>225</v>
      </c>
      <c r="C2020" t="inlineStr">
        <is>
          <t>二级普通怪</t>
        </is>
      </c>
      <c r="D2020" t="n">
        <v>402047</v>
      </c>
      <c r="E2020" t="n">
        <v>24136</v>
      </c>
      <c r="F2020" t="n">
        <v>22367</v>
      </c>
    </row>
    <row r="2021">
      <c r="A2021" t="inlineStr">
        <is>
          <t>225|站桩怪</t>
        </is>
      </c>
      <c r="B2021" t="n">
        <v>225</v>
      </c>
      <c r="C2021" t="inlineStr">
        <is>
          <t>站桩怪</t>
        </is>
      </c>
      <c r="D2021" t="n">
        <v>111680</v>
      </c>
      <c r="E2021" t="n">
        <v>24136</v>
      </c>
      <c r="F2021" t="n">
        <v>22367</v>
      </c>
    </row>
    <row r="2022">
      <c r="A2022" t="inlineStr">
        <is>
          <t>225|炮灰怪</t>
        </is>
      </c>
      <c r="B2022" t="n">
        <v>225</v>
      </c>
      <c r="C2022" t="inlineStr">
        <is>
          <t>炮灰怪</t>
        </is>
      </c>
      <c r="D2022" t="n">
        <v>33504</v>
      </c>
      <c r="E2022" t="n">
        <v>24136</v>
      </c>
      <c r="F2022" t="n">
        <v>22367</v>
      </c>
    </row>
    <row r="2023">
      <c r="A2023" t="inlineStr">
        <is>
          <t>225|精英怪</t>
        </is>
      </c>
      <c r="B2023" t="n">
        <v>225</v>
      </c>
      <c r="C2023" t="inlineStr">
        <is>
          <t>精英怪</t>
        </is>
      </c>
      <c r="D2023" t="n">
        <v>893436</v>
      </c>
      <c r="E2023" t="n">
        <v>24136</v>
      </c>
      <c r="F2023" t="n">
        <v>22367</v>
      </c>
    </row>
    <row r="2024">
      <c r="A2024" t="inlineStr">
        <is>
          <t>225|精英盾怪</t>
        </is>
      </c>
      <c r="B2024" t="n">
        <v>225</v>
      </c>
      <c r="C2024" t="inlineStr">
        <is>
          <t>精英盾怪</t>
        </is>
      </c>
      <c r="D2024" t="n">
        <v>2010231</v>
      </c>
      <c r="E2024" t="n">
        <v>24136</v>
      </c>
      <c r="F2024" t="n">
        <v>22367</v>
      </c>
    </row>
    <row r="2025">
      <c r="A2025" t="inlineStr">
        <is>
          <t>225|Boss</t>
        </is>
      </c>
      <c r="B2025" t="n">
        <v>225</v>
      </c>
      <c r="C2025" t="inlineStr">
        <is>
          <t>Boss</t>
        </is>
      </c>
      <c r="D2025" t="n">
        <v>20513490</v>
      </c>
      <c r="E2025" t="n">
        <v>26980</v>
      </c>
      <c r="F2025" t="n">
        <v>22367</v>
      </c>
    </row>
    <row r="2026">
      <c r="A2026" t="inlineStr">
        <is>
          <t>225|装备副本Boss</t>
        </is>
      </c>
      <c r="B2026" t="n">
        <v>225</v>
      </c>
      <c r="C2026" t="inlineStr">
        <is>
          <t>装备副本Boss</t>
        </is>
      </c>
      <c r="D2026" t="n">
        <v>10256745</v>
      </c>
      <c r="E2026" t="n">
        <v>26980</v>
      </c>
      <c r="F2026" t="n">
        <v>22367</v>
      </c>
    </row>
    <row r="2027">
      <c r="A2027" t="inlineStr">
        <is>
          <t>226|普通怪</t>
        </is>
      </c>
      <c r="B2027" t="n">
        <v>226</v>
      </c>
      <c r="C2027" t="inlineStr">
        <is>
          <t>普通怪</t>
        </is>
      </c>
      <c r="D2027" t="n">
        <v>225885</v>
      </c>
      <c r="E2027" t="n">
        <v>24335</v>
      </c>
      <c r="F2027" t="n">
        <v>22492</v>
      </c>
    </row>
    <row r="2028">
      <c r="A2028" t="inlineStr">
        <is>
          <t>226|盾怪</t>
        </is>
      </c>
      <c r="B2028" t="n">
        <v>226</v>
      </c>
      <c r="C2028" t="inlineStr">
        <is>
          <t>盾怪</t>
        </is>
      </c>
      <c r="D2028" t="n">
        <v>677655</v>
      </c>
      <c r="E2028" t="n">
        <v>24335</v>
      </c>
      <c r="F2028" t="n">
        <v>22492</v>
      </c>
    </row>
    <row r="2029">
      <c r="A2029" t="inlineStr">
        <is>
          <t>226|二级普通怪</t>
        </is>
      </c>
      <c r="B2029" t="n">
        <v>226</v>
      </c>
      <c r="C2029" t="inlineStr">
        <is>
          <t>二级普通怪</t>
        </is>
      </c>
      <c r="D2029" t="n">
        <v>406593</v>
      </c>
      <c r="E2029" t="n">
        <v>24335</v>
      </c>
      <c r="F2029" t="n">
        <v>22492</v>
      </c>
    </row>
    <row r="2030">
      <c r="A2030" t="inlineStr">
        <is>
          <t>226|站桩怪</t>
        </is>
      </c>
      <c r="B2030" t="n">
        <v>226</v>
      </c>
      <c r="C2030" t="inlineStr">
        <is>
          <t>站桩怪</t>
        </is>
      </c>
      <c r="D2030" t="n">
        <v>112943</v>
      </c>
      <c r="E2030" t="n">
        <v>24335</v>
      </c>
      <c r="F2030" t="n">
        <v>22492</v>
      </c>
    </row>
    <row r="2031">
      <c r="A2031" t="inlineStr">
        <is>
          <t>226|炮灰怪</t>
        </is>
      </c>
      <c r="B2031" t="n">
        <v>226</v>
      </c>
      <c r="C2031" t="inlineStr">
        <is>
          <t>炮灰怪</t>
        </is>
      </c>
      <c r="D2031" t="n">
        <v>33883</v>
      </c>
      <c r="E2031" t="n">
        <v>24335</v>
      </c>
      <c r="F2031" t="n">
        <v>22492</v>
      </c>
    </row>
    <row r="2032">
      <c r="A2032" t="inlineStr">
        <is>
          <t>226|精英怪</t>
        </is>
      </c>
      <c r="B2032" t="n">
        <v>226</v>
      </c>
      <c r="C2032" t="inlineStr">
        <is>
          <t>精英怪</t>
        </is>
      </c>
      <c r="D2032" t="n">
        <v>903540</v>
      </c>
      <c r="E2032" t="n">
        <v>24335</v>
      </c>
      <c r="F2032" t="n">
        <v>22492</v>
      </c>
    </row>
    <row r="2033">
      <c r="A2033" t="inlineStr">
        <is>
          <t>226|精英盾怪</t>
        </is>
      </c>
      <c r="B2033" t="n">
        <v>226</v>
      </c>
      <c r="C2033" t="inlineStr">
        <is>
          <t>精英盾怪</t>
        </is>
      </c>
      <c r="D2033" t="n">
        <v>2032965</v>
      </c>
      <c r="E2033" t="n">
        <v>24335</v>
      </c>
      <c r="F2033" t="n">
        <v>22492</v>
      </c>
    </row>
    <row r="2034">
      <c r="A2034" t="inlineStr">
        <is>
          <t>226|Boss</t>
        </is>
      </c>
      <c r="B2034" t="n">
        <v>226</v>
      </c>
      <c r="C2034" t="inlineStr">
        <is>
          <t>Boss</t>
        </is>
      </c>
      <c r="D2034" t="n">
        <v>20763072</v>
      </c>
      <c r="E2034" t="n">
        <v>27193</v>
      </c>
      <c r="F2034" t="n">
        <v>22492</v>
      </c>
    </row>
    <row r="2035">
      <c r="A2035" t="inlineStr">
        <is>
          <t>226|装备副本Boss</t>
        </is>
      </c>
      <c r="B2035" t="n">
        <v>226</v>
      </c>
      <c r="C2035" t="inlineStr">
        <is>
          <t>装备副本Boss</t>
        </is>
      </c>
      <c r="D2035" t="n">
        <v>10381536</v>
      </c>
      <c r="E2035" t="n">
        <v>27193</v>
      </c>
      <c r="F2035" t="n">
        <v>22492</v>
      </c>
    </row>
    <row r="2036">
      <c r="A2036" t="inlineStr">
        <is>
          <t>227|普通怪</t>
        </is>
      </c>
      <c r="B2036" t="n">
        <v>227</v>
      </c>
      <c r="C2036" t="inlineStr">
        <is>
          <t>普通怪</t>
        </is>
      </c>
      <c r="D2036" t="n">
        <v>228432</v>
      </c>
      <c r="E2036" t="n">
        <v>24535</v>
      </c>
      <c r="F2036" t="n">
        <v>22618</v>
      </c>
    </row>
    <row r="2037">
      <c r="A2037" t="inlineStr">
        <is>
          <t>227|盾怪</t>
        </is>
      </c>
      <c r="B2037" t="n">
        <v>227</v>
      </c>
      <c r="C2037" t="inlineStr">
        <is>
          <t>盾怪</t>
        </is>
      </c>
      <c r="D2037" t="n">
        <v>685296</v>
      </c>
      <c r="E2037" t="n">
        <v>24535</v>
      </c>
      <c r="F2037" t="n">
        <v>22618</v>
      </c>
    </row>
    <row r="2038">
      <c r="A2038" t="inlineStr">
        <is>
          <t>227|二级普通怪</t>
        </is>
      </c>
      <c r="B2038" t="n">
        <v>227</v>
      </c>
      <c r="C2038" t="inlineStr">
        <is>
          <t>二级普通怪</t>
        </is>
      </c>
      <c r="D2038" t="n">
        <v>411178</v>
      </c>
      <c r="E2038" t="n">
        <v>24535</v>
      </c>
      <c r="F2038" t="n">
        <v>22618</v>
      </c>
    </row>
    <row r="2039">
      <c r="A2039" t="inlineStr">
        <is>
          <t>227|站桩怪</t>
        </is>
      </c>
      <c r="B2039" t="n">
        <v>227</v>
      </c>
      <c r="C2039" t="inlineStr">
        <is>
          <t>站桩怪</t>
        </is>
      </c>
      <c r="D2039" t="n">
        <v>114216</v>
      </c>
      <c r="E2039" t="n">
        <v>24535</v>
      </c>
      <c r="F2039" t="n">
        <v>22618</v>
      </c>
    </row>
    <row r="2040">
      <c r="A2040" t="inlineStr">
        <is>
          <t>227|炮灰怪</t>
        </is>
      </c>
      <c r="B2040" t="n">
        <v>227</v>
      </c>
      <c r="C2040" t="inlineStr">
        <is>
          <t>炮灰怪</t>
        </is>
      </c>
      <c r="D2040" t="n">
        <v>34265</v>
      </c>
      <c r="E2040" t="n">
        <v>24535</v>
      </c>
      <c r="F2040" t="n">
        <v>22618</v>
      </c>
    </row>
    <row r="2041">
      <c r="A2041" t="inlineStr">
        <is>
          <t>227|精英怪</t>
        </is>
      </c>
      <c r="B2041" t="n">
        <v>227</v>
      </c>
      <c r="C2041" t="inlineStr">
        <is>
          <t>精英怪</t>
        </is>
      </c>
      <c r="D2041" t="n">
        <v>913728</v>
      </c>
      <c r="E2041" t="n">
        <v>24535</v>
      </c>
      <c r="F2041" t="n">
        <v>22618</v>
      </c>
    </row>
    <row r="2042">
      <c r="A2042" t="inlineStr">
        <is>
          <t>227|精英盾怪</t>
        </is>
      </c>
      <c r="B2042" t="n">
        <v>227</v>
      </c>
      <c r="C2042" t="inlineStr">
        <is>
          <t>精英盾怪</t>
        </is>
      </c>
      <c r="D2042" t="n">
        <v>2055888</v>
      </c>
      <c r="E2042" t="n">
        <v>24535</v>
      </c>
      <c r="F2042" t="n">
        <v>22618</v>
      </c>
    </row>
    <row r="2043">
      <c r="A2043" t="inlineStr">
        <is>
          <t>227|Boss</t>
        </is>
      </c>
      <c r="B2043" t="n">
        <v>227</v>
      </c>
      <c r="C2043" t="inlineStr">
        <is>
          <t>Boss</t>
        </is>
      </c>
      <c r="D2043" t="n">
        <v>21014949</v>
      </c>
      <c r="E2043" t="n">
        <v>27408</v>
      </c>
      <c r="F2043" t="n">
        <v>22618</v>
      </c>
    </row>
    <row r="2044">
      <c r="A2044" t="inlineStr">
        <is>
          <t>227|装备副本Boss</t>
        </is>
      </c>
      <c r="B2044" t="n">
        <v>227</v>
      </c>
      <c r="C2044" t="inlineStr">
        <is>
          <t>装备副本Boss</t>
        </is>
      </c>
      <c r="D2044" t="n">
        <v>10507474</v>
      </c>
      <c r="E2044" t="n">
        <v>27408</v>
      </c>
      <c r="F2044" t="n">
        <v>22618</v>
      </c>
    </row>
    <row r="2045">
      <c r="A2045" t="inlineStr">
        <is>
          <t>228|普通怪</t>
        </is>
      </c>
      <c r="B2045" t="n">
        <v>228</v>
      </c>
      <c r="C2045" t="inlineStr">
        <is>
          <t>普通怪</t>
        </is>
      </c>
      <c r="D2045" t="n">
        <v>231001</v>
      </c>
      <c r="E2045" t="n">
        <v>24738</v>
      </c>
      <c r="F2045" t="n">
        <v>22743</v>
      </c>
    </row>
    <row r="2046">
      <c r="A2046" t="inlineStr">
        <is>
          <t>228|盾怪</t>
        </is>
      </c>
      <c r="B2046" t="n">
        <v>228</v>
      </c>
      <c r="C2046" t="inlineStr">
        <is>
          <t>盾怪</t>
        </is>
      </c>
      <c r="D2046" t="n">
        <v>693003</v>
      </c>
      <c r="E2046" t="n">
        <v>24738</v>
      </c>
      <c r="F2046" t="n">
        <v>22743</v>
      </c>
    </row>
    <row r="2047">
      <c r="A2047" t="inlineStr">
        <is>
          <t>228|二级普通怪</t>
        </is>
      </c>
      <c r="B2047" t="n">
        <v>228</v>
      </c>
      <c r="C2047" t="inlineStr">
        <is>
          <t>二级普通怪</t>
        </is>
      </c>
      <c r="D2047" t="n">
        <v>415802</v>
      </c>
      <c r="E2047" t="n">
        <v>24738</v>
      </c>
      <c r="F2047" t="n">
        <v>22743</v>
      </c>
    </row>
    <row r="2048">
      <c r="A2048" t="inlineStr">
        <is>
          <t>228|站桩怪</t>
        </is>
      </c>
      <c r="B2048" t="n">
        <v>228</v>
      </c>
      <c r="C2048" t="inlineStr">
        <is>
          <t>站桩怪</t>
        </is>
      </c>
      <c r="D2048" t="n">
        <v>115501</v>
      </c>
      <c r="E2048" t="n">
        <v>24738</v>
      </c>
      <c r="F2048" t="n">
        <v>22743</v>
      </c>
    </row>
    <row r="2049">
      <c r="A2049" t="inlineStr">
        <is>
          <t>228|炮灰怪</t>
        </is>
      </c>
      <c r="B2049" t="n">
        <v>228</v>
      </c>
      <c r="C2049" t="inlineStr">
        <is>
          <t>炮灰怪</t>
        </is>
      </c>
      <c r="D2049" t="n">
        <v>34651</v>
      </c>
      <c r="E2049" t="n">
        <v>24738</v>
      </c>
      <c r="F2049" t="n">
        <v>22743</v>
      </c>
    </row>
    <row r="2050">
      <c r="A2050" t="inlineStr">
        <is>
          <t>228|精英怪</t>
        </is>
      </c>
      <c r="B2050" t="n">
        <v>228</v>
      </c>
      <c r="C2050" t="inlineStr">
        <is>
          <t>精英怪</t>
        </is>
      </c>
      <c r="D2050" t="n">
        <v>924004</v>
      </c>
      <c r="E2050" t="n">
        <v>24738</v>
      </c>
      <c r="F2050" t="n">
        <v>22743</v>
      </c>
    </row>
    <row r="2051">
      <c r="A2051" t="inlineStr">
        <is>
          <t>228|精英盾怪</t>
        </is>
      </c>
      <c r="B2051" t="n">
        <v>228</v>
      </c>
      <c r="C2051" t="inlineStr">
        <is>
          <t>精英盾怪</t>
        </is>
      </c>
      <c r="D2051" t="n">
        <v>2079009</v>
      </c>
      <c r="E2051" t="n">
        <v>24738</v>
      </c>
      <c r="F2051" t="n">
        <v>22743</v>
      </c>
    </row>
    <row r="2052">
      <c r="A2052" t="inlineStr">
        <is>
          <t>228|Boss</t>
        </is>
      </c>
      <c r="B2052" t="n">
        <v>228</v>
      </c>
      <c r="C2052" t="inlineStr">
        <is>
          <t>Boss</t>
        </is>
      </c>
      <c r="D2052" t="n">
        <v>21269121</v>
      </c>
      <c r="E2052" t="n">
        <v>27625</v>
      </c>
      <c r="F2052" t="n">
        <v>22743</v>
      </c>
    </row>
    <row r="2053">
      <c r="A2053" t="inlineStr">
        <is>
          <t>228|装备副本Boss</t>
        </is>
      </c>
      <c r="B2053" t="n">
        <v>228</v>
      </c>
      <c r="C2053" t="inlineStr">
        <is>
          <t>装备副本Boss</t>
        </is>
      </c>
      <c r="D2053" t="n">
        <v>10634561</v>
      </c>
      <c r="E2053" t="n">
        <v>27625</v>
      </c>
      <c r="F2053" t="n">
        <v>22743</v>
      </c>
    </row>
    <row r="2054">
      <c r="A2054" t="inlineStr">
        <is>
          <t>229|普通怪</t>
        </is>
      </c>
      <c r="B2054" t="n">
        <v>229</v>
      </c>
      <c r="C2054" t="inlineStr">
        <is>
          <t>普通怪</t>
        </is>
      </c>
      <c r="D2054" t="n">
        <v>233591</v>
      </c>
      <c r="E2054" t="n">
        <v>24940</v>
      </c>
      <c r="F2054" t="n">
        <v>22869</v>
      </c>
    </row>
    <row r="2055">
      <c r="A2055" t="inlineStr">
        <is>
          <t>229|盾怪</t>
        </is>
      </c>
      <c r="B2055" t="n">
        <v>229</v>
      </c>
      <c r="C2055" t="inlineStr">
        <is>
          <t>盾怪</t>
        </is>
      </c>
      <c r="D2055" t="n">
        <v>700773</v>
      </c>
      <c r="E2055" t="n">
        <v>24940</v>
      </c>
      <c r="F2055" t="n">
        <v>22869</v>
      </c>
    </row>
    <row r="2056">
      <c r="A2056" t="inlineStr">
        <is>
          <t>229|二级普通怪</t>
        </is>
      </c>
      <c r="B2056" t="n">
        <v>229</v>
      </c>
      <c r="C2056" t="inlineStr">
        <is>
          <t>二级普通怪</t>
        </is>
      </c>
      <c r="D2056" t="n">
        <v>420464</v>
      </c>
      <c r="E2056" t="n">
        <v>24940</v>
      </c>
      <c r="F2056" t="n">
        <v>22869</v>
      </c>
    </row>
    <row r="2057">
      <c r="A2057" t="inlineStr">
        <is>
          <t>229|站桩怪</t>
        </is>
      </c>
      <c r="B2057" t="n">
        <v>229</v>
      </c>
      <c r="C2057" t="inlineStr">
        <is>
          <t>站桩怪</t>
        </is>
      </c>
      <c r="D2057" t="n">
        <v>116796</v>
      </c>
      <c r="E2057" t="n">
        <v>24940</v>
      </c>
      <c r="F2057" t="n">
        <v>22869</v>
      </c>
    </row>
    <row r="2058">
      <c r="A2058" t="inlineStr">
        <is>
          <t>229|炮灰怪</t>
        </is>
      </c>
      <c r="B2058" t="n">
        <v>229</v>
      </c>
      <c r="C2058" t="inlineStr">
        <is>
          <t>炮灰怪</t>
        </is>
      </c>
      <c r="D2058" t="n">
        <v>35039</v>
      </c>
      <c r="E2058" t="n">
        <v>24940</v>
      </c>
      <c r="F2058" t="n">
        <v>22869</v>
      </c>
    </row>
    <row r="2059">
      <c r="A2059" t="inlineStr">
        <is>
          <t>229|精英怪</t>
        </is>
      </c>
      <c r="B2059" t="n">
        <v>229</v>
      </c>
      <c r="C2059" t="inlineStr">
        <is>
          <t>精英怪</t>
        </is>
      </c>
      <c r="D2059" t="n">
        <v>934364</v>
      </c>
      <c r="E2059" t="n">
        <v>24940</v>
      </c>
      <c r="F2059" t="n">
        <v>22869</v>
      </c>
    </row>
    <row r="2060">
      <c r="A2060" t="inlineStr">
        <is>
          <t>229|精英盾怪</t>
        </is>
      </c>
      <c r="B2060" t="n">
        <v>229</v>
      </c>
      <c r="C2060" t="inlineStr">
        <is>
          <t>精英盾怪</t>
        </is>
      </c>
      <c r="D2060" t="n">
        <v>2102319</v>
      </c>
      <c r="E2060" t="n">
        <v>24940</v>
      </c>
      <c r="F2060" t="n">
        <v>22869</v>
      </c>
    </row>
    <row r="2061">
      <c r="A2061" t="inlineStr">
        <is>
          <t>229|Boss</t>
        </is>
      </c>
      <c r="B2061" t="n">
        <v>229</v>
      </c>
      <c r="C2061" t="inlineStr">
        <is>
          <t>Boss</t>
        </is>
      </c>
      <c r="D2061" t="n">
        <v>21525589</v>
      </c>
      <c r="E2061" t="n">
        <v>27842</v>
      </c>
      <c r="F2061" t="n">
        <v>22869</v>
      </c>
    </row>
    <row r="2062">
      <c r="A2062" t="inlineStr">
        <is>
          <t>229|装备副本Boss</t>
        </is>
      </c>
      <c r="B2062" t="n">
        <v>229</v>
      </c>
      <c r="C2062" t="inlineStr">
        <is>
          <t>装备副本Boss</t>
        </is>
      </c>
      <c r="D2062" t="n">
        <v>10762795</v>
      </c>
      <c r="E2062" t="n">
        <v>27842</v>
      </c>
      <c r="F2062" t="n">
        <v>22869</v>
      </c>
    </row>
    <row r="2063">
      <c r="A2063" t="inlineStr">
        <is>
          <t>230|普通怪</t>
        </is>
      </c>
      <c r="B2063" t="n">
        <v>230</v>
      </c>
      <c r="C2063" t="inlineStr">
        <is>
          <t>普通怪</t>
        </is>
      </c>
      <c r="D2063" t="n">
        <v>236203</v>
      </c>
      <c r="E2063" t="n">
        <v>25145</v>
      </c>
      <c r="F2063" t="n">
        <v>22995</v>
      </c>
    </row>
    <row r="2064">
      <c r="A2064" t="inlineStr">
        <is>
          <t>230|盾怪</t>
        </is>
      </c>
      <c r="B2064" t="n">
        <v>230</v>
      </c>
      <c r="C2064" t="inlineStr">
        <is>
          <t>盾怪</t>
        </is>
      </c>
      <c r="D2064" t="n">
        <v>708609</v>
      </c>
      <c r="E2064" t="n">
        <v>25145</v>
      </c>
      <c r="F2064" t="n">
        <v>22995</v>
      </c>
    </row>
    <row r="2065">
      <c r="A2065" t="inlineStr">
        <is>
          <t>230|二级普通怪</t>
        </is>
      </c>
      <c r="B2065" t="n">
        <v>230</v>
      </c>
      <c r="C2065" t="inlineStr">
        <is>
          <t>二级普通怪</t>
        </is>
      </c>
      <c r="D2065" t="n">
        <v>425166</v>
      </c>
      <c r="E2065" t="n">
        <v>25145</v>
      </c>
      <c r="F2065" t="n">
        <v>22995</v>
      </c>
    </row>
    <row r="2066">
      <c r="A2066" t="inlineStr">
        <is>
          <t>230|站桩怪</t>
        </is>
      </c>
      <c r="B2066" t="n">
        <v>230</v>
      </c>
      <c r="C2066" t="inlineStr">
        <is>
          <t>站桩怪</t>
        </is>
      </c>
      <c r="D2066" t="n">
        <v>118102</v>
      </c>
      <c r="E2066" t="n">
        <v>25145</v>
      </c>
      <c r="F2066" t="n">
        <v>22995</v>
      </c>
    </row>
    <row r="2067">
      <c r="A2067" t="inlineStr">
        <is>
          <t>230|炮灰怪</t>
        </is>
      </c>
      <c r="B2067" t="n">
        <v>230</v>
      </c>
      <c r="C2067" t="inlineStr">
        <is>
          <t>炮灰怪</t>
        </is>
      </c>
      <c r="D2067" t="n">
        <v>35431</v>
      </c>
      <c r="E2067" t="n">
        <v>25145</v>
      </c>
      <c r="F2067" t="n">
        <v>22995</v>
      </c>
    </row>
    <row r="2068">
      <c r="A2068" t="inlineStr">
        <is>
          <t>230|精英怪</t>
        </is>
      </c>
      <c r="B2068" t="n">
        <v>230</v>
      </c>
      <c r="C2068" t="inlineStr">
        <is>
          <t>精英怪</t>
        </is>
      </c>
      <c r="D2068" t="n">
        <v>944812</v>
      </c>
      <c r="E2068" t="n">
        <v>25145</v>
      </c>
      <c r="F2068" t="n">
        <v>22995</v>
      </c>
    </row>
    <row r="2069">
      <c r="A2069" t="inlineStr">
        <is>
          <t>230|精英盾怪</t>
        </is>
      </c>
      <c r="B2069" t="n">
        <v>230</v>
      </c>
      <c r="C2069" t="inlineStr">
        <is>
          <t>精英盾怪</t>
        </is>
      </c>
      <c r="D2069" t="n">
        <v>2125827</v>
      </c>
      <c r="E2069" t="n">
        <v>25145</v>
      </c>
      <c r="F2069" t="n">
        <v>22995</v>
      </c>
    </row>
    <row r="2070">
      <c r="A2070" t="inlineStr">
        <is>
          <t>230|Boss</t>
        </is>
      </c>
      <c r="B2070" t="n">
        <v>230</v>
      </c>
      <c r="C2070" t="inlineStr">
        <is>
          <t>Boss</t>
        </is>
      </c>
      <c r="D2070" t="n">
        <v>21784353</v>
      </c>
      <c r="E2070" t="n">
        <v>28061</v>
      </c>
      <c r="F2070" t="n">
        <v>22995</v>
      </c>
    </row>
    <row r="2071">
      <c r="A2071" t="inlineStr">
        <is>
          <t>230|装备副本Boss</t>
        </is>
      </c>
      <c r="B2071" t="n">
        <v>230</v>
      </c>
      <c r="C2071" t="inlineStr">
        <is>
          <t>装备副本Boss</t>
        </is>
      </c>
      <c r="D2071" t="n">
        <v>10892176</v>
      </c>
      <c r="E2071" t="n">
        <v>28061</v>
      </c>
      <c r="F2071" t="n">
        <v>22995</v>
      </c>
    </row>
    <row r="2072">
      <c r="A2072" t="inlineStr">
        <is>
          <t>231|普通怪</t>
        </is>
      </c>
      <c r="B2072" t="n">
        <v>231</v>
      </c>
      <c r="C2072" t="inlineStr">
        <is>
          <t>普通怪</t>
        </is>
      </c>
      <c r="D2072" t="n">
        <v>238836</v>
      </c>
      <c r="E2072" t="n">
        <v>25349</v>
      </c>
      <c r="F2072" t="n">
        <v>23121</v>
      </c>
    </row>
    <row r="2073">
      <c r="A2073" t="inlineStr">
        <is>
          <t>231|盾怪</t>
        </is>
      </c>
      <c r="B2073" t="n">
        <v>231</v>
      </c>
      <c r="C2073" t="inlineStr">
        <is>
          <t>盾怪</t>
        </is>
      </c>
      <c r="D2073" t="n">
        <v>716508</v>
      </c>
      <c r="E2073" t="n">
        <v>25349</v>
      </c>
      <c r="F2073" t="n">
        <v>23121</v>
      </c>
    </row>
    <row r="2074">
      <c r="A2074" t="inlineStr">
        <is>
          <t>231|二级普通怪</t>
        </is>
      </c>
      <c r="B2074" t="n">
        <v>231</v>
      </c>
      <c r="C2074" t="inlineStr">
        <is>
          <t>二级普通怪</t>
        </is>
      </c>
      <c r="D2074" t="n">
        <v>429905</v>
      </c>
      <c r="E2074" t="n">
        <v>25349</v>
      </c>
      <c r="F2074" t="n">
        <v>23121</v>
      </c>
    </row>
    <row r="2075">
      <c r="A2075" t="inlineStr">
        <is>
          <t>231|站桩怪</t>
        </is>
      </c>
      <c r="B2075" t="n">
        <v>231</v>
      </c>
      <c r="C2075" t="inlineStr">
        <is>
          <t>站桩怪</t>
        </is>
      </c>
      <c r="D2075" t="n">
        <v>119418</v>
      </c>
      <c r="E2075" t="n">
        <v>25349</v>
      </c>
      <c r="F2075" t="n">
        <v>23121</v>
      </c>
    </row>
    <row r="2076">
      <c r="A2076" t="inlineStr">
        <is>
          <t>231|炮灰怪</t>
        </is>
      </c>
      <c r="B2076" t="n">
        <v>231</v>
      </c>
      <c r="C2076" t="inlineStr">
        <is>
          <t>炮灰怪</t>
        </is>
      </c>
      <c r="D2076" t="n">
        <v>35826</v>
      </c>
      <c r="E2076" t="n">
        <v>25349</v>
      </c>
      <c r="F2076" t="n">
        <v>23121</v>
      </c>
    </row>
    <row r="2077">
      <c r="A2077" t="inlineStr">
        <is>
          <t>231|精英怪</t>
        </is>
      </c>
      <c r="B2077" t="n">
        <v>231</v>
      </c>
      <c r="C2077" t="inlineStr">
        <is>
          <t>精英怪</t>
        </is>
      </c>
      <c r="D2077" t="n">
        <v>955344</v>
      </c>
      <c r="E2077" t="n">
        <v>25349</v>
      </c>
      <c r="F2077" t="n">
        <v>23121</v>
      </c>
    </row>
    <row r="2078">
      <c r="A2078" t="inlineStr">
        <is>
          <t>231|精英盾怪</t>
        </is>
      </c>
      <c r="B2078" t="n">
        <v>231</v>
      </c>
      <c r="C2078" t="inlineStr">
        <is>
          <t>精英盾怪</t>
        </is>
      </c>
      <c r="D2078" t="n">
        <v>2149524</v>
      </c>
      <c r="E2078" t="n">
        <v>25349</v>
      </c>
      <c r="F2078" t="n">
        <v>23121</v>
      </c>
    </row>
    <row r="2079">
      <c r="A2079" t="inlineStr">
        <is>
          <t>231|Boss</t>
        </is>
      </c>
      <c r="B2079" t="n">
        <v>231</v>
      </c>
      <c r="C2079" t="inlineStr">
        <is>
          <t>Boss</t>
        </is>
      </c>
      <c r="D2079" t="n">
        <v>22045514</v>
      </c>
      <c r="E2079" t="n">
        <v>28280</v>
      </c>
      <c r="F2079" t="n">
        <v>23121</v>
      </c>
    </row>
    <row r="2080">
      <c r="A2080" t="inlineStr">
        <is>
          <t>231|装备副本Boss</t>
        </is>
      </c>
      <c r="B2080" t="n">
        <v>231</v>
      </c>
      <c r="C2080" t="inlineStr">
        <is>
          <t>装备副本Boss</t>
        </is>
      </c>
      <c r="D2080" t="n">
        <v>11022757</v>
      </c>
      <c r="E2080" t="n">
        <v>28280</v>
      </c>
      <c r="F2080" t="n">
        <v>23121</v>
      </c>
    </row>
    <row r="2081">
      <c r="A2081" t="inlineStr">
        <is>
          <t>232|普通怪</t>
        </is>
      </c>
      <c r="B2081" t="n">
        <v>232</v>
      </c>
      <c r="C2081" t="inlineStr">
        <is>
          <t>普通怪</t>
        </is>
      </c>
      <c r="D2081" t="n">
        <v>241491</v>
      </c>
      <c r="E2081" t="n">
        <v>25555</v>
      </c>
      <c r="F2081" t="n">
        <v>23248</v>
      </c>
    </row>
    <row r="2082">
      <c r="A2082" t="inlineStr">
        <is>
          <t>232|盾怪</t>
        </is>
      </c>
      <c r="B2082" t="n">
        <v>232</v>
      </c>
      <c r="C2082" t="inlineStr">
        <is>
          <t>盾怪</t>
        </is>
      </c>
      <c r="D2082" t="n">
        <v>724473</v>
      </c>
      <c r="E2082" t="n">
        <v>25555</v>
      </c>
      <c r="F2082" t="n">
        <v>23248</v>
      </c>
    </row>
    <row r="2083">
      <c r="A2083" t="inlineStr">
        <is>
          <t>232|二级普通怪</t>
        </is>
      </c>
      <c r="B2083" t="n">
        <v>232</v>
      </c>
      <c r="C2083" t="inlineStr">
        <is>
          <t>二级普通怪</t>
        </is>
      </c>
      <c r="D2083" t="n">
        <v>434684</v>
      </c>
      <c r="E2083" t="n">
        <v>25555</v>
      </c>
      <c r="F2083" t="n">
        <v>23248</v>
      </c>
    </row>
    <row r="2084">
      <c r="A2084" t="inlineStr">
        <is>
          <t>232|站桩怪</t>
        </is>
      </c>
      <c r="B2084" t="n">
        <v>232</v>
      </c>
      <c r="C2084" t="inlineStr">
        <is>
          <t>站桩怪</t>
        </is>
      </c>
      <c r="D2084" t="n">
        <v>120746</v>
      </c>
      <c r="E2084" t="n">
        <v>25555</v>
      </c>
      <c r="F2084" t="n">
        <v>23248</v>
      </c>
    </row>
    <row r="2085">
      <c r="A2085" t="inlineStr">
        <is>
          <t>232|炮灰怪</t>
        </is>
      </c>
      <c r="B2085" t="n">
        <v>232</v>
      </c>
      <c r="C2085" t="inlineStr">
        <is>
          <t>炮灰怪</t>
        </is>
      </c>
      <c r="D2085" t="n">
        <v>36224</v>
      </c>
      <c r="E2085" t="n">
        <v>25555</v>
      </c>
      <c r="F2085" t="n">
        <v>23248</v>
      </c>
    </row>
    <row r="2086">
      <c r="A2086" t="inlineStr">
        <is>
          <t>232|精英怪</t>
        </is>
      </c>
      <c r="B2086" t="n">
        <v>232</v>
      </c>
      <c r="C2086" t="inlineStr">
        <is>
          <t>精英怪</t>
        </is>
      </c>
      <c r="D2086" t="n">
        <v>965964</v>
      </c>
      <c r="E2086" t="n">
        <v>25555</v>
      </c>
      <c r="F2086" t="n">
        <v>23248</v>
      </c>
    </row>
    <row r="2087">
      <c r="A2087" t="inlineStr">
        <is>
          <t>232|精英盾怪</t>
        </is>
      </c>
      <c r="B2087" t="n">
        <v>232</v>
      </c>
      <c r="C2087" t="inlineStr">
        <is>
          <t>精英盾怪</t>
        </is>
      </c>
      <c r="D2087" t="n">
        <v>2173419</v>
      </c>
      <c r="E2087" t="n">
        <v>25555</v>
      </c>
      <c r="F2087" t="n">
        <v>23248</v>
      </c>
    </row>
    <row r="2088">
      <c r="A2088" t="inlineStr">
        <is>
          <t>232|Boss</t>
        </is>
      </c>
      <c r="B2088" t="n">
        <v>232</v>
      </c>
      <c r="C2088" t="inlineStr">
        <is>
          <t>Boss</t>
        </is>
      </c>
      <c r="D2088" t="n">
        <v>22308970</v>
      </c>
      <c r="E2088" t="n">
        <v>28501</v>
      </c>
      <c r="F2088" t="n">
        <v>23248</v>
      </c>
    </row>
    <row r="2089">
      <c r="A2089" t="inlineStr">
        <is>
          <t>232|装备副本Boss</t>
        </is>
      </c>
      <c r="B2089" t="n">
        <v>232</v>
      </c>
      <c r="C2089" t="inlineStr">
        <is>
          <t>装备副本Boss</t>
        </is>
      </c>
      <c r="D2089" t="n">
        <v>11154485</v>
      </c>
      <c r="E2089" t="n">
        <v>28501</v>
      </c>
      <c r="F2089" t="n">
        <v>23248</v>
      </c>
    </row>
    <row r="2090">
      <c r="A2090" t="inlineStr">
        <is>
          <t>233|普通怪</t>
        </is>
      </c>
      <c r="B2090" t="n">
        <v>233</v>
      </c>
      <c r="C2090" t="inlineStr">
        <is>
          <t>普通怪</t>
        </is>
      </c>
      <c r="D2090" t="n">
        <v>244168</v>
      </c>
      <c r="E2090" t="n">
        <v>25764</v>
      </c>
      <c r="F2090" t="n">
        <v>23374</v>
      </c>
    </row>
    <row r="2091">
      <c r="A2091" t="inlineStr">
        <is>
          <t>233|盾怪</t>
        </is>
      </c>
      <c r="B2091" t="n">
        <v>233</v>
      </c>
      <c r="C2091" t="inlineStr">
        <is>
          <t>盾怪</t>
        </is>
      </c>
      <c r="D2091" t="n">
        <v>732504</v>
      </c>
      <c r="E2091" t="n">
        <v>25764</v>
      </c>
      <c r="F2091" t="n">
        <v>23374</v>
      </c>
    </row>
    <row r="2092">
      <c r="A2092" t="inlineStr">
        <is>
          <t>233|二级普通怪</t>
        </is>
      </c>
      <c r="B2092" t="n">
        <v>233</v>
      </c>
      <c r="C2092" t="inlineStr">
        <is>
          <t>二级普通怪</t>
        </is>
      </c>
      <c r="D2092" t="n">
        <v>439503</v>
      </c>
      <c r="E2092" t="n">
        <v>25764</v>
      </c>
      <c r="F2092" t="n">
        <v>23374</v>
      </c>
    </row>
    <row r="2093">
      <c r="A2093" t="inlineStr">
        <is>
          <t>233|站桩怪</t>
        </is>
      </c>
      <c r="B2093" t="n">
        <v>233</v>
      </c>
      <c r="C2093" t="inlineStr">
        <is>
          <t>站桩怪</t>
        </is>
      </c>
      <c r="D2093" t="n">
        <v>122084</v>
      </c>
      <c r="E2093" t="n">
        <v>25764</v>
      </c>
      <c r="F2093" t="n">
        <v>23374</v>
      </c>
    </row>
    <row r="2094">
      <c r="A2094" t="inlineStr">
        <is>
          <t>233|炮灰怪</t>
        </is>
      </c>
      <c r="B2094" t="n">
        <v>233</v>
      </c>
      <c r="C2094" t="inlineStr">
        <is>
          <t>炮灰怪</t>
        </is>
      </c>
      <c r="D2094" t="n">
        <v>36626</v>
      </c>
      <c r="E2094" t="n">
        <v>25764</v>
      </c>
      <c r="F2094" t="n">
        <v>23374</v>
      </c>
    </row>
    <row r="2095">
      <c r="A2095" t="inlineStr">
        <is>
          <t>233|精英怪</t>
        </is>
      </c>
      <c r="B2095" t="n">
        <v>233</v>
      </c>
      <c r="C2095" t="inlineStr">
        <is>
          <t>精英怪</t>
        </is>
      </c>
      <c r="D2095" t="n">
        <v>976672</v>
      </c>
      <c r="E2095" t="n">
        <v>25764</v>
      </c>
      <c r="F2095" t="n">
        <v>23374</v>
      </c>
    </row>
    <row r="2096">
      <c r="A2096" t="inlineStr">
        <is>
          <t>233|精英盾怪</t>
        </is>
      </c>
      <c r="B2096" t="n">
        <v>233</v>
      </c>
      <c r="C2096" t="inlineStr">
        <is>
          <t>精英盾怪</t>
        </is>
      </c>
      <c r="D2096" t="n">
        <v>2197512</v>
      </c>
      <c r="E2096" t="n">
        <v>25764</v>
      </c>
      <c r="F2096" t="n">
        <v>23374</v>
      </c>
    </row>
    <row r="2097">
      <c r="A2097" t="inlineStr">
        <is>
          <t>233|Boss</t>
        </is>
      </c>
      <c r="B2097" t="n">
        <v>233</v>
      </c>
      <c r="C2097" t="inlineStr">
        <is>
          <t>Boss</t>
        </is>
      </c>
      <c r="D2097" t="n">
        <v>22574823</v>
      </c>
      <c r="E2097" t="n">
        <v>28724</v>
      </c>
      <c r="F2097" t="n">
        <v>23374</v>
      </c>
    </row>
    <row r="2098">
      <c r="A2098" t="inlineStr">
        <is>
          <t>233|装备副本Boss</t>
        </is>
      </c>
      <c r="B2098" t="n">
        <v>233</v>
      </c>
      <c r="C2098" t="inlineStr">
        <is>
          <t>装备副本Boss</t>
        </is>
      </c>
      <c r="D2098" t="n">
        <v>11287412</v>
      </c>
      <c r="E2098" t="n">
        <v>28724</v>
      </c>
      <c r="F2098" t="n">
        <v>23374</v>
      </c>
    </row>
    <row r="2099">
      <c r="A2099" t="inlineStr">
        <is>
          <t>234|普通怪</t>
        </is>
      </c>
      <c r="B2099" t="n">
        <v>234</v>
      </c>
      <c r="C2099" t="inlineStr">
        <is>
          <t>普通怪</t>
        </is>
      </c>
      <c r="D2099" t="n">
        <v>246867</v>
      </c>
      <c r="E2099" t="n">
        <v>25972</v>
      </c>
      <c r="F2099" t="n">
        <v>23501</v>
      </c>
    </row>
    <row r="2100">
      <c r="A2100" t="inlineStr">
        <is>
          <t>234|盾怪</t>
        </is>
      </c>
      <c r="B2100" t="n">
        <v>234</v>
      </c>
      <c r="C2100" t="inlineStr">
        <is>
          <t>盾怪</t>
        </is>
      </c>
      <c r="D2100" t="n">
        <v>740601</v>
      </c>
      <c r="E2100" t="n">
        <v>25972</v>
      </c>
      <c r="F2100" t="n">
        <v>23501</v>
      </c>
    </row>
    <row r="2101">
      <c r="A2101" t="inlineStr">
        <is>
          <t>234|二级普通怪</t>
        </is>
      </c>
      <c r="B2101" t="n">
        <v>234</v>
      </c>
      <c r="C2101" t="inlineStr">
        <is>
          <t>二级普通怪</t>
        </is>
      </c>
      <c r="D2101" t="n">
        <v>444361</v>
      </c>
      <c r="E2101" t="n">
        <v>25972</v>
      </c>
      <c r="F2101" t="n">
        <v>23501</v>
      </c>
    </row>
    <row r="2102">
      <c r="A2102" t="inlineStr">
        <is>
          <t>234|站桩怪</t>
        </is>
      </c>
      <c r="B2102" t="n">
        <v>234</v>
      </c>
      <c r="C2102" t="inlineStr">
        <is>
          <t>站桩怪</t>
        </is>
      </c>
      <c r="D2102" t="n">
        <v>123434</v>
      </c>
      <c r="E2102" t="n">
        <v>25972</v>
      </c>
      <c r="F2102" t="n">
        <v>23501</v>
      </c>
    </row>
    <row r="2103">
      <c r="A2103" t="inlineStr">
        <is>
          <t>234|炮灰怪</t>
        </is>
      </c>
      <c r="B2103" t="n">
        <v>234</v>
      </c>
      <c r="C2103" t="inlineStr">
        <is>
          <t>炮灰怪</t>
        </is>
      </c>
      <c r="D2103" t="n">
        <v>37031</v>
      </c>
      <c r="E2103" t="n">
        <v>25972</v>
      </c>
      <c r="F2103" t="n">
        <v>23501</v>
      </c>
    </row>
    <row r="2104">
      <c r="A2104" t="inlineStr">
        <is>
          <t>234|精英怪</t>
        </is>
      </c>
      <c r="B2104" t="n">
        <v>234</v>
      </c>
      <c r="C2104" t="inlineStr">
        <is>
          <t>精英怪</t>
        </is>
      </c>
      <c r="D2104" t="n">
        <v>987468</v>
      </c>
      <c r="E2104" t="n">
        <v>25972</v>
      </c>
      <c r="F2104" t="n">
        <v>23501</v>
      </c>
    </row>
    <row r="2105">
      <c r="A2105" t="inlineStr">
        <is>
          <t>234|精英盾怪</t>
        </is>
      </c>
      <c r="B2105" t="n">
        <v>234</v>
      </c>
      <c r="C2105" t="inlineStr">
        <is>
          <t>精英盾怪</t>
        </is>
      </c>
      <c r="D2105" t="n">
        <v>2221803</v>
      </c>
      <c r="E2105" t="n">
        <v>25972</v>
      </c>
      <c r="F2105" t="n">
        <v>23501</v>
      </c>
    </row>
    <row r="2106">
      <c r="A2106" t="inlineStr">
        <is>
          <t>234|Boss</t>
        </is>
      </c>
      <c r="B2106" t="n">
        <v>234</v>
      </c>
      <c r="C2106" t="inlineStr">
        <is>
          <t>Boss</t>
        </is>
      </c>
      <c r="D2106" t="n">
        <v>22843074</v>
      </c>
      <c r="E2106" t="n">
        <v>28947</v>
      </c>
      <c r="F2106" t="n">
        <v>23501</v>
      </c>
    </row>
    <row r="2107">
      <c r="A2107" t="inlineStr">
        <is>
          <t>234|装备副本Boss</t>
        </is>
      </c>
      <c r="B2107" t="n">
        <v>234</v>
      </c>
      <c r="C2107" t="inlineStr">
        <is>
          <t>装备副本Boss</t>
        </is>
      </c>
      <c r="D2107" t="n">
        <v>11421537</v>
      </c>
      <c r="E2107" t="n">
        <v>28947</v>
      </c>
      <c r="F2107" t="n">
        <v>23501</v>
      </c>
    </row>
    <row r="2108">
      <c r="A2108" t="inlineStr">
        <is>
          <t>235|普通怪</t>
        </is>
      </c>
      <c r="B2108" t="n">
        <v>235</v>
      </c>
      <c r="C2108" t="inlineStr">
        <is>
          <t>普通怪</t>
        </is>
      </c>
      <c r="D2108" t="n">
        <v>249588</v>
      </c>
      <c r="E2108" t="n">
        <v>26182</v>
      </c>
      <c r="F2108" t="n">
        <v>23629</v>
      </c>
    </row>
    <row r="2109">
      <c r="A2109" t="inlineStr">
        <is>
          <t>235|盾怪</t>
        </is>
      </c>
      <c r="B2109" t="n">
        <v>235</v>
      </c>
      <c r="C2109" t="inlineStr">
        <is>
          <t>盾怪</t>
        </is>
      </c>
      <c r="D2109" t="n">
        <v>748764</v>
      </c>
      <c r="E2109" t="n">
        <v>26182</v>
      </c>
      <c r="F2109" t="n">
        <v>23629</v>
      </c>
    </row>
    <row r="2110">
      <c r="A2110" t="inlineStr">
        <is>
          <t>235|二级普通怪</t>
        </is>
      </c>
      <c r="B2110" t="n">
        <v>235</v>
      </c>
      <c r="C2110" t="inlineStr">
        <is>
          <t>二级普通怪</t>
        </is>
      </c>
      <c r="D2110" t="n">
        <v>449259</v>
      </c>
      <c r="E2110" t="n">
        <v>26182</v>
      </c>
      <c r="F2110" t="n">
        <v>23629</v>
      </c>
    </row>
    <row r="2111">
      <c r="A2111" t="inlineStr">
        <is>
          <t>235|站桩怪</t>
        </is>
      </c>
      <c r="B2111" t="n">
        <v>235</v>
      </c>
      <c r="C2111" t="inlineStr">
        <is>
          <t>站桩怪</t>
        </is>
      </c>
      <c r="D2111" t="n">
        <v>124794</v>
      </c>
      <c r="E2111" t="n">
        <v>26182</v>
      </c>
      <c r="F2111" t="n">
        <v>23629</v>
      </c>
    </row>
    <row r="2112">
      <c r="A2112" t="inlineStr">
        <is>
          <t>235|炮灰怪</t>
        </is>
      </c>
      <c r="B2112" t="n">
        <v>235</v>
      </c>
      <c r="C2112" t="inlineStr">
        <is>
          <t>炮灰怪</t>
        </is>
      </c>
      <c r="D2112" t="n">
        <v>37439</v>
      </c>
      <c r="E2112" t="n">
        <v>26182</v>
      </c>
      <c r="F2112" t="n">
        <v>23629</v>
      </c>
    </row>
    <row r="2113">
      <c r="A2113" t="inlineStr">
        <is>
          <t>235|精英怪</t>
        </is>
      </c>
      <c r="B2113" t="n">
        <v>235</v>
      </c>
      <c r="C2113" t="inlineStr">
        <is>
          <t>精英怪</t>
        </is>
      </c>
      <c r="D2113" t="n">
        <v>998352</v>
      </c>
      <c r="E2113" t="n">
        <v>26182</v>
      </c>
      <c r="F2113" t="n">
        <v>23629</v>
      </c>
    </row>
    <row r="2114">
      <c r="A2114" t="inlineStr">
        <is>
          <t>235|精英盾怪</t>
        </is>
      </c>
      <c r="B2114" t="n">
        <v>235</v>
      </c>
      <c r="C2114" t="inlineStr">
        <is>
          <t>精英盾怪</t>
        </is>
      </c>
      <c r="D2114" t="n">
        <v>2246292</v>
      </c>
      <c r="E2114" t="n">
        <v>26182</v>
      </c>
      <c r="F2114" t="n">
        <v>23629</v>
      </c>
    </row>
    <row r="2115">
      <c r="A2115" t="inlineStr">
        <is>
          <t>235|Boss</t>
        </is>
      </c>
      <c r="B2115" t="n">
        <v>235</v>
      </c>
      <c r="C2115" t="inlineStr">
        <is>
          <t>Boss</t>
        </is>
      </c>
      <c r="D2115" t="n">
        <v>23113723</v>
      </c>
      <c r="E2115" t="n">
        <v>29172</v>
      </c>
      <c r="F2115" t="n">
        <v>23629</v>
      </c>
    </row>
    <row r="2116">
      <c r="A2116" t="inlineStr">
        <is>
          <t>235|装备副本Boss</t>
        </is>
      </c>
      <c r="B2116" t="n">
        <v>235</v>
      </c>
      <c r="C2116" t="inlineStr">
        <is>
          <t>装备副本Boss</t>
        </is>
      </c>
      <c r="D2116" t="n">
        <v>11556861</v>
      </c>
      <c r="E2116" t="n">
        <v>29172</v>
      </c>
      <c r="F2116" t="n">
        <v>23629</v>
      </c>
    </row>
    <row r="2117">
      <c r="A2117" t="inlineStr">
        <is>
          <t>236|普通怪</t>
        </is>
      </c>
      <c r="B2117" t="n">
        <v>236</v>
      </c>
      <c r="C2117" t="inlineStr">
        <is>
          <t>普通怪</t>
        </is>
      </c>
      <c r="D2117" t="n">
        <v>252332</v>
      </c>
      <c r="E2117" t="n">
        <v>26393</v>
      </c>
      <c r="F2117" t="n">
        <v>23756</v>
      </c>
    </row>
    <row r="2118">
      <c r="A2118" t="inlineStr">
        <is>
          <t>236|盾怪</t>
        </is>
      </c>
      <c r="B2118" t="n">
        <v>236</v>
      </c>
      <c r="C2118" t="inlineStr">
        <is>
          <t>盾怪</t>
        </is>
      </c>
      <c r="D2118" t="n">
        <v>756996</v>
      </c>
      <c r="E2118" t="n">
        <v>26393</v>
      </c>
      <c r="F2118" t="n">
        <v>23756</v>
      </c>
    </row>
    <row r="2119">
      <c r="A2119" t="inlineStr">
        <is>
          <t>236|二级普通怪</t>
        </is>
      </c>
      <c r="B2119" t="n">
        <v>236</v>
      </c>
      <c r="C2119" t="inlineStr">
        <is>
          <t>二级普通怪</t>
        </is>
      </c>
      <c r="D2119" t="n">
        <v>454198</v>
      </c>
      <c r="E2119" t="n">
        <v>26393</v>
      </c>
      <c r="F2119" t="n">
        <v>23756</v>
      </c>
    </row>
    <row r="2120">
      <c r="A2120" t="inlineStr">
        <is>
          <t>236|站桩怪</t>
        </is>
      </c>
      <c r="B2120" t="n">
        <v>236</v>
      </c>
      <c r="C2120" t="inlineStr">
        <is>
          <t>站桩怪</t>
        </is>
      </c>
      <c r="D2120" t="n">
        <v>126166</v>
      </c>
      <c r="E2120" t="n">
        <v>26393</v>
      </c>
      <c r="F2120" t="n">
        <v>23756</v>
      </c>
    </row>
    <row r="2121">
      <c r="A2121" t="inlineStr">
        <is>
          <t>236|炮灰怪</t>
        </is>
      </c>
      <c r="B2121" t="n">
        <v>236</v>
      </c>
      <c r="C2121" t="inlineStr">
        <is>
          <t>炮灰怪</t>
        </is>
      </c>
      <c r="D2121" t="n">
        <v>37850</v>
      </c>
      <c r="E2121" t="n">
        <v>26393</v>
      </c>
      <c r="F2121" t="n">
        <v>23756</v>
      </c>
    </row>
    <row r="2122">
      <c r="A2122" t="inlineStr">
        <is>
          <t>236|精英怪</t>
        </is>
      </c>
      <c r="B2122" t="n">
        <v>236</v>
      </c>
      <c r="C2122" t="inlineStr">
        <is>
          <t>精英怪</t>
        </is>
      </c>
      <c r="D2122" t="n">
        <v>1009328</v>
      </c>
      <c r="E2122" t="n">
        <v>26393</v>
      </c>
      <c r="F2122" t="n">
        <v>23756</v>
      </c>
    </row>
    <row r="2123">
      <c r="A2123" t="inlineStr">
        <is>
          <t>236|精英盾怪</t>
        </is>
      </c>
      <c r="B2123" t="n">
        <v>236</v>
      </c>
      <c r="C2123" t="inlineStr">
        <is>
          <t>精英盾怪</t>
        </is>
      </c>
      <c r="D2123" t="n">
        <v>2270988</v>
      </c>
      <c r="E2123" t="n">
        <v>26393</v>
      </c>
      <c r="F2123" t="n">
        <v>23756</v>
      </c>
    </row>
    <row r="2124">
      <c r="A2124" t="inlineStr">
        <is>
          <t>236|Boss</t>
        </is>
      </c>
      <c r="B2124" t="n">
        <v>236</v>
      </c>
      <c r="C2124" t="inlineStr">
        <is>
          <t>Boss</t>
        </is>
      </c>
      <c r="D2124" t="n">
        <v>23386819</v>
      </c>
      <c r="E2124" t="n">
        <v>29397</v>
      </c>
      <c r="F2124" t="n">
        <v>23756</v>
      </c>
    </row>
    <row r="2125">
      <c r="A2125" t="inlineStr">
        <is>
          <t>236|装备副本Boss</t>
        </is>
      </c>
      <c r="B2125" t="n">
        <v>236</v>
      </c>
      <c r="C2125" t="inlineStr">
        <is>
          <t>装备副本Boss</t>
        </is>
      </c>
      <c r="D2125" t="n">
        <v>11693410</v>
      </c>
      <c r="E2125" t="n">
        <v>29397</v>
      </c>
      <c r="F2125" t="n">
        <v>23756</v>
      </c>
    </row>
    <row r="2126">
      <c r="A2126" t="inlineStr">
        <is>
          <t>237|普通怪</t>
        </is>
      </c>
      <c r="B2126" t="n">
        <v>237</v>
      </c>
      <c r="C2126" t="inlineStr">
        <is>
          <t>普通怪</t>
        </is>
      </c>
      <c r="D2126" t="n">
        <v>255098</v>
      </c>
      <c r="E2126" t="n">
        <v>26605</v>
      </c>
      <c r="F2126" t="n">
        <v>23884</v>
      </c>
    </row>
    <row r="2127">
      <c r="A2127" t="inlineStr">
        <is>
          <t>237|盾怪</t>
        </is>
      </c>
      <c r="B2127" t="n">
        <v>237</v>
      </c>
      <c r="C2127" t="inlineStr">
        <is>
          <t>盾怪</t>
        </is>
      </c>
      <c r="D2127" t="n">
        <v>765294</v>
      </c>
      <c r="E2127" t="n">
        <v>26605</v>
      </c>
      <c r="F2127" t="n">
        <v>23884</v>
      </c>
    </row>
    <row r="2128">
      <c r="A2128" t="inlineStr">
        <is>
          <t>237|二级普通怪</t>
        </is>
      </c>
      <c r="B2128" t="n">
        <v>237</v>
      </c>
      <c r="C2128" t="inlineStr">
        <is>
          <t>二级普通怪</t>
        </is>
      </c>
      <c r="D2128" t="n">
        <v>459177</v>
      </c>
      <c r="E2128" t="n">
        <v>26605</v>
      </c>
      <c r="F2128" t="n">
        <v>23884</v>
      </c>
    </row>
    <row r="2129">
      <c r="A2129" t="inlineStr">
        <is>
          <t>237|站桩怪</t>
        </is>
      </c>
      <c r="B2129" t="n">
        <v>237</v>
      </c>
      <c r="C2129" t="inlineStr">
        <is>
          <t>站桩怪</t>
        </is>
      </c>
      <c r="D2129" t="n">
        <v>127549</v>
      </c>
      <c r="E2129" t="n">
        <v>26605</v>
      </c>
      <c r="F2129" t="n">
        <v>23884</v>
      </c>
    </row>
    <row r="2130">
      <c r="A2130" t="inlineStr">
        <is>
          <t>237|炮灰怪</t>
        </is>
      </c>
      <c r="B2130" t="n">
        <v>237</v>
      </c>
      <c r="C2130" t="inlineStr">
        <is>
          <t>炮灰怪</t>
        </is>
      </c>
      <c r="D2130" t="n">
        <v>38265</v>
      </c>
      <c r="E2130" t="n">
        <v>26605</v>
      </c>
      <c r="F2130" t="n">
        <v>23884</v>
      </c>
    </row>
    <row r="2131">
      <c r="A2131" t="inlineStr">
        <is>
          <t>237|精英怪</t>
        </is>
      </c>
      <c r="B2131" t="n">
        <v>237</v>
      </c>
      <c r="C2131" t="inlineStr">
        <is>
          <t>精英怪</t>
        </is>
      </c>
      <c r="D2131" t="n">
        <v>1020392</v>
      </c>
      <c r="E2131" t="n">
        <v>26605</v>
      </c>
      <c r="F2131" t="n">
        <v>23884</v>
      </c>
    </row>
    <row r="2132">
      <c r="A2132" t="inlineStr">
        <is>
          <t>237|精英盾怪</t>
        </is>
      </c>
      <c r="B2132" t="n">
        <v>237</v>
      </c>
      <c r="C2132" t="inlineStr">
        <is>
          <t>精英盾怪</t>
        </is>
      </c>
      <c r="D2132" t="n">
        <v>2295882</v>
      </c>
      <c r="E2132" t="n">
        <v>26605</v>
      </c>
      <c r="F2132" t="n">
        <v>23884</v>
      </c>
    </row>
    <row r="2133">
      <c r="A2133" t="inlineStr">
        <is>
          <t>237|Boss</t>
        </is>
      </c>
      <c r="B2133" t="n">
        <v>237</v>
      </c>
      <c r="C2133" t="inlineStr">
        <is>
          <t>Boss</t>
        </is>
      </c>
      <c r="D2133" t="n">
        <v>23662313</v>
      </c>
      <c r="E2133" t="n">
        <v>29624</v>
      </c>
      <c r="F2133" t="n">
        <v>23884</v>
      </c>
    </row>
    <row r="2134">
      <c r="A2134" t="inlineStr">
        <is>
          <t>237|装备副本Boss</t>
        </is>
      </c>
      <c r="B2134" t="n">
        <v>237</v>
      </c>
      <c r="C2134" t="inlineStr">
        <is>
          <t>装备副本Boss</t>
        </is>
      </c>
      <c r="D2134" t="n">
        <v>11831157</v>
      </c>
      <c r="E2134" t="n">
        <v>29624</v>
      </c>
      <c r="F2134" t="n">
        <v>23884</v>
      </c>
    </row>
    <row r="2135">
      <c r="A2135" t="inlineStr">
        <is>
          <t>238|普通怪</t>
        </is>
      </c>
      <c r="B2135" t="n">
        <v>238</v>
      </c>
      <c r="C2135" t="inlineStr">
        <is>
          <t>普通怪</t>
        </is>
      </c>
      <c r="D2135" t="n">
        <v>257887</v>
      </c>
      <c r="E2135" t="n">
        <v>26819</v>
      </c>
      <c r="F2135" t="n">
        <v>24011</v>
      </c>
    </row>
    <row r="2136">
      <c r="A2136" t="inlineStr">
        <is>
          <t>238|盾怪</t>
        </is>
      </c>
      <c r="B2136" t="n">
        <v>238</v>
      </c>
      <c r="C2136" t="inlineStr">
        <is>
          <t>盾怪</t>
        </is>
      </c>
      <c r="D2136" t="n">
        <v>773661</v>
      </c>
      <c r="E2136" t="n">
        <v>26819</v>
      </c>
      <c r="F2136" t="n">
        <v>24011</v>
      </c>
    </row>
    <row r="2137">
      <c r="A2137" t="inlineStr">
        <is>
          <t>238|二级普通怪</t>
        </is>
      </c>
      <c r="B2137" t="n">
        <v>238</v>
      </c>
      <c r="C2137" t="inlineStr">
        <is>
          <t>二级普通怪</t>
        </is>
      </c>
      <c r="D2137" t="n">
        <v>464197</v>
      </c>
      <c r="E2137" t="n">
        <v>26819</v>
      </c>
      <c r="F2137" t="n">
        <v>24011</v>
      </c>
    </row>
    <row r="2138">
      <c r="A2138" t="inlineStr">
        <is>
          <t>238|站桩怪</t>
        </is>
      </c>
      <c r="B2138" t="n">
        <v>238</v>
      </c>
      <c r="C2138" t="inlineStr">
        <is>
          <t>站桩怪</t>
        </is>
      </c>
      <c r="D2138" t="n">
        <v>128944</v>
      </c>
      <c r="E2138" t="n">
        <v>26819</v>
      </c>
      <c r="F2138" t="n">
        <v>24011</v>
      </c>
    </row>
    <row r="2139">
      <c r="A2139" t="inlineStr">
        <is>
          <t>238|炮灰怪</t>
        </is>
      </c>
      <c r="B2139" t="n">
        <v>238</v>
      </c>
      <c r="C2139" t="inlineStr">
        <is>
          <t>炮灰怪</t>
        </is>
      </c>
      <c r="D2139" t="n">
        <v>38684</v>
      </c>
      <c r="E2139" t="n">
        <v>26819</v>
      </c>
      <c r="F2139" t="n">
        <v>24011</v>
      </c>
    </row>
    <row r="2140">
      <c r="A2140" t="inlineStr">
        <is>
          <t>238|精英怪</t>
        </is>
      </c>
      <c r="B2140" t="n">
        <v>238</v>
      </c>
      <c r="C2140" t="inlineStr">
        <is>
          <t>精英怪</t>
        </is>
      </c>
      <c r="D2140" t="n">
        <v>1031548</v>
      </c>
      <c r="E2140" t="n">
        <v>26819</v>
      </c>
      <c r="F2140" t="n">
        <v>24011</v>
      </c>
    </row>
    <row r="2141">
      <c r="A2141" t="inlineStr">
        <is>
          <t>238|精英盾怪</t>
        </is>
      </c>
      <c r="B2141" t="n">
        <v>238</v>
      </c>
      <c r="C2141" t="inlineStr">
        <is>
          <t>精英盾怪</t>
        </is>
      </c>
      <c r="D2141" t="n">
        <v>2320983</v>
      </c>
      <c r="E2141" t="n">
        <v>26819</v>
      </c>
      <c r="F2141" t="n">
        <v>24011</v>
      </c>
    </row>
    <row r="2142">
      <c r="A2142" t="inlineStr">
        <is>
          <t>238|Boss</t>
        </is>
      </c>
      <c r="B2142" t="n">
        <v>238</v>
      </c>
      <c r="C2142" t="inlineStr">
        <is>
          <t>Boss</t>
        </is>
      </c>
      <c r="D2142" t="n">
        <v>23940306</v>
      </c>
      <c r="E2142" t="n">
        <v>29853</v>
      </c>
      <c r="F2142" t="n">
        <v>24011</v>
      </c>
    </row>
    <row r="2143">
      <c r="A2143" t="inlineStr">
        <is>
          <t>238|装备副本Boss</t>
        </is>
      </c>
      <c r="B2143" t="n">
        <v>238</v>
      </c>
      <c r="C2143" t="inlineStr">
        <is>
          <t>装备副本Boss</t>
        </is>
      </c>
      <c r="D2143" t="n">
        <v>11970153</v>
      </c>
      <c r="E2143" t="n">
        <v>29853</v>
      </c>
      <c r="F2143" t="n">
        <v>24011</v>
      </c>
    </row>
    <row r="2144">
      <c r="A2144" t="inlineStr">
        <is>
          <t>239|普通怪</t>
        </is>
      </c>
      <c r="B2144" t="n">
        <v>239</v>
      </c>
      <c r="C2144" t="inlineStr">
        <is>
          <t>普通怪</t>
        </is>
      </c>
      <c r="D2144" t="n">
        <v>260698</v>
      </c>
      <c r="E2144" t="n">
        <v>27033</v>
      </c>
      <c r="F2144" t="n">
        <v>24139</v>
      </c>
    </row>
    <row r="2145">
      <c r="A2145" t="inlineStr">
        <is>
          <t>239|盾怪</t>
        </is>
      </c>
      <c r="B2145" t="n">
        <v>239</v>
      </c>
      <c r="C2145" t="inlineStr">
        <is>
          <t>盾怪</t>
        </is>
      </c>
      <c r="D2145" t="n">
        <v>782094</v>
      </c>
      <c r="E2145" t="n">
        <v>27033</v>
      </c>
      <c r="F2145" t="n">
        <v>24139</v>
      </c>
    </row>
    <row r="2146">
      <c r="A2146" t="inlineStr">
        <is>
          <t>239|二级普通怪</t>
        </is>
      </c>
      <c r="B2146" t="n">
        <v>239</v>
      </c>
      <c r="C2146" t="inlineStr">
        <is>
          <t>二级普通怪</t>
        </is>
      </c>
      <c r="D2146" t="n">
        <v>469257</v>
      </c>
      <c r="E2146" t="n">
        <v>27033</v>
      </c>
      <c r="F2146" t="n">
        <v>24139</v>
      </c>
    </row>
    <row r="2147">
      <c r="A2147" t="inlineStr">
        <is>
          <t>239|站桩怪</t>
        </is>
      </c>
      <c r="B2147" t="n">
        <v>239</v>
      </c>
      <c r="C2147" t="inlineStr">
        <is>
          <t>站桩怪</t>
        </is>
      </c>
      <c r="D2147" t="n">
        <v>130349</v>
      </c>
      <c r="E2147" t="n">
        <v>27033</v>
      </c>
      <c r="F2147" t="n">
        <v>24139</v>
      </c>
    </row>
    <row r="2148">
      <c r="A2148" t="inlineStr">
        <is>
          <t>239|炮灰怪</t>
        </is>
      </c>
      <c r="B2148" t="n">
        <v>239</v>
      </c>
      <c r="C2148" t="inlineStr">
        <is>
          <t>炮灰怪</t>
        </is>
      </c>
      <c r="D2148" t="n">
        <v>39105</v>
      </c>
      <c r="E2148" t="n">
        <v>27033</v>
      </c>
      <c r="F2148" t="n">
        <v>24139</v>
      </c>
    </row>
    <row r="2149">
      <c r="A2149" t="inlineStr">
        <is>
          <t>239|精英怪</t>
        </is>
      </c>
      <c r="B2149" t="n">
        <v>239</v>
      </c>
      <c r="C2149" t="inlineStr">
        <is>
          <t>精英怪</t>
        </is>
      </c>
      <c r="D2149" t="n">
        <v>1042792</v>
      </c>
      <c r="E2149" t="n">
        <v>27033</v>
      </c>
      <c r="F2149" t="n">
        <v>24139</v>
      </c>
    </row>
    <row r="2150">
      <c r="A2150" t="inlineStr">
        <is>
          <t>239|精英盾怪</t>
        </is>
      </c>
      <c r="B2150" t="n">
        <v>239</v>
      </c>
      <c r="C2150" t="inlineStr">
        <is>
          <t>精英盾怪</t>
        </is>
      </c>
      <c r="D2150" t="n">
        <v>2346282</v>
      </c>
      <c r="E2150" t="n">
        <v>27033</v>
      </c>
      <c r="F2150" t="n">
        <v>24139</v>
      </c>
    </row>
    <row r="2151">
      <c r="A2151" t="inlineStr">
        <is>
          <t>239|Boss</t>
        </is>
      </c>
      <c r="B2151" t="n">
        <v>239</v>
      </c>
      <c r="C2151" t="inlineStr">
        <is>
          <t>Boss</t>
        </is>
      </c>
      <c r="D2151" t="n">
        <v>24220697</v>
      </c>
      <c r="E2151" t="n">
        <v>30082</v>
      </c>
      <c r="F2151" t="n">
        <v>24139</v>
      </c>
    </row>
    <row r="2152">
      <c r="A2152" t="inlineStr">
        <is>
          <t>239|装备副本Boss</t>
        </is>
      </c>
      <c r="B2152" t="n">
        <v>239</v>
      </c>
      <c r="C2152" t="inlineStr">
        <is>
          <t>装备副本Boss</t>
        </is>
      </c>
      <c r="D2152" t="n">
        <v>12110348</v>
      </c>
      <c r="E2152" t="n">
        <v>30082</v>
      </c>
      <c r="F2152" t="n">
        <v>24139</v>
      </c>
    </row>
    <row r="2153">
      <c r="A2153" t="inlineStr">
        <is>
          <t>240|普通怪</t>
        </is>
      </c>
      <c r="B2153" t="n">
        <v>240</v>
      </c>
      <c r="C2153" t="inlineStr">
        <is>
          <t>普通怪</t>
        </is>
      </c>
      <c r="D2153" t="n">
        <v>263533</v>
      </c>
      <c r="E2153" t="n">
        <v>27250</v>
      </c>
      <c r="F2153" t="n">
        <v>24268</v>
      </c>
    </row>
    <row r="2154">
      <c r="A2154" t="inlineStr">
        <is>
          <t>240|盾怪</t>
        </is>
      </c>
      <c r="B2154" t="n">
        <v>240</v>
      </c>
      <c r="C2154" t="inlineStr">
        <is>
          <t>盾怪</t>
        </is>
      </c>
      <c r="D2154" t="n">
        <v>790599</v>
      </c>
      <c r="E2154" t="n">
        <v>27250</v>
      </c>
      <c r="F2154" t="n">
        <v>24268</v>
      </c>
    </row>
    <row r="2155">
      <c r="A2155" t="inlineStr">
        <is>
          <t>240|二级普通怪</t>
        </is>
      </c>
      <c r="B2155" t="n">
        <v>240</v>
      </c>
      <c r="C2155" t="inlineStr">
        <is>
          <t>二级普通怪</t>
        </is>
      </c>
      <c r="D2155" t="n">
        <v>474360</v>
      </c>
      <c r="E2155" t="n">
        <v>27250</v>
      </c>
      <c r="F2155" t="n">
        <v>24268</v>
      </c>
    </row>
    <row r="2156">
      <c r="A2156" t="inlineStr">
        <is>
          <t>240|站桩怪</t>
        </is>
      </c>
      <c r="B2156" t="n">
        <v>240</v>
      </c>
      <c r="C2156" t="inlineStr">
        <is>
          <t>站桩怪</t>
        </is>
      </c>
      <c r="D2156" t="n">
        <v>131767</v>
      </c>
      <c r="E2156" t="n">
        <v>27250</v>
      </c>
      <c r="F2156" t="n">
        <v>24268</v>
      </c>
    </row>
    <row r="2157">
      <c r="A2157" t="inlineStr">
        <is>
          <t>240|炮灰怪</t>
        </is>
      </c>
      <c r="B2157" t="n">
        <v>240</v>
      </c>
      <c r="C2157" t="inlineStr">
        <is>
          <t>炮灰怪</t>
        </is>
      </c>
      <c r="D2157" t="n">
        <v>39530</v>
      </c>
      <c r="E2157" t="n">
        <v>27250</v>
      </c>
      <c r="F2157" t="n">
        <v>24268</v>
      </c>
    </row>
    <row r="2158">
      <c r="A2158" t="inlineStr">
        <is>
          <t>240|精英怪</t>
        </is>
      </c>
      <c r="B2158" t="n">
        <v>240</v>
      </c>
      <c r="C2158" t="inlineStr">
        <is>
          <t>精英怪</t>
        </is>
      </c>
      <c r="D2158" t="n">
        <v>1054132</v>
      </c>
      <c r="E2158" t="n">
        <v>27250</v>
      </c>
      <c r="F2158" t="n">
        <v>24268</v>
      </c>
    </row>
    <row r="2159">
      <c r="A2159" t="inlineStr">
        <is>
          <t>240|精英盾怪</t>
        </is>
      </c>
      <c r="B2159" t="n">
        <v>240</v>
      </c>
      <c r="C2159" t="inlineStr">
        <is>
          <t>精英盾怪</t>
        </is>
      </c>
      <c r="D2159" t="n">
        <v>2371797</v>
      </c>
      <c r="E2159" t="n">
        <v>27250</v>
      </c>
      <c r="F2159" t="n">
        <v>24268</v>
      </c>
    </row>
    <row r="2160">
      <c r="A2160" t="inlineStr">
        <is>
          <t>240|Boss</t>
        </is>
      </c>
      <c r="B2160" t="n">
        <v>240</v>
      </c>
      <c r="C2160" t="inlineStr">
        <is>
          <t>Boss</t>
        </is>
      </c>
      <c r="D2160" t="n">
        <v>24503638</v>
      </c>
      <c r="E2160" t="n">
        <v>30313</v>
      </c>
      <c r="F2160" t="n">
        <v>24268</v>
      </c>
    </row>
    <row r="2161">
      <c r="A2161" t="inlineStr">
        <is>
          <t>240|装备副本Boss</t>
        </is>
      </c>
      <c r="B2161" t="n">
        <v>240</v>
      </c>
      <c r="C2161" t="inlineStr">
        <is>
          <t>装备副本Boss</t>
        </is>
      </c>
      <c r="D2161" t="n">
        <v>12251819</v>
      </c>
      <c r="E2161" t="n">
        <v>30313</v>
      </c>
      <c r="F2161" t="n">
        <v>24268</v>
      </c>
    </row>
    <row r="2162">
      <c r="A2162" t="inlineStr">
        <is>
          <t>241|普通怪</t>
        </is>
      </c>
      <c r="B2162" t="n">
        <v>241</v>
      </c>
      <c r="C2162" t="inlineStr">
        <is>
          <t>普通怪</t>
        </is>
      </c>
      <c r="D2162" t="n">
        <v>266390</v>
      </c>
      <c r="E2162" t="n">
        <v>27467</v>
      </c>
      <c r="F2162" t="n">
        <v>24396</v>
      </c>
    </row>
    <row r="2163">
      <c r="A2163" t="inlineStr">
        <is>
          <t>241|盾怪</t>
        </is>
      </c>
      <c r="B2163" t="n">
        <v>241</v>
      </c>
      <c r="C2163" t="inlineStr">
        <is>
          <t>盾怪</t>
        </is>
      </c>
      <c r="D2163" t="n">
        <v>799170</v>
      </c>
      <c r="E2163" t="n">
        <v>27467</v>
      </c>
      <c r="F2163" t="n">
        <v>24396</v>
      </c>
    </row>
    <row r="2164">
      <c r="A2164" t="inlineStr">
        <is>
          <t>241|二级普通怪</t>
        </is>
      </c>
      <c r="B2164" t="n">
        <v>241</v>
      </c>
      <c r="C2164" t="inlineStr">
        <is>
          <t>二级普通怪</t>
        </is>
      </c>
      <c r="D2164" t="n">
        <v>479502</v>
      </c>
      <c r="E2164" t="n">
        <v>27467</v>
      </c>
      <c r="F2164" t="n">
        <v>24396</v>
      </c>
    </row>
    <row r="2165">
      <c r="A2165" t="inlineStr">
        <is>
          <t>241|站桩怪</t>
        </is>
      </c>
      <c r="B2165" t="n">
        <v>241</v>
      </c>
      <c r="C2165" t="inlineStr">
        <is>
          <t>站桩怪</t>
        </is>
      </c>
      <c r="D2165" t="n">
        <v>133195</v>
      </c>
      <c r="E2165" t="n">
        <v>27467</v>
      </c>
      <c r="F2165" t="n">
        <v>24396</v>
      </c>
    </row>
    <row r="2166">
      <c r="A2166" t="inlineStr">
        <is>
          <t>241|炮灰怪</t>
        </is>
      </c>
      <c r="B2166" t="n">
        <v>241</v>
      </c>
      <c r="C2166" t="inlineStr">
        <is>
          <t>炮灰怪</t>
        </is>
      </c>
      <c r="D2166" t="n">
        <v>39959</v>
      </c>
      <c r="E2166" t="n">
        <v>27467</v>
      </c>
      <c r="F2166" t="n">
        <v>24396</v>
      </c>
    </row>
    <row r="2167">
      <c r="A2167" t="inlineStr">
        <is>
          <t>241|精英怪</t>
        </is>
      </c>
      <c r="B2167" t="n">
        <v>241</v>
      </c>
      <c r="C2167" t="inlineStr">
        <is>
          <t>精英怪</t>
        </is>
      </c>
      <c r="D2167" t="n">
        <v>1065560</v>
      </c>
      <c r="E2167" t="n">
        <v>27467</v>
      </c>
      <c r="F2167" t="n">
        <v>24396</v>
      </c>
    </row>
    <row r="2168">
      <c r="A2168" t="inlineStr">
        <is>
          <t>241|精英盾怪</t>
        </is>
      </c>
      <c r="B2168" t="n">
        <v>241</v>
      </c>
      <c r="C2168" t="inlineStr">
        <is>
          <t>精英盾怪</t>
        </is>
      </c>
      <c r="D2168" t="n">
        <v>2397510</v>
      </c>
      <c r="E2168" t="n">
        <v>27467</v>
      </c>
      <c r="F2168" t="n">
        <v>24396</v>
      </c>
    </row>
    <row r="2169">
      <c r="A2169" t="inlineStr">
        <is>
          <t>241|Boss</t>
        </is>
      </c>
      <c r="B2169" t="n">
        <v>241</v>
      </c>
      <c r="C2169" t="inlineStr">
        <is>
          <t>Boss</t>
        </is>
      </c>
      <c r="D2169" t="n">
        <v>24789027</v>
      </c>
      <c r="E2169" t="n">
        <v>30545</v>
      </c>
      <c r="F2169" t="n">
        <v>24396</v>
      </c>
    </row>
    <row r="2170">
      <c r="A2170" t="inlineStr">
        <is>
          <t>241|装备副本Boss</t>
        </is>
      </c>
      <c r="B2170" t="n">
        <v>241</v>
      </c>
      <c r="C2170" t="inlineStr">
        <is>
          <t>装备副本Boss</t>
        </is>
      </c>
      <c r="D2170" t="n">
        <v>12394513</v>
      </c>
      <c r="E2170" t="n">
        <v>30545</v>
      </c>
      <c r="F2170" t="n">
        <v>24396</v>
      </c>
    </row>
    <row r="2171">
      <c r="A2171" t="inlineStr">
        <is>
          <t>242|普通怪</t>
        </is>
      </c>
      <c r="B2171" t="n">
        <v>242</v>
      </c>
      <c r="C2171" t="inlineStr">
        <is>
          <t>普通怪</t>
        </is>
      </c>
      <c r="D2171" t="n">
        <v>269270</v>
      </c>
      <c r="E2171" t="n">
        <v>27685</v>
      </c>
      <c r="F2171" t="n">
        <v>24525</v>
      </c>
    </row>
    <row r="2172">
      <c r="A2172" t="inlineStr">
        <is>
          <t>242|盾怪</t>
        </is>
      </c>
      <c r="B2172" t="n">
        <v>242</v>
      </c>
      <c r="C2172" t="inlineStr">
        <is>
          <t>盾怪</t>
        </is>
      </c>
      <c r="D2172" t="n">
        <v>807810</v>
      </c>
      <c r="E2172" t="n">
        <v>27685</v>
      </c>
      <c r="F2172" t="n">
        <v>24525</v>
      </c>
    </row>
    <row r="2173">
      <c r="A2173" t="inlineStr">
        <is>
          <t>242|二级普通怪</t>
        </is>
      </c>
      <c r="B2173" t="n">
        <v>242</v>
      </c>
      <c r="C2173" t="inlineStr">
        <is>
          <t>二级普通怪</t>
        </is>
      </c>
      <c r="D2173" t="n">
        <v>484686</v>
      </c>
      <c r="E2173" t="n">
        <v>27685</v>
      </c>
      <c r="F2173" t="n">
        <v>24525</v>
      </c>
    </row>
    <row r="2174">
      <c r="A2174" t="inlineStr">
        <is>
          <t>242|站桩怪</t>
        </is>
      </c>
      <c r="B2174" t="n">
        <v>242</v>
      </c>
      <c r="C2174" t="inlineStr">
        <is>
          <t>站桩怪</t>
        </is>
      </c>
      <c r="D2174" t="n">
        <v>134635</v>
      </c>
      <c r="E2174" t="n">
        <v>27685</v>
      </c>
      <c r="F2174" t="n">
        <v>24525</v>
      </c>
    </row>
    <row r="2175">
      <c r="A2175" t="inlineStr">
        <is>
          <t>242|炮灰怪</t>
        </is>
      </c>
      <c r="B2175" t="n">
        <v>242</v>
      </c>
      <c r="C2175" t="inlineStr">
        <is>
          <t>炮灰怪</t>
        </is>
      </c>
      <c r="D2175" t="n">
        <v>40391</v>
      </c>
      <c r="E2175" t="n">
        <v>27685</v>
      </c>
      <c r="F2175" t="n">
        <v>24525</v>
      </c>
    </row>
    <row r="2176">
      <c r="A2176" t="inlineStr">
        <is>
          <t>242|精英怪</t>
        </is>
      </c>
      <c r="B2176" t="n">
        <v>242</v>
      </c>
      <c r="C2176" t="inlineStr">
        <is>
          <t>精英怪</t>
        </is>
      </c>
      <c r="D2176" t="n">
        <v>1077080</v>
      </c>
      <c r="E2176" t="n">
        <v>27685</v>
      </c>
      <c r="F2176" t="n">
        <v>24525</v>
      </c>
    </row>
    <row r="2177">
      <c r="A2177" t="inlineStr">
        <is>
          <t>242|精英盾怪</t>
        </is>
      </c>
      <c r="B2177" t="n">
        <v>242</v>
      </c>
      <c r="C2177" t="inlineStr">
        <is>
          <t>精英盾怪</t>
        </is>
      </c>
      <c r="D2177" t="n">
        <v>2423430</v>
      </c>
      <c r="E2177" t="n">
        <v>27685</v>
      </c>
      <c r="F2177" t="n">
        <v>24525</v>
      </c>
    </row>
    <row r="2178">
      <c r="A2178" t="inlineStr">
        <is>
          <t>242|Boss</t>
        </is>
      </c>
      <c r="B2178" t="n">
        <v>242</v>
      </c>
      <c r="C2178" t="inlineStr">
        <is>
          <t>Boss</t>
        </is>
      </c>
      <c r="D2178" t="n">
        <v>25076966</v>
      </c>
      <c r="E2178" t="n">
        <v>30778</v>
      </c>
      <c r="F2178" t="n">
        <v>24525</v>
      </c>
    </row>
    <row r="2179">
      <c r="A2179" t="inlineStr">
        <is>
          <t>242|装备副本Boss</t>
        </is>
      </c>
      <c r="B2179" t="n">
        <v>242</v>
      </c>
      <c r="C2179" t="inlineStr">
        <is>
          <t>装备副本Boss</t>
        </is>
      </c>
      <c r="D2179" t="n">
        <v>12538483</v>
      </c>
      <c r="E2179" t="n">
        <v>30778</v>
      </c>
      <c r="F2179" t="n">
        <v>24525</v>
      </c>
    </row>
    <row r="2180">
      <c r="A2180" t="inlineStr">
        <is>
          <t>243|普通怪</t>
        </is>
      </c>
      <c r="B2180" t="n">
        <v>243</v>
      </c>
      <c r="C2180" t="inlineStr">
        <is>
          <t>普通怪</t>
        </is>
      </c>
      <c r="D2180" t="n">
        <v>272174</v>
      </c>
      <c r="E2180" t="n">
        <v>27905</v>
      </c>
      <c r="F2180" t="n">
        <v>24654</v>
      </c>
    </row>
    <row r="2181">
      <c r="A2181" t="inlineStr">
        <is>
          <t>243|盾怪</t>
        </is>
      </c>
      <c r="B2181" t="n">
        <v>243</v>
      </c>
      <c r="C2181" t="inlineStr">
        <is>
          <t>盾怪</t>
        </is>
      </c>
      <c r="D2181" t="n">
        <v>816522</v>
      </c>
      <c r="E2181" t="n">
        <v>27905</v>
      </c>
      <c r="F2181" t="n">
        <v>24654</v>
      </c>
    </row>
    <row r="2182">
      <c r="A2182" t="inlineStr">
        <is>
          <t>243|二级普通怪</t>
        </is>
      </c>
      <c r="B2182" t="n">
        <v>243</v>
      </c>
      <c r="C2182" t="inlineStr">
        <is>
          <t>二级普通怪</t>
        </is>
      </c>
      <c r="D2182" t="n">
        <v>489914</v>
      </c>
      <c r="E2182" t="n">
        <v>27905</v>
      </c>
      <c r="F2182" t="n">
        <v>24654</v>
      </c>
    </row>
    <row r="2183">
      <c r="A2183" t="inlineStr">
        <is>
          <t>243|站桩怪</t>
        </is>
      </c>
      <c r="B2183" t="n">
        <v>243</v>
      </c>
      <c r="C2183" t="inlineStr">
        <is>
          <t>站桩怪</t>
        </is>
      </c>
      <c r="D2183" t="n">
        <v>136087</v>
      </c>
      <c r="E2183" t="n">
        <v>27905</v>
      </c>
      <c r="F2183" t="n">
        <v>24654</v>
      </c>
    </row>
    <row r="2184">
      <c r="A2184" t="inlineStr">
        <is>
          <t>243|炮灰怪</t>
        </is>
      </c>
      <c r="B2184" t="n">
        <v>243</v>
      </c>
      <c r="C2184" t="inlineStr">
        <is>
          <t>炮灰怪</t>
        </is>
      </c>
      <c r="D2184" t="n">
        <v>40827</v>
      </c>
      <c r="E2184" t="n">
        <v>27905</v>
      </c>
      <c r="F2184" t="n">
        <v>24654</v>
      </c>
    </row>
    <row r="2185">
      <c r="A2185" t="inlineStr">
        <is>
          <t>243|精英怪</t>
        </is>
      </c>
      <c r="B2185" t="n">
        <v>243</v>
      </c>
      <c r="C2185" t="inlineStr">
        <is>
          <t>精英怪</t>
        </is>
      </c>
      <c r="D2185" t="n">
        <v>1088696</v>
      </c>
      <c r="E2185" t="n">
        <v>27905</v>
      </c>
      <c r="F2185" t="n">
        <v>24654</v>
      </c>
    </row>
    <row r="2186">
      <c r="A2186" t="inlineStr">
        <is>
          <t>243|精英盾怪</t>
        </is>
      </c>
      <c r="B2186" t="n">
        <v>243</v>
      </c>
      <c r="C2186" t="inlineStr">
        <is>
          <t>精英盾怪</t>
        </is>
      </c>
      <c r="D2186" t="n">
        <v>2449566</v>
      </c>
      <c r="E2186" t="n">
        <v>27905</v>
      </c>
      <c r="F2186" t="n">
        <v>24654</v>
      </c>
    </row>
    <row r="2187">
      <c r="A2187" t="inlineStr">
        <is>
          <t>243|Boss</t>
        </is>
      </c>
      <c r="B2187" t="n">
        <v>243</v>
      </c>
      <c r="C2187" t="inlineStr">
        <is>
          <t>Boss</t>
        </is>
      </c>
      <c r="D2187" t="n">
        <v>25367456</v>
      </c>
      <c r="E2187" t="n">
        <v>31013</v>
      </c>
      <c r="F2187" t="n">
        <v>24654</v>
      </c>
    </row>
    <row r="2188">
      <c r="A2188" t="inlineStr">
        <is>
          <t>243|装备副本Boss</t>
        </is>
      </c>
      <c r="B2188" t="n">
        <v>243</v>
      </c>
      <c r="C2188" t="inlineStr">
        <is>
          <t>装备副本Boss</t>
        </is>
      </c>
      <c r="D2188" t="n">
        <v>12683728</v>
      </c>
      <c r="E2188" t="n">
        <v>31013</v>
      </c>
      <c r="F2188" t="n">
        <v>24654</v>
      </c>
    </row>
    <row r="2189">
      <c r="A2189" t="inlineStr">
        <is>
          <t>244|普通怪</t>
        </is>
      </c>
      <c r="B2189" t="n">
        <v>244</v>
      </c>
      <c r="C2189" t="inlineStr">
        <is>
          <t>普通怪</t>
        </is>
      </c>
      <c r="D2189" t="n">
        <v>275101</v>
      </c>
      <c r="E2189" t="n">
        <v>28125</v>
      </c>
      <c r="F2189" t="n">
        <v>24783</v>
      </c>
    </row>
    <row r="2190">
      <c r="A2190" t="inlineStr">
        <is>
          <t>244|盾怪</t>
        </is>
      </c>
      <c r="B2190" t="n">
        <v>244</v>
      </c>
      <c r="C2190" t="inlineStr">
        <is>
          <t>盾怪</t>
        </is>
      </c>
      <c r="D2190" t="n">
        <v>825303</v>
      </c>
      <c r="E2190" t="n">
        <v>28125</v>
      </c>
      <c r="F2190" t="n">
        <v>24783</v>
      </c>
    </row>
    <row r="2191">
      <c r="A2191" t="inlineStr">
        <is>
          <t>244|二级普通怪</t>
        </is>
      </c>
      <c r="B2191" t="n">
        <v>244</v>
      </c>
      <c r="C2191" t="inlineStr">
        <is>
          <t>二级普通怪</t>
        </is>
      </c>
      <c r="D2191" t="n">
        <v>495182</v>
      </c>
      <c r="E2191" t="n">
        <v>28125</v>
      </c>
      <c r="F2191" t="n">
        <v>24783</v>
      </c>
    </row>
    <row r="2192">
      <c r="A2192" t="inlineStr">
        <is>
          <t>244|站桩怪</t>
        </is>
      </c>
      <c r="B2192" t="n">
        <v>244</v>
      </c>
      <c r="C2192" t="inlineStr">
        <is>
          <t>站桩怪</t>
        </is>
      </c>
      <c r="D2192" t="n">
        <v>137551</v>
      </c>
      <c r="E2192" t="n">
        <v>28125</v>
      </c>
      <c r="F2192" t="n">
        <v>24783</v>
      </c>
    </row>
    <row r="2193">
      <c r="A2193" t="inlineStr">
        <is>
          <t>244|炮灰怪</t>
        </is>
      </c>
      <c r="B2193" t="n">
        <v>244</v>
      </c>
      <c r="C2193" t="inlineStr">
        <is>
          <t>炮灰怪</t>
        </is>
      </c>
      <c r="D2193" t="n">
        <v>41266</v>
      </c>
      <c r="E2193" t="n">
        <v>28125</v>
      </c>
      <c r="F2193" t="n">
        <v>24783</v>
      </c>
    </row>
    <row r="2194">
      <c r="A2194" t="inlineStr">
        <is>
          <t>244|精英怪</t>
        </is>
      </c>
      <c r="B2194" t="n">
        <v>244</v>
      </c>
      <c r="C2194" t="inlineStr">
        <is>
          <t>精英怪</t>
        </is>
      </c>
      <c r="D2194" t="n">
        <v>1100404</v>
      </c>
      <c r="E2194" t="n">
        <v>28125</v>
      </c>
      <c r="F2194" t="n">
        <v>24783</v>
      </c>
    </row>
    <row r="2195">
      <c r="A2195" t="inlineStr">
        <is>
          <t>244|精英盾怪</t>
        </is>
      </c>
      <c r="B2195" t="n">
        <v>244</v>
      </c>
      <c r="C2195" t="inlineStr">
        <is>
          <t>精英盾怪</t>
        </is>
      </c>
      <c r="D2195" t="n">
        <v>2475909</v>
      </c>
      <c r="E2195" t="n">
        <v>28125</v>
      </c>
      <c r="F2195" t="n">
        <v>24783</v>
      </c>
    </row>
    <row r="2196">
      <c r="A2196" t="inlineStr">
        <is>
          <t>244|Boss</t>
        </is>
      </c>
      <c r="B2196" t="n">
        <v>244</v>
      </c>
      <c r="C2196" t="inlineStr">
        <is>
          <t>Boss</t>
        </is>
      </c>
      <c r="D2196" t="n">
        <v>25660496</v>
      </c>
      <c r="E2196" t="n">
        <v>31248</v>
      </c>
      <c r="F2196" t="n">
        <v>24783</v>
      </c>
    </row>
    <row r="2197">
      <c r="A2197" t="inlineStr">
        <is>
          <t>244|装备副本Boss</t>
        </is>
      </c>
      <c r="B2197" t="n">
        <v>244</v>
      </c>
      <c r="C2197" t="inlineStr">
        <is>
          <t>装备副本Boss</t>
        </is>
      </c>
      <c r="D2197" t="n">
        <v>12830248</v>
      </c>
      <c r="E2197" t="n">
        <v>31248</v>
      </c>
      <c r="F2197" t="n">
        <v>24783</v>
      </c>
    </row>
    <row r="2198">
      <c r="A2198" t="inlineStr">
        <is>
          <t>245|普通怪</t>
        </is>
      </c>
      <c r="B2198" t="n">
        <v>245</v>
      </c>
      <c r="C2198" t="inlineStr">
        <is>
          <t>普通怪</t>
        </is>
      </c>
      <c r="D2198" t="n">
        <v>278051</v>
      </c>
      <c r="E2198" t="n">
        <v>28347</v>
      </c>
      <c r="F2198" t="n">
        <v>24913</v>
      </c>
    </row>
    <row r="2199">
      <c r="A2199" t="inlineStr">
        <is>
          <t>245|盾怪</t>
        </is>
      </c>
      <c r="B2199" t="n">
        <v>245</v>
      </c>
      <c r="C2199" t="inlineStr">
        <is>
          <t>盾怪</t>
        </is>
      </c>
      <c r="D2199" t="n">
        <v>834153</v>
      </c>
      <c r="E2199" t="n">
        <v>28347</v>
      </c>
      <c r="F2199" t="n">
        <v>24913</v>
      </c>
    </row>
    <row r="2200">
      <c r="A2200" t="inlineStr">
        <is>
          <t>245|二级普通怪</t>
        </is>
      </c>
      <c r="B2200" t="n">
        <v>245</v>
      </c>
      <c r="C2200" t="inlineStr">
        <is>
          <t>二级普通怪</t>
        </is>
      </c>
      <c r="D2200" t="n">
        <v>500492</v>
      </c>
      <c r="E2200" t="n">
        <v>28347</v>
      </c>
      <c r="F2200" t="n">
        <v>24913</v>
      </c>
    </row>
    <row r="2201">
      <c r="A2201" t="inlineStr">
        <is>
          <t>245|站桩怪</t>
        </is>
      </c>
      <c r="B2201" t="n">
        <v>245</v>
      </c>
      <c r="C2201" t="inlineStr">
        <is>
          <t>站桩怪</t>
        </is>
      </c>
      <c r="D2201" t="n">
        <v>139026</v>
      </c>
      <c r="E2201" t="n">
        <v>28347</v>
      </c>
      <c r="F2201" t="n">
        <v>24913</v>
      </c>
    </row>
    <row r="2202">
      <c r="A2202" t="inlineStr">
        <is>
          <t>245|炮灰怪</t>
        </is>
      </c>
      <c r="B2202" t="n">
        <v>245</v>
      </c>
      <c r="C2202" t="inlineStr">
        <is>
          <t>炮灰怪</t>
        </is>
      </c>
      <c r="D2202" t="n">
        <v>41708</v>
      </c>
      <c r="E2202" t="n">
        <v>28347</v>
      </c>
      <c r="F2202" t="n">
        <v>24913</v>
      </c>
    </row>
    <row r="2203">
      <c r="A2203" t="inlineStr">
        <is>
          <t>245|精英怪</t>
        </is>
      </c>
      <c r="B2203" t="n">
        <v>245</v>
      </c>
      <c r="C2203" t="inlineStr">
        <is>
          <t>精英怪</t>
        </is>
      </c>
      <c r="D2203" t="n">
        <v>1112204</v>
      </c>
      <c r="E2203" t="n">
        <v>28347</v>
      </c>
      <c r="F2203" t="n">
        <v>24913</v>
      </c>
    </row>
    <row r="2204">
      <c r="A2204" t="inlineStr">
        <is>
          <t>245|精英盾怪</t>
        </is>
      </c>
      <c r="B2204" t="n">
        <v>245</v>
      </c>
      <c r="C2204" t="inlineStr">
        <is>
          <t>精英盾怪</t>
        </is>
      </c>
      <c r="D2204" t="n">
        <v>2502459</v>
      </c>
      <c r="E2204" t="n">
        <v>28347</v>
      </c>
      <c r="F2204" t="n">
        <v>24913</v>
      </c>
    </row>
    <row r="2205">
      <c r="A2205" t="inlineStr">
        <is>
          <t>245|Boss</t>
        </is>
      </c>
      <c r="B2205" t="n">
        <v>245</v>
      </c>
      <c r="C2205" t="inlineStr">
        <is>
          <t>Boss</t>
        </is>
      </c>
      <c r="D2205" t="n">
        <v>25956086</v>
      </c>
      <c r="E2205" t="n">
        <v>31485</v>
      </c>
      <c r="F2205" t="n">
        <v>24913</v>
      </c>
    </row>
    <row r="2206">
      <c r="A2206" t="inlineStr">
        <is>
          <t>245|装备副本Boss</t>
        </is>
      </c>
      <c r="B2206" t="n">
        <v>245</v>
      </c>
      <c r="C2206" t="inlineStr">
        <is>
          <t>装备副本Boss</t>
        </is>
      </c>
      <c r="D2206" t="n">
        <v>12978043</v>
      </c>
      <c r="E2206" t="n">
        <v>31485</v>
      </c>
      <c r="F2206" t="n">
        <v>24913</v>
      </c>
    </row>
    <row r="2207">
      <c r="A2207" t="inlineStr">
        <is>
          <t>246|普通怪</t>
        </is>
      </c>
      <c r="B2207" t="n">
        <v>246</v>
      </c>
      <c r="C2207" t="inlineStr">
        <is>
          <t>普通怪</t>
        </is>
      </c>
      <c r="D2207" t="n">
        <v>281026</v>
      </c>
      <c r="E2207" t="n">
        <v>28571</v>
      </c>
      <c r="F2207" t="n">
        <v>25042</v>
      </c>
    </row>
    <row r="2208">
      <c r="A2208" t="inlineStr">
        <is>
          <t>246|盾怪</t>
        </is>
      </c>
      <c r="B2208" t="n">
        <v>246</v>
      </c>
      <c r="C2208" t="inlineStr">
        <is>
          <t>盾怪</t>
        </is>
      </c>
      <c r="D2208" t="n">
        <v>843078</v>
      </c>
      <c r="E2208" t="n">
        <v>28571</v>
      </c>
      <c r="F2208" t="n">
        <v>25042</v>
      </c>
    </row>
    <row r="2209">
      <c r="A2209" t="inlineStr">
        <is>
          <t>246|二级普通怪</t>
        </is>
      </c>
      <c r="B2209" t="n">
        <v>246</v>
      </c>
      <c r="C2209" t="inlineStr">
        <is>
          <t>二级普通怪</t>
        </is>
      </c>
      <c r="D2209" t="n">
        <v>505847</v>
      </c>
      <c r="E2209" t="n">
        <v>28571</v>
      </c>
      <c r="F2209" t="n">
        <v>25042</v>
      </c>
    </row>
    <row r="2210">
      <c r="A2210" t="inlineStr">
        <is>
          <t>246|站桩怪</t>
        </is>
      </c>
      <c r="B2210" t="n">
        <v>246</v>
      </c>
      <c r="C2210" t="inlineStr">
        <is>
          <t>站桩怪</t>
        </is>
      </c>
      <c r="D2210" t="n">
        <v>140513</v>
      </c>
      <c r="E2210" t="n">
        <v>28571</v>
      </c>
      <c r="F2210" t="n">
        <v>25042</v>
      </c>
    </row>
    <row r="2211">
      <c r="A2211" t="inlineStr">
        <is>
          <t>246|炮灰怪</t>
        </is>
      </c>
      <c r="B2211" t="n">
        <v>246</v>
      </c>
      <c r="C2211" t="inlineStr">
        <is>
          <t>炮灰怪</t>
        </is>
      </c>
      <c r="D2211" t="n">
        <v>42154</v>
      </c>
      <c r="E2211" t="n">
        <v>28571</v>
      </c>
      <c r="F2211" t="n">
        <v>25042</v>
      </c>
    </row>
    <row r="2212">
      <c r="A2212" t="inlineStr">
        <is>
          <t>246|精英怪</t>
        </is>
      </c>
      <c r="B2212" t="n">
        <v>246</v>
      </c>
      <c r="C2212" t="inlineStr">
        <is>
          <t>精英怪</t>
        </is>
      </c>
      <c r="D2212" t="n">
        <v>1124104</v>
      </c>
      <c r="E2212" t="n">
        <v>28571</v>
      </c>
      <c r="F2212" t="n">
        <v>25042</v>
      </c>
    </row>
    <row r="2213">
      <c r="A2213" t="inlineStr">
        <is>
          <t>246|精英盾怪</t>
        </is>
      </c>
      <c r="B2213" t="n">
        <v>246</v>
      </c>
      <c r="C2213" t="inlineStr">
        <is>
          <t>精英盾怪</t>
        </is>
      </c>
      <c r="D2213" t="n">
        <v>2529234</v>
      </c>
      <c r="E2213" t="n">
        <v>28571</v>
      </c>
      <c r="F2213" t="n">
        <v>25042</v>
      </c>
    </row>
    <row r="2214">
      <c r="A2214" t="inlineStr">
        <is>
          <t>246|Boss</t>
        </is>
      </c>
      <c r="B2214" t="n">
        <v>246</v>
      </c>
      <c r="C2214" t="inlineStr">
        <is>
          <t>Boss</t>
        </is>
      </c>
      <c r="D2214" t="n">
        <v>26254277</v>
      </c>
      <c r="E2214" t="n">
        <v>31724</v>
      </c>
      <c r="F2214" t="n">
        <v>25042</v>
      </c>
    </row>
    <row r="2215">
      <c r="A2215" t="inlineStr">
        <is>
          <t>246|装备副本Boss</t>
        </is>
      </c>
      <c r="B2215" t="n">
        <v>246</v>
      </c>
      <c r="C2215" t="inlineStr">
        <is>
          <t>装备副本Boss</t>
        </is>
      </c>
      <c r="D2215" t="n">
        <v>13127138</v>
      </c>
      <c r="E2215" t="n">
        <v>31724</v>
      </c>
      <c r="F2215" t="n">
        <v>25042</v>
      </c>
    </row>
    <row r="2216">
      <c r="A2216" t="inlineStr">
        <is>
          <t>247|普通怪</t>
        </is>
      </c>
      <c r="B2216" t="n">
        <v>247</v>
      </c>
      <c r="C2216" t="inlineStr">
        <is>
          <t>普通怪</t>
        </is>
      </c>
      <c r="D2216" t="n">
        <v>284024</v>
      </c>
      <c r="E2216" t="n">
        <v>28795</v>
      </c>
      <c r="F2216" t="n">
        <v>25172</v>
      </c>
    </row>
    <row r="2217">
      <c r="A2217" t="inlineStr">
        <is>
          <t>247|盾怪</t>
        </is>
      </c>
      <c r="B2217" t="n">
        <v>247</v>
      </c>
      <c r="C2217" t="inlineStr">
        <is>
          <t>盾怪</t>
        </is>
      </c>
      <c r="D2217" t="n">
        <v>852072</v>
      </c>
      <c r="E2217" t="n">
        <v>28795</v>
      </c>
      <c r="F2217" t="n">
        <v>25172</v>
      </c>
    </row>
    <row r="2218">
      <c r="A2218" t="inlineStr">
        <is>
          <t>247|二级普通怪</t>
        </is>
      </c>
      <c r="B2218" t="n">
        <v>247</v>
      </c>
      <c r="C2218" t="inlineStr">
        <is>
          <t>二级普通怪</t>
        </is>
      </c>
      <c r="D2218" t="n">
        <v>511244</v>
      </c>
      <c r="E2218" t="n">
        <v>28795</v>
      </c>
      <c r="F2218" t="n">
        <v>25172</v>
      </c>
    </row>
    <row r="2219">
      <c r="A2219" t="inlineStr">
        <is>
          <t>247|站桩怪</t>
        </is>
      </c>
      <c r="B2219" t="n">
        <v>247</v>
      </c>
      <c r="C2219" t="inlineStr">
        <is>
          <t>站桩怪</t>
        </is>
      </c>
      <c r="D2219" t="n">
        <v>142012</v>
      </c>
      <c r="E2219" t="n">
        <v>28795</v>
      </c>
      <c r="F2219" t="n">
        <v>25172</v>
      </c>
    </row>
    <row r="2220">
      <c r="A2220" t="inlineStr">
        <is>
          <t>247|炮灰怪</t>
        </is>
      </c>
      <c r="B2220" t="n">
        <v>247</v>
      </c>
      <c r="C2220" t="inlineStr">
        <is>
          <t>炮灰怪</t>
        </is>
      </c>
      <c r="D2220" t="n">
        <v>42604</v>
      </c>
      <c r="E2220" t="n">
        <v>28795</v>
      </c>
      <c r="F2220" t="n">
        <v>25172</v>
      </c>
    </row>
    <row r="2221">
      <c r="A2221" t="inlineStr">
        <is>
          <t>247|精英怪</t>
        </is>
      </c>
      <c r="B2221" t="n">
        <v>247</v>
      </c>
      <c r="C2221" t="inlineStr">
        <is>
          <t>精英怪</t>
        </is>
      </c>
      <c r="D2221" t="n">
        <v>1136096</v>
      </c>
      <c r="E2221" t="n">
        <v>28795</v>
      </c>
      <c r="F2221" t="n">
        <v>25172</v>
      </c>
    </row>
    <row r="2222">
      <c r="A2222" t="inlineStr">
        <is>
          <t>247|精英盾怪</t>
        </is>
      </c>
      <c r="B2222" t="n">
        <v>247</v>
      </c>
      <c r="C2222" t="inlineStr">
        <is>
          <t>精英盾怪</t>
        </is>
      </c>
      <c r="D2222" t="n">
        <v>2556216</v>
      </c>
      <c r="E2222" t="n">
        <v>28795</v>
      </c>
      <c r="F2222" t="n">
        <v>25172</v>
      </c>
    </row>
    <row r="2223">
      <c r="A2223" t="inlineStr">
        <is>
          <t>247|Boss</t>
        </is>
      </c>
      <c r="B2223" t="n">
        <v>247</v>
      </c>
      <c r="C2223" t="inlineStr">
        <is>
          <t>Boss</t>
        </is>
      </c>
      <c r="D2223" t="n">
        <v>26555069</v>
      </c>
      <c r="E2223" t="n">
        <v>31963</v>
      </c>
      <c r="F2223" t="n">
        <v>25172</v>
      </c>
    </row>
    <row r="2224">
      <c r="A2224" t="inlineStr">
        <is>
          <t>247|装备副本Boss</t>
        </is>
      </c>
      <c r="B2224" t="n">
        <v>247</v>
      </c>
      <c r="C2224" t="inlineStr">
        <is>
          <t>装备副本Boss</t>
        </is>
      </c>
      <c r="D2224" t="n">
        <v>13277535</v>
      </c>
      <c r="E2224" t="n">
        <v>31963</v>
      </c>
      <c r="F2224" t="n">
        <v>25172</v>
      </c>
    </row>
    <row r="2225">
      <c r="A2225" t="inlineStr">
        <is>
          <t>248|普通怪</t>
        </is>
      </c>
      <c r="B2225" t="n">
        <v>248</v>
      </c>
      <c r="C2225" t="inlineStr">
        <is>
          <t>普通怪</t>
        </is>
      </c>
      <c r="D2225" t="n">
        <v>287046</v>
      </c>
      <c r="E2225" t="n">
        <v>29021</v>
      </c>
      <c r="F2225" t="n">
        <v>25302</v>
      </c>
    </row>
    <row r="2226">
      <c r="A2226" t="inlineStr">
        <is>
          <t>248|盾怪</t>
        </is>
      </c>
      <c r="B2226" t="n">
        <v>248</v>
      </c>
      <c r="C2226" t="inlineStr">
        <is>
          <t>盾怪</t>
        </is>
      </c>
      <c r="D2226" t="n">
        <v>861138</v>
      </c>
      <c r="E2226" t="n">
        <v>29021</v>
      </c>
      <c r="F2226" t="n">
        <v>25302</v>
      </c>
    </row>
    <row r="2227">
      <c r="A2227" t="inlineStr">
        <is>
          <t>248|二级普通怪</t>
        </is>
      </c>
      <c r="B2227" t="n">
        <v>248</v>
      </c>
      <c r="C2227" t="inlineStr">
        <is>
          <t>二级普通怪</t>
        </is>
      </c>
      <c r="D2227" t="n">
        <v>516683</v>
      </c>
      <c r="E2227" t="n">
        <v>29021</v>
      </c>
      <c r="F2227" t="n">
        <v>25302</v>
      </c>
    </row>
    <row r="2228">
      <c r="A2228" t="inlineStr">
        <is>
          <t>248|站桩怪</t>
        </is>
      </c>
      <c r="B2228" t="n">
        <v>248</v>
      </c>
      <c r="C2228" t="inlineStr">
        <is>
          <t>站桩怪</t>
        </is>
      </c>
      <c r="D2228" t="n">
        <v>143523</v>
      </c>
      <c r="E2228" t="n">
        <v>29021</v>
      </c>
      <c r="F2228" t="n">
        <v>25302</v>
      </c>
    </row>
    <row r="2229">
      <c r="A2229" t="inlineStr">
        <is>
          <t>248|炮灰怪</t>
        </is>
      </c>
      <c r="B2229" t="n">
        <v>248</v>
      </c>
      <c r="C2229" t="inlineStr">
        <is>
          <t>炮灰怪</t>
        </is>
      </c>
      <c r="D2229" t="n">
        <v>43057</v>
      </c>
      <c r="E2229" t="n">
        <v>29021</v>
      </c>
      <c r="F2229" t="n">
        <v>25302</v>
      </c>
    </row>
    <row r="2230">
      <c r="A2230" t="inlineStr">
        <is>
          <t>248|精英怪</t>
        </is>
      </c>
      <c r="B2230" t="n">
        <v>248</v>
      </c>
      <c r="C2230" t="inlineStr">
        <is>
          <t>精英怪</t>
        </is>
      </c>
      <c r="D2230" t="n">
        <v>1148184</v>
      </c>
      <c r="E2230" t="n">
        <v>29021</v>
      </c>
      <c r="F2230" t="n">
        <v>25302</v>
      </c>
    </row>
    <row r="2231">
      <c r="A2231" t="inlineStr">
        <is>
          <t>248|精英盾怪</t>
        </is>
      </c>
      <c r="B2231" t="n">
        <v>248</v>
      </c>
      <c r="C2231" t="inlineStr">
        <is>
          <t>精英盾怪</t>
        </is>
      </c>
      <c r="D2231" t="n">
        <v>2583414</v>
      </c>
      <c r="E2231" t="n">
        <v>29021</v>
      </c>
      <c r="F2231" t="n">
        <v>25302</v>
      </c>
    </row>
    <row r="2232">
      <c r="A2232" t="inlineStr">
        <is>
          <t>248|Boss</t>
        </is>
      </c>
      <c r="B2232" t="n">
        <v>248</v>
      </c>
      <c r="C2232" t="inlineStr">
        <is>
          <t>Boss</t>
        </is>
      </c>
      <c r="D2232" t="n">
        <v>26858463</v>
      </c>
      <c r="E2232" t="n">
        <v>32204</v>
      </c>
      <c r="F2232" t="n">
        <v>25302</v>
      </c>
    </row>
    <row r="2233">
      <c r="A2233" t="inlineStr">
        <is>
          <t>248|装备副本Boss</t>
        </is>
      </c>
      <c r="B2233" t="n">
        <v>248</v>
      </c>
      <c r="C2233" t="inlineStr">
        <is>
          <t>装备副本Boss</t>
        </is>
      </c>
      <c r="D2233" t="n">
        <v>13429232</v>
      </c>
      <c r="E2233" t="n">
        <v>32204</v>
      </c>
      <c r="F2233" t="n">
        <v>25302</v>
      </c>
    </row>
    <row r="2234">
      <c r="A2234" t="inlineStr">
        <is>
          <t>249|普通怪</t>
        </is>
      </c>
      <c r="B2234" t="n">
        <v>249</v>
      </c>
      <c r="C2234" t="inlineStr">
        <is>
          <t>普通怪</t>
        </is>
      </c>
      <c r="D2234" t="n">
        <v>290092</v>
      </c>
      <c r="E2234" t="n">
        <v>29249</v>
      </c>
      <c r="F2234" t="n">
        <v>25433</v>
      </c>
    </row>
    <row r="2235">
      <c r="A2235" t="inlineStr">
        <is>
          <t>249|盾怪</t>
        </is>
      </c>
      <c r="B2235" t="n">
        <v>249</v>
      </c>
      <c r="C2235" t="inlineStr">
        <is>
          <t>盾怪</t>
        </is>
      </c>
      <c r="D2235" t="n">
        <v>870276</v>
      </c>
      <c r="E2235" t="n">
        <v>29249</v>
      </c>
      <c r="F2235" t="n">
        <v>25433</v>
      </c>
    </row>
    <row r="2236">
      <c r="A2236" t="inlineStr">
        <is>
          <t>249|二级普通怪</t>
        </is>
      </c>
      <c r="B2236" t="n">
        <v>249</v>
      </c>
      <c r="C2236" t="inlineStr">
        <is>
          <t>二级普通怪</t>
        </is>
      </c>
      <c r="D2236" t="n">
        <v>522166</v>
      </c>
      <c r="E2236" t="n">
        <v>29249</v>
      </c>
      <c r="F2236" t="n">
        <v>25433</v>
      </c>
    </row>
    <row r="2237">
      <c r="A2237" t="inlineStr">
        <is>
          <t>249|站桩怪</t>
        </is>
      </c>
      <c r="B2237" t="n">
        <v>249</v>
      </c>
      <c r="C2237" t="inlineStr">
        <is>
          <t>站桩怪</t>
        </is>
      </c>
      <c r="D2237" t="n">
        <v>145046</v>
      </c>
      <c r="E2237" t="n">
        <v>29249</v>
      </c>
      <c r="F2237" t="n">
        <v>25433</v>
      </c>
    </row>
    <row r="2238">
      <c r="A2238" t="inlineStr">
        <is>
          <t>249|炮灰怪</t>
        </is>
      </c>
      <c r="B2238" t="n">
        <v>249</v>
      </c>
      <c r="C2238" t="inlineStr">
        <is>
          <t>炮灰怪</t>
        </is>
      </c>
      <c r="D2238" t="n">
        <v>43514</v>
      </c>
      <c r="E2238" t="n">
        <v>29249</v>
      </c>
      <c r="F2238" t="n">
        <v>25433</v>
      </c>
    </row>
    <row r="2239">
      <c r="A2239" t="inlineStr">
        <is>
          <t>249|精英怪</t>
        </is>
      </c>
      <c r="B2239" t="n">
        <v>249</v>
      </c>
      <c r="C2239" t="inlineStr">
        <is>
          <t>精英怪</t>
        </is>
      </c>
      <c r="D2239" t="n">
        <v>1160368</v>
      </c>
      <c r="E2239" t="n">
        <v>29249</v>
      </c>
      <c r="F2239" t="n">
        <v>25433</v>
      </c>
    </row>
    <row r="2240">
      <c r="A2240" t="inlineStr">
        <is>
          <t>249|精英盾怪</t>
        </is>
      </c>
      <c r="B2240" t="n">
        <v>249</v>
      </c>
      <c r="C2240" t="inlineStr">
        <is>
          <t>精英盾怪</t>
        </is>
      </c>
      <c r="D2240" t="n">
        <v>2610828</v>
      </c>
      <c r="E2240" t="n">
        <v>29249</v>
      </c>
      <c r="F2240" t="n">
        <v>25433</v>
      </c>
    </row>
    <row r="2241">
      <c r="A2241" t="inlineStr">
        <is>
          <t>249|Boss</t>
        </is>
      </c>
      <c r="B2241" t="n">
        <v>249</v>
      </c>
      <c r="C2241" t="inlineStr">
        <is>
          <t>Boss</t>
        </is>
      </c>
      <c r="D2241" t="n">
        <v>27164560</v>
      </c>
      <c r="E2241" t="n">
        <v>32446</v>
      </c>
      <c r="F2241" t="n">
        <v>25433</v>
      </c>
    </row>
    <row r="2242">
      <c r="A2242" t="inlineStr">
        <is>
          <t>249|装备副本Boss</t>
        </is>
      </c>
      <c r="B2242" t="n">
        <v>249</v>
      </c>
      <c r="C2242" t="inlineStr">
        <is>
          <t>装备副本Boss</t>
        </is>
      </c>
      <c r="D2242" t="n">
        <v>13582280</v>
      </c>
      <c r="E2242" t="n">
        <v>32446</v>
      </c>
      <c r="F2242" t="n">
        <v>25433</v>
      </c>
    </row>
    <row r="2243">
      <c r="A2243" t="inlineStr">
        <is>
          <t>250|普通怪</t>
        </is>
      </c>
      <c r="B2243" t="n">
        <v>250</v>
      </c>
      <c r="C2243" t="inlineStr">
        <is>
          <t>普通怪</t>
        </is>
      </c>
      <c r="D2243" t="n">
        <v>293162</v>
      </c>
      <c r="E2243" t="n">
        <v>29477</v>
      </c>
      <c r="F2243" t="n">
        <v>25563</v>
      </c>
    </row>
    <row r="2244">
      <c r="A2244" t="inlineStr">
        <is>
          <t>250|盾怪</t>
        </is>
      </c>
      <c r="B2244" t="n">
        <v>250</v>
      </c>
      <c r="C2244" t="inlineStr">
        <is>
          <t>盾怪</t>
        </is>
      </c>
      <c r="D2244" t="n">
        <v>879486</v>
      </c>
      <c r="E2244" t="n">
        <v>29477</v>
      </c>
      <c r="F2244" t="n">
        <v>25563</v>
      </c>
    </row>
    <row r="2245">
      <c r="A2245" t="inlineStr">
        <is>
          <t>250|二级普通怪</t>
        </is>
      </c>
      <c r="B2245" t="n">
        <v>250</v>
      </c>
      <c r="C2245" t="inlineStr">
        <is>
          <t>二级普通怪</t>
        </is>
      </c>
      <c r="D2245" t="n">
        <v>527692</v>
      </c>
      <c r="E2245" t="n">
        <v>29477</v>
      </c>
      <c r="F2245" t="n">
        <v>25563</v>
      </c>
    </row>
    <row r="2246">
      <c r="A2246" t="inlineStr">
        <is>
          <t>250|站桩怪</t>
        </is>
      </c>
      <c r="B2246" t="n">
        <v>250</v>
      </c>
      <c r="C2246" t="inlineStr">
        <is>
          <t>站桩怪</t>
        </is>
      </c>
      <c r="D2246" t="n">
        <v>146581</v>
      </c>
      <c r="E2246" t="n">
        <v>29477</v>
      </c>
      <c r="F2246" t="n">
        <v>25563</v>
      </c>
    </row>
    <row r="2247">
      <c r="A2247" t="inlineStr">
        <is>
          <t>250|炮灰怪</t>
        </is>
      </c>
      <c r="B2247" t="n">
        <v>250</v>
      </c>
      <c r="C2247" t="inlineStr">
        <is>
          <t>炮灰怪</t>
        </is>
      </c>
      <c r="D2247" t="n">
        <v>43975</v>
      </c>
      <c r="E2247" t="n">
        <v>29477</v>
      </c>
      <c r="F2247" t="n">
        <v>25563</v>
      </c>
    </row>
    <row r="2248">
      <c r="A2248" t="inlineStr">
        <is>
          <t>250|精英怪</t>
        </is>
      </c>
      <c r="B2248" t="n">
        <v>250</v>
      </c>
      <c r="C2248" t="inlineStr">
        <is>
          <t>精英怪</t>
        </is>
      </c>
      <c r="D2248" t="n">
        <v>1172648</v>
      </c>
      <c r="E2248" t="n">
        <v>29477</v>
      </c>
      <c r="F2248" t="n">
        <v>25563</v>
      </c>
    </row>
    <row r="2249">
      <c r="A2249" t="inlineStr">
        <is>
          <t>250|精英盾怪</t>
        </is>
      </c>
      <c r="B2249" t="n">
        <v>250</v>
      </c>
      <c r="C2249" t="inlineStr">
        <is>
          <t>精英盾怪</t>
        </is>
      </c>
      <c r="D2249" t="n">
        <v>2638458</v>
      </c>
      <c r="E2249" t="n">
        <v>29477</v>
      </c>
      <c r="F2249" t="n">
        <v>25563</v>
      </c>
    </row>
    <row r="2250">
      <c r="A2250" t="inlineStr">
        <is>
          <t>250|Boss</t>
        </is>
      </c>
      <c r="B2250" t="n">
        <v>250</v>
      </c>
      <c r="C2250" t="inlineStr">
        <is>
          <t>Boss</t>
        </is>
      </c>
      <c r="D2250" t="n">
        <v>27473258</v>
      </c>
      <c r="E2250" t="n">
        <v>32690</v>
      </c>
      <c r="F2250" t="n">
        <v>25563</v>
      </c>
    </row>
    <row r="2251">
      <c r="A2251" t="inlineStr">
        <is>
          <t>250|装备副本Boss</t>
        </is>
      </c>
      <c r="B2251" t="n">
        <v>250</v>
      </c>
      <c r="C2251" t="inlineStr">
        <is>
          <t>装备副本Boss</t>
        </is>
      </c>
      <c r="D2251" t="n">
        <v>13736629</v>
      </c>
      <c r="E2251" t="n">
        <v>32690</v>
      </c>
      <c r="F2251" t="n">
        <v>25563</v>
      </c>
    </row>
    <row r="2252">
      <c r="A2252" t="inlineStr">
        <is>
          <t>251|普通怪</t>
        </is>
      </c>
      <c r="B2252" t="n">
        <v>251</v>
      </c>
      <c r="C2252" t="inlineStr">
        <is>
          <t>普通怪</t>
        </is>
      </c>
      <c r="D2252" t="n">
        <v>296256</v>
      </c>
      <c r="E2252" t="n">
        <v>29707</v>
      </c>
      <c r="F2252" t="n">
        <v>25694</v>
      </c>
    </row>
    <row r="2253">
      <c r="A2253" t="inlineStr">
        <is>
          <t>251|盾怪</t>
        </is>
      </c>
      <c r="B2253" t="n">
        <v>251</v>
      </c>
      <c r="C2253" t="inlineStr">
        <is>
          <t>盾怪</t>
        </is>
      </c>
      <c r="D2253" t="n">
        <v>888768</v>
      </c>
      <c r="E2253" t="n">
        <v>29707</v>
      </c>
      <c r="F2253" t="n">
        <v>25694</v>
      </c>
    </row>
    <row r="2254">
      <c r="A2254" t="inlineStr">
        <is>
          <t>251|二级普通怪</t>
        </is>
      </c>
      <c r="B2254" t="n">
        <v>251</v>
      </c>
      <c r="C2254" t="inlineStr">
        <is>
          <t>二级普通怪</t>
        </is>
      </c>
      <c r="D2254" t="n">
        <v>533261</v>
      </c>
      <c r="E2254" t="n">
        <v>29707</v>
      </c>
      <c r="F2254" t="n">
        <v>25694</v>
      </c>
    </row>
    <row r="2255">
      <c r="A2255" t="inlineStr">
        <is>
          <t>251|站桩怪</t>
        </is>
      </c>
      <c r="B2255" t="n">
        <v>251</v>
      </c>
      <c r="C2255" t="inlineStr">
        <is>
          <t>站桩怪</t>
        </is>
      </c>
      <c r="D2255" t="n">
        <v>148128</v>
      </c>
      <c r="E2255" t="n">
        <v>29707</v>
      </c>
      <c r="F2255" t="n">
        <v>25694</v>
      </c>
    </row>
    <row r="2256">
      <c r="A2256" t="inlineStr">
        <is>
          <t>251|炮灰怪</t>
        </is>
      </c>
      <c r="B2256" t="n">
        <v>251</v>
      </c>
      <c r="C2256" t="inlineStr">
        <is>
          <t>炮灰怪</t>
        </is>
      </c>
      <c r="D2256" t="n">
        <v>44439</v>
      </c>
      <c r="E2256" t="n">
        <v>29707</v>
      </c>
      <c r="F2256" t="n">
        <v>25694</v>
      </c>
    </row>
    <row r="2257">
      <c r="A2257" t="inlineStr">
        <is>
          <t>251|精英怪</t>
        </is>
      </c>
      <c r="B2257" t="n">
        <v>251</v>
      </c>
      <c r="C2257" t="inlineStr">
        <is>
          <t>精英怪</t>
        </is>
      </c>
      <c r="D2257" t="n">
        <v>1185024</v>
      </c>
      <c r="E2257" t="n">
        <v>29707</v>
      </c>
      <c r="F2257" t="n">
        <v>25694</v>
      </c>
    </row>
    <row r="2258">
      <c r="A2258" t="inlineStr">
        <is>
          <t>251|精英盾怪</t>
        </is>
      </c>
      <c r="B2258" t="n">
        <v>251</v>
      </c>
      <c r="C2258" t="inlineStr">
        <is>
          <t>精英盾怪</t>
        </is>
      </c>
      <c r="D2258" t="n">
        <v>2666304</v>
      </c>
      <c r="E2258" t="n">
        <v>29707</v>
      </c>
      <c r="F2258" t="n">
        <v>25694</v>
      </c>
    </row>
    <row r="2259">
      <c r="A2259" t="inlineStr">
        <is>
          <t>251|Boss</t>
        </is>
      </c>
      <c r="B2259" t="n">
        <v>251</v>
      </c>
      <c r="C2259" t="inlineStr">
        <is>
          <t>Boss</t>
        </is>
      </c>
      <c r="D2259" t="n">
        <v>27784609</v>
      </c>
      <c r="E2259" t="n">
        <v>32935</v>
      </c>
      <c r="F2259" t="n">
        <v>25694</v>
      </c>
    </row>
    <row r="2260">
      <c r="A2260" t="inlineStr">
        <is>
          <t>251|装备副本Boss</t>
        </is>
      </c>
      <c r="B2260" t="n">
        <v>251</v>
      </c>
      <c r="C2260" t="inlineStr">
        <is>
          <t>装备副本Boss</t>
        </is>
      </c>
      <c r="D2260" t="n">
        <v>13892304</v>
      </c>
      <c r="E2260" t="n">
        <v>32935</v>
      </c>
      <c r="F2260" t="n">
        <v>25694</v>
      </c>
    </row>
    <row r="2261">
      <c r="A2261" t="inlineStr">
        <is>
          <t>252|普通怪</t>
        </is>
      </c>
      <c r="B2261" t="n">
        <v>252</v>
      </c>
      <c r="C2261" t="inlineStr">
        <is>
          <t>普通怪</t>
        </is>
      </c>
      <c r="D2261" t="n">
        <v>299375</v>
      </c>
      <c r="E2261" t="n">
        <v>29938</v>
      </c>
      <c r="F2261" t="n">
        <v>25825</v>
      </c>
    </row>
    <row r="2262">
      <c r="A2262" t="inlineStr">
        <is>
          <t>252|盾怪</t>
        </is>
      </c>
      <c r="B2262" t="n">
        <v>252</v>
      </c>
      <c r="C2262" t="inlineStr">
        <is>
          <t>盾怪</t>
        </is>
      </c>
      <c r="D2262" t="n">
        <v>898125</v>
      </c>
      <c r="E2262" t="n">
        <v>29938</v>
      </c>
      <c r="F2262" t="n">
        <v>25825</v>
      </c>
    </row>
    <row r="2263">
      <c r="A2263" t="inlineStr">
        <is>
          <t>252|二级普通怪</t>
        </is>
      </c>
      <c r="B2263" t="n">
        <v>252</v>
      </c>
      <c r="C2263" t="inlineStr">
        <is>
          <t>二级普通怪</t>
        </is>
      </c>
      <c r="D2263" t="n">
        <v>538875</v>
      </c>
      <c r="E2263" t="n">
        <v>29938</v>
      </c>
      <c r="F2263" t="n">
        <v>25825</v>
      </c>
    </row>
    <row r="2264">
      <c r="A2264" t="inlineStr">
        <is>
          <t>252|站桩怪</t>
        </is>
      </c>
      <c r="B2264" t="n">
        <v>252</v>
      </c>
      <c r="C2264" t="inlineStr">
        <is>
          <t>站桩怪</t>
        </is>
      </c>
      <c r="D2264" t="n">
        <v>149688</v>
      </c>
      <c r="E2264" t="n">
        <v>29938</v>
      </c>
      <c r="F2264" t="n">
        <v>25825</v>
      </c>
    </row>
    <row r="2265">
      <c r="A2265" t="inlineStr">
        <is>
          <t>252|炮灰怪</t>
        </is>
      </c>
      <c r="B2265" t="n">
        <v>252</v>
      </c>
      <c r="C2265" t="inlineStr">
        <is>
          <t>炮灰怪</t>
        </is>
      </c>
      <c r="D2265" t="n">
        <v>44907</v>
      </c>
      <c r="E2265" t="n">
        <v>29938</v>
      </c>
      <c r="F2265" t="n">
        <v>25825</v>
      </c>
    </row>
    <row r="2266">
      <c r="A2266" t="inlineStr">
        <is>
          <t>252|精英怪</t>
        </is>
      </c>
      <c r="B2266" t="n">
        <v>252</v>
      </c>
      <c r="C2266" t="inlineStr">
        <is>
          <t>精英怪</t>
        </is>
      </c>
      <c r="D2266" t="n">
        <v>1197500</v>
      </c>
      <c r="E2266" t="n">
        <v>29938</v>
      </c>
      <c r="F2266" t="n">
        <v>25825</v>
      </c>
    </row>
    <row r="2267">
      <c r="A2267" t="inlineStr">
        <is>
          <t>252|精英盾怪</t>
        </is>
      </c>
      <c r="B2267" t="n">
        <v>252</v>
      </c>
      <c r="C2267" t="inlineStr">
        <is>
          <t>精英盾怪</t>
        </is>
      </c>
      <c r="D2267" t="n">
        <v>2694375</v>
      </c>
      <c r="E2267" t="n">
        <v>29938</v>
      </c>
      <c r="F2267" t="n">
        <v>25825</v>
      </c>
    </row>
    <row r="2268">
      <c r="A2268" t="inlineStr">
        <is>
          <t>252|Boss</t>
        </is>
      </c>
      <c r="B2268" t="n">
        <v>252</v>
      </c>
      <c r="C2268" t="inlineStr">
        <is>
          <t>Boss</t>
        </is>
      </c>
      <c r="D2268" t="n">
        <v>28098713</v>
      </c>
      <c r="E2268" t="n">
        <v>33181</v>
      </c>
      <c r="F2268" t="n">
        <v>25825</v>
      </c>
    </row>
    <row r="2269">
      <c r="A2269" t="inlineStr">
        <is>
          <t>252|装备副本Boss</t>
        </is>
      </c>
      <c r="B2269" t="n">
        <v>252</v>
      </c>
      <c r="C2269" t="inlineStr">
        <is>
          <t>装备副本Boss</t>
        </is>
      </c>
      <c r="D2269" t="n">
        <v>14049357</v>
      </c>
      <c r="E2269" t="n">
        <v>33181</v>
      </c>
      <c r="F2269" t="n">
        <v>25825</v>
      </c>
    </row>
    <row r="2270">
      <c r="A2270" t="inlineStr">
        <is>
          <t>253|普通怪</t>
        </is>
      </c>
      <c r="B2270" t="n">
        <v>253</v>
      </c>
      <c r="C2270" t="inlineStr">
        <is>
          <t>普通怪</t>
        </is>
      </c>
      <c r="D2270" t="n">
        <v>302519</v>
      </c>
      <c r="E2270" t="n">
        <v>30170</v>
      </c>
      <c r="F2270" t="n">
        <v>25956</v>
      </c>
    </row>
    <row r="2271">
      <c r="A2271" t="inlineStr">
        <is>
          <t>253|盾怪</t>
        </is>
      </c>
      <c r="B2271" t="n">
        <v>253</v>
      </c>
      <c r="C2271" t="inlineStr">
        <is>
          <t>盾怪</t>
        </is>
      </c>
      <c r="D2271" t="n">
        <v>907557</v>
      </c>
      <c r="E2271" t="n">
        <v>30170</v>
      </c>
      <c r="F2271" t="n">
        <v>25956</v>
      </c>
    </row>
    <row r="2272">
      <c r="A2272" t="inlineStr">
        <is>
          <t>253|二级普通怪</t>
        </is>
      </c>
      <c r="B2272" t="n">
        <v>253</v>
      </c>
      <c r="C2272" t="inlineStr">
        <is>
          <t>二级普通怪</t>
        </is>
      </c>
      <c r="D2272" t="n">
        <v>544535</v>
      </c>
      <c r="E2272" t="n">
        <v>30170</v>
      </c>
      <c r="F2272" t="n">
        <v>25956</v>
      </c>
    </row>
    <row r="2273">
      <c r="A2273" t="inlineStr">
        <is>
          <t>253|站桩怪</t>
        </is>
      </c>
      <c r="B2273" t="n">
        <v>253</v>
      </c>
      <c r="C2273" t="inlineStr">
        <is>
          <t>站桩怪</t>
        </is>
      </c>
      <c r="D2273" t="n">
        <v>151260</v>
      </c>
      <c r="E2273" t="n">
        <v>30170</v>
      </c>
      <c r="F2273" t="n">
        <v>25956</v>
      </c>
    </row>
    <row r="2274">
      <c r="A2274" t="inlineStr">
        <is>
          <t>253|炮灰怪</t>
        </is>
      </c>
      <c r="B2274" t="n">
        <v>253</v>
      </c>
      <c r="C2274" t="inlineStr">
        <is>
          <t>炮灰怪</t>
        </is>
      </c>
      <c r="D2274" t="n">
        <v>45378</v>
      </c>
      <c r="E2274" t="n">
        <v>30170</v>
      </c>
      <c r="F2274" t="n">
        <v>25956</v>
      </c>
    </row>
    <row r="2275">
      <c r="A2275" t="inlineStr">
        <is>
          <t>253|精英怪</t>
        </is>
      </c>
      <c r="B2275" t="n">
        <v>253</v>
      </c>
      <c r="C2275" t="inlineStr">
        <is>
          <t>精英怪</t>
        </is>
      </c>
      <c r="D2275" t="n">
        <v>1210076</v>
      </c>
      <c r="E2275" t="n">
        <v>30170</v>
      </c>
      <c r="F2275" t="n">
        <v>25956</v>
      </c>
    </row>
    <row r="2276">
      <c r="A2276" t="inlineStr">
        <is>
          <t>253|精英盾怪</t>
        </is>
      </c>
      <c r="B2276" t="n">
        <v>253</v>
      </c>
      <c r="C2276" t="inlineStr">
        <is>
          <t>精英盾怪</t>
        </is>
      </c>
      <c r="D2276" t="n">
        <v>2722671</v>
      </c>
      <c r="E2276" t="n">
        <v>30170</v>
      </c>
      <c r="F2276" t="n">
        <v>25956</v>
      </c>
    </row>
    <row r="2277">
      <c r="A2277" t="inlineStr">
        <is>
          <t>253|Boss</t>
        </is>
      </c>
      <c r="B2277" t="n">
        <v>253</v>
      </c>
      <c r="C2277" t="inlineStr">
        <is>
          <t>Boss</t>
        </is>
      </c>
      <c r="D2277" t="n">
        <v>28415470</v>
      </c>
      <c r="E2277" t="n">
        <v>33428</v>
      </c>
      <c r="F2277" t="n">
        <v>25956</v>
      </c>
    </row>
    <row r="2278">
      <c r="A2278" t="inlineStr">
        <is>
          <t>253|装备副本Boss</t>
        </is>
      </c>
      <c r="B2278" t="n">
        <v>253</v>
      </c>
      <c r="C2278" t="inlineStr">
        <is>
          <t>装备副本Boss</t>
        </is>
      </c>
      <c r="D2278" t="n">
        <v>14207735</v>
      </c>
      <c r="E2278" t="n">
        <v>33428</v>
      </c>
      <c r="F2278" t="n">
        <v>25956</v>
      </c>
    </row>
    <row r="2279">
      <c r="A2279" t="inlineStr">
        <is>
          <t>254|普通怪</t>
        </is>
      </c>
      <c r="B2279" t="n">
        <v>254</v>
      </c>
      <c r="C2279" t="inlineStr">
        <is>
          <t>普通怪</t>
        </is>
      </c>
      <c r="D2279" t="n">
        <v>305688</v>
      </c>
      <c r="E2279" t="n">
        <v>30404</v>
      </c>
      <c r="F2279" t="n">
        <v>26088</v>
      </c>
    </row>
    <row r="2280">
      <c r="A2280" t="inlineStr">
        <is>
          <t>254|盾怪</t>
        </is>
      </c>
      <c r="B2280" t="n">
        <v>254</v>
      </c>
      <c r="C2280" t="inlineStr">
        <is>
          <t>盾怪</t>
        </is>
      </c>
      <c r="D2280" t="n">
        <v>917064</v>
      </c>
      <c r="E2280" t="n">
        <v>30404</v>
      </c>
      <c r="F2280" t="n">
        <v>26088</v>
      </c>
    </row>
    <row r="2281">
      <c r="A2281" t="inlineStr">
        <is>
          <t>254|二级普通怪</t>
        </is>
      </c>
      <c r="B2281" t="n">
        <v>254</v>
      </c>
      <c r="C2281" t="inlineStr">
        <is>
          <t>二级普通怪</t>
        </is>
      </c>
      <c r="D2281" t="n">
        <v>550239</v>
      </c>
      <c r="E2281" t="n">
        <v>30404</v>
      </c>
      <c r="F2281" t="n">
        <v>26088</v>
      </c>
    </row>
    <row r="2282">
      <c r="A2282" t="inlineStr">
        <is>
          <t>254|站桩怪</t>
        </is>
      </c>
      <c r="B2282" t="n">
        <v>254</v>
      </c>
      <c r="C2282" t="inlineStr">
        <is>
          <t>站桩怪</t>
        </is>
      </c>
      <c r="D2282" t="n">
        <v>152844</v>
      </c>
      <c r="E2282" t="n">
        <v>30404</v>
      </c>
      <c r="F2282" t="n">
        <v>26088</v>
      </c>
    </row>
    <row r="2283">
      <c r="A2283" t="inlineStr">
        <is>
          <t>254|炮灰怪</t>
        </is>
      </c>
      <c r="B2283" t="n">
        <v>254</v>
      </c>
      <c r="C2283" t="inlineStr">
        <is>
          <t>炮灰怪</t>
        </is>
      </c>
      <c r="D2283" t="n">
        <v>45854</v>
      </c>
      <c r="E2283" t="n">
        <v>30404</v>
      </c>
      <c r="F2283" t="n">
        <v>26088</v>
      </c>
    </row>
    <row r="2284">
      <c r="A2284" t="inlineStr">
        <is>
          <t>254|精英怪</t>
        </is>
      </c>
      <c r="B2284" t="n">
        <v>254</v>
      </c>
      <c r="C2284" t="inlineStr">
        <is>
          <t>精英怪</t>
        </is>
      </c>
      <c r="D2284" t="n">
        <v>1222752</v>
      </c>
      <c r="E2284" t="n">
        <v>30404</v>
      </c>
      <c r="F2284" t="n">
        <v>26088</v>
      </c>
    </row>
    <row r="2285">
      <c r="A2285" t="inlineStr">
        <is>
          <t>254|精英盾怪</t>
        </is>
      </c>
      <c r="B2285" t="n">
        <v>254</v>
      </c>
      <c r="C2285" t="inlineStr">
        <is>
          <t>精英盾怪</t>
        </is>
      </c>
      <c r="D2285" t="n">
        <v>2751192</v>
      </c>
      <c r="E2285" t="n">
        <v>30404</v>
      </c>
      <c r="F2285" t="n">
        <v>26088</v>
      </c>
    </row>
    <row r="2286">
      <c r="A2286" t="inlineStr">
        <is>
          <t>254|Boss</t>
        </is>
      </c>
      <c r="B2286" t="n">
        <v>254</v>
      </c>
      <c r="C2286" t="inlineStr">
        <is>
          <t>Boss</t>
        </is>
      </c>
      <c r="D2286" t="n">
        <v>28734981</v>
      </c>
      <c r="E2286" t="n">
        <v>33677</v>
      </c>
      <c r="F2286" t="n">
        <v>26088</v>
      </c>
    </row>
    <row r="2287">
      <c r="A2287" t="inlineStr">
        <is>
          <t>254|装备副本Boss</t>
        </is>
      </c>
      <c r="B2287" t="n">
        <v>254</v>
      </c>
      <c r="C2287" t="inlineStr">
        <is>
          <t>装备副本Boss</t>
        </is>
      </c>
      <c r="D2287" t="n">
        <v>14367490</v>
      </c>
      <c r="E2287" t="n">
        <v>33677</v>
      </c>
      <c r="F2287" t="n">
        <v>26088</v>
      </c>
    </row>
    <row r="2288">
      <c r="A2288" t="inlineStr">
        <is>
          <t>255|普通怪</t>
        </is>
      </c>
      <c r="B2288" t="n">
        <v>255</v>
      </c>
      <c r="C2288" t="inlineStr">
        <is>
          <t>普通怪</t>
        </is>
      </c>
      <c r="D2288" t="n">
        <v>308881</v>
      </c>
      <c r="E2288" t="n">
        <v>30639</v>
      </c>
      <c r="F2288" t="n">
        <v>26219</v>
      </c>
    </row>
    <row r="2289">
      <c r="A2289" t="inlineStr">
        <is>
          <t>255|盾怪</t>
        </is>
      </c>
      <c r="B2289" t="n">
        <v>255</v>
      </c>
      <c r="C2289" t="inlineStr">
        <is>
          <t>盾怪</t>
        </is>
      </c>
      <c r="D2289" t="n">
        <v>926643</v>
      </c>
      <c r="E2289" t="n">
        <v>30639</v>
      </c>
      <c r="F2289" t="n">
        <v>26219</v>
      </c>
    </row>
    <row r="2290">
      <c r="A2290" t="inlineStr">
        <is>
          <t>255|二级普通怪</t>
        </is>
      </c>
      <c r="B2290" t="n">
        <v>255</v>
      </c>
      <c r="C2290" t="inlineStr">
        <is>
          <t>二级普通怪</t>
        </is>
      </c>
      <c r="D2290" t="n">
        <v>555986</v>
      </c>
      <c r="E2290" t="n">
        <v>30639</v>
      </c>
      <c r="F2290" t="n">
        <v>26219</v>
      </c>
    </row>
    <row r="2291">
      <c r="A2291" t="inlineStr">
        <is>
          <t>255|站桩怪</t>
        </is>
      </c>
      <c r="B2291" t="n">
        <v>255</v>
      </c>
      <c r="C2291" t="inlineStr">
        <is>
          <t>站桩怪</t>
        </is>
      </c>
      <c r="D2291" t="n">
        <v>154441</v>
      </c>
      <c r="E2291" t="n">
        <v>30639</v>
      </c>
      <c r="F2291" t="n">
        <v>26219</v>
      </c>
    </row>
    <row r="2292">
      <c r="A2292" t="inlineStr">
        <is>
          <t>255|炮灰怪</t>
        </is>
      </c>
      <c r="B2292" t="n">
        <v>255</v>
      </c>
      <c r="C2292" t="inlineStr">
        <is>
          <t>炮灰怪</t>
        </is>
      </c>
      <c r="D2292" t="n">
        <v>46333</v>
      </c>
      <c r="E2292" t="n">
        <v>30639</v>
      </c>
      <c r="F2292" t="n">
        <v>26219</v>
      </c>
    </row>
    <row r="2293">
      <c r="A2293" t="inlineStr">
        <is>
          <t>255|精英怪</t>
        </is>
      </c>
      <c r="B2293" t="n">
        <v>255</v>
      </c>
      <c r="C2293" t="inlineStr">
        <is>
          <t>精英怪</t>
        </is>
      </c>
      <c r="D2293" t="n">
        <v>1235524</v>
      </c>
      <c r="E2293" t="n">
        <v>30639</v>
      </c>
      <c r="F2293" t="n">
        <v>26219</v>
      </c>
    </row>
    <row r="2294">
      <c r="A2294" t="inlineStr">
        <is>
          <t>255|精英盾怪</t>
        </is>
      </c>
      <c r="B2294" t="n">
        <v>255</v>
      </c>
      <c r="C2294" t="inlineStr">
        <is>
          <t>精英盾怪</t>
        </is>
      </c>
      <c r="D2294" t="n">
        <v>2779929</v>
      </c>
      <c r="E2294" t="n">
        <v>30639</v>
      </c>
      <c r="F2294" t="n">
        <v>26219</v>
      </c>
    </row>
    <row r="2295">
      <c r="A2295" t="inlineStr">
        <is>
          <t>255|Boss</t>
        </is>
      </c>
      <c r="B2295" t="n">
        <v>255</v>
      </c>
      <c r="C2295" t="inlineStr">
        <is>
          <t>Boss</t>
        </is>
      </c>
      <c r="D2295" t="n">
        <v>29057246</v>
      </c>
      <c r="E2295" t="n">
        <v>33927</v>
      </c>
      <c r="F2295" t="n">
        <v>26219</v>
      </c>
    </row>
    <row r="2296">
      <c r="A2296" t="inlineStr">
        <is>
          <t>255|装备副本Boss</t>
        </is>
      </c>
      <c r="B2296" t="n">
        <v>255</v>
      </c>
      <c r="C2296" t="inlineStr">
        <is>
          <t>装备副本Boss</t>
        </is>
      </c>
      <c r="D2296" t="n">
        <v>14528623</v>
      </c>
      <c r="E2296" t="n">
        <v>33927</v>
      </c>
      <c r="F2296" t="n">
        <v>26219</v>
      </c>
    </row>
    <row r="2297">
      <c r="A2297" t="inlineStr">
        <is>
          <t>256|普通怪</t>
        </is>
      </c>
      <c r="B2297" t="n">
        <v>256</v>
      </c>
      <c r="C2297" t="inlineStr">
        <is>
          <t>普通怪</t>
        </is>
      </c>
      <c r="D2297" t="n">
        <v>312099</v>
      </c>
      <c r="E2297" t="n">
        <v>30876</v>
      </c>
      <c r="F2297" t="n">
        <v>26351</v>
      </c>
    </row>
    <row r="2298">
      <c r="A2298" t="inlineStr">
        <is>
          <t>256|盾怪</t>
        </is>
      </c>
      <c r="B2298" t="n">
        <v>256</v>
      </c>
      <c r="C2298" t="inlineStr">
        <is>
          <t>盾怪</t>
        </is>
      </c>
      <c r="D2298" t="n">
        <v>936297</v>
      </c>
      <c r="E2298" t="n">
        <v>30876</v>
      </c>
      <c r="F2298" t="n">
        <v>26351</v>
      </c>
    </row>
    <row r="2299">
      <c r="A2299" t="inlineStr">
        <is>
          <t>256|二级普通怪</t>
        </is>
      </c>
      <c r="B2299" t="n">
        <v>256</v>
      </c>
      <c r="C2299" t="inlineStr">
        <is>
          <t>二级普通怪</t>
        </is>
      </c>
      <c r="D2299" t="n">
        <v>561779</v>
      </c>
      <c r="E2299" t="n">
        <v>30876</v>
      </c>
      <c r="F2299" t="n">
        <v>26351</v>
      </c>
    </row>
    <row r="2300">
      <c r="A2300" t="inlineStr">
        <is>
          <t>256|站桩怪</t>
        </is>
      </c>
      <c r="B2300" t="n">
        <v>256</v>
      </c>
      <c r="C2300" t="inlineStr">
        <is>
          <t>站桩怪</t>
        </is>
      </c>
      <c r="D2300" t="n">
        <v>156050</v>
      </c>
      <c r="E2300" t="n">
        <v>30876</v>
      </c>
      <c r="F2300" t="n">
        <v>26351</v>
      </c>
    </row>
    <row r="2301">
      <c r="A2301" t="inlineStr">
        <is>
          <t>256|炮灰怪</t>
        </is>
      </c>
      <c r="B2301" t="n">
        <v>256</v>
      </c>
      <c r="C2301" t="inlineStr">
        <is>
          <t>炮灰怪</t>
        </is>
      </c>
      <c r="D2301" t="n">
        <v>46815</v>
      </c>
      <c r="E2301" t="n">
        <v>30876</v>
      </c>
      <c r="F2301" t="n">
        <v>26351</v>
      </c>
    </row>
    <row r="2302">
      <c r="A2302" t="inlineStr">
        <is>
          <t>256|精英怪</t>
        </is>
      </c>
      <c r="B2302" t="n">
        <v>256</v>
      </c>
      <c r="C2302" t="inlineStr">
        <is>
          <t>精英怪</t>
        </is>
      </c>
      <c r="D2302" t="n">
        <v>1248396</v>
      </c>
      <c r="E2302" t="n">
        <v>30876</v>
      </c>
      <c r="F2302" t="n">
        <v>26351</v>
      </c>
    </row>
    <row r="2303">
      <c r="A2303" t="inlineStr">
        <is>
          <t>256|精英盾怪</t>
        </is>
      </c>
      <c r="B2303" t="n">
        <v>256</v>
      </c>
      <c r="C2303" t="inlineStr">
        <is>
          <t>精英盾怪</t>
        </is>
      </c>
      <c r="D2303" t="n">
        <v>2808891</v>
      </c>
      <c r="E2303" t="n">
        <v>30876</v>
      </c>
      <c r="F2303" t="n">
        <v>26351</v>
      </c>
    </row>
    <row r="2304">
      <c r="A2304" t="inlineStr">
        <is>
          <t>256|Boss</t>
        </is>
      </c>
      <c r="B2304" t="n">
        <v>256</v>
      </c>
      <c r="C2304" t="inlineStr">
        <is>
          <t>Boss</t>
        </is>
      </c>
      <c r="D2304" t="n">
        <v>29382265</v>
      </c>
      <c r="E2304" t="n">
        <v>34179</v>
      </c>
      <c r="F2304" t="n">
        <v>26351</v>
      </c>
    </row>
    <row r="2305">
      <c r="A2305" t="inlineStr">
        <is>
          <t>256|装备副本Boss</t>
        </is>
      </c>
      <c r="B2305" t="n">
        <v>256</v>
      </c>
      <c r="C2305" t="inlineStr">
        <is>
          <t>装备副本Boss</t>
        </is>
      </c>
      <c r="D2305" t="n">
        <v>14691132</v>
      </c>
      <c r="E2305" t="n">
        <v>34179</v>
      </c>
      <c r="F2305" t="n">
        <v>26351</v>
      </c>
    </row>
    <row r="2306">
      <c r="A2306" t="inlineStr">
        <is>
          <t>257|普通怪</t>
        </is>
      </c>
      <c r="B2306" t="n">
        <v>257</v>
      </c>
      <c r="C2306" t="inlineStr">
        <is>
          <t>普通怪</t>
        </is>
      </c>
      <c r="D2306" t="n">
        <v>315343</v>
      </c>
      <c r="E2306" t="n">
        <v>31113</v>
      </c>
      <c r="F2306" t="n">
        <v>26484</v>
      </c>
    </row>
    <row r="2307">
      <c r="A2307" t="inlineStr">
        <is>
          <t>257|盾怪</t>
        </is>
      </c>
      <c r="B2307" t="n">
        <v>257</v>
      </c>
      <c r="C2307" t="inlineStr">
        <is>
          <t>盾怪</t>
        </is>
      </c>
      <c r="D2307" t="n">
        <v>946029</v>
      </c>
      <c r="E2307" t="n">
        <v>31113</v>
      </c>
      <c r="F2307" t="n">
        <v>26484</v>
      </c>
    </row>
    <row r="2308">
      <c r="A2308" t="inlineStr">
        <is>
          <t>257|二级普通怪</t>
        </is>
      </c>
      <c r="B2308" t="n">
        <v>257</v>
      </c>
      <c r="C2308" t="inlineStr">
        <is>
          <t>二级普通怪</t>
        </is>
      </c>
      <c r="D2308" t="n">
        <v>567618</v>
      </c>
      <c r="E2308" t="n">
        <v>31113</v>
      </c>
      <c r="F2308" t="n">
        <v>26484</v>
      </c>
    </row>
    <row r="2309">
      <c r="A2309" t="inlineStr">
        <is>
          <t>257|站桩怪</t>
        </is>
      </c>
      <c r="B2309" t="n">
        <v>257</v>
      </c>
      <c r="C2309" t="inlineStr">
        <is>
          <t>站桩怪</t>
        </is>
      </c>
      <c r="D2309" t="n">
        <v>157672</v>
      </c>
      <c r="E2309" t="n">
        <v>31113</v>
      </c>
      <c r="F2309" t="n">
        <v>26484</v>
      </c>
    </row>
    <row r="2310">
      <c r="A2310" t="inlineStr">
        <is>
          <t>257|炮灰怪</t>
        </is>
      </c>
      <c r="B2310" t="n">
        <v>257</v>
      </c>
      <c r="C2310" t="inlineStr">
        <is>
          <t>炮灰怪</t>
        </is>
      </c>
      <c r="D2310" t="n">
        <v>47302</v>
      </c>
      <c r="E2310" t="n">
        <v>31113</v>
      </c>
      <c r="F2310" t="n">
        <v>26484</v>
      </c>
    </row>
    <row r="2311">
      <c r="A2311" t="inlineStr">
        <is>
          <t>257|精英怪</t>
        </is>
      </c>
      <c r="B2311" t="n">
        <v>257</v>
      </c>
      <c r="C2311" t="inlineStr">
        <is>
          <t>精英怪</t>
        </is>
      </c>
      <c r="D2311" t="n">
        <v>1261372</v>
      </c>
      <c r="E2311" t="n">
        <v>31113</v>
      </c>
      <c r="F2311" t="n">
        <v>26484</v>
      </c>
    </row>
    <row r="2312">
      <c r="A2312" t="inlineStr">
        <is>
          <t>257|精英盾怪</t>
        </is>
      </c>
      <c r="B2312" t="n">
        <v>257</v>
      </c>
      <c r="C2312" t="inlineStr">
        <is>
          <t>精英盾怪</t>
        </is>
      </c>
      <c r="D2312" t="n">
        <v>2838087</v>
      </c>
      <c r="E2312" t="n">
        <v>31113</v>
      </c>
      <c r="F2312" t="n">
        <v>26484</v>
      </c>
    </row>
    <row r="2313">
      <c r="A2313" t="inlineStr">
        <is>
          <t>257|Boss</t>
        </is>
      </c>
      <c r="B2313" t="n">
        <v>257</v>
      </c>
      <c r="C2313" t="inlineStr">
        <is>
          <t>Boss</t>
        </is>
      </c>
      <c r="D2313" t="n">
        <v>29710089</v>
      </c>
      <c r="E2313" t="n">
        <v>34431</v>
      </c>
      <c r="F2313" t="n">
        <v>26484</v>
      </c>
    </row>
    <row r="2314">
      <c r="A2314" t="inlineStr">
        <is>
          <t>257|装备副本Boss</t>
        </is>
      </c>
      <c r="B2314" t="n">
        <v>257</v>
      </c>
      <c r="C2314" t="inlineStr">
        <is>
          <t>装备副本Boss</t>
        </is>
      </c>
      <c r="D2314" t="n">
        <v>14855045</v>
      </c>
      <c r="E2314" t="n">
        <v>34431</v>
      </c>
      <c r="F2314" t="n">
        <v>26484</v>
      </c>
    </row>
    <row r="2315">
      <c r="A2315" t="inlineStr">
        <is>
          <t>258|普通怪</t>
        </is>
      </c>
      <c r="B2315" t="n">
        <v>258</v>
      </c>
      <c r="C2315" t="inlineStr">
        <is>
          <t>普通怪</t>
        </is>
      </c>
      <c r="D2315" t="n">
        <v>318612</v>
      </c>
      <c r="E2315" t="n">
        <v>31353</v>
      </c>
      <c r="F2315" t="n">
        <v>26616</v>
      </c>
    </row>
    <row r="2316">
      <c r="A2316" t="inlineStr">
        <is>
          <t>258|盾怪</t>
        </is>
      </c>
      <c r="B2316" t="n">
        <v>258</v>
      </c>
      <c r="C2316" t="inlineStr">
        <is>
          <t>盾怪</t>
        </is>
      </c>
      <c r="D2316" t="n">
        <v>955836</v>
      </c>
      <c r="E2316" t="n">
        <v>31353</v>
      </c>
      <c r="F2316" t="n">
        <v>26616</v>
      </c>
    </row>
    <row r="2317">
      <c r="A2317" t="inlineStr">
        <is>
          <t>258|二级普通怪</t>
        </is>
      </c>
      <c r="B2317" t="n">
        <v>258</v>
      </c>
      <c r="C2317" t="inlineStr">
        <is>
          <t>二级普通怪</t>
        </is>
      </c>
      <c r="D2317" t="n">
        <v>573502</v>
      </c>
      <c r="E2317" t="n">
        <v>31353</v>
      </c>
      <c r="F2317" t="n">
        <v>26616</v>
      </c>
    </row>
    <row r="2318">
      <c r="A2318" t="inlineStr">
        <is>
          <t>258|站桩怪</t>
        </is>
      </c>
      <c r="B2318" t="n">
        <v>258</v>
      </c>
      <c r="C2318" t="inlineStr">
        <is>
          <t>站桩怪</t>
        </is>
      </c>
      <c r="D2318" t="n">
        <v>159306</v>
      </c>
      <c r="E2318" t="n">
        <v>31353</v>
      </c>
      <c r="F2318" t="n">
        <v>26616</v>
      </c>
    </row>
    <row r="2319">
      <c r="A2319" t="inlineStr">
        <is>
          <t>258|炮灰怪</t>
        </is>
      </c>
      <c r="B2319" t="n">
        <v>258</v>
      </c>
      <c r="C2319" t="inlineStr">
        <is>
          <t>炮灰怪</t>
        </is>
      </c>
      <c r="D2319" t="n">
        <v>47792</v>
      </c>
      <c r="E2319" t="n">
        <v>31353</v>
      </c>
      <c r="F2319" t="n">
        <v>26616</v>
      </c>
    </row>
    <row r="2320">
      <c r="A2320" t="inlineStr">
        <is>
          <t>258|精英怪</t>
        </is>
      </c>
      <c r="B2320" t="n">
        <v>258</v>
      </c>
      <c r="C2320" t="inlineStr">
        <is>
          <t>精英怪</t>
        </is>
      </c>
      <c r="D2320" t="n">
        <v>1274448</v>
      </c>
      <c r="E2320" t="n">
        <v>31353</v>
      </c>
      <c r="F2320" t="n">
        <v>26616</v>
      </c>
    </row>
    <row r="2321">
      <c r="A2321" t="inlineStr">
        <is>
          <t>258|精英盾怪</t>
        </is>
      </c>
      <c r="B2321" t="n">
        <v>258</v>
      </c>
      <c r="C2321" t="inlineStr">
        <is>
          <t>精英盾怪</t>
        </is>
      </c>
      <c r="D2321" t="n">
        <v>2867508</v>
      </c>
      <c r="E2321" t="n">
        <v>31353</v>
      </c>
      <c r="F2321" t="n">
        <v>26616</v>
      </c>
    </row>
    <row r="2322">
      <c r="A2322" t="inlineStr">
        <is>
          <t>258|Boss</t>
        </is>
      </c>
      <c r="B2322" t="n">
        <v>258</v>
      </c>
      <c r="C2322" t="inlineStr">
        <is>
          <t>Boss</t>
        </is>
      </c>
      <c r="D2322" t="n">
        <v>30040668</v>
      </c>
      <c r="E2322" t="n">
        <v>34686</v>
      </c>
      <c r="F2322" t="n">
        <v>26616</v>
      </c>
    </row>
    <row r="2323">
      <c r="A2323" t="inlineStr">
        <is>
          <t>258|装备副本Boss</t>
        </is>
      </c>
      <c r="B2323" t="n">
        <v>258</v>
      </c>
      <c r="C2323" t="inlineStr">
        <is>
          <t>装备副本Boss</t>
        </is>
      </c>
      <c r="D2323" t="n">
        <v>15020334</v>
      </c>
      <c r="E2323" t="n">
        <v>34686</v>
      </c>
      <c r="F2323" t="n">
        <v>26616</v>
      </c>
    </row>
    <row r="2324">
      <c r="A2324" t="inlineStr">
        <is>
          <t>259|普通怪</t>
        </is>
      </c>
      <c r="B2324" t="n">
        <v>259</v>
      </c>
      <c r="C2324" t="inlineStr">
        <is>
          <t>普通怪</t>
        </is>
      </c>
      <c r="D2324" t="n">
        <v>321906</v>
      </c>
      <c r="E2324" t="n">
        <v>31592</v>
      </c>
      <c r="F2324" t="n">
        <v>26749</v>
      </c>
    </row>
    <row r="2325">
      <c r="A2325" t="inlineStr">
        <is>
          <t>259|盾怪</t>
        </is>
      </c>
      <c r="B2325" t="n">
        <v>259</v>
      </c>
      <c r="C2325" t="inlineStr">
        <is>
          <t>盾怪</t>
        </is>
      </c>
      <c r="D2325" t="n">
        <v>965718</v>
      </c>
      <c r="E2325" t="n">
        <v>31592</v>
      </c>
      <c r="F2325" t="n">
        <v>26749</v>
      </c>
    </row>
    <row r="2326">
      <c r="A2326" t="inlineStr">
        <is>
          <t>259|二级普通怪</t>
        </is>
      </c>
      <c r="B2326" t="n">
        <v>259</v>
      </c>
      <c r="C2326" t="inlineStr">
        <is>
          <t>二级普通怪</t>
        </is>
      </c>
      <c r="D2326" t="n">
        <v>579431</v>
      </c>
      <c r="E2326" t="n">
        <v>31592</v>
      </c>
      <c r="F2326" t="n">
        <v>26749</v>
      </c>
    </row>
    <row r="2327">
      <c r="A2327" t="inlineStr">
        <is>
          <t>259|站桩怪</t>
        </is>
      </c>
      <c r="B2327" t="n">
        <v>259</v>
      </c>
      <c r="C2327" t="inlineStr">
        <is>
          <t>站桩怪</t>
        </is>
      </c>
      <c r="D2327" t="n">
        <v>160953</v>
      </c>
      <c r="E2327" t="n">
        <v>31592</v>
      </c>
      <c r="F2327" t="n">
        <v>26749</v>
      </c>
    </row>
    <row r="2328">
      <c r="A2328" t="inlineStr">
        <is>
          <t>259|炮灰怪</t>
        </is>
      </c>
      <c r="B2328" t="n">
        <v>259</v>
      </c>
      <c r="C2328" t="inlineStr">
        <is>
          <t>炮灰怪</t>
        </is>
      </c>
      <c r="D2328" t="n">
        <v>48286</v>
      </c>
      <c r="E2328" t="n">
        <v>31592</v>
      </c>
      <c r="F2328" t="n">
        <v>26749</v>
      </c>
    </row>
    <row r="2329">
      <c r="A2329" t="inlineStr">
        <is>
          <t>259|精英怪</t>
        </is>
      </c>
      <c r="B2329" t="n">
        <v>259</v>
      </c>
      <c r="C2329" t="inlineStr">
        <is>
          <t>精英怪</t>
        </is>
      </c>
      <c r="D2329" t="n">
        <v>1287624</v>
      </c>
      <c r="E2329" t="n">
        <v>31592</v>
      </c>
      <c r="F2329" t="n">
        <v>26749</v>
      </c>
    </row>
    <row r="2330">
      <c r="A2330" t="inlineStr">
        <is>
          <t>259|精英盾怪</t>
        </is>
      </c>
      <c r="B2330" t="n">
        <v>259</v>
      </c>
      <c r="C2330" t="inlineStr">
        <is>
          <t>精英盾怪</t>
        </is>
      </c>
      <c r="D2330" t="n">
        <v>2897154</v>
      </c>
      <c r="E2330" t="n">
        <v>31592</v>
      </c>
      <c r="F2330" t="n">
        <v>26749</v>
      </c>
    </row>
    <row r="2331">
      <c r="A2331" t="inlineStr">
        <is>
          <t>259|Boss</t>
        </is>
      </c>
      <c r="B2331" t="n">
        <v>259</v>
      </c>
      <c r="C2331" t="inlineStr">
        <is>
          <t>Boss</t>
        </is>
      </c>
      <c r="D2331" t="n">
        <v>30374102</v>
      </c>
      <c r="E2331" t="n">
        <v>34941</v>
      </c>
      <c r="F2331" t="n">
        <v>26749</v>
      </c>
    </row>
    <row r="2332">
      <c r="A2332" t="inlineStr">
        <is>
          <t>259|装备副本Boss</t>
        </is>
      </c>
      <c r="B2332" t="n">
        <v>259</v>
      </c>
      <c r="C2332" t="inlineStr">
        <is>
          <t>装备副本Boss</t>
        </is>
      </c>
      <c r="D2332" t="n">
        <v>15187051</v>
      </c>
      <c r="E2332" t="n">
        <v>34941</v>
      </c>
      <c r="F2332" t="n">
        <v>26749</v>
      </c>
    </row>
    <row r="2333">
      <c r="A2333" t="inlineStr">
        <is>
          <t>260|普通怪</t>
        </is>
      </c>
      <c r="B2333" t="n">
        <v>260</v>
      </c>
      <c r="C2333" t="inlineStr">
        <is>
          <t>普通怪</t>
        </is>
      </c>
      <c r="D2333" t="n">
        <v>325226</v>
      </c>
      <c r="E2333" t="n">
        <v>31834</v>
      </c>
      <c r="F2333" t="n">
        <v>26881</v>
      </c>
    </row>
    <row r="2334">
      <c r="A2334" t="inlineStr">
        <is>
          <t>260|盾怪</t>
        </is>
      </c>
      <c r="B2334" t="n">
        <v>260</v>
      </c>
      <c r="C2334" t="inlineStr">
        <is>
          <t>盾怪</t>
        </is>
      </c>
      <c r="D2334" t="n">
        <v>975678</v>
      </c>
      <c r="E2334" t="n">
        <v>31834</v>
      </c>
      <c r="F2334" t="n">
        <v>26881</v>
      </c>
    </row>
    <row r="2335">
      <c r="A2335" t="inlineStr">
        <is>
          <t>260|二级普通怪</t>
        </is>
      </c>
      <c r="B2335" t="n">
        <v>260</v>
      </c>
      <c r="C2335" t="inlineStr">
        <is>
          <t>二级普通怪</t>
        </is>
      </c>
      <c r="D2335" t="n">
        <v>585407</v>
      </c>
      <c r="E2335" t="n">
        <v>31834</v>
      </c>
      <c r="F2335" t="n">
        <v>26881</v>
      </c>
    </row>
    <row r="2336">
      <c r="A2336" t="inlineStr">
        <is>
          <t>260|站桩怪</t>
        </is>
      </c>
      <c r="B2336" t="n">
        <v>260</v>
      </c>
      <c r="C2336" t="inlineStr">
        <is>
          <t>站桩怪</t>
        </is>
      </c>
      <c r="D2336" t="n">
        <v>162613</v>
      </c>
      <c r="E2336" t="n">
        <v>31834</v>
      </c>
      <c r="F2336" t="n">
        <v>26881</v>
      </c>
    </row>
    <row r="2337">
      <c r="A2337" t="inlineStr">
        <is>
          <t>260|炮灰怪</t>
        </is>
      </c>
      <c r="B2337" t="n">
        <v>260</v>
      </c>
      <c r="C2337" t="inlineStr">
        <is>
          <t>炮灰怪</t>
        </is>
      </c>
      <c r="D2337" t="n">
        <v>48784</v>
      </c>
      <c r="E2337" t="n">
        <v>31834</v>
      </c>
      <c r="F2337" t="n">
        <v>26881</v>
      </c>
    </row>
    <row r="2338">
      <c r="A2338" t="inlineStr">
        <is>
          <t>260|精英怪</t>
        </is>
      </c>
      <c r="B2338" t="n">
        <v>260</v>
      </c>
      <c r="C2338" t="inlineStr">
        <is>
          <t>精英怪</t>
        </is>
      </c>
      <c r="D2338" t="n">
        <v>1300904</v>
      </c>
      <c r="E2338" t="n">
        <v>31834</v>
      </c>
      <c r="F2338" t="n">
        <v>26881</v>
      </c>
    </row>
    <row r="2339">
      <c r="A2339" t="inlineStr">
        <is>
          <t>260|精英盾怪</t>
        </is>
      </c>
      <c r="B2339" t="n">
        <v>260</v>
      </c>
      <c r="C2339" t="inlineStr">
        <is>
          <t>精英盾怪</t>
        </is>
      </c>
      <c r="D2339" t="n">
        <v>2927034</v>
      </c>
      <c r="E2339" t="n">
        <v>31834</v>
      </c>
      <c r="F2339" t="n">
        <v>26881</v>
      </c>
    </row>
    <row r="2340">
      <c r="A2340" t="inlineStr">
        <is>
          <t>260|Boss</t>
        </is>
      </c>
      <c r="B2340" t="n">
        <v>260</v>
      </c>
      <c r="C2340" t="inlineStr">
        <is>
          <t>Boss</t>
        </is>
      </c>
      <c r="D2340" t="n">
        <v>30710342</v>
      </c>
      <c r="E2340" t="n">
        <v>35198</v>
      </c>
      <c r="F2340" t="n">
        <v>26881</v>
      </c>
    </row>
    <row r="2341">
      <c r="A2341" t="inlineStr">
        <is>
          <t>260|装备副本Boss</t>
        </is>
      </c>
      <c r="B2341" t="n">
        <v>260</v>
      </c>
      <c r="C2341" t="inlineStr">
        <is>
          <t>装备副本Boss</t>
        </is>
      </c>
      <c r="D2341" t="n">
        <v>15355171</v>
      </c>
      <c r="E2341" t="n">
        <v>35198</v>
      </c>
      <c r="F2341" t="n">
        <v>26881</v>
      </c>
    </row>
    <row r="2342">
      <c r="A2342" t="inlineStr">
        <is>
          <t>261|普通怪</t>
        </is>
      </c>
      <c r="B2342" t="n">
        <v>261</v>
      </c>
      <c r="C2342" t="inlineStr">
        <is>
          <t>普通怪</t>
        </is>
      </c>
      <c r="D2342" t="n">
        <v>328572</v>
      </c>
      <c r="E2342" t="n">
        <v>32077</v>
      </c>
      <c r="F2342" t="n">
        <v>27014</v>
      </c>
    </row>
    <row r="2343">
      <c r="A2343" t="inlineStr">
        <is>
          <t>261|盾怪</t>
        </is>
      </c>
      <c r="B2343" t="n">
        <v>261</v>
      </c>
      <c r="C2343" t="inlineStr">
        <is>
          <t>盾怪</t>
        </is>
      </c>
      <c r="D2343" t="n">
        <v>985716</v>
      </c>
      <c r="E2343" t="n">
        <v>32077</v>
      </c>
      <c r="F2343" t="n">
        <v>27014</v>
      </c>
    </row>
    <row r="2344">
      <c r="A2344" t="inlineStr">
        <is>
          <t>261|二级普通怪</t>
        </is>
      </c>
      <c r="B2344" t="n">
        <v>261</v>
      </c>
      <c r="C2344" t="inlineStr">
        <is>
          <t>二级普通怪</t>
        </is>
      </c>
      <c r="D2344" t="n">
        <v>591430</v>
      </c>
      <c r="E2344" t="n">
        <v>32077</v>
      </c>
      <c r="F2344" t="n">
        <v>27014</v>
      </c>
    </row>
    <row r="2345">
      <c r="A2345" t="inlineStr">
        <is>
          <t>261|站桩怪</t>
        </is>
      </c>
      <c r="B2345" t="n">
        <v>261</v>
      </c>
      <c r="C2345" t="inlineStr">
        <is>
          <t>站桩怪</t>
        </is>
      </c>
      <c r="D2345" t="n">
        <v>164286</v>
      </c>
      <c r="E2345" t="n">
        <v>32077</v>
      </c>
      <c r="F2345" t="n">
        <v>27014</v>
      </c>
    </row>
    <row r="2346">
      <c r="A2346" t="inlineStr">
        <is>
          <t>261|炮灰怪</t>
        </is>
      </c>
      <c r="B2346" t="n">
        <v>261</v>
      </c>
      <c r="C2346" t="inlineStr">
        <is>
          <t>炮灰怪</t>
        </is>
      </c>
      <c r="D2346" t="n">
        <v>49286</v>
      </c>
      <c r="E2346" t="n">
        <v>32077</v>
      </c>
      <c r="F2346" t="n">
        <v>27014</v>
      </c>
    </row>
    <row r="2347">
      <c r="A2347" t="inlineStr">
        <is>
          <t>261|精英怪</t>
        </is>
      </c>
      <c r="B2347" t="n">
        <v>261</v>
      </c>
      <c r="C2347" t="inlineStr">
        <is>
          <t>精英怪</t>
        </is>
      </c>
      <c r="D2347" t="n">
        <v>1314288</v>
      </c>
      <c r="E2347" t="n">
        <v>32077</v>
      </c>
      <c r="F2347" t="n">
        <v>27014</v>
      </c>
    </row>
    <row r="2348">
      <c r="A2348" t="inlineStr">
        <is>
          <t>261|精英盾怪</t>
        </is>
      </c>
      <c r="B2348" t="n">
        <v>261</v>
      </c>
      <c r="C2348" t="inlineStr">
        <is>
          <t>精英盾怪</t>
        </is>
      </c>
      <c r="D2348" t="n">
        <v>2957148</v>
      </c>
      <c r="E2348" t="n">
        <v>32077</v>
      </c>
      <c r="F2348" t="n">
        <v>27014</v>
      </c>
    </row>
    <row r="2349">
      <c r="A2349" t="inlineStr">
        <is>
          <t>261|Boss</t>
        </is>
      </c>
      <c r="B2349" t="n">
        <v>261</v>
      </c>
      <c r="C2349" t="inlineStr">
        <is>
          <t>Boss</t>
        </is>
      </c>
      <c r="D2349" t="n">
        <v>31049438</v>
      </c>
      <c r="E2349" t="n">
        <v>35456</v>
      </c>
      <c r="F2349" t="n">
        <v>27014</v>
      </c>
    </row>
    <row r="2350">
      <c r="A2350" t="inlineStr">
        <is>
          <t>261|装备副本Boss</t>
        </is>
      </c>
      <c r="B2350" t="n">
        <v>261</v>
      </c>
      <c r="C2350" t="inlineStr">
        <is>
          <t>装备副本Boss</t>
        </is>
      </c>
      <c r="D2350" t="n">
        <v>15524719</v>
      </c>
      <c r="E2350" t="n">
        <v>35456</v>
      </c>
      <c r="F2350" t="n">
        <v>27014</v>
      </c>
    </row>
    <row r="2351">
      <c r="A2351" t="inlineStr">
        <is>
          <t>262|普通怪</t>
        </is>
      </c>
      <c r="B2351" t="n">
        <v>262</v>
      </c>
      <c r="C2351" t="inlineStr">
        <is>
          <t>普通怪</t>
        </is>
      </c>
      <c r="D2351" t="n">
        <v>331944</v>
      </c>
      <c r="E2351" t="n">
        <v>32322</v>
      </c>
      <c r="F2351" t="n">
        <v>27148</v>
      </c>
    </row>
    <row r="2352">
      <c r="A2352" t="inlineStr">
        <is>
          <t>262|盾怪</t>
        </is>
      </c>
      <c r="B2352" t="n">
        <v>262</v>
      </c>
      <c r="C2352" t="inlineStr">
        <is>
          <t>盾怪</t>
        </is>
      </c>
      <c r="D2352" t="n">
        <v>995832</v>
      </c>
      <c r="E2352" t="n">
        <v>32322</v>
      </c>
      <c r="F2352" t="n">
        <v>27148</v>
      </c>
    </row>
    <row r="2353">
      <c r="A2353" t="inlineStr">
        <is>
          <t>262|二级普通怪</t>
        </is>
      </c>
      <c r="B2353" t="n">
        <v>262</v>
      </c>
      <c r="C2353" t="inlineStr">
        <is>
          <t>二级普通怪</t>
        </is>
      </c>
      <c r="D2353" t="n">
        <v>597500</v>
      </c>
      <c r="E2353" t="n">
        <v>32322</v>
      </c>
      <c r="F2353" t="n">
        <v>27148</v>
      </c>
    </row>
    <row r="2354">
      <c r="A2354" t="inlineStr">
        <is>
          <t>262|站桩怪</t>
        </is>
      </c>
      <c r="B2354" t="n">
        <v>262</v>
      </c>
      <c r="C2354" t="inlineStr">
        <is>
          <t>站桩怪</t>
        </is>
      </c>
      <c r="D2354" t="n">
        <v>165972</v>
      </c>
      <c r="E2354" t="n">
        <v>32322</v>
      </c>
      <c r="F2354" t="n">
        <v>27148</v>
      </c>
    </row>
    <row r="2355">
      <c r="A2355" t="inlineStr">
        <is>
          <t>262|炮灰怪</t>
        </is>
      </c>
      <c r="B2355" t="n">
        <v>262</v>
      </c>
      <c r="C2355" t="inlineStr">
        <is>
          <t>炮灰怪</t>
        </is>
      </c>
      <c r="D2355" t="n">
        <v>49792</v>
      </c>
      <c r="E2355" t="n">
        <v>32322</v>
      </c>
      <c r="F2355" t="n">
        <v>27148</v>
      </c>
    </row>
    <row r="2356">
      <c r="A2356" t="inlineStr">
        <is>
          <t>262|精英怪</t>
        </is>
      </c>
      <c r="B2356" t="n">
        <v>262</v>
      </c>
      <c r="C2356" t="inlineStr">
        <is>
          <t>精英怪</t>
        </is>
      </c>
      <c r="D2356" t="n">
        <v>1327776</v>
      </c>
      <c r="E2356" t="n">
        <v>32322</v>
      </c>
      <c r="F2356" t="n">
        <v>27148</v>
      </c>
    </row>
    <row r="2357">
      <c r="A2357" t="inlineStr">
        <is>
          <t>262|精英盾怪</t>
        </is>
      </c>
      <c r="B2357" t="n">
        <v>262</v>
      </c>
      <c r="C2357" t="inlineStr">
        <is>
          <t>精英盾怪</t>
        </is>
      </c>
      <c r="D2357" t="n">
        <v>2987496</v>
      </c>
      <c r="E2357" t="n">
        <v>32322</v>
      </c>
      <c r="F2357" t="n">
        <v>27148</v>
      </c>
    </row>
    <row r="2358">
      <c r="A2358" t="inlineStr">
        <is>
          <t>262|Boss</t>
        </is>
      </c>
      <c r="B2358" t="n">
        <v>262</v>
      </c>
      <c r="C2358" t="inlineStr">
        <is>
          <t>Boss</t>
        </is>
      </c>
      <c r="D2358" t="n">
        <v>31391441</v>
      </c>
      <c r="E2358" t="n">
        <v>35716</v>
      </c>
      <c r="F2358" t="n">
        <v>27148</v>
      </c>
    </row>
    <row r="2359">
      <c r="A2359" t="inlineStr">
        <is>
          <t>262|装备副本Boss</t>
        </is>
      </c>
      <c r="B2359" t="n">
        <v>262</v>
      </c>
      <c r="C2359" t="inlineStr">
        <is>
          <t>装备副本Boss</t>
        </is>
      </c>
      <c r="D2359" t="n">
        <v>15695720</v>
      </c>
      <c r="E2359" t="n">
        <v>35716</v>
      </c>
      <c r="F2359" t="n">
        <v>27148</v>
      </c>
    </row>
    <row r="2360">
      <c r="A2360" t="inlineStr">
        <is>
          <t>263|普通怪</t>
        </is>
      </c>
      <c r="B2360" t="n">
        <v>263</v>
      </c>
      <c r="C2360" t="inlineStr">
        <is>
          <t>普通怪</t>
        </is>
      </c>
      <c r="D2360" t="n">
        <v>335342</v>
      </c>
      <c r="E2360" t="n">
        <v>32567</v>
      </c>
      <c r="F2360" t="n">
        <v>27281</v>
      </c>
    </row>
    <row r="2361">
      <c r="A2361" t="inlineStr">
        <is>
          <t>263|盾怪</t>
        </is>
      </c>
      <c r="B2361" t="n">
        <v>263</v>
      </c>
      <c r="C2361" t="inlineStr">
        <is>
          <t>盾怪</t>
        </is>
      </c>
      <c r="D2361" t="n">
        <v>1006026</v>
      </c>
      <c r="E2361" t="n">
        <v>32567</v>
      </c>
      <c r="F2361" t="n">
        <v>27281</v>
      </c>
    </row>
    <row r="2362">
      <c r="A2362" t="inlineStr">
        <is>
          <t>263|二级普通怪</t>
        </is>
      </c>
      <c r="B2362" t="n">
        <v>263</v>
      </c>
      <c r="C2362" t="inlineStr">
        <is>
          <t>二级普通怪</t>
        </is>
      </c>
      <c r="D2362" t="n">
        <v>603616</v>
      </c>
      <c r="E2362" t="n">
        <v>32567</v>
      </c>
      <c r="F2362" t="n">
        <v>27281</v>
      </c>
    </row>
    <row r="2363">
      <c r="A2363" t="inlineStr">
        <is>
          <t>263|站桩怪</t>
        </is>
      </c>
      <c r="B2363" t="n">
        <v>263</v>
      </c>
      <c r="C2363" t="inlineStr">
        <is>
          <t>站桩怪</t>
        </is>
      </c>
      <c r="D2363" t="n">
        <v>167671</v>
      </c>
      <c r="E2363" t="n">
        <v>32567</v>
      </c>
      <c r="F2363" t="n">
        <v>27281</v>
      </c>
    </row>
    <row r="2364">
      <c r="A2364" t="inlineStr">
        <is>
          <t>263|炮灰怪</t>
        </is>
      </c>
      <c r="B2364" t="n">
        <v>263</v>
      </c>
      <c r="C2364" t="inlineStr">
        <is>
          <t>炮灰怪</t>
        </is>
      </c>
      <c r="D2364" t="n">
        <v>50302</v>
      </c>
      <c r="E2364" t="n">
        <v>32567</v>
      </c>
      <c r="F2364" t="n">
        <v>27281</v>
      </c>
    </row>
    <row r="2365">
      <c r="A2365" t="inlineStr">
        <is>
          <t>263|精英怪</t>
        </is>
      </c>
      <c r="B2365" t="n">
        <v>263</v>
      </c>
      <c r="C2365" t="inlineStr">
        <is>
          <t>精英怪</t>
        </is>
      </c>
      <c r="D2365" t="n">
        <v>1341368</v>
      </c>
      <c r="E2365" t="n">
        <v>32567</v>
      </c>
      <c r="F2365" t="n">
        <v>27281</v>
      </c>
    </row>
    <row r="2366">
      <c r="A2366" t="inlineStr">
        <is>
          <t>263|精英盾怪</t>
        </is>
      </c>
      <c r="B2366" t="n">
        <v>263</v>
      </c>
      <c r="C2366" t="inlineStr">
        <is>
          <t>精英盾怪</t>
        </is>
      </c>
      <c r="D2366" t="n">
        <v>3018078</v>
      </c>
      <c r="E2366" t="n">
        <v>32567</v>
      </c>
      <c r="F2366" t="n">
        <v>27281</v>
      </c>
    </row>
    <row r="2367">
      <c r="A2367" t="inlineStr">
        <is>
          <t>263|Boss</t>
        </is>
      </c>
      <c r="B2367" t="n">
        <v>263</v>
      </c>
      <c r="C2367" t="inlineStr">
        <is>
          <t>Boss</t>
        </is>
      </c>
      <c r="D2367" t="n">
        <v>31736300</v>
      </c>
      <c r="E2367" t="n">
        <v>35977</v>
      </c>
      <c r="F2367" t="n">
        <v>27281</v>
      </c>
    </row>
    <row r="2368">
      <c r="A2368" t="inlineStr">
        <is>
          <t>263|装备副本Boss</t>
        </is>
      </c>
      <c r="B2368" t="n">
        <v>263</v>
      </c>
      <c r="C2368" t="inlineStr">
        <is>
          <t>装备副本Boss</t>
        </is>
      </c>
      <c r="D2368" t="n">
        <v>15868150</v>
      </c>
      <c r="E2368" t="n">
        <v>35977</v>
      </c>
      <c r="F2368" t="n">
        <v>27281</v>
      </c>
    </row>
    <row r="2369">
      <c r="A2369" t="inlineStr">
        <is>
          <t>264|普通怪</t>
        </is>
      </c>
      <c r="B2369" t="n">
        <v>264</v>
      </c>
      <c r="C2369" t="inlineStr">
        <is>
          <t>普通怪</t>
        </is>
      </c>
      <c r="D2369" t="n">
        <v>338766</v>
      </c>
      <c r="E2369" t="n">
        <v>32814</v>
      </c>
      <c r="F2369" t="n">
        <v>27415</v>
      </c>
    </row>
    <row r="2370">
      <c r="A2370" t="inlineStr">
        <is>
          <t>264|盾怪</t>
        </is>
      </c>
      <c r="B2370" t="n">
        <v>264</v>
      </c>
      <c r="C2370" t="inlineStr">
        <is>
          <t>盾怪</t>
        </is>
      </c>
      <c r="D2370" t="n">
        <v>1016298</v>
      </c>
      <c r="E2370" t="n">
        <v>32814</v>
      </c>
      <c r="F2370" t="n">
        <v>27415</v>
      </c>
    </row>
    <row r="2371">
      <c r="A2371" t="inlineStr">
        <is>
          <t>264|二级普通怪</t>
        </is>
      </c>
      <c r="B2371" t="n">
        <v>264</v>
      </c>
      <c r="C2371" t="inlineStr">
        <is>
          <t>二级普通怪</t>
        </is>
      </c>
      <c r="D2371" t="n">
        <v>609779</v>
      </c>
      <c r="E2371" t="n">
        <v>32814</v>
      </c>
      <c r="F2371" t="n">
        <v>27415</v>
      </c>
    </row>
    <row r="2372">
      <c r="A2372" t="inlineStr">
        <is>
          <t>264|站桩怪</t>
        </is>
      </c>
      <c r="B2372" t="n">
        <v>264</v>
      </c>
      <c r="C2372" t="inlineStr">
        <is>
          <t>站桩怪</t>
        </is>
      </c>
      <c r="D2372" t="n">
        <v>169383</v>
      </c>
      <c r="E2372" t="n">
        <v>32814</v>
      </c>
      <c r="F2372" t="n">
        <v>27415</v>
      </c>
    </row>
    <row r="2373">
      <c r="A2373" t="inlineStr">
        <is>
          <t>264|炮灰怪</t>
        </is>
      </c>
      <c r="B2373" t="n">
        <v>264</v>
      </c>
      <c r="C2373" t="inlineStr">
        <is>
          <t>炮灰怪</t>
        </is>
      </c>
      <c r="D2373" t="n">
        <v>50815</v>
      </c>
      <c r="E2373" t="n">
        <v>32814</v>
      </c>
      <c r="F2373" t="n">
        <v>27415</v>
      </c>
    </row>
    <row r="2374">
      <c r="A2374" t="inlineStr">
        <is>
          <t>264|精英怪</t>
        </is>
      </c>
      <c r="B2374" t="n">
        <v>264</v>
      </c>
      <c r="C2374" t="inlineStr">
        <is>
          <t>精英怪</t>
        </is>
      </c>
      <c r="D2374" t="n">
        <v>1355064</v>
      </c>
      <c r="E2374" t="n">
        <v>32814</v>
      </c>
      <c r="F2374" t="n">
        <v>27415</v>
      </c>
    </row>
    <row r="2375">
      <c r="A2375" t="inlineStr">
        <is>
          <t>264|精英盾怪</t>
        </is>
      </c>
      <c r="B2375" t="n">
        <v>264</v>
      </c>
      <c r="C2375" t="inlineStr">
        <is>
          <t>精英盾怪</t>
        </is>
      </c>
      <c r="D2375" t="n">
        <v>3048894</v>
      </c>
      <c r="E2375" t="n">
        <v>32814</v>
      </c>
      <c r="F2375" t="n">
        <v>27415</v>
      </c>
    </row>
    <row r="2376">
      <c r="A2376" t="inlineStr">
        <is>
          <t>264|Boss</t>
        </is>
      </c>
      <c r="B2376" t="n">
        <v>264</v>
      </c>
      <c r="C2376" t="inlineStr">
        <is>
          <t>Boss</t>
        </is>
      </c>
      <c r="D2376" t="n">
        <v>32084117</v>
      </c>
      <c r="E2376" t="n">
        <v>36239</v>
      </c>
      <c r="F2376" t="n">
        <v>27415</v>
      </c>
    </row>
    <row r="2377">
      <c r="A2377" t="inlineStr">
        <is>
          <t>264|装备副本Boss</t>
        </is>
      </c>
      <c r="B2377" t="n">
        <v>264</v>
      </c>
      <c r="C2377" t="inlineStr">
        <is>
          <t>装备副本Boss</t>
        </is>
      </c>
      <c r="D2377" t="n">
        <v>16042058</v>
      </c>
      <c r="E2377" t="n">
        <v>36239</v>
      </c>
      <c r="F2377" t="n">
        <v>27415</v>
      </c>
    </row>
    <row r="2378">
      <c r="A2378" t="inlineStr">
        <is>
          <t>265|普通怪</t>
        </is>
      </c>
      <c r="B2378" t="n">
        <v>265</v>
      </c>
      <c r="C2378" t="inlineStr">
        <is>
          <t>普通怪</t>
        </is>
      </c>
      <c r="D2378" t="n">
        <v>342216</v>
      </c>
      <c r="E2378" t="n">
        <v>33063</v>
      </c>
      <c r="F2378" t="n">
        <v>27549</v>
      </c>
    </row>
    <row r="2379">
      <c r="A2379" t="inlineStr">
        <is>
          <t>265|盾怪</t>
        </is>
      </c>
      <c r="B2379" t="n">
        <v>265</v>
      </c>
      <c r="C2379" t="inlineStr">
        <is>
          <t>盾怪</t>
        </is>
      </c>
      <c r="D2379" t="n">
        <v>1026648</v>
      </c>
      <c r="E2379" t="n">
        <v>33063</v>
      </c>
      <c r="F2379" t="n">
        <v>27549</v>
      </c>
    </row>
    <row r="2380">
      <c r="A2380" t="inlineStr">
        <is>
          <t>265|二级普通怪</t>
        </is>
      </c>
      <c r="B2380" t="n">
        <v>265</v>
      </c>
      <c r="C2380" t="inlineStr">
        <is>
          <t>二级普通怪</t>
        </is>
      </c>
      <c r="D2380" t="n">
        <v>615989</v>
      </c>
      <c r="E2380" t="n">
        <v>33063</v>
      </c>
      <c r="F2380" t="n">
        <v>27549</v>
      </c>
    </row>
    <row r="2381">
      <c r="A2381" t="inlineStr">
        <is>
          <t>265|站桩怪</t>
        </is>
      </c>
      <c r="B2381" t="n">
        <v>265</v>
      </c>
      <c r="C2381" t="inlineStr">
        <is>
          <t>站桩怪</t>
        </is>
      </c>
      <c r="D2381" t="n">
        <v>171108</v>
      </c>
      <c r="E2381" t="n">
        <v>33063</v>
      </c>
      <c r="F2381" t="n">
        <v>27549</v>
      </c>
    </row>
    <row r="2382">
      <c r="A2382" t="inlineStr">
        <is>
          <t>265|炮灰怪</t>
        </is>
      </c>
      <c r="B2382" t="n">
        <v>265</v>
      </c>
      <c r="C2382" t="inlineStr">
        <is>
          <t>炮灰怪</t>
        </is>
      </c>
      <c r="D2382" t="n">
        <v>51333</v>
      </c>
      <c r="E2382" t="n">
        <v>33063</v>
      </c>
      <c r="F2382" t="n">
        <v>27549</v>
      </c>
    </row>
    <row r="2383">
      <c r="A2383" t="inlineStr">
        <is>
          <t>265|精英怪</t>
        </is>
      </c>
      <c r="B2383" t="n">
        <v>265</v>
      </c>
      <c r="C2383" t="inlineStr">
        <is>
          <t>精英怪</t>
        </is>
      </c>
      <c r="D2383" t="n">
        <v>1368864</v>
      </c>
      <c r="E2383" t="n">
        <v>33063</v>
      </c>
      <c r="F2383" t="n">
        <v>27549</v>
      </c>
    </row>
    <row r="2384">
      <c r="A2384" t="inlineStr">
        <is>
          <t>265|精英盾怪</t>
        </is>
      </c>
      <c r="B2384" t="n">
        <v>265</v>
      </c>
      <c r="C2384" t="inlineStr">
        <is>
          <t>精英盾怪</t>
        </is>
      </c>
      <c r="D2384" t="n">
        <v>3079944</v>
      </c>
      <c r="E2384" t="n">
        <v>33063</v>
      </c>
      <c r="F2384" t="n">
        <v>27549</v>
      </c>
    </row>
    <row r="2385">
      <c r="A2385" t="inlineStr">
        <is>
          <t>265|Boss</t>
        </is>
      </c>
      <c r="B2385" t="n">
        <v>265</v>
      </c>
      <c r="C2385" t="inlineStr">
        <is>
          <t>Boss</t>
        </is>
      </c>
      <c r="D2385" t="n">
        <v>32434841</v>
      </c>
      <c r="E2385" t="n">
        <v>36503</v>
      </c>
      <c r="F2385" t="n">
        <v>27549</v>
      </c>
    </row>
    <row r="2386">
      <c r="A2386" t="inlineStr">
        <is>
          <t>265|装备副本Boss</t>
        </is>
      </c>
      <c r="B2386" t="n">
        <v>265</v>
      </c>
      <c r="C2386" t="inlineStr">
        <is>
          <t>装备副本Boss</t>
        </is>
      </c>
      <c r="D2386" t="n">
        <v>16217421</v>
      </c>
      <c r="E2386" t="n">
        <v>36503</v>
      </c>
      <c r="F2386" t="n">
        <v>27549</v>
      </c>
    </row>
    <row r="2387">
      <c r="A2387" t="inlineStr">
        <is>
          <t>266|普通怪</t>
        </is>
      </c>
      <c r="B2387" t="n">
        <v>266</v>
      </c>
      <c r="C2387" t="inlineStr">
        <is>
          <t>普通怪</t>
        </is>
      </c>
      <c r="D2387" t="n">
        <v>345693</v>
      </c>
      <c r="E2387" t="n">
        <v>33312</v>
      </c>
      <c r="F2387" t="n">
        <v>27683</v>
      </c>
    </row>
    <row r="2388">
      <c r="A2388" t="inlineStr">
        <is>
          <t>266|盾怪</t>
        </is>
      </c>
      <c r="B2388" t="n">
        <v>266</v>
      </c>
      <c r="C2388" t="inlineStr">
        <is>
          <t>盾怪</t>
        </is>
      </c>
      <c r="D2388" t="n">
        <v>1037079</v>
      </c>
      <c r="E2388" t="n">
        <v>33312</v>
      </c>
      <c r="F2388" t="n">
        <v>27683</v>
      </c>
    </row>
    <row r="2389">
      <c r="A2389" t="inlineStr">
        <is>
          <t>266|二级普通怪</t>
        </is>
      </c>
      <c r="B2389" t="n">
        <v>266</v>
      </c>
      <c r="C2389" t="inlineStr">
        <is>
          <t>二级普通怪</t>
        </is>
      </c>
      <c r="D2389" t="n">
        <v>622248</v>
      </c>
      <c r="E2389" t="n">
        <v>33312</v>
      </c>
      <c r="F2389" t="n">
        <v>27683</v>
      </c>
    </row>
    <row r="2390">
      <c r="A2390" t="inlineStr">
        <is>
          <t>266|站桩怪</t>
        </is>
      </c>
      <c r="B2390" t="n">
        <v>266</v>
      </c>
      <c r="C2390" t="inlineStr">
        <is>
          <t>站桩怪</t>
        </is>
      </c>
      <c r="D2390" t="n">
        <v>172847</v>
      </c>
      <c r="E2390" t="n">
        <v>33312</v>
      </c>
      <c r="F2390" t="n">
        <v>27683</v>
      </c>
    </row>
    <row r="2391">
      <c r="A2391" t="inlineStr">
        <is>
          <t>266|炮灰怪</t>
        </is>
      </c>
      <c r="B2391" t="n">
        <v>266</v>
      </c>
      <c r="C2391" t="inlineStr">
        <is>
          <t>炮灰怪</t>
        </is>
      </c>
      <c r="D2391" t="n">
        <v>51854</v>
      </c>
      <c r="E2391" t="n">
        <v>33312</v>
      </c>
      <c r="F2391" t="n">
        <v>27683</v>
      </c>
    </row>
    <row r="2392">
      <c r="A2392" t="inlineStr">
        <is>
          <t>266|精英怪</t>
        </is>
      </c>
      <c r="B2392" t="n">
        <v>266</v>
      </c>
      <c r="C2392" t="inlineStr">
        <is>
          <t>精英怪</t>
        </is>
      </c>
      <c r="D2392" t="n">
        <v>1382772</v>
      </c>
      <c r="E2392" t="n">
        <v>33312</v>
      </c>
      <c r="F2392" t="n">
        <v>27683</v>
      </c>
    </row>
    <row r="2393">
      <c r="A2393" t="inlineStr">
        <is>
          <t>266|精英盾怪</t>
        </is>
      </c>
      <c r="B2393" t="n">
        <v>266</v>
      </c>
      <c r="C2393" t="inlineStr">
        <is>
          <t>精英盾怪</t>
        </is>
      </c>
      <c r="D2393" t="n">
        <v>3111237</v>
      </c>
      <c r="E2393" t="n">
        <v>33312</v>
      </c>
      <c r="F2393" t="n">
        <v>27683</v>
      </c>
    </row>
    <row r="2394">
      <c r="A2394" t="inlineStr">
        <is>
          <t>266|Boss</t>
        </is>
      </c>
      <c r="B2394" t="n">
        <v>266</v>
      </c>
      <c r="C2394" t="inlineStr">
        <is>
          <t>Boss</t>
        </is>
      </c>
      <c r="D2394" t="n">
        <v>32788473</v>
      </c>
      <c r="E2394" t="n">
        <v>36768</v>
      </c>
      <c r="F2394" t="n">
        <v>27683</v>
      </c>
    </row>
    <row r="2395">
      <c r="A2395" t="inlineStr">
        <is>
          <t>266|装备副本Boss</t>
        </is>
      </c>
      <c r="B2395" t="n">
        <v>266</v>
      </c>
      <c r="C2395" t="inlineStr">
        <is>
          <t>装备副本Boss</t>
        </is>
      </c>
      <c r="D2395" t="n">
        <v>16394236</v>
      </c>
      <c r="E2395" t="n">
        <v>36768</v>
      </c>
      <c r="F2395" t="n">
        <v>27683</v>
      </c>
    </row>
    <row r="2396">
      <c r="A2396" t="inlineStr">
        <is>
          <t>267|普通怪</t>
        </is>
      </c>
      <c r="B2396" t="n">
        <v>267</v>
      </c>
      <c r="C2396" t="inlineStr">
        <is>
          <t>普通怪</t>
        </is>
      </c>
      <c r="D2396" t="n">
        <v>349196</v>
      </c>
      <c r="E2396" t="n">
        <v>33564</v>
      </c>
      <c r="F2396" t="n">
        <v>27818</v>
      </c>
    </row>
    <row r="2397">
      <c r="A2397" t="inlineStr">
        <is>
          <t>267|盾怪</t>
        </is>
      </c>
      <c r="B2397" t="n">
        <v>267</v>
      </c>
      <c r="C2397" t="inlineStr">
        <is>
          <t>盾怪</t>
        </is>
      </c>
      <c r="D2397" t="n">
        <v>1047588</v>
      </c>
      <c r="E2397" t="n">
        <v>33564</v>
      </c>
      <c r="F2397" t="n">
        <v>27818</v>
      </c>
    </row>
    <row r="2398">
      <c r="A2398" t="inlineStr">
        <is>
          <t>267|二级普通怪</t>
        </is>
      </c>
      <c r="B2398" t="n">
        <v>267</v>
      </c>
      <c r="C2398" t="inlineStr">
        <is>
          <t>二级普通怪</t>
        </is>
      </c>
      <c r="D2398" t="n">
        <v>628553</v>
      </c>
      <c r="E2398" t="n">
        <v>33564</v>
      </c>
      <c r="F2398" t="n">
        <v>27818</v>
      </c>
    </row>
    <row r="2399">
      <c r="A2399" t="inlineStr">
        <is>
          <t>267|站桩怪</t>
        </is>
      </c>
      <c r="B2399" t="n">
        <v>267</v>
      </c>
      <c r="C2399" t="inlineStr">
        <is>
          <t>站桩怪</t>
        </is>
      </c>
      <c r="D2399" t="n">
        <v>174598</v>
      </c>
      <c r="E2399" t="n">
        <v>33564</v>
      </c>
      <c r="F2399" t="n">
        <v>27818</v>
      </c>
    </row>
    <row r="2400">
      <c r="A2400" t="inlineStr">
        <is>
          <t>267|炮灰怪</t>
        </is>
      </c>
      <c r="B2400" t="n">
        <v>267</v>
      </c>
      <c r="C2400" t="inlineStr">
        <is>
          <t>炮灰怪</t>
        </is>
      </c>
      <c r="D2400" t="n">
        <v>52380</v>
      </c>
      <c r="E2400" t="n">
        <v>33564</v>
      </c>
      <c r="F2400" t="n">
        <v>27818</v>
      </c>
    </row>
    <row r="2401">
      <c r="A2401" t="inlineStr">
        <is>
          <t>267|精英怪</t>
        </is>
      </c>
      <c r="B2401" t="n">
        <v>267</v>
      </c>
      <c r="C2401" t="inlineStr">
        <is>
          <t>精英怪</t>
        </is>
      </c>
      <c r="D2401" t="n">
        <v>1396784</v>
      </c>
      <c r="E2401" t="n">
        <v>33564</v>
      </c>
      <c r="F2401" t="n">
        <v>27818</v>
      </c>
    </row>
    <row r="2402">
      <c r="A2402" t="inlineStr">
        <is>
          <t>267|精英盾怪</t>
        </is>
      </c>
      <c r="B2402" t="n">
        <v>267</v>
      </c>
      <c r="C2402" t="inlineStr">
        <is>
          <t>精英盾怪</t>
        </is>
      </c>
      <c r="D2402" t="n">
        <v>3142764</v>
      </c>
      <c r="E2402" t="n">
        <v>33564</v>
      </c>
      <c r="F2402" t="n">
        <v>27818</v>
      </c>
    </row>
    <row r="2403">
      <c r="A2403" t="inlineStr">
        <is>
          <t>267|Boss</t>
        </is>
      </c>
      <c r="B2403" t="n">
        <v>267</v>
      </c>
      <c r="C2403" t="inlineStr">
        <is>
          <t>Boss</t>
        </is>
      </c>
      <c r="D2403" t="n">
        <v>33145113</v>
      </c>
      <c r="E2403" t="n">
        <v>37035</v>
      </c>
      <c r="F2403" t="n">
        <v>27818</v>
      </c>
    </row>
    <row r="2404">
      <c r="A2404" t="inlineStr">
        <is>
          <t>267|装备副本Boss</t>
        </is>
      </c>
      <c r="B2404" t="n">
        <v>267</v>
      </c>
      <c r="C2404" t="inlineStr">
        <is>
          <t>装备副本Boss</t>
        </is>
      </c>
      <c r="D2404" t="n">
        <v>16572557</v>
      </c>
      <c r="E2404" t="n">
        <v>37035</v>
      </c>
      <c r="F2404" t="n">
        <v>27818</v>
      </c>
    </row>
    <row r="2405">
      <c r="A2405" t="inlineStr">
        <is>
          <t>268|普通怪</t>
        </is>
      </c>
      <c r="B2405" t="n">
        <v>268</v>
      </c>
      <c r="C2405" t="inlineStr">
        <is>
          <t>普通怪</t>
        </is>
      </c>
      <c r="D2405" t="n">
        <v>352727</v>
      </c>
      <c r="E2405" t="n">
        <v>33817</v>
      </c>
      <c r="F2405" t="n">
        <v>27952</v>
      </c>
    </row>
    <row r="2406">
      <c r="A2406" t="inlineStr">
        <is>
          <t>268|盾怪</t>
        </is>
      </c>
      <c r="B2406" t="n">
        <v>268</v>
      </c>
      <c r="C2406" t="inlineStr">
        <is>
          <t>盾怪</t>
        </is>
      </c>
      <c r="D2406" t="n">
        <v>1058181</v>
      </c>
      <c r="E2406" t="n">
        <v>33817</v>
      </c>
      <c r="F2406" t="n">
        <v>27952</v>
      </c>
    </row>
    <row r="2407">
      <c r="A2407" t="inlineStr">
        <is>
          <t>268|二级普通怪</t>
        </is>
      </c>
      <c r="B2407" t="n">
        <v>268</v>
      </c>
      <c r="C2407" t="inlineStr">
        <is>
          <t>二级普通怪</t>
        </is>
      </c>
      <c r="D2407" t="n">
        <v>634909</v>
      </c>
      <c r="E2407" t="n">
        <v>33817</v>
      </c>
      <c r="F2407" t="n">
        <v>27952</v>
      </c>
    </row>
    <row r="2408">
      <c r="A2408" t="inlineStr">
        <is>
          <t>268|站桩怪</t>
        </is>
      </c>
      <c r="B2408" t="n">
        <v>268</v>
      </c>
      <c r="C2408" t="inlineStr">
        <is>
          <t>站桩怪</t>
        </is>
      </c>
      <c r="D2408" t="n">
        <v>176364</v>
      </c>
      <c r="E2408" t="n">
        <v>33817</v>
      </c>
      <c r="F2408" t="n">
        <v>27952</v>
      </c>
    </row>
    <row r="2409">
      <c r="A2409" t="inlineStr">
        <is>
          <t>268|炮灰怪</t>
        </is>
      </c>
      <c r="B2409" t="n">
        <v>268</v>
      </c>
      <c r="C2409" t="inlineStr">
        <is>
          <t>炮灰怪</t>
        </is>
      </c>
      <c r="D2409" t="n">
        <v>52910</v>
      </c>
      <c r="E2409" t="n">
        <v>33817</v>
      </c>
      <c r="F2409" t="n">
        <v>27952</v>
      </c>
    </row>
    <row r="2410">
      <c r="A2410" t="inlineStr">
        <is>
          <t>268|精英怪</t>
        </is>
      </c>
      <c r="B2410" t="n">
        <v>268</v>
      </c>
      <c r="C2410" t="inlineStr">
        <is>
          <t>精英怪</t>
        </is>
      </c>
      <c r="D2410" t="n">
        <v>1410908</v>
      </c>
      <c r="E2410" t="n">
        <v>33817</v>
      </c>
      <c r="F2410" t="n">
        <v>27952</v>
      </c>
    </row>
    <row r="2411">
      <c r="A2411" t="inlineStr">
        <is>
          <t>268|精英盾怪</t>
        </is>
      </c>
      <c r="B2411" t="n">
        <v>268</v>
      </c>
      <c r="C2411" t="inlineStr">
        <is>
          <t>精英盾怪</t>
        </is>
      </c>
      <c r="D2411" t="n">
        <v>3174543</v>
      </c>
      <c r="E2411" t="n">
        <v>33817</v>
      </c>
      <c r="F2411" t="n">
        <v>27952</v>
      </c>
    </row>
    <row r="2412">
      <c r="A2412" t="inlineStr">
        <is>
          <t>268|Boss</t>
        </is>
      </c>
      <c r="B2412" t="n">
        <v>268</v>
      </c>
      <c r="C2412" t="inlineStr">
        <is>
          <t>Boss</t>
        </is>
      </c>
      <c r="D2412" t="n">
        <v>33504763</v>
      </c>
      <c r="E2412" t="n">
        <v>37303</v>
      </c>
      <c r="F2412" t="n">
        <v>27952</v>
      </c>
    </row>
    <row r="2413">
      <c r="A2413" t="inlineStr">
        <is>
          <t>268|装备副本Boss</t>
        </is>
      </c>
      <c r="B2413" t="n">
        <v>268</v>
      </c>
      <c r="C2413" t="inlineStr">
        <is>
          <t>装备副本Boss</t>
        </is>
      </c>
      <c r="D2413" t="n">
        <v>16752381</v>
      </c>
      <c r="E2413" t="n">
        <v>37303</v>
      </c>
      <c r="F2413" t="n">
        <v>27952</v>
      </c>
    </row>
    <row r="2414">
      <c r="A2414" t="inlineStr">
        <is>
          <t>269|普通怪</t>
        </is>
      </c>
      <c r="B2414" t="n">
        <v>269</v>
      </c>
      <c r="C2414" t="inlineStr">
        <is>
          <t>普通怪</t>
        </is>
      </c>
      <c r="D2414" t="n">
        <v>356284</v>
      </c>
      <c r="E2414" t="n">
        <v>34070</v>
      </c>
      <c r="F2414" t="n">
        <v>28087</v>
      </c>
    </row>
    <row r="2415">
      <c r="A2415" t="inlineStr">
        <is>
          <t>269|盾怪</t>
        </is>
      </c>
      <c r="B2415" t="n">
        <v>269</v>
      </c>
      <c r="C2415" t="inlineStr">
        <is>
          <t>盾怪</t>
        </is>
      </c>
      <c r="D2415" t="n">
        <v>1068852</v>
      </c>
      <c r="E2415" t="n">
        <v>34070</v>
      </c>
      <c r="F2415" t="n">
        <v>28087</v>
      </c>
    </row>
    <row r="2416">
      <c r="A2416" t="inlineStr">
        <is>
          <t>269|二级普通怪</t>
        </is>
      </c>
      <c r="B2416" t="n">
        <v>269</v>
      </c>
      <c r="C2416" t="inlineStr">
        <is>
          <t>二级普通怪</t>
        </is>
      </c>
      <c r="D2416" t="n">
        <v>641312</v>
      </c>
      <c r="E2416" t="n">
        <v>34070</v>
      </c>
      <c r="F2416" t="n">
        <v>28087</v>
      </c>
    </row>
    <row r="2417">
      <c r="A2417" t="inlineStr">
        <is>
          <t>269|站桩怪</t>
        </is>
      </c>
      <c r="B2417" t="n">
        <v>269</v>
      </c>
      <c r="C2417" t="inlineStr">
        <is>
          <t>站桩怪</t>
        </is>
      </c>
      <c r="D2417" t="n">
        <v>178142</v>
      </c>
      <c r="E2417" t="n">
        <v>34070</v>
      </c>
      <c r="F2417" t="n">
        <v>28087</v>
      </c>
    </row>
    <row r="2418">
      <c r="A2418" t="inlineStr">
        <is>
          <t>269|炮灰怪</t>
        </is>
      </c>
      <c r="B2418" t="n">
        <v>269</v>
      </c>
      <c r="C2418" t="inlineStr">
        <is>
          <t>炮灰怪</t>
        </is>
      </c>
      <c r="D2418" t="n">
        <v>53443</v>
      </c>
      <c r="E2418" t="n">
        <v>34070</v>
      </c>
      <c r="F2418" t="n">
        <v>28087</v>
      </c>
    </row>
    <row r="2419">
      <c r="A2419" t="inlineStr">
        <is>
          <t>269|精英怪</t>
        </is>
      </c>
      <c r="B2419" t="n">
        <v>269</v>
      </c>
      <c r="C2419" t="inlineStr">
        <is>
          <t>精英怪</t>
        </is>
      </c>
      <c r="D2419" t="n">
        <v>1425136</v>
      </c>
      <c r="E2419" t="n">
        <v>34070</v>
      </c>
      <c r="F2419" t="n">
        <v>28087</v>
      </c>
    </row>
    <row r="2420">
      <c r="A2420" t="inlineStr">
        <is>
          <t>269|精英盾怪</t>
        </is>
      </c>
      <c r="B2420" t="n">
        <v>269</v>
      </c>
      <c r="C2420" t="inlineStr">
        <is>
          <t>精英盾怪</t>
        </is>
      </c>
      <c r="D2420" t="n">
        <v>3206556</v>
      </c>
      <c r="E2420" t="n">
        <v>34070</v>
      </c>
      <c r="F2420" t="n">
        <v>28087</v>
      </c>
    </row>
    <row r="2421">
      <c r="A2421" t="inlineStr">
        <is>
          <t>269|Boss</t>
        </is>
      </c>
      <c r="B2421" t="n">
        <v>269</v>
      </c>
      <c r="C2421" t="inlineStr">
        <is>
          <t>Boss</t>
        </is>
      </c>
      <c r="D2421" t="n">
        <v>33867370</v>
      </c>
      <c r="E2421" t="n">
        <v>37572</v>
      </c>
      <c r="F2421" t="n">
        <v>28087</v>
      </c>
    </row>
    <row r="2422">
      <c r="A2422" t="inlineStr">
        <is>
          <t>269|装备副本Boss</t>
        </is>
      </c>
      <c r="B2422" t="n">
        <v>269</v>
      </c>
      <c r="C2422" t="inlineStr">
        <is>
          <t>装备副本Boss</t>
        </is>
      </c>
      <c r="D2422" t="n">
        <v>16933685</v>
      </c>
      <c r="E2422" t="n">
        <v>37572</v>
      </c>
      <c r="F2422" t="n">
        <v>28087</v>
      </c>
    </row>
    <row r="2423">
      <c r="A2423" t="inlineStr">
        <is>
          <t>270|普通怪</t>
        </is>
      </c>
      <c r="B2423" t="n">
        <v>270</v>
      </c>
      <c r="C2423" t="inlineStr">
        <is>
          <t>普通怪</t>
        </is>
      </c>
      <c r="D2423" t="n">
        <v>359868</v>
      </c>
      <c r="E2423" t="n">
        <v>34326</v>
      </c>
      <c r="F2423" t="n">
        <v>28222</v>
      </c>
    </row>
    <row r="2424">
      <c r="A2424" t="inlineStr">
        <is>
          <t>270|盾怪</t>
        </is>
      </c>
      <c r="B2424" t="n">
        <v>270</v>
      </c>
      <c r="C2424" t="inlineStr">
        <is>
          <t>盾怪</t>
        </is>
      </c>
      <c r="D2424" t="n">
        <v>1079604</v>
      </c>
      <c r="E2424" t="n">
        <v>34326</v>
      </c>
      <c r="F2424" t="n">
        <v>28222</v>
      </c>
    </row>
    <row r="2425">
      <c r="A2425" t="inlineStr">
        <is>
          <t>270|二级普通怪</t>
        </is>
      </c>
      <c r="B2425" t="n">
        <v>270</v>
      </c>
      <c r="C2425" t="inlineStr">
        <is>
          <t>二级普通怪</t>
        </is>
      </c>
      <c r="D2425" t="n">
        <v>647763</v>
      </c>
      <c r="E2425" t="n">
        <v>34326</v>
      </c>
      <c r="F2425" t="n">
        <v>28222</v>
      </c>
    </row>
    <row r="2426">
      <c r="A2426" t="inlineStr">
        <is>
          <t>270|站桩怪</t>
        </is>
      </c>
      <c r="B2426" t="n">
        <v>270</v>
      </c>
      <c r="C2426" t="inlineStr">
        <is>
          <t>站桩怪</t>
        </is>
      </c>
      <c r="D2426" t="n">
        <v>179934</v>
      </c>
      <c r="E2426" t="n">
        <v>34326</v>
      </c>
      <c r="F2426" t="n">
        <v>28222</v>
      </c>
    </row>
    <row r="2427">
      <c r="A2427" t="inlineStr">
        <is>
          <t>270|炮灰怪</t>
        </is>
      </c>
      <c r="B2427" t="n">
        <v>270</v>
      </c>
      <c r="C2427" t="inlineStr">
        <is>
          <t>炮灰怪</t>
        </is>
      </c>
      <c r="D2427" t="n">
        <v>53981</v>
      </c>
      <c r="E2427" t="n">
        <v>34326</v>
      </c>
      <c r="F2427" t="n">
        <v>28222</v>
      </c>
    </row>
    <row r="2428">
      <c r="A2428" t="inlineStr">
        <is>
          <t>270|精英怪</t>
        </is>
      </c>
      <c r="B2428" t="n">
        <v>270</v>
      </c>
      <c r="C2428" t="inlineStr">
        <is>
          <t>精英怪</t>
        </is>
      </c>
      <c r="D2428" t="n">
        <v>1439472</v>
      </c>
      <c r="E2428" t="n">
        <v>34326</v>
      </c>
      <c r="F2428" t="n">
        <v>28222</v>
      </c>
    </row>
    <row r="2429">
      <c r="A2429" t="inlineStr">
        <is>
          <t>270|精英盾怪</t>
        </is>
      </c>
      <c r="B2429" t="n">
        <v>270</v>
      </c>
      <c r="C2429" t="inlineStr">
        <is>
          <t>精英盾怪</t>
        </is>
      </c>
      <c r="D2429" t="n">
        <v>3238812</v>
      </c>
      <c r="E2429" t="n">
        <v>34326</v>
      </c>
      <c r="F2429" t="n">
        <v>28222</v>
      </c>
    </row>
    <row r="2430">
      <c r="A2430" t="inlineStr">
        <is>
          <t>270|Boss</t>
        </is>
      </c>
      <c r="B2430" t="n">
        <v>270</v>
      </c>
      <c r="C2430" t="inlineStr">
        <is>
          <t>Boss</t>
        </is>
      </c>
      <c r="D2430" t="n">
        <v>34233038</v>
      </c>
      <c r="E2430" t="n">
        <v>37843</v>
      </c>
      <c r="F2430" t="n">
        <v>28222</v>
      </c>
    </row>
    <row r="2431">
      <c r="A2431" t="inlineStr">
        <is>
          <t>270|装备副本Boss</t>
        </is>
      </c>
      <c r="B2431" t="n">
        <v>270</v>
      </c>
      <c r="C2431" t="inlineStr">
        <is>
          <t>装备副本Boss</t>
        </is>
      </c>
      <c r="D2431" t="n">
        <v>17116519</v>
      </c>
      <c r="E2431" t="n">
        <v>37843</v>
      </c>
      <c r="F2431" t="n">
        <v>28222</v>
      </c>
    </row>
    <row r="2432">
      <c r="A2432" t="inlineStr">
        <is>
          <t>271|普通怪</t>
        </is>
      </c>
      <c r="B2432" t="n">
        <v>271</v>
      </c>
      <c r="C2432" t="inlineStr">
        <is>
          <t>普通怪</t>
        </is>
      </c>
      <c r="D2432" t="n">
        <v>363480</v>
      </c>
      <c r="E2432" t="n">
        <v>34583</v>
      </c>
      <c r="F2432" t="n">
        <v>28358</v>
      </c>
    </row>
    <row r="2433">
      <c r="A2433" t="inlineStr">
        <is>
          <t>271|盾怪</t>
        </is>
      </c>
      <c r="B2433" t="n">
        <v>271</v>
      </c>
      <c r="C2433" t="inlineStr">
        <is>
          <t>盾怪</t>
        </is>
      </c>
      <c r="D2433" t="n">
        <v>1090440</v>
      </c>
      <c r="E2433" t="n">
        <v>34583</v>
      </c>
      <c r="F2433" t="n">
        <v>28358</v>
      </c>
    </row>
    <row r="2434">
      <c r="A2434" t="inlineStr">
        <is>
          <t>271|二级普通怪</t>
        </is>
      </c>
      <c r="B2434" t="n">
        <v>271</v>
      </c>
      <c r="C2434" t="inlineStr">
        <is>
          <t>二级普通怪</t>
        </is>
      </c>
      <c r="D2434" t="n">
        <v>654264</v>
      </c>
      <c r="E2434" t="n">
        <v>34583</v>
      </c>
      <c r="F2434" t="n">
        <v>28358</v>
      </c>
    </row>
    <row r="2435">
      <c r="A2435" t="inlineStr">
        <is>
          <t>271|站桩怪</t>
        </is>
      </c>
      <c r="B2435" t="n">
        <v>271</v>
      </c>
      <c r="C2435" t="inlineStr">
        <is>
          <t>站桩怪</t>
        </is>
      </c>
      <c r="D2435" t="n">
        <v>181740</v>
      </c>
      <c r="E2435" t="n">
        <v>34583</v>
      </c>
      <c r="F2435" t="n">
        <v>28358</v>
      </c>
    </row>
    <row r="2436">
      <c r="A2436" t="inlineStr">
        <is>
          <t>271|炮灰怪</t>
        </is>
      </c>
      <c r="B2436" t="n">
        <v>271</v>
      </c>
      <c r="C2436" t="inlineStr">
        <is>
          <t>炮灰怪</t>
        </is>
      </c>
      <c r="D2436" t="n">
        <v>54522</v>
      </c>
      <c r="E2436" t="n">
        <v>34583</v>
      </c>
      <c r="F2436" t="n">
        <v>28358</v>
      </c>
    </row>
    <row r="2437">
      <c r="A2437" t="inlineStr">
        <is>
          <t>271|精英怪</t>
        </is>
      </c>
      <c r="B2437" t="n">
        <v>271</v>
      </c>
      <c r="C2437" t="inlineStr">
        <is>
          <t>精英怪</t>
        </is>
      </c>
      <c r="D2437" t="n">
        <v>1453920</v>
      </c>
      <c r="E2437" t="n">
        <v>34583</v>
      </c>
      <c r="F2437" t="n">
        <v>28358</v>
      </c>
    </row>
    <row r="2438">
      <c r="A2438" t="inlineStr">
        <is>
          <t>271|精英盾怪</t>
        </is>
      </c>
      <c r="B2438" t="n">
        <v>271</v>
      </c>
      <c r="C2438" t="inlineStr">
        <is>
          <t>精英盾怪</t>
        </is>
      </c>
      <c r="D2438" t="n">
        <v>3271320</v>
      </c>
      <c r="E2438" t="n">
        <v>34583</v>
      </c>
      <c r="F2438" t="n">
        <v>28358</v>
      </c>
    </row>
    <row r="2439">
      <c r="A2439" t="inlineStr">
        <is>
          <t>271|Boss</t>
        </is>
      </c>
      <c r="B2439" t="n">
        <v>271</v>
      </c>
      <c r="C2439" t="inlineStr">
        <is>
          <t>Boss</t>
        </is>
      </c>
      <c r="D2439" t="n">
        <v>34601715</v>
      </c>
      <c r="E2439" t="n">
        <v>38116</v>
      </c>
      <c r="F2439" t="n">
        <v>28358</v>
      </c>
    </row>
    <row r="2440">
      <c r="A2440" t="inlineStr">
        <is>
          <t>271|装备副本Boss</t>
        </is>
      </c>
      <c r="B2440" t="n">
        <v>271</v>
      </c>
      <c r="C2440" t="inlineStr">
        <is>
          <t>装备副本Boss</t>
        </is>
      </c>
      <c r="D2440" t="n">
        <v>17300858</v>
      </c>
      <c r="E2440" t="n">
        <v>38116</v>
      </c>
      <c r="F2440" t="n">
        <v>28358</v>
      </c>
    </row>
    <row r="2441">
      <c r="A2441" t="inlineStr">
        <is>
          <t>272|普通怪</t>
        </is>
      </c>
      <c r="B2441" t="n">
        <v>272</v>
      </c>
      <c r="C2441" t="inlineStr">
        <is>
          <t>普通怪</t>
        </is>
      </c>
      <c r="D2441" t="n">
        <v>367119</v>
      </c>
      <c r="E2441" t="n">
        <v>34841</v>
      </c>
      <c r="F2441" t="n">
        <v>28493</v>
      </c>
    </row>
    <row r="2442">
      <c r="A2442" t="inlineStr">
        <is>
          <t>272|盾怪</t>
        </is>
      </c>
      <c r="B2442" t="n">
        <v>272</v>
      </c>
      <c r="C2442" t="inlineStr">
        <is>
          <t>盾怪</t>
        </is>
      </c>
      <c r="D2442" t="n">
        <v>1101357</v>
      </c>
      <c r="E2442" t="n">
        <v>34841</v>
      </c>
      <c r="F2442" t="n">
        <v>28493</v>
      </c>
    </row>
    <row r="2443">
      <c r="A2443" t="inlineStr">
        <is>
          <t>272|二级普通怪</t>
        </is>
      </c>
      <c r="B2443" t="n">
        <v>272</v>
      </c>
      <c r="C2443" t="inlineStr">
        <is>
          <t>二级普通怪</t>
        </is>
      </c>
      <c r="D2443" t="n">
        <v>660815</v>
      </c>
      <c r="E2443" t="n">
        <v>34841</v>
      </c>
      <c r="F2443" t="n">
        <v>28493</v>
      </c>
    </row>
    <row r="2444">
      <c r="A2444" t="inlineStr">
        <is>
          <t>272|站桩怪</t>
        </is>
      </c>
      <c r="B2444" t="n">
        <v>272</v>
      </c>
      <c r="C2444" t="inlineStr">
        <is>
          <t>站桩怪</t>
        </is>
      </c>
      <c r="D2444" t="n">
        <v>183560</v>
      </c>
      <c r="E2444" t="n">
        <v>34841</v>
      </c>
      <c r="F2444" t="n">
        <v>28493</v>
      </c>
    </row>
    <row r="2445">
      <c r="A2445" t="inlineStr">
        <is>
          <t>272|炮灰怪</t>
        </is>
      </c>
      <c r="B2445" t="n">
        <v>272</v>
      </c>
      <c r="C2445" t="inlineStr">
        <is>
          <t>炮灰怪</t>
        </is>
      </c>
      <c r="D2445" t="n">
        <v>55068</v>
      </c>
      <c r="E2445" t="n">
        <v>34841</v>
      </c>
      <c r="F2445" t="n">
        <v>28493</v>
      </c>
    </row>
    <row r="2446">
      <c r="A2446" t="inlineStr">
        <is>
          <t>272|精英怪</t>
        </is>
      </c>
      <c r="B2446" t="n">
        <v>272</v>
      </c>
      <c r="C2446" t="inlineStr">
        <is>
          <t>精英怪</t>
        </is>
      </c>
      <c r="D2446" t="n">
        <v>1468476</v>
      </c>
      <c r="E2446" t="n">
        <v>34841</v>
      </c>
      <c r="F2446" t="n">
        <v>28493</v>
      </c>
    </row>
    <row r="2447">
      <c r="A2447" t="inlineStr">
        <is>
          <t>272|精英盾怪</t>
        </is>
      </c>
      <c r="B2447" t="n">
        <v>272</v>
      </c>
      <c r="C2447" t="inlineStr">
        <is>
          <t>精英盾怪</t>
        </is>
      </c>
      <c r="D2447" t="n">
        <v>3304071</v>
      </c>
      <c r="E2447" t="n">
        <v>34841</v>
      </c>
      <c r="F2447" t="n">
        <v>28493</v>
      </c>
    </row>
    <row r="2448">
      <c r="A2448" t="inlineStr">
        <is>
          <t>272|Boss</t>
        </is>
      </c>
      <c r="B2448" t="n">
        <v>272</v>
      </c>
      <c r="C2448" t="inlineStr">
        <is>
          <t>Boss</t>
        </is>
      </c>
      <c r="D2448" t="n">
        <v>34973503</v>
      </c>
      <c r="E2448" t="n">
        <v>38389</v>
      </c>
      <c r="F2448" t="n">
        <v>28493</v>
      </c>
    </row>
    <row r="2449">
      <c r="A2449" t="inlineStr">
        <is>
          <t>272|装备副本Boss</t>
        </is>
      </c>
      <c r="B2449" t="n">
        <v>272</v>
      </c>
      <c r="C2449" t="inlineStr">
        <is>
          <t>装备副本Boss</t>
        </is>
      </c>
      <c r="D2449" t="n">
        <v>17486752</v>
      </c>
      <c r="E2449" t="n">
        <v>38389</v>
      </c>
      <c r="F2449" t="n">
        <v>28493</v>
      </c>
    </row>
    <row r="2450">
      <c r="A2450" t="inlineStr">
        <is>
          <t>273|普通怪</t>
        </is>
      </c>
      <c r="B2450" t="n">
        <v>273</v>
      </c>
      <c r="C2450" t="inlineStr">
        <is>
          <t>普通怪</t>
        </is>
      </c>
      <c r="D2450" t="n">
        <v>370785</v>
      </c>
      <c r="E2450" t="n">
        <v>35101</v>
      </c>
      <c r="F2450" t="n">
        <v>28629</v>
      </c>
    </row>
    <row r="2451">
      <c r="A2451" t="inlineStr">
        <is>
          <t>273|盾怪</t>
        </is>
      </c>
      <c r="B2451" t="n">
        <v>273</v>
      </c>
      <c r="C2451" t="inlineStr">
        <is>
          <t>盾怪</t>
        </is>
      </c>
      <c r="D2451" t="n">
        <v>1112355</v>
      </c>
      <c r="E2451" t="n">
        <v>35101</v>
      </c>
      <c r="F2451" t="n">
        <v>28629</v>
      </c>
    </row>
    <row r="2452">
      <c r="A2452" t="inlineStr">
        <is>
          <t>273|二级普通怪</t>
        </is>
      </c>
      <c r="B2452" t="n">
        <v>273</v>
      </c>
      <c r="C2452" t="inlineStr">
        <is>
          <t>二级普通怪</t>
        </is>
      </c>
      <c r="D2452" t="n">
        <v>667413</v>
      </c>
      <c r="E2452" t="n">
        <v>35101</v>
      </c>
      <c r="F2452" t="n">
        <v>28629</v>
      </c>
    </row>
    <row r="2453">
      <c r="A2453" t="inlineStr">
        <is>
          <t>273|站桩怪</t>
        </is>
      </c>
      <c r="B2453" t="n">
        <v>273</v>
      </c>
      <c r="C2453" t="inlineStr">
        <is>
          <t>站桩怪</t>
        </is>
      </c>
      <c r="D2453" t="n">
        <v>185393</v>
      </c>
      <c r="E2453" t="n">
        <v>35101</v>
      </c>
      <c r="F2453" t="n">
        <v>28629</v>
      </c>
    </row>
    <row r="2454">
      <c r="A2454" t="inlineStr">
        <is>
          <t>273|炮灰怪</t>
        </is>
      </c>
      <c r="B2454" t="n">
        <v>273</v>
      </c>
      <c r="C2454" t="inlineStr">
        <is>
          <t>炮灰怪</t>
        </is>
      </c>
      <c r="D2454" t="n">
        <v>55618</v>
      </c>
      <c r="E2454" t="n">
        <v>35101</v>
      </c>
      <c r="F2454" t="n">
        <v>28629</v>
      </c>
    </row>
    <row r="2455">
      <c r="A2455" t="inlineStr">
        <is>
          <t>273|精英怪</t>
        </is>
      </c>
      <c r="B2455" t="n">
        <v>273</v>
      </c>
      <c r="C2455" t="inlineStr">
        <is>
          <t>精英怪</t>
        </is>
      </c>
      <c r="D2455" t="n">
        <v>1483140</v>
      </c>
      <c r="E2455" t="n">
        <v>35101</v>
      </c>
      <c r="F2455" t="n">
        <v>28629</v>
      </c>
    </row>
    <row r="2456">
      <c r="A2456" t="inlineStr">
        <is>
          <t>273|精英盾怪</t>
        </is>
      </c>
      <c r="B2456" t="n">
        <v>273</v>
      </c>
      <c r="C2456" t="inlineStr">
        <is>
          <t>精英盾怪</t>
        </is>
      </c>
      <c r="D2456" t="n">
        <v>3337065</v>
      </c>
      <c r="E2456" t="n">
        <v>35101</v>
      </c>
      <c r="F2456" t="n">
        <v>28629</v>
      </c>
    </row>
    <row r="2457">
      <c r="A2457" t="inlineStr">
        <is>
          <t>273|Boss</t>
        </is>
      </c>
      <c r="B2457" t="n">
        <v>273</v>
      </c>
      <c r="C2457" t="inlineStr">
        <is>
          <t>Boss</t>
        </is>
      </c>
      <c r="D2457" t="n">
        <v>35348351</v>
      </c>
      <c r="E2457" t="n">
        <v>38665</v>
      </c>
      <c r="F2457" t="n">
        <v>28629</v>
      </c>
    </row>
    <row r="2458">
      <c r="A2458" t="inlineStr">
        <is>
          <t>273|装备副本Boss</t>
        </is>
      </c>
      <c r="B2458" t="n">
        <v>273</v>
      </c>
      <c r="C2458" t="inlineStr">
        <is>
          <t>装备副本Boss</t>
        </is>
      </c>
      <c r="D2458" t="n">
        <v>17674176</v>
      </c>
      <c r="E2458" t="n">
        <v>38665</v>
      </c>
      <c r="F2458" t="n">
        <v>28629</v>
      </c>
    </row>
    <row r="2459">
      <c r="A2459" t="inlineStr">
        <is>
          <t>274|普通怪</t>
        </is>
      </c>
      <c r="B2459" t="n">
        <v>274</v>
      </c>
      <c r="C2459" t="inlineStr">
        <is>
          <t>普通怪</t>
        </is>
      </c>
      <c r="D2459" t="n">
        <v>374479</v>
      </c>
      <c r="E2459" t="n">
        <v>35362</v>
      </c>
      <c r="F2459" t="n">
        <v>28765</v>
      </c>
    </row>
    <row r="2460">
      <c r="A2460" t="inlineStr">
        <is>
          <t>274|盾怪</t>
        </is>
      </c>
      <c r="B2460" t="n">
        <v>274</v>
      </c>
      <c r="C2460" t="inlineStr">
        <is>
          <t>盾怪</t>
        </is>
      </c>
      <c r="D2460" t="n">
        <v>1123437</v>
      </c>
      <c r="E2460" t="n">
        <v>35362</v>
      </c>
      <c r="F2460" t="n">
        <v>28765</v>
      </c>
    </row>
    <row r="2461">
      <c r="A2461" t="inlineStr">
        <is>
          <t>274|二级普通怪</t>
        </is>
      </c>
      <c r="B2461" t="n">
        <v>274</v>
      </c>
      <c r="C2461" t="inlineStr">
        <is>
          <t>二级普通怪</t>
        </is>
      </c>
      <c r="D2461" t="n">
        <v>674063</v>
      </c>
      <c r="E2461" t="n">
        <v>35362</v>
      </c>
      <c r="F2461" t="n">
        <v>28765</v>
      </c>
    </row>
    <row r="2462">
      <c r="A2462" t="inlineStr">
        <is>
          <t>274|站桩怪</t>
        </is>
      </c>
      <c r="B2462" t="n">
        <v>274</v>
      </c>
      <c r="C2462" t="inlineStr">
        <is>
          <t>站桩怪</t>
        </is>
      </c>
      <c r="D2462" t="n">
        <v>187240</v>
      </c>
      <c r="E2462" t="n">
        <v>35362</v>
      </c>
      <c r="F2462" t="n">
        <v>28765</v>
      </c>
    </row>
    <row r="2463">
      <c r="A2463" t="inlineStr">
        <is>
          <t>274|炮灰怪</t>
        </is>
      </c>
      <c r="B2463" t="n">
        <v>274</v>
      </c>
      <c r="C2463" t="inlineStr">
        <is>
          <t>炮灰怪</t>
        </is>
      </c>
      <c r="D2463" t="n">
        <v>56172</v>
      </c>
      <c r="E2463" t="n">
        <v>35362</v>
      </c>
      <c r="F2463" t="n">
        <v>28765</v>
      </c>
    </row>
    <row r="2464">
      <c r="A2464" t="inlineStr">
        <is>
          <t>274|精英怪</t>
        </is>
      </c>
      <c r="B2464" t="n">
        <v>274</v>
      </c>
      <c r="C2464" t="inlineStr">
        <is>
          <t>精英怪</t>
        </is>
      </c>
      <c r="D2464" t="n">
        <v>1497916</v>
      </c>
      <c r="E2464" t="n">
        <v>35362</v>
      </c>
      <c r="F2464" t="n">
        <v>28765</v>
      </c>
    </row>
    <row r="2465">
      <c r="A2465" t="inlineStr">
        <is>
          <t>274|精英盾怪</t>
        </is>
      </c>
      <c r="B2465" t="n">
        <v>274</v>
      </c>
      <c r="C2465" t="inlineStr">
        <is>
          <t>精英盾怪</t>
        </is>
      </c>
      <c r="D2465" t="n">
        <v>3370311</v>
      </c>
      <c r="E2465" t="n">
        <v>35362</v>
      </c>
      <c r="F2465" t="n">
        <v>28765</v>
      </c>
    </row>
    <row r="2466">
      <c r="A2466" t="inlineStr">
        <is>
          <t>274|Boss</t>
        </is>
      </c>
      <c r="B2466" t="n">
        <v>274</v>
      </c>
      <c r="C2466" t="inlineStr">
        <is>
          <t>Boss</t>
        </is>
      </c>
      <c r="D2466" t="n">
        <v>35726310</v>
      </c>
      <c r="E2466" t="n">
        <v>38941</v>
      </c>
      <c r="F2466" t="n">
        <v>28765</v>
      </c>
    </row>
    <row r="2467">
      <c r="A2467" t="inlineStr">
        <is>
          <t>274|装备副本Boss</t>
        </is>
      </c>
      <c r="B2467" t="n">
        <v>274</v>
      </c>
      <c r="C2467" t="inlineStr">
        <is>
          <t>装备副本Boss</t>
        </is>
      </c>
      <c r="D2467" t="n">
        <v>17863155</v>
      </c>
      <c r="E2467" t="n">
        <v>38941</v>
      </c>
      <c r="F2467" t="n">
        <v>28765</v>
      </c>
    </row>
    <row r="2468">
      <c r="A2468" t="inlineStr">
        <is>
          <t>275|普通怪</t>
        </is>
      </c>
      <c r="B2468" t="n">
        <v>275</v>
      </c>
      <c r="C2468" t="inlineStr">
        <is>
          <t>普通怪</t>
        </is>
      </c>
      <c r="D2468" t="n">
        <v>378201</v>
      </c>
      <c r="E2468" t="n">
        <v>35624</v>
      </c>
      <c r="F2468" t="n">
        <v>28901</v>
      </c>
    </row>
    <row r="2469">
      <c r="A2469" t="inlineStr">
        <is>
          <t>275|盾怪</t>
        </is>
      </c>
      <c r="B2469" t="n">
        <v>275</v>
      </c>
      <c r="C2469" t="inlineStr">
        <is>
          <t>盾怪</t>
        </is>
      </c>
      <c r="D2469" t="n">
        <v>1134603</v>
      </c>
      <c r="E2469" t="n">
        <v>35624</v>
      </c>
      <c r="F2469" t="n">
        <v>28901</v>
      </c>
    </row>
    <row r="2470">
      <c r="A2470" t="inlineStr">
        <is>
          <t>275|二级普通怪</t>
        </is>
      </c>
      <c r="B2470" t="n">
        <v>275</v>
      </c>
      <c r="C2470" t="inlineStr">
        <is>
          <t>二级普通怪</t>
        </is>
      </c>
      <c r="D2470" t="n">
        <v>680762</v>
      </c>
      <c r="E2470" t="n">
        <v>35624</v>
      </c>
      <c r="F2470" t="n">
        <v>28901</v>
      </c>
    </row>
    <row r="2471">
      <c r="A2471" t="inlineStr">
        <is>
          <t>275|站桩怪</t>
        </is>
      </c>
      <c r="B2471" t="n">
        <v>275</v>
      </c>
      <c r="C2471" t="inlineStr">
        <is>
          <t>站桩怪</t>
        </is>
      </c>
      <c r="D2471" t="n">
        <v>189101</v>
      </c>
      <c r="E2471" t="n">
        <v>35624</v>
      </c>
      <c r="F2471" t="n">
        <v>28901</v>
      </c>
    </row>
    <row r="2472">
      <c r="A2472" t="inlineStr">
        <is>
          <t>275|炮灰怪</t>
        </is>
      </c>
      <c r="B2472" t="n">
        <v>275</v>
      </c>
      <c r="C2472" t="inlineStr">
        <is>
          <t>炮灰怪</t>
        </is>
      </c>
      <c r="D2472" t="n">
        <v>56731</v>
      </c>
      <c r="E2472" t="n">
        <v>35624</v>
      </c>
      <c r="F2472" t="n">
        <v>28901</v>
      </c>
    </row>
    <row r="2473">
      <c r="A2473" t="inlineStr">
        <is>
          <t>275|精英怪</t>
        </is>
      </c>
      <c r="B2473" t="n">
        <v>275</v>
      </c>
      <c r="C2473" t="inlineStr">
        <is>
          <t>精英怪</t>
        </is>
      </c>
      <c r="D2473" t="n">
        <v>1512804</v>
      </c>
      <c r="E2473" t="n">
        <v>35624</v>
      </c>
      <c r="F2473" t="n">
        <v>28901</v>
      </c>
    </row>
    <row r="2474">
      <c r="A2474" t="inlineStr">
        <is>
          <t>275|精英盾怪</t>
        </is>
      </c>
      <c r="B2474" t="n">
        <v>275</v>
      </c>
      <c r="C2474" t="inlineStr">
        <is>
          <t>精英盾怪</t>
        </is>
      </c>
      <c r="D2474" t="n">
        <v>3403809</v>
      </c>
      <c r="E2474" t="n">
        <v>35624</v>
      </c>
      <c r="F2474" t="n">
        <v>28901</v>
      </c>
    </row>
    <row r="2475">
      <c r="A2475" t="inlineStr">
        <is>
          <t>275|Boss</t>
        </is>
      </c>
      <c r="B2475" t="n">
        <v>275</v>
      </c>
      <c r="C2475" t="inlineStr">
        <is>
          <t>Boss</t>
        </is>
      </c>
      <c r="D2475" t="n">
        <v>36107380</v>
      </c>
      <c r="E2475" t="n">
        <v>39219</v>
      </c>
      <c r="F2475" t="n">
        <v>28901</v>
      </c>
    </row>
    <row r="2476">
      <c r="A2476" t="inlineStr">
        <is>
          <t>275|装备副本Boss</t>
        </is>
      </c>
      <c r="B2476" t="n">
        <v>275</v>
      </c>
      <c r="C2476" t="inlineStr">
        <is>
          <t>装备副本Boss</t>
        </is>
      </c>
      <c r="D2476" t="n">
        <v>18053690</v>
      </c>
      <c r="E2476" t="n">
        <v>39219</v>
      </c>
      <c r="F2476" t="n">
        <v>28901</v>
      </c>
    </row>
    <row r="2477">
      <c r="A2477" t="inlineStr">
        <is>
          <t>276|普通怪</t>
        </is>
      </c>
      <c r="B2477" t="n">
        <v>276</v>
      </c>
      <c r="C2477" t="inlineStr">
        <is>
          <t>普通怪</t>
        </is>
      </c>
      <c r="D2477" t="n">
        <v>381951</v>
      </c>
      <c r="E2477" t="n">
        <v>35889</v>
      </c>
      <c r="F2477" t="n">
        <v>29038</v>
      </c>
    </row>
    <row r="2478">
      <c r="A2478" t="inlineStr">
        <is>
          <t>276|盾怪</t>
        </is>
      </c>
      <c r="B2478" t="n">
        <v>276</v>
      </c>
      <c r="C2478" t="inlineStr">
        <is>
          <t>盾怪</t>
        </is>
      </c>
      <c r="D2478" t="n">
        <v>1145853</v>
      </c>
      <c r="E2478" t="n">
        <v>35889</v>
      </c>
      <c r="F2478" t="n">
        <v>29038</v>
      </c>
    </row>
    <row r="2479">
      <c r="A2479" t="inlineStr">
        <is>
          <t>276|二级普通怪</t>
        </is>
      </c>
      <c r="B2479" t="n">
        <v>276</v>
      </c>
      <c r="C2479" t="inlineStr">
        <is>
          <t>二级普通怪</t>
        </is>
      </c>
      <c r="D2479" t="n">
        <v>687512</v>
      </c>
      <c r="E2479" t="n">
        <v>35889</v>
      </c>
      <c r="F2479" t="n">
        <v>29038</v>
      </c>
    </row>
    <row r="2480">
      <c r="A2480" t="inlineStr">
        <is>
          <t>276|站桩怪</t>
        </is>
      </c>
      <c r="B2480" t="n">
        <v>276</v>
      </c>
      <c r="C2480" t="inlineStr">
        <is>
          <t>站桩怪</t>
        </is>
      </c>
      <c r="D2480" t="n">
        <v>190976</v>
      </c>
      <c r="E2480" t="n">
        <v>35889</v>
      </c>
      <c r="F2480" t="n">
        <v>29038</v>
      </c>
    </row>
    <row r="2481">
      <c r="A2481" t="inlineStr">
        <is>
          <t>276|炮灰怪</t>
        </is>
      </c>
      <c r="B2481" t="n">
        <v>276</v>
      </c>
      <c r="C2481" t="inlineStr">
        <is>
          <t>炮灰怪</t>
        </is>
      </c>
      <c r="D2481" t="n">
        <v>57293</v>
      </c>
      <c r="E2481" t="n">
        <v>35889</v>
      </c>
      <c r="F2481" t="n">
        <v>29038</v>
      </c>
    </row>
    <row r="2482">
      <c r="A2482" t="inlineStr">
        <is>
          <t>276|精英怪</t>
        </is>
      </c>
      <c r="B2482" t="n">
        <v>276</v>
      </c>
      <c r="C2482" t="inlineStr">
        <is>
          <t>精英怪</t>
        </is>
      </c>
      <c r="D2482" t="n">
        <v>1527804</v>
      </c>
      <c r="E2482" t="n">
        <v>35889</v>
      </c>
      <c r="F2482" t="n">
        <v>29038</v>
      </c>
    </row>
    <row r="2483">
      <c r="A2483" t="inlineStr">
        <is>
          <t>276|精英盾怪</t>
        </is>
      </c>
      <c r="B2483" t="n">
        <v>276</v>
      </c>
      <c r="C2483" t="inlineStr">
        <is>
          <t>精英盾怪</t>
        </is>
      </c>
      <c r="D2483" t="n">
        <v>3437559</v>
      </c>
      <c r="E2483" t="n">
        <v>35889</v>
      </c>
      <c r="F2483" t="n">
        <v>29038</v>
      </c>
    </row>
    <row r="2484">
      <c r="A2484" t="inlineStr">
        <is>
          <t>276|Boss</t>
        </is>
      </c>
      <c r="B2484" t="n">
        <v>276</v>
      </c>
      <c r="C2484" t="inlineStr">
        <is>
          <t>Boss</t>
        </is>
      </c>
      <c r="D2484" t="n">
        <v>36491613</v>
      </c>
      <c r="E2484" t="n">
        <v>39499</v>
      </c>
      <c r="F2484" t="n">
        <v>29038</v>
      </c>
    </row>
    <row r="2485">
      <c r="A2485" t="inlineStr">
        <is>
          <t>276|装备副本Boss</t>
        </is>
      </c>
      <c r="B2485" t="n">
        <v>276</v>
      </c>
      <c r="C2485" t="inlineStr">
        <is>
          <t>装备副本Boss</t>
        </is>
      </c>
      <c r="D2485" t="n">
        <v>18245806</v>
      </c>
      <c r="E2485" t="n">
        <v>39499</v>
      </c>
      <c r="F2485" t="n">
        <v>29038</v>
      </c>
    </row>
    <row r="2486">
      <c r="A2486" t="inlineStr">
        <is>
          <t>277|普通怪</t>
        </is>
      </c>
      <c r="B2486" t="n">
        <v>277</v>
      </c>
      <c r="C2486" t="inlineStr">
        <is>
          <t>普通怪</t>
        </is>
      </c>
      <c r="D2486" t="n">
        <v>385730</v>
      </c>
      <c r="E2486" t="n">
        <v>36154</v>
      </c>
      <c r="F2486" t="n">
        <v>29175</v>
      </c>
    </row>
    <row r="2487">
      <c r="A2487" t="inlineStr">
        <is>
          <t>277|盾怪</t>
        </is>
      </c>
      <c r="B2487" t="n">
        <v>277</v>
      </c>
      <c r="C2487" t="inlineStr">
        <is>
          <t>盾怪</t>
        </is>
      </c>
      <c r="D2487" t="n">
        <v>1157190</v>
      </c>
      <c r="E2487" t="n">
        <v>36154</v>
      </c>
      <c r="F2487" t="n">
        <v>29175</v>
      </c>
    </row>
    <row r="2488">
      <c r="A2488" t="inlineStr">
        <is>
          <t>277|二级普通怪</t>
        </is>
      </c>
      <c r="B2488" t="n">
        <v>277</v>
      </c>
      <c r="C2488" t="inlineStr">
        <is>
          <t>二级普通怪</t>
        </is>
      </c>
      <c r="D2488" t="n">
        <v>694314</v>
      </c>
      <c r="E2488" t="n">
        <v>36154</v>
      </c>
      <c r="F2488" t="n">
        <v>29175</v>
      </c>
    </row>
    <row r="2489">
      <c r="A2489" t="inlineStr">
        <is>
          <t>277|站桩怪</t>
        </is>
      </c>
      <c r="B2489" t="n">
        <v>277</v>
      </c>
      <c r="C2489" t="inlineStr">
        <is>
          <t>站桩怪</t>
        </is>
      </c>
      <c r="D2489" t="n">
        <v>192865</v>
      </c>
      <c r="E2489" t="n">
        <v>36154</v>
      </c>
      <c r="F2489" t="n">
        <v>29175</v>
      </c>
    </row>
    <row r="2490">
      <c r="A2490" t="inlineStr">
        <is>
          <t>277|炮灰怪</t>
        </is>
      </c>
      <c r="B2490" t="n">
        <v>277</v>
      </c>
      <c r="C2490" t="inlineStr">
        <is>
          <t>炮灰怪</t>
        </is>
      </c>
      <c r="D2490" t="n">
        <v>57860</v>
      </c>
      <c r="E2490" t="n">
        <v>36154</v>
      </c>
      <c r="F2490" t="n">
        <v>29175</v>
      </c>
    </row>
    <row r="2491">
      <c r="A2491" t="inlineStr">
        <is>
          <t>277|精英怪</t>
        </is>
      </c>
      <c r="B2491" t="n">
        <v>277</v>
      </c>
      <c r="C2491" t="inlineStr">
        <is>
          <t>精英怪</t>
        </is>
      </c>
      <c r="D2491" t="n">
        <v>1542920</v>
      </c>
      <c r="E2491" t="n">
        <v>36154</v>
      </c>
      <c r="F2491" t="n">
        <v>29175</v>
      </c>
    </row>
    <row r="2492">
      <c r="A2492" t="inlineStr">
        <is>
          <t>277|精英盾怪</t>
        </is>
      </c>
      <c r="B2492" t="n">
        <v>277</v>
      </c>
      <c r="C2492" t="inlineStr">
        <is>
          <t>精英盾怪</t>
        </is>
      </c>
      <c r="D2492" t="n">
        <v>3471570</v>
      </c>
      <c r="E2492" t="n">
        <v>36154</v>
      </c>
      <c r="F2492" t="n">
        <v>29175</v>
      </c>
    </row>
    <row r="2493">
      <c r="A2493" t="inlineStr">
        <is>
          <t>277|Boss</t>
        </is>
      </c>
      <c r="B2493" t="n">
        <v>277</v>
      </c>
      <c r="C2493" t="inlineStr">
        <is>
          <t>Boss</t>
        </is>
      </c>
      <c r="D2493" t="n">
        <v>36878956</v>
      </c>
      <c r="E2493" t="n">
        <v>39780</v>
      </c>
      <c r="F2493" t="n">
        <v>29175</v>
      </c>
    </row>
    <row r="2494">
      <c r="A2494" t="inlineStr">
        <is>
          <t>277|装备副本Boss</t>
        </is>
      </c>
      <c r="B2494" t="n">
        <v>277</v>
      </c>
      <c r="C2494" t="inlineStr">
        <is>
          <t>装备副本Boss</t>
        </is>
      </c>
      <c r="D2494" t="n">
        <v>18439478</v>
      </c>
      <c r="E2494" t="n">
        <v>39780</v>
      </c>
      <c r="F2494" t="n">
        <v>29175</v>
      </c>
    </row>
    <row r="2495">
      <c r="A2495" t="inlineStr">
        <is>
          <t>278|普通怪</t>
        </is>
      </c>
      <c r="B2495" t="n">
        <v>278</v>
      </c>
      <c r="C2495" t="inlineStr">
        <is>
          <t>普通怪</t>
        </is>
      </c>
      <c r="D2495" t="n">
        <v>389536</v>
      </c>
      <c r="E2495" t="n">
        <v>36421</v>
      </c>
      <c r="F2495" t="n">
        <v>29311</v>
      </c>
    </row>
    <row r="2496">
      <c r="A2496" t="inlineStr">
        <is>
          <t>278|盾怪</t>
        </is>
      </c>
      <c r="B2496" t="n">
        <v>278</v>
      </c>
      <c r="C2496" t="inlineStr">
        <is>
          <t>盾怪</t>
        </is>
      </c>
      <c r="D2496" t="n">
        <v>1168608</v>
      </c>
      <c r="E2496" t="n">
        <v>36421</v>
      </c>
      <c r="F2496" t="n">
        <v>29311</v>
      </c>
    </row>
    <row r="2497">
      <c r="A2497" t="inlineStr">
        <is>
          <t>278|二级普通怪</t>
        </is>
      </c>
      <c r="B2497" t="n">
        <v>278</v>
      </c>
      <c r="C2497" t="inlineStr">
        <is>
          <t>二级普通怪</t>
        </is>
      </c>
      <c r="D2497" t="n">
        <v>701165</v>
      </c>
      <c r="E2497" t="n">
        <v>36421</v>
      </c>
      <c r="F2497" t="n">
        <v>29311</v>
      </c>
    </row>
    <row r="2498">
      <c r="A2498" t="inlineStr">
        <is>
          <t>278|站桩怪</t>
        </is>
      </c>
      <c r="B2498" t="n">
        <v>278</v>
      </c>
      <c r="C2498" t="inlineStr">
        <is>
          <t>站桩怪</t>
        </is>
      </c>
      <c r="D2498" t="n">
        <v>194768</v>
      </c>
      <c r="E2498" t="n">
        <v>36421</v>
      </c>
      <c r="F2498" t="n">
        <v>29311</v>
      </c>
    </row>
    <row r="2499">
      <c r="A2499" t="inlineStr">
        <is>
          <t>278|炮灰怪</t>
        </is>
      </c>
      <c r="B2499" t="n">
        <v>278</v>
      </c>
      <c r="C2499" t="inlineStr">
        <is>
          <t>炮灰怪</t>
        </is>
      </c>
      <c r="D2499" t="n">
        <v>58431</v>
      </c>
      <c r="E2499" t="n">
        <v>36421</v>
      </c>
      <c r="F2499" t="n">
        <v>29311</v>
      </c>
    </row>
    <row r="2500">
      <c r="A2500" t="inlineStr">
        <is>
          <t>278|精英怪</t>
        </is>
      </c>
      <c r="B2500" t="n">
        <v>278</v>
      </c>
      <c r="C2500" t="inlineStr">
        <is>
          <t>精英怪</t>
        </is>
      </c>
      <c r="D2500" t="n">
        <v>1558144</v>
      </c>
      <c r="E2500" t="n">
        <v>36421</v>
      </c>
      <c r="F2500" t="n">
        <v>29311</v>
      </c>
    </row>
    <row r="2501">
      <c r="A2501" t="inlineStr">
        <is>
          <t>278|精英盾怪</t>
        </is>
      </c>
      <c r="B2501" t="n">
        <v>278</v>
      </c>
      <c r="C2501" t="inlineStr">
        <is>
          <t>精英盾怪</t>
        </is>
      </c>
      <c r="D2501" t="n">
        <v>3505824</v>
      </c>
      <c r="E2501" t="n">
        <v>36421</v>
      </c>
      <c r="F2501" t="n">
        <v>29311</v>
      </c>
    </row>
    <row r="2502">
      <c r="A2502" t="inlineStr">
        <is>
          <t>278|Boss</t>
        </is>
      </c>
      <c r="B2502" t="n">
        <v>278</v>
      </c>
      <c r="C2502" t="inlineStr">
        <is>
          <t>Boss</t>
        </is>
      </c>
      <c r="D2502" t="n">
        <v>37269563</v>
      </c>
      <c r="E2502" t="n">
        <v>40063</v>
      </c>
      <c r="F2502" t="n">
        <v>29311</v>
      </c>
    </row>
    <row r="2503">
      <c r="A2503" t="inlineStr">
        <is>
          <t>278|装备副本Boss</t>
        </is>
      </c>
      <c r="B2503" t="n">
        <v>278</v>
      </c>
      <c r="C2503" t="inlineStr">
        <is>
          <t>装备副本Boss</t>
        </is>
      </c>
      <c r="D2503" t="n">
        <v>18634782</v>
      </c>
      <c r="E2503" t="n">
        <v>40063</v>
      </c>
      <c r="F2503" t="n">
        <v>29311</v>
      </c>
    </row>
    <row r="2504">
      <c r="A2504" t="inlineStr">
        <is>
          <t>279|普通怪</t>
        </is>
      </c>
      <c r="B2504" t="n">
        <v>279</v>
      </c>
      <c r="C2504" t="inlineStr">
        <is>
          <t>普通怪</t>
        </is>
      </c>
      <c r="D2504" t="n">
        <v>393371</v>
      </c>
      <c r="E2504" t="n">
        <v>36690</v>
      </c>
      <c r="F2504" t="n">
        <v>29449</v>
      </c>
    </row>
    <row r="2505">
      <c r="A2505" t="inlineStr">
        <is>
          <t>279|盾怪</t>
        </is>
      </c>
      <c r="B2505" t="n">
        <v>279</v>
      </c>
      <c r="C2505" t="inlineStr">
        <is>
          <t>盾怪</t>
        </is>
      </c>
      <c r="D2505" t="n">
        <v>1180113</v>
      </c>
      <c r="E2505" t="n">
        <v>36690</v>
      </c>
      <c r="F2505" t="n">
        <v>29449</v>
      </c>
    </row>
    <row r="2506">
      <c r="A2506" t="inlineStr">
        <is>
          <t>279|二级普通怪</t>
        </is>
      </c>
      <c r="B2506" t="n">
        <v>279</v>
      </c>
      <c r="C2506" t="inlineStr">
        <is>
          <t>二级普通怪</t>
        </is>
      </c>
      <c r="D2506" t="n">
        <v>708068</v>
      </c>
      <c r="E2506" t="n">
        <v>36690</v>
      </c>
      <c r="F2506" t="n">
        <v>29449</v>
      </c>
    </row>
    <row r="2507">
      <c r="A2507" t="inlineStr">
        <is>
          <t>279|站桩怪</t>
        </is>
      </c>
      <c r="B2507" t="n">
        <v>279</v>
      </c>
      <c r="C2507" t="inlineStr">
        <is>
          <t>站桩怪</t>
        </is>
      </c>
      <c r="D2507" t="n">
        <v>196686</v>
      </c>
      <c r="E2507" t="n">
        <v>36690</v>
      </c>
      <c r="F2507" t="n">
        <v>29449</v>
      </c>
    </row>
    <row r="2508">
      <c r="A2508" t="inlineStr">
        <is>
          <t>279|炮灰怪</t>
        </is>
      </c>
      <c r="B2508" t="n">
        <v>279</v>
      </c>
      <c r="C2508" t="inlineStr">
        <is>
          <t>炮灰怪</t>
        </is>
      </c>
      <c r="D2508" t="n">
        <v>59006</v>
      </c>
      <c r="E2508" t="n">
        <v>36690</v>
      </c>
      <c r="F2508" t="n">
        <v>29449</v>
      </c>
    </row>
    <row r="2509">
      <c r="A2509" t="inlineStr">
        <is>
          <t>279|精英怪</t>
        </is>
      </c>
      <c r="B2509" t="n">
        <v>279</v>
      </c>
      <c r="C2509" t="inlineStr">
        <is>
          <t>精英怪</t>
        </is>
      </c>
      <c r="D2509" t="n">
        <v>1573484</v>
      </c>
      <c r="E2509" t="n">
        <v>36690</v>
      </c>
      <c r="F2509" t="n">
        <v>29449</v>
      </c>
    </row>
    <row r="2510">
      <c r="A2510" t="inlineStr">
        <is>
          <t>279|精英盾怪</t>
        </is>
      </c>
      <c r="B2510" t="n">
        <v>279</v>
      </c>
      <c r="C2510" t="inlineStr">
        <is>
          <t>精英盾怪</t>
        </is>
      </c>
      <c r="D2510" t="n">
        <v>3540339</v>
      </c>
      <c r="E2510" t="n">
        <v>36690</v>
      </c>
      <c r="F2510" t="n">
        <v>29449</v>
      </c>
    </row>
    <row r="2511">
      <c r="A2511" t="inlineStr">
        <is>
          <t>279|Boss</t>
        </is>
      </c>
      <c r="B2511" t="n">
        <v>279</v>
      </c>
      <c r="C2511" t="inlineStr">
        <is>
          <t>Boss</t>
        </is>
      </c>
      <c r="D2511" t="n">
        <v>37663333</v>
      </c>
      <c r="E2511" t="n">
        <v>40347</v>
      </c>
      <c r="F2511" t="n">
        <v>29449</v>
      </c>
    </row>
    <row r="2512">
      <c r="A2512" t="inlineStr">
        <is>
          <t>279|装备副本Boss</t>
        </is>
      </c>
      <c r="B2512" t="n">
        <v>279</v>
      </c>
      <c r="C2512" t="inlineStr">
        <is>
          <t>装备副本Boss</t>
        </is>
      </c>
      <c r="D2512" t="n">
        <v>18831666</v>
      </c>
      <c r="E2512" t="n">
        <v>40347</v>
      </c>
      <c r="F2512" t="n">
        <v>29449</v>
      </c>
    </row>
    <row r="2513">
      <c r="A2513" t="inlineStr">
        <is>
          <t>280|普通怪</t>
        </is>
      </c>
      <c r="B2513" t="n">
        <v>280</v>
      </c>
      <c r="C2513" t="inlineStr">
        <is>
          <t>普通怪</t>
        </is>
      </c>
      <c r="D2513" t="n">
        <v>397235</v>
      </c>
      <c r="E2513" t="n">
        <v>36960</v>
      </c>
      <c r="F2513" t="n">
        <v>29586</v>
      </c>
    </row>
    <row r="2514">
      <c r="A2514" t="inlineStr">
        <is>
          <t>280|盾怪</t>
        </is>
      </c>
      <c r="B2514" t="n">
        <v>280</v>
      </c>
      <c r="C2514" t="inlineStr">
        <is>
          <t>盾怪</t>
        </is>
      </c>
      <c r="D2514" t="n">
        <v>1191705</v>
      </c>
      <c r="E2514" t="n">
        <v>36960</v>
      </c>
      <c r="F2514" t="n">
        <v>29586</v>
      </c>
    </row>
    <row r="2515">
      <c r="A2515" t="inlineStr">
        <is>
          <t>280|二级普通怪</t>
        </is>
      </c>
      <c r="B2515" t="n">
        <v>280</v>
      </c>
      <c r="C2515" t="inlineStr">
        <is>
          <t>二级普通怪</t>
        </is>
      </c>
      <c r="D2515" t="n">
        <v>715023</v>
      </c>
      <c r="E2515" t="n">
        <v>36960</v>
      </c>
      <c r="F2515" t="n">
        <v>29586</v>
      </c>
    </row>
    <row r="2516">
      <c r="A2516" t="inlineStr">
        <is>
          <t>280|站桩怪</t>
        </is>
      </c>
      <c r="B2516" t="n">
        <v>280</v>
      </c>
      <c r="C2516" t="inlineStr">
        <is>
          <t>站桩怪</t>
        </is>
      </c>
      <c r="D2516" t="n">
        <v>198618</v>
      </c>
      <c r="E2516" t="n">
        <v>36960</v>
      </c>
      <c r="F2516" t="n">
        <v>29586</v>
      </c>
    </row>
    <row r="2517">
      <c r="A2517" t="inlineStr">
        <is>
          <t>280|炮灰怪</t>
        </is>
      </c>
      <c r="B2517" t="n">
        <v>280</v>
      </c>
      <c r="C2517" t="inlineStr">
        <is>
          <t>炮灰怪</t>
        </is>
      </c>
      <c r="D2517" t="n">
        <v>59586</v>
      </c>
      <c r="E2517" t="n">
        <v>36960</v>
      </c>
      <c r="F2517" t="n">
        <v>29586</v>
      </c>
    </row>
    <row r="2518">
      <c r="A2518" t="inlineStr">
        <is>
          <t>280|精英怪</t>
        </is>
      </c>
      <c r="B2518" t="n">
        <v>280</v>
      </c>
      <c r="C2518" t="inlineStr">
        <is>
          <t>精英怪</t>
        </is>
      </c>
      <c r="D2518" t="n">
        <v>1588940</v>
      </c>
      <c r="E2518" t="n">
        <v>36960</v>
      </c>
      <c r="F2518" t="n">
        <v>29586</v>
      </c>
    </row>
    <row r="2519">
      <c r="A2519" t="inlineStr">
        <is>
          <t>280|精英盾怪</t>
        </is>
      </c>
      <c r="B2519" t="n">
        <v>280</v>
      </c>
      <c r="C2519" t="inlineStr">
        <is>
          <t>精英盾怪</t>
        </is>
      </c>
      <c r="D2519" t="n">
        <v>3575115</v>
      </c>
      <c r="E2519" t="n">
        <v>36960</v>
      </c>
      <c r="F2519" t="n">
        <v>29586</v>
      </c>
    </row>
    <row r="2520">
      <c r="A2520" t="inlineStr">
        <is>
          <t>280|Boss</t>
        </is>
      </c>
      <c r="B2520" t="n">
        <v>280</v>
      </c>
      <c r="C2520" t="inlineStr">
        <is>
          <t>Boss</t>
        </is>
      </c>
      <c r="D2520" t="n">
        <v>38060315</v>
      </c>
      <c r="E2520" t="n">
        <v>40633</v>
      </c>
      <c r="F2520" t="n">
        <v>29586</v>
      </c>
    </row>
    <row r="2521">
      <c r="A2521" t="inlineStr">
        <is>
          <t>280|装备副本Boss</t>
        </is>
      </c>
      <c r="B2521" t="n">
        <v>280</v>
      </c>
      <c r="C2521" t="inlineStr">
        <is>
          <t>装备副本Boss</t>
        </is>
      </c>
      <c r="D2521" t="n">
        <v>19030158</v>
      </c>
      <c r="E2521" t="n">
        <v>40633</v>
      </c>
      <c r="F2521" t="n">
        <v>29586</v>
      </c>
    </row>
    <row r="2522">
      <c r="A2522" t="inlineStr">
        <is>
          <t>281|普通怪</t>
        </is>
      </c>
      <c r="B2522" t="n">
        <v>281</v>
      </c>
      <c r="C2522" t="inlineStr">
        <is>
          <t>普通怪</t>
        </is>
      </c>
      <c r="D2522" t="n">
        <v>401128</v>
      </c>
      <c r="E2522" t="n">
        <v>37231</v>
      </c>
      <c r="F2522" t="n">
        <v>29724</v>
      </c>
    </row>
    <row r="2523">
      <c r="A2523" t="inlineStr">
        <is>
          <t>281|盾怪</t>
        </is>
      </c>
      <c r="B2523" t="n">
        <v>281</v>
      </c>
      <c r="C2523" t="inlineStr">
        <is>
          <t>盾怪</t>
        </is>
      </c>
      <c r="D2523" t="n">
        <v>1203384</v>
      </c>
      <c r="E2523" t="n">
        <v>37231</v>
      </c>
      <c r="F2523" t="n">
        <v>29724</v>
      </c>
    </row>
    <row r="2524">
      <c r="A2524" t="inlineStr">
        <is>
          <t>281|二级普通怪</t>
        </is>
      </c>
      <c r="B2524" t="n">
        <v>281</v>
      </c>
      <c r="C2524" t="inlineStr">
        <is>
          <t>二级普通怪</t>
        </is>
      </c>
      <c r="D2524" t="n">
        <v>722031</v>
      </c>
      <c r="E2524" t="n">
        <v>37231</v>
      </c>
      <c r="F2524" t="n">
        <v>29724</v>
      </c>
    </row>
    <row r="2525">
      <c r="A2525" t="inlineStr">
        <is>
          <t>281|站桩怪</t>
        </is>
      </c>
      <c r="B2525" t="n">
        <v>281</v>
      </c>
      <c r="C2525" t="inlineStr">
        <is>
          <t>站桩怪</t>
        </is>
      </c>
      <c r="D2525" t="n">
        <v>200564</v>
      </c>
      <c r="E2525" t="n">
        <v>37231</v>
      </c>
      <c r="F2525" t="n">
        <v>29724</v>
      </c>
    </row>
    <row r="2526">
      <c r="A2526" t="inlineStr">
        <is>
          <t>281|炮灰怪</t>
        </is>
      </c>
      <c r="B2526" t="n">
        <v>281</v>
      </c>
      <c r="C2526" t="inlineStr">
        <is>
          <t>炮灰怪</t>
        </is>
      </c>
      <c r="D2526" t="n">
        <v>60170</v>
      </c>
      <c r="E2526" t="n">
        <v>37231</v>
      </c>
      <c r="F2526" t="n">
        <v>29724</v>
      </c>
    </row>
    <row r="2527">
      <c r="A2527" t="inlineStr">
        <is>
          <t>281|精英怪</t>
        </is>
      </c>
      <c r="B2527" t="n">
        <v>281</v>
      </c>
      <c r="C2527" t="inlineStr">
        <is>
          <t>精英怪</t>
        </is>
      </c>
      <c r="D2527" t="n">
        <v>1604512</v>
      </c>
      <c r="E2527" t="n">
        <v>37231</v>
      </c>
      <c r="F2527" t="n">
        <v>29724</v>
      </c>
    </row>
    <row r="2528">
      <c r="A2528" t="inlineStr">
        <is>
          <t>281|精英盾怪</t>
        </is>
      </c>
      <c r="B2528" t="n">
        <v>281</v>
      </c>
      <c r="C2528" t="inlineStr">
        <is>
          <t>精英盾怪</t>
        </is>
      </c>
      <c r="D2528" t="n">
        <v>3610152</v>
      </c>
      <c r="E2528" t="n">
        <v>37231</v>
      </c>
      <c r="F2528" t="n">
        <v>29724</v>
      </c>
    </row>
    <row r="2529">
      <c r="A2529" t="inlineStr">
        <is>
          <t>281|Boss</t>
        </is>
      </c>
      <c r="B2529" t="n">
        <v>281</v>
      </c>
      <c r="C2529" t="inlineStr">
        <is>
          <t>Boss</t>
        </is>
      </c>
      <c r="D2529" t="n">
        <v>38460562</v>
      </c>
      <c r="E2529" t="n">
        <v>40920</v>
      </c>
      <c r="F2529" t="n">
        <v>29724</v>
      </c>
    </row>
    <row r="2530">
      <c r="A2530" t="inlineStr">
        <is>
          <t>281|装备副本Boss</t>
        </is>
      </c>
      <c r="B2530" t="n">
        <v>281</v>
      </c>
      <c r="C2530" t="inlineStr">
        <is>
          <t>装备副本Boss</t>
        </is>
      </c>
      <c r="D2530" t="n">
        <v>19230281</v>
      </c>
      <c r="E2530" t="n">
        <v>40920</v>
      </c>
      <c r="F2530" t="n">
        <v>29724</v>
      </c>
    </row>
    <row r="2531">
      <c r="A2531" t="inlineStr">
        <is>
          <t>282|普通怪</t>
        </is>
      </c>
      <c r="B2531" t="n">
        <v>282</v>
      </c>
      <c r="C2531" t="inlineStr">
        <is>
          <t>普通怪</t>
        </is>
      </c>
      <c r="D2531" t="n">
        <v>405049</v>
      </c>
      <c r="E2531" t="n">
        <v>37504</v>
      </c>
      <c r="F2531" t="n">
        <v>29861</v>
      </c>
    </row>
    <row r="2532">
      <c r="A2532" t="inlineStr">
        <is>
          <t>282|盾怪</t>
        </is>
      </c>
      <c r="B2532" t="n">
        <v>282</v>
      </c>
      <c r="C2532" t="inlineStr">
        <is>
          <t>盾怪</t>
        </is>
      </c>
      <c r="D2532" t="n">
        <v>1215147</v>
      </c>
      <c r="E2532" t="n">
        <v>37504</v>
      </c>
      <c r="F2532" t="n">
        <v>29861</v>
      </c>
    </row>
    <row r="2533">
      <c r="A2533" t="inlineStr">
        <is>
          <t>282|二级普通怪</t>
        </is>
      </c>
      <c r="B2533" t="n">
        <v>282</v>
      </c>
      <c r="C2533" t="inlineStr">
        <is>
          <t>二级普通怪</t>
        </is>
      </c>
      <c r="D2533" t="n">
        <v>729089</v>
      </c>
      <c r="E2533" t="n">
        <v>37504</v>
      </c>
      <c r="F2533" t="n">
        <v>29861</v>
      </c>
    </row>
    <row r="2534">
      <c r="A2534" t="inlineStr">
        <is>
          <t>282|站桩怪</t>
        </is>
      </c>
      <c r="B2534" t="n">
        <v>282</v>
      </c>
      <c r="C2534" t="inlineStr">
        <is>
          <t>站桩怪</t>
        </is>
      </c>
      <c r="D2534" t="n">
        <v>202525</v>
      </c>
      <c r="E2534" t="n">
        <v>37504</v>
      </c>
      <c r="F2534" t="n">
        <v>29861</v>
      </c>
    </row>
    <row r="2535">
      <c r="A2535" t="inlineStr">
        <is>
          <t>282|炮灰怪</t>
        </is>
      </c>
      <c r="B2535" t="n">
        <v>282</v>
      </c>
      <c r="C2535" t="inlineStr">
        <is>
          <t>炮灰怪</t>
        </is>
      </c>
      <c r="D2535" t="n">
        <v>60758</v>
      </c>
      <c r="E2535" t="n">
        <v>37504</v>
      </c>
      <c r="F2535" t="n">
        <v>29861</v>
      </c>
    </row>
    <row r="2536">
      <c r="A2536" t="inlineStr">
        <is>
          <t>282|精英怪</t>
        </is>
      </c>
      <c r="B2536" t="n">
        <v>282</v>
      </c>
      <c r="C2536" t="inlineStr">
        <is>
          <t>精英怪</t>
        </is>
      </c>
      <c r="D2536" t="n">
        <v>1620196</v>
      </c>
      <c r="E2536" t="n">
        <v>37504</v>
      </c>
      <c r="F2536" t="n">
        <v>29861</v>
      </c>
    </row>
    <row r="2537">
      <c r="A2537" t="inlineStr">
        <is>
          <t>282|精英盾怪</t>
        </is>
      </c>
      <c r="B2537" t="n">
        <v>282</v>
      </c>
      <c r="C2537" t="inlineStr">
        <is>
          <t>精英盾怪</t>
        </is>
      </c>
      <c r="D2537" t="n">
        <v>3645441</v>
      </c>
      <c r="E2537" t="n">
        <v>37504</v>
      </c>
      <c r="F2537" t="n">
        <v>29861</v>
      </c>
    </row>
    <row r="2538">
      <c r="A2538" t="inlineStr">
        <is>
          <t>282|Boss</t>
        </is>
      </c>
      <c r="B2538" t="n">
        <v>282</v>
      </c>
      <c r="C2538" t="inlineStr">
        <is>
          <t>Boss</t>
        </is>
      </c>
      <c r="D2538" t="n">
        <v>38864073</v>
      </c>
      <c r="E2538" t="n">
        <v>41208</v>
      </c>
      <c r="F2538" t="n">
        <v>29861</v>
      </c>
    </row>
    <row r="2539">
      <c r="A2539" t="inlineStr">
        <is>
          <t>282|装备副本Boss</t>
        </is>
      </c>
      <c r="B2539" t="n">
        <v>282</v>
      </c>
      <c r="C2539" t="inlineStr">
        <is>
          <t>装备副本Boss</t>
        </is>
      </c>
      <c r="D2539" t="n">
        <v>19432036</v>
      </c>
      <c r="E2539" t="n">
        <v>41208</v>
      </c>
      <c r="F2539" t="n">
        <v>29861</v>
      </c>
    </row>
    <row r="2540">
      <c r="A2540" t="inlineStr">
        <is>
          <t>283|普通怪</t>
        </is>
      </c>
      <c r="B2540" t="n">
        <v>283</v>
      </c>
      <c r="C2540" t="inlineStr">
        <is>
          <t>普通怪</t>
        </is>
      </c>
      <c r="D2540" t="n">
        <v>409000</v>
      </c>
      <c r="E2540" t="n">
        <v>37779</v>
      </c>
      <c r="F2540" t="n">
        <v>30000</v>
      </c>
    </row>
    <row r="2541">
      <c r="A2541" t="inlineStr">
        <is>
          <t>283|盾怪</t>
        </is>
      </c>
      <c r="B2541" t="n">
        <v>283</v>
      </c>
      <c r="C2541" t="inlineStr">
        <is>
          <t>盾怪</t>
        </is>
      </c>
      <c r="D2541" t="n">
        <v>1227000</v>
      </c>
      <c r="E2541" t="n">
        <v>37779</v>
      </c>
      <c r="F2541" t="n">
        <v>30000</v>
      </c>
    </row>
    <row r="2542">
      <c r="A2542" t="inlineStr">
        <is>
          <t>283|二级普通怪</t>
        </is>
      </c>
      <c r="B2542" t="n">
        <v>283</v>
      </c>
      <c r="C2542" t="inlineStr">
        <is>
          <t>二级普通怪</t>
        </is>
      </c>
      <c r="D2542" t="n">
        <v>736200</v>
      </c>
      <c r="E2542" t="n">
        <v>37779</v>
      </c>
      <c r="F2542" t="n">
        <v>30000</v>
      </c>
    </row>
    <row r="2543">
      <c r="A2543" t="inlineStr">
        <is>
          <t>283|站桩怪</t>
        </is>
      </c>
      <c r="B2543" t="n">
        <v>283</v>
      </c>
      <c r="C2543" t="inlineStr">
        <is>
          <t>站桩怪</t>
        </is>
      </c>
      <c r="D2543" t="n">
        <v>204500</v>
      </c>
      <c r="E2543" t="n">
        <v>37779</v>
      </c>
      <c r="F2543" t="n">
        <v>30000</v>
      </c>
    </row>
    <row r="2544">
      <c r="A2544" t="inlineStr">
        <is>
          <t>283|炮灰怪</t>
        </is>
      </c>
      <c r="B2544" t="n">
        <v>283</v>
      </c>
      <c r="C2544" t="inlineStr">
        <is>
          <t>炮灰怪</t>
        </is>
      </c>
      <c r="D2544" t="n">
        <v>61350</v>
      </c>
      <c r="E2544" t="n">
        <v>37779</v>
      </c>
      <c r="F2544" t="n">
        <v>30000</v>
      </c>
    </row>
    <row r="2545">
      <c r="A2545" t="inlineStr">
        <is>
          <t>283|精英怪</t>
        </is>
      </c>
      <c r="B2545" t="n">
        <v>283</v>
      </c>
      <c r="C2545" t="inlineStr">
        <is>
          <t>精英怪</t>
        </is>
      </c>
      <c r="D2545" t="n">
        <v>1636000</v>
      </c>
      <c r="E2545" t="n">
        <v>37779</v>
      </c>
      <c r="F2545" t="n">
        <v>30000</v>
      </c>
    </row>
    <row r="2546">
      <c r="A2546" t="inlineStr">
        <is>
          <t>283|精英盾怪</t>
        </is>
      </c>
      <c r="B2546" t="n">
        <v>283</v>
      </c>
      <c r="C2546" t="inlineStr">
        <is>
          <t>精英盾怪</t>
        </is>
      </c>
      <c r="D2546" t="n">
        <v>3681000</v>
      </c>
      <c r="E2546" t="n">
        <v>37779</v>
      </c>
      <c r="F2546" t="n">
        <v>30000</v>
      </c>
    </row>
    <row r="2547">
      <c r="A2547" t="inlineStr">
        <is>
          <t>283|Boss</t>
        </is>
      </c>
      <c r="B2547" t="n">
        <v>283</v>
      </c>
      <c r="C2547" t="inlineStr">
        <is>
          <t>Boss</t>
        </is>
      </c>
      <c r="D2547" t="n">
        <v>39270898</v>
      </c>
      <c r="E2547" t="n">
        <v>41499</v>
      </c>
      <c r="F2547" t="n">
        <v>30000</v>
      </c>
    </row>
    <row r="2548">
      <c r="A2548" t="inlineStr">
        <is>
          <t>283|装备副本Boss</t>
        </is>
      </c>
      <c r="B2548" t="n">
        <v>283</v>
      </c>
      <c r="C2548" t="inlineStr">
        <is>
          <t>装备副本Boss</t>
        </is>
      </c>
      <c r="D2548" t="n">
        <v>19635449</v>
      </c>
      <c r="E2548" t="n">
        <v>41499</v>
      </c>
      <c r="F2548" t="n">
        <v>30000</v>
      </c>
    </row>
    <row r="2549">
      <c r="A2549" t="inlineStr">
        <is>
          <t>284|普通怪</t>
        </is>
      </c>
      <c r="B2549" t="n">
        <v>284</v>
      </c>
      <c r="C2549" t="inlineStr">
        <is>
          <t>普通怪</t>
        </is>
      </c>
      <c r="D2549" t="n">
        <v>412979</v>
      </c>
      <c r="E2549" t="n">
        <v>38054</v>
      </c>
      <c r="F2549" t="n">
        <v>30138</v>
      </c>
    </row>
    <row r="2550">
      <c r="A2550" t="inlineStr">
        <is>
          <t>284|盾怪</t>
        </is>
      </c>
      <c r="B2550" t="n">
        <v>284</v>
      </c>
      <c r="C2550" t="inlineStr">
        <is>
          <t>盾怪</t>
        </is>
      </c>
      <c r="D2550" t="n">
        <v>1238937</v>
      </c>
      <c r="E2550" t="n">
        <v>38054</v>
      </c>
      <c r="F2550" t="n">
        <v>30138</v>
      </c>
    </row>
    <row r="2551">
      <c r="A2551" t="inlineStr">
        <is>
          <t>284|二级普通怪</t>
        </is>
      </c>
      <c r="B2551" t="n">
        <v>284</v>
      </c>
      <c r="C2551" t="inlineStr">
        <is>
          <t>二级普通怪</t>
        </is>
      </c>
      <c r="D2551" t="n">
        <v>743363</v>
      </c>
      <c r="E2551" t="n">
        <v>38054</v>
      </c>
      <c r="F2551" t="n">
        <v>30138</v>
      </c>
    </row>
    <row r="2552">
      <c r="A2552" t="inlineStr">
        <is>
          <t>284|站桩怪</t>
        </is>
      </c>
      <c r="B2552" t="n">
        <v>284</v>
      </c>
      <c r="C2552" t="inlineStr">
        <is>
          <t>站桩怪</t>
        </is>
      </c>
      <c r="D2552" t="n">
        <v>206490</v>
      </c>
      <c r="E2552" t="n">
        <v>38054</v>
      </c>
      <c r="F2552" t="n">
        <v>30138</v>
      </c>
    </row>
    <row r="2553">
      <c r="A2553" t="inlineStr">
        <is>
          <t>284|炮灰怪</t>
        </is>
      </c>
      <c r="B2553" t="n">
        <v>284</v>
      </c>
      <c r="C2553" t="inlineStr">
        <is>
          <t>炮灰怪</t>
        </is>
      </c>
      <c r="D2553" t="n">
        <v>61947</v>
      </c>
      <c r="E2553" t="n">
        <v>38054</v>
      </c>
      <c r="F2553" t="n">
        <v>30138</v>
      </c>
    </row>
    <row r="2554">
      <c r="A2554" t="inlineStr">
        <is>
          <t>284|精英怪</t>
        </is>
      </c>
      <c r="B2554" t="n">
        <v>284</v>
      </c>
      <c r="C2554" t="inlineStr">
        <is>
          <t>精英怪</t>
        </is>
      </c>
      <c r="D2554" t="n">
        <v>1651916</v>
      </c>
      <c r="E2554" t="n">
        <v>38054</v>
      </c>
      <c r="F2554" t="n">
        <v>30138</v>
      </c>
    </row>
    <row r="2555">
      <c r="A2555" t="inlineStr">
        <is>
          <t>284|精英盾怪</t>
        </is>
      </c>
      <c r="B2555" t="n">
        <v>284</v>
      </c>
      <c r="C2555" t="inlineStr">
        <is>
          <t>精英盾怪</t>
        </is>
      </c>
      <c r="D2555" t="n">
        <v>3716811</v>
      </c>
      <c r="E2555" t="n">
        <v>38054</v>
      </c>
      <c r="F2555" t="n">
        <v>30138</v>
      </c>
    </row>
    <row r="2556">
      <c r="A2556" t="inlineStr">
        <is>
          <t>284|Boss</t>
        </is>
      </c>
      <c r="B2556" t="n">
        <v>284</v>
      </c>
      <c r="C2556" t="inlineStr">
        <is>
          <t>Boss</t>
        </is>
      </c>
      <c r="D2556" t="n">
        <v>39680988</v>
      </c>
      <c r="E2556" t="n">
        <v>41790</v>
      </c>
      <c r="F2556" t="n">
        <v>30138</v>
      </c>
    </row>
    <row r="2557">
      <c r="A2557" t="inlineStr">
        <is>
          <t>284|装备副本Boss</t>
        </is>
      </c>
      <c r="B2557" t="n">
        <v>284</v>
      </c>
      <c r="C2557" t="inlineStr">
        <is>
          <t>装备副本Boss</t>
        </is>
      </c>
      <c r="D2557" t="n">
        <v>19840494</v>
      </c>
      <c r="E2557" t="n">
        <v>41790</v>
      </c>
      <c r="F2557" t="n">
        <v>30138</v>
      </c>
    </row>
    <row r="2558">
      <c r="A2558" t="inlineStr">
        <is>
          <t>285|普通怪</t>
        </is>
      </c>
      <c r="B2558" t="n">
        <v>285</v>
      </c>
      <c r="C2558" t="inlineStr">
        <is>
          <t>普通怪</t>
        </is>
      </c>
      <c r="D2558" t="n">
        <v>416989</v>
      </c>
      <c r="E2558" t="n">
        <v>38332</v>
      </c>
      <c r="F2558" t="n">
        <v>30276</v>
      </c>
    </row>
    <row r="2559">
      <c r="A2559" t="inlineStr">
        <is>
          <t>285|盾怪</t>
        </is>
      </c>
      <c r="B2559" t="n">
        <v>285</v>
      </c>
      <c r="C2559" t="inlineStr">
        <is>
          <t>盾怪</t>
        </is>
      </c>
      <c r="D2559" t="n">
        <v>1250967</v>
      </c>
      <c r="E2559" t="n">
        <v>38332</v>
      </c>
      <c r="F2559" t="n">
        <v>30276</v>
      </c>
    </row>
    <row r="2560">
      <c r="A2560" t="inlineStr">
        <is>
          <t>285|二级普通怪</t>
        </is>
      </c>
      <c r="B2560" t="n">
        <v>285</v>
      </c>
      <c r="C2560" t="inlineStr">
        <is>
          <t>二级普通怪</t>
        </is>
      </c>
      <c r="D2560" t="n">
        <v>750581</v>
      </c>
      <c r="E2560" t="n">
        <v>38332</v>
      </c>
      <c r="F2560" t="n">
        <v>30276</v>
      </c>
    </row>
    <row r="2561">
      <c r="A2561" t="inlineStr">
        <is>
          <t>285|站桩怪</t>
        </is>
      </c>
      <c r="B2561" t="n">
        <v>285</v>
      </c>
      <c r="C2561" t="inlineStr">
        <is>
          <t>站桩怪</t>
        </is>
      </c>
      <c r="D2561" t="n">
        <v>208495</v>
      </c>
      <c r="E2561" t="n">
        <v>38332</v>
      </c>
      <c r="F2561" t="n">
        <v>30276</v>
      </c>
    </row>
    <row r="2562">
      <c r="A2562" t="inlineStr">
        <is>
          <t>285|炮灰怪</t>
        </is>
      </c>
      <c r="B2562" t="n">
        <v>285</v>
      </c>
      <c r="C2562" t="inlineStr">
        <is>
          <t>炮灰怪</t>
        </is>
      </c>
      <c r="D2562" t="n">
        <v>62549</v>
      </c>
      <c r="E2562" t="n">
        <v>38332</v>
      </c>
      <c r="F2562" t="n">
        <v>30276</v>
      </c>
    </row>
    <row r="2563">
      <c r="A2563" t="inlineStr">
        <is>
          <t>285|精英怪</t>
        </is>
      </c>
      <c r="B2563" t="n">
        <v>285</v>
      </c>
      <c r="C2563" t="inlineStr">
        <is>
          <t>精英怪</t>
        </is>
      </c>
      <c r="D2563" t="n">
        <v>1667956</v>
      </c>
      <c r="E2563" t="n">
        <v>38332</v>
      </c>
      <c r="F2563" t="n">
        <v>30276</v>
      </c>
    </row>
    <row r="2564">
      <c r="A2564" t="inlineStr">
        <is>
          <t>285|精英盾怪</t>
        </is>
      </c>
      <c r="B2564" t="n">
        <v>285</v>
      </c>
      <c r="C2564" t="inlineStr">
        <is>
          <t>精英盾怪</t>
        </is>
      </c>
      <c r="D2564" t="n">
        <v>3752901</v>
      </c>
      <c r="E2564" t="n">
        <v>38332</v>
      </c>
      <c r="F2564" t="n">
        <v>30276</v>
      </c>
    </row>
    <row r="2565">
      <c r="A2565" t="inlineStr">
        <is>
          <t>285|Boss</t>
        </is>
      </c>
      <c r="B2565" t="n">
        <v>285</v>
      </c>
      <c r="C2565" t="inlineStr">
        <is>
          <t>Boss</t>
        </is>
      </c>
      <c r="D2565" t="n">
        <v>40094444</v>
      </c>
      <c r="E2565" t="n">
        <v>42084</v>
      </c>
      <c r="F2565" t="n">
        <v>30276</v>
      </c>
    </row>
    <row r="2566">
      <c r="A2566" t="inlineStr">
        <is>
          <t>285|装备副本Boss</t>
        </is>
      </c>
      <c r="B2566" t="n">
        <v>285</v>
      </c>
      <c r="C2566" t="inlineStr">
        <is>
          <t>装备副本Boss</t>
        </is>
      </c>
      <c r="D2566" t="n">
        <v>20047222</v>
      </c>
      <c r="E2566" t="n">
        <v>42084</v>
      </c>
      <c r="F2566" t="n">
        <v>30276</v>
      </c>
    </row>
    <row r="2567">
      <c r="A2567" t="inlineStr">
        <is>
          <t>286|普通怪</t>
        </is>
      </c>
      <c r="B2567" t="n">
        <v>286</v>
      </c>
      <c r="C2567" t="inlineStr">
        <is>
          <t>普通怪</t>
        </is>
      </c>
      <c r="D2567" t="n">
        <v>421027</v>
      </c>
      <c r="E2567" t="n">
        <v>38610</v>
      </c>
      <c r="F2567" t="n">
        <v>30415</v>
      </c>
    </row>
    <row r="2568">
      <c r="A2568" t="inlineStr">
        <is>
          <t>286|盾怪</t>
        </is>
      </c>
      <c r="B2568" t="n">
        <v>286</v>
      </c>
      <c r="C2568" t="inlineStr">
        <is>
          <t>盾怪</t>
        </is>
      </c>
      <c r="D2568" t="n">
        <v>1263081</v>
      </c>
      <c r="E2568" t="n">
        <v>38610</v>
      </c>
      <c r="F2568" t="n">
        <v>30415</v>
      </c>
    </row>
    <row r="2569">
      <c r="A2569" t="inlineStr">
        <is>
          <t>286|二级普通怪</t>
        </is>
      </c>
      <c r="B2569" t="n">
        <v>286</v>
      </c>
      <c r="C2569" t="inlineStr">
        <is>
          <t>二级普通怪</t>
        </is>
      </c>
      <c r="D2569" t="n">
        <v>757849</v>
      </c>
      <c r="E2569" t="n">
        <v>38610</v>
      </c>
      <c r="F2569" t="n">
        <v>30415</v>
      </c>
    </row>
    <row r="2570">
      <c r="A2570" t="inlineStr">
        <is>
          <t>286|站桩怪</t>
        </is>
      </c>
      <c r="B2570" t="n">
        <v>286</v>
      </c>
      <c r="C2570" t="inlineStr">
        <is>
          <t>站桩怪</t>
        </is>
      </c>
      <c r="D2570" t="n">
        <v>210514</v>
      </c>
      <c r="E2570" t="n">
        <v>38610</v>
      </c>
      <c r="F2570" t="n">
        <v>30415</v>
      </c>
    </row>
    <row r="2571">
      <c r="A2571" t="inlineStr">
        <is>
          <t>286|炮灰怪</t>
        </is>
      </c>
      <c r="B2571" t="n">
        <v>286</v>
      </c>
      <c r="C2571" t="inlineStr">
        <is>
          <t>炮灰怪</t>
        </is>
      </c>
      <c r="D2571" t="n">
        <v>63155</v>
      </c>
      <c r="E2571" t="n">
        <v>38610</v>
      </c>
      <c r="F2571" t="n">
        <v>30415</v>
      </c>
    </row>
    <row r="2572">
      <c r="A2572" t="inlineStr">
        <is>
          <t>286|精英怪</t>
        </is>
      </c>
      <c r="B2572" t="n">
        <v>286</v>
      </c>
      <c r="C2572" t="inlineStr">
        <is>
          <t>精英怪</t>
        </is>
      </c>
      <c r="D2572" t="n">
        <v>1684108</v>
      </c>
      <c r="E2572" t="n">
        <v>38610</v>
      </c>
      <c r="F2572" t="n">
        <v>30415</v>
      </c>
    </row>
    <row r="2573">
      <c r="A2573" t="inlineStr">
        <is>
          <t>286|精英盾怪</t>
        </is>
      </c>
      <c r="B2573" t="n">
        <v>286</v>
      </c>
      <c r="C2573" t="inlineStr">
        <is>
          <t>精英盾怪</t>
        </is>
      </c>
      <c r="D2573" t="n">
        <v>3789243</v>
      </c>
      <c r="E2573" t="n">
        <v>38610</v>
      </c>
      <c r="F2573" t="n">
        <v>30415</v>
      </c>
    </row>
    <row r="2574">
      <c r="A2574" t="inlineStr">
        <is>
          <t>286|Boss</t>
        </is>
      </c>
      <c r="B2574" t="n">
        <v>286</v>
      </c>
      <c r="C2574" t="inlineStr">
        <is>
          <t>Boss</t>
        </is>
      </c>
      <c r="D2574" t="n">
        <v>40511215</v>
      </c>
      <c r="E2574" t="n">
        <v>42378</v>
      </c>
      <c r="F2574" t="n">
        <v>30415</v>
      </c>
    </row>
    <row r="2575">
      <c r="A2575" t="inlineStr">
        <is>
          <t>286|装备副本Boss</t>
        </is>
      </c>
      <c r="B2575" t="n">
        <v>286</v>
      </c>
      <c r="C2575" t="inlineStr">
        <is>
          <t>装备副本Boss</t>
        </is>
      </c>
      <c r="D2575" t="n">
        <v>20255607</v>
      </c>
      <c r="E2575" t="n">
        <v>42378</v>
      </c>
      <c r="F2575" t="n">
        <v>30415</v>
      </c>
    </row>
    <row r="2576">
      <c r="A2576" t="inlineStr">
        <is>
          <t>287|普通怪</t>
        </is>
      </c>
      <c r="B2576" t="n">
        <v>287</v>
      </c>
      <c r="C2576" t="inlineStr">
        <is>
          <t>普通怪</t>
        </is>
      </c>
      <c r="D2576" t="n">
        <v>425096</v>
      </c>
      <c r="E2576" t="n">
        <v>38892</v>
      </c>
      <c r="F2576" t="n">
        <v>30554</v>
      </c>
    </row>
    <row r="2577">
      <c r="A2577" t="inlineStr">
        <is>
          <t>287|盾怪</t>
        </is>
      </c>
      <c r="B2577" t="n">
        <v>287</v>
      </c>
      <c r="C2577" t="inlineStr">
        <is>
          <t>盾怪</t>
        </is>
      </c>
      <c r="D2577" t="n">
        <v>1275288</v>
      </c>
      <c r="E2577" t="n">
        <v>38892</v>
      </c>
      <c r="F2577" t="n">
        <v>30554</v>
      </c>
    </row>
    <row r="2578">
      <c r="A2578" t="inlineStr">
        <is>
          <t>287|二级普通怪</t>
        </is>
      </c>
      <c r="B2578" t="n">
        <v>287</v>
      </c>
      <c r="C2578" t="inlineStr">
        <is>
          <t>二级普通怪</t>
        </is>
      </c>
      <c r="D2578" t="n">
        <v>765173</v>
      </c>
      <c r="E2578" t="n">
        <v>38892</v>
      </c>
      <c r="F2578" t="n">
        <v>30554</v>
      </c>
    </row>
    <row r="2579">
      <c r="A2579" t="inlineStr">
        <is>
          <t>287|站桩怪</t>
        </is>
      </c>
      <c r="B2579" t="n">
        <v>287</v>
      </c>
      <c r="C2579" t="inlineStr">
        <is>
          <t>站桩怪</t>
        </is>
      </c>
      <c r="D2579" t="n">
        <v>212548</v>
      </c>
      <c r="E2579" t="n">
        <v>38892</v>
      </c>
      <c r="F2579" t="n">
        <v>30554</v>
      </c>
    </row>
    <row r="2580">
      <c r="A2580" t="inlineStr">
        <is>
          <t>287|炮灰怪</t>
        </is>
      </c>
      <c r="B2580" t="n">
        <v>287</v>
      </c>
      <c r="C2580" t="inlineStr">
        <is>
          <t>炮灰怪</t>
        </is>
      </c>
      <c r="D2580" t="n">
        <v>63765</v>
      </c>
      <c r="E2580" t="n">
        <v>38892</v>
      </c>
      <c r="F2580" t="n">
        <v>30554</v>
      </c>
    </row>
    <row r="2581">
      <c r="A2581" t="inlineStr">
        <is>
          <t>287|精英怪</t>
        </is>
      </c>
      <c r="B2581" t="n">
        <v>287</v>
      </c>
      <c r="C2581" t="inlineStr">
        <is>
          <t>精英怪</t>
        </is>
      </c>
      <c r="D2581" t="n">
        <v>1700384</v>
      </c>
      <c r="E2581" t="n">
        <v>38892</v>
      </c>
      <c r="F2581" t="n">
        <v>30554</v>
      </c>
    </row>
    <row r="2582">
      <c r="A2582" t="inlineStr">
        <is>
          <t>287|精英盾怪</t>
        </is>
      </c>
      <c r="B2582" t="n">
        <v>287</v>
      </c>
      <c r="C2582" t="inlineStr">
        <is>
          <t>精英盾怪</t>
        </is>
      </c>
      <c r="D2582" t="n">
        <v>3825864</v>
      </c>
      <c r="E2582" t="n">
        <v>38892</v>
      </c>
      <c r="F2582" t="n">
        <v>30554</v>
      </c>
    </row>
    <row r="2583">
      <c r="A2583" t="inlineStr">
        <is>
          <t>287|Boss</t>
        </is>
      </c>
      <c r="B2583" t="n">
        <v>287</v>
      </c>
      <c r="C2583" t="inlineStr">
        <is>
          <t>Boss</t>
        </is>
      </c>
      <c r="D2583" t="n">
        <v>40931352</v>
      </c>
      <c r="E2583" t="n">
        <v>42675</v>
      </c>
      <c r="F2583" t="n">
        <v>30554</v>
      </c>
    </row>
    <row r="2584">
      <c r="A2584" t="inlineStr">
        <is>
          <t>287|装备副本Boss</t>
        </is>
      </c>
      <c r="B2584" t="n">
        <v>287</v>
      </c>
      <c r="C2584" t="inlineStr">
        <is>
          <t>装备副本Boss</t>
        </is>
      </c>
      <c r="D2584" t="n">
        <v>20465676</v>
      </c>
      <c r="E2584" t="n">
        <v>42675</v>
      </c>
      <c r="F2584" t="n">
        <v>30554</v>
      </c>
    </row>
    <row r="2585">
      <c r="A2585" t="inlineStr">
        <is>
          <t>288|普通怪</t>
        </is>
      </c>
      <c r="B2585" t="n">
        <v>288</v>
      </c>
      <c r="C2585" t="inlineStr">
        <is>
          <t>普通怪</t>
        </is>
      </c>
      <c r="D2585" t="n">
        <v>429195</v>
      </c>
      <c r="E2585" t="n">
        <v>39174</v>
      </c>
      <c r="F2585" t="n">
        <v>30693</v>
      </c>
    </row>
    <row r="2586">
      <c r="A2586" t="inlineStr">
        <is>
          <t>288|盾怪</t>
        </is>
      </c>
      <c r="B2586" t="n">
        <v>288</v>
      </c>
      <c r="C2586" t="inlineStr">
        <is>
          <t>盾怪</t>
        </is>
      </c>
      <c r="D2586" t="n">
        <v>1287585</v>
      </c>
      <c r="E2586" t="n">
        <v>39174</v>
      </c>
      <c r="F2586" t="n">
        <v>30693</v>
      </c>
    </row>
    <row r="2587">
      <c r="A2587" t="inlineStr">
        <is>
          <t>288|二级普通怪</t>
        </is>
      </c>
      <c r="B2587" t="n">
        <v>288</v>
      </c>
      <c r="C2587" t="inlineStr">
        <is>
          <t>二级普通怪</t>
        </is>
      </c>
      <c r="D2587" t="n">
        <v>772551</v>
      </c>
      <c r="E2587" t="n">
        <v>39174</v>
      </c>
      <c r="F2587" t="n">
        <v>30693</v>
      </c>
    </row>
    <row r="2588">
      <c r="A2588" t="inlineStr">
        <is>
          <t>288|站桩怪</t>
        </is>
      </c>
      <c r="B2588" t="n">
        <v>288</v>
      </c>
      <c r="C2588" t="inlineStr">
        <is>
          <t>站桩怪</t>
        </is>
      </c>
      <c r="D2588" t="n">
        <v>214598</v>
      </c>
      <c r="E2588" t="n">
        <v>39174</v>
      </c>
      <c r="F2588" t="n">
        <v>30693</v>
      </c>
    </row>
    <row r="2589">
      <c r="A2589" t="inlineStr">
        <is>
          <t>288|炮灰怪</t>
        </is>
      </c>
      <c r="B2589" t="n">
        <v>288</v>
      </c>
      <c r="C2589" t="inlineStr">
        <is>
          <t>炮灰怪</t>
        </is>
      </c>
      <c r="D2589" t="n">
        <v>64380</v>
      </c>
      <c r="E2589" t="n">
        <v>39174</v>
      </c>
      <c r="F2589" t="n">
        <v>30693</v>
      </c>
    </row>
    <row r="2590">
      <c r="A2590" t="inlineStr">
        <is>
          <t>288|精英怪</t>
        </is>
      </c>
      <c r="B2590" t="n">
        <v>288</v>
      </c>
      <c r="C2590" t="inlineStr">
        <is>
          <t>精英怪</t>
        </is>
      </c>
      <c r="D2590" t="n">
        <v>1716780</v>
      </c>
      <c r="E2590" t="n">
        <v>39174</v>
      </c>
      <c r="F2590" t="n">
        <v>30693</v>
      </c>
    </row>
    <row r="2591">
      <c r="A2591" t="inlineStr">
        <is>
          <t>288|精英盾怪</t>
        </is>
      </c>
      <c r="B2591" t="n">
        <v>288</v>
      </c>
      <c r="C2591" t="inlineStr">
        <is>
          <t>精英盾怪</t>
        </is>
      </c>
      <c r="D2591" t="n">
        <v>3862755</v>
      </c>
      <c r="E2591" t="n">
        <v>39174</v>
      </c>
      <c r="F2591" t="n">
        <v>30693</v>
      </c>
    </row>
    <row r="2592">
      <c r="A2592" t="inlineStr">
        <is>
          <t>288|Boss</t>
        </is>
      </c>
      <c r="B2592" t="n">
        <v>288</v>
      </c>
      <c r="C2592" t="inlineStr">
        <is>
          <t>Boss</t>
        </is>
      </c>
      <c r="D2592" t="n">
        <v>41354906</v>
      </c>
      <c r="E2592" t="n">
        <v>42973</v>
      </c>
      <c r="F2592" t="n">
        <v>30693</v>
      </c>
    </row>
    <row r="2593">
      <c r="A2593" t="inlineStr">
        <is>
          <t>288|装备副本Boss</t>
        </is>
      </c>
      <c r="B2593" t="n">
        <v>288</v>
      </c>
      <c r="C2593" t="inlineStr">
        <is>
          <t>装备副本Boss</t>
        </is>
      </c>
      <c r="D2593" t="n">
        <v>20677453</v>
      </c>
      <c r="E2593" t="n">
        <v>42973</v>
      </c>
      <c r="F2593" t="n">
        <v>30693</v>
      </c>
    </row>
    <row r="2594">
      <c r="A2594" t="inlineStr">
        <is>
          <t>289|普通怪</t>
        </is>
      </c>
      <c r="B2594" t="n">
        <v>289</v>
      </c>
      <c r="C2594" t="inlineStr">
        <is>
          <t>普通怪</t>
        </is>
      </c>
      <c r="D2594" t="n">
        <v>433323</v>
      </c>
      <c r="E2594" t="n">
        <v>39457</v>
      </c>
      <c r="F2594" t="n">
        <v>30833</v>
      </c>
    </row>
    <row r="2595">
      <c r="A2595" t="inlineStr">
        <is>
          <t>289|盾怪</t>
        </is>
      </c>
      <c r="B2595" t="n">
        <v>289</v>
      </c>
      <c r="C2595" t="inlineStr">
        <is>
          <t>盾怪</t>
        </is>
      </c>
      <c r="D2595" t="n">
        <v>1299969</v>
      </c>
      <c r="E2595" t="n">
        <v>39457</v>
      </c>
      <c r="F2595" t="n">
        <v>30833</v>
      </c>
    </row>
    <row r="2596">
      <c r="A2596" t="inlineStr">
        <is>
          <t>289|二级普通怪</t>
        </is>
      </c>
      <c r="B2596" t="n">
        <v>289</v>
      </c>
      <c r="C2596" t="inlineStr">
        <is>
          <t>二级普通怪</t>
        </is>
      </c>
      <c r="D2596" t="n">
        <v>779982</v>
      </c>
      <c r="E2596" t="n">
        <v>39457</v>
      </c>
      <c r="F2596" t="n">
        <v>30833</v>
      </c>
    </row>
    <row r="2597">
      <c r="A2597" t="inlineStr">
        <is>
          <t>289|站桩怪</t>
        </is>
      </c>
      <c r="B2597" t="n">
        <v>289</v>
      </c>
      <c r="C2597" t="inlineStr">
        <is>
          <t>站桩怪</t>
        </is>
      </c>
      <c r="D2597" t="n">
        <v>216662</v>
      </c>
      <c r="E2597" t="n">
        <v>39457</v>
      </c>
      <c r="F2597" t="n">
        <v>30833</v>
      </c>
    </row>
    <row r="2598">
      <c r="A2598" t="inlineStr">
        <is>
          <t>289|炮灰怪</t>
        </is>
      </c>
      <c r="B2598" t="n">
        <v>289</v>
      </c>
      <c r="C2598" t="inlineStr">
        <is>
          <t>炮灰怪</t>
        </is>
      </c>
      <c r="D2598" t="n">
        <v>64999</v>
      </c>
      <c r="E2598" t="n">
        <v>39457</v>
      </c>
      <c r="F2598" t="n">
        <v>30833</v>
      </c>
    </row>
    <row r="2599">
      <c r="A2599" t="inlineStr">
        <is>
          <t>289|精英怪</t>
        </is>
      </c>
      <c r="B2599" t="n">
        <v>289</v>
      </c>
      <c r="C2599" t="inlineStr">
        <is>
          <t>精英怪</t>
        </is>
      </c>
      <c r="D2599" t="n">
        <v>1733292</v>
      </c>
      <c r="E2599" t="n">
        <v>39457</v>
      </c>
      <c r="F2599" t="n">
        <v>30833</v>
      </c>
    </row>
    <row r="2600">
      <c r="A2600" t="inlineStr">
        <is>
          <t>289|精英盾怪</t>
        </is>
      </c>
      <c r="B2600" t="n">
        <v>289</v>
      </c>
      <c r="C2600" t="inlineStr">
        <is>
          <t>精英盾怪</t>
        </is>
      </c>
      <c r="D2600" t="n">
        <v>3899907</v>
      </c>
      <c r="E2600" t="n">
        <v>39457</v>
      </c>
      <c r="F2600" t="n">
        <v>30833</v>
      </c>
    </row>
    <row r="2601">
      <c r="A2601" t="inlineStr">
        <is>
          <t>289|Boss</t>
        </is>
      </c>
      <c r="B2601" t="n">
        <v>289</v>
      </c>
      <c r="C2601" t="inlineStr">
        <is>
          <t>Boss</t>
        </is>
      </c>
      <c r="D2601" t="n">
        <v>41781877</v>
      </c>
      <c r="E2601" t="n">
        <v>43272</v>
      </c>
      <c r="F2601" t="n">
        <v>30833</v>
      </c>
    </row>
    <row r="2602">
      <c r="A2602" t="inlineStr">
        <is>
          <t>289|装备副本Boss</t>
        </is>
      </c>
      <c r="B2602" t="n">
        <v>289</v>
      </c>
      <c r="C2602" t="inlineStr">
        <is>
          <t>装备副本Boss</t>
        </is>
      </c>
      <c r="D2602" t="n">
        <v>20890938</v>
      </c>
      <c r="E2602" t="n">
        <v>43272</v>
      </c>
      <c r="F2602" t="n">
        <v>30833</v>
      </c>
    </row>
    <row r="2603">
      <c r="A2603" t="inlineStr">
        <is>
          <t>290|普通怪</t>
        </is>
      </c>
      <c r="B2603" t="n">
        <v>290</v>
      </c>
      <c r="C2603" t="inlineStr">
        <is>
          <t>普通怪</t>
        </is>
      </c>
      <c r="D2603" t="n">
        <v>437482</v>
      </c>
      <c r="E2603" t="n">
        <v>39742</v>
      </c>
      <c r="F2603" t="n">
        <v>30972</v>
      </c>
    </row>
    <row r="2604">
      <c r="A2604" t="inlineStr">
        <is>
          <t>290|盾怪</t>
        </is>
      </c>
      <c r="B2604" t="n">
        <v>290</v>
      </c>
      <c r="C2604" t="inlineStr">
        <is>
          <t>盾怪</t>
        </is>
      </c>
      <c r="D2604" t="n">
        <v>1312446</v>
      </c>
      <c r="E2604" t="n">
        <v>39742</v>
      </c>
      <c r="F2604" t="n">
        <v>30972</v>
      </c>
    </row>
    <row r="2605">
      <c r="A2605" t="inlineStr">
        <is>
          <t>290|二级普通怪</t>
        </is>
      </c>
      <c r="B2605" t="n">
        <v>290</v>
      </c>
      <c r="C2605" t="inlineStr">
        <is>
          <t>二级普通怪</t>
        </is>
      </c>
      <c r="D2605" t="n">
        <v>787468</v>
      </c>
      <c r="E2605" t="n">
        <v>39742</v>
      </c>
      <c r="F2605" t="n">
        <v>30972</v>
      </c>
    </row>
    <row r="2606">
      <c r="A2606" t="inlineStr">
        <is>
          <t>290|站桩怪</t>
        </is>
      </c>
      <c r="B2606" t="n">
        <v>290</v>
      </c>
      <c r="C2606" t="inlineStr">
        <is>
          <t>站桩怪</t>
        </is>
      </c>
      <c r="D2606" t="n">
        <v>218741</v>
      </c>
      <c r="E2606" t="n">
        <v>39742</v>
      </c>
      <c r="F2606" t="n">
        <v>30972</v>
      </c>
    </row>
    <row r="2607">
      <c r="A2607" t="inlineStr">
        <is>
          <t>290|炮灰怪</t>
        </is>
      </c>
      <c r="B2607" t="n">
        <v>290</v>
      </c>
      <c r="C2607" t="inlineStr">
        <is>
          <t>炮灰怪</t>
        </is>
      </c>
      <c r="D2607" t="n">
        <v>65623</v>
      </c>
      <c r="E2607" t="n">
        <v>39742</v>
      </c>
      <c r="F2607" t="n">
        <v>30972</v>
      </c>
    </row>
    <row r="2608">
      <c r="A2608" t="inlineStr">
        <is>
          <t>290|精英怪</t>
        </is>
      </c>
      <c r="B2608" t="n">
        <v>290</v>
      </c>
      <c r="C2608" t="inlineStr">
        <is>
          <t>精英怪</t>
        </is>
      </c>
      <c r="D2608" t="n">
        <v>1749928</v>
      </c>
      <c r="E2608" t="n">
        <v>39742</v>
      </c>
      <c r="F2608" t="n">
        <v>30972</v>
      </c>
    </row>
    <row r="2609">
      <c r="A2609" t="inlineStr">
        <is>
          <t>290|精英盾怪</t>
        </is>
      </c>
      <c r="B2609" t="n">
        <v>290</v>
      </c>
      <c r="C2609" t="inlineStr">
        <is>
          <t>精英盾怪</t>
        </is>
      </c>
      <c r="D2609" t="n">
        <v>3937338</v>
      </c>
      <c r="E2609" t="n">
        <v>39742</v>
      </c>
      <c r="F2609" t="n">
        <v>30972</v>
      </c>
    </row>
    <row r="2610">
      <c r="A2610" t="inlineStr">
        <is>
          <t>290|Boss</t>
        </is>
      </c>
      <c r="B2610" t="n">
        <v>290</v>
      </c>
      <c r="C2610" t="inlineStr">
        <is>
          <t>Boss</t>
        </is>
      </c>
      <c r="D2610" t="n">
        <v>42212265</v>
      </c>
      <c r="E2610" t="n">
        <v>43573</v>
      </c>
      <c r="F2610" t="n">
        <v>30972</v>
      </c>
    </row>
    <row r="2611">
      <c r="A2611" t="inlineStr">
        <is>
          <t>290|装备副本Boss</t>
        </is>
      </c>
      <c r="B2611" t="n">
        <v>290</v>
      </c>
      <c r="C2611" t="inlineStr">
        <is>
          <t>装备副本Boss</t>
        </is>
      </c>
      <c r="D2611" t="n">
        <v>21106132</v>
      </c>
      <c r="E2611" t="n">
        <v>43573</v>
      </c>
      <c r="F2611" t="n">
        <v>30972</v>
      </c>
    </row>
    <row r="2612">
      <c r="A2612" t="inlineStr">
        <is>
          <t>291|普通怪</t>
        </is>
      </c>
      <c r="B2612" t="n">
        <v>291</v>
      </c>
      <c r="C2612" t="inlineStr">
        <is>
          <t>普通怪</t>
        </is>
      </c>
      <c r="D2612" t="n">
        <v>441671</v>
      </c>
      <c r="E2612" t="n">
        <v>40029</v>
      </c>
      <c r="F2612" t="n">
        <v>31112</v>
      </c>
    </row>
    <row r="2613">
      <c r="A2613" t="inlineStr">
        <is>
          <t>291|盾怪</t>
        </is>
      </c>
      <c r="B2613" t="n">
        <v>291</v>
      </c>
      <c r="C2613" t="inlineStr">
        <is>
          <t>盾怪</t>
        </is>
      </c>
      <c r="D2613" t="n">
        <v>1325013</v>
      </c>
      <c r="E2613" t="n">
        <v>40029</v>
      </c>
      <c r="F2613" t="n">
        <v>31112</v>
      </c>
    </row>
    <row r="2614">
      <c r="A2614" t="inlineStr">
        <is>
          <t>291|二级普通怪</t>
        </is>
      </c>
      <c r="B2614" t="n">
        <v>291</v>
      </c>
      <c r="C2614" t="inlineStr">
        <is>
          <t>二级普通怪</t>
        </is>
      </c>
      <c r="D2614" t="n">
        <v>795008</v>
      </c>
      <c r="E2614" t="n">
        <v>40029</v>
      </c>
      <c r="F2614" t="n">
        <v>31112</v>
      </c>
    </row>
    <row r="2615">
      <c r="A2615" t="inlineStr">
        <is>
          <t>291|站桩怪</t>
        </is>
      </c>
      <c r="B2615" t="n">
        <v>291</v>
      </c>
      <c r="C2615" t="inlineStr">
        <is>
          <t>站桩怪</t>
        </is>
      </c>
      <c r="D2615" t="n">
        <v>220836</v>
      </c>
      <c r="E2615" t="n">
        <v>40029</v>
      </c>
      <c r="F2615" t="n">
        <v>31112</v>
      </c>
    </row>
    <row r="2616">
      <c r="A2616" t="inlineStr">
        <is>
          <t>291|炮灰怪</t>
        </is>
      </c>
      <c r="B2616" t="n">
        <v>291</v>
      </c>
      <c r="C2616" t="inlineStr">
        <is>
          <t>炮灰怪</t>
        </is>
      </c>
      <c r="D2616" t="n">
        <v>66251</v>
      </c>
      <c r="E2616" t="n">
        <v>40029</v>
      </c>
      <c r="F2616" t="n">
        <v>31112</v>
      </c>
    </row>
    <row r="2617">
      <c r="A2617" t="inlineStr">
        <is>
          <t>291|精英怪</t>
        </is>
      </c>
      <c r="B2617" t="n">
        <v>291</v>
      </c>
      <c r="C2617" t="inlineStr">
        <is>
          <t>精英怪</t>
        </is>
      </c>
      <c r="D2617" t="n">
        <v>1766684</v>
      </c>
      <c r="E2617" t="n">
        <v>40029</v>
      </c>
      <c r="F2617" t="n">
        <v>31112</v>
      </c>
    </row>
    <row r="2618">
      <c r="A2618" t="inlineStr">
        <is>
          <t>291|精英盾怪</t>
        </is>
      </c>
      <c r="B2618" t="n">
        <v>291</v>
      </c>
      <c r="C2618" t="inlineStr">
        <is>
          <t>精英盾怪</t>
        </is>
      </c>
      <c r="D2618" t="n">
        <v>3975039</v>
      </c>
      <c r="E2618" t="n">
        <v>40029</v>
      </c>
      <c r="F2618" t="n">
        <v>31112</v>
      </c>
    </row>
    <row r="2619">
      <c r="A2619" t="inlineStr">
        <is>
          <t>291|Boss</t>
        </is>
      </c>
      <c r="B2619" t="n">
        <v>291</v>
      </c>
      <c r="C2619" t="inlineStr">
        <is>
          <t>Boss</t>
        </is>
      </c>
      <c r="D2619" t="n">
        <v>42646121</v>
      </c>
      <c r="E2619" t="n">
        <v>43876</v>
      </c>
      <c r="F2619" t="n">
        <v>31112</v>
      </c>
    </row>
    <row r="2620">
      <c r="A2620" t="inlineStr">
        <is>
          <t>291|装备副本Boss</t>
        </is>
      </c>
      <c r="B2620" t="n">
        <v>291</v>
      </c>
      <c r="C2620" t="inlineStr">
        <is>
          <t>装备副本Boss</t>
        </is>
      </c>
      <c r="D2620" t="n">
        <v>21323060</v>
      </c>
      <c r="E2620" t="n">
        <v>43876</v>
      </c>
      <c r="F2620" t="n">
        <v>31112</v>
      </c>
    </row>
    <row r="2621">
      <c r="A2621" t="inlineStr">
        <is>
          <t>292|普通怪</t>
        </is>
      </c>
      <c r="B2621" t="n">
        <v>292</v>
      </c>
      <c r="C2621" t="inlineStr">
        <is>
          <t>普通怪</t>
        </is>
      </c>
      <c r="D2621" t="n">
        <v>445891</v>
      </c>
      <c r="E2621" t="n">
        <v>40317</v>
      </c>
      <c r="F2621" t="n">
        <v>31252</v>
      </c>
    </row>
    <row r="2622">
      <c r="A2622" t="inlineStr">
        <is>
          <t>292|盾怪</t>
        </is>
      </c>
      <c r="B2622" t="n">
        <v>292</v>
      </c>
      <c r="C2622" t="inlineStr">
        <is>
          <t>盾怪</t>
        </is>
      </c>
      <c r="D2622" t="n">
        <v>1337673</v>
      </c>
      <c r="E2622" t="n">
        <v>40317</v>
      </c>
      <c r="F2622" t="n">
        <v>31252</v>
      </c>
    </row>
    <row r="2623">
      <c r="A2623" t="inlineStr">
        <is>
          <t>292|二级普通怪</t>
        </is>
      </c>
      <c r="B2623" t="n">
        <v>292</v>
      </c>
      <c r="C2623" t="inlineStr">
        <is>
          <t>二级普通怪</t>
        </is>
      </c>
      <c r="D2623" t="n">
        <v>802604</v>
      </c>
      <c r="E2623" t="n">
        <v>40317</v>
      </c>
      <c r="F2623" t="n">
        <v>31252</v>
      </c>
    </row>
    <row r="2624">
      <c r="A2624" t="inlineStr">
        <is>
          <t>292|站桩怪</t>
        </is>
      </c>
      <c r="B2624" t="n">
        <v>292</v>
      </c>
      <c r="C2624" t="inlineStr">
        <is>
          <t>站桩怪</t>
        </is>
      </c>
      <c r="D2624" t="n">
        <v>222946</v>
      </c>
      <c r="E2624" t="n">
        <v>40317</v>
      </c>
      <c r="F2624" t="n">
        <v>31252</v>
      </c>
    </row>
    <row r="2625">
      <c r="A2625" t="inlineStr">
        <is>
          <t>292|炮灰怪</t>
        </is>
      </c>
      <c r="B2625" t="n">
        <v>292</v>
      </c>
      <c r="C2625" t="inlineStr">
        <is>
          <t>炮灰怪</t>
        </is>
      </c>
      <c r="D2625" t="n">
        <v>66884</v>
      </c>
      <c r="E2625" t="n">
        <v>40317</v>
      </c>
      <c r="F2625" t="n">
        <v>31252</v>
      </c>
    </row>
    <row r="2626">
      <c r="A2626" t="inlineStr">
        <is>
          <t>292|精英怪</t>
        </is>
      </c>
      <c r="B2626" t="n">
        <v>292</v>
      </c>
      <c r="C2626" t="inlineStr">
        <is>
          <t>精英怪</t>
        </is>
      </c>
      <c r="D2626" t="n">
        <v>1783564</v>
      </c>
      <c r="E2626" t="n">
        <v>40317</v>
      </c>
      <c r="F2626" t="n">
        <v>31252</v>
      </c>
    </row>
    <row r="2627">
      <c r="A2627" t="inlineStr">
        <is>
          <t>292|精英盾怪</t>
        </is>
      </c>
      <c r="B2627" t="n">
        <v>292</v>
      </c>
      <c r="C2627" t="inlineStr">
        <is>
          <t>精英盾怪</t>
        </is>
      </c>
      <c r="D2627" t="n">
        <v>4013019</v>
      </c>
      <c r="E2627" t="n">
        <v>40317</v>
      </c>
      <c r="F2627" t="n">
        <v>31252</v>
      </c>
    </row>
    <row r="2628">
      <c r="A2628" t="inlineStr">
        <is>
          <t>292|Boss</t>
        </is>
      </c>
      <c r="B2628" t="n">
        <v>292</v>
      </c>
      <c r="C2628" t="inlineStr">
        <is>
          <t>Boss</t>
        </is>
      </c>
      <c r="D2628" t="n">
        <v>43083496</v>
      </c>
      <c r="E2628" t="n">
        <v>44180</v>
      </c>
      <c r="F2628" t="n">
        <v>31252</v>
      </c>
    </row>
    <row r="2629">
      <c r="A2629" t="inlineStr">
        <is>
          <t>292|装备副本Boss</t>
        </is>
      </c>
      <c r="B2629" t="n">
        <v>292</v>
      </c>
      <c r="C2629" t="inlineStr">
        <is>
          <t>装备副本Boss</t>
        </is>
      </c>
      <c r="D2629" t="n">
        <v>21541748</v>
      </c>
      <c r="E2629" t="n">
        <v>44180</v>
      </c>
      <c r="F2629" t="n">
        <v>31252</v>
      </c>
    </row>
    <row r="2630">
      <c r="A2630" t="inlineStr">
        <is>
          <t>293|普通怪</t>
        </is>
      </c>
      <c r="B2630" t="n">
        <v>293</v>
      </c>
      <c r="C2630" t="inlineStr">
        <is>
          <t>普通怪</t>
        </is>
      </c>
      <c r="D2630" t="n">
        <v>450142</v>
      </c>
      <c r="E2630" t="n">
        <v>40607</v>
      </c>
      <c r="F2630" t="n">
        <v>31393</v>
      </c>
    </row>
    <row r="2631">
      <c r="A2631" t="inlineStr">
        <is>
          <t>293|盾怪</t>
        </is>
      </c>
      <c r="B2631" t="n">
        <v>293</v>
      </c>
      <c r="C2631" t="inlineStr">
        <is>
          <t>盾怪</t>
        </is>
      </c>
      <c r="D2631" t="n">
        <v>1350426</v>
      </c>
      <c r="E2631" t="n">
        <v>40607</v>
      </c>
      <c r="F2631" t="n">
        <v>31393</v>
      </c>
    </row>
    <row r="2632">
      <c r="A2632" t="inlineStr">
        <is>
          <t>293|二级普通怪</t>
        </is>
      </c>
      <c r="B2632" t="n">
        <v>293</v>
      </c>
      <c r="C2632" t="inlineStr">
        <is>
          <t>二级普通怪</t>
        </is>
      </c>
      <c r="D2632" t="n">
        <v>810256</v>
      </c>
      <c r="E2632" t="n">
        <v>40607</v>
      </c>
      <c r="F2632" t="n">
        <v>31393</v>
      </c>
    </row>
    <row r="2633">
      <c r="A2633" t="inlineStr">
        <is>
          <t>293|站桩怪</t>
        </is>
      </c>
      <c r="B2633" t="n">
        <v>293</v>
      </c>
      <c r="C2633" t="inlineStr">
        <is>
          <t>站桩怪</t>
        </is>
      </c>
      <c r="D2633" t="n">
        <v>225071</v>
      </c>
      <c r="E2633" t="n">
        <v>40607</v>
      </c>
      <c r="F2633" t="n">
        <v>31393</v>
      </c>
    </row>
    <row r="2634">
      <c r="A2634" t="inlineStr">
        <is>
          <t>293|炮灰怪</t>
        </is>
      </c>
      <c r="B2634" t="n">
        <v>293</v>
      </c>
      <c r="C2634" t="inlineStr">
        <is>
          <t>炮灰怪</t>
        </is>
      </c>
      <c r="D2634" t="n">
        <v>67522</v>
      </c>
      <c r="E2634" t="n">
        <v>40607</v>
      </c>
      <c r="F2634" t="n">
        <v>31393</v>
      </c>
    </row>
    <row r="2635">
      <c r="A2635" t="inlineStr">
        <is>
          <t>293|精英怪</t>
        </is>
      </c>
      <c r="B2635" t="n">
        <v>293</v>
      </c>
      <c r="C2635" t="inlineStr">
        <is>
          <t>精英怪</t>
        </is>
      </c>
      <c r="D2635" t="n">
        <v>1800568</v>
      </c>
      <c r="E2635" t="n">
        <v>40607</v>
      </c>
      <c r="F2635" t="n">
        <v>31393</v>
      </c>
    </row>
    <row r="2636">
      <c r="A2636" t="inlineStr">
        <is>
          <t>293|精英盾怪</t>
        </is>
      </c>
      <c r="B2636" t="n">
        <v>293</v>
      </c>
      <c r="C2636" t="inlineStr">
        <is>
          <t>精英盾怪</t>
        </is>
      </c>
      <c r="D2636" t="n">
        <v>4051278</v>
      </c>
      <c r="E2636" t="n">
        <v>40607</v>
      </c>
      <c r="F2636" t="n">
        <v>31393</v>
      </c>
    </row>
    <row r="2637">
      <c r="A2637" t="inlineStr">
        <is>
          <t>293|Boss</t>
        </is>
      </c>
      <c r="B2637" t="n">
        <v>293</v>
      </c>
      <c r="C2637" t="inlineStr">
        <is>
          <t>Boss</t>
        </is>
      </c>
      <c r="D2637" t="n">
        <v>43524288</v>
      </c>
      <c r="E2637" t="n">
        <v>44486</v>
      </c>
      <c r="F2637" t="n">
        <v>31393</v>
      </c>
    </row>
    <row r="2638">
      <c r="A2638" t="inlineStr">
        <is>
          <t>293|装备副本Boss</t>
        </is>
      </c>
      <c r="B2638" t="n">
        <v>293</v>
      </c>
      <c r="C2638" t="inlineStr">
        <is>
          <t>装备副本Boss</t>
        </is>
      </c>
      <c r="D2638" t="n">
        <v>21762144</v>
      </c>
      <c r="E2638" t="n">
        <v>44486</v>
      </c>
      <c r="F2638" t="n">
        <v>31393</v>
      </c>
    </row>
    <row r="2639">
      <c r="A2639" t="inlineStr">
        <is>
          <t>294|普通怪</t>
        </is>
      </c>
      <c r="B2639" t="n">
        <v>294</v>
      </c>
      <c r="C2639" t="inlineStr">
        <is>
          <t>普通怪</t>
        </is>
      </c>
      <c r="D2639" t="n">
        <v>454423</v>
      </c>
      <c r="E2639" t="n">
        <v>40898</v>
      </c>
      <c r="F2639" t="n">
        <v>31533</v>
      </c>
    </row>
    <row r="2640">
      <c r="A2640" t="inlineStr">
        <is>
          <t>294|盾怪</t>
        </is>
      </c>
      <c r="B2640" t="n">
        <v>294</v>
      </c>
      <c r="C2640" t="inlineStr">
        <is>
          <t>盾怪</t>
        </is>
      </c>
      <c r="D2640" t="n">
        <v>1363269</v>
      </c>
      <c r="E2640" t="n">
        <v>40898</v>
      </c>
      <c r="F2640" t="n">
        <v>31533</v>
      </c>
    </row>
    <row r="2641">
      <c r="A2641" t="inlineStr">
        <is>
          <t>294|二级普通怪</t>
        </is>
      </c>
      <c r="B2641" t="n">
        <v>294</v>
      </c>
      <c r="C2641" t="inlineStr">
        <is>
          <t>二级普通怪</t>
        </is>
      </c>
      <c r="D2641" t="n">
        <v>817962</v>
      </c>
      <c r="E2641" t="n">
        <v>40898</v>
      </c>
      <c r="F2641" t="n">
        <v>31533</v>
      </c>
    </row>
    <row r="2642">
      <c r="A2642" t="inlineStr">
        <is>
          <t>294|站桩怪</t>
        </is>
      </c>
      <c r="B2642" t="n">
        <v>294</v>
      </c>
      <c r="C2642" t="inlineStr">
        <is>
          <t>站桩怪</t>
        </is>
      </c>
      <c r="D2642" t="n">
        <v>227212</v>
      </c>
      <c r="E2642" t="n">
        <v>40898</v>
      </c>
      <c r="F2642" t="n">
        <v>31533</v>
      </c>
    </row>
    <row r="2643">
      <c r="A2643" t="inlineStr">
        <is>
          <t>294|炮灰怪</t>
        </is>
      </c>
      <c r="B2643" t="n">
        <v>294</v>
      </c>
      <c r="C2643" t="inlineStr">
        <is>
          <t>炮灰怪</t>
        </is>
      </c>
      <c r="D2643" t="n">
        <v>68164</v>
      </c>
      <c r="E2643" t="n">
        <v>40898</v>
      </c>
      <c r="F2643" t="n">
        <v>31533</v>
      </c>
    </row>
    <row r="2644">
      <c r="A2644" t="inlineStr">
        <is>
          <t>294|精英怪</t>
        </is>
      </c>
      <c r="B2644" t="n">
        <v>294</v>
      </c>
      <c r="C2644" t="inlineStr">
        <is>
          <t>精英怪</t>
        </is>
      </c>
      <c r="D2644" t="n">
        <v>1817692</v>
      </c>
      <c r="E2644" t="n">
        <v>40898</v>
      </c>
      <c r="F2644" t="n">
        <v>31533</v>
      </c>
    </row>
    <row r="2645">
      <c r="A2645" t="inlineStr">
        <is>
          <t>294|精英盾怪</t>
        </is>
      </c>
      <c r="B2645" t="n">
        <v>294</v>
      </c>
      <c r="C2645" t="inlineStr">
        <is>
          <t>精英盾怪</t>
        </is>
      </c>
      <c r="D2645" t="n">
        <v>4089807</v>
      </c>
      <c r="E2645" t="n">
        <v>40898</v>
      </c>
      <c r="F2645" t="n">
        <v>31533</v>
      </c>
    </row>
    <row r="2646">
      <c r="A2646" t="inlineStr">
        <is>
          <t>294|Boss</t>
        </is>
      </c>
      <c r="B2646" t="n">
        <v>294</v>
      </c>
      <c r="C2646" t="inlineStr">
        <is>
          <t>Boss</t>
        </is>
      </c>
      <c r="D2646" t="n">
        <v>43968650</v>
      </c>
      <c r="E2646" t="n">
        <v>44793</v>
      </c>
      <c r="F2646" t="n">
        <v>31533</v>
      </c>
    </row>
    <row r="2647">
      <c r="A2647" t="inlineStr">
        <is>
          <t>294|装备副本Boss</t>
        </is>
      </c>
      <c r="B2647" t="n">
        <v>294</v>
      </c>
      <c r="C2647" t="inlineStr">
        <is>
          <t>装备副本Boss</t>
        </is>
      </c>
      <c r="D2647" t="n">
        <v>21984325</v>
      </c>
      <c r="E2647" t="n">
        <v>44793</v>
      </c>
      <c r="F2647" t="n">
        <v>31533</v>
      </c>
    </row>
    <row r="2648">
      <c r="A2648" t="inlineStr">
        <is>
          <t>295|普通怪</t>
        </is>
      </c>
      <c r="B2648" t="n">
        <v>295</v>
      </c>
      <c r="C2648" t="inlineStr">
        <is>
          <t>普通怪</t>
        </is>
      </c>
      <c r="D2648" t="n">
        <v>458736</v>
      </c>
      <c r="E2648" t="n">
        <v>41191</v>
      </c>
      <c r="F2648" t="n">
        <v>31674</v>
      </c>
    </row>
    <row r="2649">
      <c r="A2649" t="inlineStr">
        <is>
          <t>295|盾怪</t>
        </is>
      </c>
      <c r="B2649" t="n">
        <v>295</v>
      </c>
      <c r="C2649" t="inlineStr">
        <is>
          <t>盾怪</t>
        </is>
      </c>
      <c r="D2649" t="n">
        <v>1376208</v>
      </c>
      <c r="E2649" t="n">
        <v>41191</v>
      </c>
      <c r="F2649" t="n">
        <v>31674</v>
      </c>
    </row>
    <row r="2650">
      <c r="A2650" t="inlineStr">
        <is>
          <t>295|二级普通怪</t>
        </is>
      </c>
      <c r="B2650" t="n">
        <v>295</v>
      </c>
      <c r="C2650" t="inlineStr">
        <is>
          <t>二级普通怪</t>
        </is>
      </c>
      <c r="D2650" t="n">
        <v>825725</v>
      </c>
      <c r="E2650" t="n">
        <v>41191</v>
      </c>
      <c r="F2650" t="n">
        <v>31674</v>
      </c>
    </row>
    <row r="2651">
      <c r="A2651" t="inlineStr">
        <is>
          <t>295|站桩怪</t>
        </is>
      </c>
      <c r="B2651" t="n">
        <v>295</v>
      </c>
      <c r="C2651" t="inlineStr">
        <is>
          <t>站桩怪</t>
        </is>
      </c>
      <c r="D2651" t="n">
        <v>229368</v>
      </c>
      <c r="E2651" t="n">
        <v>41191</v>
      </c>
      <c r="F2651" t="n">
        <v>31674</v>
      </c>
    </row>
    <row r="2652">
      <c r="A2652" t="inlineStr">
        <is>
          <t>295|炮灰怪</t>
        </is>
      </c>
      <c r="B2652" t="n">
        <v>295</v>
      </c>
      <c r="C2652" t="inlineStr">
        <is>
          <t>炮灰怪</t>
        </is>
      </c>
      <c r="D2652" t="n">
        <v>68811</v>
      </c>
      <c r="E2652" t="n">
        <v>41191</v>
      </c>
      <c r="F2652" t="n">
        <v>31674</v>
      </c>
    </row>
    <row r="2653">
      <c r="A2653" t="inlineStr">
        <is>
          <t>295|精英怪</t>
        </is>
      </c>
      <c r="B2653" t="n">
        <v>295</v>
      </c>
      <c r="C2653" t="inlineStr">
        <is>
          <t>精英怪</t>
        </is>
      </c>
      <c r="D2653" t="n">
        <v>1834944</v>
      </c>
      <c r="E2653" t="n">
        <v>41191</v>
      </c>
      <c r="F2653" t="n">
        <v>31674</v>
      </c>
    </row>
    <row r="2654">
      <c r="A2654" t="inlineStr">
        <is>
          <t>295|精英盾怪</t>
        </is>
      </c>
      <c r="B2654" t="n">
        <v>295</v>
      </c>
      <c r="C2654" t="inlineStr">
        <is>
          <t>精英盾怪</t>
        </is>
      </c>
      <c r="D2654" t="n">
        <v>4128624</v>
      </c>
      <c r="E2654" t="n">
        <v>41191</v>
      </c>
      <c r="F2654" t="n">
        <v>31674</v>
      </c>
    </row>
    <row r="2655">
      <c r="A2655" t="inlineStr">
        <is>
          <t>295|Boss</t>
        </is>
      </c>
      <c r="B2655" t="n">
        <v>295</v>
      </c>
      <c r="C2655" t="inlineStr">
        <is>
          <t>Boss</t>
        </is>
      </c>
      <c r="D2655" t="n">
        <v>44416582</v>
      </c>
      <c r="E2655" t="n">
        <v>45102</v>
      </c>
      <c r="F2655" t="n">
        <v>31674</v>
      </c>
    </row>
    <row r="2656">
      <c r="A2656" t="inlineStr">
        <is>
          <t>295|装备副本Boss</t>
        </is>
      </c>
      <c r="B2656" t="n">
        <v>295</v>
      </c>
      <c r="C2656" t="inlineStr">
        <is>
          <t>装备副本Boss</t>
        </is>
      </c>
      <c r="D2656" t="n">
        <v>22208291</v>
      </c>
      <c r="E2656" t="n">
        <v>45102</v>
      </c>
      <c r="F2656" t="n">
        <v>31674</v>
      </c>
    </row>
    <row r="2657">
      <c r="A2657" t="inlineStr">
        <is>
          <t>296|普通怪</t>
        </is>
      </c>
      <c r="B2657" t="n">
        <v>296</v>
      </c>
      <c r="C2657" t="inlineStr">
        <is>
          <t>普通怪</t>
        </is>
      </c>
      <c r="D2657" t="n">
        <v>463079</v>
      </c>
      <c r="E2657" t="n">
        <v>41486</v>
      </c>
      <c r="F2657" t="n">
        <v>31815</v>
      </c>
    </row>
    <row r="2658">
      <c r="A2658" t="inlineStr">
        <is>
          <t>296|盾怪</t>
        </is>
      </c>
      <c r="B2658" t="n">
        <v>296</v>
      </c>
      <c r="C2658" t="inlineStr">
        <is>
          <t>盾怪</t>
        </is>
      </c>
      <c r="D2658" t="n">
        <v>1389237</v>
      </c>
      <c r="E2658" t="n">
        <v>41486</v>
      </c>
      <c r="F2658" t="n">
        <v>31815</v>
      </c>
    </row>
    <row r="2659">
      <c r="A2659" t="inlineStr">
        <is>
          <t>296|二级普通怪</t>
        </is>
      </c>
      <c r="B2659" t="n">
        <v>296</v>
      </c>
      <c r="C2659" t="inlineStr">
        <is>
          <t>二级普通怪</t>
        </is>
      </c>
      <c r="D2659" t="n">
        <v>833543</v>
      </c>
      <c r="E2659" t="n">
        <v>41486</v>
      </c>
      <c r="F2659" t="n">
        <v>31815</v>
      </c>
    </row>
    <row r="2660">
      <c r="A2660" t="inlineStr">
        <is>
          <t>296|站桩怪</t>
        </is>
      </c>
      <c r="B2660" t="n">
        <v>296</v>
      </c>
      <c r="C2660" t="inlineStr">
        <is>
          <t>站桩怪</t>
        </is>
      </c>
      <c r="D2660" t="n">
        <v>231540</v>
      </c>
      <c r="E2660" t="n">
        <v>41486</v>
      </c>
      <c r="F2660" t="n">
        <v>31815</v>
      </c>
    </row>
    <row r="2661">
      <c r="A2661" t="inlineStr">
        <is>
          <t>296|炮灰怪</t>
        </is>
      </c>
      <c r="B2661" t="n">
        <v>296</v>
      </c>
      <c r="C2661" t="inlineStr">
        <is>
          <t>炮灰怪</t>
        </is>
      </c>
      <c r="D2661" t="n">
        <v>69462</v>
      </c>
      <c r="E2661" t="n">
        <v>41486</v>
      </c>
      <c r="F2661" t="n">
        <v>31815</v>
      </c>
    </row>
    <row r="2662">
      <c r="A2662" t="inlineStr">
        <is>
          <t>296|精英怪</t>
        </is>
      </c>
      <c r="B2662" t="n">
        <v>296</v>
      </c>
      <c r="C2662" t="inlineStr">
        <is>
          <t>精英怪</t>
        </is>
      </c>
      <c r="D2662" t="n">
        <v>1852316</v>
      </c>
      <c r="E2662" t="n">
        <v>41486</v>
      </c>
      <c r="F2662" t="n">
        <v>31815</v>
      </c>
    </row>
    <row r="2663">
      <c r="A2663" t="inlineStr">
        <is>
          <t>296|精英盾怪</t>
        </is>
      </c>
      <c r="B2663" t="n">
        <v>296</v>
      </c>
      <c r="C2663" t="inlineStr">
        <is>
          <t>精英盾怪</t>
        </is>
      </c>
      <c r="D2663" t="n">
        <v>4167711</v>
      </c>
      <c r="E2663" t="n">
        <v>41486</v>
      </c>
      <c r="F2663" t="n">
        <v>31815</v>
      </c>
    </row>
    <row r="2664">
      <c r="A2664" t="inlineStr">
        <is>
          <t>296|Boss</t>
        </is>
      </c>
      <c r="B2664" t="n">
        <v>296</v>
      </c>
      <c r="C2664" t="inlineStr">
        <is>
          <t>Boss</t>
        </is>
      </c>
      <c r="D2664" t="n">
        <v>44868033</v>
      </c>
      <c r="E2664" t="n">
        <v>45413</v>
      </c>
      <c r="F2664" t="n">
        <v>31815</v>
      </c>
    </row>
    <row r="2665">
      <c r="A2665" t="inlineStr">
        <is>
          <t>296|装备副本Boss</t>
        </is>
      </c>
      <c r="B2665" t="n">
        <v>296</v>
      </c>
      <c r="C2665" t="inlineStr">
        <is>
          <t>装备副本Boss</t>
        </is>
      </c>
      <c r="D2665" t="n">
        <v>22434017</v>
      </c>
      <c r="E2665" t="n">
        <v>45413</v>
      </c>
      <c r="F2665" t="n">
        <v>31815</v>
      </c>
    </row>
    <row r="2666">
      <c r="A2666" t="inlineStr">
        <is>
          <t>297|普通怪</t>
        </is>
      </c>
      <c r="B2666" t="n">
        <v>297</v>
      </c>
      <c r="C2666" t="inlineStr">
        <is>
          <t>普通怪</t>
        </is>
      </c>
      <c r="D2666" t="n">
        <v>467454</v>
      </c>
      <c r="E2666" t="n">
        <v>41782</v>
      </c>
      <c r="F2666" t="n">
        <v>31956</v>
      </c>
    </row>
    <row r="2667">
      <c r="A2667" t="inlineStr">
        <is>
          <t>297|盾怪</t>
        </is>
      </c>
      <c r="B2667" t="n">
        <v>297</v>
      </c>
      <c r="C2667" t="inlineStr">
        <is>
          <t>盾怪</t>
        </is>
      </c>
      <c r="D2667" t="n">
        <v>1402362</v>
      </c>
      <c r="E2667" t="n">
        <v>41782</v>
      </c>
      <c r="F2667" t="n">
        <v>31956</v>
      </c>
    </row>
    <row r="2668">
      <c r="A2668" t="inlineStr">
        <is>
          <t>297|二级普通怪</t>
        </is>
      </c>
      <c r="B2668" t="n">
        <v>297</v>
      </c>
      <c r="C2668" t="inlineStr">
        <is>
          <t>二级普通怪</t>
        </is>
      </c>
      <c r="D2668" t="n">
        <v>841418</v>
      </c>
      <c r="E2668" t="n">
        <v>41782</v>
      </c>
      <c r="F2668" t="n">
        <v>31956</v>
      </c>
    </row>
    <row r="2669">
      <c r="A2669" t="inlineStr">
        <is>
          <t>297|站桩怪</t>
        </is>
      </c>
      <c r="B2669" t="n">
        <v>297</v>
      </c>
      <c r="C2669" t="inlineStr">
        <is>
          <t>站桩怪</t>
        </is>
      </c>
      <c r="D2669" t="n">
        <v>233727</v>
      </c>
      <c r="E2669" t="n">
        <v>41782</v>
      </c>
      <c r="F2669" t="n">
        <v>31956</v>
      </c>
    </row>
    <row r="2670">
      <c r="A2670" t="inlineStr">
        <is>
          <t>297|炮灰怪</t>
        </is>
      </c>
      <c r="B2670" t="n">
        <v>297</v>
      </c>
      <c r="C2670" t="inlineStr">
        <is>
          <t>炮灰怪</t>
        </is>
      </c>
      <c r="D2670" t="n">
        <v>70119</v>
      </c>
      <c r="E2670" t="n">
        <v>41782</v>
      </c>
      <c r="F2670" t="n">
        <v>31956</v>
      </c>
    </row>
    <row r="2671">
      <c r="A2671" t="inlineStr">
        <is>
          <t>297|精英怪</t>
        </is>
      </c>
      <c r="B2671" t="n">
        <v>297</v>
      </c>
      <c r="C2671" t="inlineStr">
        <is>
          <t>精英怪</t>
        </is>
      </c>
      <c r="D2671" t="n">
        <v>1869816</v>
      </c>
      <c r="E2671" t="n">
        <v>41782</v>
      </c>
      <c r="F2671" t="n">
        <v>31956</v>
      </c>
    </row>
    <row r="2672">
      <c r="A2672" t="inlineStr">
        <is>
          <t>297|精英盾怪</t>
        </is>
      </c>
      <c r="B2672" t="n">
        <v>297</v>
      </c>
      <c r="C2672" t="inlineStr">
        <is>
          <t>精英盾怪</t>
        </is>
      </c>
      <c r="D2672" t="n">
        <v>4207086</v>
      </c>
      <c r="E2672" t="n">
        <v>41782</v>
      </c>
      <c r="F2672" t="n">
        <v>31956</v>
      </c>
    </row>
    <row r="2673">
      <c r="A2673" t="inlineStr">
        <is>
          <t>297|Boss</t>
        </is>
      </c>
      <c r="B2673" t="n">
        <v>297</v>
      </c>
      <c r="C2673" t="inlineStr">
        <is>
          <t>Boss</t>
        </is>
      </c>
      <c r="D2673" t="n">
        <v>45323106</v>
      </c>
      <c r="E2673" t="n">
        <v>45725</v>
      </c>
      <c r="F2673" t="n">
        <v>31956</v>
      </c>
    </row>
    <row r="2674">
      <c r="A2674" t="inlineStr">
        <is>
          <t>297|装备副本Boss</t>
        </is>
      </c>
      <c r="B2674" t="n">
        <v>297</v>
      </c>
      <c r="C2674" t="inlineStr">
        <is>
          <t>装备副本Boss</t>
        </is>
      </c>
      <c r="D2674" t="n">
        <v>22661553</v>
      </c>
      <c r="E2674" t="n">
        <v>45725</v>
      </c>
      <c r="F2674" t="n">
        <v>31956</v>
      </c>
    </row>
    <row r="2675">
      <c r="A2675" t="inlineStr">
        <is>
          <t>298|普通怪</t>
        </is>
      </c>
      <c r="B2675" t="n">
        <v>298</v>
      </c>
      <c r="C2675" t="inlineStr">
        <is>
          <t>普通怪</t>
        </is>
      </c>
      <c r="D2675" t="n">
        <v>471861</v>
      </c>
      <c r="E2675" t="n">
        <v>42080</v>
      </c>
      <c r="F2675" t="n">
        <v>32098</v>
      </c>
    </row>
    <row r="2676">
      <c r="A2676" t="inlineStr">
        <is>
          <t>298|盾怪</t>
        </is>
      </c>
      <c r="B2676" t="n">
        <v>298</v>
      </c>
      <c r="C2676" t="inlineStr">
        <is>
          <t>盾怪</t>
        </is>
      </c>
      <c r="D2676" t="n">
        <v>1415583</v>
      </c>
      <c r="E2676" t="n">
        <v>42080</v>
      </c>
      <c r="F2676" t="n">
        <v>32098</v>
      </c>
    </row>
    <row r="2677">
      <c r="A2677" t="inlineStr">
        <is>
          <t>298|二级普通怪</t>
        </is>
      </c>
      <c r="B2677" t="n">
        <v>298</v>
      </c>
      <c r="C2677" t="inlineStr">
        <is>
          <t>二级普通怪</t>
        </is>
      </c>
      <c r="D2677" t="n">
        <v>849350</v>
      </c>
      <c r="E2677" t="n">
        <v>42080</v>
      </c>
      <c r="F2677" t="n">
        <v>32098</v>
      </c>
    </row>
    <row r="2678">
      <c r="A2678" t="inlineStr">
        <is>
          <t>298|站桩怪</t>
        </is>
      </c>
      <c r="B2678" t="n">
        <v>298</v>
      </c>
      <c r="C2678" t="inlineStr">
        <is>
          <t>站桩怪</t>
        </is>
      </c>
      <c r="D2678" t="n">
        <v>235931</v>
      </c>
      <c r="E2678" t="n">
        <v>42080</v>
      </c>
      <c r="F2678" t="n">
        <v>32098</v>
      </c>
    </row>
    <row r="2679">
      <c r="A2679" t="inlineStr">
        <is>
          <t>298|炮灰怪</t>
        </is>
      </c>
      <c r="B2679" t="n">
        <v>298</v>
      </c>
      <c r="C2679" t="inlineStr">
        <is>
          <t>炮灰怪</t>
        </is>
      </c>
      <c r="D2679" t="n">
        <v>70780</v>
      </c>
      <c r="E2679" t="n">
        <v>42080</v>
      </c>
      <c r="F2679" t="n">
        <v>32098</v>
      </c>
    </row>
    <row r="2680">
      <c r="A2680" t="inlineStr">
        <is>
          <t>298|精英怪</t>
        </is>
      </c>
      <c r="B2680" t="n">
        <v>298</v>
      </c>
      <c r="C2680" t="inlineStr">
        <is>
          <t>精英怪</t>
        </is>
      </c>
      <c r="D2680" t="n">
        <v>1887444</v>
      </c>
      <c r="E2680" t="n">
        <v>42080</v>
      </c>
      <c r="F2680" t="n">
        <v>32098</v>
      </c>
    </row>
    <row r="2681">
      <c r="A2681" t="inlineStr">
        <is>
          <t>298|精英盾怪</t>
        </is>
      </c>
      <c r="B2681" t="n">
        <v>298</v>
      </c>
      <c r="C2681" t="inlineStr">
        <is>
          <t>精英盾怪</t>
        </is>
      </c>
      <c r="D2681" t="n">
        <v>4246749</v>
      </c>
      <c r="E2681" t="n">
        <v>42080</v>
      </c>
      <c r="F2681" t="n">
        <v>32098</v>
      </c>
    </row>
    <row r="2682">
      <c r="A2682" t="inlineStr">
        <is>
          <t>298|Boss</t>
        </is>
      </c>
      <c r="B2682" t="n">
        <v>298</v>
      </c>
      <c r="C2682" t="inlineStr">
        <is>
          <t>Boss</t>
        </is>
      </c>
      <c r="D2682" t="n">
        <v>45781748</v>
      </c>
      <c r="E2682" t="n">
        <v>46039</v>
      </c>
      <c r="F2682" t="n">
        <v>32098</v>
      </c>
    </row>
    <row r="2683">
      <c r="A2683" t="inlineStr">
        <is>
          <t>298|装备副本Boss</t>
        </is>
      </c>
      <c r="B2683" t="n">
        <v>298</v>
      </c>
      <c r="C2683" t="inlineStr">
        <is>
          <t>装备副本Boss</t>
        </is>
      </c>
      <c r="D2683" t="n">
        <v>22890874</v>
      </c>
      <c r="E2683" t="n">
        <v>46039</v>
      </c>
      <c r="F2683" t="n">
        <v>32098</v>
      </c>
    </row>
    <row r="2684">
      <c r="A2684" t="inlineStr">
        <is>
          <t>299|普通怪</t>
        </is>
      </c>
      <c r="B2684" t="n">
        <v>299</v>
      </c>
      <c r="C2684" t="inlineStr">
        <is>
          <t>普通怪</t>
        </is>
      </c>
      <c r="D2684" t="n">
        <v>476300</v>
      </c>
      <c r="E2684" t="n">
        <v>42380</v>
      </c>
      <c r="F2684" t="n">
        <v>32240</v>
      </c>
    </row>
    <row r="2685">
      <c r="A2685" t="inlineStr">
        <is>
          <t>299|盾怪</t>
        </is>
      </c>
      <c r="B2685" t="n">
        <v>299</v>
      </c>
      <c r="C2685" t="inlineStr">
        <is>
          <t>盾怪</t>
        </is>
      </c>
      <c r="D2685" t="n">
        <v>1428900</v>
      </c>
      <c r="E2685" t="n">
        <v>42380</v>
      </c>
      <c r="F2685" t="n">
        <v>32240</v>
      </c>
    </row>
    <row r="2686">
      <c r="A2686" t="inlineStr">
        <is>
          <t>299|二级普通怪</t>
        </is>
      </c>
      <c r="B2686" t="n">
        <v>299</v>
      </c>
      <c r="C2686" t="inlineStr">
        <is>
          <t>二级普通怪</t>
        </is>
      </c>
      <c r="D2686" t="n">
        <v>857340</v>
      </c>
      <c r="E2686" t="n">
        <v>42380</v>
      </c>
      <c r="F2686" t="n">
        <v>32240</v>
      </c>
    </row>
    <row r="2687">
      <c r="A2687" t="inlineStr">
        <is>
          <t>299|站桩怪</t>
        </is>
      </c>
      <c r="B2687" t="n">
        <v>299</v>
      </c>
      <c r="C2687" t="inlineStr">
        <is>
          <t>站桩怪</t>
        </is>
      </c>
      <c r="D2687" t="n">
        <v>238150</v>
      </c>
      <c r="E2687" t="n">
        <v>42380</v>
      </c>
      <c r="F2687" t="n">
        <v>32240</v>
      </c>
    </row>
    <row r="2688">
      <c r="A2688" t="inlineStr">
        <is>
          <t>299|炮灰怪</t>
        </is>
      </c>
      <c r="B2688" t="n">
        <v>299</v>
      </c>
      <c r="C2688" t="inlineStr">
        <is>
          <t>炮灰怪</t>
        </is>
      </c>
      <c r="D2688" t="n">
        <v>71445</v>
      </c>
      <c r="E2688" t="n">
        <v>42380</v>
      </c>
      <c r="F2688" t="n">
        <v>32240</v>
      </c>
    </row>
    <row r="2689">
      <c r="A2689" t="inlineStr">
        <is>
          <t>299|精英怪</t>
        </is>
      </c>
      <c r="B2689" t="n">
        <v>299</v>
      </c>
      <c r="C2689" t="inlineStr">
        <is>
          <t>精英怪</t>
        </is>
      </c>
      <c r="D2689" t="n">
        <v>1905200</v>
      </c>
      <c r="E2689" t="n">
        <v>42380</v>
      </c>
      <c r="F2689" t="n">
        <v>32240</v>
      </c>
    </row>
    <row r="2690">
      <c r="A2690" t="inlineStr">
        <is>
          <t>299|精英盾怪</t>
        </is>
      </c>
      <c r="B2690" t="n">
        <v>299</v>
      </c>
      <c r="C2690" t="inlineStr">
        <is>
          <t>精英盾怪</t>
        </is>
      </c>
      <c r="D2690" t="n">
        <v>4286700</v>
      </c>
      <c r="E2690" t="n">
        <v>42380</v>
      </c>
      <c r="F2690" t="n">
        <v>32240</v>
      </c>
    </row>
    <row r="2691">
      <c r="A2691" t="inlineStr">
        <is>
          <t>299|Boss</t>
        </is>
      </c>
      <c r="B2691" t="n">
        <v>299</v>
      </c>
      <c r="C2691" t="inlineStr">
        <is>
          <t>Boss</t>
        </is>
      </c>
      <c r="D2691" t="n">
        <v>46244062</v>
      </c>
      <c r="E2691" t="n">
        <v>46355</v>
      </c>
      <c r="F2691" t="n">
        <v>32240</v>
      </c>
    </row>
    <row r="2692">
      <c r="A2692" t="inlineStr">
        <is>
          <t>299|装备副本Boss</t>
        </is>
      </c>
      <c r="B2692" t="n">
        <v>299</v>
      </c>
      <c r="C2692" t="inlineStr">
        <is>
          <t>装备副本Boss</t>
        </is>
      </c>
      <c r="D2692" t="n">
        <v>23122031</v>
      </c>
      <c r="E2692" t="n">
        <v>46355</v>
      </c>
      <c r="F2692" t="n">
        <v>32240</v>
      </c>
    </row>
    <row r="2693">
      <c r="A2693" t="inlineStr">
        <is>
          <t>300|普通怪</t>
        </is>
      </c>
      <c r="B2693" t="n">
        <v>300</v>
      </c>
      <c r="C2693" t="inlineStr">
        <is>
          <t>普通怪</t>
        </is>
      </c>
      <c r="D2693" t="n">
        <v>480770</v>
      </c>
      <c r="E2693" t="n">
        <v>42680</v>
      </c>
      <c r="F2693" t="n">
        <v>32382</v>
      </c>
    </row>
    <row r="2694">
      <c r="A2694" t="inlineStr">
        <is>
          <t>300|盾怪</t>
        </is>
      </c>
      <c r="B2694" t="n">
        <v>300</v>
      </c>
      <c r="C2694" t="inlineStr">
        <is>
          <t>盾怪</t>
        </is>
      </c>
      <c r="D2694" t="n">
        <v>1442310</v>
      </c>
      <c r="E2694" t="n">
        <v>42680</v>
      </c>
      <c r="F2694" t="n">
        <v>32382</v>
      </c>
    </row>
    <row r="2695">
      <c r="A2695" t="inlineStr">
        <is>
          <t>300|二级普通怪</t>
        </is>
      </c>
      <c r="B2695" t="n">
        <v>300</v>
      </c>
      <c r="C2695" t="inlineStr">
        <is>
          <t>二级普通怪</t>
        </is>
      </c>
      <c r="D2695" t="n">
        <v>865386</v>
      </c>
      <c r="E2695" t="n">
        <v>42680</v>
      </c>
      <c r="F2695" t="n">
        <v>32382</v>
      </c>
    </row>
    <row r="2696">
      <c r="A2696" t="inlineStr">
        <is>
          <t>300|站桩怪</t>
        </is>
      </c>
      <c r="B2696" t="n">
        <v>300</v>
      </c>
      <c r="C2696" t="inlineStr">
        <is>
          <t>站桩怪</t>
        </is>
      </c>
      <c r="D2696" t="n">
        <v>240385</v>
      </c>
      <c r="E2696" t="n">
        <v>42680</v>
      </c>
      <c r="F2696" t="n">
        <v>32382</v>
      </c>
    </row>
    <row r="2697">
      <c r="A2697" t="inlineStr">
        <is>
          <t>300|炮灰怪</t>
        </is>
      </c>
      <c r="B2697" t="n">
        <v>300</v>
      </c>
      <c r="C2697" t="inlineStr">
        <is>
          <t>炮灰怪</t>
        </is>
      </c>
      <c r="D2697" t="n">
        <v>72116</v>
      </c>
      <c r="E2697" t="n">
        <v>42680</v>
      </c>
      <c r="F2697" t="n">
        <v>32382</v>
      </c>
    </row>
    <row r="2698">
      <c r="A2698" t="inlineStr">
        <is>
          <t>300|精英怪</t>
        </is>
      </c>
      <c r="B2698" t="n">
        <v>300</v>
      </c>
      <c r="C2698" t="inlineStr">
        <is>
          <t>精英怪</t>
        </is>
      </c>
      <c r="D2698" t="n">
        <v>1923080</v>
      </c>
      <c r="E2698" t="n">
        <v>42680</v>
      </c>
      <c r="F2698" t="n">
        <v>32382</v>
      </c>
    </row>
    <row r="2699">
      <c r="A2699" t="inlineStr">
        <is>
          <t>300|精英盾怪</t>
        </is>
      </c>
      <c r="B2699" t="n">
        <v>300</v>
      </c>
      <c r="C2699" t="inlineStr">
        <is>
          <t>精英盾怪</t>
        </is>
      </c>
      <c r="D2699" t="n">
        <v>4326930</v>
      </c>
      <c r="E2699" t="n">
        <v>42680</v>
      </c>
      <c r="F2699" t="n">
        <v>32382</v>
      </c>
    </row>
    <row r="2700">
      <c r="A2700" t="inlineStr">
        <is>
          <t>300|Boss</t>
        </is>
      </c>
      <c r="B2700" t="n">
        <v>300</v>
      </c>
      <c r="C2700" t="inlineStr">
        <is>
          <t>Boss</t>
        </is>
      </c>
      <c r="D2700" t="n">
        <v>46709998</v>
      </c>
      <c r="E2700" t="n">
        <v>46672</v>
      </c>
      <c r="F2700" t="n">
        <v>32382</v>
      </c>
    </row>
    <row r="2701">
      <c r="A2701" t="inlineStr">
        <is>
          <t>300|装备副本Boss</t>
        </is>
      </c>
      <c r="B2701" t="n">
        <v>300</v>
      </c>
      <c r="C2701" t="inlineStr">
        <is>
          <t>装备副本Boss</t>
        </is>
      </c>
      <c r="D2701" t="n">
        <v>23354999</v>
      </c>
      <c r="E2701" t="n">
        <v>46672</v>
      </c>
      <c r="F2701" t="n">
        <v>32382</v>
      </c>
    </row>
    <row r="2702">
      <c r="A2702" t="inlineStr">
        <is>
          <t>301|普通怪</t>
        </is>
      </c>
      <c r="B2702" t="n">
        <v>301</v>
      </c>
      <c r="C2702" t="inlineStr">
        <is>
          <t>普通怪</t>
        </is>
      </c>
      <c r="D2702" t="n">
        <v>485273</v>
      </c>
      <c r="E2702" t="n">
        <v>42983</v>
      </c>
      <c r="F2702" t="n">
        <v>32524</v>
      </c>
    </row>
    <row r="2703">
      <c r="A2703" t="inlineStr">
        <is>
          <t>301|盾怪</t>
        </is>
      </c>
      <c r="B2703" t="n">
        <v>301</v>
      </c>
      <c r="C2703" t="inlineStr">
        <is>
          <t>盾怪</t>
        </is>
      </c>
      <c r="D2703" t="n">
        <v>1455819</v>
      </c>
      <c r="E2703" t="n">
        <v>42983</v>
      </c>
      <c r="F2703" t="n">
        <v>32524</v>
      </c>
    </row>
    <row r="2704">
      <c r="A2704" t="inlineStr">
        <is>
          <t>301|二级普通怪</t>
        </is>
      </c>
      <c r="B2704" t="n">
        <v>301</v>
      </c>
      <c r="C2704" t="inlineStr">
        <is>
          <t>二级普通怪</t>
        </is>
      </c>
      <c r="D2704" t="n">
        <v>873492</v>
      </c>
      <c r="E2704" t="n">
        <v>42983</v>
      </c>
      <c r="F2704" t="n">
        <v>32524</v>
      </c>
    </row>
    <row r="2705">
      <c r="A2705" t="inlineStr">
        <is>
          <t>301|站桩怪</t>
        </is>
      </c>
      <c r="B2705" t="n">
        <v>301</v>
      </c>
      <c r="C2705" t="inlineStr">
        <is>
          <t>站桩怪</t>
        </is>
      </c>
      <c r="D2705" t="n">
        <v>242637</v>
      </c>
      <c r="E2705" t="n">
        <v>42983</v>
      </c>
      <c r="F2705" t="n">
        <v>32524</v>
      </c>
    </row>
    <row r="2706">
      <c r="A2706" t="inlineStr">
        <is>
          <t>301|炮灰怪</t>
        </is>
      </c>
      <c r="B2706" t="n">
        <v>301</v>
      </c>
      <c r="C2706" t="inlineStr">
        <is>
          <t>炮灰怪</t>
        </is>
      </c>
      <c r="D2706" t="n">
        <v>72791</v>
      </c>
      <c r="E2706" t="n">
        <v>42983</v>
      </c>
      <c r="F2706" t="n">
        <v>32524</v>
      </c>
    </row>
    <row r="2707">
      <c r="A2707" t="inlineStr">
        <is>
          <t>301|精英怪</t>
        </is>
      </c>
      <c r="B2707" t="n">
        <v>301</v>
      </c>
      <c r="C2707" t="inlineStr">
        <is>
          <t>精英怪</t>
        </is>
      </c>
      <c r="D2707" t="n">
        <v>1941092</v>
      </c>
      <c r="E2707" t="n">
        <v>42983</v>
      </c>
      <c r="F2707" t="n">
        <v>32524</v>
      </c>
    </row>
    <row r="2708">
      <c r="A2708" t="inlineStr">
        <is>
          <t>301|精英盾怪</t>
        </is>
      </c>
      <c r="B2708" t="n">
        <v>301</v>
      </c>
      <c r="C2708" t="inlineStr">
        <is>
          <t>精英盾怪</t>
        </is>
      </c>
      <c r="D2708" t="n">
        <v>4367457</v>
      </c>
      <c r="E2708" t="n">
        <v>42983</v>
      </c>
      <c r="F2708" t="n">
        <v>32524</v>
      </c>
    </row>
    <row r="2709">
      <c r="A2709" t="inlineStr">
        <is>
          <t>301|Boss</t>
        </is>
      </c>
      <c r="B2709" t="n">
        <v>301</v>
      </c>
      <c r="C2709" t="inlineStr">
        <is>
          <t>Boss</t>
        </is>
      </c>
      <c r="D2709" t="n">
        <v>47179605</v>
      </c>
      <c r="E2709" t="n">
        <v>46991</v>
      </c>
      <c r="F2709" t="n">
        <v>32524</v>
      </c>
    </row>
    <row r="2710">
      <c r="A2710" t="inlineStr">
        <is>
          <t>301|装备副本Boss</t>
        </is>
      </c>
      <c r="B2710" t="n">
        <v>301</v>
      </c>
      <c r="C2710" t="inlineStr">
        <is>
          <t>装备副本Boss</t>
        </is>
      </c>
      <c r="D2710" t="n">
        <v>23589802</v>
      </c>
      <c r="E2710" t="n">
        <v>46991</v>
      </c>
      <c r="F2710" t="n">
        <v>32524</v>
      </c>
    </row>
    <row r="2711">
      <c r="A2711" t="inlineStr">
        <is>
          <t>302|普通怪</t>
        </is>
      </c>
      <c r="B2711" t="n">
        <v>302</v>
      </c>
      <c r="C2711" t="inlineStr">
        <is>
          <t>普通怪</t>
        </is>
      </c>
      <c r="D2711" t="n">
        <v>489807</v>
      </c>
      <c r="E2711" t="n">
        <v>43288</v>
      </c>
      <c r="F2711" t="n">
        <v>32666</v>
      </c>
    </row>
    <row r="2712">
      <c r="A2712" t="inlineStr">
        <is>
          <t>302|盾怪</t>
        </is>
      </c>
      <c r="B2712" t="n">
        <v>302</v>
      </c>
      <c r="C2712" t="inlineStr">
        <is>
          <t>盾怪</t>
        </is>
      </c>
      <c r="D2712" t="n">
        <v>1469421</v>
      </c>
      <c r="E2712" t="n">
        <v>43288</v>
      </c>
      <c r="F2712" t="n">
        <v>32666</v>
      </c>
    </row>
    <row r="2713">
      <c r="A2713" t="inlineStr">
        <is>
          <t>302|二级普通怪</t>
        </is>
      </c>
      <c r="B2713" t="n">
        <v>302</v>
      </c>
      <c r="C2713" t="inlineStr">
        <is>
          <t>二级普通怪</t>
        </is>
      </c>
      <c r="D2713" t="n">
        <v>881653</v>
      </c>
      <c r="E2713" t="n">
        <v>43288</v>
      </c>
      <c r="F2713" t="n">
        <v>32666</v>
      </c>
    </row>
    <row r="2714">
      <c r="A2714" t="inlineStr">
        <is>
          <t>302|站桩怪</t>
        </is>
      </c>
      <c r="B2714" t="n">
        <v>302</v>
      </c>
      <c r="C2714" t="inlineStr">
        <is>
          <t>站桩怪</t>
        </is>
      </c>
      <c r="D2714" t="n">
        <v>244904</v>
      </c>
      <c r="E2714" t="n">
        <v>43288</v>
      </c>
      <c r="F2714" t="n">
        <v>32666</v>
      </c>
    </row>
    <row r="2715">
      <c r="A2715" t="inlineStr">
        <is>
          <t>302|炮灰怪</t>
        </is>
      </c>
      <c r="B2715" t="n">
        <v>302</v>
      </c>
      <c r="C2715" t="inlineStr">
        <is>
          <t>炮灰怪</t>
        </is>
      </c>
      <c r="D2715" t="n">
        <v>73472</v>
      </c>
      <c r="E2715" t="n">
        <v>43288</v>
      </c>
      <c r="F2715" t="n">
        <v>32666</v>
      </c>
    </row>
    <row r="2716">
      <c r="A2716" t="inlineStr">
        <is>
          <t>302|精英怪</t>
        </is>
      </c>
      <c r="B2716" t="n">
        <v>302</v>
      </c>
      <c r="C2716" t="inlineStr">
        <is>
          <t>精英怪</t>
        </is>
      </c>
      <c r="D2716" t="n">
        <v>1959228</v>
      </c>
      <c r="E2716" t="n">
        <v>43288</v>
      </c>
      <c r="F2716" t="n">
        <v>32666</v>
      </c>
    </row>
    <row r="2717">
      <c r="A2717" t="inlineStr">
        <is>
          <t>302|精英盾怪</t>
        </is>
      </c>
      <c r="B2717" t="n">
        <v>302</v>
      </c>
      <c r="C2717" t="inlineStr">
        <is>
          <t>精英盾怪</t>
        </is>
      </c>
      <c r="D2717" t="n">
        <v>4408263</v>
      </c>
      <c r="E2717" t="n">
        <v>43288</v>
      </c>
      <c r="F2717" t="n">
        <v>32666</v>
      </c>
    </row>
    <row r="2718">
      <c r="A2718" t="inlineStr">
        <is>
          <t>302|Boss</t>
        </is>
      </c>
      <c r="B2718" t="n">
        <v>302</v>
      </c>
      <c r="C2718" t="inlineStr">
        <is>
          <t>Boss</t>
        </is>
      </c>
      <c r="D2718" t="n">
        <v>47652986</v>
      </c>
      <c r="E2718" t="n">
        <v>47312</v>
      </c>
      <c r="F2718" t="n">
        <v>32666</v>
      </c>
    </row>
    <row r="2719">
      <c r="A2719" t="inlineStr">
        <is>
          <t>302|装备副本Boss</t>
        </is>
      </c>
      <c r="B2719" t="n">
        <v>302</v>
      </c>
      <c r="C2719" t="inlineStr">
        <is>
          <t>装备副本Boss</t>
        </is>
      </c>
      <c r="D2719" t="n">
        <v>23826493</v>
      </c>
      <c r="E2719" t="n">
        <v>47312</v>
      </c>
      <c r="F2719" t="n">
        <v>32666</v>
      </c>
    </row>
    <row r="2720">
      <c r="A2720" t="inlineStr">
        <is>
          <t>303|普通怪</t>
        </is>
      </c>
      <c r="B2720" t="n">
        <v>303</v>
      </c>
      <c r="C2720" t="inlineStr">
        <is>
          <t>普通怪</t>
        </is>
      </c>
      <c r="D2720" t="n">
        <v>494375</v>
      </c>
      <c r="E2720" t="n">
        <v>43594</v>
      </c>
      <c r="F2720" t="n">
        <v>32809</v>
      </c>
    </row>
    <row r="2721">
      <c r="A2721" t="inlineStr">
        <is>
          <t>303|盾怪</t>
        </is>
      </c>
      <c r="B2721" t="n">
        <v>303</v>
      </c>
      <c r="C2721" t="inlineStr">
        <is>
          <t>盾怪</t>
        </is>
      </c>
      <c r="D2721" t="n">
        <v>1483125</v>
      </c>
      <c r="E2721" t="n">
        <v>43594</v>
      </c>
      <c r="F2721" t="n">
        <v>32809</v>
      </c>
    </row>
    <row r="2722">
      <c r="A2722" t="inlineStr">
        <is>
          <t>303|二级普通怪</t>
        </is>
      </c>
      <c r="B2722" t="n">
        <v>303</v>
      </c>
      <c r="C2722" t="inlineStr">
        <is>
          <t>二级普通怪</t>
        </is>
      </c>
      <c r="D2722" t="n">
        <v>889875</v>
      </c>
      <c r="E2722" t="n">
        <v>43594</v>
      </c>
      <c r="F2722" t="n">
        <v>32809</v>
      </c>
    </row>
    <row r="2723">
      <c r="A2723" t="inlineStr">
        <is>
          <t>303|站桩怪</t>
        </is>
      </c>
      <c r="B2723" t="n">
        <v>303</v>
      </c>
      <c r="C2723" t="inlineStr">
        <is>
          <t>站桩怪</t>
        </is>
      </c>
      <c r="D2723" t="n">
        <v>247188</v>
      </c>
      <c r="E2723" t="n">
        <v>43594</v>
      </c>
      <c r="F2723" t="n">
        <v>32809</v>
      </c>
    </row>
    <row r="2724">
      <c r="A2724" t="inlineStr">
        <is>
          <t>303|炮灰怪</t>
        </is>
      </c>
      <c r="B2724" t="n">
        <v>303</v>
      </c>
      <c r="C2724" t="inlineStr">
        <is>
          <t>炮灰怪</t>
        </is>
      </c>
      <c r="D2724" t="n">
        <v>74157</v>
      </c>
      <c r="E2724" t="n">
        <v>43594</v>
      </c>
      <c r="F2724" t="n">
        <v>32809</v>
      </c>
    </row>
    <row r="2725">
      <c r="A2725" t="inlineStr">
        <is>
          <t>303|精英怪</t>
        </is>
      </c>
      <c r="B2725" t="n">
        <v>303</v>
      </c>
      <c r="C2725" t="inlineStr">
        <is>
          <t>精英怪</t>
        </is>
      </c>
      <c r="D2725" t="n">
        <v>1977500</v>
      </c>
      <c r="E2725" t="n">
        <v>43594</v>
      </c>
      <c r="F2725" t="n">
        <v>32809</v>
      </c>
    </row>
    <row r="2726">
      <c r="A2726" t="inlineStr">
        <is>
          <t>303|精英盾怪</t>
        </is>
      </c>
      <c r="B2726" t="n">
        <v>303</v>
      </c>
      <c r="C2726" t="inlineStr">
        <is>
          <t>精英盾怪</t>
        </is>
      </c>
      <c r="D2726" t="n">
        <v>4449375</v>
      </c>
      <c r="E2726" t="n">
        <v>43594</v>
      </c>
      <c r="F2726" t="n">
        <v>32809</v>
      </c>
    </row>
    <row r="2727">
      <c r="A2727" t="inlineStr">
        <is>
          <t>303|Boss</t>
        </is>
      </c>
      <c r="B2727" t="n">
        <v>303</v>
      </c>
      <c r="C2727" t="inlineStr">
        <is>
          <t>Boss</t>
        </is>
      </c>
      <c r="D2727" t="n">
        <v>48130040</v>
      </c>
      <c r="E2727" t="n">
        <v>47634</v>
      </c>
      <c r="F2727" t="n">
        <v>32809</v>
      </c>
    </row>
    <row r="2728">
      <c r="A2728" t="inlineStr">
        <is>
          <t>303|装备副本Boss</t>
        </is>
      </c>
      <c r="B2728" t="n">
        <v>303</v>
      </c>
      <c r="C2728" t="inlineStr">
        <is>
          <t>装备副本Boss</t>
        </is>
      </c>
      <c r="D2728" t="n">
        <v>24065020</v>
      </c>
      <c r="E2728" t="n">
        <v>47634</v>
      </c>
      <c r="F2728" t="n">
        <v>32809</v>
      </c>
    </row>
    <row r="2729">
      <c r="A2729" t="inlineStr">
        <is>
          <t>304|普通怪</t>
        </is>
      </c>
      <c r="B2729" t="n">
        <v>304</v>
      </c>
      <c r="C2729" t="inlineStr">
        <is>
          <t>普通怪</t>
        </is>
      </c>
      <c r="D2729" t="n">
        <v>498974</v>
      </c>
      <c r="E2729" t="n">
        <v>43901</v>
      </c>
      <c r="F2729" t="n">
        <v>32952</v>
      </c>
    </row>
    <row r="2730">
      <c r="A2730" t="inlineStr">
        <is>
          <t>304|盾怪</t>
        </is>
      </c>
      <c r="B2730" t="n">
        <v>304</v>
      </c>
      <c r="C2730" t="inlineStr">
        <is>
          <t>盾怪</t>
        </is>
      </c>
      <c r="D2730" t="n">
        <v>1496922</v>
      </c>
      <c r="E2730" t="n">
        <v>43901</v>
      </c>
      <c r="F2730" t="n">
        <v>32952</v>
      </c>
    </row>
    <row r="2731">
      <c r="A2731" t="inlineStr">
        <is>
          <t>304|二级普通怪</t>
        </is>
      </c>
      <c r="B2731" t="n">
        <v>304</v>
      </c>
      <c r="C2731" t="inlineStr">
        <is>
          <t>二级普通怪</t>
        </is>
      </c>
      <c r="D2731" t="n">
        <v>898154</v>
      </c>
      <c r="E2731" t="n">
        <v>43901</v>
      </c>
      <c r="F2731" t="n">
        <v>32952</v>
      </c>
    </row>
    <row r="2732">
      <c r="A2732" t="inlineStr">
        <is>
          <t>304|站桩怪</t>
        </is>
      </c>
      <c r="B2732" t="n">
        <v>304</v>
      </c>
      <c r="C2732" t="inlineStr">
        <is>
          <t>站桩怪</t>
        </is>
      </c>
      <c r="D2732" t="n">
        <v>249487</v>
      </c>
      <c r="E2732" t="n">
        <v>43901</v>
      </c>
      <c r="F2732" t="n">
        <v>32952</v>
      </c>
    </row>
    <row r="2733">
      <c r="A2733" t="inlineStr">
        <is>
          <t>304|炮灰怪</t>
        </is>
      </c>
      <c r="B2733" t="n">
        <v>304</v>
      </c>
      <c r="C2733" t="inlineStr">
        <is>
          <t>炮灰怪</t>
        </is>
      </c>
      <c r="D2733" t="n">
        <v>74847</v>
      </c>
      <c r="E2733" t="n">
        <v>43901</v>
      </c>
      <c r="F2733" t="n">
        <v>32952</v>
      </c>
    </row>
    <row r="2734">
      <c r="A2734" t="inlineStr">
        <is>
          <t>304|精英怪</t>
        </is>
      </c>
      <c r="B2734" t="n">
        <v>304</v>
      </c>
      <c r="C2734" t="inlineStr">
        <is>
          <t>精英怪</t>
        </is>
      </c>
      <c r="D2734" t="n">
        <v>1995896</v>
      </c>
      <c r="E2734" t="n">
        <v>43901</v>
      </c>
      <c r="F2734" t="n">
        <v>32952</v>
      </c>
    </row>
    <row r="2735">
      <c r="A2735" t="inlineStr">
        <is>
          <t>304|精英盾怪</t>
        </is>
      </c>
      <c r="B2735" t="n">
        <v>304</v>
      </c>
      <c r="C2735" t="inlineStr">
        <is>
          <t>精英盾怪</t>
        </is>
      </c>
      <c r="D2735" t="n">
        <v>4490766</v>
      </c>
      <c r="E2735" t="n">
        <v>43901</v>
      </c>
      <c r="F2735" t="n">
        <v>32952</v>
      </c>
    </row>
    <row r="2736">
      <c r="A2736" t="inlineStr">
        <is>
          <t>304|Boss</t>
        </is>
      </c>
      <c r="B2736" t="n">
        <v>304</v>
      </c>
      <c r="C2736" t="inlineStr">
        <is>
          <t>Boss</t>
        </is>
      </c>
      <c r="D2736" t="n">
        <v>48610816</v>
      </c>
      <c r="E2736" t="n">
        <v>47958</v>
      </c>
      <c r="F2736" t="n">
        <v>32952</v>
      </c>
    </row>
    <row r="2737">
      <c r="A2737" t="inlineStr">
        <is>
          <t>304|装备副本Boss</t>
        </is>
      </c>
      <c r="B2737" t="n">
        <v>304</v>
      </c>
      <c r="C2737" t="inlineStr">
        <is>
          <t>装备副本Boss</t>
        </is>
      </c>
      <c r="D2737" t="n">
        <v>24305408</v>
      </c>
      <c r="E2737" t="n">
        <v>47958</v>
      </c>
      <c r="F2737" t="n">
        <v>32952</v>
      </c>
    </row>
    <row r="2738">
      <c r="A2738" t="inlineStr">
        <is>
          <t>305|普通怪</t>
        </is>
      </c>
      <c r="B2738" t="n">
        <v>305</v>
      </c>
      <c r="C2738" t="inlineStr">
        <is>
          <t>普通怪</t>
        </is>
      </c>
      <c r="D2738" t="n">
        <v>503607</v>
      </c>
      <c r="E2738" t="n">
        <v>44211</v>
      </c>
      <c r="F2738" t="n">
        <v>33095</v>
      </c>
    </row>
    <row r="2739">
      <c r="A2739" t="inlineStr">
        <is>
          <t>305|盾怪</t>
        </is>
      </c>
      <c r="B2739" t="n">
        <v>305</v>
      </c>
      <c r="C2739" t="inlineStr">
        <is>
          <t>盾怪</t>
        </is>
      </c>
      <c r="D2739" t="n">
        <v>1510821</v>
      </c>
      <c r="E2739" t="n">
        <v>44211</v>
      </c>
      <c r="F2739" t="n">
        <v>33095</v>
      </c>
    </row>
    <row r="2740">
      <c r="A2740" t="inlineStr">
        <is>
          <t>305|二级普通怪</t>
        </is>
      </c>
      <c r="B2740" t="n">
        <v>305</v>
      </c>
      <c r="C2740" t="inlineStr">
        <is>
          <t>二级普通怪</t>
        </is>
      </c>
      <c r="D2740" t="n">
        <v>906493</v>
      </c>
      <c r="E2740" t="n">
        <v>44211</v>
      </c>
      <c r="F2740" t="n">
        <v>33095</v>
      </c>
    </row>
    <row r="2741">
      <c r="A2741" t="inlineStr">
        <is>
          <t>305|站桩怪</t>
        </is>
      </c>
      <c r="B2741" t="n">
        <v>305</v>
      </c>
      <c r="C2741" t="inlineStr">
        <is>
          <t>站桩怪</t>
        </is>
      </c>
      <c r="D2741" t="n">
        <v>251804</v>
      </c>
      <c r="E2741" t="n">
        <v>44211</v>
      </c>
      <c r="F2741" t="n">
        <v>33095</v>
      </c>
    </row>
    <row r="2742">
      <c r="A2742" t="inlineStr">
        <is>
          <t>305|炮灰怪</t>
        </is>
      </c>
      <c r="B2742" t="n">
        <v>305</v>
      </c>
      <c r="C2742" t="inlineStr">
        <is>
          <t>炮灰怪</t>
        </is>
      </c>
      <c r="D2742" t="n">
        <v>75542</v>
      </c>
      <c r="E2742" t="n">
        <v>44211</v>
      </c>
      <c r="F2742" t="n">
        <v>33095</v>
      </c>
    </row>
    <row r="2743">
      <c r="A2743" t="inlineStr">
        <is>
          <t>305|精英怪</t>
        </is>
      </c>
      <c r="B2743" t="n">
        <v>305</v>
      </c>
      <c r="C2743" t="inlineStr">
        <is>
          <t>精英怪</t>
        </is>
      </c>
      <c r="D2743" t="n">
        <v>2014428</v>
      </c>
      <c r="E2743" t="n">
        <v>44211</v>
      </c>
      <c r="F2743" t="n">
        <v>33095</v>
      </c>
    </row>
    <row r="2744">
      <c r="A2744" t="inlineStr">
        <is>
          <t>305|精英盾怪</t>
        </is>
      </c>
      <c r="B2744" t="n">
        <v>305</v>
      </c>
      <c r="C2744" t="inlineStr">
        <is>
          <t>精英盾怪</t>
        </is>
      </c>
      <c r="D2744" t="n">
        <v>4532463</v>
      </c>
      <c r="E2744" t="n">
        <v>44211</v>
      </c>
      <c r="F2744" t="n">
        <v>33095</v>
      </c>
    </row>
    <row r="2745">
      <c r="A2745" t="inlineStr">
        <is>
          <t>305|Boss</t>
        </is>
      </c>
      <c r="B2745" t="n">
        <v>305</v>
      </c>
      <c r="C2745" t="inlineStr">
        <is>
          <t>Boss</t>
        </is>
      </c>
      <c r="D2745" t="n">
        <v>49095418</v>
      </c>
      <c r="E2745" t="n">
        <v>48284</v>
      </c>
      <c r="F2745" t="n">
        <v>33095</v>
      </c>
    </row>
    <row r="2746">
      <c r="A2746" t="inlineStr">
        <is>
          <t>305|装备副本Boss</t>
        </is>
      </c>
      <c r="B2746" t="n">
        <v>305</v>
      </c>
      <c r="C2746" t="inlineStr">
        <is>
          <t>装备副本Boss</t>
        </is>
      </c>
      <c r="D2746" t="n">
        <v>24547709</v>
      </c>
      <c r="E2746" t="n">
        <v>48284</v>
      </c>
      <c r="F2746" t="n">
        <v>33095</v>
      </c>
    </row>
    <row r="2747">
      <c r="A2747" t="inlineStr">
        <is>
          <t>306|普通怪</t>
        </is>
      </c>
      <c r="B2747" t="n">
        <v>306</v>
      </c>
      <c r="C2747" t="inlineStr">
        <is>
          <t>普通怪</t>
        </is>
      </c>
      <c r="D2747" t="n">
        <v>508272</v>
      </c>
      <c r="E2747" t="n">
        <v>44522</v>
      </c>
      <c r="F2747" t="n">
        <v>33238</v>
      </c>
    </row>
    <row r="2748">
      <c r="A2748" t="inlineStr">
        <is>
          <t>306|盾怪</t>
        </is>
      </c>
      <c r="B2748" t="n">
        <v>306</v>
      </c>
      <c r="C2748" t="inlineStr">
        <is>
          <t>盾怪</t>
        </is>
      </c>
      <c r="D2748" t="n">
        <v>1524816</v>
      </c>
      <c r="E2748" t="n">
        <v>44522</v>
      </c>
      <c r="F2748" t="n">
        <v>33238</v>
      </c>
    </row>
    <row r="2749">
      <c r="A2749" t="inlineStr">
        <is>
          <t>306|二级普通怪</t>
        </is>
      </c>
      <c r="B2749" t="n">
        <v>306</v>
      </c>
      <c r="C2749" t="inlineStr">
        <is>
          <t>二级普通怪</t>
        </is>
      </c>
      <c r="D2749" t="n">
        <v>914890</v>
      </c>
      <c r="E2749" t="n">
        <v>44522</v>
      </c>
      <c r="F2749" t="n">
        <v>33238</v>
      </c>
    </row>
    <row r="2750">
      <c r="A2750" t="inlineStr">
        <is>
          <t>306|站桩怪</t>
        </is>
      </c>
      <c r="B2750" t="n">
        <v>306</v>
      </c>
      <c r="C2750" t="inlineStr">
        <is>
          <t>站桩怪</t>
        </is>
      </c>
      <c r="D2750" t="n">
        <v>254136</v>
      </c>
      <c r="E2750" t="n">
        <v>44522</v>
      </c>
      <c r="F2750" t="n">
        <v>33238</v>
      </c>
    </row>
    <row r="2751">
      <c r="A2751" t="inlineStr">
        <is>
          <t>306|炮灰怪</t>
        </is>
      </c>
      <c r="B2751" t="n">
        <v>306</v>
      </c>
      <c r="C2751" t="inlineStr">
        <is>
          <t>炮灰怪</t>
        </is>
      </c>
      <c r="D2751" t="n">
        <v>76241</v>
      </c>
      <c r="E2751" t="n">
        <v>44522</v>
      </c>
      <c r="F2751" t="n">
        <v>33238</v>
      </c>
    </row>
    <row r="2752">
      <c r="A2752" t="inlineStr">
        <is>
          <t>306|精英怪</t>
        </is>
      </c>
      <c r="B2752" t="n">
        <v>306</v>
      </c>
      <c r="C2752" t="inlineStr">
        <is>
          <t>精英怪</t>
        </is>
      </c>
      <c r="D2752" t="n">
        <v>2033088</v>
      </c>
      <c r="E2752" t="n">
        <v>44522</v>
      </c>
      <c r="F2752" t="n">
        <v>33238</v>
      </c>
    </row>
    <row r="2753">
      <c r="A2753" t="inlineStr">
        <is>
          <t>306|精英盾怪</t>
        </is>
      </c>
      <c r="B2753" t="n">
        <v>306</v>
      </c>
      <c r="C2753" t="inlineStr">
        <is>
          <t>精英盾怪</t>
        </is>
      </c>
      <c r="D2753" t="n">
        <v>4574448</v>
      </c>
      <c r="E2753" t="n">
        <v>44522</v>
      </c>
      <c r="F2753" t="n">
        <v>33238</v>
      </c>
    </row>
    <row r="2754">
      <c r="A2754" t="inlineStr">
        <is>
          <t>306|Boss</t>
        </is>
      </c>
      <c r="B2754" t="n">
        <v>306</v>
      </c>
      <c r="C2754" t="inlineStr">
        <is>
          <t>Boss</t>
        </is>
      </c>
      <c r="D2754" t="n">
        <v>49583742</v>
      </c>
      <c r="E2754" t="n">
        <v>48611</v>
      </c>
      <c r="F2754" t="n">
        <v>33238</v>
      </c>
    </row>
    <row r="2755">
      <c r="A2755" t="inlineStr">
        <is>
          <t>306|装备副本Boss</t>
        </is>
      </c>
      <c r="B2755" t="n">
        <v>306</v>
      </c>
      <c r="C2755" t="inlineStr">
        <is>
          <t>装备副本Boss</t>
        </is>
      </c>
      <c r="D2755" t="n">
        <v>24791871</v>
      </c>
      <c r="E2755" t="n">
        <v>48611</v>
      </c>
      <c r="F2755" t="n">
        <v>33238</v>
      </c>
    </row>
    <row r="2756">
      <c r="A2756" t="inlineStr">
        <is>
          <t>307|普通怪</t>
        </is>
      </c>
      <c r="B2756" t="n">
        <v>307</v>
      </c>
      <c r="C2756" t="inlineStr">
        <is>
          <t>普通怪</t>
        </is>
      </c>
      <c r="D2756" t="n">
        <v>512971</v>
      </c>
      <c r="E2756" t="n">
        <v>44835</v>
      </c>
      <c r="F2756" t="n">
        <v>33382</v>
      </c>
    </row>
    <row r="2757">
      <c r="A2757" t="inlineStr">
        <is>
          <t>307|盾怪</t>
        </is>
      </c>
      <c r="B2757" t="n">
        <v>307</v>
      </c>
      <c r="C2757" t="inlineStr">
        <is>
          <t>盾怪</t>
        </is>
      </c>
      <c r="D2757" t="n">
        <v>1538913</v>
      </c>
      <c r="E2757" t="n">
        <v>44835</v>
      </c>
      <c r="F2757" t="n">
        <v>33382</v>
      </c>
    </row>
    <row r="2758">
      <c r="A2758" t="inlineStr">
        <is>
          <t>307|二级普通怪</t>
        </is>
      </c>
      <c r="B2758" t="n">
        <v>307</v>
      </c>
      <c r="C2758" t="inlineStr">
        <is>
          <t>二级普通怪</t>
        </is>
      </c>
      <c r="D2758" t="n">
        <v>923348</v>
      </c>
      <c r="E2758" t="n">
        <v>44835</v>
      </c>
      <c r="F2758" t="n">
        <v>33382</v>
      </c>
    </row>
    <row r="2759">
      <c r="A2759" t="inlineStr">
        <is>
          <t>307|站桩怪</t>
        </is>
      </c>
      <c r="B2759" t="n">
        <v>307</v>
      </c>
      <c r="C2759" t="inlineStr">
        <is>
          <t>站桩怪</t>
        </is>
      </c>
      <c r="D2759" t="n">
        <v>256486</v>
      </c>
      <c r="E2759" t="n">
        <v>44835</v>
      </c>
      <c r="F2759" t="n">
        <v>33382</v>
      </c>
    </row>
    <row r="2760">
      <c r="A2760" t="inlineStr">
        <is>
          <t>307|炮灰怪</t>
        </is>
      </c>
      <c r="B2760" t="n">
        <v>307</v>
      </c>
      <c r="C2760" t="inlineStr">
        <is>
          <t>炮灰怪</t>
        </is>
      </c>
      <c r="D2760" t="n">
        <v>76946</v>
      </c>
      <c r="E2760" t="n">
        <v>44835</v>
      </c>
      <c r="F2760" t="n">
        <v>33382</v>
      </c>
    </row>
    <row r="2761">
      <c r="A2761" t="inlineStr">
        <is>
          <t>307|精英怪</t>
        </is>
      </c>
      <c r="B2761" t="n">
        <v>307</v>
      </c>
      <c r="C2761" t="inlineStr">
        <is>
          <t>精英怪</t>
        </is>
      </c>
      <c r="D2761" t="n">
        <v>2051884</v>
      </c>
      <c r="E2761" t="n">
        <v>44835</v>
      </c>
      <c r="F2761" t="n">
        <v>33382</v>
      </c>
    </row>
    <row r="2762">
      <c r="A2762" t="inlineStr">
        <is>
          <t>307|精英盾怪</t>
        </is>
      </c>
      <c r="B2762" t="n">
        <v>307</v>
      </c>
      <c r="C2762" t="inlineStr">
        <is>
          <t>精英盾怪</t>
        </is>
      </c>
      <c r="D2762" t="n">
        <v>4616739</v>
      </c>
      <c r="E2762" t="n">
        <v>44835</v>
      </c>
      <c r="F2762" t="n">
        <v>33382</v>
      </c>
    </row>
    <row r="2763">
      <c r="A2763" t="inlineStr">
        <is>
          <t>307|Boss</t>
        </is>
      </c>
      <c r="B2763" t="n">
        <v>307</v>
      </c>
      <c r="C2763" t="inlineStr">
        <is>
          <t>Boss</t>
        </is>
      </c>
      <c r="D2763" t="n">
        <v>50075943</v>
      </c>
      <c r="E2763" t="n">
        <v>48940</v>
      </c>
      <c r="F2763" t="n">
        <v>33382</v>
      </c>
    </row>
    <row r="2764">
      <c r="A2764" t="inlineStr">
        <is>
          <t>307|装备副本Boss</t>
        </is>
      </c>
      <c r="B2764" t="n">
        <v>307</v>
      </c>
      <c r="C2764" t="inlineStr">
        <is>
          <t>装备副本Boss</t>
        </is>
      </c>
      <c r="D2764" t="n">
        <v>25037971</v>
      </c>
      <c r="E2764" t="n">
        <v>48940</v>
      </c>
      <c r="F2764" t="n">
        <v>33382</v>
      </c>
    </row>
    <row r="2765">
      <c r="A2765" t="inlineStr">
        <is>
          <t>308|普通怪</t>
        </is>
      </c>
      <c r="B2765" t="n">
        <v>308</v>
      </c>
      <c r="C2765" t="inlineStr">
        <is>
          <t>普通怪</t>
        </is>
      </c>
      <c r="D2765" t="n">
        <v>517703</v>
      </c>
      <c r="E2765" t="n">
        <v>45149</v>
      </c>
      <c r="F2765" t="n">
        <v>33525</v>
      </c>
    </row>
    <row r="2766">
      <c r="A2766" t="inlineStr">
        <is>
          <t>308|盾怪</t>
        </is>
      </c>
      <c r="B2766" t="n">
        <v>308</v>
      </c>
      <c r="C2766" t="inlineStr">
        <is>
          <t>盾怪</t>
        </is>
      </c>
      <c r="D2766" t="n">
        <v>1553109</v>
      </c>
      <c r="E2766" t="n">
        <v>45149</v>
      </c>
      <c r="F2766" t="n">
        <v>33525</v>
      </c>
    </row>
    <row r="2767">
      <c r="A2767" t="inlineStr">
        <is>
          <t>308|二级普通怪</t>
        </is>
      </c>
      <c r="B2767" t="n">
        <v>308</v>
      </c>
      <c r="C2767" t="inlineStr">
        <is>
          <t>二级普通怪</t>
        </is>
      </c>
      <c r="D2767" t="n">
        <v>931866</v>
      </c>
      <c r="E2767" t="n">
        <v>45149</v>
      </c>
      <c r="F2767" t="n">
        <v>33525</v>
      </c>
    </row>
    <row r="2768">
      <c r="A2768" t="inlineStr">
        <is>
          <t>308|站桩怪</t>
        </is>
      </c>
      <c r="B2768" t="n">
        <v>308</v>
      </c>
      <c r="C2768" t="inlineStr">
        <is>
          <t>站桩怪</t>
        </is>
      </c>
      <c r="D2768" t="n">
        <v>258852</v>
      </c>
      <c r="E2768" t="n">
        <v>45149</v>
      </c>
      <c r="F2768" t="n">
        <v>33525</v>
      </c>
    </row>
    <row r="2769">
      <c r="A2769" t="inlineStr">
        <is>
          <t>308|炮灰怪</t>
        </is>
      </c>
      <c r="B2769" t="n">
        <v>308</v>
      </c>
      <c r="C2769" t="inlineStr">
        <is>
          <t>炮灰怪</t>
        </is>
      </c>
      <c r="D2769" t="n">
        <v>77656</v>
      </c>
      <c r="E2769" t="n">
        <v>45149</v>
      </c>
      <c r="F2769" t="n">
        <v>33525</v>
      </c>
    </row>
    <row r="2770">
      <c r="A2770" t="inlineStr">
        <is>
          <t>308|精英怪</t>
        </is>
      </c>
      <c r="B2770" t="n">
        <v>308</v>
      </c>
      <c r="C2770" t="inlineStr">
        <is>
          <t>精英怪</t>
        </is>
      </c>
      <c r="D2770" t="n">
        <v>2070812</v>
      </c>
      <c r="E2770" t="n">
        <v>45149</v>
      </c>
      <c r="F2770" t="n">
        <v>33525</v>
      </c>
    </row>
    <row r="2771">
      <c r="A2771" t="inlineStr">
        <is>
          <t>308|精英盾怪</t>
        </is>
      </c>
      <c r="B2771" t="n">
        <v>308</v>
      </c>
      <c r="C2771" t="inlineStr">
        <is>
          <t>精英盾怪</t>
        </is>
      </c>
      <c r="D2771" t="n">
        <v>4659327</v>
      </c>
      <c r="E2771" t="n">
        <v>45149</v>
      </c>
      <c r="F2771" t="n">
        <v>33525</v>
      </c>
    </row>
    <row r="2772">
      <c r="A2772" t="inlineStr">
        <is>
          <t>308|Boss</t>
        </is>
      </c>
      <c r="B2772" t="n">
        <v>308</v>
      </c>
      <c r="C2772" t="inlineStr">
        <is>
          <t>Boss</t>
        </is>
      </c>
      <c r="D2772" t="n">
        <v>50571968</v>
      </c>
      <c r="E2772" t="n">
        <v>49271</v>
      </c>
      <c r="F2772" t="n">
        <v>33525</v>
      </c>
    </row>
    <row r="2773">
      <c r="A2773" t="inlineStr">
        <is>
          <t>308|装备副本Boss</t>
        </is>
      </c>
      <c r="B2773" t="n">
        <v>308</v>
      </c>
      <c r="C2773" t="inlineStr">
        <is>
          <t>装备副本Boss</t>
        </is>
      </c>
      <c r="D2773" t="n">
        <v>25285984</v>
      </c>
      <c r="E2773" t="n">
        <v>49271</v>
      </c>
      <c r="F2773" t="n">
        <v>33525</v>
      </c>
    </row>
    <row r="2774">
      <c r="A2774" t="inlineStr">
        <is>
          <t>309|普通怪</t>
        </is>
      </c>
      <c r="B2774" t="n">
        <v>309</v>
      </c>
      <c r="C2774" t="inlineStr">
        <is>
          <t>普通怪</t>
        </is>
      </c>
      <c r="D2774" t="n">
        <v>522469</v>
      </c>
      <c r="E2774" t="n">
        <v>45465</v>
      </c>
      <c r="F2774" t="n">
        <v>33669</v>
      </c>
    </row>
    <row r="2775">
      <c r="A2775" t="inlineStr">
        <is>
          <t>309|盾怪</t>
        </is>
      </c>
      <c r="B2775" t="n">
        <v>309</v>
      </c>
      <c r="C2775" t="inlineStr">
        <is>
          <t>盾怪</t>
        </is>
      </c>
      <c r="D2775" t="n">
        <v>1567407</v>
      </c>
      <c r="E2775" t="n">
        <v>45465</v>
      </c>
      <c r="F2775" t="n">
        <v>33669</v>
      </c>
    </row>
    <row r="2776">
      <c r="A2776" t="inlineStr">
        <is>
          <t>309|二级普通怪</t>
        </is>
      </c>
      <c r="B2776" t="n">
        <v>309</v>
      </c>
      <c r="C2776" t="inlineStr">
        <is>
          <t>二级普通怪</t>
        </is>
      </c>
      <c r="D2776" t="n">
        <v>940445</v>
      </c>
      <c r="E2776" t="n">
        <v>45465</v>
      </c>
      <c r="F2776" t="n">
        <v>33669</v>
      </c>
    </row>
    <row r="2777">
      <c r="A2777" t="inlineStr">
        <is>
          <t>309|站桩怪</t>
        </is>
      </c>
      <c r="B2777" t="n">
        <v>309</v>
      </c>
      <c r="C2777" t="inlineStr">
        <is>
          <t>站桩怪</t>
        </is>
      </c>
      <c r="D2777" t="n">
        <v>261235</v>
      </c>
      <c r="E2777" t="n">
        <v>45465</v>
      </c>
      <c r="F2777" t="n">
        <v>33669</v>
      </c>
    </row>
    <row r="2778">
      <c r="A2778" t="inlineStr">
        <is>
          <t>309|炮灰怪</t>
        </is>
      </c>
      <c r="B2778" t="n">
        <v>309</v>
      </c>
      <c r="C2778" t="inlineStr">
        <is>
          <t>炮灰怪</t>
        </is>
      </c>
      <c r="D2778" t="n">
        <v>78371</v>
      </c>
      <c r="E2778" t="n">
        <v>45465</v>
      </c>
      <c r="F2778" t="n">
        <v>33669</v>
      </c>
    </row>
    <row r="2779">
      <c r="A2779" t="inlineStr">
        <is>
          <t>309|精英怪</t>
        </is>
      </c>
      <c r="B2779" t="n">
        <v>309</v>
      </c>
      <c r="C2779" t="inlineStr">
        <is>
          <t>精英怪</t>
        </is>
      </c>
      <c r="D2779" t="n">
        <v>2089876</v>
      </c>
      <c r="E2779" t="n">
        <v>45465</v>
      </c>
      <c r="F2779" t="n">
        <v>33669</v>
      </c>
    </row>
    <row r="2780">
      <c r="A2780" t="inlineStr">
        <is>
          <t>309|精英盾怪</t>
        </is>
      </c>
      <c r="B2780" t="n">
        <v>309</v>
      </c>
      <c r="C2780" t="inlineStr">
        <is>
          <t>精英盾怪</t>
        </is>
      </c>
      <c r="D2780" t="n">
        <v>4702221</v>
      </c>
      <c r="E2780" t="n">
        <v>45465</v>
      </c>
      <c r="F2780" t="n">
        <v>33669</v>
      </c>
    </row>
    <row r="2781">
      <c r="A2781" t="inlineStr">
        <is>
          <t>309|Boss</t>
        </is>
      </c>
      <c r="B2781" t="n">
        <v>309</v>
      </c>
      <c r="C2781" t="inlineStr">
        <is>
          <t>Boss</t>
        </is>
      </c>
      <c r="D2781" t="n">
        <v>51071870</v>
      </c>
      <c r="E2781" t="n">
        <v>49603</v>
      </c>
      <c r="F2781" t="n">
        <v>33669</v>
      </c>
    </row>
    <row r="2782">
      <c r="A2782" t="inlineStr">
        <is>
          <t>309|装备副本Boss</t>
        </is>
      </c>
      <c r="B2782" t="n">
        <v>309</v>
      </c>
      <c r="C2782" t="inlineStr">
        <is>
          <t>装备副本Boss</t>
        </is>
      </c>
      <c r="D2782" t="n">
        <v>25535935</v>
      </c>
      <c r="E2782" t="n">
        <v>49603</v>
      </c>
      <c r="F2782" t="n">
        <v>33669</v>
      </c>
    </row>
    <row r="2783">
      <c r="A2783" t="inlineStr">
        <is>
          <t>310|普通怪</t>
        </is>
      </c>
      <c r="B2783" t="n">
        <v>310</v>
      </c>
      <c r="C2783" t="inlineStr">
        <is>
          <t>普通怪</t>
        </is>
      </c>
      <c r="D2783" t="n">
        <v>527268</v>
      </c>
      <c r="E2783" t="n">
        <v>45782</v>
      </c>
      <c r="F2783" t="n">
        <v>33814</v>
      </c>
    </row>
    <row r="2784">
      <c r="A2784" t="inlineStr">
        <is>
          <t>310|盾怪</t>
        </is>
      </c>
      <c r="B2784" t="n">
        <v>310</v>
      </c>
      <c r="C2784" t="inlineStr">
        <is>
          <t>盾怪</t>
        </is>
      </c>
      <c r="D2784" t="n">
        <v>1581804</v>
      </c>
      <c r="E2784" t="n">
        <v>45782</v>
      </c>
      <c r="F2784" t="n">
        <v>33814</v>
      </c>
    </row>
    <row r="2785">
      <c r="A2785" t="inlineStr">
        <is>
          <t>310|二级普通怪</t>
        </is>
      </c>
      <c r="B2785" t="n">
        <v>310</v>
      </c>
      <c r="C2785" t="inlineStr">
        <is>
          <t>二级普通怪</t>
        </is>
      </c>
      <c r="D2785" t="n">
        <v>949083</v>
      </c>
      <c r="E2785" t="n">
        <v>45782</v>
      </c>
      <c r="F2785" t="n">
        <v>33814</v>
      </c>
    </row>
    <row r="2786">
      <c r="A2786" t="inlineStr">
        <is>
          <t>310|站桩怪</t>
        </is>
      </c>
      <c r="B2786" t="n">
        <v>310</v>
      </c>
      <c r="C2786" t="inlineStr">
        <is>
          <t>站桩怪</t>
        </is>
      </c>
      <c r="D2786" t="n">
        <v>263634</v>
      </c>
      <c r="E2786" t="n">
        <v>45782</v>
      </c>
      <c r="F2786" t="n">
        <v>33814</v>
      </c>
    </row>
    <row r="2787">
      <c r="A2787" t="inlineStr">
        <is>
          <t>310|炮灰怪</t>
        </is>
      </c>
      <c r="B2787" t="n">
        <v>310</v>
      </c>
      <c r="C2787" t="inlineStr">
        <is>
          <t>炮灰怪</t>
        </is>
      </c>
      <c r="D2787" t="n">
        <v>79091</v>
      </c>
      <c r="E2787" t="n">
        <v>45782</v>
      </c>
      <c r="F2787" t="n">
        <v>33814</v>
      </c>
    </row>
    <row r="2788">
      <c r="A2788" t="inlineStr">
        <is>
          <t>310|精英怪</t>
        </is>
      </c>
      <c r="B2788" t="n">
        <v>310</v>
      </c>
      <c r="C2788" t="inlineStr">
        <is>
          <t>精英怪</t>
        </is>
      </c>
      <c r="D2788" t="n">
        <v>2109072</v>
      </c>
      <c r="E2788" t="n">
        <v>45782</v>
      </c>
      <c r="F2788" t="n">
        <v>33814</v>
      </c>
    </row>
    <row r="2789">
      <c r="A2789" t="inlineStr">
        <is>
          <t>310|精英盾怪</t>
        </is>
      </c>
      <c r="B2789" t="n">
        <v>310</v>
      </c>
      <c r="C2789" t="inlineStr">
        <is>
          <t>精英盾怪</t>
        </is>
      </c>
      <c r="D2789" t="n">
        <v>4745412</v>
      </c>
      <c r="E2789" t="n">
        <v>45782</v>
      </c>
      <c r="F2789" t="n">
        <v>33814</v>
      </c>
    </row>
    <row r="2790">
      <c r="A2790" t="inlineStr">
        <is>
          <t>310|Boss</t>
        </is>
      </c>
      <c r="B2790" t="n">
        <v>310</v>
      </c>
      <c r="C2790" t="inlineStr">
        <is>
          <t>Boss</t>
        </is>
      </c>
      <c r="D2790" t="n">
        <v>51575647</v>
      </c>
      <c r="E2790" t="n">
        <v>49937</v>
      </c>
      <c r="F2790" t="n">
        <v>33814</v>
      </c>
    </row>
    <row r="2791">
      <c r="A2791" t="inlineStr">
        <is>
          <t>310|装备副本Boss</t>
        </is>
      </c>
      <c r="B2791" t="n">
        <v>310</v>
      </c>
      <c r="C2791" t="inlineStr">
        <is>
          <t>装备副本Boss</t>
        </is>
      </c>
      <c r="D2791" t="n">
        <v>25787824</v>
      </c>
      <c r="E2791" t="n">
        <v>49937</v>
      </c>
      <c r="F2791" t="n">
        <v>33814</v>
      </c>
    </row>
    <row r="2792">
      <c r="A2792" t="inlineStr">
        <is>
          <t>311|普通怪</t>
        </is>
      </c>
      <c r="B2792" t="n">
        <v>311</v>
      </c>
      <c r="C2792" t="inlineStr">
        <is>
          <t>普通怪</t>
        </is>
      </c>
      <c r="D2792" t="n">
        <v>532101</v>
      </c>
      <c r="E2792" t="n">
        <v>46102</v>
      </c>
      <c r="F2792" t="n">
        <v>33958</v>
      </c>
    </row>
    <row r="2793">
      <c r="A2793" t="inlineStr">
        <is>
          <t>311|盾怪</t>
        </is>
      </c>
      <c r="B2793" t="n">
        <v>311</v>
      </c>
      <c r="C2793" t="inlineStr">
        <is>
          <t>盾怪</t>
        </is>
      </c>
      <c r="D2793" t="n">
        <v>1596303</v>
      </c>
      <c r="E2793" t="n">
        <v>46102</v>
      </c>
      <c r="F2793" t="n">
        <v>33958</v>
      </c>
    </row>
    <row r="2794">
      <c r="A2794" t="inlineStr">
        <is>
          <t>311|二级普通怪</t>
        </is>
      </c>
      <c r="B2794" t="n">
        <v>311</v>
      </c>
      <c r="C2794" t="inlineStr">
        <is>
          <t>二级普通怪</t>
        </is>
      </c>
      <c r="D2794" t="n">
        <v>957782</v>
      </c>
      <c r="E2794" t="n">
        <v>46102</v>
      </c>
      <c r="F2794" t="n">
        <v>33958</v>
      </c>
    </row>
    <row r="2795">
      <c r="A2795" t="inlineStr">
        <is>
          <t>311|站桩怪</t>
        </is>
      </c>
      <c r="B2795" t="n">
        <v>311</v>
      </c>
      <c r="C2795" t="inlineStr">
        <is>
          <t>站桩怪</t>
        </is>
      </c>
      <c r="D2795" t="n">
        <v>266051</v>
      </c>
      <c r="E2795" t="n">
        <v>46102</v>
      </c>
      <c r="F2795" t="n">
        <v>33958</v>
      </c>
    </row>
    <row r="2796">
      <c r="A2796" t="inlineStr">
        <is>
          <t>311|炮灰怪</t>
        </is>
      </c>
      <c r="B2796" t="n">
        <v>311</v>
      </c>
      <c r="C2796" t="inlineStr">
        <is>
          <t>炮灰怪</t>
        </is>
      </c>
      <c r="D2796" t="n">
        <v>79816</v>
      </c>
      <c r="E2796" t="n">
        <v>46102</v>
      </c>
      <c r="F2796" t="n">
        <v>33958</v>
      </c>
    </row>
    <row r="2797">
      <c r="A2797" t="inlineStr">
        <is>
          <t>311|精英怪</t>
        </is>
      </c>
      <c r="B2797" t="n">
        <v>311</v>
      </c>
      <c r="C2797" t="inlineStr">
        <is>
          <t>精英怪</t>
        </is>
      </c>
      <c r="D2797" t="n">
        <v>2128404</v>
      </c>
      <c r="E2797" t="n">
        <v>46102</v>
      </c>
      <c r="F2797" t="n">
        <v>33958</v>
      </c>
    </row>
    <row r="2798">
      <c r="A2798" t="inlineStr">
        <is>
          <t>311|精英盾怪</t>
        </is>
      </c>
      <c r="B2798" t="n">
        <v>311</v>
      </c>
      <c r="C2798" t="inlineStr">
        <is>
          <t>精英盾怪</t>
        </is>
      </c>
      <c r="D2798" t="n">
        <v>4788909</v>
      </c>
      <c r="E2798" t="n">
        <v>46102</v>
      </c>
      <c r="F2798" t="n">
        <v>33958</v>
      </c>
    </row>
    <row r="2799">
      <c r="A2799" t="inlineStr">
        <is>
          <t>311|Boss</t>
        </is>
      </c>
      <c r="B2799" t="n">
        <v>311</v>
      </c>
      <c r="C2799" t="inlineStr">
        <is>
          <t>Boss</t>
        </is>
      </c>
      <c r="D2799" t="n">
        <v>52083352</v>
      </c>
      <c r="E2799" t="n">
        <v>50273</v>
      </c>
      <c r="F2799" t="n">
        <v>33958</v>
      </c>
    </row>
    <row r="2800">
      <c r="A2800" t="inlineStr">
        <is>
          <t>311|装备副本Boss</t>
        </is>
      </c>
      <c r="B2800" t="n">
        <v>311</v>
      </c>
      <c r="C2800" t="inlineStr">
        <is>
          <t>装备副本Boss</t>
        </is>
      </c>
      <c r="D2800" t="n">
        <v>26041676</v>
      </c>
      <c r="E2800" t="n">
        <v>50273</v>
      </c>
      <c r="F2800" t="n">
        <v>33958</v>
      </c>
    </row>
    <row r="2801">
      <c r="A2801" t="inlineStr">
        <is>
          <t>312|普通怪</t>
        </is>
      </c>
      <c r="B2801" t="n">
        <v>312</v>
      </c>
      <c r="C2801" t="inlineStr">
        <is>
          <t>普通怪</t>
        </is>
      </c>
      <c r="D2801" t="n">
        <v>536968</v>
      </c>
      <c r="E2801" t="n">
        <v>46423</v>
      </c>
      <c r="F2801" t="n">
        <v>34103</v>
      </c>
    </row>
    <row r="2802">
      <c r="A2802" t="inlineStr">
        <is>
          <t>312|盾怪</t>
        </is>
      </c>
      <c r="B2802" t="n">
        <v>312</v>
      </c>
      <c r="C2802" t="inlineStr">
        <is>
          <t>盾怪</t>
        </is>
      </c>
      <c r="D2802" t="n">
        <v>1610904</v>
      </c>
      <c r="E2802" t="n">
        <v>46423</v>
      </c>
      <c r="F2802" t="n">
        <v>34103</v>
      </c>
    </row>
    <row r="2803">
      <c r="A2803" t="inlineStr">
        <is>
          <t>312|二级普通怪</t>
        </is>
      </c>
      <c r="B2803" t="n">
        <v>312</v>
      </c>
      <c r="C2803" t="inlineStr">
        <is>
          <t>二级普通怪</t>
        </is>
      </c>
      <c r="D2803" t="n">
        <v>966543</v>
      </c>
      <c r="E2803" t="n">
        <v>46423</v>
      </c>
      <c r="F2803" t="n">
        <v>34103</v>
      </c>
    </row>
    <row r="2804">
      <c r="A2804" t="inlineStr">
        <is>
          <t>312|站桩怪</t>
        </is>
      </c>
      <c r="B2804" t="n">
        <v>312</v>
      </c>
      <c r="C2804" t="inlineStr">
        <is>
          <t>站桩怪</t>
        </is>
      </c>
      <c r="D2804" t="n">
        <v>268484</v>
      </c>
      <c r="E2804" t="n">
        <v>46423</v>
      </c>
      <c r="F2804" t="n">
        <v>34103</v>
      </c>
    </row>
    <row r="2805">
      <c r="A2805" t="inlineStr">
        <is>
          <t>312|炮灰怪</t>
        </is>
      </c>
      <c r="B2805" t="n">
        <v>312</v>
      </c>
      <c r="C2805" t="inlineStr">
        <is>
          <t>炮灰怪</t>
        </is>
      </c>
      <c r="D2805" t="n">
        <v>80546</v>
      </c>
      <c r="E2805" t="n">
        <v>46423</v>
      </c>
      <c r="F2805" t="n">
        <v>34103</v>
      </c>
    </row>
    <row r="2806">
      <c r="A2806" t="inlineStr">
        <is>
          <t>312|精英怪</t>
        </is>
      </c>
      <c r="B2806" t="n">
        <v>312</v>
      </c>
      <c r="C2806" t="inlineStr">
        <is>
          <t>精英怪</t>
        </is>
      </c>
      <c r="D2806" t="n">
        <v>2147872</v>
      </c>
      <c r="E2806" t="n">
        <v>46423</v>
      </c>
      <c r="F2806" t="n">
        <v>34103</v>
      </c>
    </row>
    <row r="2807">
      <c r="A2807" t="inlineStr">
        <is>
          <t>312|精英盾怪</t>
        </is>
      </c>
      <c r="B2807" t="n">
        <v>312</v>
      </c>
      <c r="C2807" t="inlineStr">
        <is>
          <t>精英盾怪</t>
        </is>
      </c>
      <c r="D2807" t="n">
        <v>4832712</v>
      </c>
      <c r="E2807" t="n">
        <v>46423</v>
      </c>
      <c r="F2807" t="n">
        <v>34103</v>
      </c>
    </row>
    <row r="2808">
      <c r="A2808" t="inlineStr">
        <is>
          <t>312|Boss</t>
        </is>
      </c>
      <c r="B2808" t="n">
        <v>312</v>
      </c>
      <c r="C2808" t="inlineStr">
        <is>
          <t>Boss</t>
        </is>
      </c>
      <c r="D2808" t="n">
        <v>52594932</v>
      </c>
      <c r="E2808" t="n">
        <v>50611</v>
      </c>
      <c r="F2808" t="n">
        <v>34103</v>
      </c>
    </row>
    <row r="2809">
      <c r="A2809" t="inlineStr">
        <is>
          <t>312|装备副本Boss</t>
        </is>
      </c>
      <c r="B2809" t="n">
        <v>312</v>
      </c>
      <c r="C2809" t="inlineStr">
        <is>
          <t>装备副本Boss</t>
        </is>
      </c>
      <c r="D2809" t="n">
        <v>26297466</v>
      </c>
      <c r="E2809" t="n">
        <v>50611</v>
      </c>
      <c r="F2809" t="n">
        <v>34103</v>
      </c>
    </row>
    <row r="2810">
      <c r="A2810" t="inlineStr">
        <is>
          <t>313|普通怪</t>
        </is>
      </c>
      <c r="B2810" t="n">
        <v>313</v>
      </c>
      <c r="C2810" t="inlineStr">
        <is>
          <t>普通怪</t>
        </is>
      </c>
      <c r="D2810" t="n">
        <v>541869</v>
      </c>
      <c r="E2810" t="n">
        <v>46747</v>
      </c>
      <c r="F2810" t="n">
        <v>34248</v>
      </c>
    </row>
    <row r="2811">
      <c r="A2811" t="inlineStr">
        <is>
          <t>313|盾怪</t>
        </is>
      </c>
      <c r="B2811" t="n">
        <v>313</v>
      </c>
      <c r="C2811" t="inlineStr">
        <is>
          <t>盾怪</t>
        </is>
      </c>
      <c r="D2811" t="n">
        <v>1625607</v>
      </c>
      <c r="E2811" t="n">
        <v>46747</v>
      </c>
      <c r="F2811" t="n">
        <v>34248</v>
      </c>
    </row>
    <row r="2812">
      <c r="A2812" t="inlineStr">
        <is>
          <t>313|二级普通怪</t>
        </is>
      </c>
      <c r="B2812" t="n">
        <v>313</v>
      </c>
      <c r="C2812" t="inlineStr">
        <is>
          <t>二级普通怪</t>
        </is>
      </c>
      <c r="D2812" t="n">
        <v>975365</v>
      </c>
      <c r="E2812" t="n">
        <v>46747</v>
      </c>
      <c r="F2812" t="n">
        <v>34248</v>
      </c>
    </row>
    <row r="2813">
      <c r="A2813" t="inlineStr">
        <is>
          <t>313|站桩怪</t>
        </is>
      </c>
      <c r="B2813" t="n">
        <v>313</v>
      </c>
      <c r="C2813" t="inlineStr">
        <is>
          <t>站桩怪</t>
        </is>
      </c>
      <c r="D2813" t="n">
        <v>270935</v>
      </c>
      <c r="E2813" t="n">
        <v>46747</v>
      </c>
      <c r="F2813" t="n">
        <v>34248</v>
      </c>
    </row>
    <row r="2814">
      <c r="A2814" t="inlineStr">
        <is>
          <t>313|炮灰怪</t>
        </is>
      </c>
      <c r="B2814" t="n">
        <v>313</v>
      </c>
      <c r="C2814" t="inlineStr">
        <is>
          <t>炮灰怪</t>
        </is>
      </c>
      <c r="D2814" t="n">
        <v>81281</v>
      </c>
      <c r="E2814" t="n">
        <v>46747</v>
      </c>
      <c r="F2814" t="n">
        <v>34248</v>
      </c>
    </row>
    <row r="2815">
      <c r="A2815" t="inlineStr">
        <is>
          <t>313|精英怪</t>
        </is>
      </c>
      <c r="B2815" t="n">
        <v>313</v>
      </c>
      <c r="C2815" t="inlineStr">
        <is>
          <t>精英怪</t>
        </is>
      </c>
      <c r="D2815" t="n">
        <v>2167476</v>
      </c>
      <c r="E2815" t="n">
        <v>46747</v>
      </c>
      <c r="F2815" t="n">
        <v>34248</v>
      </c>
    </row>
    <row r="2816">
      <c r="A2816" t="inlineStr">
        <is>
          <t>313|精英盾怪</t>
        </is>
      </c>
      <c r="B2816" t="n">
        <v>313</v>
      </c>
      <c r="C2816" t="inlineStr">
        <is>
          <t>精英盾怪</t>
        </is>
      </c>
      <c r="D2816" t="n">
        <v>4876821</v>
      </c>
      <c r="E2816" t="n">
        <v>46747</v>
      </c>
      <c r="F2816" t="n">
        <v>34248</v>
      </c>
    </row>
    <row r="2817">
      <c r="A2817" t="inlineStr">
        <is>
          <t>313|Boss</t>
        </is>
      </c>
      <c r="B2817" t="n">
        <v>313</v>
      </c>
      <c r="C2817" t="inlineStr">
        <is>
          <t>Boss</t>
        </is>
      </c>
      <c r="D2817" t="n">
        <v>53110542</v>
      </c>
      <c r="E2817" t="n">
        <v>50951</v>
      </c>
      <c r="F2817" t="n">
        <v>34248</v>
      </c>
    </row>
    <row r="2818">
      <c r="A2818" t="inlineStr">
        <is>
          <t>313|装备副本Boss</t>
        </is>
      </c>
      <c r="B2818" t="n">
        <v>313</v>
      </c>
      <c r="C2818" t="inlineStr">
        <is>
          <t>装备副本Boss</t>
        </is>
      </c>
      <c r="D2818" t="n">
        <v>26555271</v>
      </c>
      <c r="E2818" t="n">
        <v>50951</v>
      </c>
      <c r="F2818" t="n">
        <v>34248</v>
      </c>
    </row>
    <row r="2819">
      <c r="A2819" t="inlineStr">
        <is>
          <t>314|普通怪</t>
        </is>
      </c>
      <c r="B2819" t="n">
        <v>314</v>
      </c>
      <c r="C2819" t="inlineStr">
        <is>
          <t>普通怪</t>
        </is>
      </c>
      <c r="D2819" t="n">
        <v>546805</v>
      </c>
      <c r="E2819" t="n">
        <v>47071</v>
      </c>
      <c r="F2819" t="n">
        <v>34393</v>
      </c>
    </row>
    <row r="2820">
      <c r="A2820" t="inlineStr">
        <is>
          <t>314|盾怪</t>
        </is>
      </c>
      <c r="B2820" t="n">
        <v>314</v>
      </c>
      <c r="C2820" t="inlineStr">
        <is>
          <t>盾怪</t>
        </is>
      </c>
      <c r="D2820" t="n">
        <v>1640415</v>
      </c>
      <c r="E2820" t="n">
        <v>47071</v>
      </c>
      <c r="F2820" t="n">
        <v>34393</v>
      </c>
    </row>
    <row r="2821">
      <c r="A2821" t="inlineStr">
        <is>
          <t>314|二级普通怪</t>
        </is>
      </c>
      <c r="B2821" t="n">
        <v>314</v>
      </c>
      <c r="C2821" t="inlineStr">
        <is>
          <t>二级普通怪</t>
        </is>
      </c>
      <c r="D2821" t="n">
        <v>984249</v>
      </c>
      <c r="E2821" t="n">
        <v>47071</v>
      </c>
      <c r="F2821" t="n">
        <v>34393</v>
      </c>
    </row>
    <row r="2822">
      <c r="A2822" t="inlineStr">
        <is>
          <t>314|站桩怪</t>
        </is>
      </c>
      <c r="B2822" t="n">
        <v>314</v>
      </c>
      <c r="C2822" t="inlineStr">
        <is>
          <t>站桩怪</t>
        </is>
      </c>
      <c r="D2822" t="n">
        <v>273403</v>
      </c>
      <c r="E2822" t="n">
        <v>47071</v>
      </c>
      <c r="F2822" t="n">
        <v>34393</v>
      </c>
    </row>
    <row r="2823">
      <c r="A2823" t="inlineStr">
        <is>
          <t>314|炮灰怪</t>
        </is>
      </c>
      <c r="B2823" t="n">
        <v>314</v>
      </c>
      <c r="C2823" t="inlineStr">
        <is>
          <t>炮灰怪</t>
        </is>
      </c>
      <c r="D2823" t="n">
        <v>82021</v>
      </c>
      <c r="E2823" t="n">
        <v>47071</v>
      </c>
      <c r="F2823" t="n">
        <v>34393</v>
      </c>
    </row>
    <row r="2824">
      <c r="A2824" t="inlineStr">
        <is>
          <t>314|精英怪</t>
        </is>
      </c>
      <c r="B2824" t="n">
        <v>314</v>
      </c>
      <c r="C2824" t="inlineStr">
        <is>
          <t>精英怪</t>
        </is>
      </c>
      <c r="D2824" t="n">
        <v>2187220</v>
      </c>
      <c r="E2824" t="n">
        <v>47071</v>
      </c>
      <c r="F2824" t="n">
        <v>34393</v>
      </c>
    </row>
    <row r="2825">
      <c r="A2825" t="inlineStr">
        <is>
          <t>314|精英盾怪</t>
        </is>
      </c>
      <c r="B2825" t="n">
        <v>314</v>
      </c>
      <c r="C2825" t="inlineStr">
        <is>
          <t>精英盾怪</t>
        </is>
      </c>
      <c r="D2825" t="n">
        <v>4921245</v>
      </c>
      <c r="E2825" t="n">
        <v>47071</v>
      </c>
      <c r="F2825" t="n">
        <v>34393</v>
      </c>
    </row>
    <row r="2826">
      <c r="A2826" t="inlineStr">
        <is>
          <t>314|Boss</t>
        </is>
      </c>
      <c r="B2826" t="n">
        <v>314</v>
      </c>
      <c r="C2826" t="inlineStr">
        <is>
          <t>Boss</t>
        </is>
      </c>
      <c r="D2826" t="n">
        <v>53630079</v>
      </c>
      <c r="E2826" t="n">
        <v>51292</v>
      </c>
      <c r="F2826" t="n">
        <v>34393</v>
      </c>
    </row>
    <row r="2827">
      <c r="A2827" t="inlineStr">
        <is>
          <t>314|装备副本Boss</t>
        </is>
      </c>
      <c r="B2827" t="n">
        <v>314</v>
      </c>
      <c r="C2827" t="inlineStr">
        <is>
          <t>装备副本Boss</t>
        </is>
      </c>
      <c r="D2827" t="n">
        <v>26815039</v>
      </c>
      <c r="E2827" t="n">
        <v>51292</v>
      </c>
      <c r="F2827" t="n">
        <v>34393</v>
      </c>
    </row>
    <row r="2828">
      <c r="A2828" t="inlineStr">
        <is>
          <t>315|普通怪</t>
        </is>
      </c>
      <c r="B2828" t="n">
        <v>315</v>
      </c>
      <c r="C2828" t="inlineStr">
        <is>
          <t>普通怪</t>
        </is>
      </c>
      <c r="D2828" t="n">
        <v>551775</v>
      </c>
      <c r="E2828" t="n">
        <v>47398</v>
      </c>
      <c r="F2828" t="n">
        <v>34538</v>
      </c>
    </row>
    <row r="2829">
      <c r="A2829" t="inlineStr">
        <is>
          <t>315|盾怪</t>
        </is>
      </c>
      <c r="B2829" t="n">
        <v>315</v>
      </c>
      <c r="C2829" t="inlineStr">
        <is>
          <t>盾怪</t>
        </is>
      </c>
      <c r="D2829" t="n">
        <v>1655325</v>
      </c>
      <c r="E2829" t="n">
        <v>47398</v>
      </c>
      <c r="F2829" t="n">
        <v>34538</v>
      </c>
    </row>
    <row r="2830">
      <c r="A2830" t="inlineStr">
        <is>
          <t>315|二级普通怪</t>
        </is>
      </c>
      <c r="B2830" t="n">
        <v>315</v>
      </c>
      <c r="C2830" t="inlineStr">
        <is>
          <t>二级普通怪</t>
        </is>
      </c>
      <c r="D2830" t="n">
        <v>993195</v>
      </c>
      <c r="E2830" t="n">
        <v>47398</v>
      </c>
      <c r="F2830" t="n">
        <v>34538</v>
      </c>
    </row>
    <row r="2831">
      <c r="A2831" t="inlineStr">
        <is>
          <t>315|站桩怪</t>
        </is>
      </c>
      <c r="B2831" t="n">
        <v>315</v>
      </c>
      <c r="C2831" t="inlineStr">
        <is>
          <t>站桩怪</t>
        </is>
      </c>
      <c r="D2831" t="n">
        <v>275888</v>
      </c>
      <c r="E2831" t="n">
        <v>47398</v>
      </c>
      <c r="F2831" t="n">
        <v>34538</v>
      </c>
    </row>
    <row r="2832">
      <c r="A2832" t="inlineStr">
        <is>
          <t>315|炮灰怪</t>
        </is>
      </c>
      <c r="B2832" t="n">
        <v>315</v>
      </c>
      <c r="C2832" t="inlineStr">
        <is>
          <t>炮灰怪</t>
        </is>
      </c>
      <c r="D2832" t="n">
        <v>82767</v>
      </c>
      <c r="E2832" t="n">
        <v>47398</v>
      </c>
      <c r="F2832" t="n">
        <v>34538</v>
      </c>
    </row>
    <row r="2833">
      <c r="A2833" t="inlineStr">
        <is>
          <t>315|精英怪</t>
        </is>
      </c>
      <c r="B2833" t="n">
        <v>315</v>
      </c>
      <c r="C2833" t="inlineStr">
        <is>
          <t>精英怪</t>
        </is>
      </c>
      <c r="D2833" t="n">
        <v>2207100</v>
      </c>
      <c r="E2833" t="n">
        <v>47398</v>
      </c>
      <c r="F2833" t="n">
        <v>34538</v>
      </c>
    </row>
    <row r="2834">
      <c r="A2834" t="inlineStr">
        <is>
          <t>315|精英盾怪</t>
        </is>
      </c>
      <c r="B2834" t="n">
        <v>315</v>
      </c>
      <c r="C2834" t="inlineStr">
        <is>
          <t>精英盾怪</t>
        </is>
      </c>
      <c r="D2834" t="n">
        <v>4965975</v>
      </c>
      <c r="E2834" t="n">
        <v>47398</v>
      </c>
      <c r="F2834" t="n">
        <v>34538</v>
      </c>
    </row>
    <row r="2835">
      <c r="A2835" t="inlineStr">
        <is>
          <t>315|Boss</t>
        </is>
      </c>
      <c r="B2835" t="n">
        <v>315</v>
      </c>
      <c r="C2835" t="inlineStr">
        <is>
          <t>Boss</t>
        </is>
      </c>
      <c r="D2835" t="n">
        <v>54153695</v>
      </c>
      <c r="E2835" t="n">
        <v>51635</v>
      </c>
      <c r="F2835" t="n">
        <v>34538</v>
      </c>
    </row>
    <row r="2836">
      <c r="A2836" t="inlineStr">
        <is>
          <t>315|装备副本Boss</t>
        </is>
      </c>
      <c r="B2836" t="n">
        <v>315</v>
      </c>
      <c r="C2836" t="inlineStr">
        <is>
          <t>装备副本Boss</t>
        </is>
      </c>
      <c r="D2836" t="n">
        <v>27076848</v>
      </c>
      <c r="E2836" t="n">
        <v>51635</v>
      </c>
      <c r="F2836" t="n">
        <v>34538</v>
      </c>
    </row>
    <row r="2837">
      <c r="A2837" t="inlineStr">
        <is>
          <t>316|普通怪</t>
        </is>
      </c>
      <c r="B2837" t="n">
        <v>316</v>
      </c>
      <c r="C2837" t="inlineStr">
        <is>
          <t>普通怪</t>
        </is>
      </c>
      <c r="D2837" t="n">
        <v>556780</v>
      </c>
      <c r="E2837" t="n">
        <v>47726</v>
      </c>
      <c r="F2837" t="n">
        <v>34684</v>
      </c>
    </row>
    <row r="2838">
      <c r="A2838" t="inlineStr">
        <is>
          <t>316|盾怪</t>
        </is>
      </c>
      <c r="B2838" t="n">
        <v>316</v>
      </c>
      <c r="C2838" t="inlineStr">
        <is>
          <t>盾怪</t>
        </is>
      </c>
      <c r="D2838" t="n">
        <v>1670340</v>
      </c>
      <c r="E2838" t="n">
        <v>47726</v>
      </c>
      <c r="F2838" t="n">
        <v>34684</v>
      </c>
    </row>
    <row r="2839">
      <c r="A2839" t="inlineStr">
        <is>
          <t>316|二级普通怪</t>
        </is>
      </c>
      <c r="B2839" t="n">
        <v>316</v>
      </c>
      <c r="C2839" t="inlineStr">
        <is>
          <t>二级普通怪</t>
        </is>
      </c>
      <c r="D2839" t="n">
        <v>1002204</v>
      </c>
      <c r="E2839" t="n">
        <v>47726</v>
      </c>
      <c r="F2839" t="n">
        <v>34684</v>
      </c>
    </row>
    <row r="2840">
      <c r="A2840" t="inlineStr">
        <is>
          <t>316|站桩怪</t>
        </is>
      </c>
      <c r="B2840" t="n">
        <v>316</v>
      </c>
      <c r="C2840" t="inlineStr">
        <is>
          <t>站桩怪</t>
        </is>
      </c>
      <c r="D2840" t="n">
        <v>278390</v>
      </c>
      <c r="E2840" t="n">
        <v>47726</v>
      </c>
      <c r="F2840" t="n">
        <v>34684</v>
      </c>
    </row>
    <row r="2841">
      <c r="A2841" t="inlineStr">
        <is>
          <t>316|炮灰怪</t>
        </is>
      </c>
      <c r="B2841" t="n">
        <v>316</v>
      </c>
      <c r="C2841" t="inlineStr">
        <is>
          <t>炮灰怪</t>
        </is>
      </c>
      <c r="D2841" t="n">
        <v>83517</v>
      </c>
      <c r="E2841" t="n">
        <v>47726</v>
      </c>
      <c r="F2841" t="n">
        <v>34684</v>
      </c>
    </row>
    <row r="2842">
      <c r="A2842" t="inlineStr">
        <is>
          <t>316|精英怪</t>
        </is>
      </c>
      <c r="B2842" t="n">
        <v>316</v>
      </c>
      <c r="C2842" t="inlineStr">
        <is>
          <t>精英怪</t>
        </is>
      </c>
      <c r="D2842" t="n">
        <v>2227120</v>
      </c>
      <c r="E2842" t="n">
        <v>47726</v>
      </c>
      <c r="F2842" t="n">
        <v>34684</v>
      </c>
    </row>
    <row r="2843">
      <c r="A2843" t="inlineStr">
        <is>
          <t>316|精英盾怪</t>
        </is>
      </c>
      <c r="B2843" t="n">
        <v>316</v>
      </c>
      <c r="C2843" t="inlineStr">
        <is>
          <t>精英盾怪</t>
        </is>
      </c>
      <c r="D2843" t="n">
        <v>5011020</v>
      </c>
      <c r="E2843" t="n">
        <v>47726</v>
      </c>
      <c r="F2843" t="n">
        <v>34684</v>
      </c>
    </row>
    <row r="2844">
      <c r="A2844" t="inlineStr">
        <is>
          <t>316|Boss</t>
        </is>
      </c>
      <c r="B2844" t="n">
        <v>316</v>
      </c>
      <c r="C2844" t="inlineStr">
        <is>
          <t>Boss</t>
        </is>
      </c>
      <c r="D2844" t="n">
        <v>54681290</v>
      </c>
      <c r="E2844" t="n">
        <v>51980</v>
      </c>
      <c r="F2844" t="n">
        <v>34684</v>
      </c>
    </row>
    <row r="2845">
      <c r="A2845" t="inlineStr">
        <is>
          <t>316|装备副本Boss</t>
        </is>
      </c>
      <c r="B2845" t="n">
        <v>316</v>
      </c>
      <c r="C2845" t="inlineStr">
        <is>
          <t>装备副本Boss</t>
        </is>
      </c>
      <c r="D2845" t="n">
        <v>27340645</v>
      </c>
      <c r="E2845" t="n">
        <v>51980</v>
      </c>
      <c r="F2845" t="n">
        <v>34684</v>
      </c>
    </row>
    <row r="2846">
      <c r="A2846" t="inlineStr">
        <is>
          <t>317|普通怪</t>
        </is>
      </c>
      <c r="B2846" t="n">
        <v>317</v>
      </c>
      <c r="C2846" t="inlineStr">
        <is>
          <t>普通怪</t>
        </is>
      </c>
      <c r="D2846" t="n">
        <v>561820</v>
      </c>
      <c r="E2846" t="n">
        <v>48056</v>
      </c>
      <c r="F2846" t="n">
        <v>34829</v>
      </c>
    </row>
    <row r="2847">
      <c r="A2847" t="inlineStr">
        <is>
          <t>317|盾怪</t>
        </is>
      </c>
      <c r="B2847" t="n">
        <v>317</v>
      </c>
      <c r="C2847" t="inlineStr">
        <is>
          <t>盾怪</t>
        </is>
      </c>
      <c r="D2847" t="n">
        <v>1685460</v>
      </c>
      <c r="E2847" t="n">
        <v>48056</v>
      </c>
      <c r="F2847" t="n">
        <v>34829</v>
      </c>
    </row>
    <row r="2848">
      <c r="A2848" t="inlineStr">
        <is>
          <t>317|二级普通怪</t>
        </is>
      </c>
      <c r="B2848" t="n">
        <v>317</v>
      </c>
      <c r="C2848" t="inlineStr">
        <is>
          <t>二级普通怪</t>
        </is>
      </c>
      <c r="D2848" t="n">
        <v>1011276</v>
      </c>
      <c r="E2848" t="n">
        <v>48056</v>
      </c>
      <c r="F2848" t="n">
        <v>34829</v>
      </c>
    </row>
    <row r="2849">
      <c r="A2849" t="inlineStr">
        <is>
          <t>317|站桩怪</t>
        </is>
      </c>
      <c r="B2849" t="n">
        <v>317</v>
      </c>
      <c r="C2849" t="inlineStr">
        <is>
          <t>站桩怪</t>
        </is>
      </c>
      <c r="D2849" t="n">
        <v>280910</v>
      </c>
      <c r="E2849" t="n">
        <v>48056</v>
      </c>
      <c r="F2849" t="n">
        <v>34829</v>
      </c>
    </row>
    <row r="2850">
      <c r="A2850" t="inlineStr">
        <is>
          <t>317|炮灰怪</t>
        </is>
      </c>
      <c r="B2850" t="n">
        <v>317</v>
      </c>
      <c r="C2850" t="inlineStr">
        <is>
          <t>炮灰怪</t>
        </is>
      </c>
      <c r="D2850" t="n">
        <v>84273</v>
      </c>
      <c r="E2850" t="n">
        <v>48056</v>
      </c>
      <c r="F2850" t="n">
        <v>34829</v>
      </c>
    </row>
    <row r="2851">
      <c r="A2851" t="inlineStr">
        <is>
          <t>317|精英怪</t>
        </is>
      </c>
      <c r="B2851" t="n">
        <v>317</v>
      </c>
      <c r="C2851" t="inlineStr">
        <is>
          <t>精英怪</t>
        </is>
      </c>
      <c r="D2851" t="n">
        <v>2247280</v>
      </c>
      <c r="E2851" t="n">
        <v>48056</v>
      </c>
      <c r="F2851" t="n">
        <v>34829</v>
      </c>
    </row>
    <row r="2852">
      <c r="A2852" t="inlineStr">
        <is>
          <t>317|精英盾怪</t>
        </is>
      </c>
      <c r="B2852" t="n">
        <v>317</v>
      </c>
      <c r="C2852" t="inlineStr">
        <is>
          <t>精英盾怪</t>
        </is>
      </c>
      <c r="D2852" t="n">
        <v>5056380</v>
      </c>
      <c r="E2852" t="n">
        <v>48056</v>
      </c>
      <c r="F2852" t="n">
        <v>34829</v>
      </c>
    </row>
    <row r="2853">
      <c r="A2853" t="inlineStr">
        <is>
          <t>317|Boss</t>
        </is>
      </c>
      <c r="B2853" t="n">
        <v>317</v>
      </c>
      <c r="C2853" t="inlineStr">
        <is>
          <t>Boss</t>
        </is>
      </c>
      <c r="D2853" t="n">
        <v>55212965</v>
      </c>
      <c r="E2853" t="n">
        <v>52326</v>
      </c>
      <c r="F2853" t="n">
        <v>34829</v>
      </c>
    </row>
    <row r="2854">
      <c r="A2854" t="inlineStr">
        <is>
          <t>317|装备副本Boss</t>
        </is>
      </c>
      <c r="B2854" t="n">
        <v>317</v>
      </c>
      <c r="C2854" t="inlineStr">
        <is>
          <t>装备副本Boss</t>
        </is>
      </c>
      <c r="D2854" t="n">
        <v>27606482</v>
      </c>
      <c r="E2854" t="n">
        <v>52326</v>
      </c>
      <c r="F2854" t="n">
        <v>34829</v>
      </c>
    </row>
    <row r="2855">
      <c r="A2855" t="inlineStr">
        <is>
          <t>318|普通怪</t>
        </is>
      </c>
      <c r="B2855" t="n">
        <v>318</v>
      </c>
      <c r="C2855" t="inlineStr">
        <is>
          <t>普通怪</t>
        </is>
      </c>
      <c r="D2855" t="n">
        <v>566895</v>
      </c>
      <c r="E2855" t="n">
        <v>48388</v>
      </c>
      <c r="F2855" t="n">
        <v>34975</v>
      </c>
    </row>
    <row r="2856">
      <c r="A2856" t="inlineStr">
        <is>
          <t>318|盾怪</t>
        </is>
      </c>
      <c r="B2856" t="n">
        <v>318</v>
      </c>
      <c r="C2856" t="inlineStr">
        <is>
          <t>盾怪</t>
        </is>
      </c>
      <c r="D2856" t="n">
        <v>1700685</v>
      </c>
      <c r="E2856" t="n">
        <v>48388</v>
      </c>
      <c r="F2856" t="n">
        <v>34975</v>
      </c>
    </row>
    <row r="2857">
      <c r="A2857" t="inlineStr">
        <is>
          <t>318|二级普通怪</t>
        </is>
      </c>
      <c r="B2857" t="n">
        <v>318</v>
      </c>
      <c r="C2857" t="inlineStr">
        <is>
          <t>二级普通怪</t>
        </is>
      </c>
      <c r="D2857" t="n">
        <v>1020411</v>
      </c>
      <c r="E2857" t="n">
        <v>48388</v>
      </c>
      <c r="F2857" t="n">
        <v>34975</v>
      </c>
    </row>
    <row r="2858">
      <c r="A2858" t="inlineStr">
        <is>
          <t>318|站桩怪</t>
        </is>
      </c>
      <c r="B2858" t="n">
        <v>318</v>
      </c>
      <c r="C2858" t="inlineStr">
        <is>
          <t>站桩怪</t>
        </is>
      </c>
      <c r="D2858" t="n">
        <v>283448</v>
      </c>
      <c r="E2858" t="n">
        <v>48388</v>
      </c>
      <c r="F2858" t="n">
        <v>34975</v>
      </c>
    </row>
    <row r="2859">
      <c r="A2859" t="inlineStr">
        <is>
          <t>318|炮灰怪</t>
        </is>
      </c>
      <c r="B2859" t="n">
        <v>318</v>
      </c>
      <c r="C2859" t="inlineStr">
        <is>
          <t>炮灰怪</t>
        </is>
      </c>
      <c r="D2859" t="n">
        <v>85035</v>
      </c>
      <c r="E2859" t="n">
        <v>48388</v>
      </c>
      <c r="F2859" t="n">
        <v>34975</v>
      </c>
    </row>
    <row r="2860">
      <c r="A2860" t="inlineStr">
        <is>
          <t>318|精英怪</t>
        </is>
      </c>
      <c r="B2860" t="n">
        <v>318</v>
      </c>
      <c r="C2860" t="inlineStr">
        <is>
          <t>精英怪</t>
        </is>
      </c>
      <c r="D2860" t="n">
        <v>2267580</v>
      </c>
      <c r="E2860" t="n">
        <v>48388</v>
      </c>
      <c r="F2860" t="n">
        <v>34975</v>
      </c>
    </row>
    <row r="2861">
      <c r="A2861" t="inlineStr">
        <is>
          <t>318|精英盾怪</t>
        </is>
      </c>
      <c r="B2861" t="n">
        <v>318</v>
      </c>
      <c r="C2861" t="inlineStr">
        <is>
          <t>精英盾怪</t>
        </is>
      </c>
      <c r="D2861" t="n">
        <v>5102055</v>
      </c>
      <c r="E2861" t="n">
        <v>48388</v>
      </c>
      <c r="F2861" t="n">
        <v>34975</v>
      </c>
    </row>
    <row r="2862">
      <c r="A2862" t="inlineStr">
        <is>
          <t>318|Boss</t>
        </is>
      </c>
      <c r="B2862" t="n">
        <v>318</v>
      </c>
      <c r="C2862" t="inlineStr">
        <is>
          <t>Boss</t>
        </is>
      </c>
      <c r="D2862" t="n">
        <v>55748668</v>
      </c>
      <c r="E2862" t="n">
        <v>52675</v>
      </c>
      <c r="F2862" t="n">
        <v>34975</v>
      </c>
    </row>
    <row r="2863">
      <c r="A2863" t="inlineStr">
        <is>
          <t>318|装备副本Boss</t>
        </is>
      </c>
      <c r="B2863" t="n">
        <v>318</v>
      </c>
      <c r="C2863" t="inlineStr">
        <is>
          <t>装备副本Boss</t>
        </is>
      </c>
      <c r="D2863" t="n">
        <v>27874334</v>
      </c>
      <c r="E2863" t="n">
        <v>52675</v>
      </c>
      <c r="F2863" t="n">
        <v>34975</v>
      </c>
    </row>
    <row r="2864">
      <c r="A2864" t="inlineStr">
        <is>
          <t>319|普通怪</t>
        </is>
      </c>
      <c r="B2864" t="n">
        <v>319</v>
      </c>
      <c r="C2864" t="inlineStr">
        <is>
          <t>普通怪</t>
        </is>
      </c>
      <c r="D2864" t="n">
        <v>572005</v>
      </c>
      <c r="E2864" t="n">
        <v>48721</v>
      </c>
      <c r="F2864" t="n">
        <v>35122</v>
      </c>
    </row>
    <row r="2865">
      <c r="A2865" t="inlineStr">
        <is>
          <t>319|盾怪</t>
        </is>
      </c>
      <c r="B2865" t="n">
        <v>319</v>
      </c>
      <c r="C2865" t="inlineStr">
        <is>
          <t>盾怪</t>
        </is>
      </c>
      <c r="D2865" t="n">
        <v>1716015</v>
      </c>
      <c r="E2865" t="n">
        <v>48721</v>
      </c>
      <c r="F2865" t="n">
        <v>35122</v>
      </c>
    </row>
    <row r="2866">
      <c r="A2866" t="inlineStr">
        <is>
          <t>319|二级普通怪</t>
        </is>
      </c>
      <c r="B2866" t="n">
        <v>319</v>
      </c>
      <c r="C2866" t="inlineStr">
        <is>
          <t>二级普通怪</t>
        </is>
      </c>
      <c r="D2866" t="n">
        <v>1029609</v>
      </c>
      <c r="E2866" t="n">
        <v>48721</v>
      </c>
      <c r="F2866" t="n">
        <v>35122</v>
      </c>
    </row>
    <row r="2867">
      <c r="A2867" t="inlineStr">
        <is>
          <t>319|站桩怪</t>
        </is>
      </c>
      <c r="B2867" t="n">
        <v>319</v>
      </c>
      <c r="C2867" t="inlineStr">
        <is>
          <t>站桩怪</t>
        </is>
      </c>
      <c r="D2867" t="n">
        <v>286003</v>
      </c>
      <c r="E2867" t="n">
        <v>48721</v>
      </c>
      <c r="F2867" t="n">
        <v>35122</v>
      </c>
    </row>
    <row r="2868">
      <c r="A2868" t="inlineStr">
        <is>
          <t>319|炮灰怪</t>
        </is>
      </c>
      <c r="B2868" t="n">
        <v>319</v>
      </c>
      <c r="C2868" t="inlineStr">
        <is>
          <t>炮灰怪</t>
        </is>
      </c>
      <c r="D2868" t="n">
        <v>85801</v>
      </c>
      <c r="E2868" t="n">
        <v>48721</v>
      </c>
      <c r="F2868" t="n">
        <v>35122</v>
      </c>
    </row>
    <row r="2869">
      <c r="A2869" t="inlineStr">
        <is>
          <t>319|精英怪</t>
        </is>
      </c>
      <c r="B2869" t="n">
        <v>319</v>
      </c>
      <c r="C2869" t="inlineStr">
        <is>
          <t>精英怪</t>
        </is>
      </c>
      <c r="D2869" t="n">
        <v>2288020</v>
      </c>
      <c r="E2869" t="n">
        <v>48721</v>
      </c>
      <c r="F2869" t="n">
        <v>35122</v>
      </c>
    </row>
    <row r="2870">
      <c r="A2870" t="inlineStr">
        <is>
          <t>319|精英盾怪</t>
        </is>
      </c>
      <c r="B2870" t="n">
        <v>319</v>
      </c>
      <c r="C2870" t="inlineStr">
        <is>
          <t>精英盾怪</t>
        </is>
      </c>
      <c r="D2870" t="n">
        <v>5148045</v>
      </c>
      <c r="E2870" t="n">
        <v>48721</v>
      </c>
      <c r="F2870" t="n">
        <v>35122</v>
      </c>
    </row>
    <row r="2871">
      <c r="A2871" t="inlineStr">
        <is>
          <t>319|Boss</t>
        </is>
      </c>
      <c r="B2871" t="n">
        <v>319</v>
      </c>
      <c r="C2871" t="inlineStr">
        <is>
          <t>Boss</t>
        </is>
      </c>
      <c r="D2871" t="n">
        <v>56288554</v>
      </c>
      <c r="E2871" t="n">
        <v>53025</v>
      </c>
      <c r="F2871" t="n">
        <v>35122</v>
      </c>
    </row>
    <row r="2872">
      <c r="A2872" t="inlineStr">
        <is>
          <t>319|装备副本Boss</t>
        </is>
      </c>
      <c r="B2872" t="n">
        <v>319</v>
      </c>
      <c r="C2872" t="inlineStr">
        <is>
          <t>装备副本Boss</t>
        </is>
      </c>
      <c r="D2872" t="n">
        <v>28144277</v>
      </c>
      <c r="E2872" t="n">
        <v>53025</v>
      </c>
      <c r="F2872" t="n">
        <v>35122</v>
      </c>
    </row>
    <row r="2873">
      <c r="A2873" t="inlineStr">
        <is>
          <t>320|普通怪</t>
        </is>
      </c>
      <c r="B2873" t="n">
        <v>320</v>
      </c>
      <c r="C2873" t="inlineStr">
        <is>
          <t>普通怪</t>
        </is>
      </c>
      <c r="D2873" t="n">
        <v>577151</v>
      </c>
      <c r="E2873" t="n">
        <v>49057</v>
      </c>
      <c r="F2873" t="n">
        <v>35268</v>
      </c>
    </row>
    <row r="2874">
      <c r="A2874" t="inlineStr">
        <is>
          <t>320|盾怪</t>
        </is>
      </c>
      <c r="B2874" t="n">
        <v>320</v>
      </c>
      <c r="C2874" t="inlineStr">
        <is>
          <t>盾怪</t>
        </is>
      </c>
      <c r="D2874" t="n">
        <v>1731453</v>
      </c>
      <c r="E2874" t="n">
        <v>49057</v>
      </c>
      <c r="F2874" t="n">
        <v>35268</v>
      </c>
    </row>
    <row r="2875">
      <c r="A2875" t="inlineStr">
        <is>
          <t>320|二级普通怪</t>
        </is>
      </c>
      <c r="B2875" t="n">
        <v>320</v>
      </c>
      <c r="C2875" t="inlineStr">
        <is>
          <t>二级普通怪</t>
        </is>
      </c>
      <c r="D2875" t="n">
        <v>1038872</v>
      </c>
      <c r="E2875" t="n">
        <v>49057</v>
      </c>
      <c r="F2875" t="n">
        <v>35268</v>
      </c>
    </row>
    <row r="2876">
      <c r="A2876" t="inlineStr">
        <is>
          <t>320|站桩怪</t>
        </is>
      </c>
      <c r="B2876" t="n">
        <v>320</v>
      </c>
      <c r="C2876" t="inlineStr">
        <is>
          <t>站桩怪</t>
        </is>
      </c>
      <c r="D2876" t="n">
        <v>288576</v>
      </c>
      <c r="E2876" t="n">
        <v>49057</v>
      </c>
      <c r="F2876" t="n">
        <v>35268</v>
      </c>
    </row>
    <row r="2877">
      <c r="A2877" t="inlineStr">
        <is>
          <t>320|炮灰怪</t>
        </is>
      </c>
      <c r="B2877" t="n">
        <v>320</v>
      </c>
      <c r="C2877" t="inlineStr">
        <is>
          <t>炮灰怪</t>
        </is>
      </c>
      <c r="D2877" t="n">
        <v>86573</v>
      </c>
      <c r="E2877" t="n">
        <v>49057</v>
      </c>
      <c r="F2877" t="n">
        <v>35268</v>
      </c>
    </row>
    <row r="2878">
      <c r="A2878" t="inlineStr">
        <is>
          <t>320|精英怪</t>
        </is>
      </c>
      <c r="B2878" t="n">
        <v>320</v>
      </c>
      <c r="C2878" t="inlineStr">
        <is>
          <t>精英怪</t>
        </is>
      </c>
      <c r="D2878" t="n">
        <v>2308604</v>
      </c>
      <c r="E2878" t="n">
        <v>49057</v>
      </c>
      <c r="F2878" t="n">
        <v>35268</v>
      </c>
    </row>
    <row r="2879">
      <c r="A2879" t="inlineStr">
        <is>
          <t>320|精英盾怪</t>
        </is>
      </c>
      <c r="B2879" t="n">
        <v>320</v>
      </c>
      <c r="C2879" t="inlineStr">
        <is>
          <t>精英盾怪</t>
        </is>
      </c>
      <c r="D2879" t="n">
        <v>5194359</v>
      </c>
      <c r="E2879" t="n">
        <v>49057</v>
      </c>
      <c r="F2879" t="n">
        <v>35268</v>
      </c>
    </row>
    <row r="2880">
      <c r="A2880" t="inlineStr">
        <is>
          <t>320|Boss</t>
        </is>
      </c>
      <c r="B2880" t="n">
        <v>320</v>
      </c>
      <c r="C2880" t="inlineStr">
        <is>
          <t>Boss</t>
        </is>
      </c>
      <c r="D2880" t="n">
        <v>56832520</v>
      </c>
      <c r="E2880" t="n">
        <v>53377</v>
      </c>
      <c r="F2880" t="n">
        <v>35268</v>
      </c>
    </row>
    <row r="2881">
      <c r="A2881" t="inlineStr">
        <is>
          <t>320|装备副本Boss</t>
        </is>
      </c>
      <c r="B2881" t="n">
        <v>320</v>
      </c>
      <c r="C2881" t="inlineStr">
        <is>
          <t>装备副本Boss</t>
        </is>
      </c>
      <c r="D2881" t="n">
        <v>28416260</v>
      </c>
      <c r="E2881" t="n">
        <v>53377</v>
      </c>
      <c r="F2881" t="n">
        <v>35268</v>
      </c>
    </row>
    <row r="2882">
      <c r="A2882" t="inlineStr">
        <is>
          <t>321|普通怪</t>
        </is>
      </c>
      <c r="B2882" t="n">
        <v>321</v>
      </c>
      <c r="C2882" t="inlineStr">
        <is>
          <t>普通怪</t>
        </is>
      </c>
      <c r="D2882" t="n">
        <v>582332</v>
      </c>
      <c r="E2882" t="n">
        <v>49394</v>
      </c>
      <c r="F2882" t="n">
        <v>35415</v>
      </c>
    </row>
    <row r="2883">
      <c r="A2883" t="inlineStr">
        <is>
          <t>321|盾怪</t>
        </is>
      </c>
      <c r="B2883" t="n">
        <v>321</v>
      </c>
      <c r="C2883" t="inlineStr">
        <is>
          <t>盾怪</t>
        </is>
      </c>
      <c r="D2883" t="n">
        <v>1746996</v>
      </c>
      <c r="E2883" t="n">
        <v>49394</v>
      </c>
      <c r="F2883" t="n">
        <v>35415</v>
      </c>
    </row>
    <row r="2884">
      <c r="A2884" t="inlineStr">
        <is>
          <t>321|二级普通怪</t>
        </is>
      </c>
      <c r="B2884" t="n">
        <v>321</v>
      </c>
      <c r="C2884" t="inlineStr">
        <is>
          <t>二级普通怪</t>
        </is>
      </c>
      <c r="D2884" t="n">
        <v>1048198</v>
      </c>
      <c r="E2884" t="n">
        <v>49394</v>
      </c>
      <c r="F2884" t="n">
        <v>35415</v>
      </c>
    </row>
    <row r="2885">
      <c r="A2885" t="inlineStr">
        <is>
          <t>321|站桩怪</t>
        </is>
      </c>
      <c r="B2885" t="n">
        <v>321</v>
      </c>
      <c r="C2885" t="inlineStr">
        <is>
          <t>站桩怪</t>
        </is>
      </c>
      <c r="D2885" t="n">
        <v>291166</v>
      </c>
      <c r="E2885" t="n">
        <v>49394</v>
      </c>
      <c r="F2885" t="n">
        <v>35415</v>
      </c>
    </row>
    <row r="2886">
      <c r="A2886" t="inlineStr">
        <is>
          <t>321|炮灰怪</t>
        </is>
      </c>
      <c r="B2886" t="n">
        <v>321</v>
      </c>
      <c r="C2886" t="inlineStr">
        <is>
          <t>炮灰怪</t>
        </is>
      </c>
      <c r="D2886" t="n">
        <v>87350</v>
      </c>
      <c r="E2886" t="n">
        <v>49394</v>
      </c>
      <c r="F2886" t="n">
        <v>35415</v>
      </c>
    </row>
    <row r="2887">
      <c r="A2887" t="inlineStr">
        <is>
          <t>321|精英怪</t>
        </is>
      </c>
      <c r="B2887" t="n">
        <v>321</v>
      </c>
      <c r="C2887" t="inlineStr">
        <is>
          <t>精英怪</t>
        </is>
      </c>
      <c r="D2887" t="n">
        <v>2329328</v>
      </c>
      <c r="E2887" t="n">
        <v>49394</v>
      </c>
      <c r="F2887" t="n">
        <v>35415</v>
      </c>
    </row>
    <row r="2888">
      <c r="A2888" t="inlineStr">
        <is>
          <t>321|精英盾怪</t>
        </is>
      </c>
      <c r="B2888" t="n">
        <v>321</v>
      </c>
      <c r="C2888" t="inlineStr">
        <is>
          <t>精英盾怪</t>
        </is>
      </c>
      <c r="D2888" t="n">
        <v>5240988</v>
      </c>
      <c r="E2888" t="n">
        <v>49394</v>
      </c>
      <c r="F2888" t="n">
        <v>35415</v>
      </c>
    </row>
    <row r="2889">
      <c r="A2889" t="inlineStr">
        <is>
          <t>321|Boss</t>
        </is>
      </c>
      <c r="B2889" t="n">
        <v>321</v>
      </c>
      <c r="C2889" t="inlineStr">
        <is>
          <t>Boss</t>
        </is>
      </c>
      <c r="D2889" t="n">
        <v>57380668</v>
      </c>
      <c r="E2889" t="n">
        <v>53731</v>
      </c>
      <c r="F2889" t="n">
        <v>35415</v>
      </c>
    </row>
    <row r="2890">
      <c r="A2890" t="inlineStr">
        <is>
          <t>321|装备副本Boss</t>
        </is>
      </c>
      <c r="B2890" t="n">
        <v>321</v>
      </c>
      <c r="C2890" t="inlineStr">
        <is>
          <t>装备副本Boss</t>
        </is>
      </c>
      <c r="D2890" t="n">
        <v>28690334</v>
      </c>
      <c r="E2890" t="n">
        <v>53731</v>
      </c>
      <c r="F2890" t="n">
        <v>35415</v>
      </c>
    </row>
    <row r="2891">
      <c r="A2891" t="inlineStr">
        <is>
          <t>322|普通怪</t>
        </is>
      </c>
      <c r="B2891" t="n">
        <v>322</v>
      </c>
      <c r="C2891" t="inlineStr">
        <is>
          <t>普通怪</t>
        </is>
      </c>
      <c r="D2891" t="n">
        <v>587549</v>
      </c>
      <c r="E2891" t="n">
        <v>49732</v>
      </c>
      <c r="F2891" t="n">
        <v>35562</v>
      </c>
    </row>
    <row r="2892">
      <c r="A2892" t="inlineStr">
        <is>
          <t>322|盾怪</t>
        </is>
      </c>
      <c r="B2892" t="n">
        <v>322</v>
      </c>
      <c r="C2892" t="inlineStr">
        <is>
          <t>盾怪</t>
        </is>
      </c>
      <c r="D2892" t="n">
        <v>1762647</v>
      </c>
      <c r="E2892" t="n">
        <v>49732</v>
      </c>
      <c r="F2892" t="n">
        <v>35562</v>
      </c>
    </row>
    <row r="2893">
      <c r="A2893" t="inlineStr">
        <is>
          <t>322|二级普通怪</t>
        </is>
      </c>
      <c r="B2893" t="n">
        <v>322</v>
      </c>
      <c r="C2893" t="inlineStr">
        <is>
          <t>二级普通怪</t>
        </is>
      </c>
      <c r="D2893" t="n">
        <v>1057589</v>
      </c>
      <c r="E2893" t="n">
        <v>49732</v>
      </c>
      <c r="F2893" t="n">
        <v>35562</v>
      </c>
    </row>
    <row r="2894">
      <c r="A2894" t="inlineStr">
        <is>
          <t>322|站桩怪</t>
        </is>
      </c>
      <c r="B2894" t="n">
        <v>322</v>
      </c>
      <c r="C2894" t="inlineStr">
        <is>
          <t>站桩怪</t>
        </is>
      </c>
      <c r="D2894" t="n">
        <v>293775</v>
      </c>
      <c r="E2894" t="n">
        <v>49732</v>
      </c>
      <c r="F2894" t="n">
        <v>35562</v>
      </c>
    </row>
    <row r="2895">
      <c r="A2895" t="inlineStr">
        <is>
          <t>322|炮灰怪</t>
        </is>
      </c>
      <c r="B2895" t="n">
        <v>322</v>
      </c>
      <c r="C2895" t="inlineStr">
        <is>
          <t>炮灰怪</t>
        </is>
      </c>
      <c r="D2895" t="n">
        <v>88133</v>
      </c>
      <c r="E2895" t="n">
        <v>49732</v>
      </c>
      <c r="F2895" t="n">
        <v>35562</v>
      </c>
    </row>
    <row r="2896">
      <c r="A2896" t="inlineStr">
        <is>
          <t>322|精英怪</t>
        </is>
      </c>
      <c r="B2896" t="n">
        <v>322</v>
      </c>
      <c r="C2896" t="inlineStr">
        <is>
          <t>精英怪</t>
        </is>
      </c>
      <c r="D2896" t="n">
        <v>2350196</v>
      </c>
      <c r="E2896" t="n">
        <v>49732</v>
      </c>
      <c r="F2896" t="n">
        <v>35562</v>
      </c>
    </row>
    <row r="2897">
      <c r="A2897" t="inlineStr">
        <is>
          <t>322|精英盾怪</t>
        </is>
      </c>
      <c r="B2897" t="n">
        <v>322</v>
      </c>
      <c r="C2897" t="inlineStr">
        <is>
          <t>精英盾怪</t>
        </is>
      </c>
      <c r="D2897" t="n">
        <v>5287941</v>
      </c>
      <c r="E2897" t="n">
        <v>49732</v>
      </c>
      <c r="F2897" t="n">
        <v>35562</v>
      </c>
    </row>
    <row r="2898">
      <c r="A2898" t="inlineStr">
        <is>
          <t>322|Boss</t>
        </is>
      </c>
      <c r="B2898" t="n">
        <v>322</v>
      </c>
      <c r="C2898" t="inlineStr">
        <is>
          <t>Boss</t>
        </is>
      </c>
      <c r="D2898" t="n">
        <v>57932997</v>
      </c>
      <c r="E2898" t="n">
        <v>54086</v>
      </c>
      <c r="F2898" t="n">
        <v>35562</v>
      </c>
    </row>
    <row r="2899">
      <c r="A2899" t="inlineStr">
        <is>
          <t>322|装备副本Boss</t>
        </is>
      </c>
      <c r="B2899" t="n">
        <v>322</v>
      </c>
      <c r="C2899" t="inlineStr">
        <is>
          <t>装备副本Boss</t>
        </is>
      </c>
      <c r="D2899" t="n">
        <v>28966499</v>
      </c>
      <c r="E2899" t="n">
        <v>54086</v>
      </c>
      <c r="F2899" t="n">
        <v>35562</v>
      </c>
    </row>
    <row r="2900">
      <c r="A2900" t="inlineStr">
        <is>
          <t>323|普通怪</t>
        </is>
      </c>
      <c r="B2900" t="n">
        <v>323</v>
      </c>
      <c r="C2900" t="inlineStr">
        <is>
          <t>普通怪</t>
        </is>
      </c>
      <c r="D2900" t="n">
        <v>592803</v>
      </c>
      <c r="E2900" t="n">
        <v>50074</v>
      </c>
      <c r="F2900" t="n">
        <v>35709</v>
      </c>
    </row>
    <row r="2901">
      <c r="A2901" t="inlineStr">
        <is>
          <t>323|盾怪</t>
        </is>
      </c>
      <c r="B2901" t="n">
        <v>323</v>
      </c>
      <c r="C2901" t="inlineStr">
        <is>
          <t>盾怪</t>
        </is>
      </c>
      <c r="D2901" t="n">
        <v>1778409</v>
      </c>
      <c r="E2901" t="n">
        <v>50074</v>
      </c>
      <c r="F2901" t="n">
        <v>35709</v>
      </c>
    </row>
    <row r="2902">
      <c r="A2902" t="inlineStr">
        <is>
          <t>323|二级普通怪</t>
        </is>
      </c>
      <c r="B2902" t="n">
        <v>323</v>
      </c>
      <c r="C2902" t="inlineStr">
        <is>
          <t>二级普通怪</t>
        </is>
      </c>
      <c r="D2902" t="n">
        <v>1067046</v>
      </c>
      <c r="E2902" t="n">
        <v>50074</v>
      </c>
      <c r="F2902" t="n">
        <v>35709</v>
      </c>
    </row>
    <row r="2903">
      <c r="A2903" t="inlineStr">
        <is>
          <t>323|站桩怪</t>
        </is>
      </c>
      <c r="B2903" t="n">
        <v>323</v>
      </c>
      <c r="C2903" t="inlineStr">
        <is>
          <t>站桩怪</t>
        </is>
      </c>
      <c r="D2903" t="n">
        <v>296402</v>
      </c>
      <c r="E2903" t="n">
        <v>50074</v>
      </c>
      <c r="F2903" t="n">
        <v>35709</v>
      </c>
    </row>
    <row r="2904">
      <c r="A2904" t="inlineStr">
        <is>
          <t>323|炮灰怪</t>
        </is>
      </c>
      <c r="B2904" t="n">
        <v>323</v>
      </c>
      <c r="C2904" t="inlineStr">
        <is>
          <t>炮灰怪</t>
        </is>
      </c>
      <c r="D2904" t="n">
        <v>88921</v>
      </c>
      <c r="E2904" t="n">
        <v>50074</v>
      </c>
      <c r="F2904" t="n">
        <v>35709</v>
      </c>
    </row>
    <row r="2905">
      <c r="A2905" t="inlineStr">
        <is>
          <t>323|精英怪</t>
        </is>
      </c>
      <c r="B2905" t="n">
        <v>323</v>
      </c>
      <c r="C2905" t="inlineStr">
        <is>
          <t>精英怪</t>
        </is>
      </c>
      <c r="D2905" t="n">
        <v>2371212</v>
      </c>
      <c r="E2905" t="n">
        <v>50074</v>
      </c>
      <c r="F2905" t="n">
        <v>35709</v>
      </c>
    </row>
    <row r="2906">
      <c r="A2906" t="inlineStr">
        <is>
          <t>323|精英盾怪</t>
        </is>
      </c>
      <c r="B2906" t="n">
        <v>323</v>
      </c>
      <c r="C2906" t="inlineStr">
        <is>
          <t>精英盾怪</t>
        </is>
      </c>
      <c r="D2906" t="n">
        <v>5335227</v>
      </c>
      <c r="E2906" t="n">
        <v>50074</v>
      </c>
      <c r="F2906" t="n">
        <v>35709</v>
      </c>
    </row>
    <row r="2907">
      <c r="A2907" t="inlineStr">
        <is>
          <t>323|Boss</t>
        </is>
      </c>
      <c r="B2907" t="n">
        <v>323</v>
      </c>
      <c r="C2907" t="inlineStr">
        <is>
          <t>Boss</t>
        </is>
      </c>
      <c r="D2907" t="n">
        <v>58489509</v>
      </c>
      <c r="E2907" t="n">
        <v>54444</v>
      </c>
      <c r="F2907" t="n">
        <v>35709</v>
      </c>
    </row>
    <row r="2908">
      <c r="A2908" t="inlineStr">
        <is>
          <t>323|装备副本Boss</t>
        </is>
      </c>
      <c r="B2908" t="n">
        <v>323</v>
      </c>
      <c r="C2908" t="inlineStr">
        <is>
          <t>装备副本Boss</t>
        </is>
      </c>
      <c r="D2908" t="n">
        <v>29244755</v>
      </c>
      <c r="E2908" t="n">
        <v>54444</v>
      </c>
      <c r="F2908" t="n">
        <v>35709</v>
      </c>
    </row>
    <row r="2909">
      <c r="A2909" t="inlineStr">
        <is>
          <t>324|普通怪</t>
        </is>
      </c>
      <c r="B2909" t="n">
        <v>324</v>
      </c>
      <c r="C2909" t="inlineStr">
        <is>
          <t>普通怪</t>
        </is>
      </c>
      <c r="D2909" t="n">
        <v>598092</v>
      </c>
      <c r="E2909" t="n">
        <v>50416</v>
      </c>
      <c r="F2909" t="n">
        <v>35856</v>
      </c>
    </row>
    <row r="2910">
      <c r="A2910" t="inlineStr">
        <is>
          <t>324|盾怪</t>
        </is>
      </c>
      <c r="B2910" t="n">
        <v>324</v>
      </c>
      <c r="C2910" t="inlineStr">
        <is>
          <t>盾怪</t>
        </is>
      </c>
      <c r="D2910" t="n">
        <v>1794276</v>
      </c>
      <c r="E2910" t="n">
        <v>50416</v>
      </c>
      <c r="F2910" t="n">
        <v>35856</v>
      </c>
    </row>
    <row r="2911">
      <c r="A2911" t="inlineStr">
        <is>
          <t>324|二级普通怪</t>
        </is>
      </c>
      <c r="B2911" t="n">
        <v>324</v>
      </c>
      <c r="C2911" t="inlineStr">
        <is>
          <t>二级普通怪</t>
        </is>
      </c>
      <c r="D2911" t="n">
        <v>1076566</v>
      </c>
      <c r="E2911" t="n">
        <v>50416</v>
      </c>
      <c r="F2911" t="n">
        <v>35856</v>
      </c>
    </row>
    <row r="2912">
      <c r="A2912" t="inlineStr">
        <is>
          <t>324|站桩怪</t>
        </is>
      </c>
      <c r="B2912" t="n">
        <v>324</v>
      </c>
      <c r="C2912" t="inlineStr">
        <is>
          <t>站桩怪</t>
        </is>
      </c>
      <c r="D2912" t="n">
        <v>299046</v>
      </c>
      <c r="E2912" t="n">
        <v>50416</v>
      </c>
      <c r="F2912" t="n">
        <v>35856</v>
      </c>
    </row>
    <row r="2913">
      <c r="A2913" t="inlineStr">
        <is>
          <t>324|炮灰怪</t>
        </is>
      </c>
      <c r="B2913" t="n">
        <v>324</v>
      </c>
      <c r="C2913" t="inlineStr">
        <is>
          <t>炮灰怪</t>
        </is>
      </c>
      <c r="D2913" t="n">
        <v>89714</v>
      </c>
      <c r="E2913" t="n">
        <v>50416</v>
      </c>
      <c r="F2913" t="n">
        <v>35856</v>
      </c>
    </row>
    <row r="2914">
      <c r="A2914" t="inlineStr">
        <is>
          <t>324|精英怪</t>
        </is>
      </c>
      <c r="B2914" t="n">
        <v>324</v>
      </c>
      <c r="C2914" t="inlineStr">
        <is>
          <t>精英怪</t>
        </is>
      </c>
      <c r="D2914" t="n">
        <v>2392368</v>
      </c>
      <c r="E2914" t="n">
        <v>50416</v>
      </c>
      <c r="F2914" t="n">
        <v>35856</v>
      </c>
    </row>
    <row r="2915">
      <c r="A2915" t="inlineStr">
        <is>
          <t>324|精英盾怪</t>
        </is>
      </c>
      <c r="B2915" t="n">
        <v>324</v>
      </c>
      <c r="C2915" t="inlineStr">
        <is>
          <t>精英盾怪</t>
        </is>
      </c>
      <c r="D2915" t="n">
        <v>5382828</v>
      </c>
      <c r="E2915" t="n">
        <v>50416</v>
      </c>
      <c r="F2915" t="n">
        <v>35856</v>
      </c>
    </row>
    <row r="2916">
      <c r="A2916" t="inlineStr">
        <is>
          <t>324|Boss</t>
        </is>
      </c>
      <c r="B2916" t="n">
        <v>324</v>
      </c>
      <c r="C2916" t="inlineStr">
        <is>
          <t>Boss</t>
        </is>
      </c>
      <c r="D2916" t="n">
        <v>59050254</v>
      </c>
      <c r="E2916" t="n">
        <v>54803</v>
      </c>
      <c r="F2916" t="n">
        <v>35856</v>
      </c>
    </row>
    <row r="2917">
      <c r="A2917" t="inlineStr">
        <is>
          <t>324|装备副本Boss</t>
        </is>
      </c>
      <c r="B2917" t="n">
        <v>324</v>
      </c>
      <c r="C2917" t="inlineStr">
        <is>
          <t>装备副本Boss</t>
        </is>
      </c>
      <c r="D2917" t="n">
        <v>29525127</v>
      </c>
      <c r="E2917" t="n">
        <v>54803</v>
      </c>
      <c r="F2917" t="n">
        <v>35856</v>
      </c>
    </row>
    <row r="2918">
      <c r="A2918" t="inlineStr">
        <is>
          <t>325|普通怪</t>
        </is>
      </c>
      <c r="B2918" t="n">
        <v>325</v>
      </c>
      <c r="C2918" t="inlineStr">
        <is>
          <t>普通怪</t>
        </is>
      </c>
      <c r="D2918" t="n">
        <v>603418</v>
      </c>
      <c r="E2918" t="n">
        <v>50761</v>
      </c>
      <c r="F2918" t="n">
        <v>36004</v>
      </c>
    </row>
    <row r="2919">
      <c r="A2919" t="inlineStr">
        <is>
          <t>325|盾怪</t>
        </is>
      </c>
      <c r="B2919" t="n">
        <v>325</v>
      </c>
      <c r="C2919" t="inlineStr">
        <is>
          <t>盾怪</t>
        </is>
      </c>
      <c r="D2919" t="n">
        <v>1810254</v>
      </c>
      <c r="E2919" t="n">
        <v>50761</v>
      </c>
      <c r="F2919" t="n">
        <v>36004</v>
      </c>
    </row>
    <row r="2920">
      <c r="A2920" t="inlineStr">
        <is>
          <t>325|二级普通怪</t>
        </is>
      </c>
      <c r="B2920" t="n">
        <v>325</v>
      </c>
      <c r="C2920" t="inlineStr">
        <is>
          <t>二级普通怪</t>
        </is>
      </c>
      <c r="D2920" t="n">
        <v>1086153</v>
      </c>
      <c r="E2920" t="n">
        <v>50761</v>
      </c>
      <c r="F2920" t="n">
        <v>36004</v>
      </c>
    </row>
    <row r="2921">
      <c r="A2921" t="inlineStr">
        <is>
          <t>325|站桩怪</t>
        </is>
      </c>
      <c r="B2921" t="n">
        <v>325</v>
      </c>
      <c r="C2921" t="inlineStr">
        <is>
          <t>站桩怪</t>
        </is>
      </c>
      <c r="D2921" t="n">
        <v>301709</v>
      </c>
      <c r="E2921" t="n">
        <v>50761</v>
      </c>
      <c r="F2921" t="n">
        <v>36004</v>
      </c>
    </row>
    <row r="2922">
      <c r="A2922" t="inlineStr">
        <is>
          <t>325|炮灰怪</t>
        </is>
      </c>
      <c r="B2922" t="n">
        <v>325</v>
      </c>
      <c r="C2922" t="inlineStr">
        <is>
          <t>炮灰怪</t>
        </is>
      </c>
      <c r="D2922" t="n">
        <v>90513</v>
      </c>
      <c r="E2922" t="n">
        <v>50761</v>
      </c>
      <c r="F2922" t="n">
        <v>36004</v>
      </c>
    </row>
    <row r="2923">
      <c r="A2923" t="inlineStr">
        <is>
          <t>325|精英怪</t>
        </is>
      </c>
      <c r="B2923" t="n">
        <v>325</v>
      </c>
      <c r="C2923" t="inlineStr">
        <is>
          <t>精英怪</t>
        </is>
      </c>
      <c r="D2923" t="n">
        <v>2413672</v>
      </c>
      <c r="E2923" t="n">
        <v>50761</v>
      </c>
      <c r="F2923" t="n">
        <v>36004</v>
      </c>
    </row>
    <row r="2924">
      <c r="A2924" t="inlineStr">
        <is>
          <t>325|精英盾怪</t>
        </is>
      </c>
      <c r="B2924" t="n">
        <v>325</v>
      </c>
      <c r="C2924" t="inlineStr">
        <is>
          <t>精英盾怪</t>
        </is>
      </c>
      <c r="D2924" t="n">
        <v>5430762</v>
      </c>
      <c r="E2924" t="n">
        <v>50761</v>
      </c>
      <c r="F2924" t="n">
        <v>36004</v>
      </c>
    </row>
    <row r="2925">
      <c r="A2925" t="inlineStr">
        <is>
          <t>325|Boss</t>
        </is>
      </c>
      <c r="B2925" t="n">
        <v>325</v>
      </c>
      <c r="C2925" t="inlineStr">
        <is>
          <t>Boss</t>
        </is>
      </c>
      <c r="D2925" t="n">
        <v>59615283</v>
      </c>
      <c r="E2925" t="n">
        <v>55165</v>
      </c>
      <c r="F2925" t="n">
        <v>36004</v>
      </c>
    </row>
    <row r="2926">
      <c r="A2926" t="inlineStr">
        <is>
          <t>325|装备副本Boss</t>
        </is>
      </c>
      <c r="B2926" t="n">
        <v>325</v>
      </c>
      <c r="C2926" t="inlineStr">
        <is>
          <t>装备副本Boss</t>
        </is>
      </c>
      <c r="D2926" t="n">
        <v>29807641</v>
      </c>
      <c r="E2926" t="n">
        <v>55165</v>
      </c>
      <c r="F2926" t="n">
        <v>36004</v>
      </c>
    </row>
    <row r="2927">
      <c r="A2927" t="inlineStr">
        <is>
          <t>326|普通怪</t>
        </is>
      </c>
      <c r="B2927" t="n">
        <v>326</v>
      </c>
      <c r="C2927" t="inlineStr">
        <is>
          <t>普通怪</t>
        </is>
      </c>
      <c r="D2927" t="n">
        <v>608781</v>
      </c>
      <c r="E2927" t="n">
        <v>51107</v>
      </c>
      <c r="F2927" t="n">
        <v>36152</v>
      </c>
    </row>
    <row r="2928">
      <c r="A2928" t="inlineStr">
        <is>
          <t>326|盾怪</t>
        </is>
      </c>
      <c r="B2928" t="n">
        <v>326</v>
      </c>
      <c r="C2928" t="inlineStr">
        <is>
          <t>盾怪</t>
        </is>
      </c>
      <c r="D2928" t="n">
        <v>1826343</v>
      </c>
      <c r="E2928" t="n">
        <v>51107</v>
      </c>
      <c r="F2928" t="n">
        <v>36152</v>
      </c>
    </row>
    <row r="2929">
      <c r="A2929" t="inlineStr">
        <is>
          <t>326|二级普通怪</t>
        </is>
      </c>
      <c r="B2929" t="n">
        <v>326</v>
      </c>
      <c r="C2929" t="inlineStr">
        <is>
          <t>二级普通怪</t>
        </is>
      </c>
      <c r="D2929" t="n">
        <v>1095806</v>
      </c>
      <c r="E2929" t="n">
        <v>51107</v>
      </c>
      <c r="F2929" t="n">
        <v>36152</v>
      </c>
    </row>
    <row r="2930">
      <c r="A2930" t="inlineStr">
        <is>
          <t>326|站桩怪</t>
        </is>
      </c>
      <c r="B2930" t="n">
        <v>326</v>
      </c>
      <c r="C2930" t="inlineStr">
        <is>
          <t>站桩怪</t>
        </is>
      </c>
      <c r="D2930" t="n">
        <v>304391</v>
      </c>
      <c r="E2930" t="n">
        <v>51107</v>
      </c>
      <c r="F2930" t="n">
        <v>36152</v>
      </c>
    </row>
    <row r="2931">
      <c r="A2931" t="inlineStr">
        <is>
          <t>326|炮灰怪</t>
        </is>
      </c>
      <c r="B2931" t="n">
        <v>326</v>
      </c>
      <c r="C2931" t="inlineStr">
        <is>
          <t>炮灰怪</t>
        </is>
      </c>
      <c r="D2931" t="n">
        <v>91318</v>
      </c>
      <c r="E2931" t="n">
        <v>51107</v>
      </c>
      <c r="F2931" t="n">
        <v>36152</v>
      </c>
    </row>
    <row r="2932">
      <c r="A2932" t="inlineStr">
        <is>
          <t>326|精英怪</t>
        </is>
      </c>
      <c r="B2932" t="n">
        <v>326</v>
      </c>
      <c r="C2932" t="inlineStr">
        <is>
          <t>精英怪</t>
        </is>
      </c>
      <c r="D2932" t="n">
        <v>2435124</v>
      </c>
      <c r="E2932" t="n">
        <v>51107</v>
      </c>
      <c r="F2932" t="n">
        <v>36152</v>
      </c>
    </row>
    <row r="2933">
      <c r="A2933" t="inlineStr">
        <is>
          <t>326|精英盾怪</t>
        </is>
      </c>
      <c r="B2933" t="n">
        <v>326</v>
      </c>
      <c r="C2933" t="inlineStr">
        <is>
          <t>精英盾怪</t>
        </is>
      </c>
      <c r="D2933" t="n">
        <v>5479029</v>
      </c>
      <c r="E2933" t="n">
        <v>51107</v>
      </c>
      <c r="F2933" t="n">
        <v>36152</v>
      </c>
    </row>
    <row r="2934">
      <c r="A2934" t="inlineStr">
        <is>
          <t>326|Boss</t>
        </is>
      </c>
      <c r="B2934" t="n">
        <v>326</v>
      </c>
      <c r="C2934" t="inlineStr">
        <is>
          <t>Boss</t>
        </is>
      </c>
      <c r="D2934" t="n">
        <v>60184595</v>
      </c>
      <c r="E2934" t="n">
        <v>55528</v>
      </c>
      <c r="F2934" t="n">
        <v>36152</v>
      </c>
    </row>
    <row r="2935">
      <c r="A2935" t="inlineStr">
        <is>
          <t>326|装备副本Boss</t>
        </is>
      </c>
      <c r="B2935" t="n">
        <v>326</v>
      </c>
      <c r="C2935" t="inlineStr">
        <is>
          <t>装备副本Boss</t>
        </is>
      </c>
      <c r="D2935" t="n">
        <v>30092298</v>
      </c>
      <c r="E2935" t="n">
        <v>55528</v>
      </c>
      <c r="F2935" t="n">
        <v>36152</v>
      </c>
    </row>
    <row r="2936">
      <c r="A2936" t="inlineStr">
        <is>
          <t>327|普通怪</t>
        </is>
      </c>
      <c r="B2936" t="n">
        <v>327</v>
      </c>
      <c r="C2936" t="inlineStr">
        <is>
          <t>普通怪</t>
        </is>
      </c>
      <c r="D2936" t="n">
        <v>614180</v>
      </c>
      <c r="E2936" t="n">
        <v>51455</v>
      </c>
      <c r="F2936" t="n">
        <v>36300</v>
      </c>
    </row>
    <row r="2937">
      <c r="A2937" t="inlineStr">
        <is>
          <t>327|盾怪</t>
        </is>
      </c>
      <c r="B2937" t="n">
        <v>327</v>
      </c>
      <c r="C2937" t="inlineStr">
        <is>
          <t>盾怪</t>
        </is>
      </c>
      <c r="D2937" t="n">
        <v>1842540</v>
      </c>
      <c r="E2937" t="n">
        <v>51455</v>
      </c>
      <c r="F2937" t="n">
        <v>36300</v>
      </c>
    </row>
    <row r="2938">
      <c r="A2938" t="inlineStr">
        <is>
          <t>327|二级普通怪</t>
        </is>
      </c>
      <c r="B2938" t="n">
        <v>327</v>
      </c>
      <c r="C2938" t="inlineStr">
        <is>
          <t>二级普通怪</t>
        </is>
      </c>
      <c r="D2938" t="n">
        <v>1105524</v>
      </c>
      <c r="E2938" t="n">
        <v>51455</v>
      </c>
      <c r="F2938" t="n">
        <v>36300</v>
      </c>
    </row>
    <row r="2939">
      <c r="A2939" t="inlineStr">
        <is>
          <t>327|站桩怪</t>
        </is>
      </c>
      <c r="B2939" t="n">
        <v>327</v>
      </c>
      <c r="C2939" t="inlineStr">
        <is>
          <t>站桩怪</t>
        </is>
      </c>
      <c r="D2939" t="n">
        <v>307090</v>
      </c>
      <c r="E2939" t="n">
        <v>51455</v>
      </c>
      <c r="F2939" t="n">
        <v>36300</v>
      </c>
    </row>
    <row r="2940">
      <c r="A2940" t="inlineStr">
        <is>
          <t>327|炮灰怪</t>
        </is>
      </c>
      <c r="B2940" t="n">
        <v>327</v>
      </c>
      <c r="C2940" t="inlineStr">
        <is>
          <t>炮灰怪</t>
        </is>
      </c>
      <c r="D2940" t="n">
        <v>92127</v>
      </c>
      <c r="E2940" t="n">
        <v>51455</v>
      </c>
      <c r="F2940" t="n">
        <v>36300</v>
      </c>
    </row>
    <row r="2941">
      <c r="A2941" t="inlineStr">
        <is>
          <t>327|精英怪</t>
        </is>
      </c>
      <c r="B2941" t="n">
        <v>327</v>
      </c>
      <c r="C2941" t="inlineStr">
        <is>
          <t>精英怪</t>
        </is>
      </c>
      <c r="D2941" t="n">
        <v>2456720</v>
      </c>
      <c r="E2941" t="n">
        <v>51455</v>
      </c>
      <c r="F2941" t="n">
        <v>36300</v>
      </c>
    </row>
    <row r="2942">
      <c r="A2942" t="inlineStr">
        <is>
          <t>327|精英盾怪</t>
        </is>
      </c>
      <c r="B2942" t="n">
        <v>327</v>
      </c>
      <c r="C2942" t="inlineStr">
        <is>
          <t>精英盾怪</t>
        </is>
      </c>
      <c r="D2942" t="n">
        <v>5527620</v>
      </c>
      <c r="E2942" t="n">
        <v>51455</v>
      </c>
      <c r="F2942" t="n">
        <v>36300</v>
      </c>
    </row>
    <row r="2943">
      <c r="A2943" t="inlineStr">
        <is>
          <t>327|Boss</t>
        </is>
      </c>
      <c r="B2943" t="n">
        <v>327</v>
      </c>
      <c r="C2943" t="inlineStr">
        <is>
          <t>Boss</t>
        </is>
      </c>
      <c r="D2943" t="n">
        <v>60758192</v>
      </c>
      <c r="E2943" t="n">
        <v>55893</v>
      </c>
      <c r="F2943" t="n">
        <v>36300</v>
      </c>
    </row>
    <row r="2944">
      <c r="A2944" t="inlineStr">
        <is>
          <t>327|装备副本Boss</t>
        </is>
      </c>
      <c r="B2944" t="n">
        <v>327</v>
      </c>
      <c r="C2944" t="inlineStr">
        <is>
          <t>装备副本Boss</t>
        </is>
      </c>
      <c r="D2944" t="n">
        <v>30379096</v>
      </c>
      <c r="E2944" t="n">
        <v>55893</v>
      </c>
      <c r="F2944" t="n">
        <v>36300</v>
      </c>
    </row>
    <row r="2945">
      <c r="A2945" t="inlineStr">
        <is>
          <t>328|普通怪</t>
        </is>
      </c>
      <c r="B2945" t="n">
        <v>328</v>
      </c>
      <c r="C2945" t="inlineStr">
        <is>
          <t>普通怪</t>
        </is>
      </c>
      <c r="D2945" t="n">
        <v>619617</v>
      </c>
      <c r="E2945" t="n">
        <v>51805</v>
      </c>
      <c r="F2945" t="n">
        <v>36448</v>
      </c>
    </row>
    <row r="2946">
      <c r="A2946" t="inlineStr">
        <is>
          <t>328|盾怪</t>
        </is>
      </c>
      <c r="B2946" t="n">
        <v>328</v>
      </c>
      <c r="C2946" t="inlineStr">
        <is>
          <t>盾怪</t>
        </is>
      </c>
      <c r="D2946" t="n">
        <v>1858851</v>
      </c>
      <c r="E2946" t="n">
        <v>51805</v>
      </c>
      <c r="F2946" t="n">
        <v>36448</v>
      </c>
    </row>
    <row r="2947">
      <c r="A2947" t="inlineStr">
        <is>
          <t>328|二级普通怪</t>
        </is>
      </c>
      <c r="B2947" t="n">
        <v>328</v>
      </c>
      <c r="C2947" t="inlineStr">
        <is>
          <t>二级普通怪</t>
        </is>
      </c>
      <c r="D2947" t="n">
        <v>1115311</v>
      </c>
      <c r="E2947" t="n">
        <v>51805</v>
      </c>
      <c r="F2947" t="n">
        <v>36448</v>
      </c>
    </row>
    <row r="2948">
      <c r="A2948" t="inlineStr">
        <is>
          <t>328|站桩怪</t>
        </is>
      </c>
      <c r="B2948" t="n">
        <v>328</v>
      </c>
      <c r="C2948" t="inlineStr">
        <is>
          <t>站桩怪</t>
        </is>
      </c>
      <c r="D2948" t="n">
        <v>309809</v>
      </c>
      <c r="E2948" t="n">
        <v>51805</v>
      </c>
      <c r="F2948" t="n">
        <v>36448</v>
      </c>
    </row>
    <row r="2949">
      <c r="A2949" t="inlineStr">
        <is>
          <t>328|炮灰怪</t>
        </is>
      </c>
      <c r="B2949" t="n">
        <v>328</v>
      </c>
      <c r="C2949" t="inlineStr">
        <is>
          <t>炮灰怪</t>
        </is>
      </c>
      <c r="D2949" t="n">
        <v>92943</v>
      </c>
      <c r="E2949" t="n">
        <v>51805</v>
      </c>
      <c r="F2949" t="n">
        <v>36448</v>
      </c>
    </row>
    <row r="2950">
      <c r="A2950" t="inlineStr">
        <is>
          <t>328|精英怪</t>
        </is>
      </c>
      <c r="B2950" t="n">
        <v>328</v>
      </c>
      <c r="C2950" t="inlineStr">
        <is>
          <t>精英怪</t>
        </is>
      </c>
      <c r="D2950" t="n">
        <v>2478468</v>
      </c>
      <c r="E2950" t="n">
        <v>51805</v>
      </c>
      <c r="F2950" t="n">
        <v>36448</v>
      </c>
    </row>
    <row r="2951">
      <c r="A2951" t="inlineStr">
        <is>
          <t>328|精英盾怪</t>
        </is>
      </c>
      <c r="B2951" t="n">
        <v>328</v>
      </c>
      <c r="C2951" t="inlineStr">
        <is>
          <t>精英盾怪</t>
        </is>
      </c>
      <c r="D2951" t="n">
        <v>5576553</v>
      </c>
      <c r="E2951" t="n">
        <v>51805</v>
      </c>
      <c r="F2951" t="n">
        <v>36448</v>
      </c>
    </row>
    <row r="2952">
      <c r="A2952" t="inlineStr">
        <is>
          <t>328|Boss</t>
        </is>
      </c>
      <c r="B2952" t="n">
        <v>328</v>
      </c>
      <c r="C2952" t="inlineStr">
        <is>
          <t>Boss</t>
        </is>
      </c>
      <c r="D2952" t="n">
        <v>61336124</v>
      </c>
      <c r="E2952" t="n">
        <v>56260</v>
      </c>
      <c r="F2952" t="n">
        <v>36448</v>
      </c>
    </row>
    <row r="2953">
      <c r="A2953" t="inlineStr">
        <is>
          <t>328|装备副本Boss</t>
        </is>
      </c>
      <c r="B2953" t="n">
        <v>328</v>
      </c>
      <c r="C2953" t="inlineStr">
        <is>
          <t>装备副本Boss</t>
        </is>
      </c>
      <c r="D2953" t="n">
        <v>30668062</v>
      </c>
      <c r="E2953" t="n">
        <v>56260</v>
      </c>
      <c r="F2953" t="n">
        <v>36448</v>
      </c>
    </row>
    <row r="2954">
      <c r="A2954" t="inlineStr">
        <is>
          <t>329|普通怪</t>
        </is>
      </c>
      <c r="B2954" t="n">
        <v>329</v>
      </c>
      <c r="C2954" t="inlineStr">
        <is>
          <t>普通怪</t>
        </is>
      </c>
      <c r="D2954" t="n">
        <v>625091</v>
      </c>
      <c r="E2954" t="n">
        <v>52157</v>
      </c>
      <c r="F2954" t="n">
        <v>36597</v>
      </c>
    </row>
    <row r="2955">
      <c r="A2955" t="inlineStr">
        <is>
          <t>329|盾怪</t>
        </is>
      </c>
      <c r="B2955" t="n">
        <v>329</v>
      </c>
      <c r="C2955" t="inlineStr">
        <is>
          <t>盾怪</t>
        </is>
      </c>
      <c r="D2955" t="n">
        <v>1875273</v>
      </c>
      <c r="E2955" t="n">
        <v>52157</v>
      </c>
      <c r="F2955" t="n">
        <v>36597</v>
      </c>
    </row>
    <row r="2956">
      <c r="A2956" t="inlineStr">
        <is>
          <t>329|二级普通怪</t>
        </is>
      </c>
      <c r="B2956" t="n">
        <v>329</v>
      </c>
      <c r="C2956" t="inlineStr">
        <is>
          <t>二级普通怪</t>
        </is>
      </c>
      <c r="D2956" t="n">
        <v>1125164</v>
      </c>
      <c r="E2956" t="n">
        <v>52157</v>
      </c>
      <c r="F2956" t="n">
        <v>36597</v>
      </c>
    </row>
    <row r="2957">
      <c r="A2957" t="inlineStr">
        <is>
          <t>329|站桩怪</t>
        </is>
      </c>
      <c r="B2957" t="n">
        <v>329</v>
      </c>
      <c r="C2957" t="inlineStr">
        <is>
          <t>站桩怪</t>
        </is>
      </c>
      <c r="D2957" t="n">
        <v>312546</v>
      </c>
      <c r="E2957" t="n">
        <v>52157</v>
      </c>
      <c r="F2957" t="n">
        <v>36597</v>
      </c>
    </row>
    <row r="2958">
      <c r="A2958" t="inlineStr">
        <is>
          <t>329|炮灰怪</t>
        </is>
      </c>
      <c r="B2958" t="n">
        <v>329</v>
      </c>
      <c r="C2958" t="inlineStr">
        <is>
          <t>炮灰怪</t>
        </is>
      </c>
      <c r="D2958" t="n">
        <v>93764</v>
      </c>
      <c r="E2958" t="n">
        <v>52157</v>
      </c>
      <c r="F2958" t="n">
        <v>36597</v>
      </c>
    </row>
    <row r="2959">
      <c r="A2959" t="inlineStr">
        <is>
          <t>329|精英怪</t>
        </is>
      </c>
      <c r="B2959" t="n">
        <v>329</v>
      </c>
      <c r="C2959" t="inlineStr">
        <is>
          <t>精英怪</t>
        </is>
      </c>
      <c r="D2959" t="n">
        <v>2500364</v>
      </c>
      <c r="E2959" t="n">
        <v>52157</v>
      </c>
      <c r="F2959" t="n">
        <v>36597</v>
      </c>
    </row>
    <row r="2960">
      <c r="A2960" t="inlineStr">
        <is>
          <t>329|精英盾怪</t>
        </is>
      </c>
      <c r="B2960" t="n">
        <v>329</v>
      </c>
      <c r="C2960" t="inlineStr">
        <is>
          <t>精英盾怪</t>
        </is>
      </c>
      <c r="D2960" t="n">
        <v>5625819</v>
      </c>
      <c r="E2960" t="n">
        <v>52157</v>
      </c>
      <c r="F2960" t="n">
        <v>36597</v>
      </c>
    </row>
    <row r="2961">
      <c r="A2961" t="inlineStr">
        <is>
          <t>329|Boss</t>
        </is>
      </c>
      <c r="B2961" t="n">
        <v>329</v>
      </c>
      <c r="C2961" t="inlineStr">
        <is>
          <t>Boss</t>
        </is>
      </c>
      <c r="D2961" t="n">
        <v>61918442</v>
      </c>
      <c r="E2961" t="n">
        <v>56628</v>
      </c>
      <c r="F2961" t="n">
        <v>36597</v>
      </c>
    </row>
    <row r="2962">
      <c r="A2962" t="inlineStr">
        <is>
          <t>329|装备副本Boss</t>
        </is>
      </c>
      <c r="B2962" t="n">
        <v>329</v>
      </c>
      <c r="C2962" t="inlineStr">
        <is>
          <t>装备副本Boss</t>
        </is>
      </c>
      <c r="D2962" t="n">
        <v>30959221</v>
      </c>
      <c r="E2962" t="n">
        <v>56628</v>
      </c>
      <c r="F2962" t="n">
        <v>36597</v>
      </c>
    </row>
    <row r="2963">
      <c r="A2963" t="inlineStr">
        <is>
          <t>330|普通怪</t>
        </is>
      </c>
      <c r="B2963" t="n">
        <v>330</v>
      </c>
      <c r="C2963" t="inlineStr">
        <is>
          <t>普通怪</t>
        </is>
      </c>
      <c r="D2963" t="n">
        <v>630602</v>
      </c>
      <c r="E2963" t="n">
        <v>52511</v>
      </c>
      <c r="F2963" t="n">
        <v>36746</v>
      </c>
    </row>
    <row r="2964">
      <c r="A2964" t="inlineStr">
        <is>
          <t>330|盾怪</t>
        </is>
      </c>
      <c r="B2964" t="n">
        <v>330</v>
      </c>
      <c r="C2964" t="inlineStr">
        <is>
          <t>盾怪</t>
        </is>
      </c>
      <c r="D2964" t="n">
        <v>1891806</v>
      </c>
      <c r="E2964" t="n">
        <v>52511</v>
      </c>
      <c r="F2964" t="n">
        <v>36746</v>
      </c>
    </row>
    <row r="2965">
      <c r="A2965" t="inlineStr">
        <is>
          <t>330|二级普通怪</t>
        </is>
      </c>
      <c r="B2965" t="n">
        <v>330</v>
      </c>
      <c r="C2965" t="inlineStr">
        <is>
          <t>二级普通怪</t>
        </is>
      </c>
      <c r="D2965" t="n">
        <v>1135084</v>
      </c>
      <c r="E2965" t="n">
        <v>52511</v>
      </c>
      <c r="F2965" t="n">
        <v>36746</v>
      </c>
    </row>
    <row r="2966">
      <c r="A2966" t="inlineStr">
        <is>
          <t>330|站桩怪</t>
        </is>
      </c>
      <c r="B2966" t="n">
        <v>330</v>
      </c>
      <c r="C2966" t="inlineStr">
        <is>
          <t>站桩怪</t>
        </is>
      </c>
      <c r="D2966" t="n">
        <v>315301</v>
      </c>
      <c r="E2966" t="n">
        <v>52511</v>
      </c>
      <c r="F2966" t="n">
        <v>36746</v>
      </c>
    </row>
    <row r="2967">
      <c r="A2967" t="inlineStr">
        <is>
          <t>330|炮灰怪</t>
        </is>
      </c>
      <c r="B2967" t="n">
        <v>330</v>
      </c>
      <c r="C2967" t="inlineStr">
        <is>
          <t>炮灰怪</t>
        </is>
      </c>
      <c r="D2967" t="n">
        <v>94591</v>
      </c>
      <c r="E2967" t="n">
        <v>52511</v>
      </c>
      <c r="F2967" t="n">
        <v>36746</v>
      </c>
    </row>
    <row r="2968">
      <c r="A2968" t="inlineStr">
        <is>
          <t>330|精英怪</t>
        </is>
      </c>
      <c r="B2968" t="n">
        <v>330</v>
      </c>
      <c r="C2968" t="inlineStr">
        <is>
          <t>精英怪</t>
        </is>
      </c>
      <c r="D2968" t="n">
        <v>2522408</v>
      </c>
      <c r="E2968" t="n">
        <v>52511</v>
      </c>
      <c r="F2968" t="n">
        <v>36746</v>
      </c>
    </row>
    <row r="2969">
      <c r="A2969" t="inlineStr">
        <is>
          <t>330|精英盾怪</t>
        </is>
      </c>
      <c r="B2969" t="n">
        <v>330</v>
      </c>
      <c r="C2969" t="inlineStr">
        <is>
          <t>精英盾怪</t>
        </is>
      </c>
      <c r="D2969" t="n">
        <v>5675418</v>
      </c>
      <c r="E2969" t="n">
        <v>52511</v>
      </c>
      <c r="F2969" t="n">
        <v>36746</v>
      </c>
    </row>
    <row r="2970">
      <c r="A2970" t="inlineStr">
        <is>
          <t>330|Boss</t>
        </is>
      </c>
      <c r="B2970" t="n">
        <v>330</v>
      </c>
      <c r="C2970" t="inlineStr">
        <is>
          <t>Boss</t>
        </is>
      </c>
      <c r="D2970" t="n">
        <v>62505145</v>
      </c>
      <c r="E2970" t="n">
        <v>56999</v>
      </c>
      <c r="F2970" t="n">
        <v>36746</v>
      </c>
    </row>
    <row r="2971">
      <c r="A2971" t="inlineStr">
        <is>
          <t>330|装备副本Boss</t>
        </is>
      </c>
      <c r="B2971" t="n">
        <v>330</v>
      </c>
      <c r="C2971" t="inlineStr">
        <is>
          <t>装备副本Boss</t>
        </is>
      </c>
      <c r="D2971" t="n">
        <v>31252573</v>
      </c>
      <c r="E2971" t="n">
        <v>56999</v>
      </c>
      <c r="F2971" t="n">
        <v>36746</v>
      </c>
    </row>
    <row r="2972">
      <c r="A2972" t="inlineStr">
        <is>
          <t>331|普通怪</t>
        </is>
      </c>
      <c r="B2972" t="n">
        <v>331</v>
      </c>
      <c r="C2972" t="inlineStr">
        <is>
          <t>普通怪</t>
        </is>
      </c>
      <c r="D2972" t="n">
        <v>636150</v>
      </c>
      <c r="E2972" t="n">
        <v>52867</v>
      </c>
      <c r="F2972" t="n">
        <v>36895</v>
      </c>
    </row>
    <row r="2973">
      <c r="A2973" t="inlineStr">
        <is>
          <t>331|盾怪</t>
        </is>
      </c>
      <c r="B2973" t="n">
        <v>331</v>
      </c>
      <c r="C2973" t="inlineStr">
        <is>
          <t>盾怪</t>
        </is>
      </c>
      <c r="D2973" t="n">
        <v>1908450</v>
      </c>
      <c r="E2973" t="n">
        <v>52867</v>
      </c>
      <c r="F2973" t="n">
        <v>36895</v>
      </c>
    </row>
    <row r="2974">
      <c r="A2974" t="inlineStr">
        <is>
          <t>331|二级普通怪</t>
        </is>
      </c>
      <c r="B2974" t="n">
        <v>331</v>
      </c>
      <c r="C2974" t="inlineStr">
        <is>
          <t>二级普通怪</t>
        </is>
      </c>
      <c r="D2974" t="n">
        <v>1145070</v>
      </c>
      <c r="E2974" t="n">
        <v>52867</v>
      </c>
      <c r="F2974" t="n">
        <v>36895</v>
      </c>
    </row>
    <row r="2975">
      <c r="A2975" t="inlineStr">
        <is>
          <t>331|站桩怪</t>
        </is>
      </c>
      <c r="B2975" t="n">
        <v>331</v>
      </c>
      <c r="C2975" t="inlineStr">
        <is>
          <t>站桩怪</t>
        </is>
      </c>
      <c r="D2975" t="n">
        <v>318075</v>
      </c>
      <c r="E2975" t="n">
        <v>52867</v>
      </c>
      <c r="F2975" t="n">
        <v>36895</v>
      </c>
    </row>
    <row r="2976">
      <c r="A2976" t="inlineStr">
        <is>
          <t>331|炮灰怪</t>
        </is>
      </c>
      <c r="B2976" t="n">
        <v>331</v>
      </c>
      <c r="C2976" t="inlineStr">
        <is>
          <t>炮灰怪</t>
        </is>
      </c>
      <c r="D2976" t="n">
        <v>95423</v>
      </c>
      <c r="E2976" t="n">
        <v>52867</v>
      </c>
      <c r="F2976" t="n">
        <v>36895</v>
      </c>
    </row>
    <row r="2977">
      <c r="A2977" t="inlineStr">
        <is>
          <t>331|精英怪</t>
        </is>
      </c>
      <c r="B2977" t="n">
        <v>331</v>
      </c>
      <c r="C2977" t="inlineStr">
        <is>
          <t>精英怪</t>
        </is>
      </c>
      <c r="D2977" t="n">
        <v>2544600</v>
      </c>
      <c r="E2977" t="n">
        <v>52867</v>
      </c>
      <c r="F2977" t="n">
        <v>36895</v>
      </c>
    </row>
    <row r="2978">
      <c r="A2978" t="inlineStr">
        <is>
          <t>331|精英盾怪</t>
        </is>
      </c>
      <c r="B2978" t="n">
        <v>331</v>
      </c>
      <c r="C2978" t="inlineStr">
        <is>
          <t>精英盾怪</t>
        </is>
      </c>
      <c r="D2978" t="n">
        <v>5725350</v>
      </c>
      <c r="E2978" t="n">
        <v>52867</v>
      </c>
      <c r="F2978" t="n">
        <v>36895</v>
      </c>
    </row>
    <row r="2979">
      <c r="A2979" t="inlineStr">
        <is>
          <t>331|Boss</t>
        </is>
      </c>
      <c r="B2979" t="n">
        <v>331</v>
      </c>
      <c r="C2979" t="inlineStr">
        <is>
          <t>Boss</t>
        </is>
      </c>
      <c r="D2979" t="n">
        <v>63096235</v>
      </c>
      <c r="E2979" t="n">
        <v>57372</v>
      </c>
      <c r="F2979" t="n">
        <v>36895</v>
      </c>
    </row>
    <row r="2980">
      <c r="A2980" t="inlineStr">
        <is>
          <t>331|装备副本Boss</t>
        </is>
      </c>
      <c r="B2980" t="n">
        <v>331</v>
      </c>
      <c r="C2980" t="inlineStr">
        <is>
          <t>装备副本Boss</t>
        </is>
      </c>
      <c r="D2980" t="n">
        <v>31548118</v>
      </c>
      <c r="E2980" t="n">
        <v>57372</v>
      </c>
      <c r="F2980" t="n">
        <v>36895</v>
      </c>
    </row>
    <row r="2981">
      <c r="A2981" t="inlineStr">
        <is>
          <t>332|普通怪</t>
        </is>
      </c>
      <c r="B2981" t="n">
        <v>332</v>
      </c>
      <c r="C2981" t="inlineStr">
        <is>
          <t>普通怪</t>
        </is>
      </c>
      <c r="D2981" t="n">
        <v>641737</v>
      </c>
      <c r="E2981" t="n">
        <v>53224</v>
      </c>
      <c r="F2981" t="n">
        <v>37044</v>
      </c>
    </row>
    <row r="2982">
      <c r="A2982" t="inlineStr">
        <is>
          <t>332|盾怪</t>
        </is>
      </c>
      <c r="B2982" t="n">
        <v>332</v>
      </c>
      <c r="C2982" t="inlineStr">
        <is>
          <t>盾怪</t>
        </is>
      </c>
      <c r="D2982" t="n">
        <v>1925211</v>
      </c>
      <c r="E2982" t="n">
        <v>53224</v>
      </c>
      <c r="F2982" t="n">
        <v>37044</v>
      </c>
    </row>
    <row r="2983">
      <c r="A2983" t="inlineStr">
        <is>
          <t>332|二级普通怪</t>
        </is>
      </c>
      <c r="B2983" t="n">
        <v>332</v>
      </c>
      <c r="C2983" t="inlineStr">
        <is>
          <t>二级普通怪</t>
        </is>
      </c>
      <c r="D2983" t="n">
        <v>1155127</v>
      </c>
      <c r="E2983" t="n">
        <v>53224</v>
      </c>
      <c r="F2983" t="n">
        <v>37044</v>
      </c>
    </row>
    <row r="2984">
      <c r="A2984" t="inlineStr">
        <is>
          <t>332|站桩怪</t>
        </is>
      </c>
      <c r="B2984" t="n">
        <v>332</v>
      </c>
      <c r="C2984" t="inlineStr">
        <is>
          <t>站桩怪</t>
        </is>
      </c>
      <c r="D2984" t="n">
        <v>320869</v>
      </c>
      <c r="E2984" t="n">
        <v>53224</v>
      </c>
      <c r="F2984" t="n">
        <v>37044</v>
      </c>
    </row>
    <row r="2985">
      <c r="A2985" t="inlineStr">
        <is>
          <t>332|炮灰怪</t>
        </is>
      </c>
      <c r="B2985" t="n">
        <v>332</v>
      </c>
      <c r="C2985" t="inlineStr">
        <is>
          <t>炮灰怪</t>
        </is>
      </c>
      <c r="D2985" t="n">
        <v>96261</v>
      </c>
      <c r="E2985" t="n">
        <v>53224</v>
      </c>
      <c r="F2985" t="n">
        <v>37044</v>
      </c>
    </row>
    <row r="2986">
      <c r="A2986" t="inlineStr">
        <is>
          <t>332|精英怪</t>
        </is>
      </c>
      <c r="B2986" t="n">
        <v>332</v>
      </c>
      <c r="C2986" t="inlineStr">
        <is>
          <t>精英怪</t>
        </is>
      </c>
      <c r="D2986" t="n">
        <v>2566948</v>
      </c>
      <c r="E2986" t="n">
        <v>53224</v>
      </c>
      <c r="F2986" t="n">
        <v>37044</v>
      </c>
    </row>
    <row r="2987">
      <c r="A2987" t="inlineStr">
        <is>
          <t>332|精英盾怪</t>
        </is>
      </c>
      <c r="B2987" t="n">
        <v>332</v>
      </c>
      <c r="C2987" t="inlineStr">
        <is>
          <t>精英盾怪</t>
        </is>
      </c>
      <c r="D2987" t="n">
        <v>5775633</v>
      </c>
      <c r="E2987" t="n">
        <v>53224</v>
      </c>
      <c r="F2987" t="n">
        <v>37044</v>
      </c>
    </row>
    <row r="2988">
      <c r="A2988" t="inlineStr">
        <is>
          <t>332|Boss</t>
        </is>
      </c>
      <c r="B2988" t="n">
        <v>332</v>
      </c>
      <c r="C2988" t="inlineStr">
        <is>
          <t>Boss</t>
        </is>
      </c>
      <c r="D2988" t="n">
        <v>63691762</v>
      </c>
      <c r="E2988" t="n">
        <v>57746</v>
      </c>
      <c r="F2988" t="n">
        <v>37044</v>
      </c>
    </row>
    <row r="2989">
      <c r="A2989" t="inlineStr">
        <is>
          <t>332|装备副本Boss</t>
        </is>
      </c>
      <c r="B2989" t="n">
        <v>332</v>
      </c>
      <c r="C2989" t="inlineStr">
        <is>
          <t>装备副本Boss</t>
        </is>
      </c>
      <c r="D2989" t="n">
        <v>31845881</v>
      </c>
      <c r="E2989" t="n">
        <v>57746</v>
      </c>
      <c r="F2989" t="n">
        <v>37044</v>
      </c>
    </row>
    <row r="2990">
      <c r="A2990" t="inlineStr">
        <is>
          <t>333|普通怪</t>
        </is>
      </c>
      <c r="B2990" t="n">
        <v>333</v>
      </c>
      <c r="C2990" t="inlineStr">
        <is>
          <t>普通怪</t>
        </is>
      </c>
      <c r="D2990" t="n">
        <v>647361</v>
      </c>
      <c r="E2990" t="n">
        <v>53584</v>
      </c>
      <c r="F2990" t="n">
        <v>37193</v>
      </c>
    </row>
    <row r="2991">
      <c r="A2991" t="inlineStr">
        <is>
          <t>333|盾怪</t>
        </is>
      </c>
      <c r="B2991" t="n">
        <v>333</v>
      </c>
      <c r="C2991" t="inlineStr">
        <is>
          <t>盾怪</t>
        </is>
      </c>
      <c r="D2991" t="n">
        <v>1942083</v>
      </c>
      <c r="E2991" t="n">
        <v>53584</v>
      </c>
      <c r="F2991" t="n">
        <v>37193</v>
      </c>
    </row>
    <row r="2992">
      <c r="A2992" t="inlineStr">
        <is>
          <t>333|二级普通怪</t>
        </is>
      </c>
      <c r="B2992" t="n">
        <v>333</v>
      </c>
      <c r="C2992" t="inlineStr">
        <is>
          <t>二级普通怪</t>
        </is>
      </c>
      <c r="D2992" t="n">
        <v>1165250</v>
      </c>
      <c r="E2992" t="n">
        <v>53584</v>
      </c>
      <c r="F2992" t="n">
        <v>37193</v>
      </c>
    </row>
    <row r="2993">
      <c r="A2993" t="inlineStr">
        <is>
          <t>333|站桩怪</t>
        </is>
      </c>
      <c r="B2993" t="n">
        <v>333</v>
      </c>
      <c r="C2993" t="inlineStr">
        <is>
          <t>站桩怪</t>
        </is>
      </c>
      <c r="D2993" t="n">
        <v>323681</v>
      </c>
      <c r="E2993" t="n">
        <v>53584</v>
      </c>
      <c r="F2993" t="n">
        <v>37193</v>
      </c>
    </row>
    <row r="2994">
      <c r="A2994" t="inlineStr">
        <is>
          <t>333|炮灰怪</t>
        </is>
      </c>
      <c r="B2994" t="n">
        <v>333</v>
      </c>
      <c r="C2994" t="inlineStr">
        <is>
          <t>炮灰怪</t>
        </is>
      </c>
      <c r="D2994" t="n">
        <v>97105</v>
      </c>
      <c r="E2994" t="n">
        <v>53584</v>
      </c>
      <c r="F2994" t="n">
        <v>37193</v>
      </c>
    </row>
    <row r="2995">
      <c r="A2995" t="inlineStr">
        <is>
          <t>333|精英怪</t>
        </is>
      </c>
      <c r="B2995" t="n">
        <v>333</v>
      </c>
      <c r="C2995" t="inlineStr">
        <is>
          <t>精英怪</t>
        </is>
      </c>
      <c r="D2995" t="n">
        <v>2589444</v>
      </c>
      <c r="E2995" t="n">
        <v>53584</v>
      </c>
      <c r="F2995" t="n">
        <v>37193</v>
      </c>
    </row>
    <row r="2996">
      <c r="A2996" t="inlineStr">
        <is>
          <t>333|精英盾怪</t>
        </is>
      </c>
      <c r="B2996" t="n">
        <v>333</v>
      </c>
      <c r="C2996" t="inlineStr">
        <is>
          <t>精英盾怪</t>
        </is>
      </c>
      <c r="D2996" t="n">
        <v>5826249</v>
      </c>
      <c r="E2996" t="n">
        <v>53584</v>
      </c>
      <c r="F2996" t="n">
        <v>37193</v>
      </c>
    </row>
    <row r="2997">
      <c r="A2997" t="inlineStr">
        <is>
          <t>333|Boss</t>
        </is>
      </c>
      <c r="B2997" t="n">
        <v>333</v>
      </c>
      <c r="C2997" t="inlineStr">
        <is>
          <t>Boss</t>
        </is>
      </c>
      <c r="D2997" t="n">
        <v>64291777</v>
      </c>
      <c r="E2997" t="n">
        <v>58123</v>
      </c>
      <c r="F2997" t="n">
        <v>37193</v>
      </c>
    </row>
    <row r="2998">
      <c r="A2998" t="inlineStr">
        <is>
          <t>333|装备副本Boss</t>
        </is>
      </c>
      <c r="B2998" t="n">
        <v>333</v>
      </c>
      <c r="C2998" t="inlineStr">
        <is>
          <t>装备副本Boss</t>
        </is>
      </c>
      <c r="D2998" t="n">
        <v>32145888</v>
      </c>
      <c r="E2998" t="n">
        <v>58123</v>
      </c>
      <c r="F2998" t="n">
        <v>37193</v>
      </c>
    </row>
    <row r="2999">
      <c r="A2999" t="inlineStr">
        <is>
          <t>334|普通怪</t>
        </is>
      </c>
      <c r="B2999" t="n">
        <v>334</v>
      </c>
      <c r="C2999" t="inlineStr">
        <is>
          <t>普通怪</t>
        </is>
      </c>
      <c r="D2999" t="n">
        <v>653024</v>
      </c>
      <c r="E2999" t="n">
        <v>53945</v>
      </c>
      <c r="F2999" t="n">
        <v>37343</v>
      </c>
    </row>
    <row r="3000">
      <c r="A3000" t="inlineStr">
        <is>
          <t>334|盾怪</t>
        </is>
      </c>
      <c r="B3000" t="n">
        <v>334</v>
      </c>
      <c r="C3000" t="inlineStr">
        <is>
          <t>盾怪</t>
        </is>
      </c>
      <c r="D3000" t="n">
        <v>1959072</v>
      </c>
      <c r="E3000" t="n">
        <v>53945</v>
      </c>
      <c r="F3000" t="n">
        <v>37343</v>
      </c>
    </row>
    <row r="3001">
      <c r="A3001" t="inlineStr">
        <is>
          <t>334|二级普通怪</t>
        </is>
      </c>
      <c r="B3001" t="n">
        <v>334</v>
      </c>
      <c r="C3001" t="inlineStr">
        <is>
          <t>二级普通怪</t>
        </is>
      </c>
      <c r="D3001" t="n">
        <v>1175444</v>
      </c>
      <c r="E3001" t="n">
        <v>53945</v>
      </c>
      <c r="F3001" t="n">
        <v>37343</v>
      </c>
    </row>
    <row r="3002">
      <c r="A3002" t="inlineStr">
        <is>
          <t>334|站桩怪</t>
        </is>
      </c>
      <c r="B3002" t="n">
        <v>334</v>
      </c>
      <c r="C3002" t="inlineStr">
        <is>
          <t>站桩怪</t>
        </is>
      </c>
      <c r="D3002" t="n">
        <v>326512</v>
      </c>
      <c r="E3002" t="n">
        <v>53945</v>
      </c>
      <c r="F3002" t="n">
        <v>37343</v>
      </c>
    </row>
    <row r="3003">
      <c r="A3003" t="inlineStr">
        <is>
          <t>334|炮灰怪</t>
        </is>
      </c>
      <c r="B3003" t="n">
        <v>334</v>
      </c>
      <c r="C3003" t="inlineStr">
        <is>
          <t>炮灰怪</t>
        </is>
      </c>
      <c r="D3003" t="n">
        <v>97954</v>
      </c>
      <c r="E3003" t="n">
        <v>53945</v>
      </c>
      <c r="F3003" t="n">
        <v>37343</v>
      </c>
    </row>
    <row r="3004">
      <c r="A3004" t="inlineStr">
        <is>
          <t>334|精英怪</t>
        </is>
      </c>
      <c r="B3004" t="n">
        <v>334</v>
      </c>
      <c r="C3004" t="inlineStr">
        <is>
          <t>精英怪</t>
        </is>
      </c>
      <c r="D3004" t="n">
        <v>2612096</v>
      </c>
      <c r="E3004" t="n">
        <v>53945</v>
      </c>
      <c r="F3004" t="n">
        <v>37343</v>
      </c>
    </row>
    <row r="3005">
      <c r="A3005" t="inlineStr">
        <is>
          <t>334|精英盾怪</t>
        </is>
      </c>
      <c r="B3005" t="n">
        <v>334</v>
      </c>
      <c r="C3005" t="inlineStr">
        <is>
          <t>精英盾怪</t>
        </is>
      </c>
      <c r="D3005" t="n">
        <v>5877216</v>
      </c>
      <c r="E3005" t="n">
        <v>53945</v>
      </c>
      <c r="F3005" t="n">
        <v>37343</v>
      </c>
    </row>
    <row r="3006">
      <c r="A3006" t="inlineStr">
        <is>
          <t>334|Boss</t>
        </is>
      </c>
      <c r="B3006" t="n">
        <v>334</v>
      </c>
      <c r="C3006" t="inlineStr">
        <is>
          <t>Boss</t>
        </is>
      </c>
      <c r="D3006" t="n">
        <v>64896280</v>
      </c>
      <c r="E3006" t="n">
        <v>58501</v>
      </c>
      <c r="F3006" t="n">
        <v>37343</v>
      </c>
    </row>
    <row r="3007">
      <c r="A3007" t="inlineStr">
        <is>
          <t>334|装备副本Boss</t>
        </is>
      </c>
      <c r="B3007" t="n">
        <v>334</v>
      </c>
      <c r="C3007" t="inlineStr">
        <is>
          <t>装备副本Boss</t>
        </is>
      </c>
      <c r="D3007" t="n">
        <v>32448140</v>
      </c>
      <c r="E3007" t="n">
        <v>58501</v>
      </c>
      <c r="F3007" t="n">
        <v>37343</v>
      </c>
    </row>
    <row r="3008">
      <c r="A3008" t="inlineStr">
        <is>
          <t>335|普通怪</t>
        </is>
      </c>
      <c r="B3008" t="n">
        <v>335</v>
      </c>
      <c r="C3008" t="inlineStr">
        <is>
          <t>普通怪</t>
        </is>
      </c>
      <c r="D3008" t="n">
        <v>658725</v>
      </c>
      <c r="E3008" t="n">
        <v>54308</v>
      </c>
      <c r="F3008" t="n">
        <v>37493</v>
      </c>
    </row>
    <row r="3009">
      <c r="A3009" t="inlineStr">
        <is>
          <t>335|盾怪</t>
        </is>
      </c>
      <c r="B3009" t="n">
        <v>335</v>
      </c>
      <c r="C3009" t="inlineStr">
        <is>
          <t>盾怪</t>
        </is>
      </c>
      <c r="D3009" t="n">
        <v>1976175</v>
      </c>
      <c r="E3009" t="n">
        <v>54308</v>
      </c>
      <c r="F3009" t="n">
        <v>37493</v>
      </c>
    </row>
    <row r="3010">
      <c r="A3010" t="inlineStr">
        <is>
          <t>335|二级普通怪</t>
        </is>
      </c>
      <c r="B3010" t="n">
        <v>335</v>
      </c>
      <c r="C3010" t="inlineStr">
        <is>
          <t>二级普通怪</t>
        </is>
      </c>
      <c r="D3010" t="n">
        <v>1185705</v>
      </c>
      <c r="E3010" t="n">
        <v>54308</v>
      </c>
      <c r="F3010" t="n">
        <v>37493</v>
      </c>
    </row>
    <row r="3011">
      <c r="A3011" t="inlineStr">
        <is>
          <t>335|站桩怪</t>
        </is>
      </c>
      <c r="B3011" t="n">
        <v>335</v>
      </c>
      <c r="C3011" t="inlineStr">
        <is>
          <t>站桩怪</t>
        </is>
      </c>
      <c r="D3011" t="n">
        <v>329363</v>
      </c>
      <c r="E3011" t="n">
        <v>54308</v>
      </c>
      <c r="F3011" t="n">
        <v>37493</v>
      </c>
    </row>
    <row r="3012">
      <c r="A3012" t="inlineStr">
        <is>
          <t>335|炮灰怪</t>
        </is>
      </c>
      <c r="B3012" t="n">
        <v>335</v>
      </c>
      <c r="C3012" t="inlineStr">
        <is>
          <t>炮灰怪</t>
        </is>
      </c>
      <c r="D3012" t="n">
        <v>98809</v>
      </c>
      <c r="E3012" t="n">
        <v>54308</v>
      </c>
      <c r="F3012" t="n">
        <v>37493</v>
      </c>
    </row>
    <row r="3013">
      <c r="A3013" t="inlineStr">
        <is>
          <t>335|精英怪</t>
        </is>
      </c>
      <c r="B3013" t="n">
        <v>335</v>
      </c>
      <c r="C3013" t="inlineStr">
        <is>
          <t>精英怪</t>
        </is>
      </c>
      <c r="D3013" t="n">
        <v>2634900</v>
      </c>
      <c r="E3013" t="n">
        <v>54308</v>
      </c>
      <c r="F3013" t="n">
        <v>37493</v>
      </c>
    </row>
    <row r="3014">
      <c r="A3014" t="inlineStr">
        <is>
          <t>335|精英盾怪</t>
        </is>
      </c>
      <c r="B3014" t="n">
        <v>335</v>
      </c>
      <c r="C3014" t="inlineStr">
        <is>
          <t>精英盾怪</t>
        </is>
      </c>
      <c r="D3014" t="n">
        <v>5928525</v>
      </c>
      <c r="E3014" t="n">
        <v>54308</v>
      </c>
      <c r="F3014" t="n">
        <v>37493</v>
      </c>
    </row>
    <row r="3015">
      <c r="A3015" t="inlineStr">
        <is>
          <t>335|Boss</t>
        </is>
      </c>
      <c r="B3015" t="n">
        <v>335</v>
      </c>
      <c r="C3015" t="inlineStr">
        <is>
          <t>Boss</t>
        </is>
      </c>
      <c r="D3015" t="n">
        <v>65505322</v>
      </c>
      <c r="E3015" t="n">
        <v>58881</v>
      </c>
      <c r="F3015" t="n">
        <v>37493</v>
      </c>
    </row>
    <row r="3016">
      <c r="A3016" t="inlineStr">
        <is>
          <t>335|装备副本Boss</t>
        </is>
      </c>
      <c r="B3016" t="n">
        <v>335</v>
      </c>
      <c r="C3016" t="inlineStr">
        <is>
          <t>装备副本Boss</t>
        </is>
      </c>
      <c r="D3016" t="n">
        <v>32752661</v>
      </c>
      <c r="E3016" t="n">
        <v>58881</v>
      </c>
      <c r="F3016" t="n">
        <v>37493</v>
      </c>
    </row>
    <row r="3017">
      <c r="A3017" t="inlineStr">
        <is>
          <t>336|普通怪</t>
        </is>
      </c>
      <c r="B3017" t="n">
        <v>336</v>
      </c>
      <c r="C3017" t="inlineStr">
        <is>
          <t>普通怪</t>
        </is>
      </c>
      <c r="D3017" t="n">
        <v>664464</v>
      </c>
      <c r="E3017" t="n">
        <v>54673</v>
      </c>
      <c r="F3017" t="n">
        <v>37643</v>
      </c>
    </row>
    <row r="3018">
      <c r="A3018" t="inlineStr">
        <is>
          <t>336|盾怪</t>
        </is>
      </c>
      <c r="B3018" t="n">
        <v>336</v>
      </c>
      <c r="C3018" t="inlineStr">
        <is>
          <t>盾怪</t>
        </is>
      </c>
      <c r="D3018" t="n">
        <v>1993392</v>
      </c>
      <c r="E3018" t="n">
        <v>54673</v>
      </c>
      <c r="F3018" t="n">
        <v>37643</v>
      </c>
    </row>
    <row r="3019">
      <c r="A3019" t="inlineStr">
        <is>
          <t>336|二级普通怪</t>
        </is>
      </c>
      <c r="B3019" t="n">
        <v>336</v>
      </c>
      <c r="C3019" t="inlineStr">
        <is>
          <t>二级普通怪</t>
        </is>
      </c>
      <c r="D3019" t="n">
        <v>1196036</v>
      </c>
      <c r="E3019" t="n">
        <v>54673</v>
      </c>
      <c r="F3019" t="n">
        <v>37643</v>
      </c>
    </row>
    <row r="3020">
      <c r="A3020" t="inlineStr">
        <is>
          <t>336|站桩怪</t>
        </is>
      </c>
      <c r="B3020" t="n">
        <v>336</v>
      </c>
      <c r="C3020" t="inlineStr">
        <is>
          <t>站桩怪</t>
        </is>
      </c>
      <c r="D3020" t="n">
        <v>332232</v>
      </c>
      <c r="E3020" t="n">
        <v>54673</v>
      </c>
      <c r="F3020" t="n">
        <v>37643</v>
      </c>
    </row>
    <row r="3021">
      <c r="A3021" t="inlineStr">
        <is>
          <t>336|炮灰怪</t>
        </is>
      </c>
      <c r="B3021" t="n">
        <v>336</v>
      </c>
      <c r="C3021" t="inlineStr">
        <is>
          <t>炮灰怪</t>
        </is>
      </c>
      <c r="D3021" t="n">
        <v>99670</v>
      </c>
      <c r="E3021" t="n">
        <v>54673</v>
      </c>
      <c r="F3021" t="n">
        <v>37643</v>
      </c>
    </row>
    <row r="3022">
      <c r="A3022" t="inlineStr">
        <is>
          <t>336|精英怪</t>
        </is>
      </c>
      <c r="B3022" t="n">
        <v>336</v>
      </c>
      <c r="C3022" t="inlineStr">
        <is>
          <t>精英怪</t>
        </is>
      </c>
      <c r="D3022" t="n">
        <v>2657856</v>
      </c>
      <c r="E3022" t="n">
        <v>54673</v>
      </c>
      <c r="F3022" t="n">
        <v>37643</v>
      </c>
    </row>
    <row r="3023">
      <c r="A3023" t="inlineStr">
        <is>
          <t>336|精英盾怪</t>
        </is>
      </c>
      <c r="B3023" t="n">
        <v>336</v>
      </c>
      <c r="C3023" t="inlineStr">
        <is>
          <t>精英盾怪</t>
        </is>
      </c>
      <c r="D3023" t="n">
        <v>5980176</v>
      </c>
      <c r="E3023" t="n">
        <v>54673</v>
      </c>
      <c r="F3023" t="n">
        <v>37643</v>
      </c>
    </row>
    <row r="3024">
      <c r="A3024" t="inlineStr">
        <is>
          <t>336|Boss</t>
        </is>
      </c>
      <c r="B3024" t="n">
        <v>336</v>
      </c>
      <c r="C3024" t="inlineStr">
        <is>
          <t>Boss</t>
        </is>
      </c>
      <c r="D3024" t="n">
        <v>66118902</v>
      </c>
      <c r="E3024" t="n">
        <v>59264</v>
      </c>
      <c r="F3024" t="n">
        <v>37643</v>
      </c>
    </row>
    <row r="3025">
      <c r="A3025" t="inlineStr">
        <is>
          <t>336|装备副本Boss</t>
        </is>
      </c>
      <c r="B3025" t="n">
        <v>336</v>
      </c>
      <c r="C3025" t="inlineStr">
        <is>
          <t>装备副本Boss</t>
        </is>
      </c>
      <c r="D3025" t="n">
        <v>33059451</v>
      </c>
      <c r="E3025" t="n">
        <v>59264</v>
      </c>
      <c r="F3025" t="n">
        <v>37643</v>
      </c>
    </row>
    <row r="3026">
      <c r="A3026" t="inlineStr">
        <is>
          <t>337|普通怪</t>
        </is>
      </c>
      <c r="B3026" t="n">
        <v>337</v>
      </c>
      <c r="C3026" t="inlineStr">
        <is>
          <t>普通怪</t>
        </is>
      </c>
      <c r="D3026" t="n">
        <v>670242</v>
      </c>
      <c r="E3026" t="n">
        <v>55040</v>
      </c>
      <c r="F3026" t="n">
        <v>37793</v>
      </c>
    </row>
    <row r="3027">
      <c r="A3027" t="inlineStr">
        <is>
          <t>337|盾怪</t>
        </is>
      </c>
      <c r="B3027" t="n">
        <v>337</v>
      </c>
      <c r="C3027" t="inlineStr">
        <is>
          <t>盾怪</t>
        </is>
      </c>
      <c r="D3027" t="n">
        <v>2010726</v>
      </c>
      <c r="E3027" t="n">
        <v>55040</v>
      </c>
      <c r="F3027" t="n">
        <v>37793</v>
      </c>
    </row>
    <row r="3028">
      <c r="A3028" t="inlineStr">
        <is>
          <t>337|二级普通怪</t>
        </is>
      </c>
      <c r="B3028" t="n">
        <v>337</v>
      </c>
      <c r="C3028" t="inlineStr">
        <is>
          <t>二级普通怪</t>
        </is>
      </c>
      <c r="D3028" t="n">
        <v>1206436</v>
      </c>
      <c r="E3028" t="n">
        <v>55040</v>
      </c>
      <c r="F3028" t="n">
        <v>37793</v>
      </c>
    </row>
    <row r="3029">
      <c r="A3029" t="inlineStr">
        <is>
          <t>337|站桩怪</t>
        </is>
      </c>
      <c r="B3029" t="n">
        <v>337</v>
      </c>
      <c r="C3029" t="inlineStr">
        <is>
          <t>站桩怪</t>
        </is>
      </c>
      <c r="D3029" t="n">
        <v>335121</v>
      </c>
      <c r="E3029" t="n">
        <v>55040</v>
      </c>
      <c r="F3029" t="n">
        <v>37793</v>
      </c>
    </row>
    <row r="3030">
      <c r="A3030" t="inlineStr">
        <is>
          <t>337|炮灰怪</t>
        </is>
      </c>
      <c r="B3030" t="n">
        <v>337</v>
      </c>
      <c r="C3030" t="inlineStr">
        <is>
          <t>炮灰怪</t>
        </is>
      </c>
      <c r="D3030" t="n">
        <v>100537</v>
      </c>
      <c r="E3030" t="n">
        <v>55040</v>
      </c>
      <c r="F3030" t="n">
        <v>37793</v>
      </c>
    </row>
    <row r="3031">
      <c r="A3031" t="inlineStr">
        <is>
          <t>337|精英怪</t>
        </is>
      </c>
      <c r="B3031" t="n">
        <v>337</v>
      </c>
      <c r="C3031" t="inlineStr">
        <is>
          <t>精英怪</t>
        </is>
      </c>
      <c r="D3031" t="n">
        <v>2680968</v>
      </c>
      <c r="E3031" t="n">
        <v>55040</v>
      </c>
      <c r="F3031" t="n">
        <v>37793</v>
      </c>
    </row>
    <row r="3032">
      <c r="A3032" t="inlineStr">
        <is>
          <t>337|精英盾怪</t>
        </is>
      </c>
      <c r="B3032" t="n">
        <v>337</v>
      </c>
      <c r="C3032" t="inlineStr">
        <is>
          <t>精英盾怪</t>
        </is>
      </c>
      <c r="D3032" t="n">
        <v>6032178</v>
      </c>
      <c r="E3032" t="n">
        <v>55040</v>
      </c>
      <c r="F3032" t="n">
        <v>37793</v>
      </c>
    </row>
    <row r="3033">
      <c r="A3033" t="inlineStr">
        <is>
          <t>337|Boss</t>
        </is>
      </c>
      <c r="B3033" t="n">
        <v>337</v>
      </c>
      <c r="C3033" t="inlineStr">
        <is>
          <t>Boss</t>
        </is>
      </c>
      <c r="D3033" t="n">
        <v>66737022</v>
      </c>
      <c r="E3033" t="n">
        <v>59648</v>
      </c>
      <c r="F3033" t="n">
        <v>37793</v>
      </c>
    </row>
    <row r="3034">
      <c r="A3034" t="inlineStr">
        <is>
          <t>337|装备副本Boss</t>
        </is>
      </c>
      <c r="B3034" t="n">
        <v>337</v>
      </c>
      <c r="C3034" t="inlineStr">
        <is>
          <t>装备副本Boss</t>
        </is>
      </c>
      <c r="D3034" t="n">
        <v>33368511</v>
      </c>
      <c r="E3034" t="n">
        <v>59648</v>
      </c>
      <c r="F3034" t="n">
        <v>37793</v>
      </c>
    </row>
    <row r="3035">
      <c r="A3035" t="inlineStr">
        <is>
          <t>338|普通怪</t>
        </is>
      </c>
      <c r="B3035" t="n">
        <v>338</v>
      </c>
      <c r="C3035" t="inlineStr">
        <is>
          <t>普通怪</t>
        </is>
      </c>
      <c r="D3035" t="n">
        <v>676060</v>
      </c>
      <c r="E3035" t="n">
        <v>55409</v>
      </c>
      <c r="F3035" t="n">
        <v>37944</v>
      </c>
    </row>
    <row r="3036">
      <c r="A3036" t="inlineStr">
        <is>
          <t>338|盾怪</t>
        </is>
      </c>
      <c r="B3036" t="n">
        <v>338</v>
      </c>
      <c r="C3036" t="inlineStr">
        <is>
          <t>盾怪</t>
        </is>
      </c>
      <c r="D3036" t="n">
        <v>2028180</v>
      </c>
      <c r="E3036" t="n">
        <v>55409</v>
      </c>
      <c r="F3036" t="n">
        <v>37944</v>
      </c>
    </row>
    <row r="3037">
      <c r="A3037" t="inlineStr">
        <is>
          <t>338|二级普通怪</t>
        </is>
      </c>
      <c r="B3037" t="n">
        <v>338</v>
      </c>
      <c r="C3037" t="inlineStr">
        <is>
          <t>二级普通怪</t>
        </is>
      </c>
      <c r="D3037" t="n">
        <v>1216908</v>
      </c>
      <c r="E3037" t="n">
        <v>55409</v>
      </c>
      <c r="F3037" t="n">
        <v>37944</v>
      </c>
    </row>
    <row r="3038">
      <c r="A3038" t="inlineStr">
        <is>
          <t>338|站桩怪</t>
        </is>
      </c>
      <c r="B3038" t="n">
        <v>338</v>
      </c>
      <c r="C3038" t="inlineStr">
        <is>
          <t>站桩怪</t>
        </is>
      </c>
      <c r="D3038" t="n">
        <v>338030</v>
      </c>
      <c r="E3038" t="n">
        <v>55409</v>
      </c>
      <c r="F3038" t="n">
        <v>37944</v>
      </c>
    </row>
    <row r="3039">
      <c r="A3039" t="inlineStr">
        <is>
          <t>338|炮灰怪</t>
        </is>
      </c>
      <c r="B3039" t="n">
        <v>338</v>
      </c>
      <c r="C3039" t="inlineStr">
        <is>
          <t>炮灰怪</t>
        </is>
      </c>
      <c r="D3039" t="n">
        <v>101409</v>
      </c>
      <c r="E3039" t="n">
        <v>55409</v>
      </c>
      <c r="F3039" t="n">
        <v>37944</v>
      </c>
    </row>
    <row r="3040">
      <c r="A3040" t="inlineStr">
        <is>
          <t>338|精英怪</t>
        </is>
      </c>
      <c r="B3040" t="n">
        <v>338</v>
      </c>
      <c r="C3040" t="inlineStr">
        <is>
          <t>精英怪</t>
        </is>
      </c>
      <c r="D3040" t="n">
        <v>2704240</v>
      </c>
      <c r="E3040" t="n">
        <v>55409</v>
      </c>
      <c r="F3040" t="n">
        <v>37944</v>
      </c>
    </row>
    <row r="3041">
      <c r="A3041" t="inlineStr">
        <is>
          <t>338|精英盾怪</t>
        </is>
      </c>
      <c r="B3041" t="n">
        <v>338</v>
      </c>
      <c r="C3041" t="inlineStr">
        <is>
          <t>精英盾怪</t>
        </is>
      </c>
      <c r="D3041" t="n">
        <v>6084540</v>
      </c>
      <c r="E3041" t="n">
        <v>55409</v>
      </c>
      <c r="F3041" t="n">
        <v>37944</v>
      </c>
    </row>
    <row r="3042">
      <c r="A3042" t="inlineStr">
        <is>
          <t>338|Boss</t>
        </is>
      </c>
      <c r="B3042" t="n">
        <v>338</v>
      </c>
      <c r="C3042" t="inlineStr">
        <is>
          <t>Boss</t>
        </is>
      </c>
      <c r="D3042" t="n">
        <v>67359783</v>
      </c>
      <c r="E3042" t="n">
        <v>60034</v>
      </c>
      <c r="F3042" t="n">
        <v>37944</v>
      </c>
    </row>
    <row r="3043">
      <c r="A3043" t="inlineStr">
        <is>
          <t>338|装备副本Boss</t>
        </is>
      </c>
      <c r="B3043" t="n">
        <v>338</v>
      </c>
      <c r="C3043" t="inlineStr">
        <is>
          <t>装备副本Boss</t>
        </is>
      </c>
      <c r="D3043" t="n">
        <v>33679892</v>
      </c>
      <c r="E3043" t="n">
        <v>60034</v>
      </c>
      <c r="F3043" t="n">
        <v>37944</v>
      </c>
    </row>
    <row r="3044">
      <c r="A3044" t="inlineStr">
        <is>
          <t>339|普通怪</t>
        </is>
      </c>
      <c r="B3044" t="n">
        <v>339</v>
      </c>
      <c r="C3044" t="inlineStr">
        <is>
          <t>普通怪</t>
        </is>
      </c>
      <c r="D3044" t="n">
        <v>681916</v>
      </c>
      <c r="E3044" t="n">
        <v>55780</v>
      </c>
      <c r="F3044" t="n">
        <v>38095</v>
      </c>
    </row>
    <row r="3045">
      <c r="A3045" t="inlineStr">
        <is>
          <t>339|盾怪</t>
        </is>
      </c>
      <c r="B3045" t="n">
        <v>339</v>
      </c>
      <c r="C3045" t="inlineStr">
        <is>
          <t>盾怪</t>
        </is>
      </c>
      <c r="D3045" t="n">
        <v>2045748</v>
      </c>
      <c r="E3045" t="n">
        <v>55780</v>
      </c>
      <c r="F3045" t="n">
        <v>38095</v>
      </c>
    </row>
    <row r="3046">
      <c r="A3046" t="inlineStr">
        <is>
          <t>339|二级普通怪</t>
        </is>
      </c>
      <c r="B3046" t="n">
        <v>339</v>
      </c>
      <c r="C3046" t="inlineStr">
        <is>
          <t>二级普通怪</t>
        </is>
      </c>
      <c r="D3046" t="n">
        <v>1227449</v>
      </c>
      <c r="E3046" t="n">
        <v>55780</v>
      </c>
      <c r="F3046" t="n">
        <v>38095</v>
      </c>
    </row>
    <row r="3047">
      <c r="A3047" t="inlineStr">
        <is>
          <t>339|站桩怪</t>
        </is>
      </c>
      <c r="B3047" t="n">
        <v>339</v>
      </c>
      <c r="C3047" t="inlineStr">
        <is>
          <t>站桩怪</t>
        </is>
      </c>
      <c r="D3047" t="n">
        <v>340958</v>
      </c>
      <c r="E3047" t="n">
        <v>55780</v>
      </c>
      <c r="F3047" t="n">
        <v>38095</v>
      </c>
    </row>
    <row r="3048">
      <c r="A3048" t="inlineStr">
        <is>
          <t>339|炮灰怪</t>
        </is>
      </c>
      <c r="B3048" t="n">
        <v>339</v>
      </c>
      <c r="C3048" t="inlineStr">
        <is>
          <t>炮灰怪</t>
        </is>
      </c>
      <c r="D3048" t="n">
        <v>102288</v>
      </c>
      <c r="E3048" t="n">
        <v>55780</v>
      </c>
      <c r="F3048" t="n">
        <v>38095</v>
      </c>
    </row>
    <row r="3049">
      <c r="A3049" t="inlineStr">
        <is>
          <t>339|精英怪</t>
        </is>
      </c>
      <c r="B3049" t="n">
        <v>339</v>
      </c>
      <c r="C3049" t="inlineStr">
        <is>
          <t>精英怪</t>
        </is>
      </c>
      <c r="D3049" t="n">
        <v>2727664</v>
      </c>
      <c r="E3049" t="n">
        <v>55780</v>
      </c>
      <c r="F3049" t="n">
        <v>38095</v>
      </c>
    </row>
    <row r="3050">
      <c r="A3050" t="inlineStr">
        <is>
          <t>339|精英盾怪</t>
        </is>
      </c>
      <c r="B3050" t="n">
        <v>339</v>
      </c>
      <c r="C3050" t="inlineStr">
        <is>
          <t>精英盾怪</t>
        </is>
      </c>
      <c r="D3050" t="n">
        <v>6137244</v>
      </c>
      <c r="E3050" t="n">
        <v>55780</v>
      </c>
      <c r="F3050" t="n">
        <v>38095</v>
      </c>
    </row>
    <row r="3051">
      <c r="A3051" t="inlineStr">
        <is>
          <t>339|Boss</t>
        </is>
      </c>
      <c r="B3051" t="n">
        <v>339</v>
      </c>
      <c r="C3051" t="inlineStr">
        <is>
          <t>Boss</t>
        </is>
      </c>
      <c r="D3051" t="n">
        <v>67987134</v>
      </c>
      <c r="E3051" t="n">
        <v>60422</v>
      </c>
      <c r="F3051" t="n">
        <v>38095</v>
      </c>
    </row>
    <row r="3052">
      <c r="A3052" t="inlineStr">
        <is>
          <t>339|装备副本Boss</t>
        </is>
      </c>
      <c r="B3052" t="n">
        <v>339</v>
      </c>
      <c r="C3052" t="inlineStr">
        <is>
          <t>装备副本Boss</t>
        </is>
      </c>
      <c r="D3052" t="n">
        <v>33993567</v>
      </c>
      <c r="E3052" t="n">
        <v>60422</v>
      </c>
      <c r="F3052" t="n">
        <v>38095</v>
      </c>
    </row>
    <row r="3053">
      <c r="A3053" t="inlineStr">
        <is>
          <t>340|普通怪</t>
        </is>
      </c>
      <c r="B3053" t="n">
        <v>340</v>
      </c>
      <c r="C3053" t="inlineStr">
        <is>
          <t>普通怪</t>
        </is>
      </c>
      <c r="D3053" t="n">
        <v>687812</v>
      </c>
      <c r="E3053" t="n">
        <v>56154</v>
      </c>
      <c r="F3053" t="n">
        <v>38246</v>
      </c>
    </row>
    <row r="3054">
      <c r="A3054" t="inlineStr">
        <is>
          <t>340|盾怪</t>
        </is>
      </c>
      <c r="B3054" t="n">
        <v>340</v>
      </c>
      <c r="C3054" t="inlineStr">
        <is>
          <t>盾怪</t>
        </is>
      </c>
      <c r="D3054" t="n">
        <v>2063436</v>
      </c>
      <c r="E3054" t="n">
        <v>56154</v>
      </c>
      <c r="F3054" t="n">
        <v>38246</v>
      </c>
    </row>
    <row r="3055">
      <c r="A3055" t="inlineStr">
        <is>
          <t>340|二级普通怪</t>
        </is>
      </c>
      <c r="B3055" t="n">
        <v>340</v>
      </c>
      <c r="C3055" t="inlineStr">
        <is>
          <t>二级普通怪</t>
        </is>
      </c>
      <c r="D3055" t="n">
        <v>1238062</v>
      </c>
      <c r="E3055" t="n">
        <v>56154</v>
      </c>
      <c r="F3055" t="n">
        <v>38246</v>
      </c>
    </row>
    <row r="3056">
      <c r="A3056" t="inlineStr">
        <is>
          <t>340|站桩怪</t>
        </is>
      </c>
      <c r="B3056" t="n">
        <v>340</v>
      </c>
      <c r="C3056" t="inlineStr">
        <is>
          <t>站桩怪</t>
        </is>
      </c>
      <c r="D3056" t="n">
        <v>343906</v>
      </c>
      <c r="E3056" t="n">
        <v>56154</v>
      </c>
      <c r="F3056" t="n">
        <v>38246</v>
      </c>
    </row>
    <row r="3057">
      <c r="A3057" t="inlineStr">
        <is>
          <t>340|炮灰怪</t>
        </is>
      </c>
      <c r="B3057" t="n">
        <v>340</v>
      </c>
      <c r="C3057" t="inlineStr">
        <is>
          <t>炮灰怪</t>
        </is>
      </c>
      <c r="D3057" t="n">
        <v>103172</v>
      </c>
      <c r="E3057" t="n">
        <v>56154</v>
      </c>
      <c r="F3057" t="n">
        <v>38246</v>
      </c>
    </row>
    <row r="3058">
      <c r="A3058" t="inlineStr">
        <is>
          <t>340|精英怪</t>
        </is>
      </c>
      <c r="B3058" t="n">
        <v>340</v>
      </c>
      <c r="C3058" t="inlineStr">
        <is>
          <t>精英怪</t>
        </is>
      </c>
      <c r="D3058" t="n">
        <v>2751248</v>
      </c>
      <c r="E3058" t="n">
        <v>56154</v>
      </c>
      <c r="F3058" t="n">
        <v>38246</v>
      </c>
    </row>
    <row r="3059">
      <c r="A3059" t="inlineStr">
        <is>
          <t>340|精英盾怪</t>
        </is>
      </c>
      <c r="B3059" t="n">
        <v>340</v>
      </c>
      <c r="C3059" t="inlineStr">
        <is>
          <t>精英盾怪</t>
        </is>
      </c>
      <c r="D3059" t="n">
        <v>6190308</v>
      </c>
      <c r="E3059" t="n">
        <v>56154</v>
      </c>
      <c r="F3059" t="n">
        <v>38246</v>
      </c>
    </row>
    <row r="3060">
      <c r="A3060" t="inlineStr">
        <is>
          <t>340|Boss</t>
        </is>
      </c>
      <c r="B3060" t="n">
        <v>340</v>
      </c>
      <c r="C3060" t="inlineStr">
        <is>
          <t>Boss</t>
        </is>
      </c>
      <c r="D3060" t="n">
        <v>68619177</v>
      </c>
      <c r="E3060" t="n">
        <v>60813</v>
      </c>
      <c r="F3060" t="n">
        <v>38246</v>
      </c>
    </row>
    <row r="3061">
      <c r="A3061" t="inlineStr">
        <is>
          <t>340|装备副本Boss</t>
        </is>
      </c>
      <c r="B3061" t="n">
        <v>340</v>
      </c>
      <c r="C3061" t="inlineStr">
        <is>
          <t>装备副本Boss</t>
        </is>
      </c>
      <c r="D3061" t="n">
        <v>34309588</v>
      </c>
      <c r="E3061" t="n">
        <v>60813</v>
      </c>
      <c r="F3061" t="n">
        <v>38246</v>
      </c>
    </row>
    <row r="3062">
      <c r="A3062" t="inlineStr">
        <is>
          <t>341|普通怪</t>
        </is>
      </c>
      <c r="B3062" t="n">
        <v>341</v>
      </c>
      <c r="C3062" t="inlineStr">
        <is>
          <t>普通怪</t>
        </is>
      </c>
      <c r="D3062" t="n">
        <v>693747</v>
      </c>
      <c r="E3062" t="n">
        <v>56528</v>
      </c>
      <c r="F3062" t="n">
        <v>38397</v>
      </c>
    </row>
    <row r="3063">
      <c r="A3063" t="inlineStr">
        <is>
          <t>341|盾怪</t>
        </is>
      </c>
      <c r="B3063" t="n">
        <v>341</v>
      </c>
      <c r="C3063" t="inlineStr">
        <is>
          <t>盾怪</t>
        </is>
      </c>
      <c r="D3063" t="n">
        <v>2081241</v>
      </c>
      <c r="E3063" t="n">
        <v>56528</v>
      </c>
      <c r="F3063" t="n">
        <v>38397</v>
      </c>
    </row>
    <row r="3064">
      <c r="A3064" t="inlineStr">
        <is>
          <t>341|二级普通怪</t>
        </is>
      </c>
      <c r="B3064" t="n">
        <v>341</v>
      </c>
      <c r="C3064" t="inlineStr">
        <is>
          <t>二级普通怪</t>
        </is>
      </c>
      <c r="D3064" t="n">
        <v>1248745</v>
      </c>
      <c r="E3064" t="n">
        <v>56528</v>
      </c>
      <c r="F3064" t="n">
        <v>38397</v>
      </c>
    </row>
    <row r="3065">
      <c r="A3065" t="inlineStr">
        <is>
          <t>341|站桩怪</t>
        </is>
      </c>
      <c r="B3065" t="n">
        <v>341</v>
      </c>
      <c r="C3065" t="inlineStr">
        <is>
          <t>站桩怪</t>
        </is>
      </c>
      <c r="D3065" t="n">
        <v>346874</v>
      </c>
      <c r="E3065" t="n">
        <v>56528</v>
      </c>
      <c r="F3065" t="n">
        <v>38397</v>
      </c>
    </row>
    <row r="3066">
      <c r="A3066" t="inlineStr">
        <is>
          <t>341|炮灰怪</t>
        </is>
      </c>
      <c r="B3066" t="n">
        <v>341</v>
      </c>
      <c r="C3066" t="inlineStr">
        <is>
          <t>炮灰怪</t>
        </is>
      </c>
      <c r="D3066" t="n">
        <v>104063</v>
      </c>
      <c r="E3066" t="n">
        <v>56528</v>
      </c>
      <c r="F3066" t="n">
        <v>38397</v>
      </c>
    </row>
    <row r="3067">
      <c r="A3067" t="inlineStr">
        <is>
          <t>341|精英怪</t>
        </is>
      </c>
      <c r="B3067" t="n">
        <v>341</v>
      </c>
      <c r="C3067" t="inlineStr">
        <is>
          <t>精英怪</t>
        </is>
      </c>
      <c r="D3067" t="n">
        <v>2774988</v>
      </c>
      <c r="E3067" t="n">
        <v>56528</v>
      </c>
      <c r="F3067" t="n">
        <v>38397</v>
      </c>
    </row>
    <row r="3068">
      <c r="A3068" t="inlineStr">
        <is>
          <t>341|精英盾怪</t>
        </is>
      </c>
      <c r="B3068" t="n">
        <v>341</v>
      </c>
      <c r="C3068" t="inlineStr">
        <is>
          <t>精英盾怪</t>
        </is>
      </c>
      <c r="D3068" t="n">
        <v>6243723</v>
      </c>
      <c r="E3068" t="n">
        <v>56528</v>
      </c>
      <c r="F3068" t="n">
        <v>38397</v>
      </c>
    </row>
    <row r="3069">
      <c r="A3069" t="inlineStr">
        <is>
          <t>341|Boss</t>
        </is>
      </c>
      <c r="B3069" t="n">
        <v>341</v>
      </c>
      <c r="C3069" t="inlineStr">
        <is>
          <t>Boss</t>
        </is>
      </c>
      <c r="D3069" t="n">
        <v>69255912</v>
      </c>
      <c r="E3069" t="n">
        <v>61205</v>
      </c>
      <c r="F3069" t="n">
        <v>38397</v>
      </c>
    </row>
    <row r="3070">
      <c r="A3070" t="inlineStr">
        <is>
          <t>341|装备副本Boss</t>
        </is>
      </c>
      <c r="B3070" t="n">
        <v>341</v>
      </c>
      <c r="C3070" t="inlineStr">
        <is>
          <t>装备副本Boss</t>
        </is>
      </c>
      <c r="D3070" t="n">
        <v>34627956</v>
      </c>
      <c r="E3070" t="n">
        <v>61205</v>
      </c>
      <c r="F3070" t="n">
        <v>38397</v>
      </c>
    </row>
    <row r="3071">
      <c r="A3071" t="inlineStr">
        <is>
          <t>342|普通怪</t>
        </is>
      </c>
      <c r="B3071" t="n">
        <v>342</v>
      </c>
      <c r="C3071" t="inlineStr">
        <is>
          <t>普通怪</t>
        </is>
      </c>
      <c r="D3071" t="n">
        <v>699722</v>
      </c>
      <c r="E3071" t="n">
        <v>56905</v>
      </c>
      <c r="F3071" t="n">
        <v>38548</v>
      </c>
    </row>
    <row r="3072">
      <c r="A3072" t="inlineStr">
        <is>
          <t>342|盾怪</t>
        </is>
      </c>
      <c r="B3072" t="n">
        <v>342</v>
      </c>
      <c r="C3072" t="inlineStr">
        <is>
          <t>盾怪</t>
        </is>
      </c>
      <c r="D3072" t="n">
        <v>2099166</v>
      </c>
      <c r="E3072" t="n">
        <v>56905</v>
      </c>
      <c r="F3072" t="n">
        <v>38548</v>
      </c>
    </row>
    <row r="3073">
      <c r="A3073" t="inlineStr">
        <is>
          <t>342|二级普通怪</t>
        </is>
      </c>
      <c r="B3073" t="n">
        <v>342</v>
      </c>
      <c r="C3073" t="inlineStr">
        <is>
          <t>二级普通怪</t>
        </is>
      </c>
      <c r="D3073" t="n">
        <v>1259500</v>
      </c>
      <c r="E3073" t="n">
        <v>56905</v>
      </c>
      <c r="F3073" t="n">
        <v>38548</v>
      </c>
    </row>
    <row r="3074">
      <c r="A3074" t="inlineStr">
        <is>
          <t>342|站桩怪</t>
        </is>
      </c>
      <c r="B3074" t="n">
        <v>342</v>
      </c>
      <c r="C3074" t="inlineStr">
        <is>
          <t>站桩怪</t>
        </is>
      </c>
      <c r="D3074" t="n">
        <v>349861</v>
      </c>
      <c r="E3074" t="n">
        <v>56905</v>
      </c>
      <c r="F3074" t="n">
        <v>38548</v>
      </c>
    </row>
    <row r="3075">
      <c r="A3075" t="inlineStr">
        <is>
          <t>342|炮灰怪</t>
        </is>
      </c>
      <c r="B3075" t="n">
        <v>342</v>
      </c>
      <c r="C3075" t="inlineStr">
        <is>
          <t>炮灰怪</t>
        </is>
      </c>
      <c r="D3075" t="n">
        <v>104959</v>
      </c>
      <c r="E3075" t="n">
        <v>56905</v>
      </c>
      <c r="F3075" t="n">
        <v>38548</v>
      </c>
    </row>
    <row r="3076">
      <c r="A3076" t="inlineStr">
        <is>
          <t>342|精英怪</t>
        </is>
      </c>
      <c r="B3076" t="n">
        <v>342</v>
      </c>
      <c r="C3076" t="inlineStr">
        <is>
          <t>精英怪</t>
        </is>
      </c>
      <c r="D3076" t="n">
        <v>2798888</v>
      </c>
      <c r="E3076" t="n">
        <v>56905</v>
      </c>
      <c r="F3076" t="n">
        <v>38548</v>
      </c>
    </row>
    <row r="3077">
      <c r="A3077" t="inlineStr">
        <is>
          <t>342|精英盾怪</t>
        </is>
      </c>
      <c r="B3077" t="n">
        <v>342</v>
      </c>
      <c r="C3077" t="inlineStr">
        <is>
          <t>精英盾怪</t>
        </is>
      </c>
      <c r="D3077" t="n">
        <v>6297498</v>
      </c>
      <c r="E3077" t="n">
        <v>56905</v>
      </c>
      <c r="F3077" t="n">
        <v>38548</v>
      </c>
    </row>
    <row r="3078">
      <c r="A3078" t="inlineStr">
        <is>
          <t>342|Boss</t>
        </is>
      </c>
      <c r="B3078" t="n">
        <v>342</v>
      </c>
      <c r="C3078" t="inlineStr">
        <is>
          <t>Boss</t>
        </is>
      </c>
      <c r="D3078" t="n">
        <v>69897339</v>
      </c>
      <c r="E3078" t="n">
        <v>61599</v>
      </c>
      <c r="F3078" t="n">
        <v>38548</v>
      </c>
    </row>
    <row r="3079">
      <c r="A3079" t="inlineStr">
        <is>
          <t>342|装备副本Boss</t>
        </is>
      </c>
      <c r="B3079" t="n">
        <v>342</v>
      </c>
      <c r="C3079" t="inlineStr">
        <is>
          <t>装备副本Boss</t>
        </is>
      </c>
      <c r="D3079" t="n">
        <v>34948669</v>
      </c>
      <c r="E3079" t="n">
        <v>61599</v>
      </c>
      <c r="F3079" t="n">
        <v>38548</v>
      </c>
    </row>
    <row r="3080">
      <c r="A3080" t="inlineStr">
        <is>
          <t>343|普通怪</t>
        </is>
      </c>
      <c r="B3080" t="n">
        <v>343</v>
      </c>
      <c r="C3080" t="inlineStr">
        <is>
          <t>普通怪</t>
        </is>
      </c>
      <c r="D3080" t="n">
        <v>705737</v>
      </c>
      <c r="E3080" t="n">
        <v>57284</v>
      </c>
      <c r="F3080" t="n">
        <v>38700</v>
      </c>
    </row>
    <row r="3081">
      <c r="A3081" t="inlineStr">
        <is>
          <t>343|盾怪</t>
        </is>
      </c>
      <c r="B3081" t="n">
        <v>343</v>
      </c>
      <c r="C3081" t="inlineStr">
        <is>
          <t>盾怪</t>
        </is>
      </c>
      <c r="D3081" t="n">
        <v>2117211</v>
      </c>
      <c r="E3081" t="n">
        <v>57284</v>
      </c>
      <c r="F3081" t="n">
        <v>38700</v>
      </c>
    </row>
    <row r="3082">
      <c r="A3082" t="inlineStr">
        <is>
          <t>343|二级普通怪</t>
        </is>
      </c>
      <c r="B3082" t="n">
        <v>343</v>
      </c>
      <c r="C3082" t="inlineStr">
        <is>
          <t>二级普通怪</t>
        </is>
      </c>
      <c r="D3082" t="n">
        <v>1270327</v>
      </c>
      <c r="E3082" t="n">
        <v>57284</v>
      </c>
      <c r="F3082" t="n">
        <v>38700</v>
      </c>
    </row>
    <row r="3083">
      <c r="A3083" t="inlineStr">
        <is>
          <t>343|站桩怪</t>
        </is>
      </c>
      <c r="B3083" t="n">
        <v>343</v>
      </c>
      <c r="C3083" t="inlineStr">
        <is>
          <t>站桩怪</t>
        </is>
      </c>
      <c r="D3083" t="n">
        <v>352869</v>
      </c>
      <c r="E3083" t="n">
        <v>57284</v>
      </c>
      <c r="F3083" t="n">
        <v>38700</v>
      </c>
    </row>
    <row r="3084">
      <c r="A3084" t="inlineStr">
        <is>
          <t>343|炮灰怪</t>
        </is>
      </c>
      <c r="B3084" t="n">
        <v>343</v>
      </c>
      <c r="C3084" t="inlineStr">
        <is>
          <t>炮灰怪</t>
        </is>
      </c>
      <c r="D3084" t="n">
        <v>105861</v>
      </c>
      <c r="E3084" t="n">
        <v>57284</v>
      </c>
      <c r="F3084" t="n">
        <v>38700</v>
      </c>
    </row>
    <row r="3085">
      <c r="A3085" t="inlineStr">
        <is>
          <t>343|精英怪</t>
        </is>
      </c>
      <c r="B3085" t="n">
        <v>343</v>
      </c>
      <c r="C3085" t="inlineStr">
        <is>
          <t>精英怪</t>
        </is>
      </c>
      <c r="D3085" t="n">
        <v>2822948</v>
      </c>
      <c r="E3085" t="n">
        <v>57284</v>
      </c>
      <c r="F3085" t="n">
        <v>38700</v>
      </c>
    </row>
    <row r="3086">
      <c r="A3086" t="inlineStr">
        <is>
          <t>343|精英盾怪</t>
        </is>
      </c>
      <c r="B3086" t="n">
        <v>343</v>
      </c>
      <c r="C3086" t="inlineStr">
        <is>
          <t>精英盾怪</t>
        </is>
      </c>
      <c r="D3086" t="n">
        <v>6351633</v>
      </c>
      <c r="E3086" t="n">
        <v>57284</v>
      </c>
      <c r="F3086" t="n">
        <v>38700</v>
      </c>
    </row>
    <row r="3087">
      <c r="A3087" t="inlineStr">
        <is>
          <t>343|Boss</t>
        </is>
      </c>
      <c r="B3087" t="n">
        <v>343</v>
      </c>
      <c r="C3087" t="inlineStr">
        <is>
          <t>Boss</t>
        </is>
      </c>
      <c r="D3087" t="n">
        <v>70543458</v>
      </c>
      <c r="E3087" t="n">
        <v>61995</v>
      </c>
      <c r="F3087" t="n">
        <v>38700</v>
      </c>
    </row>
    <row r="3088">
      <c r="A3088" t="inlineStr">
        <is>
          <t>343|装备副本Boss</t>
        </is>
      </c>
      <c r="B3088" t="n">
        <v>343</v>
      </c>
      <c r="C3088" t="inlineStr">
        <is>
          <t>装备副本Boss</t>
        </is>
      </c>
      <c r="D3088" t="n">
        <v>35271729</v>
      </c>
      <c r="E3088" t="n">
        <v>61995</v>
      </c>
      <c r="F3088" t="n">
        <v>38700</v>
      </c>
    </row>
    <row r="3089">
      <c r="A3089" t="inlineStr">
        <is>
          <t>344|普通怪</t>
        </is>
      </c>
      <c r="B3089" t="n">
        <v>344</v>
      </c>
      <c r="C3089" t="inlineStr">
        <is>
          <t>普通怪</t>
        </is>
      </c>
      <c r="D3089" t="n">
        <v>711793</v>
      </c>
      <c r="E3089" t="n">
        <v>57665</v>
      </c>
      <c r="F3089" t="n">
        <v>38852</v>
      </c>
    </row>
    <row r="3090">
      <c r="A3090" t="inlineStr">
        <is>
          <t>344|盾怪</t>
        </is>
      </c>
      <c r="B3090" t="n">
        <v>344</v>
      </c>
      <c r="C3090" t="inlineStr">
        <is>
          <t>盾怪</t>
        </is>
      </c>
      <c r="D3090" t="n">
        <v>2135379</v>
      </c>
      <c r="E3090" t="n">
        <v>57665</v>
      </c>
      <c r="F3090" t="n">
        <v>38852</v>
      </c>
    </row>
    <row r="3091">
      <c r="A3091" t="inlineStr">
        <is>
          <t>344|二级普通怪</t>
        </is>
      </c>
      <c r="B3091" t="n">
        <v>344</v>
      </c>
      <c r="C3091" t="inlineStr">
        <is>
          <t>二级普通怪</t>
        </is>
      </c>
      <c r="D3091" t="n">
        <v>1281228</v>
      </c>
      <c r="E3091" t="n">
        <v>57665</v>
      </c>
      <c r="F3091" t="n">
        <v>38852</v>
      </c>
    </row>
    <row r="3092">
      <c r="A3092" t="inlineStr">
        <is>
          <t>344|站桩怪</t>
        </is>
      </c>
      <c r="B3092" t="n">
        <v>344</v>
      </c>
      <c r="C3092" t="inlineStr">
        <is>
          <t>站桩怪</t>
        </is>
      </c>
      <c r="D3092" t="n">
        <v>355897</v>
      </c>
      <c r="E3092" t="n">
        <v>57665</v>
      </c>
      <c r="F3092" t="n">
        <v>38852</v>
      </c>
    </row>
    <row r="3093">
      <c r="A3093" t="inlineStr">
        <is>
          <t>344|炮灰怪</t>
        </is>
      </c>
      <c r="B3093" t="n">
        <v>344</v>
      </c>
      <c r="C3093" t="inlineStr">
        <is>
          <t>炮灰怪</t>
        </is>
      </c>
      <c r="D3093" t="n">
        <v>106769</v>
      </c>
      <c r="E3093" t="n">
        <v>57665</v>
      </c>
      <c r="F3093" t="n">
        <v>38852</v>
      </c>
    </row>
    <row r="3094">
      <c r="A3094" t="inlineStr">
        <is>
          <t>344|精英怪</t>
        </is>
      </c>
      <c r="B3094" t="n">
        <v>344</v>
      </c>
      <c r="C3094" t="inlineStr">
        <is>
          <t>精英怪</t>
        </is>
      </c>
      <c r="D3094" t="n">
        <v>2847172</v>
      </c>
      <c r="E3094" t="n">
        <v>57665</v>
      </c>
      <c r="F3094" t="n">
        <v>38852</v>
      </c>
    </row>
    <row r="3095">
      <c r="A3095" t="inlineStr">
        <is>
          <t>344|精英盾怪</t>
        </is>
      </c>
      <c r="B3095" t="n">
        <v>344</v>
      </c>
      <c r="C3095" t="inlineStr">
        <is>
          <t>精英盾怪</t>
        </is>
      </c>
      <c r="D3095" t="n">
        <v>6406137</v>
      </c>
      <c r="E3095" t="n">
        <v>57665</v>
      </c>
      <c r="F3095" t="n">
        <v>38852</v>
      </c>
    </row>
    <row r="3096">
      <c r="A3096" t="inlineStr">
        <is>
          <t>344|Boss</t>
        </is>
      </c>
      <c r="B3096" t="n">
        <v>344</v>
      </c>
      <c r="C3096" t="inlineStr">
        <is>
          <t>Boss</t>
        </is>
      </c>
      <c r="D3096" t="n">
        <v>71194421</v>
      </c>
      <c r="E3096" t="n">
        <v>62394</v>
      </c>
      <c r="F3096" t="n">
        <v>38852</v>
      </c>
    </row>
    <row r="3097">
      <c r="A3097" t="inlineStr">
        <is>
          <t>344|装备副本Boss</t>
        </is>
      </c>
      <c r="B3097" t="n">
        <v>344</v>
      </c>
      <c r="C3097" t="inlineStr">
        <is>
          <t>装备副本Boss</t>
        </is>
      </c>
      <c r="D3097" t="n">
        <v>35597211</v>
      </c>
      <c r="E3097" t="n">
        <v>62394</v>
      </c>
      <c r="F3097" t="n">
        <v>38852</v>
      </c>
    </row>
    <row r="3098">
      <c r="A3098" t="inlineStr">
        <is>
          <t>345|普通怪</t>
        </is>
      </c>
      <c r="B3098" t="n">
        <v>345</v>
      </c>
      <c r="C3098" t="inlineStr">
        <is>
          <t>普通怪</t>
        </is>
      </c>
      <c r="D3098" t="n">
        <v>717888</v>
      </c>
      <c r="E3098" t="n">
        <v>58048</v>
      </c>
      <c r="F3098" t="n">
        <v>39004</v>
      </c>
    </row>
    <row r="3099">
      <c r="A3099" t="inlineStr">
        <is>
          <t>345|盾怪</t>
        </is>
      </c>
      <c r="B3099" t="n">
        <v>345</v>
      </c>
      <c r="C3099" t="inlineStr">
        <is>
          <t>盾怪</t>
        </is>
      </c>
      <c r="D3099" t="n">
        <v>2153664</v>
      </c>
      <c r="E3099" t="n">
        <v>58048</v>
      </c>
      <c r="F3099" t="n">
        <v>39004</v>
      </c>
    </row>
    <row r="3100">
      <c r="A3100" t="inlineStr">
        <is>
          <t>345|二级普通怪</t>
        </is>
      </c>
      <c r="B3100" t="n">
        <v>345</v>
      </c>
      <c r="C3100" t="inlineStr">
        <is>
          <t>二级普通怪</t>
        </is>
      </c>
      <c r="D3100" t="n">
        <v>1292199</v>
      </c>
      <c r="E3100" t="n">
        <v>58048</v>
      </c>
      <c r="F3100" t="n">
        <v>39004</v>
      </c>
    </row>
    <row r="3101">
      <c r="A3101" t="inlineStr">
        <is>
          <t>345|站桩怪</t>
        </is>
      </c>
      <c r="B3101" t="n">
        <v>345</v>
      </c>
      <c r="C3101" t="inlineStr">
        <is>
          <t>站桩怪</t>
        </is>
      </c>
      <c r="D3101" t="n">
        <v>358944</v>
      </c>
      <c r="E3101" t="n">
        <v>58048</v>
      </c>
      <c r="F3101" t="n">
        <v>39004</v>
      </c>
    </row>
    <row r="3102">
      <c r="A3102" t="inlineStr">
        <is>
          <t>345|炮灰怪</t>
        </is>
      </c>
      <c r="B3102" t="n">
        <v>345</v>
      </c>
      <c r="C3102" t="inlineStr">
        <is>
          <t>炮灰怪</t>
        </is>
      </c>
      <c r="D3102" t="n">
        <v>107684</v>
      </c>
      <c r="E3102" t="n">
        <v>58048</v>
      </c>
      <c r="F3102" t="n">
        <v>39004</v>
      </c>
    </row>
    <row r="3103">
      <c r="A3103" t="inlineStr">
        <is>
          <t>345|精英怪</t>
        </is>
      </c>
      <c r="B3103" t="n">
        <v>345</v>
      </c>
      <c r="C3103" t="inlineStr">
        <is>
          <t>精英怪</t>
        </is>
      </c>
      <c r="D3103" t="n">
        <v>2871552</v>
      </c>
      <c r="E3103" t="n">
        <v>58048</v>
      </c>
      <c r="F3103" t="n">
        <v>39004</v>
      </c>
    </row>
    <row r="3104">
      <c r="A3104" t="inlineStr">
        <is>
          <t>345|精英盾怪</t>
        </is>
      </c>
      <c r="B3104" t="n">
        <v>345</v>
      </c>
      <c r="C3104" t="inlineStr">
        <is>
          <t>精英盾怪</t>
        </is>
      </c>
      <c r="D3104" t="n">
        <v>6460992</v>
      </c>
      <c r="E3104" t="n">
        <v>58048</v>
      </c>
      <c r="F3104" t="n">
        <v>39004</v>
      </c>
    </row>
    <row r="3105">
      <c r="A3105" t="inlineStr">
        <is>
          <t>345|Boss</t>
        </is>
      </c>
      <c r="B3105" t="n">
        <v>345</v>
      </c>
      <c r="C3105" t="inlineStr">
        <is>
          <t>Boss</t>
        </is>
      </c>
      <c r="D3105" t="n">
        <v>71850128</v>
      </c>
      <c r="E3105" t="n">
        <v>62794</v>
      </c>
      <c r="F3105" t="n">
        <v>39004</v>
      </c>
    </row>
    <row r="3106">
      <c r="A3106" t="inlineStr">
        <is>
          <t>345|装备副本Boss</t>
        </is>
      </c>
      <c r="B3106" t="n">
        <v>345</v>
      </c>
      <c r="C3106" t="inlineStr">
        <is>
          <t>装备副本Boss</t>
        </is>
      </c>
      <c r="D3106" t="n">
        <v>35925064</v>
      </c>
      <c r="E3106" t="n">
        <v>62794</v>
      </c>
      <c r="F3106" t="n">
        <v>39004</v>
      </c>
    </row>
    <row r="3107">
      <c r="A3107" t="inlineStr">
        <is>
          <t>346|普通怪</t>
        </is>
      </c>
      <c r="B3107" t="n">
        <v>346</v>
      </c>
      <c r="C3107" t="inlineStr">
        <is>
          <t>普通怪</t>
        </is>
      </c>
      <c r="D3107" t="n">
        <v>724025</v>
      </c>
      <c r="E3107" t="n">
        <v>58434</v>
      </c>
      <c r="F3107" t="n">
        <v>39157</v>
      </c>
    </row>
    <row r="3108">
      <c r="A3108" t="inlineStr">
        <is>
          <t>346|盾怪</t>
        </is>
      </c>
      <c r="B3108" t="n">
        <v>346</v>
      </c>
      <c r="C3108" t="inlineStr">
        <is>
          <t>盾怪</t>
        </is>
      </c>
      <c r="D3108" t="n">
        <v>2172075</v>
      </c>
      <c r="E3108" t="n">
        <v>58434</v>
      </c>
      <c r="F3108" t="n">
        <v>39157</v>
      </c>
    </row>
    <row r="3109">
      <c r="A3109" t="inlineStr">
        <is>
          <t>346|二级普通怪</t>
        </is>
      </c>
      <c r="B3109" t="n">
        <v>346</v>
      </c>
      <c r="C3109" t="inlineStr">
        <is>
          <t>二级普通怪</t>
        </is>
      </c>
      <c r="D3109" t="n">
        <v>1303245</v>
      </c>
      <c r="E3109" t="n">
        <v>58434</v>
      </c>
      <c r="F3109" t="n">
        <v>39157</v>
      </c>
    </row>
    <row r="3110">
      <c r="A3110" t="inlineStr">
        <is>
          <t>346|站桩怪</t>
        </is>
      </c>
      <c r="B3110" t="n">
        <v>346</v>
      </c>
      <c r="C3110" t="inlineStr">
        <is>
          <t>站桩怪</t>
        </is>
      </c>
      <c r="D3110" t="n">
        <v>362013</v>
      </c>
      <c r="E3110" t="n">
        <v>58434</v>
      </c>
      <c r="F3110" t="n">
        <v>39157</v>
      </c>
    </row>
    <row r="3111">
      <c r="A3111" t="inlineStr">
        <is>
          <t>346|炮灰怪</t>
        </is>
      </c>
      <c r="B3111" t="n">
        <v>346</v>
      </c>
      <c r="C3111" t="inlineStr">
        <is>
          <t>炮灰怪</t>
        </is>
      </c>
      <c r="D3111" t="n">
        <v>108604</v>
      </c>
      <c r="E3111" t="n">
        <v>58434</v>
      </c>
      <c r="F3111" t="n">
        <v>39157</v>
      </c>
    </row>
    <row r="3112">
      <c r="A3112" t="inlineStr">
        <is>
          <t>346|精英怪</t>
        </is>
      </c>
      <c r="B3112" t="n">
        <v>346</v>
      </c>
      <c r="C3112" t="inlineStr">
        <is>
          <t>精英怪</t>
        </is>
      </c>
      <c r="D3112" t="n">
        <v>2896100</v>
      </c>
      <c r="E3112" t="n">
        <v>58434</v>
      </c>
      <c r="F3112" t="n">
        <v>39157</v>
      </c>
    </row>
    <row r="3113">
      <c r="A3113" t="inlineStr">
        <is>
          <t>346|精英盾怪</t>
        </is>
      </c>
      <c r="B3113" t="n">
        <v>346</v>
      </c>
      <c r="C3113" t="inlineStr">
        <is>
          <t>精英盾怪</t>
        </is>
      </c>
      <c r="D3113" t="n">
        <v>6516225</v>
      </c>
      <c r="E3113" t="n">
        <v>58434</v>
      </c>
      <c r="F3113" t="n">
        <v>39157</v>
      </c>
    </row>
    <row r="3114">
      <c r="A3114" t="inlineStr">
        <is>
          <t>346|Boss</t>
        </is>
      </c>
      <c r="B3114" t="n">
        <v>346</v>
      </c>
      <c r="C3114" t="inlineStr">
        <is>
          <t>Boss</t>
        </is>
      </c>
      <c r="D3114" t="n">
        <v>72510680</v>
      </c>
      <c r="E3114" t="n">
        <v>63197</v>
      </c>
      <c r="F3114" t="n">
        <v>39157</v>
      </c>
    </row>
    <row r="3115">
      <c r="A3115" t="inlineStr">
        <is>
          <t>346|装备副本Boss</t>
        </is>
      </c>
      <c r="B3115" t="n">
        <v>346</v>
      </c>
      <c r="C3115" t="inlineStr">
        <is>
          <t>装备副本Boss</t>
        </is>
      </c>
      <c r="D3115" t="n">
        <v>36255340</v>
      </c>
      <c r="E3115" t="n">
        <v>63197</v>
      </c>
      <c r="F3115" t="n">
        <v>39157</v>
      </c>
    </row>
    <row r="3116">
      <c r="A3116" t="inlineStr">
        <is>
          <t>347|普通怪</t>
        </is>
      </c>
      <c r="B3116" t="n">
        <v>347</v>
      </c>
      <c r="C3116" t="inlineStr">
        <is>
          <t>普通怪</t>
        </is>
      </c>
      <c r="D3116" t="n">
        <v>730202</v>
      </c>
      <c r="E3116" t="n">
        <v>58820</v>
      </c>
      <c r="F3116" t="n">
        <v>39309</v>
      </c>
    </row>
    <row r="3117">
      <c r="A3117" t="inlineStr">
        <is>
          <t>347|盾怪</t>
        </is>
      </c>
      <c r="B3117" t="n">
        <v>347</v>
      </c>
      <c r="C3117" t="inlineStr">
        <is>
          <t>盾怪</t>
        </is>
      </c>
      <c r="D3117" t="n">
        <v>2190606</v>
      </c>
      <c r="E3117" t="n">
        <v>58820</v>
      </c>
      <c r="F3117" t="n">
        <v>39309</v>
      </c>
    </row>
    <row r="3118">
      <c r="A3118" t="inlineStr">
        <is>
          <t>347|二级普通怪</t>
        </is>
      </c>
      <c r="B3118" t="n">
        <v>347</v>
      </c>
      <c r="C3118" t="inlineStr">
        <is>
          <t>二级普通怪</t>
        </is>
      </c>
      <c r="D3118" t="n">
        <v>1314364</v>
      </c>
      <c r="E3118" t="n">
        <v>58820</v>
      </c>
      <c r="F3118" t="n">
        <v>39309</v>
      </c>
    </row>
    <row r="3119">
      <c r="A3119" t="inlineStr">
        <is>
          <t>347|站桩怪</t>
        </is>
      </c>
      <c r="B3119" t="n">
        <v>347</v>
      </c>
      <c r="C3119" t="inlineStr">
        <is>
          <t>站桩怪</t>
        </is>
      </c>
      <c r="D3119" t="n">
        <v>365101</v>
      </c>
      <c r="E3119" t="n">
        <v>58820</v>
      </c>
      <c r="F3119" t="n">
        <v>39309</v>
      </c>
    </row>
    <row r="3120">
      <c r="A3120" t="inlineStr">
        <is>
          <t>347|炮灰怪</t>
        </is>
      </c>
      <c r="B3120" t="n">
        <v>347</v>
      </c>
      <c r="C3120" t="inlineStr">
        <is>
          <t>炮灰怪</t>
        </is>
      </c>
      <c r="D3120" t="n">
        <v>109531</v>
      </c>
      <c r="E3120" t="n">
        <v>58820</v>
      </c>
      <c r="F3120" t="n">
        <v>39309</v>
      </c>
    </row>
    <row r="3121">
      <c r="A3121" t="inlineStr">
        <is>
          <t>347|精英怪</t>
        </is>
      </c>
      <c r="B3121" t="n">
        <v>347</v>
      </c>
      <c r="C3121" t="inlineStr">
        <is>
          <t>精英怪</t>
        </is>
      </c>
      <c r="D3121" t="n">
        <v>2920808</v>
      </c>
      <c r="E3121" t="n">
        <v>58820</v>
      </c>
      <c r="F3121" t="n">
        <v>39309</v>
      </c>
    </row>
    <row r="3122">
      <c r="A3122" t="inlineStr">
        <is>
          <t>347|精英盾怪</t>
        </is>
      </c>
      <c r="B3122" t="n">
        <v>347</v>
      </c>
      <c r="C3122" t="inlineStr">
        <is>
          <t>精英盾怪</t>
        </is>
      </c>
      <c r="D3122" t="n">
        <v>6571818</v>
      </c>
      <c r="E3122" t="n">
        <v>58820</v>
      </c>
      <c r="F3122" t="n">
        <v>39309</v>
      </c>
    </row>
    <row r="3123">
      <c r="A3123" t="inlineStr">
        <is>
          <t>347|Boss</t>
        </is>
      </c>
      <c r="B3123" t="n">
        <v>347</v>
      </c>
      <c r="C3123" t="inlineStr">
        <is>
          <t>Boss</t>
        </is>
      </c>
      <c r="D3123" t="n">
        <v>73176077</v>
      </c>
      <c r="E3123" t="n">
        <v>63601</v>
      </c>
      <c r="F3123" t="n">
        <v>39309</v>
      </c>
    </row>
    <row r="3124">
      <c r="A3124" t="inlineStr">
        <is>
          <t>347|装备副本Boss</t>
        </is>
      </c>
      <c r="B3124" t="n">
        <v>347</v>
      </c>
      <c r="C3124" t="inlineStr">
        <is>
          <t>装备副本Boss</t>
        </is>
      </c>
      <c r="D3124" t="n">
        <v>36588039</v>
      </c>
      <c r="E3124" t="n">
        <v>63601</v>
      </c>
      <c r="F3124" t="n">
        <v>39309</v>
      </c>
    </row>
    <row r="3125">
      <c r="A3125" t="inlineStr">
        <is>
          <t>348|普通怪</t>
        </is>
      </c>
      <c r="B3125" t="n">
        <v>348</v>
      </c>
      <c r="C3125" t="inlineStr">
        <is>
          <t>普通怪</t>
        </is>
      </c>
      <c r="D3125" t="n">
        <v>736420</v>
      </c>
      <c r="E3125" t="n">
        <v>59210</v>
      </c>
      <c r="F3125" t="n">
        <v>39462</v>
      </c>
    </row>
    <row r="3126">
      <c r="A3126" t="inlineStr">
        <is>
          <t>348|盾怪</t>
        </is>
      </c>
      <c r="B3126" t="n">
        <v>348</v>
      </c>
      <c r="C3126" t="inlineStr">
        <is>
          <t>盾怪</t>
        </is>
      </c>
      <c r="D3126" t="n">
        <v>2209260</v>
      </c>
      <c r="E3126" t="n">
        <v>59210</v>
      </c>
      <c r="F3126" t="n">
        <v>39462</v>
      </c>
    </row>
    <row r="3127">
      <c r="A3127" t="inlineStr">
        <is>
          <t>348|二级普通怪</t>
        </is>
      </c>
      <c r="B3127" t="n">
        <v>348</v>
      </c>
      <c r="C3127" t="inlineStr">
        <is>
          <t>二级普通怪</t>
        </is>
      </c>
      <c r="D3127" t="n">
        <v>1325556</v>
      </c>
      <c r="E3127" t="n">
        <v>59210</v>
      </c>
      <c r="F3127" t="n">
        <v>39462</v>
      </c>
    </row>
    <row r="3128">
      <c r="A3128" t="inlineStr">
        <is>
          <t>348|站桩怪</t>
        </is>
      </c>
      <c r="B3128" t="n">
        <v>348</v>
      </c>
      <c r="C3128" t="inlineStr">
        <is>
          <t>站桩怪</t>
        </is>
      </c>
      <c r="D3128" t="n">
        <v>368210</v>
      </c>
      <c r="E3128" t="n">
        <v>59210</v>
      </c>
      <c r="F3128" t="n">
        <v>39462</v>
      </c>
    </row>
    <row r="3129">
      <c r="A3129" t="inlineStr">
        <is>
          <t>348|炮灰怪</t>
        </is>
      </c>
      <c r="B3129" t="n">
        <v>348</v>
      </c>
      <c r="C3129" t="inlineStr">
        <is>
          <t>炮灰怪</t>
        </is>
      </c>
      <c r="D3129" t="n">
        <v>110463</v>
      </c>
      <c r="E3129" t="n">
        <v>59210</v>
      </c>
      <c r="F3129" t="n">
        <v>39462</v>
      </c>
    </row>
    <row r="3130">
      <c r="A3130" t="inlineStr">
        <is>
          <t>348|精英怪</t>
        </is>
      </c>
      <c r="B3130" t="n">
        <v>348</v>
      </c>
      <c r="C3130" t="inlineStr">
        <is>
          <t>精英怪</t>
        </is>
      </c>
      <c r="D3130" t="n">
        <v>2945680</v>
      </c>
      <c r="E3130" t="n">
        <v>59210</v>
      </c>
      <c r="F3130" t="n">
        <v>39462</v>
      </c>
    </row>
    <row r="3131">
      <c r="A3131" t="inlineStr">
        <is>
          <t>348|精英盾怪</t>
        </is>
      </c>
      <c r="B3131" t="n">
        <v>348</v>
      </c>
      <c r="C3131" t="inlineStr">
        <is>
          <t>精英盾怪</t>
        </is>
      </c>
      <c r="D3131" t="n">
        <v>6627780</v>
      </c>
      <c r="E3131" t="n">
        <v>59210</v>
      </c>
      <c r="F3131" t="n">
        <v>39462</v>
      </c>
    </row>
    <row r="3132">
      <c r="A3132" t="inlineStr">
        <is>
          <t>348|Boss</t>
        </is>
      </c>
      <c r="B3132" t="n">
        <v>348</v>
      </c>
      <c r="C3132" t="inlineStr">
        <is>
          <t>Boss</t>
        </is>
      </c>
      <c r="D3132" t="n">
        <v>73846319</v>
      </c>
      <c r="E3132" t="n">
        <v>64008</v>
      </c>
      <c r="F3132" t="n">
        <v>39462</v>
      </c>
    </row>
    <row r="3133">
      <c r="A3133" t="inlineStr">
        <is>
          <t>348|装备副本Boss</t>
        </is>
      </c>
      <c r="B3133" t="n">
        <v>348</v>
      </c>
      <c r="C3133" t="inlineStr">
        <is>
          <t>装备副本Boss</t>
        </is>
      </c>
      <c r="D3133" t="n">
        <v>36923160</v>
      </c>
      <c r="E3133" t="n">
        <v>64008</v>
      </c>
      <c r="F3133" t="n">
        <v>39462</v>
      </c>
    </row>
    <row r="3134">
      <c r="A3134" t="inlineStr">
        <is>
          <t>349|普通怪</t>
        </is>
      </c>
      <c r="B3134" t="n">
        <v>349</v>
      </c>
      <c r="C3134" t="inlineStr">
        <is>
          <t>普通怪</t>
        </is>
      </c>
      <c r="D3134" t="n">
        <v>742679</v>
      </c>
      <c r="E3134" t="n">
        <v>59600</v>
      </c>
      <c r="F3134" t="n">
        <v>39615</v>
      </c>
    </row>
    <row r="3135">
      <c r="A3135" t="inlineStr">
        <is>
          <t>349|盾怪</t>
        </is>
      </c>
      <c r="B3135" t="n">
        <v>349</v>
      </c>
      <c r="C3135" t="inlineStr">
        <is>
          <t>盾怪</t>
        </is>
      </c>
      <c r="D3135" t="n">
        <v>2228037</v>
      </c>
      <c r="E3135" t="n">
        <v>59600</v>
      </c>
      <c r="F3135" t="n">
        <v>39615</v>
      </c>
    </row>
    <row r="3136">
      <c r="A3136" t="inlineStr">
        <is>
          <t>349|二级普通怪</t>
        </is>
      </c>
      <c r="B3136" t="n">
        <v>349</v>
      </c>
      <c r="C3136" t="inlineStr">
        <is>
          <t>二级普通怪</t>
        </is>
      </c>
      <c r="D3136" t="n">
        <v>1336823</v>
      </c>
      <c r="E3136" t="n">
        <v>59600</v>
      </c>
      <c r="F3136" t="n">
        <v>39615</v>
      </c>
    </row>
    <row r="3137">
      <c r="A3137" t="inlineStr">
        <is>
          <t>349|站桩怪</t>
        </is>
      </c>
      <c r="B3137" t="n">
        <v>349</v>
      </c>
      <c r="C3137" t="inlineStr">
        <is>
          <t>站桩怪</t>
        </is>
      </c>
      <c r="D3137" t="n">
        <v>371340</v>
      </c>
      <c r="E3137" t="n">
        <v>59600</v>
      </c>
      <c r="F3137" t="n">
        <v>39615</v>
      </c>
    </row>
    <row r="3138">
      <c r="A3138" t="inlineStr">
        <is>
          <t>349|炮灰怪</t>
        </is>
      </c>
      <c r="B3138" t="n">
        <v>349</v>
      </c>
      <c r="C3138" t="inlineStr">
        <is>
          <t>炮灰怪</t>
        </is>
      </c>
      <c r="D3138" t="n">
        <v>111402</v>
      </c>
      <c r="E3138" t="n">
        <v>59600</v>
      </c>
      <c r="F3138" t="n">
        <v>39615</v>
      </c>
    </row>
    <row r="3139">
      <c r="A3139" t="inlineStr">
        <is>
          <t>349|精英怪</t>
        </is>
      </c>
      <c r="B3139" t="n">
        <v>349</v>
      </c>
      <c r="C3139" t="inlineStr">
        <is>
          <t>精英怪</t>
        </is>
      </c>
      <c r="D3139" t="n">
        <v>2970716</v>
      </c>
      <c r="E3139" t="n">
        <v>59600</v>
      </c>
      <c r="F3139" t="n">
        <v>39615</v>
      </c>
    </row>
    <row r="3140">
      <c r="A3140" t="inlineStr">
        <is>
          <t>349|精英盾怪</t>
        </is>
      </c>
      <c r="B3140" t="n">
        <v>349</v>
      </c>
      <c r="C3140" t="inlineStr">
        <is>
          <t>精英盾怪</t>
        </is>
      </c>
      <c r="D3140" t="n">
        <v>6684111</v>
      </c>
      <c r="E3140" t="n">
        <v>59600</v>
      </c>
      <c r="F3140" t="n">
        <v>39615</v>
      </c>
    </row>
    <row r="3141">
      <c r="A3141" t="inlineStr">
        <is>
          <t>349|Boss</t>
        </is>
      </c>
      <c r="B3141" t="n">
        <v>349</v>
      </c>
      <c r="C3141" t="inlineStr">
        <is>
          <t>Boss</t>
        </is>
      </c>
      <c r="D3141" t="n">
        <v>74521508</v>
      </c>
      <c r="E3141" t="n">
        <v>64416</v>
      </c>
      <c r="F3141" t="n">
        <v>39615</v>
      </c>
    </row>
    <row r="3142">
      <c r="A3142" t="inlineStr">
        <is>
          <t>349|装备副本Boss</t>
        </is>
      </c>
      <c r="B3142" t="n">
        <v>349</v>
      </c>
      <c r="C3142" t="inlineStr">
        <is>
          <t>装备副本Boss</t>
        </is>
      </c>
      <c r="D3142" t="n">
        <v>37260754</v>
      </c>
      <c r="E3142" t="n">
        <v>64416</v>
      </c>
      <c r="F3142" t="n">
        <v>39615</v>
      </c>
    </row>
    <row r="3143">
      <c r="A3143" t="inlineStr">
        <is>
          <t>350|普通怪</t>
        </is>
      </c>
      <c r="B3143" t="n">
        <v>350</v>
      </c>
      <c r="C3143" t="inlineStr">
        <is>
          <t>普通怪</t>
        </is>
      </c>
      <c r="D3143" t="n">
        <v>748980</v>
      </c>
      <c r="E3143" t="n">
        <v>59994</v>
      </c>
      <c r="F3143" t="n">
        <v>39769</v>
      </c>
    </row>
    <row r="3144">
      <c r="A3144" t="inlineStr">
        <is>
          <t>350|盾怪</t>
        </is>
      </c>
      <c r="B3144" t="n">
        <v>350</v>
      </c>
      <c r="C3144" t="inlineStr">
        <is>
          <t>盾怪</t>
        </is>
      </c>
      <c r="D3144" t="n">
        <v>2246940</v>
      </c>
      <c r="E3144" t="n">
        <v>59994</v>
      </c>
      <c r="F3144" t="n">
        <v>39769</v>
      </c>
    </row>
    <row r="3145">
      <c r="A3145" t="inlineStr">
        <is>
          <t>350|二级普通怪</t>
        </is>
      </c>
      <c r="B3145" t="n">
        <v>350</v>
      </c>
      <c r="C3145" t="inlineStr">
        <is>
          <t>二级普通怪</t>
        </is>
      </c>
      <c r="D3145" t="n">
        <v>1348164</v>
      </c>
      <c r="E3145" t="n">
        <v>59994</v>
      </c>
      <c r="F3145" t="n">
        <v>39769</v>
      </c>
    </row>
    <row r="3146">
      <c r="A3146" t="inlineStr">
        <is>
          <t>350|站桩怪</t>
        </is>
      </c>
      <c r="B3146" t="n">
        <v>350</v>
      </c>
      <c r="C3146" t="inlineStr">
        <is>
          <t>站桩怪</t>
        </is>
      </c>
      <c r="D3146" t="n">
        <v>374490</v>
      </c>
      <c r="E3146" t="n">
        <v>59994</v>
      </c>
      <c r="F3146" t="n">
        <v>39769</v>
      </c>
    </row>
    <row r="3147">
      <c r="A3147" t="inlineStr">
        <is>
          <t>350|炮灰怪</t>
        </is>
      </c>
      <c r="B3147" t="n">
        <v>350</v>
      </c>
      <c r="C3147" t="inlineStr">
        <is>
          <t>炮灰怪</t>
        </is>
      </c>
      <c r="D3147" t="n">
        <v>112347</v>
      </c>
      <c r="E3147" t="n">
        <v>59994</v>
      </c>
      <c r="F3147" t="n">
        <v>39769</v>
      </c>
    </row>
    <row r="3148">
      <c r="A3148" t="inlineStr">
        <is>
          <t>350|精英怪</t>
        </is>
      </c>
      <c r="B3148" t="n">
        <v>350</v>
      </c>
      <c r="C3148" t="inlineStr">
        <is>
          <t>精英怪</t>
        </is>
      </c>
      <c r="D3148" t="n">
        <v>2995920</v>
      </c>
      <c r="E3148" t="n">
        <v>59994</v>
      </c>
      <c r="F3148" t="n">
        <v>39769</v>
      </c>
    </row>
    <row r="3149">
      <c r="A3149" t="inlineStr">
        <is>
          <t>350|精英盾怪</t>
        </is>
      </c>
      <c r="B3149" t="n">
        <v>350</v>
      </c>
      <c r="C3149" t="inlineStr">
        <is>
          <t>精英盾怪</t>
        </is>
      </c>
      <c r="D3149" t="n">
        <v>6740820</v>
      </c>
      <c r="E3149" t="n">
        <v>59994</v>
      </c>
      <c r="F3149" t="n">
        <v>39769</v>
      </c>
    </row>
    <row r="3150">
      <c r="A3150" t="inlineStr">
        <is>
          <t>350|Boss</t>
        </is>
      </c>
      <c r="B3150" t="n">
        <v>350</v>
      </c>
      <c r="C3150" t="inlineStr">
        <is>
          <t>Boss</t>
        </is>
      </c>
      <c r="D3150" t="n">
        <v>75201644</v>
      </c>
      <c r="E3150" t="n">
        <v>64827</v>
      </c>
      <c r="F3150" t="n">
        <v>39769</v>
      </c>
    </row>
    <row r="3151">
      <c r="A3151" t="inlineStr">
        <is>
          <t>350|装备副本Boss</t>
        </is>
      </c>
      <c r="B3151" t="n">
        <v>350</v>
      </c>
      <c r="C3151" t="inlineStr">
        <is>
          <t>装备副本Boss</t>
        </is>
      </c>
      <c r="D3151" t="n">
        <v>37600822</v>
      </c>
      <c r="E3151" t="n">
        <v>64827</v>
      </c>
      <c r="F3151" t="n">
        <v>39769</v>
      </c>
    </row>
    <row r="3152">
      <c r="A3152" t="inlineStr">
        <is>
          <t>351|普通怪</t>
        </is>
      </c>
      <c r="B3152" t="n">
        <v>351</v>
      </c>
      <c r="C3152" t="inlineStr">
        <is>
          <t>普通怪</t>
        </is>
      </c>
      <c r="D3152" t="n">
        <v>755322</v>
      </c>
      <c r="E3152" t="n">
        <v>60389</v>
      </c>
      <c r="F3152" t="n">
        <v>39922</v>
      </c>
    </row>
    <row r="3153">
      <c r="A3153" t="inlineStr">
        <is>
          <t>351|盾怪</t>
        </is>
      </c>
      <c r="B3153" t="n">
        <v>351</v>
      </c>
      <c r="C3153" t="inlineStr">
        <is>
          <t>盾怪</t>
        </is>
      </c>
      <c r="D3153" t="n">
        <v>2265966</v>
      </c>
      <c r="E3153" t="n">
        <v>60389</v>
      </c>
      <c r="F3153" t="n">
        <v>39922</v>
      </c>
    </row>
    <row r="3154">
      <c r="A3154" t="inlineStr">
        <is>
          <t>351|二级普通怪</t>
        </is>
      </c>
      <c r="B3154" t="n">
        <v>351</v>
      </c>
      <c r="C3154" t="inlineStr">
        <is>
          <t>二级普通怪</t>
        </is>
      </c>
      <c r="D3154" t="n">
        <v>1359580</v>
      </c>
      <c r="E3154" t="n">
        <v>60389</v>
      </c>
      <c r="F3154" t="n">
        <v>39922</v>
      </c>
    </row>
    <row r="3155">
      <c r="A3155" t="inlineStr">
        <is>
          <t>351|站桩怪</t>
        </is>
      </c>
      <c r="B3155" t="n">
        <v>351</v>
      </c>
      <c r="C3155" t="inlineStr">
        <is>
          <t>站桩怪</t>
        </is>
      </c>
      <c r="D3155" t="n">
        <v>377661</v>
      </c>
      <c r="E3155" t="n">
        <v>60389</v>
      </c>
      <c r="F3155" t="n">
        <v>39922</v>
      </c>
    </row>
    <row r="3156">
      <c r="A3156" t="inlineStr">
        <is>
          <t>351|炮灰怪</t>
        </is>
      </c>
      <c r="B3156" t="n">
        <v>351</v>
      </c>
      <c r="C3156" t="inlineStr">
        <is>
          <t>炮灰怪</t>
        </is>
      </c>
      <c r="D3156" t="n">
        <v>113299</v>
      </c>
      <c r="E3156" t="n">
        <v>60389</v>
      </c>
      <c r="F3156" t="n">
        <v>39922</v>
      </c>
    </row>
    <row r="3157">
      <c r="A3157" t="inlineStr">
        <is>
          <t>351|精英怪</t>
        </is>
      </c>
      <c r="B3157" t="n">
        <v>351</v>
      </c>
      <c r="C3157" t="inlineStr">
        <is>
          <t>精英怪</t>
        </is>
      </c>
      <c r="D3157" t="n">
        <v>3021288</v>
      </c>
      <c r="E3157" t="n">
        <v>60389</v>
      </c>
      <c r="F3157" t="n">
        <v>39922</v>
      </c>
    </row>
    <row r="3158">
      <c r="A3158" t="inlineStr">
        <is>
          <t>351|精英盾怪</t>
        </is>
      </c>
      <c r="B3158" t="n">
        <v>351</v>
      </c>
      <c r="C3158" t="inlineStr">
        <is>
          <t>精英盾怪</t>
        </is>
      </c>
      <c r="D3158" t="n">
        <v>6797898</v>
      </c>
      <c r="E3158" t="n">
        <v>60389</v>
      </c>
      <c r="F3158" t="n">
        <v>39922</v>
      </c>
    </row>
    <row r="3159">
      <c r="A3159" t="inlineStr">
        <is>
          <t>351|Boss</t>
        </is>
      </c>
      <c r="B3159" t="n">
        <v>351</v>
      </c>
      <c r="C3159" t="inlineStr">
        <is>
          <t>Boss</t>
        </is>
      </c>
      <c r="D3159" t="n">
        <v>75886727</v>
      </c>
      <c r="E3159" t="n">
        <v>65240</v>
      </c>
      <c r="F3159" t="n">
        <v>39922</v>
      </c>
    </row>
    <row r="3160">
      <c r="A3160" t="inlineStr">
        <is>
          <t>351|装备副本Boss</t>
        </is>
      </c>
      <c r="B3160" t="n">
        <v>351</v>
      </c>
      <c r="C3160" t="inlineStr">
        <is>
          <t>装备副本Boss</t>
        </is>
      </c>
      <c r="D3160" t="n">
        <v>37943363</v>
      </c>
      <c r="E3160" t="n">
        <v>65240</v>
      </c>
      <c r="F3160" t="n">
        <v>39922</v>
      </c>
    </row>
    <row r="3161">
      <c r="A3161" t="inlineStr">
        <is>
          <t>352|普通怪</t>
        </is>
      </c>
      <c r="B3161" t="n">
        <v>352</v>
      </c>
      <c r="C3161" t="inlineStr">
        <is>
          <t>普通怪</t>
        </is>
      </c>
      <c r="D3161" t="n">
        <v>761707</v>
      </c>
      <c r="E3161" t="n">
        <v>60787</v>
      </c>
      <c r="F3161" t="n">
        <v>40076</v>
      </c>
    </row>
    <row r="3162">
      <c r="A3162" t="inlineStr">
        <is>
          <t>352|盾怪</t>
        </is>
      </c>
      <c r="B3162" t="n">
        <v>352</v>
      </c>
      <c r="C3162" t="inlineStr">
        <is>
          <t>盾怪</t>
        </is>
      </c>
      <c r="D3162" t="n">
        <v>2285121</v>
      </c>
      <c r="E3162" t="n">
        <v>60787</v>
      </c>
      <c r="F3162" t="n">
        <v>40076</v>
      </c>
    </row>
    <row r="3163">
      <c r="A3163" t="inlineStr">
        <is>
          <t>352|二级普通怪</t>
        </is>
      </c>
      <c r="B3163" t="n">
        <v>352</v>
      </c>
      <c r="C3163" t="inlineStr">
        <is>
          <t>二级普通怪</t>
        </is>
      </c>
      <c r="D3163" t="n">
        <v>1371073</v>
      </c>
      <c r="E3163" t="n">
        <v>60787</v>
      </c>
      <c r="F3163" t="n">
        <v>40076</v>
      </c>
    </row>
    <row r="3164">
      <c r="A3164" t="inlineStr">
        <is>
          <t>352|站桩怪</t>
        </is>
      </c>
      <c r="B3164" t="n">
        <v>352</v>
      </c>
      <c r="C3164" t="inlineStr">
        <is>
          <t>站桩怪</t>
        </is>
      </c>
      <c r="D3164" t="n">
        <v>380854</v>
      </c>
      <c r="E3164" t="n">
        <v>60787</v>
      </c>
      <c r="F3164" t="n">
        <v>40076</v>
      </c>
    </row>
    <row r="3165">
      <c r="A3165" t="inlineStr">
        <is>
          <t>352|炮灰怪</t>
        </is>
      </c>
      <c r="B3165" t="n">
        <v>352</v>
      </c>
      <c r="C3165" t="inlineStr">
        <is>
          <t>炮灰怪</t>
        </is>
      </c>
      <c r="D3165" t="n">
        <v>114257</v>
      </c>
      <c r="E3165" t="n">
        <v>60787</v>
      </c>
      <c r="F3165" t="n">
        <v>40076</v>
      </c>
    </row>
    <row r="3166">
      <c r="A3166" t="inlineStr">
        <is>
          <t>352|精英怪</t>
        </is>
      </c>
      <c r="B3166" t="n">
        <v>352</v>
      </c>
      <c r="C3166" t="inlineStr">
        <is>
          <t>精英怪</t>
        </is>
      </c>
      <c r="D3166" t="n">
        <v>3046828</v>
      </c>
      <c r="E3166" t="n">
        <v>60787</v>
      </c>
      <c r="F3166" t="n">
        <v>40076</v>
      </c>
    </row>
    <row r="3167">
      <c r="A3167" t="inlineStr">
        <is>
          <t>352|精英盾怪</t>
        </is>
      </c>
      <c r="B3167" t="n">
        <v>352</v>
      </c>
      <c r="C3167" t="inlineStr">
        <is>
          <t>精英盾怪</t>
        </is>
      </c>
      <c r="D3167" t="n">
        <v>6855363</v>
      </c>
      <c r="E3167" t="n">
        <v>60787</v>
      </c>
      <c r="F3167" t="n">
        <v>40076</v>
      </c>
    </row>
    <row r="3168">
      <c r="A3168" t="inlineStr">
        <is>
          <t>352|Boss</t>
        </is>
      </c>
      <c r="B3168" t="n">
        <v>352</v>
      </c>
      <c r="C3168" t="inlineStr">
        <is>
          <t>Boss</t>
        </is>
      </c>
      <c r="D3168" t="n">
        <v>76576808</v>
      </c>
      <c r="E3168" t="n">
        <v>65655</v>
      </c>
      <c r="F3168" t="n">
        <v>40076</v>
      </c>
    </row>
    <row r="3169">
      <c r="A3169" t="inlineStr">
        <is>
          <t>352|装备副本Boss</t>
        </is>
      </c>
      <c r="B3169" t="n">
        <v>352</v>
      </c>
      <c r="C3169" t="inlineStr">
        <is>
          <t>装备副本Boss</t>
        </is>
      </c>
      <c r="D3169" t="n">
        <v>38288404</v>
      </c>
      <c r="E3169" t="n">
        <v>65655</v>
      </c>
      <c r="F3169" t="n">
        <v>40076</v>
      </c>
    </row>
    <row r="3170">
      <c r="A3170" t="inlineStr">
        <is>
          <t>353|普通怪</t>
        </is>
      </c>
      <c r="B3170" t="n">
        <v>353</v>
      </c>
      <c r="C3170" t="inlineStr">
        <is>
          <t>普通怪</t>
        </is>
      </c>
      <c r="D3170" t="n">
        <v>768133</v>
      </c>
      <c r="E3170" t="n">
        <v>61186</v>
      </c>
      <c r="F3170" t="n">
        <v>40230</v>
      </c>
    </row>
    <row r="3171">
      <c r="A3171" t="inlineStr">
        <is>
          <t>353|盾怪</t>
        </is>
      </c>
      <c r="B3171" t="n">
        <v>353</v>
      </c>
      <c r="C3171" t="inlineStr">
        <is>
          <t>盾怪</t>
        </is>
      </c>
      <c r="D3171" t="n">
        <v>2304399</v>
      </c>
      <c r="E3171" t="n">
        <v>61186</v>
      </c>
      <c r="F3171" t="n">
        <v>40230</v>
      </c>
    </row>
    <row r="3172">
      <c r="A3172" t="inlineStr">
        <is>
          <t>353|二级普通怪</t>
        </is>
      </c>
      <c r="B3172" t="n">
        <v>353</v>
      </c>
      <c r="C3172" t="inlineStr">
        <is>
          <t>二级普通怪</t>
        </is>
      </c>
      <c r="D3172" t="n">
        <v>1382640</v>
      </c>
      <c r="E3172" t="n">
        <v>61186</v>
      </c>
      <c r="F3172" t="n">
        <v>40230</v>
      </c>
    </row>
    <row r="3173">
      <c r="A3173" t="inlineStr">
        <is>
          <t>353|站桩怪</t>
        </is>
      </c>
      <c r="B3173" t="n">
        <v>353</v>
      </c>
      <c r="C3173" t="inlineStr">
        <is>
          <t>站桩怪</t>
        </is>
      </c>
      <c r="D3173" t="n">
        <v>384067</v>
      </c>
      <c r="E3173" t="n">
        <v>61186</v>
      </c>
      <c r="F3173" t="n">
        <v>40230</v>
      </c>
    </row>
    <row r="3174">
      <c r="A3174" t="inlineStr">
        <is>
          <t>353|炮灰怪</t>
        </is>
      </c>
      <c r="B3174" t="n">
        <v>353</v>
      </c>
      <c r="C3174" t="inlineStr">
        <is>
          <t>炮灰怪</t>
        </is>
      </c>
      <c r="D3174" t="n">
        <v>115220</v>
      </c>
      <c r="E3174" t="n">
        <v>61186</v>
      </c>
      <c r="F3174" t="n">
        <v>40230</v>
      </c>
    </row>
    <row r="3175">
      <c r="A3175" t="inlineStr">
        <is>
          <t>353|精英怪</t>
        </is>
      </c>
      <c r="B3175" t="n">
        <v>353</v>
      </c>
      <c r="C3175" t="inlineStr">
        <is>
          <t>精英怪</t>
        </is>
      </c>
      <c r="D3175" t="n">
        <v>3072532</v>
      </c>
      <c r="E3175" t="n">
        <v>61186</v>
      </c>
      <c r="F3175" t="n">
        <v>40230</v>
      </c>
    </row>
    <row r="3176">
      <c r="A3176" t="inlineStr">
        <is>
          <t>353|精英盾怪</t>
        </is>
      </c>
      <c r="B3176" t="n">
        <v>353</v>
      </c>
      <c r="C3176" t="inlineStr">
        <is>
          <t>精英盾怪</t>
        </is>
      </c>
      <c r="D3176" t="n">
        <v>6913197</v>
      </c>
      <c r="E3176" t="n">
        <v>61186</v>
      </c>
      <c r="F3176" t="n">
        <v>40230</v>
      </c>
    </row>
    <row r="3177">
      <c r="A3177" t="inlineStr">
        <is>
          <t>353|Boss</t>
        </is>
      </c>
      <c r="B3177" t="n">
        <v>353</v>
      </c>
      <c r="C3177" t="inlineStr">
        <is>
          <t>Boss</t>
        </is>
      </c>
      <c r="D3177" t="n">
        <v>77271887</v>
      </c>
      <c r="E3177" t="n">
        <v>66072</v>
      </c>
      <c r="F3177" t="n">
        <v>40230</v>
      </c>
    </row>
    <row r="3178">
      <c r="A3178" t="inlineStr">
        <is>
          <t>353|装备副本Boss</t>
        </is>
      </c>
      <c r="B3178" t="n">
        <v>353</v>
      </c>
      <c r="C3178" t="inlineStr">
        <is>
          <t>装备副本Boss</t>
        </is>
      </c>
      <c r="D3178" t="n">
        <v>38635943</v>
      </c>
      <c r="E3178" t="n">
        <v>66072</v>
      </c>
      <c r="F3178" t="n">
        <v>40230</v>
      </c>
    </row>
    <row r="3179">
      <c r="A3179" t="inlineStr">
        <is>
          <t>354|普通怪</t>
        </is>
      </c>
      <c r="B3179" t="n">
        <v>354</v>
      </c>
      <c r="C3179" t="inlineStr">
        <is>
          <t>普通怪</t>
        </is>
      </c>
      <c r="D3179" t="n">
        <v>774602</v>
      </c>
      <c r="E3179" t="n">
        <v>61588</v>
      </c>
      <c r="F3179" t="n">
        <v>40384</v>
      </c>
    </row>
    <row r="3180">
      <c r="A3180" t="inlineStr">
        <is>
          <t>354|盾怪</t>
        </is>
      </c>
      <c r="B3180" t="n">
        <v>354</v>
      </c>
      <c r="C3180" t="inlineStr">
        <is>
          <t>盾怪</t>
        </is>
      </c>
      <c r="D3180" t="n">
        <v>2323806</v>
      </c>
      <c r="E3180" t="n">
        <v>61588</v>
      </c>
      <c r="F3180" t="n">
        <v>40384</v>
      </c>
    </row>
    <row r="3181">
      <c r="A3181" t="inlineStr">
        <is>
          <t>354|二级普通怪</t>
        </is>
      </c>
      <c r="B3181" t="n">
        <v>354</v>
      </c>
      <c r="C3181" t="inlineStr">
        <is>
          <t>二级普通怪</t>
        </is>
      </c>
      <c r="D3181" t="n">
        <v>1394284</v>
      </c>
      <c r="E3181" t="n">
        <v>61588</v>
      </c>
      <c r="F3181" t="n">
        <v>40384</v>
      </c>
    </row>
    <row r="3182">
      <c r="A3182" t="inlineStr">
        <is>
          <t>354|站桩怪</t>
        </is>
      </c>
      <c r="B3182" t="n">
        <v>354</v>
      </c>
      <c r="C3182" t="inlineStr">
        <is>
          <t>站桩怪</t>
        </is>
      </c>
      <c r="D3182" t="n">
        <v>387301</v>
      </c>
      <c r="E3182" t="n">
        <v>61588</v>
      </c>
      <c r="F3182" t="n">
        <v>40384</v>
      </c>
    </row>
    <row r="3183">
      <c r="A3183" t="inlineStr">
        <is>
          <t>354|炮灰怪</t>
        </is>
      </c>
      <c r="B3183" t="n">
        <v>354</v>
      </c>
      <c r="C3183" t="inlineStr">
        <is>
          <t>炮灰怪</t>
        </is>
      </c>
      <c r="D3183" t="n">
        <v>116191</v>
      </c>
      <c r="E3183" t="n">
        <v>61588</v>
      </c>
      <c r="F3183" t="n">
        <v>40384</v>
      </c>
    </row>
    <row r="3184">
      <c r="A3184" t="inlineStr">
        <is>
          <t>354|精英怪</t>
        </is>
      </c>
      <c r="B3184" t="n">
        <v>354</v>
      </c>
      <c r="C3184" t="inlineStr">
        <is>
          <t>精英怪</t>
        </is>
      </c>
      <c r="D3184" t="n">
        <v>3098408</v>
      </c>
      <c r="E3184" t="n">
        <v>61588</v>
      </c>
      <c r="F3184" t="n">
        <v>40384</v>
      </c>
    </row>
    <row r="3185">
      <c r="A3185" t="inlineStr">
        <is>
          <t>354|精英盾怪</t>
        </is>
      </c>
      <c r="B3185" t="n">
        <v>354</v>
      </c>
      <c r="C3185" t="inlineStr">
        <is>
          <t>精英盾怪</t>
        </is>
      </c>
      <c r="D3185" t="n">
        <v>6971418</v>
      </c>
      <c r="E3185" t="n">
        <v>61588</v>
      </c>
      <c r="F3185" t="n">
        <v>40384</v>
      </c>
    </row>
    <row r="3186">
      <c r="A3186" t="inlineStr">
        <is>
          <t>354|Boss</t>
        </is>
      </c>
      <c r="B3186" t="n">
        <v>354</v>
      </c>
      <c r="C3186" t="inlineStr">
        <is>
          <t>Boss</t>
        </is>
      </c>
      <c r="D3186" t="n">
        <v>77972066</v>
      </c>
      <c r="E3186" t="n">
        <v>66491</v>
      </c>
      <c r="F3186" t="n">
        <v>40384</v>
      </c>
    </row>
    <row r="3187">
      <c r="A3187" t="inlineStr">
        <is>
          <t>354|装备副本Boss</t>
        </is>
      </c>
      <c r="B3187" t="n">
        <v>354</v>
      </c>
      <c r="C3187" t="inlineStr">
        <is>
          <t>装备副本Boss</t>
        </is>
      </c>
      <c r="D3187" t="n">
        <v>38986033</v>
      </c>
      <c r="E3187" t="n">
        <v>66491</v>
      </c>
      <c r="F3187" t="n">
        <v>40384</v>
      </c>
    </row>
    <row r="3188">
      <c r="A3188" t="inlineStr">
        <is>
          <t>355|普通怪</t>
        </is>
      </c>
      <c r="B3188" t="n">
        <v>355</v>
      </c>
      <c r="C3188" t="inlineStr">
        <is>
          <t>普通怪</t>
        </is>
      </c>
      <c r="D3188" t="n">
        <v>781113</v>
      </c>
      <c r="E3188" t="n">
        <v>61991</v>
      </c>
      <c r="F3188" t="n">
        <v>40539</v>
      </c>
    </row>
    <row r="3189">
      <c r="A3189" t="inlineStr">
        <is>
          <t>355|盾怪</t>
        </is>
      </c>
      <c r="B3189" t="n">
        <v>355</v>
      </c>
      <c r="C3189" t="inlineStr">
        <is>
          <t>盾怪</t>
        </is>
      </c>
      <c r="D3189" t="n">
        <v>2343339</v>
      </c>
      <c r="E3189" t="n">
        <v>61991</v>
      </c>
      <c r="F3189" t="n">
        <v>40539</v>
      </c>
    </row>
    <row r="3190">
      <c r="A3190" t="inlineStr">
        <is>
          <t>355|二级普通怪</t>
        </is>
      </c>
      <c r="B3190" t="n">
        <v>355</v>
      </c>
      <c r="C3190" t="inlineStr">
        <is>
          <t>二级普通怪</t>
        </is>
      </c>
      <c r="D3190" t="n">
        <v>1406004</v>
      </c>
      <c r="E3190" t="n">
        <v>61991</v>
      </c>
      <c r="F3190" t="n">
        <v>40539</v>
      </c>
    </row>
    <row r="3191">
      <c r="A3191" t="inlineStr">
        <is>
          <t>355|站桩怪</t>
        </is>
      </c>
      <c r="B3191" t="n">
        <v>355</v>
      </c>
      <c r="C3191" t="inlineStr">
        <is>
          <t>站桩怪</t>
        </is>
      </c>
      <c r="D3191" t="n">
        <v>390557</v>
      </c>
      <c r="E3191" t="n">
        <v>61991</v>
      </c>
      <c r="F3191" t="n">
        <v>40539</v>
      </c>
    </row>
    <row r="3192">
      <c r="A3192" t="inlineStr">
        <is>
          <t>355|炮灰怪</t>
        </is>
      </c>
      <c r="B3192" t="n">
        <v>355</v>
      </c>
      <c r="C3192" t="inlineStr">
        <is>
          <t>炮灰怪</t>
        </is>
      </c>
      <c r="D3192" t="n">
        <v>117167</v>
      </c>
      <c r="E3192" t="n">
        <v>61991</v>
      </c>
      <c r="F3192" t="n">
        <v>40539</v>
      </c>
    </row>
    <row r="3193">
      <c r="A3193" t="inlineStr">
        <is>
          <t>355|精英怪</t>
        </is>
      </c>
      <c r="B3193" t="n">
        <v>355</v>
      </c>
      <c r="C3193" t="inlineStr">
        <is>
          <t>精英怪</t>
        </is>
      </c>
      <c r="D3193" t="n">
        <v>3124452</v>
      </c>
      <c r="E3193" t="n">
        <v>61991</v>
      </c>
      <c r="F3193" t="n">
        <v>40539</v>
      </c>
    </row>
    <row r="3194">
      <c r="A3194" t="inlineStr">
        <is>
          <t>355|精英盾怪</t>
        </is>
      </c>
      <c r="B3194" t="n">
        <v>355</v>
      </c>
      <c r="C3194" t="inlineStr">
        <is>
          <t>精英盾怪</t>
        </is>
      </c>
      <c r="D3194" t="n">
        <v>7030017</v>
      </c>
      <c r="E3194" t="n">
        <v>61991</v>
      </c>
      <c r="F3194" t="n">
        <v>40539</v>
      </c>
    </row>
    <row r="3195">
      <c r="A3195" t="inlineStr">
        <is>
          <t>355|Boss</t>
        </is>
      </c>
      <c r="B3195" t="n">
        <v>355</v>
      </c>
      <c r="C3195" t="inlineStr">
        <is>
          <t>Boss</t>
        </is>
      </c>
      <c r="D3195" t="n">
        <v>78677294</v>
      </c>
      <c r="E3195" t="n">
        <v>66912</v>
      </c>
      <c r="F3195" t="n">
        <v>40539</v>
      </c>
    </row>
    <row r="3196">
      <c r="A3196" t="inlineStr">
        <is>
          <t>355|装备副本Boss</t>
        </is>
      </c>
      <c r="B3196" t="n">
        <v>355</v>
      </c>
      <c r="C3196" t="inlineStr">
        <is>
          <t>装备副本Boss</t>
        </is>
      </c>
      <c r="D3196" t="n">
        <v>39338647</v>
      </c>
      <c r="E3196" t="n">
        <v>66912</v>
      </c>
      <c r="F3196" t="n">
        <v>40539</v>
      </c>
    </row>
    <row r="3197">
      <c r="A3197" t="inlineStr">
        <is>
          <t>356|普通怪</t>
        </is>
      </c>
      <c r="B3197" t="n">
        <v>356</v>
      </c>
      <c r="C3197" t="inlineStr">
        <is>
          <t>普通怪</t>
        </is>
      </c>
      <c r="D3197" t="n">
        <v>787667</v>
      </c>
      <c r="E3197" t="n">
        <v>62397</v>
      </c>
      <c r="F3197" t="n">
        <v>40693</v>
      </c>
    </row>
    <row r="3198">
      <c r="A3198" t="inlineStr">
        <is>
          <t>356|盾怪</t>
        </is>
      </c>
      <c r="B3198" t="n">
        <v>356</v>
      </c>
      <c r="C3198" t="inlineStr">
        <is>
          <t>盾怪</t>
        </is>
      </c>
      <c r="D3198" t="n">
        <v>2363001</v>
      </c>
      <c r="E3198" t="n">
        <v>62397</v>
      </c>
      <c r="F3198" t="n">
        <v>40693</v>
      </c>
    </row>
    <row r="3199">
      <c r="A3199" t="inlineStr">
        <is>
          <t>356|二级普通怪</t>
        </is>
      </c>
      <c r="B3199" t="n">
        <v>356</v>
      </c>
      <c r="C3199" t="inlineStr">
        <is>
          <t>二级普通怪</t>
        </is>
      </c>
      <c r="D3199" t="n">
        <v>1417801</v>
      </c>
      <c r="E3199" t="n">
        <v>62397</v>
      </c>
      <c r="F3199" t="n">
        <v>40693</v>
      </c>
    </row>
    <row r="3200">
      <c r="A3200" t="inlineStr">
        <is>
          <t>356|站桩怪</t>
        </is>
      </c>
      <c r="B3200" t="n">
        <v>356</v>
      </c>
      <c r="C3200" t="inlineStr">
        <is>
          <t>站桩怪</t>
        </is>
      </c>
      <c r="D3200" t="n">
        <v>393834</v>
      </c>
      <c r="E3200" t="n">
        <v>62397</v>
      </c>
      <c r="F3200" t="n">
        <v>40693</v>
      </c>
    </row>
    <row r="3201">
      <c r="A3201" t="inlineStr">
        <is>
          <t>356|炮灰怪</t>
        </is>
      </c>
      <c r="B3201" t="n">
        <v>356</v>
      </c>
      <c r="C3201" t="inlineStr">
        <is>
          <t>炮灰怪</t>
        </is>
      </c>
      <c r="D3201" t="n">
        <v>118151</v>
      </c>
      <c r="E3201" t="n">
        <v>62397</v>
      </c>
      <c r="F3201" t="n">
        <v>40693</v>
      </c>
    </row>
    <row r="3202">
      <c r="A3202" t="inlineStr">
        <is>
          <t>356|精英怪</t>
        </is>
      </c>
      <c r="B3202" t="n">
        <v>356</v>
      </c>
      <c r="C3202" t="inlineStr">
        <is>
          <t>精英怪</t>
        </is>
      </c>
      <c r="D3202" t="n">
        <v>3150668</v>
      </c>
      <c r="E3202" t="n">
        <v>62397</v>
      </c>
      <c r="F3202" t="n">
        <v>40693</v>
      </c>
    </row>
    <row r="3203">
      <c r="A3203" t="inlineStr">
        <is>
          <t>356|精英盾怪</t>
        </is>
      </c>
      <c r="B3203" t="n">
        <v>356</v>
      </c>
      <c r="C3203" t="inlineStr">
        <is>
          <t>精英盾怪</t>
        </is>
      </c>
      <c r="D3203" t="n">
        <v>7089003</v>
      </c>
      <c r="E3203" t="n">
        <v>62397</v>
      </c>
      <c r="F3203" t="n">
        <v>40693</v>
      </c>
    </row>
    <row r="3204">
      <c r="A3204" t="inlineStr">
        <is>
          <t>356|Boss</t>
        </is>
      </c>
      <c r="B3204" t="n">
        <v>356</v>
      </c>
      <c r="C3204" t="inlineStr">
        <is>
          <t>Boss</t>
        </is>
      </c>
      <c r="D3204" t="n">
        <v>79387672</v>
      </c>
      <c r="E3204" t="n">
        <v>67336</v>
      </c>
      <c r="F3204" t="n">
        <v>40693</v>
      </c>
    </row>
    <row r="3205">
      <c r="A3205" t="inlineStr">
        <is>
          <t>356|装备副本Boss</t>
        </is>
      </c>
      <c r="B3205" t="n">
        <v>356</v>
      </c>
      <c r="C3205" t="inlineStr">
        <is>
          <t>装备副本Boss</t>
        </is>
      </c>
      <c r="D3205" t="n">
        <v>39693836</v>
      </c>
      <c r="E3205" t="n">
        <v>67336</v>
      </c>
      <c r="F3205" t="n">
        <v>40693</v>
      </c>
    </row>
    <row r="3206">
      <c r="A3206" t="inlineStr">
        <is>
          <t>357|普通怪</t>
        </is>
      </c>
      <c r="B3206" t="n">
        <v>357</v>
      </c>
      <c r="C3206" t="inlineStr">
        <is>
          <t>普通怪</t>
        </is>
      </c>
      <c r="D3206" t="n">
        <v>794264</v>
      </c>
      <c r="E3206" t="n">
        <v>62806</v>
      </c>
      <c r="F3206" t="n">
        <v>40848</v>
      </c>
    </row>
    <row r="3207">
      <c r="A3207" t="inlineStr">
        <is>
          <t>357|盾怪</t>
        </is>
      </c>
      <c r="B3207" t="n">
        <v>357</v>
      </c>
      <c r="C3207" t="inlineStr">
        <is>
          <t>盾怪</t>
        </is>
      </c>
      <c r="D3207" t="n">
        <v>2382792</v>
      </c>
      <c r="E3207" t="n">
        <v>62806</v>
      </c>
      <c r="F3207" t="n">
        <v>40848</v>
      </c>
    </row>
    <row r="3208">
      <c r="A3208" t="inlineStr">
        <is>
          <t>357|二级普通怪</t>
        </is>
      </c>
      <c r="B3208" t="n">
        <v>357</v>
      </c>
      <c r="C3208" t="inlineStr">
        <is>
          <t>二级普通怪</t>
        </is>
      </c>
      <c r="D3208" t="n">
        <v>1429676</v>
      </c>
      <c r="E3208" t="n">
        <v>62806</v>
      </c>
      <c r="F3208" t="n">
        <v>40848</v>
      </c>
    </row>
    <row r="3209">
      <c r="A3209" t="inlineStr">
        <is>
          <t>357|站桩怪</t>
        </is>
      </c>
      <c r="B3209" t="n">
        <v>357</v>
      </c>
      <c r="C3209" t="inlineStr">
        <is>
          <t>站桩怪</t>
        </is>
      </c>
      <c r="D3209" t="n">
        <v>397132</v>
      </c>
      <c r="E3209" t="n">
        <v>62806</v>
      </c>
      <c r="F3209" t="n">
        <v>40848</v>
      </c>
    </row>
    <row r="3210">
      <c r="A3210" t="inlineStr">
        <is>
          <t>357|炮灰怪</t>
        </is>
      </c>
      <c r="B3210" t="n">
        <v>357</v>
      </c>
      <c r="C3210" t="inlineStr">
        <is>
          <t>炮灰怪</t>
        </is>
      </c>
      <c r="D3210" t="n">
        <v>119140</v>
      </c>
      <c r="E3210" t="n">
        <v>62806</v>
      </c>
      <c r="F3210" t="n">
        <v>40848</v>
      </c>
    </row>
    <row r="3211">
      <c r="A3211" t="inlineStr">
        <is>
          <t>357|精英怪</t>
        </is>
      </c>
      <c r="B3211" t="n">
        <v>357</v>
      </c>
      <c r="C3211" t="inlineStr">
        <is>
          <t>精英怪</t>
        </is>
      </c>
      <c r="D3211" t="n">
        <v>3177056</v>
      </c>
      <c r="E3211" t="n">
        <v>62806</v>
      </c>
      <c r="F3211" t="n">
        <v>40848</v>
      </c>
    </row>
    <row r="3212">
      <c r="A3212" t="inlineStr">
        <is>
          <t>357|精英盾怪</t>
        </is>
      </c>
      <c r="B3212" t="n">
        <v>357</v>
      </c>
      <c r="C3212" t="inlineStr">
        <is>
          <t>精英盾怪</t>
        </is>
      </c>
      <c r="D3212" t="n">
        <v>7148376</v>
      </c>
      <c r="E3212" t="n">
        <v>62806</v>
      </c>
      <c r="F3212" t="n">
        <v>40848</v>
      </c>
    </row>
    <row r="3213">
      <c r="A3213" t="inlineStr">
        <is>
          <t>357|Boss</t>
        </is>
      </c>
      <c r="B3213" t="n">
        <v>357</v>
      </c>
      <c r="C3213" t="inlineStr">
        <is>
          <t>Boss</t>
        </is>
      </c>
      <c r="D3213" t="n">
        <v>80103151</v>
      </c>
      <c r="E3213" t="n">
        <v>67762</v>
      </c>
      <c r="F3213" t="n">
        <v>40848</v>
      </c>
    </row>
    <row r="3214">
      <c r="A3214" t="inlineStr">
        <is>
          <t>357|装备副本Boss</t>
        </is>
      </c>
      <c r="B3214" t="n">
        <v>357</v>
      </c>
      <c r="C3214" t="inlineStr">
        <is>
          <t>装备副本Boss</t>
        </is>
      </c>
      <c r="D3214" t="n">
        <v>40051576</v>
      </c>
      <c r="E3214" t="n">
        <v>67762</v>
      </c>
      <c r="F3214" t="n">
        <v>40848</v>
      </c>
    </row>
    <row r="3215">
      <c r="A3215" t="inlineStr">
        <is>
          <t>358|普通怪</t>
        </is>
      </c>
      <c r="B3215" t="n">
        <v>358</v>
      </c>
      <c r="C3215" t="inlineStr">
        <is>
          <t>普通怪</t>
        </is>
      </c>
      <c r="D3215" t="n">
        <v>800903</v>
      </c>
      <c r="E3215" t="n">
        <v>63215</v>
      </c>
      <c r="F3215" t="n">
        <v>41003</v>
      </c>
    </row>
    <row r="3216">
      <c r="A3216" t="inlineStr">
        <is>
          <t>358|盾怪</t>
        </is>
      </c>
      <c r="B3216" t="n">
        <v>358</v>
      </c>
      <c r="C3216" t="inlineStr">
        <is>
          <t>盾怪</t>
        </is>
      </c>
      <c r="D3216" t="n">
        <v>2402709</v>
      </c>
      <c r="E3216" t="n">
        <v>63215</v>
      </c>
      <c r="F3216" t="n">
        <v>41003</v>
      </c>
    </row>
    <row r="3217">
      <c r="A3217" t="inlineStr">
        <is>
          <t>358|二级普通怪</t>
        </is>
      </c>
      <c r="B3217" t="n">
        <v>358</v>
      </c>
      <c r="C3217" t="inlineStr">
        <is>
          <t>二级普通怪</t>
        </is>
      </c>
      <c r="D3217" t="n">
        <v>1441626</v>
      </c>
      <c r="E3217" t="n">
        <v>63215</v>
      </c>
      <c r="F3217" t="n">
        <v>41003</v>
      </c>
    </row>
    <row r="3218">
      <c r="A3218" t="inlineStr">
        <is>
          <t>358|站桩怪</t>
        </is>
      </c>
      <c r="B3218" t="n">
        <v>358</v>
      </c>
      <c r="C3218" t="inlineStr">
        <is>
          <t>站桩怪</t>
        </is>
      </c>
      <c r="D3218" t="n">
        <v>400452</v>
      </c>
      <c r="E3218" t="n">
        <v>63215</v>
      </c>
      <c r="F3218" t="n">
        <v>41003</v>
      </c>
    </row>
    <row r="3219">
      <c r="A3219" t="inlineStr">
        <is>
          <t>358|炮灰怪</t>
        </is>
      </c>
      <c r="B3219" t="n">
        <v>358</v>
      </c>
      <c r="C3219" t="inlineStr">
        <is>
          <t>炮灰怪</t>
        </is>
      </c>
      <c r="D3219" t="n">
        <v>120136</v>
      </c>
      <c r="E3219" t="n">
        <v>63215</v>
      </c>
      <c r="F3219" t="n">
        <v>41003</v>
      </c>
    </row>
    <row r="3220">
      <c r="A3220" t="inlineStr">
        <is>
          <t>358|精英怪</t>
        </is>
      </c>
      <c r="B3220" t="n">
        <v>358</v>
      </c>
      <c r="C3220" t="inlineStr">
        <is>
          <t>精英怪</t>
        </is>
      </c>
      <c r="D3220" t="n">
        <v>3203612</v>
      </c>
      <c r="E3220" t="n">
        <v>63215</v>
      </c>
      <c r="F3220" t="n">
        <v>41003</v>
      </c>
    </row>
    <row r="3221">
      <c r="A3221" t="inlineStr">
        <is>
          <t>358|精英盾怪</t>
        </is>
      </c>
      <c r="B3221" t="n">
        <v>358</v>
      </c>
      <c r="C3221" t="inlineStr">
        <is>
          <t>精英盾怪</t>
        </is>
      </c>
      <c r="D3221" t="n">
        <v>7208127</v>
      </c>
      <c r="E3221" t="n">
        <v>63215</v>
      </c>
      <c r="F3221" t="n">
        <v>41003</v>
      </c>
    </row>
    <row r="3222">
      <c r="A3222" t="inlineStr">
        <is>
          <t>358|Boss</t>
        </is>
      </c>
      <c r="B3222" t="n">
        <v>358</v>
      </c>
      <c r="C3222" t="inlineStr">
        <is>
          <t>Boss</t>
        </is>
      </c>
      <c r="D3222" t="n">
        <v>80823832</v>
      </c>
      <c r="E3222" t="n">
        <v>68189</v>
      </c>
      <c r="F3222" t="n">
        <v>41003</v>
      </c>
    </row>
    <row r="3223">
      <c r="A3223" t="inlineStr">
        <is>
          <t>358|装备副本Boss</t>
        </is>
      </c>
      <c r="B3223" t="n">
        <v>358</v>
      </c>
      <c r="C3223" t="inlineStr">
        <is>
          <t>装备副本Boss</t>
        </is>
      </c>
      <c r="D3223" t="n">
        <v>40411916</v>
      </c>
      <c r="E3223" t="n">
        <v>68189</v>
      </c>
      <c r="F3223" t="n">
        <v>41003</v>
      </c>
    </row>
    <row r="3224">
      <c r="A3224" t="inlineStr">
        <is>
          <t>359|普通怪</t>
        </is>
      </c>
      <c r="B3224" t="n">
        <v>359</v>
      </c>
      <c r="C3224" t="inlineStr">
        <is>
          <t>普通怪</t>
        </is>
      </c>
      <c r="D3224" t="n">
        <v>807587</v>
      </c>
      <c r="E3224" t="n">
        <v>63627</v>
      </c>
      <c r="F3224" t="n">
        <v>41159</v>
      </c>
    </row>
    <row r="3225">
      <c r="A3225" t="inlineStr">
        <is>
          <t>359|盾怪</t>
        </is>
      </c>
      <c r="B3225" t="n">
        <v>359</v>
      </c>
      <c r="C3225" t="inlineStr">
        <is>
          <t>盾怪</t>
        </is>
      </c>
      <c r="D3225" t="n">
        <v>2422761</v>
      </c>
      <c r="E3225" t="n">
        <v>63627</v>
      </c>
      <c r="F3225" t="n">
        <v>41159</v>
      </c>
    </row>
    <row r="3226">
      <c r="A3226" t="inlineStr">
        <is>
          <t>359|二级普通怪</t>
        </is>
      </c>
      <c r="B3226" t="n">
        <v>359</v>
      </c>
      <c r="C3226" t="inlineStr">
        <is>
          <t>二级普通怪</t>
        </is>
      </c>
      <c r="D3226" t="n">
        <v>1453657</v>
      </c>
      <c r="E3226" t="n">
        <v>63627</v>
      </c>
      <c r="F3226" t="n">
        <v>41159</v>
      </c>
    </row>
    <row r="3227">
      <c r="A3227" t="inlineStr">
        <is>
          <t>359|站桩怪</t>
        </is>
      </c>
      <c r="B3227" t="n">
        <v>359</v>
      </c>
      <c r="C3227" t="inlineStr">
        <is>
          <t>站桩怪</t>
        </is>
      </c>
      <c r="D3227" t="n">
        <v>403794</v>
      </c>
      <c r="E3227" t="n">
        <v>63627</v>
      </c>
      <c r="F3227" t="n">
        <v>41159</v>
      </c>
    </row>
    <row r="3228">
      <c r="A3228" t="inlineStr">
        <is>
          <t>359|炮灰怪</t>
        </is>
      </c>
      <c r="B3228" t="n">
        <v>359</v>
      </c>
      <c r="C3228" t="inlineStr">
        <is>
          <t>炮灰怪</t>
        </is>
      </c>
      <c r="D3228" t="n">
        <v>121139</v>
      </c>
      <c r="E3228" t="n">
        <v>63627</v>
      </c>
      <c r="F3228" t="n">
        <v>41159</v>
      </c>
    </row>
    <row r="3229">
      <c r="A3229" t="inlineStr">
        <is>
          <t>359|精英怪</t>
        </is>
      </c>
      <c r="B3229" t="n">
        <v>359</v>
      </c>
      <c r="C3229" t="inlineStr">
        <is>
          <t>精英怪</t>
        </is>
      </c>
      <c r="D3229" t="n">
        <v>3230348</v>
      </c>
      <c r="E3229" t="n">
        <v>63627</v>
      </c>
      <c r="F3229" t="n">
        <v>41159</v>
      </c>
    </row>
    <row r="3230">
      <c r="A3230" t="inlineStr">
        <is>
          <t>359|精英盾怪</t>
        </is>
      </c>
      <c r="B3230" t="n">
        <v>359</v>
      </c>
      <c r="C3230" t="inlineStr">
        <is>
          <t>精英盾怪</t>
        </is>
      </c>
      <c r="D3230" t="n">
        <v>7268283</v>
      </c>
      <c r="E3230" t="n">
        <v>63627</v>
      </c>
      <c r="F3230" t="n">
        <v>41159</v>
      </c>
    </row>
    <row r="3231">
      <c r="A3231" t="inlineStr">
        <is>
          <t>359|Boss</t>
        </is>
      </c>
      <c r="B3231" t="n">
        <v>359</v>
      </c>
      <c r="C3231" t="inlineStr">
        <is>
          <t>Boss</t>
        </is>
      </c>
      <c r="D3231" t="n">
        <v>81549664</v>
      </c>
      <c r="E3231" t="n">
        <v>68619</v>
      </c>
      <c r="F3231" t="n">
        <v>41159</v>
      </c>
    </row>
    <row r="3232">
      <c r="A3232" t="inlineStr">
        <is>
          <t>359|装备副本Boss</t>
        </is>
      </c>
      <c r="B3232" t="n">
        <v>359</v>
      </c>
      <c r="C3232" t="inlineStr">
        <is>
          <t>装备副本Boss</t>
        </is>
      </c>
      <c r="D3232" t="n">
        <v>40774832</v>
      </c>
      <c r="E3232" t="n">
        <v>68619</v>
      </c>
      <c r="F3232" t="n">
        <v>41159</v>
      </c>
    </row>
    <row r="3233">
      <c r="A3233" t="inlineStr">
        <is>
          <t>360|普通怪</t>
        </is>
      </c>
      <c r="B3233" t="n">
        <v>360</v>
      </c>
      <c r="C3233" t="inlineStr">
        <is>
          <t>普通怪</t>
        </is>
      </c>
      <c r="D3233" t="n">
        <v>814314</v>
      </c>
      <c r="E3233" t="n">
        <v>64042</v>
      </c>
      <c r="F3233" t="n">
        <v>41314</v>
      </c>
    </row>
    <row r="3234">
      <c r="A3234" t="inlineStr">
        <is>
          <t>360|盾怪</t>
        </is>
      </c>
      <c r="B3234" t="n">
        <v>360</v>
      </c>
      <c r="C3234" t="inlineStr">
        <is>
          <t>盾怪</t>
        </is>
      </c>
      <c r="D3234" t="n">
        <v>2442942</v>
      </c>
      <c r="E3234" t="n">
        <v>64042</v>
      </c>
      <c r="F3234" t="n">
        <v>41314</v>
      </c>
    </row>
    <row r="3235">
      <c r="A3235" t="inlineStr">
        <is>
          <t>360|二级普通怪</t>
        </is>
      </c>
      <c r="B3235" t="n">
        <v>360</v>
      </c>
      <c r="C3235" t="inlineStr">
        <is>
          <t>二级普通怪</t>
        </is>
      </c>
      <c r="D3235" t="n">
        <v>1465766</v>
      </c>
      <c r="E3235" t="n">
        <v>64042</v>
      </c>
      <c r="F3235" t="n">
        <v>41314</v>
      </c>
    </row>
    <row r="3236">
      <c r="A3236" t="inlineStr">
        <is>
          <t>360|站桩怪</t>
        </is>
      </c>
      <c r="B3236" t="n">
        <v>360</v>
      </c>
      <c r="C3236" t="inlineStr">
        <is>
          <t>站桩怪</t>
        </is>
      </c>
      <c r="D3236" t="n">
        <v>407157</v>
      </c>
      <c r="E3236" t="n">
        <v>64042</v>
      </c>
      <c r="F3236" t="n">
        <v>41314</v>
      </c>
    </row>
    <row r="3237">
      <c r="A3237" t="inlineStr">
        <is>
          <t>360|炮灰怪</t>
        </is>
      </c>
      <c r="B3237" t="n">
        <v>360</v>
      </c>
      <c r="C3237" t="inlineStr">
        <is>
          <t>炮灰怪</t>
        </is>
      </c>
      <c r="D3237" t="n">
        <v>122148</v>
      </c>
      <c r="E3237" t="n">
        <v>64042</v>
      </c>
      <c r="F3237" t="n">
        <v>41314</v>
      </c>
    </row>
    <row r="3238">
      <c r="A3238" t="inlineStr">
        <is>
          <t>360|精英怪</t>
        </is>
      </c>
      <c r="B3238" t="n">
        <v>360</v>
      </c>
      <c r="C3238" t="inlineStr">
        <is>
          <t>精英怪</t>
        </is>
      </c>
      <c r="D3238" t="n">
        <v>3257256</v>
      </c>
      <c r="E3238" t="n">
        <v>64042</v>
      </c>
      <c r="F3238" t="n">
        <v>41314</v>
      </c>
    </row>
    <row r="3239">
      <c r="A3239" t="inlineStr">
        <is>
          <t>360|精英盾怪</t>
        </is>
      </c>
      <c r="B3239" t="n">
        <v>360</v>
      </c>
      <c r="C3239" t="inlineStr">
        <is>
          <t>精英盾怪</t>
        </is>
      </c>
      <c r="D3239" t="n">
        <v>7328826</v>
      </c>
      <c r="E3239" t="n">
        <v>64042</v>
      </c>
      <c r="F3239" t="n">
        <v>41314</v>
      </c>
    </row>
    <row r="3240">
      <c r="A3240" t="inlineStr">
        <is>
          <t>360|Boss</t>
        </is>
      </c>
      <c r="B3240" t="n">
        <v>360</v>
      </c>
      <c r="C3240" t="inlineStr">
        <is>
          <t>Boss</t>
        </is>
      </c>
      <c r="D3240" t="n">
        <v>82280800</v>
      </c>
      <c r="E3240" t="n">
        <v>69052</v>
      </c>
      <c r="F3240" t="n">
        <v>41314</v>
      </c>
    </row>
    <row r="3241">
      <c r="A3241" t="inlineStr">
        <is>
          <t>360|装备副本Boss</t>
        </is>
      </c>
      <c r="B3241" t="n">
        <v>360</v>
      </c>
      <c r="C3241" t="inlineStr">
        <is>
          <t>装备副本Boss</t>
        </is>
      </c>
      <c r="D3241" t="n">
        <v>41140400</v>
      </c>
      <c r="E3241" t="n">
        <v>69052</v>
      </c>
      <c r="F3241" t="n">
        <v>41314</v>
      </c>
    </row>
    <row r="3242">
      <c r="A3242" t="inlineStr">
        <is>
          <t>361|普通怪</t>
        </is>
      </c>
      <c r="B3242" t="n">
        <v>361</v>
      </c>
      <c r="C3242" t="inlineStr">
        <is>
          <t>普通怪</t>
        </is>
      </c>
      <c r="D3242" t="n">
        <v>821084</v>
      </c>
      <c r="E3242" t="n">
        <v>64458</v>
      </c>
      <c r="F3242" t="n">
        <v>41470</v>
      </c>
    </row>
    <row r="3243">
      <c r="A3243" t="inlineStr">
        <is>
          <t>361|盾怪</t>
        </is>
      </c>
      <c r="B3243" t="n">
        <v>361</v>
      </c>
      <c r="C3243" t="inlineStr">
        <is>
          <t>盾怪</t>
        </is>
      </c>
      <c r="D3243" t="n">
        <v>2463252</v>
      </c>
      <c r="E3243" t="n">
        <v>64458</v>
      </c>
      <c r="F3243" t="n">
        <v>41470</v>
      </c>
    </row>
    <row r="3244">
      <c r="A3244" t="inlineStr">
        <is>
          <t>361|二级普通怪</t>
        </is>
      </c>
      <c r="B3244" t="n">
        <v>361</v>
      </c>
      <c r="C3244" t="inlineStr">
        <is>
          <t>二级普通怪</t>
        </is>
      </c>
      <c r="D3244" t="n">
        <v>1477952</v>
      </c>
      <c r="E3244" t="n">
        <v>64458</v>
      </c>
      <c r="F3244" t="n">
        <v>41470</v>
      </c>
    </row>
    <row r="3245">
      <c r="A3245" t="inlineStr">
        <is>
          <t>361|站桩怪</t>
        </is>
      </c>
      <c r="B3245" t="n">
        <v>361</v>
      </c>
      <c r="C3245" t="inlineStr">
        <is>
          <t>站桩怪</t>
        </is>
      </c>
      <c r="D3245" t="n">
        <v>410542</v>
      </c>
      <c r="E3245" t="n">
        <v>64458</v>
      </c>
      <c r="F3245" t="n">
        <v>41470</v>
      </c>
    </row>
    <row r="3246">
      <c r="A3246" t="inlineStr">
        <is>
          <t>361|炮灰怪</t>
        </is>
      </c>
      <c r="B3246" t="n">
        <v>361</v>
      </c>
      <c r="C3246" t="inlineStr">
        <is>
          <t>炮灰怪</t>
        </is>
      </c>
      <c r="D3246" t="n">
        <v>123163</v>
      </c>
      <c r="E3246" t="n">
        <v>64458</v>
      </c>
      <c r="F3246" t="n">
        <v>41470</v>
      </c>
    </row>
    <row r="3247">
      <c r="A3247" t="inlineStr">
        <is>
          <t>361|精英怪</t>
        </is>
      </c>
      <c r="B3247" t="n">
        <v>361</v>
      </c>
      <c r="C3247" t="inlineStr">
        <is>
          <t>精英怪</t>
        </is>
      </c>
      <c r="D3247" t="n">
        <v>3284336</v>
      </c>
      <c r="E3247" t="n">
        <v>64458</v>
      </c>
      <c r="F3247" t="n">
        <v>41470</v>
      </c>
    </row>
    <row r="3248">
      <c r="A3248" t="inlineStr">
        <is>
          <t>361|精英盾怪</t>
        </is>
      </c>
      <c r="B3248" t="n">
        <v>361</v>
      </c>
      <c r="C3248" t="inlineStr">
        <is>
          <t>精英盾怪</t>
        </is>
      </c>
      <c r="D3248" t="n">
        <v>7389756</v>
      </c>
      <c r="E3248" t="n">
        <v>64458</v>
      </c>
      <c r="F3248" t="n">
        <v>41470</v>
      </c>
    </row>
    <row r="3249">
      <c r="A3249" t="inlineStr">
        <is>
          <t>361|Boss</t>
        </is>
      </c>
      <c r="B3249" t="n">
        <v>361</v>
      </c>
      <c r="C3249" t="inlineStr">
        <is>
          <t>Boss</t>
        </is>
      </c>
      <c r="D3249" t="n">
        <v>83017138</v>
      </c>
      <c r="E3249" t="n">
        <v>69486</v>
      </c>
      <c r="F3249" t="n">
        <v>41470</v>
      </c>
    </row>
    <row r="3250">
      <c r="A3250" t="inlineStr">
        <is>
          <t>361|装备副本Boss</t>
        </is>
      </c>
      <c r="B3250" t="n">
        <v>361</v>
      </c>
      <c r="C3250" t="inlineStr">
        <is>
          <t>装备副本Boss</t>
        </is>
      </c>
      <c r="D3250" t="n">
        <v>41508569</v>
      </c>
      <c r="E3250" t="n">
        <v>69486</v>
      </c>
      <c r="F3250" t="n">
        <v>41470</v>
      </c>
    </row>
    <row r="3251">
      <c r="A3251" t="inlineStr">
        <is>
          <t>362|普通怪</t>
        </is>
      </c>
      <c r="B3251" t="n">
        <v>362</v>
      </c>
      <c r="C3251" t="inlineStr">
        <is>
          <t>普通怪</t>
        </is>
      </c>
      <c r="D3251" t="n">
        <v>827899</v>
      </c>
      <c r="E3251" t="n">
        <v>64878</v>
      </c>
      <c r="F3251" t="n">
        <v>41626</v>
      </c>
    </row>
    <row r="3252">
      <c r="A3252" t="inlineStr">
        <is>
          <t>362|盾怪</t>
        </is>
      </c>
      <c r="B3252" t="n">
        <v>362</v>
      </c>
      <c r="C3252" t="inlineStr">
        <is>
          <t>盾怪</t>
        </is>
      </c>
      <c r="D3252" t="n">
        <v>2483697</v>
      </c>
      <c r="E3252" t="n">
        <v>64878</v>
      </c>
      <c r="F3252" t="n">
        <v>41626</v>
      </c>
    </row>
    <row r="3253">
      <c r="A3253" t="inlineStr">
        <is>
          <t>362|二级普通怪</t>
        </is>
      </c>
      <c r="B3253" t="n">
        <v>362</v>
      </c>
      <c r="C3253" t="inlineStr">
        <is>
          <t>二级普通怪</t>
        </is>
      </c>
      <c r="D3253" t="n">
        <v>1490219</v>
      </c>
      <c r="E3253" t="n">
        <v>64878</v>
      </c>
      <c r="F3253" t="n">
        <v>41626</v>
      </c>
    </row>
    <row r="3254">
      <c r="A3254" t="inlineStr">
        <is>
          <t>362|站桩怪</t>
        </is>
      </c>
      <c r="B3254" t="n">
        <v>362</v>
      </c>
      <c r="C3254" t="inlineStr">
        <is>
          <t>站桩怪</t>
        </is>
      </c>
      <c r="D3254" t="n">
        <v>413950</v>
      </c>
      <c r="E3254" t="n">
        <v>64878</v>
      </c>
      <c r="F3254" t="n">
        <v>41626</v>
      </c>
    </row>
    <row r="3255">
      <c r="A3255" t="inlineStr">
        <is>
          <t>362|炮灰怪</t>
        </is>
      </c>
      <c r="B3255" t="n">
        <v>362</v>
      </c>
      <c r="C3255" t="inlineStr">
        <is>
          <t>炮灰怪</t>
        </is>
      </c>
      <c r="D3255" t="n">
        <v>124185</v>
      </c>
      <c r="E3255" t="n">
        <v>64878</v>
      </c>
      <c r="F3255" t="n">
        <v>41626</v>
      </c>
    </row>
    <row r="3256">
      <c r="A3256" t="inlineStr">
        <is>
          <t>362|精英怪</t>
        </is>
      </c>
      <c r="B3256" t="n">
        <v>362</v>
      </c>
      <c r="C3256" t="inlineStr">
        <is>
          <t>精英怪</t>
        </is>
      </c>
      <c r="D3256" t="n">
        <v>3311596</v>
      </c>
      <c r="E3256" t="n">
        <v>64878</v>
      </c>
      <c r="F3256" t="n">
        <v>41626</v>
      </c>
    </row>
    <row r="3257">
      <c r="A3257" t="inlineStr">
        <is>
          <t>362|精英盾怪</t>
        </is>
      </c>
      <c r="B3257" t="n">
        <v>362</v>
      </c>
      <c r="C3257" t="inlineStr">
        <is>
          <t>精英盾怪</t>
        </is>
      </c>
      <c r="D3257" t="n">
        <v>7451091</v>
      </c>
      <c r="E3257" t="n">
        <v>64878</v>
      </c>
      <c r="F3257" t="n">
        <v>41626</v>
      </c>
    </row>
    <row r="3258">
      <c r="A3258" t="inlineStr">
        <is>
          <t>362|Boss</t>
        </is>
      </c>
      <c r="B3258" t="n">
        <v>362</v>
      </c>
      <c r="C3258" t="inlineStr">
        <is>
          <t>Boss</t>
        </is>
      </c>
      <c r="D3258" t="n">
        <v>83758831</v>
      </c>
      <c r="E3258" t="n">
        <v>69923</v>
      </c>
      <c r="F3258" t="n">
        <v>41626</v>
      </c>
    </row>
    <row r="3259">
      <c r="A3259" t="inlineStr">
        <is>
          <t>362|装备副本Boss</t>
        </is>
      </c>
      <c r="B3259" t="n">
        <v>362</v>
      </c>
      <c r="C3259" t="inlineStr">
        <is>
          <t>装备副本Boss</t>
        </is>
      </c>
      <c r="D3259" t="n">
        <v>41879416</v>
      </c>
      <c r="E3259" t="n">
        <v>69923</v>
      </c>
      <c r="F3259" t="n">
        <v>41626</v>
      </c>
    </row>
    <row r="3260">
      <c r="A3260" t="inlineStr">
        <is>
          <t>363|普通怪</t>
        </is>
      </c>
      <c r="B3260" t="n">
        <v>363</v>
      </c>
      <c r="C3260" t="inlineStr">
        <is>
          <t>普通怪</t>
        </is>
      </c>
      <c r="D3260" t="n">
        <v>834758</v>
      </c>
      <c r="E3260" t="n">
        <v>65298</v>
      </c>
      <c r="F3260" t="n">
        <v>41782</v>
      </c>
    </row>
    <row r="3261">
      <c r="A3261" t="inlineStr">
        <is>
          <t>363|盾怪</t>
        </is>
      </c>
      <c r="B3261" t="n">
        <v>363</v>
      </c>
      <c r="C3261" t="inlineStr">
        <is>
          <t>盾怪</t>
        </is>
      </c>
      <c r="D3261" t="n">
        <v>2504274</v>
      </c>
      <c r="E3261" t="n">
        <v>65298</v>
      </c>
      <c r="F3261" t="n">
        <v>41782</v>
      </c>
    </row>
    <row r="3262">
      <c r="A3262" t="inlineStr">
        <is>
          <t>363|二级普通怪</t>
        </is>
      </c>
      <c r="B3262" t="n">
        <v>363</v>
      </c>
      <c r="C3262" t="inlineStr">
        <is>
          <t>二级普通怪</t>
        </is>
      </c>
      <c r="D3262" t="n">
        <v>1502565</v>
      </c>
      <c r="E3262" t="n">
        <v>65298</v>
      </c>
      <c r="F3262" t="n">
        <v>41782</v>
      </c>
    </row>
    <row r="3263">
      <c r="A3263" t="inlineStr">
        <is>
          <t>363|站桩怪</t>
        </is>
      </c>
      <c r="B3263" t="n">
        <v>363</v>
      </c>
      <c r="C3263" t="inlineStr">
        <is>
          <t>站桩怪</t>
        </is>
      </c>
      <c r="D3263" t="n">
        <v>417379</v>
      </c>
      <c r="E3263" t="n">
        <v>65298</v>
      </c>
      <c r="F3263" t="n">
        <v>41782</v>
      </c>
    </row>
    <row r="3264">
      <c r="A3264" t="inlineStr">
        <is>
          <t>363|炮灰怪</t>
        </is>
      </c>
      <c r="B3264" t="n">
        <v>363</v>
      </c>
      <c r="C3264" t="inlineStr">
        <is>
          <t>炮灰怪</t>
        </is>
      </c>
      <c r="D3264" t="n">
        <v>125214</v>
      </c>
      <c r="E3264" t="n">
        <v>65298</v>
      </c>
      <c r="F3264" t="n">
        <v>41782</v>
      </c>
    </row>
    <row r="3265">
      <c r="A3265" t="inlineStr">
        <is>
          <t>363|精英怪</t>
        </is>
      </c>
      <c r="B3265" t="n">
        <v>363</v>
      </c>
      <c r="C3265" t="inlineStr">
        <is>
          <t>精英怪</t>
        </is>
      </c>
      <c r="D3265" t="n">
        <v>3339032</v>
      </c>
      <c r="E3265" t="n">
        <v>65298</v>
      </c>
      <c r="F3265" t="n">
        <v>41782</v>
      </c>
    </row>
    <row r="3266">
      <c r="A3266" t="inlineStr">
        <is>
          <t>363|精英盾怪</t>
        </is>
      </c>
      <c r="B3266" t="n">
        <v>363</v>
      </c>
      <c r="C3266" t="inlineStr">
        <is>
          <t>精英盾怪</t>
        </is>
      </c>
      <c r="D3266" t="n">
        <v>7512822</v>
      </c>
      <c r="E3266" t="n">
        <v>65298</v>
      </c>
      <c r="F3266" t="n">
        <v>41782</v>
      </c>
    </row>
    <row r="3267">
      <c r="A3267" t="inlineStr">
        <is>
          <t>363|Boss</t>
        </is>
      </c>
      <c r="B3267" t="n">
        <v>363</v>
      </c>
      <c r="C3267" t="inlineStr">
        <is>
          <t>Boss</t>
        </is>
      </c>
      <c r="D3267" t="n">
        <v>84505777</v>
      </c>
      <c r="E3267" t="n">
        <v>70361</v>
      </c>
      <c r="F3267" t="n">
        <v>41782</v>
      </c>
    </row>
    <row r="3268">
      <c r="A3268" t="inlineStr">
        <is>
          <t>363|装备副本Boss</t>
        </is>
      </c>
      <c r="B3268" t="n">
        <v>363</v>
      </c>
      <c r="C3268" t="inlineStr">
        <is>
          <t>装备副本Boss</t>
        </is>
      </c>
      <c r="D3268" t="n">
        <v>42252889</v>
      </c>
      <c r="E3268" t="n">
        <v>70361</v>
      </c>
      <c r="F3268" t="n">
        <v>41782</v>
      </c>
    </row>
    <row r="3269">
      <c r="A3269" t="inlineStr">
        <is>
          <t>364|普通怪</t>
        </is>
      </c>
      <c r="B3269" t="n">
        <v>364</v>
      </c>
      <c r="C3269" t="inlineStr">
        <is>
          <t>普通怪</t>
        </is>
      </c>
      <c r="D3269" t="n">
        <v>841661</v>
      </c>
      <c r="E3269" t="n">
        <v>65722</v>
      </c>
      <c r="F3269" t="n">
        <v>41939</v>
      </c>
    </row>
    <row r="3270">
      <c r="A3270" t="inlineStr">
        <is>
          <t>364|盾怪</t>
        </is>
      </c>
      <c r="B3270" t="n">
        <v>364</v>
      </c>
      <c r="C3270" t="inlineStr">
        <is>
          <t>盾怪</t>
        </is>
      </c>
      <c r="D3270" t="n">
        <v>2524983</v>
      </c>
      <c r="E3270" t="n">
        <v>65722</v>
      </c>
      <c r="F3270" t="n">
        <v>41939</v>
      </c>
    </row>
    <row r="3271">
      <c r="A3271" t="inlineStr">
        <is>
          <t>364|二级普通怪</t>
        </is>
      </c>
      <c r="B3271" t="n">
        <v>364</v>
      </c>
      <c r="C3271" t="inlineStr">
        <is>
          <t>二级普通怪</t>
        </is>
      </c>
      <c r="D3271" t="n">
        <v>1514990</v>
      </c>
      <c r="E3271" t="n">
        <v>65722</v>
      </c>
      <c r="F3271" t="n">
        <v>41939</v>
      </c>
    </row>
    <row r="3272">
      <c r="A3272" t="inlineStr">
        <is>
          <t>364|站桩怪</t>
        </is>
      </c>
      <c r="B3272" t="n">
        <v>364</v>
      </c>
      <c r="C3272" t="inlineStr">
        <is>
          <t>站桩怪</t>
        </is>
      </c>
      <c r="D3272" t="n">
        <v>420831</v>
      </c>
      <c r="E3272" t="n">
        <v>65722</v>
      </c>
      <c r="F3272" t="n">
        <v>41939</v>
      </c>
    </row>
    <row r="3273">
      <c r="A3273" t="inlineStr">
        <is>
          <t>364|炮灰怪</t>
        </is>
      </c>
      <c r="B3273" t="n">
        <v>364</v>
      </c>
      <c r="C3273" t="inlineStr">
        <is>
          <t>炮灰怪</t>
        </is>
      </c>
      <c r="D3273" t="n">
        <v>126250</v>
      </c>
      <c r="E3273" t="n">
        <v>65722</v>
      </c>
      <c r="F3273" t="n">
        <v>41939</v>
      </c>
    </row>
    <row r="3274">
      <c r="A3274" t="inlineStr">
        <is>
          <t>364|精英怪</t>
        </is>
      </c>
      <c r="B3274" t="n">
        <v>364</v>
      </c>
      <c r="C3274" t="inlineStr">
        <is>
          <t>精英怪</t>
        </is>
      </c>
      <c r="D3274" t="n">
        <v>3366644</v>
      </c>
      <c r="E3274" t="n">
        <v>65722</v>
      </c>
      <c r="F3274" t="n">
        <v>41939</v>
      </c>
    </row>
    <row r="3275">
      <c r="A3275" t="inlineStr">
        <is>
          <t>364|精英盾怪</t>
        </is>
      </c>
      <c r="B3275" t="n">
        <v>364</v>
      </c>
      <c r="C3275" t="inlineStr">
        <is>
          <t>精英盾怪</t>
        </is>
      </c>
      <c r="D3275" t="n">
        <v>7574949</v>
      </c>
      <c r="E3275" t="n">
        <v>65722</v>
      </c>
      <c r="F3275" t="n">
        <v>41939</v>
      </c>
    </row>
    <row r="3276">
      <c r="A3276" t="inlineStr">
        <is>
          <t>364|Boss</t>
        </is>
      </c>
      <c r="B3276" t="n">
        <v>364</v>
      </c>
      <c r="C3276" t="inlineStr">
        <is>
          <t>Boss</t>
        </is>
      </c>
      <c r="D3276" t="n">
        <v>85258129</v>
      </c>
      <c r="E3276" t="n">
        <v>70803</v>
      </c>
      <c r="F3276" t="n">
        <v>41939</v>
      </c>
    </row>
    <row r="3277">
      <c r="A3277" t="inlineStr">
        <is>
          <t>364|装备副本Boss</t>
        </is>
      </c>
      <c r="B3277" t="n">
        <v>364</v>
      </c>
      <c r="C3277" t="inlineStr">
        <is>
          <t>装备副本Boss</t>
        </is>
      </c>
      <c r="D3277" t="n">
        <v>42629065</v>
      </c>
      <c r="E3277" t="n">
        <v>70803</v>
      </c>
      <c r="F3277" t="n">
        <v>41939</v>
      </c>
    </row>
    <row r="3278">
      <c r="A3278" t="inlineStr">
        <is>
          <t>365|普通怪</t>
        </is>
      </c>
      <c r="B3278" t="n">
        <v>365</v>
      </c>
      <c r="C3278" t="inlineStr">
        <is>
          <t>普通怪</t>
        </is>
      </c>
      <c r="D3278" t="n">
        <v>848610</v>
      </c>
      <c r="E3278" t="n">
        <v>66147</v>
      </c>
      <c r="F3278" t="n">
        <v>42096</v>
      </c>
    </row>
    <row r="3279">
      <c r="A3279" t="inlineStr">
        <is>
          <t>365|盾怪</t>
        </is>
      </c>
      <c r="B3279" t="n">
        <v>365</v>
      </c>
      <c r="C3279" t="inlineStr">
        <is>
          <t>盾怪</t>
        </is>
      </c>
      <c r="D3279" t="n">
        <v>2545830</v>
      </c>
      <c r="E3279" t="n">
        <v>66147</v>
      </c>
      <c r="F3279" t="n">
        <v>42096</v>
      </c>
    </row>
    <row r="3280">
      <c r="A3280" t="inlineStr">
        <is>
          <t>365|二级普通怪</t>
        </is>
      </c>
      <c r="B3280" t="n">
        <v>365</v>
      </c>
      <c r="C3280" t="inlineStr">
        <is>
          <t>二级普通怪</t>
        </is>
      </c>
      <c r="D3280" t="n">
        <v>1527498</v>
      </c>
      <c r="E3280" t="n">
        <v>66147</v>
      </c>
      <c r="F3280" t="n">
        <v>42096</v>
      </c>
    </row>
    <row r="3281">
      <c r="A3281" t="inlineStr">
        <is>
          <t>365|站桩怪</t>
        </is>
      </c>
      <c r="B3281" t="n">
        <v>365</v>
      </c>
      <c r="C3281" t="inlineStr">
        <is>
          <t>站桩怪</t>
        </is>
      </c>
      <c r="D3281" t="n">
        <v>424305</v>
      </c>
      <c r="E3281" t="n">
        <v>66147</v>
      </c>
      <c r="F3281" t="n">
        <v>42096</v>
      </c>
    </row>
    <row r="3282">
      <c r="A3282" t="inlineStr">
        <is>
          <t>365|炮灰怪</t>
        </is>
      </c>
      <c r="B3282" t="n">
        <v>365</v>
      </c>
      <c r="C3282" t="inlineStr">
        <is>
          <t>炮灰怪</t>
        </is>
      </c>
      <c r="D3282" t="n">
        <v>127292</v>
      </c>
      <c r="E3282" t="n">
        <v>66147</v>
      </c>
      <c r="F3282" t="n">
        <v>42096</v>
      </c>
    </row>
    <row r="3283">
      <c r="A3283" t="inlineStr">
        <is>
          <t>365|精英怪</t>
        </is>
      </c>
      <c r="B3283" t="n">
        <v>365</v>
      </c>
      <c r="C3283" t="inlineStr">
        <is>
          <t>精英怪</t>
        </is>
      </c>
      <c r="D3283" t="n">
        <v>3394440</v>
      </c>
      <c r="E3283" t="n">
        <v>66147</v>
      </c>
      <c r="F3283" t="n">
        <v>42096</v>
      </c>
    </row>
    <row r="3284">
      <c r="A3284" t="inlineStr">
        <is>
          <t>365|精英盾怪</t>
        </is>
      </c>
      <c r="B3284" t="n">
        <v>365</v>
      </c>
      <c r="C3284" t="inlineStr">
        <is>
          <t>精英盾怪</t>
        </is>
      </c>
      <c r="D3284" t="n">
        <v>7637490</v>
      </c>
      <c r="E3284" t="n">
        <v>66147</v>
      </c>
      <c r="F3284" t="n">
        <v>42096</v>
      </c>
    </row>
    <row r="3285">
      <c r="A3285" t="inlineStr">
        <is>
          <t>365|Boss</t>
        </is>
      </c>
      <c r="B3285" t="n">
        <v>365</v>
      </c>
      <c r="C3285" t="inlineStr">
        <is>
          <t>Boss</t>
        </is>
      </c>
      <c r="D3285" t="n">
        <v>86015836</v>
      </c>
      <c r="E3285" t="n">
        <v>71246</v>
      </c>
      <c r="F3285" t="n">
        <v>42096</v>
      </c>
    </row>
    <row r="3286">
      <c r="A3286" t="inlineStr">
        <is>
          <t>365|装备副本Boss</t>
        </is>
      </c>
      <c r="B3286" t="n">
        <v>365</v>
      </c>
      <c r="C3286" t="inlineStr">
        <is>
          <t>装备副本Boss</t>
        </is>
      </c>
      <c r="D3286" t="n">
        <v>43007918</v>
      </c>
      <c r="E3286" t="n">
        <v>71246</v>
      </c>
      <c r="F3286" t="n">
        <v>42096</v>
      </c>
    </row>
    <row r="3287">
      <c r="A3287" t="inlineStr">
        <is>
          <t>366|普通怪</t>
        </is>
      </c>
      <c r="B3287" t="n">
        <v>366</v>
      </c>
      <c r="C3287" t="inlineStr">
        <is>
          <t>普通怪</t>
        </is>
      </c>
      <c r="D3287" t="n">
        <v>855603</v>
      </c>
      <c r="E3287" t="n">
        <v>66574</v>
      </c>
      <c r="F3287" t="n">
        <v>42252</v>
      </c>
    </row>
    <row r="3288">
      <c r="A3288" t="inlineStr">
        <is>
          <t>366|盾怪</t>
        </is>
      </c>
      <c r="B3288" t="n">
        <v>366</v>
      </c>
      <c r="C3288" t="inlineStr">
        <is>
          <t>盾怪</t>
        </is>
      </c>
      <c r="D3288" t="n">
        <v>2566809</v>
      </c>
      <c r="E3288" t="n">
        <v>66574</v>
      </c>
      <c r="F3288" t="n">
        <v>42252</v>
      </c>
    </row>
    <row r="3289">
      <c r="A3289" t="inlineStr">
        <is>
          <t>366|二级普通怪</t>
        </is>
      </c>
      <c r="B3289" t="n">
        <v>366</v>
      </c>
      <c r="C3289" t="inlineStr">
        <is>
          <t>二级普通怪</t>
        </is>
      </c>
      <c r="D3289" t="n">
        <v>1540086</v>
      </c>
      <c r="E3289" t="n">
        <v>66574</v>
      </c>
      <c r="F3289" t="n">
        <v>42252</v>
      </c>
    </row>
    <row r="3290">
      <c r="A3290" t="inlineStr">
        <is>
          <t>366|站桩怪</t>
        </is>
      </c>
      <c r="B3290" t="n">
        <v>366</v>
      </c>
      <c r="C3290" t="inlineStr">
        <is>
          <t>站桩怪</t>
        </is>
      </c>
      <c r="D3290" t="n">
        <v>427802</v>
      </c>
      <c r="E3290" t="n">
        <v>66574</v>
      </c>
      <c r="F3290" t="n">
        <v>42252</v>
      </c>
    </row>
    <row r="3291">
      <c r="A3291" t="inlineStr">
        <is>
          <t>366|炮灰怪</t>
        </is>
      </c>
      <c r="B3291" t="n">
        <v>366</v>
      </c>
      <c r="C3291" t="inlineStr">
        <is>
          <t>炮灰怪</t>
        </is>
      </c>
      <c r="D3291" t="n">
        <v>128341</v>
      </c>
      <c r="E3291" t="n">
        <v>66574</v>
      </c>
      <c r="F3291" t="n">
        <v>42252</v>
      </c>
    </row>
    <row r="3292">
      <c r="A3292" t="inlineStr">
        <is>
          <t>366|精英怪</t>
        </is>
      </c>
      <c r="B3292" t="n">
        <v>366</v>
      </c>
      <c r="C3292" t="inlineStr">
        <is>
          <t>精英怪</t>
        </is>
      </c>
      <c r="D3292" t="n">
        <v>3422412</v>
      </c>
      <c r="E3292" t="n">
        <v>66574</v>
      </c>
      <c r="F3292" t="n">
        <v>42252</v>
      </c>
    </row>
    <row r="3293">
      <c r="A3293" t="inlineStr">
        <is>
          <t>366|精英盾怪</t>
        </is>
      </c>
      <c r="B3293" t="n">
        <v>366</v>
      </c>
      <c r="C3293" t="inlineStr">
        <is>
          <t>精英盾怪</t>
        </is>
      </c>
      <c r="D3293" t="n">
        <v>7700427</v>
      </c>
      <c r="E3293" t="n">
        <v>66574</v>
      </c>
      <c r="F3293" t="n">
        <v>42252</v>
      </c>
    </row>
    <row r="3294">
      <c r="A3294" t="inlineStr">
        <is>
          <t>366|Boss</t>
        </is>
      </c>
      <c r="B3294" t="n">
        <v>366</v>
      </c>
      <c r="C3294" t="inlineStr">
        <is>
          <t>Boss</t>
        </is>
      </c>
      <c r="D3294" t="n">
        <v>86779000</v>
      </c>
      <c r="E3294" t="n">
        <v>71691</v>
      </c>
      <c r="F3294" t="n">
        <v>42252</v>
      </c>
    </row>
    <row r="3295">
      <c r="A3295" t="inlineStr">
        <is>
          <t>366|装备副本Boss</t>
        </is>
      </c>
      <c r="B3295" t="n">
        <v>366</v>
      </c>
      <c r="C3295" t="inlineStr">
        <is>
          <t>装备副本Boss</t>
        </is>
      </c>
      <c r="D3295" t="n">
        <v>43389500</v>
      </c>
      <c r="E3295" t="n">
        <v>71691</v>
      </c>
      <c r="F3295" t="n">
        <v>42252</v>
      </c>
    </row>
    <row r="3296">
      <c r="A3296" t="inlineStr">
        <is>
          <t>367|普通怪</t>
        </is>
      </c>
      <c r="B3296" t="n">
        <v>367</v>
      </c>
      <c r="C3296" t="inlineStr">
        <is>
          <t>普通怪</t>
        </is>
      </c>
      <c r="D3296" t="n">
        <v>862641</v>
      </c>
      <c r="E3296" t="n">
        <v>67004</v>
      </c>
      <c r="F3296" t="n">
        <v>42410</v>
      </c>
    </row>
    <row r="3297">
      <c r="A3297" t="inlineStr">
        <is>
          <t>367|盾怪</t>
        </is>
      </c>
      <c r="B3297" t="n">
        <v>367</v>
      </c>
      <c r="C3297" t="inlineStr">
        <is>
          <t>盾怪</t>
        </is>
      </c>
      <c r="D3297" t="n">
        <v>2587923</v>
      </c>
      <c r="E3297" t="n">
        <v>67004</v>
      </c>
      <c r="F3297" t="n">
        <v>42410</v>
      </c>
    </row>
    <row r="3298">
      <c r="A3298" t="inlineStr">
        <is>
          <t>367|二级普通怪</t>
        </is>
      </c>
      <c r="B3298" t="n">
        <v>367</v>
      </c>
      <c r="C3298" t="inlineStr">
        <is>
          <t>二级普通怪</t>
        </is>
      </c>
      <c r="D3298" t="n">
        <v>1552754</v>
      </c>
      <c r="E3298" t="n">
        <v>67004</v>
      </c>
      <c r="F3298" t="n">
        <v>42410</v>
      </c>
    </row>
    <row r="3299">
      <c r="A3299" t="inlineStr">
        <is>
          <t>367|站桩怪</t>
        </is>
      </c>
      <c r="B3299" t="n">
        <v>367</v>
      </c>
      <c r="C3299" t="inlineStr">
        <is>
          <t>站桩怪</t>
        </is>
      </c>
      <c r="D3299" t="n">
        <v>431321</v>
      </c>
      <c r="E3299" t="n">
        <v>67004</v>
      </c>
      <c r="F3299" t="n">
        <v>42410</v>
      </c>
    </row>
    <row r="3300">
      <c r="A3300" t="inlineStr">
        <is>
          <t>367|炮灰怪</t>
        </is>
      </c>
      <c r="B3300" t="n">
        <v>367</v>
      </c>
      <c r="C3300" t="inlineStr">
        <is>
          <t>炮灰怪</t>
        </is>
      </c>
      <c r="D3300" t="n">
        <v>129397</v>
      </c>
      <c r="E3300" t="n">
        <v>67004</v>
      </c>
      <c r="F3300" t="n">
        <v>42410</v>
      </c>
    </row>
    <row r="3301">
      <c r="A3301" t="inlineStr">
        <is>
          <t>367|精英怪</t>
        </is>
      </c>
      <c r="B3301" t="n">
        <v>367</v>
      </c>
      <c r="C3301" t="inlineStr">
        <is>
          <t>精英怪</t>
        </is>
      </c>
      <c r="D3301" t="n">
        <v>3450564</v>
      </c>
      <c r="E3301" t="n">
        <v>67004</v>
      </c>
      <c r="F3301" t="n">
        <v>42410</v>
      </c>
    </row>
    <row r="3302">
      <c r="A3302" t="inlineStr">
        <is>
          <t>367|精英盾怪</t>
        </is>
      </c>
      <c r="B3302" t="n">
        <v>367</v>
      </c>
      <c r="C3302" t="inlineStr">
        <is>
          <t>精英盾怪</t>
        </is>
      </c>
      <c r="D3302" t="n">
        <v>7763769</v>
      </c>
      <c r="E3302" t="n">
        <v>67004</v>
      </c>
      <c r="F3302" t="n">
        <v>42410</v>
      </c>
    </row>
    <row r="3303">
      <c r="A3303" t="inlineStr">
        <is>
          <t>367|Boss</t>
        </is>
      </c>
      <c r="B3303" t="n">
        <v>367</v>
      </c>
      <c r="C3303" t="inlineStr">
        <is>
          <t>Boss</t>
        </is>
      </c>
      <c r="D3303" t="n">
        <v>87547570</v>
      </c>
      <c r="E3303" t="n">
        <v>72139</v>
      </c>
      <c r="F3303" t="n">
        <v>42410</v>
      </c>
    </row>
    <row r="3304">
      <c r="A3304" t="inlineStr">
        <is>
          <t>367|装备副本Boss</t>
        </is>
      </c>
      <c r="B3304" t="n">
        <v>367</v>
      </c>
      <c r="C3304" t="inlineStr">
        <is>
          <t>装备副本Boss</t>
        </is>
      </c>
      <c r="D3304" t="n">
        <v>43773785</v>
      </c>
      <c r="E3304" t="n">
        <v>72139</v>
      </c>
      <c r="F3304" t="n">
        <v>42410</v>
      </c>
    </row>
    <row r="3305">
      <c r="A3305" t="inlineStr">
        <is>
          <t>368|普通怪</t>
        </is>
      </c>
      <c r="B3305" t="n">
        <v>368</v>
      </c>
      <c r="C3305" t="inlineStr">
        <is>
          <t>普通怪</t>
        </is>
      </c>
      <c r="D3305" t="n">
        <v>869724</v>
      </c>
      <c r="E3305" t="n">
        <v>67436</v>
      </c>
      <c r="F3305" t="n">
        <v>42567</v>
      </c>
    </row>
    <row r="3306">
      <c r="A3306" t="inlineStr">
        <is>
          <t>368|盾怪</t>
        </is>
      </c>
      <c r="B3306" t="n">
        <v>368</v>
      </c>
      <c r="C3306" t="inlineStr">
        <is>
          <t>盾怪</t>
        </is>
      </c>
      <c r="D3306" t="n">
        <v>2609172</v>
      </c>
      <c r="E3306" t="n">
        <v>67436</v>
      </c>
      <c r="F3306" t="n">
        <v>42567</v>
      </c>
    </row>
    <row r="3307">
      <c r="A3307" t="inlineStr">
        <is>
          <t>368|二级普通怪</t>
        </is>
      </c>
      <c r="B3307" t="n">
        <v>368</v>
      </c>
      <c r="C3307" t="inlineStr">
        <is>
          <t>二级普通怪</t>
        </is>
      </c>
      <c r="D3307" t="n">
        <v>1565504</v>
      </c>
      <c r="E3307" t="n">
        <v>67436</v>
      </c>
      <c r="F3307" t="n">
        <v>42567</v>
      </c>
    </row>
    <row r="3308">
      <c r="A3308" t="inlineStr">
        <is>
          <t>368|站桩怪</t>
        </is>
      </c>
      <c r="B3308" t="n">
        <v>368</v>
      </c>
      <c r="C3308" t="inlineStr">
        <is>
          <t>站桩怪</t>
        </is>
      </c>
      <c r="D3308" t="n">
        <v>434862</v>
      </c>
      <c r="E3308" t="n">
        <v>67436</v>
      </c>
      <c r="F3308" t="n">
        <v>42567</v>
      </c>
    </row>
    <row r="3309">
      <c r="A3309" t="inlineStr">
        <is>
          <t>368|炮灰怪</t>
        </is>
      </c>
      <c r="B3309" t="n">
        <v>368</v>
      </c>
      <c r="C3309" t="inlineStr">
        <is>
          <t>炮灰怪</t>
        </is>
      </c>
      <c r="D3309" t="n">
        <v>130459</v>
      </c>
      <c r="E3309" t="n">
        <v>67436</v>
      </c>
      <c r="F3309" t="n">
        <v>42567</v>
      </c>
    </row>
    <row r="3310">
      <c r="A3310" t="inlineStr">
        <is>
          <t>368|精英怪</t>
        </is>
      </c>
      <c r="B3310" t="n">
        <v>368</v>
      </c>
      <c r="C3310" t="inlineStr">
        <is>
          <t>精英怪</t>
        </is>
      </c>
      <c r="D3310" t="n">
        <v>3478896</v>
      </c>
      <c r="E3310" t="n">
        <v>67436</v>
      </c>
      <c r="F3310" t="n">
        <v>42567</v>
      </c>
    </row>
    <row r="3311">
      <c r="A3311" t="inlineStr">
        <is>
          <t>368|精英盾怪</t>
        </is>
      </c>
      <c r="B3311" t="n">
        <v>368</v>
      </c>
      <c r="C3311" t="inlineStr">
        <is>
          <t>精英盾怪</t>
        </is>
      </c>
      <c r="D3311" t="n">
        <v>7827516</v>
      </c>
      <c r="E3311" t="n">
        <v>67436</v>
      </c>
      <c r="F3311" t="n">
        <v>42567</v>
      </c>
    </row>
    <row r="3312">
      <c r="A3312" t="inlineStr">
        <is>
          <t>368|Boss</t>
        </is>
      </c>
      <c r="B3312" t="n">
        <v>368</v>
      </c>
      <c r="C3312" t="inlineStr">
        <is>
          <t>Boss</t>
        </is>
      </c>
      <c r="D3312" t="n">
        <v>88321648</v>
      </c>
      <c r="E3312" t="n">
        <v>72589</v>
      </c>
      <c r="F3312" t="n">
        <v>42567</v>
      </c>
    </row>
    <row r="3313">
      <c r="A3313" t="inlineStr">
        <is>
          <t>368|装备副本Boss</t>
        </is>
      </c>
      <c r="B3313" t="n">
        <v>368</v>
      </c>
      <c r="C3313" t="inlineStr">
        <is>
          <t>装备副本Boss</t>
        </is>
      </c>
      <c r="D3313" t="n">
        <v>44160824</v>
      </c>
      <c r="E3313" t="n">
        <v>72589</v>
      </c>
      <c r="F3313" t="n">
        <v>42567</v>
      </c>
    </row>
    <row r="3314">
      <c r="A3314" t="inlineStr">
        <is>
          <t>369|普通怪</t>
        </is>
      </c>
      <c r="B3314" t="n">
        <v>369</v>
      </c>
      <c r="C3314" t="inlineStr">
        <is>
          <t>普通怪</t>
        </is>
      </c>
      <c r="D3314" t="n">
        <v>876853</v>
      </c>
      <c r="E3314" t="n">
        <v>67871</v>
      </c>
      <c r="F3314" t="n">
        <v>42725</v>
      </c>
    </row>
    <row r="3315">
      <c r="A3315" t="inlineStr">
        <is>
          <t>369|盾怪</t>
        </is>
      </c>
      <c r="B3315" t="n">
        <v>369</v>
      </c>
      <c r="C3315" t="inlineStr">
        <is>
          <t>盾怪</t>
        </is>
      </c>
      <c r="D3315" t="n">
        <v>2630559</v>
      </c>
      <c r="E3315" t="n">
        <v>67871</v>
      </c>
      <c r="F3315" t="n">
        <v>42725</v>
      </c>
    </row>
    <row r="3316">
      <c r="A3316" t="inlineStr">
        <is>
          <t>369|二级普通怪</t>
        </is>
      </c>
      <c r="B3316" t="n">
        <v>369</v>
      </c>
      <c r="C3316" t="inlineStr">
        <is>
          <t>二级普通怪</t>
        </is>
      </c>
      <c r="D3316" t="n">
        <v>1578336</v>
      </c>
      <c r="E3316" t="n">
        <v>67871</v>
      </c>
      <c r="F3316" t="n">
        <v>42725</v>
      </c>
    </row>
    <row r="3317">
      <c r="A3317" t="inlineStr">
        <is>
          <t>369|站桩怪</t>
        </is>
      </c>
      <c r="B3317" t="n">
        <v>369</v>
      </c>
      <c r="C3317" t="inlineStr">
        <is>
          <t>站桩怪</t>
        </is>
      </c>
      <c r="D3317" t="n">
        <v>438427</v>
      </c>
      <c r="E3317" t="n">
        <v>67871</v>
      </c>
      <c r="F3317" t="n">
        <v>42725</v>
      </c>
    </row>
    <row r="3318">
      <c r="A3318" t="inlineStr">
        <is>
          <t>369|炮灰怪</t>
        </is>
      </c>
      <c r="B3318" t="n">
        <v>369</v>
      </c>
      <c r="C3318" t="inlineStr">
        <is>
          <t>炮灰怪</t>
        </is>
      </c>
      <c r="D3318" t="n">
        <v>131528</v>
      </c>
      <c r="E3318" t="n">
        <v>67871</v>
      </c>
      <c r="F3318" t="n">
        <v>42725</v>
      </c>
    </row>
    <row r="3319">
      <c r="A3319" t="inlineStr">
        <is>
          <t>369|精英怪</t>
        </is>
      </c>
      <c r="B3319" t="n">
        <v>369</v>
      </c>
      <c r="C3319" t="inlineStr">
        <is>
          <t>精英怪</t>
        </is>
      </c>
      <c r="D3319" t="n">
        <v>3507412</v>
      </c>
      <c r="E3319" t="n">
        <v>67871</v>
      </c>
      <c r="F3319" t="n">
        <v>42725</v>
      </c>
    </row>
    <row r="3320">
      <c r="A3320" t="inlineStr">
        <is>
          <t>369|精英盾怪</t>
        </is>
      </c>
      <c r="B3320" t="n">
        <v>369</v>
      </c>
      <c r="C3320" t="inlineStr">
        <is>
          <t>精英盾怪</t>
        </is>
      </c>
      <c r="D3320" t="n">
        <v>7891677</v>
      </c>
      <c r="E3320" t="n">
        <v>67871</v>
      </c>
      <c r="F3320" t="n">
        <v>42725</v>
      </c>
    </row>
    <row r="3321">
      <c r="A3321" t="inlineStr">
        <is>
          <t>369|Boss</t>
        </is>
      </c>
      <c r="B3321" t="n">
        <v>369</v>
      </c>
      <c r="C3321" t="inlineStr">
        <is>
          <t>Boss</t>
        </is>
      </c>
      <c r="D3321" t="n">
        <v>89101183</v>
      </c>
      <c r="E3321" t="n">
        <v>73042</v>
      </c>
      <c r="F3321" t="n">
        <v>42725</v>
      </c>
    </row>
    <row r="3322">
      <c r="A3322" t="inlineStr">
        <is>
          <t>369|装备副本Boss</t>
        </is>
      </c>
      <c r="B3322" t="n">
        <v>369</v>
      </c>
      <c r="C3322" t="inlineStr">
        <is>
          <t>装备副本Boss</t>
        </is>
      </c>
      <c r="D3322" t="n">
        <v>44550591</v>
      </c>
      <c r="E3322" t="n">
        <v>73042</v>
      </c>
      <c r="F3322" t="n">
        <v>42725</v>
      </c>
    </row>
    <row r="3323">
      <c r="A3323" t="inlineStr">
        <is>
          <t>370|普通怪</t>
        </is>
      </c>
      <c r="B3323" t="n">
        <v>370</v>
      </c>
      <c r="C3323" t="inlineStr">
        <is>
          <t>普通怪</t>
        </is>
      </c>
      <c r="D3323" t="n">
        <v>884028</v>
      </c>
      <c r="E3323" t="n">
        <v>68307</v>
      </c>
      <c r="F3323" t="n">
        <v>42883</v>
      </c>
    </row>
    <row r="3324">
      <c r="A3324" t="inlineStr">
        <is>
          <t>370|盾怪</t>
        </is>
      </c>
      <c r="B3324" t="n">
        <v>370</v>
      </c>
      <c r="C3324" t="inlineStr">
        <is>
          <t>盾怪</t>
        </is>
      </c>
      <c r="D3324" t="n">
        <v>2652084</v>
      </c>
      <c r="E3324" t="n">
        <v>68307</v>
      </c>
      <c r="F3324" t="n">
        <v>42883</v>
      </c>
    </row>
    <row r="3325">
      <c r="A3325" t="inlineStr">
        <is>
          <t>370|二级普通怪</t>
        </is>
      </c>
      <c r="B3325" t="n">
        <v>370</v>
      </c>
      <c r="C3325" t="inlineStr">
        <is>
          <t>二级普通怪</t>
        </is>
      </c>
      <c r="D3325" t="n">
        <v>1591251</v>
      </c>
      <c r="E3325" t="n">
        <v>68307</v>
      </c>
      <c r="F3325" t="n">
        <v>42883</v>
      </c>
    </row>
    <row r="3326">
      <c r="A3326" t="inlineStr">
        <is>
          <t>370|站桩怪</t>
        </is>
      </c>
      <c r="B3326" t="n">
        <v>370</v>
      </c>
      <c r="C3326" t="inlineStr">
        <is>
          <t>站桩怪</t>
        </is>
      </c>
      <c r="D3326" t="n">
        <v>442014</v>
      </c>
      <c r="E3326" t="n">
        <v>68307</v>
      </c>
      <c r="F3326" t="n">
        <v>42883</v>
      </c>
    </row>
    <row r="3327">
      <c r="A3327" t="inlineStr">
        <is>
          <t>370|炮灰怪</t>
        </is>
      </c>
      <c r="B3327" t="n">
        <v>370</v>
      </c>
      <c r="C3327" t="inlineStr">
        <is>
          <t>炮灰怪</t>
        </is>
      </c>
      <c r="D3327" t="n">
        <v>132605</v>
      </c>
      <c r="E3327" t="n">
        <v>68307</v>
      </c>
      <c r="F3327" t="n">
        <v>42883</v>
      </c>
    </row>
    <row r="3328">
      <c r="A3328" t="inlineStr">
        <is>
          <t>370|精英怪</t>
        </is>
      </c>
      <c r="B3328" t="n">
        <v>370</v>
      </c>
      <c r="C3328" t="inlineStr">
        <is>
          <t>精英怪</t>
        </is>
      </c>
      <c r="D3328" t="n">
        <v>3536112</v>
      </c>
      <c r="E3328" t="n">
        <v>68307</v>
      </c>
      <c r="F3328" t="n">
        <v>42883</v>
      </c>
    </row>
    <row r="3329">
      <c r="A3329" t="inlineStr">
        <is>
          <t>370|精英盾怪</t>
        </is>
      </c>
      <c r="B3329" t="n">
        <v>370</v>
      </c>
      <c r="C3329" t="inlineStr">
        <is>
          <t>精英盾怪</t>
        </is>
      </c>
      <c r="D3329" t="n">
        <v>7956252</v>
      </c>
      <c r="E3329" t="n">
        <v>68307</v>
      </c>
      <c r="F3329" t="n">
        <v>42883</v>
      </c>
    </row>
    <row r="3330">
      <c r="A3330" t="inlineStr">
        <is>
          <t>370|Boss</t>
        </is>
      </c>
      <c r="B3330" t="n">
        <v>370</v>
      </c>
      <c r="C3330" t="inlineStr">
        <is>
          <t>Boss</t>
        </is>
      </c>
      <c r="D3330" t="n">
        <v>89886328</v>
      </c>
      <c r="E3330" t="n">
        <v>73496</v>
      </c>
      <c r="F3330" t="n">
        <v>42883</v>
      </c>
    </row>
    <row r="3331">
      <c r="A3331" t="inlineStr">
        <is>
          <t>370|装备副本Boss</t>
        </is>
      </c>
      <c r="B3331" t="n">
        <v>370</v>
      </c>
      <c r="C3331" t="inlineStr">
        <is>
          <t>装备副本Boss</t>
        </is>
      </c>
      <c r="D3331" t="n">
        <v>44943164</v>
      </c>
      <c r="E3331" t="n">
        <v>73496</v>
      </c>
      <c r="F3331" t="n">
        <v>42883</v>
      </c>
    </row>
    <row r="3332">
      <c r="A3332" t="inlineStr">
        <is>
          <t>371|普通怪</t>
        </is>
      </c>
      <c r="B3332" t="n">
        <v>371</v>
      </c>
      <c r="C3332" t="inlineStr">
        <is>
          <t>普通怪</t>
        </is>
      </c>
      <c r="D3332" t="n">
        <v>891249</v>
      </c>
      <c r="E3332" t="n">
        <v>68746</v>
      </c>
      <c r="F3332" t="n">
        <v>43041</v>
      </c>
    </row>
    <row r="3333">
      <c r="A3333" t="inlineStr">
        <is>
          <t>371|盾怪</t>
        </is>
      </c>
      <c r="B3333" t="n">
        <v>371</v>
      </c>
      <c r="C3333" t="inlineStr">
        <is>
          <t>盾怪</t>
        </is>
      </c>
      <c r="D3333" t="n">
        <v>2673747</v>
      </c>
      <c r="E3333" t="n">
        <v>68746</v>
      </c>
      <c r="F3333" t="n">
        <v>43041</v>
      </c>
    </row>
    <row r="3334">
      <c r="A3334" t="inlineStr">
        <is>
          <t>371|二级普通怪</t>
        </is>
      </c>
      <c r="B3334" t="n">
        <v>371</v>
      </c>
      <c r="C3334" t="inlineStr">
        <is>
          <t>二级普通怪</t>
        </is>
      </c>
      <c r="D3334" t="n">
        <v>1604249</v>
      </c>
      <c r="E3334" t="n">
        <v>68746</v>
      </c>
      <c r="F3334" t="n">
        <v>43041</v>
      </c>
    </row>
    <row r="3335">
      <c r="A3335" t="inlineStr">
        <is>
          <t>371|站桩怪</t>
        </is>
      </c>
      <c r="B3335" t="n">
        <v>371</v>
      </c>
      <c r="C3335" t="inlineStr">
        <is>
          <t>站桩怪</t>
        </is>
      </c>
      <c r="D3335" t="n">
        <v>445625</v>
      </c>
      <c r="E3335" t="n">
        <v>68746</v>
      </c>
      <c r="F3335" t="n">
        <v>43041</v>
      </c>
    </row>
    <row r="3336">
      <c r="A3336" t="inlineStr">
        <is>
          <t>371|炮灰怪</t>
        </is>
      </c>
      <c r="B3336" t="n">
        <v>371</v>
      </c>
      <c r="C3336" t="inlineStr">
        <is>
          <t>炮灰怪</t>
        </is>
      </c>
      <c r="D3336" t="n">
        <v>133688</v>
      </c>
      <c r="E3336" t="n">
        <v>68746</v>
      </c>
      <c r="F3336" t="n">
        <v>43041</v>
      </c>
    </row>
    <row r="3337">
      <c r="A3337" t="inlineStr">
        <is>
          <t>371|精英怪</t>
        </is>
      </c>
      <c r="B3337" t="n">
        <v>371</v>
      </c>
      <c r="C3337" t="inlineStr">
        <is>
          <t>精英怪</t>
        </is>
      </c>
      <c r="D3337" t="n">
        <v>3564996</v>
      </c>
      <c r="E3337" t="n">
        <v>68746</v>
      </c>
      <c r="F3337" t="n">
        <v>43041</v>
      </c>
    </row>
    <row r="3338">
      <c r="A3338" t="inlineStr">
        <is>
          <t>371|精英盾怪</t>
        </is>
      </c>
      <c r="B3338" t="n">
        <v>371</v>
      </c>
      <c r="C3338" t="inlineStr">
        <is>
          <t>精英盾怪</t>
        </is>
      </c>
      <c r="D3338" t="n">
        <v>8021241</v>
      </c>
      <c r="E3338" t="n">
        <v>68746</v>
      </c>
      <c r="F3338" t="n">
        <v>43041</v>
      </c>
    </row>
    <row r="3339">
      <c r="A3339" t="inlineStr">
        <is>
          <t>371|Boss</t>
        </is>
      </c>
      <c r="B3339" t="n">
        <v>371</v>
      </c>
      <c r="C3339" t="inlineStr">
        <is>
          <t>Boss</t>
        </is>
      </c>
      <c r="D3339" t="n">
        <v>90676981</v>
      </c>
      <c r="E3339" t="n">
        <v>73953</v>
      </c>
      <c r="F3339" t="n">
        <v>43041</v>
      </c>
    </row>
    <row r="3340">
      <c r="A3340" t="inlineStr">
        <is>
          <t>371|装备副本Boss</t>
        </is>
      </c>
      <c r="B3340" t="n">
        <v>371</v>
      </c>
      <c r="C3340" t="inlineStr">
        <is>
          <t>装备副本Boss</t>
        </is>
      </c>
      <c r="D3340" t="n">
        <v>45338490</v>
      </c>
      <c r="E3340" t="n">
        <v>73953</v>
      </c>
      <c r="F3340" t="n">
        <v>43041</v>
      </c>
    </row>
    <row r="3341">
      <c r="A3341" t="inlineStr">
        <is>
          <t>372|普通怪</t>
        </is>
      </c>
      <c r="B3341" t="n">
        <v>372</v>
      </c>
      <c r="C3341" t="inlineStr">
        <is>
          <t>普通怪</t>
        </is>
      </c>
      <c r="D3341" t="n">
        <v>898517</v>
      </c>
      <c r="E3341" t="n">
        <v>69187</v>
      </c>
      <c r="F3341" t="n">
        <v>43199</v>
      </c>
    </row>
    <row r="3342">
      <c r="A3342" t="inlineStr">
        <is>
          <t>372|盾怪</t>
        </is>
      </c>
      <c r="B3342" t="n">
        <v>372</v>
      </c>
      <c r="C3342" t="inlineStr">
        <is>
          <t>盾怪</t>
        </is>
      </c>
      <c r="D3342" t="n">
        <v>2695551</v>
      </c>
      <c r="E3342" t="n">
        <v>69187</v>
      </c>
      <c r="F3342" t="n">
        <v>43199</v>
      </c>
    </row>
    <row r="3343">
      <c r="A3343" t="inlineStr">
        <is>
          <t>372|二级普通怪</t>
        </is>
      </c>
      <c r="B3343" t="n">
        <v>372</v>
      </c>
      <c r="C3343" t="inlineStr">
        <is>
          <t>二级普通怪</t>
        </is>
      </c>
      <c r="D3343" t="n">
        <v>1617331</v>
      </c>
      <c r="E3343" t="n">
        <v>69187</v>
      </c>
      <c r="F3343" t="n">
        <v>43199</v>
      </c>
    </row>
    <row r="3344">
      <c r="A3344" t="inlineStr">
        <is>
          <t>372|站桩怪</t>
        </is>
      </c>
      <c r="B3344" t="n">
        <v>372</v>
      </c>
      <c r="C3344" t="inlineStr">
        <is>
          <t>站桩怪</t>
        </is>
      </c>
      <c r="D3344" t="n">
        <v>449259</v>
      </c>
      <c r="E3344" t="n">
        <v>69187</v>
      </c>
      <c r="F3344" t="n">
        <v>43199</v>
      </c>
    </row>
    <row r="3345">
      <c r="A3345" t="inlineStr">
        <is>
          <t>372|炮灰怪</t>
        </is>
      </c>
      <c r="B3345" t="n">
        <v>372</v>
      </c>
      <c r="C3345" t="inlineStr">
        <is>
          <t>炮灰怪</t>
        </is>
      </c>
      <c r="D3345" t="n">
        <v>134778</v>
      </c>
      <c r="E3345" t="n">
        <v>69187</v>
      </c>
      <c r="F3345" t="n">
        <v>43199</v>
      </c>
    </row>
    <row r="3346">
      <c r="A3346" t="inlineStr">
        <is>
          <t>372|精英怪</t>
        </is>
      </c>
      <c r="B3346" t="n">
        <v>372</v>
      </c>
      <c r="C3346" t="inlineStr">
        <is>
          <t>精英怪</t>
        </is>
      </c>
      <c r="D3346" t="n">
        <v>3594068</v>
      </c>
      <c r="E3346" t="n">
        <v>69187</v>
      </c>
      <c r="F3346" t="n">
        <v>43199</v>
      </c>
    </row>
    <row r="3347">
      <c r="A3347" t="inlineStr">
        <is>
          <t>372|精英盾怪</t>
        </is>
      </c>
      <c r="B3347" t="n">
        <v>372</v>
      </c>
      <c r="C3347" t="inlineStr">
        <is>
          <t>精英盾怪</t>
        </is>
      </c>
      <c r="D3347" t="n">
        <v>8086653</v>
      </c>
      <c r="E3347" t="n">
        <v>69187</v>
      </c>
      <c r="F3347" t="n">
        <v>43199</v>
      </c>
    </row>
    <row r="3348">
      <c r="A3348" t="inlineStr">
        <is>
          <t>372|Boss</t>
        </is>
      </c>
      <c r="B3348" t="n">
        <v>372</v>
      </c>
      <c r="C3348" t="inlineStr">
        <is>
          <t>Boss</t>
        </is>
      </c>
      <c r="D3348" t="n">
        <v>91473295</v>
      </c>
      <c r="E3348" t="n">
        <v>74413</v>
      </c>
      <c r="F3348" t="n">
        <v>43199</v>
      </c>
    </row>
    <row r="3349">
      <c r="A3349" t="inlineStr">
        <is>
          <t>372|装备副本Boss</t>
        </is>
      </c>
      <c r="B3349" t="n">
        <v>372</v>
      </c>
      <c r="C3349" t="inlineStr">
        <is>
          <t>装备副本Boss</t>
        </is>
      </c>
      <c r="D3349" t="n">
        <v>45736647</v>
      </c>
      <c r="E3349" t="n">
        <v>74413</v>
      </c>
      <c r="F3349" t="n">
        <v>43199</v>
      </c>
    </row>
    <row r="3350">
      <c r="A3350" t="inlineStr">
        <is>
          <t>373|普通怪</t>
        </is>
      </c>
      <c r="B3350" t="n">
        <v>373</v>
      </c>
      <c r="C3350" t="inlineStr">
        <is>
          <t>普通怪</t>
        </is>
      </c>
      <c r="D3350" t="n">
        <v>905831</v>
      </c>
      <c r="E3350" t="n">
        <v>69630</v>
      </c>
      <c r="F3350" t="n">
        <v>43357</v>
      </c>
    </row>
    <row r="3351">
      <c r="A3351" t="inlineStr">
        <is>
          <t>373|盾怪</t>
        </is>
      </c>
      <c r="B3351" t="n">
        <v>373</v>
      </c>
      <c r="C3351" t="inlineStr">
        <is>
          <t>盾怪</t>
        </is>
      </c>
      <c r="D3351" t="n">
        <v>2717493</v>
      </c>
      <c r="E3351" t="n">
        <v>69630</v>
      </c>
      <c r="F3351" t="n">
        <v>43357</v>
      </c>
    </row>
    <row r="3352">
      <c r="A3352" t="inlineStr">
        <is>
          <t>373|二级普通怪</t>
        </is>
      </c>
      <c r="B3352" t="n">
        <v>373</v>
      </c>
      <c r="C3352" t="inlineStr">
        <is>
          <t>二级普通怪</t>
        </is>
      </c>
      <c r="D3352" t="n">
        <v>1630496</v>
      </c>
      <c r="E3352" t="n">
        <v>69630</v>
      </c>
      <c r="F3352" t="n">
        <v>43357</v>
      </c>
    </row>
    <row r="3353">
      <c r="A3353" t="inlineStr">
        <is>
          <t>373|站桩怪</t>
        </is>
      </c>
      <c r="B3353" t="n">
        <v>373</v>
      </c>
      <c r="C3353" t="inlineStr">
        <is>
          <t>站桩怪</t>
        </is>
      </c>
      <c r="D3353" t="n">
        <v>452916</v>
      </c>
      <c r="E3353" t="n">
        <v>69630</v>
      </c>
      <c r="F3353" t="n">
        <v>43357</v>
      </c>
    </row>
    <row r="3354">
      <c r="A3354" t="inlineStr">
        <is>
          <t>373|炮灰怪</t>
        </is>
      </c>
      <c r="B3354" t="n">
        <v>373</v>
      </c>
      <c r="C3354" t="inlineStr">
        <is>
          <t>炮灰怪</t>
        </is>
      </c>
      <c r="D3354" t="n">
        <v>135875</v>
      </c>
      <c r="E3354" t="n">
        <v>69630</v>
      </c>
      <c r="F3354" t="n">
        <v>43357</v>
      </c>
    </row>
    <row r="3355">
      <c r="A3355" t="inlineStr">
        <is>
          <t>373|精英怪</t>
        </is>
      </c>
      <c r="B3355" t="n">
        <v>373</v>
      </c>
      <c r="C3355" t="inlineStr">
        <is>
          <t>精英怪</t>
        </is>
      </c>
      <c r="D3355" t="n">
        <v>3623324</v>
      </c>
      <c r="E3355" t="n">
        <v>69630</v>
      </c>
      <c r="F3355" t="n">
        <v>43357</v>
      </c>
    </row>
    <row r="3356">
      <c r="A3356" t="inlineStr">
        <is>
          <t>373|精英盾怪</t>
        </is>
      </c>
      <c r="B3356" t="n">
        <v>373</v>
      </c>
      <c r="C3356" t="inlineStr">
        <is>
          <t>精英盾怪</t>
        </is>
      </c>
      <c r="D3356" t="n">
        <v>8152479</v>
      </c>
      <c r="E3356" t="n">
        <v>69630</v>
      </c>
      <c r="F3356" t="n">
        <v>43357</v>
      </c>
    </row>
    <row r="3357">
      <c r="A3357" t="inlineStr">
        <is>
          <t>373|Boss</t>
        </is>
      </c>
      <c r="B3357" t="n">
        <v>373</v>
      </c>
      <c r="C3357" t="inlineStr">
        <is>
          <t>Boss</t>
        </is>
      </c>
      <c r="D3357" t="n">
        <v>92275219</v>
      </c>
      <c r="E3357" t="n">
        <v>74874</v>
      </c>
      <c r="F3357" t="n">
        <v>43357</v>
      </c>
    </row>
    <row r="3358">
      <c r="A3358" t="inlineStr">
        <is>
          <t>373|装备副本Boss</t>
        </is>
      </c>
      <c r="B3358" t="n">
        <v>373</v>
      </c>
      <c r="C3358" t="inlineStr">
        <is>
          <t>装备副本Boss</t>
        </is>
      </c>
      <c r="D3358" t="n">
        <v>46137609</v>
      </c>
      <c r="E3358" t="n">
        <v>74874</v>
      </c>
      <c r="F3358" t="n">
        <v>43357</v>
      </c>
    </row>
    <row r="3359">
      <c r="A3359" t="inlineStr">
        <is>
          <t>374|普通怪</t>
        </is>
      </c>
      <c r="B3359" t="n">
        <v>374</v>
      </c>
      <c r="C3359" t="inlineStr">
        <is>
          <t>普通怪</t>
        </is>
      </c>
      <c r="D3359" t="n">
        <v>913191</v>
      </c>
      <c r="E3359" t="n">
        <v>70076</v>
      </c>
      <c r="F3359" t="n">
        <v>43516</v>
      </c>
    </row>
    <row r="3360">
      <c r="A3360" t="inlineStr">
        <is>
          <t>374|盾怪</t>
        </is>
      </c>
      <c r="B3360" t="n">
        <v>374</v>
      </c>
      <c r="C3360" t="inlineStr">
        <is>
          <t>盾怪</t>
        </is>
      </c>
      <c r="D3360" t="n">
        <v>2739573</v>
      </c>
      <c r="E3360" t="n">
        <v>70076</v>
      </c>
      <c r="F3360" t="n">
        <v>43516</v>
      </c>
    </row>
    <row r="3361">
      <c r="A3361" t="inlineStr">
        <is>
          <t>374|二级普通怪</t>
        </is>
      </c>
      <c r="B3361" t="n">
        <v>374</v>
      </c>
      <c r="C3361" t="inlineStr">
        <is>
          <t>二级普通怪</t>
        </is>
      </c>
      <c r="D3361" t="n">
        <v>1643744</v>
      </c>
      <c r="E3361" t="n">
        <v>70076</v>
      </c>
      <c r="F3361" t="n">
        <v>43516</v>
      </c>
    </row>
    <row r="3362">
      <c r="A3362" t="inlineStr">
        <is>
          <t>374|站桩怪</t>
        </is>
      </c>
      <c r="B3362" t="n">
        <v>374</v>
      </c>
      <c r="C3362" t="inlineStr">
        <is>
          <t>站桩怪</t>
        </is>
      </c>
      <c r="D3362" t="n">
        <v>456596</v>
      </c>
      <c r="E3362" t="n">
        <v>70076</v>
      </c>
      <c r="F3362" t="n">
        <v>43516</v>
      </c>
    </row>
    <row r="3363">
      <c r="A3363" t="inlineStr">
        <is>
          <t>374|炮灰怪</t>
        </is>
      </c>
      <c r="B3363" t="n">
        <v>374</v>
      </c>
      <c r="C3363" t="inlineStr">
        <is>
          <t>炮灰怪</t>
        </is>
      </c>
      <c r="D3363" t="n">
        <v>136979</v>
      </c>
      <c r="E3363" t="n">
        <v>70076</v>
      </c>
      <c r="F3363" t="n">
        <v>43516</v>
      </c>
    </row>
    <row r="3364">
      <c r="A3364" t="inlineStr">
        <is>
          <t>374|精英怪</t>
        </is>
      </c>
      <c r="B3364" t="n">
        <v>374</v>
      </c>
      <c r="C3364" t="inlineStr">
        <is>
          <t>精英怪</t>
        </is>
      </c>
      <c r="D3364" t="n">
        <v>3652764</v>
      </c>
      <c r="E3364" t="n">
        <v>70076</v>
      </c>
      <c r="F3364" t="n">
        <v>43516</v>
      </c>
    </row>
    <row r="3365">
      <c r="A3365" t="inlineStr">
        <is>
          <t>374|精英盾怪</t>
        </is>
      </c>
      <c r="B3365" t="n">
        <v>374</v>
      </c>
      <c r="C3365" t="inlineStr">
        <is>
          <t>精英盾怪</t>
        </is>
      </c>
      <c r="D3365" t="n">
        <v>8218719</v>
      </c>
      <c r="E3365" t="n">
        <v>70076</v>
      </c>
      <c r="F3365" t="n">
        <v>43516</v>
      </c>
    </row>
    <row r="3366">
      <c r="A3366" t="inlineStr">
        <is>
          <t>374|Boss</t>
        </is>
      </c>
      <c r="B3366" t="n">
        <v>374</v>
      </c>
      <c r="C3366" t="inlineStr">
        <is>
          <t>Boss</t>
        </is>
      </c>
      <c r="D3366" t="n">
        <v>93082804</v>
      </c>
      <c r="E3366" t="n">
        <v>75338</v>
      </c>
      <c r="F3366" t="n">
        <v>43516</v>
      </c>
    </row>
    <row r="3367">
      <c r="A3367" t="inlineStr">
        <is>
          <t>374|装备副本Boss</t>
        </is>
      </c>
      <c r="B3367" t="n">
        <v>374</v>
      </c>
      <c r="C3367" t="inlineStr">
        <is>
          <t>装备副本Boss</t>
        </is>
      </c>
      <c r="D3367" t="n">
        <v>46541402</v>
      </c>
      <c r="E3367" t="n">
        <v>75338</v>
      </c>
      <c r="F3367" t="n">
        <v>43516</v>
      </c>
    </row>
    <row r="3368">
      <c r="A3368" t="inlineStr">
        <is>
          <t>375|普通怪</t>
        </is>
      </c>
      <c r="B3368" t="n">
        <v>375</v>
      </c>
      <c r="C3368" t="inlineStr">
        <is>
          <t>普通怪</t>
        </is>
      </c>
      <c r="D3368" t="n">
        <v>920599</v>
      </c>
      <c r="E3368" t="n">
        <v>70525</v>
      </c>
      <c r="F3368" t="n">
        <v>43675</v>
      </c>
    </row>
    <row r="3369">
      <c r="A3369" t="inlineStr">
        <is>
          <t>375|盾怪</t>
        </is>
      </c>
      <c r="B3369" t="n">
        <v>375</v>
      </c>
      <c r="C3369" t="inlineStr">
        <is>
          <t>盾怪</t>
        </is>
      </c>
      <c r="D3369" t="n">
        <v>2761797</v>
      </c>
      <c r="E3369" t="n">
        <v>70525</v>
      </c>
      <c r="F3369" t="n">
        <v>43675</v>
      </c>
    </row>
    <row r="3370">
      <c r="A3370" t="inlineStr">
        <is>
          <t>375|二级普通怪</t>
        </is>
      </c>
      <c r="B3370" t="n">
        <v>375</v>
      </c>
      <c r="C3370" t="inlineStr">
        <is>
          <t>二级普通怪</t>
        </is>
      </c>
      <c r="D3370" t="n">
        <v>1657079</v>
      </c>
      <c r="E3370" t="n">
        <v>70525</v>
      </c>
      <c r="F3370" t="n">
        <v>43675</v>
      </c>
    </row>
    <row r="3371">
      <c r="A3371" t="inlineStr">
        <is>
          <t>375|站桩怪</t>
        </is>
      </c>
      <c r="B3371" t="n">
        <v>375</v>
      </c>
      <c r="C3371" t="inlineStr">
        <is>
          <t>站桩怪</t>
        </is>
      </c>
      <c r="D3371" t="n">
        <v>460300</v>
      </c>
      <c r="E3371" t="n">
        <v>70525</v>
      </c>
      <c r="F3371" t="n">
        <v>43675</v>
      </c>
    </row>
    <row r="3372">
      <c r="A3372" t="inlineStr">
        <is>
          <t>375|炮灰怪</t>
        </is>
      </c>
      <c r="B3372" t="n">
        <v>375</v>
      </c>
      <c r="C3372" t="inlineStr">
        <is>
          <t>炮灰怪</t>
        </is>
      </c>
      <c r="D3372" t="n">
        <v>138090</v>
      </c>
      <c r="E3372" t="n">
        <v>70525</v>
      </c>
      <c r="F3372" t="n">
        <v>43675</v>
      </c>
    </row>
    <row r="3373">
      <c r="A3373" t="inlineStr">
        <is>
          <t>375|精英怪</t>
        </is>
      </c>
      <c r="B3373" t="n">
        <v>375</v>
      </c>
      <c r="C3373" t="inlineStr">
        <is>
          <t>精英怪</t>
        </is>
      </c>
      <c r="D3373" t="n">
        <v>3682396</v>
      </c>
      <c r="E3373" t="n">
        <v>70525</v>
      </c>
      <c r="F3373" t="n">
        <v>43675</v>
      </c>
    </row>
    <row r="3374">
      <c r="A3374" t="inlineStr">
        <is>
          <t>375|精英盾怪</t>
        </is>
      </c>
      <c r="B3374" t="n">
        <v>375</v>
      </c>
      <c r="C3374" t="inlineStr">
        <is>
          <t>精英盾怪</t>
        </is>
      </c>
      <c r="D3374" t="n">
        <v>8285391</v>
      </c>
      <c r="E3374" t="n">
        <v>70525</v>
      </c>
      <c r="F3374" t="n">
        <v>43675</v>
      </c>
    </row>
    <row r="3375">
      <c r="A3375" t="inlineStr">
        <is>
          <t>375|Boss</t>
        </is>
      </c>
      <c r="B3375" t="n">
        <v>375</v>
      </c>
      <c r="C3375" t="inlineStr">
        <is>
          <t>Boss</t>
        </is>
      </c>
      <c r="D3375" t="n">
        <v>93896101</v>
      </c>
      <c r="E3375" t="n">
        <v>75805</v>
      </c>
      <c r="F3375" t="n">
        <v>43675</v>
      </c>
    </row>
    <row r="3376">
      <c r="A3376" t="inlineStr">
        <is>
          <t>375|装备副本Boss</t>
        </is>
      </c>
      <c r="B3376" t="n">
        <v>375</v>
      </c>
      <c r="C3376" t="inlineStr">
        <is>
          <t>装备副本Boss</t>
        </is>
      </c>
      <c r="D3376" t="n">
        <v>46948050</v>
      </c>
      <c r="E3376" t="n">
        <v>75805</v>
      </c>
      <c r="F3376" t="n">
        <v>43675</v>
      </c>
    </row>
    <row r="3377">
      <c r="A3377" t="inlineStr">
        <is>
          <t>376|普通怪</t>
        </is>
      </c>
      <c r="B3377" t="n">
        <v>376</v>
      </c>
      <c r="C3377" t="inlineStr">
        <is>
          <t>普通怪</t>
        </is>
      </c>
      <c r="D3377" t="n">
        <v>928053</v>
      </c>
      <c r="E3377" t="n">
        <v>70975</v>
      </c>
      <c r="F3377" t="n">
        <v>43834</v>
      </c>
    </row>
    <row r="3378">
      <c r="A3378" t="inlineStr">
        <is>
          <t>376|盾怪</t>
        </is>
      </c>
      <c r="B3378" t="n">
        <v>376</v>
      </c>
      <c r="C3378" t="inlineStr">
        <is>
          <t>盾怪</t>
        </is>
      </c>
      <c r="D3378" t="n">
        <v>2784159</v>
      </c>
      <c r="E3378" t="n">
        <v>70975</v>
      </c>
      <c r="F3378" t="n">
        <v>43834</v>
      </c>
    </row>
    <row r="3379">
      <c r="A3379" t="inlineStr">
        <is>
          <t>376|二级普通怪</t>
        </is>
      </c>
      <c r="B3379" t="n">
        <v>376</v>
      </c>
      <c r="C3379" t="inlineStr">
        <is>
          <t>二级普通怪</t>
        </is>
      </c>
      <c r="D3379" t="n">
        <v>1670496</v>
      </c>
      <c r="E3379" t="n">
        <v>70975</v>
      </c>
      <c r="F3379" t="n">
        <v>43834</v>
      </c>
    </row>
    <row r="3380">
      <c r="A3380" t="inlineStr">
        <is>
          <t>376|站桩怪</t>
        </is>
      </c>
      <c r="B3380" t="n">
        <v>376</v>
      </c>
      <c r="C3380" t="inlineStr">
        <is>
          <t>站桩怪</t>
        </is>
      </c>
      <c r="D3380" t="n">
        <v>464027</v>
      </c>
      <c r="E3380" t="n">
        <v>70975</v>
      </c>
      <c r="F3380" t="n">
        <v>43834</v>
      </c>
    </row>
    <row r="3381">
      <c r="A3381" t="inlineStr">
        <is>
          <t>376|炮灰怪</t>
        </is>
      </c>
      <c r="B3381" t="n">
        <v>376</v>
      </c>
      <c r="C3381" t="inlineStr">
        <is>
          <t>炮灰怪</t>
        </is>
      </c>
      <c r="D3381" t="n">
        <v>139208</v>
      </c>
      <c r="E3381" t="n">
        <v>70975</v>
      </c>
      <c r="F3381" t="n">
        <v>43834</v>
      </c>
    </row>
    <row r="3382">
      <c r="A3382" t="inlineStr">
        <is>
          <t>376|精英怪</t>
        </is>
      </c>
      <c r="B3382" t="n">
        <v>376</v>
      </c>
      <c r="C3382" t="inlineStr">
        <is>
          <t>精英怪</t>
        </is>
      </c>
      <c r="D3382" t="n">
        <v>3712212</v>
      </c>
      <c r="E3382" t="n">
        <v>70975</v>
      </c>
      <c r="F3382" t="n">
        <v>43834</v>
      </c>
    </row>
    <row r="3383">
      <c r="A3383" t="inlineStr">
        <is>
          <t>376|精英盾怪</t>
        </is>
      </c>
      <c r="B3383" t="n">
        <v>376</v>
      </c>
      <c r="C3383" t="inlineStr">
        <is>
          <t>精英盾怪</t>
        </is>
      </c>
      <c r="D3383" t="n">
        <v>8352477</v>
      </c>
      <c r="E3383" t="n">
        <v>70975</v>
      </c>
      <c r="F3383" t="n">
        <v>43834</v>
      </c>
    </row>
    <row r="3384">
      <c r="A3384" t="inlineStr">
        <is>
          <t>376|Boss</t>
        </is>
      </c>
      <c r="B3384" t="n">
        <v>376</v>
      </c>
      <c r="C3384" t="inlineStr">
        <is>
          <t>Boss</t>
        </is>
      </c>
      <c r="D3384" t="n">
        <v>94715161</v>
      </c>
      <c r="E3384" t="n">
        <v>76274</v>
      </c>
      <c r="F3384" t="n">
        <v>43834</v>
      </c>
    </row>
    <row r="3385">
      <c r="A3385" t="inlineStr">
        <is>
          <t>376|装备副本Boss</t>
        </is>
      </c>
      <c r="B3385" t="n">
        <v>376</v>
      </c>
      <c r="C3385" t="inlineStr">
        <is>
          <t>装备副本Boss</t>
        </is>
      </c>
      <c r="D3385" t="n">
        <v>47357580</v>
      </c>
      <c r="E3385" t="n">
        <v>76274</v>
      </c>
      <c r="F3385" t="n">
        <v>43834</v>
      </c>
    </row>
    <row r="3386">
      <c r="A3386" t="inlineStr">
        <is>
          <t>377|普通怪</t>
        </is>
      </c>
      <c r="B3386" t="n">
        <v>377</v>
      </c>
      <c r="C3386" t="inlineStr">
        <is>
          <t>普通怪</t>
        </is>
      </c>
      <c r="D3386" t="n">
        <v>935556</v>
      </c>
      <c r="E3386" t="n">
        <v>71428</v>
      </c>
      <c r="F3386" t="n">
        <v>43994</v>
      </c>
    </row>
    <row r="3387">
      <c r="A3387" t="inlineStr">
        <is>
          <t>377|盾怪</t>
        </is>
      </c>
      <c r="B3387" t="n">
        <v>377</v>
      </c>
      <c r="C3387" t="inlineStr">
        <is>
          <t>盾怪</t>
        </is>
      </c>
      <c r="D3387" t="n">
        <v>2806668</v>
      </c>
      <c r="E3387" t="n">
        <v>71428</v>
      </c>
      <c r="F3387" t="n">
        <v>43994</v>
      </c>
    </row>
    <row r="3388">
      <c r="A3388" t="inlineStr">
        <is>
          <t>377|二级普通怪</t>
        </is>
      </c>
      <c r="B3388" t="n">
        <v>377</v>
      </c>
      <c r="C3388" t="inlineStr">
        <is>
          <t>二级普通怪</t>
        </is>
      </c>
      <c r="D3388" t="n">
        <v>1684001</v>
      </c>
      <c r="E3388" t="n">
        <v>71428</v>
      </c>
      <c r="F3388" t="n">
        <v>43994</v>
      </c>
    </row>
    <row r="3389">
      <c r="A3389" t="inlineStr">
        <is>
          <t>377|站桩怪</t>
        </is>
      </c>
      <c r="B3389" t="n">
        <v>377</v>
      </c>
      <c r="C3389" t="inlineStr">
        <is>
          <t>站桩怪</t>
        </is>
      </c>
      <c r="D3389" t="n">
        <v>467778</v>
      </c>
      <c r="E3389" t="n">
        <v>71428</v>
      </c>
      <c r="F3389" t="n">
        <v>43994</v>
      </c>
    </row>
    <row r="3390">
      <c r="A3390" t="inlineStr">
        <is>
          <t>377|炮灰怪</t>
        </is>
      </c>
      <c r="B3390" t="n">
        <v>377</v>
      </c>
      <c r="C3390" t="inlineStr">
        <is>
          <t>炮灰怪</t>
        </is>
      </c>
      <c r="D3390" t="n">
        <v>140334</v>
      </c>
      <c r="E3390" t="n">
        <v>71428</v>
      </c>
      <c r="F3390" t="n">
        <v>43994</v>
      </c>
    </row>
    <row r="3391">
      <c r="A3391" t="inlineStr">
        <is>
          <t>377|精英怪</t>
        </is>
      </c>
      <c r="B3391" t="n">
        <v>377</v>
      </c>
      <c r="C3391" t="inlineStr">
        <is>
          <t>精英怪</t>
        </is>
      </c>
      <c r="D3391" t="n">
        <v>3742224</v>
      </c>
      <c r="E3391" t="n">
        <v>71428</v>
      </c>
      <c r="F3391" t="n">
        <v>43994</v>
      </c>
    </row>
    <row r="3392">
      <c r="A3392" t="inlineStr">
        <is>
          <t>377|精英盾怪</t>
        </is>
      </c>
      <c r="B3392" t="n">
        <v>377</v>
      </c>
      <c r="C3392" t="inlineStr">
        <is>
          <t>精英盾怪</t>
        </is>
      </c>
      <c r="D3392" t="n">
        <v>8420004</v>
      </c>
      <c r="E3392" t="n">
        <v>71428</v>
      </c>
      <c r="F3392" t="n">
        <v>43994</v>
      </c>
    </row>
    <row r="3393">
      <c r="A3393" t="inlineStr">
        <is>
          <t>377|Boss</t>
        </is>
      </c>
      <c r="B3393" t="n">
        <v>377</v>
      </c>
      <c r="C3393" t="inlineStr">
        <is>
          <t>Boss</t>
        </is>
      </c>
      <c r="D3393" t="n">
        <v>95539933</v>
      </c>
      <c r="E3393" t="n">
        <v>76745</v>
      </c>
      <c r="F3393" t="n">
        <v>43994</v>
      </c>
    </row>
    <row r="3394">
      <c r="A3394" t="inlineStr">
        <is>
          <t>377|装备副本Boss</t>
        </is>
      </c>
      <c r="B3394" t="n">
        <v>377</v>
      </c>
      <c r="C3394" t="inlineStr">
        <is>
          <t>装备副本Boss</t>
        </is>
      </c>
      <c r="D3394" t="n">
        <v>47769966</v>
      </c>
      <c r="E3394" t="n">
        <v>76745</v>
      </c>
      <c r="F3394" t="n">
        <v>43994</v>
      </c>
    </row>
    <row r="3395">
      <c r="A3395" t="inlineStr">
        <is>
          <t>378|普通怪</t>
        </is>
      </c>
      <c r="B3395" t="n">
        <v>378</v>
      </c>
      <c r="C3395" t="inlineStr">
        <is>
          <t>普通怪</t>
        </is>
      </c>
      <c r="D3395" t="n">
        <v>943105</v>
      </c>
      <c r="E3395" t="n">
        <v>71883</v>
      </c>
      <c r="F3395" t="n">
        <v>44154</v>
      </c>
    </row>
    <row r="3396">
      <c r="A3396" t="inlineStr">
        <is>
          <t>378|盾怪</t>
        </is>
      </c>
      <c r="B3396" t="n">
        <v>378</v>
      </c>
      <c r="C3396" t="inlineStr">
        <is>
          <t>盾怪</t>
        </is>
      </c>
      <c r="D3396" t="n">
        <v>2829315</v>
      </c>
      <c r="E3396" t="n">
        <v>71883</v>
      </c>
      <c r="F3396" t="n">
        <v>44154</v>
      </c>
    </row>
    <row r="3397">
      <c r="A3397" t="inlineStr">
        <is>
          <t>378|二级普通怪</t>
        </is>
      </c>
      <c r="B3397" t="n">
        <v>378</v>
      </c>
      <c r="C3397" t="inlineStr">
        <is>
          <t>二级普通怪</t>
        </is>
      </c>
      <c r="D3397" t="n">
        <v>1697589</v>
      </c>
      <c r="E3397" t="n">
        <v>71883</v>
      </c>
      <c r="F3397" t="n">
        <v>44154</v>
      </c>
    </row>
    <row r="3398">
      <c r="A3398" t="inlineStr">
        <is>
          <t>378|站桩怪</t>
        </is>
      </c>
      <c r="B3398" t="n">
        <v>378</v>
      </c>
      <c r="C3398" t="inlineStr">
        <is>
          <t>站桩怪</t>
        </is>
      </c>
      <c r="D3398" t="n">
        <v>471553</v>
      </c>
      <c r="E3398" t="n">
        <v>71883</v>
      </c>
      <c r="F3398" t="n">
        <v>44154</v>
      </c>
    </row>
    <row r="3399">
      <c r="A3399" t="inlineStr">
        <is>
          <t>378|炮灰怪</t>
        </is>
      </c>
      <c r="B3399" t="n">
        <v>378</v>
      </c>
      <c r="C3399" t="inlineStr">
        <is>
          <t>炮灰怪</t>
        </is>
      </c>
      <c r="D3399" t="n">
        <v>141466</v>
      </c>
      <c r="E3399" t="n">
        <v>71883</v>
      </c>
      <c r="F3399" t="n">
        <v>44154</v>
      </c>
    </row>
    <row r="3400">
      <c r="A3400" t="inlineStr">
        <is>
          <t>378|精英怪</t>
        </is>
      </c>
      <c r="B3400" t="n">
        <v>378</v>
      </c>
      <c r="C3400" t="inlineStr">
        <is>
          <t>精英怪</t>
        </is>
      </c>
      <c r="D3400" t="n">
        <v>3772420</v>
      </c>
      <c r="E3400" t="n">
        <v>71883</v>
      </c>
      <c r="F3400" t="n">
        <v>44154</v>
      </c>
    </row>
    <row r="3401">
      <c r="A3401" t="inlineStr">
        <is>
          <t>378|精英盾怪</t>
        </is>
      </c>
      <c r="B3401" t="n">
        <v>378</v>
      </c>
      <c r="C3401" t="inlineStr">
        <is>
          <t>精英盾怪</t>
        </is>
      </c>
      <c r="D3401" t="n">
        <v>8487945</v>
      </c>
      <c r="E3401" t="n">
        <v>71883</v>
      </c>
      <c r="F3401" t="n">
        <v>44154</v>
      </c>
    </row>
    <row r="3402">
      <c r="A3402" t="inlineStr">
        <is>
          <t>378|Boss</t>
        </is>
      </c>
      <c r="B3402" t="n">
        <v>378</v>
      </c>
      <c r="C3402" t="inlineStr">
        <is>
          <t>Boss</t>
        </is>
      </c>
      <c r="D3402" t="n">
        <v>96370570</v>
      </c>
      <c r="E3402" t="n">
        <v>77218</v>
      </c>
      <c r="F3402" t="n">
        <v>44154</v>
      </c>
    </row>
    <row r="3403">
      <c r="A3403" t="inlineStr">
        <is>
          <t>378|装备副本Boss</t>
        </is>
      </c>
      <c r="B3403" t="n">
        <v>378</v>
      </c>
      <c r="C3403" t="inlineStr">
        <is>
          <t>装备副本Boss</t>
        </is>
      </c>
      <c r="D3403" t="n">
        <v>48185285</v>
      </c>
      <c r="E3403" t="n">
        <v>77218</v>
      </c>
      <c r="F3403" t="n">
        <v>44154</v>
      </c>
    </row>
    <row r="3404">
      <c r="A3404" t="inlineStr">
        <is>
          <t>379|普通怪</t>
        </is>
      </c>
      <c r="B3404" t="n">
        <v>379</v>
      </c>
      <c r="C3404" t="inlineStr">
        <is>
          <t>普通怪</t>
        </is>
      </c>
      <c r="D3404" t="n">
        <v>950703</v>
      </c>
      <c r="E3404" t="n">
        <v>72340</v>
      </c>
      <c r="F3404" t="n">
        <v>44313</v>
      </c>
    </row>
    <row r="3405">
      <c r="A3405" t="inlineStr">
        <is>
          <t>379|盾怪</t>
        </is>
      </c>
      <c r="B3405" t="n">
        <v>379</v>
      </c>
      <c r="C3405" t="inlineStr">
        <is>
          <t>盾怪</t>
        </is>
      </c>
      <c r="D3405" t="n">
        <v>2852109</v>
      </c>
      <c r="E3405" t="n">
        <v>72340</v>
      </c>
      <c r="F3405" t="n">
        <v>44313</v>
      </c>
    </row>
    <row r="3406">
      <c r="A3406" t="inlineStr">
        <is>
          <t>379|二级普通怪</t>
        </is>
      </c>
      <c r="B3406" t="n">
        <v>379</v>
      </c>
      <c r="C3406" t="inlineStr">
        <is>
          <t>二级普通怪</t>
        </is>
      </c>
      <c r="D3406" t="n">
        <v>1711266</v>
      </c>
      <c r="E3406" t="n">
        <v>72340</v>
      </c>
      <c r="F3406" t="n">
        <v>44313</v>
      </c>
    </row>
    <row r="3407">
      <c r="A3407" t="inlineStr">
        <is>
          <t>379|站桩怪</t>
        </is>
      </c>
      <c r="B3407" t="n">
        <v>379</v>
      </c>
      <c r="C3407" t="inlineStr">
        <is>
          <t>站桩怪</t>
        </is>
      </c>
      <c r="D3407" t="n">
        <v>475352</v>
      </c>
      <c r="E3407" t="n">
        <v>72340</v>
      </c>
      <c r="F3407" t="n">
        <v>44313</v>
      </c>
    </row>
    <row r="3408">
      <c r="A3408" t="inlineStr">
        <is>
          <t>379|炮灰怪</t>
        </is>
      </c>
      <c r="B3408" t="n">
        <v>379</v>
      </c>
      <c r="C3408" t="inlineStr">
        <is>
          <t>炮灰怪</t>
        </is>
      </c>
      <c r="D3408" t="n">
        <v>142606</v>
      </c>
      <c r="E3408" t="n">
        <v>72340</v>
      </c>
      <c r="F3408" t="n">
        <v>44313</v>
      </c>
    </row>
    <row r="3409">
      <c r="A3409" t="inlineStr">
        <is>
          <t>379|精英怪</t>
        </is>
      </c>
      <c r="B3409" t="n">
        <v>379</v>
      </c>
      <c r="C3409" t="inlineStr">
        <is>
          <t>精英怪</t>
        </is>
      </c>
      <c r="D3409" t="n">
        <v>3802812</v>
      </c>
      <c r="E3409" t="n">
        <v>72340</v>
      </c>
      <c r="F3409" t="n">
        <v>44313</v>
      </c>
    </row>
    <row r="3410">
      <c r="A3410" t="inlineStr">
        <is>
          <t>379|精英盾怪</t>
        </is>
      </c>
      <c r="B3410" t="n">
        <v>379</v>
      </c>
      <c r="C3410" t="inlineStr">
        <is>
          <t>精英盾怪</t>
        </is>
      </c>
      <c r="D3410" t="n">
        <v>8556327</v>
      </c>
      <c r="E3410" t="n">
        <v>72340</v>
      </c>
      <c r="F3410" t="n">
        <v>44313</v>
      </c>
    </row>
    <row r="3411">
      <c r="A3411" t="inlineStr">
        <is>
          <t>379|Boss</t>
        </is>
      </c>
      <c r="B3411" t="n">
        <v>379</v>
      </c>
      <c r="C3411" t="inlineStr">
        <is>
          <t>Boss</t>
        </is>
      </c>
      <c r="D3411" t="n">
        <v>97206970</v>
      </c>
      <c r="E3411" t="n">
        <v>77694</v>
      </c>
      <c r="F3411" t="n">
        <v>44313</v>
      </c>
    </row>
    <row r="3412">
      <c r="A3412" t="inlineStr">
        <is>
          <t>379|装备副本Boss</t>
        </is>
      </c>
      <c r="B3412" t="n">
        <v>379</v>
      </c>
      <c r="C3412" t="inlineStr">
        <is>
          <t>装备副本Boss</t>
        </is>
      </c>
      <c r="D3412" t="n">
        <v>48603485</v>
      </c>
      <c r="E3412" t="n">
        <v>77694</v>
      </c>
      <c r="F3412" t="n">
        <v>44313</v>
      </c>
    </row>
    <row r="3413">
      <c r="A3413" t="inlineStr">
        <is>
          <t>380|普通怪</t>
        </is>
      </c>
      <c r="B3413" t="n">
        <v>380</v>
      </c>
      <c r="C3413" t="inlineStr">
        <is>
          <t>普通怪</t>
        </is>
      </c>
      <c r="D3413" t="n">
        <v>958349</v>
      </c>
      <c r="E3413" t="n">
        <v>72800</v>
      </c>
      <c r="F3413" t="n">
        <v>44474</v>
      </c>
    </row>
    <row r="3414">
      <c r="A3414" t="inlineStr">
        <is>
          <t>380|盾怪</t>
        </is>
      </c>
      <c r="B3414" t="n">
        <v>380</v>
      </c>
      <c r="C3414" t="inlineStr">
        <is>
          <t>盾怪</t>
        </is>
      </c>
      <c r="D3414" t="n">
        <v>2875047</v>
      </c>
      <c r="E3414" t="n">
        <v>72800</v>
      </c>
      <c r="F3414" t="n">
        <v>44474</v>
      </c>
    </row>
    <row r="3415">
      <c r="A3415" t="inlineStr">
        <is>
          <t>380|二级普通怪</t>
        </is>
      </c>
      <c r="B3415" t="n">
        <v>380</v>
      </c>
      <c r="C3415" t="inlineStr">
        <is>
          <t>二级普通怪</t>
        </is>
      </c>
      <c r="D3415" t="n">
        <v>1725029</v>
      </c>
      <c r="E3415" t="n">
        <v>72800</v>
      </c>
      <c r="F3415" t="n">
        <v>44474</v>
      </c>
    </row>
    <row r="3416">
      <c r="A3416" t="inlineStr">
        <is>
          <t>380|站桩怪</t>
        </is>
      </c>
      <c r="B3416" t="n">
        <v>380</v>
      </c>
      <c r="C3416" t="inlineStr">
        <is>
          <t>站桩怪</t>
        </is>
      </c>
      <c r="D3416" t="n">
        <v>479175</v>
      </c>
      <c r="E3416" t="n">
        <v>72800</v>
      </c>
      <c r="F3416" t="n">
        <v>44474</v>
      </c>
    </row>
    <row r="3417">
      <c r="A3417" t="inlineStr">
        <is>
          <t>380|炮灰怪</t>
        </is>
      </c>
      <c r="B3417" t="n">
        <v>380</v>
      </c>
      <c r="C3417" t="inlineStr">
        <is>
          <t>炮灰怪</t>
        </is>
      </c>
      <c r="D3417" t="n">
        <v>143753</v>
      </c>
      <c r="E3417" t="n">
        <v>72800</v>
      </c>
      <c r="F3417" t="n">
        <v>44474</v>
      </c>
    </row>
    <row r="3418">
      <c r="A3418" t="inlineStr">
        <is>
          <t>380|精英怪</t>
        </is>
      </c>
      <c r="B3418" t="n">
        <v>380</v>
      </c>
      <c r="C3418" t="inlineStr">
        <is>
          <t>精英怪</t>
        </is>
      </c>
      <c r="D3418" t="n">
        <v>3833396</v>
      </c>
      <c r="E3418" t="n">
        <v>72800</v>
      </c>
      <c r="F3418" t="n">
        <v>44474</v>
      </c>
    </row>
    <row r="3419">
      <c r="A3419" t="inlineStr">
        <is>
          <t>380|精英盾怪</t>
        </is>
      </c>
      <c r="B3419" t="n">
        <v>380</v>
      </c>
      <c r="C3419" t="inlineStr">
        <is>
          <t>精英盾怪</t>
        </is>
      </c>
      <c r="D3419" t="n">
        <v>8625141</v>
      </c>
      <c r="E3419" t="n">
        <v>72800</v>
      </c>
      <c r="F3419" t="n">
        <v>44474</v>
      </c>
    </row>
    <row r="3420">
      <c r="A3420" t="inlineStr">
        <is>
          <t>380|Boss</t>
        </is>
      </c>
      <c r="B3420" t="n">
        <v>380</v>
      </c>
      <c r="C3420" t="inlineStr">
        <is>
          <t>Boss</t>
        </is>
      </c>
      <c r="D3420" t="n">
        <v>98049286</v>
      </c>
      <c r="E3420" t="n">
        <v>78172</v>
      </c>
      <c r="F3420" t="n">
        <v>44474</v>
      </c>
    </row>
    <row r="3421">
      <c r="A3421" t="inlineStr">
        <is>
          <t>380|装备副本Boss</t>
        </is>
      </c>
      <c r="B3421" t="n">
        <v>380</v>
      </c>
      <c r="C3421" t="inlineStr">
        <is>
          <t>装备副本Boss</t>
        </is>
      </c>
      <c r="D3421" t="n">
        <v>49024643</v>
      </c>
      <c r="E3421" t="n">
        <v>78172</v>
      </c>
      <c r="F3421" t="n">
        <v>44474</v>
      </c>
    </row>
    <row r="3422">
      <c r="A3422" t="inlineStr">
        <is>
          <t>381|普通怪</t>
        </is>
      </c>
      <c r="B3422" t="n">
        <v>381</v>
      </c>
      <c r="C3422" t="inlineStr">
        <is>
          <t>普通怪</t>
        </is>
      </c>
      <c r="D3422" t="n">
        <v>966044</v>
      </c>
      <c r="E3422" t="n">
        <v>73263</v>
      </c>
      <c r="F3422" t="n">
        <v>44634</v>
      </c>
    </row>
    <row r="3423">
      <c r="A3423" t="inlineStr">
        <is>
          <t>381|盾怪</t>
        </is>
      </c>
      <c r="B3423" t="n">
        <v>381</v>
      </c>
      <c r="C3423" t="inlineStr">
        <is>
          <t>盾怪</t>
        </is>
      </c>
      <c r="D3423" t="n">
        <v>2898132</v>
      </c>
      <c r="E3423" t="n">
        <v>73263</v>
      </c>
      <c r="F3423" t="n">
        <v>44634</v>
      </c>
    </row>
    <row r="3424">
      <c r="A3424" t="inlineStr">
        <is>
          <t>381|二级普通怪</t>
        </is>
      </c>
      <c r="B3424" t="n">
        <v>381</v>
      </c>
      <c r="C3424" t="inlineStr">
        <is>
          <t>二级普通怪</t>
        </is>
      </c>
      <c r="D3424" t="n">
        <v>1738880</v>
      </c>
      <c r="E3424" t="n">
        <v>73263</v>
      </c>
      <c r="F3424" t="n">
        <v>44634</v>
      </c>
    </row>
    <row r="3425">
      <c r="A3425" t="inlineStr">
        <is>
          <t>381|站桩怪</t>
        </is>
      </c>
      <c r="B3425" t="n">
        <v>381</v>
      </c>
      <c r="C3425" t="inlineStr">
        <is>
          <t>站桩怪</t>
        </is>
      </c>
      <c r="D3425" t="n">
        <v>483022</v>
      </c>
      <c r="E3425" t="n">
        <v>73263</v>
      </c>
      <c r="F3425" t="n">
        <v>44634</v>
      </c>
    </row>
    <row r="3426">
      <c r="A3426" t="inlineStr">
        <is>
          <t>381|炮灰怪</t>
        </is>
      </c>
      <c r="B3426" t="n">
        <v>381</v>
      </c>
      <c r="C3426" t="inlineStr">
        <is>
          <t>炮灰怪</t>
        </is>
      </c>
      <c r="D3426" t="n">
        <v>144907</v>
      </c>
      <c r="E3426" t="n">
        <v>73263</v>
      </c>
      <c r="F3426" t="n">
        <v>44634</v>
      </c>
    </row>
    <row r="3427">
      <c r="A3427" t="inlineStr">
        <is>
          <t>381|精英怪</t>
        </is>
      </c>
      <c r="B3427" t="n">
        <v>381</v>
      </c>
      <c r="C3427" t="inlineStr">
        <is>
          <t>精英怪</t>
        </is>
      </c>
      <c r="D3427" t="n">
        <v>3864176</v>
      </c>
      <c r="E3427" t="n">
        <v>73263</v>
      </c>
      <c r="F3427" t="n">
        <v>44634</v>
      </c>
    </row>
    <row r="3428">
      <c r="A3428" t="inlineStr">
        <is>
          <t>381|精英盾怪</t>
        </is>
      </c>
      <c r="B3428" t="n">
        <v>381</v>
      </c>
      <c r="C3428" t="inlineStr">
        <is>
          <t>精英盾怪</t>
        </is>
      </c>
      <c r="D3428" t="n">
        <v>8694396</v>
      </c>
      <c r="E3428" t="n">
        <v>73263</v>
      </c>
      <c r="F3428" t="n">
        <v>44634</v>
      </c>
    </row>
    <row r="3429">
      <c r="A3429" t="inlineStr">
        <is>
          <t>381|Boss</t>
        </is>
      </c>
      <c r="B3429" t="n">
        <v>381</v>
      </c>
      <c r="C3429" t="inlineStr">
        <is>
          <t>Boss</t>
        </is>
      </c>
      <c r="D3429" t="n">
        <v>98897467</v>
      </c>
      <c r="E3429" t="n">
        <v>78653</v>
      </c>
      <c r="F3429" t="n">
        <v>44634</v>
      </c>
    </row>
    <row r="3430">
      <c r="A3430" t="inlineStr">
        <is>
          <t>381|装备副本Boss</t>
        </is>
      </c>
      <c r="B3430" t="n">
        <v>381</v>
      </c>
      <c r="C3430" t="inlineStr">
        <is>
          <t>装备副本Boss</t>
        </is>
      </c>
      <c r="D3430" t="n">
        <v>49448733</v>
      </c>
      <c r="E3430" t="n">
        <v>78653</v>
      </c>
      <c r="F3430" t="n">
        <v>44634</v>
      </c>
    </row>
    <row r="3431">
      <c r="A3431" t="inlineStr">
        <is>
          <t>382|普通怪</t>
        </is>
      </c>
      <c r="B3431" t="n">
        <v>382</v>
      </c>
      <c r="C3431" t="inlineStr">
        <is>
          <t>普通怪</t>
        </is>
      </c>
      <c r="D3431" t="n">
        <v>973786</v>
      </c>
      <c r="E3431" t="n">
        <v>73727</v>
      </c>
      <c r="F3431" t="n">
        <v>44795</v>
      </c>
    </row>
    <row r="3432">
      <c r="A3432" t="inlineStr">
        <is>
          <t>382|盾怪</t>
        </is>
      </c>
      <c r="B3432" t="n">
        <v>382</v>
      </c>
      <c r="C3432" t="inlineStr">
        <is>
          <t>盾怪</t>
        </is>
      </c>
      <c r="D3432" t="n">
        <v>2921358</v>
      </c>
      <c r="E3432" t="n">
        <v>73727</v>
      </c>
      <c r="F3432" t="n">
        <v>44795</v>
      </c>
    </row>
    <row r="3433">
      <c r="A3433" t="inlineStr">
        <is>
          <t>382|二级普通怪</t>
        </is>
      </c>
      <c r="B3433" t="n">
        <v>382</v>
      </c>
      <c r="C3433" t="inlineStr">
        <is>
          <t>二级普通怪</t>
        </is>
      </c>
      <c r="D3433" t="n">
        <v>1752815</v>
      </c>
      <c r="E3433" t="n">
        <v>73727</v>
      </c>
      <c r="F3433" t="n">
        <v>44795</v>
      </c>
    </row>
    <row r="3434">
      <c r="A3434" t="inlineStr">
        <is>
          <t>382|站桩怪</t>
        </is>
      </c>
      <c r="B3434" t="n">
        <v>382</v>
      </c>
      <c r="C3434" t="inlineStr">
        <is>
          <t>站桩怪</t>
        </is>
      </c>
      <c r="D3434" t="n">
        <v>486893</v>
      </c>
      <c r="E3434" t="n">
        <v>73727</v>
      </c>
      <c r="F3434" t="n">
        <v>44795</v>
      </c>
    </row>
    <row r="3435">
      <c r="A3435" t="inlineStr">
        <is>
          <t>382|炮灰怪</t>
        </is>
      </c>
      <c r="B3435" t="n">
        <v>382</v>
      </c>
      <c r="C3435" t="inlineStr">
        <is>
          <t>炮灰怪</t>
        </is>
      </c>
      <c r="D3435" t="n">
        <v>146068</v>
      </c>
      <c r="E3435" t="n">
        <v>73727</v>
      </c>
      <c r="F3435" t="n">
        <v>44795</v>
      </c>
    </row>
    <row r="3436">
      <c r="A3436" t="inlineStr">
        <is>
          <t>382|精英怪</t>
        </is>
      </c>
      <c r="B3436" t="n">
        <v>382</v>
      </c>
      <c r="C3436" t="inlineStr">
        <is>
          <t>精英怪</t>
        </is>
      </c>
      <c r="D3436" t="n">
        <v>3895144</v>
      </c>
      <c r="E3436" t="n">
        <v>73727</v>
      </c>
      <c r="F3436" t="n">
        <v>44795</v>
      </c>
    </row>
    <row r="3437">
      <c r="A3437" t="inlineStr">
        <is>
          <t>382|精英盾怪</t>
        </is>
      </c>
      <c r="B3437" t="n">
        <v>382</v>
      </c>
      <c r="C3437" t="inlineStr">
        <is>
          <t>精英盾怪</t>
        </is>
      </c>
      <c r="D3437" t="n">
        <v>8764074</v>
      </c>
      <c r="E3437" t="n">
        <v>73727</v>
      </c>
      <c r="F3437" t="n">
        <v>44795</v>
      </c>
    </row>
    <row r="3438">
      <c r="A3438" t="inlineStr">
        <is>
          <t>382|Boss</t>
        </is>
      </c>
      <c r="B3438" t="n">
        <v>382</v>
      </c>
      <c r="C3438" t="inlineStr">
        <is>
          <t>Boss</t>
        </is>
      </c>
      <c r="D3438" t="n">
        <v>99751614</v>
      </c>
      <c r="E3438" t="n">
        <v>79136</v>
      </c>
      <c r="F3438" t="n">
        <v>44795</v>
      </c>
    </row>
    <row r="3439">
      <c r="A3439" t="inlineStr">
        <is>
          <t>382|装备副本Boss</t>
        </is>
      </c>
      <c r="B3439" t="n">
        <v>382</v>
      </c>
      <c r="C3439" t="inlineStr">
        <is>
          <t>装备副本Boss</t>
        </is>
      </c>
      <c r="D3439" t="n">
        <v>49875807</v>
      </c>
      <c r="E3439" t="n">
        <v>79136</v>
      </c>
      <c r="F3439" t="n">
        <v>44795</v>
      </c>
    </row>
    <row r="3440">
      <c r="A3440" t="inlineStr">
        <is>
          <t>383|普通怪</t>
        </is>
      </c>
      <c r="B3440" t="n">
        <v>383</v>
      </c>
      <c r="C3440" t="inlineStr">
        <is>
          <t>普通怪</t>
        </is>
      </c>
      <c r="D3440" t="n">
        <v>981578</v>
      </c>
      <c r="E3440" t="n">
        <v>74195</v>
      </c>
      <c r="F3440" t="n">
        <v>44955</v>
      </c>
    </row>
    <row r="3441">
      <c r="A3441" t="inlineStr">
        <is>
          <t>383|盾怪</t>
        </is>
      </c>
      <c r="B3441" t="n">
        <v>383</v>
      </c>
      <c r="C3441" t="inlineStr">
        <is>
          <t>盾怪</t>
        </is>
      </c>
      <c r="D3441" t="n">
        <v>2944734</v>
      </c>
      <c r="E3441" t="n">
        <v>74195</v>
      </c>
      <c r="F3441" t="n">
        <v>44955</v>
      </c>
    </row>
    <row r="3442">
      <c r="A3442" t="inlineStr">
        <is>
          <t>383|二级普通怪</t>
        </is>
      </c>
      <c r="B3442" t="n">
        <v>383</v>
      </c>
      <c r="C3442" t="inlineStr">
        <is>
          <t>二级普通怪</t>
        </is>
      </c>
      <c r="D3442" t="n">
        <v>1766841</v>
      </c>
      <c r="E3442" t="n">
        <v>74195</v>
      </c>
      <c r="F3442" t="n">
        <v>44955</v>
      </c>
    </row>
    <row r="3443">
      <c r="A3443" t="inlineStr">
        <is>
          <t>383|站桩怪</t>
        </is>
      </c>
      <c r="B3443" t="n">
        <v>383</v>
      </c>
      <c r="C3443" t="inlineStr">
        <is>
          <t>站桩怪</t>
        </is>
      </c>
      <c r="D3443" t="n">
        <v>490789</v>
      </c>
      <c r="E3443" t="n">
        <v>74195</v>
      </c>
      <c r="F3443" t="n">
        <v>44955</v>
      </c>
    </row>
    <row r="3444">
      <c r="A3444" t="inlineStr">
        <is>
          <t>383|炮灰怪</t>
        </is>
      </c>
      <c r="B3444" t="n">
        <v>383</v>
      </c>
      <c r="C3444" t="inlineStr">
        <is>
          <t>炮灰怪</t>
        </is>
      </c>
      <c r="D3444" t="n">
        <v>147237</v>
      </c>
      <c r="E3444" t="n">
        <v>74195</v>
      </c>
      <c r="F3444" t="n">
        <v>44955</v>
      </c>
    </row>
    <row r="3445">
      <c r="A3445" t="inlineStr">
        <is>
          <t>383|精英怪</t>
        </is>
      </c>
      <c r="B3445" t="n">
        <v>383</v>
      </c>
      <c r="C3445" t="inlineStr">
        <is>
          <t>精英怪</t>
        </is>
      </c>
      <c r="D3445" t="n">
        <v>3926312</v>
      </c>
      <c r="E3445" t="n">
        <v>74195</v>
      </c>
      <c r="F3445" t="n">
        <v>44955</v>
      </c>
    </row>
    <row r="3446">
      <c r="A3446" t="inlineStr">
        <is>
          <t>383|精英盾怪</t>
        </is>
      </c>
      <c r="B3446" t="n">
        <v>383</v>
      </c>
      <c r="C3446" t="inlineStr">
        <is>
          <t>精英盾怪</t>
        </is>
      </c>
      <c r="D3446" t="n">
        <v>8834202</v>
      </c>
      <c r="E3446" t="n">
        <v>74195</v>
      </c>
      <c r="F3446" t="n">
        <v>44955</v>
      </c>
    </row>
    <row r="3447">
      <c r="A3447" t="inlineStr">
        <is>
          <t>383|Boss</t>
        </is>
      </c>
      <c r="B3447" t="n">
        <v>383</v>
      </c>
      <c r="C3447" t="inlineStr">
        <is>
          <t>Boss</t>
        </is>
      </c>
      <c r="D3447" t="n">
        <v>100611729</v>
      </c>
      <c r="E3447" t="n">
        <v>79622</v>
      </c>
      <c r="F3447" t="n">
        <v>44955</v>
      </c>
    </row>
    <row r="3448">
      <c r="A3448" t="inlineStr">
        <is>
          <t>383|装备副本Boss</t>
        </is>
      </c>
      <c r="B3448" t="n">
        <v>383</v>
      </c>
      <c r="C3448" t="inlineStr">
        <is>
          <t>装备副本Boss</t>
        </is>
      </c>
      <c r="D3448" t="n">
        <v>50305865</v>
      </c>
      <c r="E3448" t="n">
        <v>79622</v>
      </c>
      <c r="F3448" t="n">
        <v>44955</v>
      </c>
    </row>
    <row r="3449">
      <c r="A3449" t="inlineStr">
        <is>
          <t>384|普通怪</t>
        </is>
      </c>
      <c r="B3449" t="n">
        <v>384</v>
      </c>
      <c r="C3449" t="inlineStr">
        <is>
          <t>普通怪</t>
        </is>
      </c>
      <c r="D3449" t="n">
        <v>989419</v>
      </c>
      <c r="E3449" t="n">
        <v>74664</v>
      </c>
      <c r="F3449" t="n">
        <v>45116</v>
      </c>
    </row>
    <row r="3450">
      <c r="A3450" t="inlineStr">
        <is>
          <t>384|盾怪</t>
        </is>
      </c>
      <c r="B3450" t="n">
        <v>384</v>
      </c>
      <c r="C3450" t="inlineStr">
        <is>
          <t>盾怪</t>
        </is>
      </c>
      <c r="D3450" t="n">
        <v>2968257</v>
      </c>
      <c r="E3450" t="n">
        <v>74664</v>
      </c>
      <c r="F3450" t="n">
        <v>45116</v>
      </c>
    </row>
    <row r="3451">
      <c r="A3451" t="inlineStr">
        <is>
          <t>384|二级普通怪</t>
        </is>
      </c>
      <c r="B3451" t="n">
        <v>384</v>
      </c>
      <c r="C3451" t="inlineStr">
        <is>
          <t>二级普通怪</t>
        </is>
      </c>
      <c r="D3451" t="n">
        <v>1780955</v>
      </c>
      <c r="E3451" t="n">
        <v>74664</v>
      </c>
      <c r="F3451" t="n">
        <v>45116</v>
      </c>
    </row>
    <row r="3452">
      <c r="A3452" t="inlineStr">
        <is>
          <t>384|站桩怪</t>
        </is>
      </c>
      <c r="B3452" t="n">
        <v>384</v>
      </c>
      <c r="C3452" t="inlineStr">
        <is>
          <t>站桩怪</t>
        </is>
      </c>
      <c r="D3452" t="n">
        <v>494710</v>
      </c>
      <c r="E3452" t="n">
        <v>74664</v>
      </c>
      <c r="F3452" t="n">
        <v>45116</v>
      </c>
    </row>
    <row r="3453">
      <c r="A3453" t="inlineStr">
        <is>
          <t>384|炮灰怪</t>
        </is>
      </c>
      <c r="B3453" t="n">
        <v>384</v>
      </c>
      <c r="C3453" t="inlineStr">
        <is>
          <t>炮灰怪</t>
        </is>
      </c>
      <c r="D3453" t="n">
        <v>148413</v>
      </c>
      <c r="E3453" t="n">
        <v>74664</v>
      </c>
      <c r="F3453" t="n">
        <v>45116</v>
      </c>
    </row>
    <row r="3454">
      <c r="A3454" t="inlineStr">
        <is>
          <t>384|精英怪</t>
        </is>
      </c>
      <c r="B3454" t="n">
        <v>384</v>
      </c>
      <c r="C3454" t="inlineStr">
        <is>
          <t>精英怪</t>
        </is>
      </c>
      <c r="D3454" t="n">
        <v>3957676</v>
      </c>
      <c r="E3454" t="n">
        <v>74664</v>
      </c>
      <c r="F3454" t="n">
        <v>45116</v>
      </c>
    </row>
    <row r="3455">
      <c r="A3455" t="inlineStr">
        <is>
          <t>384|精英盾怪</t>
        </is>
      </c>
      <c r="B3455" t="n">
        <v>384</v>
      </c>
      <c r="C3455" t="inlineStr">
        <is>
          <t>精英盾怪</t>
        </is>
      </c>
      <c r="D3455" t="n">
        <v>8904771</v>
      </c>
      <c r="E3455" t="n">
        <v>74664</v>
      </c>
      <c r="F3455" t="n">
        <v>45116</v>
      </c>
    </row>
    <row r="3456">
      <c r="A3456" t="inlineStr">
        <is>
          <t>384|Boss</t>
        </is>
      </c>
      <c r="B3456" t="n">
        <v>384</v>
      </c>
      <c r="C3456" t="inlineStr">
        <is>
          <t>Boss</t>
        </is>
      </c>
      <c r="D3456" t="n">
        <v>101477811</v>
      </c>
      <c r="E3456" t="n">
        <v>80110</v>
      </c>
      <c r="F3456" t="n">
        <v>45116</v>
      </c>
    </row>
    <row r="3457">
      <c r="A3457" t="inlineStr">
        <is>
          <t>384|装备副本Boss</t>
        </is>
      </c>
      <c r="B3457" t="n">
        <v>384</v>
      </c>
      <c r="C3457" t="inlineStr">
        <is>
          <t>装备副本Boss</t>
        </is>
      </c>
      <c r="D3457" t="n">
        <v>50738906</v>
      </c>
      <c r="E3457" t="n">
        <v>80110</v>
      </c>
      <c r="F3457" t="n">
        <v>45116</v>
      </c>
    </row>
    <row r="3458">
      <c r="A3458" t="inlineStr">
        <is>
          <t>385|普通怪</t>
        </is>
      </c>
      <c r="B3458" t="n">
        <v>385</v>
      </c>
      <c r="C3458" t="inlineStr">
        <is>
          <t>普通怪</t>
        </is>
      </c>
      <c r="D3458" t="n">
        <v>997310</v>
      </c>
      <c r="E3458" t="n">
        <v>75135</v>
      </c>
      <c r="F3458" t="n">
        <v>45278</v>
      </c>
    </row>
    <row r="3459">
      <c r="A3459" t="inlineStr">
        <is>
          <t>385|盾怪</t>
        </is>
      </c>
      <c r="B3459" t="n">
        <v>385</v>
      </c>
      <c r="C3459" t="inlineStr">
        <is>
          <t>盾怪</t>
        </is>
      </c>
      <c r="D3459" t="n">
        <v>2991930</v>
      </c>
      <c r="E3459" t="n">
        <v>75135</v>
      </c>
      <c r="F3459" t="n">
        <v>45278</v>
      </c>
    </row>
    <row r="3460">
      <c r="A3460" t="inlineStr">
        <is>
          <t>385|二级普通怪</t>
        </is>
      </c>
      <c r="B3460" t="n">
        <v>385</v>
      </c>
      <c r="C3460" t="inlineStr">
        <is>
          <t>二级普通怪</t>
        </is>
      </c>
      <c r="D3460" t="n">
        <v>1795158</v>
      </c>
      <c r="E3460" t="n">
        <v>75135</v>
      </c>
      <c r="F3460" t="n">
        <v>45278</v>
      </c>
    </row>
    <row r="3461">
      <c r="A3461" t="inlineStr">
        <is>
          <t>385|站桩怪</t>
        </is>
      </c>
      <c r="B3461" t="n">
        <v>385</v>
      </c>
      <c r="C3461" t="inlineStr">
        <is>
          <t>站桩怪</t>
        </is>
      </c>
      <c r="D3461" t="n">
        <v>498655</v>
      </c>
      <c r="E3461" t="n">
        <v>75135</v>
      </c>
      <c r="F3461" t="n">
        <v>45278</v>
      </c>
    </row>
    <row r="3462">
      <c r="A3462" t="inlineStr">
        <is>
          <t>385|炮灰怪</t>
        </is>
      </c>
      <c r="B3462" t="n">
        <v>385</v>
      </c>
      <c r="C3462" t="inlineStr">
        <is>
          <t>炮灰怪</t>
        </is>
      </c>
      <c r="D3462" t="n">
        <v>149597</v>
      </c>
      <c r="E3462" t="n">
        <v>75135</v>
      </c>
      <c r="F3462" t="n">
        <v>45278</v>
      </c>
    </row>
    <row r="3463">
      <c r="A3463" t="inlineStr">
        <is>
          <t>385|精英怪</t>
        </is>
      </c>
      <c r="B3463" t="n">
        <v>385</v>
      </c>
      <c r="C3463" t="inlineStr">
        <is>
          <t>精英怪</t>
        </is>
      </c>
      <c r="D3463" t="n">
        <v>3989240</v>
      </c>
      <c r="E3463" t="n">
        <v>75135</v>
      </c>
      <c r="F3463" t="n">
        <v>45278</v>
      </c>
    </row>
    <row r="3464">
      <c r="A3464" t="inlineStr">
        <is>
          <t>385|精英盾怪</t>
        </is>
      </c>
      <c r="B3464" t="n">
        <v>385</v>
      </c>
      <c r="C3464" t="inlineStr">
        <is>
          <t>精英盾怪</t>
        </is>
      </c>
      <c r="D3464" t="n">
        <v>8975790</v>
      </c>
      <c r="E3464" t="n">
        <v>75135</v>
      </c>
      <c r="F3464" t="n">
        <v>45278</v>
      </c>
    </row>
    <row r="3465">
      <c r="A3465" t="inlineStr">
        <is>
          <t>385|Boss</t>
        </is>
      </c>
      <c r="B3465" t="n">
        <v>385</v>
      </c>
      <c r="C3465" t="inlineStr">
        <is>
          <t>Boss</t>
        </is>
      </c>
      <c r="D3465" t="n">
        <v>102349962</v>
      </c>
      <c r="E3465" t="n">
        <v>80600</v>
      </c>
      <c r="F3465" t="n">
        <v>45278</v>
      </c>
    </row>
    <row r="3466">
      <c r="A3466" t="inlineStr">
        <is>
          <t>385|装备副本Boss</t>
        </is>
      </c>
      <c r="B3466" t="n">
        <v>385</v>
      </c>
      <c r="C3466" t="inlineStr">
        <is>
          <t>装备副本Boss</t>
        </is>
      </c>
      <c r="D3466" t="n">
        <v>51174981</v>
      </c>
      <c r="E3466" t="n">
        <v>80600</v>
      </c>
      <c r="F3466" t="n">
        <v>45278</v>
      </c>
    </row>
    <row r="3467">
      <c r="A3467" t="inlineStr">
        <is>
          <t>386|普通怪</t>
        </is>
      </c>
      <c r="B3467" t="n">
        <v>386</v>
      </c>
      <c r="C3467" t="inlineStr">
        <is>
          <t>普通怪</t>
        </is>
      </c>
      <c r="D3467" t="n">
        <v>1005249</v>
      </c>
      <c r="E3467" t="n">
        <v>75610</v>
      </c>
      <c r="F3467" t="n">
        <v>45439</v>
      </c>
    </row>
    <row r="3468">
      <c r="A3468" t="inlineStr">
        <is>
          <t>386|盾怪</t>
        </is>
      </c>
      <c r="B3468" t="n">
        <v>386</v>
      </c>
      <c r="C3468" t="inlineStr">
        <is>
          <t>盾怪</t>
        </is>
      </c>
      <c r="D3468" t="n">
        <v>3015747</v>
      </c>
      <c r="E3468" t="n">
        <v>75610</v>
      </c>
      <c r="F3468" t="n">
        <v>45439</v>
      </c>
    </row>
    <row r="3469">
      <c r="A3469" t="inlineStr">
        <is>
          <t>386|二级普通怪</t>
        </is>
      </c>
      <c r="B3469" t="n">
        <v>386</v>
      </c>
      <c r="C3469" t="inlineStr">
        <is>
          <t>二级普通怪</t>
        </is>
      </c>
      <c r="D3469" t="n">
        <v>1809449</v>
      </c>
      <c r="E3469" t="n">
        <v>75610</v>
      </c>
      <c r="F3469" t="n">
        <v>45439</v>
      </c>
    </row>
    <row r="3470">
      <c r="A3470" t="inlineStr">
        <is>
          <t>386|站桩怪</t>
        </is>
      </c>
      <c r="B3470" t="n">
        <v>386</v>
      </c>
      <c r="C3470" t="inlineStr">
        <is>
          <t>站桩怪</t>
        </is>
      </c>
      <c r="D3470" t="n">
        <v>502625</v>
      </c>
      <c r="E3470" t="n">
        <v>75610</v>
      </c>
      <c r="F3470" t="n">
        <v>45439</v>
      </c>
    </row>
    <row r="3471">
      <c r="A3471" t="inlineStr">
        <is>
          <t>386|炮灰怪</t>
        </is>
      </c>
      <c r="B3471" t="n">
        <v>386</v>
      </c>
      <c r="C3471" t="inlineStr">
        <is>
          <t>炮灰怪</t>
        </is>
      </c>
      <c r="D3471" t="n">
        <v>150788</v>
      </c>
      <c r="E3471" t="n">
        <v>75610</v>
      </c>
      <c r="F3471" t="n">
        <v>45439</v>
      </c>
    </row>
    <row r="3472">
      <c r="A3472" t="inlineStr">
        <is>
          <t>386|精英怪</t>
        </is>
      </c>
      <c r="B3472" t="n">
        <v>386</v>
      </c>
      <c r="C3472" t="inlineStr">
        <is>
          <t>精英怪</t>
        </is>
      </c>
      <c r="D3472" t="n">
        <v>4020996</v>
      </c>
      <c r="E3472" t="n">
        <v>75610</v>
      </c>
      <c r="F3472" t="n">
        <v>45439</v>
      </c>
    </row>
    <row r="3473">
      <c r="A3473" t="inlineStr">
        <is>
          <t>386|精英盾怪</t>
        </is>
      </c>
      <c r="B3473" t="n">
        <v>386</v>
      </c>
      <c r="C3473" t="inlineStr">
        <is>
          <t>精英盾怪</t>
        </is>
      </c>
      <c r="D3473" t="n">
        <v>9047241</v>
      </c>
      <c r="E3473" t="n">
        <v>75610</v>
      </c>
      <c r="F3473" t="n">
        <v>45439</v>
      </c>
    </row>
    <row r="3474">
      <c r="A3474" t="inlineStr">
        <is>
          <t>386|Boss</t>
        </is>
      </c>
      <c r="B3474" t="n">
        <v>386</v>
      </c>
      <c r="C3474" t="inlineStr">
        <is>
          <t>Boss</t>
        </is>
      </c>
      <c r="D3474" t="n">
        <v>103228131</v>
      </c>
      <c r="E3474" t="n">
        <v>81093</v>
      </c>
      <c r="F3474" t="n">
        <v>45439</v>
      </c>
    </row>
    <row r="3475">
      <c r="A3475" t="inlineStr">
        <is>
          <t>386|装备副本Boss</t>
        </is>
      </c>
      <c r="B3475" t="n">
        <v>386</v>
      </c>
      <c r="C3475" t="inlineStr">
        <is>
          <t>装备副本Boss</t>
        </is>
      </c>
      <c r="D3475" t="n">
        <v>51614066</v>
      </c>
      <c r="E3475" t="n">
        <v>81093</v>
      </c>
      <c r="F3475" t="n">
        <v>45439</v>
      </c>
    </row>
    <row r="3476">
      <c r="A3476" t="inlineStr">
        <is>
          <t>387|普通怪</t>
        </is>
      </c>
      <c r="B3476" t="n">
        <v>387</v>
      </c>
      <c r="C3476" t="inlineStr">
        <is>
          <t>普通怪</t>
        </is>
      </c>
      <c r="D3476" t="n">
        <v>1013239</v>
      </c>
      <c r="E3476" t="n">
        <v>76086</v>
      </c>
      <c r="F3476" t="n">
        <v>45601</v>
      </c>
    </row>
    <row r="3477">
      <c r="A3477" t="inlineStr">
        <is>
          <t>387|盾怪</t>
        </is>
      </c>
      <c r="B3477" t="n">
        <v>387</v>
      </c>
      <c r="C3477" t="inlineStr">
        <is>
          <t>盾怪</t>
        </is>
      </c>
      <c r="D3477" t="n">
        <v>3039717</v>
      </c>
      <c r="E3477" t="n">
        <v>76086</v>
      </c>
      <c r="F3477" t="n">
        <v>45601</v>
      </c>
    </row>
    <row r="3478">
      <c r="A3478" t="inlineStr">
        <is>
          <t>387|二级普通怪</t>
        </is>
      </c>
      <c r="B3478" t="n">
        <v>387</v>
      </c>
      <c r="C3478" t="inlineStr">
        <is>
          <t>二级普通怪</t>
        </is>
      </c>
      <c r="D3478" t="n">
        <v>1823831</v>
      </c>
      <c r="E3478" t="n">
        <v>76086</v>
      </c>
      <c r="F3478" t="n">
        <v>45601</v>
      </c>
    </row>
    <row r="3479">
      <c r="A3479" t="inlineStr">
        <is>
          <t>387|站桩怪</t>
        </is>
      </c>
      <c r="B3479" t="n">
        <v>387</v>
      </c>
      <c r="C3479" t="inlineStr">
        <is>
          <t>站桩怪</t>
        </is>
      </c>
      <c r="D3479" t="n">
        <v>506620</v>
      </c>
      <c r="E3479" t="n">
        <v>76086</v>
      </c>
      <c r="F3479" t="n">
        <v>45601</v>
      </c>
    </row>
    <row r="3480">
      <c r="A3480" t="inlineStr">
        <is>
          <t>387|炮灰怪</t>
        </is>
      </c>
      <c r="B3480" t="n">
        <v>387</v>
      </c>
      <c r="C3480" t="inlineStr">
        <is>
          <t>炮灰怪</t>
        </is>
      </c>
      <c r="D3480" t="n">
        <v>151986</v>
      </c>
      <c r="E3480" t="n">
        <v>76086</v>
      </c>
      <c r="F3480" t="n">
        <v>45601</v>
      </c>
    </row>
    <row r="3481">
      <c r="A3481" t="inlineStr">
        <is>
          <t>387|精英怪</t>
        </is>
      </c>
      <c r="B3481" t="n">
        <v>387</v>
      </c>
      <c r="C3481" t="inlineStr">
        <is>
          <t>精英怪</t>
        </is>
      </c>
      <c r="D3481" t="n">
        <v>4052956</v>
      </c>
      <c r="E3481" t="n">
        <v>76086</v>
      </c>
      <c r="F3481" t="n">
        <v>45601</v>
      </c>
    </row>
    <row r="3482">
      <c r="A3482" t="inlineStr">
        <is>
          <t>387|精英盾怪</t>
        </is>
      </c>
      <c r="B3482" t="n">
        <v>387</v>
      </c>
      <c r="C3482" t="inlineStr">
        <is>
          <t>精英盾怪</t>
        </is>
      </c>
      <c r="D3482" t="n">
        <v>9119151</v>
      </c>
      <c r="E3482" t="n">
        <v>76086</v>
      </c>
      <c r="F3482" t="n">
        <v>45601</v>
      </c>
    </row>
    <row r="3483">
      <c r="A3483" t="inlineStr">
        <is>
          <t>387|Boss</t>
        </is>
      </c>
      <c r="B3483" t="n">
        <v>387</v>
      </c>
      <c r="C3483" t="inlineStr">
        <is>
          <t>Boss</t>
        </is>
      </c>
      <c r="D3483" t="n">
        <v>104112420</v>
      </c>
      <c r="E3483" t="n">
        <v>81588</v>
      </c>
      <c r="F3483" t="n">
        <v>45601</v>
      </c>
    </row>
    <row r="3484">
      <c r="A3484" t="inlineStr">
        <is>
          <t>387|装备副本Boss</t>
        </is>
      </c>
      <c r="B3484" t="n">
        <v>387</v>
      </c>
      <c r="C3484" t="inlineStr">
        <is>
          <t>装备副本Boss</t>
        </is>
      </c>
      <c r="D3484" t="n">
        <v>52056210</v>
      </c>
      <c r="E3484" t="n">
        <v>81588</v>
      </c>
      <c r="F3484" t="n">
        <v>45601</v>
      </c>
    </row>
    <row r="3485">
      <c r="A3485" t="inlineStr">
        <is>
          <t>388|普通怪</t>
        </is>
      </c>
      <c r="B3485" t="n">
        <v>388</v>
      </c>
      <c r="C3485" t="inlineStr">
        <is>
          <t>普通怪</t>
        </is>
      </c>
      <c r="D3485" t="n">
        <v>1021279</v>
      </c>
      <c r="E3485" t="n">
        <v>76566</v>
      </c>
      <c r="F3485" t="n">
        <v>45763</v>
      </c>
    </row>
    <row r="3486">
      <c r="A3486" t="inlineStr">
        <is>
          <t>388|盾怪</t>
        </is>
      </c>
      <c r="B3486" t="n">
        <v>388</v>
      </c>
      <c r="C3486" t="inlineStr">
        <is>
          <t>盾怪</t>
        </is>
      </c>
      <c r="D3486" t="n">
        <v>3063837</v>
      </c>
      <c r="E3486" t="n">
        <v>76566</v>
      </c>
      <c r="F3486" t="n">
        <v>45763</v>
      </c>
    </row>
    <row r="3487">
      <c r="A3487" t="inlineStr">
        <is>
          <t>388|二级普通怪</t>
        </is>
      </c>
      <c r="B3487" t="n">
        <v>388</v>
      </c>
      <c r="C3487" t="inlineStr">
        <is>
          <t>二级普通怪</t>
        </is>
      </c>
      <c r="D3487" t="n">
        <v>1838303</v>
      </c>
      <c r="E3487" t="n">
        <v>76566</v>
      </c>
      <c r="F3487" t="n">
        <v>45763</v>
      </c>
    </row>
    <row r="3488">
      <c r="A3488" t="inlineStr">
        <is>
          <t>388|站桩怪</t>
        </is>
      </c>
      <c r="B3488" t="n">
        <v>388</v>
      </c>
      <c r="C3488" t="inlineStr">
        <is>
          <t>站桩怪</t>
        </is>
      </c>
      <c r="D3488" t="n">
        <v>510640</v>
      </c>
      <c r="E3488" t="n">
        <v>76566</v>
      </c>
      <c r="F3488" t="n">
        <v>45763</v>
      </c>
    </row>
    <row r="3489">
      <c r="A3489" t="inlineStr">
        <is>
          <t>388|炮灰怪</t>
        </is>
      </c>
      <c r="B3489" t="n">
        <v>388</v>
      </c>
      <c r="C3489" t="inlineStr">
        <is>
          <t>炮灰怪</t>
        </is>
      </c>
      <c r="D3489" t="n">
        <v>153192</v>
      </c>
      <c r="E3489" t="n">
        <v>76566</v>
      </c>
      <c r="F3489" t="n">
        <v>45763</v>
      </c>
    </row>
    <row r="3490">
      <c r="A3490" t="inlineStr">
        <is>
          <t>388|精英怪</t>
        </is>
      </c>
      <c r="B3490" t="n">
        <v>388</v>
      </c>
      <c r="C3490" t="inlineStr">
        <is>
          <t>精英怪</t>
        </is>
      </c>
      <c r="D3490" t="n">
        <v>4085116</v>
      </c>
      <c r="E3490" t="n">
        <v>76566</v>
      </c>
      <c r="F3490" t="n">
        <v>45763</v>
      </c>
    </row>
    <row r="3491">
      <c r="A3491" t="inlineStr">
        <is>
          <t>388|精英盾怪</t>
        </is>
      </c>
      <c r="B3491" t="n">
        <v>388</v>
      </c>
      <c r="C3491" t="inlineStr">
        <is>
          <t>精英盾怪</t>
        </is>
      </c>
      <c r="D3491" t="n">
        <v>9191511</v>
      </c>
      <c r="E3491" t="n">
        <v>76566</v>
      </c>
      <c r="F3491" t="n">
        <v>45763</v>
      </c>
    </row>
    <row r="3492">
      <c r="A3492" t="inlineStr">
        <is>
          <t>388|Boss</t>
        </is>
      </c>
      <c r="B3492" t="n">
        <v>388</v>
      </c>
      <c r="C3492" t="inlineStr">
        <is>
          <t>Boss</t>
        </is>
      </c>
      <c r="D3492" t="n">
        <v>105002880</v>
      </c>
      <c r="E3492" t="n">
        <v>82086</v>
      </c>
      <c r="F3492" t="n">
        <v>45763</v>
      </c>
    </row>
    <row r="3493">
      <c r="A3493" t="inlineStr">
        <is>
          <t>388|装备副本Boss</t>
        </is>
      </c>
      <c r="B3493" t="n">
        <v>388</v>
      </c>
      <c r="C3493" t="inlineStr">
        <is>
          <t>装备副本Boss</t>
        </is>
      </c>
      <c r="D3493" t="n">
        <v>52501440</v>
      </c>
      <c r="E3493" t="n">
        <v>82086</v>
      </c>
      <c r="F3493" t="n">
        <v>45763</v>
      </c>
    </row>
    <row r="3494">
      <c r="A3494" t="inlineStr">
        <is>
          <t>389|普通怪</t>
        </is>
      </c>
      <c r="B3494" t="n">
        <v>389</v>
      </c>
      <c r="C3494" t="inlineStr">
        <is>
          <t>普通怪</t>
        </is>
      </c>
      <c r="D3494" t="n">
        <v>1029369</v>
      </c>
      <c r="E3494" t="n">
        <v>77048</v>
      </c>
      <c r="F3494" t="n">
        <v>45925</v>
      </c>
    </row>
    <row r="3495">
      <c r="A3495" t="inlineStr">
        <is>
          <t>389|盾怪</t>
        </is>
      </c>
      <c r="B3495" t="n">
        <v>389</v>
      </c>
      <c r="C3495" t="inlineStr">
        <is>
          <t>盾怪</t>
        </is>
      </c>
      <c r="D3495" t="n">
        <v>3088107</v>
      </c>
      <c r="E3495" t="n">
        <v>77048</v>
      </c>
      <c r="F3495" t="n">
        <v>45925</v>
      </c>
    </row>
    <row r="3496">
      <c r="A3496" t="inlineStr">
        <is>
          <t>389|二级普通怪</t>
        </is>
      </c>
      <c r="B3496" t="n">
        <v>389</v>
      </c>
      <c r="C3496" t="inlineStr">
        <is>
          <t>二级普通怪</t>
        </is>
      </c>
      <c r="D3496" t="n">
        <v>1852865</v>
      </c>
      <c r="E3496" t="n">
        <v>77048</v>
      </c>
      <c r="F3496" t="n">
        <v>45925</v>
      </c>
    </row>
    <row r="3497">
      <c r="A3497" t="inlineStr">
        <is>
          <t>389|站桩怪</t>
        </is>
      </c>
      <c r="B3497" t="n">
        <v>389</v>
      </c>
      <c r="C3497" t="inlineStr">
        <is>
          <t>站桩怪</t>
        </is>
      </c>
      <c r="D3497" t="n">
        <v>514685</v>
      </c>
      <c r="E3497" t="n">
        <v>77048</v>
      </c>
      <c r="F3497" t="n">
        <v>45925</v>
      </c>
    </row>
    <row r="3498">
      <c r="A3498" t="inlineStr">
        <is>
          <t>389|炮灰怪</t>
        </is>
      </c>
      <c r="B3498" t="n">
        <v>389</v>
      </c>
      <c r="C3498" t="inlineStr">
        <is>
          <t>炮灰怪</t>
        </is>
      </c>
      <c r="D3498" t="n">
        <v>154406</v>
      </c>
      <c r="E3498" t="n">
        <v>77048</v>
      </c>
      <c r="F3498" t="n">
        <v>45925</v>
      </c>
    </row>
    <row r="3499">
      <c r="A3499" t="inlineStr">
        <is>
          <t>389|精英怪</t>
        </is>
      </c>
      <c r="B3499" t="n">
        <v>389</v>
      </c>
      <c r="C3499" t="inlineStr">
        <is>
          <t>精英怪</t>
        </is>
      </c>
      <c r="D3499" t="n">
        <v>4117476</v>
      </c>
      <c r="E3499" t="n">
        <v>77048</v>
      </c>
      <c r="F3499" t="n">
        <v>45925</v>
      </c>
    </row>
    <row r="3500">
      <c r="A3500" t="inlineStr">
        <is>
          <t>389|精英盾怪</t>
        </is>
      </c>
      <c r="B3500" t="n">
        <v>389</v>
      </c>
      <c r="C3500" t="inlineStr">
        <is>
          <t>精英盾怪</t>
        </is>
      </c>
      <c r="D3500" t="n">
        <v>9264321</v>
      </c>
      <c r="E3500" t="n">
        <v>77048</v>
      </c>
      <c r="F3500" t="n">
        <v>45925</v>
      </c>
    </row>
    <row r="3501">
      <c r="A3501" t="inlineStr">
        <is>
          <t>389|Boss</t>
        </is>
      </c>
      <c r="B3501" t="n">
        <v>389</v>
      </c>
      <c r="C3501" t="inlineStr">
        <is>
          <t>Boss</t>
        </is>
      </c>
      <c r="D3501" t="n">
        <v>105899460</v>
      </c>
      <c r="E3501" t="n">
        <v>82587</v>
      </c>
      <c r="F3501" t="n">
        <v>45925</v>
      </c>
    </row>
    <row r="3502">
      <c r="A3502" t="inlineStr">
        <is>
          <t>389|装备副本Boss</t>
        </is>
      </c>
      <c r="B3502" t="n">
        <v>389</v>
      </c>
      <c r="C3502" t="inlineStr">
        <is>
          <t>装备副本Boss</t>
        </is>
      </c>
      <c r="D3502" t="n">
        <v>52949730</v>
      </c>
      <c r="E3502" t="n">
        <v>82587</v>
      </c>
      <c r="F3502" t="n">
        <v>45925</v>
      </c>
    </row>
    <row r="3503">
      <c r="A3503" t="inlineStr">
        <is>
          <t>390|普通怪</t>
        </is>
      </c>
      <c r="B3503" t="n">
        <v>390</v>
      </c>
      <c r="C3503" t="inlineStr">
        <is>
          <t>普通怪</t>
        </is>
      </c>
      <c r="D3503" t="n">
        <v>1037510</v>
      </c>
      <c r="E3503" t="n">
        <v>77532</v>
      </c>
      <c r="F3503" t="n">
        <v>46087</v>
      </c>
    </row>
    <row r="3504">
      <c r="A3504" t="inlineStr">
        <is>
          <t>390|盾怪</t>
        </is>
      </c>
      <c r="B3504" t="n">
        <v>390</v>
      </c>
      <c r="C3504" t="inlineStr">
        <is>
          <t>盾怪</t>
        </is>
      </c>
      <c r="D3504" t="n">
        <v>3112530</v>
      </c>
      <c r="E3504" t="n">
        <v>77532</v>
      </c>
      <c r="F3504" t="n">
        <v>46087</v>
      </c>
    </row>
    <row r="3505">
      <c r="A3505" t="inlineStr">
        <is>
          <t>390|二级普通怪</t>
        </is>
      </c>
      <c r="B3505" t="n">
        <v>390</v>
      </c>
      <c r="C3505" t="inlineStr">
        <is>
          <t>二级普通怪</t>
        </is>
      </c>
      <c r="D3505" t="n">
        <v>1867518</v>
      </c>
      <c r="E3505" t="n">
        <v>77532</v>
      </c>
      <c r="F3505" t="n">
        <v>46087</v>
      </c>
    </row>
    <row r="3506">
      <c r="A3506" t="inlineStr">
        <is>
          <t>390|站桩怪</t>
        </is>
      </c>
      <c r="B3506" t="n">
        <v>390</v>
      </c>
      <c r="C3506" t="inlineStr">
        <is>
          <t>站桩怪</t>
        </is>
      </c>
      <c r="D3506" t="n">
        <v>518755</v>
      </c>
      <c r="E3506" t="n">
        <v>77532</v>
      </c>
      <c r="F3506" t="n">
        <v>46087</v>
      </c>
    </row>
    <row r="3507">
      <c r="A3507" t="inlineStr">
        <is>
          <t>390|炮灰怪</t>
        </is>
      </c>
      <c r="B3507" t="n">
        <v>390</v>
      </c>
      <c r="C3507" t="inlineStr">
        <is>
          <t>炮灰怪</t>
        </is>
      </c>
      <c r="D3507" t="n">
        <v>155627</v>
      </c>
      <c r="E3507" t="n">
        <v>77532</v>
      </c>
      <c r="F3507" t="n">
        <v>46087</v>
      </c>
    </row>
    <row r="3508">
      <c r="A3508" t="inlineStr">
        <is>
          <t>390|精英怪</t>
        </is>
      </c>
      <c r="B3508" t="n">
        <v>390</v>
      </c>
      <c r="C3508" t="inlineStr">
        <is>
          <t>精英怪</t>
        </is>
      </c>
      <c r="D3508" t="n">
        <v>4150040</v>
      </c>
      <c r="E3508" t="n">
        <v>77532</v>
      </c>
      <c r="F3508" t="n">
        <v>46087</v>
      </c>
    </row>
    <row r="3509">
      <c r="A3509" t="inlineStr">
        <is>
          <t>390|精英盾怪</t>
        </is>
      </c>
      <c r="B3509" t="n">
        <v>390</v>
      </c>
      <c r="C3509" t="inlineStr">
        <is>
          <t>精英盾怪</t>
        </is>
      </c>
      <c r="D3509" t="n">
        <v>9337590</v>
      </c>
      <c r="E3509" t="n">
        <v>77532</v>
      </c>
      <c r="F3509" t="n">
        <v>46087</v>
      </c>
    </row>
    <row r="3510">
      <c r="A3510" t="inlineStr">
        <is>
          <t>390|Boss</t>
        </is>
      </c>
      <c r="B3510" t="n">
        <v>390</v>
      </c>
      <c r="C3510" t="inlineStr">
        <is>
          <t>Boss</t>
        </is>
      </c>
      <c r="D3510" t="n">
        <v>106802313</v>
      </c>
      <c r="E3510" t="n">
        <v>83090</v>
      </c>
      <c r="F3510" t="n">
        <v>46087</v>
      </c>
    </row>
    <row r="3511">
      <c r="A3511" t="inlineStr">
        <is>
          <t>390|装备副本Boss</t>
        </is>
      </c>
      <c r="B3511" t="n">
        <v>390</v>
      </c>
      <c r="C3511" t="inlineStr">
        <is>
          <t>装备副本Boss</t>
        </is>
      </c>
      <c r="D3511" t="n">
        <v>53401157</v>
      </c>
      <c r="E3511" t="n">
        <v>83090</v>
      </c>
      <c r="F3511" t="n">
        <v>46087</v>
      </c>
    </row>
    <row r="3512">
      <c r="A3512" t="inlineStr">
        <is>
          <t>391|普通怪</t>
        </is>
      </c>
      <c r="B3512" t="n">
        <v>391</v>
      </c>
      <c r="C3512" t="inlineStr">
        <is>
          <t>普通怪</t>
        </is>
      </c>
      <c r="D3512" t="n">
        <v>1045701</v>
      </c>
      <c r="E3512" t="n">
        <v>78018</v>
      </c>
      <c r="F3512" t="n">
        <v>46250</v>
      </c>
    </row>
    <row r="3513">
      <c r="A3513" t="inlineStr">
        <is>
          <t>391|盾怪</t>
        </is>
      </c>
      <c r="B3513" t="n">
        <v>391</v>
      </c>
      <c r="C3513" t="inlineStr">
        <is>
          <t>盾怪</t>
        </is>
      </c>
      <c r="D3513" t="n">
        <v>3137103</v>
      </c>
      <c r="E3513" t="n">
        <v>78018</v>
      </c>
      <c r="F3513" t="n">
        <v>46250</v>
      </c>
    </row>
    <row r="3514">
      <c r="A3514" t="inlineStr">
        <is>
          <t>391|二级普通怪</t>
        </is>
      </c>
      <c r="B3514" t="n">
        <v>391</v>
      </c>
      <c r="C3514" t="inlineStr">
        <is>
          <t>二级普通怪</t>
        </is>
      </c>
      <c r="D3514" t="n">
        <v>1882262</v>
      </c>
      <c r="E3514" t="n">
        <v>78018</v>
      </c>
      <c r="F3514" t="n">
        <v>46250</v>
      </c>
    </row>
    <row r="3515">
      <c r="A3515" t="inlineStr">
        <is>
          <t>391|站桩怪</t>
        </is>
      </c>
      <c r="B3515" t="n">
        <v>391</v>
      </c>
      <c r="C3515" t="inlineStr">
        <is>
          <t>站桩怪</t>
        </is>
      </c>
      <c r="D3515" t="n">
        <v>522851</v>
      </c>
      <c r="E3515" t="n">
        <v>78018</v>
      </c>
      <c r="F3515" t="n">
        <v>46250</v>
      </c>
    </row>
    <row r="3516">
      <c r="A3516" t="inlineStr">
        <is>
          <t>391|炮灰怪</t>
        </is>
      </c>
      <c r="B3516" t="n">
        <v>391</v>
      </c>
      <c r="C3516" t="inlineStr">
        <is>
          <t>炮灰怪</t>
        </is>
      </c>
      <c r="D3516" t="n">
        <v>156856</v>
      </c>
      <c r="E3516" t="n">
        <v>78018</v>
      </c>
      <c r="F3516" t="n">
        <v>46250</v>
      </c>
    </row>
    <row r="3517">
      <c r="A3517" t="inlineStr">
        <is>
          <t>391|精英怪</t>
        </is>
      </c>
      <c r="B3517" t="n">
        <v>391</v>
      </c>
      <c r="C3517" t="inlineStr">
        <is>
          <t>精英怪</t>
        </is>
      </c>
      <c r="D3517" t="n">
        <v>4182804</v>
      </c>
      <c r="E3517" t="n">
        <v>78018</v>
      </c>
      <c r="F3517" t="n">
        <v>46250</v>
      </c>
    </row>
    <row r="3518">
      <c r="A3518" t="inlineStr">
        <is>
          <t>391|精英盾怪</t>
        </is>
      </c>
      <c r="B3518" t="n">
        <v>391</v>
      </c>
      <c r="C3518" t="inlineStr">
        <is>
          <t>精英盾怪</t>
        </is>
      </c>
      <c r="D3518" t="n">
        <v>9411309</v>
      </c>
      <c r="E3518" t="n">
        <v>78018</v>
      </c>
      <c r="F3518" t="n">
        <v>46250</v>
      </c>
    </row>
    <row r="3519">
      <c r="A3519" t="inlineStr">
        <is>
          <t>391|Boss</t>
        </is>
      </c>
      <c r="B3519" t="n">
        <v>391</v>
      </c>
      <c r="C3519" t="inlineStr">
        <is>
          <t>Boss</t>
        </is>
      </c>
      <c r="D3519" t="n">
        <v>107711337</v>
      </c>
      <c r="E3519" t="n">
        <v>83595</v>
      </c>
      <c r="F3519" t="n">
        <v>46250</v>
      </c>
    </row>
    <row r="3520">
      <c r="A3520" t="inlineStr">
        <is>
          <t>391|装备副本Boss</t>
        </is>
      </c>
      <c r="B3520" t="n">
        <v>391</v>
      </c>
      <c r="C3520" t="inlineStr">
        <is>
          <t>装备副本Boss</t>
        </is>
      </c>
      <c r="D3520" t="n">
        <v>53855669</v>
      </c>
      <c r="E3520" t="n">
        <v>83595</v>
      </c>
      <c r="F3520" t="n">
        <v>46250</v>
      </c>
    </row>
    <row r="3521">
      <c r="A3521" t="inlineStr">
        <is>
          <t>392|普通怪</t>
        </is>
      </c>
      <c r="B3521" t="n">
        <v>392</v>
      </c>
      <c r="C3521" t="inlineStr">
        <is>
          <t>普通怪</t>
        </is>
      </c>
      <c r="D3521" t="n">
        <v>1053944</v>
      </c>
      <c r="E3521" t="n">
        <v>78508</v>
      </c>
      <c r="F3521" t="n">
        <v>46413</v>
      </c>
    </row>
    <row r="3522">
      <c r="A3522" t="inlineStr">
        <is>
          <t>392|盾怪</t>
        </is>
      </c>
      <c r="B3522" t="n">
        <v>392</v>
      </c>
      <c r="C3522" t="inlineStr">
        <is>
          <t>盾怪</t>
        </is>
      </c>
      <c r="D3522" t="n">
        <v>3161832</v>
      </c>
      <c r="E3522" t="n">
        <v>78508</v>
      </c>
      <c r="F3522" t="n">
        <v>46413</v>
      </c>
    </row>
    <row r="3523">
      <c r="A3523" t="inlineStr">
        <is>
          <t>392|二级普通怪</t>
        </is>
      </c>
      <c r="B3523" t="n">
        <v>392</v>
      </c>
      <c r="C3523" t="inlineStr">
        <is>
          <t>二级普通怪</t>
        </is>
      </c>
      <c r="D3523" t="n">
        <v>1897100</v>
      </c>
      <c r="E3523" t="n">
        <v>78508</v>
      </c>
      <c r="F3523" t="n">
        <v>46413</v>
      </c>
    </row>
    <row r="3524">
      <c r="A3524" t="inlineStr">
        <is>
          <t>392|站桩怪</t>
        </is>
      </c>
      <c r="B3524" t="n">
        <v>392</v>
      </c>
      <c r="C3524" t="inlineStr">
        <is>
          <t>站桩怪</t>
        </is>
      </c>
      <c r="D3524" t="n">
        <v>526972</v>
      </c>
      <c r="E3524" t="n">
        <v>78508</v>
      </c>
      <c r="F3524" t="n">
        <v>46413</v>
      </c>
    </row>
    <row r="3525">
      <c r="A3525" t="inlineStr">
        <is>
          <t>392|炮灰怪</t>
        </is>
      </c>
      <c r="B3525" t="n">
        <v>392</v>
      </c>
      <c r="C3525" t="inlineStr">
        <is>
          <t>炮灰怪</t>
        </is>
      </c>
      <c r="D3525" t="n">
        <v>158092</v>
      </c>
      <c r="E3525" t="n">
        <v>78508</v>
      </c>
      <c r="F3525" t="n">
        <v>46413</v>
      </c>
    </row>
    <row r="3526">
      <c r="A3526" t="inlineStr">
        <is>
          <t>392|精英怪</t>
        </is>
      </c>
      <c r="B3526" t="n">
        <v>392</v>
      </c>
      <c r="C3526" t="inlineStr">
        <is>
          <t>精英怪</t>
        </is>
      </c>
      <c r="D3526" t="n">
        <v>4215776</v>
      </c>
      <c r="E3526" t="n">
        <v>78508</v>
      </c>
      <c r="F3526" t="n">
        <v>46413</v>
      </c>
    </row>
    <row r="3527">
      <c r="A3527" t="inlineStr">
        <is>
          <t>392|精英盾怪</t>
        </is>
      </c>
      <c r="B3527" t="n">
        <v>392</v>
      </c>
      <c r="C3527" t="inlineStr">
        <is>
          <t>精英盾怪</t>
        </is>
      </c>
      <c r="D3527" t="n">
        <v>9485496</v>
      </c>
      <c r="E3527" t="n">
        <v>78508</v>
      </c>
      <c r="F3527" t="n">
        <v>46413</v>
      </c>
    </row>
    <row r="3528">
      <c r="A3528" t="inlineStr">
        <is>
          <t>392|Boss</t>
        </is>
      </c>
      <c r="B3528" t="n">
        <v>392</v>
      </c>
      <c r="C3528" t="inlineStr">
        <is>
          <t>Boss</t>
        </is>
      </c>
      <c r="D3528" t="n">
        <v>108626685</v>
      </c>
      <c r="E3528" t="n">
        <v>84103</v>
      </c>
      <c r="F3528" t="n">
        <v>46413</v>
      </c>
    </row>
    <row r="3529">
      <c r="A3529" t="inlineStr">
        <is>
          <t>392|装备副本Boss</t>
        </is>
      </c>
      <c r="B3529" t="n">
        <v>392</v>
      </c>
      <c r="C3529" t="inlineStr">
        <is>
          <t>装备副本Boss</t>
        </is>
      </c>
      <c r="D3529" t="n">
        <v>54313343</v>
      </c>
      <c r="E3529" t="n">
        <v>84103</v>
      </c>
      <c r="F3529" t="n">
        <v>46413</v>
      </c>
    </row>
    <row r="3530">
      <c r="A3530" t="inlineStr">
        <is>
          <t>393|普通怪</t>
        </is>
      </c>
      <c r="B3530" t="n">
        <v>393</v>
      </c>
      <c r="C3530" t="inlineStr">
        <is>
          <t>普通怪</t>
        </is>
      </c>
      <c r="D3530" t="n">
        <v>1062238</v>
      </c>
      <c r="E3530" t="n">
        <v>79000</v>
      </c>
      <c r="F3530" t="n">
        <v>46576</v>
      </c>
    </row>
    <row r="3531">
      <c r="A3531" t="inlineStr">
        <is>
          <t>393|盾怪</t>
        </is>
      </c>
      <c r="B3531" t="n">
        <v>393</v>
      </c>
      <c r="C3531" t="inlineStr">
        <is>
          <t>盾怪</t>
        </is>
      </c>
      <c r="D3531" t="n">
        <v>3186714</v>
      </c>
      <c r="E3531" t="n">
        <v>79000</v>
      </c>
      <c r="F3531" t="n">
        <v>46576</v>
      </c>
    </row>
    <row r="3532">
      <c r="A3532" t="inlineStr">
        <is>
          <t>393|二级普通怪</t>
        </is>
      </c>
      <c r="B3532" t="n">
        <v>393</v>
      </c>
      <c r="C3532" t="inlineStr">
        <is>
          <t>二级普通怪</t>
        </is>
      </c>
      <c r="D3532" t="n">
        <v>1912029</v>
      </c>
      <c r="E3532" t="n">
        <v>79000</v>
      </c>
      <c r="F3532" t="n">
        <v>46576</v>
      </c>
    </row>
    <row r="3533">
      <c r="A3533" t="inlineStr">
        <is>
          <t>393|站桩怪</t>
        </is>
      </c>
      <c r="B3533" t="n">
        <v>393</v>
      </c>
      <c r="C3533" t="inlineStr">
        <is>
          <t>站桩怪</t>
        </is>
      </c>
      <c r="D3533" t="n">
        <v>531119</v>
      </c>
      <c r="E3533" t="n">
        <v>79000</v>
      </c>
      <c r="F3533" t="n">
        <v>46576</v>
      </c>
    </row>
    <row r="3534">
      <c r="A3534" t="inlineStr">
        <is>
          <t>393|炮灰怪</t>
        </is>
      </c>
      <c r="B3534" t="n">
        <v>393</v>
      </c>
      <c r="C3534" t="inlineStr">
        <is>
          <t>炮灰怪</t>
        </is>
      </c>
      <c r="D3534" t="n">
        <v>159336</v>
      </c>
      <c r="E3534" t="n">
        <v>79000</v>
      </c>
      <c r="F3534" t="n">
        <v>46576</v>
      </c>
    </row>
    <row r="3535">
      <c r="A3535" t="inlineStr">
        <is>
          <t>393|精英怪</t>
        </is>
      </c>
      <c r="B3535" t="n">
        <v>393</v>
      </c>
      <c r="C3535" t="inlineStr">
        <is>
          <t>精英怪</t>
        </is>
      </c>
      <c r="D3535" t="n">
        <v>4248952</v>
      </c>
      <c r="E3535" t="n">
        <v>79000</v>
      </c>
      <c r="F3535" t="n">
        <v>46576</v>
      </c>
    </row>
    <row r="3536">
      <c r="A3536" t="inlineStr">
        <is>
          <t>393|精英盾怪</t>
        </is>
      </c>
      <c r="B3536" t="n">
        <v>393</v>
      </c>
      <c r="C3536" t="inlineStr">
        <is>
          <t>精英盾怪</t>
        </is>
      </c>
      <c r="D3536" t="n">
        <v>9560142</v>
      </c>
      <c r="E3536" t="n">
        <v>79000</v>
      </c>
      <c r="F3536" t="n">
        <v>46576</v>
      </c>
    </row>
    <row r="3537">
      <c r="A3537" t="inlineStr">
        <is>
          <t>393|Boss</t>
        </is>
      </c>
      <c r="B3537" t="n">
        <v>393</v>
      </c>
      <c r="C3537" t="inlineStr">
        <is>
          <t>Boss</t>
        </is>
      </c>
      <c r="D3537" t="n">
        <v>109548306</v>
      </c>
      <c r="E3537" t="n">
        <v>84614</v>
      </c>
      <c r="F3537" t="n">
        <v>46576</v>
      </c>
    </row>
    <row r="3538">
      <c r="A3538" t="inlineStr">
        <is>
          <t>393|装备副本Boss</t>
        </is>
      </c>
      <c r="B3538" t="n">
        <v>393</v>
      </c>
      <c r="C3538" t="inlineStr">
        <is>
          <t>装备副本Boss</t>
        </is>
      </c>
      <c r="D3538" t="n">
        <v>54774153</v>
      </c>
      <c r="E3538" t="n">
        <v>84614</v>
      </c>
      <c r="F3538" t="n">
        <v>46576</v>
      </c>
    </row>
    <row r="3539">
      <c r="A3539" t="inlineStr">
        <is>
          <t>394|普通怪</t>
        </is>
      </c>
      <c r="B3539" t="n">
        <v>394</v>
      </c>
      <c r="C3539" t="inlineStr">
        <is>
          <t>普通怪</t>
        </is>
      </c>
      <c r="D3539" t="n">
        <v>1070584</v>
      </c>
      <c r="E3539" t="n">
        <v>79494</v>
      </c>
      <c r="F3539" t="n">
        <v>46739</v>
      </c>
    </row>
    <row r="3540">
      <c r="A3540" t="inlineStr">
        <is>
          <t>394|盾怪</t>
        </is>
      </c>
      <c r="B3540" t="n">
        <v>394</v>
      </c>
      <c r="C3540" t="inlineStr">
        <is>
          <t>盾怪</t>
        </is>
      </c>
      <c r="D3540" t="n">
        <v>3211752</v>
      </c>
      <c r="E3540" t="n">
        <v>79494</v>
      </c>
      <c r="F3540" t="n">
        <v>46739</v>
      </c>
    </row>
    <row r="3541">
      <c r="A3541" t="inlineStr">
        <is>
          <t>394|二级普通怪</t>
        </is>
      </c>
      <c r="B3541" t="n">
        <v>394</v>
      </c>
      <c r="C3541" t="inlineStr">
        <is>
          <t>二级普通怪</t>
        </is>
      </c>
      <c r="D3541" t="n">
        <v>1927052</v>
      </c>
      <c r="E3541" t="n">
        <v>79494</v>
      </c>
      <c r="F3541" t="n">
        <v>46739</v>
      </c>
    </row>
    <row r="3542">
      <c r="A3542" t="inlineStr">
        <is>
          <t>394|站桩怪</t>
        </is>
      </c>
      <c r="B3542" t="n">
        <v>394</v>
      </c>
      <c r="C3542" t="inlineStr">
        <is>
          <t>站桩怪</t>
        </is>
      </c>
      <c r="D3542" t="n">
        <v>535292</v>
      </c>
      <c r="E3542" t="n">
        <v>79494</v>
      </c>
      <c r="F3542" t="n">
        <v>46739</v>
      </c>
    </row>
    <row r="3543">
      <c r="A3543" t="inlineStr">
        <is>
          <t>394|炮灰怪</t>
        </is>
      </c>
      <c r="B3543" t="n">
        <v>394</v>
      </c>
      <c r="C3543" t="inlineStr">
        <is>
          <t>炮灰怪</t>
        </is>
      </c>
      <c r="D3543" t="n">
        <v>160588</v>
      </c>
      <c r="E3543" t="n">
        <v>79494</v>
      </c>
      <c r="F3543" t="n">
        <v>46739</v>
      </c>
    </row>
    <row r="3544">
      <c r="A3544" t="inlineStr">
        <is>
          <t>394|精英怪</t>
        </is>
      </c>
      <c r="B3544" t="n">
        <v>394</v>
      </c>
      <c r="C3544" t="inlineStr">
        <is>
          <t>精英怪</t>
        </is>
      </c>
      <c r="D3544" t="n">
        <v>4282336</v>
      </c>
      <c r="E3544" t="n">
        <v>79494</v>
      </c>
      <c r="F3544" t="n">
        <v>46739</v>
      </c>
    </row>
    <row r="3545">
      <c r="A3545" t="inlineStr">
        <is>
          <t>394|精英盾怪</t>
        </is>
      </c>
      <c r="B3545" t="n">
        <v>394</v>
      </c>
      <c r="C3545" t="inlineStr">
        <is>
          <t>精英盾怪</t>
        </is>
      </c>
      <c r="D3545" t="n">
        <v>9635256</v>
      </c>
      <c r="E3545" t="n">
        <v>79494</v>
      </c>
      <c r="F3545" t="n">
        <v>46739</v>
      </c>
    </row>
    <row r="3546">
      <c r="A3546" t="inlineStr">
        <is>
          <t>394|Boss</t>
        </is>
      </c>
      <c r="B3546" t="n">
        <v>394</v>
      </c>
      <c r="C3546" t="inlineStr">
        <is>
          <t>Boss</t>
        </is>
      </c>
      <c r="D3546" t="n">
        <v>110476302</v>
      </c>
      <c r="E3546" t="n">
        <v>85127</v>
      </c>
      <c r="F3546" t="n">
        <v>46739</v>
      </c>
    </row>
    <row r="3547">
      <c r="A3547" t="inlineStr">
        <is>
          <t>394|装备副本Boss</t>
        </is>
      </c>
      <c r="B3547" t="n">
        <v>394</v>
      </c>
      <c r="C3547" t="inlineStr">
        <is>
          <t>装备副本Boss</t>
        </is>
      </c>
      <c r="D3547" t="n">
        <v>55238151</v>
      </c>
      <c r="E3547" t="n">
        <v>85127</v>
      </c>
      <c r="F3547" t="n">
        <v>46739</v>
      </c>
    </row>
    <row r="3548">
      <c r="A3548" t="inlineStr">
        <is>
          <t>395|普通怪</t>
        </is>
      </c>
      <c r="B3548" t="n">
        <v>395</v>
      </c>
      <c r="C3548" t="inlineStr">
        <is>
          <t>普通怪</t>
        </is>
      </c>
      <c r="D3548" t="n">
        <v>1078981</v>
      </c>
      <c r="E3548" t="n">
        <v>79991</v>
      </c>
      <c r="F3548" t="n">
        <v>46903</v>
      </c>
    </row>
    <row r="3549">
      <c r="A3549" t="inlineStr">
        <is>
          <t>395|盾怪</t>
        </is>
      </c>
      <c r="B3549" t="n">
        <v>395</v>
      </c>
      <c r="C3549" t="inlineStr">
        <is>
          <t>盾怪</t>
        </is>
      </c>
      <c r="D3549" t="n">
        <v>3236943</v>
      </c>
      <c r="E3549" t="n">
        <v>79991</v>
      </c>
      <c r="F3549" t="n">
        <v>46903</v>
      </c>
    </row>
    <row r="3550">
      <c r="A3550" t="inlineStr">
        <is>
          <t>395|二级普通怪</t>
        </is>
      </c>
      <c r="B3550" t="n">
        <v>395</v>
      </c>
      <c r="C3550" t="inlineStr">
        <is>
          <t>二级普通怪</t>
        </is>
      </c>
      <c r="D3550" t="n">
        <v>1942166</v>
      </c>
      <c r="E3550" t="n">
        <v>79991</v>
      </c>
      <c r="F3550" t="n">
        <v>46903</v>
      </c>
    </row>
    <row r="3551">
      <c r="A3551" t="inlineStr">
        <is>
          <t>395|站桩怪</t>
        </is>
      </c>
      <c r="B3551" t="n">
        <v>395</v>
      </c>
      <c r="C3551" t="inlineStr">
        <is>
          <t>站桩怪</t>
        </is>
      </c>
      <c r="D3551" t="n">
        <v>539491</v>
      </c>
      <c r="E3551" t="n">
        <v>79991</v>
      </c>
      <c r="F3551" t="n">
        <v>46903</v>
      </c>
    </row>
    <row r="3552">
      <c r="A3552" t="inlineStr">
        <is>
          <t>395|炮灰怪</t>
        </is>
      </c>
      <c r="B3552" t="n">
        <v>395</v>
      </c>
      <c r="C3552" t="inlineStr">
        <is>
          <t>炮灰怪</t>
        </is>
      </c>
      <c r="D3552" t="n">
        <v>161848</v>
      </c>
      <c r="E3552" t="n">
        <v>79991</v>
      </c>
      <c r="F3552" t="n">
        <v>46903</v>
      </c>
    </row>
    <row r="3553">
      <c r="A3553" t="inlineStr">
        <is>
          <t>395|精英怪</t>
        </is>
      </c>
      <c r="B3553" t="n">
        <v>395</v>
      </c>
      <c r="C3553" t="inlineStr">
        <is>
          <t>精英怪</t>
        </is>
      </c>
      <c r="D3553" t="n">
        <v>4315924</v>
      </c>
      <c r="E3553" t="n">
        <v>79991</v>
      </c>
      <c r="F3553" t="n">
        <v>46903</v>
      </c>
    </row>
    <row r="3554">
      <c r="A3554" t="inlineStr">
        <is>
          <t>395|精英盾怪</t>
        </is>
      </c>
      <c r="B3554" t="n">
        <v>395</v>
      </c>
      <c r="C3554" t="inlineStr">
        <is>
          <t>精英盾怪</t>
        </is>
      </c>
      <c r="D3554" t="n">
        <v>9710829</v>
      </c>
      <c r="E3554" t="n">
        <v>79991</v>
      </c>
      <c r="F3554" t="n">
        <v>46903</v>
      </c>
    </row>
    <row r="3555">
      <c r="A3555" t="inlineStr">
        <is>
          <t>395|Boss</t>
        </is>
      </c>
      <c r="B3555" t="n">
        <v>395</v>
      </c>
      <c r="C3555" t="inlineStr">
        <is>
          <t>Boss</t>
        </is>
      </c>
      <c r="D3555" t="n">
        <v>111410622</v>
      </c>
      <c r="E3555" t="n">
        <v>85643</v>
      </c>
      <c r="F3555" t="n">
        <v>46903</v>
      </c>
    </row>
    <row r="3556">
      <c r="A3556" t="inlineStr">
        <is>
          <t>395|装备副本Boss</t>
        </is>
      </c>
      <c r="B3556" t="n">
        <v>395</v>
      </c>
      <c r="C3556" t="inlineStr">
        <is>
          <t>装备副本Boss</t>
        </is>
      </c>
      <c r="D3556" t="n">
        <v>55705311</v>
      </c>
      <c r="E3556" t="n">
        <v>85643</v>
      </c>
      <c r="F3556" t="n">
        <v>46903</v>
      </c>
    </row>
    <row r="3557">
      <c r="A3557" t="inlineStr">
        <is>
          <t>396|普通怪</t>
        </is>
      </c>
      <c r="B3557" t="n">
        <v>396</v>
      </c>
      <c r="C3557" t="inlineStr">
        <is>
          <t>普通怪</t>
        </is>
      </c>
      <c r="D3557" t="n">
        <v>1087430</v>
      </c>
      <c r="E3557" t="n">
        <v>80490</v>
      </c>
      <c r="F3557" t="n">
        <v>47067</v>
      </c>
    </row>
    <row r="3558">
      <c r="A3558" t="inlineStr">
        <is>
          <t>396|盾怪</t>
        </is>
      </c>
      <c r="B3558" t="n">
        <v>396</v>
      </c>
      <c r="C3558" t="inlineStr">
        <is>
          <t>盾怪</t>
        </is>
      </c>
      <c r="D3558" t="n">
        <v>3262290</v>
      </c>
      <c r="E3558" t="n">
        <v>80490</v>
      </c>
      <c r="F3558" t="n">
        <v>47067</v>
      </c>
    </row>
    <row r="3559">
      <c r="A3559" t="inlineStr">
        <is>
          <t>396|二级普通怪</t>
        </is>
      </c>
      <c r="B3559" t="n">
        <v>396</v>
      </c>
      <c r="C3559" t="inlineStr">
        <is>
          <t>二级普通怪</t>
        </is>
      </c>
      <c r="D3559" t="n">
        <v>1957374</v>
      </c>
      <c r="E3559" t="n">
        <v>80490</v>
      </c>
      <c r="F3559" t="n">
        <v>47067</v>
      </c>
    </row>
    <row r="3560">
      <c r="A3560" t="inlineStr">
        <is>
          <t>396|站桩怪</t>
        </is>
      </c>
      <c r="B3560" t="n">
        <v>396</v>
      </c>
      <c r="C3560" t="inlineStr">
        <is>
          <t>站桩怪</t>
        </is>
      </c>
      <c r="D3560" t="n">
        <v>543715</v>
      </c>
      <c r="E3560" t="n">
        <v>80490</v>
      </c>
      <c r="F3560" t="n">
        <v>47067</v>
      </c>
    </row>
    <row r="3561">
      <c r="A3561" t="inlineStr">
        <is>
          <t>396|炮灰怪</t>
        </is>
      </c>
      <c r="B3561" t="n">
        <v>396</v>
      </c>
      <c r="C3561" t="inlineStr">
        <is>
          <t>炮灰怪</t>
        </is>
      </c>
      <c r="D3561" t="n">
        <v>163115</v>
      </c>
      <c r="E3561" t="n">
        <v>80490</v>
      </c>
      <c r="F3561" t="n">
        <v>47067</v>
      </c>
    </row>
    <row r="3562">
      <c r="A3562" t="inlineStr">
        <is>
          <t>396|精英怪</t>
        </is>
      </c>
      <c r="B3562" t="n">
        <v>396</v>
      </c>
      <c r="C3562" t="inlineStr">
        <is>
          <t>精英怪</t>
        </is>
      </c>
      <c r="D3562" t="n">
        <v>4349720</v>
      </c>
      <c r="E3562" t="n">
        <v>80490</v>
      </c>
      <c r="F3562" t="n">
        <v>47067</v>
      </c>
    </row>
    <row r="3563">
      <c r="A3563" t="inlineStr">
        <is>
          <t>396|精英盾怪</t>
        </is>
      </c>
      <c r="B3563" t="n">
        <v>396</v>
      </c>
      <c r="C3563" t="inlineStr">
        <is>
          <t>精英盾怪</t>
        </is>
      </c>
      <c r="D3563" t="n">
        <v>9786870</v>
      </c>
      <c r="E3563" t="n">
        <v>80490</v>
      </c>
      <c r="F3563" t="n">
        <v>47067</v>
      </c>
    </row>
    <row r="3564">
      <c r="A3564" t="inlineStr">
        <is>
          <t>396|Boss</t>
        </is>
      </c>
      <c r="B3564" t="n">
        <v>396</v>
      </c>
      <c r="C3564" t="inlineStr">
        <is>
          <t>Boss</t>
        </is>
      </c>
      <c r="D3564" t="n">
        <v>112351419</v>
      </c>
      <c r="E3564" t="n">
        <v>86161</v>
      </c>
      <c r="F3564" t="n">
        <v>47067</v>
      </c>
    </row>
    <row r="3565">
      <c r="A3565" t="inlineStr">
        <is>
          <t>396|装备副本Boss</t>
        </is>
      </c>
      <c r="B3565" t="n">
        <v>396</v>
      </c>
      <c r="C3565" t="inlineStr">
        <is>
          <t>装备副本Boss</t>
        </is>
      </c>
      <c r="D3565" t="n">
        <v>56175710</v>
      </c>
      <c r="E3565" t="n">
        <v>86161</v>
      </c>
      <c r="F3565" t="n">
        <v>47067</v>
      </c>
    </row>
    <row r="3566">
      <c r="A3566" t="inlineStr">
        <is>
          <t>397|普通怪</t>
        </is>
      </c>
      <c r="B3566" t="n">
        <v>397</v>
      </c>
      <c r="C3566" t="inlineStr">
        <is>
          <t>普通怪</t>
        </is>
      </c>
      <c r="D3566" t="n">
        <v>1095932</v>
      </c>
      <c r="E3566" t="n">
        <v>80992</v>
      </c>
      <c r="F3566" t="n">
        <v>47231</v>
      </c>
    </row>
    <row r="3567">
      <c r="A3567" t="inlineStr">
        <is>
          <t>397|盾怪</t>
        </is>
      </c>
      <c r="B3567" t="n">
        <v>397</v>
      </c>
      <c r="C3567" t="inlineStr">
        <is>
          <t>盾怪</t>
        </is>
      </c>
      <c r="D3567" t="n">
        <v>3287796</v>
      </c>
      <c r="E3567" t="n">
        <v>80992</v>
      </c>
      <c r="F3567" t="n">
        <v>47231</v>
      </c>
    </row>
    <row r="3568">
      <c r="A3568" t="inlineStr">
        <is>
          <t>397|二级普通怪</t>
        </is>
      </c>
      <c r="B3568" t="n">
        <v>397</v>
      </c>
      <c r="C3568" t="inlineStr">
        <is>
          <t>二级普通怪</t>
        </is>
      </c>
      <c r="D3568" t="n">
        <v>1972678</v>
      </c>
      <c r="E3568" t="n">
        <v>80992</v>
      </c>
      <c r="F3568" t="n">
        <v>47231</v>
      </c>
    </row>
    <row r="3569">
      <c r="A3569" t="inlineStr">
        <is>
          <t>397|站桩怪</t>
        </is>
      </c>
      <c r="B3569" t="n">
        <v>397</v>
      </c>
      <c r="C3569" t="inlineStr">
        <is>
          <t>站桩怪</t>
        </is>
      </c>
      <c r="D3569" t="n">
        <v>547966</v>
      </c>
      <c r="E3569" t="n">
        <v>80992</v>
      </c>
      <c r="F3569" t="n">
        <v>47231</v>
      </c>
    </row>
    <row r="3570">
      <c r="A3570" t="inlineStr">
        <is>
          <t>397|炮灰怪</t>
        </is>
      </c>
      <c r="B3570" t="n">
        <v>397</v>
      </c>
      <c r="C3570" t="inlineStr">
        <is>
          <t>炮灰怪</t>
        </is>
      </c>
      <c r="D3570" t="n">
        <v>164390</v>
      </c>
      <c r="E3570" t="n">
        <v>80992</v>
      </c>
      <c r="F3570" t="n">
        <v>47231</v>
      </c>
    </row>
    <row r="3571">
      <c r="A3571" t="inlineStr">
        <is>
          <t>397|精英怪</t>
        </is>
      </c>
      <c r="B3571" t="n">
        <v>397</v>
      </c>
      <c r="C3571" t="inlineStr">
        <is>
          <t>精英怪</t>
        </is>
      </c>
      <c r="D3571" t="n">
        <v>4383728</v>
      </c>
      <c r="E3571" t="n">
        <v>80992</v>
      </c>
      <c r="F3571" t="n">
        <v>47231</v>
      </c>
    </row>
    <row r="3572">
      <c r="A3572" t="inlineStr">
        <is>
          <t>397|精英盾怪</t>
        </is>
      </c>
      <c r="B3572" t="n">
        <v>397</v>
      </c>
      <c r="C3572" t="inlineStr">
        <is>
          <t>精英盾怪</t>
        </is>
      </c>
      <c r="D3572" t="n">
        <v>9863388</v>
      </c>
      <c r="E3572" t="n">
        <v>80992</v>
      </c>
      <c r="F3572" t="n">
        <v>47231</v>
      </c>
    </row>
    <row r="3573">
      <c r="A3573" t="inlineStr">
        <is>
          <t>397|Boss</t>
        </is>
      </c>
      <c r="B3573" t="n">
        <v>397</v>
      </c>
      <c r="C3573" t="inlineStr">
        <is>
          <t>Boss</t>
        </is>
      </c>
      <c r="D3573" t="n">
        <v>113298642</v>
      </c>
      <c r="E3573" t="n">
        <v>86682</v>
      </c>
      <c r="F3573" t="n">
        <v>47231</v>
      </c>
    </row>
    <row r="3574">
      <c r="A3574" t="inlineStr">
        <is>
          <t>397|装备副本Boss</t>
        </is>
      </c>
      <c r="B3574" t="n">
        <v>397</v>
      </c>
      <c r="C3574" t="inlineStr">
        <is>
          <t>装备副本Boss</t>
        </is>
      </c>
      <c r="D3574" t="n">
        <v>56649321</v>
      </c>
      <c r="E3574" t="n">
        <v>86682</v>
      </c>
      <c r="F3574" t="n">
        <v>47231</v>
      </c>
    </row>
    <row r="3575">
      <c r="A3575" t="inlineStr">
        <is>
          <t>398|普通怪</t>
        </is>
      </c>
      <c r="B3575" t="n">
        <v>398</v>
      </c>
      <c r="C3575" t="inlineStr">
        <is>
          <t>普通怪</t>
        </is>
      </c>
      <c r="D3575" t="n">
        <v>1104487</v>
      </c>
      <c r="E3575" t="n">
        <v>81497</v>
      </c>
      <c r="F3575" t="n">
        <v>47395</v>
      </c>
    </row>
    <row r="3576">
      <c r="A3576" t="inlineStr">
        <is>
          <t>398|盾怪</t>
        </is>
      </c>
      <c r="B3576" t="n">
        <v>398</v>
      </c>
      <c r="C3576" t="inlineStr">
        <is>
          <t>盾怪</t>
        </is>
      </c>
      <c r="D3576" t="n">
        <v>3313461</v>
      </c>
      <c r="E3576" t="n">
        <v>81497</v>
      </c>
      <c r="F3576" t="n">
        <v>47395</v>
      </c>
    </row>
    <row r="3577">
      <c r="A3577" t="inlineStr">
        <is>
          <t>398|二级普通怪</t>
        </is>
      </c>
      <c r="B3577" t="n">
        <v>398</v>
      </c>
      <c r="C3577" t="inlineStr">
        <is>
          <t>二级普通怪</t>
        </is>
      </c>
      <c r="D3577" t="n">
        <v>1988077</v>
      </c>
      <c r="E3577" t="n">
        <v>81497</v>
      </c>
      <c r="F3577" t="n">
        <v>47395</v>
      </c>
    </row>
    <row r="3578">
      <c r="A3578" t="inlineStr">
        <is>
          <t>398|站桩怪</t>
        </is>
      </c>
      <c r="B3578" t="n">
        <v>398</v>
      </c>
      <c r="C3578" t="inlineStr">
        <is>
          <t>站桩怪</t>
        </is>
      </c>
      <c r="D3578" t="n">
        <v>552244</v>
      </c>
      <c r="E3578" t="n">
        <v>81497</v>
      </c>
      <c r="F3578" t="n">
        <v>47395</v>
      </c>
    </row>
    <row r="3579">
      <c r="A3579" t="inlineStr">
        <is>
          <t>398|炮灰怪</t>
        </is>
      </c>
      <c r="B3579" t="n">
        <v>398</v>
      </c>
      <c r="C3579" t="inlineStr">
        <is>
          <t>炮灰怪</t>
        </is>
      </c>
      <c r="D3579" t="n">
        <v>165674</v>
      </c>
      <c r="E3579" t="n">
        <v>81497</v>
      </c>
      <c r="F3579" t="n">
        <v>47395</v>
      </c>
    </row>
    <row r="3580">
      <c r="A3580" t="inlineStr">
        <is>
          <t>398|精英怪</t>
        </is>
      </c>
      <c r="B3580" t="n">
        <v>398</v>
      </c>
      <c r="C3580" t="inlineStr">
        <is>
          <t>精英怪</t>
        </is>
      </c>
      <c r="D3580" t="n">
        <v>4417948</v>
      </c>
      <c r="E3580" t="n">
        <v>81497</v>
      </c>
      <c r="F3580" t="n">
        <v>47395</v>
      </c>
    </row>
    <row r="3581">
      <c r="A3581" t="inlineStr">
        <is>
          <t>398|精英盾怪</t>
        </is>
      </c>
      <c r="B3581" t="n">
        <v>398</v>
      </c>
      <c r="C3581" t="inlineStr">
        <is>
          <t>精英盾怪</t>
        </is>
      </c>
      <c r="D3581" t="n">
        <v>9940383</v>
      </c>
      <c r="E3581" t="n">
        <v>81497</v>
      </c>
      <c r="F3581" t="n">
        <v>47395</v>
      </c>
    </row>
    <row r="3582">
      <c r="A3582" t="inlineStr">
        <is>
          <t>398|Boss</t>
        </is>
      </c>
      <c r="B3582" t="n">
        <v>398</v>
      </c>
      <c r="C3582" t="inlineStr">
        <is>
          <t>Boss</t>
        </is>
      </c>
      <c r="D3582" t="n">
        <v>114252342</v>
      </c>
      <c r="E3582" t="n">
        <v>87206</v>
      </c>
      <c r="F3582" t="n">
        <v>47395</v>
      </c>
    </row>
    <row r="3583">
      <c r="A3583" t="inlineStr">
        <is>
          <t>398|装备副本Boss</t>
        </is>
      </c>
      <c r="B3583" t="n">
        <v>398</v>
      </c>
      <c r="C3583" t="inlineStr">
        <is>
          <t>装备副本Boss</t>
        </is>
      </c>
      <c r="D3583" t="n">
        <v>57126171</v>
      </c>
      <c r="E3583" t="n">
        <v>87206</v>
      </c>
      <c r="F3583" t="n">
        <v>47395</v>
      </c>
    </row>
    <row r="3584">
      <c r="A3584" t="inlineStr">
        <is>
          <t>399|普通怪</t>
        </is>
      </c>
      <c r="B3584" t="n">
        <v>399</v>
      </c>
      <c r="C3584" t="inlineStr">
        <is>
          <t>普通怪</t>
        </is>
      </c>
      <c r="D3584" t="n">
        <v>1113094</v>
      </c>
      <c r="E3584" t="n">
        <v>82004</v>
      </c>
      <c r="F3584" t="n">
        <v>47559</v>
      </c>
    </row>
    <row r="3585">
      <c r="A3585" t="inlineStr">
        <is>
          <t>399|盾怪</t>
        </is>
      </c>
      <c r="B3585" t="n">
        <v>399</v>
      </c>
      <c r="C3585" t="inlineStr">
        <is>
          <t>盾怪</t>
        </is>
      </c>
      <c r="D3585" t="n">
        <v>3339282</v>
      </c>
      <c r="E3585" t="n">
        <v>82004</v>
      </c>
      <c r="F3585" t="n">
        <v>47559</v>
      </c>
    </row>
    <row r="3586">
      <c r="A3586" t="inlineStr">
        <is>
          <t>399|二级普通怪</t>
        </is>
      </c>
      <c r="B3586" t="n">
        <v>399</v>
      </c>
      <c r="C3586" t="inlineStr">
        <is>
          <t>二级普通怪</t>
        </is>
      </c>
      <c r="D3586" t="n">
        <v>2003570</v>
      </c>
      <c r="E3586" t="n">
        <v>82004</v>
      </c>
      <c r="F3586" t="n">
        <v>47559</v>
      </c>
    </row>
    <row r="3587">
      <c r="A3587" t="inlineStr">
        <is>
          <t>399|站桩怪</t>
        </is>
      </c>
      <c r="B3587" t="n">
        <v>399</v>
      </c>
      <c r="C3587" t="inlineStr">
        <is>
          <t>站桩怪</t>
        </is>
      </c>
      <c r="D3587" t="n">
        <v>556547</v>
      </c>
      <c r="E3587" t="n">
        <v>82004</v>
      </c>
      <c r="F3587" t="n">
        <v>47559</v>
      </c>
    </row>
    <row r="3588">
      <c r="A3588" t="inlineStr">
        <is>
          <t>399|炮灰怪</t>
        </is>
      </c>
      <c r="B3588" t="n">
        <v>399</v>
      </c>
      <c r="C3588" t="inlineStr">
        <is>
          <t>炮灰怪</t>
        </is>
      </c>
      <c r="D3588" t="n">
        <v>166965</v>
      </c>
      <c r="E3588" t="n">
        <v>82004</v>
      </c>
      <c r="F3588" t="n">
        <v>47559</v>
      </c>
    </row>
    <row r="3589">
      <c r="A3589" t="inlineStr">
        <is>
          <t>399|精英怪</t>
        </is>
      </c>
      <c r="B3589" t="n">
        <v>399</v>
      </c>
      <c r="C3589" t="inlineStr">
        <is>
          <t>精英怪</t>
        </is>
      </c>
      <c r="D3589" t="n">
        <v>4452376</v>
      </c>
      <c r="E3589" t="n">
        <v>82004</v>
      </c>
      <c r="F3589" t="n">
        <v>47559</v>
      </c>
    </row>
    <row r="3590">
      <c r="A3590" t="inlineStr">
        <is>
          <t>399|精英盾怪</t>
        </is>
      </c>
      <c r="B3590" t="n">
        <v>399</v>
      </c>
      <c r="C3590" t="inlineStr">
        <is>
          <t>精英盾怪</t>
        </is>
      </c>
      <c r="D3590" t="n">
        <v>10017846</v>
      </c>
      <c r="E3590" t="n">
        <v>82004</v>
      </c>
      <c r="F3590" t="n">
        <v>47559</v>
      </c>
    </row>
    <row r="3591">
      <c r="A3591" t="inlineStr">
        <is>
          <t>399|Boss</t>
        </is>
      </c>
      <c r="B3591" t="n">
        <v>399</v>
      </c>
      <c r="C3591" t="inlineStr">
        <is>
          <t>Boss</t>
        </is>
      </c>
      <c r="D3591" t="n">
        <v>115212621</v>
      </c>
      <c r="E3591" t="n">
        <v>87732</v>
      </c>
      <c r="F3591" t="n">
        <v>47559</v>
      </c>
    </row>
    <row r="3592">
      <c r="A3592" t="inlineStr">
        <is>
          <t>399|装备副本Boss</t>
        </is>
      </c>
      <c r="B3592" t="n">
        <v>399</v>
      </c>
      <c r="C3592" t="inlineStr">
        <is>
          <t>装备副本Boss</t>
        </is>
      </c>
      <c r="D3592" t="n">
        <v>57606311</v>
      </c>
      <c r="E3592" t="n">
        <v>87732</v>
      </c>
      <c r="F3592" t="n">
        <v>47559</v>
      </c>
    </row>
    <row r="3593">
      <c r="A3593" t="inlineStr">
        <is>
          <t>400|普通怪</t>
        </is>
      </c>
      <c r="B3593" t="n">
        <v>400</v>
      </c>
      <c r="C3593" t="inlineStr">
        <is>
          <t>普通怪</t>
        </is>
      </c>
      <c r="D3593" t="n">
        <v>1121754</v>
      </c>
      <c r="E3593" t="n">
        <v>82514</v>
      </c>
      <c r="F3593" t="n">
        <v>47724</v>
      </c>
    </row>
    <row r="3594">
      <c r="A3594" t="inlineStr">
        <is>
          <t>400|盾怪</t>
        </is>
      </c>
      <c r="B3594" t="n">
        <v>400</v>
      </c>
      <c r="C3594" t="inlineStr">
        <is>
          <t>盾怪</t>
        </is>
      </c>
      <c r="D3594" t="n">
        <v>3365262</v>
      </c>
      <c r="E3594" t="n">
        <v>82514</v>
      </c>
      <c r="F3594" t="n">
        <v>47724</v>
      </c>
    </row>
    <row r="3595">
      <c r="A3595" t="inlineStr">
        <is>
          <t>400|二级普通怪</t>
        </is>
      </c>
      <c r="B3595" t="n">
        <v>400</v>
      </c>
      <c r="C3595" t="inlineStr">
        <is>
          <t>二级普通怪</t>
        </is>
      </c>
      <c r="D3595" t="n">
        <v>2019158</v>
      </c>
      <c r="E3595" t="n">
        <v>82514</v>
      </c>
      <c r="F3595" t="n">
        <v>47724</v>
      </c>
    </row>
    <row r="3596">
      <c r="A3596" t="inlineStr">
        <is>
          <t>400|站桩怪</t>
        </is>
      </c>
      <c r="B3596" t="n">
        <v>400</v>
      </c>
      <c r="C3596" t="inlineStr">
        <is>
          <t>站桩怪</t>
        </is>
      </c>
      <c r="D3596" t="n">
        <v>560877</v>
      </c>
      <c r="E3596" t="n">
        <v>82514</v>
      </c>
      <c r="F3596" t="n">
        <v>47724</v>
      </c>
    </row>
    <row r="3597">
      <c r="A3597" t="inlineStr">
        <is>
          <t>400|炮灰怪</t>
        </is>
      </c>
      <c r="B3597" t="n">
        <v>400</v>
      </c>
      <c r="C3597" t="inlineStr">
        <is>
          <t>炮灰怪</t>
        </is>
      </c>
      <c r="D3597" t="n">
        <v>168264</v>
      </c>
      <c r="E3597" t="n">
        <v>82514</v>
      </c>
      <c r="F3597" t="n">
        <v>47724</v>
      </c>
    </row>
    <row r="3598">
      <c r="A3598" t="inlineStr">
        <is>
          <t>400|精英怪</t>
        </is>
      </c>
      <c r="B3598" t="n">
        <v>400</v>
      </c>
      <c r="C3598" t="inlineStr">
        <is>
          <t>精英怪</t>
        </is>
      </c>
      <c r="D3598" t="n">
        <v>4487016</v>
      </c>
      <c r="E3598" t="n">
        <v>82514</v>
      </c>
      <c r="F3598" t="n">
        <v>47724</v>
      </c>
    </row>
    <row r="3599">
      <c r="A3599" t="inlineStr">
        <is>
          <t>400|精英盾怪</t>
        </is>
      </c>
      <c r="B3599" t="n">
        <v>400</v>
      </c>
      <c r="C3599" t="inlineStr">
        <is>
          <t>精英盾怪</t>
        </is>
      </c>
      <c r="D3599" t="n">
        <v>10095786</v>
      </c>
      <c r="E3599" t="n">
        <v>82514</v>
      </c>
      <c r="F3599" t="n">
        <v>47724</v>
      </c>
    </row>
    <row r="3600">
      <c r="A3600" t="inlineStr">
        <is>
          <t>400|Boss</t>
        </is>
      </c>
      <c r="B3600" t="n">
        <v>400</v>
      </c>
      <c r="C3600" t="inlineStr">
        <is>
          <t>Boss</t>
        </is>
      </c>
      <c r="D3600" t="n">
        <v>116179428</v>
      </c>
      <c r="E3600" t="n">
        <v>88261</v>
      </c>
      <c r="F3600" t="n">
        <v>47724</v>
      </c>
    </row>
    <row r="3601">
      <c r="A3601" t="inlineStr">
        <is>
          <t>400|装备副本Boss</t>
        </is>
      </c>
      <c r="B3601" t="n">
        <v>400</v>
      </c>
      <c r="C3601" t="inlineStr">
        <is>
          <t>装备副本Boss</t>
        </is>
      </c>
      <c r="D3601" t="n">
        <v>58089714</v>
      </c>
      <c r="E3601" t="n">
        <v>88261</v>
      </c>
      <c r="F3601" t="n">
        <v>47724</v>
      </c>
    </row>
    <row r="3602">
      <c r="A3602" t="inlineStr">
        <is>
          <t>401|普通怪</t>
        </is>
      </c>
      <c r="B3602" t="n">
        <v>401</v>
      </c>
      <c r="C3602" t="inlineStr">
        <is>
          <t>普通怪</t>
        </is>
      </c>
      <c r="D3602" t="n">
        <v>1130468</v>
      </c>
      <c r="E3602" t="n">
        <v>83026</v>
      </c>
      <c r="F3602" t="n">
        <v>47889</v>
      </c>
    </row>
    <row r="3603">
      <c r="A3603" t="inlineStr">
        <is>
          <t>401|盾怪</t>
        </is>
      </c>
      <c r="B3603" t="n">
        <v>401</v>
      </c>
      <c r="C3603" t="inlineStr">
        <is>
          <t>盾怪</t>
        </is>
      </c>
      <c r="D3603" t="n">
        <v>3391404</v>
      </c>
      <c r="E3603" t="n">
        <v>83026</v>
      </c>
      <c r="F3603" t="n">
        <v>47889</v>
      </c>
    </row>
    <row r="3604">
      <c r="A3604" t="inlineStr">
        <is>
          <t>401|二级普通怪</t>
        </is>
      </c>
      <c r="B3604" t="n">
        <v>401</v>
      </c>
      <c r="C3604" t="inlineStr">
        <is>
          <t>二级普通怪</t>
        </is>
      </c>
      <c r="D3604" t="n">
        <v>2034843</v>
      </c>
      <c r="E3604" t="n">
        <v>83026</v>
      </c>
      <c r="F3604" t="n">
        <v>47889</v>
      </c>
    </row>
    <row r="3605">
      <c r="A3605" t="inlineStr">
        <is>
          <t>401|站桩怪</t>
        </is>
      </c>
      <c r="B3605" t="n">
        <v>401</v>
      </c>
      <c r="C3605" t="inlineStr">
        <is>
          <t>站桩怪</t>
        </is>
      </c>
      <c r="D3605" t="n">
        <v>565234</v>
      </c>
      <c r="E3605" t="n">
        <v>83026</v>
      </c>
      <c r="F3605" t="n">
        <v>47889</v>
      </c>
    </row>
    <row r="3606">
      <c r="A3606" t="inlineStr">
        <is>
          <t>401|炮灰怪</t>
        </is>
      </c>
      <c r="B3606" t="n">
        <v>401</v>
      </c>
      <c r="C3606" t="inlineStr">
        <is>
          <t>炮灰怪</t>
        </is>
      </c>
      <c r="D3606" t="n">
        <v>169571</v>
      </c>
      <c r="E3606" t="n">
        <v>83026</v>
      </c>
      <c r="F3606" t="n">
        <v>47889</v>
      </c>
    </row>
    <row r="3607">
      <c r="A3607" t="inlineStr">
        <is>
          <t>401|精英怪</t>
        </is>
      </c>
      <c r="B3607" t="n">
        <v>401</v>
      </c>
      <c r="C3607" t="inlineStr">
        <is>
          <t>精英怪</t>
        </is>
      </c>
      <c r="D3607" t="n">
        <v>4521872</v>
      </c>
      <c r="E3607" t="n">
        <v>83026</v>
      </c>
      <c r="F3607" t="n">
        <v>47889</v>
      </c>
    </row>
    <row r="3608">
      <c r="A3608" t="inlineStr">
        <is>
          <t>401|精英盾怪</t>
        </is>
      </c>
      <c r="B3608" t="n">
        <v>401</v>
      </c>
      <c r="C3608" t="inlineStr">
        <is>
          <t>精英盾怪</t>
        </is>
      </c>
      <c r="D3608" t="n">
        <v>10174212</v>
      </c>
      <c r="E3608" t="n">
        <v>83026</v>
      </c>
      <c r="F3608" t="n">
        <v>47889</v>
      </c>
    </row>
    <row r="3609">
      <c r="A3609" t="inlineStr">
        <is>
          <t>401|Boss</t>
        </is>
      </c>
      <c r="B3609" t="n">
        <v>401</v>
      </c>
      <c r="C3609" t="inlineStr">
        <is>
          <t>Boss</t>
        </is>
      </c>
      <c r="D3609" t="n">
        <v>117152814</v>
      </c>
      <c r="E3609" t="n">
        <v>88792</v>
      </c>
      <c r="F3609" t="n">
        <v>47889</v>
      </c>
    </row>
    <row r="3610">
      <c r="A3610" t="inlineStr">
        <is>
          <t>401|装备副本Boss</t>
        </is>
      </c>
      <c r="B3610" t="n">
        <v>401</v>
      </c>
      <c r="C3610" t="inlineStr">
        <is>
          <t>装备副本Boss</t>
        </is>
      </c>
      <c r="D3610" t="n">
        <v>58576407</v>
      </c>
      <c r="E3610" t="n">
        <v>88792</v>
      </c>
      <c r="F3610" t="n">
        <v>47889</v>
      </c>
    </row>
    <row r="3611">
      <c r="A3611" t="inlineStr">
        <is>
          <t>402|普通怪</t>
        </is>
      </c>
      <c r="B3611" t="n">
        <v>402</v>
      </c>
      <c r="C3611" t="inlineStr">
        <is>
          <t>普通怪</t>
        </is>
      </c>
      <c r="D3611" t="n">
        <v>1139235</v>
      </c>
      <c r="E3611" t="n">
        <v>83541</v>
      </c>
      <c r="F3611" t="n">
        <v>48054</v>
      </c>
    </row>
    <row r="3612">
      <c r="A3612" t="inlineStr">
        <is>
          <t>402|盾怪</t>
        </is>
      </c>
      <c r="B3612" t="n">
        <v>402</v>
      </c>
      <c r="C3612" t="inlineStr">
        <is>
          <t>盾怪</t>
        </is>
      </c>
      <c r="D3612" t="n">
        <v>3417705</v>
      </c>
      <c r="E3612" t="n">
        <v>83541</v>
      </c>
      <c r="F3612" t="n">
        <v>48054</v>
      </c>
    </row>
    <row r="3613">
      <c r="A3613" t="inlineStr">
        <is>
          <t>402|二级普通怪</t>
        </is>
      </c>
      <c r="B3613" t="n">
        <v>402</v>
      </c>
      <c r="C3613" t="inlineStr">
        <is>
          <t>二级普通怪</t>
        </is>
      </c>
      <c r="D3613" t="n">
        <v>2050623</v>
      </c>
      <c r="E3613" t="n">
        <v>83541</v>
      </c>
      <c r="F3613" t="n">
        <v>48054</v>
      </c>
    </row>
    <row r="3614">
      <c r="A3614" t="inlineStr">
        <is>
          <t>402|站桩怪</t>
        </is>
      </c>
      <c r="B3614" t="n">
        <v>402</v>
      </c>
      <c r="C3614" t="inlineStr">
        <is>
          <t>站桩怪</t>
        </is>
      </c>
      <c r="D3614" t="n">
        <v>569618</v>
      </c>
      <c r="E3614" t="n">
        <v>83541</v>
      </c>
      <c r="F3614" t="n">
        <v>48054</v>
      </c>
    </row>
    <row r="3615">
      <c r="A3615" t="inlineStr">
        <is>
          <t>402|炮灰怪</t>
        </is>
      </c>
      <c r="B3615" t="n">
        <v>402</v>
      </c>
      <c r="C3615" t="inlineStr">
        <is>
          <t>炮灰怪</t>
        </is>
      </c>
      <c r="D3615" t="n">
        <v>170886</v>
      </c>
      <c r="E3615" t="n">
        <v>83541</v>
      </c>
      <c r="F3615" t="n">
        <v>48054</v>
      </c>
    </row>
    <row r="3616">
      <c r="A3616" t="inlineStr">
        <is>
          <t>402|精英怪</t>
        </is>
      </c>
      <c r="B3616" t="n">
        <v>402</v>
      </c>
      <c r="C3616" t="inlineStr">
        <is>
          <t>精英怪</t>
        </is>
      </c>
      <c r="D3616" t="n">
        <v>4556940</v>
      </c>
      <c r="E3616" t="n">
        <v>83541</v>
      </c>
      <c r="F3616" t="n">
        <v>48054</v>
      </c>
    </row>
    <row r="3617">
      <c r="A3617" t="inlineStr">
        <is>
          <t>402|精英盾怪</t>
        </is>
      </c>
      <c r="B3617" t="n">
        <v>402</v>
      </c>
      <c r="C3617" t="inlineStr">
        <is>
          <t>精英盾怪</t>
        </is>
      </c>
      <c r="D3617" t="n">
        <v>10253115</v>
      </c>
      <c r="E3617" t="n">
        <v>83541</v>
      </c>
      <c r="F3617" t="n">
        <v>48054</v>
      </c>
    </row>
    <row r="3618">
      <c r="A3618" t="inlineStr">
        <is>
          <t>402|Boss</t>
        </is>
      </c>
      <c r="B3618" t="n">
        <v>402</v>
      </c>
      <c r="C3618" t="inlineStr">
        <is>
          <t>Boss</t>
        </is>
      </c>
      <c r="D3618" t="n">
        <v>118132830</v>
      </c>
      <c r="E3618" t="n">
        <v>89326</v>
      </c>
      <c r="F3618" t="n">
        <v>48054</v>
      </c>
    </row>
    <row r="3619">
      <c r="A3619" t="inlineStr">
        <is>
          <t>402|装备副本Boss</t>
        </is>
      </c>
      <c r="B3619" t="n">
        <v>402</v>
      </c>
      <c r="C3619" t="inlineStr">
        <is>
          <t>装备副本Boss</t>
        </is>
      </c>
      <c r="D3619" t="n">
        <v>59066415</v>
      </c>
      <c r="E3619" t="n">
        <v>89326</v>
      </c>
      <c r="F3619" t="n">
        <v>48054</v>
      </c>
    </row>
    <row r="3620">
      <c r="A3620" t="inlineStr">
        <is>
          <t>403|普通怪</t>
        </is>
      </c>
      <c r="B3620" t="n">
        <v>403</v>
      </c>
      <c r="C3620" t="inlineStr">
        <is>
          <t>普通怪</t>
        </is>
      </c>
      <c r="D3620" t="n">
        <v>1148056</v>
      </c>
      <c r="E3620" t="n">
        <v>84059</v>
      </c>
      <c r="F3620" t="n">
        <v>48219</v>
      </c>
    </row>
    <row r="3621">
      <c r="A3621" t="inlineStr">
        <is>
          <t>403|盾怪</t>
        </is>
      </c>
      <c r="B3621" t="n">
        <v>403</v>
      </c>
      <c r="C3621" t="inlineStr">
        <is>
          <t>盾怪</t>
        </is>
      </c>
      <c r="D3621" t="n">
        <v>3444168</v>
      </c>
      <c r="E3621" t="n">
        <v>84059</v>
      </c>
      <c r="F3621" t="n">
        <v>48219</v>
      </c>
    </row>
    <row r="3622">
      <c r="A3622" t="inlineStr">
        <is>
          <t>403|二级普通怪</t>
        </is>
      </c>
      <c r="B3622" t="n">
        <v>403</v>
      </c>
      <c r="C3622" t="inlineStr">
        <is>
          <t>二级普通怪</t>
        </is>
      </c>
      <c r="D3622" t="n">
        <v>2066501</v>
      </c>
      <c r="E3622" t="n">
        <v>84059</v>
      </c>
      <c r="F3622" t="n">
        <v>48219</v>
      </c>
    </row>
    <row r="3623">
      <c r="A3623" t="inlineStr">
        <is>
          <t>403|站桩怪</t>
        </is>
      </c>
      <c r="B3623" t="n">
        <v>403</v>
      </c>
      <c r="C3623" t="inlineStr">
        <is>
          <t>站桩怪</t>
        </is>
      </c>
      <c r="D3623" t="n">
        <v>574028</v>
      </c>
      <c r="E3623" t="n">
        <v>84059</v>
      </c>
      <c r="F3623" t="n">
        <v>48219</v>
      </c>
    </row>
    <row r="3624">
      <c r="A3624" t="inlineStr">
        <is>
          <t>403|炮灰怪</t>
        </is>
      </c>
      <c r="B3624" t="n">
        <v>403</v>
      </c>
      <c r="C3624" t="inlineStr">
        <is>
          <t>炮灰怪</t>
        </is>
      </c>
      <c r="D3624" t="n">
        <v>172209</v>
      </c>
      <c r="E3624" t="n">
        <v>84059</v>
      </c>
      <c r="F3624" t="n">
        <v>48219</v>
      </c>
    </row>
    <row r="3625">
      <c r="A3625" t="inlineStr">
        <is>
          <t>403|精英怪</t>
        </is>
      </c>
      <c r="B3625" t="n">
        <v>403</v>
      </c>
      <c r="C3625" t="inlineStr">
        <is>
          <t>精英怪</t>
        </is>
      </c>
      <c r="D3625" t="n">
        <v>4592224</v>
      </c>
      <c r="E3625" t="n">
        <v>84059</v>
      </c>
      <c r="F3625" t="n">
        <v>48219</v>
      </c>
    </row>
    <row r="3626">
      <c r="A3626" t="inlineStr">
        <is>
          <t>403|精英盾怪</t>
        </is>
      </c>
      <c r="B3626" t="n">
        <v>403</v>
      </c>
      <c r="C3626" t="inlineStr">
        <is>
          <t>精英盾怪</t>
        </is>
      </c>
      <c r="D3626" t="n">
        <v>10332504</v>
      </c>
      <c r="E3626" t="n">
        <v>84059</v>
      </c>
      <c r="F3626" t="n">
        <v>48219</v>
      </c>
    </row>
    <row r="3627">
      <c r="A3627" t="inlineStr">
        <is>
          <t>403|Boss</t>
        </is>
      </c>
      <c r="B3627" t="n">
        <v>403</v>
      </c>
      <c r="C3627" t="inlineStr">
        <is>
          <t>Boss</t>
        </is>
      </c>
      <c r="D3627" t="n">
        <v>119119527</v>
      </c>
      <c r="E3627" t="n">
        <v>89863</v>
      </c>
      <c r="F3627" t="n">
        <v>48219</v>
      </c>
    </row>
    <row r="3628">
      <c r="A3628" t="inlineStr">
        <is>
          <t>403|装备副本Boss</t>
        </is>
      </c>
      <c r="B3628" t="n">
        <v>403</v>
      </c>
      <c r="C3628" t="inlineStr">
        <is>
          <t>装备副本Boss</t>
        </is>
      </c>
      <c r="D3628" t="n">
        <v>59559764</v>
      </c>
      <c r="E3628" t="n">
        <v>89863</v>
      </c>
      <c r="F3628" t="n">
        <v>48219</v>
      </c>
    </row>
    <row r="3629">
      <c r="A3629" t="inlineStr">
        <is>
          <t>404|普通怪</t>
        </is>
      </c>
      <c r="B3629" t="n">
        <v>404</v>
      </c>
      <c r="C3629" t="inlineStr">
        <is>
          <t>普通怪</t>
        </is>
      </c>
      <c r="D3629" t="n">
        <v>1156931</v>
      </c>
      <c r="E3629" t="n">
        <v>84579</v>
      </c>
      <c r="F3629" t="n">
        <v>48385</v>
      </c>
    </row>
    <row r="3630">
      <c r="A3630" t="inlineStr">
        <is>
          <t>404|盾怪</t>
        </is>
      </c>
      <c r="B3630" t="n">
        <v>404</v>
      </c>
      <c r="C3630" t="inlineStr">
        <is>
          <t>盾怪</t>
        </is>
      </c>
      <c r="D3630" t="n">
        <v>3470793</v>
      </c>
      <c r="E3630" t="n">
        <v>84579</v>
      </c>
      <c r="F3630" t="n">
        <v>48385</v>
      </c>
    </row>
    <row r="3631">
      <c r="A3631" t="inlineStr">
        <is>
          <t>404|二级普通怪</t>
        </is>
      </c>
      <c r="B3631" t="n">
        <v>404</v>
      </c>
      <c r="C3631" t="inlineStr">
        <is>
          <t>二级普通怪</t>
        </is>
      </c>
      <c r="D3631" t="n">
        <v>2082476</v>
      </c>
      <c r="E3631" t="n">
        <v>84579</v>
      </c>
      <c r="F3631" t="n">
        <v>48385</v>
      </c>
    </row>
    <row r="3632">
      <c r="A3632" t="inlineStr">
        <is>
          <t>404|站桩怪</t>
        </is>
      </c>
      <c r="B3632" t="n">
        <v>404</v>
      </c>
      <c r="C3632" t="inlineStr">
        <is>
          <t>站桩怪</t>
        </is>
      </c>
      <c r="D3632" t="n">
        <v>578466</v>
      </c>
      <c r="E3632" t="n">
        <v>84579</v>
      </c>
      <c r="F3632" t="n">
        <v>48385</v>
      </c>
    </row>
    <row r="3633">
      <c r="A3633" t="inlineStr">
        <is>
          <t>404|炮灰怪</t>
        </is>
      </c>
      <c r="B3633" t="n">
        <v>404</v>
      </c>
      <c r="C3633" t="inlineStr">
        <is>
          <t>炮灰怪</t>
        </is>
      </c>
      <c r="D3633" t="n">
        <v>173540</v>
      </c>
      <c r="E3633" t="n">
        <v>84579</v>
      </c>
      <c r="F3633" t="n">
        <v>48385</v>
      </c>
    </row>
    <row r="3634">
      <c r="A3634" t="inlineStr">
        <is>
          <t>404|精英怪</t>
        </is>
      </c>
      <c r="B3634" t="n">
        <v>404</v>
      </c>
      <c r="C3634" t="inlineStr">
        <is>
          <t>精英怪</t>
        </is>
      </c>
      <c r="D3634" t="n">
        <v>4627724</v>
      </c>
      <c r="E3634" t="n">
        <v>84579</v>
      </c>
      <c r="F3634" t="n">
        <v>48385</v>
      </c>
    </row>
    <row r="3635">
      <c r="A3635" t="inlineStr">
        <is>
          <t>404|精英盾怪</t>
        </is>
      </c>
      <c r="B3635" t="n">
        <v>404</v>
      </c>
      <c r="C3635" t="inlineStr">
        <is>
          <t>精英盾怪</t>
        </is>
      </c>
      <c r="D3635" t="n">
        <v>10412379</v>
      </c>
      <c r="E3635" t="n">
        <v>84579</v>
      </c>
      <c r="F3635" t="n">
        <v>48385</v>
      </c>
    </row>
    <row r="3636">
      <c r="A3636" t="inlineStr">
        <is>
          <t>404|Boss</t>
        </is>
      </c>
      <c r="B3636" t="n">
        <v>404</v>
      </c>
      <c r="C3636" t="inlineStr">
        <is>
          <t>Boss</t>
        </is>
      </c>
      <c r="D3636" t="n">
        <v>120112956</v>
      </c>
      <c r="E3636" t="n">
        <v>90403</v>
      </c>
      <c r="F3636" t="n">
        <v>48385</v>
      </c>
    </row>
    <row r="3637">
      <c r="A3637" t="inlineStr">
        <is>
          <t>404|装备副本Boss</t>
        </is>
      </c>
      <c r="B3637" t="n">
        <v>404</v>
      </c>
      <c r="C3637" t="inlineStr">
        <is>
          <t>装备副本Boss</t>
        </is>
      </c>
      <c r="D3637" t="n">
        <v>60056478</v>
      </c>
      <c r="E3637" t="n">
        <v>90403</v>
      </c>
      <c r="F3637" t="n">
        <v>48385</v>
      </c>
    </row>
    <row r="3638">
      <c r="A3638" t="inlineStr">
        <is>
          <t>405|普通怪</t>
        </is>
      </c>
      <c r="B3638" t="n">
        <v>405</v>
      </c>
      <c r="C3638" t="inlineStr">
        <is>
          <t>普通怪</t>
        </is>
      </c>
      <c r="D3638" t="n">
        <v>1165861</v>
      </c>
      <c r="E3638" t="n">
        <v>85102</v>
      </c>
      <c r="F3638" t="n">
        <v>48551</v>
      </c>
    </row>
    <row r="3639">
      <c r="A3639" t="inlineStr">
        <is>
          <t>405|盾怪</t>
        </is>
      </c>
      <c r="B3639" t="n">
        <v>405</v>
      </c>
      <c r="C3639" t="inlineStr">
        <is>
          <t>盾怪</t>
        </is>
      </c>
      <c r="D3639" t="n">
        <v>3497583</v>
      </c>
      <c r="E3639" t="n">
        <v>85102</v>
      </c>
      <c r="F3639" t="n">
        <v>48551</v>
      </c>
    </row>
    <row r="3640">
      <c r="A3640" t="inlineStr">
        <is>
          <t>405|二级普通怪</t>
        </is>
      </c>
      <c r="B3640" t="n">
        <v>405</v>
      </c>
      <c r="C3640" t="inlineStr">
        <is>
          <t>二级普通怪</t>
        </is>
      </c>
      <c r="D3640" t="n">
        <v>2098550</v>
      </c>
      <c r="E3640" t="n">
        <v>85102</v>
      </c>
      <c r="F3640" t="n">
        <v>48551</v>
      </c>
    </row>
    <row r="3641">
      <c r="A3641" t="inlineStr">
        <is>
          <t>405|站桩怪</t>
        </is>
      </c>
      <c r="B3641" t="n">
        <v>405</v>
      </c>
      <c r="C3641" t="inlineStr">
        <is>
          <t>站桩怪</t>
        </is>
      </c>
      <c r="D3641" t="n">
        <v>582931</v>
      </c>
      <c r="E3641" t="n">
        <v>85102</v>
      </c>
      <c r="F3641" t="n">
        <v>48551</v>
      </c>
    </row>
    <row r="3642">
      <c r="A3642" t="inlineStr">
        <is>
          <t>405|炮灰怪</t>
        </is>
      </c>
      <c r="B3642" t="n">
        <v>405</v>
      </c>
      <c r="C3642" t="inlineStr">
        <is>
          <t>炮灰怪</t>
        </is>
      </c>
      <c r="D3642" t="n">
        <v>174880</v>
      </c>
      <c r="E3642" t="n">
        <v>85102</v>
      </c>
      <c r="F3642" t="n">
        <v>48551</v>
      </c>
    </row>
    <row r="3643">
      <c r="A3643" t="inlineStr">
        <is>
          <t>405|精英怪</t>
        </is>
      </c>
      <c r="B3643" t="n">
        <v>405</v>
      </c>
      <c r="C3643" t="inlineStr">
        <is>
          <t>精英怪</t>
        </is>
      </c>
      <c r="D3643" t="n">
        <v>4663444</v>
      </c>
      <c r="E3643" t="n">
        <v>85102</v>
      </c>
      <c r="F3643" t="n">
        <v>48551</v>
      </c>
    </row>
    <row r="3644">
      <c r="A3644" t="inlineStr">
        <is>
          <t>405|精英盾怪</t>
        </is>
      </c>
      <c r="B3644" t="n">
        <v>405</v>
      </c>
      <c r="C3644" t="inlineStr">
        <is>
          <t>精英盾怪</t>
        </is>
      </c>
      <c r="D3644" t="n">
        <v>10492749</v>
      </c>
      <c r="E3644" t="n">
        <v>85102</v>
      </c>
      <c r="F3644" t="n">
        <v>48551</v>
      </c>
    </row>
    <row r="3645">
      <c r="A3645" t="inlineStr">
        <is>
          <t>405|Boss</t>
        </is>
      </c>
      <c r="B3645" t="n">
        <v>405</v>
      </c>
      <c r="C3645" t="inlineStr">
        <is>
          <t>Boss</t>
        </is>
      </c>
      <c r="D3645" t="n">
        <v>121113117</v>
      </c>
      <c r="E3645" t="n">
        <v>90945</v>
      </c>
      <c r="F3645" t="n">
        <v>48551</v>
      </c>
    </row>
    <row r="3646">
      <c r="A3646" t="inlineStr">
        <is>
          <t>405|装备副本Boss</t>
        </is>
      </c>
      <c r="B3646" t="n">
        <v>405</v>
      </c>
      <c r="C3646" t="inlineStr">
        <is>
          <t>装备副本Boss</t>
        </is>
      </c>
      <c r="D3646" t="n">
        <v>60556559</v>
      </c>
      <c r="E3646" t="n">
        <v>90945</v>
      </c>
      <c r="F3646" t="n">
        <v>48551</v>
      </c>
    </row>
    <row r="3647">
      <c r="A3647" t="inlineStr">
        <is>
          <t>406|普通怪</t>
        </is>
      </c>
      <c r="B3647" t="n">
        <v>406</v>
      </c>
      <c r="C3647" t="inlineStr">
        <is>
          <t>普通怪</t>
        </is>
      </c>
      <c r="D3647" t="n">
        <v>1174846</v>
      </c>
      <c r="E3647" t="n">
        <v>85628</v>
      </c>
      <c r="F3647" t="n">
        <v>48717</v>
      </c>
    </row>
    <row r="3648">
      <c r="A3648" t="inlineStr">
        <is>
          <t>406|盾怪</t>
        </is>
      </c>
      <c r="B3648" t="n">
        <v>406</v>
      </c>
      <c r="C3648" t="inlineStr">
        <is>
          <t>盾怪</t>
        </is>
      </c>
      <c r="D3648" t="n">
        <v>3524538</v>
      </c>
      <c r="E3648" t="n">
        <v>85628</v>
      </c>
      <c r="F3648" t="n">
        <v>48717</v>
      </c>
    </row>
    <row r="3649">
      <c r="A3649" t="inlineStr">
        <is>
          <t>406|二级普通怪</t>
        </is>
      </c>
      <c r="B3649" t="n">
        <v>406</v>
      </c>
      <c r="C3649" t="inlineStr">
        <is>
          <t>二级普通怪</t>
        </is>
      </c>
      <c r="D3649" t="n">
        <v>2114723</v>
      </c>
      <c r="E3649" t="n">
        <v>85628</v>
      </c>
      <c r="F3649" t="n">
        <v>48717</v>
      </c>
    </row>
    <row r="3650">
      <c r="A3650" t="inlineStr">
        <is>
          <t>406|站桩怪</t>
        </is>
      </c>
      <c r="B3650" t="n">
        <v>406</v>
      </c>
      <c r="C3650" t="inlineStr">
        <is>
          <t>站桩怪</t>
        </is>
      </c>
      <c r="D3650" t="n">
        <v>587423</v>
      </c>
      <c r="E3650" t="n">
        <v>85628</v>
      </c>
      <c r="F3650" t="n">
        <v>48717</v>
      </c>
    </row>
    <row r="3651">
      <c r="A3651" t="inlineStr">
        <is>
          <t>406|炮灰怪</t>
        </is>
      </c>
      <c r="B3651" t="n">
        <v>406</v>
      </c>
      <c r="C3651" t="inlineStr">
        <is>
          <t>炮灰怪</t>
        </is>
      </c>
      <c r="D3651" t="n">
        <v>176227</v>
      </c>
      <c r="E3651" t="n">
        <v>85628</v>
      </c>
      <c r="F3651" t="n">
        <v>48717</v>
      </c>
    </row>
    <row r="3652">
      <c r="A3652" t="inlineStr">
        <is>
          <t>406|精英怪</t>
        </is>
      </c>
      <c r="B3652" t="n">
        <v>406</v>
      </c>
      <c r="C3652" t="inlineStr">
        <is>
          <t>精英怪</t>
        </is>
      </c>
      <c r="D3652" t="n">
        <v>4699384</v>
      </c>
      <c r="E3652" t="n">
        <v>85628</v>
      </c>
      <c r="F3652" t="n">
        <v>48717</v>
      </c>
    </row>
    <row r="3653">
      <c r="A3653" t="inlineStr">
        <is>
          <t>406|精英盾怪</t>
        </is>
      </c>
      <c r="B3653" t="n">
        <v>406</v>
      </c>
      <c r="C3653" t="inlineStr">
        <is>
          <t>精英盾怪</t>
        </is>
      </c>
      <c r="D3653" t="n">
        <v>10573614</v>
      </c>
      <c r="E3653" t="n">
        <v>85628</v>
      </c>
      <c r="F3653" t="n">
        <v>48717</v>
      </c>
    </row>
    <row r="3654">
      <c r="A3654" t="inlineStr">
        <is>
          <t>406|Boss</t>
        </is>
      </c>
      <c r="B3654" t="n">
        <v>406</v>
      </c>
      <c r="C3654" t="inlineStr">
        <is>
          <t>Boss</t>
        </is>
      </c>
      <c r="D3654" t="n">
        <v>122120061</v>
      </c>
      <c r="E3654" t="n">
        <v>91490</v>
      </c>
      <c r="F3654" t="n">
        <v>48717</v>
      </c>
    </row>
    <row r="3655">
      <c r="A3655" t="inlineStr">
        <is>
          <t>406|装备副本Boss</t>
        </is>
      </c>
      <c r="B3655" t="n">
        <v>406</v>
      </c>
      <c r="C3655" t="inlineStr">
        <is>
          <t>装备副本Boss</t>
        </is>
      </c>
      <c r="D3655" t="n">
        <v>61060031</v>
      </c>
      <c r="E3655" t="n">
        <v>91490</v>
      </c>
      <c r="F3655" t="n">
        <v>48717</v>
      </c>
    </row>
    <row r="3656">
      <c r="A3656" t="inlineStr">
        <is>
          <t>407|普通怪</t>
        </is>
      </c>
      <c r="B3656" t="n">
        <v>407</v>
      </c>
      <c r="C3656" t="inlineStr">
        <is>
          <t>普通怪</t>
        </is>
      </c>
      <c r="D3656" t="n">
        <v>1183885</v>
      </c>
      <c r="E3656" t="n">
        <v>86156</v>
      </c>
      <c r="F3656" t="n">
        <v>48883</v>
      </c>
    </row>
    <row r="3657">
      <c r="A3657" t="inlineStr">
        <is>
          <t>407|盾怪</t>
        </is>
      </c>
      <c r="B3657" t="n">
        <v>407</v>
      </c>
      <c r="C3657" t="inlineStr">
        <is>
          <t>盾怪</t>
        </is>
      </c>
      <c r="D3657" t="n">
        <v>3551655</v>
      </c>
      <c r="E3657" t="n">
        <v>86156</v>
      </c>
      <c r="F3657" t="n">
        <v>48883</v>
      </c>
    </row>
    <row r="3658">
      <c r="A3658" t="inlineStr">
        <is>
          <t>407|二级普通怪</t>
        </is>
      </c>
      <c r="B3658" t="n">
        <v>407</v>
      </c>
      <c r="C3658" t="inlineStr">
        <is>
          <t>二级普通怪</t>
        </is>
      </c>
      <c r="D3658" t="n">
        <v>2130993</v>
      </c>
      <c r="E3658" t="n">
        <v>86156</v>
      </c>
      <c r="F3658" t="n">
        <v>48883</v>
      </c>
    </row>
    <row r="3659">
      <c r="A3659" t="inlineStr">
        <is>
          <t>407|站桩怪</t>
        </is>
      </c>
      <c r="B3659" t="n">
        <v>407</v>
      </c>
      <c r="C3659" t="inlineStr">
        <is>
          <t>站桩怪</t>
        </is>
      </c>
      <c r="D3659" t="n">
        <v>591943</v>
      </c>
      <c r="E3659" t="n">
        <v>86156</v>
      </c>
      <c r="F3659" t="n">
        <v>48883</v>
      </c>
    </row>
    <row r="3660">
      <c r="A3660" t="inlineStr">
        <is>
          <t>407|炮灰怪</t>
        </is>
      </c>
      <c r="B3660" t="n">
        <v>407</v>
      </c>
      <c r="C3660" t="inlineStr">
        <is>
          <t>炮灰怪</t>
        </is>
      </c>
      <c r="D3660" t="n">
        <v>177583</v>
      </c>
      <c r="E3660" t="n">
        <v>86156</v>
      </c>
      <c r="F3660" t="n">
        <v>48883</v>
      </c>
    </row>
    <row r="3661">
      <c r="A3661" t="inlineStr">
        <is>
          <t>407|精英怪</t>
        </is>
      </c>
      <c r="B3661" t="n">
        <v>407</v>
      </c>
      <c r="C3661" t="inlineStr">
        <is>
          <t>精英怪</t>
        </is>
      </c>
      <c r="D3661" t="n">
        <v>4735540</v>
      </c>
      <c r="E3661" t="n">
        <v>86156</v>
      </c>
      <c r="F3661" t="n">
        <v>48883</v>
      </c>
    </row>
    <row r="3662">
      <c r="A3662" t="inlineStr">
        <is>
          <t>407|精英盾怪</t>
        </is>
      </c>
      <c r="B3662" t="n">
        <v>407</v>
      </c>
      <c r="C3662" t="inlineStr">
        <is>
          <t>精英盾怪</t>
        </is>
      </c>
      <c r="D3662" t="n">
        <v>10654965</v>
      </c>
      <c r="E3662" t="n">
        <v>86156</v>
      </c>
      <c r="F3662" t="n">
        <v>48883</v>
      </c>
    </row>
    <row r="3663">
      <c r="A3663" t="inlineStr">
        <is>
          <t>407|Boss</t>
        </is>
      </c>
      <c r="B3663" t="n">
        <v>407</v>
      </c>
      <c r="C3663" t="inlineStr">
        <is>
          <t>Boss</t>
        </is>
      </c>
      <c r="D3663" t="n">
        <v>123133788</v>
      </c>
      <c r="E3663" t="n">
        <v>92037</v>
      </c>
      <c r="F3663" t="n">
        <v>48883</v>
      </c>
    </row>
    <row r="3664">
      <c r="A3664" t="inlineStr">
        <is>
          <t>407|装备副本Boss</t>
        </is>
      </c>
      <c r="B3664" t="n">
        <v>407</v>
      </c>
      <c r="C3664" t="inlineStr">
        <is>
          <t>装备副本Boss</t>
        </is>
      </c>
      <c r="D3664" t="n">
        <v>61566894</v>
      </c>
      <c r="E3664" t="n">
        <v>92037</v>
      </c>
      <c r="F3664" t="n">
        <v>48883</v>
      </c>
    </row>
    <row r="3665">
      <c r="A3665" t="inlineStr">
        <is>
          <t>408|普通怪</t>
        </is>
      </c>
      <c r="B3665" t="n">
        <v>408</v>
      </c>
      <c r="C3665" t="inlineStr">
        <is>
          <t>普通怪</t>
        </is>
      </c>
      <c r="D3665" t="n">
        <v>1192979</v>
      </c>
      <c r="E3665" t="n">
        <v>86687</v>
      </c>
      <c r="F3665" t="n">
        <v>49050</v>
      </c>
    </row>
    <row r="3666">
      <c r="A3666" t="inlineStr">
        <is>
          <t>408|盾怪</t>
        </is>
      </c>
      <c r="B3666" t="n">
        <v>408</v>
      </c>
      <c r="C3666" t="inlineStr">
        <is>
          <t>盾怪</t>
        </is>
      </c>
      <c r="D3666" t="n">
        <v>3578937</v>
      </c>
      <c r="E3666" t="n">
        <v>86687</v>
      </c>
      <c r="F3666" t="n">
        <v>49050</v>
      </c>
    </row>
    <row r="3667">
      <c r="A3667" t="inlineStr">
        <is>
          <t>408|二级普通怪</t>
        </is>
      </c>
      <c r="B3667" t="n">
        <v>408</v>
      </c>
      <c r="C3667" t="inlineStr">
        <is>
          <t>二级普通怪</t>
        </is>
      </c>
      <c r="D3667" t="n">
        <v>2147363</v>
      </c>
      <c r="E3667" t="n">
        <v>86687</v>
      </c>
      <c r="F3667" t="n">
        <v>49050</v>
      </c>
    </row>
    <row r="3668">
      <c r="A3668" t="inlineStr">
        <is>
          <t>408|站桩怪</t>
        </is>
      </c>
      <c r="B3668" t="n">
        <v>408</v>
      </c>
      <c r="C3668" t="inlineStr">
        <is>
          <t>站桩怪</t>
        </is>
      </c>
      <c r="D3668" t="n">
        <v>596490</v>
      </c>
      <c r="E3668" t="n">
        <v>86687</v>
      </c>
      <c r="F3668" t="n">
        <v>49050</v>
      </c>
    </row>
    <row r="3669">
      <c r="A3669" t="inlineStr">
        <is>
          <t>408|炮灰怪</t>
        </is>
      </c>
      <c r="B3669" t="n">
        <v>408</v>
      </c>
      <c r="C3669" t="inlineStr">
        <is>
          <t>炮灰怪</t>
        </is>
      </c>
      <c r="D3669" t="n">
        <v>178947</v>
      </c>
      <c r="E3669" t="n">
        <v>86687</v>
      </c>
      <c r="F3669" t="n">
        <v>49050</v>
      </c>
    </row>
    <row r="3670">
      <c r="A3670" t="inlineStr">
        <is>
          <t>408|精英怪</t>
        </is>
      </c>
      <c r="B3670" t="n">
        <v>408</v>
      </c>
      <c r="C3670" t="inlineStr">
        <is>
          <t>精英怪</t>
        </is>
      </c>
      <c r="D3670" t="n">
        <v>4771916</v>
      </c>
      <c r="E3670" t="n">
        <v>86687</v>
      </c>
      <c r="F3670" t="n">
        <v>49050</v>
      </c>
    </row>
    <row r="3671">
      <c r="A3671" t="inlineStr">
        <is>
          <t>408|精英盾怪</t>
        </is>
      </c>
      <c r="B3671" t="n">
        <v>408</v>
      </c>
      <c r="C3671" t="inlineStr">
        <is>
          <t>精英盾怪</t>
        </is>
      </c>
      <c r="D3671" t="n">
        <v>10736811</v>
      </c>
      <c r="E3671" t="n">
        <v>86687</v>
      </c>
      <c r="F3671" t="n">
        <v>49050</v>
      </c>
    </row>
    <row r="3672">
      <c r="A3672" t="inlineStr">
        <is>
          <t>408|Boss</t>
        </is>
      </c>
      <c r="B3672" t="n">
        <v>408</v>
      </c>
      <c r="C3672" t="inlineStr">
        <is>
          <t>Boss</t>
        </is>
      </c>
      <c r="D3672" t="n">
        <v>124154400</v>
      </c>
      <c r="E3672" t="n">
        <v>92588</v>
      </c>
      <c r="F3672" t="n">
        <v>49050</v>
      </c>
    </row>
    <row r="3673">
      <c r="A3673" t="inlineStr">
        <is>
          <t>408|装备副本Boss</t>
        </is>
      </c>
      <c r="B3673" t="n">
        <v>408</v>
      </c>
      <c r="C3673" t="inlineStr">
        <is>
          <t>装备副本Boss</t>
        </is>
      </c>
      <c r="D3673" t="n">
        <v>62077200</v>
      </c>
      <c r="E3673" t="n">
        <v>92588</v>
      </c>
      <c r="F3673" t="n">
        <v>49050</v>
      </c>
    </row>
    <row r="3674">
      <c r="A3674" t="inlineStr">
        <is>
          <t>409|普通怪</t>
        </is>
      </c>
      <c r="B3674" t="n">
        <v>409</v>
      </c>
      <c r="C3674" t="inlineStr">
        <is>
          <t>普通怪</t>
        </is>
      </c>
      <c r="D3674" t="n">
        <v>1202129</v>
      </c>
      <c r="E3674" t="n">
        <v>87221</v>
      </c>
      <c r="F3674" t="n">
        <v>49216</v>
      </c>
    </row>
    <row r="3675">
      <c r="A3675" t="inlineStr">
        <is>
          <t>409|盾怪</t>
        </is>
      </c>
      <c r="B3675" t="n">
        <v>409</v>
      </c>
      <c r="C3675" t="inlineStr">
        <is>
          <t>盾怪</t>
        </is>
      </c>
      <c r="D3675" t="n">
        <v>3606387</v>
      </c>
      <c r="E3675" t="n">
        <v>87221</v>
      </c>
      <c r="F3675" t="n">
        <v>49216</v>
      </c>
    </row>
    <row r="3676">
      <c r="A3676" t="inlineStr">
        <is>
          <t>409|二级普通怪</t>
        </is>
      </c>
      <c r="B3676" t="n">
        <v>409</v>
      </c>
      <c r="C3676" t="inlineStr">
        <is>
          <t>二级普通怪</t>
        </is>
      </c>
      <c r="D3676" t="n">
        <v>2163833</v>
      </c>
      <c r="E3676" t="n">
        <v>87221</v>
      </c>
      <c r="F3676" t="n">
        <v>49216</v>
      </c>
    </row>
    <row r="3677">
      <c r="A3677" t="inlineStr">
        <is>
          <t>409|站桩怪</t>
        </is>
      </c>
      <c r="B3677" t="n">
        <v>409</v>
      </c>
      <c r="C3677" t="inlineStr">
        <is>
          <t>站桩怪</t>
        </is>
      </c>
      <c r="D3677" t="n">
        <v>601065</v>
      </c>
      <c r="E3677" t="n">
        <v>87221</v>
      </c>
      <c r="F3677" t="n">
        <v>49216</v>
      </c>
    </row>
    <row r="3678">
      <c r="A3678" t="inlineStr">
        <is>
          <t>409|炮灰怪</t>
        </is>
      </c>
      <c r="B3678" t="n">
        <v>409</v>
      </c>
      <c r="C3678" t="inlineStr">
        <is>
          <t>炮灰怪</t>
        </is>
      </c>
      <c r="D3678" t="n">
        <v>180320</v>
      </c>
      <c r="E3678" t="n">
        <v>87221</v>
      </c>
      <c r="F3678" t="n">
        <v>49216</v>
      </c>
    </row>
    <row r="3679">
      <c r="A3679" t="inlineStr">
        <is>
          <t>409|精英怪</t>
        </is>
      </c>
      <c r="B3679" t="n">
        <v>409</v>
      </c>
      <c r="C3679" t="inlineStr">
        <is>
          <t>精英怪</t>
        </is>
      </c>
      <c r="D3679" t="n">
        <v>4808516</v>
      </c>
      <c r="E3679" t="n">
        <v>87221</v>
      </c>
      <c r="F3679" t="n">
        <v>49216</v>
      </c>
    </row>
    <row r="3680">
      <c r="A3680" t="inlineStr">
        <is>
          <t>409|精英盾怪</t>
        </is>
      </c>
      <c r="B3680" t="n">
        <v>409</v>
      </c>
      <c r="C3680" t="inlineStr">
        <is>
          <t>精英盾怪</t>
        </is>
      </c>
      <c r="D3680" t="n">
        <v>10819161</v>
      </c>
      <c r="E3680" t="n">
        <v>87221</v>
      </c>
      <c r="F3680" t="n">
        <v>49216</v>
      </c>
    </row>
    <row r="3681">
      <c r="A3681" t="inlineStr">
        <is>
          <t>409|Boss</t>
        </is>
      </c>
      <c r="B3681" t="n">
        <v>409</v>
      </c>
      <c r="C3681" t="inlineStr">
        <is>
          <t>Boss</t>
        </is>
      </c>
      <c r="D3681" t="n">
        <v>125181897</v>
      </c>
      <c r="E3681" t="n">
        <v>93141</v>
      </c>
      <c r="F3681" t="n">
        <v>49216</v>
      </c>
    </row>
    <row r="3682">
      <c r="A3682" t="inlineStr">
        <is>
          <t>409|装备副本Boss</t>
        </is>
      </c>
      <c r="B3682" t="n">
        <v>409</v>
      </c>
      <c r="C3682" t="inlineStr">
        <is>
          <t>装备副本Boss</t>
        </is>
      </c>
      <c r="D3682" t="n">
        <v>62590949</v>
      </c>
      <c r="E3682" t="n">
        <v>93141</v>
      </c>
      <c r="F3682" t="n">
        <v>49216</v>
      </c>
    </row>
    <row r="3683">
      <c r="A3683" t="inlineStr">
        <is>
          <t>410|普通怪</t>
        </is>
      </c>
      <c r="B3683" t="n">
        <v>410</v>
      </c>
      <c r="C3683" t="inlineStr">
        <is>
          <t>普通怪</t>
        </is>
      </c>
      <c r="D3683" t="n">
        <v>1211335</v>
      </c>
      <c r="E3683" t="n">
        <v>87758</v>
      </c>
      <c r="F3683" t="n">
        <v>49383</v>
      </c>
    </row>
    <row r="3684">
      <c r="A3684" t="inlineStr">
        <is>
          <t>410|盾怪</t>
        </is>
      </c>
      <c r="B3684" t="n">
        <v>410</v>
      </c>
      <c r="C3684" t="inlineStr">
        <is>
          <t>盾怪</t>
        </is>
      </c>
      <c r="D3684" t="n">
        <v>3634005</v>
      </c>
      <c r="E3684" t="n">
        <v>87758</v>
      </c>
      <c r="F3684" t="n">
        <v>49383</v>
      </c>
    </row>
    <row r="3685">
      <c r="A3685" t="inlineStr">
        <is>
          <t>410|二级普通怪</t>
        </is>
      </c>
      <c r="B3685" t="n">
        <v>410</v>
      </c>
      <c r="C3685" t="inlineStr">
        <is>
          <t>二级普通怪</t>
        </is>
      </c>
      <c r="D3685" t="n">
        <v>2180403</v>
      </c>
      <c r="E3685" t="n">
        <v>87758</v>
      </c>
      <c r="F3685" t="n">
        <v>49383</v>
      </c>
    </row>
    <row r="3686">
      <c r="A3686" t="inlineStr">
        <is>
          <t>410|站桩怪</t>
        </is>
      </c>
      <c r="B3686" t="n">
        <v>410</v>
      </c>
      <c r="C3686" t="inlineStr">
        <is>
          <t>站桩怪</t>
        </is>
      </c>
      <c r="D3686" t="n">
        <v>605668</v>
      </c>
      <c r="E3686" t="n">
        <v>87758</v>
      </c>
      <c r="F3686" t="n">
        <v>49383</v>
      </c>
    </row>
    <row r="3687">
      <c r="A3687" t="inlineStr">
        <is>
          <t>410|炮灰怪</t>
        </is>
      </c>
      <c r="B3687" t="n">
        <v>410</v>
      </c>
      <c r="C3687" t="inlineStr">
        <is>
          <t>炮灰怪</t>
        </is>
      </c>
      <c r="D3687" t="n">
        <v>181701</v>
      </c>
      <c r="E3687" t="n">
        <v>87758</v>
      </c>
      <c r="F3687" t="n">
        <v>49383</v>
      </c>
    </row>
    <row r="3688">
      <c r="A3688" t="inlineStr">
        <is>
          <t>410|精英怪</t>
        </is>
      </c>
      <c r="B3688" t="n">
        <v>410</v>
      </c>
      <c r="C3688" t="inlineStr">
        <is>
          <t>精英怪</t>
        </is>
      </c>
      <c r="D3688" t="n">
        <v>4845340</v>
      </c>
      <c r="E3688" t="n">
        <v>87758</v>
      </c>
      <c r="F3688" t="n">
        <v>49383</v>
      </c>
    </row>
    <row r="3689">
      <c r="A3689" t="inlineStr">
        <is>
          <t>410|精英盾怪</t>
        </is>
      </c>
      <c r="B3689" t="n">
        <v>410</v>
      </c>
      <c r="C3689" t="inlineStr">
        <is>
          <t>精英盾怪</t>
        </is>
      </c>
      <c r="D3689" t="n">
        <v>10902015</v>
      </c>
      <c r="E3689" t="n">
        <v>87758</v>
      </c>
      <c r="F3689" t="n">
        <v>49383</v>
      </c>
    </row>
    <row r="3690">
      <c r="A3690" t="inlineStr">
        <is>
          <t>410|Boss</t>
        </is>
      </c>
      <c r="B3690" t="n">
        <v>410</v>
      </c>
      <c r="C3690" t="inlineStr">
        <is>
          <t>Boss</t>
        </is>
      </c>
      <c r="D3690" t="n">
        <v>126216330</v>
      </c>
      <c r="E3690" t="n">
        <v>93697</v>
      </c>
      <c r="F3690" t="n">
        <v>49383</v>
      </c>
    </row>
    <row r="3691">
      <c r="A3691" t="inlineStr">
        <is>
          <t>410|装备副本Boss</t>
        </is>
      </c>
      <c r="B3691" t="n">
        <v>410</v>
      </c>
      <c r="C3691" t="inlineStr">
        <is>
          <t>装备副本Boss</t>
        </is>
      </c>
      <c r="D3691" t="n">
        <v>63108165</v>
      </c>
      <c r="E3691" t="n">
        <v>93697</v>
      </c>
      <c r="F3691" t="n">
        <v>49383</v>
      </c>
    </row>
    <row r="3692">
      <c r="A3692" t="inlineStr">
        <is>
          <t>411|普通怪</t>
        </is>
      </c>
      <c r="B3692" t="n">
        <v>411</v>
      </c>
      <c r="C3692" t="inlineStr">
        <is>
          <t>普通怪</t>
        </is>
      </c>
      <c r="D3692" t="n">
        <v>1220597</v>
      </c>
      <c r="E3692" t="n">
        <v>88296</v>
      </c>
      <c r="F3692" t="n">
        <v>49550</v>
      </c>
    </row>
    <row r="3693">
      <c r="A3693" t="inlineStr">
        <is>
          <t>411|盾怪</t>
        </is>
      </c>
      <c r="B3693" t="n">
        <v>411</v>
      </c>
      <c r="C3693" t="inlineStr">
        <is>
          <t>盾怪</t>
        </is>
      </c>
      <c r="D3693" t="n">
        <v>3661791</v>
      </c>
      <c r="E3693" t="n">
        <v>88296</v>
      </c>
      <c r="F3693" t="n">
        <v>49550</v>
      </c>
    </row>
    <row r="3694">
      <c r="A3694" t="inlineStr">
        <is>
          <t>411|二级普通怪</t>
        </is>
      </c>
      <c r="B3694" t="n">
        <v>411</v>
      </c>
      <c r="C3694" t="inlineStr">
        <is>
          <t>二级普通怪</t>
        </is>
      </c>
      <c r="D3694" t="n">
        <v>2197075</v>
      </c>
      <c r="E3694" t="n">
        <v>88296</v>
      </c>
      <c r="F3694" t="n">
        <v>49550</v>
      </c>
    </row>
    <row r="3695">
      <c r="A3695" t="inlineStr">
        <is>
          <t>411|站桩怪</t>
        </is>
      </c>
      <c r="B3695" t="n">
        <v>411</v>
      </c>
      <c r="C3695" t="inlineStr">
        <is>
          <t>站桩怪</t>
        </is>
      </c>
      <c r="D3695" t="n">
        <v>610299</v>
      </c>
      <c r="E3695" t="n">
        <v>88296</v>
      </c>
      <c r="F3695" t="n">
        <v>49550</v>
      </c>
    </row>
    <row r="3696">
      <c r="A3696" t="inlineStr">
        <is>
          <t>411|炮灰怪</t>
        </is>
      </c>
      <c r="B3696" t="n">
        <v>411</v>
      </c>
      <c r="C3696" t="inlineStr">
        <is>
          <t>炮灰怪</t>
        </is>
      </c>
      <c r="D3696" t="n">
        <v>183090</v>
      </c>
      <c r="E3696" t="n">
        <v>88296</v>
      </c>
      <c r="F3696" t="n">
        <v>49550</v>
      </c>
    </row>
    <row r="3697">
      <c r="A3697" t="inlineStr">
        <is>
          <t>411|精英怪</t>
        </is>
      </c>
      <c r="B3697" t="n">
        <v>411</v>
      </c>
      <c r="C3697" t="inlineStr">
        <is>
          <t>精英怪</t>
        </is>
      </c>
      <c r="D3697" t="n">
        <v>4882388</v>
      </c>
      <c r="E3697" t="n">
        <v>88296</v>
      </c>
      <c r="F3697" t="n">
        <v>49550</v>
      </c>
    </row>
    <row r="3698">
      <c r="A3698" t="inlineStr">
        <is>
          <t>411|精英盾怪</t>
        </is>
      </c>
      <c r="B3698" t="n">
        <v>411</v>
      </c>
      <c r="C3698" t="inlineStr">
        <is>
          <t>精英盾怪</t>
        </is>
      </c>
      <c r="D3698" t="n">
        <v>10985373</v>
      </c>
      <c r="E3698" t="n">
        <v>88296</v>
      </c>
      <c r="F3698" t="n">
        <v>49550</v>
      </c>
    </row>
    <row r="3699">
      <c r="A3699" t="inlineStr">
        <is>
          <t>411|Boss</t>
        </is>
      </c>
      <c r="B3699" t="n">
        <v>411</v>
      </c>
      <c r="C3699" t="inlineStr">
        <is>
          <t>Boss</t>
        </is>
      </c>
      <c r="D3699" t="n">
        <v>127257750</v>
      </c>
      <c r="E3699" t="n">
        <v>94255</v>
      </c>
      <c r="F3699" t="n">
        <v>49550</v>
      </c>
    </row>
    <row r="3700">
      <c r="A3700" t="inlineStr">
        <is>
          <t>411|装备副本Boss</t>
        </is>
      </c>
      <c r="B3700" t="n">
        <v>411</v>
      </c>
      <c r="C3700" t="inlineStr">
        <is>
          <t>装备副本Boss</t>
        </is>
      </c>
      <c r="D3700" t="n">
        <v>63628875</v>
      </c>
      <c r="E3700" t="n">
        <v>94255</v>
      </c>
      <c r="F3700" t="n">
        <v>49550</v>
      </c>
    </row>
    <row r="3701">
      <c r="A3701" t="inlineStr">
        <is>
          <t>412|普通怪</t>
        </is>
      </c>
      <c r="B3701" t="n">
        <v>412</v>
      </c>
      <c r="C3701" t="inlineStr">
        <is>
          <t>普通怪</t>
        </is>
      </c>
      <c r="D3701" t="n">
        <v>1229914</v>
      </c>
      <c r="E3701" t="n">
        <v>88839</v>
      </c>
      <c r="F3701" t="n">
        <v>49718</v>
      </c>
    </row>
    <row r="3702">
      <c r="A3702" t="inlineStr">
        <is>
          <t>412|盾怪</t>
        </is>
      </c>
      <c r="B3702" t="n">
        <v>412</v>
      </c>
      <c r="C3702" t="inlineStr">
        <is>
          <t>盾怪</t>
        </is>
      </c>
      <c r="D3702" t="n">
        <v>3689742</v>
      </c>
      <c r="E3702" t="n">
        <v>88839</v>
      </c>
      <c r="F3702" t="n">
        <v>49718</v>
      </c>
    </row>
    <row r="3703">
      <c r="A3703" t="inlineStr">
        <is>
          <t>412|二级普通怪</t>
        </is>
      </c>
      <c r="B3703" t="n">
        <v>412</v>
      </c>
      <c r="C3703" t="inlineStr">
        <is>
          <t>二级普通怪</t>
        </is>
      </c>
      <c r="D3703" t="n">
        <v>2213846</v>
      </c>
      <c r="E3703" t="n">
        <v>88839</v>
      </c>
      <c r="F3703" t="n">
        <v>49718</v>
      </c>
    </row>
    <row r="3704">
      <c r="A3704" t="inlineStr">
        <is>
          <t>412|站桩怪</t>
        </is>
      </c>
      <c r="B3704" t="n">
        <v>412</v>
      </c>
      <c r="C3704" t="inlineStr">
        <is>
          <t>站桩怪</t>
        </is>
      </c>
      <c r="D3704" t="n">
        <v>614957</v>
      </c>
      <c r="E3704" t="n">
        <v>88839</v>
      </c>
      <c r="F3704" t="n">
        <v>49718</v>
      </c>
    </row>
    <row r="3705">
      <c r="A3705" t="inlineStr">
        <is>
          <t>412|炮灰怪</t>
        </is>
      </c>
      <c r="B3705" t="n">
        <v>412</v>
      </c>
      <c r="C3705" t="inlineStr">
        <is>
          <t>炮灰怪</t>
        </is>
      </c>
      <c r="D3705" t="n">
        <v>184488</v>
      </c>
      <c r="E3705" t="n">
        <v>88839</v>
      </c>
      <c r="F3705" t="n">
        <v>49718</v>
      </c>
    </row>
    <row r="3706">
      <c r="A3706" t="inlineStr">
        <is>
          <t>412|精英怪</t>
        </is>
      </c>
      <c r="B3706" t="n">
        <v>412</v>
      </c>
      <c r="C3706" t="inlineStr">
        <is>
          <t>精英怪</t>
        </is>
      </c>
      <c r="D3706" t="n">
        <v>4919656</v>
      </c>
      <c r="E3706" t="n">
        <v>88839</v>
      </c>
      <c r="F3706" t="n">
        <v>49718</v>
      </c>
    </row>
    <row r="3707">
      <c r="A3707" t="inlineStr">
        <is>
          <t>412|精英盾怪</t>
        </is>
      </c>
      <c r="B3707" t="n">
        <v>412</v>
      </c>
      <c r="C3707" t="inlineStr">
        <is>
          <t>精英盾怪</t>
        </is>
      </c>
      <c r="D3707" t="n">
        <v>11069226</v>
      </c>
      <c r="E3707" t="n">
        <v>88839</v>
      </c>
      <c r="F3707" t="n">
        <v>49718</v>
      </c>
    </row>
    <row r="3708">
      <c r="A3708" t="inlineStr">
        <is>
          <t>412|Boss</t>
        </is>
      </c>
      <c r="B3708" t="n">
        <v>412</v>
      </c>
      <c r="C3708" t="inlineStr">
        <is>
          <t>Boss</t>
        </is>
      </c>
      <c r="D3708" t="n">
        <v>128306157</v>
      </c>
      <c r="E3708" t="n">
        <v>94817</v>
      </c>
      <c r="F3708" t="n">
        <v>49718</v>
      </c>
    </row>
    <row r="3709">
      <c r="A3709" t="inlineStr">
        <is>
          <t>412|装备副本Boss</t>
        </is>
      </c>
      <c r="B3709" t="n">
        <v>412</v>
      </c>
      <c r="C3709" t="inlineStr">
        <is>
          <t>装备副本Boss</t>
        </is>
      </c>
      <c r="D3709" t="n">
        <v>64153079</v>
      </c>
      <c r="E3709" t="n">
        <v>94817</v>
      </c>
      <c r="F3709" t="n">
        <v>49718</v>
      </c>
    </row>
    <row r="3710">
      <c r="A3710" t="inlineStr">
        <is>
          <t>413|普通怪</t>
        </is>
      </c>
      <c r="B3710" t="n">
        <v>413</v>
      </c>
      <c r="C3710" t="inlineStr">
        <is>
          <t>普通怪</t>
        </is>
      </c>
      <c r="D3710" t="n">
        <v>1239289</v>
      </c>
      <c r="E3710" t="n">
        <v>89383</v>
      </c>
      <c r="F3710" t="n">
        <v>49885</v>
      </c>
    </row>
    <row r="3711">
      <c r="A3711" t="inlineStr">
        <is>
          <t>413|盾怪</t>
        </is>
      </c>
      <c r="B3711" t="n">
        <v>413</v>
      </c>
      <c r="C3711" t="inlineStr">
        <is>
          <t>盾怪</t>
        </is>
      </c>
      <c r="D3711" t="n">
        <v>3717867</v>
      </c>
      <c r="E3711" t="n">
        <v>89383</v>
      </c>
      <c r="F3711" t="n">
        <v>49885</v>
      </c>
    </row>
    <row r="3712">
      <c r="A3712" t="inlineStr">
        <is>
          <t>413|二级普通怪</t>
        </is>
      </c>
      <c r="B3712" t="n">
        <v>413</v>
      </c>
      <c r="C3712" t="inlineStr">
        <is>
          <t>二级普通怪</t>
        </is>
      </c>
      <c r="D3712" t="n">
        <v>2230721</v>
      </c>
      <c r="E3712" t="n">
        <v>89383</v>
      </c>
      <c r="F3712" t="n">
        <v>49885</v>
      </c>
    </row>
    <row r="3713">
      <c r="A3713" t="inlineStr">
        <is>
          <t>413|站桩怪</t>
        </is>
      </c>
      <c r="B3713" t="n">
        <v>413</v>
      </c>
      <c r="C3713" t="inlineStr">
        <is>
          <t>站桩怪</t>
        </is>
      </c>
      <c r="D3713" t="n">
        <v>619645</v>
      </c>
      <c r="E3713" t="n">
        <v>89383</v>
      </c>
      <c r="F3713" t="n">
        <v>49885</v>
      </c>
    </row>
    <row r="3714">
      <c r="A3714" t="inlineStr">
        <is>
          <t>413|炮灰怪</t>
        </is>
      </c>
      <c r="B3714" t="n">
        <v>413</v>
      </c>
      <c r="C3714" t="inlineStr">
        <is>
          <t>炮灰怪</t>
        </is>
      </c>
      <c r="D3714" t="n">
        <v>185894</v>
      </c>
      <c r="E3714" t="n">
        <v>89383</v>
      </c>
      <c r="F3714" t="n">
        <v>49885</v>
      </c>
    </row>
    <row r="3715">
      <c r="A3715" t="inlineStr">
        <is>
          <t>413|精英怪</t>
        </is>
      </c>
      <c r="B3715" t="n">
        <v>413</v>
      </c>
      <c r="C3715" t="inlineStr">
        <is>
          <t>精英怪</t>
        </is>
      </c>
      <c r="D3715" t="n">
        <v>4957156</v>
      </c>
      <c r="E3715" t="n">
        <v>89383</v>
      </c>
      <c r="F3715" t="n">
        <v>49885</v>
      </c>
    </row>
    <row r="3716">
      <c r="A3716" t="inlineStr">
        <is>
          <t>413|精英盾怪</t>
        </is>
      </c>
      <c r="B3716" t="n">
        <v>413</v>
      </c>
      <c r="C3716" t="inlineStr">
        <is>
          <t>精英盾怪</t>
        </is>
      </c>
      <c r="D3716" t="n">
        <v>11153601</v>
      </c>
      <c r="E3716" t="n">
        <v>89383</v>
      </c>
      <c r="F3716" t="n">
        <v>49885</v>
      </c>
    </row>
    <row r="3717">
      <c r="A3717" t="inlineStr">
        <is>
          <t>413|Boss</t>
        </is>
      </c>
      <c r="B3717" t="n">
        <v>413</v>
      </c>
      <c r="C3717" t="inlineStr">
        <is>
          <t>Boss</t>
        </is>
      </c>
      <c r="D3717" t="n">
        <v>129361602</v>
      </c>
      <c r="E3717" t="n">
        <v>95381</v>
      </c>
      <c r="F3717" t="n">
        <v>49885</v>
      </c>
    </row>
    <row r="3718">
      <c r="A3718" t="inlineStr">
        <is>
          <t>413|装备副本Boss</t>
        </is>
      </c>
      <c r="B3718" t="n">
        <v>413</v>
      </c>
      <c r="C3718" t="inlineStr">
        <is>
          <t>装备副本Boss</t>
        </is>
      </c>
      <c r="D3718" t="n">
        <v>64680801</v>
      </c>
      <c r="E3718" t="n">
        <v>95381</v>
      </c>
      <c r="F3718" t="n">
        <v>49885</v>
      </c>
    </row>
    <row r="3719">
      <c r="A3719" t="inlineStr">
        <is>
          <t>414|普通怪</t>
        </is>
      </c>
      <c r="B3719" t="n">
        <v>414</v>
      </c>
      <c r="C3719" t="inlineStr">
        <is>
          <t>普通怪</t>
        </is>
      </c>
      <c r="D3719" t="n">
        <v>1248720</v>
      </c>
      <c r="E3719" t="n">
        <v>89931</v>
      </c>
      <c r="F3719" t="n">
        <v>50053</v>
      </c>
    </row>
    <row r="3720">
      <c r="A3720" t="inlineStr">
        <is>
          <t>414|盾怪</t>
        </is>
      </c>
      <c r="B3720" t="n">
        <v>414</v>
      </c>
      <c r="C3720" t="inlineStr">
        <is>
          <t>盾怪</t>
        </is>
      </c>
      <c r="D3720" t="n">
        <v>3746160</v>
      </c>
      <c r="E3720" t="n">
        <v>89931</v>
      </c>
      <c r="F3720" t="n">
        <v>50053</v>
      </c>
    </row>
    <row r="3721">
      <c r="A3721" t="inlineStr">
        <is>
          <t>414|二级普通怪</t>
        </is>
      </c>
      <c r="B3721" t="n">
        <v>414</v>
      </c>
      <c r="C3721" t="inlineStr">
        <is>
          <t>二级普通怪</t>
        </is>
      </c>
      <c r="D3721" t="n">
        <v>2247696</v>
      </c>
      <c r="E3721" t="n">
        <v>89931</v>
      </c>
      <c r="F3721" t="n">
        <v>50053</v>
      </c>
    </row>
    <row r="3722">
      <c r="A3722" t="inlineStr">
        <is>
          <t>414|站桩怪</t>
        </is>
      </c>
      <c r="B3722" t="n">
        <v>414</v>
      </c>
      <c r="C3722" t="inlineStr">
        <is>
          <t>站桩怪</t>
        </is>
      </c>
      <c r="D3722" t="n">
        <v>624360</v>
      </c>
      <c r="E3722" t="n">
        <v>89931</v>
      </c>
      <c r="F3722" t="n">
        <v>50053</v>
      </c>
    </row>
    <row r="3723">
      <c r="A3723" t="inlineStr">
        <is>
          <t>414|炮灰怪</t>
        </is>
      </c>
      <c r="B3723" t="n">
        <v>414</v>
      </c>
      <c r="C3723" t="inlineStr">
        <is>
          <t>炮灰怪</t>
        </is>
      </c>
      <c r="D3723" t="n">
        <v>187308</v>
      </c>
      <c r="E3723" t="n">
        <v>89931</v>
      </c>
      <c r="F3723" t="n">
        <v>50053</v>
      </c>
    </row>
    <row r="3724">
      <c r="A3724" t="inlineStr">
        <is>
          <t>414|精英怪</t>
        </is>
      </c>
      <c r="B3724" t="n">
        <v>414</v>
      </c>
      <c r="C3724" t="inlineStr">
        <is>
          <t>精英怪</t>
        </is>
      </c>
      <c r="D3724" t="n">
        <v>4994880</v>
      </c>
      <c r="E3724" t="n">
        <v>89931</v>
      </c>
      <c r="F3724" t="n">
        <v>50053</v>
      </c>
    </row>
    <row r="3725">
      <c r="A3725" t="inlineStr">
        <is>
          <t>414|精英盾怪</t>
        </is>
      </c>
      <c r="B3725" t="n">
        <v>414</v>
      </c>
      <c r="C3725" t="inlineStr">
        <is>
          <t>精英盾怪</t>
        </is>
      </c>
      <c r="D3725" t="n">
        <v>11238480</v>
      </c>
      <c r="E3725" t="n">
        <v>89931</v>
      </c>
      <c r="F3725" t="n">
        <v>50053</v>
      </c>
    </row>
    <row r="3726">
      <c r="A3726" t="inlineStr">
        <is>
          <t>414|Boss</t>
        </is>
      </c>
      <c r="B3726" t="n">
        <v>414</v>
      </c>
      <c r="C3726" t="inlineStr">
        <is>
          <t>Boss</t>
        </is>
      </c>
      <c r="D3726" t="n">
        <v>130424136</v>
      </c>
      <c r="E3726" t="n">
        <v>95948</v>
      </c>
      <c r="F3726" t="n">
        <v>50053</v>
      </c>
    </row>
    <row r="3727">
      <c r="A3727" t="inlineStr">
        <is>
          <t>414|装备副本Boss</t>
        </is>
      </c>
      <c r="B3727" t="n">
        <v>414</v>
      </c>
      <c r="C3727" t="inlineStr">
        <is>
          <t>装备副本Boss</t>
        </is>
      </c>
      <c r="D3727" t="n">
        <v>65212068</v>
      </c>
      <c r="E3727" t="n">
        <v>95948</v>
      </c>
      <c r="F3727" t="n">
        <v>50053</v>
      </c>
    </row>
    <row r="3728">
      <c r="A3728" t="inlineStr">
        <is>
          <t>415|普通怪</t>
        </is>
      </c>
      <c r="B3728" t="n">
        <v>415</v>
      </c>
      <c r="C3728" t="inlineStr">
        <is>
          <t>普通怪</t>
        </is>
      </c>
      <c r="D3728" t="n">
        <v>1258208</v>
      </c>
      <c r="E3728" t="n">
        <v>90481</v>
      </c>
      <c r="F3728" t="n">
        <v>50221</v>
      </c>
    </row>
    <row r="3729">
      <c r="A3729" t="inlineStr">
        <is>
          <t>415|盾怪</t>
        </is>
      </c>
      <c r="B3729" t="n">
        <v>415</v>
      </c>
      <c r="C3729" t="inlineStr">
        <is>
          <t>盾怪</t>
        </is>
      </c>
      <c r="D3729" t="n">
        <v>3774624</v>
      </c>
      <c r="E3729" t="n">
        <v>90481</v>
      </c>
      <c r="F3729" t="n">
        <v>50221</v>
      </c>
    </row>
    <row r="3730">
      <c r="A3730" t="inlineStr">
        <is>
          <t>415|二级普通怪</t>
        </is>
      </c>
      <c r="B3730" t="n">
        <v>415</v>
      </c>
      <c r="C3730" t="inlineStr">
        <is>
          <t>二级普通怪</t>
        </is>
      </c>
      <c r="D3730" t="n">
        <v>2264775</v>
      </c>
      <c r="E3730" t="n">
        <v>90481</v>
      </c>
      <c r="F3730" t="n">
        <v>50221</v>
      </c>
    </row>
    <row r="3731">
      <c r="A3731" t="inlineStr">
        <is>
          <t>415|站桩怪</t>
        </is>
      </c>
      <c r="B3731" t="n">
        <v>415</v>
      </c>
      <c r="C3731" t="inlineStr">
        <is>
          <t>站桩怪</t>
        </is>
      </c>
      <c r="D3731" t="n">
        <v>629104</v>
      </c>
      <c r="E3731" t="n">
        <v>90481</v>
      </c>
      <c r="F3731" t="n">
        <v>50221</v>
      </c>
    </row>
    <row r="3732">
      <c r="A3732" t="inlineStr">
        <is>
          <t>415|炮灰怪</t>
        </is>
      </c>
      <c r="B3732" t="n">
        <v>415</v>
      </c>
      <c r="C3732" t="inlineStr">
        <is>
          <t>炮灰怪</t>
        </is>
      </c>
      <c r="D3732" t="n">
        <v>188732</v>
      </c>
      <c r="E3732" t="n">
        <v>90481</v>
      </c>
      <c r="F3732" t="n">
        <v>50221</v>
      </c>
    </row>
    <row r="3733">
      <c r="A3733" t="inlineStr">
        <is>
          <t>415|精英怪</t>
        </is>
      </c>
      <c r="B3733" t="n">
        <v>415</v>
      </c>
      <c r="C3733" t="inlineStr">
        <is>
          <t>精英怪</t>
        </is>
      </c>
      <c r="D3733" t="n">
        <v>5032832</v>
      </c>
      <c r="E3733" t="n">
        <v>90481</v>
      </c>
      <c r="F3733" t="n">
        <v>50221</v>
      </c>
    </row>
    <row r="3734">
      <c r="A3734" t="inlineStr">
        <is>
          <t>415|精英盾怪</t>
        </is>
      </c>
      <c r="B3734" t="n">
        <v>415</v>
      </c>
      <c r="C3734" t="inlineStr">
        <is>
          <t>精英盾怪</t>
        </is>
      </c>
      <c r="D3734" t="n">
        <v>11323872</v>
      </c>
      <c r="E3734" t="n">
        <v>90481</v>
      </c>
      <c r="F3734" t="n">
        <v>50221</v>
      </c>
    </row>
    <row r="3735">
      <c r="A3735" t="inlineStr">
        <is>
          <t>415|Boss</t>
        </is>
      </c>
      <c r="B3735" t="n">
        <v>415</v>
      </c>
      <c r="C3735" t="inlineStr">
        <is>
          <t>Boss</t>
        </is>
      </c>
      <c r="D3735" t="n">
        <v>131493810</v>
      </c>
      <c r="E3735" t="n">
        <v>96518</v>
      </c>
      <c r="F3735" t="n">
        <v>50221</v>
      </c>
    </row>
    <row r="3736">
      <c r="A3736" t="inlineStr">
        <is>
          <t>415|装备副本Boss</t>
        </is>
      </c>
      <c r="B3736" t="n">
        <v>415</v>
      </c>
      <c r="C3736" t="inlineStr">
        <is>
          <t>装备副本Boss</t>
        </is>
      </c>
      <c r="D3736" t="n">
        <v>65746905</v>
      </c>
      <c r="E3736" t="n">
        <v>96518</v>
      </c>
      <c r="F3736" t="n">
        <v>50221</v>
      </c>
    </row>
    <row r="3737">
      <c r="A3737" t="inlineStr">
        <is>
          <t>416|普通怪</t>
        </is>
      </c>
      <c r="B3737" t="n">
        <v>416</v>
      </c>
      <c r="C3737" t="inlineStr">
        <is>
          <t>普通怪</t>
        </is>
      </c>
      <c r="D3737" t="n">
        <v>1267754</v>
      </c>
      <c r="E3737" t="n">
        <v>91034</v>
      </c>
      <c r="F3737" t="n">
        <v>50390</v>
      </c>
    </row>
    <row r="3738">
      <c r="A3738" t="inlineStr">
        <is>
          <t>416|盾怪</t>
        </is>
      </c>
      <c r="B3738" t="n">
        <v>416</v>
      </c>
      <c r="C3738" t="inlineStr">
        <is>
          <t>盾怪</t>
        </is>
      </c>
      <c r="D3738" t="n">
        <v>3803262</v>
      </c>
      <c r="E3738" t="n">
        <v>91034</v>
      </c>
      <c r="F3738" t="n">
        <v>50390</v>
      </c>
    </row>
    <row r="3739">
      <c r="A3739" t="inlineStr">
        <is>
          <t>416|二级普通怪</t>
        </is>
      </c>
      <c r="B3739" t="n">
        <v>416</v>
      </c>
      <c r="C3739" t="inlineStr">
        <is>
          <t>二级普通怪</t>
        </is>
      </c>
      <c r="D3739" t="n">
        <v>2281958</v>
      </c>
      <c r="E3739" t="n">
        <v>91034</v>
      </c>
      <c r="F3739" t="n">
        <v>50390</v>
      </c>
    </row>
    <row r="3740">
      <c r="A3740" t="inlineStr">
        <is>
          <t>416|站桩怪</t>
        </is>
      </c>
      <c r="B3740" t="n">
        <v>416</v>
      </c>
      <c r="C3740" t="inlineStr">
        <is>
          <t>站桩怪</t>
        </is>
      </c>
      <c r="D3740" t="n">
        <v>633877</v>
      </c>
      <c r="E3740" t="n">
        <v>91034</v>
      </c>
      <c r="F3740" t="n">
        <v>50390</v>
      </c>
    </row>
    <row r="3741">
      <c r="A3741" t="inlineStr">
        <is>
          <t>416|炮灰怪</t>
        </is>
      </c>
      <c r="B3741" t="n">
        <v>416</v>
      </c>
      <c r="C3741" t="inlineStr">
        <is>
          <t>炮灰怪</t>
        </is>
      </c>
      <c r="D3741" t="n">
        <v>190164</v>
      </c>
      <c r="E3741" t="n">
        <v>91034</v>
      </c>
      <c r="F3741" t="n">
        <v>50390</v>
      </c>
    </row>
    <row r="3742">
      <c r="A3742" t="inlineStr">
        <is>
          <t>416|精英怪</t>
        </is>
      </c>
      <c r="B3742" t="n">
        <v>416</v>
      </c>
      <c r="C3742" t="inlineStr">
        <is>
          <t>精英怪</t>
        </is>
      </c>
      <c r="D3742" t="n">
        <v>5071016</v>
      </c>
      <c r="E3742" t="n">
        <v>91034</v>
      </c>
      <c r="F3742" t="n">
        <v>50390</v>
      </c>
    </row>
    <row r="3743">
      <c r="A3743" t="inlineStr">
        <is>
          <t>416|精英盾怪</t>
        </is>
      </c>
      <c r="B3743" t="n">
        <v>416</v>
      </c>
      <c r="C3743" t="inlineStr">
        <is>
          <t>精英盾怪</t>
        </is>
      </c>
      <c r="D3743" t="n">
        <v>11409786</v>
      </c>
      <c r="E3743" t="n">
        <v>91034</v>
      </c>
      <c r="F3743" t="n">
        <v>50390</v>
      </c>
    </row>
    <row r="3744">
      <c r="A3744" t="inlineStr">
        <is>
          <t>416|Boss</t>
        </is>
      </c>
      <c r="B3744" t="n">
        <v>416</v>
      </c>
      <c r="C3744" t="inlineStr">
        <is>
          <t>Boss</t>
        </is>
      </c>
      <c r="D3744" t="n">
        <v>132570675</v>
      </c>
      <c r="E3744" t="n">
        <v>97091</v>
      </c>
      <c r="F3744" t="n">
        <v>50390</v>
      </c>
    </row>
    <row r="3745">
      <c r="A3745" t="inlineStr">
        <is>
          <t>416|装备副本Boss</t>
        </is>
      </c>
      <c r="B3745" t="n">
        <v>416</v>
      </c>
      <c r="C3745" t="inlineStr">
        <is>
          <t>装备副本Boss</t>
        </is>
      </c>
      <c r="D3745" t="n">
        <v>66285338</v>
      </c>
      <c r="E3745" t="n">
        <v>97091</v>
      </c>
      <c r="F3745" t="n">
        <v>50390</v>
      </c>
    </row>
    <row r="3746">
      <c r="A3746" t="inlineStr">
        <is>
          <t>417|普通怪</t>
        </is>
      </c>
      <c r="B3746" t="n">
        <v>417</v>
      </c>
      <c r="C3746" t="inlineStr">
        <is>
          <t>普通怪</t>
        </is>
      </c>
      <c r="D3746" t="n">
        <v>1277357</v>
      </c>
      <c r="E3746" t="n">
        <v>91590</v>
      </c>
      <c r="F3746" t="n">
        <v>50558</v>
      </c>
    </row>
    <row r="3747">
      <c r="A3747" t="inlineStr">
        <is>
          <t>417|盾怪</t>
        </is>
      </c>
      <c r="B3747" t="n">
        <v>417</v>
      </c>
      <c r="C3747" t="inlineStr">
        <is>
          <t>盾怪</t>
        </is>
      </c>
      <c r="D3747" t="n">
        <v>3832071</v>
      </c>
      <c r="E3747" t="n">
        <v>91590</v>
      </c>
      <c r="F3747" t="n">
        <v>50558</v>
      </c>
    </row>
    <row r="3748">
      <c r="A3748" t="inlineStr">
        <is>
          <t>417|二级普通怪</t>
        </is>
      </c>
      <c r="B3748" t="n">
        <v>417</v>
      </c>
      <c r="C3748" t="inlineStr">
        <is>
          <t>二级普通怪</t>
        </is>
      </c>
      <c r="D3748" t="n">
        <v>2299243</v>
      </c>
      <c r="E3748" t="n">
        <v>91590</v>
      </c>
      <c r="F3748" t="n">
        <v>50558</v>
      </c>
    </row>
    <row r="3749">
      <c r="A3749" t="inlineStr">
        <is>
          <t>417|站桩怪</t>
        </is>
      </c>
      <c r="B3749" t="n">
        <v>417</v>
      </c>
      <c r="C3749" t="inlineStr">
        <is>
          <t>站桩怪</t>
        </is>
      </c>
      <c r="D3749" t="n">
        <v>638679</v>
      </c>
      <c r="E3749" t="n">
        <v>91590</v>
      </c>
      <c r="F3749" t="n">
        <v>50558</v>
      </c>
    </row>
    <row r="3750">
      <c r="A3750" t="inlineStr">
        <is>
          <t>417|炮灰怪</t>
        </is>
      </c>
      <c r="B3750" t="n">
        <v>417</v>
      </c>
      <c r="C3750" t="inlineStr">
        <is>
          <t>炮灰怪</t>
        </is>
      </c>
      <c r="D3750" t="n">
        <v>191604</v>
      </c>
      <c r="E3750" t="n">
        <v>91590</v>
      </c>
      <c r="F3750" t="n">
        <v>50558</v>
      </c>
    </row>
    <row r="3751">
      <c r="A3751" t="inlineStr">
        <is>
          <t>417|精英怪</t>
        </is>
      </c>
      <c r="B3751" t="n">
        <v>417</v>
      </c>
      <c r="C3751" t="inlineStr">
        <is>
          <t>精英怪</t>
        </is>
      </c>
      <c r="D3751" t="n">
        <v>5109428</v>
      </c>
      <c r="E3751" t="n">
        <v>91590</v>
      </c>
      <c r="F3751" t="n">
        <v>50558</v>
      </c>
    </row>
    <row r="3752">
      <c r="A3752" t="inlineStr">
        <is>
          <t>417|精英盾怪</t>
        </is>
      </c>
      <c r="B3752" t="n">
        <v>417</v>
      </c>
      <c r="C3752" t="inlineStr">
        <is>
          <t>精英盾怪</t>
        </is>
      </c>
      <c r="D3752" t="n">
        <v>11496213</v>
      </c>
      <c r="E3752" t="n">
        <v>91590</v>
      </c>
      <c r="F3752" t="n">
        <v>50558</v>
      </c>
    </row>
    <row r="3753">
      <c r="A3753" t="inlineStr">
        <is>
          <t>417|Boss</t>
        </is>
      </c>
      <c r="B3753" t="n">
        <v>417</v>
      </c>
      <c r="C3753" t="inlineStr">
        <is>
          <t>Boss</t>
        </is>
      </c>
      <c r="D3753" t="n">
        <v>133654680</v>
      </c>
      <c r="E3753" t="n">
        <v>97666</v>
      </c>
      <c r="F3753" t="n">
        <v>50558</v>
      </c>
    </row>
    <row r="3754">
      <c r="A3754" t="inlineStr">
        <is>
          <t>417|装备副本Boss</t>
        </is>
      </c>
      <c r="B3754" t="n">
        <v>417</v>
      </c>
      <c r="C3754" t="inlineStr">
        <is>
          <t>装备副本Boss</t>
        </is>
      </c>
      <c r="D3754" t="n">
        <v>66827340</v>
      </c>
      <c r="E3754" t="n">
        <v>97666</v>
      </c>
      <c r="F3754" t="n">
        <v>50558</v>
      </c>
    </row>
    <row r="3755">
      <c r="A3755" t="inlineStr">
        <is>
          <t>418|普通怪</t>
        </is>
      </c>
      <c r="B3755" t="n">
        <v>418</v>
      </c>
      <c r="C3755" t="inlineStr">
        <is>
          <t>普通怪</t>
        </is>
      </c>
      <c r="D3755" t="n">
        <v>1287018</v>
      </c>
      <c r="E3755" t="n">
        <v>92149</v>
      </c>
      <c r="F3755" t="n">
        <v>50727</v>
      </c>
    </row>
    <row r="3756">
      <c r="A3756" t="inlineStr">
        <is>
          <t>418|盾怪</t>
        </is>
      </c>
      <c r="B3756" t="n">
        <v>418</v>
      </c>
      <c r="C3756" t="inlineStr">
        <is>
          <t>盾怪</t>
        </is>
      </c>
      <c r="D3756" t="n">
        <v>3861054</v>
      </c>
      <c r="E3756" t="n">
        <v>92149</v>
      </c>
      <c r="F3756" t="n">
        <v>50727</v>
      </c>
    </row>
    <row r="3757">
      <c r="A3757" t="inlineStr">
        <is>
          <t>418|二级普通怪</t>
        </is>
      </c>
      <c r="B3757" t="n">
        <v>418</v>
      </c>
      <c r="C3757" t="inlineStr">
        <is>
          <t>二级普通怪</t>
        </is>
      </c>
      <c r="D3757" t="n">
        <v>2316633</v>
      </c>
      <c r="E3757" t="n">
        <v>92149</v>
      </c>
      <c r="F3757" t="n">
        <v>50727</v>
      </c>
    </row>
    <row r="3758">
      <c r="A3758" t="inlineStr">
        <is>
          <t>418|站桩怪</t>
        </is>
      </c>
      <c r="B3758" t="n">
        <v>418</v>
      </c>
      <c r="C3758" t="inlineStr">
        <is>
          <t>站桩怪</t>
        </is>
      </c>
      <c r="D3758" t="n">
        <v>643509</v>
      </c>
      <c r="E3758" t="n">
        <v>92149</v>
      </c>
      <c r="F3758" t="n">
        <v>50727</v>
      </c>
    </row>
    <row r="3759">
      <c r="A3759" t="inlineStr">
        <is>
          <t>418|炮灰怪</t>
        </is>
      </c>
      <c r="B3759" t="n">
        <v>418</v>
      </c>
      <c r="C3759" t="inlineStr">
        <is>
          <t>炮灰怪</t>
        </is>
      </c>
      <c r="D3759" t="n">
        <v>193053</v>
      </c>
      <c r="E3759" t="n">
        <v>92149</v>
      </c>
      <c r="F3759" t="n">
        <v>50727</v>
      </c>
    </row>
    <row r="3760">
      <c r="A3760" t="inlineStr">
        <is>
          <t>418|精英怪</t>
        </is>
      </c>
      <c r="B3760" t="n">
        <v>418</v>
      </c>
      <c r="C3760" t="inlineStr">
        <is>
          <t>精英怪</t>
        </is>
      </c>
      <c r="D3760" t="n">
        <v>5148072</v>
      </c>
      <c r="E3760" t="n">
        <v>92149</v>
      </c>
      <c r="F3760" t="n">
        <v>50727</v>
      </c>
    </row>
    <row r="3761">
      <c r="A3761" t="inlineStr">
        <is>
          <t>418|精英盾怪</t>
        </is>
      </c>
      <c r="B3761" t="n">
        <v>418</v>
      </c>
      <c r="C3761" t="inlineStr">
        <is>
          <t>精英盾怪</t>
        </is>
      </c>
      <c r="D3761" t="n">
        <v>11583162</v>
      </c>
      <c r="E3761" t="n">
        <v>92149</v>
      </c>
      <c r="F3761" t="n">
        <v>50727</v>
      </c>
    </row>
    <row r="3762">
      <c r="A3762" t="inlineStr">
        <is>
          <t>418|Boss</t>
        </is>
      </c>
      <c r="B3762" t="n">
        <v>418</v>
      </c>
      <c r="C3762" t="inlineStr">
        <is>
          <t>Boss</t>
        </is>
      </c>
      <c r="D3762" t="n">
        <v>134745978</v>
      </c>
      <c r="E3762" t="n">
        <v>98245</v>
      </c>
      <c r="F3762" t="n">
        <v>50727</v>
      </c>
    </row>
    <row r="3763">
      <c r="A3763" t="inlineStr">
        <is>
          <t>418|装备副本Boss</t>
        </is>
      </c>
      <c r="B3763" t="n">
        <v>418</v>
      </c>
      <c r="C3763" t="inlineStr">
        <is>
          <t>装备副本Boss</t>
        </is>
      </c>
      <c r="D3763" t="n">
        <v>67372989</v>
      </c>
      <c r="E3763" t="n">
        <v>98245</v>
      </c>
      <c r="F3763" t="n">
        <v>50727</v>
      </c>
    </row>
    <row r="3764">
      <c r="A3764" t="inlineStr">
        <is>
          <t>419|普通怪</t>
        </is>
      </c>
      <c r="B3764" t="n">
        <v>419</v>
      </c>
      <c r="C3764" t="inlineStr">
        <is>
          <t>普通怪</t>
        </is>
      </c>
      <c r="D3764" t="n">
        <v>1296738</v>
      </c>
      <c r="E3764" t="n">
        <v>92710</v>
      </c>
      <c r="F3764" t="n">
        <v>50896</v>
      </c>
    </row>
    <row r="3765">
      <c r="A3765" t="inlineStr">
        <is>
          <t>419|盾怪</t>
        </is>
      </c>
      <c r="B3765" t="n">
        <v>419</v>
      </c>
      <c r="C3765" t="inlineStr">
        <is>
          <t>盾怪</t>
        </is>
      </c>
      <c r="D3765" t="n">
        <v>3890214</v>
      </c>
      <c r="E3765" t="n">
        <v>92710</v>
      </c>
      <c r="F3765" t="n">
        <v>50896</v>
      </c>
    </row>
    <row r="3766">
      <c r="A3766" t="inlineStr">
        <is>
          <t>419|二级普通怪</t>
        </is>
      </c>
      <c r="B3766" t="n">
        <v>419</v>
      </c>
      <c r="C3766" t="inlineStr">
        <is>
          <t>二级普通怪</t>
        </is>
      </c>
      <c r="D3766" t="n">
        <v>2334129</v>
      </c>
      <c r="E3766" t="n">
        <v>92710</v>
      </c>
      <c r="F3766" t="n">
        <v>50896</v>
      </c>
    </row>
    <row r="3767">
      <c r="A3767" t="inlineStr">
        <is>
          <t>419|站桩怪</t>
        </is>
      </c>
      <c r="B3767" t="n">
        <v>419</v>
      </c>
      <c r="C3767" t="inlineStr">
        <is>
          <t>站桩怪</t>
        </is>
      </c>
      <c r="D3767" t="n">
        <v>648369</v>
      </c>
      <c r="E3767" t="n">
        <v>92710</v>
      </c>
      <c r="F3767" t="n">
        <v>50896</v>
      </c>
    </row>
    <row r="3768">
      <c r="A3768" t="inlineStr">
        <is>
          <t>419|炮灰怪</t>
        </is>
      </c>
      <c r="B3768" t="n">
        <v>419</v>
      </c>
      <c r="C3768" t="inlineStr">
        <is>
          <t>炮灰怪</t>
        </is>
      </c>
      <c r="D3768" t="n">
        <v>194511</v>
      </c>
      <c r="E3768" t="n">
        <v>92710</v>
      </c>
      <c r="F3768" t="n">
        <v>50896</v>
      </c>
    </row>
    <row r="3769">
      <c r="A3769" t="inlineStr">
        <is>
          <t>419|精英怪</t>
        </is>
      </c>
      <c r="B3769" t="n">
        <v>419</v>
      </c>
      <c r="C3769" t="inlineStr">
        <is>
          <t>精英怪</t>
        </is>
      </c>
      <c r="D3769" t="n">
        <v>5186952</v>
      </c>
      <c r="E3769" t="n">
        <v>92710</v>
      </c>
      <c r="F3769" t="n">
        <v>50896</v>
      </c>
    </row>
    <row r="3770">
      <c r="A3770" t="inlineStr">
        <is>
          <t>419|精英盾怪</t>
        </is>
      </c>
      <c r="B3770" t="n">
        <v>419</v>
      </c>
      <c r="C3770" t="inlineStr">
        <is>
          <t>精英盾怪</t>
        </is>
      </c>
      <c r="D3770" t="n">
        <v>11670642</v>
      </c>
      <c r="E3770" t="n">
        <v>92710</v>
      </c>
      <c r="F3770" t="n">
        <v>50896</v>
      </c>
    </row>
    <row r="3771">
      <c r="A3771" t="inlineStr">
        <is>
          <t>419|Boss</t>
        </is>
      </c>
      <c r="B3771" t="n">
        <v>419</v>
      </c>
      <c r="C3771" t="inlineStr">
        <is>
          <t>Boss</t>
        </is>
      </c>
      <c r="D3771" t="n">
        <v>135844518</v>
      </c>
      <c r="E3771" t="n">
        <v>98826</v>
      </c>
      <c r="F3771" t="n">
        <v>50896</v>
      </c>
    </row>
    <row r="3772">
      <c r="A3772" t="inlineStr">
        <is>
          <t>419|装备副本Boss</t>
        </is>
      </c>
      <c r="B3772" t="n">
        <v>419</v>
      </c>
      <c r="C3772" t="inlineStr">
        <is>
          <t>装备副本Boss</t>
        </is>
      </c>
      <c r="D3772" t="n">
        <v>67922259</v>
      </c>
      <c r="E3772" t="n">
        <v>98826</v>
      </c>
      <c r="F3772" t="n">
        <v>50896</v>
      </c>
    </row>
    <row r="3773">
      <c r="A3773" t="inlineStr">
        <is>
          <t>420|普通怪</t>
        </is>
      </c>
      <c r="B3773" t="n">
        <v>420</v>
      </c>
      <c r="C3773" t="inlineStr">
        <is>
          <t>普通怪</t>
        </is>
      </c>
      <c r="D3773" t="n">
        <v>1306516</v>
      </c>
      <c r="E3773" t="n">
        <v>93276</v>
      </c>
      <c r="F3773" t="n">
        <v>51065</v>
      </c>
    </row>
    <row r="3774">
      <c r="A3774" t="inlineStr">
        <is>
          <t>420|盾怪</t>
        </is>
      </c>
      <c r="B3774" t="n">
        <v>420</v>
      </c>
      <c r="C3774" t="inlineStr">
        <is>
          <t>盾怪</t>
        </is>
      </c>
      <c r="D3774" t="n">
        <v>3919548</v>
      </c>
      <c r="E3774" t="n">
        <v>93276</v>
      </c>
      <c r="F3774" t="n">
        <v>51065</v>
      </c>
    </row>
    <row r="3775">
      <c r="A3775" t="inlineStr">
        <is>
          <t>420|二级普通怪</t>
        </is>
      </c>
      <c r="B3775" t="n">
        <v>420</v>
      </c>
      <c r="C3775" t="inlineStr">
        <is>
          <t>二级普通怪</t>
        </is>
      </c>
      <c r="D3775" t="n">
        <v>2351729</v>
      </c>
      <c r="E3775" t="n">
        <v>93276</v>
      </c>
      <c r="F3775" t="n">
        <v>51065</v>
      </c>
    </row>
    <row r="3776">
      <c r="A3776" t="inlineStr">
        <is>
          <t>420|站桩怪</t>
        </is>
      </c>
      <c r="B3776" t="n">
        <v>420</v>
      </c>
      <c r="C3776" t="inlineStr">
        <is>
          <t>站桩怪</t>
        </is>
      </c>
      <c r="D3776" t="n">
        <v>653258</v>
      </c>
      <c r="E3776" t="n">
        <v>93276</v>
      </c>
      <c r="F3776" t="n">
        <v>51065</v>
      </c>
    </row>
    <row r="3777">
      <c r="A3777" t="inlineStr">
        <is>
          <t>420|炮灰怪</t>
        </is>
      </c>
      <c r="B3777" t="n">
        <v>420</v>
      </c>
      <c r="C3777" t="inlineStr">
        <is>
          <t>炮灰怪</t>
        </is>
      </c>
      <c r="D3777" t="n">
        <v>195978</v>
      </c>
      <c r="E3777" t="n">
        <v>93276</v>
      </c>
      <c r="F3777" t="n">
        <v>51065</v>
      </c>
    </row>
    <row r="3778">
      <c r="A3778" t="inlineStr">
        <is>
          <t>420|精英怪</t>
        </is>
      </c>
      <c r="B3778" t="n">
        <v>420</v>
      </c>
      <c r="C3778" t="inlineStr">
        <is>
          <t>精英怪</t>
        </is>
      </c>
      <c r="D3778" t="n">
        <v>5226064</v>
      </c>
      <c r="E3778" t="n">
        <v>93276</v>
      </c>
      <c r="F3778" t="n">
        <v>51065</v>
      </c>
    </row>
    <row r="3779">
      <c r="A3779" t="inlineStr">
        <is>
          <t>420|精英盾怪</t>
        </is>
      </c>
      <c r="B3779" t="n">
        <v>420</v>
      </c>
      <c r="C3779" t="inlineStr">
        <is>
          <t>精英盾怪</t>
        </is>
      </c>
      <c r="D3779" t="n">
        <v>11758644</v>
      </c>
      <c r="E3779" t="n">
        <v>93276</v>
      </c>
      <c r="F3779" t="n">
        <v>51065</v>
      </c>
    </row>
    <row r="3780">
      <c r="A3780" t="inlineStr">
        <is>
          <t>420|Boss</t>
        </is>
      </c>
      <c r="B3780" t="n">
        <v>420</v>
      </c>
      <c r="C3780" t="inlineStr">
        <is>
          <t>Boss</t>
        </is>
      </c>
      <c r="D3780" t="n">
        <v>136950402</v>
      </c>
      <c r="E3780" t="n">
        <v>99411</v>
      </c>
      <c r="F3780" t="n">
        <v>51065</v>
      </c>
    </row>
    <row r="3781">
      <c r="A3781" t="inlineStr">
        <is>
          <t>420|装备副本Boss</t>
        </is>
      </c>
      <c r="B3781" t="n">
        <v>420</v>
      </c>
      <c r="C3781" t="inlineStr">
        <is>
          <t>装备副本Boss</t>
        </is>
      </c>
      <c r="D3781" t="n">
        <v>68475201</v>
      </c>
      <c r="E3781" t="n">
        <v>99411</v>
      </c>
      <c r="F3781" t="n">
        <v>51065</v>
      </c>
    </row>
    <row r="3782">
      <c r="A3782" t="inlineStr">
        <is>
          <t>421|普通怪</t>
        </is>
      </c>
      <c r="B3782" t="n">
        <v>421</v>
      </c>
      <c r="C3782" t="inlineStr">
        <is>
          <t>普通怪</t>
        </is>
      </c>
      <c r="D3782" t="n">
        <v>1316352</v>
      </c>
      <c r="E3782" t="n">
        <v>93843</v>
      </c>
      <c r="F3782" t="n">
        <v>51235</v>
      </c>
    </row>
    <row r="3783">
      <c r="A3783" t="inlineStr">
        <is>
          <t>421|盾怪</t>
        </is>
      </c>
      <c r="B3783" t="n">
        <v>421</v>
      </c>
      <c r="C3783" t="inlineStr">
        <is>
          <t>盾怪</t>
        </is>
      </c>
      <c r="D3783" t="n">
        <v>3949056</v>
      </c>
      <c r="E3783" t="n">
        <v>93843</v>
      </c>
      <c r="F3783" t="n">
        <v>51235</v>
      </c>
    </row>
    <row r="3784">
      <c r="A3784" t="inlineStr">
        <is>
          <t>421|二级普通怪</t>
        </is>
      </c>
      <c r="B3784" t="n">
        <v>421</v>
      </c>
      <c r="C3784" t="inlineStr">
        <is>
          <t>二级普通怪</t>
        </is>
      </c>
      <c r="D3784" t="n">
        <v>2369434</v>
      </c>
      <c r="E3784" t="n">
        <v>93843</v>
      </c>
      <c r="F3784" t="n">
        <v>51235</v>
      </c>
    </row>
    <row r="3785">
      <c r="A3785" t="inlineStr">
        <is>
          <t>421|站桩怪</t>
        </is>
      </c>
      <c r="B3785" t="n">
        <v>421</v>
      </c>
      <c r="C3785" t="inlineStr">
        <is>
          <t>站桩怪</t>
        </is>
      </c>
      <c r="D3785" t="n">
        <v>658176</v>
      </c>
      <c r="E3785" t="n">
        <v>93843</v>
      </c>
      <c r="F3785" t="n">
        <v>51235</v>
      </c>
    </row>
    <row r="3786">
      <c r="A3786" t="inlineStr">
        <is>
          <t>421|炮灰怪</t>
        </is>
      </c>
      <c r="B3786" t="n">
        <v>421</v>
      </c>
      <c r="C3786" t="inlineStr">
        <is>
          <t>炮灰怪</t>
        </is>
      </c>
      <c r="D3786" t="n">
        <v>197453</v>
      </c>
      <c r="E3786" t="n">
        <v>93843</v>
      </c>
      <c r="F3786" t="n">
        <v>51235</v>
      </c>
    </row>
    <row r="3787">
      <c r="A3787" t="inlineStr">
        <is>
          <t>421|精英怪</t>
        </is>
      </c>
      <c r="B3787" t="n">
        <v>421</v>
      </c>
      <c r="C3787" t="inlineStr">
        <is>
          <t>精英怪</t>
        </is>
      </c>
      <c r="D3787" t="n">
        <v>5265408</v>
      </c>
      <c r="E3787" t="n">
        <v>93843</v>
      </c>
      <c r="F3787" t="n">
        <v>51235</v>
      </c>
    </row>
    <row r="3788">
      <c r="A3788" t="inlineStr">
        <is>
          <t>421|精英盾怪</t>
        </is>
      </c>
      <c r="B3788" t="n">
        <v>421</v>
      </c>
      <c r="C3788" t="inlineStr">
        <is>
          <t>精英盾怪</t>
        </is>
      </c>
      <c r="D3788" t="n">
        <v>11847168</v>
      </c>
      <c r="E3788" t="n">
        <v>93843</v>
      </c>
      <c r="F3788" t="n">
        <v>51235</v>
      </c>
    </row>
    <row r="3789">
      <c r="A3789" t="inlineStr">
        <is>
          <t>421|Boss</t>
        </is>
      </c>
      <c r="B3789" t="n">
        <v>421</v>
      </c>
      <c r="C3789" t="inlineStr">
        <is>
          <t>Boss</t>
        </is>
      </c>
      <c r="D3789" t="n">
        <v>138063630</v>
      </c>
      <c r="E3789" t="n">
        <v>99998</v>
      </c>
      <c r="F3789" t="n">
        <v>51235</v>
      </c>
    </row>
    <row r="3790">
      <c r="A3790" t="inlineStr">
        <is>
          <t>421|装备副本Boss</t>
        </is>
      </c>
      <c r="B3790" t="n">
        <v>421</v>
      </c>
      <c r="C3790" t="inlineStr">
        <is>
          <t>装备副本Boss</t>
        </is>
      </c>
      <c r="D3790" t="n">
        <v>69031815</v>
      </c>
      <c r="E3790" t="n">
        <v>99998</v>
      </c>
      <c r="F3790" t="n">
        <v>51235</v>
      </c>
    </row>
    <row r="3791">
      <c r="A3791" t="inlineStr">
        <is>
          <t>422|普通怪</t>
        </is>
      </c>
      <c r="B3791" t="n">
        <v>422</v>
      </c>
      <c r="C3791" t="inlineStr">
        <is>
          <t>普通怪</t>
        </is>
      </c>
      <c r="D3791" t="n">
        <v>1326248</v>
      </c>
      <c r="E3791" t="n">
        <v>94413</v>
      </c>
      <c r="F3791" t="n">
        <v>51404</v>
      </c>
    </row>
    <row r="3792">
      <c r="A3792" t="inlineStr">
        <is>
          <t>422|盾怪</t>
        </is>
      </c>
      <c r="B3792" t="n">
        <v>422</v>
      </c>
      <c r="C3792" t="inlineStr">
        <is>
          <t>盾怪</t>
        </is>
      </c>
      <c r="D3792" t="n">
        <v>3978744</v>
      </c>
      <c r="E3792" t="n">
        <v>94413</v>
      </c>
      <c r="F3792" t="n">
        <v>51404</v>
      </c>
    </row>
    <row r="3793">
      <c r="A3793" t="inlineStr">
        <is>
          <t>422|二级普通怪</t>
        </is>
      </c>
      <c r="B3793" t="n">
        <v>422</v>
      </c>
      <c r="C3793" t="inlineStr">
        <is>
          <t>二级普通怪</t>
        </is>
      </c>
      <c r="D3793" t="n">
        <v>2387247</v>
      </c>
      <c r="E3793" t="n">
        <v>94413</v>
      </c>
      <c r="F3793" t="n">
        <v>51404</v>
      </c>
    </row>
    <row r="3794">
      <c r="A3794" t="inlineStr">
        <is>
          <t>422|站桩怪</t>
        </is>
      </c>
      <c r="B3794" t="n">
        <v>422</v>
      </c>
      <c r="C3794" t="inlineStr">
        <is>
          <t>站桩怪</t>
        </is>
      </c>
      <c r="D3794" t="n">
        <v>663124</v>
      </c>
      <c r="E3794" t="n">
        <v>94413</v>
      </c>
      <c r="F3794" t="n">
        <v>51404</v>
      </c>
    </row>
    <row r="3795">
      <c r="A3795" t="inlineStr">
        <is>
          <t>422|炮灰怪</t>
        </is>
      </c>
      <c r="B3795" t="n">
        <v>422</v>
      </c>
      <c r="C3795" t="inlineStr">
        <is>
          <t>炮灰怪</t>
        </is>
      </c>
      <c r="D3795" t="n">
        <v>198938</v>
      </c>
      <c r="E3795" t="n">
        <v>94413</v>
      </c>
      <c r="F3795" t="n">
        <v>51404</v>
      </c>
    </row>
    <row r="3796">
      <c r="A3796" t="inlineStr">
        <is>
          <t>422|精英怪</t>
        </is>
      </c>
      <c r="B3796" t="n">
        <v>422</v>
      </c>
      <c r="C3796" t="inlineStr">
        <is>
          <t>精英怪</t>
        </is>
      </c>
      <c r="D3796" t="n">
        <v>5304992</v>
      </c>
      <c r="E3796" t="n">
        <v>94413</v>
      </c>
      <c r="F3796" t="n">
        <v>51404</v>
      </c>
    </row>
    <row r="3797">
      <c r="A3797" t="inlineStr">
        <is>
          <t>422|精英盾怪</t>
        </is>
      </c>
      <c r="B3797" t="n">
        <v>422</v>
      </c>
      <c r="C3797" t="inlineStr">
        <is>
          <t>精英盾怪</t>
        </is>
      </c>
      <c r="D3797" t="n">
        <v>11936232</v>
      </c>
      <c r="E3797" t="n">
        <v>94413</v>
      </c>
      <c r="F3797" t="n">
        <v>51404</v>
      </c>
    </row>
    <row r="3798">
      <c r="A3798" t="inlineStr">
        <is>
          <t>422|Boss</t>
        </is>
      </c>
      <c r="B3798" t="n">
        <v>422</v>
      </c>
      <c r="C3798" t="inlineStr">
        <is>
          <t>Boss</t>
        </is>
      </c>
      <c r="D3798" t="n">
        <v>139184304</v>
      </c>
      <c r="E3798" t="n">
        <v>100588</v>
      </c>
      <c r="F3798" t="n">
        <v>51404</v>
      </c>
    </row>
    <row r="3799">
      <c r="A3799" t="inlineStr">
        <is>
          <t>422|装备副本Boss</t>
        </is>
      </c>
      <c r="B3799" t="n">
        <v>422</v>
      </c>
      <c r="C3799" t="inlineStr">
        <is>
          <t>装备副本Boss</t>
        </is>
      </c>
      <c r="D3799" t="n">
        <v>69592152</v>
      </c>
      <c r="E3799" t="n">
        <v>100588</v>
      </c>
      <c r="F3799" t="n">
        <v>51404</v>
      </c>
    </row>
    <row r="3800">
      <c r="A3800" t="inlineStr">
        <is>
          <t>423|普通怪</t>
        </is>
      </c>
      <c r="B3800" t="n">
        <v>423</v>
      </c>
      <c r="C3800" t="inlineStr">
        <is>
          <t>普通怪</t>
        </is>
      </c>
      <c r="D3800" t="n">
        <v>1336202</v>
      </c>
      <c r="E3800" t="n">
        <v>94986</v>
      </c>
      <c r="F3800" t="n">
        <v>51574</v>
      </c>
    </row>
    <row r="3801">
      <c r="A3801" t="inlineStr">
        <is>
          <t>423|盾怪</t>
        </is>
      </c>
      <c r="B3801" t="n">
        <v>423</v>
      </c>
      <c r="C3801" t="inlineStr">
        <is>
          <t>盾怪</t>
        </is>
      </c>
      <c r="D3801" t="n">
        <v>4008606</v>
      </c>
      <c r="E3801" t="n">
        <v>94986</v>
      </c>
      <c r="F3801" t="n">
        <v>51574</v>
      </c>
    </row>
    <row r="3802">
      <c r="A3802" t="inlineStr">
        <is>
          <t>423|二级普通怪</t>
        </is>
      </c>
      <c r="B3802" t="n">
        <v>423</v>
      </c>
      <c r="C3802" t="inlineStr">
        <is>
          <t>二级普通怪</t>
        </is>
      </c>
      <c r="D3802" t="n">
        <v>2405164</v>
      </c>
      <c r="E3802" t="n">
        <v>94986</v>
      </c>
      <c r="F3802" t="n">
        <v>51574</v>
      </c>
    </row>
    <row r="3803">
      <c r="A3803" t="inlineStr">
        <is>
          <t>423|站桩怪</t>
        </is>
      </c>
      <c r="B3803" t="n">
        <v>423</v>
      </c>
      <c r="C3803" t="inlineStr">
        <is>
          <t>站桩怪</t>
        </is>
      </c>
      <c r="D3803" t="n">
        <v>668101</v>
      </c>
      <c r="E3803" t="n">
        <v>94986</v>
      </c>
      <c r="F3803" t="n">
        <v>51574</v>
      </c>
    </row>
    <row r="3804">
      <c r="A3804" t="inlineStr">
        <is>
          <t>423|炮灰怪</t>
        </is>
      </c>
      <c r="B3804" t="n">
        <v>423</v>
      </c>
      <c r="C3804" t="inlineStr">
        <is>
          <t>炮灰怪</t>
        </is>
      </c>
      <c r="D3804" t="n">
        <v>200431</v>
      </c>
      <c r="E3804" t="n">
        <v>94986</v>
      </c>
      <c r="F3804" t="n">
        <v>51574</v>
      </c>
    </row>
    <row r="3805">
      <c r="A3805" t="inlineStr">
        <is>
          <t>423|精英怪</t>
        </is>
      </c>
      <c r="B3805" t="n">
        <v>423</v>
      </c>
      <c r="C3805" t="inlineStr">
        <is>
          <t>精英怪</t>
        </is>
      </c>
      <c r="D3805" t="n">
        <v>5344808</v>
      </c>
      <c r="E3805" t="n">
        <v>94986</v>
      </c>
      <c r="F3805" t="n">
        <v>51574</v>
      </c>
    </row>
    <row r="3806">
      <c r="A3806" t="inlineStr">
        <is>
          <t>423|精英盾怪</t>
        </is>
      </c>
      <c r="B3806" t="n">
        <v>423</v>
      </c>
      <c r="C3806" t="inlineStr">
        <is>
          <t>精英盾怪</t>
        </is>
      </c>
      <c r="D3806" t="n">
        <v>12025818</v>
      </c>
      <c r="E3806" t="n">
        <v>94986</v>
      </c>
      <c r="F3806" t="n">
        <v>51574</v>
      </c>
    </row>
    <row r="3807">
      <c r="A3807" t="inlineStr">
        <is>
          <t>423|Boss</t>
        </is>
      </c>
      <c r="B3807" t="n">
        <v>423</v>
      </c>
      <c r="C3807" t="inlineStr">
        <is>
          <t>Boss</t>
        </is>
      </c>
      <c r="D3807" t="n">
        <v>140312373</v>
      </c>
      <c r="E3807" t="n">
        <v>101181</v>
      </c>
      <c r="F3807" t="n">
        <v>51574</v>
      </c>
    </row>
    <row r="3808">
      <c r="A3808" t="inlineStr">
        <is>
          <t>423|装备副本Boss</t>
        </is>
      </c>
      <c r="B3808" t="n">
        <v>423</v>
      </c>
      <c r="C3808" t="inlineStr">
        <is>
          <t>装备副本Boss</t>
        </is>
      </c>
      <c r="D3808" t="n">
        <v>70156187</v>
      </c>
      <c r="E3808" t="n">
        <v>101181</v>
      </c>
      <c r="F3808" t="n">
        <v>51574</v>
      </c>
    </row>
    <row r="3809">
      <c r="A3809" t="inlineStr">
        <is>
          <t>424|普通怪</t>
        </is>
      </c>
      <c r="B3809" t="n">
        <v>424</v>
      </c>
      <c r="C3809" t="inlineStr">
        <is>
          <t>普通怪</t>
        </is>
      </c>
      <c r="D3809" t="n">
        <v>1346217</v>
      </c>
      <c r="E3809" t="n">
        <v>95562</v>
      </c>
      <c r="F3809" t="n">
        <v>51744</v>
      </c>
    </row>
    <row r="3810">
      <c r="A3810" t="inlineStr">
        <is>
          <t>424|盾怪</t>
        </is>
      </c>
      <c r="B3810" t="n">
        <v>424</v>
      </c>
      <c r="C3810" t="inlineStr">
        <is>
          <t>盾怪</t>
        </is>
      </c>
      <c r="D3810" t="n">
        <v>4038651</v>
      </c>
      <c r="E3810" t="n">
        <v>95562</v>
      </c>
      <c r="F3810" t="n">
        <v>51744</v>
      </c>
    </row>
    <row r="3811">
      <c r="A3811" t="inlineStr">
        <is>
          <t>424|二级普通怪</t>
        </is>
      </c>
      <c r="B3811" t="n">
        <v>424</v>
      </c>
      <c r="C3811" t="inlineStr">
        <is>
          <t>二级普通怪</t>
        </is>
      </c>
      <c r="D3811" t="n">
        <v>2423191</v>
      </c>
      <c r="E3811" t="n">
        <v>95562</v>
      </c>
      <c r="F3811" t="n">
        <v>51744</v>
      </c>
    </row>
    <row r="3812">
      <c r="A3812" t="inlineStr">
        <is>
          <t>424|站桩怪</t>
        </is>
      </c>
      <c r="B3812" t="n">
        <v>424</v>
      </c>
      <c r="C3812" t="inlineStr">
        <is>
          <t>站桩怪</t>
        </is>
      </c>
      <c r="D3812" t="n">
        <v>673109</v>
      </c>
      <c r="E3812" t="n">
        <v>95562</v>
      </c>
      <c r="F3812" t="n">
        <v>51744</v>
      </c>
    </row>
    <row r="3813">
      <c r="A3813" t="inlineStr">
        <is>
          <t>424|炮灰怪</t>
        </is>
      </c>
      <c r="B3813" t="n">
        <v>424</v>
      </c>
      <c r="C3813" t="inlineStr">
        <is>
          <t>炮灰怪</t>
        </is>
      </c>
      <c r="D3813" t="n">
        <v>201933</v>
      </c>
      <c r="E3813" t="n">
        <v>95562</v>
      </c>
      <c r="F3813" t="n">
        <v>51744</v>
      </c>
    </row>
    <row r="3814">
      <c r="A3814" t="inlineStr">
        <is>
          <t>424|精英怪</t>
        </is>
      </c>
      <c r="B3814" t="n">
        <v>424</v>
      </c>
      <c r="C3814" t="inlineStr">
        <is>
          <t>精英怪</t>
        </is>
      </c>
      <c r="D3814" t="n">
        <v>5384868</v>
      </c>
      <c r="E3814" t="n">
        <v>95562</v>
      </c>
      <c r="F3814" t="n">
        <v>51744</v>
      </c>
    </row>
    <row r="3815">
      <c r="A3815" t="inlineStr">
        <is>
          <t>424|精英盾怪</t>
        </is>
      </c>
      <c r="B3815" t="n">
        <v>424</v>
      </c>
      <c r="C3815" t="inlineStr">
        <is>
          <t>精英盾怪</t>
        </is>
      </c>
      <c r="D3815" t="n">
        <v>12115953</v>
      </c>
      <c r="E3815" t="n">
        <v>95562</v>
      </c>
      <c r="F3815" t="n">
        <v>51744</v>
      </c>
    </row>
    <row r="3816">
      <c r="A3816" t="inlineStr">
        <is>
          <t>424|Boss</t>
        </is>
      </c>
      <c r="B3816" t="n">
        <v>424</v>
      </c>
      <c r="C3816" t="inlineStr">
        <is>
          <t>Boss</t>
        </is>
      </c>
      <c r="D3816" t="n">
        <v>141447939</v>
      </c>
      <c r="E3816" t="n">
        <v>101777</v>
      </c>
      <c r="F3816" t="n">
        <v>51744</v>
      </c>
    </row>
    <row r="3817">
      <c r="A3817" t="inlineStr">
        <is>
          <t>424|装备副本Boss</t>
        </is>
      </c>
      <c r="B3817" t="n">
        <v>424</v>
      </c>
      <c r="C3817" t="inlineStr">
        <is>
          <t>装备副本Boss</t>
        </is>
      </c>
      <c r="D3817" t="n">
        <v>70723970</v>
      </c>
      <c r="E3817" t="n">
        <v>101777</v>
      </c>
      <c r="F3817" t="n">
        <v>51744</v>
      </c>
    </row>
    <row r="3818">
      <c r="A3818" t="inlineStr">
        <is>
          <t>425|普通怪</t>
        </is>
      </c>
      <c r="B3818" t="n">
        <v>425</v>
      </c>
      <c r="C3818" t="inlineStr">
        <is>
          <t>普通怪</t>
        </is>
      </c>
      <c r="D3818" t="n">
        <v>1356291</v>
      </c>
      <c r="E3818" t="n">
        <v>96141</v>
      </c>
      <c r="F3818" t="n">
        <v>51915</v>
      </c>
    </row>
    <row r="3819">
      <c r="A3819" t="inlineStr">
        <is>
          <t>425|盾怪</t>
        </is>
      </c>
      <c r="B3819" t="n">
        <v>425</v>
      </c>
      <c r="C3819" t="inlineStr">
        <is>
          <t>盾怪</t>
        </is>
      </c>
      <c r="D3819" t="n">
        <v>4068873</v>
      </c>
      <c r="E3819" t="n">
        <v>96141</v>
      </c>
      <c r="F3819" t="n">
        <v>51915</v>
      </c>
    </row>
    <row r="3820">
      <c r="A3820" t="inlineStr">
        <is>
          <t>425|二级普通怪</t>
        </is>
      </c>
      <c r="B3820" t="n">
        <v>425</v>
      </c>
      <c r="C3820" t="inlineStr">
        <is>
          <t>二级普通怪</t>
        </is>
      </c>
      <c r="D3820" t="n">
        <v>2441324</v>
      </c>
      <c r="E3820" t="n">
        <v>96141</v>
      </c>
      <c r="F3820" t="n">
        <v>51915</v>
      </c>
    </row>
    <row r="3821">
      <c r="A3821" t="inlineStr">
        <is>
          <t>425|站桩怪</t>
        </is>
      </c>
      <c r="B3821" t="n">
        <v>425</v>
      </c>
      <c r="C3821" t="inlineStr">
        <is>
          <t>站桩怪</t>
        </is>
      </c>
      <c r="D3821" t="n">
        <v>678146</v>
      </c>
      <c r="E3821" t="n">
        <v>96141</v>
      </c>
      <c r="F3821" t="n">
        <v>51915</v>
      </c>
    </row>
    <row r="3822">
      <c r="A3822" t="inlineStr">
        <is>
          <t>425|炮灰怪</t>
        </is>
      </c>
      <c r="B3822" t="n">
        <v>425</v>
      </c>
      <c r="C3822" t="inlineStr">
        <is>
          <t>炮灰怪</t>
        </is>
      </c>
      <c r="D3822" t="n">
        <v>203444</v>
      </c>
      <c r="E3822" t="n">
        <v>96141</v>
      </c>
      <c r="F3822" t="n">
        <v>51915</v>
      </c>
    </row>
    <row r="3823">
      <c r="A3823" t="inlineStr">
        <is>
          <t>425|精英怪</t>
        </is>
      </c>
      <c r="B3823" t="n">
        <v>425</v>
      </c>
      <c r="C3823" t="inlineStr">
        <is>
          <t>精英怪</t>
        </is>
      </c>
      <c r="D3823" t="n">
        <v>5425164</v>
      </c>
      <c r="E3823" t="n">
        <v>96141</v>
      </c>
      <c r="F3823" t="n">
        <v>51915</v>
      </c>
    </row>
    <row r="3824">
      <c r="A3824" t="inlineStr">
        <is>
          <t>425|精英盾怪</t>
        </is>
      </c>
      <c r="B3824" t="n">
        <v>425</v>
      </c>
      <c r="C3824" t="inlineStr">
        <is>
          <t>精英盾怪</t>
        </is>
      </c>
      <c r="D3824" t="n">
        <v>12206619</v>
      </c>
      <c r="E3824" t="n">
        <v>96141</v>
      </c>
      <c r="F3824" t="n">
        <v>51915</v>
      </c>
    </row>
    <row r="3825">
      <c r="A3825" t="inlineStr">
        <is>
          <t>425|Boss</t>
        </is>
      </c>
      <c r="B3825" t="n">
        <v>425</v>
      </c>
      <c r="C3825" t="inlineStr">
        <is>
          <t>Boss</t>
        </is>
      </c>
      <c r="D3825" t="n">
        <v>142591002</v>
      </c>
      <c r="E3825" t="n">
        <v>102376</v>
      </c>
      <c r="F3825" t="n">
        <v>51915</v>
      </c>
    </row>
    <row r="3826">
      <c r="A3826" t="inlineStr">
        <is>
          <t>425|装备副本Boss</t>
        </is>
      </c>
      <c r="B3826" t="n">
        <v>425</v>
      </c>
      <c r="C3826" t="inlineStr">
        <is>
          <t>装备副本Boss</t>
        </is>
      </c>
      <c r="D3826" t="n">
        <v>71295501</v>
      </c>
      <c r="E3826" t="n">
        <v>102376</v>
      </c>
      <c r="F3826" t="n">
        <v>51915</v>
      </c>
    </row>
    <row r="3827">
      <c r="A3827" t="inlineStr">
        <is>
          <t>426|普通怪</t>
        </is>
      </c>
      <c r="B3827" t="n">
        <v>426</v>
      </c>
      <c r="C3827" t="inlineStr">
        <is>
          <t>普通怪</t>
        </is>
      </c>
      <c r="D3827" t="n">
        <v>1366425</v>
      </c>
      <c r="E3827" t="n">
        <v>96723</v>
      </c>
      <c r="F3827" t="n">
        <v>52085</v>
      </c>
    </row>
    <row r="3828">
      <c r="A3828" t="inlineStr">
        <is>
          <t>426|盾怪</t>
        </is>
      </c>
      <c r="B3828" t="n">
        <v>426</v>
      </c>
      <c r="C3828" t="inlineStr">
        <is>
          <t>盾怪</t>
        </is>
      </c>
      <c r="D3828" t="n">
        <v>4099275</v>
      </c>
      <c r="E3828" t="n">
        <v>96723</v>
      </c>
      <c r="F3828" t="n">
        <v>52085</v>
      </c>
    </row>
    <row r="3829">
      <c r="A3829" t="inlineStr">
        <is>
          <t>426|二级普通怪</t>
        </is>
      </c>
      <c r="B3829" t="n">
        <v>426</v>
      </c>
      <c r="C3829" t="inlineStr">
        <is>
          <t>二级普通怪</t>
        </is>
      </c>
      <c r="D3829" t="n">
        <v>2459565</v>
      </c>
      <c r="E3829" t="n">
        <v>96723</v>
      </c>
      <c r="F3829" t="n">
        <v>52085</v>
      </c>
    </row>
    <row r="3830">
      <c r="A3830" t="inlineStr">
        <is>
          <t>426|站桩怪</t>
        </is>
      </c>
      <c r="B3830" t="n">
        <v>426</v>
      </c>
      <c r="C3830" t="inlineStr">
        <is>
          <t>站桩怪</t>
        </is>
      </c>
      <c r="D3830" t="n">
        <v>683213</v>
      </c>
      <c r="E3830" t="n">
        <v>96723</v>
      </c>
      <c r="F3830" t="n">
        <v>52085</v>
      </c>
    </row>
    <row r="3831">
      <c r="A3831" t="inlineStr">
        <is>
          <t>426|炮灰怪</t>
        </is>
      </c>
      <c r="B3831" t="n">
        <v>426</v>
      </c>
      <c r="C3831" t="inlineStr">
        <is>
          <t>炮灰怪</t>
        </is>
      </c>
      <c r="D3831" t="n">
        <v>204964</v>
      </c>
      <c r="E3831" t="n">
        <v>96723</v>
      </c>
      <c r="F3831" t="n">
        <v>52085</v>
      </c>
    </row>
    <row r="3832">
      <c r="A3832" t="inlineStr">
        <is>
          <t>426|精英怪</t>
        </is>
      </c>
      <c r="B3832" t="n">
        <v>426</v>
      </c>
      <c r="C3832" t="inlineStr">
        <is>
          <t>精英怪</t>
        </is>
      </c>
      <c r="D3832" t="n">
        <v>5465700</v>
      </c>
      <c r="E3832" t="n">
        <v>96723</v>
      </c>
      <c r="F3832" t="n">
        <v>52085</v>
      </c>
    </row>
    <row r="3833">
      <c r="A3833" t="inlineStr">
        <is>
          <t>426|精英盾怪</t>
        </is>
      </c>
      <c r="B3833" t="n">
        <v>426</v>
      </c>
      <c r="C3833" t="inlineStr">
        <is>
          <t>精英盾怪</t>
        </is>
      </c>
      <c r="D3833" t="n">
        <v>12297825</v>
      </c>
      <c r="E3833" t="n">
        <v>96723</v>
      </c>
      <c r="F3833" t="n">
        <v>52085</v>
      </c>
    </row>
    <row r="3834">
      <c r="A3834" t="inlineStr">
        <is>
          <t>426|Boss</t>
        </is>
      </c>
      <c r="B3834" t="n">
        <v>426</v>
      </c>
      <c r="C3834" t="inlineStr">
        <is>
          <t>Boss</t>
        </is>
      </c>
      <c r="D3834" t="n">
        <v>143741664</v>
      </c>
      <c r="E3834" t="n">
        <v>102978</v>
      </c>
      <c r="F3834" t="n">
        <v>52085</v>
      </c>
    </row>
    <row r="3835">
      <c r="A3835" t="inlineStr">
        <is>
          <t>426|装备副本Boss</t>
        </is>
      </c>
      <c r="B3835" t="n">
        <v>426</v>
      </c>
      <c r="C3835" t="inlineStr">
        <is>
          <t>装备副本Boss</t>
        </is>
      </c>
      <c r="D3835" t="n">
        <v>71870832</v>
      </c>
      <c r="E3835" t="n">
        <v>102978</v>
      </c>
      <c r="F3835" t="n">
        <v>52085</v>
      </c>
    </row>
    <row r="3836">
      <c r="A3836" t="inlineStr">
        <is>
          <t>427|普通怪</t>
        </is>
      </c>
      <c r="B3836" t="n">
        <v>427</v>
      </c>
      <c r="C3836" t="inlineStr">
        <is>
          <t>普通怪</t>
        </is>
      </c>
      <c r="D3836" t="n">
        <v>1376620</v>
      </c>
      <c r="E3836" t="n">
        <v>97307</v>
      </c>
      <c r="F3836" t="n">
        <v>52256</v>
      </c>
    </row>
    <row r="3837">
      <c r="A3837" t="inlineStr">
        <is>
          <t>427|盾怪</t>
        </is>
      </c>
      <c r="B3837" t="n">
        <v>427</v>
      </c>
      <c r="C3837" t="inlineStr">
        <is>
          <t>盾怪</t>
        </is>
      </c>
      <c r="D3837" t="n">
        <v>4129860</v>
      </c>
      <c r="E3837" t="n">
        <v>97307</v>
      </c>
      <c r="F3837" t="n">
        <v>52256</v>
      </c>
    </row>
    <row r="3838">
      <c r="A3838" t="inlineStr">
        <is>
          <t>427|二级普通怪</t>
        </is>
      </c>
      <c r="B3838" t="n">
        <v>427</v>
      </c>
      <c r="C3838" t="inlineStr">
        <is>
          <t>二级普通怪</t>
        </is>
      </c>
      <c r="D3838" t="n">
        <v>2477916</v>
      </c>
      <c r="E3838" t="n">
        <v>97307</v>
      </c>
      <c r="F3838" t="n">
        <v>52256</v>
      </c>
    </row>
    <row r="3839">
      <c r="A3839" t="inlineStr">
        <is>
          <t>427|站桩怪</t>
        </is>
      </c>
      <c r="B3839" t="n">
        <v>427</v>
      </c>
      <c r="C3839" t="inlineStr">
        <is>
          <t>站桩怪</t>
        </is>
      </c>
      <c r="D3839" t="n">
        <v>688310</v>
      </c>
      <c r="E3839" t="n">
        <v>97307</v>
      </c>
      <c r="F3839" t="n">
        <v>52256</v>
      </c>
    </row>
    <row r="3840">
      <c r="A3840" t="inlineStr">
        <is>
          <t>427|炮灰怪</t>
        </is>
      </c>
      <c r="B3840" t="n">
        <v>427</v>
      </c>
      <c r="C3840" t="inlineStr">
        <is>
          <t>炮灰怪</t>
        </is>
      </c>
      <c r="D3840" t="n">
        <v>206493</v>
      </c>
      <c r="E3840" t="n">
        <v>97307</v>
      </c>
      <c r="F3840" t="n">
        <v>52256</v>
      </c>
    </row>
    <row r="3841">
      <c r="A3841" t="inlineStr">
        <is>
          <t>427|精英怪</t>
        </is>
      </c>
      <c r="B3841" t="n">
        <v>427</v>
      </c>
      <c r="C3841" t="inlineStr">
        <is>
          <t>精英怪</t>
        </is>
      </c>
      <c r="D3841" t="n">
        <v>5506480</v>
      </c>
      <c r="E3841" t="n">
        <v>97307</v>
      </c>
      <c r="F3841" t="n">
        <v>52256</v>
      </c>
    </row>
    <row r="3842">
      <c r="A3842" t="inlineStr">
        <is>
          <t>427|精英盾怪</t>
        </is>
      </c>
      <c r="B3842" t="n">
        <v>427</v>
      </c>
      <c r="C3842" t="inlineStr">
        <is>
          <t>精英盾怪</t>
        </is>
      </c>
      <c r="D3842" t="n">
        <v>12389580</v>
      </c>
      <c r="E3842" t="n">
        <v>97307</v>
      </c>
      <c r="F3842" t="n">
        <v>52256</v>
      </c>
    </row>
    <row r="3843">
      <c r="A3843" t="inlineStr">
        <is>
          <t>427|Boss</t>
        </is>
      </c>
      <c r="B3843" t="n">
        <v>427</v>
      </c>
      <c r="C3843" t="inlineStr">
        <is>
          <t>Boss</t>
        </is>
      </c>
      <c r="D3843" t="n">
        <v>144899925</v>
      </c>
      <c r="E3843" t="n">
        <v>103582</v>
      </c>
      <c r="F3843" t="n">
        <v>52256</v>
      </c>
    </row>
    <row r="3844">
      <c r="A3844" t="inlineStr">
        <is>
          <t>427|装备副本Boss</t>
        </is>
      </c>
      <c r="B3844" t="n">
        <v>427</v>
      </c>
      <c r="C3844" t="inlineStr">
        <is>
          <t>装备副本Boss</t>
        </is>
      </c>
      <c r="D3844" t="n">
        <v>72449963</v>
      </c>
      <c r="E3844" t="n">
        <v>103582</v>
      </c>
      <c r="F3844" t="n">
        <v>52256</v>
      </c>
    </row>
    <row r="3845">
      <c r="A3845" t="inlineStr">
        <is>
          <t>428|普通怪</t>
        </is>
      </c>
      <c r="B3845" t="n">
        <v>428</v>
      </c>
      <c r="C3845" t="inlineStr">
        <is>
          <t>普通怪</t>
        </is>
      </c>
      <c r="D3845" t="n">
        <v>1386876</v>
      </c>
      <c r="E3845" t="n">
        <v>97895</v>
      </c>
      <c r="F3845" t="n">
        <v>52427</v>
      </c>
    </row>
    <row r="3846">
      <c r="A3846" t="inlineStr">
        <is>
          <t>428|盾怪</t>
        </is>
      </c>
      <c r="B3846" t="n">
        <v>428</v>
      </c>
      <c r="C3846" t="inlineStr">
        <is>
          <t>盾怪</t>
        </is>
      </c>
      <c r="D3846" t="n">
        <v>4160628</v>
      </c>
      <c r="E3846" t="n">
        <v>97895</v>
      </c>
      <c r="F3846" t="n">
        <v>52427</v>
      </c>
    </row>
    <row r="3847">
      <c r="A3847" t="inlineStr">
        <is>
          <t>428|二级普通怪</t>
        </is>
      </c>
      <c r="B3847" t="n">
        <v>428</v>
      </c>
      <c r="C3847" t="inlineStr">
        <is>
          <t>二级普通怪</t>
        </is>
      </c>
      <c r="D3847" t="n">
        <v>2496377</v>
      </c>
      <c r="E3847" t="n">
        <v>97895</v>
      </c>
      <c r="F3847" t="n">
        <v>52427</v>
      </c>
    </row>
    <row r="3848">
      <c r="A3848" t="inlineStr">
        <is>
          <t>428|站桩怪</t>
        </is>
      </c>
      <c r="B3848" t="n">
        <v>428</v>
      </c>
      <c r="C3848" t="inlineStr">
        <is>
          <t>站桩怪</t>
        </is>
      </c>
      <c r="D3848" t="n">
        <v>693438</v>
      </c>
      <c r="E3848" t="n">
        <v>97895</v>
      </c>
      <c r="F3848" t="n">
        <v>52427</v>
      </c>
    </row>
    <row r="3849">
      <c r="A3849" t="inlineStr">
        <is>
          <t>428|炮灰怪</t>
        </is>
      </c>
      <c r="B3849" t="n">
        <v>428</v>
      </c>
      <c r="C3849" t="inlineStr">
        <is>
          <t>炮灰怪</t>
        </is>
      </c>
      <c r="D3849" t="n">
        <v>208032</v>
      </c>
      <c r="E3849" t="n">
        <v>97895</v>
      </c>
      <c r="F3849" t="n">
        <v>52427</v>
      </c>
    </row>
    <row r="3850">
      <c r="A3850" t="inlineStr">
        <is>
          <t>428|精英怪</t>
        </is>
      </c>
      <c r="B3850" t="n">
        <v>428</v>
      </c>
      <c r="C3850" t="inlineStr">
        <is>
          <t>精英怪</t>
        </is>
      </c>
      <c r="D3850" t="n">
        <v>5547504</v>
      </c>
      <c r="E3850" t="n">
        <v>97895</v>
      </c>
      <c r="F3850" t="n">
        <v>52427</v>
      </c>
    </row>
    <row r="3851">
      <c r="A3851" t="inlineStr">
        <is>
          <t>428|精英盾怪</t>
        </is>
      </c>
      <c r="B3851" t="n">
        <v>428</v>
      </c>
      <c r="C3851" t="inlineStr">
        <is>
          <t>精英盾怪</t>
        </is>
      </c>
      <c r="D3851" t="n">
        <v>12481884</v>
      </c>
      <c r="E3851" t="n">
        <v>97895</v>
      </c>
      <c r="F3851" t="n">
        <v>52427</v>
      </c>
    </row>
    <row r="3852">
      <c r="A3852" t="inlineStr">
        <is>
          <t>428|Boss</t>
        </is>
      </c>
      <c r="B3852" t="n">
        <v>428</v>
      </c>
      <c r="C3852" t="inlineStr">
        <is>
          <t>Boss</t>
        </is>
      </c>
      <c r="D3852" t="n">
        <v>146065785</v>
      </c>
      <c r="E3852" t="n">
        <v>104190</v>
      </c>
      <c r="F3852" t="n">
        <v>52427</v>
      </c>
    </row>
    <row r="3853">
      <c r="A3853" t="inlineStr">
        <is>
          <t>428|装备副本Boss</t>
        </is>
      </c>
      <c r="B3853" t="n">
        <v>428</v>
      </c>
      <c r="C3853" t="inlineStr">
        <is>
          <t>装备副本Boss</t>
        </is>
      </c>
      <c r="D3853" t="n">
        <v>73032893</v>
      </c>
      <c r="E3853" t="n">
        <v>104190</v>
      </c>
      <c r="F3853" t="n">
        <v>52427</v>
      </c>
    </row>
    <row r="3854">
      <c r="A3854" t="inlineStr">
        <is>
          <t>429|普通怪</t>
        </is>
      </c>
      <c r="B3854" t="n">
        <v>429</v>
      </c>
      <c r="C3854" t="inlineStr">
        <is>
          <t>普通怪</t>
        </is>
      </c>
      <c r="D3854" t="n">
        <v>1397192</v>
      </c>
      <c r="E3854" t="n">
        <v>98486</v>
      </c>
      <c r="F3854" t="n">
        <v>52599</v>
      </c>
    </row>
    <row r="3855">
      <c r="A3855" t="inlineStr">
        <is>
          <t>429|盾怪</t>
        </is>
      </c>
      <c r="B3855" t="n">
        <v>429</v>
      </c>
      <c r="C3855" t="inlineStr">
        <is>
          <t>盾怪</t>
        </is>
      </c>
      <c r="D3855" t="n">
        <v>4191576</v>
      </c>
      <c r="E3855" t="n">
        <v>98486</v>
      </c>
      <c r="F3855" t="n">
        <v>52599</v>
      </c>
    </row>
    <row r="3856">
      <c r="A3856" t="inlineStr">
        <is>
          <t>429|二级普通怪</t>
        </is>
      </c>
      <c r="B3856" t="n">
        <v>429</v>
      </c>
      <c r="C3856" t="inlineStr">
        <is>
          <t>二级普通怪</t>
        </is>
      </c>
      <c r="D3856" t="n">
        <v>2514946</v>
      </c>
      <c r="E3856" t="n">
        <v>98486</v>
      </c>
      <c r="F3856" t="n">
        <v>52599</v>
      </c>
    </row>
    <row r="3857">
      <c r="A3857" t="inlineStr">
        <is>
          <t>429|站桩怪</t>
        </is>
      </c>
      <c r="B3857" t="n">
        <v>429</v>
      </c>
      <c r="C3857" t="inlineStr">
        <is>
          <t>站桩怪</t>
        </is>
      </c>
      <c r="D3857" t="n">
        <v>698596</v>
      </c>
      <c r="E3857" t="n">
        <v>98486</v>
      </c>
      <c r="F3857" t="n">
        <v>52599</v>
      </c>
    </row>
    <row r="3858">
      <c r="A3858" t="inlineStr">
        <is>
          <t>429|炮灰怪</t>
        </is>
      </c>
      <c r="B3858" t="n">
        <v>429</v>
      </c>
      <c r="C3858" t="inlineStr">
        <is>
          <t>炮灰怪</t>
        </is>
      </c>
      <c r="D3858" t="n">
        <v>209579</v>
      </c>
      <c r="E3858" t="n">
        <v>98486</v>
      </c>
      <c r="F3858" t="n">
        <v>52599</v>
      </c>
    </row>
    <row r="3859">
      <c r="A3859" t="inlineStr">
        <is>
          <t>429|精英怪</t>
        </is>
      </c>
      <c r="B3859" t="n">
        <v>429</v>
      </c>
      <c r="C3859" t="inlineStr">
        <is>
          <t>精英怪</t>
        </is>
      </c>
      <c r="D3859" t="n">
        <v>5588768</v>
      </c>
      <c r="E3859" t="n">
        <v>98486</v>
      </c>
      <c r="F3859" t="n">
        <v>52599</v>
      </c>
    </row>
    <row r="3860">
      <c r="A3860" t="inlineStr">
        <is>
          <t>429|精英盾怪</t>
        </is>
      </c>
      <c r="B3860" t="n">
        <v>429</v>
      </c>
      <c r="C3860" t="inlineStr">
        <is>
          <t>精英盾怪</t>
        </is>
      </c>
      <c r="D3860" t="n">
        <v>12574728</v>
      </c>
      <c r="E3860" t="n">
        <v>98486</v>
      </c>
      <c r="F3860" t="n">
        <v>52599</v>
      </c>
    </row>
    <row r="3861">
      <c r="A3861" t="inlineStr">
        <is>
          <t>429|Boss</t>
        </is>
      </c>
      <c r="B3861" t="n">
        <v>429</v>
      </c>
      <c r="C3861" t="inlineStr">
        <is>
          <t>Boss</t>
        </is>
      </c>
      <c r="D3861" t="n">
        <v>147239397</v>
      </c>
      <c r="E3861" t="n">
        <v>104801</v>
      </c>
      <c r="F3861" t="n">
        <v>52599</v>
      </c>
    </row>
    <row r="3862">
      <c r="A3862" t="inlineStr">
        <is>
          <t>429|装备副本Boss</t>
        </is>
      </c>
      <c r="B3862" t="n">
        <v>429</v>
      </c>
      <c r="C3862" t="inlineStr">
        <is>
          <t>装备副本Boss</t>
        </is>
      </c>
      <c r="D3862" t="n">
        <v>73619699</v>
      </c>
      <c r="E3862" t="n">
        <v>104801</v>
      </c>
      <c r="F3862" t="n">
        <v>52599</v>
      </c>
    </row>
    <row r="3863">
      <c r="A3863" t="inlineStr">
        <is>
          <t>430|普通怪</t>
        </is>
      </c>
      <c r="B3863" t="n">
        <v>430</v>
      </c>
      <c r="C3863" t="inlineStr">
        <is>
          <t>普通怪</t>
        </is>
      </c>
      <c r="D3863" t="n">
        <v>1407570</v>
      </c>
      <c r="E3863" t="n">
        <v>99080</v>
      </c>
      <c r="F3863" t="n">
        <v>52770</v>
      </c>
    </row>
    <row r="3864">
      <c r="A3864" t="inlineStr">
        <is>
          <t>430|盾怪</t>
        </is>
      </c>
      <c r="B3864" t="n">
        <v>430</v>
      </c>
      <c r="C3864" t="inlineStr">
        <is>
          <t>盾怪</t>
        </is>
      </c>
      <c r="D3864" t="n">
        <v>4222710</v>
      </c>
      <c r="E3864" t="n">
        <v>99080</v>
      </c>
      <c r="F3864" t="n">
        <v>52770</v>
      </c>
    </row>
    <row r="3865">
      <c r="A3865" t="inlineStr">
        <is>
          <t>430|二级普通怪</t>
        </is>
      </c>
      <c r="B3865" t="n">
        <v>430</v>
      </c>
      <c r="C3865" t="inlineStr">
        <is>
          <t>二级普通怪</t>
        </is>
      </c>
      <c r="D3865" t="n">
        <v>2533626</v>
      </c>
      <c r="E3865" t="n">
        <v>99080</v>
      </c>
      <c r="F3865" t="n">
        <v>52770</v>
      </c>
    </row>
    <row r="3866">
      <c r="A3866" t="inlineStr">
        <is>
          <t>430|站桩怪</t>
        </is>
      </c>
      <c r="B3866" t="n">
        <v>430</v>
      </c>
      <c r="C3866" t="inlineStr">
        <is>
          <t>站桩怪</t>
        </is>
      </c>
      <c r="D3866" t="n">
        <v>703785</v>
      </c>
      <c r="E3866" t="n">
        <v>99080</v>
      </c>
      <c r="F3866" t="n">
        <v>52770</v>
      </c>
    </row>
    <row r="3867">
      <c r="A3867" t="inlineStr">
        <is>
          <t>430|炮灰怪</t>
        </is>
      </c>
      <c r="B3867" t="n">
        <v>430</v>
      </c>
      <c r="C3867" t="inlineStr">
        <is>
          <t>炮灰怪</t>
        </is>
      </c>
      <c r="D3867" t="n">
        <v>211136</v>
      </c>
      <c r="E3867" t="n">
        <v>99080</v>
      </c>
      <c r="F3867" t="n">
        <v>52770</v>
      </c>
    </row>
    <row r="3868">
      <c r="A3868" t="inlineStr">
        <is>
          <t>430|精英怪</t>
        </is>
      </c>
      <c r="B3868" t="n">
        <v>430</v>
      </c>
      <c r="C3868" t="inlineStr">
        <is>
          <t>精英怪</t>
        </is>
      </c>
      <c r="D3868" t="n">
        <v>5630280</v>
      </c>
      <c r="E3868" t="n">
        <v>99080</v>
      </c>
      <c r="F3868" t="n">
        <v>52770</v>
      </c>
    </row>
    <row r="3869">
      <c r="A3869" t="inlineStr">
        <is>
          <t>430|精英盾怪</t>
        </is>
      </c>
      <c r="B3869" t="n">
        <v>430</v>
      </c>
      <c r="C3869" t="inlineStr">
        <is>
          <t>精英盾怪</t>
        </is>
      </c>
      <c r="D3869" t="n">
        <v>12668130</v>
      </c>
      <c r="E3869" t="n">
        <v>99080</v>
      </c>
      <c r="F3869" t="n">
        <v>52770</v>
      </c>
    </row>
    <row r="3870">
      <c r="A3870" t="inlineStr">
        <is>
          <t>430|Boss</t>
        </is>
      </c>
      <c r="B3870" t="n">
        <v>430</v>
      </c>
      <c r="C3870" t="inlineStr">
        <is>
          <t>Boss</t>
        </is>
      </c>
      <c r="D3870" t="n">
        <v>148420659</v>
      </c>
      <c r="E3870" t="n">
        <v>105415</v>
      </c>
      <c r="F3870" t="n">
        <v>52770</v>
      </c>
    </row>
    <row r="3871">
      <c r="A3871" t="inlineStr">
        <is>
          <t>430|装备副本Boss</t>
        </is>
      </c>
      <c r="B3871" t="n">
        <v>430</v>
      </c>
      <c r="C3871" t="inlineStr">
        <is>
          <t>装备副本Boss</t>
        </is>
      </c>
      <c r="D3871" t="n">
        <v>74210330</v>
      </c>
      <c r="E3871" t="n">
        <v>105415</v>
      </c>
      <c r="F3871" t="n">
        <v>52770</v>
      </c>
    </row>
    <row r="3872">
      <c r="A3872" t="inlineStr">
        <is>
          <t>431|普通怪</t>
        </is>
      </c>
      <c r="B3872" t="n">
        <v>431</v>
      </c>
      <c r="C3872" t="inlineStr">
        <is>
          <t>普通怪</t>
        </is>
      </c>
      <c r="D3872" t="n">
        <v>1418009</v>
      </c>
      <c r="E3872" t="n">
        <v>99677</v>
      </c>
      <c r="F3872" t="n">
        <v>52942</v>
      </c>
    </row>
    <row r="3873">
      <c r="A3873" t="inlineStr">
        <is>
          <t>431|盾怪</t>
        </is>
      </c>
      <c r="B3873" t="n">
        <v>431</v>
      </c>
      <c r="C3873" t="inlineStr">
        <is>
          <t>盾怪</t>
        </is>
      </c>
      <c r="D3873" t="n">
        <v>4254027</v>
      </c>
      <c r="E3873" t="n">
        <v>99677</v>
      </c>
      <c r="F3873" t="n">
        <v>52942</v>
      </c>
    </row>
    <row r="3874">
      <c r="A3874" t="inlineStr">
        <is>
          <t>431|二级普通怪</t>
        </is>
      </c>
      <c r="B3874" t="n">
        <v>431</v>
      </c>
      <c r="C3874" t="inlineStr">
        <is>
          <t>二级普通怪</t>
        </is>
      </c>
      <c r="D3874" t="n">
        <v>2552417</v>
      </c>
      <c r="E3874" t="n">
        <v>99677</v>
      </c>
      <c r="F3874" t="n">
        <v>52942</v>
      </c>
    </row>
    <row r="3875">
      <c r="A3875" t="inlineStr">
        <is>
          <t>431|站桩怪</t>
        </is>
      </c>
      <c r="B3875" t="n">
        <v>431</v>
      </c>
      <c r="C3875" t="inlineStr">
        <is>
          <t>站桩怪</t>
        </is>
      </c>
      <c r="D3875" t="n">
        <v>709005</v>
      </c>
      <c r="E3875" t="n">
        <v>99677</v>
      </c>
      <c r="F3875" t="n">
        <v>52942</v>
      </c>
    </row>
    <row r="3876">
      <c r="A3876" t="inlineStr">
        <is>
          <t>431|炮灰怪</t>
        </is>
      </c>
      <c r="B3876" t="n">
        <v>431</v>
      </c>
      <c r="C3876" t="inlineStr">
        <is>
          <t>炮灰怪</t>
        </is>
      </c>
      <c r="D3876" t="n">
        <v>212702</v>
      </c>
      <c r="E3876" t="n">
        <v>99677</v>
      </c>
      <c r="F3876" t="n">
        <v>52942</v>
      </c>
    </row>
    <row r="3877">
      <c r="A3877" t="inlineStr">
        <is>
          <t>431|精英怪</t>
        </is>
      </c>
      <c r="B3877" t="n">
        <v>431</v>
      </c>
      <c r="C3877" t="inlineStr">
        <is>
          <t>精英怪</t>
        </is>
      </c>
      <c r="D3877" t="n">
        <v>5672036</v>
      </c>
      <c r="E3877" t="n">
        <v>99677</v>
      </c>
      <c r="F3877" t="n">
        <v>52942</v>
      </c>
    </row>
    <row r="3878">
      <c r="A3878" t="inlineStr">
        <is>
          <t>431|精英盾怪</t>
        </is>
      </c>
      <c r="B3878" t="n">
        <v>431</v>
      </c>
      <c r="C3878" t="inlineStr">
        <is>
          <t>精英盾怪</t>
        </is>
      </c>
      <c r="D3878" t="n">
        <v>12762081</v>
      </c>
      <c r="E3878" t="n">
        <v>99677</v>
      </c>
      <c r="F3878" t="n">
        <v>52942</v>
      </c>
    </row>
    <row r="3879">
      <c r="A3879" t="inlineStr">
        <is>
          <t>431|Boss</t>
        </is>
      </c>
      <c r="B3879" t="n">
        <v>431</v>
      </c>
      <c r="C3879" t="inlineStr">
        <is>
          <t>Boss</t>
        </is>
      </c>
      <c r="D3879" t="n">
        <v>149609775</v>
      </c>
      <c r="E3879" t="n">
        <v>106032</v>
      </c>
      <c r="F3879" t="n">
        <v>52942</v>
      </c>
    </row>
    <row r="3880">
      <c r="A3880" t="inlineStr">
        <is>
          <t>431|装备副本Boss</t>
        </is>
      </c>
      <c r="B3880" t="n">
        <v>431</v>
      </c>
      <c r="C3880" t="inlineStr">
        <is>
          <t>装备副本Boss</t>
        </is>
      </c>
      <c r="D3880" t="n">
        <v>74804888</v>
      </c>
      <c r="E3880" t="n">
        <v>106032</v>
      </c>
      <c r="F3880" t="n">
        <v>52942</v>
      </c>
    </row>
    <row r="3881">
      <c r="A3881" t="inlineStr">
        <is>
          <t>432|普通怪</t>
        </is>
      </c>
      <c r="B3881" t="n">
        <v>432</v>
      </c>
      <c r="C3881" t="inlineStr">
        <is>
          <t>普通怪</t>
        </is>
      </c>
      <c r="D3881" t="n">
        <v>1428511</v>
      </c>
      <c r="E3881" t="n">
        <v>100277</v>
      </c>
      <c r="F3881" t="n">
        <v>53114</v>
      </c>
    </row>
    <row r="3882">
      <c r="A3882" t="inlineStr">
        <is>
          <t>432|盾怪</t>
        </is>
      </c>
      <c r="B3882" t="n">
        <v>432</v>
      </c>
      <c r="C3882" t="inlineStr">
        <is>
          <t>盾怪</t>
        </is>
      </c>
      <c r="D3882" t="n">
        <v>4285533</v>
      </c>
      <c r="E3882" t="n">
        <v>100277</v>
      </c>
      <c r="F3882" t="n">
        <v>53114</v>
      </c>
    </row>
    <row r="3883">
      <c r="A3883" t="inlineStr">
        <is>
          <t>432|二级普通怪</t>
        </is>
      </c>
      <c r="B3883" t="n">
        <v>432</v>
      </c>
      <c r="C3883" t="inlineStr">
        <is>
          <t>二级普通怪</t>
        </is>
      </c>
      <c r="D3883" t="n">
        <v>2571320</v>
      </c>
      <c r="E3883" t="n">
        <v>100277</v>
      </c>
      <c r="F3883" t="n">
        <v>53114</v>
      </c>
    </row>
    <row r="3884">
      <c r="A3884" t="inlineStr">
        <is>
          <t>432|站桩怪</t>
        </is>
      </c>
      <c r="B3884" t="n">
        <v>432</v>
      </c>
      <c r="C3884" t="inlineStr">
        <is>
          <t>站桩怪</t>
        </is>
      </c>
      <c r="D3884" t="n">
        <v>714256</v>
      </c>
      <c r="E3884" t="n">
        <v>100277</v>
      </c>
      <c r="F3884" t="n">
        <v>53114</v>
      </c>
    </row>
    <row r="3885">
      <c r="A3885" t="inlineStr">
        <is>
          <t>432|炮灰怪</t>
        </is>
      </c>
      <c r="B3885" t="n">
        <v>432</v>
      </c>
      <c r="C3885" t="inlineStr">
        <is>
          <t>炮灰怪</t>
        </is>
      </c>
      <c r="D3885" t="n">
        <v>214277</v>
      </c>
      <c r="E3885" t="n">
        <v>100277</v>
      </c>
      <c r="F3885" t="n">
        <v>53114</v>
      </c>
    </row>
    <row r="3886">
      <c r="A3886" t="inlineStr">
        <is>
          <t>432|精英怪</t>
        </is>
      </c>
      <c r="B3886" t="n">
        <v>432</v>
      </c>
      <c r="C3886" t="inlineStr">
        <is>
          <t>精英怪</t>
        </is>
      </c>
      <c r="D3886" t="n">
        <v>5714044</v>
      </c>
      <c r="E3886" t="n">
        <v>100277</v>
      </c>
      <c r="F3886" t="n">
        <v>53114</v>
      </c>
    </row>
    <row r="3887">
      <c r="A3887" t="inlineStr">
        <is>
          <t>432|精英盾怪</t>
        </is>
      </c>
      <c r="B3887" t="n">
        <v>432</v>
      </c>
      <c r="C3887" t="inlineStr">
        <is>
          <t>精英盾怪</t>
        </is>
      </c>
      <c r="D3887" t="n">
        <v>12856599</v>
      </c>
      <c r="E3887" t="n">
        <v>100277</v>
      </c>
      <c r="F3887" t="n">
        <v>53114</v>
      </c>
    </row>
    <row r="3888">
      <c r="A3888" t="inlineStr">
        <is>
          <t>432|Boss</t>
        </is>
      </c>
      <c r="B3888" t="n">
        <v>432</v>
      </c>
      <c r="C3888" t="inlineStr">
        <is>
          <t>Boss</t>
        </is>
      </c>
      <c r="D3888" t="n">
        <v>150806643</v>
      </c>
      <c r="E3888" t="n">
        <v>106652</v>
      </c>
      <c r="F3888" t="n">
        <v>53114</v>
      </c>
    </row>
    <row r="3889">
      <c r="A3889" t="inlineStr">
        <is>
          <t>432|装备副本Boss</t>
        </is>
      </c>
      <c r="B3889" t="n">
        <v>432</v>
      </c>
      <c r="C3889" t="inlineStr">
        <is>
          <t>装备副本Boss</t>
        </is>
      </c>
      <c r="D3889" t="n">
        <v>75403322</v>
      </c>
      <c r="E3889" t="n">
        <v>106652</v>
      </c>
      <c r="F3889" t="n">
        <v>53114</v>
      </c>
    </row>
    <row r="3890">
      <c r="A3890" t="inlineStr">
        <is>
          <t>433|普通怪</t>
        </is>
      </c>
      <c r="B3890" t="n">
        <v>433</v>
      </c>
      <c r="C3890" t="inlineStr">
        <is>
          <t>普通怪</t>
        </is>
      </c>
      <c r="D3890" t="n">
        <v>1439074</v>
      </c>
      <c r="E3890" t="n">
        <v>100880</v>
      </c>
      <c r="F3890" t="n">
        <v>53286</v>
      </c>
    </row>
    <row r="3891">
      <c r="A3891" t="inlineStr">
        <is>
          <t>433|盾怪</t>
        </is>
      </c>
      <c r="B3891" t="n">
        <v>433</v>
      </c>
      <c r="C3891" t="inlineStr">
        <is>
          <t>盾怪</t>
        </is>
      </c>
      <c r="D3891" t="n">
        <v>4317222</v>
      </c>
      <c r="E3891" t="n">
        <v>100880</v>
      </c>
      <c r="F3891" t="n">
        <v>53286</v>
      </c>
    </row>
    <row r="3892">
      <c r="A3892" t="inlineStr">
        <is>
          <t>433|二级普通怪</t>
        </is>
      </c>
      <c r="B3892" t="n">
        <v>433</v>
      </c>
      <c r="C3892" t="inlineStr">
        <is>
          <t>二级普通怪</t>
        </is>
      </c>
      <c r="D3892" t="n">
        <v>2590334</v>
      </c>
      <c r="E3892" t="n">
        <v>100880</v>
      </c>
      <c r="F3892" t="n">
        <v>53286</v>
      </c>
    </row>
    <row r="3893">
      <c r="A3893" t="inlineStr">
        <is>
          <t>433|站桩怪</t>
        </is>
      </c>
      <c r="B3893" t="n">
        <v>433</v>
      </c>
      <c r="C3893" t="inlineStr">
        <is>
          <t>站桩怪</t>
        </is>
      </c>
      <c r="D3893" t="n">
        <v>719537</v>
      </c>
      <c r="E3893" t="n">
        <v>100880</v>
      </c>
      <c r="F3893" t="n">
        <v>53286</v>
      </c>
    </row>
    <row r="3894">
      <c r="A3894" t="inlineStr">
        <is>
          <t>433|炮灰怪</t>
        </is>
      </c>
      <c r="B3894" t="n">
        <v>433</v>
      </c>
      <c r="C3894" t="inlineStr">
        <is>
          <t>炮灰怪</t>
        </is>
      </c>
      <c r="D3894" t="n">
        <v>215862</v>
      </c>
      <c r="E3894" t="n">
        <v>100880</v>
      </c>
      <c r="F3894" t="n">
        <v>53286</v>
      </c>
    </row>
    <row r="3895">
      <c r="A3895" t="inlineStr">
        <is>
          <t>433|精英怪</t>
        </is>
      </c>
      <c r="B3895" t="n">
        <v>433</v>
      </c>
      <c r="C3895" t="inlineStr">
        <is>
          <t>精英怪</t>
        </is>
      </c>
      <c r="D3895" t="n">
        <v>5756296</v>
      </c>
      <c r="E3895" t="n">
        <v>100880</v>
      </c>
      <c r="F3895" t="n">
        <v>53286</v>
      </c>
    </row>
    <row r="3896">
      <c r="A3896" t="inlineStr">
        <is>
          <t>433|精英盾怪</t>
        </is>
      </c>
      <c r="B3896" t="n">
        <v>433</v>
      </c>
      <c r="C3896" t="inlineStr">
        <is>
          <t>精英盾怪</t>
        </is>
      </c>
      <c r="D3896" t="n">
        <v>12951666</v>
      </c>
      <c r="E3896" t="n">
        <v>100880</v>
      </c>
      <c r="F3896" t="n">
        <v>53286</v>
      </c>
    </row>
    <row r="3897">
      <c r="A3897" t="inlineStr">
        <is>
          <t>433|Boss</t>
        </is>
      </c>
      <c r="B3897" t="n">
        <v>433</v>
      </c>
      <c r="C3897" t="inlineStr">
        <is>
          <t>Boss</t>
        </is>
      </c>
      <c r="D3897" t="n">
        <v>152011365</v>
      </c>
      <c r="E3897" t="n">
        <v>107275</v>
      </c>
      <c r="F3897" t="n">
        <v>53286</v>
      </c>
    </row>
    <row r="3898">
      <c r="A3898" t="inlineStr">
        <is>
          <t>433|装备副本Boss</t>
        </is>
      </c>
      <c r="B3898" t="n">
        <v>433</v>
      </c>
      <c r="C3898" t="inlineStr">
        <is>
          <t>装备副本Boss</t>
        </is>
      </c>
      <c r="D3898" t="n">
        <v>76005683</v>
      </c>
      <c r="E3898" t="n">
        <v>107275</v>
      </c>
      <c r="F3898" t="n">
        <v>53286</v>
      </c>
    </row>
    <row r="3899">
      <c r="A3899" t="inlineStr">
        <is>
          <t>434|普通怪</t>
        </is>
      </c>
      <c r="B3899" t="n">
        <v>434</v>
      </c>
      <c r="C3899" t="inlineStr">
        <is>
          <t>普通怪</t>
        </is>
      </c>
      <c r="D3899" t="n">
        <v>1449700</v>
      </c>
      <c r="E3899" t="n">
        <v>101486</v>
      </c>
      <c r="F3899" t="n">
        <v>53458</v>
      </c>
    </row>
    <row r="3900">
      <c r="A3900" t="inlineStr">
        <is>
          <t>434|盾怪</t>
        </is>
      </c>
      <c r="B3900" t="n">
        <v>434</v>
      </c>
      <c r="C3900" t="inlineStr">
        <is>
          <t>盾怪</t>
        </is>
      </c>
      <c r="D3900" t="n">
        <v>4349100</v>
      </c>
      <c r="E3900" t="n">
        <v>101486</v>
      </c>
      <c r="F3900" t="n">
        <v>53458</v>
      </c>
    </row>
    <row r="3901">
      <c r="A3901" t="inlineStr">
        <is>
          <t>434|二级普通怪</t>
        </is>
      </c>
      <c r="B3901" t="n">
        <v>434</v>
      </c>
      <c r="C3901" t="inlineStr">
        <is>
          <t>二级普通怪</t>
        </is>
      </c>
      <c r="D3901" t="n">
        <v>2609460</v>
      </c>
      <c r="E3901" t="n">
        <v>101486</v>
      </c>
      <c r="F3901" t="n">
        <v>53458</v>
      </c>
    </row>
    <row r="3902">
      <c r="A3902" t="inlineStr">
        <is>
          <t>434|站桩怪</t>
        </is>
      </c>
      <c r="B3902" t="n">
        <v>434</v>
      </c>
      <c r="C3902" t="inlineStr">
        <is>
          <t>站桩怪</t>
        </is>
      </c>
      <c r="D3902" t="n">
        <v>724850</v>
      </c>
      <c r="E3902" t="n">
        <v>101486</v>
      </c>
      <c r="F3902" t="n">
        <v>53458</v>
      </c>
    </row>
    <row r="3903">
      <c r="A3903" t="inlineStr">
        <is>
          <t>434|炮灰怪</t>
        </is>
      </c>
      <c r="B3903" t="n">
        <v>434</v>
      </c>
      <c r="C3903" t="inlineStr">
        <is>
          <t>炮灰怪</t>
        </is>
      </c>
      <c r="D3903" t="n">
        <v>217455</v>
      </c>
      <c r="E3903" t="n">
        <v>101486</v>
      </c>
      <c r="F3903" t="n">
        <v>53458</v>
      </c>
    </row>
    <row r="3904">
      <c r="A3904" t="inlineStr">
        <is>
          <t>434|精英怪</t>
        </is>
      </c>
      <c r="B3904" t="n">
        <v>434</v>
      </c>
      <c r="C3904" t="inlineStr">
        <is>
          <t>精英怪</t>
        </is>
      </c>
      <c r="D3904" t="n">
        <v>5798800</v>
      </c>
      <c r="E3904" t="n">
        <v>101486</v>
      </c>
      <c r="F3904" t="n">
        <v>53458</v>
      </c>
    </row>
    <row r="3905">
      <c r="A3905" t="inlineStr">
        <is>
          <t>434|精英盾怪</t>
        </is>
      </c>
      <c r="B3905" t="n">
        <v>434</v>
      </c>
      <c r="C3905" t="inlineStr">
        <is>
          <t>精英盾怪</t>
        </is>
      </c>
      <c r="D3905" t="n">
        <v>13047300</v>
      </c>
      <c r="E3905" t="n">
        <v>101486</v>
      </c>
      <c r="F3905" t="n">
        <v>53458</v>
      </c>
    </row>
    <row r="3906">
      <c r="A3906" t="inlineStr">
        <is>
          <t>434|Boss</t>
        </is>
      </c>
      <c r="B3906" t="n">
        <v>434</v>
      </c>
      <c r="C3906" t="inlineStr">
        <is>
          <t>Boss</t>
        </is>
      </c>
      <c r="D3906" t="n">
        <v>153223992</v>
      </c>
      <c r="E3906" t="n">
        <v>107902</v>
      </c>
      <c r="F3906" t="n">
        <v>53458</v>
      </c>
    </row>
    <row r="3907">
      <c r="A3907" t="inlineStr">
        <is>
          <t>434|装备副本Boss</t>
        </is>
      </c>
      <c r="B3907" t="n">
        <v>434</v>
      </c>
      <c r="C3907" t="inlineStr">
        <is>
          <t>装备副本Boss</t>
        </is>
      </c>
      <c r="D3907" t="n">
        <v>76611996</v>
      </c>
      <c r="E3907" t="n">
        <v>107902</v>
      </c>
      <c r="F3907" t="n">
        <v>53458</v>
      </c>
    </row>
    <row r="3908">
      <c r="A3908" t="inlineStr">
        <is>
          <t>435|普通怪</t>
        </is>
      </c>
      <c r="B3908" t="n">
        <v>435</v>
      </c>
      <c r="C3908" t="inlineStr">
        <is>
          <t>普通怪</t>
        </is>
      </c>
      <c r="D3908" t="n">
        <v>1460388</v>
      </c>
      <c r="E3908" t="n">
        <v>102095</v>
      </c>
      <c r="F3908" t="n">
        <v>53631</v>
      </c>
    </row>
    <row r="3909">
      <c r="A3909" t="inlineStr">
        <is>
          <t>435|盾怪</t>
        </is>
      </c>
      <c r="B3909" t="n">
        <v>435</v>
      </c>
      <c r="C3909" t="inlineStr">
        <is>
          <t>盾怪</t>
        </is>
      </c>
      <c r="D3909" t="n">
        <v>4381164</v>
      </c>
      <c r="E3909" t="n">
        <v>102095</v>
      </c>
      <c r="F3909" t="n">
        <v>53631</v>
      </c>
    </row>
    <row r="3910">
      <c r="A3910" t="inlineStr">
        <is>
          <t>435|二级普通怪</t>
        </is>
      </c>
      <c r="B3910" t="n">
        <v>435</v>
      </c>
      <c r="C3910" t="inlineStr">
        <is>
          <t>二级普通怪</t>
        </is>
      </c>
      <c r="D3910" t="n">
        <v>2628699</v>
      </c>
      <c r="E3910" t="n">
        <v>102095</v>
      </c>
      <c r="F3910" t="n">
        <v>53631</v>
      </c>
    </row>
    <row r="3911">
      <c r="A3911" t="inlineStr">
        <is>
          <t>435|站桩怪</t>
        </is>
      </c>
      <c r="B3911" t="n">
        <v>435</v>
      </c>
      <c r="C3911" t="inlineStr">
        <is>
          <t>站桩怪</t>
        </is>
      </c>
      <c r="D3911" t="n">
        <v>730194</v>
      </c>
      <c r="E3911" t="n">
        <v>102095</v>
      </c>
      <c r="F3911" t="n">
        <v>53631</v>
      </c>
    </row>
    <row r="3912">
      <c r="A3912" t="inlineStr">
        <is>
          <t>435|炮灰怪</t>
        </is>
      </c>
      <c r="B3912" t="n">
        <v>435</v>
      </c>
      <c r="C3912" t="inlineStr">
        <is>
          <t>炮灰怪</t>
        </is>
      </c>
      <c r="D3912" t="n">
        <v>219059</v>
      </c>
      <c r="E3912" t="n">
        <v>102095</v>
      </c>
      <c r="F3912" t="n">
        <v>53631</v>
      </c>
    </row>
    <row r="3913">
      <c r="A3913" t="inlineStr">
        <is>
          <t>435|精英怪</t>
        </is>
      </c>
      <c r="B3913" t="n">
        <v>435</v>
      </c>
      <c r="C3913" t="inlineStr">
        <is>
          <t>精英怪</t>
        </is>
      </c>
      <c r="D3913" t="n">
        <v>5841552</v>
      </c>
      <c r="E3913" t="n">
        <v>102095</v>
      </c>
      <c r="F3913" t="n">
        <v>53631</v>
      </c>
    </row>
    <row r="3914">
      <c r="A3914" t="inlineStr">
        <is>
          <t>435|精英盾怪</t>
        </is>
      </c>
      <c r="B3914" t="n">
        <v>435</v>
      </c>
      <c r="C3914" t="inlineStr">
        <is>
          <t>精英盾怪</t>
        </is>
      </c>
      <c r="D3914" t="n">
        <v>13143492</v>
      </c>
      <c r="E3914" t="n">
        <v>102095</v>
      </c>
      <c r="F3914" t="n">
        <v>53631</v>
      </c>
    </row>
    <row r="3915">
      <c r="A3915" t="inlineStr">
        <is>
          <t>435|Boss</t>
        </is>
      </c>
      <c r="B3915" t="n">
        <v>435</v>
      </c>
      <c r="C3915" t="inlineStr">
        <is>
          <t>Boss</t>
        </is>
      </c>
      <c r="D3915" t="n">
        <v>154444575</v>
      </c>
      <c r="E3915" t="n">
        <v>108531</v>
      </c>
      <c r="F3915" t="n">
        <v>53631</v>
      </c>
    </row>
    <row r="3916">
      <c r="A3916" t="inlineStr">
        <is>
          <t>435|装备副本Boss</t>
        </is>
      </c>
      <c r="B3916" t="n">
        <v>435</v>
      </c>
      <c r="C3916" t="inlineStr">
        <is>
          <t>装备副本Boss</t>
        </is>
      </c>
      <c r="D3916" t="n">
        <v>77222288</v>
      </c>
      <c r="E3916" t="n">
        <v>108531</v>
      </c>
      <c r="F3916" t="n">
        <v>53631</v>
      </c>
    </row>
    <row r="3917">
      <c r="A3917" t="inlineStr">
        <is>
          <t>436|普通怪</t>
        </is>
      </c>
      <c r="B3917" t="n">
        <v>436</v>
      </c>
      <c r="C3917" t="inlineStr">
        <is>
          <t>普通怪</t>
        </is>
      </c>
      <c r="D3917" t="n">
        <v>1471140</v>
      </c>
      <c r="E3917" t="n">
        <v>102707</v>
      </c>
      <c r="F3917" t="n">
        <v>53804</v>
      </c>
    </row>
    <row r="3918">
      <c r="A3918" t="inlineStr">
        <is>
          <t>436|盾怪</t>
        </is>
      </c>
      <c r="B3918" t="n">
        <v>436</v>
      </c>
      <c r="C3918" t="inlineStr">
        <is>
          <t>盾怪</t>
        </is>
      </c>
      <c r="D3918" t="n">
        <v>4413420</v>
      </c>
      <c r="E3918" t="n">
        <v>102707</v>
      </c>
      <c r="F3918" t="n">
        <v>53804</v>
      </c>
    </row>
    <row r="3919">
      <c r="A3919" t="inlineStr">
        <is>
          <t>436|二级普通怪</t>
        </is>
      </c>
      <c r="B3919" t="n">
        <v>436</v>
      </c>
      <c r="C3919" t="inlineStr">
        <is>
          <t>二级普通怪</t>
        </is>
      </c>
      <c r="D3919" t="n">
        <v>2648052</v>
      </c>
      <c r="E3919" t="n">
        <v>102707</v>
      </c>
      <c r="F3919" t="n">
        <v>53804</v>
      </c>
    </row>
    <row r="3920">
      <c r="A3920" t="inlineStr">
        <is>
          <t>436|站桩怪</t>
        </is>
      </c>
      <c r="B3920" t="n">
        <v>436</v>
      </c>
      <c r="C3920" t="inlineStr">
        <is>
          <t>站桩怪</t>
        </is>
      </c>
      <c r="D3920" t="n">
        <v>735570</v>
      </c>
      <c r="E3920" t="n">
        <v>102707</v>
      </c>
      <c r="F3920" t="n">
        <v>53804</v>
      </c>
    </row>
    <row r="3921">
      <c r="A3921" t="inlineStr">
        <is>
          <t>436|炮灰怪</t>
        </is>
      </c>
      <c r="B3921" t="n">
        <v>436</v>
      </c>
      <c r="C3921" t="inlineStr">
        <is>
          <t>炮灰怪</t>
        </is>
      </c>
      <c r="D3921" t="n">
        <v>220671</v>
      </c>
      <c r="E3921" t="n">
        <v>102707</v>
      </c>
      <c r="F3921" t="n">
        <v>53804</v>
      </c>
    </row>
    <row r="3922">
      <c r="A3922" t="inlineStr">
        <is>
          <t>436|精英怪</t>
        </is>
      </c>
      <c r="B3922" t="n">
        <v>436</v>
      </c>
      <c r="C3922" t="inlineStr">
        <is>
          <t>精英怪</t>
        </is>
      </c>
      <c r="D3922" t="n">
        <v>5884560</v>
      </c>
      <c r="E3922" t="n">
        <v>102707</v>
      </c>
      <c r="F3922" t="n">
        <v>53804</v>
      </c>
    </row>
    <row r="3923">
      <c r="A3923" t="inlineStr">
        <is>
          <t>436|精英盾怪</t>
        </is>
      </c>
      <c r="B3923" t="n">
        <v>436</v>
      </c>
      <c r="C3923" t="inlineStr">
        <is>
          <t>精英盾怪</t>
        </is>
      </c>
      <c r="D3923" t="n">
        <v>13240260</v>
      </c>
      <c r="E3923" t="n">
        <v>102707</v>
      </c>
      <c r="F3923" t="n">
        <v>53804</v>
      </c>
    </row>
    <row r="3924">
      <c r="A3924" t="inlineStr">
        <is>
          <t>436|Boss</t>
        </is>
      </c>
      <c r="B3924" t="n">
        <v>436</v>
      </c>
      <c r="C3924" t="inlineStr">
        <is>
          <t>Boss</t>
        </is>
      </c>
      <c r="D3924" t="n">
        <v>155673114</v>
      </c>
      <c r="E3924" t="n">
        <v>109163</v>
      </c>
      <c r="F3924" t="n">
        <v>53804</v>
      </c>
    </row>
    <row r="3925">
      <c r="A3925" t="inlineStr">
        <is>
          <t>436|装备副本Boss</t>
        </is>
      </c>
      <c r="B3925" t="n">
        <v>436</v>
      </c>
      <c r="C3925" t="inlineStr">
        <is>
          <t>装备副本Boss</t>
        </is>
      </c>
      <c r="D3925" t="n">
        <v>77836557</v>
      </c>
      <c r="E3925" t="n">
        <v>109163</v>
      </c>
      <c r="F3925" t="n">
        <v>53804</v>
      </c>
    </row>
    <row r="3926">
      <c r="A3926" t="inlineStr">
        <is>
          <t>437|普通怪</t>
        </is>
      </c>
      <c r="B3926" t="n">
        <v>437</v>
      </c>
      <c r="C3926" t="inlineStr">
        <is>
          <t>普通怪</t>
        </is>
      </c>
      <c r="D3926" t="n">
        <v>1481955</v>
      </c>
      <c r="E3926" t="n">
        <v>103322</v>
      </c>
      <c r="F3926" t="n">
        <v>53977</v>
      </c>
    </row>
    <row r="3927">
      <c r="A3927" t="inlineStr">
        <is>
          <t>437|盾怪</t>
        </is>
      </c>
      <c r="B3927" t="n">
        <v>437</v>
      </c>
      <c r="C3927" t="inlineStr">
        <is>
          <t>盾怪</t>
        </is>
      </c>
      <c r="D3927" t="n">
        <v>4445865</v>
      </c>
      <c r="E3927" t="n">
        <v>103322</v>
      </c>
      <c r="F3927" t="n">
        <v>53977</v>
      </c>
    </row>
    <row r="3928">
      <c r="A3928" t="inlineStr">
        <is>
          <t>437|二级普通怪</t>
        </is>
      </c>
      <c r="B3928" t="n">
        <v>437</v>
      </c>
      <c r="C3928" t="inlineStr">
        <is>
          <t>二级普通怪</t>
        </is>
      </c>
      <c r="D3928" t="n">
        <v>2667519</v>
      </c>
      <c r="E3928" t="n">
        <v>103322</v>
      </c>
      <c r="F3928" t="n">
        <v>53977</v>
      </c>
    </row>
    <row r="3929">
      <c r="A3929" t="inlineStr">
        <is>
          <t>437|站桩怪</t>
        </is>
      </c>
      <c r="B3929" t="n">
        <v>437</v>
      </c>
      <c r="C3929" t="inlineStr">
        <is>
          <t>站桩怪</t>
        </is>
      </c>
      <c r="D3929" t="n">
        <v>740978</v>
      </c>
      <c r="E3929" t="n">
        <v>103322</v>
      </c>
      <c r="F3929" t="n">
        <v>53977</v>
      </c>
    </row>
    <row r="3930">
      <c r="A3930" t="inlineStr">
        <is>
          <t>437|炮灰怪</t>
        </is>
      </c>
      <c r="B3930" t="n">
        <v>437</v>
      </c>
      <c r="C3930" t="inlineStr">
        <is>
          <t>炮灰怪</t>
        </is>
      </c>
      <c r="D3930" t="n">
        <v>222294</v>
      </c>
      <c r="E3930" t="n">
        <v>103322</v>
      </c>
      <c r="F3930" t="n">
        <v>53977</v>
      </c>
    </row>
    <row r="3931">
      <c r="A3931" t="inlineStr">
        <is>
          <t>437|精英怪</t>
        </is>
      </c>
      <c r="B3931" t="n">
        <v>437</v>
      </c>
      <c r="C3931" t="inlineStr">
        <is>
          <t>精英怪</t>
        </is>
      </c>
      <c r="D3931" t="n">
        <v>5927820</v>
      </c>
      <c r="E3931" t="n">
        <v>103322</v>
      </c>
      <c r="F3931" t="n">
        <v>53977</v>
      </c>
    </row>
    <row r="3932">
      <c r="A3932" t="inlineStr">
        <is>
          <t>437|精英盾怪</t>
        </is>
      </c>
      <c r="B3932" t="n">
        <v>437</v>
      </c>
      <c r="C3932" t="inlineStr">
        <is>
          <t>精英盾怪</t>
        </is>
      </c>
      <c r="D3932" t="n">
        <v>13337595</v>
      </c>
      <c r="E3932" t="n">
        <v>103322</v>
      </c>
      <c r="F3932" t="n">
        <v>53977</v>
      </c>
    </row>
    <row r="3933">
      <c r="A3933" t="inlineStr">
        <is>
          <t>437|Boss</t>
        </is>
      </c>
      <c r="B3933" t="n">
        <v>437</v>
      </c>
      <c r="C3933" t="inlineStr">
        <is>
          <t>Boss</t>
        </is>
      </c>
      <c r="D3933" t="n">
        <v>156909711</v>
      </c>
      <c r="E3933" t="n">
        <v>109799</v>
      </c>
      <c r="F3933" t="n">
        <v>53977</v>
      </c>
    </row>
    <row r="3934">
      <c r="A3934" t="inlineStr">
        <is>
          <t>437|装备副本Boss</t>
        </is>
      </c>
      <c r="B3934" t="n">
        <v>437</v>
      </c>
      <c r="C3934" t="inlineStr">
        <is>
          <t>装备副本Boss</t>
        </is>
      </c>
      <c r="D3934" t="n">
        <v>78454856</v>
      </c>
      <c r="E3934" t="n">
        <v>109799</v>
      </c>
      <c r="F3934" t="n">
        <v>53977</v>
      </c>
    </row>
    <row r="3935">
      <c r="A3935" t="inlineStr">
        <is>
          <t>438|普通怪</t>
        </is>
      </c>
      <c r="B3935" t="n">
        <v>438</v>
      </c>
      <c r="C3935" t="inlineStr">
        <is>
          <t>普通怪</t>
        </is>
      </c>
      <c r="D3935" t="n">
        <v>1492834</v>
      </c>
      <c r="E3935" t="n">
        <v>103940</v>
      </c>
      <c r="F3935" t="n">
        <v>54150</v>
      </c>
    </row>
    <row r="3936">
      <c r="A3936" t="inlineStr">
        <is>
          <t>438|盾怪</t>
        </is>
      </c>
      <c r="B3936" t="n">
        <v>438</v>
      </c>
      <c r="C3936" t="inlineStr">
        <is>
          <t>盾怪</t>
        </is>
      </c>
      <c r="D3936" t="n">
        <v>4478502</v>
      </c>
      <c r="E3936" t="n">
        <v>103940</v>
      </c>
      <c r="F3936" t="n">
        <v>54150</v>
      </c>
    </row>
    <row r="3937">
      <c r="A3937" t="inlineStr">
        <is>
          <t>438|二级普通怪</t>
        </is>
      </c>
      <c r="B3937" t="n">
        <v>438</v>
      </c>
      <c r="C3937" t="inlineStr">
        <is>
          <t>二级普通怪</t>
        </is>
      </c>
      <c r="D3937" t="n">
        <v>2687102</v>
      </c>
      <c r="E3937" t="n">
        <v>103940</v>
      </c>
      <c r="F3937" t="n">
        <v>54150</v>
      </c>
    </row>
    <row r="3938">
      <c r="A3938" t="inlineStr">
        <is>
          <t>438|站桩怪</t>
        </is>
      </c>
      <c r="B3938" t="n">
        <v>438</v>
      </c>
      <c r="C3938" t="inlineStr">
        <is>
          <t>站桩怪</t>
        </is>
      </c>
      <c r="D3938" t="n">
        <v>746417</v>
      </c>
      <c r="E3938" t="n">
        <v>103940</v>
      </c>
      <c r="F3938" t="n">
        <v>54150</v>
      </c>
    </row>
    <row r="3939">
      <c r="A3939" t="inlineStr">
        <is>
          <t>438|炮灰怪</t>
        </is>
      </c>
      <c r="B3939" t="n">
        <v>438</v>
      </c>
      <c r="C3939" t="inlineStr">
        <is>
          <t>炮灰怪</t>
        </is>
      </c>
      <c r="D3939" t="n">
        <v>223926</v>
      </c>
      <c r="E3939" t="n">
        <v>103940</v>
      </c>
      <c r="F3939" t="n">
        <v>54150</v>
      </c>
    </row>
    <row r="3940">
      <c r="A3940" t="inlineStr">
        <is>
          <t>438|精英怪</t>
        </is>
      </c>
      <c r="B3940" t="n">
        <v>438</v>
      </c>
      <c r="C3940" t="inlineStr">
        <is>
          <t>精英怪</t>
        </is>
      </c>
      <c r="D3940" t="n">
        <v>5971336</v>
      </c>
      <c r="E3940" t="n">
        <v>103940</v>
      </c>
      <c r="F3940" t="n">
        <v>54150</v>
      </c>
    </row>
    <row r="3941">
      <c r="A3941" t="inlineStr">
        <is>
          <t>438|精英盾怪</t>
        </is>
      </c>
      <c r="B3941" t="n">
        <v>438</v>
      </c>
      <c r="C3941" t="inlineStr">
        <is>
          <t>精英盾怪</t>
        </is>
      </c>
      <c r="D3941" t="n">
        <v>13435506</v>
      </c>
      <c r="E3941" t="n">
        <v>103940</v>
      </c>
      <c r="F3941" t="n">
        <v>54150</v>
      </c>
    </row>
    <row r="3942">
      <c r="A3942" t="inlineStr">
        <is>
          <t>438|Boss</t>
        </is>
      </c>
      <c r="B3942" t="n">
        <v>438</v>
      </c>
      <c r="C3942" t="inlineStr">
        <is>
          <t>Boss</t>
        </is>
      </c>
      <c r="D3942" t="n">
        <v>158154315</v>
      </c>
      <c r="E3942" t="n">
        <v>110437</v>
      </c>
      <c r="F3942" t="n">
        <v>54150</v>
      </c>
    </row>
    <row r="3943">
      <c r="A3943" t="inlineStr">
        <is>
          <t>438|装备副本Boss</t>
        </is>
      </c>
      <c r="B3943" t="n">
        <v>438</v>
      </c>
      <c r="C3943" t="inlineStr">
        <is>
          <t>装备副本Boss</t>
        </is>
      </c>
      <c r="D3943" t="n">
        <v>79077158</v>
      </c>
      <c r="E3943" t="n">
        <v>110437</v>
      </c>
      <c r="F3943" t="n">
        <v>54150</v>
      </c>
    </row>
    <row r="3944">
      <c r="A3944" t="inlineStr">
        <is>
          <t>439|普通怪</t>
        </is>
      </c>
      <c r="B3944" t="n">
        <v>439</v>
      </c>
      <c r="C3944" t="inlineStr">
        <is>
          <t>普通怪</t>
        </is>
      </c>
      <c r="D3944" t="n">
        <v>1503776</v>
      </c>
      <c r="E3944" t="n">
        <v>104562</v>
      </c>
      <c r="F3944" t="n">
        <v>54324</v>
      </c>
    </row>
    <row r="3945">
      <c r="A3945" t="inlineStr">
        <is>
          <t>439|盾怪</t>
        </is>
      </c>
      <c r="B3945" t="n">
        <v>439</v>
      </c>
      <c r="C3945" t="inlineStr">
        <is>
          <t>盾怪</t>
        </is>
      </c>
      <c r="D3945" t="n">
        <v>4511328</v>
      </c>
      <c r="E3945" t="n">
        <v>104562</v>
      </c>
      <c r="F3945" t="n">
        <v>54324</v>
      </c>
    </row>
    <row r="3946">
      <c r="A3946" t="inlineStr">
        <is>
          <t>439|二级普通怪</t>
        </is>
      </c>
      <c r="B3946" t="n">
        <v>439</v>
      </c>
      <c r="C3946" t="inlineStr">
        <is>
          <t>二级普通怪</t>
        </is>
      </c>
      <c r="D3946" t="n">
        <v>2706797</v>
      </c>
      <c r="E3946" t="n">
        <v>104562</v>
      </c>
      <c r="F3946" t="n">
        <v>54324</v>
      </c>
    </row>
    <row r="3947">
      <c r="A3947" t="inlineStr">
        <is>
          <t>439|站桩怪</t>
        </is>
      </c>
      <c r="B3947" t="n">
        <v>439</v>
      </c>
      <c r="C3947" t="inlineStr">
        <is>
          <t>站桩怪</t>
        </is>
      </c>
      <c r="D3947" t="n">
        <v>751888</v>
      </c>
      <c r="E3947" t="n">
        <v>104562</v>
      </c>
      <c r="F3947" t="n">
        <v>54324</v>
      </c>
    </row>
    <row r="3948">
      <c r="A3948" t="inlineStr">
        <is>
          <t>439|炮灰怪</t>
        </is>
      </c>
      <c r="B3948" t="n">
        <v>439</v>
      </c>
      <c r="C3948" t="inlineStr">
        <is>
          <t>炮灰怪</t>
        </is>
      </c>
      <c r="D3948" t="n">
        <v>225567</v>
      </c>
      <c r="E3948" t="n">
        <v>104562</v>
      </c>
      <c r="F3948" t="n">
        <v>54324</v>
      </c>
    </row>
    <row r="3949">
      <c r="A3949" t="inlineStr">
        <is>
          <t>439|精英怪</t>
        </is>
      </c>
      <c r="B3949" t="n">
        <v>439</v>
      </c>
      <c r="C3949" t="inlineStr">
        <is>
          <t>精英怪</t>
        </is>
      </c>
      <c r="D3949" t="n">
        <v>6015104</v>
      </c>
      <c r="E3949" t="n">
        <v>104562</v>
      </c>
      <c r="F3949" t="n">
        <v>54324</v>
      </c>
    </row>
    <row r="3950">
      <c r="A3950" t="inlineStr">
        <is>
          <t>439|精英盾怪</t>
        </is>
      </c>
      <c r="B3950" t="n">
        <v>439</v>
      </c>
      <c r="C3950" t="inlineStr">
        <is>
          <t>精英盾怪</t>
        </is>
      </c>
      <c r="D3950" t="n">
        <v>13533984</v>
      </c>
      <c r="E3950" t="n">
        <v>104562</v>
      </c>
      <c r="F3950" t="n">
        <v>54324</v>
      </c>
    </row>
    <row r="3951">
      <c r="A3951" t="inlineStr">
        <is>
          <t>439|Boss</t>
        </is>
      </c>
      <c r="B3951" t="n">
        <v>439</v>
      </c>
      <c r="C3951" t="inlineStr">
        <is>
          <t>Boss</t>
        </is>
      </c>
      <c r="D3951" t="n">
        <v>159407079</v>
      </c>
      <c r="E3951" t="n">
        <v>111079</v>
      </c>
      <c r="F3951" t="n">
        <v>54324</v>
      </c>
    </row>
    <row r="3952">
      <c r="A3952" t="inlineStr">
        <is>
          <t>439|装备副本Boss</t>
        </is>
      </c>
      <c r="B3952" t="n">
        <v>439</v>
      </c>
      <c r="C3952" t="inlineStr">
        <is>
          <t>装备副本Boss</t>
        </is>
      </c>
      <c r="D3952" t="n">
        <v>79703540</v>
      </c>
      <c r="E3952" t="n">
        <v>111079</v>
      </c>
      <c r="F3952" t="n">
        <v>54324</v>
      </c>
    </row>
    <row r="3953">
      <c r="A3953" t="inlineStr">
        <is>
          <t>440|普通怪</t>
        </is>
      </c>
      <c r="B3953" t="n">
        <v>440</v>
      </c>
      <c r="C3953" t="inlineStr">
        <is>
          <t>普通怪</t>
        </is>
      </c>
      <c r="D3953" t="n">
        <v>1514783</v>
      </c>
      <c r="E3953" t="n">
        <v>105186</v>
      </c>
      <c r="F3953" t="n">
        <v>54498</v>
      </c>
    </row>
    <row r="3954">
      <c r="A3954" t="inlineStr">
        <is>
          <t>440|盾怪</t>
        </is>
      </c>
      <c r="B3954" t="n">
        <v>440</v>
      </c>
      <c r="C3954" t="inlineStr">
        <is>
          <t>盾怪</t>
        </is>
      </c>
      <c r="D3954" t="n">
        <v>4544349</v>
      </c>
      <c r="E3954" t="n">
        <v>105186</v>
      </c>
      <c r="F3954" t="n">
        <v>54498</v>
      </c>
    </row>
    <row r="3955">
      <c r="A3955" t="inlineStr">
        <is>
          <t>440|二级普通怪</t>
        </is>
      </c>
      <c r="B3955" t="n">
        <v>440</v>
      </c>
      <c r="C3955" t="inlineStr">
        <is>
          <t>二级普通怪</t>
        </is>
      </c>
      <c r="D3955" t="n">
        <v>2726610</v>
      </c>
      <c r="E3955" t="n">
        <v>105186</v>
      </c>
      <c r="F3955" t="n">
        <v>54498</v>
      </c>
    </row>
    <row r="3956">
      <c r="A3956" t="inlineStr">
        <is>
          <t>440|站桩怪</t>
        </is>
      </c>
      <c r="B3956" t="n">
        <v>440</v>
      </c>
      <c r="C3956" t="inlineStr">
        <is>
          <t>站桩怪</t>
        </is>
      </c>
      <c r="D3956" t="n">
        <v>757392</v>
      </c>
      <c r="E3956" t="n">
        <v>105186</v>
      </c>
      <c r="F3956" t="n">
        <v>54498</v>
      </c>
    </row>
    <row r="3957">
      <c r="A3957" t="inlineStr">
        <is>
          <t>440|炮灰怪</t>
        </is>
      </c>
      <c r="B3957" t="n">
        <v>440</v>
      </c>
      <c r="C3957" t="inlineStr">
        <is>
          <t>炮灰怪</t>
        </is>
      </c>
      <c r="D3957" t="n">
        <v>227218</v>
      </c>
      <c r="E3957" t="n">
        <v>105186</v>
      </c>
      <c r="F3957" t="n">
        <v>54498</v>
      </c>
    </row>
    <row r="3958">
      <c r="A3958" t="inlineStr">
        <is>
          <t>440|精英怪</t>
        </is>
      </c>
      <c r="B3958" t="n">
        <v>440</v>
      </c>
      <c r="C3958" t="inlineStr">
        <is>
          <t>精英怪</t>
        </is>
      </c>
      <c r="D3958" t="n">
        <v>6059132</v>
      </c>
      <c r="E3958" t="n">
        <v>105186</v>
      </c>
      <c r="F3958" t="n">
        <v>54498</v>
      </c>
    </row>
    <row r="3959">
      <c r="A3959" t="inlineStr">
        <is>
          <t>440|精英盾怪</t>
        </is>
      </c>
      <c r="B3959" t="n">
        <v>440</v>
      </c>
      <c r="C3959" t="inlineStr">
        <is>
          <t>精英盾怪</t>
        </is>
      </c>
      <c r="D3959" t="n">
        <v>13633047</v>
      </c>
      <c r="E3959" t="n">
        <v>105186</v>
      </c>
      <c r="F3959" t="n">
        <v>54498</v>
      </c>
    </row>
    <row r="3960">
      <c r="A3960" t="inlineStr">
        <is>
          <t>440|Boss</t>
        </is>
      </c>
      <c r="B3960" t="n">
        <v>440</v>
      </c>
      <c r="C3960" t="inlineStr">
        <is>
          <t>Boss</t>
        </is>
      </c>
      <c r="D3960" t="n">
        <v>160668003</v>
      </c>
      <c r="E3960" t="n">
        <v>111724</v>
      </c>
      <c r="F3960" t="n">
        <v>54498</v>
      </c>
    </row>
    <row r="3961">
      <c r="A3961" t="inlineStr">
        <is>
          <t>440|装备副本Boss</t>
        </is>
      </c>
      <c r="B3961" t="n">
        <v>440</v>
      </c>
      <c r="C3961" t="inlineStr">
        <is>
          <t>装备副本Boss</t>
        </is>
      </c>
      <c r="D3961" t="n">
        <v>80334002</v>
      </c>
      <c r="E3961" t="n">
        <v>111724</v>
      </c>
      <c r="F3961" t="n">
        <v>54498</v>
      </c>
    </row>
    <row r="3962">
      <c r="A3962" t="inlineStr">
        <is>
          <t>441|普通怪</t>
        </is>
      </c>
      <c r="B3962" t="n">
        <v>441</v>
      </c>
      <c r="C3962" t="inlineStr">
        <is>
          <t>普通怪</t>
        </is>
      </c>
      <c r="D3962" t="n">
        <v>1525854</v>
      </c>
      <c r="E3962" t="n">
        <v>105814</v>
      </c>
      <c r="F3962" t="n">
        <v>54672</v>
      </c>
    </row>
    <row r="3963">
      <c r="A3963" t="inlineStr">
        <is>
          <t>441|盾怪</t>
        </is>
      </c>
      <c r="B3963" t="n">
        <v>441</v>
      </c>
      <c r="C3963" t="inlineStr">
        <is>
          <t>盾怪</t>
        </is>
      </c>
      <c r="D3963" t="n">
        <v>4577562</v>
      </c>
      <c r="E3963" t="n">
        <v>105814</v>
      </c>
      <c r="F3963" t="n">
        <v>54672</v>
      </c>
    </row>
    <row r="3964">
      <c r="A3964" t="inlineStr">
        <is>
          <t>441|二级普通怪</t>
        </is>
      </c>
      <c r="B3964" t="n">
        <v>441</v>
      </c>
      <c r="C3964" t="inlineStr">
        <is>
          <t>二级普通怪</t>
        </is>
      </c>
      <c r="D3964" t="n">
        <v>2746538</v>
      </c>
      <c r="E3964" t="n">
        <v>105814</v>
      </c>
      <c r="F3964" t="n">
        <v>54672</v>
      </c>
    </row>
    <row r="3965">
      <c r="A3965" t="inlineStr">
        <is>
          <t>441|站桩怪</t>
        </is>
      </c>
      <c r="B3965" t="n">
        <v>441</v>
      </c>
      <c r="C3965" t="inlineStr">
        <is>
          <t>站桩怪</t>
        </is>
      </c>
      <c r="D3965" t="n">
        <v>762927</v>
      </c>
      <c r="E3965" t="n">
        <v>105814</v>
      </c>
      <c r="F3965" t="n">
        <v>54672</v>
      </c>
    </row>
    <row r="3966">
      <c r="A3966" t="inlineStr">
        <is>
          <t>441|炮灰怪</t>
        </is>
      </c>
      <c r="B3966" t="n">
        <v>441</v>
      </c>
      <c r="C3966" t="inlineStr">
        <is>
          <t>炮灰怪</t>
        </is>
      </c>
      <c r="D3966" t="n">
        <v>228879</v>
      </c>
      <c r="E3966" t="n">
        <v>105814</v>
      </c>
      <c r="F3966" t="n">
        <v>54672</v>
      </c>
    </row>
    <row r="3967">
      <c r="A3967" t="inlineStr">
        <is>
          <t>441|精英怪</t>
        </is>
      </c>
      <c r="B3967" t="n">
        <v>441</v>
      </c>
      <c r="C3967" t="inlineStr">
        <is>
          <t>精英怪</t>
        </is>
      </c>
      <c r="D3967" t="n">
        <v>6103416</v>
      </c>
      <c r="E3967" t="n">
        <v>105814</v>
      </c>
      <c r="F3967" t="n">
        <v>54672</v>
      </c>
    </row>
    <row r="3968">
      <c r="A3968" t="inlineStr">
        <is>
          <t>441|精英盾怪</t>
        </is>
      </c>
      <c r="B3968" t="n">
        <v>441</v>
      </c>
      <c r="C3968" t="inlineStr">
        <is>
          <t>精英盾怪</t>
        </is>
      </c>
      <c r="D3968" t="n">
        <v>13732686</v>
      </c>
      <c r="E3968" t="n">
        <v>105814</v>
      </c>
      <c r="F3968" t="n">
        <v>54672</v>
      </c>
    </row>
    <row r="3969">
      <c r="A3969" t="inlineStr">
        <is>
          <t>441|Boss</t>
        </is>
      </c>
      <c r="B3969" t="n">
        <v>441</v>
      </c>
      <c r="C3969" t="inlineStr">
        <is>
          <t>Boss</t>
        </is>
      </c>
      <c r="D3969" t="n">
        <v>161937087</v>
      </c>
      <c r="E3969" t="n">
        <v>112373</v>
      </c>
      <c r="F3969" t="n">
        <v>54672</v>
      </c>
    </row>
    <row r="3970">
      <c r="A3970" t="inlineStr">
        <is>
          <t>441|装备副本Boss</t>
        </is>
      </c>
      <c r="B3970" t="n">
        <v>441</v>
      </c>
      <c r="C3970" t="inlineStr">
        <is>
          <t>装备副本Boss</t>
        </is>
      </c>
      <c r="D3970" t="n">
        <v>80968544</v>
      </c>
      <c r="E3970" t="n">
        <v>112373</v>
      </c>
      <c r="F3970" t="n">
        <v>54672</v>
      </c>
    </row>
    <row r="3971">
      <c r="A3971" t="inlineStr">
        <is>
          <t>442|普通怪</t>
        </is>
      </c>
      <c r="B3971" t="n">
        <v>442</v>
      </c>
      <c r="C3971" t="inlineStr">
        <is>
          <t>普通怪</t>
        </is>
      </c>
      <c r="D3971" t="n">
        <v>1536990</v>
      </c>
      <c r="E3971" t="n">
        <v>106445</v>
      </c>
      <c r="F3971" t="n">
        <v>54846</v>
      </c>
    </row>
    <row r="3972">
      <c r="A3972" t="inlineStr">
        <is>
          <t>442|盾怪</t>
        </is>
      </c>
      <c r="B3972" t="n">
        <v>442</v>
      </c>
      <c r="C3972" t="inlineStr">
        <is>
          <t>盾怪</t>
        </is>
      </c>
      <c r="D3972" t="n">
        <v>4610970</v>
      </c>
      <c r="E3972" t="n">
        <v>106445</v>
      </c>
      <c r="F3972" t="n">
        <v>54846</v>
      </c>
    </row>
    <row r="3973">
      <c r="A3973" t="inlineStr">
        <is>
          <t>442|二级普通怪</t>
        </is>
      </c>
      <c r="B3973" t="n">
        <v>442</v>
      </c>
      <c r="C3973" t="inlineStr">
        <is>
          <t>二级普通怪</t>
        </is>
      </c>
      <c r="D3973" t="n">
        <v>2766582</v>
      </c>
      <c r="E3973" t="n">
        <v>106445</v>
      </c>
      <c r="F3973" t="n">
        <v>54846</v>
      </c>
    </row>
    <row r="3974">
      <c r="A3974" t="inlineStr">
        <is>
          <t>442|站桩怪</t>
        </is>
      </c>
      <c r="B3974" t="n">
        <v>442</v>
      </c>
      <c r="C3974" t="inlineStr">
        <is>
          <t>站桩怪</t>
        </is>
      </c>
      <c r="D3974" t="n">
        <v>768495</v>
      </c>
      <c r="E3974" t="n">
        <v>106445</v>
      </c>
      <c r="F3974" t="n">
        <v>54846</v>
      </c>
    </row>
    <row r="3975">
      <c r="A3975" t="inlineStr">
        <is>
          <t>442|炮灰怪</t>
        </is>
      </c>
      <c r="B3975" t="n">
        <v>442</v>
      </c>
      <c r="C3975" t="inlineStr">
        <is>
          <t>炮灰怪</t>
        </is>
      </c>
      <c r="D3975" t="n">
        <v>230549</v>
      </c>
      <c r="E3975" t="n">
        <v>106445</v>
      </c>
      <c r="F3975" t="n">
        <v>54846</v>
      </c>
    </row>
    <row r="3976">
      <c r="A3976" t="inlineStr">
        <is>
          <t>442|精英怪</t>
        </is>
      </c>
      <c r="B3976" t="n">
        <v>442</v>
      </c>
      <c r="C3976" t="inlineStr">
        <is>
          <t>精英怪</t>
        </is>
      </c>
      <c r="D3976" t="n">
        <v>6147960</v>
      </c>
      <c r="E3976" t="n">
        <v>106445</v>
      </c>
      <c r="F3976" t="n">
        <v>54846</v>
      </c>
    </row>
    <row r="3977">
      <c r="A3977" t="inlineStr">
        <is>
          <t>442|精英盾怪</t>
        </is>
      </c>
      <c r="B3977" t="n">
        <v>442</v>
      </c>
      <c r="C3977" t="inlineStr">
        <is>
          <t>精英盾怪</t>
        </is>
      </c>
      <c r="D3977" t="n">
        <v>13832910</v>
      </c>
      <c r="E3977" t="n">
        <v>106445</v>
      </c>
      <c r="F3977" t="n">
        <v>54846</v>
      </c>
    </row>
    <row r="3978">
      <c r="A3978" t="inlineStr">
        <is>
          <t>442|Boss</t>
        </is>
      </c>
      <c r="B3978" t="n">
        <v>442</v>
      </c>
      <c r="C3978" t="inlineStr">
        <is>
          <t>Boss</t>
        </is>
      </c>
      <c r="D3978" t="n">
        <v>163214382</v>
      </c>
      <c r="E3978" t="n">
        <v>113024</v>
      </c>
      <c r="F3978" t="n">
        <v>54846</v>
      </c>
    </row>
    <row r="3979">
      <c r="A3979" t="inlineStr">
        <is>
          <t>442|装备副本Boss</t>
        </is>
      </c>
      <c r="B3979" t="n">
        <v>442</v>
      </c>
      <c r="C3979" t="inlineStr">
        <is>
          <t>装备副本Boss</t>
        </is>
      </c>
      <c r="D3979" t="n">
        <v>81607191</v>
      </c>
      <c r="E3979" t="n">
        <v>113024</v>
      </c>
      <c r="F3979" t="n">
        <v>54846</v>
      </c>
    </row>
    <row r="3980">
      <c r="A3980" t="inlineStr">
        <is>
          <t>443|普通怪</t>
        </is>
      </c>
      <c r="B3980" t="n">
        <v>443</v>
      </c>
      <c r="C3980" t="inlineStr">
        <is>
          <t>普通怪</t>
        </is>
      </c>
      <c r="D3980" t="n">
        <v>1548191</v>
      </c>
      <c r="E3980" t="n">
        <v>107079</v>
      </c>
      <c r="F3980" t="n">
        <v>55020</v>
      </c>
    </row>
    <row r="3981">
      <c r="A3981" t="inlineStr">
        <is>
          <t>443|盾怪</t>
        </is>
      </c>
      <c r="B3981" t="n">
        <v>443</v>
      </c>
      <c r="C3981" t="inlineStr">
        <is>
          <t>盾怪</t>
        </is>
      </c>
      <c r="D3981" t="n">
        <v>4644573</v>
      </c>
      <c r="E3981" t="n">
        <v>107079</v>
      </c>
      <c r="F3981" t="n">
        <v>55020</v>
      </c>
    </row>
    <row r="3982">
      <c r="A3982" t="inlineStr">
        <is>
          <t>443|二级普通怪</t>
        </is>
      </c>
      <c r="B3982" t="n">
        <v>443</v>
      </c>
      <c r="C3982" t="inlineStr">
        <is>
          <t>二级普通怪</t>
        </is>
      </c>
      <c r="D3982" t="n">
        <v>2786744</v>
      </c>
      <c r="E3982" t="n">
        <v>107079</v>
      </c>
      <c r="F3982" t="n">
        <v>55020</v>
      </c>
    </row>
    <row r="3983">
      <c r="A3983" t="inlineStr">
        <is>
          <t>443|站桩怪</t>
        </is>
      </c>
      <c r="B3983" t="n">
        <v>443</v>
      </c>
      <c r="C3983" t="inlineStr">
        <is>
          <t>站桩怪</t>
        </is>
      </c>
      <c r="D3983" t="n">
        <v>774096</v>
      </c>
      <c r="E3983" t="n">
        <v>107079</v>
      </c>
      <c r="F3983" t="n">
        <v>55020</v>
      </c>
    </row>
    <row r="3984">
      <c r="A3984" t="inlineStr">
        <is>
          <t>443|炮灰怪</t>
        </is>
      </c>
      <c r="B3984" t="n">
        <v>443</v>
      </c>
      <c r="C3984" t="inlineStr">
        <is>
          <t>炮灰怪</t>
        </is>
      </c>
      <c r="D3984" t="n">
        <v>232229</v>
      </c>
      <c r="E3984" t="n">
        <v>107079</v>
      </c>
      <c r="F3984" t="n">
        <v>55020</v>
      </c>
    </row>
    <row r="3985">
      <c r="A3985" t="inlineStr">
        <is>
          <t>443|精英怪</t>
        </is>
      </c>
      <c r="B3985" t="n">
        <v>443</v>
      </c>
      <c r="C3985" t="inlineStr">
        <is>
          <t>精英怪</t>
        </is>
      </c>
      <c r="D3985" t="n">
        <v>6192764</v>
      </c>
      <c r="E3985" t="n">
        <v>107079</v>
      </c>
      <c r="F3985" t="n">
        <v>55020</v>
      </c>
    </row>
    <row r="3986">
      <c r="A3986" t="inlineStr">
        <is>
          <t>443|精英盾怪</t>
        </is>
      </c>
      <c r="B3986" t="n">
        <v>443</v>
      </c>
      <c r="C3986" t="inlineStr">
        <is>
          <t>精英盾怪</t>
        </is>
      </c>
      <c r="D3986" t="n">
        <v>13933719</v>
      </c>
      <c r="E3986" t="n">
        <v>107079</v>
      </c>
      <c r="F3986" t="n">
        <v>55020</v>
      </c>
    </row>
    <row r="3987">
      <c r="A3987" t="inlineStr">
        <is>
          <t>443|Boss</t>
        </is>
      </c>
      <c r="B3987" t="n">
        <v>443</v>
      </c>
      <c r="C3987" t="inlineStr">
        <is>
          <t>Boss</t>
        </is>
      </c>
      <c r="D3987" t="n">
        <v>164500041</v>
      </c>
      <c r="E3987" t="n">
        <v>113679</v>
      </c>
      <c r="F3987" t="n">
        <v>55020</v>
      </c>
    </row>
    <row r="3988">
      <c r="A3988" t="inlineStr">
        <is>
          <t>443|装备副本Boss</t>
        </is>
      </c>
      <c r="B3988" t="n">
        <v>443</v>
      </c>
      <c r="C3988" t="inlineStr">
        <is>
          <t>装备副本Boss</t>
        </is>
      </c>
      <c r="D3988" t="n">
        <v>82250021</v>
      </c>
      <c r="E3988" t="n">
        <v>113679</v>
      </c>
      <c r="F3988" t="n">
        <v>55020</v>
      </c>
    </row>
    <row r="3989">
      <c r="A3989" t="inlineStr">
        <is>
          <t>444|普通怪</t>
        </is>
      </c>
      <c r="B3989" t="n">
        <v>444</v>
      </c>
      <c r="C3989" t="inlineStr">
        <is>
          <t>普通怪</t>
        </is>
      </c>
      <c r="D3989" t="n">
        <v>1559458</v>
      </c>
      <c r="E3989" t="n">
        <v>107716</v>
      </c>
      <c r="F3989" t="n">
        <v>55195</v>
      </c>
    </row>
    <row r="3990">
      <c r="A3990" t="inlineStr">
        <is>
          <t>444|盾怪</t>
        </is>
      </c>
      <c r="B3990" t="n">
        <v>444</v>
      </c>
      <c r="C3990" t="inlineStr">
        <is>
          <t>盾怪</t>
        </is>
      </c>
      <c r="D3990" t="n">
        <v>4678374</v>
      </c>
      <c r="E3990" t="n">
        <v>107716</v>
      </c>
      <c r="F3990" t="n">
        <v>55195</v>
      </c>
    </row>
    <row r="3991">
      <c r="A3991" t="inlineStr">
        <is>
          <t>444|二级普通怪</t>
        </is>
      </c>
      <c r="B3991" t="n">
        <v>444</v>
      </c>
      <c r="C3991" t="inlineStr">
        <is>
          <t>二级普通怪</t>
        </is>
      </c>
      <c r="D3991" t="n">
        <v>2807025</v>
      </c>
      <c r="E3991" t="n">
        <v>107716</v>
      </c>
      <c r="F3991" t="n">
        <v>55195</v>
      </c>
    </row>
    <row r="3992">
      <c r="A3992" t="inlineStr">
        <is>
          <t>444|站桩怪</t>
        </is>
      </c>
      <c r="B3992" t="n">
        <v>444</v>
      </c>
      <c r="C3992" t="inlineStr">
        <is>
          <t>站桩怪</t>
        </is>
      </c>
      <c r="D3992" t="n">
        <v>779729</v>
      </c>
      <c r="E3992" t="n">
        <v>107716</v>
      </c>
      <c r="F3992" t="n">
        <v>55195</v>
      </c>
    </row>
    <row r="3993">
      <c r="A3993" t="inlineStr">
        <is>
          <t>444|炮灰怪</t>
        </is>
      </c>
      <c r="B3993" t="n">
        <v>444</v>
      </c>
      <c r="C3993" t="inlineStr">
        <is>
          <t>炮灰怪</t>
        </is>
      </c>
      <c r="D3993" t="n">
        <v>233919</v>
      </c>
      <c r="E3993" t="n">
        <v>107716</v>
      </c>
      <c r="F3993" t="n">
        <v>55195</v>
      </c>
    </row>
    <row r="3994">
      <c r="A3994" t="inlineStr">
        <is>
          <t>444|精英怪</t>
        </is>
      </c>
      <c r="B3994" t="n">
        <v>444</v>
      </c>
      <c r="C3994" t="inlineStr">
        <is>
          <t>精英怪</t>
        </is>
      </c>
      <c r="D3994" t="n">
        <v>6237832</v>
      </c>
      <c r="E3994" t="n">
        <v>107716</v>
      </c>
      <c r="F3994" t="n">
        <v>55195</v>
      </c>
    </row>
    <row r="3995">
      <c r="A3995" t="inlineStr">
        <is>
          <t>444|精英盾怪</t>
        </is>
      </c>
      <c r="B3995" t="n">
        <v>444</v>
      </c>
      <c r="C3995" t="inlineStr">
        <is>
          <t>精英盾怪</t>
        </is>
      </c>
      <c r="D3995" t="n">
        <v>14035122</v>
      </c>
      <c r="E3995" t="n">
        <v>107716</v>
      </c>
      <c r="F3995" t="n">
        <v>55195</v>
      </c>
    </row>
    <row r="3996">
      <c r="A3996" t="inlineStr">
        <is>
          <t>444|Boss</t>
        </is>
      </c>
      <c r="B3996" t="n">
        <v>444</v>
      </c>
      <c r="C3996" t="inlineStr">
        <is>
          <t>Boss</t>
        </is>
      </c>
      <c r="D3996" t="n">
        <v>165793962</v>
      </c>
      <c r="E3996" t="n">
        <v>114336</v>
      </c>
      <c r="F3996" t="n">
        <v>55195</v>
      </c>
    </row>
    <row r="3997">
      <c r="A3997" t="inlineStr">
        <is>
          <t>444|装备副本Boss</t>
        </is>
      </c>
      <c r="B3997" t="n">
        <v>444</v>
      </c>
      <c r="C3997" t="inlineStr">
        <is>
          <t>装备副本Boss</t>
        </is>
      </c>
      <c r="D3997" t="n">
        <v>82896981</v>
      </c>
      <c r="E3997" t="n">
        <v>114336</v>
      </c>
      <c r="F3997" t="n">
        <v>55195</v>
      </c>
    </row>
    <row r="3998">
      <c r="A3998" t="inlineStr">
        <is>
          <t>445|普通怪</t>
        </is>
      </c>
      <c r="B3998" t="n">
        <v>445</v>
      </c>
      <c r="C3998" t="inlineStr">
        <is>
          <t>普通怪</t>
        </is>
      </c>
      <c r="D3998" t="n">
        <v>1570790</v>
      </c>
      <c r="E3998" t="n">
        <v>108356</v>
      </c>
      <c r="F3998" t="n">
        <v>55370</v>
      </c>
    </row>
    <row r="3999">
      <c r="A3999" t="inlineStr">
        <is>
          <t>445|盾怪</t>
        </is>
      </c>
      <c r="B3999" t="n">
        <v>445</v>
      </c>
      <c r="C3999" t="inlineStr">
        <is>
          <t>盾怪</t>
        </is>
      </c>
      <c r="D3999" t="n">
        <v>4712370</v>
      </c>
      <c r="E3999" t="n">
        <v>108356</v>
      </c>
      <c r="F3999" t="n">
        <v>55370</v>
      </c>
    </row>
    <row r="4000">
      <c r="A4000" t="inlineStr">
        <is>
          <t>445|二级普通怪</t>
        </is>
      </c>
      <c r="B4000" t="n">
        <v>445</v>
      </c>
      <c r="C4000" t="inlineStr">
        <is>
          <t>二级普通怪</t>
        </is>
      </c>
      <c r="D4000" t="n">
        <v>2827422</v>
      </c>
      <c r="E4000" t="n">
        <v>108356</v>
      </c>
      <c r="F4000" t="n">
        <v>55370</v>
      </c>
    </row>
    <row r="4001">
      <c r="A4001" t="inlineStr">
        <is>
          <t>445|站桩怪</t>
        </is>
      </c>
      <c r="B4001" t="n">
        <v>445</v>
      </c>
      <c r="C4001" t="inlineStr">
        <is>
          <t>站桩怪</t>
        </is>
      </c>
      <c r="D4001" t="n">
        <v>785395</v>
      </c>
      <c r="E4001" t="n">
        <v>108356</v>
      </c>
      <c r="F4001" t="n">
        <v>55370</v>
      </c>
    </row>
    <row r="4002">
      <c r="A4002" t="inlineStr">
        <is>
          <t>445|炮灰怪</t>
        </is>
      </c>
      <c r="B4002" t="n">
        <v>445</v>
      </c>
      <c r="C4002" t="inlineStr">
        <is>
          <t>炮灰怪</t>
        </is>
      </c>
      <c r="D4002" t="n">
        <v>235619</v>
      </c>
      <c r="E4002" t="n">
        <v>108356</v>
      </c>
      <c r="F4002" t="n">
        <v>55370</v>
      </c>
    </row>
    <row r="4003">
      <c r="A4003" t="inlineStr">
        <is>
          <t>445|精英怪</t>
        </is>
      </c>
      <c r="B4003" t="n">
        <v>445</v>
      </c>
      <c r="C4003" t="inlineStr">
        <is>
          <t>精英怪</t>
        </is>
      </c>
      <c r="D4003" t="n">
        <v>6283160</v>
      </c>
      <c r="E4003" t="n">
        <v>108356</v>
      </c>
      <c r="F4003" t="n">
        <v>55370</v>
      </c>
    </row>
    <row r="4004">
      <c r="A4004" t="inlineStr">
        <is>
          <t>445|精英盾怪</t>
        </is>
      </c>
      <c r="B4004" t="n">
        <v>445</v>
      </c>
      <c r="C4004" t="inlineStr">
        <is>
          <t>精英盾怪</t>
        </is>
      </c>
      <c r="D4004" t="n">
        <v>14137110</v>
      </c>
      <c r="E4004" t="n">
        <v>108356</v>
      </c>
      <c r="F4004" t="n">
        <v>55370</v>
      </c>
    </row>
    <row r="4005">
      <c r="A4005" t="inlineStr">
        <is>
          <t>445|Boss</t>
        </is>
      </c>
      <c r="B4005" t="n">
        <v>445</v>
      </c>
      <c r="C4005" t="inlineStr">
        <is>
          <t>Boss</t>
        </is>
      </c>
      <c r="D4005" t="n">
        <v>167096247</v>
      </c>
      <c r="E4005" t="n">
        <v>114997</v>
      </c>
      <c r="F4005" t="n">
        <v>55370</v>
      </c>
    </row>
    <row r="4006">
      <c r="A4006" t="inlineStr">
        <is>
          <t>445|装备副本Boss</t>
        </is>
      </c>
      <c r="B4006" t="n">
        <v>445</v>
      </c>
      <c r="C4006" t="inlineStr">
        <is>
          <t>装备副本Boss</t>
        </is>
      </c>
      <c r="D4006" t="n">
        <v>83548124</v>
      </c>
      <c r="E4006" t="n">
        <v>114997</v>
      </c>
      <c r="F4006" t="n">
        <v>55370</v>
      </c>
    </row>
    <row r="4007">
      <c r="A4007" t="inlineStr">
        <is>
          <t>446|普通怪</t>
        </is>
      </c>
      <c r="B4007" t="n">
        <v>446</v>
      </c>
      <c r="C4007" t="inlineStr">
        <is>
          <t>普通怪</t>
        </is>
      </c>
      <c r="D4007" t="n">
        <v>1582189</v>
      </c>
      <c r="E4007" t="n">
        <v>109000</v>
      </c>
      <c r="F4007" t="n">
        <v>55545</v>
      </c>
    </row>
    <row r="4008">
      <c r="A4008" t="inlineStr">
        <is>
          <t>446|盾怪</t>
        </is>
      </c>
      <c r="B4008" t="n">
        <v>446</v>
      </c>
      <c r="C4008" t="inlineStr">
        <is>
          <t>盾怪</t>
        </is>
      </c>
      <c r="D4008" t="n">
        <v>4746567</v>
      </c>
      <c r="E4008" t="n">
        <v>109000</v>
      </c>
      <c r="F4008" t="n">
        <v>55545</v>
      </c>
    </row>
    <row r="4009">
      <c r="A4009" t="inlineStr">
        <is>
          <t>446|二级普通怪</t>
        </is>
      </c>
      <c r="B4009" t="n">
        <v>446</v>
      </c>
      <c r="C4009" t="inlineStr">
        <is>
          <t>二级普通怪</t>
        </is>
      </c>
      <c r="D4009" t="n">
        <v>2847941</v>
      </c>
      <c r="E4009" t="n">
        <v>109000</v>
      </c>
      <c r="F4009" t="n">
        <v>55545</v>
      </c>
    </row>
    <row r="4010">
      <c r="A4010" t="inlineStr">
        <is>
          <t>446|站桩怪</t>
        </is>
      </c>
      <c r="B4010" t="n">
        <v>446</v>
      </c>
      <c r="C4010" t="inlineStr">
        <is>
          <t>站桩怪</t>
        </is>
      </c>
      <c r="D4010" t="n">
        <v>791095</v>
      </c>
      <c r="E4010" t="n">
        <v>109000</v>
      </c>
      <c r="F4010" t="n">
        <v>55545</v>
      </c>
    </row>
    <row r="4011">
      <c r="A4011" t="inlineStr">
        <is>
          <t>446|炮灰怪</t>
        </is>
      </c>
      <c r="B4011" t="n">
        <v>446</v>
      </c>
      <c r="C4011" t="inlineStr">
        <is>
          <t>炮灰怪</t>
        </is>
      </c>
      <c r="D4011" t="n">
        <v>237329</v>
      </c>
      <c r="E4011" t="n">
        <v>109000</v>
      </c>
      <c r="F4011" t="n">
        <v>55545</v>
      </c>
    </row>
    <row r="4012">
      <c r="A4012" t="inlineStr">
        <is>
          <t>446|精英怪</t>
        </is>
      </c>
      <c r="B4012" t="n">
        <v>446</v>
      </c>
      <c r="C4012" t="inlineStr">
        <is>
          <t>精英怪</t>
        </is>
      </c>
      <c r="D4012" t="n">
        <v>6328756</v>
      </c>
      <c r="E4012" t="n">
        <v>109000</v>
      </c>
      <c r="F4012" t="n">
        <v>55545</v>
      </c>
    </row>
    <row r="4013">
      <c r="A4013" t="inlineStr">
        <is>
          <t>446|精英盾怪</t>
        </is>
      </c>
      <c r="B4013" t="n">
        <v>446</v>
      </c>
      <c r="C4013" t="inlineStr">
        <is>
          <t>精英盾怪</t>
        </is>
      </c>
      <c r="D4013" t="n">
        <v>14239701</v>
      </c>
      <c r="E4013" t="n">
        <v>109000</v>
      </c>
      <c r="F4013" t="n">
        <v>55545</v>
      </c>
    </row>
    <row r="4014">
      <c r="A4014" t="inlineStr">
        <is>
          <t>446|Boss</t>
        </is>
      </c>
      <c r="B4014" t="n">
        <v>446</v>
      </c>
      <c r="C4014" t="inlineStr">
        <is>
          <t>Boss</t>
        </is>
      </c>
      <c r="D4014" t="n">
        <v>168406998</v>
      </c>
      <c r="E4014" t="n">
        <v>115662</v>
      </c>
      <c r="F4014" t="n">
        <v>55545</v>
      </c>
    </row>
    <row r="4015">
      <c r="A4015" t="inlineStr">
        <is>
          <t>446|装备副本Boss</t>
        </is>
      </c>
      <c r="B4015" t="n">
        <v>446</v>
      </c>
      <c r="C4015" t="inlineStr">
        <is>
          <t>装备副本Boss</t>
        </is>
      </c>
      <c r="D4015" t="n">
        <v>84203499</v>
      </c>
      <c r="E4015" t="n">
        <v>115662</v>
      </c>
      <c r="F4015" t="n">
        <v>55545</v>
      </c>
    </row>
    <row r="4016">
      <c r="A4016" t="inlineStr">
        <is>
          <t>447|普通怪</t>
        </is>
      </c>
      <c r="B4016" t="n">
        <v>447</v>
      </c>
      <c r="C4016" t="inlineStr">
        <is>
          <t>普通怪</t>
        </is>
      </c>
      <c r="D4016" t="n">
        <v>1593654</v>
      </c>
      <c r="E4016" t="n">
        <v>109647</v>
      </c>
      <c r="F4016" t="n">
        <v>55720</v>
      </c>
    </row>
    <row r="4017">
      <c r="A4017" t="inlineStr">
        <is>
          <t>447|盾怪</t>
        </is>
      </c>
      <c r="B4017" t="n">
        <v>447</v>
      </c>
      <c r="C4017" t="inlineStr">
        <is>
          <t>盾怪</t>
        </is>
      </c>
      <c r="D4017" t="n">
        <v>4780962</v>
      </c>
      <c r="E4017" t="n">
        <v>109647</v>
      </c>
      <c r="F4017" t="n">
        <v>55720</v>
      </c>
    </row>
    <row r="4018">
      <c r="A4018" t="inlineStr">
        <is>
          <t>447|二级普通怪</t>
        </is>
      </c>
      <c r="B4018" t="n">
        <v>447</v>
      </c>
      <c r="C4018" t="inlineStr">
        <is>
          <t>二级普通怪</t>
        </is>
      </c>
      <c r="D4018" t="n">
        <v>2868578</v>
      </c>
      <c r="E4018" t="n">
        <v>109647</v>
      </c>
      <c r="F4018" t="n">
        <v>55720</v>
      </c>
    </row>
    <row r="4019">
      <c r="A4019" t="inlineStr">
        <is>
          <t>447|站桩怪</t>
        </is>
      </c>
      <c r="B4019" t="n">
        <v>447</v>
      </c>
      <c r="C4019" t="inlineStr">
        <is>
          <t>站桩怪</t>
        </is>
      </c>
      <c r="D4019" t="n">
        <v>796827</v>
      </c>
      <c r="E4019" t="n">
        <v>109647</v>
      </c>
      <c r="F4019" t="n">
        <v>55720</v>
      </c>
    </row>
    <row r="4020">
      <c r="A4020" t="inlineStr">
        <is>
          <t>447|炮灰怪</t>
        </is>
      </c>
      <c r="B4020" t="n">
        <v>447</v>
      </c>
      <c r="C4020" t="inlineStr">
        <is>
          <t>炮灰怪</t>
        </is>
      </c>
      <c r="D4020" t="n">
        <v>239049</v>
      </c>
      <c r="E4020" t="n">
        <v>109647</v>
      </c>
      <c r="F4020" t="n">
        <v>55720</v>
      </c>
    </row>
    <row r="4021">
      <c r="A4021" t="inlineStr">
        <is>
          <t>447|精英怪</t>
        </is>
      </c>
      <c r="B4021" t="n">
        <v>447</v>
      </c>
      <c r="C4021" t="inlineStr">
        <is>
          <t>精英怪</t>
        </is>
      </c>
      <c r="D4021" t="n">
        <v>6374616</v>
      </c>
      <c r="E4021" t="n">
        <v>109647</v>
      </c>
      <c r="F4021" t="n">
        <v>55720</v>
      </c>
    </row>
    <row r="4022">
      <c r="A4022" t="inlineStr">
        <is>
          <t>447|精英盾怪</t>
        </is>
      </c>
      <c r="B4022" t="n">
        <v>447</v>
      </c>
      <c r="C4022" t="inlineStr">
        <is>
          <t>精英盾怪</t>
        </is>
      </c>
      <c r="D4022" t="n">
        <v>14342886</v>
      </c>
      <c r="E4022" t="n">
        <v>109647</v>
      </c>
      <c r="F4022" t="n">
        <v>55720</v>
      </c>
    </row>
    <row r="4023">
      <c r="A4023" t="inlineStr">
        <is>
          <t>447|Boss</t>
        </is>
      </c>
      <c r="B4023" t="n">
        <v>447</v>
      </c>
      <c r="C4023" t="inlineStr">
        <is>
          <t>Boss</t>
        </is>
      </c>
      <c r="D4023" t="n">
        <v>169726164</v>
      </c>
      <c r="E4023" t="n">
        <v>116329</v>
      </c>
      <c r="F4023" t="n">
        <v>55720</v>
      </c>
    </row>
    <row r="4024">
      <c r="A4024" t="inlineStr">
        <is>
          <t>447|装备副本Boss</t>
        </is>
      </c>
      <c r="B4024" t="n">
        <v>447</v>
      </c>
      <c r="C4024" t="inlineStr">
        <is>
          <t>装备副本Boss</t>
        </is>
      </c>
      <c r="D4024" t="n">
        <v>84863082</v>
      </c>
      <c r="E4024" t="n">
        <v>116329</v>
      </c>
      <c r="F4024" t="n">
        <v>55720</v>
      </c>
    </row>
    <row r="4025">
      <c r="A4025" t="inlineStr">
        <is>
          <t>448|普通怪</t>
        </is>
      </c>
      <c r="B4025" t="n">
        <v>448</v>
      </c>
      <c r="C4025" t="inlineStr">
        <is>
          <t>普通怪</t>
        </is>
      </c>
      <c r="D4025" t="n">
        <v>1605185</v>
      </c>
      <c r="E4025" t="n">
        <v>110297</v>
      </c>
      <c r="F4025" t="n">
        <v>55896</v>
      </c>
    </row>
    <row r="4026">
      <c r="A4026" t="inlineStr">
        <is>
          <t>448|盾怪</t>
        </is>
      </c>
      <c r="B4026" t="n">
        <v>448</v>
      </c>
      <c r="C4026" t="inlineStr">
        <is>
          <t>盾怪</t>
        </is>
      </c>
      <c r="D4026" t="n">
        <v>4815555</v>
      </c>
      <c r="E4026" t="n">
        <v>110297</v>
      </c>
      <c r="F4026" t="n">
        <v>55896</v>
      </c>
    </row>
    <row r="4027">
      <c r="A4027" t="inlineStr">
        <is>
          <t>448|二级普通怪</t>
        </is>
      </c>
      <c r="B4027" t="n">
        <v>448</v>
      </c>
      <c r="C4027" t="inlineStr">
        <is>
          <t>二级普通怪</t>
        </is>
      </c>
      <c r="D4027" t="n">
        <v>2889333</v>
      </c>
      <c r="E4027" t="n">
        <v>110297</v>
      </c>
      <c r="F4027" t="n">
        <v>55896</v>
      </c>
    </row>
    <row r="4028">
      <c r="A4028" t="inlineStr">
        <is>
          <t>448|站桩怪</t>
        </is>
      </c>
      <c r="B4028" t="n">
        <v>448</v>
      </c>
      <c r="C4028" t="inlineStr">
        <is>
          <t>站桩怪</t>
        </is>
      </c>
      <c r="D4028" t="n">
        <v>802593</v>
      </c>
      <c r="E4028" t="n">
        <v>110297</v>
      </c>
      <c r="F4028" t="n">
        <v>55896</v>
      </c>
    </row>
    <row r="4029">
      <c r="A4029" t="inlineStr">
        <is>
          <t>448|炮灰怪</t>
        </is>
      </c>
      <c r="B4029" t="n">
        <v>448</v>
      </c>
      <c r="C4029" t="inlineStr">
        <is>
          <t>炮灰怪</t>
        </is>
      </c>
      <c r="D4029" t="n">
        <v>240778</v>
      </c>
      <c r="E4029" t="n">
        <v>110297</v>
      </c>
      <c r="F4029" t="n">
        <v>55896</v>
      </c>
    </row>
    <row r="4030">
      <c r="A4030" t="inlineStr">
        <is>
          <t>448|精英怪</t>
        </is>
      </c>
      <c r="B4030" t="n">
        <v>448</v>
      </c>
      <c r="C4030" t="inlineStr">
        <is>
          <t>精英怪</t>
        </is>
      </c>
      <c r="D4030" t="n">
        <v>6420740</v>
      </c>
      <c r="E4030" t="n">
        <v>110297</v>
      </c>
      <c r="F4030" t="n">
        <v>55896</v>
      </c>
    </row>
    <row r="4031">
      <c r="A4031" t="inlineStr">
        <is>
          <t>448|精英盾怪</t>
        </is>
      </c>
      <c r="B4031" t="n">
        <v>448</v>
      </c>
      <c r="C4031" t="inlineStr">
        <is>
          <t>精英盾怪</t>
        </is>
      </c>
      <c r="D4031" t="n">
        <v>14446665</v>
      </c>
      <c r="E4031" t="n">
        <v>110297</v>
      </c>
      <c r="F4031" t="n">
        <v>55896</v>
      </c>
    </row>
    <row r="4032">
      <c r="A4032" t="inlineStr">
        <is>
          <t>448|Boss</t>
        </is>
      </c>
      <c r="B4032" t="n">
        <v>448</v>
      </c>
      <c r="C4032" t="inlineStr">
        <is>
          <t>Boss</t>
        </is>
      </c>
      <c r="D4032" t="n">
        <v>171053898</v>
      </c>
      <c r="E4032" t="n">
        <v>117000</v>
      </c>
      <c r="F4032" t="n">
        <v>55896</v>
      </c>
    </row>
    <row r="4033">
      <c r="A4033" t="inlineStr">
        <is>
          <t>448|装备副本Boss</t>
        </is>
      </c>
      <c r="B4033" t="n">
        <v>448</v>
      </c>
      <c r="C4033" t="inlineStr">
        <is>
          <t>装备副本Boss</t>
        </is>
      </c>
      <c r="D4033" t="n">
        <v>85526949</v>
      </c>
      <c r="E4033" t="n">
        <v>117000</v>
      </c>
      <c r="F4033" t="n">
        <v>55896</v>
      </c>
    </row>
    <row r="4034">
      <c r="A4034" t="inlineStr">
        <is>
          <t>449|普通怪</t>
        </is>
      </c>
      <c r="B4034" t="n">
        <v>449</v>
      </c>
      <c r="C4034" t="inlineStr">
        <is>
          <t>普通怪</t>
        </is>
      </c>
      <c r="D4034" t="n">
        <v>1616784</v>
      </c>
      <c r="E4034" t="n">
        <v>110951</v>
      </c>
      <c r="F4034" t="n">
        <v>56072</v>
      </c>
    </row>
    <row r="4035">
      <c r="A4035" t="inlineStr">
        <is>
          <t>449|盾怪</t>
        </is>
      </c>
      <c r="B4035" t="n">
        <v>449</v>
      </c>
      <c r="C4035" t="inlineStr">
        <is>
          <t>盾怪</t>
        </is>
      </c>
      <c r="D4035" t="n">
        <v>4850352</v>
      </c>
      <c r="E4035" t="n">
        <v>110951</v>
      </c>
      <c r="F4035" t="n">
        <v>56072</v>
      </c>
    </row>
    <row r="4036">
      <c r="A4036" t="inlineStr">
        <is>
          <t>449|二级普通怪</t>
        </is>
      </c>
      <c r="B4036" t="n">
        <v>449</v>
      </c>
      <c r="C4036" t="inlineStr">
        <is>
          <t>二级普通怪</t>
        </is>
      </c>
      <c r="D4036" t="n">
        <v>2910212</v>
      </c>
      <c r="E4036" t="n">
        <v>110951</v>
      </c>
      <c r="F4036" t="n">
        <v>56072</v>
      </c>
    </row>
    <row r="4037">
      <c r="A4037" t="inlineStr">
        <is>
          <t>449|站桩怪</t>
        </is>
      </c>
      <c r="B4037" t="n">
        <v>449</v>
      </c>
      <c r="C4037" t="inlineStr">
        <is>
          <t>站桩怪</t>
        </is>
      </c>
      <c r="D4037" t="n">
        <v>808392</v>
      </c>
      <c r="E4037" t="n">
        <v>110951</v>
      </c>
      <c r="F4037" t="n">
        <v>56072</v>
      </c>
    </row>
    <row r="4038">
      <c r="A4038" t="inlineStr">
        <is>
          <t>449|炮灰怪</t>
        </is>
      </c>
      <c r="B4038" t="n">
        <v>449</v>
      </c>
      <c r="C4038" t="inlineStr">
        <is>
          <t>炮灰怪</t>
        </is>
      </c>
      <c r="D4038" t="n">
        <v>242518</v>
      </c>
      <c r="E4038" t="n">
        <v>110951</v>
      </c>
      <c r="F4038" t="n">
        <v>56072</v>
      </c>
    </row>
    <row r="4039">
      <c r="A4039" t="inlineStr">
        <is>
          <t>449|精英怪</t>
        </is>
      </c>
      <c r="B4039" t="n">
        <v>449</v>
      </c>
      <c r="C4039" t="inlineStr">
        <is>
          <t>精英怪</t>
        </is>
      </c>
      <c r="D4039" t="n">
        <v>6467136</v>
      </c>
      <c r="E4039" t="n">
        <v>110951</v>
      </c>
      <c r="F4039" t="n">
        <v>56072</v>
      </c>
    </row>
    <row r="4040">
      <c r="A4040" t="inlineStr">
        <is>
          <t>449|精英盾怪</t>
        </is>
      </c>
      <c r="B4040" t="n">
        <v>449</v>
      </c>
      <c r="C4040" t="inlineStr">
        <is>
          <t>精英盾怪</t>
        </is>
      </c>
      <c r="D4040" t="n">
        <v>14551056</v>
      </c>
      <c r="E4040" t="n">
        <v>110951</v>
      </c>
      <c r="F4040" t="n">
        <v>56072</v>
      </c>
    </row>
    <row r="4041">
      <c r="A4041" t="inlineStr">
        <is>
          <t>449|Boss</t>
        </is>
      </c>
      <c r="B4041" t="n">
        <v>449</v>
      </c>
      <c r="C4041" t="inlineStr">
        <is>
          <t>Boss</t>
        </is>
      </c>
      <c r="D4041" t="n">
        <v>172390149</v>
      </c>
      <c r="E4041" t="n">
        <v>117675</v>
      </c>
      <c r="F4041" t="n">
        <v>56072</v>
      </c>
    </row>
    <row r="4042">
      <c r="A4042" t="inlineStr">
        <is>
          <t>449|装备副本Boss</t>
        </is>
      </c>
      <c r="B4042" t="n">
        <v>449</v>
      </c>
      <c r="C4042" t="inlineStr">
        <is>
          <t>装备副本Boss</t>
        </is>
      </c>
      <c r="D4042" t="n">
        <v>86195075</v>
      </c>
      <c r="E4042" t="n">
        <v>117675</v>
      </c>
      <c r="F4042" t="n">
        <v>56072</v>
      </c>
    </row>
    <row r="4043">
      <c r="A4043" t="inlineStr">
        <is>
          <t>450|普通怪</t>
        </is>
      </c>
      <c r="B4043" t="n">
        <v>450</v>
      </c>
      <c r="C4043" t="inlineStr">
        <is>
          <t>普通怪</t>
        </is>
      </c>
      <c r="D4043" t="n">
        <v>1628449</v>
      </c>
      <c r="E4043" t="n">
        <v>111607</v>
      </c>
      <c r="F4043" t="n">
        <v>56248</v>
      </c>
    </row>
    <row r="4044">
      <c r="A4044" t="inlineStr">
        <is>
          <t>450|盾怪</t>
        </is>
      </c>
      <c r="B4044" t="n">
        <v>450</v>
      </c>
      <c r="C4044" t="inlineStr">
        <is>
          <t>盾怪</t>
        </is>
      </c>
      <c r="D4044" t="n">
        <v>4885347</v>
      </c>
      <c r="E4044" t="n">
        <v>111607</v>
      </c>
      <c r="F4044" t="n">
        <v>56248</v>
      </c>
    </row>
    <row r="4045">
      <c r="A4045" t="inlineStr">
        <is>
          <t>450|二级普通怪</t>
        </is>
      </c>
      <c r="B4045" t="n">
        <v>450</v>
      </c>
      <c r="C4045" t="inlineStr">
        <is>
          <t>二级普通怪</t>
        </is>
      </c>
      <c r="D4045" t="n">
        <v>2931209</v>
      </c>
      <c r="E4045" t="n">
        <v>111607</v>
      </c>
      <c r="F4045" t="n">
        <v>56248</v>
      </c>
    </row>
    <row r="4046">
      <c r="A4046" t="inlineStr">
        <is>
          <t>450|站桩怪</t>
        </is>
      </c>
      <c r="B4046" t="n">
        <v>450</v>
      </c>
      <c r="C4046" t="inlineStr">
        <is>
          <t>站桩怪</t>
        </is>
      </c>
      <c r="D4046" t="n">
        <v>814225</v>
      </c>
      <c r="E4046" t="n">
        <v>111607</v>
      </c>
      <c r="F4046" t="n">
        <v>56248</v>
      </c>
    </row>
    <row r="4047">
      <c r="A4047" t="inlineStr">
        <is>
          <t>450|炮灰怪</t>
        </is>
      </c>
      <c r="B4047" t="n">
        <v>450</v>
      </c>
      <c r="C4047" t="inlineStr">
        <is>
          <t>炮灰怪</t>
        </is>
      </c>
      <c r="D4047" t="n">
        <v>244268</v>
      </c>
      <c r="E4047" t="n">
        <v>111607</v>
      </c>
      <c r="F4047" t="n">
        <v>56248</v>
      </c>
    </row>
    <row r="4048">
      <c r="A4048" t="inlineStr">
        <is>
          <t>450|精英怪</t>
        </is>
      </c>
      <c r="B4048" t="n">
        <v>450</v>
      </c>
      <c r="C4048" t="inlineStr">
        <is>
          <t>精英怪</t>
        </is>
      </c>
      <c r="D4048" t="n">
        <v>6513796</v>
      </c>
      <c r="E4048" t="n">
        <v>111607</v>
      </c>
      <c r="F4048" t="n">
        <v>56248</v>
      </c>
    </row>
    <row r="4049">
      <c r="A4049" t="inlineStr">
        <is>
          <t>450|精英盾怪</t>
        </is>
      </c>
      <c r="B4049" t="n">
        <v>450</v>
      </c>
      <c r="C4049" t="inlineStr">
        <is>
          <t>精英盾怪</t>
        </is>
      </c>
      <c r="D4049" t="n">
        <v>14656041</v>
      </c>
      <c r="E4049" t="n">
        <v>111607</v>
      </c>
      <c r="F4049" t="n">
        <v>56248</v>
      </c>
    </row>
    <row r="4050">
      <c r="A4050" t="inlineStr">
        <is>
          <t>450|Boss</t>
        </is>
      </c>
      <c r="B4050" t="n">
        <v>450</v>
      </c>
      <c r="C4050" t="inlineStr">
        <is>
          <t>Boss</t>
        </is>
      </c>
      <c r="D4050" t="n">
        <v>173734968</v>
      </c>
      <c r="E4050" t="n">
        <v>118352</v>
      </c>
      <c r="F4050" t="n">
        <v>56248</v>
      </c>
    </row>
    <row r="4051">
      <c r="A4051" t="inlineStr">
        <is>
          <t>450|装备副本Boss</t>
        </is>
      </c>
      <c r="B4051" t="n">
        <v>450</v>
      </c>
      <c r="C4051" t="inlineStr">
        <is>
          <t>装备副本Boss</t>
        </is>
      </c>
      <c r="D4051" t="n">
        <v>86867484</v>
      </c>
      <c r="E4051" t="n">
        <v>118352</v>
      </c>
      <c r="F4051" t="n">
        <v>56248</v>
      </c>
    </row>
    <row r="4052">
      <c r="A4052" t="inlineStr">
        <is>
          <t>451|普通怪</t>
        </is>
      </c>
      <c r="B4052" t="n">
        <v>451</v>
      </c>
      <c r="C4052" t="inlineStr">
        <is>
          <t>普通怪</t>
        </is>
      </c>
      <c r="D4052" t="n">
        <v>1640183</v>
      </c>
      <c r="E4052" t="n">
        <v>112267</v>
      </c>
      <c r="F4052" t="n">
        <v>56424</v>
      </c>
    </row>
    <row r="4053">
      <c r="A4053" t="inlineStr">
        <is>
          <t>451|盾怪</t>
        </is>
      </c>
      <c r="B4053" t="n">
        <v>451</v>
      </c>
      <c r="C4053" t="inlineStr">
        <is>
          <t>盾怪</t>
        </is>
      </c>
      <c r="D4053" t="n">
        <v>4920549</v>
      </c>
      <c r="E4053" t="n">
        <v>112267</v>
      </c>
      <c r="F4053" t="n">
        <v>56424</v>
      </c>
    </row>
    <row r="4054">
      <c r="A4054" t="inlineStr">
        <is>
          <t>451|二级普通怪</t>
        </is>
      </c>
      <c r="B4054" t="n">
        <v>451</v>
      </c>
      <c r="C4054" t="inlineStr">
        <is>
          <t>二级普通怪</t>
        </is>
      </c>
      <c r="D4054" t="n">
        <v>2952330</v>
      </c>
      <c r="E4054" t="n">
        <v>112267</v>
      </c>
      <c r="F4054" t="n">
        <v>56424</v>
      </c>
    </row>
    <row r="4055">
      <c r="A4055" t="inlineStr">
        <is>
          <t>451|站桩怪</t>
        </is>
      </c>
      <c r="B4055" t="n">
        <v>451</v>
      </c>
      <c r="C4055" t="inlineStr">
        <is>
          <t>站桩怪</t>
        </is>
      </c>
      <c r="D4055" t="n">
        <v>820092</v>
      </c>
      <c r="E4055" t="n">
        <v>112267</v>
      </c>
      <c r="F4055" t="n">
        <v>56424</v>
      </c>
    </row>
    <row r="4056">
      <c r="A4056" t="inlineStr">
        <is>
          <t>451|炮灰怪</t>
        </is>
      </c>
      <c r="B4056" t="n">
        <v>451</v>
      </c>
      <c r="C4056" t="inlineStr">
        <is>
          <t>炮灰怪</t>
        </is>
      </c>
      <c r="D4056" t="n">
        <v>246028</v>
      </c>
      <c r="E4056" t="n">
        <v>112267</v>
      </c>
      <c r="F4056" t="n">
        <v>56424</v>
      </c>
    </row>
    <row r="4057">
      <c r="A4057" t="inlineStr">
        <is>
          <t>451|精英怪</t>
        </is>
      </c>
      <c r="B4057" t="n">
        <v>451</v>
      </c>
      <c r="C4057" t="inlineStr">
        <is>
          <t>精英怪</t>
        </is>
      </c>
      <c r="D4057" t="n">
        <v>6560732</v>
      </c>
      <c r="E4057" t="n">
        <v>112267</v>
      </c>
      <c r="F4057" t="n">
        <v>56424</v>
      </c>
    </row>
    <row r="4058">
      <c r="A4058" t="inlineStr">
        <is>
          <t>451|精英盾怪</t>
        </is>
      </c>
      <c r="B4058" t="n">
        <v>451</v>
      </c>
      <c r="C4058" t="inlineStr">
        <is>
          <t>精英盾怪</t>
        </is>
      </c>
      <c r="D4058" t="n">
        <v>14761647</v>
      </c>
      <c r="E4058" t="n">
        <v>112267</v>
      </c>
      <c r="F4058" t="n">
        <v>56424</v>
      </c>
    </row>
    <row r="4059">
      <c r="A4059" t="inlineStr">
        <is>
          <t>451|Boss</t>
        </is>
      </c>
      <c r="B4059" t="n">
        <v>451</v>
      </c>
      <c r="C4059" t="inlineStr">
        <is>
          <t>Boss</t>
        </is>
      </c>
      <c r="D4059" t="n">
        <v>175088457</v>
      </c>
      <c r="E4059" t="n">
        <v>119033</v>
      </c>
      <c r="F4059" t="n">
        <v>56424</v>
      </c>
    </row>
    <row r="4060">
      <c r="A4060" t="inlineStr">
        <is>
          <t>451|装备副本Boss</t>
        </is>
      </c>
      <c r="B4060" t="n">
        <v>451</v>
      </c>
      <c r="C4060" t="inlineStr">
        <is>
          <t>装备副本Boss</t>
        </is>
      </c>
      <c r="D4060" t="n">
        <v>87544229</v>
      </c>
      <c r="E4060" t="n">
        <v>119033</v>
      </c>
      <c r="F4060" t="n">
        <v>56424</v>
      </c>
    </row>
    <row r="4061">
      <c r="A4061" t="inlineStr">
        <is>
          <t>452|普通怪</t>
        </is>
      </c>
      <c r="B4061" t="n">
        <v>452</v>
      </c>
      <c r="C4061" t="inlineStr">
        <is>
          <t>普通怪</t>
        </is>
      </c>
      <c r="D4061" t="n">
        <v>1651984</v>
      </c>
      <c r="E4061" t="n">
        <v>112930</v>
      </c>
      <c r="F4061" t="n">
        <v>56601</v>
      </c>
    </row>
    <row r="4062">
      <c r="A4062" t="inlineStr">
        <is>
          <t>452|盾怪</t>
        </is>
      </c>
      <c r="B4062" t="n">
        <v>452</v>
      </c>
      <c r="C4062" t="inlineStr">
        <is>
          <t>盾怪</t>
        </is>
      </c>
      <c r="D4062" t="n">
        <v>4955952</v>
      </c>
      <c r="E4062" t="n">
        <v>112930</v>
      </c>
      <c r="F4062" t="n">
        <v>56601</v>
      </c>
    </row>
    <row r="4063">
      <c r="A4063" t="inlineStr">
        <is>
          <t>452|二级普通怪</t>
        </is>
      </c>
      <c r="B4063" t="n">
        <v>452</v>
      </c>
      <c r="C4063" t="inlineStr">
        <is>
          <t>二级普通怪</t>
        </is>
      </c>
      <c r="D4063" t="n">
        <v>2973572</v>
      </c>
      <c r="E4063" t="n">
        <v>112930</v>
      </c>
      <c r="F4063" t="n">
        <v>56601</v>
      </c>
    </row>
    <row r="4064">
      <c r="A4064" t="inlineStr">
        <is>
          <t>452|站桩怪</t>
        </is>
      </c>
      <c r="B4064" t="n">
        <v>452</v>
      </c>
      <c r="C4064" t="inlineStr">
        <is>
          <t>站桩怪</t>
        </is>
      </c>
      <c r="D4064" t="n">
        <v>825992</v>
      </c>
      <c r="E4064" t="n">
        <v>112930</v>
      </c>
      <c r="F4064" t="n">
        <v>56601</v>
      </c>
    </row>
    <row r="4065">
      <c r="A4065" t="inlineStr">
        <is>
          <t>452|炮灰怪</t>
        </is>
      </c>
      <c r="B4065" t="n">
        <v>452</v>
      </c>
      <c r="C4065" t="inlineStr">
        <is>
          <t>炮灰怪</t>
        </is>
      </c>
      <c r="D4065" t="n">
        <v>247798</v>
      </c>
      <c r="E4065" t="n">
        <v>112930</v>
      </c>
      <c r="F4065" t="n">
        <v>56601</v>
      </c>
    </row>
    <row r="4066">
      <c r="A4066" t="inlineStr">
        <is>
          <t>452|精英怪</t>
        </is>
      </c>
      <c r="B4066" t="n">
        <v>452</v>
      </c>
      <c r="C4066" t="inlineStr">
        <is>
          <t>精英怪</t>
        </is>
      </c>
      <c r="D4066" t="n">
        <v>6607936</v>
      </c>
      <c r="E4066" t="n">
        <v>112930</v>
      </c>
      <c r="F4066" t="n">
        <v>56601</v>
      </c>
    </row>
    <row r="4067">
      <c r="A4067" t="inlineStr">
        <is>
          <t>452|精英盾怪</t>
        </is>
      </c>
      <c r="B4067" t="n">
        <v>452</v>
      </c>
      <c r="C4067" t="inlineStr">
        <is>
          <t>精英盾怪</t>
        </is>
      </c>
      <c r="D4067" t="n">
        <v>14867856</v>
      </c>
      <c r="E4067" t="n">
        <v>112930</v>
      </c>
      <c r="F4067" t="n">
        <v>56601</v>
      </c>
    </row>
    <row r="4068">
      <c r="A4068" t="inlineStr">
        <is>
          <t>452|Boss</t>
        </is>
      </c>
      <c r="B4068" t="n">
        <v>452</v>
      </c>
      <c r="C4068" t="inlineStr">
        <is>
          <t>Boss</t>
        </is>
      </c>
      <c r="D4068" t="n">
        <v>176450616</v>
      </c>
      <c r="E4068" t="n">
        <v>119717</v>
      </c>
      <c r="F4068" t="n">
        <v>56601</v>
      </c>
    </row>
    <row r="4069">
      <c r="A4069" t="inlineStr">
        <is>
          <t>452|装备副本Boss</t>
        </is>
      </c>
      <c r="B4069" t="n">
        <v>452</v>
      </c>
      <c r="C4069" t="inlineStr">
        <is>
          <t>装备副本Boss</t>
        </is>
      </c>
      <c r="D4069" t="n">
        <v>88225308</v>
      </c>
      <c r="E4069" t="n">
        <v>119717</v>
      </c>
      <c r="F4069" t="n">
        <v>56601</v>
      </c>
    </row>
    <row r="4070">
      <c r="A4070" t="inlineStr">
        <is>
          <t>453|普通怪</t>
        </is>
      </c>
      <c r="B4070" t="n">
        <v>453</v>
      </c>
      <c r="C4070" t="inlineStr">
        <is>
          <t>普通怪</t>
        </is>
      </c>
      <c r="D4070" t="n">
        <v>1663853</v>
      </c>
      <c r="E4070" t="n">
        <v>113597</v>
      </c>
      <c r="F4070" t="n">
        <v>56777</v>
      </c>
    </row>
    <row r="4071">
      <c r="A4071" t="inlineStr">
        <is>
          <t>453|盾怪</t>
        </is>
      </c>
      <c r="B4071" t="n">
        <v>453</v>
      </c>
      <c r="C4071" t="inlineStr">
        <is>
          <t>盾怪</t>
        </is>
      </c>
      <c r="D4071" t="n">
        <v>4991559</v>
      </c>
      <c r="E4071" t="n">
        <v>113597</v>
      </c>
      <c r="F4071" t="n">
        <v>56777</v>
      </c>
    </row>
    <row r="4072">
      <c r="A4072" t="inlineStr">
        <is>
          <t>453|二级普通怪</t>
        </is>
      </c>
      <c r="B4072" t="n">
        <v>453</v>
      </c>
      <c r="C4072" t="inlineStr">
        <is>
          <t>二级普通怪</t>
        </is>
      </c>
      <c r="D4072" t="n">
        <v>2994936</v>
      </c>
      <c r="E4072" t="n">
        <v>113597</v>
      </c>
      <c r="F4072" t="n">
        <v>56777</v>
      </c>
    </row>
    <row r="4073">
      <c r="A4073" t="inlineStr">
        <is>
          <t>453|站桩怪</t>
        </is>
      </c>
      <c r="B4073" t="n">
        <v>453</v>
      </c>
      <c r="C4073" t="inlineStr">
        <is>
          <t>站桩怪</t>
        </is>
      </c>
      <c r="D4073" t="n">
        <v>831927</v>
      </c>
      <c r="E4073" t="n">
        <v>113597</v>
      </c>
      <c r="F4073" t="n">
        <v>56777</v>
      </c>
    </row>
    <row r="4074">
      <c r="A4074" t="inlineStr">
        <is>
          <t>453|炮灰怪</t>
        </is>
      </c>
      <c r="B4074" t="n">
        <v>453</v>
      </c>
      <c r="C4074" t="inlineStr">
        <is>
          <t>炮灰怪</t>
        </is>
      </c>
      <c r="D4074" t="n">
        <v>249578</v>
      </c>
      <c r="E4074" t="n">
        <v>113597</v>
      </c>
      <c r="F4074" t="n">
        <v>56777</v>
      </c>
    </row>
    <row r="4075">
      <c r="A4075" t="inlineStr">
        <is>
          <t>453|精英怪</t>
        </is>
      </c>
      <c r="B4075" t="n">
        <v>453</v>
      </c>
      <c r="C4075" t="inlineStr">
        <is>
          <t>精英怪</t>
        </is>
      </c>
      <c r="D4075" t="n">
        <v>6655412</v>
      </c>
      <c r="E4075" t="n">
        <v>113597</v>
      </c>
      <c r="F4075" t="n">
        <v>56777</v>
      </c>
    </row>
    <row r="4076">
      <c r="A4076" t="inlineStr">
        <is>
          <t>453|精英盾怪</t>
        </is>
      </c>
      <c r="B4076" t="n">
        <v>453</v>
      </c>
      <c r="C4076" t="inlineStr">
        <is>
          <t>精英盾怪</t>
        </is>
      </c>
      <c r="D4076" t="n">
        <v>14974677</v>
      </c>
      <c r="E4076" t="n">
        <v>113597</v>
      </c>
      <c r="F4076" t="n">
        <v>56777</v>
      </c>
    </row>
    <row r="4077">
      <c r="A4077" t="inlineStr">
        <is>
          <t>453|Boss</t>
        </is>
      </c>
      <c r="B4077" t="n">
        <v>453</v>
      </c>
      <c r="C4077" t="inlineStr">
        <is>
          <t>Boss</t>
        </is>
      </c>
      <c r="D4077" t="n">
        <v>177821496</v>
      </c>
      <c r="E4077" t="n">
        <v>120405</v>
      </c>
      <c r="F4077" t="n">
        <v>56777</v>
      </c>
    </row>
    <row r="4078">
      <c r="A4078" t="inlineStr">
        <is>
          <t>453|装备副本Boss</t>
        </is>
      </c>
      <c r="B4078" t="n">
        <v>453</v>
      </c>
      <c r="C4078" t="inlineStr">
        <is>
          <t>装备副本Boss</t>
        </is>
      </c>
      <c r="D4078" t="n">
        <v>88910748</v>
      </c>
      <c r="E4078" t="n">
        <v>120405</v>
      </c>
      <c r="F4078" t="n">
        <v>56777</v>
      </c>
    </row>
    <row r="4079">
      <c r="A4079" t="inlineStr">
        <is>
          <t>454|普通怪</t>
        </is>
      </c>
      <c r="B4079" t="n">
        <v>454</v>
      </c>
      <c r="C4079" t="inlineStr">
        <is>
          <t>普通怪</t>
        </is>
      </c>
      <c r="D4079" t="n">
        <v>1675791</v>
      </c>
      <c r="E4079" t="n">
        <v>114267</v>
      </c>
      <c r="F4079" t="n">
        <v>56954</v>
      </c>
    </row>
    <row r="4080">
      <c r="A4080" t="inlineStr">
        <is>
          <t>454|盾怪</t>
        </is>
      </c>
      <c r="B4080" t="n">
        <v>454</v>
      </c>
      <c r="C4080" t="inlineStr">
        <is>
          <t>盾怪</t>
        </is>
      </c>
      <c r="D4080" t="n">
        <v>5027373</v>
      </c>
      <c r="E4080" t="n">
        <v>114267</v>
      </c>
      <c r="F4080" t="n">
        <v>56954</v>
      </c>
    </row>
    <row r="4081">
      <c r="A4081" t="inlineStr">
        <is>
          <t>454|二级普通怪</t>
        </is>
      </c>
      <c r="B4081" t="n">
        <v>454</v>
      </c>
      <c r="C4081" t="inlineStr">
        <is>
          <t>二级普通怪</t>
        </is>
      </c>
      <c r="D4081" t="n">
        <v>3016424</v>
      </c>
      <c r="E4081" t="n">
        <v>114267</v>
      </c>
      <c r="F4081" t="n">
        <v>56954</v>
      </c>
    </row>
    <row r="4082">
      <c r="A4082" t="inlineStr">
        <is>
          <t>454|站桩怪</t>
        </is>
      </c>
      <c r="B4082" t="n">
        <v>454</v>
      </c>
      <c r="C4082" t="inlineStr">
        <is>
          <t>站桩怪</t>
        </is>
      </c>
      <c r="D4082" t="n">
        <v>837896</v>
      </c>
      <c r="E4082" t="n">
        <v>114267</v>
      </c>
      <c r="F4082" t="n">
        <v>56954</v>
      </c>
    </row>
    <row r="4083">
      <c r="A4083" t="inlineStr">
        <is>
          <t>454|炮灰怪</t>
        </is>
      </c>
      <c r="B4083" t="n">
        <v>454</v>
      </c>
      <c r="C4083" t="inlineStr">
        <is>
          <t>炮灰怪</t>
        </is>
      </c>
      <c r="D4083" t="n">
        <v>251369</v>
      </c>
      <c r="E4083" t="n">
        <v>114267</v>
      </c>
      <c r="F4083" t="n">
        <v>56954</v>
      </c>
    </row>
    <row r="4084">
      <c r="A4084" t="inlineStr">
        <is>
          <t>454|精英怪</t>
        </is>
      </c>
      <c r="B4084" t="n">
        <v>454</v>
      </c>
      <c r="C4084" t="inlineStr">
        <is>
          <t>精英怪</t>
        </is>
      </c>
      <c r="D4084" t="n">
        <v>6703164</v>
      </c>
      <c r="E4084" t="n">
        <v>114267</v>
      </c>
      <c r="F4084" t="n">
        <v>56954</v>
      </c>
    </row>
    <row r="4085">
      <c r="A4085" t="inlineStr">
        <is>
          <t>454|精英盾怪</t>
        </is>
      </c>
      <c r="B4085" t="n">
        <v>454</v>
      </c>
      <c r="C4085" t="inlineStr">
        <is>
          <t>精英盾怪</t>
        </is>
      </c>
      <c r="D4085" t="n">
        <v>15082119</v>
      </c>
      <c r="E4085" t="n">
        <v>114267</v>
      </c>
      <c r="F4085" t="n">
        <v>56954</v>
      </c>
    </row>
    <row r="4086">
      <c r="A4086" t="inlineStr">
        <is>
          <t>454|Boss</t>
        </is>
      </c>
      <c r="B4086" t="n">
        <v>454</v>
      </c>
      <c r="C4086" t="inlineStr">
        <is>
          <t>Boss</t>
        </is>
      </c>
      <c r="D4086" t="n">
        <v>179201199</v>
      </c>
      <c r="E4086" t="n">
        <v>121096</v>
      </c>
      <c r="F4086" t="n">
        <v>56954</v>
      </c>
    </row>
    <row r="4087">
      <c r="A4087" t="inlineStr">
        <is>
          <t>454|装备副本Boss</t>
        </is>
      </c>
      <c r="B4087" t="n">
        <v>454</v>
      </c>
      <c r="C4087" t="inlineStr">
        <is>
          <t>装备副本Boss</t>
        </is>
      </c>
      <c r="D4087" t="n">
        <v>89600600</v>
      </c>
      <c r="E4087" t="n">
        <v>121096</v>
      </c>
      <c r="F4087" t="n">
        <v>56954</v>
      </c>
    </row>
    <row r="4088">
      <c r="A4088" t="inlineStr">
        <is>
          <t>455|普通怪</t>
        </is>
      </c>
      <c r="B4088" t="n">
        <v>455</v>
      </c>
      <c r="C4088" t="inlineStr">
        <is>
          <t>普通怪</t>
        </is>
      </c>
      <c r="D4088" t="n">
        <v>1687798</v>
      </c>
      <c r="E4088" t="n">
        <v>114940</v>
      </c>
      <c r="F4088" t="n">
        <v>57131</v>
      </c>
    </row>
    <row r="4089">
      <c r="A4089" t="inlineStr">
        <is>
          <t>455|盾怪</t>
        </is>
      </c>
      <c r="B4089" t="n">
        <v>455</v>
      </c>
      <c r="C4089" t="inlineStr">
        <is>
          <t>盾怪</t>
        </is>
      </c>
      <c r="D4089" t="n">
        <v>5063394</v>
      </c>
      <c r="E4089" t="n">
        <v>114940</v>
      </c>
      <c r="F4089" t="n">
        <v>57131</v>
      </c>
    </row>
    <row r="4090">
      <c r="A4090" t="inlineStr">
        <is>
          <t>455|二级普通怪</t>
        </is>
      </c>
      <c r="B4090" t="n">
        <v>455</v>
      </c>
      <c r="C4090" t="inlineStr">
        <is>
          <t>二级普通怪</t>
        </is>
      </c>
      <c r="D4090" t="n">
        <v>3038037</v>
      </c>
      <c r="E4090" t="n">
        <v>114940</v>
      </c>
      <c r="F4090" t="n">
        <v>57131</v>
      </c>
    </row>
    <row r="4091">
      <c r="A4091" t="inlineStr">
        <is>
          <t>455|站桩怪</t>
        </is>
      </c>
      <c r="B4091" t="n">
        <v>455</v>
      </c>
      <c r="C4091" t="inlineStr">
        <is>
          <t>站桩怪</t>
        </is>
      </c>
      <c r="D4091" t="n">
        <v>843899</v>
      </c>
      <c r="E4091" t="n">
        <v>114940</v>
      </c>
      <c r="F4091" t="n">
        <v>57131</v>
      </c>
    </row>
    <row r="4092">
      <c r="A4092" t="inlineStr">
        <is>
          <t>455|炮灰怪</t>
        </is>
      </c>
      <c r="B4092" t="n">
        <v>455</v>
      </c>
      <c r="C4092" t="inlineStr">
        <is>
          <t>炮灰怪</t>
        </is>
      </c>
      <c r="D4092" t="n">
        <v>253170</v>
      </c>
      <c r="E4092" t="n">
        <v>114940</v>
      </c>
      <c r="F4092" t="n">
        <v>57131</v>
      </c>
    </row>
    <row r="4093">
      <c r="A4093" t="inlineStr">
        <is>
          <t>455|精英怪</t>
        </is>
      </c>
      <c r="B4093" t="n">
        <v>455</v>
      </c>
      <c r="C4093" t="inlineStr">
        <is>
          <t>精英怪</t>
        </is>
      </c>
      <c r="D4093" t="n">
        <v>6751192</v>
      </c>
      <c r="E4093" t="n">
        <v>114940</v>
      </c>
      <c r="F4093" t="n">
        <v>57131</v>
      </c>
    </row>
    <row r="4094">
      <c r="A4094" t="inlineStr">
        <is>
          <t>455|精英盾怪</t>
        </is>
      </c>
      <c r="B4094" t="n">
        <v>455</v>
      </c>
      <c r="C4094" t="inlineStr">
        <is>
          <t>精英盾怪</t>
        </is>
      </c>
      <c r="D4094" t="n">
        <v>15190182</v>
      </c>
      <c r="E4094" t="n">
        <v>114940</v>
      </c>
      <c r="F4094" t="n">
        <v>57131</v>
      </c>
    </row>
    <row r="4095">
      <c r="A4095" t="inlineStr">
        <is>
          <t>455|Boss</t>
        </is>
      </c>
      <c r="B4095" t="n">
        <v>455</v>
      </c>
      <c r="C4095" t="inlineStr">
        <is>
          <t>Boss</t>
        </is>
      </c>
      <c r="D4095" t="n">
        <v>180589674</v>
      </c>
      <c r="E4095" t="n">
        <v>121790</v>
      </c>
      <c r="F4095" t="n">
        <v>57131</v>
      </c>
    </row>
    <row r="4096">
      <c r="A4096" t="inlineStr">
        <is>
          <t>455|装备副本Boss</t>
        </is>
      </c>
      <c r="B4096" t="n">
        <v>455</v>
      </c>
      <c r="C4096" t="inlineStr">
        <is>
          <t>装备副本Boss</t>
        </is>
      </c>
      <c r="D4096" t="n">
        <v>90294837</v>
      </c>
      <c r="E4096" t="n">
        <v>121790</v>
      </c>
      <c r="F4096" t="n">
        <v>57131</v>
      </c>
    </row>
    <row r="4097">
      <c r="A4097" t="inlineStr">
        <is>
          <t>456|普通怪</t>
        </is>
      </c>
      <c r="B4097" t="n">
        <v>456</v>
      </c>
      <c r="C4097" t="inlineStr">
        <is>
          <t>普通怪</t>
        </is>
      </c>
      <c r="D4097" t="n">
        <v>1699874</v>
      </c>
      <c r="E4097" t="n">
        <v>115617</v>
      </c>
      <c r="F4097" t="n">
        <v>57309</v>
      </c>
    </row>
    <row r="4098">
      <c r="A4098" t="inlineStr">
        <is>
          <t>456|盾怪</t>
        </is>
      </c>
      <c r="B4098" t="n">
        <v>456</v>
      </c>
      <c r="C4098" t="inlineStr">
        <is>
          <t>盾怪</t>
        </is>
      </c>
      <c r="D4098" t="n">
        <v>5099622</v>
      </c>
      <c r="E4098" t="n">
        <v>115617</v>
      </c>
      <c r="F4098" t="n">
        <v>57309</v>
      </c>
    </row>
    <row r="4099">
      <c r="A4099" t="inlineStr">
        <is>
          <t>456|二级普通怪</t>
        </is>
      </c>
      <c r="B4099" t="n">
        <v>456</v>
      </c>
      <c r="C4099" t="inlineStr">
        <is>
          <t>二级普通怪</t>
        </is>
      </c>
      <c r="D4099" t="n">
        <v>3059774</v>
      </c>
      <c r="E4099" t="n">
        <v>115617</v>
      </c>
      <c r="F4099" t="n">
        <v>57309</v>
      </c>
    </row>
    <row r="4100">
      <c r="A4100" t="inlineStr">
        <is>
          <t>456|站桩怪</t>
        </is>
      </c>
      <c r="B4100" t="n">
        <v>456</v>
      </c>
      <c r="C4100" t="inlineStr">
        <is>
          <t>站桩怪</t>
        </is>
      </c>
      <c r="D4100" t="n">
        <v>849937</v>
      </c>
      <c r="E4100" t="n">
        <v>115617</v>
      </c>
      <c r="F4100" t="n">
        <v>57309</v>
      </c>
    </row>
    <row r="4101">
      <c r="A4101" t="inlineStr">
        <is>
          <t>456|炮灰怪</t>
        </is>
      </c>
      <c r="B4101" t="n">
        <v>456</v>
      </c>
      <c r="C4101" t="inlineStr">
        <is>
          <t>炮灰怪</t>
        </is>
      </c>
      <c r="D4101" t="n">
        <v>254982</v>
      </c>
      <c r="E4101" t="n">
        <v>115617</v>
      </c>
      <c r="F4101" t="n">
        <v>57309</v>
      </c>
    </row>
    <row r="4102">
      <c r="A4102" t="inlineStr">
        <is>
          <t>456|精英怪</t>
        </is>
      </c>
      <c r="B4102" t="n">
        <v>456</v>
      </c>
      <c r="C4102" t="inlineStr">
        <is>
          <t>精英怪</t>
        </is>
      </c>
      <c r="D4102" t="n">
        <v>6799496</v>
      </c>
      <c r="E4102" t="n">
        <v>115617</v>
      </c>
      <c r="F4102" t="n">
        <v>57309</v>
      </c>
    </row>
    <row r="4103">
      <c r="A4103" t="inlineStr">
        <is>
          <t>456|精英盾怪</t>
        </is>
      </c>
      <c r="B4103" t="n">
        <v>456</v>
      </c>
      <c r="C4103" t="inlineStr">
        <is>
          <t>精英盾怪</t>
        </is>
      </c>
      <c r="D4103" t="n">
        <v>15298866</v>
      </c>
      <c r="E4103" t="n">
        <v>115617</v>
      </c>
      <c r="F4103" t="n">
        <v>57309</v>
      </c>
    </row>
    <row r="4104">
      <c r="A4104" t="inlineStr">
        <is>
          <t>456|Boss</t>
        </is>
      </c>
      <c r="B4104" t="n">
        <v>456</v>
      </c>
      <c r="C4104" t="inlineStr">
        <is>
          <t>Boss</t>
        </is>
      </c>
      <c r="D4104" t="n">
        <v>181987074</v>
      </c>
      <c r="E4104" t="n">
        <v>122488</v>
      </c>
      <c r="F4104" t="n">
        <v>57309</v>
      </c>
    </row>
    <row r="4105">
      <c r="A4105" t="inlineStr">
        <is>
          <t>456|装备副本Boss</t>
        </is>
      </c>
      <c r="B4105" t="n">
        <v>456</v>
      </c>
      <c r="C4105" t="inlineStr">
        <is>
          <t>装备副本Boss</t>
        </is>
      </c>
      <c r="D4105" t="n">
        <v>90993537</v>
      </c>
      <c r="E4105" t="n">
        <v>122488</v>
      </c>
      <c r="F4105" t="n">
        <v>57309</v>
      </c>
    </row>
    <row r="4106">
      <c r="A4106" t="inlineStr">
        <is>
          <t>457|普通怪</t>
        </is>
      </c>
      <c r="B4106" t="n">
        <v>457</v>
      </c>
      <c r="C4106" t="inlineStr">
        <is>
          <t>普通怪</t>
        </is>
      </c>
      <c r="D4106" t="n">
        <v>1712020</v>
      </c>
      <c r="E4106" t="n">
        <v>116297</v>
      </c>
      <c r="F4106" t="n">
        <v>57486</v>
      </c>
    </row>
    <row r="4107">
      <c r="A4107" t="inlineStr">
        <is>
          <t>457|盾怪</t>
        </is>
      </c>
      <c r="B4107" t="n">
        <v>457</v>
      </c>
      <c r="C4107" t="inlineStr">
        <is>
          <t>盾怪</t>
        </is>
      </c>
      <c r="D4107" t="n">
        <v>5136060</v>
      </c>
      <c r="E4107" t="n">
        <v>116297</v>
      </c>
      <c r="F4107" t="n">
        <v>57486</v>
      </c>
    </row>
    <row r="4108">
      <c r="A4108" t="inlineStr">
        <is>
          <t>457|二级普通怪</t>
        </is>
      </c>
      <c r="B4108" t="n">
        <v>457</v>
      </c>
      <c r="C4108" t="inlineStr">
        <is>
          <t>二级普通怪</t>
        </is>
      </c>
      <c r="D4108" t="n">
        <v>3081636</v>
      </c>
      <c r="E4108" t="n">
        <v>116297</v>
      </c>
      <c r="F4108" t="n">
        <v>57486</v>
      </c>
    </row>
    <row r="4109">
      <c r="A4109" t="inlineStr">
        <is>
          <t>457|站桩怪</t>
        </is>
      </c>
      <c r="B4109" t="n">
        <v>457</v>
      </c>
      <c r="C4109" t="inlineStr">
        <is>
          <t>站桩怪</t>
        </is>
      </c>
      <c r="D4109" t="n">
        <v>856010</v>
      </c>
      <c r="E4109" t="n">
        <v>116297</v>
      </c>
      <c r="F4109" t="n">
        <v>57486</v>
      </c>
    </row>
    <row r="4110">
      <c r="A4110" t="inlineStr">
        <is>
          <t>457|炮灰怪</t>
        </is>
      </c>
      <c r="B4110" t="n">
        <v>457</v>
      </c>
      <c r="C4110" t="inlineStr">
        <is>
          <t>炮灰怪</t>
        </is>
      </c>
      <c r="D4110" t="n">
        <v>256803</v>
      </c>
      <c r="E4110" t="n">
        <v>116297</v>
      </c>
      <c r="F4110" t="n">
        <v>57486</v>
      </c>
    </row>
    <row r="4111">
      <c r="A4111" t="inlineStr">
        <is>
          <t>457|精英怪</t>
        </is>
      </c>
      <c r="B4111" t="n">
        <v>457</v>
      </c>
      <c r="C4111" t="inlineStr">
        <is>
          <t>精英怪</t>
        </is>
      </c>
      <c r="D4111" t="n">
        <v>6848080</v>
      </c>
      <c r="E4111" t="n">
        <v>116297</v>
      </c>
      <c r="F4111" t="n">
        <v>57486</v>
      </c>
    </row>
    <row r="4112">
      <c r="A4112" t="inlineStr">
        <is>
          <t>457|精英盾怪</t>
        </is>
      </c>
      <c r="B4112" t="n">
        <v>457</v>
      </c>
      <c r="C4112" t="inlineStr">
        <is>
          <t>精英盾怪</t>
        </is>
      </c>
      <c r="D4112" t="n">
        <v>15408180</v>
      </c>
      <c r="E4112" t="n">
        <v>116297</v>
      </c>
      <c r="F4112" t="n">
        <v>57486</v>
      </c>
    </row>
    <row r="4113">
      <c r="A4113" t="inlineStr">
        <is>
          <t>457|Boss</t>
        </is>
      </c>
      <c r="B4113" t="n">
        <v>457</v>
      </c>
      <c r="C4113" t="inlineStr">
        <is>
          <t>Boss</t>
        </is>
      </c>
      <c r="D4113" t="n">
        <v>183393348</v>
      </c>
      <c r="E4113" t="n">
        <v>123189</v>
      </c>
      <c r="F4113" t="n">
        <v>57486</v>
      </c>
    </row>
    <row r="4114">
      <c r="A4114" t="inlineStr">
        <is>
          <t>457|装备副本Boss</t>
        </is>
      </c>
      <c r="B4114" t="n">
        <v>457</v>
      </c>
      <c r="C4114" t="inlineStr">
        <is>
          <t>装备副本Boss</t>
        </is>
      </c>
      <c r="D4114" t="n">
        <v>91696674</v>
      </c>
      <c r="E4114" t="n">
        <v>123189</v>
      </c>
      <c r="F4114" t="n">
        <v>57486</v>
      </c>
    </row>
    <row r="4115">
      <c r="A4115" t="inlineStr">
        <is>
          <t>458|普通怪</t>
        </is>
      </c>
      <c r="B4115" t="n">
        <v>458</v>
      </c>
      <c r="C4115" t="inlineStr">
        <is>
          <t>普通怪</t>
        </is>
      </c>
      <c r="D4115" t="n">
        <v>1724235</v>
      </c>
      <c r="E4115" t="n">
        <v>116981</v>
      </c>
      <c r="F4115" t="n">
        <v>57664</v>
      </c>
    </row>
    <row r="4116">
      <c r="A4116" t="inlineStr">
        <is>
          <t>458|盾怪</t>
        </is>
      </c>
      <c r="B4116" t="n">
        <v>458</v>
      </c>
      <c r="C4116" t="inlineStr">
        <is>
          <t>盾怪</t>
        </is>
      </c>
      <c r="D4116" t="n">
        <v>5172705</v>
      </c>
      <c r="E4116" t="n">
        <v>116981</v>
      </c>
      <c r="F4116" t="n">
        <v>57664</v>
      </c>
    </row>
    <row r="4117">
      <c r="A4117" t="inlineStr">
        <is>
          <t>458|二级普通怪</t>
        </is>
      </c>
      <c r="B4117" t="n">
        <v>458</v>
      </c>
      <c r="C4117" t="inlineStr">
        <is>
          <t>二级普通怪</t>
        </is>
      </c>
      <c r="D4117" t="n">
        <v>3103623</v>
      </c>
      <c r="E4117" t="n">
        <v>116981</v>
      </c>
      <c r="F4117" t="n">
        <v>57664</v>
      </c>
    </row>
    <row r="4118">
      <c r="A4118" t="inlineStr">
        <is>
          <t>458|站桩怪</t>
        </is>
      </c>
      <c r="B4118" t="n">
        <v>458</v>
      </c>
      <c r="C4118" t="inlineStr">
        <is>
          <t>站桩怪</t>
        </is>
      </c>
      <c r="D4118" t="n">
        <v>862118</v>
      </c>
      <c r="E4118" t="n">
        <v>116981</v>
      </c>
      <c r="F4118" t="n">
        <v>57664</v>
      </c>
    </row>
    <row r="4119">
      <c r="A4119" t="inlineStr">
        <is>
          <t>458|炮灰怪</t>
        </is>
      </c>
      <c r="B4119" t="n">
        <v>458</v>
      </c>
      <c r="C4119" t="inlineStr">
        <is>
          <t>炮灰怪</t>
        </is>
      </c>
      <c r="D4119" t="n">
        <v>258636</v>
      </c>
      <c r="E4119" t="n">
        <v>116981</v>
      </c>
      <c r="F4119" t="n">
        <v>57664</v>
      </c>
    </row>
    <row r="4120">
      <c r="A4120" t="inlineStr">
        <is>
          <t>458|精英怪</t>
        </is>
      </c>
      <c r="B4120" t="n">
        <v>458</v>
      </c>
      <c r="C4120" t="inlineStr">
        <is>
          <t>精英怪</t>
        </is>
      </c>
      <c r="D4120" t="n">
        <v>6896940</v>
      </c>
      <c r="E4120" t="n">
        <v>116981</v>
      </c>
      <c r="F4120" t="n">
        <v>57664</v>
      </c>
    </row>
    <row r="4121">
      <c r="A4121" t="inlineStr">
        <is>
          <t>458|精英盾怪</t>
        </is>
      </c>
      <c r="B4121" t="n">
        <v>458</v>
      </c>
      <c r="C4121" t="inlineStr">
        <is>
          <t>精英盾怪</t>
        </is>
      </c>
      <c r="D4121" t="n">
        <v>15518115</v>
      </c>
      <c r="E4121" t="n">
        <v>116981</v>
      </c>
      <c r="F4121" t="n">
        <v>57664</v>
      </c>
    </row>
    <row r="4122">
      <c r="A4122" t="inlineStr">
        <is>
          <t>458|Boss</t>
        </is>
      </c>
      <c r="B4122" t="n">
        <v>458</v>
      </c>
      <c r="C4122" t="inlineStr">
        <is>
          <t>Boss</t>
        </is>
      </c>
      <c r="D4122" t="n">
        <v>184808598</v>
      </c>
      <c r="E4122" t="n">
        <v>123894</v>
      </c>
      <c r="F4122" t="n">
        <v>57664</v>
      </c>
    </row>
    <row r="4123">
      <c r="A4123" t="inlineStr">
        <is>
          <t>458|装备副本Boss</t>
        </is>
      </c>
      <c r="B4123" t="n">
        <v>458</v>
      </c>
      <c r="C4123" t="inlineStr">
        <is>
          <t>装备副本Boss</t>
        </is>
      </c>
      <c r="D4123" t="n">
        <v>92404299</v>
      </c>
      <c r="E4123" t="n">
        <v>123894</v>
      </c>
      <c r="F4123" t="n">
        <v>57664</v>
      </c>
    </row>
    <row r="4124">
      <c r="A4124" t="inlineStr">
        <is>
          <t>459|普通怪</t>
        </is>
      </c>
      <c r="B4124" t="n">
        <v>459</v>
      </c>
      <c r="C4124" t="inlineStr">
        <is>
          <t>普通怪</t>
        </is>
      </c>
      <c r="D4124" t="n">
        <v>1736521</v>
      </c>
      <c r="E4124" t="n">
        <v>117667</v>
      </c>
      <c r="F4124" t="n">
        <v>57842</v>
      </c>
    </row>
    <row r="4125">
      <c r="A4125" t="inlineStr">
        <is>
          <t>459|盾怪</t>
        </is>
      </c>
      <c r="B4125" t="n">
        <v>459</v>
      </c>
      <c r="C4125" t="inlineStr">
        <is>
          <t>盾怪</t>
        </is>
      </c>
      <c r="D4125" t="n">
        <v>5209563</v>
      </c>
      <c r="E4125" t="n">
        <v>117667</v>
      </c>
      <c r="F4125" t="n">
        <v>57842</v>
      </c>
    </row>
    <row r="4126">
      <c r="A4126" t="inlineStr">
        <is>
          <t>459|二级普通怪</t>
        </is>
      </c>
      <c r="B4126" t="n">
        <v>459</v>
      </c>
      <c r="C4126" t="inlineStr">
        <is>
          <t>二级普通怪</t>
        </is>
      </c>
      <c r="D4126" t="n">
        <v>3125738</v>
      </c>
      <c r="E4126" t="n">
        <v>117667</v>
      </c>
      <c r="F4126" t="n">
        <v>57842</v>
      </c>
    </row>
    <row r="4127">
      <c r="A4127" t="inlineStr">
        <is>
          <t>459|站桩怪</t>
        </is>
      </c>
      <c r="B4127" t="n">
        <v>459</v>
      </c>
      <c r="C4127" t="inlineStr">
        <is>
          <t>站桩怪</t>
        </is>
      </c>
      <c r="D4127" t="n">
        <v>868261</v>
      </c>
      <c r="E4127" t="n">
        <v>117667</v>
      </c>
      <c r="F4127" t="n">
        <v>57842</v>
      </c>
    </row>
    <row r="4128">
      <c r="A4128" t="inlineStr">
        <is>
          <t>459|炮灰怪</t>
        </is>
      </c>
      <c r="B4128" t="n">
        <v>459</v>
      </c>
      <c r="C4128" t="inlineStr">
        <is>
          <t>炮灰怪</t>
        </is>
      </c>
      <c r="D4128" t="n">
        <v>260479</v>
      </c>
      <c r="E4128" t="n">
        <v>117667</v>
      </c>
      <c r="F4128" t="n">
        <v>57842</v>
      </c>
    </row>
    <row r="4129">
      <c r="A4129" t="inlineStr">
        <is>
          <t>459|精英怪</t>
        </is>
      </c>
      <c r="B4129" t="n">
        <v>459</v>
      </c>
      <c r="C4129" t="inlineStr">
        <is>
          <t>精英怪</t>
        </is>
      </c>
      <c r="D4129" t="n">
        <v>6946084</v>
      </c>
      <c r="E4129" t="n">
        <v>117667</v>
      </c>
      <c r="F4129" t="n">
        <v>57842</v>
      </c>
    </row>
    <row r="4130">
      <c r="A4130" t="inlineStr">
        <is>
          <t>459|精英盾怪</t>
        </is>
      </c>
      <c r="B4130" t="n">
        <v>459</v>
      </c>
      <c r="C4130" t="inlineStr">
        <is>
          <t>精英盾怪</t>
        </is>
      </c>
      <c r="D4130" t="n">
        <v>15628689</v>
      </c>
      <c r="E4130" t="n">
        <v>117667</v>
      </c>
      <c r="F4130" t="n">
        <v>57842</v>
      </c>
    </row>
    <row r="4131">
      <c r="A4131" t="inlineStr">
        <is>
          <t>459|Boss</t>
        </is>
      </c>
      <c r="B4131" t="n">
        <v>459</v>
      </c>
      <c r="C4131" t="inlineStr">
        <is>
          <t>Boss</t>
        </is>
      </c>
      <c r="D4131" t="n">
        <v>186232875</v>
      </c>
      <c r="E4131" t="n">
        <v>124602</v>
      </c>
      <c r="F4131" t="n">
        <v>57842</v>
      </c>
    </row>
    <row r="4132">
      <c r="A4132" t="inlineStr">
        <is>
          <t>459|装备副本Boss</t>
        </is>
      </c>
      <c r="B4132" t="n">
        <v>459</v>
      </c>
      <c r="C4132" t="inlineStr">
        <is>
          <t>装备副本Boss</t>
        </is>
      </c>
      <c r="D4132" t="n">
        <v>93116438</v>
      </c>
      <c r="E4132" t="n">
        <v>124602</v>
      </c>
      <c r="F4132" t="n">
        <v>57842</v>
      </c>
    </row>
    <row r="4133">
      <c r="A4133" t="inlineStr">
        <is>
          <t>460|普通怪</t>
        </is>
      </c>
      <c r="B4133" t="n">
        <v>460</v>
      </c>
      <c r="C4133" t="inlineStr">
        <is>
          <t>普通怪</t>
        </is>
      </c>
      <c r="D4133" t="n">
        <v>1748876</v>
      </c>
      <c r="E4133" t="n">
        <v>118358</v>
      </c>
      <c r="F4133" t="n">
        <v>58021</v>
      </c>
    </row>
    <row r="4134">
      <c r="A4134" t="inlineStr">
        <is>
          <t>460|盾怪</t>
        </is>
      </c>
      <c r="B4134" t="n">
        <v>460</v>
      </c>
      <c r="C4134" t="inlineStr">
        <is>
          <t>盾怪</t>
        </is>
      </c>
      <c r="D4134" t="n">
        <v>5246628</v>
      </c>
      <c r="E4134" t="n">
        <v>118358</v>
      </c>
      <c r="F4134" t="n">
        <v>58021</v>
      </c>
    </row>
    <row r="4135">
      <c r="A4135" t="inlineStr">
        <is>
          <t>460|二级普通怪</t>
        </is>
      </c>
      <c r="B4135" t="n">
        <v>460</v>
      </c>
      <c r="C4135" t="inlineStr">
        <is>
          <t>二级普通怪</t>
        </is>
      </c>
      <c r="D4135" t="n">
        <v>3147977</v>
      </c>
      <c r="E4135" t="n">
        <v>118358</v>
      </c>
      <c r="F4135" t="n">
        <v>58021</v>
      </c>
    </row>
    <row r="4136">
      <c r="A4136" t="inlineStr">
        <is>
          <t>460|站桩怪</t>
        </is>
      </c>
      <c r="B4136" t="n">
        <v>460</v>
      </c>
      <c r="C4136" t="inlineStr">
        <is>
          <t>站桩怪</t>
        </is>
      </c>
      <c r="D4136" t="n">
        <v>874438</v>
      </c>
      <c r="E4136" t="n">
        <v>118358</v>
      </c>
      <c r="F4136" t="n">
        <v>58021</v>
      </c>
    </row>
    <row r="4137">
      <c r="A4137" t="inlineStr">
        <is>
          <t>460|炮灰怪</t>
        </is>
      </c>
      <c r="B4137" t="n">
        <v>460</v>
      </c>
      <c r="C4137" t="inlineStr">
        <is>
          <t>炮灰怪</t>
        </is>
      </c>
      <c r="D4137" t="n">
        <v>262332</v>
      </c>
      <c r="E4137" t="n">
        <v>118358</v>
      </c>
      <c r="F4137" t="n">
        <v>58021</v>
      </c>
    </row>
    <row r="4138">
      <c r="A4138" t="inlineStr">
        <is>
          <t>460|精英怪</t>
        </is>
      </c>
      <c r="B4138" t="n">
        <v>460</v>
      </c>
      <c r="C4138" t="inlineStr">
        <is>
          <t>精英怪</t>
        </is>
      </c>
      <c r="D4138" t="n">
        <v>6995504</v>
      </c>
      <c r="E4138" t="n">
        <v>118358</v>
      </c>
      <c r="F4138" t="n">
        <v>58021</v>
      </c>
    </row>
    <row r="4139">
      <c r="A4139" t="inlineStr">
        <is>
          <t>460|精英盾怪</t>
        </is>
      </c>
      <c r="B4139" t="n">
        <v>460</v>
      </c>
      <c r="C4139" t="inlineStr">
        <is>
          <t>精英盾怪</t>
        </is>
      </c>
      <c r="D4139" t="n">
        <v>15739884</v>
      </c>
      <c r="E4139" t="n">
        <v>118358</v>
      </c>
      <c r="F4139" t="n">
        <v>58021</v>
      </c>
    </row>
    <row r="4140">
      <c r="A4140" t="inlineStr">
        <is>
          <t>460|Boss</t>
        </is>
      </c>
      <c r="B4140" t="n">
        <v>460</v>
      </c>
      <c r="C4140" t="inlineStr">
        <is>
          <t>Boss</t>
        </is>
      </c>
      <c r="D4140" t="n">
        <v>187666230</v>
      </c>
      <c r="E4140" t="n">
        <v>125314</v>
      </c>
      <c r="F4140" t="n">
        <v>58021</v>
      </c>
    </row>
    <row r="4141">
      <c r="A4141" t="inlineStr">
        <is>
          <t>460|装备副本Boss</t>
        </is>
      </c>
      <c r="B4141" t="n">
        <v>460</v>
      </c>
      <c r="C4141" t="inlineStr">
        <is>
          <t>装备副本Boss</t>
        </is>
      </c>
      <c r="D4141" t="n">
        <v>93833115</v>
      </c>
      <c r="E4141" t="n">
        <v>125314</v>
      </c>
      <c r="F4141" t="n">
        <v>58021</v>
      </c>
    </row>
    <row r="4142">
      <c r="A4142" t="inlineStr">
        <is>
          <t>461|普通怪</t>
        </is>
      </c>
      <c r="B4142" t="n">
        <v>461</v>
      </c>
      <c r="C4142" t="inlineStr">
        <is>
          <t>普通怪</t>
        </is>
      </c>
      <c r="D4142" t="n">
        <v>1761303</v>
      </c>
      <c r="E4142" t="n">
        <v>119052</v>
      </c>
      <c r="F4142" t="n">
        <v>58199</v>
      </c>
    </row>
    <row r="4143">
      <c r="A4143" t="inlineStr">
        <is>
          <t>461|盾怪</t>
        </is>
      </c>
      <c r="B4143" t="n">
        <v>461</v>
      </c>
      <c r="C4143" t="inlineStr">
        <is>
          <t>盾怪</t>
        </is>
      </c>
      <c r="D4143" t="n">
        <v>5283909</v>
      </c>
      <c r="E4143" t="n">
        <v>119052</v>
      </c>
      <c r="F4143" t="n">
        <v>58199</v>
      </c>
    </row>
    <row r="4144">
      <c r="A4144" t="inlineStr">
        <is>
          <t>461|二级普通怪</t>
        </is>
      </c>
      <c r="B4144" t="n">
        <v>461</v>
      </c>
      <c r="C4144" t="inlineStr">
        <is>
          <t>二级普通怪</t>
        </is>
      </c>
      <c r="D4144" t="n">
        <v>3170346</v>
      </c>
      <c r="E4144" t="n">
        <v>119052</v>
      </c>
      <c r="F4144" t="n">
        <v>58199</v>
      </c>
    </row>
    <row r="4145">
      <c r="A4145" t="inlineStr">
        <is>
          <t>461|站桩怪</t>
        </is>
      </c>
      <c r="B4145" t="n">
        <v>461</v>
      </c>
      <c r="C4145" t="inlineStr">
        <is>
          <t>站桩怪</t>
        </is>
      </c>
      <c r="D4145" t="n">
        <v>880652</v>
      </c>
      <c r="E4145" t="n">
        <v>119052</v>
      </c>
      <c r="F4145" t="n">
        <v>58199</v>
      </c>
    </row>
    <row r="4146">
      <c r="A4146" t="inlineStr">
        <is>
          <t>461|炮灰怪</t>
        </is>
      </c>
      <c r="B4146" t="n">
        <v>461</v>
      </c>
      <c r="C4146" t="inlineStr">
        <is>
          <t>炮灰怪</t>
        </is>
      </c>
      <c r="D4146" t="n">
        <v>264196</v>
      </c>
      <c r="E4146" t="n">
        <v>119052</v>
      </c>
      <c r="F4146" t="n">
        <v>58199</v>
      </c>
    </row>
    <row r="4147">
      <c r="A4147" t="inlineStr">
        <is>
          <t>461|精英怪</t>
        </is>
      </c>
      <c r="B4147" t="n">
        <v>461</v>
      </c>
      <c r="C4147" t="inlineStr">
        <is>
          <t>精英怪</t>
        </is>
      </c>
      <c r="D4147" t="n">
        <v>7045212</v>
      </c>
      <c r="E4147" t="n">
        <v>119052</v>
      </c>
      <c r="F4147" t="n">
        <v>58199</v>
      </c>
    </row>
    <row r="4148">
      <c r="A4148" t="inlineStr">
        <is>
          <t>461|精英盾怪</t>
        </is>
      </c>
      <c r="B4148" t="n">
        <v>461</v>
      </c>
      <c r="C4148" t="inlineStr">
        <is>
          <t>精英盾怪</t>
        </is>
      </c>
      <c r="D4148" t="n">
        <v>15851727</v>
      </c>
      <c r="E4148" t="n">
        <v>119052</v>
      </c>
      <c r="F4148" t="n">
        <v>58199</v>
      </c>
    </row>
    <row r="4149">
      <c r="A4149" t="inlineStr">
        <is>
          <t>461|Boss</t>
        </is>
      </c>
      <c r="B4149" t="n">
        <v>461</v>
      </c>
      <c r="C4149" t="inlineStr">
        <is>
          <t>Boss</t>
        </is>
      </c>
      <c r="D4149" t="n">
        <v>189108663</v>
      </c>
      <c r="E4149" t="n">
        <v>126029</v>
      </c>
      <c r="F4149" t="n">
        <v>58199</v>
      </c>
    </row>
    <row r="4150">
      <c r="A4150" t="inlineStr">
        <is>
          <t>461|装备副本Boss</t>
        </is>
      </c>
      <c r="B4150" t="n">
        <v>461</v>
      </c>
      <c r="C4150" t="inlineStr">
        <is>
          <t>装备副本Boss</t>
        </is>
      </c>
      <c r="D4150" t="n">
        <v>94554332</v>
      </c>
      <c r="E4150" t="n">
        <v>126029</v>
      </c>
      <c r="F4150" t="n">
        <v>58199</v>
      </c>
    </row>
    <row r="4151">
      <c r="A4151" t="inlineStr">
        <is>
          <t>462|普通怪</t>
        </is>
      </c>
      <c r="B4151" t="n">
        <v>462</v>
      </c>
      <c r="C4151" t="inlineStr">
        <is>
          <t>普通怪</t>
        </is>
      </c>
      <c r="D4151" t="n">
        <v>1773801</v>
      </c>
      <c r="E4151" t="n">
        <v>119749</v>
      </c>
      <c r="F4151" t="n">
        <v>58378</v>
      </c>
    </row>
    <row r="4152">
      <c r="A4152" t="inlineStr">
        <is>
          <t>462|盾怪</t>
        </is>
      </c>
      <c r="B4152" t="n">
        <v>462</v>
      </c>
      <c r="C4152" t="inlineStr">
        <is>
          <t>盾怪</t>
        </is>
      </c>
      <c r="D4152" t="n">
        <v>5321403</v>
      </c>
      <c r="E4152" t="n">
        <v>119749</v>
      </c>
      <c r="F4152" t="n">
        <v>58378</v>
      </c>
    </row>
    <row r="4153">
      <c r="A4153" t="inlineStr">
        <is>
          <t>462|二级普通怪</t>
        </is>
      </c>
      <c r="B4153" t="n">
        <v>462</v>
      </c>
      <c r="C4153" t="inlineStr">
        <is>
          <t>二级普通怪</t>
        </is>
      </c>
      <c r="D4153" t="n">
        <v>3192842</v>
      </c>
      <c r="E4153" t="n">
        <v>119749</v>
      </c>
      <c r="F4153" t="n">
        <v>58378</v>
      </c>
    </row>
    <row r="4154">
      <c r="A4154" t="inlineStr">
        <is>
          <t>462|站桩怪</t>
        </is>
      </c>
      <c r="B4154" t="n">
        <v>462</v>
      </c>
      <c r="C4154" t="inlineStr">
        <is>
          <t>站桩怪</t>
        </is>
      </c>
      <c r="D4154" t="n">
        <v>886901</v>
      </c>
      <c r="E4154" t="n">
        <v>119749</v>
      </c>
      <c r="F4154" t="n">
        <v>58378</v>
      </c>
    </row>
    <row r="4155">
      <c r="A4155" t="inlineStr">
        <is>
          <t>462|炮灰怪</t>
        </is>
      </c>
      <c r="B4155" t="n">
        <v>462</v>
      </c>
      <c r="C4155" t="inlineStr">
        <is>
          <t>炮灰怪</t>
        </is>
      </c>
      <c r="D4155" t="n">
        <v>266071</v>
      </c>
      <c r="E4155" t="n">
        <v>119749</v>
      </c>
      <c r="F4155" t="n">
        <v>58378</v>
      </c>
    </row>
    <row r="4156">
      <c r="A4156" t="inlineStr">
        <is>
          <t>462|精英怪</t>
        </is>
      </c>
      <c r="B4156" t="n">
        <v>462</v>
      </c>
      <c r="C4156" t="inlineStr">
        <is>
          <t>精英怪</t>
        </is>
      </c>
      <c r="D4156" t="n">
        <v>7095204</v>
      </c>
      <c r="E4156" t="n">
        <v>119749</v>
      </c>
      <c r="F4156" t="n">
        <v>58378</v>
      </c>
    </row>
    <row r="4157">
      <c r="A4157" t="inlineStr">
        <is>
          <t>462|精英盾怪</t>
        </is>
      </c>
      <c r="B4157" t="n">
        <v>462</v>
      </c>
      <c r="C4157" t="inlineStr">
        <is>
          <t>精英盾怪</t>
        </is>
      </c>
      <c r="D4157" t="n">
        <v>15964209</v>
      </c>
      <c r="E4157" t="n">
        <v>119749</v>
      </c>
      <c r="F4157" t="n">
        <v>58378</v>
      </c>
    </row>
    <row r="4158">
      <c r="A4158" t="inlineStr">
        <is>
          <t>462|Boss</t>
        </is>
      </c>
      <c r="B4158" t="n">
        <v>462</v>
      </c>
      <c r="C4158" t="inlineStr">
        <is>
          <t>Boss</t>
        </is>
      </c>
      <c r="D4158" t="n">
        <v>190560225</v>
      </c>
      <c r="E4158" t="n">
        <v>126747</v>
      </c>
      <c r="F4158" t="n">
        <v>58378</v>
      </c>
    </row>
    <row r="4159">
      <c r="A4159" t="inlineStr">
        <is>
          <t>462|装备副本Boss</t>
        </is>
      </c>
      <c r="B4159" t="n">
        <v>462</v>
      </c>
      <c r="C4159" t="inlineStr">
        <is>
          <t>装备副本Boss</t>
        </is>
      </c>
      <c r="D4159" t="n">
        <v>95280113</v>
      </c>
      <c r="E4159" t="n">
        <v>126747</v>
      </c>
      <c r="F4159" t="n">
        <v>58378</v>
      </c>
    </row>
    <row r="4160">
      <c r="A4160" t="inlineStr">
        <is>
          <t>463|普通怪</t>
        </is>
      </c>
      <c r="B4160" t="n">
        <v>463</v>
      </c>
      <c r="C4160" t="inlineStr">
        <is>
          <t>普通怪</t>
        </is>
      </c>
      <c r="D4160" t="n">
        <v>1786370</v>
      </c>
      <c r="E4160" t="n">
        <v>120449</v>
      </c>
      <c r="F4160" t="n">
        <v>58557</v>
      </c>
    </row>
    <row r="4161">
      <c r="A4161" t="inlineStr">
        <is>
          <t>463|盾怪</t>
        </is>
      </c>
      <c r="B4161" t="n">
        <v>463</v>
      </c>
      <c r="C4161" t="inlineStr">
        <is>
          <t>盾怪</t>
        </is>
      </c>
      <c r="D4161" t="n">
        <v>5359110</v>
      </c>
      <c r="E4161" t="n">
        <v>120449</v>
      </c>
      <c r="F4161" t="n">
        <v>58557</v>
      </c>
    </row>
    <row r="4162">
      <c r="A4162" t="inlineStr">
        <is>
          <t>463|二级普通怪</t>
        </is>
      </c>
      <c r="B4162" t="n">
        <v>463</v>
      </c>
      <c r="C4162" t="inlineStr">
        <is>
          <t>二级普通怪</t>
        </is>
      </c>
      <c r="D4162" t="n">
        <v>3215466</v>
      </c>
      <c r="E4162" t="n">
        <v>120449</v>
      </c>
      <c r="F4162" t="n">
        <v>58557</v>
      </c>
    </row>
    <row r="4163">
      <c r="A4163" t="inlineStr">
        <is>
          <t>463|站桩怪</t>
        </is>
      </c>
      <c r="B4163" t="n">
        <v>463</v>
      </c>
      <c r="C4163" t="inlineStr">
        <is>
          <t>站桩怪</t>
        </is>
      </c>
      <c r="D4163" t="n">
        <v>893185</v>
      </c>
      <c r="E4163" t="n">
        <v>120449</v>
      </c>
      <c r="F4163" t="n">
        <v>58557</v>
      </c>
    </row>
    <row r="4164">
      <c r="A4164" t="inlineStr">
        <is>
          <t>463|炮灰怪</t>
        </is>
      </c>
      <c r="B4164" t="n">
        <v>463</v>
      </c>
      <c r="C4164" t="inlineStr">
        <is>
          <t>炮灰怪</t>
        </is>
      </c>
      <c r="D4164" t="n">
        <v>267956</v>
      </c>
      <c r="E4164" t="n">
        <v>120449</v>
      </c>
      <c r="F4164" t="n">
        <v>58557</v>
      </c>
    </row>
    <row r="4165">
      <c r="A4165" t="inlineStr">
        <is>
          <t>463|精英怪</t>
        </is>
      </c>
      <c r="B4165" t="n">
        <v>463</v>
      </c>
      <c r="C4165" t="inlineStr">
        <is>
          <t>精英怪</t>
        </is>
      </c>
      <c r="D4165" t="n">
        <v>7145480</v>
      </c>
      <c r="E4165" t="n">
        <v>120449</v>
      </c>
      <c r="F4165" t="n">
        <v>58557</v>
      </c>
    </row>
    <row r="4166">
      <c r="A4166" t="inlineStr">
        <is>
          <t>463|精英盾怪</t>
        </is>
      </c>
      <c r="B4166" t="n">
        <v>463</v>
      </c>
      <c r="C4166" t="inlineStr">
        <is>
          <t>精英盾怪</t>
        </is>
      </c>
      <c r="D4166" t="n">
        <v>16077330</v>
      </c>
      <c r="E4166" t="n">
        <v>120449</v>
      </c>
      <c r="F4166" t="n">
        <v>58557</v>
      </c>
    </row>
    <row r="4167">
      <c r="A4167" t="inlineStr">
        <is>
          <t>463|Boss</t>
        </is>
      </c>
      <c r="B4167" t="n">
        <v>463</v>
      </c>
      <c r="C4167" t="inlineStr">
        <is>
          <t>Boss</t>
        </is>
      </c>
      <c r="D4167" t="n">
        <v>192021018</v>
      </c>
      <c r="E4167" t="n">
        <v>127469</v>
      </c>
      <c r="F4167" t="n">
        <v>58557</v>
      </c>
    </row>
    <row r="4168">
      <c r="A4168" t="inlineStr">
        <is>
          <t>463|装备副本Boss</t>
        </is>
      </c>
      <c r="B4168" t="n">
        <v>463</v>
      </c>
      <c r="C4168" t="inlineStr">
        <is>
          <t>装备副本Boss</t>
        </is>
      </c>
      <c r="D4168" t="n">
        <v>96010509</v>
      </c>
      <c r="E4168" t="n">
        <v>127469</v>
      </c>
      <c r="F4168" t="n">
        <v>58557</v>
      </c>
    </row>
    <row r="4169">
      <c r="A4169" t="inlineStr">
        <is>
          <t>464|普通怪</t>
        </is>
      </c>
      <c r="B4169" t="n">
        <v>464</v>
      </c>
      <c r="C4169" t="inlineStr">
        <is>
          <t>普通怪</t>
        </is>
      </c>
      <c r="D4169" t="n">
        <v>1799011</v>
      </c>
      <c r="E4169" t="n">
        <v>121154</v>
      </c>
      <c r="F4169" t="n">
        <v>58736</v>
      </c>
    </row>
    <row r="4170">
      <c r="A4170" t="inlineStr">
        <is>
          <t>464|盾怪</t>
        </is>
      </c>
      <c r="B4170" t="n">
        <v>464</v>
      </c>
      <c r="C4170" t="inlineStr">
        <is>
          <t>盾怪</t>
        </is>
      </c>
      <c r="D4170" t="n">
        <v>5397033</v>
      </c>
      <c r="E4170" t="n">
        <v>121154</v>
      </c>
      <c r="F4170" t="n">
        <v>58736</v>
      </c>
    </row>
    <row r="4171">
      <c r="A4171" t="inlineStr">
        <is>
          <t>464|二级普通怪</t>
        </is>
      </c>
      <c r="B4171" t="n">
        <v>464</v>
      </c>
      <c r="C4171" t="inlineStr">
        <is>
          <t>二级普通怪</t>
        </is>
      </c>
      <c r="D4171" t="n">
        <v>3238220</v>
      </c>
      <c r="E4171" t="n">
        <v>121154</v>
      </c>
      <c r="F4171" t="n">
        <v>58736</v>
      </c>
    </row>
    <row r="4172">
      <c r="A4172" t="inlineStr">
        <is>
          <t>464|站桩怪</t>
        </is>
      </c>
      <c r="B4172" t="n">
        <v>464</v>
      </c>
      <c r="C4172" t="inlineStr">
        <is>
          <t>站桩怪</t>
        </is>
      </c>
      <c r="D4172" t="n">
        <v>899506</v>
      </c>
      <c r="E4172" t="n">
        <v>121154</v>
      </c>
      <c r="F4172" t="n">
        <v>58736</v>
      </c>
    </row>
    <row r="4173">
      <c r="A4173" t="inlineStr">
        <is>
          <t>464|炮灰怪</t>
        </is>
      </c>
      <c r="B4173" t="n">
        <v>464</v>
      </c>
      <c r="C4173" t="inlineStr">
        <is>
          <t>炮灰怪</t>
        </is>
      </c>
      <c r="D4173" t="n">
        <v>269852</v>
      </c>
      <c r="E4173" t="n">
        <v>121154</v>
      </c>
      <c r="F4173" t="n">
        <v>58736</v>
      </c>
    </row>
    <row r="4174">
      <c r="A4174" t="inlineStr">
        <is>
          <t>464|精英怪</t>
        </is>
      </c>
      <c r="B4174" t="n">
        <v>464</v>
      </c>
      <c r="C4174" t="inlineStr">
        <is>
          <t>精英怪</t>
        </is>
      </c>
      <c r="D4174" t="n">
        <v>7196044</v>
      </c>
      <c r="E4174" t="n">
        <v>121154</v>
      </c>
      <c r="F4174" t="n">
        <v>58736</v>
      </c>
    </row>
    <row r="4175">
      <c r="A4175" t="inlineStr">
        <is>
          <t>464|精英盾怪</t>
        </is>
      </c>
      <c r="B4175" t="n">
        <v>464</v>
      </c>
      <c r="C4175" t="inlineStr">
        <is>
          <t>精英盾怪</t>
        </is>
      </c>
      <c r="D4175" t="n">
        <v>16191099</v>
      </c>
      <c r="E4175" t="n">
        <v>121154</v>
      </c>
      <c r="F4175" t="n">
        <v>58736</v>
      </c>
    </row>
    <row r="4176">
      <c r="A4176" t="inlineStr">
        <is>
          <t>464|Boss</t>
        </is>
      </c>
      <c r="B4176" t="n">
        <v>464</v>
      </c>
      <c r="C4176" t="inlineStr">
        <is>
          <t>Boss</t>
        </is>
      </c>
      <c r="D4176" t="n">
        <v>193491093</v>
      </c>
      <c r="E4176" t="n">
        <v>128195</v>
      </c>
      <c r="F4176" t="n">
        <v>58736</v>
      </c>
    </row>
    <row r="4177">
      <c r="A4177" t="inlineStr">
        <is>
          <t>464|装备副本Boss</t>
        </is>
      </c>
      <c r="B4177" t="n">
        <v>464</v>
      </c>
      <c r="C4177" t="inlineStr">
        <is>
          <t>装备副本Boss</t>
        </is>
      </c>
      <c r="D4177" t="n">
        <v>96745547</v>
      </c>
      <c r="E4177" t="n">
        <v>128195</v>
      </c>
      <c r="F4177" t="n">
        <v>58736</v>
      </c>
    </row>
    <row r="4178">
      <c r="A4178" t="inlineStr">
        <is>
          <t>465|普通怪</t>
        </is>
      </c>
      <c r="B4178" t="n">
        <v>465</v>
      </c>
      <c r="C4178" t="inlineStr">
        <is>
          <t>普通怪</t>
        </is>
      </c>
      <c r="D4178" t="n">
        <v>1811725</v>
      </c>
      <c r="E4178" t="n">
        <v>121861</v>
      </c>
      <c r="F4178" t="n">
        <v>58916</v>
      </c>
    </row>
    <row r="4179">
      <c r="A4179" t="inlineStr">
        <is>
          <t>465|盾怪</t>
        </is>
      </c>
      <c r="B4179" t="n">
        <v>465</v>
      </c>
      <c r="C4179" t="inlineStr">
        <is>
          <t>盾怪</t>
        </is>
      </c>
      <c r="D4179" t="n">
        <v>5435175</v>
      </c>
      <c r="E4179" t="n">
        <v>121861</v>
      </c>
      <c r="F4179" t="n">
        <v>58916</v>
      </c>
    </row>
    <row r="4180">
      <c r="A4180" t="inlineStr">
        <is>
          <t>465|二级普通怪</t>
        </is>
      </c>
      <c r="B4180" t="n">
        <v>465</v>
      </c>
      <c r="C4180" t="inlineStr">
        <is>
          <t>二级普通怪</t>
        </is>
      </c>
      <c r="D4180" t="n">
        <v>3261105</v>
      </c>
      <c r="E4180" t="n">
        <v>121861</v>
      </c>
      <c r="F4180" t="n">
        <v>58916</v>
      </c>
    </row>
    <row r="4181">
      <c r="A4181" t="inlineStr">
        <is>
          <t>465|站桩怪</t>
        </is>
      </c>
      <c r="B4181" t="n">
        <v>465</v>
      </c>
      <c r="C4181" t="inlineStr">
        <is>
          <t>站桩怪</t>
        </is>
      </c>
      <c r="D4181" t="n">
        <v>905863</v>
      </c>
      <c r="E4181" t="n">
        <v>121861</v>
      </c>
      <c r="F4181" t="n">
        <v>58916</v>
      </c>
    </row>
    <row r="4182">
      <c r="A4182" t="inlineStr">
        <is>
          <t>465|炮灰怪</t>
        </is>
      </c>
      <c r="B4182" t="n">
        <v>465</v>
      </c>
      <c r="C4182" t="inlineStr">
        <is>
          <t>炮灰怪</t>
        </is>
      </c>
      <c r="D4182" t="n">
        <v>271759</v>
      </c>
      <c r="E4182" t="n">
        <v>121861</v>
      </c>
      <c r="F4182" t="n">
        <v>58916</v>
      </c>
    </row>
    <row r="4183">
      <c r="A4183" t="inlineStr">
        <is>
          <t>465|精英怪</t>
        </is>
      </c>
      <c r="B4183" t="n">
        <v>465</v>
      </c>
      <c r="C4183" t="inlineStr">
        <is>
          <t>精英怪</t>
        </is>
      </c>
      <c r="D4183" t="n">
        <v>7246900</v>
      </c>
      <c r="E4183" t="n">
        <v>121861</v>
      </c>
      <c r="F4183" t="n">
        <v>58916</v>
      </c>
    </row>
    <row r="4184">
      <c r="A4184" t="inlineStr">
        <is>
          <t>465|精英盾怪</t>
        </is>
      </c>
      <c r="B4184" t="n">
        <v>465</v>
      </c>
      <c r="C4184" t="inlineStr">
        <is>
          <t>精英盾怪</t>
        </is>
      </c>
      <c r="D4184" t="n">
        <v>16305525</v>
      </c>
      <c r="E4184" t="n">
        <v>121861</v>
      </c>
      <c r="F4184" t="n">
        <v>58916</v>
      </c>
    </row>
    <row r="4185">
      <c r="A4185" t="inlineStr">
        <is>
          <t>465|Boss</t>
        </is>
      </c>
      <c r="B4185" t="n">
        <v>465</v>
      </c>
      <c r="C4185" t="inlineStr">
        <is>
          <t>Boss</t>
        </is>
      </c>
      <c r="D4185" t="n">
        <v>194970399</v>
      </c>
      <c r="E4185" t="n">
        <v>128924</v>
      </c>
      <c r="F4185" t="n">
        <v>58916</v>
      </c>
    </row>
    <row r="4186">
      <c r="A4186" t="inlineStr">
        <is>
          <t>465|装备副本Boss</t>
        </is>
      </c>
      <c r="B4186" t="n">
        <v>465</v>
      </c>
      <c r="C4186" t="inlineStr">
        <is>
          <t>装备副本Boss</t>
        </is>
      </c>
      <c r="D4186" t="n">
        <v>97485200</v>
      </c>
      <c r="E4186" t="n">
        <v>128924</v>
      </c>
      <c r="F4186" t="n">
        <v>58916</v>
      </c>
    </row>
    <row r="4187">
      <c r="A4187" t="inlineStr">
        <is>
          <t>466|普通怪</t>
        </is>
      </c>
      <c r="B4187" t="n">
        <v>466</v>
      </c>
      <c r="C4187" t="inlineStr">
        <is>
          <t>普通怪</t>
        </is>
      </c>
      <c r="D4187" t="n">
        <v>1824510</v>
      </c>
      <c r="E4187" t="n">
        <v>122573</v>
      </c>
      <c r="F4187" t="n">
        <v>59095</v>
      </c>
    </row>
    <row r="4188">
      <c r="A4188" t="inlineStr">
        <is>
          <t>466|盾怪</t>
        </is>
      </c>
      <c r="B4188" t="n">
        <v>466</v>
      </c>
      <c r="C4188" t="inlineStr">
        <is>
          <t>盾怪</t>
        </is>
      </c>
      <c r="D4188" t="n">
        <v>5473530</v>
      </c>
      <c r="E4188" t="n">
        <v>122573</v>
      </c>
      <c r="F4188" t="n">
        <v>59095</v>
      </c>
    </row>
    <row r="4189">
      <c r="A4189" t="inlineStr">
        <is>
          <t>466|二级普通怪</t>
        </is>
      </c>
      <c r="B4189" t="n">
        <v>466</v>
      </c>
      <c r="C4189" t="inlineStr">
        <is>
          <t>二级普通怪</t>
        </is>
      </c>
      <c r="D4189" t="n">
        <v>3284118</v>
      </c>
      <c r="E4189" t="n">
        <v>122573</v>
      </c>
      <c r="F4189" t="n">
        <v>59095</v>
      </c>
    </row>
    <row r="4190">
      <c r="A4190" t="inlineStr">
        <is>
          <t>466|站桩怪</t>
        </is>
      </c>
      <c r="B4190" t="n">
        <v>466</v>
      </c>
      <c r="C4190" t="inlineStr">
        <is>
          <t>站桩怪</t>
        </is>
      </c>
      <c r="D4190" t="n">
        <v>912255</v>
      </c>
      <c r="E4190" t="n">
        <v>122573</v>
      </c>
      <c r="F4190" t="n">
        <v>59095</v>
      </c>
    </row>
    <row r="4191">
      <c r="A4191" t="inlineStr">
        <is>
          <t>466|炮灰怪</t>
        </is>
      </c>
      <c r="B4191" t="n">
        <v>466</v>
      </c>
      <c r="C4191" t="inlineStr">
        <is>
          <t>炮灰怪</t>
        </is>
      </c>
      <c r="D4191" t="n">
        <v>273677</v>
      </c>
      <c r="E4191" t="n">
        <v>122573</v>
      </c>
      <c r="F4191" t="n">
        <v>59095</v>
      </c>
    </row>
    <row r="4192">
      <c r="A4192" t="inlineStr">
        <is>
          <t>466|精英怪</t>
        </is>
      </c>
      <c r="B4192" t="n">
        <v>466</v>
      </c>
      <c r="C4192" t="inlineStr">
        <is>
          <t>精英怪</t>
        </is>
      </c>
      <c r="D4192" t="n">
        <v>7298040</v>
      </c>
      <c r="E4192" t="n">
        <v>122573</v>
      </c>
      <c r="F4192" t="n">
        <v>59095</v>
      </c>
    </row>
    <row r="4193">
      <c r="A4193" t="inlineStr">
        <is>
          <t>466|精英盾怪</t>
        </is>
      </c>
      <c r="B4193" t="n">
        <v>466</v>
      </c>
      <c r="C4193" t="inlineStr">
        <is>
          <t>精英盾怪</t>
        </is>
      </c>
      <c r="D4193" t="n">
        <v>16420590</v>
      </c>
      <c r="E4193" t="n">
        <v>122573</v>
      </c>
      <c r="F4193" t="n">
        <v>59095</v>
      </c>
    </row>
    <row r="4194">
      <c r="A4194" t="inlineStr">
        <is>
          <t>466|Boss</t>
        </is>
      </c>
      <c r="B4194" t="n">
        <v>466</v>
      </c>
      <c r="C4194" t="inlineStr">
        <is>
          <t>Boss</t>
        </is>
      </c>
      <c r="D4194" t="n">
        <v>196459089</v>
      </c>
      <c r="E4194" t="n">
        <v>129657</v>
      </c>
      <c r="F4194" t="n">
        <v>59095</v>
      </c>
    </row>
    <row r="4195">
      <c r="A4195" t="inlineStr">
        <is>
          <t>466|装备副本Boss</t>
        </is>
      </c>
      <c r="B4195" t="n">
        <v>466</v>
      </c>
      <c r="C4195" t="inlineStr">
        <is>
          <t>装备副本Boss</t>
        </is>
      </c>
      <c r="D4195" t="n">
        <v>98229545</v>
      </c>
      <c r="E4195" t="n">
        <v>129657</v>
      </c>
      <c r="F4195" t="n">
        <v>59095</v>
      </c>
    </row>
    <row r="4196">
      <c r="A4196" t="inlineStr">
        <is>
          <t>467|普通怪</t>
        </is>
      </c>
      <c r="B4196" t="n">
        <v>467</v>
      </c>
      <c r="C4196" t="inlineStr">
        <is>
          <t>普通怪</t>
        </is>
      </c>
      <c r="D4196" t="n">
        <v>1837368</v>
      </c>
      <c r="E4196" t="n">
        <v>123287</v>
      </c>
      <c r="F4196" t="n">
        <v>59275</v>
      </c>
    </row>
    <row r="4197">
      <c r="A4197" t="inlineStr">
        <is>
          <t>467|盾怪</t>
        </is>
      </c>
      <c r="B4197" t="n">
        <v>467</v>
      </c>
      <c r="C4197" t="inlineStr">
        <is>
          <t>盾怪</t>
        </is>
      </c>
      <c r="D4197" t="n">
        <v>5512104</v>
      </c>
      <c r="E4197" t="n">
        <v>123287</v>
      </c>
      <c r="F4197" t="n">
        <v>59275</v>
      </c>
    </row>
    <row r="4198">
      <c r="A4198" t="inlineStr">
        <is>
          <t>467|二级普通怪</t>
        </is>
      </c>
      <c r="B4198" t="n">
        <v>467</v>
      </c>
      <c r="C4198" t="inlineStr">
        <is>
          <t>二级普通怪</t>
        </is>
      </c>
      <c r="D4198" t="n">
        <v>3307263</v>
      </c>
      <c r="E4198" t="n">
        <v>123287</v>
      </c>
      <c r="F4198" t="n">
        <v>59275</v>
      </c>
    </row>
    <row r="4199">
      <c r="A4199" t="inlineStr">
        <is>
          <t>467|站桩怪</t>
        </is>
      </c>
      <c r="B4199" t="n">
        <v>467</v>
      </c>
      <c r="C4199" t="inlineStr">
        <is>
          <t>站桩怪</t>
        </is>
      </c>
      <c r="D4199" t="n">
        <v>918684</v>
      </c>
      <c r="E4199" t="n">
        <v>123287</v>
      </c>
      <c r="F4199" t="n">
        <v>59275</v>
      </c>
    </row>
    <row r="4200">
      <c r="A4200" t="inlineStr">
        <is>
          <t>467|炮灰怪</t>
        </is>
      </c>
      <c r="B4200" t="n">
        <v>467</v>
      </c>
      <c r="C4200" t="inlineStr">
        <is>
          <t>炮灰怪</t>
        </is>
      </c>
      <c r="D4200" t="n">
        <v>275606</v>
      </c>
      <c r="E4200" t="n">
        <v>123287</v>
      </c>
      <c r="F4200" t="n">
        <v>59275</v>
      </c>
    </row>
    <row r="4201">
      <c r="A4201" t="inlineStr">
        <is>
          <t>467|精英怪</t>
        </is>
      </c>
      <c r="B4201" t="n">
        <v>467</v>
      </c>
      <c r="C4201" t="inlineStr">
        <is>
          <t>精英怪</t>
        </is>
      </c>
      <c r="D4201" t="n">
        <v>7349472</v>
      </c>
      <c r="E4201" t="n">
        <v>123287</v>
      </c>
      <c r="F4201" t="n">
        <v>59275</v>
      </c>
    </row>
    <row r="4202">
      <c r="A4202" t="inlineStr">
        <is>
          <t>467|精英盾怪</t>
        </is>
      </c>
      <c r="B4202" t="n">
        <v>467</v>
      </c>
      <c r="C4202" t="inlineStr">
        <is>
          <t>精英盾怪</t>
        </is>
      </c>
      <c r="D4202" t="n">
        <v>16536312</v>
      </c>
      <c r="E4202" t="n">
        <v>123287</v>
      </c>
      <c r="F4202" t="n">
        <v>59275</v>
      </c>
    </row>
    <row r="4203">
      <c r="A4203" t="inlineStr">
        <is>
          <t>467|Boss</t>
        </is>
      </c>
      <c r="B4203" t="n">
        <v>467</v>
      </c>
      <c r="C4203" t="inlineStr">
        <is>
          <t>Boss</t>
        </is>
      </c>
      <c r="D4203" t="n">
        <v>197957163</v>
      </c>
      <c r="E4203" t="n">
        <v>130393</v>
      </c>
      <c r="F4203" t="n">
        <v>59275</v>
      </c>
    </row>
    <row r="4204">
      <c r="A4204" t="inlineStr">
        <is>
          <t>467|装备副本Boss</t>
        </is>
      </c>
      <c r="B4204" t="n">
        <v>467</v>
      </c>
      <c r="C4204" t="inlineStr">
        <is>
          <t>装备副本Boss</t>
        </is>
      </c>
      <c r="D4204" t="n">
        <v>98978582</v>
      </c>
      <c r="E4204" t="n">
        <v>130393</v>
      </c>
      <c r="F4204" t="n">
        <v>59275</v>
      </c>
    </row>
    <row r="4205">
      <c r="A4205" t="inlineStr">
        <is>
          <t>468|普通怪</t>
        </is>
      </c>
      <c r="B4205" t="n">
        <v>468</v>
      </c>
      <c r="C4205" t="inlineStr">
        <is>
          <t>普通怪</t>
        </is>
      </c>
      <c r="D4205" t="n">
        <v>1850300</v>
      </c>
      <c r="E4205" t="n">
        <v>124006</v>
      </c>
      <c r="F4205" t="n">
        <v>59456</v>
      </c>
    </row>
    <row r="4206">
      <c r="A4206" t="inlineStr">
        <is>
          <t>468|盾怪</t>
        </is>
      </c>
      <c r="B4206" t="n">
        <v>468</v>
      </c>
      <c r="C4206" t="inlineStr">
        <is>
          <t>盾怪</t>
        </is>
      </c>
      <c r="D4206" t="n">
        <v>5550900</v>
      </c>
      <c r="E4206" t="n">
        <v>124006</v>
      </c>
      <c r="F4206" t="n">
        <v>59456</v>
      </c>
    </row>
    <row r="4207">
      <c r="A4207" t="inlineStr">
        <is>
          <t>468|二级普通怪</t>
        </is>
      </c>
      <c r="B4207" t="n">
        <v>468</v>
      </c>
      <c r="C4207" t="inlineStr">
        <is>
          <t>二级普通怪</t>
        </is>
      </c>
      <c r="D4207" t="n">
        <v>3330540</v>
      </c>
      <c r="E4207" t="n">
        <v>124006</v>
      </c>
      <c r="F4207" t="n">
        <v>59456</v>
      </c>
    </row>
    <row r="4208">
      <c r="A4208" t="inlineStr">
        <is>
          <t>468|站桩怪</t>
        </is>
      </c>
      <c r="B4208" t="n">
        <v>468</v>
      </c>
      <c r="C4208" t="inlineStr">
        <is>
          <t>站桩怪</t>
        </is>
      </c>
      <c r="D4208" t="n">
        <v>925150</v>
      </c>
      <c r="E4208" t="n">
        <v>124006</v>
      </c>
      <c r="F4208" t="n">
        <v>59456</v>
      </c>
    </row>
    <row r="4209">
      <c r="A4209" t="inlineStr">
        <is>
          <t>468|炮灰怪</t>
        </is>
      </c>
      <c r="B4209" t="n">
        <v>468</v>
      </c>
      <c r="C4209" t="inlineStr">
        <is>
          <t>炮灰怪</t>
        </is>
      </c>
      <c r="D4209" t="n">
        <v>277545</v>
      </c>
      <c r="E4209" t="n">
        <v>124006</v>
      </c>
      <c r="F4209" t="n">
        <v>59456</v>
      </c>
    </row>
    <row r="4210">
      <c r="A4210" t="inlineStr">
        <is>
          <t>468|精英怪</t>
        </is>
      </c>
      <c r="B4210" t="n">
        <v>468</v>
      </c>
      <c r="C4210" t="inlineStr">
        <is>
          <t>精英怪</t>
        </is>
      </c>
      <c r="D4210" t="n">
        <v>7401200</v>
      </c>
      <c r="E4210" t="n">
        <v>124006</v>
      </c>
      <c r="F4210" t="n">
        <v>59456</v>
      </c>
    </row>
    <row r="4211">
      <c r="A4211" t="inlineStr">
        <is>
          <t>468|精英盾怪</t>
        </is>
      </c>
      <c r="B4211" t="n">
        <v>468</v>
      </c>
      <c r="C4211" t="inlineStr">
        <is>
          <t>精英盾怪</t>
        </is>
      </c>
      <c r="D4211" t="n">
        <v>16652700</v>
      </c>
      <c r="E4211" t="n">
        <v>124006</v>
      </c>
      <c r="F4211" t="n">
        <v>59456</v>
      </c>
    </row>
    <row r="4212">
      <c r="A4212" t="inlineStr">
        <is>
          <t>468|Boss</t>
        </is>
      </c>
      <c r="B4212" t="n">
        <v>468</v>
      </c>
      <c r="C4212" t="inlineStr">
        <is>
          <t>Boss</t>
        </is>
      </c>
      <c r="D4212" t="n">
        <v>199464723</v>
      </c>
      <c r="E4212" t="n">
        <v>131133</v>
      </c>
      <c r="F4212" t="n">
        <v>59456</v>
      </c>
    </row>
    <row r="4213">
      <c r="A4213" t="inlineStr">
        <is>
          <t>468|装备副本Boss</t>
        </is>
      </c>
      <c r="B4213" t="n">
        <v>468</v>
      </c>
      <c r="C4213" t="inlineStr">
        <is>
          <t>装备副本Boss</t>
        </is>
      </c>
      <c r="D4213" t="n">
        <v>99732362</v>
      </c>
      <c r="E4213" t="n">
        <v>131133</v>
      </c>
      <c r="F4213" t="n">
        <v>59456</v>
      </c>
    </row>
    <row r="4214">
      <c r="A4214" t="inlineStr">
        <is>
          <t>469|普通怪</t>
        </is>
      </c>
      <c r="B4214" t="n">
        <v>469</v>
      </c>
      <c r="C4214" t="inlineStr">
        <is>
          <t>普通怪</t>
        </is>
      </c>
      <c r="D4214" t="n">
        <v>1863305</v>
      </c>
      <c r="E4214" t="n">
        <v>124728</v>
      </c>
      <c r="F4214" t="n">
        <v>59636</v>
      </c>
    </row>
    <row r="4215">
      <c r="A4215" t="inlineStr">
        <is>
          <t>469|盾怪</t>
        </is>
      </c>
      <c r="B4215" t="n">
        <v>469</v>
      </c>
      <c r="C4215" t="inlineStr">
        <is>
          <t>盾怪</t>
        </is>
      </c>
      <c r="D4215" t="n">
        <v>5589915</v>
      </c>
      <c r="E4215" t="n">
        <v>124728</v>
      </c>
      <c r="F4215" t="n">
        <v>59636</v>
      </c>
    </row>
    <row r="4216">
      <c r="A4216" t="inlineStr">
        <is>
          <t>469|二级普通怪</t>
        </is>
      </c>
      <c r="B4216" t="n">
        <v>469</v>
      </c>
      <c r="C4216" t="inlineStr">
        <is>
          <t>二级普通怪</t>
        </is>
      </c>
      <c r="D4216" t="n">
        <v>3353949</v>
      </c>
      <c r="E4216" t="n">
        <v>124728</v>
      </c>
      <c r="F4216" t="n">
        <v>59636</v>
      </c>
    </row>
    <row r="4217">
      <c r="A4217" t="inlineStr">
        <is>
          <t>469|站桩怪</t>
        </is>
      </c>
      <c r="B4217" t="n">
        <v>469</v>
      </c>
      <c r="C4217" t="inlineStr">
        <is>
          <t>站桩怪</t>
        </is>
      </c>
      <c r="D4217" t="n">
        <v>931653</v>
      </c>
      <c r="E4217" t="n">
        <v>124728</v>
      </c>
      <c r="F4217" t="n">
        <v>59636</v>
      </c>
    </row>
    <row r="4218">
      <c r="A4218" t="inlineStr">
        <is>
          <t>469|炮灰怪</t>
        </is>
      </c>
      <c r="B4218" t="n">
        <v>469</v>
      </c>
      <c r="C4218" t="inlineStr">
        <is>
          <t>炮灰怪</t>
        </is>
      </c>
      <c r="D4218" t="n">
        <v>279496</v>
      </c>
      <c r="E4218" t="n">
        <v>124728</v>
      </c>
      <c r="F4218" t="n">
        <v>59636</v>
      </c>
    </row>
    <row r="4219">
      <c r="A4219" t="inlineStr">
        <is>
          <t>469|精英怪</t>
        </is>
      </c>
      <c r="B4219" t="n">
        <v>469</v>
      </c>
      <c r="C4219" t="inlineStr">
        <is>
          <t>精英怪</t>
        </is>
      </c>
      <c r="D4219" t="n">
        <v>7453220</v>
      </c>
      <c r="E4219" t="n">
        <v>124728</v>
      </c>
      <c r="F4219" t="n">
        <v>59636</v>
      </c>
    </row>
    <row r="4220">
      <c r="A4220" t="inlineStr">
        <is>
          <t>469|精英盾怪</t>
        </is>
      </c>
      <c r="B4220" t="n">
        <v>469</v>
      </c>
      <c r="C4220" t="inlineStr">
        <is>
          <t>精英盾怪</t>
        </is>
      </c>
      <c r="D4220" t="n">
        <v>16769745</v>
      </c>
      <c r="E4220" t="n">
        <v>124728</v>
      </c>
      <c r="F4220" t="n">
        <v>59636</v>
      </c>
    </row>
    <row r="4221">
      <c r="A4221" t="inlineStr">
        <is>
          <t>469|Boss</t>
        </is>
      </c>
      <c r="B4221" t="n">
        <v>469</v>
      </c>
      <c r="C4221" t="inlineStr">
        <is>
          <t>Boss</t>
        </is>
      </c>
      <c r="D4221" t="n">
        <v>200981718</v>
      </c>
      <c r="E4221" t="n">
        <v>131877</v>
      </c>
      <c r="F4221" t="n">
        <v>59636</v>
      </c>
    </row>
    <row r="4222">
      <c r="A4222" t="inlineStr">
        <is>
          <t>469|装备副本Boss</t>
        </is>
      </c>
      <c r="B4222" t="n">
        <v>469</v>
      </c>
      <c r="C4222" t="inlineStr">
        <is>
          <t>装备副本Boss</t>
        </is>
      </c>
      <c r="D4222" t="n">
        <v>100490859</v>
      </c>
      <c r="E4222" t="n">
        <v>131877</v>
      </c>
      <c r="F4222" t="n">
        <v>59636</v>
      </c>
    </row>
    <row r="4223">
      <c r="A4223" t="inlineStr">
        <is>
          <t>470|普通怪</t>
        </is>
      </c>
      <c r="B4223" t="n">
        <v>470</v>
      </c>
      <c r="C4223" t="inlineStr">
        <is>
          <t>普通怪</t>
        </is>
      </c>
      <c r="D4223" t="n">
        <v>1876383</v>
      </c>
      <c r="E4223" t="n">
        <v>125453</v>
      </c>
      <c r="F4223" t="n">
        <v>59816</v>
      </c>
    </row>
    <row r="4224">
      <c r="A4224" t="inlineStr">
        <is>
          <t>470|盾怪</t>
        </is>
      </c>
      <c r="B4224" t="n">
        <v>470</v>
      </c>
      <c r="C4224" t="inlineStr">
        <is>
          <t>盾怪</t>
        </is>
      </c>
      <c r="D4224" t="n">
        <v>5629149</v>
      </c>
      <c r="E4224" t="n">
        <v>125453</v>
      </c>
      <c r="F4224" t="n">
        <v>59816</v>
      </c>
    </row>
    <row r="4225">
      <c r="A4225" t="inlineStr">
        <is>
          <t>470|二级普通怪</t>
        </is>
      </c>
      <c r="B4225" t="n">
        <v>470</v>
      </c>
      <c r="C4225" t="inlineStr">
        <is>
          <t>二级普通怪</t>
        </is>
      </c>
      <c r="D4225" t="n">
        <v>3377490</v>
      </c>
      <c r="E4225" t="n">
        <v>125453</v>
      </c>
      <c r="F4225" t="n">
        <v>59816</v>
      </c>
    </row>
    <row r="4226">
      <c r="A4226" t="inlineStr">
        <is>
          <t>470|站桩怪</t>
        </is>
      </c>
      <c r="B4226" t="n">
        <v>470</v>
      </c>
      <c r="C4226" t="inlineStr">
        <is>
          <t>站桩怪</t>
        </is>
      </c>
      <c r="D4226" t="n">
        <v>938192</v>
      </c>
      <c r="E4226" t="n">
        <v>125453</v>
      </c>
      <c r="F4226" t="n">
        <v>59816</v>
      </c>
    </row>
    <row r="4227">
      <c r="A4227" t="inlineStr">
        <is>
          <t>470|炮灰怪</t>
        </is>
      </c>
      <c r="B4227" t="n">
        <v>470</v>
      </c>
      <c r="C4227" t="inlineStr">
        <is>
          <t>炮灰怪</t>
        </is>
      </c>
      <c r="D4227" t="n">
        <v>281458</v>
      </c>
      <c r="E4227" t="n">
        <v>125453</v>
      </c>
      <c r="F4227" t="n">
        <v>59816</v>
      </c>
    </row>
    <row r="4228">
      <c r="A4228" t="inlineStr">
        <is>
          <t>470|精英怪</t>
        </is>
      </c>
      <c r="B4228" t="n">
        <v>470</v>
      </c>
      <c r="C4228" t="inlineStr">
        <is>
          <t>精英怪</t>
        </is>
      </c>
      <c r="D4228" t="n">
        <v>7505532</v>
      </c>
      <c r="E4228" t="n">
        <v>125453</v>
      </c>
      <c r="F4228" t="n">
        <v>59816</v>
      </c>
    </row>
    <row r="4229">
      <c r="A4229" t="inlineStr">
        <is>
          <t>470|精英盾怪</t>
        </is>
      </c>
      <c r="B4229" t="n">
        <v>470</v>
      </c>
      <c r="C4229" t="inlineStr">
        <is>
          <t>精英盾怪</t>
        </is>
      </c>
      <c r="D4229" t="n">
        <v>16887447</v>
      </c>
      <c r="E4229" t="n">
        <v>125453</v>
      </c>
      <c r="F4229" t="n">
        <v>59816</v>
      </c>
    </row>
    <row r="4230">
      <c r="A4230" t="inlineStr">
        <is>
          <t>470|Boss</t>
        </is>
      </c>
      <c r="B4230" t="n">
        <v>470</v>
      </c>
      <c r="C4230" t="inlineStr">
        <is>
          <t>Boss</t>
        </is>
      </c>
      <c r="D4230" t="n">
        <v>202508301</v>
      </c>
      <c r="E4230" t="n">
        <v>132624</v>
      </c>
      <c r="F4230" t="n">
        <v>59816</v>
      </c>
    </row>
    <row r="4231">
      <c r="A4231" t="inlineStr">
        <is>
          <t>470|装备副本Boss</t>
        </is>
      </c>
      <c r="B4231" t="n">
        <v>470</v>
      </c>
      <c r="C4231" t="inlineStr">
        <is>
          <t>装备副本Boss</t>
        </is>
      </c>
      <c r="D4231" t="n">
        <v>101254151</v>
      </c>
      <c r="E4231" t="n">
        <v>132624</v>
      </c>
      <c r="F4231" t="n">
        <v>59816</v>
      </c>
    </row>
    <row r="4232">
      <c r="A4232" t="inlineStr">
        <is>
          <t>471|普通怪</t>
        </is>
      </c>
      <c r="B4232" t="n">
        <v>471</v>
      </c>
      <c r="C4232" t="inlineStr">
        <is>
          <t>普通怪</t>
        </is>
      </c>
      <c r="D4232" t="n">
        <v>1889536</v>
      </c>
      <c r="E4232" t="n">
        <v>126183</v>
      </c>
      <c r="F4232" t="n">
        <v>59997</v>
      </c>
    </row>
    <row r="4233">
      <c r="A4233" t="inlineStr">
        <is>
          <t>471|盾怪</t>
        </is>
      </c>
      <c r="B4233" t="n">
        <v>471</v>
      </c>
      <c r="C4233" t="inlineStr">
        <is>
          <t>盾怪</t>
        </is>
      </c>
      <c r="D4233" t="n">
        <v>5668608</v>
      </c>
      <c r="E4233" t="n">
        <v>126183</v>
      </c>
      <c r="F4233" t="n">
        <v>59997</v>
      </c>
    </row>
    <row r="4234">
      <c r="A4234" t="inlineStr">
        <is>
          <t>471|二级普通怪</t>
        </is>
      </c>
      <c r="B4234" t="n">
        <v>471</v>
      </c>
      <c r="C4234" t="inlineStr">
        <is>
          <t>二级普通怪</t>
        </is>
      </c>
      <c r="D4234" t="n">
        <v>3401165</v>
      </c>
      <c r="E4234" t="n">
        <v>126183</v>
      </c>
      <c r="F4234" t="n">
        <v>59997</v>
      </c>
    </row>
    <row r="4235">
      <c r="A4235" t="inlineStr">
        <is>
          <t>471|站桩怪</t>
        </is>
      </c>
      <c r="B4235" t="n">
        <v>471</v>
      </c>
      <c r="C4235" t="inlineStr">
        <is>
          <t>站桩怪</t>
        </is>
      </c>
      <c r="D4235" t="n">
        <v>944768</v>
      </c>
      <c r="E4235" t="n">
        <v>126183</v>
      </c>
      <c r="F4235" t="n">
        <v>59997</v>
      </c>
    </row>
    <row r="4236">
      <c r="A4236" t="inlineStr">
        <is>
          <t>471|炮灰怪</t>
        </is>
      </c>
      <c r="B4236" t="n">
        <v>471</v>
      </c>
      <c r="C4236" t="inlineStr">
        <is>
          <t>炮灰怪</t>
        </is>
      </c>
      <c r="D4236" t="n">
        <v>283431</v>
      </c>
      <c r="E4236" t="n">
        <v>126183</v>
      </c>
      <c r="F4236" t="n">
        <v>59997</v>
      </c>
    </row>
    <row r="4237">
      <c r="A4237" t="inlineStr">
        <is>
          <t>471|精英怪</t>
        </is>
      </c>
      <c r="B4237" t="n">
        <v>471</v>
      </c>
      <c r="C4237" t="inlineStr">
        <is>
          <t>精英怪</t>
        </is>
      </c>
      <c r="D4237" t="n">
        <v>7558144</v>
      </c>
      <c r="E4237" t="n">
        <v>126183</v>
      </c>
      <c r="F4237" t="n">
        <v>59997</v>
      </c>
    </row>
    <row r="4238">
      <c r="A4238" t="inlineStr">
        <is>
          <t>471|精英盾怪</t>
        </is>
      </c>
      <c r="B4238" t="n">
        <v>471</v>
      </c>
      <c r="C4238" t="inlineStr">
        <is>
          <t>精英盾怪</t>
        </is>
      </c>
      <c r="D4238" t="n">
        <v>17005824</v>
      </c>
      <c r="E4238" t="n">
        <v>126183</v>
      </c>
      <c r="F4238" t="n">
        <v>59997</v>
      </c>
    </row>
    <row r="4239">
      <c r="A4239" t="inlineStr">
        <is>
          <t>471|Boss</t>
        </is>
      </c>
      <c r="B4239" t="n">
        <v>471</v>
      </c>
      <c r="C4239" t="inlineStr">
        <is>
          <t>Boss</t>
        </is>
      </c>
      <c r="D4239" t="n">
        <v>204044421</v>
      </c>
      <c r="E4239" t="n">
        <v>133375</v>
      </c>
      <c r="F4239" t="n">
        <v>59997</v>
      </c>
    </row>
    <row r="4240">
      <c r="A4240" t="inlineStr">
        <is>
          <t>471|装备副本Boss</t>
        </is>
      </c>
      <c r="B4240" t="n">
        <v>471</v>
      </c>
      <c r="C4240" t="inlineStr">
        <is>
          <t>装备副本Boss</t>
        </is>
      </c>
      <c r="D4240" t="n">
        <v>102022211</v>
      </c>
      <c r="E4240" t="n">
        <v>133375</v>
      </c>
      <c r="F4240" t="n">
        <v>59997</v>
      </c>
    </row>
    <row r="4241">
      <c r="A4241" t="inlineStr">
        <is>
          <t>472|普通怪</t>
        </is>
      </c>
      <c r="B4241" t="n">
        <v>472</v>
      </c>
      <c r="C4241" t="inlineStr">
        <is>
          <t>普通怪</t>
        </is>
      </c>
      <c r="D4241" t="n">
        <v>1902763</v>
      </c>
      <c r="E4241" t="n">
        <v>126916</v>
      </c>
      <c r="F4241" t="n">
        <v>60178</v>
      </c>
    </row>
    <row r="4242">
      <c r="A4242" t="inlineStr">
        <is>
          <t>472|盾怪</t>
        </is>
      </c>
      <c r="B4242" t="n">
        <v>472</v>
      </c>
      <c r="C4242" t="inlineStr">
        <is>
          <t>盾怪</t>
        </is>
      </c>
      <c r="D4242" t="n">
        <v>5708289</v>
      </c>
      <c r="E4242" t="n">
        <v>126916</v>
      </c>
      <c r="F4242" t="n">
        <v>60178</v>
      </c>
    </row>
    <row r="4243">
      <c r="A4243" t="inlineStr">
        <is>
          <t>472|二级普通怪</t>
        </is>
      </c>
      <c r="B4243" t="n">
        <v>472</v>
      </c>
      <c r="C4243" t="inlineStr">
        <is>
          <t>二级普通怪</t>
        </is>
      </c>
      <c r="D4243" t="n">
        <v>3424974</v>
      </c>
      <c r="E4243" t="n">
        <v>126916</v>
      </c>
      <c r="F4243" t="n">
        <v>60178</v>
      </c>
    </row>
    <row r="4244">
      <c r="A4244" t="inlineStr">
        <is>
          <t>472|站桩怪</t>
        </is>
      </c>
      <c r="B4244" t="n">
        <v>472</v>
      </c>
      <c r="C4244" t="inlineStr">
        <is>
          <t>站桩怪</t>
        </is>
      </c>
      <c r="D4244" t="n">
        <v>951382</v>
      </c>
      <c r="E4244" t="n">
        <v>126916</v>
      </c>
      <c r="F4244" t="n">
        <v>60178</v>
      </c>
    </row>
    <row r="4245">
      <c r="A4245" t="inlineStr">
        <is>
          <t>472|炮灰怪</t>
        </is>
      </c>
      <c r="B4245" t="n">
        <v>472</v>
      </c>
      <c r="C4245" t="inlineStr">
        <is>
          <t>炮灰怪</t>
        </is>
      </c>
      <c r="D4245" t="n">
        <v>285415</v>
      </c>
      <c r="E4245" t="n">
        <v>126916</v>
      </c>
      <c r="F4245" t="n">
        <v>60178</v>
      </c>
    </row>
    <row r="4246">
      <c r="A4246" t="inlineStr">
        <is>
          <t>472|精英怪</t>
        </is>
      </c>
      <c r="B4246" t="n">
        <v>472</v>
      </c>
      <c r="C4246" t="inlineStr">
        <is>
          <t>精英怪</t>
        </is>
      </c>
      <c r="D4246" t="n">
        <v>7611052</v>
      </c>
      <c r="E4246" t="n">
        <v>126916</v>
      </c>
      <c r="F4246" t="n">
        <v>60178</v>
      </c>
    </row>
    <row r="4247">
      <c r="A4247" t="inlineStr">
        <is>
          <t>472|精英盾怪</t>
        </is>
      </c>
      <c r="B4247" t="n">
        <v>472</v>
      </c>
      <c r="C4247" t="inlineStr">
        <is>
          <t>精英盾怪</t>
        </is>
      </c>
      <c r="D4247" t="n">
        <v>17124867</v>
      </c>
      <c r="E4247" t="n">
        <v>126916</v>
      </c>
      <c r="F4247" t="n">
        <v>60178</v>
      </c>
    </row>
    <row r="4248">
      <c r="A4248" t="inlineStr">
        <is>
          <t>472|Boss</t>
        </is>
      </c>
      <c r="B4248" t="n">
        <v>472</v>
      </c>
      <c r="C4248" t="inlineStr">
        <is>
          <t>Boss</t>
        </is>
      </c>
      <c r="D4248" t="n">
        <v>205590231</v>
      </c>
      <c r="E4248" t="n">
        <v>134130</v>
      </c>
      <c r="F4248" t="n">
        <v>60178</v>
      </c>
    </row>
    <row r="4249">
      <c r="A4249" t="inlineStr">
        <is>
          <t>472|装备副本Boss</t>
        </is>
      </c>
      <c r="B4249" t="n">
        <v>472</v>
      </c>
      <c r="C4249" t="inlineStr">
        <is>
          <t>装备副本Boss</t>
        </is>
      </c>
      <c r="D4249" t="n">
        <v>102795116</v>
      </c>
      <c r="E4249" t="n">
        <v>134130</v>
      </c>
      <c r="F4249" t="n">
        <v>60178</v>
      </c>
    </row>
    <row r="4250">
      <c r="A4250" t="inlineStr">
        <is>
          <t>473|普通怪</t>
        </is>
      </c>
      <c r="B4250" t="n">
        <v>473</v>
      </c>
      <c r="C4250" t="inlineStr">
        <is>
          <t>普通怪</t>
        </is>
      </c>
      <c r="D4250" t="n">
        <v>1916065</v>
      </c>
      <c r="E4250" t="n">
        <v>127652</v>
      </c>
      <c r="F4250" t="n">
        <v>60360</v>
      </c>
    </row>
    <row r="4251">
      <c r="A4251" t="inlineStr">
        <is>
          <t>473|盾怪</t>
        </is>
      </c>
      <c r="B4251" t="n">
        <v>473</v>
      </c>
      <c r="C4251" t="inlineStr">
        <is>
          <t>盾怪</t>
        </is>
      </c>
      <c r="D4251" t="n">
        <v>5748195</v>
      </c>
      <c r="E4251" t="n">
        <v>127652</v>
      </c>
      <c r="F4251" t="n">
        <v>60360</v>
      </c>
    </row>
    <row r="4252">
      <c r="A4252" t="inlineStr">
        <is>
          <t>473|二级普通怪</t>
        </is>
      </c>
      <c r="B4252" t="n">
        <v>473</v>
      </c>
      <c r="C4252" t="inlineStr">
        <is>
          <t>二级普通怪</t>
        </is>
      </c>
      <c r="D4252" t="n">
        <v>3448917</v>
      </c>
      <c r="E4252" t="n">
        <v>127652</v>
      </c>
      <c r="F4252" t="n">
        <v>60360</v>
      </c>
    </row>
    <row r="4253">
      <c r="A4253" t="inlineStr">
        <is>
          <t>473|站桩怪</t>
        </is>
      </c>
      <c r="B4253" t="n">
        <v>473</v>
      </c>
      <c r="C4253" t="inlineStr">
        <is>
          <t>站桩怪</t>
        </is>
      </c>
      <c r="D4253" t="n">
        <v>958033</v>
      </c>
      <c r="E4253" t="n">
        <v>127652</v>
      </c>
      <c r="F4253" t="n">
        <v>60360</v>
      </c>
    </row>
    <row r="4254">
      <c r="A4254" t="inlineStr">
        <is>
          <t>473|炮灰怪</t>
        </is>
      </c>
      <c r="B4254" t="n">
        <v>473</v>
      </c>
      <c r="C4254" t="inlineStr">
        <is>
          <t>炮灰怪</t>
        </is>
      </c>
      <c r="D4254" t="n">
        <v>287410</v>
      </c>
      <c r="E4254" t="n">
        <v>127652</v>
      </c>
      <c r="F4254" t="n">
        <v>60360</v>
      </c>
    </row>
    <row r="4255">
      <c r="A4255" t="inlineStr">
        <is>
          <t>473|精英怪</t>
        </is>
      </c>
      <c r="B4255" t="n">
        <v>473</v>
      </c>
      <c r="C4255" t="inlineStr">
        <is>
          <t>精英怪</t>
        </is>
      </c>
      <c r="D4255" t="n">
        <v>7664260</v>
      </c>
      <c r="E4255" t="n">
        <v>127652</v>
      </c>
      <c r="F4255" t="n">
        <v>60360</v>
      </c>
    </row>
    <row r="4256">
      <c r="A4256" t="inlineStr">
        <is>
          <t>473|精英盾怪</t>
        </is>
      </c>
      <c r="B4256" t="n">
        <v>473</v>
      </c>
      <c r="C4256" t="inlineStr">
        <is>
          <t>精英盾怪</t>
        </is>
      </c>
      <c r="D4256" t="n">
        <v>17244585</v>
      </c>
      <c r="E4256" t="n">
        <v>127652</v>
      </c>
      <c r="F4256" t="n">
        <v>60360</v>
      </c>
    </row>
    <row r="4257">
      <c r="A4257" t="inlineStr">
        <is>
          <t>473|Boss</t>
        </is>
      </c>
      <c r="B4257" t="n">
        <v>473</v>
      </c>
      <c r="C4257" t="inlineStr">
        <is>
          <t>Boss</t>
        </is>
      </c>
      <c r="D4257" t="n">
        <v>207145731</v>
      </c>
      <c r="E4257" t="n">
        <v>134888</v>
      </c>
      <c r="F4257" t="n">
        <v>60360</v>
      </c>
    </row>
    <row r="4258">
      <c r="A4258" t="inlineStr">
        <is>
          <t>473|装备副本Boss</t>
        </is>
      </c>
      <c r="B4258" t="n">
        <v>473</v>
      </c>
      <c r="C4258" t="inlineStr">
        <is>
          <t>装备副本Boss</t>
        </is>
      </c>
      <c r="D4258" t="n">
        <v>103572866</v>
      </c>
      <c r="E4258" t="n">
        <v>134888</v>
      </c>
      <c r="F4258" t="n">
        <v>60360</v>
      </c>
    </row>
    <row r="4259">
      <c r="A4259" t="inlineStr">
        <is>
          <t>474|普通怪</t>
        </is>
      </c>
      <c r="B4259" t="n">
        <v>474</v>
      </c>
      <c r="C4259" t="inlineStr">
        <is>
          <t>普通怪</t>
        </is>
      </c>
      <c r="D4259" t="n">
        <v>1929442</v>
      </c>
      <c r="E4259" t="n">
        <v>128392</v>
      </c>
      <c r="F4259" t="n">
        <v>60541</v>
      </c>
    </row>
    <row r="4260">
      <c r="A4260" t="inlineStr">
        <is>
          <t>474|盾怪</t>
        </is>
      </c>
      <c r="B4260" t="n">
        <v>474</v>
      </c>
      <c r="C4260" t="inlineStr">
        <is>
          <t>盾怪</t>
        </is>
      </c>
      <c r="D4260" t="n">
        <v>5788326</v>
      </c>
      <c r="E4260" t="n">
        <v>128392</v>
      </c>
      <c r="F4260" t="n">
        <v>60541</v>
      </c>
    </row>
    <row r="4261">
      <c r="A4261" t="inlineStr">
        <is>
          <t>474|二级普通怪</t>
        </is>
      </c>
      <c r="B4261" t="n">
        <v>474</v>
      </c>
      <c r="C4261" t="inlineStr">
        <is>
          <t>二级普通怪</t>
        </is>
      </c>
      <c r="D4261" t="n">
        <v>3472996</v>
      </c>
      <c r="E4261" t="n">
        <v>128392</v>
      </c>
      <c r="F4261" t="n">
        <v>60541</v>
      </c>
    </row>
    <row r="4262">
      <c r="A4262" t="inlineStr">
        <is>
          <t>474|站桩怪</t>
        </is>
      </c>
      <c r="B4262" t="n">
        <v>474</v>
      </c>
      <c r="C4262" t="inlineStr">
        <is>
          <t>站桩怪</t>
        </is>
      </c>
      <c r="D4262" t="n">
        <v>964721</v>
      </c>
      <c r="E4262" t="n">
        <v>128392</v>
      </c>
      <c r="F4262" t="n">
        <v>60541</v>
      </c>
    </row>
    <row r="4263">
      <c r="A4263" t="inlineStr">
        <is>
          <t>474|炮灰怪</t>
        </is>
      </c>
      <c r="B4263" t="n">
        <v>474</v>
      </c>
      <c r="C4263" t="inlineStr">
        <is>
          <t>炮灰怪</t>
        </is>
      </c>
      <c r="D4263" t="n">
        <v>289417</v>
      </c>
      <c r="E4263" t="n">
        <v>128392</v>
      </c>
      <c r="F4263" t="n">
        <v>60541</v>
      </c>
    </row>
    <row r="4264">
      <c r="A4264" t="inlineStr">
        <is>
          <t>474|精英怪</t>
        </is>
      </c>
      <c r="B4264" t="n">
        <v>474</v>
      </c>
      <c r="C4264" t="inlineStr">
        <is>
          <t>精英怪</t>
        </is>
      </c>
      <c r="D4264" t="n">
        <v>7717768</v>
      </c>
      <c r="E4264" t="n">
        <v>128392</v>
      </c>
      <c r="F4264" t="n">
        <v>60541</v>
      </c>
    </row>
    <row r="4265">
      <c r="A4265" t="inlineStr">
        <is>
          <t>474|精英盾怪</t>
        </is>
      </c>
      <c r="B4265" t="n">
        <v>474</v>
      </c>
      <c r="C4265" t="inlineStr">
        <is>
          <t>精英盾怪</t>
        </is>
      </c>
      <c r="D4265" t="n">
        <v>17364978</v>
      </c>
      <c r="E4265" t="n">
        <v>128392</v>
      </c>
      <c r="F4265" t="n">
        <v>60541</v>
      </c>
    </row>
    <row r="4266">
      <c r="A4266" t="inlineStr">
        <is>
          <t>474|Boss</t>
        </is>
      </c>
      <c r="B4266" t="n">
        <v>474</v>
      </c>
      <c r="C4266" t="inlineStr">
        <is>
          <t>Boss</t>
        </is>
      </c>
      <c r="D4266" t="n">
        <v>208710972</v>
      </c>
      <c r="E4266" t="n">
        <v>135650</v>
      </c>
      <c r="F4266" t="n">
        <v>60541</v>
      </c>
    </row>
    <row r="4267">
      <c r="A4267" t="inlineStr">
        <is>
          <t>474|装备副本Boss</t>
        </is>
      </c>
      <c r="B4267" t="n">
        <v>474</v>
      </c>
      <c r="C4267" t="inlineStr">
        <is>
          <t>装备副本Boss</t>
        </is>
      </c>
      <c r="D4267" t="n">
        <v>104355486</v>
      </c>
      <c r="E4267" t="n">
        <v>135650</v>
      </c>
      <c r="F4267" t="n">
        <v>60541</v>
      </c>
    </row>
    <row r="4268">
      <c r="A4268" t="inlineStr">
        <is>
          <t>475|普通怪</t>
        </is>
      </c>
      <c r="B4268" t="n">
        <v>475</v>
      </c>
      <c r="C4268" t="inlineStr">
        <is>
          <t>普通怪</t>
        </is>
      </c>
      <c r="D4268" t="n">
        <v>1942894</v>
      </c>
      <c r="E4268" t="n">
        <v>129135</v>
      </c>
      <c r="F4268" t="n">
        <v>60723</v>
      </c>
    </row>
    <row r="4269">
      <c r="A4269" t="inlineStr">
        <is>
          <t>475|盾怪</t>
        </is>
      </c>
      <c r="B4269" t="n">
        <v>475</v>
      </c>
      <c r="C4269" t="inlineStr">
        <is>
          <t>盾怪</t>
        </is>
      </c>
      <c r="D4269" t="n">
        <v>5828682</v>
      </c>
      <c r="E4269" t="n">
        <v>129135</v>
      </c>
      <c r="F4269" t="n">
        <v>60723</v>
      </c>
    </row>
    <row r="4270">
      <c r="A4270" t="inlineStr">
        <is>
          <t>475|二级普通怪</t>
        </is>
      </c>
      <c r="B4270" t="n">
        <v>475</v>
      </c>
      <c r="C4270" t="inlineStr">
        <is>
          <t>二级普通怪</t>
        </is>
      </c>
      <c r="D4270" t="n">
        <v>3497210</v>
      </c>
      <c r="E4270" t="n">
        <v>129135</v>
      </c>
      <c r="F4270" t="n">
        <v>60723</v>
      </c>
    </row>
    <row r="4271">
      <c r="A4271" t="inlineStr">
        <is>
          <t>475|站桩怪</t>
        </is>
      </c>
      <c r="B4271" t="n">
        <v>475</v>
      </c>
      <c r="C4271" t="inlineStr">
        <is>
          <t>站桩怪</t>
        </is>
      </c>
      <c r="D4271" t="n">
        <v>971447</v>
      </c>
      <c r="E4271" t="n">
        <v>129135</v>
      </c>
      <c r="F4271" t="n">
        <v>60723</v>
      </c>
    </row>
    <row r="4272">
      <c r="A4272" t="inlineStr">
        <is>
          <t>475|炮灰怪</t>
        </is>
      </c>
      <c r="B4272" t="n">
        <v>475</v>
      </c>
      <c r="C4272" t="inlineStr">
        <is>
          <t>炮灰怪</t>
        </is>
      </c>
      <c r="D4272" t="n">
        <v>291435</v>
      </c>
      <c r="E4272" t="n">
        <v>129135</v>
      </c>
      <c r="F4272" t="n">
        <v>60723</v>
      </c>
    </row>
    <row r="4273">
      <c r="A4273" t="inlineStr">
        <is>
          <t>475|精英怪</t>
        </is>
      </c>
      <c r="B4273" t="n">
        <v>475</v>
      </c>
      <c r="C4273" t="inlineStr">
        <is>
          <t>精英怪</t>
        </is>
      </c>
      <c r="D4273" t="n">
        <v>7771576</v>
      </c>
      <c r="E4273" t="n">
        <v>129135</v>
      </c>
      <c r="F4273" t="n">
        <v>60723</v>
      </c>
    </row>
    <row r="4274">
      <c r="A4274" t="inlineStr">
        <is>
          <t>475|精英盾怪</t>
        </is>
      </c>
      <c r="B4274" t="n">
        <v>475</v>
      </c>
      <c r="C4274" t="inlineStr">
        <is>
          <t>精英盾怪</t>
        </is>
      </c>
      <c r="D4274" t="n">
        <v>17486046</v>
      </c>
      <c r="E4274" t="n">
        <v>129135</v>
      </c>
      <c r="F4274" t="n">
        <v>60723</v>
      </c>
    </row>
    <row r="4275">
      <c r="A4275" t="inlineStr">
        <is>
          <t>475|Boss</t>
        </is>
      </c>
      <c r="B4275" t="n">
        <v>475</v>
      </c>
      <c r="C4275" t="inlineStr">
        <is>
          <t>Boss</t>
        </is>
      </c>
      <c r="D4275" t="n">
        <v>210285954</v>
      </c>
      <c r="E4275" t="n">
        <v>136415</v>
      </c>
      <c r="F4275" t="n">
        <v>60723</v>
      </c>
    </row>
    <row r="4276">
      <c r="A4276" t="inlineStr">
        <is>
          <t>475|装备副本Boss</t>
        </is>
      </c>
      <c r="B4276" t="n">
        <v>475</v>
      </c>
      <c r="C4276" t="inlineStr">
        <is>
          <t>装备副本Boss</t>
        </is>
      </c>
      <c r="D4276" t="n">
        <v>105142977</v>
      </c>
      <c r="E4276" t="n">
        <v>136415</v>
      </c>
      <c r="F4276" t="n">
        <v>60723</v>
      </c>
    </row>
    <row r="4277">
      <c r="A4277" t="inlineStr">
        <is>
          <t>476|普通怪</t>
        </is>
      </c>
      <c r="B4277" t="n">
        <v>476</v>
      </c>
      <c r="C4277" t="inlineStr">
        <is>
          <t>普通怪</t>
        </is>
      </c>
      <c r="D4277" t="n">
        <v>1956423</v>
      </c>
      <c r="E4277" t="n">
        <v>129883</v>
      </c>
      <c r="F4277" t="n">
        <v>60905</v>
      </c>
    </row>
    <row r="4278">
      <c r="A4278" t="inlineStr">
        <is>
          <t>476|盾怪</t>
        </is>
      </c>
      <c r="B4278" t="n">
        <v>476</v>
      </c>
      <c r="C4278" t="inlineStr">
        <is>
          <t>盾怪</t>
        </is>
      </c>
      <c r="D4278" t="n">
        <v>5869269</v>
      </c>
      <c r="E4278" t="n">
        <v>129883</v>
      </c>
      <c r="F4278" t="n">
        <v>60905</v>
      </c>
    </row>
    <row r="4279">
      <c r="A4279" t="inlineStr">
        <is>
          <t>476|二级普通怪</t>
        </is>
      </c>
      <c r="B4279" t="n">
        <v>476</v>
      </c>
      <c r="C4279" t="inlineStr">
        <is>
          <t>二级普通怪</t>
        </is>
      </c>
      <c r="D4279" t="n">
        <v>3521562</v>
      </c>
      <c r="E4279" t="n">
        <v>129883</v>
      </c>
      <c r="F4279" t="n">
        <v>60905</v>
      </c>
    </row>
    <row r="4280">
      <c r="A4280" t="inlineStr">
        <is>
          <t>476|站桩怪</t>
        </is>
      </c>
      <c r="B4280" t="n">
        <v>476</v>
      </c>
      <c r="C4280" t="inlineStr">
        <is>
          <t>站桩怪</t>
        </is>
      </c>
      <c r="D4280" t="n">
        <v>978212</v>
      </c>
      <c r="E4280" t="n">
        <v>129883</v>
      </c>
      <c r="F4280" t="n">
        <v>60905</v>
      </c>
    </row>
    <row r="4281">
      <c r="A4281" t="inlineStr">
        <is>
          <t>476|炮灰怪</t>
        </is>
      </c>
      <c r="B4281" t="n">
        <v>476</v>
      </c>
      <c r="C4281" t="inlineStr">
        <is>
          <t>炮灰怪</t>
        </is>
      </c>
      <c r="D4281" t="n">
        <v>293464</v>
      </c>
      <c r="E4281" t="n">
        <v>129883</v>
      </c>
      <c r="F4281" t="n">
        <v>60905</v>
      </c>
    </row>
    <row r="4282">
      <c r="A4282" t="inlineStr">
        <is>
          <t>476|精英怪</t>
        </is>
      </c>
      <c r="B4282" t="n">
        <v>476</v>
      </c>
      <c r="C4282" t="inlineStr">
        <is>
          <t>精英怪</t>
        </is>
      </c>
      <c r="D4282" t="n">
        <v>7825692</v>
      </c>
      <c r="E4282" t="n">
        <v>129883</v>
      </c>
      <c r="F4282" t="n">
        <v>60905</v>
      </c>
    </row>
    <row r="4283">
      <c r="A4283" t="inlineStr">
        <is>
          <t>476|精英盾怪</t>
        </is>
      </c>
      <c r="B4283" t="n">
        <v>476</v>
      </c>
      <c r="C4283" t="inlineStr">
        <is>
          <t>精英盾怪</t>
        </is>
      </c>
      <c r="D4283" t="n">
        <v>17607807</v>
      </c>
      <c r="E4283" t="n">
        <v>129883</v>
      </c>
      <c r="F4283" t="n">
        <v>60905</v>
      </c>
    </row>
    <row r="4284">
      <c r="A4284" t="inlineStr">
        <is>
          <t>476|Boss</t>
        </is>
      </c>
      <c r="B4284" t="n">
        <v>476</v>
      </c>
      <c r="C4284" t="inlineStr">
        <is>
          <t>Boss</t>
        </is>
      </c>
      <c r="D4284" t="n">
        <v>211870830</v>
      </c>
      <c r="E4284" t="n">
        <v>137185</v>
      </c>
      <c r="F4284" t="n">
        <v>60905</v>
      </c>
    </row>
    <row r="4285">
      <c r="A4285" t="inlineStr">
        <is>
          <t>476|装备副本Boss</t>
        </is>
      </c>
      <c r="B4285" t="n">
        <v>476</v>
      </c>
      <c r="C4285" t="inlineStr">
        <is>
          <t>装备副本Boss</t>
        </is>
      </c>
      <c r="D4285" t="n">
        <v>105935415</v>
      </c>
      <c r="E4285" t="n">
        <v>137185</v>
      </c>
      <c r="F4285" t="n">
        <v>60905</v>
      </c>
    </row>
    <row r="4286">
      <c r="A4286" t="inlineStr">
        <is>
          <t>477|普通怪</t>
        </is>
      </c>
      <c r="B4286" t="n">
        <v>477</v>
      </c>
      <c r="C4286" t="inlineStr">
        <is>
          <t>普通怪</t>
        </is>
      </c>
      <c r="D4286" t="n">
        <v>1970027</v>
      </c>
      <c r="E4286" t="n">
        <v>130634</v>
      </c>
      <c r="F4286" t="n">
        <v>61087</v>
      </c>
    </row>
    <row r="4287">
      <c r="A4287" t="inlineStr">
        <is>
          <t>477|盾怪</t>
        </is>
      </c>
      <c r="B4287" t="n">
        <v>477</v>
      </c>
      <c r="C4287" t="inlineStr">
        <is>
          <t>盾怪</t>
        </is>
      </c>
      <c r="D4287" t="n">
        <v>5910081</v>
      </c>
      <c r="E4287" t="n">
        <v>130634</v>
      </c>
      <c r="F4287" t="n">
        <v>61087</v>
      </c>
    </row>
    <row r="4288">
      <c r="A4288" t="inlineStr">
        <is>
          <t>477|二级普通怪</t>
        </is>
      </c>
      <c r="B4288" t="n">
        <v>477</v>
      </c>
      <c r="C4288" t="inlineStr">
        <is>
          <t>二级普通怪</t>
        </is>
      </c>
      <c r="D4288" t="n">
        <v>3546049</v>
      </c>
      <c r="E4288" t="n">
        <v>130634</v>
      </c>
      <c r="F4288" t="n">
        <v>61087</v>
      </c>
    </row>
    <row r="4289">
      <c r="A4289" t="inlineStr">
        <is>
          <t>477|站桩怪</t>
        </is>
      </c>
      <c r="B4289" t="n">
        <v>477</v>
      </c>
      <c r="C4289" t="inlineStr">
        <is>
          <t>站桩怪</t>
        </is>
      </c>
      <c r="D4289" t="n">
        <v>985014</v>
      </c>
      <c r="E4289" t="n">
        <v>130634</v>
      </c>
      <c r="F4289" t="n">
        <v>61087</v>
      </c>
    </row>
    <row r="4290">
      <c r="A4290" t="inlineStr">
        <is>
          <t>477|炮灰怪</t>
        </is>
      </c>
      <c r="B4290" t="n">
        <v>477</v>
      </c>
      <c r="C4290" t="inlineStr">
        <is>
          <t>炮灰怪</t>
        </is>
      </c>
      <c r="D4290" t="n">
        <v>295505</v>
      </c>
      <c r="E4290" t="n">
        <v>130634</v>
      </c>
      <c r="F4290" t="n">
        <v>61087</v>
      </c>
    </row>
    <row r="4291">
      <c r="A4291" t="inlineStr">
        <is>
          <t>477|精英怪</t>
        </is>
      </c>
      <c r="B4291" t="n">
        <v>477</v>
      </c>
      <c r="C4291" t="inlineStr">
        <is>
          <t>精英怪</t>
        </is>
      </c>
      <c r="D4291" t="n">
        <v>7880108</v>
      </c>
      <c r="E4291" t="n">
        <v>130634</v>
      </c>
      <c r="F4291" t="n">
        <v>61087</v>
      </c>
    </row>
    <row r="4292">
      <c r="A4292" t="inlineStr">
        <is>
          <t>477|精英盾怪</t>
        </is>
      </c>
      <c r="B4292" t="n">
        <v>477</v>
      </c>
      <c r="C4292" t="inlineStr">
        <is>
          <t>精英盾怪</t>
        </is>
      </c>
      <c r="D4292" t="n">
        <v>17730243</v>
      </c>
      <c r="E4292" t="n">
        <v>130634</v>
      </c>
      <c r="F4292" t="n">
        <v>61087</v>
      </c>
    </row>
    <row r="4293">
      <c r="A4293" t="inlineStr">
        <is>
          <t>477|Boss</t>
        </is>
      </c>
      <c r="B4293" t="n">
        <v>477</v>
      </c>
      <c r="C4293" t="inlineStr">
        <is>
          <t>Boss</t>
        </is>
      </c>
      <c r="D4293" t="n">
        <v>213465600</v>
      </c>
      <c r="E4293" t="n">
        <v>137958</v>
      </c>
      <c r="F4293" t="n">
        <v>61087</v>
      </c>
    </row>
    <row r="4294">
      <c r="A4294" t="inlineStr">
        <is>
          <t>477|装备副本Boss</t>
        </is>
      </c>
      <c r="B4294" t="n">
        <v>477</v>
      </c>
      <c r="C4294" t="inlineStr">
        <is>
          <t>装备副本Boss</t>
        </is>
      </c>
      <c r="D4294" t="n">
        <v>106732800</v>
      </c>
      <c r="E4294" t="n">
        <v>137958</v>
      </c>
      <c r="F4294" t="n">
        <v>61087</v>
      </c>
    </row>
    <row r="4295">
      <c r="A4295" t="inlineStr">
        <is>
          <t>478|普通怪</t>
        </is>
      </c>
      <c r="B4295" t="n">
        <v>478</v>
      </c>
      <c r="C4295" t="inlineStr">
        <is>
          <t>普通怪</t>
        </is>
      </c>
      <c r="D4295" t="n">
        <v>1983708</v>
      </c>
      <c r="E4295" t="n">
        <v>131389</v>
      </c>
      <c r="F4295" t="n">
        <v>61269</v>
      </c>
    </row>
    <row r="4296">
      <c r="A4296" t="inlineStr">
        <is>
          <t>478|盾怪</t>
        </is>
      </c>
      <c r="B4296" t="n">
        <v>478</v>
      </c>
      <c r="C4296" t="inlineStr">
        <is>
          <t>盾怪</t>
        </is>
      </c>
      <c r="D4296" t="n">
        <v>5951124</v>
      </c>
      <c r="E4296" t="n">
        <v>131389</v>
      </c>
      <c r="F4296" t="n">
        <v>61269</v>
      </c>
    </row>
    <row r="4297">
      <c r="A4297" t="inlineStr">
        <is>
          <t>478|二级普通怪</t>
        </is>
      </c>
      <c r="B4297" t="n">
        <v>478</v>
      </c>
      <c r="C4297" t="inlineStr">
        <is>
          <t>二级普通怪</t>
        </is>
      </c>
      <c r="D4297" t="n">
        <v>3570675</v>
      </c>
      <c r="E4297" t="n">
        <v>131389</v>
      </c>
      <c r="F4297" t="n">
        <v>61269</v>
      </c>
    </row>
    <row r="4298">
      <c r="A4298" t="inlineStr">
        <is>
          <t>478|站桩怪</t>
        </is>
      </c>
      <c r="B4298" t="n">
        <v>478</v>
      </c>
      <c r="C4298" t="inlineStr">
        <is>
          <t>站桩怪</t>
        </is>
      </c>
      <c r="D4298" t="n">
        <v>991854</v>
      </c>
      <c r="E4298" t="n">
        <v>131389</v>
      </c>
      <c r="F4298" t="n">
        <v>61269</v>
      </c>
    </row>
    <row r="4299">
      <c r="A4299" t="inlineStr">
        <is>
          <t>478|炮灰怪</t>
        </is>
      </c>
      <c r="B4299" t="n">
        <v>478</v>
      </c>
      <c r="C4299" t="inlineStr">
        <is>
          <t>炮灰怪</t>
        </is>
      </c>
      <c r="D4299" t="n">
        <v>297557</v>
      </c>
      <c r="E4299" t="n">
        <v>131389</v>
      </c>
      <c r="F4299" t="n">
        <v>61269</v>
      </c>
    </row>
    <row r="4300">
      <c r="A4300" t="inlineStr">
        <is>
          <t>478|精英怪</t>
        </is>
      </c>
      <c r="B4300" t="n">
        <v>478</v>
      </c>
      <c r="C4300" t="inlineStr">
        <is>
          <t>精英怪</t>
        </is>
      </c>
      <c r="D4300" t="n">
        <v>7934832</v>
      </c>
      <c r="E4300" t="n">
        <v>131389</v>
      </c>
      <c r="F4300" t="n">
        <v>61269</v>
      </c>
    </row>
    <row r="4301">
      <c r="A4301" t="inlineStr">
        <is>
          <t>478|精英盾怪</t>
        </is>
      </c>
      <c r="B4301" t="n">
        <v>478</v>
      </c>
      <c r="C4301" t="inlineStr">
        <is>
          <t>精英盾怪</t>
        </is>
      </c>
      <c r="D4301" t="n">
        <v>17853372</v>
      </c>
      <c r="E4301" t="n">
        <v>131389</v>
      </c>
      <c r="F4301" t="n">
        <v>61269</v>
      </c>
    </row>
    <row r="4302">
      <c r="A4302" t="inlineStr">
        <is>
          <t>478|Boss</t>
        </is>
      </c>
      <c r="B4302" t="n">
        <v>478</v>
      </c>
      <c r="C4302" t="inlineStr">
        <is>
          <t>Boss</t>
        </is>
      </c>
      <c r="D4302" t="n">
        <v>215070315</v>
      </c>
      <c r="E4302" t="n">
        <v>138735</v>
      </c>
      <c r="F4302" t="n">
        <v>61269</v>
      </c>
    </row>
    <row r="4303">
      <c r="A4303" t="inlineStr">
        <is>
          <t>478|装备副本Boss</t>
        </is>
      </c>
      <c r="B4303" t="n">
        <v>478</v>
      </c>
      <c r="C4303" t="inlineStr">
        <is>
          <t>装备副本Boss</t>
        </is>
      </c>
      <c r="D4303" t="n">
        <v>107535158</v>
      </c>
      <c r="E4303" t="n">
        <v>138735</v>
      </c>
      <c r="F4303" t="n">
        <v>61269</v>
      </c>
    </row>
    <row r="4304">
      <c r="A4304" t="inlineStr">
        <is>
          <t>479|普通怪</t>
        </is>
      </c>
      <c r="B4304" t="n">
        <v>479</v>
      </c>
      <c r="C4304" t="inlineStr">
        <is>
          <t>普通怪</t>
        </is>
      </c>
      <c r="D4304" t="n">
        <v>1997466</v>
      </c>
      <c r="E4304" t="n">
        <v>132147</v>
      </c>
      <c r="F4304" t="n">
        <v>61452</v>
      </c>
    </row>
    <row r="4305">
      <c r="A4305" t="inlineStr">
        <is>
          <t>479|盾怪</t>
        </is>
      </c>
      <c r="B4305" t="n">
        <v>479</v>
      </c>
      <c r="C4305" t="inlineStr">
        <is>
          <t>盾怪</t>
        </is>
      </c>
      <c r="D4305" t="n">
        <v>5992398</v>
      </c>
      <c r="E4305" t="n">
        <v>132147</v>
      </c>
      <c r="F4305" t="n">
        <v>61452</v>
      </c>
    </row>
    <row r="4306">
      <c r="A4306" t="inlineStr">
        <is>
          <t>479|二级普通怪</t>
        </is>
      </c>
      <c r="B4306" t="n">
        <v>479</v>
      </c>
      <c r="C4306" t="inlineStr">
        <is>
          <t>二级普通怪</t>
        </is>
      </c>
      <c r="D4306" t="n">
        <v>3595439</v>
      </c>
      <c r="E4306" t="n">
        <v>132147</v>
      </c>
      <c r="F4306" t="n">
        <v>61452</v>
      </c>
    </row>
    <row r="4307">
      <c r="A4307" t="inlineStr">
        <is>
          <t>479|站桩怪</t>
        </is>
      </c>
      <c r="B4307" t="n">
        <v>479</v>
      </c>
      <c r="C4307" t="inlineStr">
        <is>
          <t>站桩怪</t>
        </is>
      </c>
      <c r="D4307" t="n">
        <v>998733</v>
      </c>
      <c r="E4307" t="n">
        <v>132147</v>
      </c>
      <c r="F4307" t="n">
        <v>61452</v>
      </c>
    </row>
    <row r="4308">
      <c r="A4308" t="inlineStr">
        <is>
          <t>479|炮灰怪</t>
        </is>
      </c>
      <c r="B4308" t="n">
        <v>479</v>
      </c>
      <c r="C4308" t="inlineStr">
        <is>
          <t>炮灰怪</t>
        </is>
      </c>
      <c r="D4308" t="n">
        <v>299620</v>
      </c>
      <c r="E4308" t="n">
        <v>132147</v>
      </c>
      <c r="F4308" t="n">
        <v>61452</v>
      </c>
    </row>
    <row r="4309">
      <c r="A4309" t="inlineStr">
        <is>
          <t>479|精英怪</t>
        </is>
      </c>
      <c r="B4309" t="n">
        <v>479</v>
      </c>
      <c r="C4309" t="inlineStr">
        <is>
          <t>精英怪</t>
        </is>
      </c>
      <c r="D4309" t="n">
        <v>7989864</v>
      </c>
      <c r="E4309" t="n">
        <v>132147</v>
      </c>
      <c r="F4309" t="n">
        <v>61452</v>
      </c>
    </row>
    <row r="4310">
      <c r="A4310" t="inlineStr">
        <is>
          <t>479|精英盾怪</t>
        </is>
      </c>
      <c r="B4310" t="n">
        <v>479</v>
      </c>
      <c r="C4310" t="inlineStr">
        <is>
          <t>精英盾怪</t>
        </is>
      </c>
      <c r="D4310" t="n">
        <v>17977194</v>
      </c>
      <c r="E4310" t="n">
        <v>132147</v>
      </c>
      <c r="F4310" t="n">
        <v>61452</v>
      </c>
    </row>
    <row r="4311">
      <c r="A4311" t="inlineStr">
        <is>
          <t>479|Boss</t>
        </is>
      </c>
      <c r="B4311" t="n">
        <v>479</v>
      </c>
      <c r="C4311" t="inlineStr">
        <is>
          <t>Boss</t>
        </is>
      </c>
      <c r="D4311" t="n">
        <v>216685026</v>
      </c>
      <c r="E4311" t="n">
        <v>139515</v>
      </c>
      <c r="F4311" t="n">
        <v>61452</v>
      </c>
    </row>
    <row r="4312">
      <c r="A4312" t="inlineStr">
        <is>
          <t>479|装备副本Boss</t>
        </is>
      </c>
      <c r="B4312" t="n">
        <v>479</v>
      </c>
      <c r="C4312" t="inlineStr">
        <is>
          <t>装备副本Boss</t>
        </is>
      </c>
      <c r="D4312" t="n">
        <v>108342513</v>
      </c>
      <c r="E4312" t="n">
        <v>139515</v>
      </c>
      <c r="F4312" t="n">
        <v>61452</v>
      </c>
    </row>
    <row r="4313">
      <c r="A4313" t="inlineStr">
        <is>
          <t>480|普通怪</t>
        </is>
      </c>
      <c r="B4313" t="n">
        <v>480</v>
      </c>
      <c r="C4313" t="inlineStr">
        <is>
          <t>普通怪</t>
        </is>
      </c>
      <c r="D4313" t="n">
        <v>2011300</v>
      </c>
      <c r="E4313" t="n">
        <v>132910</v>
      </c>
      <c r="F4313" t="n">
        <v>61635</v>
      </c>
    </row>
    <row r="4314">
      <c r="A4314" t="inlineStr">
        <is>
          <t>480|盾怪</t>
        </is>
      </c>
      <c r="B4314" t="n">
        <v>480</v>
      </c>
      <c r="C4314" t="inlineStr">
        <is>
          <t>盾怪</t>
        </is>
      </c>
      <c r="D4314" t="n">
        <v>6033900</v>
      </c>
      <c r="E4314" t="n">
        <v>132910</v>
      </c>
      <c r="F4314" t="n">
        <v>61635</v>
      </c>
    </row>
    <row r="4315">
      <c r="A4315" t="inlineStr">
        <is>
          <t>480|二级普通怪</t>
        </is>
      </c>
      <c r="B4315" t="n">
        <v>480</v>
      </c>
      <c r="C4315" t="inlineStr">
        <is>
          <t>二级普通怪</t>
        </is>
      </c>
      <c r="D4315" t="n">
        <v>3620340</v>
      </c>
      <c r="E4315" t="n">
        <v>132910</v>
      </c>
      <c r="F4315" t="n">
        <v>61635</v>
      </c>
    </row>
    <row r="4316">
      <c r="A4316" t="inlineStr">
        <is>
          <t>480|站桩怪</t>
        </is>
      </c>
      <c r="B4316" t="n">
        <v>480</v>
      </c>
      <c r="C4316" t="inlineStr">
        <is>
          <t>站桩怪</t>
        </is>
      </c>
      <c r="D4316" t="n">
        <v>1005650</v>
      </c>
      <c r="E4316" t="n">
        <v>132910</v>
      </c>
      <c r="F4316" t="n">
        <v>61635</v>
      </c>
    </row>
    <row r="4317">
      <c r="A4317" t="inlineStr">
        <is>
          <t>480|炮灰怪</t>
        </is>
      </c>
      <c r="B4317" t="n">
        <v>480</v>
      </c>
      <c r="C4317" t="inlineStr">
        <is>
          <t>炮灰怪</t>
        </is>
      </c>
      <c r="D4317" t="n">
        <v>301695</v>
      </c>
      <c r="E4317" t="n">
        <v>132910</v>
      </c>
      <c r="F4317" t="n">
        <v>61635</v>
      </c>
    </row>
    <row r="4318">
      <c r="A4318" t="inlineStr">
        <is>
          <t>480|精英怪</t>
        </is>
      </c>
      <c r="B4318" t="n">
        <v>480</v>
      </c>
      <c r="C4318" t="inlineStr">
        <is>
          <t>精英怪</t>
        </is>
      </c>
      <c r="D4318" t="n">
        <v>8045200</v>
      </c>
      <c r="E4318" t="n">
        <v>132910</v>
      </c>
      <c r="F4318" t="n">
        <v>61635</v>
      </c>
    </row>
    <row r="4319">
      <c r="A4319" t="inlineStr">
        <is>
          <t>480|精英盾怪</t>
        </is>
      </c>
      <c r="B4319" t="n">
        <v>480</v>
      </c>
      <c r="C4319" t="inlineStr">
        <is>
          <t>精英盾怪</t>
        </is>
      </c>
      <c r="D4319" t="n">
        <v>18101700</v>
      </c>
      <c r="E4319" t="n">
        <v>132910</v>
      </c>
      <c r="F4319" t="n">
        <v>61635</v>
      </c>
    </row>
    <row r="4320">
      <c r="A4320" t="inlineStr">
        <is>
          <t>480|Boss</t>
        </is>
      </c>
      <c r="B4320" t="n">
        <v>480</v>
      </c>
      <c r="C4320" t="inlineStr">
        <is>
          <t>Boss</t>
        </is>
      </c>
      <c r="D4320" t="n">
        <v>218309784</v>
      </c>
      <c r="E4320" t="n">
        <v>140300</v>
      </c>
      <c r="F4320" t="n">
        <v>61635</v>
      </c>
    </row>
    <row r="4321">
      <c r="A4321" t="inlineStr">
        <is>
          <t>480|装备副本Boss</t>
        </is>
      </c>
      <c r="B4321" t="n">
        <v>480</v>
      </c>
      <c r="C4321" t="inlineStr">
        <is>
          <t>装备副本Boss</t>
        </is>
      </c>
      <c r="D4321" t="n">
        <v>109154892</v>
      </c>
      <c r="E4321" t="n">
        <v>140300</v>
      </c>
      <c r="F4321" t="n">
        <v>61635</v>
      </c>
    </row>
    <row r="4322">
      <c r="A4322" t="inlineStr">
        <is>
          <t>481|普通怪</t>
        </is>
      </c>
      <c r="B4322" t="n">
        <v>481</v>
      </c>
      <c r="C4322" t="inlineStr">
        <is>
          <t>普通怪</t>
        </is>
      </c>
      <c r="D4322" t="n">
        <v>2025213</v>
      </c>
      <c r="E4322" t="n">
        <v>133676</v>
      </c>
      <c r="F4322" t="n">
        <v>61818</v>
      </c>
    </row>
    <row r="4323">
      <c r="A4323" t="inlineStr">
        <is>
          <t>481|盾怪</t>
        </is>
      </c>
      <c r="B4323" t="n">
        <v>481</v>
      </c>
      <c r="C4323" t="inlineStr">
        <is>
          <t>盾怪</t>
        </is>
      </c>
      <c r="D4323" t="n">
        <v>6075639</v>
      </c>
      <c r="E4323" t="n">
        <v>133676</v>
      </c>
      <c r="F4323" t="n">
        <v>61818</v>
      </c>
    </row>
    <row r="4324">
      <c r="A4324" t="inlineStr">
        <is>
          <t>481|二级普通怪</t>
        </is>
      </c>
      <c r="B4324" t="n">
        <v>481</v>
      </c>
      <c r="C4324" t="inlineStr">
        <is>
          <t>二级普通怪</t>
        </is>
      </c>
      <c r="D4324" t="n">
        <v>3645384</v>
      </c>
      <c r="E4324" t="n">
        <v>133676</v>
      </c>
      <c r="F4324" t="n">
        <v>61818</v>
      </c>
    </row>
    <row r="4325">
      <c r="A4325" t="inlineStr">
        <is>
          <t>481|站桩怪</t>
        </is>
      </c>
      <c r="B4325" t="n">
        <v>481</v>
      </c>
      <c r="C4325" t="inlineStr">
        <is>
          <t>站桩怪</t>
        </is>
      </c>
      <c r="D4325" t="n">
        <v>1012607</v>
      </c>
      <c r="E4325" t="n">
        <v>133676</v>
      </c>
      <c r="F4325" t="n">
        <v>61818</v>
      </c>
    </row>
    <row r="4326">
      <c r="A4326" t="inlineStr">
        <is>
          <t>481|炮灰怪</t>
        </is>
      </c>
      <c r="B4326" t="n">
        <v>481</v>
      </c>
      <c r="C4326" t="inlineStr">
        <is>
          <t>炮灰怪</t>
        </is>
      </c>
      <c r="D4326" t="n">
        <v>303782</v>
      </c>
      <c r="E4326" t="n">
        <v>133676</v>
      </c>
      <c r="F4326" t="n">
        <v>61818</v>
      </c>
    </row>
    <row r="4327">
      <c r="A4327" t="inlineStr">
        <is>
          <t>481|精英怪</t>
        </is>
      </c>
      <c r="B4327" t="n">
        <v>481</v>
      </c>
      <c r="C4327" t="inlineStr">
        <is>
          <t>精英怪</t>
        </is>
      </c>
      <c r="D4327" t="n">
        <v>8100852</v>
      </c>
      <c r="E4327" t="n">
        <v>133676</v>
      </c>
      <c r="F4327" t="n">
        <v>61818</v>
      </c>
    </row>
    <row r="4328">
      <c r="A4328" t="inlineStr">
        <is>
          <t>481|精英盾怪</t>
        </is>
      </c>
      <c r="B4328" t="n">
        <v>481</v>
      </c>
      <c r="C4328" t="inlineStr">
        <is>
          <t>精英盾怪</t>
        </is>
      </c>
      <c r="D4328" t="n">
        <v>18226917</v>
      </c>
      <c r="E4328" t="n">
        <v>133676</v>
      </c>
      <c r="F4328" t="n">
        <v>61818</v>
      </c>
    </row>
    <row r="4329">
      <c r="A4329" t="inlineStr">
        <is>
          <t>481|Boss</t>
        </is>
      </c>
      <c r="B4329" t="n">
        <v>481</v>
      </c>
      <c r="C4329" t="inlineStr">
        <is>
          <t>Boss</t>
        </is>
      </c>
      <c r="D4329" t="n">
        <v>219944589</v>
      </c>
      <c r="E4329" t="n">
        <v>141088</v>
      </c>
      <c r="F4329" t="n">
        <v>61818</v>
      </c>
    </row>
    <row r="4330">
      <c r="A4330" t="inlineStr">
        <is>
          <t>481|装备副本Boss</t>
        </is>
      </c>
      <c r="B4330" t="n">
        <v>481</v>
      </c>
      <c r="C4330" t="inlineStr">
        <is>
          <t>装备副本Boss</t>
        </is>
      </c>
      <c r="D4330" t="n">
        <v>109972295</v>
      </c>
      <c r="E4330" t="n">
        <v>141088</v>
      </c>
      <c r="F4330" t="n">
        <v>61818</v>
      </c>
    </row>
    <row r="4331">
      <c r="A4331" t="inlineStr">
        <is>
          <t>482|普通怪</t>
        </is>
      </c>
      <c r="B4331" t="n">
        <v>482</v>
      </c>
      <c r="C4331" t="inlineStr">
        <is>
          <t>普通怪</t>
        </is>
      </c>
      <c r="D4331" t="n">
        <v>2039203</v>
      </c>
      <c r="E4331" t="n">
        <v>134446</v>
      </c>
      <c r="F4331" t="n">
        <v>62001</v>
      </c>
    </row>
    <row r="4332">
      <c r="A4332" t="inlineStr">
        <is>
          <t>482|盾怪</t>
        </is>
      </c>
      <c r="B4332" t="n">
        <v>482</v>
      </c>
      <c r="C4332" t="inlineStr">
        <is>
          <t>盾怪</t>
        </is>
      </c>
      <c r="D4332" t="n">
        <v>6117609</v>
      </c>
      <c r="E4332" t="n">
        <v>134446</v>
      </c>
      <c r="F4332" t="n">
        <v>62001</v>
      </c>
    </row>
    <row r="4333">
      <c r="A4333" t="inlineStr">
        <is>
          <t>482|二级普通怪</t>
        </is>
      </c>
      <c r="B4333" t="n">
        <v>482</v>
      </c>
      <c r="C4333" t="inlineStr">
        <is>
          <t>二级普通怪</t>
        </is>
      </c>
      <c r="D4333" t="n">
        <v>3670566</v>
      </c>
      <c r="E4333" t="n">
        <v>134446</v>
      </c>
      <c r="F4333" t="n">
        <v>62001</v>
      </c>
    </row>
    <row r="4334">
      <c r="A4334" t="inlineStr">
        <is>
          <t>482|站桩怪</t>
        </is>
      </c>
      <c r="B4334" t="n">
        <v>482</v>
      </c>
      <c r="C4334" t="inlineStr">
        <is>
          <t>站桩怪</t>
        </is>
      </c>
      <c r="D4334" t="n">
        <v>1019602</v>
      </c>
      <c r="E4334" t="n">
        <v>134446</v>
      </c>
      <c r="F4334" t="n">
        <v>62001</v>
      </c>
    </row>
    <row r="4335">
      <c r="A4335" t="inlineStr">
        <is>
          <t>482|炮灰怪</t>
        </is>
      </c>
      <c r="B4335" t="n">
        <v>482</v>
      </c>
      <c r="C4335" t="inlineStr">
        <is>
          <t>炮灰怪</t>
        </is>
      </c>
      <c r="D4335" t="n">
        <v>305881</v>
      </c>
      <c r="E4335" t="n">
        <v>134446</v>
      </c>
      <c r="F4335" t="n">
        <v>62001</v>
      </c>
    </row>
    <row r="4336">
      <c r="A4336" t="inlineStr">
        <is>
          <t>482|精英怪</t>
        </is>
      </c>
      <c r="B4336" t="n">
        <v>482</v>
      </c>
      <c r="C4336" t="inlineStr">
        <is>
          <t>精英怪</t>
        </is>
      </c>
      <c r="D4336" t="n">
        <v>8156812</v>
      </c>
      <c r="E4336" t="n">
        <v>134446</v>
      </c>
      <c r="F4336" t="n">
        <v>62001</v>
      </c>
    </row>
    <row r="4337">
      <c r="A4337" t="inlineStr">
        <is>
          <t>482|精英盾怪</t>
        </is>
      </c>
      <c r="B4337" t="n">
        <v>482</v>
      </c>
      <c r="C4337" t="inlineStr">
        <is>
          <t>精英盾怪</t>
        </is>
      </c>
      <c r="D4337" t="n">
        <v>18352827</v>
      </c>
      <c r="E4337" t="n">
        <v>134446</v>
      </c>
      <c r="F4337" t="n">
        <v>62001</v>
      </c>
    </row>
    <row r="4338">
      <c r="A4338" t="inlineStr">
        <is>
          <t>482|Boss</t>
        </is>
      </c>
      <c r="B4338" t="n">
        <v>482</v>
      </c>
      <c r="C4338" t="inlineStr">
        <is>
          <t>Boss</t>
        </is>
      </c>
      <c r="D4338" t="n">
        <v>221589594</v>
      </c>
      <c r="E4338" t="n">
        <v>141880</v>
      </c>
      <c r="F4338" t="n">
        <v>62001</v>
      </c>
    </row>
    <row r="4339">
      <c r="A4339" t="inlineStr">
        <is>
          <t>482|装备副本Boss</t>
        </is>
      </c>
      <c r="B4339" t="n">
        <v>482</v>
      </c>
      <c r="C4339" t="inlineStr">
        <is>
          <t>装备副本Boss</t>
        </is>
      </c>
      <c r="D4339" t="n">
        <v>110794797</v>
      </c>
      <c r="E4339" t="n">
        <v>141880</v>
      </c>
      <c r="F4339" t="n">
        <v>62001</v>
      </c>
    </row>
    <row r="4340">
      <c r="A4340" t="inlineStr">
        <is>
          <t>483|普通怪</t>
        </is>
      </c>
      <c r="B4340" t="n">
        <v>483</v>
      </c>
      <c r="C4340" t="inlineStr">
        <is>
          <t>普通怪</t>
        </is>
      </c>
      <c r="D4340" t="n">
        <v>2053272</v>
      </c>
      <c r="E4340" t="n">
        <v>135220</v>
      </c>
      <c r="F4340" t="n">
        <v>62185</v>
      </c>
    </row>
    <row r="4341">
      <c r="A4341" t="inlineStr">
        <is>
          <t>483|盾怪</t>
        </is>
      </c>
      <c r="B4341" t="n">
        <v>483</v>
      </c>
      <c r="C4341" t="inlineStr">
        <is>
          <t>盾怪</t>
        </is>
      </c>
      <c r="D4341" t="n">
        <v>6159816</v>
      </c>
      <c r="E4341" t="n">
        <v>135220</v>
      </c>
      <c r="F4341" t="n">
        <v>62185</v>
      </c>
    </row>
    <row r="4342">
      <c r="A4342" t="inlineStr">
        <is>
          <t>483|二级普通怪</t>
        </is>
      </c>
      <c r="B4342" t="n">
        <v>483</v>
      </c>
      <c r="C4342" t="inlineStr">
        <is>
          <t>二级普通怪</t>
        </is>
      </c>
      <c r="D4342" t="n">
        <v>3695890</v>
      </c>
      <c r="E4342" t="n">
        <v>135220</v>
      </c>
      <c r="F4342" t="n">
        <v>62185</v>
      </c>
    </row>
    <row r="4343">
      <c r="A4343" t="inlineStr">
        <is>
          <t>483|站桩怪</t>
        </is>
      </c>
      <c r="B4343" t="n">
        <v>483</v>
      </c>
      <c r="C4343" t="inlineStr">
        <is>
          <t>站桩怪</t>
        </is>
      </c>
      <c r="D4343" t="n">
        <v>1026636</v>
      </c>
      <c r="E4343" t="n">
        <v>135220</v>
      </c>
      <c r="F4343" t="n">
        <v>62185</v>
      </c>
    </row>
    <row r="4344">
      <c r="A4344" t="inlineStr">
        <is>
          <t>483|炮灰怪</t>
        </is>
      </c>
      <c r="B4344" t="n">
        <v>483</v>
      </c>
      <c r="C4344" t="inlineStr">
        <is>
          <t>炮灰怪</t>
        </is>
      </c>
      <c r="D4344" t="n">
        <v>307991</v>
      </c>
      <c r="E4344" t="n">
        <v>135220</v>
      </c>
      <c r="F4344" t="n">
        <v>62185</v>
      </c>
    </row>
    <row r="4345">
      <c r="A4345" t="inlineStr">
        <is>
          <t>483|精英怪</t>
        </is>
      </c>
      <c r="B4345" t="n">
        <v>483</v>
      </c>
      <c r="C4345" t="inlineStr">
        <is>
          <t>精英怪</t>
        </is>
      </c>
      <c r="D4345" t="n">
        <v>8213088</v>
      </c>
      <c r="E4345" t="n">
        <v>135220</v>
      </c>
      <c r="F4345" t="n">
        <v>62185</v>
      </c>
    </row>
    <row r="4346">
      <c r="A4346" t="inlineStr">
        <is>
          <t>483|精英盾怪</t>
        </is>
      </c>
      <c r="B4346" t="n">
        <v>483</v>
      </c>
      <c r="C4346" t="inlineStr">
        <is>
          <t>精英盾怪</t>
        </is>
      </c>
      <c r="D4346" t="n">
        <v>18479448</v>
      </c>
      <c r="E4346" t="n">
        <v>135220</v>
      </c>
      <c r="F4346" t="n">
        <v>62185</v>
      </c>
    </row>
    <row r="4347">
      <c r="A4347" t="inlineStr">
        <is>
          <t>483|Boss</t>
        </is>
      </c>
      <c r="B4347" t="n">
        <v>483</v>
      </c>
      <c r="C4347" t="inlineStr">
        <is>
          <t>Boss</t>
        </is>
      </c>
      <c r="D4347" t="n">
        <v>223244799</v>
      </c>
      <c r="E4347" t="n">
        <v>142676</v>
      </c>
      <c r="F4347" t="n">
        <v>62185</v>
      </c>
    </row>
    <row r="4348">
      <c r="A4348" t="inlineStr">
        <is>
          <t>483|装备副本Boss</t>
        </is>
      </c>
      <c r="B4348" t="n">
        <v>483</v>
      </c>
      <c r="C4348" t="inlineStr">
        <is>
          <t>装备副本Boss</t>
        </is>
      </c>
      <c r="D4348" t="n">
        <v>111622400</v>
      </c>
      <c r="E4348" t="n">
        <v>142676</v>
      </c>
      <c r="F4348" t="n">
        <v>62185</v>
      </c>
    </row>
    <row r="4349">
      <c r="A4349" t="inlineStr">
        <is>
          <t>484|普通怪</t>
        </is>
      </c>
      <c r="B4349" t="n">
        <v>484</v>
      </c>
      <c r="C4349" t="inlineStr">
        <is>
          <t>普通怪</t>
        </is>
      </c>
      <c r="D4349" t="n">
        <v>2067419</v>
      </c>
      <c r="E4349" t="n">
        <v>135997</v>
      </c>
      <c r="F4349" t="n">
        <v>62369</v>
      </c>
    </row>
    <row r="4350">
      <c r="A4350" t="inlineStr">
        <is>
          <t>484|盾怪</t>
        </is>
      </c>
      <c r="B4350" t="n">
        <v>484</v>
      </c>
      <c r="C4350" t="inlineStr">
        <is>
          <t>盾怪</t>
        </is>
      </c>
      <c r="D4350" t="n">
        <v>6202257</v>
      </c>
      <c r="E4350" t="n">
        <v>135997</v>
      </c>
      <c r="F4350" t="n">
        <v>62369</v>
      </c>
    </row>
    <row r="4351">
      <c r="A4351" t="inlineStr">
        <is>
          <t>484|二级普通怪</t>
        </is>
      </c>
      <c r="B4351" t="n">
        <v>484</v>
      </c>
      <c r="C4351" t="inlineStr">
        <is>
          <t>二级普通怪</t>
        </is>
      </c>
      <c r="D4351" t="n">
        <v>3721355</v>
      </c>
      <c r="E4351" t="n">
        <v>135997</v>
      </c>
      <c r="F4351" t="n">
        <v>62369</v>
      </c>
    </row>
    <row r="4352">
      <c r="A4352" t="inlineStr">
        <is>
          <t>484|站桩怪</t>
        </is>
      </c>
      <c r="B4352" t="n">
        <v>484</v>
      </c>
      <c r="C4352" t="inlineStr">
        <is>
          <t>站桩怪</t>
        </is>
      </c>
      <c r="D4352" t="n">
        <v>1033710</v>
      </c>
      <c r="E4352" t="n">
        <v>135997</v>
      </c>
      <c r="F4352" t="n">
        <v>62369</v>
      </c>
    </row>
    <row r="4353">
      <c r="A4353" t="inlineStr">
        <is>
          <t>484|炮灰怪</t>
        </is>
      </c>
      <c r="B4353" t="n">
        <v>484</v>
      </c>
      <c r="C4353" t="inlineStr">
        <is>
          <t>炮灰怪</t>
        </is>
      </c>
      <c r="D4353" t="n">
        <v>310113</v>
      </c>
      <c r="E4353" t="n">
        <v>135997</v>
      </c>
      <c r="F4353" t="n">
        <v>62369</v>
      </c>
    </row>
    <row r="4354">
      <c r="A4354" t="inlineStr">
        <is>
          <t>484|精英怪</t>
        </is>
      </c>
      <c r="B4354" t="n">
        <v>484</v>
      </c>
      <c r="C4354" t="inlineStr">
        <is>
          <t>精英怪</t>
        </is>
      </c>
      <c r="D4354" t="n">
        <v>8269676</v>
      </c>
      <c r="E4354" t="n">
        <v>135997</v>
      </c>
      <c r="F4354" t="n">
        <v>62369</v>
      </c>
    </row>
    <row r="4355">
      <c r="A4355" t="inlineStr">
        <is>
          <t>484|精英盾怪</t>
        </is>
      </c>
      <c r="B4355" t="n">
        <v>484</v>
      </c>
      <c r="C4355" t="inlineStr">
        <is>
          <t>精英盾怪</t>
        </is>
      </c>
      <c r="D4355" t="n">
        <v>18606771</v>
      </c>
      <c r="E4355" t="n">
        <v>135997</v>
      </c>
      <c r="F4355" t="n">
        <v>62369</v>
      </c>
    </row>
    <row r="4356">
      <c r="A4356" t="inlineStr">
        <is>
          <t>484|Boss</t>
        </is>
      </c>
      <c r="B4356" t="n">
        <v>484</v>
      </c>
      <c r="C4356" t="inlineStr">
        <is>
          <t>Boss</t>
        </is>
      </c>
      <c r="D4356" t="n">
        <v>224910255</v>
      </c>
      <c r="E4356" t="n">
        <v>143476</v>
      </c>
      <c r="F4356" t="n">
        <v>62369</v>
      </c>
    </row>
    <row r="4357">
      <c r="A4357" t="inlineStr">
        <is>
          <t>484|装备副本Boss</t>
        </is>
      </c>
      <c r="B4357" t="n">
        <v>484</v>
      </c>
      <c r="C4357" t="inlineStr">
        <is>
          <t>装备副本Boss</t>
        </is>
      </c>
      <c r="D4357" t="n">
        <v>112455128</v>
      </c>
      <c r="E4357" t="n">
        <v>143476</v>
      </c>
      <c r="F4357" t="n">
        <v>62369</v>
      </c>
    </row>
    <row r="4358">
      <c r="A4358" t="inlineStr">
        <is>
          <t>485|普通怪</t>
        </is>
      </c>
      <c r="B4358" t="n">
        <v>485</v>
      </c>
      <c r="C4358" t="inlineStr">
        <is>
          <t>普通怪</t>
        </is>
      </c>
      <c r="D4358" t="n">
        <v>2081645</v>
      </c>
      <c r="E4358" t="n">
        <v>136779</v>
      </c>
      <c r="F4358" t="n">
        <v>62553</v>
      </c>
    </row>
    <row r="4359">
      <c r="A4359" t="inlineStr">
        <is>
          <t>485|盾怪</t>
        </is>
      </c>
      <c r="B4359" t="n">
        <v>485</v>
      </c>
      <c r="C4359" t="inlineStr">
        <is>
          <t>盾怪</t>
        </is>
      </c>
      <c r="D4359" t="n">
        <v>6244935</v>
      </c>
      <c r="E4359" t="n">
        <v>136779</v>
      </c>
      <c r="F4359" t="n">
        <v>62553</v>
      </c>
    </row>
    <row r="4360">
      <c r="A4360" t="inlineStr">
        <is>
          <t>485|二级普通怪</t>
        </is>
      </c>
      <c r="B4360" t="n">
        <v>485</v>
      </c>
      <c r="C4360" t="inlineStr">
        <is>
          <t>二级普通怪</t>
        </is>
      </c>
      <c r="D4360" t="n">
        <v>3746961</v>
      </c>
      <c r="E4360" t="n">
        <v>136779</v>
      </c>
      <c r="F4360" t="n">
        <v>62553</v>
      </c>
    </row>
    <row r="4361">
      <c r="A4361" t="inlineStr">
        <is>
          <t>485|站桩怪</t>
        </is>
      </c>
      <c r="B4361" t="n">
        <v>485</v>
      </c>
      <c r="C4361" t="inlineStr">
        <is>
          <t>站桩怪</t>
        </is>
      </c>
      <c r="D4361" t="n">
        <v>1040823</v>
      </c>
      <c r="E4361" t="n">
        <v>136779</v>
      </c>
      <c r="F4361" t="n">
        <v>62553</v>
      </c>
    </row>
    <row r="4362">
      <c r="A4362" t="inlineStr">
        <is>
          <t>485|炮灰怪</t>
        </is>
      </c>
      <c r="B4362" t="n">
        <v>485</v>
      </c>
      <c r="C4362" t="inlineStr">
        <is>
          <t>炮灰怪</t>
        </is>
      </c>
      <c r="D4362" t="n">
        <v>312247</v>
      </c>
      <c r="E4362" t="n">
        <v>136779</v>
      </c>
      <c r="F4362" t="n">
        <v>62553</v>
      </c>
    </row>
    <row r="4363">
      <c r="A4363" t="inlineStr">
        <is>
          <t>485|精英怪</t>
        </is>
      </c>
      <c r="B4363" t="n">
        <v>485</v>
      </c>
      <c r="C4363" t="inlineStr">
        <is>
          <t>精英怪</t>
        </is>
      </c>
      <c r="D4363" t="n">
        <v>8326580</v>
      </c>
      <c r="E4363" t="n">
        <v>136779</v>
      </c>
      <c r="F4363" t="n">
        <v>62553</v>
      </c>
    </row>
    <row r="4364">
      <c r="A4364" t="inlineStr">
        <is>
          <t>485|精英盾怪</t>
        </is>
      </c>
      <c r="B4364" t="n">
        <v>485</v>
      </c>
      <c r="C4364" t="inlineStr">
        <is>
          <t>精英盾怪</t>
        </is>
      </c>
      <c r="D4364" t="n">
        <v>18734805</v>
      </c>
      <c r="E4364" t="n">
        <v>136779</v>
      </c>
      <c r="F4364" t="n">
        <v>62553</v>
      </c>
    </row>
    <row r="4365">
      <c r="A4365" t="inlineStr">
        <is>
          <t>485|Boss</t>
        </is>
      </c>
      <c r="B4365" t="n">
        <v>485</v>
      </c>
      <c r="C4365" t="inlineStr">
        <is>
          <t>Boss</t>
        </is>
      </c>
      <c r="D4365" t="n">
        <v>226586064</v>
      </c>
      <c r="E4365" t="n">
        <v>144280</v>
      </c>
      <c r="F4365" t="n">
        <v>62553</v>
      </c>
    </row>
    <row r="4366">
      <c r="A4366" t="inlineStr">
        <is>
          <t>485|装备副本Boss</t>
        </is>
      </c>
      <c r="B4366" t="n">
        <v>485</v>
      </c>
      <c r="C4366" t="inlineStr">
        <is>
          <t>装备副本Boss</t>
        </is>
      </c>
      <c r="D4366" t="n">
        <v>113293032</v>
      </c>
      <c r="E4366" t="n">
        <v>144280</v>
      </c>
      <c r="F4366" t="n">
        <v>62553</v>
      </c>
    </row>
    <row r="4367">
      <c r="A4367" t="inlineStr">
        <is>
          <t>486|普通怪</t>
        </is>
      </c>
      <c r="B4367" t="n">
        <v>486</v>
      </c>
      <c r="C4367" t="inlineStr">
        <is>
          <t>普通怪</t>
        </is>
      </c>
      <c r="D4367" t="n">
        <v>2095950</v>
      </c>
      <c r="E4367" t="n">
        <v>137565</v>
      </c>
      <c r="F4367" t="n">
        <v>62737</v>
      </c>
    </row>
    <row r="4368">
      <c r="A4368" t="inlineStr">
        <is>
          <t>486|盾怪</t>
        </is>
      </c>
      <c r="B4368" t="n">
        <v>486</v>
      </c>
      <c r="C4368" t="inlineStr">
        <is>
          <t>盾怪</t>
        </is>
      </c>
      <c r="D4368" t="n">
        <v>6287850</v>
      </c>
      <c r="E4368" t="n">
        <v>137565</v>
      </c>
      <c r="F4368" t="n">
        <v>62737</v>
      </c>
    </row>
    <row r="4369">
      <c r="A4369" t="inlineStr">
        <is>
          <t>486|二级普通怪</t>
        </is>
      </c>
      <c r="B4369" t="n">
        <v>486</v>
      </c>
      <c r="C4369" t="inlineStr">
        <is>
          <t>二级普通怪</t>
        </is>
      </c>
      <c r="D4369" t="n">
        <v>3772710</v>
      </c>
      <c r="E4369" t="n">
        <v>137565</v>
      </c>
      <c r="F4369" t="n">
        <v>62737</v>
      </c>
    </row>
    <row r="4370">
      <c r="A4370" t="inlineStr">
        <is>
          <t>486|站桩怪</t>
        </is>
      </c>
      <c r="B4370" t="n">
        <v>486</v>
      </c>
      <c r="C4370" t="inlineStr">
        <is>
          <t>站桩怪</t>
        </is>
      </c>
      <c r="D4370" t="n">
        <v>1047975</v>
      </c>
      <c r="E4370" t="n">
        <v>137565</v>
      </c>
      <c r="F4370" t="n">
        <v>62737</v>
      </c>
    </row>
    <row r="4371">
      <c r="A4371" t="inlineStr">
        <is>
          <t>486|炮灰怪</t>
        </is>
      </c>
      <c r="B4371" t="n">
        <v>486</v>
      </c>
      <c r="C4371" t="inlineStr">
        <is>
          <t>炮灰怪</t>
        </is>
      </c>
      <c r="D4371" t="n">
        <v>314393</v>
      </c>
      <c r="E4371" t="n">
        <v>137565</v>
      </c>
      <c r="F4371" t="n">
        <v>62737</v>
      </c>
    </row>
    <row r="4372">
      <c r="A4372" t="inlineStr">
        <is>
          <t>486|精英怪</t>
        </is>
      </c>
      <c r="B4372" t="n">
        <v>486</v>
      </c>
      <c r="C4372" t="inlineStr">
        <is>
          <t>精英怪</t>
        </is>
      </c>
      <c r="D4372" t="n">
        <v>8383800</v>
      </c>
      <c r="E4372" t="n">
        <v>137565</v>
      </c>
      <c r="F4372" t="n">
        <v>62737</v>
      </c>
    </row>
    <row r="4373">
      <c r="A4373" t="inlineStr">
        <is>
          <t>486|精英盾怪</t>
        </is>
      </c>
      <c r="B4373" t="n">
        <v>486</v>
      </c>
      <c r="C4373" t="inlineStr">
        <is>
          <t>精英盾怪</t>
        </is>
      </c>
      <c r="D4373" t="n">
        <v>18863550</v>
      </c>
      <c r="E4373" t="n">
        <v>137565</v>
      </c>
      <c r="F4373" t="n">
        <v>62737</v>
      </c>
    </row>
    <row r="4374">
      <c r="A4374" t="inlineStr">
        <is>
          <t>486|Boss</t>
        </is>
      </c>
      <c r="B4374" t="n">
        <v>486</v>
      </c>
      <c r="C4374" t="inlineStr">
        <is>
          <t>Boss</t>
        </is>
      </c>
      <c r="D4374" t="n">
        <v>228272175</v>
      </c>
      <c r="E4374" t="n">
        <v>145088</v>
      </c>
      <c r="F4374" t="n">
        <v>62737</v>
      </c>
    </row>
    <row r="4375">
      <c r="A4375" t="inlineStr">
        <is>
          <t>486|装备副本Boss</t>
        </is>
      </c>
      <c r="B4375" t="n">
        <v>486</v>
      </c>
      <c r="C4375" t="inlineStr">
        <is>
          <t>装备副本Boss</t>
        </is>
      </c>
      <c r="D4375" t="n">
        <v>114136088</v>
      </c>
      <c r="E4375" t="n">
        <v>145088</v>
      </c>
      <c r="F4375" t="n">
        <v>62737</v>
      </c>
    </row>
    <row r="4376">
      <c r="A4376" t="inlineStr">
        <is>
          <t>487|普通怪</t>
        </is>
      </c>
      <c r="B4376" t="n">
        <v>487</v>
      </c>
      <c r="C4376" t="inlineStr">
        <is>
          <t>普通怪</t>
        </is>
      </c>
      <c r="D4376" t="n">
        <v>2110335</v>
      </c>
      <c r="E4376" t="n">
        <v>138353</v>
      </c>
      <c r="F4376" t="n">
        <v>62921</v>
      </c>
    </row>
    <row r="4377">
      <c r="A4377" t="inlineStr">
        <is>
          <t>487|盾怪</t>
        </is>
      </c>
      <c r="B4377" t="n">
        <v>487</v>
      </c>
      <c r="C4377" t="inlineStr">
        <is>
          <t>盾怪</t>
        </is>
      </c>
      <c r="D4377" t="n">
        <v>6331005</v>
      </c>
      <c r="E4377" t="n">
        <v>138353</v>
      </c>
      <c r="F4377" t="n">
        <v>62921</v>
      </c>
    </row>
    <row r="4378">
      <c r="A4378" t="inlineStr">
        <is>
          <t>487|二级普通怪</t>
        </is>
      </c>
      <c r="B4378" t="n">
        <v>487</v>
      </c>
      <c r="C4378" t="inlineStr">
        <is>
          <t>二级普通怪</t>
        </is>
      </c>
      <c r="D4378" t="n">
        <v>3798603</v>
      </c>
      <c r="E4378" t="n">
        <v>138353</v>
      </c>
      <c r="F4378" t="n">
        <v>62921</v>
      </c>
    </row>
    <row r="4379">
      <c r="A4379" t="inlineStr">
        <is>
          <t>487|站桩怪</t>
        </is>
      </c>
      <c r="B4379" t="n">
        <v>487</v>
      </c>
      <c r="C4379" t="inlineStr">
        <is>
          <t>站桩怪</t>
        </is>
      </c>
      <c r="D4379" t="n">
        <v>1055168</v>
      </c>
      <c r="E4379" t="n">
        <v>138353</v>
      </c>
      <c r="F4379" t="n">
        <v>62921</v>
      </c>
    </row>
    <row r="4380">
      <c r="A4380" t="inlineStr">
        <is>
          <t>487|炮灰怪</t>
        </is>
      </c>
      <c r="B4380" t="n">
        <v>487</v>
      </c>
      <c r="C4380" t="inlineStr">
        <is>
          <t>炮灰怪</t>
        </is>
      </c>
      <c r="D4380" t="n">
        <v>316551</v>
      </c>
      <c r="E4380" t="n">
        <v>138353</v>
      </c>
      <c r="F4380" t="n">
        <v>62921</v>
      </c>
    </row>
    <row r="4381">
      <c r="A4381" t="inlineStr">
        <is>
          <t>487|精英怪</t>
        </is>
      </c>
      <c r="B4381" t="n">
        <v>487</v>
      </c>
      <c r="C4381" t="inlineStr">
        <is>
          <t>精英怪</t>
        </is>
      </c>
      <c r="D4381" t="n">
        <v>8441340</v>
      </c>
      <c r="E4381" t="n">
        <v>138353</v>
      </c>
      <c r="F4381" t="n">
        <v>62921</v>
      </c>
    </row>
    <row r="4382">
      <c r="A4382" t="inlineStr">
        <is>
          <t>487|精英盾怪</t>
        </is>
      </c>
      <c r="B4382" t="n">
        <v>487</v>
      </c>
      <c r="C4382" t="inlineStr">
        <is>
          <t>精英盾怪</t>
        </is>
      </c>
      <c r="D4382" t="n">
        <v>18993015</v>
      </c>
      <c r="E4382" t="n">
        <v>138353</v>
      </c>
      <c r="F4382" t="n">
        <v>62921</v>
      </c>
    </row>
    <row r="4383">
      <c r="A4383" t="inlineStr">
        <is>
          <t>487|Boss</t>
        </is>
      </c>
      <c r="B4383" t="n">
        <v>487</v>
      </c>
      <c r="C4383" t="inlineStr">
        <is>
          <t>Boss</t>
        </is>
      </c>
      <c r="D4383" t="n">
        <v>229968690</v>
      </c>
      <c r="E4383" t="n">
        <v>145899</v>
      </c>
      <c r="F4383" t="n">
        <v>62921</v>
      </c>
    </row>
    <row r="4384">
      <c r="A4384" t="inlineStr">
        <is>
          <t>487|装备副本Boss</t>
        </is>
      </c>
      <c r="B4384" t="n">
        <v>487</v>
      </c>
      <c r="C4384" t="inlineStr">
        <is>
          <t>装备副本Boss</t>
        </is>
      </c>
      <c r="D4384" t="n">
        <v>114984345</v>
      </c>
      <c r="E4384" t="n">
        <v>145899</v>
      </c>
      <c r="F4384" t="n">
        <v>62921</v>
      </c>
    </row>
    <row r="4385">
      <c r="A4385" t="inlineStr">
        <is>
          <t>488|普通怪</t>
        </is>
      </c>
      <c r="B4385" t="n">
        <v>488</v>
      </c>
      <c r="C4385" t="inlineStr">
        <is>
          <t>普通怪</t>
        </is>
      </c>
      <c r="D4385" t="n">
        <v>2124800</v>
      </c>
      <c r="E4385" t="n">
        <v>139147</v>
      </c>
      <c r="F4385" t="n">
        <v>63106</v>
      </c>
    </row>
    <row r="4386">
      <c r="A4386" t="inlineStr">
        <is>
          <t>488|盾怪</t>
        </is>
      </c>
      <c r="B4386" t="n">
        <v>488</v>
      </c>
      <c r="C4386" t="inlineStr">
        <is>
          <t>盾怪</t>
        </is>
      </c>
      <c r="D4386" t="n">
        <v>6374400</v>
      </c>
      <c r="E4386" t="n">
        <v>139147</v>
      </c>
      <c r="F4386" t="n">
        <v>63106</v>
      </c>
    </row>
    <row r="4387">
      <c r="A4387" t="inlineStr">
        <is>
          <t>488|二级普通怪</t>
        </is>
      </c>
      <c r="B4387" t="n">
        <v>488</v>
      </c>
      <c r="C4387" t="inlineStr">
        <is>
          <t>二级普通怪</t>
        </is>
      </c>
      <c r="D4387" t="n">
        <v>3824640</v>
      </c>
      <c r="E4387" t="n">
        <v>139147</v>
      </c>
      <c r="F4387" t="n">
        <v>63106</v>
      </c>
    </row>
    <row r="4388">
      <c r="A4388" t="inlineStr">
        <is>
          <t>488|站桩怪</t>
        </is>
      </c>
      <c r="B4388" t="n">
        <v>488</v>
      </c>
      <c r="C4388" t="inlineStr">
        <is>
          <t>站桩怪</t>
        </is>
      </c>
      <c r="D4388" t="n">
        <v>1062400</v>
      </c>
      <c r="E4388" t="n">
        <v>139147</v>
      </c>
      <c r="F4388" t="n">
        <v>63106</v>
      </c>
    </row>
    <row r="4389">
      <c r="A4389" t="inlineStr">
        <is>
          <t>488|炮灰怪</t>
        </is>
      </c>
      <c r="B4389" t="n">
        <v>488</v>
      </c>
      <c r="C4389" t="inlineStr">
        <is>
          <t>炮灰怪</t>
        </is>
      </c>
      <c r="D4389" t="n">
        <v>318720</v>
      </c>
      <c r="E4389" t="n">
        <v>139147</v>
      </c>
      <c r="F4389" t="n">
        <v>63106</v>
      </c>
    </row>
    <row r="4390">
      <c r="A4390" t="inlineStr">
        <is>
          <t>488|精英怪</t>
        </is>
      </c>
      <c r="B4390" t="n">
        <v>488</v>
      </c>
      <c r="C4390" t="inlineStr">
        <is>
          <t>精英怪</t>
        </is>
      </c>
      <c r="D4390" t="n">
        <v>8499200</v>
      </c>
      <c r="E4390" t="n">
        <v>139147</v>
      </c>
      <c r="F4390" t="n">
        <v>63106</v>
      </c>
    </row>
    <row r="4391">
      <c r="A4391" t="inlineStr">
        <is>
          <t>488|精英盾怪</t>
        </is>
      </c>
      <c r="B4391" t="n">
        <v>488</v>
      </c>
      <c r="C4391" t="inlineStr">
        <is>
          <t>精英盾怪</t>
        </is>
      </c>
      <c r="D4391" t="n">
        <v>19123200</v>
      </c>
      <c r="E4391" t="n">
        <v>139147</v>
      </c>
      <c r="F4391" t="n">
        <v>63106</v>
      </c>
    </row>
    <row r="4392">
      <c r="A4392" t="inlineStr">
        <is>
          <t>488|Boss</t>
        </is>
      </c>
      <c r="B4392" t="n">
        <v>488</v>
      </c>
      <c r="C4392" t="inlineStr">
        <is>
          <t>Boss</t>
        </is>
      </c>
      <c r="D4392" t="n">
        <v>231675711</v>
      </c>
      <c r="E4392" t="n">
        <v>146715</v>
      </c>
      <c r="F4392" t="n">
        <v>63106</v>
      </c>
    </row>
    <row r="4393">
      <c r="A4393" t="inlineStr">
        <is>
          <t>488|装备副本Boss</t>
        </is>
      </c>
      <c r="B4393" t="n">
        <v>488</v>
      </c>
      <c r="C4393" t="inlineStr">
        <is>
          <t>装备副本Boss</t>
        </is>
      </c>
      <c r="D4393" t="n">
        <v>115837856</v>
      </c>
      <c r="E4393" t="n">
        <v>146715</v>
      </c>
      <c r="F4393" t="n">
        <v>63106</v>
      </c>
    </row>
    <row r="4394">
      <c r="A4394" t="inlineStr">
        <is>
          <t>489|普通怪</t>
        </is>
      </c>
      <c r="B4394" t="n">
        <v>489</v>
      </c>
      <c r="C4394" t="inlineStr">
        <is>
          <t>普通怪</t>
        </is>
      </c>
      <c r="D4394" t="n">
        <v>2139345</v>
      </c>
      <c r="E4394" t="n">
        <v>139944</v>
      </c>
      <c r="F4394" t="n">
        <v>63291</v>
      </c>
    </row>
    <row r="4395">
      <c r="A4395" t="inlineStr">
        <is>
          <t>489|盾怪</t>
        </is>
      </c>
      <c r="B4395" t="n">
        <v>489</v>
      </c>
      <c r="C4395" t="inlineStr">
        <is>
          <t>盾怪</t>
        </is>
      </c>
      <c r="D4395" t="n">
        <v>6418035</v>
      </c>
      <c r="E4395" t="n">
        <v>139944</v>
      </c>
      <c r="F4395" t="n">
        <v>63291</v>
      </c>
    </row>
    <row r="4396">
      <c r="A4396" t="inlineStr">
        <is>
          <t>489|二级普通怪</t>
        </is>
      </c>
      <c r="B4396" t="n">
        <v>489</v>
      </c>
      <c r="C4396" t="inlineStr">
        <is>
          <t>二级普通怪</t>
        </is>
      </c>
      <c r="D4396" t="n">
        <v>3850821</v>
      </c>
      <c r="E4396" t="n">
        <v>139944</v>
      </c>
      <c r="F4396" t="n">
        <v>63291</v>
      </c>
    </row>
    <row r="4397">
      <c r="A4397" t="inlineStr">
        <is>
          <t>489|站桩怪</t>
        </is>
      </c>
      <c r="B4397" t="n">
        <v>489</v>
      </c>
      <c r="C4397" t="inlineStr">
        <is>
          <t>站桩怪</t>
        </is>
      </c>
      <c r="D4397" t="n">
        <v>1069673</v>
      </c>
      <c r="E4397" t="n">
        <v>139944</v>
      </c>
      <c r="F4397" t="n">
        <v>63291</v>
      </c>
    </row>
    <row r="4398">
      <c r="A4398" t="inlineStr">
        <is>
          <t>489|炮灰怪</t>
        </is>
      </c>
      <c r="B4398" t="n">
        <v>489</v>
      </c>
      <c r="C4398" t="inlineStr">
        <is>
          <t>炮灰怪</t>
        </is>
      </c>
      <c r="D4398" t="n">
        <v>320902</v>
      </c>
      <c r="E4398" t="n">
        <v>139944</v>
      </c>
      <c r="F4398" t="n">
        <v>63291</v>
      </c>
    </row>
    <row r="4399">
      <c r="A4399" t="inlineStr">
        <is>
          <t>489|精英怪</t>
        </is>
      </c>
      <c r="B4399" t="n">
        <v>489</v>
      </c>
      <c r="C4399" t="inlineStr">
        <is>
          <t>精英怪</t>
        </is>
      </c>
      <c r="D4399" t="n">
        <v>8557380</v>
      </c>
      <c r="E4399" t="n">
        <v>139944</v>
      </c>
      <c r="F4399" t="n">
        <v>63291</v>
      </c>
    </row>
    <row r="4400">
      <c r="A4400" t="inlineStr">
        <is>
          <t>489|精英盾怪</t>
        </is>
      </c>
      <c r="B4400" t="n">
        <v>489</v>
      </c>
      <c r="C4400" t="inlineStr">
        <is>
          <t>精英盾怪</t>
        </is>
      </c>
      <c r="D4400" t="n">
        <v>19254105</v>
      </c>
      <c r="E4400" t="n">
        <v>139944</v>
      </c>
      <c r="F4400" t="n">
        <v>63291</v>
      </c>
    </row>
    <row r="4401">
      <c r="A4401" t="inlineStr">
        <is>
          <t>489|Boss</t>
        </is>
      </c>
      <c r="B4401" t="n">
        <v>489</v>
      </c>
      <c r="C4401" t="inlineStr">
        <is>
          <t>Boss</t>
        </is>
      </c>
      <c r="D4401" t="n">
        <v>233393238</v>
      </c>
      <c r="E4401" t="n">
        <v>147535</v>
      </c>
      <c r="F4401" t="n">
        <v>63291</v>
      </c>
    </row>
    <row r="4402">
      <c r="A4402" t="inlineStr">
        <is>
          <t>489|装备副本Boss</t>
        </is>
      </c>
      <c r="B4402" t="n">
        <v>489</v>
      </c>
      <c r="C4402" t="inlineStr">
        <is>
          <t>装备副本Boss</t>
        </is>
      </c>
      <c r="D4402" t="n">
        <v>116696619</v>
      </c>
      <c r="E4402" t="n">
        <v>147535</v>
      </c>
      <c r="F4402" t="n">
        <v>63291</v>
      </c>
    </row>
    <row r="4403">
      <c r="A4403" t="inlineStr">
        <is>
          <t>490|普通怪</t>
        </is>
      </c>
      <c r="B4403" t="n">
        <v>490</v>
      </c>
      <c r="C4403" t="inlineStr">
        <is>
          <t>普通怪</t>
        </is>
      </c>
      <c r="D4403" t="n">
        <v>2153972</v>
      </c>
      <c r="E4403" t="n">
        <v>140745</v>
      </c>
      <c r="F4403" t="n">
        <v>63476</v>
      </c>
    </row>
    <row r="4404">
      <c r="A4404" t="inlineStr">
        <is>
          <t>490|盾怪</t>
        </is>
      </c>
      <c r="B4404" t="n">
        <v>490</v>
      </c>
      <c r="C4404" t="inlineStr">
        <is>
          <t>盾怪</t>
        </is>
      </c>
      <c r="D4404" t="n">
        <v>6461916</v>
      </c>
      <c r="E4404" t="n">
        <v>140745</v>
      </c>
      <c r="F4404" t="n">
        <v>63476</v>
      </c>
    </row>
    <row r="4405">
      <c r="A4405" t="inlineStr">
        <is>
          <t>490|二级普通怪</t>
        </is>
      </c>
      <c r="B4405" t="n">
        <v>490</v>
      </c>
      <c r="C4405" t="inlineStr">
        <is>
          <t>二级普通怪</t>
        </is>
      </c>
      <c r="D4405" t="n">
        <v>3877150</v>
      </c>
      <c r="E4405" t="n">
        <v>140745</v>
      </c>
      <c r="F4405" t="n">
        <v>63476</v>
      </c>
    </row>
    <row r="4406">
      <c r="A4406" t="inlineStr">
        <is>
          <t>490|站桩怪</t>
        </is>
      </c>
      <c r="B4406" t="n">
        <v>490</v>
      </c>
      <c r="C4406" t="inlineStr">
        <is>
          <t>站桩怪</t>
        </is>
      </c>
      <c r="D4406" t="n">
        <v>1076986</v>
      </c>
      <c r="E4406" t="n">
        <v>140745</v>
      </c>
      <c r="F4406" t="n">
        <v>63476</v>
      </c>
    </row>
    <row r="4407">
      <c r="A4407" t="inlineStr">
        <is>
          <t>490|炮灰怪</t>
        </is>
      </c>
      <c r="B4407" t="n">
        <v>490</v>
      </c>
      <c r="C4407" t="inlineStr">
        <is>
          <t>炮灰怪</t>
        </is>
      </c>
      <c r="D4407" t="n">
        <v>323096</v>
      </c>
      <c r="E4407" t="n">
        <v>140745</v>
      </c>
      <c r="F4407" t="n">
        <v>63476</v>
      </c>
    </row>
    <row r="4408">
      <c r="A4408" t="inlineStr">
        <is>
          <t>490|精英怪</t>
        </is>
      </c>
      <c r="B4408" t="n">
        <v>490</v>
      </c>
      <c r="C4408" t="inlineStr">
        <is>
          <t>精英怪</t>
        </is>
      </c>
      <c r="D4408" t="n">
        <v>8615888</v>
      </c>
      <c r="E4408" t="n">
        <v>140745</v>
      </c>
      <c r="F4408" t="n">
        <v>63476</v>
      </c>
    </row>
    <row r="4409">
      <c r="A4409" t="inlineStr">
        <is>
          <t>490|精英盾怪</t>
        </is>
      </c>
      <c r="B4409" t="n">
        <v>490</v>
      </c>
      <c r="C4409" t="inlineStr">
        <is>
          <t>精英盾怪</t>
        </is>
      </c>
      <c r="D4409" t="n">
        <v>19385748</v>
      </c>
      <c r="E4409" t="n">
        <v>140745</v>
      </c>
      <c r="F4409" t="n">
        <v>63476</v>
      </c>
    </row>
    <row r="4410">
      <c r="A4410" t="inlineStr">
        <is>
          <t>490|Boss</t>
        </is>
      </c>
      <c r="B4410" t="n">
        <v>490</v>
      </c>
      <c r="C4410" t="inlineStr">
        <is>
          <t>Boss</t>
        </is>
      </c>
      <c r="D4410" t="n">
        <v>235121373</v>
      </c>
      <c r="E4410" t="n">
        <v>148358</v>
      </c>
      <c r="F4410" t="n">
        <v>63476</v>
      </c>
    </row>
    <row r="4411">
      <c r="A4411" t="inlineStr">
        <is>
          <t>490|装备副本Boss</t>
        </is>
      </c>
      <c r="B4411" t="n">
        <v>490</v>
      </c>
      <c r="C4411" t="inlineStr">
        <is>
          <t>装备副本Boss</t>
        </is>
      </c>
      <c r="D4411" t="n">
        <v>117560687</v>
      </c>
      <c r="E4411" t="n">
        <v>148358</v>
      </c>
      <c r="F4411" t="n">
        <v>63476</v>
      </c>
    </row>
    <row r="4412">
      <c r="A4412" t="inlineStr">
        <is>
          <t>491|普通怪</t>
        </is>
      </c>
      <c r="B4412" t="n">
        <v>491</v>
      </c>
      <c r="C4412" t="inlineStr">
        <is>
          <t>普通怪</t>
        </is>
      </c>
      <c r="D4412" t="n">
        <v>2168679</v>
      </c>
      <c r="E4412" t="n">
        <v>141550</v>
      </c>
      <c r="F4412" t="n">
        <v>63661</v>
      </c>
    </row>
    <row r="4413">
      <c r="A4413" t="inlineStr">
        <is>
          <t>491|盾怪</t>
        </is>
      </c>
      <c r="B4413" t="n">
        <v>491</v>
      </c>
      <c r="C4413" t="inlineStr">
        <is>
          <t>盾怪</t>
        </is>
      </c>
      <c r="D4413" t="n">
        <v>6506037</v>
      </c>
      <c r="E4413" t="n">
        <v>141550</v>
      </c>
      <c r="F4413" t="n">
        <v>63661</v>
      </c>
    </row>
    <row r="4414">
      <c r="A4414" t="inlineStr">
        <is>
          <t>491|二级普通怪</t>
        </is>
      </c>
      <c r="B4414" t="n">
        <v>491</v>
      </c>
      <c r="C4414" t="inlineStr">
        <is>
          <t>二级普通怪</t>
        </is>
      </c>
      <c r="D4414" t="n">
        <v>3903623</v>
      </c>
      <c r="E4414" t="n">
        <v>141550</v>
      </c>
      <c r="F4414" t="n">
        <v>63661</v>
      </c>
    </row>
    <row r="4415">
      <c r="A4415" t="inlineStr">
        <is>
          <t>491|站桩怪</t>
        </is>
      </c>
      <c r="B4415" t="n">
        <v>491</v>
      </c>
      <c r="C4415" t="inlineStr">
        <is>
          <t>站桩怪</t>
        </is>
      </c>
      <c r="D4415" t="n">
        <v>1084340</v>
      </c>
      <c r="E4415" t="n">
        <v>141550</v>
      </c>
      <c r="F4415" t="n">
        <v>63661</v>
      </c>
    </row>
    <row r="4416">
      <c r="A4416" t="inlineStr">
        <is>
          <t>491|炮灰怪</t>
        </is>
      </c>
      <c r="B4416" t="n">
        <v>491</v>
      </c>
      <c r="C4416" t="inlineStr">
        <is>
          <t>炮灰怪</t>
        </is>
      </c>
      <c r="D4416" t="n">
        <v>325302</v>
      </c>
      <c r="E4416" t="n">
        <v>141550</v>
      </c>
      <c r="F4416" t="n">
        <v>63661</v>
      </c>
    </row>
    <row r="4417">
      <c r="A4417" t="inlineStr">
        <is>
          <t>491|精英怪</t>
        </is>
      </c>
      <c r="B4417" t="n">
        <v>491</v>
      </c>
      <c r="C4417" t="inlineStr">
        <is>
          <t>精英怪</t>
        </is>
      </c>
      <c r="D4417" t="n">
        <v>8674716</v>
      </c>
      <c r="E4417" t="n">
        <v>141550</v>
      </c>
      <c r="F4417" t="n">
        <v>63661</v>
      </c>
    </row>
    <row r="4418">
      <c r="A4418" t="inlineStr">
        <is>
          <t>491|精英盾怪</t>
        </is>
      </c>
      <c r="B4418" t="n">
        <v>491</v>
      </c>
      <c r="C4418" t="inlineStr">
        <is>
          <t>精英盾怪</t>
        </is>
      </c>
      <c r="D4418" t="n">
        <v>19518111</v>
      </c>
      <c r="E4418" t="n">
        <v>141550</v>
      </c>
      <c r="F4418" t="n">
        <v>63661</v>
      </c>
    </row>
    <row r="4419">
      <c r="A4419" t="inlineStr">
        <is>
          <t>491|Boss</t>
        </is>
      </c>
      <c r="B4419" t="n">
        <v>491</v>
      </c>
      <c r="C4419" t="inlineStr">
        <is>
          <t>Boss</t>
        </is>
      </c>
      <c r="D4419" t="n">
        <v>236860116</v>
      </c>
      <c r="E4419" t="n">
        <v>149186</v>
      </c>
      <c r="F4419" t="n">
        <v>63661</v>
      </c>
    </row>
    <row r="4420">
      <c r="A4420" t="inlineStr">
        <is>
          <t>491|装备副本Boss</t>
        </is>
      </c>
      <c r="B4420" t="n">
        <v>491</v>
      </c>
      <c r="C4420" t="inlineStr">
        <is>
          <t>装备副本Boss</t>
        </is>
      </c>
      <c r="D4420" t="n">
        <v>118430058</v>
      </c>
      <c r="E4420" t="n">
        <v>149186</v>
      </c>
      <c r="F4420" t="n">
        <v>63661</v>
      </c>
    </row>
    <row r="4421">
      <c r="A4421" t="inlineStr">
        <is>
          <t>492|普通怪</t>
        </is>
      </c>
      <c r="B4421" t="n">
        <v>492</v>
      </c>
      <c r="C4421" t="inlineStr">
        <is>
          <t>普通怪</t>
        </is>
      </c>
      <c r="D4421" t="n">
        <v>2183467</v>
      </c>
      <c r="E4421" t="n">
        <v>142359</v>
      </c>
      <c r="F4421" t="n">
        <v>63847</v>
      </c>
    </row>
    <row r="4422">
      <c r="A4422" t="inlineStr">
        <is>
          <t>492|盾怪</t>
        </is>
      </c>
      <c r="B4422" t="n">
        <v>492</v>
      </c>
      <c r="C4422" t="inlineStr">
        <is>
          <t>盾怪</t>
        </is>
      </c>
      <c r="D4422" t="n">
        <v>6550401</v>
      </c>
      <c r="E4422" t="n">
        <v>142359</v>
      </c>
      <c r="F4422" t="n">
        <v>63847</v>
      </c>
    </row>
    <row r="4423">
      <c r="A4423" t="inlineStr">
        <is>
          <t>492|二级普通怪</t>
        </is>
      </c>
      <c r="B4423" t="n">
        <v>492</v>
      </c>
      <c r="C4423" t="inlineStr">
        <is>
          <t>二级普通怪</t>
        </is>
      </c>
      <c r="D4423" t="n">
        <v>3930241</v>
      </c>
      <c r="E4423" t="n">
        <v>142359</v>
      </c>
      <c r="F4423" t="n">
        <v>63847</v>
      </c>
    </row>
    <row r="4424">
      <c r="A4424" t="inlineStr">
        <is>
          <t>492|站桩怪</t>
        </is>
      </c>
      <c r="B4424" t="n">
        <v>492</v>
      </c>
      <c r="C4424" t="inlineStr">
        <is>
          <t>站桩怪</t>
        </is>
      </c>
      <c r="D4424" t="n">
        <v>1091734</v>
      </c>
      <c r="E4424" t="n">
        <v>142359</v>
      </c>
      <c r="F4424" t="n">
        <v>63847</v>
      </c>
    </row>
    <row r="4425">
      <c r="A4425" t="inlineStr">
        <is>
          <t>492|炮灰怪</t>
        </is>
      </c>
      <c r="B4425" t="n">
        <v>492</v>
      </c>
      <c r="C4425" t="inlineStr">
        <is>
          <t>炮灰怪</t>
        </is>
      </c>
      <c r="D4425" t="n">
        <v>327521</v>
      </c>
      <c r="E4425" t="n">
        <v>142359</v>
      </c>
      <c r="F4425" t="n">
        <v>63847</v>
      </c>
    </row>
    <row r="4426">
      <c r="A4426" t="inlineStr">
        <is>
          <t>492|精英怪</t>
        </is>
      </c>
      <c r="B4426" t="n">
        <v>492</v>
      </c>
      <c r="C4426" t="inlineStr">
        <is>
          <t>精英怪</t>
        </is>
      </c>
      <c r="D4426" t="n">
        <v>8733868</v>
      </c>
      <c r="E4426" t="n">
        <v>142359</v>
      </c>
      <c r="F4426" t="n">
        <v>63847</v>
      </c>
    </row>
    <row r="4427">
      <c r="A4427" t="inlineStr">
        <is>
          <t>492|精英盾怪</t>
        </is>
      </c>
      <c r="B4427" t="n">
        <v>492</v>
      </c>
      <c r="C4427" t="inlineStr">
        <is>
          <t>精英盾怪</t>
        </is>
      </c>
      <c r="D4427" t="n">
        <v>19651203</v>
      </c>
      <c r="E4427" t="n">
        <v>142359</v>
      </c>
      <c r="F4427" t="n">
        <v>63847</v>
      </c>
    </row>
    <row r="4428">
      <c r="A4428" t="inlineStr">
        <is>
          <t>492|Boss</t>
        </is>
      </c>
      <c r="B4428" t="n">
        <v>492</v>
      </c>
      <c r="C4428" t="inlineStr">
        <is>
          <t>Boss</t>
        </is>
      </c>
      <c r="D4428" t="n">
        <v>238609518</v>
      </c>
      <c r="E4428" t="n">
        <v>150017</v>
      </c>
      <c r="F4428" t="n">
        <v>63847</v>
      </c>
    </row>
    <row r="4429">
      <c r="A4429" t="inlineStr">
        <is>
          <t>492|装备副本Boss</t>
        </is>
      </c>
      <c r="B4429" t="n">
        <v>492</v>
      </c>
      <c r="C4429" t="inlineStr">
        <is>
          <t>装备副本Boss</t>
        </is>
      </c>
      <c r="D4429" t="n">
        <v>119304759</v>
      </c>
      <c r="E4429" t="n">
        <v>150017</v>
      </c>
      <c r="F4429" t="n">
        <v>63847</v>
      </c>
    </row>
    <row r="4430">
      <c r="A4430" t="inlineStr">
        <is>
          <t>493|普通怪</t>
        </is>
      </c>
      <c r="B4430" t="n">
        <v>493</v>
      </c>
      <c r="C4430" t="inlineStr">
        <is>
          <t>普通怪</t>
        </is>
      </c>
      <c r="D4430" t="n">
        <v>2198338</v>
      </c>
      <c r="E4430" t="n">
        <v>143172</v>
      </c>
      <c r="F4430" t="n">
        <v>64033</v>
      </c>
    </row>
    <row r="4431">
      <c r="A4431" t="inlineStr">
        <is>
          <t>493|盾怪</t>
        </is>
      </c>
      <c r="B4431" t="n">
        <v>493</v>
      </c>
      <c r="C4431" t="inlineStr">
        <is>
          <t>盾怪</t>
        </is>
      </c>
      <c r="D4431" t="n">
        <v>6595014</v>
      </c>
      <c r="E4431" t="n">
        <v>143172</v>
      </c>
      <c r="F4431" t="n">
        <v>64033</v>
      </c>
    </row>
    <row r="4432">
      <c r="A4432" t="inlineStr">
        <is>
          <t>493|二级普通怪</t>
        </is>
      </c>
      <c r="B4432" t="n">
        <v>493</v>
      </c>
      <c r="C4432" t="inlineStr">
        <is>
          <t>二级普通怪</t>
        </is>
      </c>
      <c r="D4432" t="n">
        <v>3957009</v>
      </c>
      <c r="E4432" t="n">
        <v>143172</v>
      </c>
      <c r="F4432" t="n">
        <v>64033</v>
      </c>
    </row>
    <row r="4433">
      <c r="A4433" t="inlineStr">
        <is>
          <t>493|站桩怪</t>
        </is>
      </c>
      <c r="B4433" t="n">
        <v>493</v>
      </c>
      <c r="C4433" t="inlineStr">
        <is>
          <t>站桩怪</t>
        </is>
      </c>
      <c r="D4433" t="n">
        <v>1099169</v>
      </c>
      <c r="E4433" t="n">
        <v>143172</v>
      </c>
      <c r="F4433" t="n">
        <v>64033</v>
      </c>
    </row>
    <row r="4434">
      <c r="A4434" t="inlineStr">
        <is>
          <t>493|炮灰怪</t>
        </is>
      </c>
      <c r="B4434" t="n">
        <v>493</v>
      </c>
      <c r="C4434" t="inlineStr">
        <is>
          <t>炮灰怪</t>
        </is>
      </c>
      <c r="D4434" t="n">
        <v>329751</v>
      </c>
      <c r="E4434" t="n">
        <v>143172</v>
      </c>
      <c r="F4434" t="n">
        <v>64033</v>
      </c>
    </row>
    <row r="4435">
      <c r="A4435" t="inlineStr">
        <is>
          <t>493|精英怪</t>
        </is>
      </c>
      <c r="B4435" t="n">
        <v>493</v>
      </c>
      <c r="C4435" t="inlineStr">
        <is>
          <t>精英怪</t>
        </is>
      </c>
      <c r="D4435" t="n">
        <v>8793352</v>
      </c>
      <c r="E4435" t="n">
        <v>143172</v>
      </c>
      <c r="F4435" t="n">
        <v>64033</v>
      </c>
    </row>
    <row r="4436">
      <c r="A4436" t="inlineStr">
        <is>
          <t>493|精英盾怪</t>
        </is>
      </c>
      <c r="B4436" t="n">
        <v>493</v>
      </c>
      <c r="C4436" t="inlineStr">
        <is>
          <t>精英盾怪</t>
        </is>
      </c>
      <c r="D4436" t="n">
        <v>19785042</v>
      </c>
      <c r="E4436" t="n">
        <v>143172</v>
      </c>
      <c r="F4436" t="n">
        <v>64033</v>
      </c>
    </row>
    <row r="4437">
      <c r="A4437" t="inlineStr">
        <is>
          <t>493|Boss</t>
        </is>
      </c>
      <c r="B4437" t="n">
        <v>493</v>
      </c>
      <c r="C4437" t="inlineStr">
        <is>
          <t>Boss</t>
        </is>
      </c>
      <c r="D4437" t="n">
        <v>240369681</v>
      </c>
      <c r="E4437" t="n">
        <v>150853</v>
      </c>
      <c r="F4437" t="n">
        <v>64033</v>
      </c>
    </row>
    <row r="4438">
      <c r="A4438" t="inlineStr">
        <is>
          <t>493|装备副本Boss</t>
        </is>
      </c>
      <c r="B4438" t="n">
        <v>493</v>
      </c>
      <c r="C4438" t="inlineStr">
        <is>
          <t>装备副本Boss</t>
        </is>
      </c>
      <c r="D4438" t="n">
        <v>120184841</v>
      </c>
      <c r="E4438" t="n">
        <v>150853</v>
      </c>
      <c r="F4438" t="n">
        <v>64033</v>
      </c>
    </row>
    <row r="4439">
      <c r="A4439" t="inlineStr">
        <is>
          <t>494|普通怪</t>
        </is>
      </c>
      <c r="B4439" t="n">
        <v>494</v>
      </c>
      <c r="C4439" t="inlineStr">
        <is>
          <t>普通怪</t>
        </is>
      </c>
      <c r="D4439" t="n">
        <v>2213290</v>
      </c>
      <c r="E4439" t="n">
        <v>143988</v>
      </c>
      <c r="F4439" t="n">
        <v>64219</v>
      </c>
    </row>
    <row r="4440">
      <c r="A4440" t="inlineStr">
        <is>
          <t>494|盾怪</t>
        </is>
      </c>
      <c r="B4440" t="n">
        <v>494</v>
      </c>
      <c r="C4440" t="inlineStr">
        <is>
          <t>盾怪</t>
        </is>
      </c>
      <c r="D4440" t="n">
        <v>6639870</v>
      </c>
      <c r="E4440" t="n">
        <v>143988</v>
      </c>
      <c r="F4440" t="n">
        <v>64219</v>
      </c>
    </row>
    <row r="4441">
      <c r="A4441" t="inlineStr">
        <is>
          <t>494|二级普通怪</t>
        </is>
      </c>
      <c r="B4441" t="n">
        <v>494</v>
      </c>
      <c r="C4441" t="inlineStr">
        <is>
          <t>二级普通怪</t>
        </is>
      </c>
      <c r="D4441" t="n">
        <v>3983922</v>
      </c>
      <c r="E4441" t="n">
        <v>143988</v>
      </c>
      <c r="F4441" t="n">
        <v>64219</v>
      </c>
    </row>
    <row r="4442">
      <c r="A4442" t="inlineStr">
        <is>
          <t>494|站桩怪</t>
        </is>
      </c>
      <c r="B4442" t="n">
        <v>494</v>
      </c>
      <c r="C4442" t="inlineStr">
        <is>
          <t>站桩怪</t>
        </is>
      </c>
      <c r="D4442" t="n">
        <v>1106645</v>
      </c>
      <c r="E4442" t="n">
        <v>143988</v>
      </c>
      <c r="F4442" t="n">
        <v>64219</v>
      </c>
    </row>
    <row r="4443">
      <c r="A4443" t="inlineStr">
        <is>
          <t>494|炮灰怪</t>
        </is>
      </c>
      <c r="B4443" t="n">
        <v>494</v>
      </c>
      <c r="C4443" t="inlineStr">
        <is>
          <t>炮灰怪</t>
        </is>
      </c>
      <c r="D4443" t="n">
        <v>331994</v>
      </c>
      <c r="E4443" t="n">
        <v>143988</v>
      </c>
      <c r="F4443" t="n">
        <v>64219</v>
      </c>
    </row>
    <row r="4444">
      <c r="A4444" t="inlineStr">
        <is>
          <t>494|精英怪</t>
        </is>
      </c>
      <c r="B4444" t="n">
        <v>494</v>
      </c>
      <c r="C4444" t="inlineStr">
        <is>
          <t>精英怪</t>
        </is>
      </c>
      <c r="D4444" t="n">
        <v>8853160</v>
      </c>
      <c r="E4444" t="n">
        <v>143988</v>
      </c>
      <c r="F4444" t="n">
        <v>64219</v>
      </c>
    </row>
    <row r="4445">
      <c r="A4445" t="inlineStr">
        <is>
          <t>494|精英盾怪</t>
        </is>
      </c>
      <c r="B4445" t="n">
        <v>494</v>
      </c>
      <c r="C4445" t="inlineStr">
        <is>
          <t>精英盾怪</t>
        </is>
      </c>
      <c r="D4445" t="n">
        <v>19919610</v>
      </c>
      <c r="E4445" t="n">
        <v>143988</v>
      </c>
      <c r="F4445" t="n">
        <v>64219</v>
      </c>
    </row>
    <row r="4446">
      <c r="A4446" t="inlineStr">
        <is>
          <t>494|Boss</t>
        </is>
      </c>
      <c r="B4446" t="n">
        <v>494</v>
      </c>
      <c r="C4446" t="inlineStr">
        <is>
          <t>Boss</t>
        </is>
      </c>
      <c r="D4446" t="n">
        <v>242140605</v>
      </c>
      <c r="E4446" t="n">
        <v>151692</v>
      </c>
      <c r="F4446" t="n">
        <v>64219</v>
      </c>
    </row>
    <row r="4447">
      <c r="A4447" t="inlineStr">
        <is>
          <t>494|装备副本Boss</t>
        </is>
      </c>
      <c r="B4447" t="n">
        <v>494</v>
      </c>
      <c r="C4447" t="inlineStr">
        <is>
          <t>装备副本Boss</t>
        </is>
      </c>
      <c r="D4447" t="n">
        <v>121070303</v>
      </c>
      <c r="E4447" t="n">
        <v>151692</v>
      </c>
      <c r="F4447" t="n">
        <v>64219</v>
      </c>
    </row>
    <row r="4448">
      <c r="A4448" t="inlineStr">
        <is>
          <t>495|普通怪</t>
        </is>
      </c>
      <c r="B4448" t="n">
        <v>495</v>
      </c>
      <c r="C4448" t="inlineStr">
        <is>
          <t>普通怪</t>
        </is>
      </c>
      <c r="D4448" t="n">
        <v>2228326</v>
      </c>
      <c r="E4448" t="n">
        <v>144810</v>
      </c>
      <c r="F4448" t="n">
        <v>64405</v>
      </c>
    </row>
    <row r="4449">
      <c r="A4449" t="inlineStr">
        <is>
          <t>495|盾怪</t>
        </is>
      </c>
      <c r="B4449" t="n">
        <v>495</v>
      </c>
      <c r="C4449" t="inlineStr">
        <is>
          <t>盾怪</t>
        </is>
      </c>
      <c r="D4449" t="n">
        <v>6684978</v>
      </c>
      <c r="E4449" t="n">
        <v>144810</v>
      </c>
      <c r="F4449" t="n">
        <v>64405</v>
      </c>
    </row>
    <row r="4450">
      <c r="A4450" t="inlineStr">
        <is>
          <t>495|二级普通怪</t>
        </is>
      </c>
      <c r="B4450" t="n">
        <v>495</v>
      </c>
      <c r="C4450" t="inlineStr">
        <is>
          <t>二级普通怪</t>
        </is>
      </c>
      <c r="D4450" t="n">
        <v>4010987</v>
      </c>
      <c r="E4450" t="n">
        <v>144810</v>
      </c>
      <c r="F4450" t="n">
        <v>64405</v>
      </c>
    </row>
    <row r="4451">
      <c r="A4451" t="inlineStr">
        <is>
          <t>495|站桩怪</t>
        </is>
      </c>
      <c r="B4451" t="n">
        <v>495</v>
      </c>
      <c r="C4451" t="inlineStr">
        <is>
          <t>站桩怪</t>
        </is>
      </c>
      <c r="D4451" t="n">
        <v>1114163</v>
      </c>
      <c r="E4451" t="n">
        <v>144810</v>
      </c>
      <c r="F4451" t="n">
        <v>64405</v>
      </c>
    </row>
    <row r="4452">
      <c r="A4452" t="inlineStr">
        <is>
          <t>495|炮灰怪</t>
        </is>
      </c>
      <c r="B4452" t="n">
        <v>495</v>
      </c>
      <c r="C4452" t="inlineStr">
        <is>
          <t>炮灰怪</t>
        </is>
      </c>
      <c r="D4452" t="n">
        <v>334249</v>
      </c>
      <c r="E4452" t="n">
        <v>144810</v>
      </c>
      <c r="F4452" t="n">
        <v>64405</v>
      </c>
    </row>
    <row r="4453">
      <c r="A4453" t="inlineStr">
        <is>
          <t>495|精英怪</t>
        </is>
      </c>
      <c r="B4453" t="n">
        <v>495</v>
      </c>
      <c r="C4453" t="inlineStr">
        <is>
          <t>精英怪</t>
        </is>
      </c>
      <c r="D4453" t="n">
        <v>8913304</v>
      </c>
      <c r="E4453" t="n">
        <v>144810</v>
      </c>
      <c r="F4453" t="n">
        <v>64405</v>
      </c>
    </row>
    <row r="4454">
      <c r="A4454" t="inlineStr">
        <is>
          <t>495|精英盾怪</t>
        </is>
      </c>
      <c r="B4454" t="n">
        <v>495</v>
      </c>
      <c r="C4454" t="inlineStr">
        <is>
          <t>精英盾怪</t>
        </is>
      </c>
      <c r="D4454" t="n">
        <v>20054934</v>
      </c>
      <c r="E4454" t="n">
        <v>144810</v>
      </c>
      <c r="F4454" t="n">
        <v>64405</v>
      </c>
    </row>
    <row r="4455">
      <c r="A4455" t="inlineStr">
        <is>
          <t>495|Boss</t>
        </is>
      </c>
      <c r="B4455" t="n">
        <v>495</v>
      </c>
      <c r="C4455" t="inlineStr">
        <is>
          <t>Boss</t>
        </is>
      </c>
      <c r="D4455" t="n">
        <v>243922392</v>
      </c>
      <c r="E4455" t="n">
        <v>152536</v>
      </c>
      <c r="F4455" t="n">
        <v>64405</v>
      </c>
    </row>
    <row r="4456">
      <c r="A4456" t="inlineStr">
        <is>
          <t>495|装备副本Boss</t>
        </is>
      </c>
      <c r="B4456" t="n">
        <v>495</v>
      </c>
      <c r="C4456" t="inlineStr">
        <is>
          <t>装备副本Boss</t>
        </is>
      </c>
      <c r="D4456" t="n">
        <v>121961196</v>
      </c>
      <c r="E4456" t="n">
        <v>152536</v>
      </c>
      <c r="F4456" t="n">
        <v>64405</v>
      </c>
    </row>
    <row r="4457">
      <c r="A4457" t="inlineStr">
        <is>
          <t>496|普通怪</t>
        </is>
      </c>
      <c r="B4457" t="n">
        <v>496</v>
      </c>
      <c r="C4457" t="inlineStr">
        <is>
          <t>普通怪</t>
        </is>
      </c>
      <c r="D4457" t="n">
        <v>2243444</v>
      </c>
      <c r="E4457" t="n">
        <v>145635</v>
      </c>
      <c r="F4457" t="n">
        <v>64592</v>
      </c>
    </row>
    <row r="4458">
      <c r="A4458" t="inlineStr">
        <is>
          <t>496|盾怪</t>
        </is>
      </c>
      <c r="B4458" t="n">
        <v>496</v>
      </c>
      <c r="C4458" t="inlineStr">
        <is>
          <t>盾怪</t>
        </is>
      </c>
      <c r="D4458" t="n">
        <v>6730332</v>
      </c>
      <c r="E4458" t="n">
        <v>145635</v>
      </c>
      <c r="F4458" t="n">
        <v>64592</v>
      </c>
    </row>
    <row r="4459">
      <c r="A4459" t="inlineStr">
        <is>
          <t>496|二级普通怪</t>
        </is>
      </c>
      <c r="B4459" t="n">
        <v>496</v>
      </c>
      <c r="C4459" t="inlineStr">
        <is>
          <t>二级普通怪</t>
        </is>
      </c>
      <c r="D4459" t="n">
        <v>4038200</v>
      </c>
      <c r="E4459" t="n">
        <v>145635</v>
      </c>
      <c r="F4459" t="n">
        <v>64592</v>
      </c>
    </row>
    <row r="4460">
      <c r="A4460" t="inlineStr">
        <is>
          <t>496|站桩怪</t>
        </is>
      </c>
      <c r="B4460" t="n">
        <v>496</v>
      </c>
      <c r="C4460" t="inlineStr">
        <is>
          <t>站桩怪</t>
        </is>
      </c>
      <c r="D4460" t="n">
        <v>1121722</v>
      </c>
      <c r="E4460" t="n">
        <v>145635</v>
      </c>
      <c r="F4460" t="n">
        <v>64592</v>
      </c>
    </row>
    <row r="4461">
      <c r="A4461" t="inlineStr">
        <is>
          <t>496|炮灰怪</t>
        </is>
      </c>
      <c r="B4461" t="n">
        <v>496</v>
      </c>
      <c r="C4461" t="inlineStr">
        <is>
          <t>炮灰怪</t>
        </is>
      </c>
      <c r="D4461" t="n">
        <v>336517</v>
      </c>
      <c r="E4461" t="n">
        <v>145635</v>
      </c>
      <c r="F4461" t="n">
        <v>64592</v>
      </c>
    </row>
    <row r="4462">
      <c r="A4462" t="inlineStr">
        <is>
          <t>496|精英怪</t>
        </is>
      </c>
      <c r="B4462" t="n">
        <v>496</v>
      </c>
      <c r="C4462" t="inlineStr">
        <is>
          <t>精英怪</t>
        </is>
      </c>
      <c r="D4462" t="n">
        <v>8973776</v>
      </c>
      <c r="E4462" t="n">
        <v>145635</v>
      </c>
      <c r="F4462" t="n">
        <v>64592</v>
      </c>
    </row>
    <row r="4463">
      <c r="A4463" t="inlineStr">
        <is>
          <t>496|精英盾怪</t>
        </is>
      </c>
      <c r="B4463" t="n">
        <v>496</v>
      </c>
      <c r="C4463" t="inlineStr">
        <is>
          <t>精英盾怪</t>
        </is>
      </c>
      <c r="D4463" t="n">
        <v>20190996</v>
      </c>
      <c r="E4463" t="n">
        <v>145635</v>
      </c>
      <c r="F4463" t="n">
        <v>64592</v>
      </c>
    </row>
    <row r="4464">
      <c r="A4464" t="inlineStr">
        <is>
          <t>496|Boss</t>
        </is>
      </c>
      <c r="B4464" t="n">
        <v>496</v>
      </c>
      <c r="C4464" t="inlineStr">
        <is>
          <t>Boss</t>
        </is>
      </c>
      <c r="D4464" t="n">
        <v>245715093</v>
      </c>
      <c r="E4464" t="n">
        <v>153384</v>
      </c>
      <c r="F4464" t="n">
        <v>64592</v>
      </c>
    </row>
    <row r="4465">
      <c r="A4465" t="inlineStr">
        <is>
          <t>496|装备副本Boss</t>
        </is>
      </c>
      <c r="B4465" t="n">
        <v>496</v>
      </c>
      <c r="C4465" t="inlineStr">
        <is>
          <t>装备副本Boss</t>
        </is>
      </c>
      <c r="D4465" t="n">
        <v>122857547</v>
      </c>
      <c r="E4465" t="n">
        <v>153384</v>
      </c>
      <c r="F4465" t="n">
        <v>64592</v>
      </c>
    </row>
    <row r="4466">
      <c r="A4466" t="inlineStr">
        <is>
          <t>497|普通怪</t>
        </is>
      </c>
      <c r="B4466" t="n">
        <v>497</v>
      </c>
      <c r="C4466" t="inlineStr">
        <is>
          <t>普通怪</t>
        </is>
      </c>
      <c r="D4466" t="n">
        <v>2258645</v>
      </c>
      <c r="E4466" t="n">
        <v>146464</v>
      </c>
      <c r="F4466" t="n">
        <v>64778</v>
      </c>
    </row>
    <row r="4467">
      <c r="A4467" t="inlineStr">
        <is>
          <t>497|盾怪</t>
        </is>
      </c>
      <c r="B4467" t="n">
        <v>497</v>
      </c>
      <c r="C4467" t="inlineStr">
        <is>
          <t>盾怪</t>
        </is>
      </c>
      <c r="D4467" t="n">
        <v>6775935</v>
      </c>
      <c r="E4467" t="n">
        <v>146464</v>
      </c>
      <c r="F4467" t="n">
        <v>64778</v>
      </c>
    </row>
    <row r="4468">
      <c r="A4468" t="inlineStr">
        <is>
          <t>497|二级普通怪</t>
        </is>
      </c>
      <c r="B4468" t="n">
        <v>497</v>
      </c>
      <c r="C4468" t="inlineStr">
        <is>
          <t>二级普通怪</t>
        </is>
      </c>
      <c r="D4468" t="n">
        <v>4065561</v>
      </c>
      <c r="E4468" t="n">
        <v>146464</v>
      </c>
      <c r="F4468" t="n">
        <v>64778</v>
      </c>
    </row>
    <row r="4469">
      <c r="A4469" t="inlineStr">
        <is>
          <t>497|站桩怪</t>
        </is>
      </c>
      <c r="B4469" t="n">
        <v>497</v>
      </c>
      <c r="C4469" t="inlineStr">
        <is>
          <t>站桩怪</t>
        </is>
      </c>
      <c r="D4469" t="n">
        <v>1129323</v>
      </c>
      <c r="E4469" t="n">
        <v>146464</v>
      </c>
      <c r="F4469" t="n">
        <v>64778</v>
      </c>
    </row>
    <row r="4470">
      <c r="A4470" t="inlineStr">
        <is>
          <t>497|炮灰怪</t>
        </is>
      </c>
      <c r="B4470" t="n">
        <v>497</v>
      </c>
      <c r="C4470" t="inlineStr">
        <is>
          <t>炮灰怪</t>
        </is>
      </c>
      <c r="D4470" t="n">
        <v>338797</v>
      </c>
      <c r="E4470" t="n">
        <v>146464</v>
      </c>
      <c r="F4470" t="n">
        <v>64778</v>
      </c>
    </row>
    <row r="4471">
      <c r="A4471" t="inlineStr">
        <is>
          <t>497|精英怪</t>
        </is>
      </c>
      <c r="B4471" t="n">
        <v>497</v>
      </c>
      <c r="C4471" t="inlineStr">
        <is>
          <t>精英怪</t>
        </is>
      </c>
      <c r="D4471" t="n">
        <v>9034580</v>
      </c>
      <c r="E4471" t="n">
        <v>146464</v>
      </c>
      <c r="F4471" t="n">
        <v>64778</v>
      </c>
    </row>
    <row r="4472">
      <c r="A4472" t="inlineStr">
        <is>
          <t>497|精英盾怪</t>
        </is>
      </c>
      <c r="B4472" t="n">
        <v>497</v>
      </c>
      <c r="C4472" t="inlineStr">
        <is>
          <t>精英盾怪</t>
        </is>
      </c>
      <c r="D4472" t="n">
        <v>20327805</v>
      </c>
      <c r="E4472" t="n">
        <v>146464</v>
      </c>
      <c r="F4472" t="n">
        <v>64778</v>
      </c>
    </row>
    <row r="4473">
      <c r="A4473" t="inlineStr">
        <is>
          <t>497|Boss</t>
        </is>
      </c>
      <c r="B4473" t="n">
        <v>497</v>
      </c>
      <c r="C4473" t="inlineStr">
        <is>
          <t>Boss</t>
        </is>
      </c>
      <c r="D4473" t="n">
        <v>247518759</v>
      </c>
      <c r="E4473" t="n">
        <v>154236</v>
      </c>
      <c r="F4473" t="n">
        <v>64778</v>
      </c>
    </row>
    <row r="4474">
      <c r="A4474" t="inlineStr">
        <is>
          <t>497|装备副本Boss</t>
        </is>
      </c>
      <c r="B4474" t="n">
        <v>497</v>
      </c>
      <c r="C4474" t="inlineStr">
        <is>
          <t>装备副本Boss</t>
        </is>
      </c>
      <c r="D4474" t="n">
        <v>123759380</v>
      </c>
      <c r="E4474" t="n">
        <v>154236</v>
      </c>
      <c r="F4474" t="n">
        <v>64778</v>
      </c>
    </row>
    <row r="4475">
      <c r="A4475" t="inlineStr">
        <is>
          <t>498|普通怪</t>
        </is>
      </c>
      <c r="B4475" t="n">
        <v>498</v>
      </c>
      <c r="C4475" t="inlineStr">
        <is>
          <t>普通怪</t>
        </is>
      </c>
      <c r="D4475" t="n">
        <v>2273930</v>
      </c>
      <c r="E4475" t="n">
        <v>147297</v>
      </c>
      <c r="F4475" t="n">
        <v>64965</v>
      </c>
    </row>
    <row r="4476">
      <c r="A4476" t="inlineStr">
        <is>
          <t>498|盾怪</t>
        </is>
      </c>
      <c r="B4476" t="n">
        <v>498</v>
      </c>
      <c r="C4476" t="inlineStr">
        <is>
          <t>盾怪</t>
        </is>
      </c>
      <c r="D4476" t="n">
        <v>6821790</v>
      </c>
      <c r="E4476" t="n">
        <v>147297</v>
      </c>
      <c r="F4476" t="n">
        <v>64965</v>
      </c>
    </row>
    <row r="4477">
      <c r="A4477" t="inlineStr">
        <is>
          <t>498|二级普通怪</t>
        </is>
      </c>
      <c r="B4477" t="n">
        <v>498</v>
      </c>
      <c r="C4477" t="inlineStr">
        <is>
          <t>二级普通怪</t>
        </is>
      </c>
      <c r="D4477" t="n">
        <v>4093074</v>
      </c>
      <c r="E4477" t="n">
        <v>147297</v>
      </c>
      <c r="F4477" t="n">
        <v>64965</v>
      </c>
    </row>
    <row r="4478">
      <c r="A4478" t="inlineStr">
        <is>
          <t>498|站桩怪</t>
        </is>
      </c>
      <c r="B4478" t="n">
        <v>498</v>
      </c>
      <c r="C4478" t="inlineStr">
        <is>
          <t>站桩怪</t>
        </is>
      </c>
      <c r="D4478" t="n">
        <v>1136965</v>
      </c>
      <c r="E4478" t="n">
        <v>147297</v>
      </c>
      <c r="F4478" t="n">
        <v>64965</v>
      </c>
    </row>
    <row r="4479">
      <c r="A4479" t="inlineStr">
        <is>
          <t>498|炮灰怪</t>
        </is>
      </c>
      <c r="B4479" t="n">
        <v>498</v>
      </c>
      <c r="C4479" t="inlineStr">
        <is>
          <t>炮灰怪</t>
        </is>
      </c>
      <c r="D4479" t="n">
        <v>341090</v>
      </c>
      <c r="E4479" t="n">
        <v>147297</v>
      </c>
      <c r="F4479" t="n">
        <v>64965</v>
      </c>
    </row>
    <row r="4480">
      <c r="A4480" t="inlineStr">
        <is>
          <t>498|精英怪</t>
        </is>
      </c>
      <c r="B4480" t="n">
        <v>498</v>
      </c>
      <c r="C4480" t="inlineStr">
        <is>
          <t>精英怪</t>
        </is>
      </c>
      <c r="D4480" t="n">
        <v>9095720</v>
      </c>
      <c r="E4480" t="n">
        <v>147297</v>
      </c>
      <c r="F4480" t="n">
        <v>64965</v>
      </c>
    </row>
    <row r="4481">
      <c r="A4481" t="inlineStr">
        <is>
          <t>498|精英盾怪</t>
        </is>
      </c>
      <c r="B4481" t="n">
        <v>498</v>
      </c>
      <c r="C4481" t="inlineStr">
        <is>
          <t>精英盾怪</t>
        </is>
      </c>
      <c r="D4481" t="n">
        <v>20465370</v>
      </c>
      <c r="E4481" t="n">
        <v>147297</v>
      </c>
      <c r="F4481" t="n">
        <v>64965</v>
      </c>
    </row>
    <row r="4482">
      <c r="A4482" t="inlineStr">
        <is>
          <t>498|Boss</t>
        </is>
      </c>
      <c r="B4482" t="n">
        <v>498</v>
      </c>
      <c r="C4482" t="inlineStr">
        <is>
          <t>Boss</t>
        </is>
      </c>
      <c r="D4482" t="n">
        <v>249333441</v>
      </c>
      <c r="E4482" t="n">
        <v>155092</v>
      </c>
      <c r="F4482" t="n">
        <v>64965</v>
      </c>
    </row>
    <row r="4483">
      <c r="A4483" t="inlineStr">
        <is>
          <t>498|装备副本Boss</t>
        </is>
      </c>
      <c r="B4483" t="n">
        <v>498</v>
      </c>
      <c r="C4483" t="inlineStr">
        <is>
          <t>装备副本Boss</t>
        </is>
      </c>
      <c r="D4483" t="n">
        <v>124666721</v>
      </c>
      <c r="E4483" t="n">
        <v>155092</v>
      </c>
      <c r="F4483" t="n">
        <v>64965</v>
      </c>
    </row>
    <row r="4484">
      <c r="A4484" t="inlineStr">
        <is>
          <t>499|普通怪</t>
        </is>
      </c>
      <c r="B4484" t="n">
        <v>499</v>
      </c>
      <c r="C4484" t="inlineStr">
        <is>
          <t>普通怪</t>
        </is>
      </c>
      <c r="D4484" t="n">
        <v>2289299</v>
      </c>
      <c r="E4484" t="n">
        <v>148134</v>
      </c>
      <c r="F4484" t="n">
        <v>65153</v>
      </c>
    </row>
    <row r="4485">
      <c r="A4485" t="inlineStr">
        <is>
          <t>499|盾怪</t>
        </is>
      </c>
      <c r="B4485" t="n">
        <v>499</v>
      </c>
      <c r="C4485" t="inlineStr">
        <is>
          <t>盾怪</t>
        </is>
      </c>
      <c r="D4485" t="n">
        <v>6867897</v>
      </c>
      <c r="E4485" t="n">
        <v>148134</v>
      </c>
      <c r="F4485" t="n">
        <v>65153</v>
      </c>
    </row>
    <row r="4486">
      <c r="A4486" t="inlineStr">
        <is>
          <t>499|二级普通怪</t>
        </is>
      </c>
      <c r="B4486" t="n">
        <v>499</v>
      </c>
      <c r="C4486" t="inlineStr">
        <is>
          <t>二级普通怪</t>
        </is>
      </c>
      <c r="D4486" t="n">
        <v>4120739</v>
      </c>
      <c r="E4486" t="n">
        <v>148134</v>
      </c>
      <c r="F4486" t="n">
        <v>65153</v>
      </c>
    </row>
    <row r="4487">
      <c r="A4487" t="inlineStr">
        <is>
          <t>499|站桩怪</t>
        </is>
      </c>
      <c r="B4487" t="n">
        <v>499</v>
      </c>
      <c r="C4487" t="inlineStr">
        <is>
          <t>站桩怪</t>
        </is>
      </c>
      <c r="D4487" t="n">
        <v>1144650</v>
      </c>
      <c r="E4487" t="n">
        <v>148134</v>
      </c>
      <c r="F4487" t="n">
        <v>65153</v>
      </c>
    </row>
    <row r="4488">
      <c r="A4488" t="inlineStr">
        <is>
          <t>499|炮灰怪</t>
        </is>
      </c>
      <c r="B4488" t="n">
        <v>499</v>
      </c>
      <c r="C4488" t="inlineStr">
        <is>
          <t>炮灰怪</t>
        </is>
      </c>
      <c r="D4488" t="n">
        <v>343395</v>
      </c>
      <c r="E4488" t="n">
        <v>148134</v>
      </c>
      <c r="F4488" t="n">
        <v>65153</v>
      </c>
    </row>
    <row r="4489">
      <c r="A4489" t="inlineStr">
        <is>
          <t>499|精英怪</t>
        </is>
      </c>
      <c r="B4489" t="n">
        <v>499</v>
      </c>
      <c r="C4489" t="inlineStr">
        <is>
          <t>精英怪</t>
        </is>
      </c>
      <c r="D4489" t="n">
        <v>9157196</v>
      </c>
      <c r="E4489" t="n">
        <v>148134</v>
      </c>
      <c r="F4489" t="n">
        <v>65153</v>
      </c>
    </row>
    <row r="4490">
      <c r="A4490" t="inlineStr">
        <is>
          <t>499|精英盾怪</t>
        </is>
      </c>
      <c r="B4490" t="n">
        <v>499</v>
      </c>
      <c r="C4490" t="inlineStr">
        <is>
          <t>精英盾怪</t>
        </is>
      </c>
      <c r="D4490" t="n">
        <v>20603691</v>
      </c>
      <c r="E4490" t="n">
        <v>148134</v>
      </c>
      <c r="F4490" t="n">
        <v>65153</v>
      </c>
    </row>
    <row r="4491">
      <c r="A4491" t="inlineStr">
        <is>
          <t>499|Boss</t>
        </is>
      </c>
      <c r="B4491" t="n">
        <v>499</v>
      </c>
      <c r="C4491" t="inlineStr">
        <is>
          <t>Boss</t>
        </is>
      </c>
      <c r="D4491" t="n">
        <v>251159139</v>
      </c>
      <c r="E4491" t="n">
        <v>155952</v>
      </c>
      <c r="F4491" t="n">
        <v>65153</v>
      </c>
    </row>
    <row r="4492">
      <c r="A4492" t="inlineStr">
        <is>
          <t>499|装备副本Boss</t>
        </is>
      </c>
      <c r="B4492" t="n">
        <v>499</v>
      </c>
      <c r="C4492" t="inlineStr">
        <is>
          <t>装备副本Boss</t>
        </is>
      </c>
      <c r="D4492" t="n">
        <v>125579570</v>
      </c>
      <c r="E4492" t="n">
        <v>155952</v>
      </c>
      <c r="F4492" t="n">
        <v>65153</v>
      </c>
    </row>
    <row r="4493">
      <c r="A4493" t="inlineStr">
        <is>
          <t>500|普通怪</t>
        </is>
      </c>
      <c r="B4493" t="n">
        <v>500</v>
      </c>
      <c r="C4493" t="inlineStr">
        <is>
          <t>普通怪</t>
        </is>
      </c>
      <c r="D4493" t="n">
        <v>2304753</v>
      </c>
      <c r="E4493" t="n">
        <v>148975</v>
      </c>
      <c r="F4493" t="n">
        <v>65340</v>
      </c>
    </row>
    <row r="4494">
      <c r="A4494" t="inlineStr">
        <is>
          <t>500|盾怪</t>
        </is>
      </c>
      <c r="B4494" t="n">
        <v>500</v>
      </c>
      <c r="C4494" t="inlineStr">
        <is>
          <t>盾怪</t>
        </is>
      </c>
      <c r="D4494" t="n">
        <v>6914259</v>
      </c>
      <c r="E4494" t="n">
        <v>148975</v>
      </c>
      <c r="F4494" t="n">
        <v>65340</v>
      </c>
    </row>
    <row r="4495">
      <c r="A4495" t="inlineStr">
        <is>
          <t>500|二级普通怪</t>
        </is>
      </c>
      <c r="B4495" t="n">
        <v>500</v>
      </c>
      <c r="C4495" t="inlineStr">
        <is>
          <t>二级普通怪</t>
        </is>
      </c>
      <c r="D4495" t="n">
        <v>4148556</v>
      </c>
      <c r="E4495" t="n">
        <v>148975</v>
      </c>
      <c r="F4495" t="n">
        <v>65340</v>
      </c>
    </row>
    <row r="4496">
      <c r="A4496" t="inlineStr">
        <is>
          <t>500|站桩怪</t>
        </is>
      </c>
      <c r="B4496" t="n">
        <v>500</v>
      </c>
      <c r="C4496" t="inlineStr">
        <is>
          <t>站桩怪</t>
        </is>
      </c>
      <c r="D4496" t="n">
        <v>1152377</v>
      </c>
      <c r="E4496" t="n">
        <v>148975</v>
      </c>
      <c r="F4496" t="n">
        <v>65340</v>
      </c>
    </row>
    <row r="4497">
      <c r="A4497" t="inlineStr">
        <is>
          <t>500|炮灰怪</t>
        </is>
      </c>
      <c r="B4497" t="n">
        <v>500</v>
      </c>
      <c r="C4497" t="inlineStr">
        <is>
          <t>炮灰怪</t>
        </is>
      </c>
      <c r="D4497" t="n">
        <v>345713</v>
      </c>
      <c r="E4497" t="n">
        <v>148975</v>
      </c>
      <c r="F4497" t="n">
        <v>65340</v>
      </c>
    </row>
    <row r="4498">
      <c r="A4498" t="inlineStr">
        <is>
          <t>500|精英怪</t>
        </is>
      </c>
      <c r="B4498" t="n">
        <v>500</v>
      </c>
      <c r="C4498" t="inlineStr">
        <is>
          <t>精英怪</t>
        </is>
      </c>
      <c r="D4498" t="n">
        <v>9219012</v>
      </c>
      <c r="E4498" t="n">
        <v>148975</v>
      </c>
      <c r="F4498" t="n">
        <v>65340</v>
      </c>
    </row>
    <row r="4499">
      <c r="A4499" t="inlineStr">
        <is>
          <t>500|精英盾怪</t>
        </is>
      </c>
      <c r="B4499" t="n">
        <v>500</v>
      </c>
      <c r="C4499" t="inlineStr">
        <is>
          <t>精英盾怪</t>
        </is>
      </c>
      <c r="D4499" t="n">
        <v>20742777</v>
      </c>
      <c r="E4499" t="n">
        <v>148975</v>
      </c>
      <c r="F4499" t="n">
        <v>65340</v>
      </c>
    </row>
    <row r="4500">
      <c r="A4500" t="inlineStr">
        <is>
          <t>500|Boss</t>
        </is>
      </c>
      <c r="B4500" t="n">
        <v>500</v>
      </c>
      <c r="C4500" t="inlineStr">
        <is>
          <t>Boss</t>
        </is>
      </c>
      <c r="D4500" t="n">
        <v>252996006</v>
      </c>
      <c r="E4500" t="n">
        <v>156816</v>
      </c>
      <c r="F4500" t="n">
        <v>65340</v>
      </c>
    </row>
    <row r="4501">
      <c r="A4501" t="inlineStr">
        <is>
          <t>500|装备副本Boss</t>
        </is>
      </c>
      <c r="B4501" t="n">
        <v>500</v>
      </c>
      <c r="C4501" t="inlineStr">
        <is>
          <t>装备副本Boss</t>
        </is>
      </c>
      <c r="D4501" t="n">
        <v>126498003</v>
      </c>
      <c r="E4501" t="n">
        <v>156816</v>
      </c>
      <c r="F4501" t="n">
        <v>65340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ColWidth="9" defaultRowHeight="13.5"/>
  <sheetData>
    <row r="1" ht="15" customHeight="1">
      <c r="A1" s="22" t="inlineStr">
        <is>
          <t>怪物类型</t>
        </is>
      </c>
    </row>
    <row r="2">
      <c r="A2" t="inlineStr">
        <is>
          <t>普通怪</t>
        </is>
      </c>
    </row>
    <row r="3">
      <c r="A3" t="inlineStr">
        <is>
          <t>盾怪</t>
        </is>
      </c>
    </row>
    <row r="4">
      <c r="A4" t="inlineStr">
        <is>
          <t>二级普通怪</t>
        </is>
      </c>
    </row>
    <row r="5">
      <c r="A5" t="inlineStr">
        <is>
          <t>站桩怪</t>
        </is>
      </c>
    </row>
    <row r="6">
      <c r="A6" t="inlineStr">
        <is>
          <t>炮灰怪</t>
        </is>
      </c>
    </row>
    <row r="7">
      <c r="A7" t="inlineStr">
        <is>
          <t>精英怪</t>
        </is>
      </c>
    </row>
    <row r="8">
      <c r="A8" t="inlineStr">
        <is>
          <t>精英盾怪</t>
        </is>
      </c>
    </row>
    <row r="9">
      <c r="A9" t="inlineStr">
        <is>
          <t>Boss</t>
        </is>
      </c>
    </row>
    <row r="10">
      <c r="A10" t="inlineStr">
        <is>
          <t>装备副本Boss</t>
        </is>
      </c>
    </row>
    <row r="11">
      <c r="A11" t="inlineStr">
        <is>
          <t>不适用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F9"/>
  <sheetViews>
    <sheetView workbookViewId="0">
      <selection activeCell="A1" sqref="A1:AF1"/>
    </sheetView>
  </sheetViews>
  <sheetFormatPr baseColWidth="8" defaultColWidth="9" defaultRowHeight="13.5"/>
  <cols>
    <col width="15" customWidth="1" min="1" max="3"/>
    <col width="26" customWidth="1" min="4" max="5"/>
    <col width="15" customWidth="1" min="6" max="29"/>
    <col width="65" customWidth="1" min="30" max="30"/>
    <col width="22" customWidth="1" min="31" max="32"/>
  </cols>
  <sheetData>
    <row r="1" ht="32" customHeight="1">
      <c r="A1" s="8" t="inlineStr">
        <is>
          <t>舱室材料 · 统一难度源表</t>
        </is>
      </c>
    </row>
    <row r="2" ht="40" customHeight="1">
      <c r="A2" s="18" t="inlineStr">
        <is>
          <t>等效进度估算不是解锁条件；H列可手动覆盖。无限之旅修正ID保留，倍率建议需落表时拆分共享ID。</t>
        </is>
      </c>
    </row>
    <row r="3">
      <c r="A3" t="inlineStr">
        <is>
          <t>公式口径：怪物实际属性=战斗公式标准模型×可选系数；怪物EHP=实际生命÷(1-防御减伤)×整关EHP倍率；TTK=怪物EHP÷玩家DPS。</t>
        </is>
      </c>
    </row>
    <row r="4" ht="40" customHeight="1">
      <c r="A4" t="inlineStr">
        <is>
          <t>状态</t>
        </is>
      </c>
      <c r="B4" t="inlineStr">
        <is>
          <t>玩法</t>
        </is>
      </c>
      <c r="C4" t="inlineStr">
        <is>
          <t>子玩法/共用范围</t>
        </is>
      </c>
      <c r="D4" t="inlineStr">
        <is>
          <t>节点名称</t>
        </is>
      </c>
      <c r="E4" t="inlineStr">
        <is>
          <t>LevelId/配置映射</t>
        </is>
      </c>
      <c r="F4" t="inlineStr">
        <is>
          <t>怪物类型</t>
        </is>
      </c>
      <c r="G4" t="inlineStr">
        <is>
          <t>默认对照关卡</t>
        </is>
      </c>
      <c r="H4" t="inlineStr">
        <is>
          <t>手动对照关卡</t>
        </is>
      </c>
      <c r="I4" t="inlineStr">
        <is>
          <t>实际对照关卡</t>
        </is>
      </c>
      <c r="J4" t="inlineStr">
        <is>
          <t>怪物等级</t>
        </is>
      </c>
      <c r="K4" t="inlineStr">
        <is>
          <t>生命系数</t>
        </is>
      </c>
      <c r="L4" t="inlineStr">
        <is>
          <t>攻击系数</t>
        </is>
      </c>
      <c r="M4" t="inlineStr">
        <is>
          <t>防御系数</t>
        </is>
      </c>
      <c r="N4" t="inlineStr">
        <is>
          <t>整关EHP倍率</t>
        </is>
      </c>
      <c r="O4" t="inlineStr">
        <is>
          <t>攻击压力倍率</t>
        </is>
      </c>
      <c r="P4" t="inlineStr">
        <is>
          <t>目标时间(s)</t>
        </is>
      </c>
      <c r="Q4" s="3" t="inlineStr">
        <is>
          <t>玩家DPS</t>
        </is>
      </c>
      <c r="R4" s="3" t="inlineStr">
        <is>
          <t>玩家队伍EHP</t>
        </is>
      </c>
      <c r="S4" s="3" t="inlineStr">
        <is>
          <t>怪物实际生命</t>
        </is>
      </c>
      <c r="T4" s="3" t="inlineStr">
        <is>
          <t>怪物实际攻击</t>
        </is>
      </c>
      <c r="U4" s="3" t="inlineStr">
        <is>
          <t>怪物实际防御</t>
        </is>
      </c>
      <c r="V4" s="3" t="inlineStr">
        <is>
          <t>怪物减伤率</t>
        </is>
      </c>
      <c r="W4" s="3" t="inlineStr">
        <is>
          <t>整关目标EHP</t>
        </is>
      </c>
      <c r="X4" s="3" t="inlineStr">
        <is>
          <t>预测TTK(s)</t>
        </is>
      </c>
      <c r="Y4" s="3" t="inlineStr">
        <is>
          <t>预测存活(s)</t>
        </is>
      </c>
      <c r="Z4" s="3" t="inlineStr">
        <is>
          <t>TTK/目标</t>
        </is>
      </c>
      <c r="AA4" s="3" t="inlineStr">
        <is>
          <t>难度判断</t>
        </is>
      </c>
      <c r="AB4" s="3" t="inlineStr">
        <is>
          <t>等级检查</t>
        </is>
      </c>
      <c r="AC4" s="3" t="inlineStr">
        <is>
          <t>等级趋势</t>
        </is>
      </c>
      <c r="AD4" s="3" t="inlineStr">
        <is>
          <t>备注</t>
        </is>
      </c>
      <c r="AE4" s="3" t="inlineStr">
        <is>
          <t>玩法推荐战力</t>
        </is>
      </c>
      <c r="AF4" s="3" t="inlineStr">
        <is>
          <t>标准等级战力</t>
        </is>
      </c>
    </row>
    <row r="5">
      <c r="A5" t="inlineStr">
        <is>
          <t>当前源表</t>
        </is>
      </c>
      <c r="B5" t="inlineStr">
        <is>
          <t>舱室材料</t>
        </is>
      </c>
      <c r="C5" t="inlineStr">
        <is>
          <t>材料</t>
        </is>
      </c>
      <c r="D5" t="inlineStr">
        <is>
          <t>难度1</t>
        </is>
      </c>
      <c r="E5" t="n">
        <v>222001</v>
      </c>
      <c r="F5" t="inlineStr">
        <is>
          <t>普通怪</t>
        </is>
      </c>
      <c r="G5" t="n">
        <v>9</v>
      </c>
      <c r="I5" t="n">
        <v>9</v>
      </c>
      <c r="J5" t="n">
        <v>25</v>
      </c>
      <c r="K5" s="83" t="n">
        <v>0.9</v>
      </c>
      <c r="L5" s="83" t="n">
        <v>0.85</v>
      </c>
      <c r="M5" s="83" t="n">
        <v>1</v>
      </c>
      <c r="N5" t="n">
        <v>1</v>
      </c>
      <c r="O5" t="n">
        <v>1</v>
      </c>
      <c r="P5" s="17" t="n">
        <v>0.274567673786944</v>
      </c>
      <c r="Q5" s="21">
        <f>IF($I5="","",IFERROR(INDEX(_玩家曲线!$H$2:$H$286,MATCH($I5,_玩家曲线!$A$2:$A$286,0)),""))</f>
        <v/>
      </c>
      <c r="R5" s="21">
        <f>IF($I5="","",IFERROR(INDEX(_玩家曲线!$I$2:$I$286,MATCH($I5,_玩家曲线!$A$2:$A$286,0)),""))</f>
        <v/>
      </c>
      <c r="S5" s="21">
        <f>IF(OR($J5="",$F5="不适用"),"",IFERROR(INDEX(_怪物模型!$D$2:$D$4501,(INT($J5)-1)*ROWS(_怪物类型!$A$2:$A$10)+MATCH($F5,_怪物类型!$A$2:$A$10,0))*IF($K5="",1,$K5),""))</f>
        <v/>
      </c>
      <c r="T5" s="21">
        <f>IF(OR($J5="",$F5="不适用"),"",IFERROR(INDEX(_怪物模型!$E$2:$E$4501,(INT($J5)-1)*ROWS(_怪物类型!$A$2:$A$10)+MATCH($F5,_怪物类型!$A$2:$A$10,0))*IF($L5="",1,$L5),""))</f>
        <v/>
      </c>
      <c r="U5" s="21">
        <f>IF(OR($J5="",$F5="不适用"),"",IFERROR(INDEX(_怪物模型!$F$2:$F$4501,(INT($J5)-1)*ROWS(_怪物类型!$A$2:$A$10)+MATCH($F5,_怪物类型!$A$2:$A$10,0))*IF($M5="",1,$M5),""))</f>
        <v/>
      </c>
      <c r="V5" s="84">
        <f>IF($U5="","",MIN(0.75,$U5/($U5+24000)))</f>
        <v/>
      </c>
      <c r="W5" s="21">
        <f>IF($S5="","",$S5/(1-$V5)*IF($N5="",1,$N5))</f>
        <v/>
      </c>
      <c r="X5" s="17">
        <f>IF(OR($W5="",$Q5="",$Q5=0),"",$W5/$Q5)</f>
        <v/>
      </c>
      <c r="Y5" s="17">
        <f>IF(OR($R5="",$T5="",$T5=0),"",$R5/($T5*IF($O5="",1,$O5)))</f>
        <v/>
      </c>
      <c r="Z5" s="17">
        <f>IF(OR($X5="",$P5="",$P5=0),"",$X5/$P5)</f>
        <v/>
      </c>
      <c r="AA5">
        <f>IF($J5="","待填怪物等级",IF(OR($I5="",$Q5=""),"待填对照关卡",IF($P5="","已计算",IF(AND($Y5&lt;&gt;"",$Y5&lt;$X5),"生存不成立",IF($Z5&lt;0.5,"碾压",IF($Z5&lt;0.8,"偏简单",IF($Z5&lt;=1.2,"适中",IF($Z5&lt;=1.5,"偏难","过难"))))))))</f>
        <v/>
      </c>
      <c r="AB5">
        <f>IF($J5="","待填",IF(AND(ISNUMBER($J5),$J5&gt;=1,$J5&lt;=500,MOD($J5,1)=0),"有效","超范围"))</f>
        <v/>
      </c>
      <c r="AC5" t="inlineStr">
        <is>
          <t>起点</t>
        </is>
      </c>
      <c r="AD5" t="inlineStr">
        <is>
          <t>2026-09-14 定稿v2（用户裁决：维持5档、第5档150级）：25/60/95/120/150，K/L=0.9/0.85；锚点进度9~47。</t>
        </is>
      </c>
      <c r="AE5" s="4" t="n">
        <v>10100</v>
      </c>
      <c r="AF5" s="4">
        <f>INDEX(_统一战力!$B$2:$B$501,J5)</f>
        <v/>
      </c>
    </row>
    <row r="6">
      <c r="A6" t="inlineStr">
        <is>
          <t>当前源表</t>
        </is>
      </c>
      <c r="B6" t="inlineStr">
        <is>
          <t>舱室材料</t>
        </is>
      </c>
      <c r="C6" t="inlineStr">
        <is>
          <t>材料</t>
        </is>
      </c>
      <c r="D6" t="inlineStr">
        <is>
          <t>难度2</t>
        </is>
      </c>
      <c r="E6" t="n">
        <v>222002</v>
      </c>
      <c r="F6" t="inlineStr">
        <is>
          <t>普通怪</t>
        </is>
      </c>
      <c r="G6" t="n">
        <v>20</v>
      </c>
      <c r="I6" t="n">
        <v>20</v>
      </c>
      <c r="J6" t="n">
        <v>60</v>
      </c>
      <c r="K6" s="83" t="n">
        <v>0.9</v>
      </c>
      <c r="L6" s="83" t="n">
        <v>0.85</v>
      </c>
      <c r="M6" s="83" t="n">
        <v>1</v>
      </c>
      <c r="N6" t="n">
        <v>1</v>
      </c>
      <c r="O6" t="n">
        <v>1</v>
      </c>
      <c r="P6" s="17" t="n">
        <v>0.242559115520248</v>
      </c>
      <c r="Q6" s="21">
        <f>IF($I6="","",IFERROR(INDEX(_玩家曲线!$H$2:$H$286,MATCH($I6,_玩家曲线!$A$2:$A$286,0)),""))</f>
        <v/>
      </c>
      <c r="R6" s="21">
        <f>IF($I6="","",IFERROR(INDEX(_玩家曲线!$I$2:$I$286,MATCH($I6,_玩家曲线!$A$2:$A$286,0)),""))</f>
        <v/>
      </c>
      <c r="S6" s="21">
        <f>IF(OR($J6="",$F6="不适用"),"",IFERROR(INDEX(_怪物模型!$D$2:$D$4501,(INT($J6)-1)*ROWS(_怪物类型!$A$2:$A$10)+MATCH($F6,_怪物类型!$A$2:$A$10,0))*IF($K6="",1,$K6),""))</f>
        <v/>
      </c>
      <c r="T6" s="21">
        <f>IF(OR($J6="",$F6="不适用"),"",IFERROR(INDEX(_怪物模型!$E$2:$E$4501,(INT($J6)-1)*ROWS(_怪物类型!$A$2:$A$10)+MATCH($F6,_怪物类型!$A$2:$A$10,0))*IF($L6="",1,$L6),""))</f>
        <v/>
      </c>
      <c r="U6" s="21">
        <f>IF(OR($J6="",$F6="不适用"),"",IFERROR(INDEX(_怪物模型!$F$2:$F$4501,(INT($J6)-1)*ROWS(_怪物类型!$A$2:$A$10)+MATCH($F6,_怪物类型!$A$2:$A$10,0))*IF($M6="",1,$M6),""))</f>
        <v/>
      </c>
      <c r="V6" s="84">
        <f>IF($U6="","",MIN(0.75,$U6/($U6+24000)))</f>
        <v/>
      </c>
      <c r="W6" s="21">
        <f>IF($S6="","",$S6/(1-$V6)*IF($N6="",1,$N6))</f>
        <v/>
      </c>
      <c r="X6" s="17">
        <f>IF(OR($W6="",$Q6="",$Q6=0),"",$W6/$Q6)</f>
        <v/>
      </c>
      <c r="Y6" s="17">
        <f>IF(OR($R6="",$T6="",$T6=0),"",$R6/($T6*IF($O6="",1,$O6)))</f>
        <v/>
      </c>
      <c r="Z6" s="17">
        <f>IF(OR($X6="",$P6="",$P6=0),"",$X6/$P6)</f>
        <v/>
      </c>
      <c r="AA6">
        <f>IF($J6="","待填怪物等级",IF(OR($I6="",$Q6=""),"待填对照关卡",IF($P6="","已计算",IF(AND($Y6&lt;&gt;"",$Y6&lt;$X6),"生存不成立",IF($Z6&lt;0.5,"碾压",IF($Z6&lt;0.8,"偏简单",IF($Z6&lt;=1.2,"适中",IF($Z6&lt;=1.5,"偏难","过难"))))))))</f>
        <v/>
      </c>
      <c r="AB6">
        <f>IF($J6="","待填",IF(AND(ISNUMBER($J6),$J6&gt;=1,$J6&lt;=500,MOD($J6,1)=0),"有效","超范围"))</f>
        <v/>
      </c>
      <c r="AC6">
        <f>IF(C6&lt;&gt;C5,"新玩法组",IF(J6&gt;=J5,"不降","回退"))</f>
        <v/>
      </c>
      <c r="AD6" t="inlineStr">
        <is>
          <t>2026-09-14 定稿v2（用户裁决：维持5档、第5档150级）：25/60/95/120/150，K/L=0.9/0.85；锚点进度9~47。</t>
        </is>
      </c>
      <c r="AE6" s="4" t="n">
        <v>25400</v>
      </c>
      <c r="AF6" s="4">
        <f>INDEX(_统一战力!$B$2:$B$501,J6)</f>
        <v/>
      </c>
    </row>
    <row r="7">
      <c r="A7" t="inlineStr">
        <is>
          <t>当前源表</t>
        </is>
      </c>
      <c r="B7" t="inlineStr">
        <is>
          <t>舱室材料</t>
        </is>
      </c>
      <c r="C7" t="inlineStr">
        <is>
          <t>材料</t>
        </is>
      </c>
      <c r="D7" t="inlineStr">
        <is>
          <t>难度3</t>
        </is>
      </c>
      <c r="E7" t="n">
        <v>222003</v>
      </c>
      <c r="F7" t="inlineStr">
        <is>
          <t>普通怪</t>
        </is>
      </c>
      <c r="G7" t="n">
        <v>31</v>
      </c>
      <c r="I7" t="n">
        <v>31</v>
      </c>
      <c r="J7" t="n">
        <v>95</v>
      </c>
      <c r="K7" s="83" t="n">
        <v>0.9</v>
      </c>
      <c r="L7" s="83" t="n">
        <v>0.85</v>
      </c>
      <c r="M7" s="83" t="n">
        <v>1</v>
      </c>
      <c r="N7" t="n">
        <v>1</v>
      </c>
      <c r="O7" t="n">
        <v>1</v>
      </c>
      <c r="P7" s="17" t="n">
        <v>0.150228246578205</v>
      </c>
      <c r="Q7" s="21">
        <f>IF($I7="","",IFERROR(INDEX(_玩家曲线!$H$2:$H$286,MATCH($I7,_玩家曲线!$A$2:$A$286,0)),""))</f>
        <v/>
      </c>
      <c r="R7" s="21">
        <f>IF($I7="","",IFERROR(INDEX(_玩家曲线!$I$2:$I$286,MATCH($I7,_玩家曲线!$A$2:$A$286,0)),""))</f>
        <v/>
      </c>
      <c r="S7" s="21">
        <f>IF(OR($J7="",$F7="不适用"),"",IFERROR(INDEX(_怪物模型!$D$2:$D$4501,(INT($J7)-1)*ROWS(_怪物类型!$A$2:$A$10)+MATCH($F7,_怪物类型!$A$2:$A$10,0))*IF($K7="",1,$K7),""))</f>
        <v/>
      </c>
      <c r="T7" s="21">
        <f>IF(OR($J7="",$F7="不适用"),"",IFERROR(INDEX(_怪物模型!$E$2:$E$4501,(INT($J7)-1)*ROWS(_怪物类型!$A$2:$A$10)+MATCH($F7,_怪物类型!$A$2:$A$10,0))*IF($L7="",1,$L7),""))</f>
        <v/>
      </c>
      <c r="U7" s="21">
        <f>IF(OR($J7="",$F7="不适用"),"",IFERROR(INDEX(_怪物模型!$F$2:$F$4501,(INT($J7)-1)*ROWS(_怪物类型!$A$2:$A$10)+MATCH($F7,_怪物类型!$A$2:$A$10,0))*IF($M7="",1,$M7),""))</f>
        <v/>
      </c>
      <c r="V7" s="84">
        <f>IF($U7="","",MIN(0.75,$U7/($U7+24000)))</f>
        <v/>
      </c>
      <c r="W7" s="21">
        <f>IF($S7="","",$S7/(1-$V7)*IF($N7="",1,$N7))</f>
        <v/>
      </c>
      <c r="X7" s="17">
        <f>IF(OR($W7="",$Q7="",$Q7=0),"",$W7/$Q7)</f>
        <v/>
      </c>
      <c r="Y7" s="17">
        <f>IF(OR($R7="",$T7="",$T7=0),"",$R7/($T7*IF($O7="",1,$O7)))</f>
        <v/>
      </c>
      <c r="Z7" s="17">
        <f>IF(OR($X7="",$P7="",$P7=0),"",$X7/$P7)</f>
        <v/>
      </c>
      <c r="AA7">
        <f>IF($J7="","待填怪物等级",IF(OR($I7="",$Q7=""),"待填对照关卡",IF($P7="","已计算",IF(AND($Y7&lt;&gt;"",$Y7&lt;$X7),"生存不成立",IF($Z7&lt;0.5,"碾压",IF($Z7&lt;0.8,"偏简单",IF($Z7&lt;=1.2,"适中",IF($Z7&lt;=1.5,"偏难","过难"))))))))</f>
        <v/>
      </c>
      <c r="AB7">
        <f>IF($J7="","待填",IF(AND(ISNUMBER($J7),$J7&gt;=1,$J7&lt;=500,MOD($J7,1)=0),"有效","超范围"))</f>
        <v/>
      </c>
      <c r="AC7">
        <f>IF(C7&lt;&gt;C6,"新玩法组",IF(J7&gt;=J6,"不降","回退"))</f>
        <v/>
      </c>
      <c r="AD7" t="inlineStr">
        <is>
          <t>2026-09-14 定稿v2（用户裁决：维持5档、第5档150级）：25/60/95/120/150，K/L=0.9/0.85；锚点进度9~47。</t>
        </is>
      </c>
      <c r="AE7" s="4" t="n">
        <v>49100</v>
      </c>
      <c r="AF7" s="4">
        <f>INDEX(_统一战力!$B$2:$B$501,J7)</f>
        <v/>
      </c>
    </row>
    <row r="8">
      <c r="A8" t="inlineStr">
        <is>
          <t>当前源表</t>
        </is>
      </c>
      <c r="B8" t="inlineStr">
        <is>
          <t>舱室材料</t>
        </is>
      </c>
      <c r="C8" t="inlineStr">
        <is>
          <t>材料</t>
        </is>
      </c>
      <c r="D8" t="inlineStr">
        <is>
          <t>难度4</t>
        </is>
      </c>
      <c r="E8" t="n">
        <v>222004</v>
      </c>
      <c r="F8" t="inlineStr">
        <is>
          <t>普通怪</t>
        </is>
      </c>
      <c r="G8" t="n">
        <v>39</v>
      </c>
      <c r="I8" t="n">
        <v>39</v>
      </c>
      <c r="J8" t="n">
        <v>120</v>
      </c>
      <c r="K8" s="83" t="n">
        <v>0.9</v>
      </c>
      <c r="L8" s="83" t="n">
        <v>0.85</v>
      </c>
      <c r="M8" s="83" t="n">
        <v>1</v>
      </c>
      <c r="N8" t="n">
        <v>1</v>
      </c>
      <c r="O8" t="n">
        <v>1</v>
      </c>
      <c r="P8" s="17" t="n">
        <v>0.0804460801256086</v>
      </c>
      <c r="Q8" s="21">
        <f>IF($I8="","",IFERROR(INDEX(_玩家曲线!$H$2:$H$286,MATCH($I8,_玩家曲线!$A$2:$A$286,0)),""))</f>
        <v/>
      </c>
      <c r="R8" s="21">
        <f>IF($I8="","",IFERROR(INDEX(_玩家曲线!$I$2:$I$286,MATCH($I8,_玩家曲线!$A$2:$A$286,0)),""))</f>
        <v/>
      </c>
      <c r="S8" s="21">
        <f>IF(OR($J8="",$F8="不适用"),"",IFERROR(INDEX(_怪物模型!$D$2:$D$4501,(INT($J8)-1)*ROWS(_怪物类型!$A$2:$A$10)+MATCH($F8,_怪物类型!$A$2:$A$10,0))*IF($K8="",1,$K8),""))</f>
        <v/>
      </c>
      <c r="T8" s="21">
        <f>IF(OR($J8="",$F8="不适用"),"",IFERROR(INDEX(_怪物模型!$E$2:$E$4501,(INT($J8)-1)*ROWS(_怪物类型!$A$2:$A$10)+MATCH($F8,_怪物类型!$A$2:$A$10,0))*IF($L8="",1,$L8),""))</f>
        <v/>
      </c>
      <c r="U8" s="21">
        <f>IF(OR($J8="",$F8="不适用"),"",IFERROR(INDEX(_怪物模型!$F$2:$F$4501,(INT($J8)-1)*ROWS(_怪物类型!$A$2:$A$10)+MATCH($F8,_怪物类型!$A$2:$A$10,0))*IF($M8="",1,$M8),""))</f>
        <v/>
      </c>
      <c r="V8" s="84">
        <f>IF($U8="","",MIN(0.75,$U8/($U8+24000)))</f>
        <v/>
      </c>
      <c r="W8" s="21">
        <f>IF($S8="","",$S8/(1-$V8)*IF($N8="",1,$N8))</f>
        <v/>
      </c>
      <c r="X8" s="17">
        <f>IF(OR($W8="",$Q8="",$Q8=0),"",$W8/$Q8)</f>
        <v/>
      </c>
      <c r="Y8" s="17">
        <f>IF(OR($R8="",$T8="",$T8=0),"",$R8/($T8*IF($O8="",1,$O8)))</f>
        <v/>
      </c>
      <c r="Z8" s="17">
        <f>IF(OR($X8="",$P8="",$P8=0),"",$X8/$P8)</f>
        <v/>
      </c>
      <c r="AA8">
        <f>IF($J8="","待填怪物等级",IF(OR($I8="",$Q8=""),"待填对照关卡",IF($P8="","已计算",IF(AND($Y8&lt;&gt;"",$Y8&lt;$X8),"生存不成立",IF($Z8&lt;0.5,"碾压",IF($Z8&lt;0.8,"偏简单",IF($Z8&lt;=1.2,"适中",IF($Z8&lt;=1.5,"偏难","过难"))))))))</f>
        <v/>
      </c>
      <c r="AB8">
        <f>IF($J8="","待填",IF(AND(ISNUMBER($J8),$J8&gt;=1,$J8&lt;=500,MOD($J8,1)=0),"有效","超范围"))</f>
        <v/>
      </c>
      <c r="AC8">
        <f>IF(C8&lt;&gt;C7,"新玩法组",IF(J8&gt;=J7,"不降","回退"))</f>
        <v/>
      </c>
      <c r="AD8" t="inlineStr">
        <is>
          <t>2026-09-14 定稿v2（用户裁决：维持5档、第5档150级）：25/60/95/120/150，K/L=0.9/0.85；锚点进度9~47。</t>
        </is>
      </c>
      <c r="AE8" s="4" t="n">
        <v>71400</v>
      </c>
      <c r="AF8" s="4">
        <f>INDEX(_统一战力!$B$2:$B$501,J8)</f>
        <v/>
      </c>
    </row>
    <row r="9">
      <c r="A9" t="inlineStr">
        <is>
          <t>当前源表</t>
        </is>
      </c>
      <c r="B9" t="inlineStr">
        <is>
          <t>舱室材料</t>
        </is>
      </c>
      <c r="C9" t="inlineStr">
        <is>
          <t>材料</t>
        </is>
      </c>
      <c r="D9" t="inlineStr">
        <is>
          <t>难度5</t>
        </is>
      </c>
      <c r="E9" t="n">
        <v>222005</v>
      </c>
      <c r="F9" t="inlineStr">
        <is>
          <t>普通怪</t>
        </is>
      </c>
      <c r="G9" t="n">
        <v>47</v>
      </c>
      <c r="I9" t="n">
        <v>47</v>
      </c>
      <c r="J9" t="n">
        <v>150</v>
      </c>
      <c r="K9" s="83" t="n">
        <v>0.9</v>
      </c>
      <c r="L9" s="83" t="n">
        <v>0.85</v>
      </c>
      <c r="M9" s="83" t="n">
        <v>1</v>
      </c>
      <c r="N9" t="n">
        <v>1</v>
      </c>
      <c r="O9" t="n">
        <v>1</v>
      </c>
      <c r="P9" s="17" t="n">
        <v>0.0630600139995946</v>
      </c>
      <c r="Q9" s="21">
        <f>IF($I9="","",IFERROR(INDEX(_玩家曲线!$H$2:$H$286,MATCH($I9,_玩家曲线!$A$2:$A$286,0)),""))</f>
        <v/>
      </c>
      <c r="R9" s="21">
        <f>IF($I9="","",IFERROR(INDEX(_玩家曲线!$I$2:$I$286,MATCH($I9,_玩家曲线!$A$2:$A$286,0)),""))</f>
        <v/>
      </c>
      <c r="S9" s="21">
        <f>IF(OR($J9="",$F9="不适用"),"",IFERROR(INDEX(_怪物模型!$D$2:$D$4501,(INT($J9)-1)*ROWS(_怪物类型!$A$2:$A$10)+MATCH($F9,_怪物类型!$A$2:$A$10,0))*IF($K9="",1,$K9),""))</f>
        <v/>
      </c>
      <c r="T9" s="21">
        <f>IF(OR($J9="",$F9="不适用"),"",IFERROR(INDEX(_怪物模型!$E$2:$E$4501,(INT($J9)-1)*ROWS(_怪物类型!$A$2:$A$10)+MATCH($F9,_怪物类型!$A$2:$A$10,0))*IF($L9="",1,$L9),""))</f>
        <v/>
      </c>
      <c r="U9" s="21">
        <f>IF(OR($J9="",$F9="不适用"),"",IFERROR(INDEX(_怪物模型!$F$2:$F$4501,(INT($J9)-1)*ROWS(_怪物类型!$A$2:$A$10)+MATCH($F9,_怪物类型!$A$2:$A$10,0))*IF($M9="",1,$M9),""))</f>
        <v/>
      </c>
      <c r="V9" s="84">
        <f>IF($U9="","",MIN(0.75,$U9/($U9+24000)))</f>
        <v/>
      </c>
      <c r="W9" s="21">
        <f>IF($S9="","",$S9/(1-$V9)*IF($N9="",1,$N9))</f>
        <v/>
      </c>
      <c r="X9" s="17">
        <f>IF(OR($W9="",$Q9="",$Q9=0),"",$W9/$Q9)</f>
        <v/>
      </c>
      <c r="Y9" s="17">
        <f>IF(OR($R9="",$T9="",$T9=0),"",$R9/($T9*IF($O9="",1,$O9)))</f>
        <v/>
      </c>
      <c r="Z9" s="17">
        <f>IF(OR($X9="",$P9="",$P9=0),"",$X9/$P9)</f>
        <v/>
      </c>
      <c r="AA9">
        <f>IF($J9="","待填怪物等级",IF(OR($I9="",$Q9=""),"待填对照关卡",IF($P9="","已计算",IF(AND($Y9&lt;&gt;"",$Y9&lt;$X9),"生存不成立",IF($Z9&lt;0.5,"碾压",IF($Z9&lt;0.8,"偏简单",IF($Z9&lt;=1.2,"适中",IF($Z9&lt;=1.5,"偏难","过难"))))))))</f>
        <v/>
      </c>
      <c r="AB9">
        <f>IF($J9="","待填",IF(AND(ISNUMBER($J9),$J9&gt;=1,$J9&lt;=500,MOD($J9,1)=0),"有效","超范围"))</f>
        <v/>
      </c>
      <c r="AC9">
        <f>IF(C9&lt;&gt;C8,"新玩法组",IF(J9&gt;=J8,"不降","回退"))</f>
        <v/>
      </c>
      <c r="AD9" t="inlineStr">
        <is>
          <t>2026-09-14 定稿v2（用户裁决：维持5档、第5档150级）：25/60/95/120/150，K/L=0.9/0.85；锚点进度9~47。</t>
        </is>
      </c>
      <c r="AE9" s="4" t="n">
        <v>105000</v>
      </c>
      <c r="AF9" s="4">
        <f>INDEX(_统一战力!$B$2:$B$501,J9)</f>
        <v/>
      </c>
    </row>
  </sheetData>
  <mergeCells count="2">
    <mergeCell ref="A1:AF1"/>
    <mergeCell ref="A2:AF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I124"/>
  <sheetViews>
    <sheetView workbookViewId="0">
      <selection activeCell="A1" sqref="A1:AF1"/>
    </sheetView>
  </sheetViews>
  <sheetFormatPr baseColWidth="8" defaultColWidth="9" defaultRowHeight="13.5"/>
  <cols>
    <col width="15" customWidth="1" min="1" max="3"/>
    <col width="26" customWidth="1" min="4" max="5"/>
    <col width="15" customWidth="1" min="6" max="29"/>
    <col width="65" customWidth="1" min="30" max="30"/>
    <col width="22" customWidth="1" min="31" max="32"/>
    <col width="17" customWidth="1" min="33" max="35"/>
  </cols>
  <sheetData>
    <row r="1" ht="32" customHeight="1">
      <c r="A1" s="8" t="inlineStr">
        <is>
          <t>无限之旅 · 统一难度源表</t>
        </is>
      </c>
    </row>
    <row r="2" ht="40" customHeight="1">
      <c r="A2" s="18" t="inlineStr">
        <is>
          <t>等效进度估算不是解锁条件；H列可手动覆盖。无限之旅修正ID保留，倍率建议需落表时拆分共享ID。</t>
        </is>
      </c>
    </row>
    <row r="3">
      <c r="A3" t="inlineStr">
        <is>
          <t>公式口径：怪物实际属性=战斗公式标准模型×可选系数；怪物EHP=实际生命÷(1-防御减伤)×整关EHP倍率；TTK=怪物EHP÷玩家DPS。</t>
        </is>
      </c>
    </row>
    <row r="4" ht="40" customHeight="1">
      <c r="A4" t="inlineStr">
        <is>
          <t>状态</t>
        </is>
      </c>
      <c r="B4" t="inlineStr">
        <is>
          <t>玩法</t>
        </is>
      </c>
      <c r="C4" t="inlineStr">
        <is>
          <t>子玩法/共用范围</t>
        </is>
      </c>
      <c r="D4" t="inlineStr">
        <is>
          <t>节点名称</t>
        </is>
      </c>
      <c r="E4" t="inlineStr">
        <is>
          <t>LevelId/配置映射</t>
        </is>
      </c>
      <c r="F4" t="inlineStr">
        <is>
          <t>怪物类型</t>
        </is>
      </c>
      <c r="G4" t="inlineStr">
        <is>
          <t>默认对照关卡</t>
        </is>
      </c>
      <c r="H4" t="inlineStr">
        <is>
          <t>手动对照关卡</t>
        </is>
      </c>
      <c r="I4" t="inlineStr">
        <is>
          <t>实际对照关卡</t>
        </is>
      </c>
      <c r="J4" t="inlineStr">
        <is>
          <t>怪物等级</t>
        </is>
      </c>
      <c r="K4" t="inlineStr">
        <is>
          <t>生命系数</t>
        </is>
      </c>
      <c r="L4" t="inlineStr">
        <is>
          <t>攻击系数</t>
        </is>
      </c>
      <c r="M4" t="inlineStr">
        <is>
          <t>防御系数</t>
        </is>
      </c>
      <c r="N4" t="inlineStr">
        <is>
          <t>整关EHP倍率</t>
        </is>
      </c>
      <c r="O4" t="inlineStr">
        <is>
          <t>攻击压力倍率</t>
        </is>
      </c>
      <c r="P4" t="inlineStr">
        <is>
          <t>目标时间(s)</t>
        </is>
      </c>
      <c r="Q4" s="3" t="inlineStr">
        <is>
          <t>玩家DPS</t>
        </is>
      </c>
      <c r="R4" s="3" t="inlineStr">
        <is>
          <t>玩家队伍EHP</t>
        </is>
      </c>
      <c r="S4" s="3" t="inlineStr">
        <is>
          <t>怪物实际生命</t>
        </is>
      </c>
      <c r="T4" s="3" t="inlineStr">
        <is>
          <t>怪物实际攻击</t>
        </is>
      </c>
      <c r="U4" s="3" t="inlineStr">
        <is>
          <t>怪物实际防御</t>
        </is>
      </c>
      <c r="V4" s="3" t="inlineStr">
        <is>
          <t>怪物减伤率</t>
        </is>
      </c>
      <c r="W4" s="3" t="inlineStr">
        <is>
          <t>整关目标EHP</t>
        </is>
      </c>
      <c r="X4" s="3" t="inlineStr">
        <is>
          <t>预测TTK(s)</t>
        </is>
      </c>
      <c r="Y4" s="3" t="inlineStr">
        <is>
          <t>预测存活(s)</t>
        </is>
      </c>
      <c r="Z4" s="3" t="inlineStr">
        <is>
          <t>TTK/目标</t>
        </is>
      </c>
      <c r="AA4" s="3" t="inlineStr">
        <is>
          <t>难度判断</t>
        </is>
      </c>
      <c r="AB4" s="3" t="inlineStr">
        <is>
          <t>等级检查</t>
        </is>
      </c>
      <c r="AC4" s="3" t="inlineStr">
        <is>
          <t>等级趋势</t>
        </is>
      </c>
      <c r="AD4" s="3" t="inlineStr">
        <is>
          <t>备注</t>
        </is>
      </c>
      <c r="AE4" s="3" t="inlineStr">
        <is>
          <t>玩法推荐战力</t>
        </is>
      </c>
      <c r="AF4" s="3" t="inlineStr">
        <is>
          <t>标准等级战力</t>
        </is>
      </c>
      <c r="AG4" t="inlineStr">
        <is>
          <t>原修正ID</t>
        </is>
      </c>
      <c r="AH4" t="inlineStr">
        <is>
          <t>NR层ID</t>
        </is>
      </c>
      <c r="AI4" t="inlineStr">
        <is>
          <t>NR难度</t>
        </is>
      </c>
    </row>
    <row r="5">
      <c r="A5" t="inlineStr">
        <is>
          <t>当前源表</t>
        </is>
      </c>
      <c r="B5" t="inlineStr">
        <is>
          <t>无限之旅</t>
        </is>
      </c>
      <c r="C5" t="inlineStr">
        <is>
          <t>难度1</t>
        </is>
      </c>
      <c r="D5" t="inlineStr">
        <is>
          <t>难度1-层1</t>
        </is>
      </c>
      <c r="F5" t="inlineStr">
        <is>
          <t>Boss</t>
        </is>
      </c>
      <c r="G5" t="n">
        <v>12</v>
      </c>
      <c r="I5" t="n">
        <v>12</v>
      </c>
      <c r="J5" t="n">
        <v>50</v>
      </c>
      <c r="K5" s="83" t="n">
        <v>0.5580713151</v>
      </c>
      <c r="L5" s="83" t="n">
        <v>0.376493087</v>
      </c>
      <c r="M5" s="83" t="n">
        <v>1</v>
      </c>
      <c r="N5" t="n">
        <v>1</v>
      </c>
      <c r="O5" t="n">
        <v>1</v>
      </c>
      <c r="P5" s="17" t="n">
        <v>43.4038307304983</v>
      </c>
      <c r="Q5" s="21">
        <f>IF($I5="","",IFERROR(INDEX(_玩家曲线!$H$2:$H$286,MATCH($I5,_玩家曲线!$A$2:$A$286,0)),""))</f>
        <v/>
      </c>
      <c r="R5" s="21">
        <f>IF($I5="","",IFERROR(INDEX(_玩家曲线!$I$2:$I$286,MATCH($I5,_玩家曲线!$A$2:$A$286,0)),""))</f>
        <v/>
      </c>
      <c r="S5" s="21">
        <f>IF(OR($J5="",$F5="不适用"),"",IFERROR(INDEX(_怪物模型!$D$2:$D$4501,(INT($J5)-1)*ROWS(_怪物类型!$A$2:$A$10)+MATCH($F5,_怪物类型!$A$2:$A$10,0))*IF($K5="",1,$K5),""))</f>
        <v/>
      </c>
      <c r="T5" s="21">
        <f>IF(OR($J5="",$F5="不适用"),"",IFERROR(INDEX(_怪物模型!$E$2:$E$4501,(INT($J5)-1)*ROWS(_怪物类型!$A$2:$A$10)+MATCH($F5,_怪物类型!$A$2:$A$10,0))*IF($L5="",1,$L5),""))</f>
        <v/>
      </c>
      <c r="U5" s="21">
        <f>IF(OR($J5="",$F5="不适用"),"",IFERROR(INDEX(_怪物模型!$F$2:$F$4501,(INT($J5)-1)*ROWS(_怪物类型!$A$2:$A$10)+MATCH($F5,_怪物类型!$A$2:$A$10,0))*IF($M5="",1,$M5),""))</f>
        <v/>
      </c>
      <c r="V5" s="84">
        <f>IF($U5="","",MIN(0.75,$U5/($U5+24000)))</f>
        <v/>
      </c>
      <c r="W5" s="21">
        <f>IF($S5="","",$S5/(1-$V5)*IF($N5="",1,$N5))</f>
        <v/>
      </c>
      <c r="X5" s="17">
        <f>IF(OR($W5="",$Q5="",$Q5=0),"",$W5/$Q5)</f>
        <v/>
      </c>
      <c r="Y5" s="17">
        <f>IF(OR($R5="",$T5="",$T5=0),"",$R5/($T5*IF($O5="",1,$O5)))</f>
        <v/>
      </c>
      <c r="Z5" s="17">
        <f>IF(OR($X5="",$P5="",$P5=0),"",$X5/$P5)</f>
        <v/>
      </c>
      <c r="AA5">
        <f>IF($J5="","待填怪物等级",IF(OR($I5="",$Q5=""),"待填对照关卡",IF($P5="","已计算",IF(AND($Y5&lt;&gt;"",$Y5&lt;$X5),"生存不成立",IF($Z5&lt;0.5,"碾压",IF($Z5&lt;0.8,"偏简单",IF($Z5&lt;=1.2,"适中",IF($Z5&lt;=1.5,"偏难","过难"))))))))</f>
        <v/>
      </c>
      <c r="AB5">
        <f>IF($J5="","待填",IF(AND(ISNUMBER($J5),$J5&gt;=1,$J5&lt;=500,MOD($J5,1)=0),"有效","超范围"))</f>
        <v/>
      </c>
      <c r="AC5" t="inlineStr">
        <is>
          <t>起点</t>
        </is>
      </c>
      <c r="AD5" t="inlineStr">
        <is>
          <t>等效进度估算S14，非解锁/首通节点；旧Lv27→24；NR_Layer 1 / 修正ID 2001｜2026-09-14 30层结构难度重设计：目标TTK/存活档内线性爬坡（整体约+25%），J等级与对照G不变；AE按60s/20s反查，无解封顶1,600,000。｜2026-09-14 等级带重排：J=50（50→200档内插值），目标曲线沿用30层重设计，K/L按新等级重拟合。｜2026-09-14 显示调整：NR_Difficult.Recommend 改按放宽口径(120s/15s)显示，难度字段与AE不变。｜2026-09-14 显示口径v2（用户指正不能按层1）：NR_Difficult显示=本难度60s口径最深可解层推荐（层30=613,000），难度字段不变。｜2026-09-14 显示口径v3（用户定档）：NR_Difficult显示=本难度第6/9/12/15层的AE（层6=45,400）。｜2026-09-14 等级带v2（用户定档）：D2 100→250 / D3 150→330 / D4 200→450（D1 50→200 不变），K/L 系数不变，难度实质下调；AE 按 60s/20s 重算。｜2026-09-14 显示口径v4（用户调低D2/D3）：层6@60s=45,400。</t>
        </is>
      </c>
      <c r="AE5" s="4" t="n">
        <v>13500</v>
      </c>
      <c r="AF5" s="4">
        <f>INDEX(_统一战力!$B$2:$B$501,J5)</f>
        <v/>
      </c>
      <c r="AG5" t="n">
        <v>2001</v>
      </c>
      <c r="AH5" t="n">
        <v>1</v>
      </c>
      <c r="AI5" t="n">
        <v>1</v>
      </c>
    </row>
    <row r="6">
      <c r="A6" t="inlineStr">
        <is>
          <t>当前源表</t>
        </is>
      </c>
      <c r="B6" t="inlineStr">
        <is>
          <t>无限之旅</t>
        </is>
      </c>
      <c r="C6" t="inlineStr">
        <is>
          <t>难度1</t>
        </is>
      </c>
      <c r="D6" t="inlineStr">
        <is>
          <t>难度1-层2</t>
        </is>
      </c>
      <c r="F6" t="inlineStr">
        <is>
          <t>Boss</t>
        </is>
      </c>
      <c r="G6" t="n">
        <v>17</v>
      </c>
      <c r="I6" t="n">
        <v>17</v>
      </c>
      <c r="J6" t="n">
        <v>55</v>
      </c>
      <c r="K6" s="83" t="n">
        <v>0.7209075972</v>
      </c>
      <c r="L6" s="83" t="n">
        <v>0.4662422303</v>
      </c>
      <c r="M6" s="83" t="n">
        <v>1</v>
      </c>
      <c r="N6" t="n">
        <v>1</v>
      </c>
      <c r="O6" t="n">
        <v>1</v>
      </c>
      <c r="P6" s="17" t="n">
        <v>43.1279336382745</v>
      </c>
      <c r="Q6" s="21">
        <f>IF($I6="","",IFERROR(INDEX(_玩家曲线!$H$2:$H$286,MATCH($I6,_玩家曲线!$A$2:$A$286,0)),""))</f>
        <v/>
      </c>
      <c r="R6" s="21">
        <f>IF($I6="","",IFERROR(INDEX(_玩家曲线!$I$2:$I$286,MATCH($I6,_玩家曲线!$A$2:$A$286,0)),""))</f>
        <v/>
      </c>
      <c r="S6" s="21">
        <f>IF(OR($J6="",$F6="不适用"),"",IFERROR(INDEX(_怪物模型!$D$2:$D$4501,(INT($J6)-1)*ROWS(_怪物类型!$A$2:$A$10)+MATCH($F6,_怪物类型!$A$2:$A$10,0))*IF($K6="",1,$K6),""))</f>
        <v/>
      </c>
      <c r="T6" s="21">
        <f>IF(OR($J6="",$F6="不适用"),"",IFERROR(INDEX(_怪物模型!$E$2:$E$4501,(INT($J6)-1)*ROWS(_怪物类型!$A$2:$A$10)+MATCH($F6,_怪物类型!$A$2:$A$10,0))*IF($L6="",1,$L6),""))</f>
        <v/>
      </c>
      <c r="U6" s="21">
        <f>IF(OR($J6="",$F6="不适用"),"",IFERROR(INDEX(_怪物模型!$F$2:$F$4501,(INT($J6)-1)*ROWS(_怪物类型!$A$2:$A$10)+MATCH($F6,_怪物类型!$A$2:$A$10,0))*IF($M6="",1,$M6),""))</f>
        <v/>
      </c>
      <c r="V6" s="84">
        <f>IF($U6="","",MIN(0.75,$U6/($U6+24000)))</f>
        <v/>
      </c>
      <c r="W6" s="21">
        <f>IF($S6="","",$S6/(1-$V6)*IF($N6="",1,$N6))</f>
        <v/>
      </c>
      <c r="X6" s="17">
        <f>IF(OR($W6="",$Q6="",$Q6=0),"",$W6/$Q6)</f>
        <v/>
      </c>
      <c r="Y6" s="17">
        <f>IF(OR($R6="",$T6="",$T6=0),"",$R6/($T6*IF($O6="",1,$O6)))</f>
        <v/>
      </c>
      <c r="Z6" s="17">
        <f>IF(OR($X6="",$P6="",$P6=0),"",$X6/$P6)</f>
        <v/>
      </c>
      <c r="AA6">
        <f>IF($J6="","待填怪物等级",IF(OR($I6="",$Q6=""),"待填对照关卡",IF($P6="","已计算",IF(AND($Y6&lt;&gt;"",$Y6&lt;$X6),"生存不成立",IF($Z6&lt;0.5,"碾压",IF($Z6&lt;0.8,"偏简单",IF($Z6&lt;=1.2,"适中",IF($Z6&lt;=1.5,"偏难","过难"))))))))</f>
        <v/>
      </c>
      <c r="AB6">
        <f>IF($J6="","待填",IF(AND(ISNUMBER($J6),$J6&gt;=1,$J6&lt;=500,MOD($J6,1)=0),"有效","超范围"))</f>
        <v/>
      </c>
      <c r="AC6">
        <f>IF(C6&lt;&gt;C5,"新玩法组",IF(J6&gt;=J5,"不降","回退"))</f>
        <v/>
      </c>
      <c r="AD6" t="inlineStr">
        <is>
          <t>等效进度估算S19，非解锁/首通节点；旧Lv36→34；NR_Layer 2 / 修正ID 2001｜2026-09-14 30层结构难度重设计：目标TTK/存活档内线性爬坡（整体约+25%），J等级与对照G不变；AE按60s/20s反查，无解封顶1,600,000。｜2026-09-14 等级带重排：J=55（50→200档内插值），目标曲线沿用30层重设计，K/L按新等级重拟合。｜2026-09-14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6" s="4" t="n">
        <v>19800</v>
      </c>
      <c r="AF6" s="4">
        <f>INDEX(_统一战力!$B$2:$B$501,J6)</f>
        <v/>
      </c>
      <c r="AG6" t="n">
        <v>2001</v>
      </c>
      <c r="AH6" t="n">
        <v>2</v>
      </c>
      <c r="AI6" t="n">
        <v>1</v>
      </c>
    </row>
    <row r="7">
      <c r="A7" t="inlineStr">
        <is>
          <t>当前源表</t>
        </is>
      </c>
      <c r="B7" t="inlineStr">
        <is>
          <t>无限之旅</t>
        </is>
      </c>
      <c r="C7" t="inlineStr">
        <is>
          <t>难度1</t>
        </is>
      </c>
      <c r="D7" t="inlineStr">
        <is>
          <t>难度1-层3</t>
        </is>
      </c>
      <c r="F7" t="inlineStr">
        <is>
          <t>Boss</t>
        </is>
      </c>
      <c r="G7" t="n">
        <v>20</v>
      </c>
      <c r="I7" t="n">
        <v>20</v>
      </c>
      <c r="J7" t="n">
        <v>60</v>
      </c>
      <c r="K7" s="83" t="n">
        <v>0.8308226224</v>
      </c>
      <c r="L7" s="83" t="n">
        <v>0.5325242575</v>
      </c>
      <c r="M7" s="83" t="n">
        <v>1</v>
      </c>
      <c r="N7" t="n">
        <v>1</v>
      </c>
      <c r="O7" t="n">
        <v>1</v>
      </c>
      <c r="P7" s="17" t="n">
        <v>44.1986388753075</v>
      </c>
      <c r="Q7" s="21">
        <f>IF($I7="","",IFERROR(INDEX(_玩家曲线!$H$2:$H$286,MATCH($I7,_玩家曲线!$A$2:$A$286,0)),""))</f>
        <v/>
      </c>
      <c r="R7" s="21">
        <f>IF($I7="","",IFERROR(INDEX(_玩家曲线!$I$2:$I$286,MATCH($I7,_玩家曲线!$A$2:$A$286,0)),""))</f>
        <v/>
      </c>
      <c r="S7" s="21">
        <f>IF(OR($J7="",$F7="不适用"),"",IFERROR(INDEX(_怪物模型!$D$2:$D$4501,(INT($J7)-1)*ROWS(_怪物类型!$A$2:$A$10)+MATCH($F7,_怪物类型!$A$2:$A$10,0))*IF($K7="",1,$K7),""))</f>
        <v/>
      </c>
      <c r="T7" s="21">
        <f>IF(OR($J7="",$F7="不适用"),"",IFERROR(INDEX(_怪物模型!$E$2:$E$4501,(INT($J7)-1)*ROWS(_怪物类型!$A$2:$A$10)+MATCH($F7,_怪物类型!$A$2:$A$10,0))*IF($L7="",1,$L7),""))</f>
        <v/>
      </c>
      <c r="U7" s="21">
        <f>IF(OR($J7="",$F7="不适用"),"",IFERROR(INDEX(_怪物模型!$F$2:$F$4501,(INT($J7)-1)*ROWS(_怪物类型!$A$2:$A$10)+MATCH($F7,_怪物类型!$A$2:$A$10,0))*IF($M7="",1,$M7),""))</f>
        <v/>
      </c>
      <c r="V7" s="84">
        <f>IF($U7="","",MIN(0.75,$U7/($U7+24000)))</f>
        <v/>
      </c>
      <c r="W7" s="21">
        <f>IF($S7="","",$S7/(1-$V7)*IF($N7="",1,$N7))</f>
        <v/>
      </c>
      <c r="X7" s="17">
        <f>IF(OR($W7="",$Q7="",$Q7=0),"",$W7/$Q7)</f>
        <v/>
      </c>
      <c r="Y7" s="17">
        <f>IF(OR($R7="",$T7="",$T7=0),"",$R7/($T7*IF($O7="",1,$O7)))</f>
        <v/>
      </c>
      <c r="Z7" s="17">
        <f>IF(OR($X7="",$P7="",$P7=0),"",$X7/$P7)</f>
        <v/>
      </c>
      <c r="AA7">
        <f>IF($J7="","待填怪物等级",IF(OR($I7="",$Q7=""),"待填对照关卡",IF($P7="","已计算",IF(AND($Y7&lt;&gt;"",$Y7&lt;$X7),"生存不成立",IF($Z7&lt;0.5,"碾压",IF($Z7&lt;0.8,"偏简单",IF($Z7&lt;=1.2,"适中",IF($Z7&lt;=1.5,"偏难","过难"))))))))</f>
        <v/>
      </c>
      <c r="AB7">
        <f>IF($J7="","待填",IF(AND(ISNUMBER($J7),$J7&gt;=1,$J7&lt;=500,MOD($J7,1)=0),"有效","超范围"))</f>
        <v/>
      </c>
      <c r="AC7">
        <f>IF(C7&lt;&gt;C6,"新玩法组",IF(J7&gt;=J6,"不降","回退"))</f>
        <v/>
      </c>
      <c r="AD7" t="inlineStr">
        <is>
          <t>等效进度估算S22，非解锁/首通节点；旧Lv44→42；NR_Layer 3 / 修正ID 2001｜2026-09-14 30层结构难度重设计：目标TTK/存活档内线性爬坡（整体约+25%），J等级与对照G不变；AE按60s/20s反查，无解封顶1,600,000。｜2026-09-14 等级带重排：J=60（50→200档内插值），目标曲线沿用30层重设计，K/L按新等级重拟合。｜2026-09-14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7" s="4" t="n">
        <v>25400</v>
      </c>
      <c r="AF7" s="4">
        <f>INDEX(_统一战力!$B$2:$B$501,J7)</f>
        <v/>
      </c>
      <c r="AG7" t="n">
        <v>2001</v>
      </c>
      <c r="AH7" t="n">
        <v>3</v>
      </c>
      <c r="AI7" t="n">
        <v>1</v>
      </c>
    </row>
    <row r="8">
      <c r="A8" t="inlineStr">
        <is>
          <t>当前源表</t>
        </is>
      </c>
      <c r="B8" t="inlineStr">
        <is>
          <t>无限之旅</t>
        </is>
      </c>
      <c r="C8" t="inlineStr">
        <is>
          <t>难度1</t>
        </is>
      </c>
      <c r="D8" t="inlineStr">
        <is>
          <t>难度1-层4</t>
        </is>
      </c>
      <c r="F8" t="inlineStr">
        <is>
          <t>Boss</t>
        </is>
      </c>
      <c r="G8" t="n">
        <v>24</v>
      </c>
      <c r="I8" t="n">
        <v>24</v>
      </c>
      <c r="J8" t="n">
        <v>66</v>
      </c>
      <c r="K8" s="83" t="n">
        <v>0.9319254404</v>
      </c>
      <c r="L8" s="83" t="n">
        <v>0.6004446178</v>
      </c>
      <c r="M8" s="83" t="n">
        <v>1</v>
      </c>
      <c r="N8" t="n">
        <v>1</v>
      </c>
      <c r="O8" t="n">
        <v>1</v>
      </c>
      <c r="P8" s="17" t="n">
        <v>43.5802862054349</v>
      </c>
      <c r="Q8" s="21">
        <f>IF($I8="","",IFERROR(INDEX(_玩家曲线!$H$2:$H$286,MATCH($I8,_玩家曲线!$A$2:$A$286,0)),""))</f>
        <v/>
      </c>
      <c r="R8" s="21">
        <f>IF($I8="","",IFERROR(INDEX(_玩家曲线!$I$2:$I$286,MATCH($I8,_玩家曲线!$A$2:$A$286,0)),""))</f>
        <v/>
      </c>
      <c r="S8" s="21">
        <f>IF(OR($J8="",$F8="不适用"),"",IFERROR(INDEX(_怪物模型!$D$2:$D$4501,(INT($J8)-1)*ROWS(_怪物类型!$A$2:$A$10)+MATCH($F8,_怪物类型!$A$2:$A$10,0))*IF($K8="",1,$K8),""))</f>
        <v/>
      </c>
      <c r="T8" s="21">
        <f>IF(OR($J8="",$F8="不适用"),"",IFERROR(INDEX(_怪物模型!$E$2:$E$4501,(INT($J8)-1)*ROWS(_怪物类型!$A$2:$A$10)+MATCH($F8,_怪物类型!$A$2:$A$10,0))*IF($L8="",1,$L8),""))</f>
        <v/>
      </c>
      <c r="U8" s="21">
        <f>IF(OR($J8="",$F8="不适用"),"",IFERROR(INDEX(_怪物模型!$F$2:$F$4501,(INT($J8)-1)*ROWS(_怪物类型!$A$2:$A$10)+MATCH($F8,_怪物类型!$A$2:$A$10,0))*IF($M8="",1,$M8),""))</f>
        <v/>
      </c>
      <c r="V8" s="84">
        <f>IF($U8="","",MIN(0.75,$U8/($U8+24000)))</f>
        <v/>
      </c>
      <c r="W8" s="21">
        <f>IF($S8="","",$S8/(1-$V8)*IF($N8="",1,$N8))</f>
        <v/>
      </c>
      <c r="X8" s="17">
        <f>IF(OR($W8="",$Q8="",$Q8=0),"",$W8/$Q8)</f>
        <v/>
      </c>
      <c r="Y8" s="17">
        <f>IF(OR($R8="",$T8="",$T8=0),"",$R8/($T8*IF($O8="",1,$O8)))</f>
        <v/>
      </c>
      <c r="Z8" s="17">
        <f>IF(OR($X8="",$P8="",$P8=0),"",$X8/$P8)</f>
        <v/>
      </c>
      <c r="AA8">
        <f>IF($J8="","待填怪物等级",IF(OR($I8="",$Q8=""),"待填对照关卡",IF($P8="","已计算",IF(AND($Y8&lt;&gt;"",$Y8&lt;$X8),"生存不成立",IF($Z8&lt;0.5,"碾压",IF($Z8&lt;0.8,"偏简单",IF($Z8&lt;=1.2,"适中",IF($Z8&lt;=1.5,"偏难","过难"))))))))</f>
        <v/>
      </c>
      <c r="AB8">
        <f>IF($J8="","待填",IF(AND(ISNUMBER($J8),$J8&gt;=1,$J8&lt;=500,MOD($J8,1)=0),"有效","超范围"))</f>
        <v/>
      </c>
      <c r="AC8">
        <f>IF(C8&lt;&gt;C7,"新玩法组",IF(J8&gt;=J7,"不降","回退"))</f>
        <v/>
      </c>
      <c r="AD8" t="inlineStr">
        <is>
          <t>等效进度估算S26，非解锁/首通节点；旧Lv53→50；NR_Layer 4 / 修正ID 2001｜2026-09-14 30层结构难度重设计：目标TTK/存活档内线性爬坡（整体约+25%），J等级与对照G不变；AE按60s/20s反查，无解封顶1,600,000。｜2026-09-14 等级带重排：J=66（50→200档内插值），目标曲线沿用30层重设计，K/L按新等级重拟合。｜2026-09-14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8" s="4" t="n">
        <v>35500</v>
      </c>
      <c r="AF8" s="4">
        <f>INDEX(_统一战力!$B$2:$B$501,J8)</f>
        <v/>
      </c>
      <c r="AG8" t="n">
        <v>2001</v>
      </c>
      <c r="AH8" t="n">
        <v>4</v>
      </c>
      <c r="AI8" t="n">
        <v>1</v>
      </c>
    </row>
    <row r="9">
      <c r="A9" t="inlineStr">
        <is>
          <t>当前源表</t>
        </is>
      </c>
      <c r="B9" t="inlineStr">
        <is>
          <t>无限之旅</t>
        </is>
      </c>
      <c r="C9" t="inlineStr">
        <is>
          <t>难度1</t>
        </is>
      </c>
      <c r="D9" t="inlineStr">
        <is>
          <t>难度1-层5</t>
        </is>
      </c>
      <c r="F9" t="inlineStr">
        <is>
          <t>Boss</t>
        </is>
      </c>
      <c r="G9" t="n">
        <v>27</v>
      </c>
      <c r="I9" t="n">
        <v>27</v>
      </c>
      <c r="J9" t="n">
        <v>71</v>
      </c>
      <c r="K9" s="83" t="n">
        <v>0.983033583</v>
      </c>
      <c r="L9" s="83" t="n">
        <v>0.6391921107</v>
      </c>
      <c r="M9" s="83" t="n">
        <v>1</v>
      </c>
      <c r="N9" t="n">
        <v>1</v>
      </c>
      <c r="O9" t="n">
        <v>1</v>
      </c>
      <c r="P9" s="17" t="n">
        <v>43.2847088847785</v>
      </c>
      <c r="Q9" s="21">
        <f>IF($I9="","",IFERROR(INDEX(_玩家曲线!$H$2:$H$286,MATCH($I9,_玩家曲线!$A$2:$A$286,0)),""))</f>
        <v/>
      </c>
      <c r="R9" s="21">
        <f>IF($I9="","",IFERROR(INDEX(_玩家曲线!$I$2:$I$286,MATCH($I9,_玩家曲线!$A$2:$A$286,0)),""))</f>
        <v/>
      </c>
      <c r="S9" s="21">
        <f>IF(OR($J9="",$F9="不适用"),"",IFERROR(INDEX(_怪物模型!$D$2:$D$4501,(INT($J9)-1)*ROWS(_怪物类型!$A$2:$A$10)+MATCH($F9,_怪物类型!$A$2:$A$10,0))*IF($K9="",1,$K9),""))</f>
        <v/>
      </c>
      <c r="T9" s="21">
        <f>IF(OR($J9="",$F9="不适用"),"",IFERROR(INDEX(_怪物模型!$E$2:$E$4501,(INT($J9)-1)*ROWS(_怪物类型!$A$2:$A$10)+MATCH($F9,_怪物类型!$A$2:$A$10,0))*IF($L9="",1,$L9),""))</f>
        <v/>
      </c>
      <c r="U9" s="21">
        <f>IF(OR($J9="",$F9="不适用"),"",IFERROR(INDEX(_怪物模型!$F$2:$F$4501,(INT($J9)-1)*ROWS(_怪物类型!$A$2:$A$10)+MATCH($F9,_怪物类型!$A$2:$A$10,0))*IF($M9="",1,$M9),""))</f>
        <v/>
      </c>
      <c r="V9" s="84">
        <f>IF($U9="","",MIN(0.75,$U9/($U9+24000)))</f>
        <v/>
      </c>
      <c r="W9" s="21">
        <f>IF($S9="","",$S9/(1-$V9)*IF($N9="",1,$N9))</f>
        <v/>
      </c>
      <c r="X9" s="17">
        <f>IF(OR($W9="",$Q9="",$Q9=0),"",$W9/$Q9)</f>
        <v/>
      </c>
      <c r="Y9" s="17">
        <f>IF(OR($R9="",$T9="",$T9=0),"",$R9/($T9*IF($O9="",1,$O9)))</f>
        <v/>
      </c>
      <c r="Z9" s="17">
        <f>IF(OR($X9="",$P9="",$P9=0),"",$X9/$P9)</f>
        <v/>
      </c>
      <c r="AA9">
        <f>IF($J9="","待填怪物等级",IF(OR($I9="",$Q9=""),"待填对照关卡",IF($P9="","已计算",IF(AND($Y9&lt;&gt;"",$Y9&lt;$X9),"生存不成立",IF($Z9&lt;0.5,"碾压",IF($Z9&lt;0.8,"偏简单",IF($Z9&lt;=1.2,"适中",IF($Z9&lt;=1.5,"偏难","过难"))))))))</f>
        <v/>
      </c>
      <c r="AB9">
        <f>IF($J9="","待填",IF(AND(ISNUMBER($J9),$J9&gt;=1,$J9&lt;=500,MOD($J9,1)=0),"有效","超范围"))</f>
        <v/>
      </c>
      <c r="AC9">
        <f>IF(C9&lt;&gt;C8,"新玩法组",IF(J9&gt;=J8,"不降","回退"))</f>
        <v/>
      </c>
      <c r="AD9" t="inlineStr">
        <is>
          <t>等效进度估算S30，非解锁/首通节点；旧Lv61→56；NR_Layer 5 / 修正ID 2001｜2026-09-14 30层结构难度重设计：目标TTK/存活档内线性爬坡（整体约+25%），J等级与对照G不变；AE按60s/20s反查，无解封顶1,600,000。｜2026-09-14 等级带重排：J=71（50→200档内插值），目标曲线沿用30层重设计，K/L按新等级重拟合。｜2026-09-14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9" s="4" t="n">
        <v>41300</v>
      </c>
      <c r="AF9" s="4">
        <f>INDEX(_统一战力!$B$2:$B$501,J9)</f>
        <v/>
      </c>
      <c r="AG9" t="n">
        <v>2001</v>
      </c>
      <c r="AH9" t="n">
        <v>5</v>
      </c>
      <c r="AI9" t="n">
        <v>1</v>
      </c>
    </row>
    <row r="10">
      <c r="A10" t="inlineStr">
        <is>
          <t>当前源表</t>
        </is>
      </c>
      <c r="B10" t="inlineStr">
        <is>
          <t>无限之旅</t>
        </is>
      </c>
      <c r="C10" t="inlineStr">
        <is>
          <t>难度1</t>
        </is>
      </c>
      <c r="D10" t="inlineStr">
        <is>
          <t>难度1-层6</t>
        </is>
      </c>
      <c r="F10" t="inlineStr">
        <is>
          <t>Boss</t>
        </is>
      </c>
      <c r="G10" t="n">
        <v>29</v>
      </c>
      <c r="I10" t="n">
        <v>29</v>
      </c>
      <c r="J10" t="n">
        <v>76</v>
      </c>
      <c r="K10" s="83" t="n">
        <v>0.9566783472</v>
      </c>
      <c r="L10" s="83" t="n">
        <v>0.6325227067</v>
      </c>
      <c r="M10" s="83" t="n">
        <v>1</v>
      </c>
      <c r="N10" t="n">
        <v>1</v>
      </c>
      <c r="O10" t="n">
        <v>1</v>
      </c>
      <c r="P10" s="17" t="n">
        <v>44.9604065553879</v>
      </c>
      <c r="Q10" s="21">
        <f>IF($I10="","",IFERROR(INDEX(_玩家曲线!$H$2:$H$286,MATCH($I10,_玩家曲线!$A$2:$A$286,0)),""))</f>
        <v/>
      </c>
      <c r="R10" s="21">
        <f>IF($I10="","",IFERROR(INDEX(_玩家曲线!$I$2:$I$286,MATCH($I10,_玩家曲线!$A$2:$A$286,0)),""))</f>
        <v/>
      </c>
      <c r="S10" s="21">
        <f>IF(OR($J10="",$F10="不适用"),"",IFERROR(INDEX(_怪物模型!$D$2:$D$4501,(INT($J10)-1)*ROWS(_怪物类型!$A$2:$A$10)+MATCH($F10,_怪物类型!$A$2:$A$10,0))*IF($K10="",1,$K10),""))</f>
        <v/>
      </c>
      <c r="T10" s="21">
        <f>IF(OR($J10="",$F10="不适用"),"",IFERROR(INDEX(_怪物模型!$E$2:$E$4501,(INT($J10)-1)*ROWS(_怪物类型!$A$2:$A$10)+MATCH($F10,_怪物类型!$A$2:$A$10,0))*IF($L10="",1,$L10),""))</f>
        <v/>
      </c>
      <c r="U10" s="21">
        <f>IF(OR($J10="",$F10="不适用"),"",IFERROR(INDEX(_怪物模型!$F$2:$F$4501,(INT($J10)-1)*ROWS(_怪物类型!$A$2:$A$10)+MATCH($F10,_怪物类型!$A$2:$A$10,0))*IF($M10="",1,$M10),""))</f>
        <v/>
      </c>
      <c r="V10" s="84">
        <f>IF($U10="","",MIN(0.75,$U10/($U10+24000)))</f>
        <v/>
      </c>
      <c r="W10" s="21">
        <f>IF($S10="","",$S10/(1-$V10)*IF($N10="",1,$N10))</f>
        <v/>
      </c>
      <c r="X10" s="17">
        <f>IF(OR($W10="",$Q10="",$Q10=0),"",$W10/$Q10)</f>
        <v/>
      </c>
      <c r="Y10" s="17">
        <f>IF(OR($R10="",$T10="",$T10=0),"",$R10/($T10*IF($O10="",1,$O10)))</f>
        <v/>
      </c>
      <c r="Z10" s="17">
        <f>IF(OR($X10="",$P10="",$P10=0),"",$X10/$P10)</f>
        <v/>
      </c>
      <c r="AA10">
        <f>IF($J10="","待填怪物等级",IF(OR($I10="",$Q10=""),"待填对照关卡",IF($P10="","已计算",IF(AND($Y10&lt;&gt;"",$Y10&lt;$X10),"生存不成立",IF($Z10&lt;0.5,"碾压",IF($Z10&lt;0.8,"偏简单",IF($Z10&lt;=1.2,"适中",IF($Z10&lt;=1.5,"偏难","过难"))))))))</f>
        <v/>
      </c>
      <c r="AB10">
        <f>IF($J10="","待填",IF(AND(ISNUMBER($J10),$J10&gt;=1,$J10&lt;=500,MOD($J10,1)=0),"有效","超范围"))</f>
        <v/>
      </c>
      <c r="AC10">
        <f>IF(C10&lt;&gt;C9,"新玩法组",IF(J10&gt;=J9,"不降","回退"))</f>
        <v/>
      </c>
      <c r="AD10" t="inlineStr">
        <is>
          <t>等效进度估算S32，非解锁/首通节点；旧Lv69→61；NR_Layer 6 / 修正ID 2001｜2026-09-14 30层结构难度重设计：目标TTK/存活档内线性爬坡（整体约+25%），J等级与对照G不变；AE按60s/20s反查，无解封顶1,600,000。｜2026-09-14 等级带重排：J=76（50→200档内插值），目标曲线沿用30层重设计，K/L按新等级重拟合。｜2026-09-14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10" s="4" t="n">
        <v>45400</v>
      </c>
      <c r="AF10" s="4">
        <f>INDEX(_统一战力!$B$2:$B$501,J10)</f>
        <v/>
      </c>
      <c r="AG10" t="n">
        <v>2001</v>
      </c>
      <c r="AH10" t="n">
        <v>6</v>
      </c>
      <c r="AI10" t="n">
        <v>1</v>
      </c>
    </row>
    <row r="11">
      <c r="A11" t="inlineStr">
        <is>
          <t>当前源表</t>
        </is>
      </c>
      <c r="B11" t="inlineStr">
        <is>
          <t>无限之旅</t>
        </is>
      </c>
      <c r="C11" t="inlineStr">
        <is>
          <t>难度1</t>
        </is>
      </c>
      <c r="D11" t="inlineStr">
        <is>
          <t>难度1-层7</t>
        </is>
      </c>
      <c r="F11" t="inlineStr">
        <is>
          <t>Boss</t>
        </is>
      </c>
      <c r="G11" t="n">
        <v>32</v>
      </c>
      <c r="I11" t="n">
        <v>32</v>
      </c>
      <c r="J11" t="n">
        <v>81</v>
      </c>
      <c r="K11" s="83" t="n">
        <v>0.9800410523999999</v>
      </c>
      <c r="L11" s="83" t="n">
        <v>0.6527303543</v>
      </c>
      <c r="M11" s="83" t="n">
        <v>1</v>
      </c>
      <c r="N11" t="n">
        <v>1</v>
      </c>
      <c r="O11" t="n">
        <v>1</v>
      </c>
      <c r="P11" s="17" t="n">
        <v>43.2633789670251</v>
      </c>
      <c r="Q11" s="21">
        <f>IF($I11="","",IFERROR(INDEX(_玩家曲线!$H$2:$H$286,MATCH($I11,_玩家曲线!$A$2:$A$286,0)),""))</f>
        <v/>
      </c>
      <c r="R11" s="21">
        <f>IF($I11="","",IFERROR(INDEX(_玩家曲线!$I$2:$I$286,MATCH($I11,_玩家曲线!$A$2:$A$286,0)),""))</f>
        <v/>
      </c>
      <c r="S11" s="21">
        <f>IF(OR($J11="",$F11="不适用"),"",IFERROR(INDEX(_怪物模型!$D$2:$D$4501,(INT($J11)-1)*ROWS(_怪物类型!$A$2:$A$10)+MATCH($F11,_怪物类型!$A$2:$A$10,0))*IF($K11="",1,$K11),""))</f>
        <v/>
      </c>
      <c r="T11" s="21">
        <f>IF(OR($J11="",$F11="不适用"),"",IFERROR(INDEX(_怪物模型!$E$2:$E$4501,(INT($J11)-1)*ROWS(_怪物类型!$A$2:$A$10)+MATCH($F11,_怪物类型!$A$2:$A$10,0))*IF($L11="",1,$L11),""))</f>
        <v/>
      </c>
      <c r="U11" s="21">
        <f>IF(OR($J11="",$F11="不适用"),"",IFERROR(INDEX(_怪物模型!$F$2:$F$4501,(INT($J11)-1)*ROWS(_怪物类型!$A$2:$A$10)+MATCH($F11,_怪物类型!$A$2:$A$10,0))*IF($M11="",1,$M11),""))</f>
        <v/>
      </c>
      <c r="V11" s="84">
        <f>IF($U11="","",MIN(0.75,$U11/($U11+24000)))</f>
        <v/>
      </c>
      <c r="W11" s="21">
        <f>IF($S11="","",$S11/(1-$V11)*IF($N11="",1,$N11))</f>
        <v/>
      </c>
      <c r="X11" s="17">
        <f>IF(OR($W11="",$Q11="",$Q11=0),"",$W11/$Q11)</f>
        <v/>
      </c>
      <c r="Y11" s="17">
        <f>IF(OR($R11="",$T11="",$T11=0),"",$R11/($T11*IF($O11="",1,$O11)))</f>
        <v/>
      </c>
      <c r="Z11" s="17">
        <f>IF(OR($X11="",$P11="",$P11=0),"",$X11/$P11)</f>
        <v/>
      </c>
      <c r="AA11">
        <f>IF($J11="","待填怪物等级",IF(OR($I11="",$Q11=""),"待填对照关卡",IF($P11="","已计算",IF(AND($Y11&lt;&gt;"",$Y11&lt;$X11),"生存不成立",IF($Z11&lt;0.5,"碾压",IF($Z11&lt;0.8,"偏简单",IF($Z11&lt;=1.2,"适中",IF($Z11&lt;=1.5,"偏难","过难"))))))))</f>
        <v/>
      </c>
      <c r="AB11">
        <f>IF($J11="","待填",IF(AND(ISNUMBER($J11),$J11&gt;=1,$J11&lt;=500,MOD($J11,1)=0),"有效","超范围"))</f>
        <v/>
      </c>
      <c r="AC11">
        <f>IF(C11&lt;&gt;C10,"新玩法组",IF(J11&gt;=J10,"不降","回退"))</f>
        <v/>
      </c>
      <c r="AD11" t="inlineStr">
        <is>
          <t>等效进度估算S35，非解锁/首通节点；旧Lv77→65；NR_Layer 7 / 修正ID 2001｜2026-09-14 30层结构难度重设计：目标TTK/存活档内线性爬坡（整体约+25%），J等级与对照G不变；AE按60s/20s反查，无解封顶1,600,000。｜2026-09-14 等级带重排：J=81（50→200档内插值），目标曲线沿用30层重设计，K/L按新等级重拟合。｜2026-09-14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11" s="4" t="n">
        <v>51500</v>
      </c>
      <c r="AF11" s="4">
        <f>INDEX(_统一战力!$B$2:$B$501,J11)</f>
        <v/>
      </c>
      <c r="AG11" t="n">
        <v>2001</v>
      </c>
      <c r="AH11" t="n">
        <v>7</v>
      </c>
      <c r="AI11" t="n">
        <v>1</v>
      </c>
    </row>
    <row r="12">
      <c r="A12" t="inlineStr">
        <is>
          <t>当前源表</t>
        </is>
      </c>
      <c r="B12" t="inlineStr">
        <is>
          <t>无限之旅</t>
        </is>
      </c>
      <c r="C12" t="inlineStr">
        <is>
          <t>难度1</t>
        </is>
      </c>
      <c r="D12" t="inlineStr">
        <is>
          <t>难度1-层8</t>
        </is>
      </c>
      <c r="F12" t="inlineStr">
        <is>
          <t>Boss</t>
        </is>
      </c>
      <c r="G12" t="n">
        <v>35</v>
      </c>
      <c r="I12" t="n">
        <v>35</v>
      </c>
      <c r="J12" t="n">
        <v>86</v>
      </c>
      <c r="K12" s="83" t="n">
        <v>1.0018989981</v>
      </c>
      <c r="L12" s="83" t="n">
        <v>0.6729694939999999</v>
      </c>
      <c r="M12" s="83" t="n">
        <v>1</v>
      </c>
      <c r="N12" t="n">
        <v>1</v>
      </c>
      <c r="O12" t="n">
        <v>1</v>
      </c>
      <c r="P12" s="17" t="n">
        <v>42.6868010640796</v>
      </c>
      <c r="Q12" s="21">
        <f>IF($I12="","",IFERROR(INDEX(_玩家曲线!$H$2:$H$286,MATCH($I12,_玩家曲线!$A$2:$A$286,0)),""))</f>
        <v/>
      </c>
      <c r="R12" s="21">
        <f>IF($I12="","",IFERROR(INDEX(_玩家曲线!$I$2:$I$286,MATCH($I12,_玩家曲线!$A$2:$A$286,0)),""))</f>
        <v/>
      </c>
      <c r="S12" s="21">
        <f>IF(OR($J12="",$F12="不适用"),"",IFERROR(INDEX(_怪物模型!$D$2:$D$4501,(INT($J12)-1)*ROWS(_怪物类型!$A$2:$A$10)+MATCH($F12,_怪物类型!$A$2:$A$10,0))*IF($K12="",1,$K12),""))</f>
        <v/>
      </c>
      <c r="T12" s="21">
        <f>IF(OR($J12="",$F12="不适用"),"",IFERROR(INDEX(_怪物模型!$E$2:$E$4501,(INT($J12)-1)*ROWS(_怪物类型!$A$2:$A$10)+MATCH($F12,_怪物类型!$A$2:$A$10,0))*IF($L12="",1,$L12),""))</f>
        <v/>
      </c>
      <c r="U12" s="21">
        <f>IF(OR($J12="",$F12="不适用"),"",IFERROR(INDEX(_怪物模型!$F$2:$F$4501,(INT($J12)-1)*ROWS(_怪物类型!$A$2:$A$10)+MATCH($F12,_怪物类型!$A$2:$A$10,0))*IF($M12="",1,$M12),""))</f>
        <v/>
      </c>
      <c r="V12" s="84">
        <f>IF($U12="","",MIN(0.75,$U12/($U12+24000)))</f>
        <v/>
      </c>
      <c r="W12" s="21">
        <f>IF($S12="","",$S12/(1-$V12)*IF($N12="",1,$N12))</f>
        <v/>
      </c>
      <c r="X12" s="17">
        <f>IF(OR($W12="",$Q12="",$Q12=0),"",$W12/$Q12)</f>
        <v/>
      </c>
      <c r="Y12" s="17">
        <f>IF(OR($R12="",$T12="",$T12=0),"",$R12/($T12*IF($O12="",1,$O12)))</f>
        <v/>
      </c>
      <c r="Z12" s="17">
        <f>IF(OR($X12="",$P12="",$P12=0),"",$X12/$P12)</f>
        <v/>
      </c>
      <c r="AA12">
        <f>IF($J12="","待填怪物等级",IF(OR($I12="",$Q12=""),"待填对照关卡",IF($P12="","已计算",IF(AND($Y12&lt;&gt;"",$Y12&lt;$X12),"生存不成立",IF($Z12&lt;0.5,"碾压",IF($Z12&lt;0.8,"偏简单",IF($Z12&lt;=1.2,"适中",IF($Z12&lt;=1.5,"偏难","过难"))))))))</f>
        <v/>
      </c>
      <c r="AB12">
        <f>IF($J12="","待填",IF(AND(ISNUMBER($J12),$J12&gt;=1,$J12&lt;=500,MOD($J12,1)=0),"有效","超范围"))</f>
        <v/>
      </c>
      <c r="AC12">
        <f>IF(C12&lt;&gt;C11,"新玩法组",IF(J12&gt;=J11,"不降","回退"))</f>
        <v/>
      </c>
      <c r="AD12" t="inlineStr">
        <is>
          <t>等效进度估算S38，非解锁/首通节点；旧Lv85→69；NR_Layer 8 / 修正ID 2001｜2026-09-14 30层结构难度重设计：目标TTK/存活档内线性爬坡（整体约+25%），J等级与对照G不变；AE按60s/20s反查，无解封顶1,600,000。｜2026-09-14 等级带重排：J=86（50→200档内插值），目标曲线沿用30层重设计，K/L按新等级重拟合。｜2026-09-14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12" s="4" t="n">
        <v>59500</v>
      </c>
      <c r="AF12" s="4">
        <f>INDEX(_统一战力!$B$2:$B$501,J12)</f>
        <v/>
      </c>
      <c r="AG12" t="n">
        <v>2001</v>
      </c>
      <c r="AH12" t="n">
        <v>8</v>
      </c>
      <c r="AI12" t="n">
        <v>1</v>
      </c>
    </row>
    <row r="13">
      <c r="A13" t="inlineStr">
        <is>
          <t>当前源表</t>
        </is>
      </c>
      <c r="B13" t="inlineStr">
        <is>
          <t>无限之旅</t>
        </is>
      </c>
      <c r="C13" t="inlineStr">
        <is>
          <t>难度1</t>
        </is>
      </c>
      <c r="D13" t="inlineStr">
        <is>
          <t>难度1-层9</t>
        </is>
      </c>
      <c r="F13" t="inlineStr">
        <is>
          <t>Boss</t>
        </is>
      </c>
      <c r="G13" t="n">
        <v>37</v>
      </c>
      <c r="I13" t="n">
        <v>37</v>
      </c>
      <c r="J13" t="n">
        <v>91</v>
      </c>
      <c r="K13" s="83" t="n">
        <v>0.9749866259</v>
      </c>
      <c r="L13" s="83" t="n">
        <v>0.667229465</v>
      </c>
      <c r="M13" s="83" t="n">
        <v>1</v>
      </c>
      <c r="N13" t="n">
        <v>1</v>
      </c>
      <c r="O13" t="n">
        <v>1</v>
      </c>
      <c r="P13" s="17" t="n">
        <v>44.5796049607967</v>
      </c>
      <c r="Q13" s="21">
        <f>IF($I13="","",IFERROR(INDEX(_玩家曲线!$H$2:$H$286,MATCH($I13,_玩家曲线!$A$2:$A$286,0)),""))</f>
        <v/>
      </c>
      <c r="R13" s="21">
        <f>IF($I13="","",IFERROR(INDEX(_玩家曲线!$I$2:$I$286,MATCH($I13,_玩家曲线!$A$2:$A$286,0)),""))</f>
        <v/>
      </c>
      <c r="S13" s="21">
        <f>IF(OR($J13="",$F13="不适用"),"",IFERROR(INDEX(_怪物模型!$D$2:$D$4501,(INT($J13)-1)*ROWS(_怪物类型!$A$2:$A$10)+MATCH($F13,_怪物类型!$A$2:$A$10,0))*IF($K13="",1,$K13),""))</f>
        <v/>
      </c>
      <c r="T13" s="21">
        <f>IF(OR($J13="",$F13="不适用"),"",IFERROR(INDEX(_怪物模型!$E$2:$E$4501,(INT($J13)-1)*ROWS(_怪物类型!$A$2:$A$10)+MATCH($F13,_怪物类型!$A$2:$A$10,0))*IF($L13="",1,$L13),""))</f>
        <v/>
      </c>
      <c r="U13" s="21">
        <f>IF(OR($J13="",$F13="不适用"),"",IFERROR(INDEX(_怪物模型!$F$2:$F$4501,(INT($J13)-1)*ROWS(_怪物类型!$A$2:$A$10)+MATCH($F13,_怪物类型!$A$2:$A$10,0))*IF($M13="",1,$M13),""))</f>
        <v/>
      </c>
      <c r="V13" s="84">
        <f>IF($U13="","",MIN(0.75,$U13/($U13+24000)))</f>
        <v/>
      </c>
      <c r="W13" s="21">
        <f>IF($S13="","",$S13/(1-$V13)*IF($N13="",1,$N13))</f>
        <v/>
      </c>
      <c r="X13" s="17">
        <f>IF(OR($W13="",$Q13="",$Q13=0),"",$W13/$Q13)</f>
        <v/>
      </c>
      <c r="Y13" s="17">
        <f>IF(OR($R13="",$T13="",$T13=0),"",$R13/($T13*IF($O13="",1,$O13)))</f>
        <v/>
      </c>
      <c r="Z13" s="17">
        <f>IF(OR($X13="",$P13="",$P13=0),"",$X13/$P13)</f>
        <v/>
      </c>
      <c r="AA13">
        <f>IF($J13="","待填怪物等级",IF(OR($I13="",$Q13=""),"待填对照关卡",IF($P13="","已计算",IF(AND($Y13&lt;&gt;"",$Y13&lt;$X13),"生存不成立",IF($Z13&lt;0.5,"碾压",IF($Z13&lt;0.8,"偏简单",IF($Z13&lt;=1.2,"适中",IF($Z13&lt;=1.5,"偏难","过难"))))))))</f>
        <v/>
      </c>
      <c r="AB13">
        <f>IF($J13="","待填",IF(AND(ISNUMBER($J13),$J13&gt;=1,$J13&lt;=500,MOD($J13,1)=0),"有效","超范围"))</f>
        <v/>
      </c>
      <c r="AC13">
        <f>IF(C13&lt;&gt;C12,"新玩法组",IF(J13&gt;=J12,"不降","回退"))</f>
        <v/>
      </c>
      <c r="AD13" t="inlineStr">
        <is>
          <t>等效进度估算S40，非解锁/首通节点；旧Lv92→74；NR_Layer 9 / 修正ID 2001｜2026-09-14 30层结构难度重设计：目标TTK/存活档内线性爬坡（整体约+25%），J等级与对照G不变；AE按60s/20s反查，无解封顶1,600,000。｜2026-09-14 等级带重排：J=91（50→200档内插值），目标曲线沿用30层重设计，K/L按新等级重拟合。｜2026-09-14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13" s="4" t="n">
        <v>65300</v>
      </c>
      <c r="AF13" s="4">
        <f>INDEX(_统一战力!$B$2:$B$501,J13)</f>
        <v/>
      </c>
      <c r="AG13" t="n">
        <v>2001</v>
      </c>
      <c r="AH13" t="n">
        <v>9</v>
      </c>
      <c r="AI13" t="n">
        <v>1</v>
      </c>
    </row>
    <row r="14">
      <c r="A14" t="inlineStr">
        <is>
          <t>当前源表</t>
        </is>
      </c>
      <c r="B14" t="inlineStr">
        <is>
          <t>无限之旅</t>
        </is>
      </c>
      <c r="C14" t="inlineStr">
        <is>
          <t>难度1</t>
        </is>
      </c>
      <c r="D14" t="inlineStr">
        <is>
          <t>难度1-层10</t>
        </is>
      </c>
      <c r="F14" t="inlineStr">
        <is>
          <t>Boss</t>
        </is>
      </c>
      <c r="G14" t="n">
        <v>42</v>
      </c>
      <c r="I14" t="n">
        <v>42</v>
      </c>
      <c r="J14" t="n">
        <v>97</v>
      </c>
      <c r="K14" s="83" t="n">
        <v>1.048273482</v>
      </c>
      <c r="L14" s="83" t="n">
        <v>0.722067495</v>
      </c>
      <c r="M14" s="83" t="n">
        <v>1</v>
      </c>
      <c r="N14" t="n">
        <v>1</v>
      </c>
      <c r="O14" t="n">
        <v>1</v>
      </c>
      <c r="P14" s="17" t="n">
        <v>42.507068602468</v>
      </c>
      <c r="Q14" s="21">
        <f>IF($I14="","",IFERROR(INDEX(_玩家曲线!$H$2:$H$286,MATCH($I14,_玩家曲线!$A$2:$A$286,0)),""))</f>
        <v/>
      </c>
      <c r="R14" s="21">
        <f>IF($I14="","",IFERROR(INDEX(_玩家曲线!$I$2:$I$286,MATCH($I14,_玩家曲线!$A$2:$A$286,0)),""))</f>
        <v/>
      </c>
      <c r="S14" s="21">
        <f>IF(OR($J14="",$F14="不适用"),"",IFERROR(INDEX(_怪物模型!$D$2:$D$4501,(INT($J14)-1)*ROWS(_怪物类型!$A$2:$A$10)+MATCH($F14,_怪物类型!$A$2:$A$10,0))*IF($K14="",1,$K14),""))</f>
        <v/>
      </c>
      <c r="T14" s="21">
        <f>IF(OR($J14="",$F14="不适用"),"",IFERROR(INDEX(_怪物模型!$E$2:$E$4501,(INT($J14)-1)*ROWS(_怪物类型!$A$2:$A$10)+MATCH($F14,_怪物类型!$A$2:$A$10,0))*IF($L14="",1,$L14),""))</f>
        <v/>
      </c>
      <c r="U14" s="21">
        <f>IF(OR($J14="",$F14="不适用"),"",IFERROR(INDEX(_怪物模型!$F$2:$F$4501,(INT($J14)-1)*ROWS(_怪物类型!$A$2:$A$10)+MATCH($F14,_怪物类型!$A$2:$A$10,0))*IF($M14="",1,$M14),""))</f>
        <v/>
      </c>
      <c r="V14" s="84">
        <f>IF($U14="","",MIN(0.75,$U14/($U14+24000)))</f>
        <v/>
      </c>
      <c r="W14" s="21">
        <f>IF($S14="","",$S14/(1-$V14)*IF($N14="",1,$N14))</f>
        <v/>
      </c>
      <c r="X14" s="17">
        <f>IF(OR($W14="",$Q14="",$Q14=0),"",$W14/$Q14)</f>
        <v/>
      </c>
      <c r="Y14" s="17">
        <f>IF(OR($R14="",$T14="",$T14=0),"",$R14/($T14*IF($O14="",1,$O14)))</f>
        <v/>
      </c>
      <c r="Z14" s="17">
        <f>IF(OR($X14="",$P14="",$P14=0),"",$X14/$P14)</f>
        <v/>
      </c>
      <c r="AA14">
        <f>IF($J14="","待填怪物等级",IF(OR($I14="",$Q14=""),"待填对照关卡",IF($P14="","已计算",IF(AND($Y14&lt;&gt;"",$Y14&lt;$X14),"生存不成立",IF($Z14&lt;0.5,"碾压",IF($Z14&lt;0.8,"偏简单",IF($Z14&lt;=1.2,"适中",IF($Z14&lt;=1.5,"偏难","过难"))))))))</f>
        <v/>
      </c>
      <c r="AB14">
        <f>IF($J14="","待填",IF(AND(ISNUMBER($J14),$J14&gt;=1,$J14&lt;=500,MOD($J14,1)=0),"有效","超范围"))</f>
        <v/>
      </c>
      <c r="AC14">
        <f>IF(C14&lt;&gt;C13,"新玩法组",IF(J14&gt;=J13,"不降","回退"))</f>
        <v/>
      </c>
      <c r="AD14" t="inlineStr">
        <is>
          <t>等效进度估算S44，非解锁/首通节点；旧Lv100→80；NR_Layer 10 / 修正ID 2001｜2026-09-14 30层结构难度重设计：目标TTK/存活档内线性爬坡（整体约+25%），J等级与对照G不变；AE按60s/20s反查，无解封顶1,600,000。｜2026-09-14 等级带重排：J=97（50→200档内插值），目标曲线沿用30层重设计，K/L按新等级重拟合。｜2026-09-14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14" s="4" t="n">
        <v>82700</v>
      </c>
      <c r="AF14" s="4">
        <f>INDEX(_统一战力!$B$2:$B$501,J14)</f>
        <v/>
      </c>
      <c r="AG14" t="n">
        <v>2001</v>
      </c>
      <c r="AH14" t="n">
        <v>10</v>
      </c>
      <c r="AI14" t="n">
        <v>1</v>
      </c>
    </row>
    <row r="15">
      <c r="A15" t="inlineStr">
        <is>
          <t>当前源表</t>
        </is>
      </c>
      <c r="B15" t="inlineStr">
        <is>
          <t>无限之旅</t>
        </is>
      </c>
      <c r="C15" t="inlineStr">
        <is>
          <t>难度1</t>
        </is>
      </c>
      <c r="D15" t="inlineStr">
        <is>
          <t>难度1-层11</t>
        </is>
      </c>
      <c r="F15" t="inlineStr">
        <is>
          <t>Boss</t>
        </is>
      </c>
      <c r="G15" t="n">
        <v>44</v>
      </c>
      <c r="I15" t="n">
        <v>44</v>
      </c>
      <c r="J15" t="n">
        <v>102</v>
      </c>
      <c r="K15" s="83" t="n">
        <v>1.0357787098</v>
      </c>
      <c r="L15" s="83" t="n">
        <v>0.7252889031999999</v>
      </c>
      <c r="M15" s="83" t="n">
        <v>1</v>
      </c>
      <c r="N15" t="n">
        <v>1</v>
      </c>
      <c r="O15" t="n">
        <v>1</v>
      </c>
      <c r="P15" s="17" t="n">
        <v>44.9338572078284</v>
      </c>
      <c r="Q15" s="21">
        <f>IF($I15="","",IFERROR(INDEX(_玩家曲线!$H$2:$H$286,MATCH($I15,_玩家曲线!$A$2:$A$286,0)),""))</f>
        <v/>
      </c>
      <c r="R15" s="21">
        <f>IF($I15="","",IFERROR(INDEX(_玩家曲线!$I$2:$I$286,MATCH($I15,_玩家曲线!$A$2:$A$286,0)),""))</f>
        <v/>
      </c>
      <c r="S15" s="21">
        <f>IF(OR($J15="",$F15="不适用"),"",IFERROR(INDEX(_怪物模型!$D$2:$D$4501,(INT($J15)-1)*ROWS(_怪物类型!$A$2:$A$10)+MATCH($F15,_怪物类型!$A$2:$A$10,0))*IF($K15="",1,$K15),""))</f>
        <v/>
      </c>
      <c r="T15" s="21">
        <f>IF(OR($J15="",$F15="不适用"),"",IFERROR(INDEX(_怪物模型!$E$2:$E$4501,(INT($J15)-1)*ROWS(_怪物类型!$A$2:$A$10)+MATCH($F15,_怪物类型!$A$2:$A$10,0))*IF($L15="",1,$L15),""))</f>
        <v/>
      </c>
      <c r="U15" s="21">
        <f>IF(OR($J15="",$F15="不适用"),"",IFERROR(INDEX(_怪物模型!$F$2:$F$4501,(INT($J15)-1)*ROWS(_怪物类型!$A$2:$A$10)+MATCH($F15,_怪物类型!$A$2:$A$10,0))*IF($M15="",1,$M15),""))</f>
        <v/>
      </c>
      <c r="V15" s="84">
        <f>IF($U15="","",MIN(0.75,$U15/($U15+24000)))</f>
        <v/>
      </c>
      <c r="W15" s="21">
        <f>IF($S15="","",$S15/(1-$V15)*IF($N15="",1,$N15))</f>
        <v/>
      </c>
      <c r="X15" s="17">
        <f>IF(OR($W15="",$Q15="",$Q15=0),"",$W15/$Q15)</f>
        <v/>
      </c>
      <c r="Y15" s="17">
        <f>IF(OR($R15="",$T15="",$T15=0),"",$R15/($T15*IF($O15="",1,$O15)))</f>
        <v/>
      </c>
      <c r="Z15" s="17">
        <f>IF(OR($X15="",$P15="",$P15=0),"",$X15/$P15)</f>
        <v/>
      </c>
      <c r="AA15">
        <f>IF($J15="","待填怪物等级",IF(OR($I15="",$Q15=""),"待填对照关卡",IF($P15="","已计算",IF(AND($Y15&lt;&gt;"",$Y15&lt;$X15),"生存不成立",IF($Z15&lt;0.5,"碾压",IF($Z15&lt;0.8,"偏简单",IF($Z15&lt;=1.2,"适中",IF($Z15&lt;=1.5,"偏难","过难"))))))))</f>
        <v/>
      </c>
      <c r="AB15">
        <f>IF($J15="","待填",IF(AND(ISNUMBER($J15),$J15&gt;=1,$J15&lt;=500,MOD($J15,1)=0),"有效","超范围"))</f>
        <v/>
      </c>
      <c r="AC15">
        <f>IF(C15&lt;&gt;C14,"新玩法组",IF(J15&gt;=J14,"不降","回退"))</f>
        <v/>
      </c>
      <c r="AD15" t="inlineStr">
        <is>
          <t>等效进度估算S46，非解锁/首通节点；旧Lv107→86；NR_Layer 11 / 修正ID 2001｜2026-09-14 30层结构难度重设计：目标TTK/存活档内线性爬坡（整体约+25%），J等级与对照G不变；AE按60s/20s反查，无解封顶1,600,000。｜2026-09-14 等级带重排：J=102（50→200档内插值），目标曲线沿用30层重设计，K/L按新等级重拟合。｜2026-09-14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15" s="4" t="n">
        <v>91400</v>
      </c>
      <c r="AF15" s="4">
        <f>INDEX(_统一战力!$B$2:$B$501,J15)</f>
        <v/>
      </c>
      <c r="AG15" t="n">
        <v>2001</v>
      </c>
      <c r="AH15" t="n">
        <v>11</v>
      </c>
      <c r="AI15" t="n">
        <v>1</v>
      </c>
    </row>
    <row r="16">
      <c r="A16" t="inlineStr">
        <is>
          <t>当前源表</t>
        </is>
      </c>
      <c r="B16" t="inlineStr">
        <is>
          <t>无限之旅</t>
        </is>
      </c>
      <c r="C16" t="inlineStr">
        <is>
          <t>难度1</t>
        </is>
      </c>
      <c r="D16" t="inlineStr">
        <is>
          <t>难度1-层12</t>
        </is>
      </c>
      <c r="F16" t="inlineStr">
        <is>
          <t>Boss</t>
        </is>
      </c>
      <c r="G16" t="n">
        <v>48</v>
      </c>
      <c r="I16" t="n">
        <v>48</v>
      </c>
      <c r="J16" t="n">
        <v>107</v>
      </c>
      <c r="K16" s="83" t="n">
        <v>1.1248288168</v>
      </c>
      <c r="L16" s="83" t="n">
        <v>0.7862031333</v>
      </c>
      <c r="M16" s="83" t="n">
        <v>1</v>
      </c>
      <c r="N16" t="n">
        <v>1</v>
      </c>
      <c r="O16" t="n">
        <v>1</v>
      </c>
      <c r="P16" s="17" t="n">
        <v>44.157441420515</v>
      </c>
      <c r="Q16" s="21">
        <f>IF($I16="","",IFERROR(INDEX(_玩家曲线!$H$2:$H$286,MATCH($I16,_玩家曲线!$A$2:$A$286,0)),""))</f>
        <v/>
      </c>
      <c r="R16" s="21">
        <f>IF($I16="","",IFERROR(INDEX(_玩家曲线!$I$2:$I$286,MATCH($I16,_玩家曲线!$A$2:$A$286,0)),""))</f>
        <v/>
      </c>
      <c r="S16" s="21">
        <f>IF(OR($J16="",$F16="不适用"),"",IFERROR(INDEX(_怪物模型!$D$2:$D$4501,(INT($J16)-1)*ROWS(_怪物类型!$A$2:$A$10)+MATCH($F16,_怪物类型!$A$2:$A$10,0))*IF($K16="",1,$K16),""))</f>
        <v/>
      </c>
      <c r="T16" s="21">
        <f>IF(OR($J16="",$F16="不适用"),"",IFERROR(INDEX(_怪物模型!$E$2:$E$4501,(INT($J16)-1)*ROWS(_怪物类型!$A$2:$A$10)+MATCH($F16,_怪物类型!$A$2:$A$10,0))*IF($L16="",1,$L16),""))</f>
        <v/>
      </c>
      <c r="U16" s="21">
        <f>IF(OR($J16="",$F16="不适用"),"",IFERROR(INDEX(_怪物模型!$F$2:$F$4501,(INT($J16)-1)*ROWS(_怪物类型!$A$2:$A$10)+MATCH($F16,_怪物类型!$A$2:$A$10,0))*IF($M16="",1,$M16),""))</f>
        <v/>
      </c>
      <c r="V16" s="84">
        <f>IF($U16="","",MIN(0.75,$U16/($U16+24000)))</f>
        <v/>
      </c>
      <c r="W16" s="21">
        <f>IF($S16="","",$S16/(1-$V16)*IF($N16="",1,$N16))</f>
        <v/>
      </c>
      <c r="X16" s="17">
        <f>IF(OR($W16="",$Q16="",$Q16=0),"",$W16/$Q16)</f>
        <v/>
      </c>
      <c r="Y16" s="17">
        <f>IF(OR($R16="",$T16="",$T16=0),"",$R16/($T16*IF($O16="",1,$O16)))</f>
        <v/>
      </c>
      <c r="Z16" s="17">
        <f>IF(OR($X16="",$P16="",$P16=0),"",$X16/$P16)</f>
        <v/>
      </c>
      <c r="AA16">
        <f>IF($J16="","待填怪物等级",IF(OR($I16="",$Q16=""),"待填对照关卡",IF($P16="","已计算",IF(AND($Y16&lt;&gt;"",$Y16&lt;$X16),"生存不成立",IF($Z16&lt;0.5,"碾压",IF($Z16&lt;0.8,"偏简单",IF($Z16&lt;=1.2,"适中",IF($Z16&lt;=1.5,"偏难","过难"))))))))</f>
        <v/>
      </c>
      <c r="AB16">
        <f>IF($J16="","待填",IF(AND(ISNUMBER($J16),$J16&gt;=1,$J16&lt;=500,MOD($J16,1)=0),"有效","超范围"))</f>
        <v/>
      </c>
      <c r="AC16">
        <f>IF(C16&lt;&gt;C15,"新玩法组",IF(J16&gt;=J15,"不降","回退"))</f>
        <v/>
      </c>
      <c r="AD16" t="inlineStr">
        <is>
          <t>等效进度估算S50，非解锁/首通节点；旧Lv115→93；NR_Layer 12 / 修正ID 2001｜2026-09-14 30层结构难度重设计：目标TTK/存活档内线性爬坡（整体约+25%），J等级与对照G不变；AE按60s/20s反查，无解封顶1,600,000。｜2026-09-14 等级带重排：J=107（50→200档内插值），目标曲线沿用30层重设计，K/L按新等级重拟合。｜2026-09-14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16" s="4" t="n">
        <v>110000</v>
      </c>
      <c r="AF16" s="4">
        <f>INDEX(_统一战力!$B$2:$B$501,J16)</f>
        <v/>
      </c>
      <c r="AG16" t="n">
        <v>2001</v>
      </c>
      <c r="AH16" t="n">
        <v>12</v>
      </c>
      <c r="AI16" t="n">
        <v>1</v>
      </c>
    </row>
    <row r="17">
      <c r="A17" t="inlineStr">
        <is>
          <t>当前源表</t>
        </is>
      </c>
      <c r="B17" t="inlineStr">
        <is>
          <t>无限之旅</t>
        </is>
      </c>
      <c r="C17" t="inlineStr">
        <is>
          <t>难度1</t>
        </is>
      </c>
      <c r="D17" t="inlineStr">
        <is>
          <t>难度1-层13</t>
        </is>
      </c>
      <c r="F17" t="inlineStr">
        <is>
          <t>Boss</t>
        </is>
      </c>
      <c r="G17" t="n">
        <v>52</v>
      </c>
      <c r="I17" t="n">
        <v>52</v>
      </c>
      <c r="J17" t="n">
        <v>112</v>
      </c>
      <c r="K17" s="83" t="n">
        <v>1.2116011939</v>
      </c>
      <c r="L17" s="83" t="n">
        <v>0.8461120368</v>
      </c>
      <c r="M17" s="83" t="n">
        <v>1</v>
      </c>
      <c r="N17" t="n">
        <v>1</v>
      </c>
      <c r="O17" t="n">
        <v>1</v>
      </c>
      <c r="P17" s="17" t="n">
        <v>43.161546435621</v>
      </c>
      <c r="Q17" s="21">
        <f>IF($I17="","",IFERROR(INDEX(_玩家曲线!$H$2:$H$286,MATCH($I17,_玩家曲线!$A$2:$A$286,0)),""))</f>
        <v/>
      </c>
      <c r="R17" s="21">
        <f>IF($I17="","",IFERROR(INDEX(_玩家曲线!$I$2:$I$286,MATCH($I17,_玩家曲线!$A$2:$A$286,0)),""))</f>
        <v/>
      </c>
      <c r="S17" s="21">
        <f>IF(OR($J17="",$F17="不适用"),"",IFERROR(INDEX(_怪物模型!$D$2:$D$4501,(INT($J17)-1)*ROWS(_怪物类型!$A$2:$A$10)+MATCH($F17,_怪物类型!$A$2:$A$10,0))*IF($K17="",1,$K17),""))</f>
        <v/>
      </c>
      <c r="T17" s="21">
        <f>IF(OR($J17="",$F17="不适用"),"",IFERROR(INDEX(_怪物模型!$E$2:$E$4501,(INT($J17)-1)*ROWS(_怪物类型!$A$2:$A$10)+MATCH($F17,_怪物类型!$A$2:$A$10,0))*IF($L17="",1,$L17),""))</f>
        <v/>
      </c>
      <c r="U17" s="21">
        <f>IF(OR($J17="",$F17="不适用"),"",IFERROR(INDEX(_怪物模型!$F$2:$F$4501,(INT($J17)-1)*ROWS(_怪物类型!$A$2:$A$10)+MATCH($F17,_怪物类型!$A$2:$A$10,0))*IF($M17="",1,$M17),""))</f>
        <v/>
      </c>
      <c r="V17" s="84">
        <f>IF($U17="","",MIN(0.75,$U17/($U17+24000)))</f>
        <v/>
      </c>
      <c r="W17" s="21">
        <f>IF($S17="","",$S17/(1-$V17)*IF($N17="",1,$N17))</f>
        <v/>
      </c>
      <c r="X17" s="17">
        <f>IF(OR($W17="",$Q17="",$Q17=0),"",$W17/$Q17)</f>
        <v/>
      </c>
      <c r="Y17" s="17">
        <f>IF(OR($R17="",$T17="",$T17=0),"",$R17/($T17*IF($O17="",1,$O17)))</f>
        <v/>
      </c>
      <c r="Z17" s="17">
        <f>IF(OR($X17="",$P17="",$P17=0),"",$X17/$P17)</f>
        <v/>
      </c>
      <c r="AA17">
        <f>IF($J17="","待填怪物等级",IF(OR($I17="",$Q17=""),"待填对照关卡",IF($P17="","已计算",IF(AND($Y17&lt;&gt;"",$Y17&lt;$X17),"生存不成立",IF($Z17&lt;0.5,"碾压",IF($Z17&lt;0.8,"偏简单",IF($Z17&lt;=1.2,"适中",IF($Z17&lt;=1.5,"偏难","过难"))))))))</f>
        <v/>
      </c>
      <c r="AB17">
        <f>IF($J17="","待填",IF(AND(ISNUMBER($J17),$J17&gt;=1,$J17&lt;=500,MOD($J17,1)=0),"有效","超范围"))</f>
        <v/>
      </c>
      <c r="AC17">
        <f>IF(C17&lt;&gt;C16,"新玩法组",IF(J17&gt;=J16,"不降","回退"))</f>
        <v/>
      </c>
      <c r="AD17" t="inlineStr">
        <is>
          <t>等效进度估算S54，非解锁/首通节点；旧Lv122→100；NR_Layer 13 / 修正ID 2001｜2026-09-14 30层结构难度重设计：目标TTK/存活档内线性爬坡（整体约+25%），J等级与对照G不变；AE按60s/20s反查，无解封顶1,600,000。｜2026-09-14 等级带重排：J=112（50→200档内插值），目标曲线沿用30层重设计，K/L按新等级重拟合。｜2026-09-14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17" s="4" t="n">
        <v>131000</v>
      </c>
      <c r="AF17" s="4">
        <f>INDEX(_统一战力!$B$2:$B$501,J17)</f>
        <v/>
      </c>
      <c r="AG17" t="n">
        <v>2001</v>
      </c>
      <c r="AH17" t="n">
        <v>13</v>
      </c>
      <c r="AI17" t="n">
        <v>1</v>
      </c>
    </row>
    <row r="18">
      <c r="A18" t="inlineStr">
        <is>
          <t>当前源表</t>
        </is>
      </c>
      <c r="B18" t="inlineStr">
        <is>
          <t>无限之旅</t>
        </is>
      </c>
      <c r="C18" t="inlineStr">
        <is>
          <t>难度1</t>
        </is>
      </c>
      <c r="D18" t="inlineStr">
        <is>
          <t>难度1-层14</t>
        </is>
      </c>
      <c r="F18" t="inlineStr">
        <is>
          <t>Boss</t>
        </is>
      </c>
      <c r="G18" t="n">
        <v>54</v>
      </c>
      <c r="I18" t="n">
        <v>54</v>
      </c>
      <c r="J18" t="n">
        <v>117</v>
      </c>
      <c r="K18" s="83" t="n">
        <v>1.2130254628</v>
      </c>
      <c r="L18" s="83" t="n">
        <v>0.858121673</v>
      </c>
      <c r="M18" s="83" t="n">
        <v>1</v>
      </c>
      <c r="N18" t="n">
        <v>1</v>
      </c>
      <c r="O18" t="n">
        <v>1</v>
      </c>
      <c r="P18" s="17" t="n">
        <v>44.4137551611223</v>
      </c>
      <c r="Q18" s="21">
        <f>IF($I18="","",IFERROR(INDEX(_玩家曲线!$H$2:$H$286,MATCH($I18,_玩家曲线!$A$2:$A$286,0)),""))</f>
        <v/>
      </c>
      <c r="R18" s="21">
        <f>IF($I18="","",IFERROR(INDEX(_玩家曲线!$I$2:$I$286,MATCH($I18,_玩家曲线!$A$2:$A$286,0)),""))</f>
        <v/>
      </c>
      <c r="S18" s="21">
        <f>IF(OR($J18="",$F18="不适用"),"",IFERROR(INDEX(_怪物模型!$D$2:$D$4501,(INT($J18)-1)*ROWS(_怪物类型!$A$2:$A$10)+MATCH($F18,_怪物类型!$A$2:$A$10,0))*IF($K18="",1,$K18),""))</f>
        <v/>
      </c>
      <c r="T18" s="21">
        <f>IF(OR($J18="",$F18="不适用"),"",IFERROR(INDEX(_怪物模型!$E$2:$E$4501,(INT($J18)-1)*ROWS(_怪物类型!$A$2:$A$10)+MATCH($F18,_怪物类型!$A$2:$A$10,0))*IF($L18="",1,$L18),""))</f>
        <v/>
      </c>
      <c r="U18" s="21">
        <f>IF(OR($J18="",$F18="不适用"),"",IFERROR(INDEX(_怪物模型!$F$2:$F$4501,(INT($J18)-1)*ROWS(_怪物类型!$A$2:$A$10)+MATCH($F18,_怪物类型!$A$2:$A$10,0))*IF($M18="",1,$M18),""))</f>
        <v/>
      </c>
      <c r="V18" s="84">
        <f>IF($U18="","",MIN(0.75,$U18/($U18+24000)))</f>
        <v/>
      </c>
      <c r="W18" s="21">
        <f>IF($S18="","",$S18/(1-$V18)*IF($N18="",1,$N18))</f>
        <v/>
      </c>
      <c r="X18" s="17">
        <f>IF(OR($W18="",$Q18="",$Q18=0),"",$W18/$Q18)</f>
        <v/>
      </c>
      <c r="Y18" s="17">
        <f>IF(OR($R18="",$T18="",$T18=0),"",$R18/($T18*IF($O18="",1,$O18)))</f>
        <v/>
      </c>
      <c r="Z18" s="17">
        <f>IF(OR($X18="",$P18="",$P18=0),"",$X18/$P18)</f>
        <v/>
      </c>
      <c r="AA18">
        <f>IF($J18="","待填怪物等级",IF(OR($I18="",$Q18=""),"待填对照关卡",IF($P18="","已计算",IF(AND($Y18&lt;&gt;"",$Y18&lt;$X18),"生存不成立",IF($Z18&lt;0.5,"碾压",IF($Z18&lt;0.8,"偏简单",IF($Z18&lt;=1.2,"适中",IF($Z18&lt;=1.5,"偏难","过难"))))))))</f>
        <v/>
      </c>
      <c r="AB18">
        <f>IF($J18="","待填",IF(AND(ISNUMBER($J18),$J18&gt;=1,$J18&lt;=500,MOD($J18,1)=0),"有效","超范围"))</f>
        <v/>
      </c>
      <c r="AC18">
        <f>IF(C18&lt;&gt;C17,"新玩法组",IF(J18&gt;=J17,"不降","回退"))</f>
        <v/>
      </c>
      <c r="AD18" t="inlineStr">
        <is>
          <t>等效进度估算S57，非解锁/首通节点；旧Lv129→106；NR_Layer 14 / 修正ID 2001｜2026-09-14 30层结构难度重设计：目标TTK/存活档内线性爬坡（整体约+25%），J等级与对照G不变；AE按60s/20s反查，无解封顶1,600,000。｜2026-09-14 等级带重排：J=117（50→200档内插值），目标曲线沿用30层重设计，K/L按新等级重拟合。｜2026-09-14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18" s="4" t="n">
        <v>142000</v>
      </c>
      <c r="AF18" s="4">
        <f>INDEX(_统一战力!$B$2:$B$501,J18)</f>
        <v/>
      </c>
      <c r="AG18" t="n">
        <v>2001</v>
      </c>
      <c r="AH18" t="n">
        <v>14</v>
      </c>
      <c r="AI18" t="n">
        <v>1</v>
      </c>
    </row>
    <row r="19">
      <c r="A19" t="inlineStr">
        <is>
          <t>当前源表</t>
        </is>
      </c>
      <c r="B19" t="inlineStr">
        <is>
          <t>无限之旅</t>
        </is>
      </c>
      <c r="C19" t="inlineStr">
        <is>
          <t>难度1</t>
        </is>
      </c>
      <c r="D19" t="inlineStr">
        <is>
          <t>难度1-层15</t>
        </is>
      </c>
      <c r="F19" t="inlineStr">
        <is>
          <t>Boss</t>
        </is>
      </c>
      <c r="G19" t="n">
        <v>58</v>
      </c>
      <c r="I19" t="n">
        <v>58</v>
      </c>
      <c r="J19" t="n">
        <v>122</v>
      </c>
      <c r="K19" s="83" t="n">
        <v>1.2497690008</v>
      </c>
      <c r="L19" s="83" t="n">
        <v>0.8901436811</v>
      </c>
      <c r="M19" s="83" t="n">
        <v>1</v>
      </c>
      <c r="N19" t="n">
        <v>1</v>
      </c>
      <c r="O19" t="n">
        <v>1</v>
      </c>
      <c r="P19" s="17" t="n">
        <v>44.3736042345114</v>
      </c>
      <c r="Q19" s="21">
        <f>IF($I19="","",IFERROR(INDEX(_玩家曲线!$H$2:$H$286,MATCH($I19,_玩家曲线!$A$2:$A$286,0)),""))</f>
        <v/>
      </c>
      <c r="R19" s="21">
        <f>IF($I19="","",IFERROR(INDEX(_玩家曲线!$I$2:$I$286,MATCH($I19,_玩家曲线!$A$2:$A$286,0)),""))</f>
        <v/>
      </c>
      <c r="S19" s="21">
        <f>IF(OR($J19="",$F19="不适用"),"",IFERROR(INDEX(_怪物模型!$D$2:$D$4501,(INT($J19)-1)*ROWS(_怪物类型!$A$2:$A$10)+MATCH($F19,_怪物类型!$A$2:$A$10,0))*IF($K19="",1,$K19),""))</f>
        <v/>
      </c>
      <c r="T19" s="21">
        <f>IF(OR($J19="",$F19="不适用"),"",IFERROR(INDEX(_怪物模型!$E$2:$E$4501,(INT($J19)-1)*ROWS(_怪物类型!$A$2:$A$10)+MATCH($F19,_怪物类型!$A$2:$A$10,0))*IF($L19="",1,$L19),""))</f>
        <v/>
      </c>
      <c r="U19" s="21">
        <f>IF(OR($J19="",$F19="不适用"),"",IFERROR(INDEX(_怪物模型!$F$2:$F$4501,(INT($J19)-1)*ROWS(_怪物类型!$A$2:$A$10)+MATCH($F19,_怪物类型!$A$2:$A$10,0))*IF($M19="",1,$M19),""))</f>
        <v/>
      </c>
      <c r="V19" s="84">
        <f>IF($U19="","",MIN(0.75,$U19/($U19+24000)))</f>
        <v/>
      </c>
      <c r="W19" s="21">
        <f>IF($S19="","",$S19/(1-$V19)*IF($N19="",1,$N19))</f>
        <v/>
      </c>
      <c r="X19" s="17">
        <f>IF(OR($W19="",$Q19="",$Q19=0),"",$W19/$Q19)</f>
        <v/>
      </c>
      <c r="Y19" s="17">
        <f>IF(OR($R19="",$T19="",$T19=0),"",$R19/($T19*IF($O19="",1,$O19)))</f>
        <v/>
      </c>
      <c r="Z19" s="17">
        <f>IF(OR($X19="",$P19="",$P19=0),"",$X19/$P19)</f>
        <v/>
      </c>
      <c r="AA19">
        <f>IF($J19="","待填怪物等级",IF(OR($I19="",$Q19=""),"待填对照关卡",IF($P19="","已计算",IF(AND($Y19&lt;&gt;"",$Y19&lt;$X19),"生存不成立",IF($Z19&lt;0.5,"碾压",IF($Z19&lt;0.8,"偏简单",IF($Z19&lt;=1.2,"适中",IF($Z19&lt;=1.5,"偏难","过难"))))))))</f>
        <v/>
      </c>
      <c r="AB19">
        <f>IF($J19="","待填",IF(AND(ISNUMBER($J19),$J19&gt;=1,$J19&lt;=500,MOD($J19,1)=0),"有效","超范围"))</f>
        <v/>
      </c>
      <c r="AC19">
        <f>IF(C19&lt;&gt;C18,"新玩法组",IF(J19&gt;=J18,"不降","回退"))</f>
        <v/>
      </c>
      <c r="AD19" t="inlineStr">
        <is>
          <t>等效进度估算S61，非解锁/首通节点；旧Lv136→112；NR_Layer 15 / 修正ID 2001｜2026-09-14 30层结构难度重设计：目标TTK/存活档内线性爬坡（整体约+25%），J等级与对照G不变；AE按60s/20s反查，无解封顶1,600,000。｜2026-09-14 等级带重排：J=122（50→200档内插值），目标曲线沿用30层重设计，K/L按新等级重拟合。｜2026-09-14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19" s="4" t="n">
        <v>161000</v>
      </c>
      <c r="AF19" s="4">
        <f>INDEX(_统一战力!$B$2:$B$501,J19)</f>
        <v/>
      </c>
      <c r="AG19" t="n">
        <v>2001</v>
      </c>
      <c r="AH19" t="n">
        <v>15</v>
      </c>
      <c r="AI19" t="n">
        <v>1</v>
      </c>
    </row>
    <row r="20">
      <c r="A20" t="inlineStr">
        <is>
          <t>当前源表</t>
        </is>
      </c>
      <c r="B20" t="inlineStr">
        <is>
          <t>无限之旅</t>
        </is>
      </c>
      <c r="C20" t="inlineStr">
        <is>
          <t>难度1</t>
        </is>
      </c>
      <c r="D20" t="inlineStr">
        <is>
          <t>难度1-层16</t>
        </is>
      </c>
      <c r="F20" t="inlineStr">
        <is>
          <t>Boss</t>
        </is>
      </c>
      <c r="G20" t="n">
        <v>62</v>
      </c>
      <c r="I20" t="n">
        <v>62</v>
      </c>
      <c r="J20" t="n">
        <v>128</v>
      </c>
      <c r="K20" s="83" t="n">
        <v>1.2661257774</v>
      </c>
      <c r="L20" s="83" t="n">
        <v>0.9186363894</v>
      </c>
      <c r="M20" s="83" t="n">
        <v>1</v>
      </c>
      <c r="N20" t="n">
        <v>1</v>
      </c>
      <c r="O20" t="n">
        <v>1</v>
      </c>
      <c r="P20" s="17" t="n">
        <v>44.3016847289828</v>
      </c>
      <c r="Q20" s="21">
        <f>IF($I20="","",IFERROR(INDEX(_玩家曲线!$H$2:$H$286,MATCH($I20,_玩家曲线!$A$2:$A$286,0)),""))</f>
        <v/>
      </c>
      <c r="R20" s="21">
        <f>IF($I20="","",IFERROR(INDEX(_玩家曲线!$I$2:$I$286,MATCH($I20,_玩家曲线!$A$2:$A$286,0)),""))</f>
        <v/>
      </c>
      <c r="S20" s="21">
        <f>IF(OR($J20="",$F20="不适用"),"",IFERROR(INDEX(_怪物模型!$D$2:$D$4501,(INT($J20)-1)*ROWS(_怪物类型!$A$2:$A$10)+MATCH($F20,_怪物类型!$A$2:$A$10,0))*IF($K20="",1,$K20),""))</f>
        <v/>
      </c>
      <c r="T20" s="21">
        <f>IF(OR($J20="",$F20="不适用"),"",IFERROR(INDEX(_怪物模型!$E$2:$E$4501,(INT($J20)-1)*ROWS(_怪物类型!$A$2:$A$10)+MATCH($F20,_怪物类型!$A$2:$A$10,0))*IF($L20="",1,$L20),""))</f>
        <v/>
      </c>
      <c r="U20" s="21">
        <f>IF(OR($J20="",$F20="不适用"),"",IFERROR(INDEX(_怪物模型!$F$2:$F$4501,(INT($J20)-1)*ROWS(_怪物类型!$A$2:$A$10)+MATCH($F20,_怪物类型!$A$2:$A$10,0))*IF($M20="",1,$M20),""))</f>
        <v/>
      </c>
      <c r="V20" s="84">
        <f>IF($U20="","",MIN(0.75,$U20/($U20+24000)))</f>
        <v/>
      </c>
      <c r="W20" s="21">
        <f>IF($S20="","",$S20/(1-$V20)*IF($N20="",1,$N20))</f>
        <v/>
      </c>
      <c r="X20" s="17">
        <f>IF(OR($W20="",$Q20="",$Q20=0),"",$W20/$Q20)</f>
        <v/>
      </c>
      <c r="Y20" s="17">
        <f>IF(OR($R20="",$T20="",$T20=0),"",$R20/($T20*IF($O20="",1,$O20)))</f>
        <v/>
      </c>
      <c r="Z20" s="17">
        <f>IF(OR($X20="",$P20="",$P20=0),"",$X20/$P20)</f>
        <v/>
      </c>
      <c r="AA20">
        <f>IF($J20="","待填怪物等级",IF(OR($I20="",$Q20=""),"待填对照关卡",IF($P20="","已计算",IF(AND($Y20&lt;&gt;"",$Y20&lt;$X20),"生存不成立",IF($Z20&lt;0.5,"碾压",IF($Z20&lt;0.8,"偏简单",IF($Z20&lt;=1.2,"适中",IF($Z20&lt;=1.5,"偏难","过难"))))))))</f>
        <v/>
      </c>
      <c r="AB20">
        <f>IF($J20="","待填",IF(AND(ISNUMBER($J20),$J20&gt;=1,$J20&lt;=500,MOD($J20,1)=0),"有效","超范围"))</f>
        <v/>
      </c>
      <c r="AC20">
        <f>IF(C20&lt;&gt;C19,"新玩法组",IF(J20&gt;=J19,"不降","回退"))</f>
        <v/>
      </c>
      <c r="AD20" t="inlineStr">
        <is>
          <t>等效进度估算S65，非解锁/首通节点；旧Lv143→118；NR_Layer 16 / 修正ID 2001｜2026-09-14 30层结构难度重设计：目标TTK/存活档内线性爬坡（整体约+25%），J等级与对照G不变；AE按60s/20s反查，无解封顶1,600,000。｜2026-09-14 等级带重排：J=128（50→200档内插值），目标曲线沿用30层重设计，K/L按新等级重拟合。｜2026-09-14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20" s="4" t="n">
        <v>180000</v>
      </c>
      <c r="AF20" s="4">
        <f>INDEX(_统一战力!$B$2:$B$501,J20)</f>
        <v/>
      </c>
      <c r="AG20" t="n">
        <v>2001</v>
      </c>
      <c r="AH20" t="n">
        <v>16</v>
      </c>
      <c r="AI20" t="n">
        <v>1</v>
      </c>
    </row>
    <row r="21">
      <c r="A21" t="inlineStr">
        <is>
          <t>当前源表</t>
        </is>
      </c>
      <c r="B21" t="inlineStr">
        <is>
          <t>无限之旅</t>
        </is>
      </c>
      <c r="C21" t="inlineStr">
        <is>
          <t>难度1</t>
        </is>
      </c>
      <c r="D21" t="inlineStr">
        <is>
          <t>难度1-层17</t>
        </is>
      </c>
      <c r="F21" t="inlineStr">
        <is>
          <t>Boss</t>
        </is>
      </c>
      <c r="G21" t="n">
        <v>66</v>
      </c>
      <c r="I21" t="n">
        <v>66</v>
      </c>
      <c r="J21" t="n">
        <v>133</v>
      </c>
      <c r="K21" s="83" t="n">
        <v>1.2827075134</v>
      </c>
      <c r="L21" s="83" t="n">
        <v>0.9487982549</v>
      </c>
      <c r="M21" s="83" t="n">
        <v>1</v>
      </c>
      <c r="N21" t="n">
        <v>1</v>
      </c>
      <c r="O21" t="n">
        <v>1</v>
      </c>
      <c r="P21" s="17" t="n">
        <v>45.0185383396059</v>
      </c>
      <c r="Q21" s="21">
        <f>IF($I21="","",IFERROR(INDEX(_玩家曲线!$H$2:$H$286,MATCH($I21,_玩家曲线!$A$2:$A$286,0)),""))</f>
        <v/>
      </c>
      <c r="R21" s="21">
        <f>IF($I21="","",IFERROR(INDEX(_玩家曲线!$I$2:$I$286,MATCH($I21,_玩家曲线!$A$2:$A$286,0)),""))</f>
        <v/>
      </c>
      <c r="S21" s="21">
        <f>IF(OR($J21="",$F21="不适用"),"",IFERROR(INDEX(_怪物模型!$D$2:$D$4501,(INT($J21)-1)*ROWS(_怪物类型!$A$2:$A$10)+MATCH($F21,_怪物类型!$A$2:$A$10,0))*IF($K21="",1,$K21),""))</f>
        <v/>
      </c>
      <c r="T21" s="21">
        <f>IF(OR($J21="",$F21="不适用"),"",IFERROR(INDEX(_怪物模型!$E$2:$E$4501,(INT($J21)-1)*ROWS(_怪物类型!$A$2:$A$10)+MATCH($F21,_怪物类型!$A$2:$A$10,0))*IF($L21="",1,$L21),""))</f>
        <v/>
      </c>
      <c r="U21" s="21">
        <f>IF(OR($J21="",$F21="不适用"),"",IFERROR(INDEX(_怪物模型!$F$2:$F$4501,(INT($J21)-1)*ROWS(_怪物类型!$A$2:$A$10)+MATCH($F21,_怪物类型!$A$2:$A$10,0))*IF($M21="",1,$M21),""))</f>
        <v/>
      </c>
      <c r="V21" s="84">
        <f>IF($U21="","",MIN(0.75,$U21/($U21+24000)))</f>
        <v/>
      </c>
      <c r="W21" s="21">
        <f>IF($S21="","",$S21/(1-$V21)*IF($N21="",1,$N21))</f>
        <v/>
      </c>
      <c r="X21" s="17">
        <f>IF(OR($W21="",$Q21="",$Q21=0),"",$W21/$Q21)</f>
        <v/>
      </c>
      <c r="Y21" s="17">
        <f>IF(OR($R21="",$T21="",$T21=0),"",$R21/($T21*IF($O21="",1,$O21)))</f>
        <v/>
      </c>
      <c r="Z21" s="17">
        <f>IF(OR($X21="",$P21="",$P21=0),"",$X21/$P21)</f>
        <v/>
      </c>
      <c r="AA21">
        <f>IF($J21="","待填怪物等级",IF(OR($I21="",$Q21=""),"待填对照关卡",IF($P21="","已计算",IF(AND($Y21&lt;&gt;"",$Y21&lt;$X21),"生存不成立",IF($Z21&lt;0.5,"碾压",IF($Z21&lt;0.8,"偏简单",IF($Z21&lt;=1.2,"适中",IF($Z21&lt;=1.5,"偏难","过难"))))))))</f>
        <v/>
      </c>
      <c r="AB21">
        <f>IF($J21="","待填",IF(AND(ISNUMBER($J21),$J21&gt;=1,$J21&lt;=500,MOD($J21,1)=0),"有效","超范围"))</f>
        <v/>
      </c>
      <c r="AC21">
        <f>IF(C21&lt;&gt;C20,"新玩法组",IF(J21&gt;=J20,"不降","回退"))</f>
        <v/>
      </c>
      <c r="AD21" t="inlineStr">
        <is>
          <t>等效进度估算S68，非解锁/首通节点；旧Lv150→124；NR_Layer 17 / 修正ID 2001｜2026-09-14 30层结构难度重设计：目标TTK/存活档内线性爬坡（整体约+25%），J等级与对照G不变；AE按60s/20s反查，无解封顶1,600,000。｜2026-09-14 等级带重排：J=133（50→200档内插值），目标曲线沿用30层重设计，K/L按新等级重拟合。｜2026-09-14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21" s="4" t="n">
        <v>204000</v>
      </c>
      <c r="AF21" s="4">
        <f>INDEX(_统一战力!$B$2:$B$501,J21)</f>
        <v/>
      </c>
      <c r="AG21" t="n">
        <v>2001</v>
      </c>
      <c r="AH21" t="n">
        <v>17</v>
      </c>
      <c r="AI21" t="n">
        <v>1</v>
      </c>
    </row>
    <row r="22">
      <c r="A22" t="inlineStr">
        <is>
          <t>当前源表</t>
        </is>
      </c>
      <c r="B22" t="inlineStr">
        <is>
          <t>无限之旅</t>
        </is>
      </c>
      <c r="C22" t="inlineStr">
        <is>
          <t>难度1</t>
        </is>
      </c>
      <c r="D22" t="inlineStr">
        <is>
          <t>难度1-层18</t>
        </is>
      </c>
      <c r="F22" t="inlineStr">
        <is>
          <t>Boss</t>
        </is>
      </c>
      <c r="G22" t="n">
        <v>70</v>
      </c>
      <c r="I22" t="n">
        <v>70</v>
      </c>
      <c r="J22" t="n">
        <v>138</v>
      </c>
      <c r="K22" s="83" t="n">
        <v>1.3227123373</v>
      </c>
      <c r="L22" s="83" t="n">
        <v>0.9946251421</v>
      </c>
      <c r="M22" s="83" t="n">
        <v>1</v>
      </c>
      <c r="N22" t="n">
        <v>1</v>
      </c>
      <c r="O22" t="n">
        <v>1</v>
      </c>
      <c r="P22" s="17" t="n">
        <v>43.7275502613812</v>
      </c>
      <c r="Q22" s="21">
        <f>IF($I22="","",IFERROR(INDEX(_玩家曲线!$H$2:$H$286,MATCH($I22,_玩家曲线!$A$2:$A$286,0)),""))</f>
        <v/>
      </c>
      <c r="R22" s="21">
        <f>IF($I22="","",IFERROR(INDEX(_玩家曲线!$I$2:$I$286,MATCH($I22,_玩家曲线!$A$2:$A$286,0)),""))</f>
        <v/>
      </c>
      <c r="S22" s="21">
        <f>IF(OR($J22="",$F22="不适用"),"",IFERROR(INDEX(_怪物模型!$D$2:$D$4501,(INT($J22)-1)*ROWS(_怪物类型!$A$2:$A$10)+MATCH($F22,_怪物类型!$A$2:$A$10,0))*IF($K22="",1,$K22),""))</f>
        <v/>
      </c>
      <c r="T22" s="21">
        <f>IF(OR($J22="",$F22="不适用"),"",IFERROR(INDEX(_怪物模型!$E$2:$E$4501,(INT($J22)-1)*ROWS(_怪物类型!$A$2:$A$10)+MATCH($F22,_怪物类型!$A$2:$A$10,0))*IF($L22="",1,$L22),""))</f>
        <v/>
      </c>
      <c r="U22" s="21">
        <f>IF(OR($J22="",$F22="不适用"),"",IFERROR(INDEX(_怪物模型!$F$2:$F$4501,(INT($J22)-1)*ROWS(_怪物类型!$A$2:$A$10)+MATCH($F22,_怪物类型!$A$2:$A$10,0))*IF($M22="",1,$M22),""))</f>
        <v/>
      </c>
      <c r="V22" s="84">
        <f>IF($U22="","",MIN(0.75,$U22/($U22+24000)))</f>
        <v/>
      </c>
      <c r="W22" s="21">
        <f>IF($S22="","",$S22/(1-$V22)*IF($N22="",1,$N22))</f>
        <v/>
      </c>
      <c r="X22" s="17">
        <f>IF(OR($W22="",$Q22="",$Q22=0),"",$W22/$Q22)</f>
        <v/>
      </c>
      <c r="Y22" s="17">
        <f>IF(OR($R22="",$T22="",$T22=0),"",$R22/($T22*IF($O22="",1,$O22)))</f>
        <v/>
      </c>
      <c r="Z22" s="17">
        <f>IF(OR($X22="",$P22="",$P22=0),"",$X22/$P22)</f>
        <v/>
      </c>
      <c r="AA22">
        <f>IF($J22="","待填怪物等级",IF(OR($I22="",$Q22=""),"待填对照关卡",IF($P22="","已计算",IF(AND($Y22&lt;&gt;"",$Y22&lt;$X22),"生存不成立",IF($Z22&lt;0.5,"碾压",IF($Z22&lt;0.8,"偏简单",IF($Z22&lt;=1.2,"适中",IF($Z22&lt;=1.5,"偏难","过难"))))))))</f>
        <v/>
      </c>
      <c r="AB22">
        <f>IF($J22="","待填",IF(AND(ISNUMBER($J22),$J22&gt;=1,$J22&lt;=500,MOD($J22,1)=0),"有效","超范围"))</f>
        <v/>
      </c>
      <c r="AC22">
        <f>IF(C22&lt;&gt;C21,"新玩法组",IF(J22&gt;=J21,"不降","回退"))</f>
        <v/>
      </c>
      <c r="AD22" t="inlineStr">
        <is>
          <t>等效进度估算S72，非解锁/首通节点；旧Lv156→128；NR_Layer 18 / 修正ID 2001｜2026-09-14 30层结构难度重设计：目标TTK/存活档内线性爬坡（整体约+25%），J等级与对照G不变；AE按60s/20s反查，无解封顶1,600,000。｜2026-09-14 等级带重排：J=138（50→200档内插值），目标曲线沿用30层重设计，K/L按新等级重拟合。｜2026-09-14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22" s="4" t="n">
        <v>231000</v>
      </c>
      <c r="AF22" s="4">
        <f>INDEX(_统一战力!$B$2:$B$501,J22)</f>
        <v/>
      </c>
      <c r="AG22" t="n">
        <v>2001</v>
      </c>
      <c r="AH22" t="n">
        <v>18</v>
      </c>
      <c r="AI22" t="n">
        <v>1</v>
      </c>
    </row>
    <row r="23">
      <c r="A23" t="inlineStr">
        <is>
          <t>当前源表</t>
        </is>
      </c>
      <c r="B23" t="inlineStr">
        <is>
          <t>无限之旅</t>
        </is>
      </c>
      <c r="C23" t="inlineStr">
        <is>
          <t>难度1</t>
        </is>
      </c>
      <c r="D23" t="inlineStr">
        <is>
          <t>难度1-层19</t>
        </is>
      </c>
      <c r="F23" t="inlineStr">
        <is>
          <t>Boss</t>
        </is>
      </c>
      <c r="G23" t="n">
        <v>74</v>
      </c>
      <c r="I23" t="n">
        <v>74</v>
      </c>
      <c r="J23" t="n">
        <v>143</v>
      </c>
      <c r="K23" s="83" t="n">
        <v>1.3462229424</v>
      </c>
      <c r="L23" s="83" t="n">
        <v>1.029422909</v>
      </c>
      <c r="M23" s="83" t="n">
        <v>1</v>
      </c>
      <c r="N23" t="n">
        <v>1</v>
      </c>
      <c r="O23" t="n">
        <v>1</v>
      </c>
      <c r="P23" s="17" t="n">
        <v>43.8003250341078</v>
      </c>
      <c r="Q23" s="21">
        <f>IF($I23="","",IFERROR(INDEX(_玩家曲线!$H$2:$H$286,MATCH($I23,_玩家曲线!$A$2:$A$286,0)),""))</f>
        <v/>
      </c>
      <c r="R23" s="21">
        <f>IF($I23="","",IFERROR(INDEX(_玩家曲线!$I$2:$I$286,MATCH($I23,_玩家曲线!$A$2:$A$286,0)),""))</f>
        <v/>
      </c>
      <c r="S23" s="21">
        <f>IF(OR($J23="",$F23="不适用"),"",IFERROR(INDEX(_怪物模型!$D$2:$D$4501,(INT($J23)-1)*ROWS(_怪物类型!$A$2:$A$10)+MATCH($F23,_怪物类型!$A$2:$A$10,0))*IF($K23="",1,$K23),""))</f>
        <v/>
      </c>
      <c r="T23" s="21">
        <f>IF(OR($J23="",$F23="不适用"),"",IFERROR(INDEX(_怪物模型!$E$2:$E$4501,(INT($J23)-1)*ROWS(_怪物类型!$A$2:$A$10)+MATCH($F23,_怪物类型!$A$2:$A$10,0))*IF($L23="",1,$L23),""))</f>
        <v/>
      </c>
      <c r="U23" s="21">
        <f>IF(OR($J23="",$F23="不适用"),"",IFERROR(INDEX(_怪物模型!$F$2:$F$4501,(INT($J23)-1)*ROWS(_怪物类型!$A$2:$A$10)+MATCH($F23,_怪物类型!$A$2:$A$10,0))*IF($M23="",1,$M23),""))</f>
        <v/>
      </c>
      <c r="V23" s="84">
        <f>IF($U23="","",MIN(0.75,$U23/($U23+24000)))</f>
        <v/>
      </c>
      <c r="W23" s="21">
        <f>IF($S23="","",$S23/(1-$V23)*IF($N23="",1,$N23))</f>
        <v/>
      </c>
      <c r="X23" s="17">
        <f>IF(OR($W23="",$Q23="",$Q23=0),"",$W23/$Q23)</f>
        <v/>
      </c>
      <c r="Y23" s="17">
        <f>IF(OR($R23="",$T23="",$T23=0),"",$R23/($T23*IF($O23="",1,$O23)))</f>
        <v/>
      </c>
      <c r="Z23" s="17">
        <f>IF(OR($X23="",$P23="",$P23=0),"",$X23/$P23)</f>
        <v/>
      </c>
      <c r="AA23">
        <f>IF($J23="","待填怪物等级",IF(OR($I23="",$Q23=""),"待填对照关卡",IF($P23="","已计算",IF(AND($Y23&lt;&gt;"",$Y23&lt;$X23),"生存不成立",IF($Z23&lt;0.5,"碾压",IF($Z23&lt;0.8,"偏简单",IF($Z23&lt;=1.2,"适中",IF($Z23&lt;=1.5,"偏难","过难"))))))))</f>
        <v/>
      </c>
      <c r="AB23">
        <f>IF($J23="","待填",IF(AND(ISNUMBER($J23),$J23&gt;=1,$J23&lt;=500,MOD($J23,1)=0),"有效","超范围"))</f>
        <v/>
      </c>
      <c r="AC23">
        <f>IF(C23&lt;&gt;C22,"新玩法组",IF(J23&gt;=J22,"不降","回退"))</f>
        <v/>
      </c>
      <c r="AD23" t="inlineStr">
        <is>
          <t>等效进度估算S76，非解锁/首通节点；旧Lv163→134；NR_Layer 19 / 修正ID 2001｜2026-09-14 30层结构难度重设计：目标TTK/存活档内线性爬坡（整体约+25%），J等级与对照G不变；AE按60s/20s反查，无解封顶1,600,000。｜2026-09-14 等级带重排：J=143（50→200档内插值），目标曲线沿用30层重设计，K/L按新等级重拟合。｜2026-09-14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23" s="4" t="n">
        <v>255000</v>
      </c>
      <c r="AF23" s="4">
        <f>INDEX(_统一战力!$B$2:$B$501,J23)</f>
        <v/>
      </c>
      <c r="AG23" t="n">
        <v>2001</v>
      </c>
      <c r="AH23" t="n">
        <v>19</v>
      </c>
      <c r="AI23" t="n">
        <v>1</v>
      </c>
    </row>
    <row r="24">
      <c r="A24" t="inlineStr">
        <is>
          <t>当前源表</t>
        </is>
      </c>
      <c r="B24" t="inlineStr">
        <is>
          <t>无限之旅</t>
        </is>
      </c>
      <c r="C24" t="inlineStr">
        <is>
          <t>难度1</t>
        </is>
      </c>
      <c r="D24" t="inlineStr">
        <is>
          <t>难度1-层20</t>
        </is>
      </c>
      <c r="F24" t="inlineStr">
        <is>
          <t>Boss</t>
        </is>
      </c>
      <c r="G24" t="n">
        <v>78</v>
      </c>
      <c r="I24" t="n">
        <v>78</v>
      </c>
      <c r="J24" t="n">
        <v>148</v>
      </c>
      <c r="K24" s="83" t="n">
        <v>1.3677970561</v>
      </c>
      <c r="L24" s="83" t="n">
        <v>1.0627730004</v>
      </c>
      <c r="M24" s="83" t="n">
        <v>1</v>
      </c>
      <c r="N24" t="n">
        <v>1</v>
      </c>
      <c r="O24" t="n">
        <v>1</v>
      </c>
      <c r="P24" s="17" t="n">
        <v>44.3098338060085</v>
      </c>
      <c r="Q24" s="21">
        <f>IF($I24="","",IFERROR(INDEX(_玩家曲线!$H$2:$H$286,MATCH($I24,_玩家曲线!$A$2:$A$286,0)),""))</f>
        <v/>
      </c>
      <c r="R24" s="21">
        <f>IF($I24="","",IFERROR(INDEX(_玩家曲线!$I$2:$I$286,MATCH($I24,_玩家曲线!$A$2:$A$286,0)),""))</f>
        <v/>
      </c>
      <c r="S24" s="21">
        <f>IF(OR($J24="",$F24="不适用"),"",IFERROR(INDEX(_怪物模型!$D$2:$D$4501,(INT($J24)-1)*ROWS(_怪物类型!$A$2:$A$10)+MATCH($F24,_怪物类型!$A$2:$A$10,0))*IF($K24="",1,$K24),""))</f>
        <v/>
      </c>
      <c r="T24" s="21">
        <f>IF(OR($J24="",$F24="不适用"),"",IFERROR(INDEX(_怪物模型!$E$2:$E$4501,(INT($J24)-1)*ROWS(_怪物类型!$A$2:$A$10)+MATCH($F24,_怪物类型!$A$2:$A$10,0))*IF($L24="",1,$L24),""))</f>
        <v/>
      </c>
      <c r="U24" s="21">
        <f>IF(OR($J24="",$F24="不适用"),"",IFERROR(INDEX(_怪物模型!$F$2:$F$4501,(INT($J24)-1)*ROWS(_怪物类型!$A$2:$A$10)+MATCH($F24,_怪物类型!$A$2:$A$10,0))*IF($M24="",1,$M24),""))</f>
        <v/>
      </c>
      <c r="V24" s="84">
        <f>IF($U24="","",MIN(0.75,$U24/($U24+24000)))</f>
        <v/>
      </c>
      <c r="W24" s="21">
        <f>IF($S24="","",$S24/(1-$V24)*IF($N24="",1,$N24))</f>
        <v/>
      </c>
      <c r="X24" s="17">
        <f>IF(OR($W24="",$Q24="",$Q24=0),"",$W24/$Q24)</f>
        <v/>
      </c>
      <c r="Y24" s="17">
        <f>IF(OR($R24="",$T24="",$T24=0),"",$R24/($T24*IF($O24="",1,$O24)))</f>
        <v/>
      </c>
      <c r="Z24" s="17">
        <f>IF(OR($X24="",$P24="",$P24=0),"",$X24/$P24)</f>
        <v/>
      </c>
      <c r="AA24">
        <f>IF($J24="","待填怪物等级",IF(OR($I24="",$Q24=""),"待填对照关卡",IF($P24="","已计算",IF(AND($Y24&lt;&gt;"",$Y24&lt;$X24),"生存不成立",IF($Z24&lt;0.5,"碾压",IF($Z24&lt;0.8,"偏简单",IF($Z24&lt;=1.2,"适中",IF($Z24&lt;=1.5,"偏难","过难"))))))))</f>
        <v/>
      </c>
      <c r="AB24">
        <f>IF($J24="","待填",IF(AND(ISNUMBER($J24),$J24&gt;=1,$J24&lt;=500,MOD($J24,1)=0),"有效","超范围"))</f>
        <v/>
      </c>
      <c r="AC24">
        <f>IF(C24&lt;&gt;C23,"新玩法组",IF(J24&gt;=J23,"不降","回退"))</f>
        <v/>
      </c>
      <c r="AD24" t="inlineStr">
        <is>
          <t>等效进度估算S80，非解锁/首通节点；旧Lv170→140；NR_Layer 20 / 修正ID 2001｜2026-09-14 30层结构难度重设计：目标TTK/存活档内线性爬坡（整体约+25%），J等级与对照G不变；AE按60s/20s反查，无解封顶1,600,000。｜2026-09-14 等级带重排：J=148（50→200档内插值），目标曲线沿用30层重设计，K/L按新等级重拟合。｜2026-09-14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24" s="4" t="n">
        <v>280000</v>
      </c>
      <c r="AF24" s="4">
        <f>INDEX(_统一战力!$B$2:$B$501,J24)</f>
        <v/>
      </c>
      <c r="AG24" t="n">
        <v>2001</v>
      </c>
      <c r="AH24" t="n">
        <v>20</v>
      </c>
      <c r="AI24" t="n">
        <v>1</v>
      </c>
    </row>
    <row r="25">
      <c r="A25" t="inlineStr">
        <is>
          <t>当前源表</t>
        </is>
      </c>
      <c r="B25" t="inlineStr">
        <is>
          <t>无限之旅</t>
        </is>
      </c>
      <c r="C25" t="inlineStr">
        <is>
          <t>难度1</t>
        </is>
      </c>
      <c r="D25" t="inlineStr">
        <is>
          <t>难度1-层21</t>
        </is>
      </c>
      <c r="F25" t="inlineStr">
        <is>
          <t>Boss</t>
        </is>
      </c>
      <c r="G25" t="n">
        <v>82</v>
      </c>
      <c r="I25" t="n">
        <v>82</v>
      </c>
      <c r="J25" t="n">
        <v>153</v>
      </c>
      <c r="K25" s="83" t="n">
        <v>1.3877507482</v>
      </c>
      <c r="L25" s="83" t="n">
        <v>1.0947304944</v>
      </c>
      <c r="M25" s="83" t="n">
        <v>1</v>
      </c>
      <c r="N25" t="n">
        <v>1</v>
      </c>
      <c r="O25" t="n">
        <v>1</v>
      </c>
      <c r="P25" s="17" t="n">
        <v>44.4354502488853</v>
      </c>
      <c r="Q25" s="21">
        <f>IF($I25="","",IFERROR(INDEX(_玩家曲线!$H$2:$H$286,MATCH($I25,_玩家曲线!$A$2:$A$286,0)),""))</f>
        <v/>
      </c>
      <c r="R25" s="21">
        <f>IF($I25="","",IFERROR(INDEX(_玩家曲线!$I$2:$I$286,MATCH($I25,_玩家曲线!$A$2:$A$286,0)),""))</f>
        <v/>
      </c>
      <c r="S25" s="21">
        <f>IF(OR($J25="",$F25="不适用"),"",IFERROR(INDEX(_怪物模型!$D$2:$D$4501,(INT($J25)-1)*ROWS(_怪物类型!$A$2:$A$10)+MATCH($F25,_怪物类型!$A$2:$A$10,0))*IF($K25="",1,$K25),""))</f>
        <v/>
      </c>
      <c r="T25" s="21">
        <f>IF(OR($J25="",$F25="不适用"),"",IFERROR(INDEX(_怪物模型!$E$2:$E$4501,(INT($J25)-1)*ROWS(_怪物类型!$A$2:$A$10)+MATCH($F25,_怪物类型!$A$2:$A$10,0))*IF($L25="",1,$L25),""))</f>
        <v/>
      </c>
      <c r="U25" s="21">
        <f>IF(OR($J25="",$F25="不适用"),"",IFERROR(INDEX(_怪物模型!$F$2:$F$4501,(INT($J25)-1)*ROWS(_怪物类型!$A$2:$A$10)+MATCH($F25,_怪物类型!$A$2:$A$10,0))*IF($M25="",1,$M25),""))</f>
        <v/>
      </c>
      <c r="V25" s="84">
        <f>IF($U25="","",MIN(0.75,$U25/($U25+24000)))</f>
        <v/>
      </c>
      <c r="W25" s="21">
        <f>IF($S25="","",$S25/(1-$V25)*IF($N25="",1,$N25))</f>
        <v/>
      </c>
      <c r="X25" s="17">
        <f>IF(OR($W25="",$Q25="",$Q25=0),"",$W25/$Q25)</f>
        <v/>
      </c>
      <c r="Y25" s="17">
        <f>IF(OR($R25="",$T25="",$T25=0),"",$R25/($T25*IF($O25="",1,$O25)))</f>
        <v/>
      </c>
      <c r="Z25" s="17">
        <f>IF(OR($X25="",$P25="",$P25=0),"",$X25/$P25)</f>
        <v/>
      </c>
      <c r="AA25">
        <f>IF($J25="","待填怪物等级",IF(OR($I25="",$Q25=""),"待填对照关卡",IF($P25="","已计算",IF(AND($Y25&lt;&gt;"",$Y25&lt;$X25),"生存不成立",IF($Z25&lt;0.5,"碾压",IF($Z25&lt;0.8,"偏简单",IF($Z25&lt;=1.2,"适中",IF($Z25&lt;=1.5,"偏难","过难"))))))))</f>
        <v/>
      </c>
      <c r="AB25">
        <f>IF($J25="","待填",IF(AND(ISNUMBER($J25),$J25&gt;=1,$J25&lt;=500,MOD($J25,1)=0),"有效","超范围"))</f>
        <v/>
      </c>
      <c r="AC25">
        <f>IF(C25&lt;&gt;C24,"新玩法组",IF(J25&gt;=J24,"不降","回退"))</f>
        <v/>
      </c>
      <c r="AD25" t="inlineStr">
        <is>
          <t>等效进度估算S84，非解锁/首通节点；旧Lv176→145；NR_Layer 21 / 修正ID 2001｜2026-09-14 30层结构难度重设计：目标TTK/存活档内线性爬坡（整体约+25%），J等级与对照G不变；AE按60s/20s反查，无解封顶1,600,000。｜2026-09-14 等级带重排：J=153（50→200档内插值），目标曲线沿用30层重设计，K/L按新等级重拟合。｜2026-09-14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25" s="4" t="n">
        <v>307000</v>
      </c>
      <c r="AF25" s="4">
        <f>INDEX(_统一战力!$B$2:$B$501,J25)</f>
        <v/>
      </c>
      <c r="AG25" t="n">
        <v>2001</v>
      </c>
      <c r="AH25" t="n">
        <v>21</v>
      </c>
      <c r="AI25" t="n">
        <v>1</v>
      </c>
    </row>
    <row r="26">
      <c r="A26" t="inlineStr">
        <is>
          <t>当前源表</t>
        </is>
      </c>
      <c r="B26" t="inlineStr">
        <is>
          <t>无限之旅</t>
        </is>
      </c>
      <c r="C26" t="inlineStr">
        <is>
          <t>难度1</t>
        </is>
      </c>
      <c r="D26" t="inlineStr">
        <is>
          <t>难度1-层22</t>
        </is>
      </c>
      <c r="F26" t="inlineStr">
        <is>
          <t>Boss</t>
        </is>
      </c>
      <c r="G26" t="n">
        <v>86</v>
      </c>
      <c r="I26" t="n">
        <v>86</v>
      </c>
      <c r="J26" t="n">
        <v>159</v>
      </c>
      <c r="K26" s="83" t="n">
        <v>1.3752988815</v>
      </c>
      <c r="L26" s="83" t="n">
        <v>1.1108707631</v>
      </c>
      <c r="M26" s="83" t="n">
        <v>1</v>
      </c>
      <c r="N26" t="n">
        <v>1</v>
      </c>
      <c r="O26" t="n">
        <v>1</v>
      </c>
      <c r="P26" s="17" t="n">
        <v>44.7012882520538</v>
      </c>
      <c r="Q26" s="21">
        <f>IF($I26="","",IFERROR(INDEX(_玩家曲线!$H$2:$H$286,MATCH($I26,_玩家曲线!$A$2:$A$286,0)),""))</f>
        <v/>
      </c>
      <c r="R26" s="21">
        <f>IF($I26="","",IFERROR(INDEX(_玩家曲线!$I$2:$I$286,MATCH($I26,_玩家曲线!$A$2:$A$286,0)),""))</f>
        <v/>
      </c>
      <c r="S26" s="21">
        <f>IF(OR($J26="",$F26="不适用"),"",IFERROR(INDEX(_怪物模型!$D$2:$D$4501,(INT($J26)-1)*ROWS(_怪物类型!$A$2:$A$10)+MATCH($F26,_怪物类型!$A$2:$A$10,0))*IF($K26="",1,$K26),""))</f>
        <v/>
      </c>
      <c r="T26" s="21">
        <f>IF(OR($J26="",$F26="不适用"),"",IFERROR(INDEX(_怪物模型!$E$2:$E$4501,(INT($J26)-1)*ROWS(_怪物类型!$A$2:$A$10)+MATCH($F26,_怪物类型!$A$2:$A$10,0))*IF($L26="",1,$L26),""))</f>
        <v/>
      </c>
      <c r="U26" s="21">
        <f>IF(OR($J26="",$F26="不适用"),"",IFERROR(INDEX(_怪物模型!$F$2:$F$4501,(INT($J26)-1)*ROWS(_怪物类型!$A$2:$A$10)+MATCH($F26,_怪物类型!$A$2:$A$10,0))*IF($M26="",1,$M26),""))</f>
        <v/>
      </c>
      <c r="V26" s="84">
        <f>IF($U26="","",MIN(0.75,$U26/($U26+24000)))</f>
        <v/>
      </c>
      <c r="W26" s="21">
        <f>IF($S26="","",$S26/(1-$V26)*IF($N26="",1,$N26))</f>
        <v/>
      </c>
      <c r="X26" s="17">
        <f>IF(OR($W26="",$Q26="",$Q26=0),"",$W26/$Q26)</f>
        <v/>
      </c>
      <c r="Y26" s="17">
        <f>IF(OR($R26="",$T26="",$T26=0),"",$R26/($T26*IF($O26="",1,$O26)))</f>
        <v/>
      </c>
      <c r="Z26" s="17">
        <f>IF(OR($X26="",$P26="",$P26=0),"",$X26/$P26)</f>
        <v/>
      </c>
      <c r="AA26">
        <f>IF($J26="","待填怪物等级",IF(OR($I26="",$Q26=""),"待填对照关卡",IF($P26="","已计算",IF(AND($Y26&lt;&gt;"",$Y26&lt;$X26),"生存不成立",IF($Z26&lt;0.5,"碾压",IF($Z26&lt;0.8,"偏简单",IF($Z26&lt;=1.2,"适中",IF($Z26&lt;=1.5,"偏难","过难"))))))))</f>
        <v/>
      </c>
      <c r="AB26">
        <f>IF($J26="","待填",IF(AND(ISNUMBER($J26),$J26&gt;=1,$J26&lt;=500,MOD($J26,1)=0),"有效","超范围"))</f>
        <v/>
      </c>
      <c r="AC26">
        <f>IF(C26&lt;&gt;C25,"新玩法组",IF(J26&gt;=J25,"不降","回退"))</f>
        <v/>
      </c>
      <c r="AD26" t="inlineStr">
        <is>
          <t>等效进度估算S89，非解锁/首通节点；旧Lv183→151；NR_Layer 22 / 修正ID 2001｜2026-09-14 30层结构难度重设计：目标TTK/存活档内线性爬坡（整体约+25%），J等级与对照G不变；AE按60s/20s反查，无解封顶1,600,000。｜2026-09-14 等级带重排：J=159（50→200档内插值），目标曲线沿用30层重设计，K/L按新等级重拟合。｜2026-09-14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26" s="4" t="n">
        <v>332000</v>
      </c>
      <c r="AF26" s="4">
        <f>INDEX(_统一战力!$B$2:$B$501,J26)</f>
        <v/>
      </c>
      <c r="AG26" t="n">
        <v>2001</v>
      </c>
      <c r="AH26" t="n">
        <v>22</v>
      </c>
      <c r="AI26" t="n">
        <v>1</v>
      </c>
    </row>
    <row r="27">
      <c r="A27" t="inlineStr">
        <is>
          <t>当前源表</t>
        </is>
      </c>
      <c r="B27" t="inlineStr">
        <is>
          <t>无限之旅</t>
        </is>
      </c>
      <c r="C27" t="inlineStr">
        <is>
          <t>难度1</t>
        </is>
      </c>
      <c r="D27" t="inlineStr">
        <is>
          <t>难度1-层23</t>
        </is>
      </c>
      <c r="F27" t="inlineStr">
        <is>
          <t>Boss</t>
        </is>
      </c>
      <c r="G27" t="n">
        <v>92</v>
      </c>
      <c r="I27" t="n">
        <v>92</v>
      </c>
      <c r="J27" t="n">
        <v>164</v>
      </c>
      <c r="K27" s="83" t="n">
        <v>1.3836948899</v>
      </c>
      <c r="L27" s="83" t="n">
        <v>1.1339458847</v>
      </c>
      <c r="M27" s="83" t="n">
        <v>1</v>
      </c>
      <c r="N27" t="n">
        <v>1</v>
      </c>
      <c r="O27" t="n">
        <v>1</v>
      </c>
      <c r="P27" s="17" t="n">
        <v>44.7052091074597</v>
      </c>
      <c r="Q27" s="21">
        <f>IF($I27="","",IFERROR(INDEX(_玩家曲线!$H$2:$H$286,MATCH($I27,_玩家曲线!$A$2:$A$286,0)),""))</f>
        <v/>
      </c>
      <c r="R27" s="21">
        <f>IF($I27="","",IFERROR(INDEX(_玩家曲线!$I$2:$I$286,MATCH($I27,_玩家曲线!$A$2:$A$286,0)),""))</f>
        <v/>
      </c>
      <c r="S27" s="21">
        <f>IF(OR($J27="",$F27="不适用"),"",IFERROR(INDEX(_怪物模型!$D$2:$D$4501,(INT($J27)-1)*ROWS(_怪物类型!$A$2:$A$10)+MATCH($F27,_怪物类型!$A$2:$A$10,0))*IF($K27="",1,$K27),""))</f>
        <v/>
      </c>
      <c r="T27" s="21">
        <f>IF(OR($J27="",$F27="不适用"),"",IFERROR(INDEX(_怪物模型!$E$2:$E$4501,(INT($J27)-1)*ROWS(_怪物类型!$A$2:$A$10)+MATCH($F27,_怪物类型!$A$2:$A$10,0))*IF($L27="",1,$L27),""))</f>
        <v/>
      </c>
      <c r="U27" s="21">
        <f>IF(OR($J27="",$F27="不适用"),"",IFERROR(INDEX(_怪物模型!$F$2:$F$4501,(INT($J27)-1)*ROWS(_怪物类型!$A$2:$A$10)+MATCH($F27,_怪物类型!$A$2:$A$10,0))*IF($M27="",1,$M27),""))</f>
        <v/>
      </c>
      <c r="V27" s="84">
        <f>IF($U27="","",MIN(0.75,$U27/($U27+24000)))</f>
        <v/>
      </c>
      <c r="W27" s="21">
        <f>IF($S27="","",$S27/(1-$V27)*IF($N27="",1,$N27))</f>
        <v/>
      </c>
      <c r="X27" s="17">
        <f>IF(OR($W27="",$Q27="",$Q27=0),"",$W27/$Q27)</f>
        <v/>
      </c>
      <c r="Y27" s="17">
        <f>IF(OR($R27="",$T27="",$T27=0),"",$R27/($T27*IF($O27="",1,$O27)))</f>
        <v/>
      </c>
      <c r="Z27" s="17">
        <f>IF(OR($X27="",$P27="",$P27=0),"",$X27/$P27)</f>
        <v/>
      </c>
      <c r="AA27">
        <f>IF($J27="","待填怪物等级",IF(OR($I27="",$Q27=""),"待填对照关卡",IF($P27="","已计算",IF(AND($Y27&lt;&gt;"",$Y27&lt;$X27),"生存不成立",IF($Z27&lt;0.5,"碾压",IF($Z27&lt;0.8,"偏简单",IF($Z27&lt;=1.2,"适中",IF($Z27&lt;=1.5,"偏难","过难"))))))))</f>
        <v/>
      </c>
      <c r="AB27">
        <f>IF($J27="","待填",IF(AND(ISNUMBER($J27),$J27&gt;=1,$J27&lt;=500,MOD($J27,1)=0),"有效","超范围"))</f>
        <v/>
      </c>
      <c r="AC27">
        <f>IF(C27&lt;&gt;C26,"新玩法组",IF(J27&gt;=J26,"不降","回退"))</f>
        <v/>
      </c>
      <c r="AD27" t="inlineStr">
        <is>
          <t>等效进度估算S94，非解锁/首通节点；旧Lv189→156；NR_Layer 23 / 修正ID 2001｜2026-09-14 30层结构难度重设计：目标TTK/存活档内线性爬坡（整体约+25%），J等级与对照G不变；AE按60s/20s反查，无解封顶1,600,000。｜2026-09-14 等级带重排：J=164（50→200档内插值），目标曲线沿用30层重设计，K/L按新等级重拟合。｜2026-09-14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27" s="4" t="n">
        <v>364000</v>
      </c>
      <c r="AF27" s="4">
        <f>INDEX(_统一战力!$B$2:$B$501,J27)</f>
        <v/>
      </c>
      <c r="AG27" t="n">
        <v>2001</v>
      </c>
      <c r="AH27" t="n">
        <v>23</v>
      </c>
      <c r="AI27" t="n">
        <v>1</v>
      </c>
    </row>
    <row r="28">
      <c r="A28" t="inlineStr">
        <is>
          <t>当前源表</t>
        </is>
      </c>
      <c r="B28" t="inlineStr">
        <is>
          <t>无限之旅</t>
        </is>
      </c>
      <c r="C28" t="inlineStr">
        <is>
          <t>难度1</t>
        </is>
      </c>
      <c r="D28" t="inlineStr">
        <is>
          <t>难度1-层24</t>
        </is>
      </c>
      <c r="F28" t="inlineStr">
        <is>
          <t>Boss</t>
        </is>
      </c>
      <c r="G28" t="n">
        <v>97</v>
      </c>
      <c r="I28" t="n">
        <v>97</v>
      </c>
      <c r="J28" t="n">
        <v>169</v>
      </c>
      <c r="K28" s="83" t="n">
        <v>1.3912802037</v>
      </c>
      <c r="L28" s="83" t="n">
        <v>1.1560272493</v>
      </c>
      <c r="M28" s="83" t="n">
        <v>1</v>
      </c>
      <c r="N28" t="n">
        <v>1</v>
      </c>
      <c r="O28" t="n">
        <v>1</v>
      </c>
      <c r="P28" s="17" t="n">
        <v>45.1278291426989</v>
      </c>
      <c r="Q28" s="21">
        <f>IF($I28="","",IFERROR(INDEX(_玩家曲线!$H$2:$H$286,MATCH($I28,_玩家曲线!$A$2:$A$286,0)),""))</f>
        <v/>
      </c>
      <c r="R28" s="21">
        <f>IF($I28="","",IFERROR(INDEX(_玩家曲线!$I$2:$I$286,MATCH($I28,_玩家曲线!$A$2:$A$286,0)),""))</f>
        <v/>
      </c>
      <c r="S28" s="21">
        <f>IF(OR($J28="",$F28="不适用"),"",IFERROR(INDEX(_怪物模型!$D$2:$D$4501,(INT($J28)-1)*ROWS(_怪物类型!$A$2:$A$10)+MATCH($F28,_怪物类型!$A$2:$A$10,0))*IF($K28="",1,$K28),""))</f>
        <v/>
      </c>
      <c r="T28" s="21">
        <f>IF(OR($J28="",$F28="不适用"),"",IFERROR(INDEX(_怪物模型!$E$2:$E$4501,(INT($J28)-1)*ROWS(_怪物类型!$A$2:$A$10)+MATCH($F28,_怪物类型!$A$2:$A$10,0))*IF($L28="",1,$L28),""))</f>
        <v/>
      </c>
      <c r="U28" s="21">
        <f>IF(OR($J28="",$F28="不适用"),"",IFERROR(INDEX(_怪物模型!$F$2:$F$4501,(INT($J28)-1)*ROWS(_怪物类型!$A$2:$A$10)+MATCH($F28,_怪物类型!$A$2:$A$10,0))*IF($M28="",1,$M28),""))</f>
        <v/>
      </c>
      <c r="V28" s="84">
        <f>IF($U28="","",MIN(0.75,$U28/($U28+24000)))</f>
        <v/>
      </c>
      <c r="W28" s="21">
        <f>IF($S28="","",$S28/(1-$V28)*IF($N28="",1,$N28))</f>
        <v/>
      </c>
      <c r="X28" s="17">
        <f>IF(OR($W28="",$Q28="",$Q28=0),"",$W28/$Q28)</f>
        <v/>
      </c>
      <c r="Y28" s="17">
        <f>IF(OR($R28="",$T28="",$T28=0),"",$R28/($T28*IF($O28="",1,$O28)))</f>
        <v/>
      </c>
      <c r="Z28" s="17">
        <f>IF(OR($X28="",$P28="",$P28=0),"",$X28/$P28)</f>
        <v/>
      </c>
      <c r="AA28">
        <f>IF($J28="","待填怪物等级",IF(OR($I28="",$Q28=""),"待填对照关卡",IF($P28="","已计算",IF(AND($Y28&lt;&gt;"",$Y28&lt;$X28),"生存不成立",IF($Z28&lt;0.5,"碾压",IF($Z28&lt;0.8,"偏简单",IF($Z28&lt;=1.2,"适中",IF($Z28&lt;=1.5,"偏难","过难"))))))))</f>
        <v/>
      </c>
      <c r="AB28">
        <f>IF($J28="","待填",IF(AND(ISNUMBER($J28),$J28&gt;=1,$J28&lt;=500,MOD($J28,1)=0),"有效","超范围"))</f>
        <v/>
      </c>
      <c r="AC28">
        <f>IF(C28&lt;&gt;C27,"新玩法组",IF(J28&gt;=J27,"不降","回退"))</f>
        <v/>
      </c>
      <c r="AD28" t="inlineStr">
        <is>
          <t>等效进度估算S99，非解锁/首通节点；旧Lv195→161；NR_Layer 24 / 修正ID 2001｜2026-09-14 30层结构难度重设计：目标TTK/存活档内线性爬坡（整体约+25%），J等级与对照G不变；AE按60s/20s反查，无解封顶1,600,000。｜2026-09-14 等级带重排：J=169（50→200档内插值），目标曲线沿用30层重设计，K/L按新等级重拟合。｜2026-09-14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28" s="4" t="n">
        <v>392000</v>
      </c>
      <c r="AF28" s="4">
        <f>INDEX(_统一战力!$B$2:$B$501,J28)</f>
        <v/>
      </c>
      <c r="AG28" t="n">
        <v>2001</v>
      </c>
      <c r="AH28" t="n">
        <v>24</v>
      </c>
      <c r="AI28" t="n">
        <v>1</v>
      </c>
    </row>
    <row r="29">
      <c r="A29" t="inlineStr">
        <is>
          <t>当前源表</t>
        </is>
      </c>
      <c r="B29" t="inlineStr">
        <is>
          <t>无限之旅</t>
        </is>
      </c>
      <c r="C29" t="inlineStr">
        <is>
          <t>难度1</t>
        </is>
      </c>
      <c r="D29" t="inlineStr">
        <is>
          <t>难度1-层25</t>
        </is>
      </c>
      <c r="F29" t="inlineStr">
        <is>
          <t>Boss</t>
        </is>
      </c>
      <c r="G29" t="n">
        <v>102</v>
      </c>
      <c r="I29" t="n">
        <v>102</v>
      </c>
      <c r="J29" t="n">
        <v>174</v>
      </c>
      <c r="K29" s="83" t="n">
        <v>1.4084403768</v>
      </c>
      <c r="L29" s="83" t="n">
        <v>1.1762173504</v>
      </c>
      <c r="M29" s="83" t="n">
        <v>1</v>
      </c>
      <c r="N29" t="n">
        <v>1</v>
      </c>
      <c r="O29" t="n">
        <v>1</v>
      </c>
      <c r="P29" s="17" t="n">
        <v>44.962730345138</v>
      </c>
      <c r="Q29" s="21">
        <f>IF($I29="","",IFERROR(INDEX(_玩家曲线!$H$2:$H$286,MATCH($I29,_玩家曲线!$A$2:$A$286,0)),""))</f>
        <v/>
      </c>
      <c r="R29" s="21">
        <f>IF($I29="","",IFERROR(INDEX(_玩家曲线!$I$2:$I$286,MATCH($I29,_玩家曲线!$A$2:$A$286,0)),""))</f>
        <v/>
      </c>
      <c r="S29" s="21">
        <f>IF(OR($J29="",$F29="不适用"),"",IFERROR(INDEX(_怪物模型!$D$2:$D$4501,(INT($J29)-1)*ROWS(_怪物类型!$A$2:$A$10)+MATCH($F29,_怪物类型!$A$2:$A$10,0))*IF($K29="",1,$K29),""))</f>
        <v/>
      </c>
      <c r="T29" s="21">
        <f>IF(OR($J29="",$F29="不适用"),"",IFERROR(INDEX(_怪物模型!$E$2:$E$4501,(INT($J29)-1)*ROWS(_怪物类型!$A$2:$A$10)+MATCH($F29,_怪物类型!$A$2:$A$10,0))*IF($L29="",1,$L29),""))</f>
        <v/>
      </c>
      <c r="U29" s="21">
        <f>IF(OR($J29="",$F29="不适用"),"",IFERROR(INDEX(_怪物模型!$F$2:$F$4501,(INT($J29)-1)*ROWS(_怪物类型!$A$2:$A$10)+MATCH($F29,_怪物类型!$A$2:$A$10,0))*IF($M29="",1,$M29),""))</f>
        <v/>
      </c>
      <c r="V29" s="84">
        <f>IF($U29="","",MIN(0.75,$U29/($U29+24000)))</f>
        <v/>
      </c>
      <c r="W29" s="21">
        <f>IF($S29="","",$S29/(1-$V29)*IF($N29="",1,$N29))</f>
        <v/>
      </c>
      <c r="X29" s="17">
        <f>IF(OR($W29="",$Q29="",$Q29=0),"",$W29/$Q29)</f>
        <v/>
      </c>
      <c r="Y29" s="17">
        <f>IF(OR($R29="",$T29="",$T29=0),"",$R29/($T29*IF($O29="",1,$O29)))</f>
        <v/>
      </c>
      <c r="Z29" s="17">
        <f>IF(OR($X29="",$P29="",$P29=0),"",$X29/$P29)</f>
        <v/>
      </c>
      <c r="AA29">
        <f>IF($J29="","待填怪物等级",IF(OR($I29="",$Q29=""),"待填对照关卡",IF($P29="","已计算",IF(AND($Y29&lt;&gt;"",$Y29&lt;$X29),"生存不成立",IF($Z29&lt;0.5,"碾压",IF($Z29&lt;0.8,"偏简单",IF($Z29&lt;=1.2,"适中",IF($Z29&lt;=1.5,"偏难","过难"))))))))</f>
        <v/>
      </c>
      <c r="AB29">
        <f>IF($J29="","待填",IF(AND(ISNUMBER($J29),$J29&gt;=1,$J29&lt;=500,MOD($J29,1)=0),"有效","超范围"))</f>
        <v/>
      </c>
      <c r="AC29">
        <f>IF(C29&lt;&gt;C28,"新玩法组",IF(J29&gt;=J28,"不降","回退"))</f>
        <v/>
      </c>
      <c r="AD29" t="inlineStr">
        <is>
          <t>等效进度估算S103，非解锁/首通节点；旧Lv201→166；NR_Layer 25 / 修正ID 2001｜2026-09-14 30层结构难度重设计：目标TTK/存活档内线性爬坡（整体约+25%），J等级与对照G不变；AE按60s/20s反查，无解封顶1,600,000。｜2026-09-14 等级带重排：J=174（50→200档内插值），目标曲线沿用30层重设计，K/L按新等级重拟合。｜2026-09-14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29" s="4" t="n">
        <v>426000</v>
      </c>
      <c r="AF29" s="4">
        <f>INDEX(_统一战力!$B$2:$B$501,J29)</f>
        <v/>
      </c>
      <c r="AG29" t="n">
        <v>2001</v>
      </c>
      <c r="AH29" t="n">
        <v>25</v>
      </c>
      <c r="AI29" t="n">
        <v>1</v>
      </c>
    </row>
    <row r="30">
      <c r="A30" t="inlineStr">
        <is>
          <t>当前源表</t>
        </is>
      </c>
      <c r="B30" t="inlineStr">
        <is>
          <t>无限之旅</t>
        </is>
      </c>
      <c r="C30" t="inlineStr">
        <is>
          <t>难度1</t>
        </is>
      </c>
      <c r="D30" t="inlineStr">
        <is>
          <t>难度1-层26</t>
        </is>
      </c>
      <c r="F30" t="inlineStr">
        <is>
          <t>Boss</t>
        </is>
      </c>
      <c r="G30" t="n">
        <v>105</v>
      </c>
      <c r="I30" t="n">
        <v>105</v>
      </c>
      <c r="J30" t="n">
        <v>179</v>
      </c>
      <c r="K30" s="83" t="n">
        <v>1.4048097825</v>
      </c>
      <c r="L30" s="83" t="n">
        <v>1.1808887568</v>
      </c>
      <c r="M30" s="83" t="n">
        <v>1</v>
      </c>
      <c r="N30" t="n">
        <v>1</v>
      </c>
      <c r="O30" t="n">
        <v>1</v>
      </c>
      <c r="P30" s="17" t="n">
        <v>45.7373338228556</v>
      </c>
      <c r="Q30" s="21">
        <f>IF($I30="","",IFERROR(INDEX(_玩家曲线!$H$2:$H$286,MATCH($I30,_玩家曲线!$A$2:$A$286,0)),""))</f>
        <v/>
      </c>
      <c r="R30" s="21">
        <f>IF($I30="","",IFERROR(INDEX(_玩家曲线!$I$2:$I$286,MATCH($I30,_玩家曲线!$A$2:$A$286,0)),""))</f>
        <v/>
      </c>
      <c r="S30" s="21">
        <f>IF(OR($J30="",$F30="不适用"),"",IFERROR(INDEX(_怪物模型!$D$2:$D$4501,(INT($J30)-1)*ROWS(_怪物类型!$A$2:$A$10)+MATCH($F30,_怪物类型!$A$2:$A$10,0))*IF($K30="",1,$K30),""))</f>
        <v/>
      </c>
      <c r="T30" s="21">
        <f>IF(OR($J30="",$F30="不适用"),"",IFERROR(INDEX(_怪物模型!$E$2:$E$4501,(INT($J30)-1)*ROWS(_怪物类型!$A$2:$A$10)+MATCH($F30,_怪物类型!$A$2:$A$10,0))*IF($L30="",1,$L30),""))</f>
        <v/>
      </c>
      <c r="U30" s="21">
        <f>IF(OR($J30="",$F30="不适用"),"",IFERROR(INDEX(_怪物模型!$F$2:$F$4501,(INT($J30)-1)*ROWS(_怪物类型!$A$2:$A$10)+MATCH($F30,_怪物类型!$A$2:$A$10,0))*IF($M30="",1,$M30),""))</f>
        <v/>
      </c>
      <c r="V30" s="84">
        <f>IF($U30="","",MIN(0.75,$U30/($U30+24000)))</f>
        <v/>
      </c>
      <c r="W30" s="21">
        <f>IF($S30="","",$S30/(1-$V30)*IF($N30="",1,$N30))</f>
        <v/>
      </c>
      <c r="X30" s="17">
        <f>IF(OR($W30="",$Q30="",$Q30=0),"",$W30/$Q30)</f>
        <v/>
      </c>
      <c r="Y30" s="17">
        <f>IF(OR($R30="",$T30="",$T30=0),"",$R30/($T30*IF($O30="",1,$O30)))</f>
        <v/>
      </c>
      <c r="Z30" s="17">
        <f>IF(OR($X30="",$P30="",$P30=0),"",$X30/$P30)</f>
        <v/>
      </c>
      <c r="AA30">
        <f>IF($J30="","待填怪物等级",IF(OR($I30="",$Q30=""),"待填对照关卡",IF($P30="","已计算",IF(AND($Y30&lt;&gt;"",$Y30&lt;$X30),"生存不成立",IF($Z30&lt;0.5,"碾压",IF($Z30&lt;0.8,"偏简单",IF($Z30&lt;=1.2,"适中",IF($Z30&lt;=1.5,"偏难","过难"))))))))</f>
        <v/>
      </c>
      <c r="AB30">
        <f>IF($J30="","待填",IF(AND(ISNUMBER($J30),$J30&gt;=1,$J30&lt;=500,MOD($J30,1)=0),"有效","超范围"))</f>
        <v/>
      </c>
      <c r="AC30">
        <f>IF(C30&lt;&gt;C29,"新玩法组",IF(J30&gt;=J29,"不降","回退"))</f>
        <v/>
      </c>
      <c r="AD30" t="inlineStr">
        <is>
          <t>等效进度估算S106，非解锁/首通节点；旧Lv207→172；NR_Layer 26 / 修正ID 2001｜2026-09-14 30层结构难度重设计：目标TTK/存活档内线性爬坡（整体约+25%），J等级与对照G不变；AE按60s/20s反查，无解封顶1,600,000。｜2026-09-14 等级带重排：J=179（50→200档内插值），目标曲线沿用30层重设计，K/L按新等级重拟合。｜2026-09-14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30" s="4" t="n">
        <v>454000</v>
      </c>
      <c r="AF30" s="4">
        <f>INDEX(_统一战力!$B$2:$B$501,J30)</f>
        <v/>
      </c>
      <c r="AG30" t="n">
        <v>2001</v>
      </c>
      <c r="AH30" t="n">
        <v>26</v>
      </c>
      <c r="AI30" t="n">
        <v>1</v>
      </c>
    </row>
    <row r="31">
      <c r="A31" t="inlineStr">
        <is>
          <t>当前源表</t>
        </is>
      </c>
      <c r="B31" t="inlineStr">
        <is>
          <t>无限之旅</t>
        </is>
      </c>
      <c r="C31" t="inlineStr">
        <is>
          <t>难度1</t>
        </is>
      </c>
      <c r="D31" t="inlineStr">
        <is>
          <t>难度1-层27</t>
        </is>
      </c>
      <c r="F31" t="inlineStr">
        <is>
          <t>Boss</t>
        </is>
      </c>
      <c r="G31" t="n">
        <v>109</v>
      </c>
      <c r="I31" t="n">
        <v>109</v>
      </c>
      <c r="J31" t="n">
        <v>184</v>
      </c>
      <c r="K31" s="83" t="n">
        <v>1.4011441454</v>
      </c>
      <c r="L31" s="83" t="n">
        <v>1.1849821984</v>
      </c>
      <c r="M31" s="83" t="n">
        <v>1</v>
      </c>
      <c r="N31" t="n">
        <v>1</v>
      </c>
      <c r="O31" t="n">
        <v>1</v>
      </c>
      <c r="P31" s="17" t="n">
        <v>46.0081789476578</v>
      </c>
      <c r="Q31" s="21">
        <f>IF($I31="","",IFERROR(INDEX(_玩家曲线!$H$2:$H$286,MATCH($I31,_玩家曲线!$A$2:$A$286,0)),""))</f>
        <v/>
      </c>
      <c r="R31" s="21">
        <f>IF($I31="","",IFERROR(INDEX(_玩家曲线!$I$2:$I$286,MATCH($I31,_玩家曲线!$A$2:$A$286,0)),""))</f>
        <v/>
      </c>
      <c r="S31" s="21">
        <f>IF(OR($J31="",$F31="不适用"),"",IFERROR(INDEX(_怪物模型!$D$2:$D$4501,(INT($J31)-1)*ROWS(_怪物类型!$A$2:$A$10)+MATCH($F31,_怪物类型!$A$2:$A$10,0))*IF($K31="",1,$K31),""))</f>
        <v/>
      </c>
      <c r="T31" s="21">
        <f>IF(OR($J31="",$F31="不适用"),"",IFERROR(INDEX(_怪物模型!$E$2:$E$4501,(INT($J31)-1)*ROWS(_怪物类型!$A$2:$A$10)+MATCH($F31,_怪物类型!$A$2:$A$10,0))*IF($L31="",1,$L31),""))</f>
        <v/>
      </c>
      <c r="U31" s="21">
        <f>IF(OR($J31="",$F31="不适用"),"",IFERROR(INDEX(_怪物模型!$F$2:$F$4501,(INT($J31)-1)*ROWS(_怪物类型!$A$2:$A$10)+MATCH($F31,_怪物类型!$A$2:$A$10,0))*IF($M31="",1,$M31),""))</f>
        <v/>
      </c>
      <c r="V31" s="84">
        <f>IF($U31="","",MIN(0.75,$U31/($U31+24000)))</f>
        <v/>
      </c>
      <c r="W31" s="21">
        <f>IF($S31="","",$S31/(1-$V31)*IF($N31="",1,$N31))</f>
        <v/>
      </c>
      <c r="X31" s="17">
        <f>IF(OR($W31="",$Q31="",$Q31=0),"",$W31/$Q31)</f>
        <v/>
      </c>
      <c r="Y31" s="17">
        <f>IF(OR($R31="",$T31="",$T31=0),"",$R31/($T31*IF($O31="",1,$O31)))</f>
        <v/>
      </c>
      <c r="Z31" s="17">
        <f>IF(OR($X31="",$P31="",$P31=0),"",$X31/$P31)</f>
        <v/>
      </c>
      <c r="AA31">
        <f>IF($J31="","待填怪物等级",IF(OR($I31="",$Q31=""),"待填对照关卡",IF($P31="","已计算",IF(AND($Y31&lt;&gt;"",$Y31&lt;$X31),"生存不成立",IF($Z31&lt;0.5,"碾压",IF($Z31&lt;0.8,"偏简单",IF($Z31&lt;=1.2,"适中",IF($Z31&lt;=1.5,"偏难","过难"))))))))</f>
        <v/>
      </c>
      <c r="AB31">
        <f>IF($J31="","待填",IF(AND(ISNUMBER($J31),$J31&gt;=1,$J31&lt;=500,MOD($J31,1)=0),"有效","超范围"))</f>
        <v/>
      </c>
      <c r="AC31">
        <f>IF(C31&lt;&gt;C30,"新玩法组",IF(J31&gt;=J30,"不降","回退"))</f>
        <v/>
      </c>
      <c r="AD31" t="inlineStr">
        <is>
          <t>等效进度估算S109，非解锁/首通节点；旧Lv212→177；NR_Layer 27 / 修正ID 2001｜2026-09-14 30层结构难度重设计：目标TTK/存活档内线性爬坡（整体约+25%），J等级与对照G不变；AE按60s/20s反查，无解封顶1,600,000。｜2026-09-14 等级带重排：J=184（50→200档内插值），目标曲线沿用30层重设计，K/L按新等级重拟合。｜2026-09-14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31" s="4" t="n">
        <v>492000</v>
      </c>
      <c r="AF31" s="4">
        <f>INDEX(_统一战力!$B$2:$B$501,J31)</f>
        <v/>
      </c>
      <c r="AG31" t="n">
        <v>2001</v>
      </c>
      <c r="AH31" t="n">
        <v>27</v>
      </c>
      <c r="AI31" t="n">
        <v>1</v>
      </c>
    </row>
    <row r="32">
      <c r="A32" t="inlineStr">
        <is>
          <t>当前源表</t>
        </is>
      </c>
      <c r="B32" t="inlineStr">
        <is>
          <t>无限之旅</t>
        </is>
      </c>
      <c r="C32" t="inlineStr">
        <is>
          <t>难度1</t>
        </is>
      </c>
      <c r="D32" t="inlineStr">
        <is>
          <t>难度1-层28</t>
        </is>
      </c>
      <c r="F32" t="inlineStr">
        <is>
          <t>Boss</t>
        </is>
      </c>
      <c r="G32" t="n">
        <v>113</v>
      </c>
      <c r="I32" t="n">
        <v>113</v>
      </c>
      <c r="J32" t="n">
        <v>190</v>
      </c>
      <c r="K32" s="83" t="n">
        <v>1.4081935121</v>
      </c>
      <c r="L32" s="83" t="n">
        <v>1.1999311993</v>
      </c>
      <c r="M32" s="83" t="n">
        <v>1</v>
      </c>
      <c r="N32" t="n">
        <v>1</v>
      </c>
      <c r="O32" t="n">
        <v>1</v>
      </c>
      <c r="P32" s="17" t="n">
        <v>46.1974290985025</v>
      </c>
      <c r="Q32" s="21">
        <f>IF($I32="","",IFERROR(INDEX(_玩家曲线!$H$2:$H$286,MATCH($I32,_玩家曲线!$A$2:$A$286,0)),""))</f>
        <v/>
      </c>
      <c r="R32" s="21">
        <f>IF($I32="","",IFERROR(INDEX(_玩家曲线!$I$2:$I$286,MATCH($I32,_玩家曲线!$A$2:$A$286,0)),""))</f>
        <v/>
      </c>
      <c r="S32" s="21">
        <f>IF(OR($J32="",$F32="不适用"),"",IFERROR(INDEX(_怪物模型!$D$2:$D$4501,(INT($J32)-1)*ROWS(_怪物类型!$A$2:$A$10)+MATCH($F32,_怪物类型!$A$2:$A$10,0))*IF($K32="",1,$K32),""))</f>
        <v/>
      </c>
      <c r="T32" s="21">
        <f>IF(OR($J32="",$F32="不适用"),"",IFERROR(INDEX(_怪物模型!$E$2:$E$4501,(INT($J32)-1)*ROWS(_怪物类型!$A$2:$A$10)+MATCH($F32,_怪物类型!$A$2:$A$10,0))*IF($L32="",1,$L32),""))</f>
        <v/>
      </c>
      <c r="U32" s="21">
        <f>IF(OR($J32="",$F32="不适用"),"",IFERROR(INDEX(_怪物模型!$F$2:$F$4501,(INT($J32)-1)*ROWS(_怪物类型!$A$2:$A$10)+MATCH($F32,_怪物类型!$A$2:$A$10,0))*IF($M32="",1,$M32),""))</f>
        <v/>
      </c>
      <c r="V32" s="84">
        <f>IF($U32="","",MIN(0.75,$U32/($U32+24000)))</f>
        <v/>
      </c>
      <c r="W32" s="21">
        <f>IF($S32="","",$S32/(1-$V32)*IF($N32="",1,$N32))</f>
        <v/>
      </c>
      <c r="X32" s="17">
        <f>IF(OR($W32="",$Q32="",$Q32=0),"",$W32/$Q32)</f>
        <v/>
      </c>
      <c r="Y32" s="17">
        <f>IF(OR($R32="",$T32="",$T32=0),"",$R32/($T32*IF($O32="",1,$O32)))</f>
        <v/>
      </c>
      <c r="Z32" s="17">
        <f>IF(OR($X32="",$P32="",$P32=0),"",$X32/$P32)</f>
        <v/>
      </c>
      <c r="AA32">
        <f>IF($J32="","待填怪物等级",IF(OR($I32="",$Q32=""),"待填对照关卡",IF($P32="","已计算",IF(AND($Y32&lt;&gt;"",$Y32&lt;$X32),"生存不成立",IF($Z32&lt;0.5,"碾压",IF($Z32&lt;0.8,"偏简单",IF($Z32&lt;=1.2,"适中",IF($Z32&lt;=1.5,"偏难","过难"))))))))</f>
        <v/>
      </c>
      <c r="AB32">
        <f>IF($J32="","待填",IF(AND(ISNUMBER($J32),$J32&gt;=1,$J32&lt;=500,MOD($J32,1)=0),"有效","超范围"))</f>
        <v/>
      </c>
      <c r="AC32">
        <f>IF(C32&lt;&gt;C31,"新玩法组",IF(J32&gt;=J31,"不降","回退"))</f>
        <v/>
      </c>
      <c r="AD32" t="inlineStr">
        <is>
          <t>等效进度估算S113，非解锁/首通节点；旧Lv218→183；NR_Layer 28 / 修正ID 2001｜2026-09-14 30层结构难度重设计：目标TTK/存活档内线性爬坡（整体约+25%），J等级与对照G不变；AE按60s/20s反查，无解封顶1,600,000。｜2026-09-14 等级带重排：J=190（50→200档内插值），目标曲线沿用30层重设计，K/L按新等级重拟合。｜2026-09-14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32" s="4" t="n">
        <v>532000</v>
      </c>
      <c r="AF32" s="4">
        <f>INDEX(_统一战力!$B$2:$B$501,J32)</f>
        <v/>
      </c>
      <c r="AG32" t="n">
        <v>2001</v>
      </c>
      <c r="AH32" t="n">
        <v>28</v>
      </c>
      <c r="AI32" t="n">
        <v>1</v>
      </c>
    </row>
    <row r="33">
      <c r="A33" t="inlineStr">
        <is>
          <t>当前源表</t>
        </is>
      </c>
      <c r="B33" t="inlineStr">
        <is>
          <t>无限之旅</t>
        </is>
      </c>
      <c r="C33" t="inlineStr">
        <is>
          <t>难度1</t>
        </is>
      </c>
      <c r="D33" t="inlineStr">
        <is>
          <t>难度1-层29</t>
        </is>
      </c>
      <c r="F33" t="inlineStr">
        <is>
          <t>Boss</t>
        </is>
      </c>
      <c r="G33" t="n">
        <v>118</v>
      </c>
      <c r="I33" t="n">
        <v>118</v>
      </c>
      <c r="J33" t="n">
        <v>195</v>
      </c>
      <c r="K33" s="83" t="n">
        <v>1.4496549971</v>
      </c>
      <c r="L33" s="83" t="n">
        <v>1.232062858</v>
      </c>
      <c r="M33" s="83" t="n">
        <v>1</v>
      </c>
      <c r="N33" t="n">
        <v>1</v>
      </c>
      <c r="O33" t="n">
        <v>1</v>
      </c>
      <c r="P33" s="17" t="n">
        <v>45.838294511273</v>
      </c>
      <c r="Q33" s="21">
        <f>IF($I33="","",IFERROR(INDEX(_玩家曲线!$H$2:$H$286,MATCH($I33,_玩家曲线!$A$2:$A$286,0)),""))</f>
        <v/>
      </c>
      <c r="R33" s="21">
        <f>IF($I33="","",IFERROR(INDEX(_玩家曲线!$I$2:$I$286,MATCH($I33,_玩家曲线!$A$2:$A$286,0)),""))</f>
        <v/>
      </c>
      <c r="S33" s="21">
        <f>IF(OR($J33="",$F33="不适用"),"",IFERROR(INDEX(_怪物模型!$D$2:$D$4501,(INT($J33)-1)*ROWS(_怪物类型!$A$2:$A$10)+MATCH($F33,_怪物类型!$A$2:$A$10,0))*IF($K33="",1,$K33),""))</f>
        <v/>
      </c>
      <c r="T33" s="21">
        <f>IF(OR($J33="",$F33="不适用"),"",IFERROR(INDEX(_怪物模型!$E$2:$E$4501,(INT($J33)-1)*ROWS(_怪物类型!$A$2:$A$10)+MATCH($F33,_怪物类型!$A$2:$A$10,0))*IF($L33="",1,$L33),""))</f>
        <v/>
      </c>
      <c r="U33" s="21">
        <f>IF(OR($J33="",$F33="不适用"),"",IFERROR(INDEX(_怪物模型!$F$2:$F$4501,(INT($J33)-1)*ROWS(_怪物类型!$A$2:$A$10)+MATCH($F33,_怪物类型!$A$2:$A$10,0))*IF($M33="",1,$M33),""))</f>
        <v/>
      </c>
      <c r="V33" s="84">
        <f>IF($U33="","",MIN(0.75,$U33/($U33+24000)))</f>
        <v/>
      </c>
      <c r="W33" s="21">
        <f>IF($S33="","",$S33/(1-$V33)*IF($N33="",1,$N33))</f>
        <v/>
      </c>
      <c r="X33" s="17">
        <f>IF(OR($W33="",$Q33="",$Q33=0),"",$W33/$Q33)</f>
        <v/>
      </c>
      <c r="Y33" s="17">
        <f>IF(OR($R33="",$T33="",$T33=0),"",$R33/($T33*IF($O33="",1,$O33)))</f>
        <v/>
      </c>
      <c r="Z33" s="17">
        <f>IF(OR($X33="",$P33="",$P33=0),"",$X33/$P33)</f>
        <v/>
      </c>
      <c r="AA33">
        <f>IF($J33="","待填怪物等级",IF(OR($I33="",$Q33=""),"待填对照关卡",IF($P33="","已计算",IF(AND($Y33&lt;&gt;"",$Y33&lt;$X33),"生存不成立",IF($Z33&lt;0.5,"碾压",IF($Z33&lt;0.8,"偏简单",IF($Z33&lt;=1.2,"适中",IF($Z33&lt;=1.5,"偏难","过难"))))))))</f>
        <v/>
      </c>
      <c r="AB33">
        <f>IF($J33="","待填",IF(AND(ISNUMBER($J33),$J33&gt;=1,$J33&lt;=500,MOD($J33,1)=0),"有效","超范围"))</f>
        <v/>
      </c>
      <c r="AC33">
        <f>IF(C33&lt;&gt;C32,"新玩法组",IF(J33&gt;=J32,"不降","回退"))</f>
        <v/>
      </c>
      <c r="AD33" t="inlineStr">
        <is>
          <t>等效进度估算S118，非解锁/首通节点；旧Lv224→189；NR_Layer 29 / 修正ID 2001｜2026-09-14 30层结构难度重设计：目标TTK/存活档内线性爬坡（整体约+25%），J等级与对照G不变；AE按60s/20s反查，无解封顶1,600,000。｜2026-09-14 等级带重排：J=195（50→200档内插值），目标曲线沿用30层重设计，K/L按新等级重拟合。｜2026-09-14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33" s="4" t="n">
        <v>577000</v>
      </c>
      <c r="AF33" s="4">
        <f>INDEX(_统一战力!$B$2:$B$501,J33)</f>
        <v/>
      </c>
      <c r="AG33" t="n">
        <v>2001</v>
      </c>
      <c r="AH33" t="n">
        <v>29</v>
      </c>
      <c r="AI33" t="n">
        <v>1</v>
      </c>
    </row>
    <row r="34">
      <c r="A34" t="inlineStr">
        <is>
          <t>当前源表</t>
        </is>
      </c>
      <c r="B34" t="inlineStr">
        <is>
          <t>无限之旅</t>
        </is>
      </c>
      <c r="C34" t="inlineStr">
        <is>
          <t>难度1</t>
        </is>
      </c>
      <c r="D34" t="inlineStr">
        <is>
          <t>难度1-层30</t>
        </is>
      </c>
      <c r="F34" t="inlineStr">
        <is>
          <t>Boss</t>
        </is>
      </c>
      <c r="G34" t="n">
        <v>122</v>
      </c>
      <c r="I34" t="n">
        <v>122</v>
      </c>
      <c r="J34" t="n">
        <v>200</v>
      </c>
      <c r="K34" s="83" t="n">
        <v>1.4538935296</v>
      </c>
      <c r="L34" s="83" t="n">
        <v>1.239745173</v>
      </c>
      <c r="M34" s="83" t="n">
        <v>1</v>
      </c>
      <c r="N34" t="n">
        <v>1</v>
      </c>
      <c r="O34" t="n">
        <v>1</v>
      </c>
      <c r="P34" s="17" t="n">
        <v>46.0002975546321</v>
      </c>
      <c r="Q34" s="21">
        <f>IF($I34="","",IFERROR(INDEX(_玩家曲线!$H$2:$H$286,MATCH($I34,_玩家曲线!$A$2:$A$286,0)),""))</f>
        <v/>
      </c>
      <c r="R34" s="21">
        <f>IF($I34="","",IFERROR(INDEX(_玩家曲线!$I$2:$I$286,MATCH($I34,_玩家曲线!$A$2:$A$286,0)),""))</f>
        <v/>
      </c>
      <c r="S34" s="21">
        <f>IF(OR($J34="",$F34="不适用"),"",IFERROR(INDEX(_怪物模型!$D$2:$D$4501,(INT($J34)-1)*ROWS(_怪物类型!$A$2:$A$10)+MATCH($F34,_怪物类型!$A$2:$A$10,0))*IF($K34="",1,$K34),""))</f>
        <v/>
      </c>
      <c r="T34" s="21">
        <f>IF(OR($J34="",$F34="不适用"),"",IFERROR(INDEX(_怪物模型!$E$2:$E$4501,(INT($J34)-1)*ROWS(_怪物类型!$A$2:$A$10)+MATCH($F34,_怪物类型!$A$2:$A$10,0))*IF($L34="",1,$L34),""))</f>
        <v/>
      </c>
      <c r="U34" s="21">
        <f>IF(OR($J34="",$F34="不适用"),"",IFERROR(INDEX(_怪物模型!$F$2:$F$4501,(INT($J34)-1)*ROWS(_怪物类型!$A$2:$A$10)+MATCH($F34,_怪物类型!$A$2:$A$10,0))*IF($M34="",1,$M34),""))</f>
        <v/>
      </c>
      <c r="V34" s="84">
        <f>IF($U34="","",MIN(0.75,$U34/($U34+24000)))</f>
        <v/>
      </c>
      <c r="W34" s="21">
        <f>IF($S34="","",$S34/(1-$V34)*IF($N34="",1,$N34))</f>
        <v/>
      </c>
      <c r="X34" s="17">
        <f>IF(OR($W34="",$Q34="",$Q34=0),"",$W34/$Q34)</f>
        <v/>
      </c>
      <c r="Y34" s="17">
        <f>IF(OR($R34="",$T34="",$T34=0),"",$R34/($T34*IF($O34="",1,$O34)))</f>
        <v/>
      </c>
      <c r="Z34" s="17">
        <f>IF(OR($X34="",$P34="",$P34=0),"",$X34/$P34)</f>
        <v/>
      </c>
      <c r="AA34">
        <f>IF($J34="","待填怪物等级",IF(OR($I34="",$Q34=""),"待填对照关卡",IF($P34="","已计算",IF(AND($Y34&lt;&gt;"",$Y34&lt;$X34),"生存不成立",IF($Z34&lt;0.5,"碾压",IF($Z34&lt;0.8,"偏简单",IF($Z34&lt;=1.2,"适中",IF($Z34&lt;=1.5,"偏难","过难"))))))))</f>
        <v/>
      </c>
      <c r="AB34">
        <f>IF($J34="","待填",IF(AND(ISNUMBER($J34),$J34&gt;=1,$J34&lt;=500,MOD($J34,1)=0),"有效","超范围"))</f>
        <v/>
      </c>
      <c r="AC34">
        <f>IF(C34&lt;&gt;C33,"新玩法组",IF(J34&gt;=J33,"不降","回退"))</f>
        <v/>
      </c>
      <c r="AD34" t="inlineStr">
        <is>
          <t>等效进度估算S122，非解锁/首通节点；旧Lv229→194；NR_Layer 30 / 修正ID 2001｜2026-09-14 30层结构难度重设计：目标TTK/存活档内线性爬坡（整体约+25%），J等级与对照G不变；AE按60s/20s反查，无解封顶1,600,000。｜2026-09-14 等级带重排：J=200（50→200档内插值），目标曲线沿用30层重设计，K/L按新等级重拟合。｜2026-09-14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34" s="4" t="n">
        <v>613000</v>
      </c>
      <c r="AF34" s="4">
        <f>INDEX(_统一战力!$B$2:$B$501,J34)</f>
        <v/>
      </c>
      <c r="AG34" t="n">
        <v>2001</v>
      </c>
      <c r="AH34" t="n">
        <v>30</v>
      </c>
      <c r="AI34" t="n">
        <v>1</v>
      </c>
    </row>
    <row r="35">
      <c r="A35" t="inlineStr">
        <is>
          <t>当前源表</t>
        </is>
      </c>
      <c r="B35" t="inlineStr">
        <is>
          <t>无限之旅</t>
        </is>
      </c>
      <c r="C35" t="inlineStr">
        <is>
          <t>难度2</t>
        </is>
      </c>
      <c r="D35" t="inlineStr">
        <is>
          <t>难度2-层101</t>
        </is>
      </c>
      <c r="F35" t="inlineStr">
        <is>
          <t>Boss</t>
        </is>
      </c>
      <c r="G35" t="n">
        <v>71</v>
      </c>
      <c r="I35" t="n">
        <v>71</v>
      </c>
      <c r="J35" t="n">
        <v>100</v>
      </c>
      <c r="K35" s="83" t="n">
        <v>3.2176127661</v>
      </c>
      <c r="L35" s="83" t="n">
        <v>1.6932261702</v>
      </c>
      <c r="M35" s="83" t="n">
        <v>1</v>
      </c>
      <c r="N35" t="n">
        <v>1</v>
      </c>
      <c r="O35" t="n">
        <v>1</v>
      </c>
      <c r="P35" s="17" t="n">
        <v>46.3764539902756</v>
      </c>
      <c r="Q35" s="21">
        <f>IF($I35="","",IFERROR(INDEX(_玩家曲线!$H$2:$H$286,MATCH($I35,_玩家曲线!$A$2:$A$286,0)),""))</f>
        <v/>
      </c>
      <c r="R35" s="21">
        <f>IF($I35="","",IFERROR(INDEX(_玩家曲线!$I$2:$I$286,MATCH($I35,_玩家曲线!$A$2:$A$286,0)),""))</f>
        <v/>
      </c>
      <c r="S35" s="21">
        <f>IF(OR($J35="",$F35="不适用"),"",IFERROR(INDEX(_怪物模型!$D$2:$D$4501,(INT($J35)-1)*ROWS(_怪物类型!$A$2:$A$10)+MATCH($F35,_怪物类型!$A$2:$A$10,0))*IF($K35="",1,$K35),""))</f>
        <v/>
      </c>
      <c r="T35" s="21">
        <f>IF(OR($J35="",$F35="不适用"),"",IFERROR(INDEX(_怪物模型!$E$2:$E$4501,(INT($J35)-1)*ROWS(_怪物类型!$A$2:$A$10)+MATCH($F35,_怪物类型!$A$2:$A$10,0))*IF($L35="",1,$L35),""))</f>
        <v/>
      </c>
      <c r="U35" s="21">
        <f>IF(OR($J35="",$F35="不适用"),"",IFERROR(INDEX(_怪物模型!$F$2:$F$4501,(INT($J35)-1)*ROWS(_怪物类型!$A$2:$A$10)+MATCH($F35,_怪物类型!$A$2:$A$10,0))*IF($M35="",1,$M35),""))</f>
        <v/>
      </c>
      <c r="V35" s="84">
        <f>IF($U35="","",MIN(0.75,$U35/($U35+24000)))</f>
        <v/>
      </c>
      <c r="W35" s="21">
        <f>IF($S35="","",$S35/(1-$V35)*IF($N35="",1,$N35))</f>
        <v/>
      </c>
      <c r="X35" s="17">
        <f>IF(OR($W35="",$Q35="",$Q35=0),"",$W35/$Q35)</f>
        <v/>
      </c>
      <c r="Y35" s="17">
        <f>IF(OR($R35="",$T35="",$T35=0),"",$R35/($T35*IF($O35="",1,$O35)))</f>
        <v/>
      </c>
      <c r="Z35" s="17">
        <f>IF(OR($X35="",$P35="",$P35=0),"",$X35/$P35)</f>
        <v/>
      </c>
      <c r="AA35">
        <f>IF($J35="","待填怪物等级",IF(OR($I35="",$Q35=""),"待填对照关卡",IF($P35="","已计算",IF(AND($Y35&lt;&gt;"",$Y35&lt;$X35),"生存不成立",IF($Z35&lt;0.5,"碾压",IF($Z35&lt;0.8,"偏简单",IF($Z35&lt;=1.2,"适中",IF($Z35&lt;=1.5,"偏难","过难"))))))))</f>
        <v/>
      </c>
      <c r="AB35">
        <f>IF($J35="","待填",IF(AND(ISNUMBER($J35),$J35&gt;=1,$J35&lt;=500,MOD($J35,1)=0),"有效","超范围"))</f>
        <v/>
      </c>
      <c r="AC35">
        <f>IF(C35&lt;&gt;C34,"新玩法组",IF(J35&gt;=J34,"不降","回退"))</f>
        <v/>
      </c>
      <c r="AD35" t="inlineStr">
        <is>
          <t>等效进度估算S127，非解锁/首通节点；旧Lv235→201；NR_Layer 101 / 修正ID 2001｜2026-09-14 30层结构难度重设计：目标TTK/存活档内线性爬坡（整体约+25%），J等级与对照G不变；AE按60s/20s反查，无解封顶1,600,000。｜2026-09-14 等级带重排：J=150（150→300档内插值），目标曲线沿用30层重设计，K/L按新等级重拟合。｜2026-09-14 显示调整：NR_Difficult.Recommend 改按放宽口径(120s/15s)显示，难度字段与AE不变。｜2026-09-14 显示口径v2（用户指正不能按层1）：NR_Difficult显示=本难度60s口径最深可解层推荐（层111=1,580,000），难度字段不变。｜2026-09-14 显示口径v3（用户定档）：NR_Difficult显示=本难度第6/9/12/15层的AE（层9=1,330,000）。｜2026-09-14 等级带v2（用户定档）：D2 100→250 / D3 150→330 / D4 200→450（D1 50→200 不变），K/L 系数不变，难度实质下调；AE 按 60s/20s 重算。｜2026-09-14 显示口径v4（用户调低D2/D3）：层5@60s=435,000。</t>
        </is>
      </c>
      <c r="AE35" s="4" t="n">
        <v>237000</v>
      </c>
      <c r="AF35" s="4">
        <f>INDEX(_统一战力!$B$2:$B$501,J35)</f>
        <v/>
      </c>
      <c r="AG35" t="n">
        <v>2001</v>
      </c>
      <c r="AH35" t="n">
        <v>101</v>
      </c>
      <c r="AI35" t="n">
        <v>2</v>
      </c>
    </row>
    <row r="36">
      <c r="A36" t="inlineStr">
        <is>
          <t>当前源表</t>
        </is>
      </c>
      <c r="B36" t="inlineStr">
        <is>
          <t>无限之旅</t>
        </is>
      </c>
      <c r="C36" t="inlineStr">
        <is>
          <t>难度2</t>
        </is>
      </c>
      <c r="D36" t="inlineStr">
        <is>
          <t>难度2-层102</t>
        </is>
      </c>
      <c r="F36" t="inlineStr">
        <is>
          <t>Boss</t>
        </is>
      </c>
      <c r="G36" t="n">
        <v>78</v>
      </c>
      <c r="I36" t="n">
        <v>78</v>
      </c>
      <c r="J36" t="n">
        <v>105</v>
      </c>
      <c r="K36" s="83" t="n">
        <v>3.4111193326</v>
      </c>
      <c r="L36" s="83" t="n">
        <v>1.7459877468</v>
      </c>
      <c r="M36" s="83" t="n">
        <v>1</v>
      </c>
      <c r="N36" t="n">
        <v>1</v>
      </c>
      <c r="O36" t="n">
        <v>1</v>
      </c>
      <c r="P36" s="17" t="n">
        <v>46.4331692198807</v>
      </c>
      <c r="Q36" s="21">
        <f>IF($I36="","",IFERROR(INDEX(_玩家曲线!$H$2:$H$286,MATCH($I36,_玩家曲线!$A$2:$A$286,0)),""))</f>
        <v/>
      </c>
      <c r="R36" s="21">
        <f>IF($I36="","",IFERROR(INDEX(_玩家曲线!$I$2:$I$286,MATCH($I36,_玩家曲线!$A$2:$A$286,0)),""))</f>
        <v/>
      </c>
      <c r="S36" s="21">
        <f>IF(OR($J36="",$F36="不适用"),"",IFERROR(INDEX(_怪物模型!$D$2:$D$4501,(INT($J36)-1)*ROWS(_怪物类型!$A$2:$A$10)+MATCH($F36,_怪物类型!$A$2:$A$10,0))*IF($K36="",1,$K36),""))</f>
        <v/>
      </c>
      <c r="T36" s="21">
        <f>IF(OR($J36="",$F36="不适用"),"",IFERROR(INDEX(_怪物模型!$E$2:$E$4501,(INT($J36)-1)*ROWS(_怪物类型!$A$2:$A$10)+MATCH($F36,_怪物类型!$A$2:$A$10,0))*IF($L36="",1,$L36),""))</f>
        <v/>
      </c>
      <c r="U36" s="21">
        <f>IF(OR($J36="",$F36="不适用"),"",IFERROR(INDEX(_怪物模型!$F$2:$F$4501,(INT($J36)-1)*ROWS(_怪物类型!$A$2:$A$10)+MATCH($F36,_怪物类型!$A$2:$A$10,0))*IF($M36="",1,$M36),""))</f>
        <v/>
      </c>
      <c r="V36" s="84">
        <f>IF($U36="","",MIN(0.75,$U36/($U36+24000)))</f>
        <v/>
      </c>
      <c r="W36" s="21">
        <f>IF($S36="","",$S36/(1-$V36)*IF($N36="",1,$N36))</f>
        <v/>
      </c>
      <c r="X36" s="17">
        <f>IF(OR($W36="",$Q36="",$Q36=0),"",$W36/$Q36)</f>
        <v/>
      </c>
      <c r="Y36" s="17">
        <f>IF(OR($R36="",$T36="",$T36=0),"",$R36/($T36*IF($O36="",1,$O36)))</f>
        <v/>
      </c>
      <c r="Z36" s="17">
        <f>IF(OR($X36="",$P36="",$P36=0),"",$X36/$P36)</f>
        <v/>
      </c>
      <c r="AA36">
        <f>IF($J36="","待填怪物等级",IF(OR($I36="",$Q36=""),"待填对照关卡",IF($P36="","已计算",IF(AND($Y36&lt;&gt;"",$Y36&lt;$X36),"生存不成立",IF($Z36&lt;0.5,"碾压",IF($Z36&lt;0.8,"偏简单",IF($Z36&lt;=1.2,"适中",IF($Z36&lt;=1.5,"偏难","过难"))))))))</f>
        <v/>
      </c>
      <c r="AB36">
        <f>IF($J36="","待填",IF(AND(ISNUMBER($J36),$J36&gt;=1,$J36&lt;=500,MOD($J36,1)=0),"有效","超范围"))</f>
        <v/>
      </c>
      <c r="AC36">
        <f>IF(C36&lt;&gt;C35,"新玩法组",IF(J36&gt;=J35,"不降","回退"))</f>
        <v/>
      </c>
      <c r="AD36" t="inlineStr">
        <is>
          <t>等效进度估算S132，非解锁/首通节点；旧Lv240→206；NR_Layer 102 / 修正ID 2001｜2026-09-14 30层结构难度重设计：目标TTK/存活档内线性爬坡（整体约+25%），J等级与对照G不变；AE按60s/20s反查，无解封顶1,600,000。｜2026-09-14 等级带重排：J=155（150→300档内插值），目标曲线沿用30层重设计，K/L按新等级重拟合。｜2026-09-14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36" s="4" t="n">
        <v>280000</v>
      </c>
      <c r="AF36" s="4">
        <f>INDEX(_统一战力!$B$2:$B$501,J36)</f>
        <v/>
      </c>
      <c r="AG36" t="n">
        <v>2001</v>
      </c>
      <c r="AH36" t="n">
        <v>102</v>
      </c>
      <c r="AI36" t="n">
        <v>2</v>
      </c>
    </row>
    <row r="37">
      <c r="A37" t="inlineStr">
        <is>
          <t>当前源表</t>
        </is>
      </c>
      <c r="B37" t="inlineStr">
        <is>
          <t>无限之旅</t>
        </is>
      </c>
      <c r="C37" t="inlineStr">
        <is>
          <t>难度2</t>
        </is>
      </c>
      <c r="D37" t="inlineStr">
        <is>
          <t>难度2-层103</t>
        </is>
      </c>
      <c r="F37" t="inlineStr">
        <is>
          <t>Boss</t>
        </is>
      </c>
      <c r="G37" t="n">
        <v>85</v>
      </c>
      <c r="I37" t="n">
        <v>85</v>
      </c>
      <c r="J37" t="n">
        <v>110</v>
      </c>
      <c r="K37" s="83" t="n">
        <v>3.6280852393</v>
      </c>
      <c r="L37" s="83" t="n">
        <v>1.8102280328</v>
      </c>
      <c r="M37" s="83" t="n">
        <v>1</v>
      </c>
      <c r="N37" t="n">
        <v>1</v>
      </c>
      <c r="O37" t="n">
        <v>1</v>
      </c>
      <c r="P37" s="17" t="n">
        <v>46.9031617464853</v>
      </c>
      <c r="Q37" s="21">
        <f>IF($I37="","",IFERROR(INDEX(_玩家曲线!$H$2:$H$286,MATCH($I37,_玩家曲线!$A$2:$A$286,0)),""))</f>
        <v/>
      </c>
      <c r="R37" s="21">
        <f>IF($I37="","",IFERROR(INDEX(_玩家曲线!$I$2:$I$286,MATCH($I37,_玩家曲线!$A$2:$A$286,0)),""))</f>
        <v/>
      </c>
      <c r="S37" s="21">
        <f>IF(OR($J37="",$F37="不适用"),"",IFERROR(INDEX(_怪物模型!$D$2:$D$4501,(INT($J37)-1)*ROWS(_怪物类型!$A$2:$A$10)+MATCH($F37,_怪物类型!$A$2:$A$10,0))*IF($K37="",1,$K37),""))</f>
        <v/>
      </c>
      <c r="T37" s="21">
        <f>IF(OR($J37="",$F37="不适用"),"",IFERROR(INDEX(_怪物模型!$E$2:$E$4501,(INT($J37)-1)*ROWS(_怪物类型!$A$2:$A$10)+MATCH($F37,_怪物类型!$A$2:$A$10,0))*IF($L37="",1,$L37),""))</f>
        <v/>
      </c>
      <c r="U37" s="21">
        <f>IF(OR($J37="",$F37="不适用"),"",IFERROR(INDEX(_怪物模型!$F$2:$F$4501,(INT($J37)-1)*ROWS(_怪物类型!$A$2:$A$10)+MATCH($F37,_怪物类型!$A$2:$A$10,0))*IF($M37="",1,$M37),""))</f>
        <v/>
      </c>
      <c r="V37" s="84">
        <f>IF($U37="","",MIN(0.75,$U37/($U37+24000)))</f>
        <v/>
      </c>
      <c r="W37" s="21">
        <f>IF($S37="","",$S37/(1-$V37)*IF($N37="",1,$N37))</f>
        <v/>
      </c>
      <c r="X37" s="17">
        <f>IF(OR($W37="",$Q37="",$Q37=0),"",$W37/$Q37)</f>
        <v/>
      </c>
      <c r="Y37" s="17">
        <f>IF(OR($R37="",$T37="",$T37=0),"",$R37/($T37*IF($O37="",1,$O37)))</f>
        <v/>
      </c>
      <c r="Z37" s="17">
        <f>IF(OR($X37="",$P37="",$P37=0),"",$X37/$P37)</f>
        <v/>
      </c>
      <c r="AA37">
        <f>IF($J37="","待填怪物等级",IF(OR($I37="",$Q37=""),"待填对照关卡",IF($P37="","已计算",IF(AND($Y37&lt;&gt;"",$Y37&lt;$X37),"生存不成立",IF($Z37&lt;0.5,"碾压",IF($Z37&lt;0.8,"偏简单",IF($Z37&lt;=1.2,"适中",IF($Z37&lt;=1.5,"偏难","过难"))))))))</f>
        <v/>
      </c>
      <c r="AB37">
        <f>IF($J37="","待填",IF(AND(ISNUMBER($J37),$J37&gt;=1,$J37&lt;=500,MOD($J37,1)=0),"有效","超范围"))</f>
        <v/>
      </c>
      <c r="AC37">
        <f>IF(C37&lt;&gt;C36,"新玩法组",IF(J37&gt;=J36,"不降","回退"))</f>
        <v/>
      </c>
      <c r="AD37" t="inlineStr">
        <is>
          <t>等效进度估算S138，非解锁/首通节点；旧Lv246→213；NR_Layer 103 / 修正ID 2001｜2026-09-14 30层结构难度重设计：目标TTK/存活档内线性爬坡（整体约+25%），J等级与对照G不变；AE按60s/20s反查，无解封顶1,600,000。｜2026-09-14 等级带重排：J=160（150→300档内插值），目标曲线沿用30层重设计，K/L按新等级重拟合。｜2026-09-14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37" s="4" t="n">
        <v>326000</v>
      </c>
      <c r="AF37" s="4">
        <f>INDEX(_统一战力!$B$2:$B$501,J37)</f>
        <v/>
      </c>
      <c r="AG37" t="n">
        <v>2001</v>
      </c>
      <c r="AH37" t="n">
        <v>103</v>
      </c>
      <c r="AI37" t="n">
        <v>2</v>
      </c>
    </row>
    <row r="38">
      <c r="A38" t="inlineStr">
        <is>
          <t>当前源表</t>
        </is>
      </c>
      <c r="B38" t="inlineStr">
        <is>
          <t>无限之旅</t>
        </is>
      </c>
      <c r="C38" t="inlineStr">
        <is>
          <t>难度2</t>
        </is>
      </c>
      <c r="D38" t="inlineStr">
        <is>
          <t>难度2-层104</t>
        </is>
      </c>
      <c r="F38" t="inlineStr">
        <is>
          <t>Boss</t>
        </is>
      </c>
      <c r="G38" t="n">
        <v>94</v>
      </c>
      <c r="I38" t="n">
        <v>94</v>
      </c>
      <c r="J38" t="n">
        <v>116</v>
      </c>
      <c r="K38" s="83" t="n">
        <v>3.7221841165</v>
      </c>
      <c r="L38" s="83" t="n">
        <v>1.8389522361</v>
      </c>
      <c r="M38" s="83" t="n">
        <v>1</v>
      </c>
      <c r="N38" t="n">
        <v>1</v>
      </c>
      <c r="O38" t="n">
        <v>1</v>
      </c>
      <c r="P38" s="17" t="n">
        <v>47.5912124240242</v>
      </c>
      <c r="Q38" s="21">
        <f>IF($I38="","",IFERROR(INDEX(_玩家曲线!$H$2:$H$286,MATCH($I38,_玩家曲线!$A$2:$A$286,0)),""))</f>
        <v/>
      </c>
      <c r="R38" s="21">
        <f>IF($I38="","",IFERROR(INDEX(_玩家曲线!$I$2:$I$286,MATCH($I38,_玩家曲线!$A$2:$A$286,0)),""))</f>
        <v/>
      </c>
      <c r="S38" s="21">
        <f>IF(OR($J38="",$F38="不适用"),"",IFERROR(INDEX(_怪物模型!$D$2:$D$4501,(INT($J38)-1)*ROWS(_怪物类型!$A$2:$A$10)+MATCH($F38,_怪物类型!$A$2:$A$10,0))*IF($K38="",1,$K38),""))</f>
        <v/>
      </c>
      <c r="T38" s="21">
        <f>IF(OR($J38="",$F38="不适用"),"",IFERROR(INDEX(_怪物模型!$E$2:$E$4501,(INT($J38)-1)*ROWS(_怪物类型!$A$2:$A$10)+MATCH($F38,_怪物类型!$A$2:$A$10,0))*IF($L38="",1,$L38),""))</f>
        <v/>
      </c>
      <c r="U38" s="21">
        <f>IF(OR($J38="",$F38="不适用"),"",IFERROR(INDEX(_怪物模型!$F$2:$F$4501,(INT($J38)-1)*ROWS(_怪物类型!$A$2:$A$10)+MATCH($F38,_怪物类型!$A$2:$A$10,0))*IF($M38="",1,$M38),""))</f>
        <v/>
      </c>
      <c r="V38" s="84">
        <f>IF($U38="","",MIN(0.75,$U38/($U38+24000)))</f>
        <v/>
      </c>
      <c r="W38" s="21">
        <f>IF($S38="","",$S38/(1-$V38)*IF($N38="",1,$N38))</f>
        <v/>
      </c>
      <c r="X38" s="17">
        <f>IF(OR($W38="",$Q38="",$Q38=0),"",$W38/$Q38)</f>
        <v/>
      </c>
      <c r="Y38" s="17">
        <f>IF(OR($R38="",$T38="",$T38=0),"",$R38/($T38*IF($O38="",1,$O38)))</f>
        <v/>
      </c>
      <c r="Z38" s="17">
        <f>IF(OR($X38="",$P38="",$P38=0),"",$X38/$P38)</f>
        <v/>
      </c>
      <c r="AA38">
        <f>IF($J38="","待填怪物等级",IF(OR($I38="",$Q38=""),"待填对照关卡",IF($P38="","已计算",IF(AND($Y38&lt;&gt;"",$Y38&lt;$X38),"生存不成立",IF($Z38&lt;0.5,"碾压",IF($Z38&lt;0.8,"偏简单",IF($Z38&lt;=1.2,"适中",IF($Z38&lt;=1.5,"偏难","过难"))))))))</f>
        <v/>
      </c>
      <c r="AB38">
        <f>IF($J38="","待填",IF(AND(ISNUMBER($J38),$J38&gt;=1,$J38&lt;=500,MOD($J38,1)=0),"有效","超范围"))</f>
        <v/>
      </c>
      <c r="AC38">
        <f>IF(C38&lt;&gt;C37,"新玩法组",IF(J38&gt;=J37,"不降","回退"))</f>
        <v/>
      </c>
      <c r="AD38" t="inlineStr">
        <is>
          <t>等效进度估算S143，非解锁/首通节点；旧Lv251→219；NR_Layer 104 / 修正ID 2001｜2026-09-14 30层结构难度重设计：目标TTK/存活档内线性爬坡（整体约+25%），J等级与对照G不变；AE按60s/20s反查，无解封顶1,600,000。｜2026-09-14 等级带重排：J=166（150→300档内插值），目标曲线沿用30层重设计，K/L按新等级重拟合。｜2026-09-14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38" s="4" t="n">
        <v>375000</v>
      </c>
      <c r="AF38" s="4">
        <f>INDEX(_统一战力!$B$2:$B$501,J38)</f>
        <v/>
      </c>
      <c r="AG38" t="n">
        <v>2001</v>
      </c>
      <c r="AH38" t="n">
        <v>104</v>
      </c>
      <c r="AI38" t="n">
        <v>2</v>
      </c>
    </row>
    <row r="39">
      <c r="A39" t="inlineStr">
        <is>
          <t>当前源表</t>
        </is>
      </c>
      <c r="B39" t="inlineStr">
        <is>
          <t>无限之旅</t>
        </is>
      </c>
      <c r="C39" t="inlineStr">
        <is>
          <t>难度2</t>
        </is>
      </c>
      <c r="D39" t="inlineStr">
        <is>
          <t>难度2-层105</t>
        </is>
      </c>
      <c r="F39" t="inlineStr">
        <is>
          <t>Boss</t>
        </is>
      </c>
      <c r="G39" t="n">
        <v>103</v>
      </c>
      <c r="I39" t="n">
        <v>103</v>
      </c>
      <c r="J39" t="n">
        <v>121</v>
      </c>
      <c r="K39" s="83" t="n">
        <v>3.9403117927</v>
      </c>
      <c r="L39" s="83" t="n">
        <v>1.9094395066</v>
      </c>
      <c r="M39" s="83" t="n">
        <v>1</v>
      </c>
      <c r="N39" t="n">
        <v>1</v>
      </c>
      <c r="O39" t="n">
        <v>1</v>
      </c>
      <c r="P39" s="17" t="n">
        <v>47.6517799013849</v>
      </c>
      <c r="Q39" s="21">
        <f>IF($I39="","",IFERROR(INDEX(_玩家曲线!$H$2:$H$286,MATCH($I39,_玩家曲线!$A$2:$A$286,0)),""))</f>
        <v/>
      </c>
      <c r="R39" s="21">
        <f>IF($I39="","",IFERROR(INDEX(_玩家曲线!$I$2:$I$286,MATCH($I39,_玩家曲线!$A$2:$A$286,0)),""))</f>
        <v/>
      </c>
      <c r="S39" s="21">
        <f>IF(OR($J39="",$F39="不适用"),"",IFERROR(INDEX(_怪物模型!$D$2:$D$4501,(INT($J39)-1)*ROWS(_怪物类型!$A$2:$A$10)+MATCH($F39,_怪物类型!$A$2:$A$10,0))*IF($K39="",1,$K39),""))</f>
        <v/>
      </c>
      <c r="T39" s="21">
        <f>IF(OR($J39="",$F39="不适用"),"",IFERROR(INDEX(_怪物模型!$E$2:$E$4501,(INT($J39)-1)*ROWS(_怪物类型!$A$2:$A$10)+MATCH($F39,_怪物类型!$A$2:$A$10,0))*IF($L39="",1,$L39),""))</f>
        <v/>
      </c>
      <c r="U39" s="21">
        <f>IF(OR($J39="",$F39="不适用"),"",IFERROR(INDEX(_怪物模型!$F$2:$F$4501,(INT($J39)-1)*ROWS(_怪物类型!$A$2:$A$10)+MATCH($F39,_怪物类型!$A$2:$A$10,0))*IF($M39="",1,$M39),""))</f>
        <v/>
      </c>
      <c r="V39" s="84">
        <f>IF($U39="","",MIN(0.75,$U39/($U39+24000)))</f>
        <v/>
      </c>
      <c r="W39" s="21">
        <f>IF($S39="","",$S39/(1-$V39)*IF($N39="",1,$N39))</f>
        <v/>
      </c>
      <c r="X39" s="17">
        <f>IF(OR($W39="",$Q39="",$Q39=0),"",$W39/$Q39)</f>
        <v/>
      </c>
      <c r="Y39" s="17">
        <f>IF(OR($R39="",$T39="",$T39=0),"",$R39/($T39*IF($O39="",1,$O39)))</f>
        <v/>
      </c>
      <c r="Z39" s="17">
        <f>IF(OR($X39="",$P39="",$P39=0),"",$X39/$P39)</f>
        <v/>
      </c>
      <c r="AA39">
        <f>IF($J39="","待填怪物等级",IF(OR($I39="",$Q39=""),"待填对照关卡",IF($P39="","已计算",IF(AND($Y39&lt;&gt;"",$Y39&lt;$X39),"生存不成立",IF($Z39&lt;0.5,"碾压",IF($Z39&lt;0.8,"偏简单",IF($Z39&lt;=1.2,"适中",IF($Z39&lt;=1.5,"偏难","过难"))))))))</f>
        <v/>
      </c>
      <c r="AB39">
        <f>IF($J39="","待填",IF(AND(ISNUMBER($J39),$J39&gt;=1,$J39&lt;=500,MOD($J39,1)=0),"有效","超范围"))</f>
        <v/>
      </c>
      <c r="AC39">
        <f>IF(C39&lt;&gt;C38,"新玩法组",IF(J39&gt;=J38,"不降","回退"))</f>
        <v/>
      </c>
      <c r="AD39" t="inlineStr">
        <is>
          <t>等效进度估算S150，非解锁/首通节点；旧Lv256→225；NR_Layer 105 / 修正ID 2001｜2026-09-14 30层结构难度重设计：目标TTK/存活档内线性爬坡（整体约+25%），J等级与对照G不变；AE按60s/20s反查，无解封顶1,600,000。｜2026-09-14 等级带重排：J=171（150→300档内插值），目标曲线沿用30层重设计，K/L按新等级重拟合。｜2026-09-14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39" s="4" t="n">
        <v>435000</v>
      </c>
      <c r="AF39" s="4">
        <f>INDEX(_统一战力!$B$2:$B$501,J39)</f>
        <v/>
      </c>
      <c r="AG39" t="n">
        <v>2001</v>
      </c>
      <c r="AH39" t="n">
        <v>105</v>
      </c>
      <c r="AI39" t="n">
        <v>2</v>
      </c>
    </row>
    <row r="40">
      <c r="A40" t="inlineStr">
        <is>
          <t>当前源表</t>
        </is>
      </c>
      <c r="B40" t="inlineStr">
        <is>
          <t>无限之旅</t>
        </is>
      </c>
      <c r="C40" t="inlineStr">
        <is>
          <t>难度2</t>
        </is>
      </c>
      <c r="D40" t="inlineStr">
        <is>
          <t>难度2-层106</t>
        </is>
      </c>
      <c r="F40" t="inlineStr">
        <is>
          <t>Boss</t>
        </is>
      </c>
      <c r="G40" t="n">
        <v>109</v>
      </c>
      <c r="I40" t="n">
        <v>109</v>
      </c>
      <c r="J40" t="n">
        <v>126</v>
      </c>
      <c r="K40" s="83" t="n">
        <v>4.194575677</v>
      </c>
      <c r="L40" s="83" t="n">
        <v>1.9948292521</v>
      </c>
      <c r="M40" s="83" t="n">
        <v>1</v>
      </c>
      <c r="N40" t="n">
        <v>1</v>
      </c>
      <c r="O40" t="n">
        <v>1</v>
      </c>
      <c r="P40" s="17" t="n">
        <v>48.408309212921</v>
      </c>
      <c r="Q40" s="21">
        <f>IF($I40="","",IFERROR(INDEX(_玩家曲线!$H$2:$H$286,MATCH($I40,_玩家曲线!$A$2:$A$286,0)),""))</f>
        <v/>
      </c>
      <c r="R40" s="21">
        <f>IF($I40="","",IFERROR(INDEX(_玩家曲线!$I$2:$I$286,MATCH($I40,_玩家曲线!$A$2:$A$286,0)),""))</f>
        <v/>
      </c>
      <c r="S40" s="21">
        <f>IF(OR($J40="",$F40="不适用"),"",IFERROR(INDEX(_怪物模型!$D$2:$D$4501,(INT($J40)-1)*ROWS(_怪物类型!$A$2:$A$10)+MATCH($F40,_怪物类型!$A$2:$A$10,0))*IF($K40="",1,$K40),""))</f>
        <v/>
      </c>
      <c r="T40" s="21">
        <f>IF(OR($J40="",$F40="不适用"),"",IFERROR(INDEX(_怪物模型!$E$2:$E$4501,(INT($J40)-1)*ROWS(_怪物类型!$A$2:$A$10)+MATCH($F40,_怪物类型!$A$2:$A$10,0))*IF($L40="",1,$L40),""))</f>
        <v/>
      </c>
      <c r="U40" s="21">
        <f>IF(OR($J40="",$F40="不适用"),"",IFERROR(INDEX(_怪物模型!$F$2:$F$4501,(INT($J40)-1)*ROWS(_怪物类型!$A$2:$A$10)+MATCH($F40,_怪物类型!$A$2:$A$10,0))*IF($M40="",1,$M40),""))</f>
        <v/>
      </c>
      <c r="V40" s="84">
        <f>IF($U40="","",MIN(0.75,$U40/($U40+24000)))</f>
        <v/>
      </c>
      <c r="W40" s="21">
        <f>IF($S40="","",$S40/(1-$V40)*IF($N40="",1,$N40))</f>
        <v/>
      </c>
      <c r="X40" s="17">
        <f>IF(OR($W40="",$Q40="",$Q40=0),"",$W40/$Q40)</f>
        <v/>
      </c>
      <c r="Y40" s="17">
        <f>IF(OR($R40="",$T40="",$T40=0),"",$R40/($T40*IF($O40="",1,$O40)))</f>
        <v/>
      </c>
      <c r="Z40" s="17">
        <f>IF(OR($X40="",$P40="",$P40=0),"",$X40/$P40)</f>
        <v/>
      </c>
      <c r="AA40">
        <f>IF($J40="","待填怪物等级",IF(OR($I40="",$Q40=""),"待填对照关卡",IF($P40="","已计算",IF(AND($Y40&lt;&gt;"",$Y40&lt;$X40),"生存不成立",IF($Z40&lt;0.5,"碾压",IF($Z40&lt;0.8,"偏简单",IF($Z40&lt;=1.2,"适中",IF($Z40&lt;=1.5,"偏难","过难"))))))))</f>
        <v/>
      </c>
      <c r="AB40">
        <f>IF($J40="","待填",IF(AND(ISNUMBER($J40),$J40&gt;=1,$J40&lt;=500,MOD($J40,1)=0),"有效","超范围"))</f>
        <v/>
      </c>
      <c r="AC40">
        <f>IF(C40&lt;&gt;C39,"新玩法组",IF(J40&gt;=J39,"不降","回退"))</f>
        <v/>
      </c>
      <c r="AD40" t="inlineStr">
        <is>
          <t>等效进度估算S158，非解锁/首通节点；旧Lv262→233；NR_Layer 106 / 修正ID 2001｜2026-09-14 30层结构难度重设计：目标TTK/存活档内线性爬坡（整体约+25%），J等级与对照G不变；AE按60s/20s反查，无解封顶1,600,000。｜2026-09-14 等级带重排：J=176（150→300档内插值），目标曲线沿用30层重设计，K/L按新等级重拟合。｜2026-09-14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40" s="4" t="n">
        <v>492000</v>
      </c>
      <c r="AF40" s="4">
        <f>INDEX(_统一战力!$B$2:$B$501,J40)</f>
        <v/>
      </c>
      <c r="AG40" t="n">
        <v>2001</v>
      </c>
      <c r="AH40" t="n">
        <v>106</v>
      </c>
      <c r="AI40" t="n">
        <v>2</v>
      </c>
    </row>
    <row r="41">
      <c r="A41" t="inlineStr">
        <is>
          <t>当前源表</t>
        </is>
      </c>
      <c r="B41" t="inlineStr">
        <is>
          <t>无限之旅</t>
        </is>
      </c>
      <c r="C41" t="inlineStr">
        <is>
          <t>难度2</t>
        </is>
      </c>
      <c r="D41" t="inlineStr">
        <is>
          <t>难度2-层107</t>
        </is>
      </c>
      <c r="F41" t="inlineStr">
        <is>
          <t>Boss</t>
        </is>
      </c>
      <c r="G41" t="n">
        <v>116</v>
      </c>
      <c r="I41" t="n">
        <v>116</v>
      </c>
      <c r="J41" t="n">
        <v>131</v>
      </c>
      <c r="K41" s="83" t="n">
        <v>4.4038187347</v>
      </c>
      <c r="L41" s="83" t="n">
        <v>2.0669940931</v>
      </c>
      <c r="M41" s="83" t="n">
        <v>1</v>
      </c>
      <c r="N41" t="n">
        <v>1</v>
      </c>
      <c r="O41" t="n">
        <v>1</v>
      </c>
      <c r="P41" s="17" t="n">
        <v>48.974829408284</v>
      </c>
      <c r="Q41" s="21">
        <f>IF($I41="","",IFERROR(INDEX(_玩家曲线!$H$2:$H$286,MATCH($I41,_玩家曲线!$A$2:$A$286,0)),""))</f>
        <v/>
      </c>
      <c r="R41" s="21">
        <f>IF($I41="","",IFERROR(INDEX(_玩家曲线!$I$2:$I$286,MATCH($I41,_玩家曲线!$A$2:$A$286,0)),""))</f>
        <v/>
      </c>
      <c r="S41" s="21">
        <f>IF(OR($J41="",$F41="不适用"),"",IFERROR(INDEX(_怪物模型!$D$2:$D$4501,(INT($J41)-1)*ROWS(_怪物类型!$A$2:$A$10)+MATCH($F41,_怪物类型!$A$2:$A$10,0))*IF($K41="",1,$K41),""))</f>
        <v/>
      </c>
      <c r="T41" s="21">
        <f>IF(OR($J41="",$F41="不适用"),"",IFERROR(INDEX(_怪物模型!$E$2:$E$4501,(INT($J41)-1)*ROWS(_怪物类型!$A$2:$A$10)+MATCH($F41,_怪物类型!$A$2:$A$10,0))*IF($L41="",1,$L41),""))</f>
        <v/>
      </c>
      <c r="U41" s="21">
        <f>IF(OR($J41="",$F41="不适用"),"",IFERROR(INDEX(_怪物模型!$F$2:$F$4501,(INT($J41)-1)*ROWS(_怪物类型!$A$2:$A$10)+MATCH($F41,_怪物类型!$A$2:$A$10,0))*IF($M41="",1,$M41),""))</f>
        <v/>
      </c>
      <c r="V41" s="84">
        <f>IF($U41="","",MIN(0.75,$U41/($U41+24000)))</f>
        <v/>
      </c>
      <c r="W41" s="21">
        <f>IF($S41="","",$S41/(1-$V41)*IF($N41="",1,$N41))</f>
        <v/>
      </c>
      <c r="X41" s="17">
        <f>IF(OR($W41="",$Q41="",$Q41=0),"",$W41/$Q41)</f>
        <v/>
      </c>
      <c r="Y41" s="17">
        <f>IF(OR($R41="",$T41="",$T41=0),"",$R41/($T41*IF($O41="",1,$O41)))</f>
        <v/>
      </c>
      <c r="Z41" s="17">
        <f>IF(OR($X41="",$P41="",$P41=0),"",$X41/$P41)</f>
        <v/>
      </c>
      <c r="AA41">
        <f>IF($J41="","待填怪物等级",IF(OR($I41="",$Q41=""),"待填对照关卡",IF($P41="","已计算",IF(AND($Y41&lt;&gt;"",$Y41&lt;$X41),"生存不成立",IF($Z41&lt;0.5,"碾压",IF($Z41&lt;0.8,"偏简单",IF($Z41&lt;=1.2,"适中",IF($Z41&lt;=1.5,"偏难","过难"))))))))</f>
        <v/>
      </c>
      <c r="AB41">
        <f>IF($J41="","待填",IF(AND(ISNUMBER($J41),$J41&gt;=1,$J41&lt;=500,MOD($J41,1)=0),"有效","超范围"))</f>
        <v/>
      </c>
      <c r="AC41">
        <f>IF(C41&lt;&gt;C40,"新玩法组",IF(J41&gt;=J40,"不降","回退"))</f>
        <v/>
      </c>
      <c r="AD41" t="inlineStr">
        <is>
          <t>等效进度估算S166，非解锁/首通节点；旧Lv267→240；NR_Layer 107 / 修正ID 2001｜2026-09-14 30层结构难度重设计：目标TTK/存活档内线性爬坡（整体约+25%），J等级与对照G不变；AE按60s/20s反查，无解封顶1,600,000。｜2026-09-14 等级带重排：J=181（150→300档内插值），目标曲线沿用30层重设计，K/L按新等级重拟合。｜2026-09-14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41" s="4" t="n">
        <v>560000</v>
      </c>
      <c r="AF41" s="4">
        <f>INDEX(_统一战力!$B$2:$B$501,J41)</f>
        <v/>
      </c>
      <c r="AG41" t="n">
        <v>2001</v>
      </c>
      <c r="AH41" t="n">
        <v>107</v>
      </c>
      <c r="AI41" t="n">
        <v>2</v>
      </c>
    </row>
    <row r="42">
      <c r="A42" t="inlineStr">
        <is>
          <t>当前源表</t>
        </is>
      </c>
      <c r="B42" t="inlineStr">
        <is>
          <t>无限之旅</t>
        </is>
      </c>
      <c r="C42" t="inlineStr">
        <is>
          <t>难度2</t>
        </is>
      </c>
      <c r="D42" t="inlineStr">
        <is>
          <t>难度2-层108</t>
        </is>
      </c>
      <c r="F42" t="inlineStr">
        <is>
          <t>Boss</t>
        </is>
      </c>
      <c r="G42" t="n">
        <v>123</v>
      </c>
      <c r="I42" t="n">
        <v>123</v>
      </c>
      <c r="J42" t="n">
        <v>136</v>
      </c>
      <c r="K42" s="83" t="n">
        <v>4.601691945</v>
      </c>
      <c r="L42" s="83" t="n">
        <v>2.1381117164</v>
      </c>
      <c r="M42" s="83" t="n">
        <v>1</v>
      </c>
      <c r="N42" t="n">
        <v>1</v>
      </c>
      <c r="O42" t="n">
        <v>1</v>
      </c>
      <c r="P42" s="17" t="n">
        <v>49.9350960730773</v>
      </c>
      <c r="Q42" s="21">
        <f>IF($I42="","",IFERROR(INDEX(_玩家曲线!$H$2:$H$286,MATCH($I42,_玩家曲线!$A$2:$A$286,0)),""))</f>
        <v/>
      </c>
      <c r="R42" s="21">
        <f>IF($I42="","",IFERROR(INDEX(_玩家曲线!$I$2:$I$286,MATCH($I42,_玩家曲线!$A$2:$A$286,0)),""))</f>
        <v/>
      </c>
      <c r="S42" s="21">
        <f>IF(OR($J42="",$F42="不适用"),"",IFERROR(INDEX(_怪物模型!$D$2:$D$4501,(INT($J42)-1)*ROWS(_怪物类型!$A$2:$A$10)+MATCH($F42,_怪物类型!$A$2:$A$10,0))*IF($K42="",1,$K42),""))</f>
        <v/>
      </c>
      <c r="T42" s="21">
        <f>IF(OR($J42="",$F42="不适用"),"",IFERROR(INDEX(_怪物模型!$E$2:$E$4501,(INT($J42)-1)*ROWS(_怪物类型!$A$2:$A$10)+MATCH($F42,_怪物类型!$A$2:$A$10,0))*IF($L42="",1,$L42),""))</f>
        <v/>
      </c>
      <c r="U42" s="21">
        <f>IF(OR($J42="",$F42="不适用"),"",IFERROR(INDEX(_怪物模型!$F$2:$F$4501,(INT($J42)-1)*ROWS(_怪物类型!$A$2:$A$10)+MATCH($F42,_怪物类型!$A$2:$A$10,0))*IF($M42="",1,$M42),""))</f>
        <v/>
      </c>
      <c r="V42" s="84">
        <f>IF($U42="","",MIN(0.75,$U42/($U42+24000)))</f>
        <v/>
      </c>
      <c r="W42" s="21">
        <f>IF($S42="","",$S42/(1-$V42)*IF($N42="",1,$N42))</f>
        <v/>
      </c>
      <c r="X42" s="17">
        <f>IF(OR($W42="",$Q42="",$Q42=0),"",$W42/$Q42)</f>
        <v/>
      </c>
      <c r="Y42" s="17">
        <f>IF(OR($R42="",$T42="",$T42=0),"",$R42/($T42*IF($O42="",1,$O42)))</f>
        <v/>
      </c>
      <c r="Z42" s="17">
        <f>IF(OR($X42="",$P42="",$P42=0),"",$X42/$P42)</f>
        <v/>
      </c>
      <c r="AA42">
        <f>IF($J42="","待填怪物等级",IF(OR($I42="",$Q42=""),"待填对照关卡",IF($P42="","已计算",IF(AND($Y42&lt;&gt;"",$Y42&lt;$X42),"生存不成立",IF($Z42&lt;0.5,"碾压",IF($Z42&lt;0.8,"偏简单",IF($Z42&lt;=1.2,"适中",IF($Z42&lt;=1.5,"偏难","过难"))))))))</f>
        <v/>
      </c>
      <c r="AB42">
        <f>IF($J42="","待填",IF(AND(ISNUMBER($J42),$J42&gt;=1,$J42&lt;=500,MOD($J42,1)=0),"有效","超范围"))</f>
        <v/>
      </c>
      <c r="AC42">
        <f>IF(C42&lt;&gt;C41,"新玩法组",IF(J42&gt;=J41,"不降","回退"))</f>
        <v/>
      </c>
      <c r="AD42" t="inlineStr">
        <is>
          <t>等效进度估算S174，非解锁/首通节点；旧Lv272→247；NR_Layer 108 / 修正ID 2001｜2026-09-14 30层结构难度重设计：目标TTK/存活档内线性爬坡（整体约+25%），J等级与对照G不变；AE按60s/20s反查，无解封顶1,600,000。｜2026-09-14 等级带重排：J=186（150→300档内插值），目标曲线沿用30层重设计，K/L按新等级重拟合。｜2026-09-14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42" s="4" t="n">
        <v>622000</v>
      </c>
      <c r="AF42" s="4">
        <f>INDEX(_统一战力!$B$2:$B$501,J42)</f>
        <v/>
      </c>
      <c r="AG42" t="n">
        <v>2001</v>
      </c>
      <c r="AH42" t="n">
        <v>108</v>
      </c>
      <c r="AI42" t="n">
        <v>2</v>
      </c>
    </row>
    <row r="43">
      <c r="A43" t="inlineStr">
        <is>
          <t>当前源表</t>
        </is>
      </c>
      <c r="B43" t="inlineStr">
        <is>
          <t>无限之旅</t>
        </is>
      </c>
      <c r="C43" t="inlineStr">
        <is>
          <t>难度2</t>
        </is>
      </c>
      <c r="D43" t="inlineStr">
        <is>
          <t>难度2-层109</t>
        </is>
      </c>
      <c r="F43" t="inlineStr">
        <is>
          <t>Boss</t>
        </is>
      </c>
      <c r="G43" t="n">
        <v>132</v>
      </c>
      <c r="I43" t="n">
        <v>132</v>
      </c>
      <c r="J43" t="n">
        <v>141</v>
      </c>
      <c r="K43" s="83" t="n">
        <v>4.8350037643</v>
      </c>
      <c r="L43" s="83" t="n">
        <v>2.2242396904</v>
      </c>
      <c r="M43" s="83" t="n">
        <v>1</v>
      </c>
      <c r="N43" t="n">
        <v>1</v>
      </c>
      <c r="O43" t="n">
        <v>1</v>
      </c>
      <c r="P43" s="17" t="n">
        <v>50.7898114075097</v>
      </c>
      <c r="Q43" s="21">
        <f>IF($I43="","",IFERROR(INDEX(_玩家曲线!$H$2:$H$286,MATCH($I43,_玩家曲线!$A$2:$A$286,0)),""))</f>
        <v/>
      </c>
      <c r="R43" s="21">
        <f>IF($I43="","",IFERROR(INDEX(_玩家曲线!$I$2:$I$286,MATCH($I43,_玩家曲线!$A$2:$A$286,0)),""))</f>
        <v/>
      </c>
      <c r="S43" s="21">
        <f>IF(OR($J43="",$F43="不适用"),"",IFERROR(INDEX(_怪物模型!$D$2:$D$4501,(INT($J43)-1)*ROWS(_怪物类型!$A$2:$A$10)+MATCH($F43,_怪物类型!$A$2:$A$10,0))*IF($K43="",1,$K43),""))</f>
        <v/>
      </c>
      <c r="T43" s="21">
        <f>IF(OR($J43="",$F43="不适用"),"",IFERROR(INDEX(_怪物模型!$E$2:$E$4501,(INT($J43)-1)*ROWS(_怪物类型!$A$2:$A$10)+MATCH($F43,_怪物类型!$A$2:$A$10,0))*IF($L43="",1,$L43),""))</f>
        <v/>
      </c>
      <c r="U43" s="21">
        <f>IF(OR($J43="",$F43="不适用"),"",IFERROR(INDEX(_怪物模型!$F$2:$F$4501,(INT($J43)-1)*ROWS(_怪物类型!$A$2:$A$10)+MATCH($F43,_怪物类型!$A$2:$A$10,0))*IF($M43="",1,$M43),""))</f>
        <v/>
      </c>
      <c r="V43" s="84">
        <f>IF($U43="","",MIN(0.75,$U43/($U43+24000)))</f>
        <v/>
      </c>
      <c r="W43" s="21">
        <f>IF($S43="","",$S43/(1-$V43)*IF($N43="",1,$N43))</f>
        <v/>
      </c>
      <c r="X43" s="17">
        <f>IF(OR($W43="",$Q43="",$Q43=0),"",$W43/$Q43)</f>
        <v/>
      </c>
      <c r="Y43" s="17">
        <f>IF(OR($R43="",$T43="",$T43=0),"",$R43/($T43*IF($O43="",1,$O43)))</f>
        <v/>
      </c>
      <c r="Z43" s="17">
        <f>IF(OR($X43="",$P43="",$P43=0),"",$X43/$P43)</f>
        <v/>
      </c>
      <c r="AA43">
        <f>IF($J43="","待填怪物等级",IF(OR($I43="",$Q43=""),"待填对照关卡",IF($P43="","已计算",IF(AND($Y43&lt;&gt;"",$Y43&lt;$X43),"生存不成立",IF($Z43&lt;0.5,"碾压",IF($Z43&lt;0.8,"偏简单",IF($Z43&lt;=1.2,"适中",IF($Z43&lt;=1.5,"偏难","过难"))))))))</f>
        <v/>
      </c>
      <c r="AB43">
        <f>IF($J43="","待填",IF(AND(ISNUMBER($J43),$J43&gt;=1,$J43&lt;=500,MOD($J43,1)=0),"有效","超范围"))</f>
        <v/>
      </c>
      <c r="AC43">
        <f>IF(C43&lt;&gt;C42,"新玩法组",IF(J43&gt;=J42,"不降","回退"))</f>
        <v/>
      </c>
      <c r="AD43" t="inlineStr">
        <is>
          <t>等效进度估算S184，非解锁/首通节点；旧Lv277→255；NR_Layer 109 / 修正ID 2001｜2026-09-14 30层结构难度重设计：目标TTK/存活档内线性爬坡（整体约+25%），J等级与对照G不变；AE按60s/20s反查，无解封顶1,600,000。｜2026-09-14 等级带重排：J=191（150→300档内插值），目标曲线沿用30层重设计，K/L按新等级重拟合。｜2026-09-14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43" s="4" t="n">
        <v>702000</v>
      </c>
      <c r="AF43" s="4">
        <f>INDEX(_统一战力!$B$2:$B$501,J43)</f>
        <v/>
      </c>
      <c r="AG43" t="n">
        <v>2001</v>
      </c>
      <c r="AH43" t="n">
        <v>109</v>
      </c>
      <c r="AI43" t="n">
        <v>2</v>
      </c>
    </row>
    <row r="44">
      <c r="A44" t="inlineStr">
        <is>
          <t>当前源表</t>
        </is>
      </c>
      <c r="B44" t="inlineStr">
        <is>
          <t>无限之旅</t>
        </is>
      </c>
      <c r="C44" t="inlineStr">
        <is>
          <t>难度2</t>
        </is>
      </c>
      <c r="D44" t="inlineStr">
        <is>
          <t>难度2-层110</t>
        </is>
      </c>
      <c r="F44" t="inlineStr">
        <is>
          <t>Boss</t>
        </is>
      </c>
      <c r="G44" t="n">
        <v>142</v>
      </c>
      <c r="I44" t="n">
        <v>142</v>
      </c>
      <c r="J44" t="n">
        <v>147</v>
      </c>
      <c r="K44" s="83" t="n">
        <v>5.0021516056</v>
      </c>
      <c r="L44" s="83" t="n">
        <v>2.2985685786</v>
      </c>
      <c r="M44" s="83" t="n">
        <v>1</v>
      </c>
      <c r="N44" t="n">
        <v>1</v>
      </c>
      <c r="O44" t="n">
        <v>1</v>
      </c>
      <c r="P44" s="17" t="n">
        <v>51.9069697669197</v>
      </c>
      <c r="Q44" s="21">
        <f>IF($I44="","",IFERROR(INDEX(_玩家曲线!$H$2:$H$286,MATCH($I44,_玩家曲线!$A$2:$A$286,0)),""))</f>
        <v/>
      </c>
      <c r="R44" s="21">
        <f>IF($I44="","",IFERROR(INDEX(_玩家曲线!$I$2:$I$286,MATCH($I44,_玩家曲线!$A$2:$A$286,0)),""))</f>
        <v/>
      </c>
      <c r="S44" s="21">
        <f>IF(OR($J44="",$F44="不适用"),"",IFERROR(INDEX(_怪物模型!$D$2:$D$4501,(INT($J44)-1)*ROWS(_怪物类型!$A$2:$A$10)+MATCH($F44,_怪物类型!$A$2:$A$10,0))*IF($K44="",1,$K44),""))</f>
        <v/>
      </c>
      <c r="T44" s="21">
        <f>IF(OR($J44="",$F44="不适用"),"",IFERROR(INDEX(_怪物模型!$E$2:$E$4501,(INT($J44)-1)*ROWS(_怪物类型!$A$2:$A$10)+MATCH($F44,_怪物类型!$A$2:$A$10,0))*IF($L44="",1,$L44),""))</f>
        <v/>
      </c>
      <c r="U44" s="21">
        <f>IF(OR($J44="",$F44="不适用"),"",IFERROR(INDEX(_怪物模型!$F$2:$F$4501,(INT($J44)-1)*ROWS(_怪物类型!$A$2:$A$10)+MATCH($F44,_怪物类型!$A$2:$A$10,0))*IF($M44="",1,$M44),""))</f>
        <v/>
      </c>
      <c r="V44" s="84">
        <f>IF($U44="","",MIN(0.75,$U44/($U44+24000)))</f>
        <v/>
      </c>
      <c r="W44" s="21">
        <f>IF($S44="","",$S44/(1-$V44)*IF($N44="",1,$N44))</f>
        <v/>
      </c>
      <c r="X44" s="17">
        <f>IF(OR($W44="",$Q44="",$Q44=0),"",$W44/$Q44)</f>
        <v/>
      </c>
      <c r="Y44" s="17">
        <f>IF(OR($R44="",$T44="",$T44=0),"",$R44/($T44*IF($O44="",1,$O44)))</f>
        <v/>
      </c>
      <c r="Z44" s="17">
        <f>IF(OR($X44="",$P44="",$P44=0),"",$X44/$P44)</f>
        <v/>
      </c>
      <c r="AA44">
        <f>IF($J44="","待填怪物等级",IF(OR($I44="",$Q44=""),"待填对照关卡",IF($P44="","已计算",IF(AND($Y44&lt;&gt;"",$Y44&lt;$X44),"生存不成立",IF($Z44&lt;0.5,"碾压",IF($Z44&lt;0.8,"偏简单",IF($Z44&lt;=1.2,"适中",IF($Z44&lt;=1.5,"偏难","过难"))))))))</f>
        <v/>
      </c>
      <c r="AB44">
        <f>IF($J44="","待填",IF(AND(ISNUMBER($J44),$J44&gt;=1,$J44&lt;=500,MOD($J44,1)=0),"有效","超范围"))</f>
        <v/>
      </c>
      <c r="AC44">
        <f>IF(C44&lt;&gt;C43,"新玩法组",IF(J44&gt;=J43,"不降","回退"))</f>
        <v/>
      </c>
      <c r="AD44" t="inlineStr">
        <is>
          <t>等效进度估算S195，非解锁/首通节点；旧Lv282→263；NR_Layer 110 / 修正ID 2001｜2026-09-14 30层结构难度重设计：目标TTK/存活档内线性爬坡（整体约+25%），J等级与对照G不变；AE按60s/20s反查，无解封顶1,600,000。｜2026-09-14 等级带重排：J=197（150→300档内插值），目标曲线沿用30层重设计，K/L按新等级重拟合。｜2026-09-14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44" s="4" t="n">
        <v>785000</v>
      </c>
      <c r="AF44" s="4">
        <f>INDEX(_统一战力!$B$2:$B$501,J44)</f>
        <v/>
      </c>
      <c r="AG44" t="n">
        <v>2001</v>
      </c>
      <c r="AH44" t="n">
        <v>110</v>
      </c>
      <c r="AI44" t="n">
        <v>2</v>
      </c>
    </row>
    <row r="45">
      <c r="A45" t="inlineStr">
        <is>
          <t>当前源表</t>
        </is>
      </c>
      <c r="B45" t="inlineStr">
        <is>
          <t>无限之旅</t>
        </is>
      </c>
      <c r="C45" t="inlineStr">
        <is>
          <t>难度2</t>
        </is>
      </c>
      <c r="D45" t="inlineStr">
        <is>
          <t>难度2-层111</t>
        </is>
      </c>
      <c r="F45" t="inlineStr">
        <is>
          <t>Boss</t>
        </is>
      </c>
      <c r="G45" t="n">
        <v>153</v>
      </c>
      <c r="I45" t="n">
        <v>153</v>
      </c>
      <c r="J45" t="n">
        <v>152</v>
      </c>
      <c r="K45" s="83" t="n">
        <v>5.2523865151</v>
      </c>
      <c r="L45" s="83" t="n">
        <v>2.3969185082</v>
      </c>
      <c r="M45" s="83" t="n">
        <v>1</v>
      </c>
      <c r="N45" t="n">
        <v>1</v>
      </c>
      <c r="O45" t="n">
        <v>1</v>
      </c>
      <c r="P45" s="17" t="n">
        <v>53.3263976611952</v>
      </c>
      <c r="Q45" s="21">
        <f>IF($I45="","",IFERROR(INDEX(_玩家曲线!$H$2:$H$286,MATCH($I45,_玩家曲线!$A$2:$A$286,0)),""))</f>
        <v/>
      </c>
      <c r="R45" s="21">
        <f>IF($I45="","",IFERROR(INDEX(_玩家曲线!$I$2:$I$286,MATCH($I45,_玩家曲线!$A$2:$A$286,0)),""))</f>
        <v/>
      </c>
      <c r="S45" s="21">
        <f>IF(OR($J45="",$F45="不适用"),"",IFERROR(INDEX(_怪物模型!$D$2:$D$4501,(INT($J45)-1)*ROWS(_怪物类型!$A$2:$A$10)+MATCH($F45,_怪物类型!$A$2:$A$10,0))*IF($K45="",1,$K45),""))</f>
        <v/>
      </c>
      <c r="T45" s="21">
        <f>IF(OR($J45="",$F45="不适用"),"",IFERROR(INDEX(_怪物模型!$E$2:$E$4501,(INT($J45)-1)*ROWS(_怪物类型!$A$2:$A$10)+MATCH($F45,_怪物类型!$A$2:$A$10,0))*IF($L45="",1,$L45),""))</f>
        <v/>
      </c>
      <c r="U45" s="21">
        <f>IF(OR($J45="",$F45="不适用"),"",IFERROR(INDEX(_怪物模型!$F$2:$F$4501,(INT($J45)-1)*ROWS(_怪物类型!$A$2:$A$10)+MATCH($F45,_怪物类型!$A$2:$A$10,0))*IF($M45="",1,$M45),""))</f>
        <v/>
      </c>
      <c r="V45" s="84">
        <f>IF($U45="","",MIN(0.75,$U45/($U45+24000)))</f>
        <v/>
      </c>
      <c r="W45" s="21">
        <f>IF($S45="","",$S45/(1-$V45)*IF($N45="",1,$N45))</f>
        <v/>
      </c>
      <c r="X45" s="17">
        <f>IF(OR($W45="",$Q45="",$Q45=0),"",$W45/$Q45)</f>
        <v/>
      </c>
      <c r="Y45" s="17">
        <f>IF(OR($R45="",$T45="",$T45=0),"",$R45/($T45*IF($O45="",1,$O45)))</f>
        <v/>
      </c>
      <c r="Z45" s="17">
        <f>IF(OR($X45="",$P45="",$P45=0),"",$X45/$P45)</f>
        <v/>
      </c>
      <c r="AA45">
        <f>IF($J45="","待填怪物等级",IF(OR($I45="",$Q45=""),"待填对照关卡",IF($P45="","已计算",IF(AND($Y45&lt;&gt;"",$Y45&lt;$X45),"生存不成立",IF($Z45&lt;0.5,"碾压",IF($Z45&lt;0.8,"偏简单",IF($Z45&lt;=1.2,"适中",IF($Z45&lt;=1.5,"偏难","过难"))))))))</f>
        <v/>
      </c>
      <c r="AB45">
        <f>IF($J45="","待填",IF(AND(ISNUMBER($J45),$J45&gt;=1,$J45&lt;=500,MOD($J45,1)=0),"有效","超范围"))</f>
        <v/>
      </c>
      <c r="AC45">
        <f>IF(C45&lt;&gt;C44,"新玩法组",IF(J45&gt;=J44,"不降","回退"))</f>
        <v/>
      </c>
      <c r="AD45" t="inlineStr">
        <is>
          <t>等效进度估算S207，非解锁/首通节点；旧Lv287→272；NR_Layer 111 / 修正ID 2001｜2026-09-14 30层结构难度重设计：目标TTK/存活档内线性爬坡（整体约+25%），J等级与对照G不变；AE按60s/20s反查，无解封顶1,600,000。｜2026-09-14 等级带重排：J=202（150→300档内插值），目标曲线沿用30层重设计，K/L按新等级重拟合。｜2026-09-14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45" s="4" t="n">
        <v>870000</v>
      </c>
      <c r="AF45" s="4">
        <f>INDEX(_统一战力!$B$2:$B$501,J45)</f>
        <v/>
      </c>
      <c r="AG45" t="n">
        <v>2001</v>
      </c>
      <c r="AH45" t="n">
        <v>111</v>
      </c>
      <c r="AI45" t="n">
        <v>2</v>
      </c>
    </row>
    <row r="46">
      <c r="A46" t="inlineStr">
        <is>
          <t>当前源表</t>
        </is>
      </c>
      <c r="B46" t="inlineStr">
        <is>
          <t>无限之旅</t>
        </is>
      </c>
      <c r="C46" t="inlineStr">
        <is>
          <t>难度2</t>
        </is>
      </c>
      <c r="D46" t="inlineStr">
        <is>
          <t>难度2-层112</t>
        </is>
      </c>
      <c r="F46" t="inlineStr">
        <is>
          <t>Boss</t>
        </is>
      </c>
      <c r="G46" t="n">
        <v>164</v>
      </c>
      <c r="I46" t="n">
        <v>164</v>
      </c>
      <c r="J46" t="n">
        <v>157</v>
      </c>
      <c r="K46" s="83" t="n">
        <v>5.3990929547</v>
      </c>
      <c r="L46" s="83" t="n">
        <v>2.4646827139</v>
      </c>
      <c r="M46" s="83" t="n">
        <v>1</v>
      </c>
      <c r="N46" t="n">
        <v>1</v>
      </c>
      <c r="O46" t="n">
        <v>1</v>
      </c>
      <c r="P46" s="17" t="n">
        <v>54.7331508398622</v>
      </c>
      <c r="Q46" s="21">
        <f>IF($I46="","",IFERROR(INDEX(_玩家曲线!$H$2:$H$286,MATCH($I46,_玩家曲线!$A$2:$A$286,0)),""))</f>
        <v/>
      </c>
      <c r="R46" s="21">
        <f>IF($I46="","",IFERROR(INDEX(_玩家曲线!$I$2:$I$286,MATCH($I46,_玩家曲线!$A$2:$A$286,0)),""))</f>
        <v/>
      </c>
      <c r="S46" s="21">
        <f>IF(OR($J46="",$F46="不适用"),"",IFERROR(INDEX(_怪物模型!$D$2:$D$4501,(INT($J46)-1)*ROWS(_怪物类型!$A$2:$A$10)+MATCH($F46,_怪物类型!$A$2:$A$10,0))*IF($K46="",1,$K46),""))</f>
        <v/>
      </c>
      <c r="T46" s="21">
        <f>IF(OR($J46="",$F46="不适用"),"",IFERROR(INDEX(_怪物模型!$E$2:$E$4501,(INT($J46)-1)*ROWS(_怪物类型!$A$2:$A$10)+MATCH($F46,_怪物类型!$A$2:$A$10,0))*IF($L46="",1,$L46),""))</f>
        <v/>
      </c>
      <c r="U46" s="21">
        <f>IF(OR($J46="",$F46="不适用"),"",IFERROR(INDEX(_怪物模型!$F$2:$F$4501,(INT($J46)-1)*ROWS(_怪物类型!$A$2:$A$10)+MATCH($F46,_怪物类型!$A$2:$A$10,0))*IF($M46="",1,$M46),""))</f>
        <v/>
      </c>
      <c r="V46" s="84">
        <f>IF($U46="","",MIN(0.75,$U46/($U46+24000)))</f>
        <v/>
      </c>
      <c r="W46" s="21">
        <f>IF($S46="","",$S46/(1-$V46)*IF($N46="",1,$N46))</f>
        <v/>
      </c>
      <c r="X46" s="17">
        <f>IF(OR($W46="",$Q46="",$Q46=0),"",$W46/$Q46)</f>
        <v/>
      </c>
      <c r="Y46" s="17">
        <f>IF(OR($R46="",$T46="",$T46=0),"",$R46/($T46*IF($O46="",1,$O46)))</f>
        <v/>
      </c>
      <c r="Z46" s="17">
        <f>IF(OR($X46="",$P46="",$P46=0),"",$X46/$P46)</f>
        <v/>
      </c>
      <c r="AA46">
        <f>IF($J46="","待填怪物等级",IF(OR($I46="",$Q46=""),"待填对照关卡",IF($P46="","已计算",IF(AND($Y46&lt;&gt;"",$Y46&lt;$X46),"生存不成立",IF($Z46&lt;0.5,"碾压",IF($Z46&lt;0.8,"偏简单",IF($Z46&lt;=1.2,"适中",IF($Z46&lt;=1.5,"偏难","过难"))))))))</f>
        <v/>
      </c>
      <c r="AB46">
        <f>IF($J46="","待填",IF(AND(ISNUMBER($J46),$J46&gt;=1,$J46&lt;=500,MOD($J46,1)=0),"有效","超范围"))</f>
        <v/>
      </c>
      <c r="AC46">
        <f>IF(C46&lt;&gt;C45,"新玩法组",IF(J46&gt;=J45,"不降","回退"))</f>
        <v/>
      </c>
      <c r="AD46" t="inlineStr">
        <is>
          <t>等效进度估算S217，非解锁/首通节点；旧Lv291→279；NR_Layer 112 / 修正ID 2001｜2026-09-14 30层结构难度重设计：目标TTK/存活档内线性爬坡（整体约+25%），J等级与对照G不变；AE按60s/20s反查，无解封顶1,600,000。｜2026-09-14 等级带重排：J=207（150→300档内插值），目标曲线沿用30层重设计，K/L按新等级重拟合。｜2026-09-14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46" s="4" t="n">
        <v>951000</v>
      </c>
      <c r="AF46" s="4">
        <f>INDEX(_统一战力!$B$2:$B$501,J46)</f>
        <v/>
      </c>
      <c r="AG46" t="n">
        <v>2001</v>
      </c>
      <c r="AH46" t="n">
        <v>112</v>
      </c>
      <c r="AI46" t="n">
        <v>2</v>
      </c>
    </row>
    <row r="47">
      <c r="A47" t="inlineStr">
        <is>
          <t>当前源表</t>
        </is>
      </c>
      <c r="B47" t="inlineStr">
        <is>
          <t>无限之旅</t>
        </is>
      </c>
      <c r="C47" t="inlineStr">
        <is>
          <t>难度2</t>
        </is>
      </c>
      <c r="D47" t="inlineStr">
        <is>
          <t>难度2-层113</t>
        </is>
      </c>
      <c r="F47" t="inlineStr">
        <is>
          <t>Boss</t>
        </is>
      </c>
      <c r="G47" t="n">
        <v>177</v>
      </c>
      <c r="I47" t="n">
        <v>177</v>
      </c>
      <c r="J47" t="n">
        <v>162</v>
      </c>
      <c r="K47" s="83" t="n">
        <v>5.6202115367</v>
      </c>
      <c r="L47" s="83" t="n">
        <v>2.5608666668</v>
      </c>
      <c r="M47" s="83" t="n">
        <v>1</v>
      </c>
      <c r="N47" t="n">
        <v>1</v>
      </c>
      <c r="O47" t="n">
        <v>1</v>
      </c>
      <c r="P47" s="17" t="n">
        <v>56.8153661280439</v>
      </c>
      <c r="Q47" s="21">
        <f>IF($I47="","",IFERROR(INDEX(_玩家曲线!$H$2:$H$286,MATCH($I47,_玩家曲线!$A$2:$A$286,0)),""))</f>
        <v/>
      </c>
      <c r="R47" s="21">
        <f>IF($I47="","",IFERROR(INDEX(_玩家曲线!$I$2:$I$286,MATCH($I47,_玩家曲线!$A$2:$A$286,0)),""))</f>
        <v/>
      </c>
      <c r="S47" s="21">
        <f>IF(OR($J47="",$F47="不适用"),"",IFERROR(INDEX(_怪物模型!$D$2:$D$4501,(INT($J47)-1)*ROWS(_怪物类型!$A$2:$A$10)+MATCH($F47,_怪物类型!$A$2:$A$10,0))*IF($K47="",1,$K47),""))</f>
        <v/>
      </c>
      <c r="T47" s="21">
        <f>IF(OR($J47="",$F47="不适用"),"",IFERROR(INDEX(_怪物模型!$E$2:$E$4501,(INT($J47)-1)*ROWS(_怪物类型!$A$2:$A$10)+MATCH($F47,_怪物类型!$A$2:$A$10,0))*IF($L47="",1,$L47),""))</f>
        <v/>
      </c>
      <c r="U47" s="21">
        <f>IF(OR($J47="",$F47="不适用"),"",IFERROR(INDEX(_怪物模型!$F$2:$F$4501,(INT($J47)-1)*ROWS(_怪物类型!$A$2:$A$10)+MATCH($F47,_怪物类型!$A$2:$A$10,0))*IF($M47="",1,$M47),""))</f>
        <v/>
      </c>
      <c r="V47" s="84">
        <f>IF($U47="","",MIN(0.75,$U47/($U47+24000)))</f>
        <v/>
      </c>
      <c r="W47" s="21">
        <f>IF($S47="","",$S47/(1-$V47)*IF($N47="",1,$N47))</f>
        <v/>
      </c>
      <c r="X47" s="17">
        <f>IF(OR($W47="",$Q47="",$Q47=0),"",$W47/$Q47)</f>
        <v/>
      </c>
      <c r="Y47" s="17">
        <f>IF(OR($R47="",$T47="",$T47=0),"",$R47/($T47*IF($O47="",1,$O47)))</f>
        <v/>
      </c>
      <c r="Z47" s="17">
        <f>IF(OR($X47="",$P47="",$P47=0),"",$X47/$P47)</f>
        <v/>
      </c>
      <c r="AA47">
        <f>IF($J47="","待填怪物等级",IF(OR($I47="",$Q47=""),"待填对照关卡",IF($P47="","已计算",IF(AND($Y47&lt;&gt;"",$Y47&lt;$X47),"生存不成立",IF($Z47&lt;0.5,"碾压",IF($Z47&lt;0.8,"偏简单",IF($Z47&lt;=1.2,"适中",IF($Z47&lt;=1.5,"偏难","过难"))))))))</f>
        <v/>
      </c>
      <c r="AB47">
        <f>IF($J47="","待填",IF(AND(ISNUMBER($J47),$J47&gt;=1,$J47&lt;=500,MOD($J47,1)=0),"有效","超范围"))</f>
        <v/>
      </c>
      <c r="AC47">
        <f>IF(C47&lt;&gt;C46,"新玩法组",IF(J47&gt;=J46,"不降","回退"))</f>
        <v/>
      </c>
      <c r="AD47" t="inlineStr">
        <is>
          <t>等效进度估算S230，非解锁/首通节点；旧Lv296→288；NR_Layer 113 / 修正ID 2001｜2026-09-14 30层结构难度重设计：目标TTK/存活档内线性爬坡（整体约+25%），J等级与对照G不变；AE按60s/20s反查，无解封顶1,600,000。｜2026-09-14 等级带重排：J=212（150→300档内插值），目标曲线沿用30层重设计，K/L按新等级重拟合。｜2026-09-14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47" s="4" t="n">
        <v>1040000</v>
      </c>
      <c r="AF47" s="4">
        <f>INDEX(_统一战力!$B$2:$B$501,J47)</f>
        <v/>
      </c>
      <c r="AG47" t="n">
        <v>2001</v>
      </c>
      <c r="AH47" t="n">
        <v>113</v>
      </c>
      <c r="AI47" t="n">
        <v>2</v>
      </c>
    </row>
    <row r="48">
      <c r="A48" t="inlineStr">
        <is>
          <t>当前源表</t>
        </is>
      </c>
      <c r="B48" t="inlineStr">
        <is>
          <t>无限之旅</t>
        </is>
      </c>
      <c r="C48" t="inlineStr">
        <is>
          <t>难度2</t>
        </is>
      </c>
      <c r="D48" t="inlineStr">
        <is>
          <t>难度2-层114</t>
        </is>
      </c>
      <c r="F48" t="inlineStr">
        <is>
          <t>Boss</t>
        </is>
      </c>
      <c r="G48" t="n">
        <v>194</v>
      </c>
      <c r="I48" t="n">
        <v>194</v>
      </c>
      <c r="J48" t="n">
        <v>167</v>
      </c>
      <c r="K48" s="83" t="n">
        <v>5.8787064653</v>
      </c>
      <c r="L48" s="83" t="n">
        <v>2.6733499508</v>
      </c>
      <c r="M48" s="83" t="n">
        <v>1</v>
      </c>
      <c r="N48" t="n">
        <v>1</v>
      </c>
      <c r="O48" t="n">
        <v>1</v>
      </c>
      <c r="P48" s="17" t="n">
        <v>59.1331107340819</v>
      </c>
      <c r="Q48" s="21">
        <f>IF($I48="","",IFERROR(INDEX(_玩家曲线!$H$2:$H$286,MATCH($I48,_玩家曲线!$A$2:$A$286,0)),""))</f>
        <v/>
      </c>
      <c r="R48" s="21">
        <f>IF($I48="","",IFERROR(INDEX(_玩家曲线!$I$2:$I$286,MATCH($I48,_玩家曲线!$A$2:$A$286,0)),""))</f>
        <v/>
      </c>
      <c r="S48" s="21">
        <f>IF(OR($J48="",$F48="不适用"),"",IFERROR(INDEX(_怪物模型!$D$2:$D$4501,(INT($J48)-1)*ROWS(_怪物类型!$A$2:$A$10)+MATCH($F48,_怪物类型!$A$2:$A$10,0))*IF($K48="",1,$K48),""))</f>
        <v/>
      </c>
      <c r="T48" s="21">
        <f>IF(OR($J48="",$F48="不适用"),"",IFERROR(INDEX(_怪物模型!$E$2:$E$4501,(INT($J48)-1)*ROWS(_怪物类型!$A$2:$A$10)+MATCH($F48,_怪物类型!$A$2:$A$10,0))*IF($L48="",1,$L48),""))</f>
        <v/>
      </c>
      <c r="U48" s="21">
        <f>IF(OR($J48="",$F48="不适用"),"",IFERROR(INDEX(_怪物模型!$F$2:$F$4501,(INT($J48)-1)*ROWS(_怪物类型!$A$2:$A$10)+MATCH($F48,_怪物类型!$A$2:$A$10,0))*IF($M48="",1,$M48),""))</f>
        <v/>
      </c>
      <c r="V48" s="84">
        <f>IF($U48="","",MIN(0.75,$U48/($U48+24000)))</f>
        <v/>
      </c>
      <c r="W48" s="21">
        <f>IF($S48="","",$S48/(1-$V48)*IF($N48="",1,$N48))</f>
        <v/>
      </c>
      <c r="X48" s="17">
        <f>IF(OR($W48="",$Q48="",$Q48=0),"",$W48/$Q48)</f>
        <v/>
      </c>
      <c r="Y48" s="17">
        <f>IF(OR($R48="",$T48="",$T48=0),"",$R48/($T48*IF($O48="",1,$O48)))</f>
        <v/>
      </c>
      <c r="Z48" s="17">
        <f>IF(OR($X48="",$P48="",$P48=0),"",$X48/$P48)</f>
        <v/>
      </c>
      <c r="AA48">
        <f>IF($J48="","待填怪物等级",IF(OR($I48="",$Q48=""),"待填对照关卡",IF($P48="","已计算",IF(AND($Y48&lt;&gt;"",$Y48&lt;$X48),"生存不成立",IF($Z48&lt;0.5,"碾压",IF($Z48&lt;0.8,"偏简单",IF($Z48&lt;=1.2,"适中",IF($Z48&lt;=1.5,"偏难","过难"))))))))</f>
        <v/>
      </c>
      <c r="AB48">
        <f>IF($J48="","待填",IF(AND(ISNUMBER($J48),$J48&gt;=1,$J48&lt;=500,MOD($J48,1)=0),"有效","超范围"))</f>
        <v/>
      </c>
      <c r="AC48">
        <f>IF(C48&lt;&gt;C47,"新玩法组",IF(J48&gt;=J47,"不降","回退"))</f>
        <v/>
      </c>
      <c r="AD48" t="inlineStr">
        <is>
          <t>等效进度估算S245，非解锁/首通节点；旧Lv301→298；NR_Layer 114 / 修正ID 2001｜2026-09-14 30层结构难度重设计：目标TTK/存活档内线性爬坡（整体约+25%），J等级与对照G不变；AE按60s/20s反查，无解封顶1,600,000。｜2026-09-14 等级带重排：J=217（150→300档内插值），目标曲线沿用30层重设计，K/L按新等级重拟合。｜2026-09-14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48" s="4" t="n">
        <v>1150000</v>
      </c>
      <c r="AF48" s="4">
        <f>INDEX(_统一战力!$B$2:$B$501,J48)</f>
        <v/>
      </c>
      <c r="AG48" t="n">
        <v>2001</v>
      </c>
      <c r="AH48" t="n">
        <v>114</v>
      </c>
      <c r="AI48" t="n">
        <v>2</v>
      </c>
    </row>
    <row r="49">
      <c r="A49" t="inlineStr">
        <is>
          <t>当前源表</t>
        </is>
      </c>
      <c r="B49" t="inlineStr">
        <is>
          <t>无限之旅</t>
        </is>
      </c>
      <c r="C49" t="inlineStr">
        <is>
          <t>难度2</t>
        </is>
      </c>
      <c r="D49" t="inlineStr">
        <is>
          <t>难度2-层115</t>
        </is>
      </c>
      <c r="F49" t="inlineStr">
        <is>
          <t>Boss</t>
        </is>
      </c>
      <c r="G49" t="n">
        <v>209</v>
      </c>
      <c r="I49" t="n">
        <v>209</v>
      </c>
      <c r="J49" t="n">
        <v>172</v>
      </c>
      <c r="K49" s="83" t="n">
        <v>5.9881959172</v>
      </c>
      <c r="L49" s="83" t="n">
        <v>2.741545991</v>
      </c>
      <c r="M49" s="83" t="n">
        <v>1</v>
      </c>
      <c r="N49" t="n">
        <v>1</v>
      </c>
      <c r="O49" t="n">
        <v>1</v>
      </c>
      <c r="P49" s="17" t="n">
        <v>61.34735381149</v>
      </c>
      <c r="Q49" s="21">
        <f>IF($I49="","",IFERROR(INDEX(_玩家曲线!$H$2:$H$286,MATCH($I49,_玩家曲线!$A$2:$A$286,0)),""))</f>
        <v/>
      </c>
      <c r="R49" s="21">
        <f>IF($I49="","",IFERROR(INDEX(_玩家曲线!$I$2:$I$286,MATCH($I49,_玩家曲线!$A$2:$A$286,0)),""))</f>
        <v/>
      </c>
      <c r="S49" s="21">
        <f>IF(OR($J49="",$F49="不适用"),"",IFERROR(INDEX(_怪物模型!$D$2:$D$4501,(INT($J49)-1)*ROWS(_怪物类型!$A$2:$A$10)+MATCH($F49,_怪物类型!$A$2:$A$10,0))*IF($K49="",1,$K49),""))</f>
        <v/>
      </c>
      <c r="T49" s="21">
        <f>IF(OR($J49="",$F49="不适用"),"",IFERROR(INDEX(_怪物模型!$E$2:$E$4501,(INT($J49)-1)*ROWS(_怪物类型!$A$2:$A$10)+MATCH($F49,_怪物类型!$A$2:$A$10,0))*IF($L49="",1,$L49),""))</f>
        <v/>
      </c>
      <c r="U49" s="21">
        <f>IF(OR($J49="",$F49="不适用"),"",IFERROR(INDEX(_怪物模型!$F$2:$F$4501,(INT($J49)-1)*ROWS(_怪物类型!$A$2:$A$10)+MATCH($F49,_怪物类型!$A$2:$A$10,0))*IF($M49="",1,$M49),""))</f>
        <v/>
      </c>
      <c r="V49" s="84">
        <f>IF($U49="","",MIN(0.75,$U49/($U49+24000)))</f>
        <v/>
      </c>
      <c r="W49" s="21">
        <f>IF($S49="","",$S49/(1-$V49)*IF($N49="",1,$N49))</f>
        <v/>
      </c>
      <c r="X49" s="17">
        <f>IF(OR($W49="",$Q49="",$Q49=0),"",$W49/$Q49)</f>
        <v/>
      </c>
      <c r="Y49" s="17">
        <f>IF(OR($R49="",$T49="",$T49=0),"",$R49/($T49*IF($O49="",1,$O49)))</f>
        <v/>
      </c>
      <c r="Z49" s="17">
        <f>IF(OR($X49="",$P49="",$P49=0),"",$X49/$P49)</f>
        <v/>
      </c>
      <c r="AA49">
        <f>IF($J49="","待填怪物等级",IF(OR($I49="",$Q49=""),"待填对照关卡",IF($P49="","已计算",IF(AND($Y49&lt;&gt;"",$Y49&lt;$X49),"生存不成立",IF($Z49&lt;0.5,"碾压",IF($Z49&lt;0.8,"偏简单",IF($Z49&lt;=1.2,"适中",IF($Z49&lt;=1.5,"偏难","过难"))))))))</f>
        <v/>
      </c>
      <c r="AB49">
        <f>IF($J49="","待填",IF(AND(ISNUMBER($J49),$J49&gt;=1,$J49&lt;=500,MOD($J49,1)=0),"有效","超范围"))</f>
        <v/>
      </c>
      <c r="AC49">
        <f>IF(C49&lt;&gt;C48,"新玩法组",IF(J49&gt;=J48,"不降","回退"))</f>
        <v/>
      </c>
      <c r="AD49" t="inlineStr">
        <is>
          <t>等效进度估算S256，非解锁/首通节点；旧Lv305→306；NR_Layer 115 / 修正ID 2001｜2026-09-14 30层结构难度重设计：目标TTK/存活档内线性爬坡（整体约+25%），J等级与对照G不变；AE按60s/20s反查，无解封顶1,600,000。｜2026-09-14 等级带重排：J=222（150→300档内插值），目标曲线沿用30层重设计，K/L按新等级重拟合。｜2026-09-14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49" s="4" t="n">
        <v>1240000</v>
      </c>
      <c r="AF49" s="4">
        <f>INDEX(_统一战力!$B$2:$B$501,J49)</f>
        <v/>
      </c>
      <c r="AG49" t="n">
        <v>2001</v>
      </c>
      <c r="AH49" t="n">
        <v>115</v>
      </c>
      <c r="AI49" t="n">
        <v>2</v>
      </c>
    </row>
    <row r="50">
      <c r="A50" t="inlineStr">
        <is>
          <t>当前源表</t>
        </is>
      </c>
      <c r="B50" t="inlineStr">
        <is>
          <t>无限之旅</t>
        </is>
      </c>
      <c r="C50" t="inlineStr">
        <is>
          <t>难度2</t>
        </is>
      </c>
      <c r="D50" t="inlineStr">
        <is>
          <t>难度2-层116</t>
        </is>
      </c>
      <c r="F50" t="inlineStr">
        <is>
          <t>Boss</t>
        </is>
      </c>
      <c r="G50" t="n">
        <v>228</v>
      </c>
      <c r="I50" t="n">
        <v>228</v>
      </c>
      <c r="J50" t="n">
        <v>178</v>
      </c>
      <c r="K50" s="83" t="n">
        <v>6.0815134115</v>
      </c>
      <c r="L50" s="83" t="n">
        <v>2.8162694331</v>
      </c>
      <c r="M50" s="83" t="n">
        <v>1</v>
      </c>
      <c r="N50" t="n">
        <v>1</v>
      </c>
      <c r="O50" t="n">
        <v>1</v>
      </c>
      <c r="P50" s="17" t="n">
        <v>64.4056633538983</v>
      </c>
      <c r="Q50" s="21">
        <f>IF($I50="","",IFERROR(INDEX(_玩家曲线!$H$2:$H$286,MATCH($I50,_玩家曲线!$A$2:$A$286,0)),""))</f>
        <v/>
      </c>
      <c r="R50" s="21">
        <f>IF($I50="","",IFERROR(INDEX(_玩家曲线!$I$2:$I$286,MATCH($I50,_玩家曲线!$A$2:$A$286,0)),""))</f>
        <v/>
      </c>
      <c r="S50" s="21">
        <f>IF(OR($J50="",$F50="不适用"),"",IFERROR(INDEX(_怪物模型!$D$2:$D$4501,(INT($J50)-1)*ROWS(_怪物类型!$A$2:$A$10)+MATCH($F50,_怪物类型!$A$2:$A$10,0))*IF($K50="",1,$K50),""))</f>
        <v/>
      </c>
      <c r="T50" s="21">
        <f>IF(OR($J50="",$F50="不适用"),"",IFERROR(INDEX(_怪物模型!$E$2:$E$4501,(INT($J50)-1)*ROWS(_怪物类型!$A$2:$A$10)+MATCH($F50,_怪物类型!$A$2:$A$10,0))*IF($L50="",1,$L50),""))</f>
        <v/>
      </c>
      <c r="U50" s="21">
        <f>IF(OR($J50="",$F50="不适用"),"",IFERROR(INDEX(_怪物模型!$F$2:$F$4501,(INT($J50)-1)*ROWS(_怪物类型!$A$2:$A$10)+MATCH($F50,_怪物类型!$A$2:$A$10,0))*IF($M50="",1,$M50),""))</f>
        <v/>
      </c>
      <c r="V50" s="84">
        <f>IF($U50="","",MIN(0.75,$U50/($U50+24000)))</f>
        <v/>
      </c>
      <c r="W50" s="21">
        <f>IF($S50="","",$S50/(1-$V50)*IF($N50="",1,$N50))</f>
        <v/>
      </c>
      <c r="X50" s="17">
        <f>IF(OR($W50="",$Q50="",$Q50=0),"",$W50/$Q50)</f>
        <v/>
      </c>
      <c r="Y50" s="17">
        <f>IF(OR($R50="",$T50="",$T50=0),"",$R50/($T50*IF($O50="",1,$O50)))</f>
        <v/>
      </c>
      <c r="Z50" s="17">
        <f>IF(OR($X50="",$P50="",$P50=0),"",$X50/$P50)</f>
        <v/>
      </c>
      <c r="AA50">
        <f>IF($J50="","待填怪物等级",IF(OR($I50="",$Q50=""),"待填对照关卡",IF($P50="","已计算",IF(AND($Y50&lt;&gt;"",$Y50&lt;$X50),"生存不成立",IF($Z50&lt;0.5,"碾压",IF($Z50&lt;0.8,"偏简单",IF($Z50&lt;=1.2,"适中",IF($Z50&lt;=1.5,"偏难","过难"))))))))</f>
        <v/>
      </c>
      <c r="AB50">
        <f>IF($J50="","待填",IF(AND(ISNUMBER($J50),$J50&gt;=1,$J50&lt;=500,MOD($J50,1)=0),"有效","超范围"))</f>
        <v/>
      </c>
      <c r="AC50">
        <f>IF(C50&lt;&gt;C49,"新玩法组",IF(J50&gt;=J49,"不降","回退"))</f>
        <v/>
      </c>
      <c r="AD50" t="inlineStr">
        <is>
          <t>等效进度估算S270，非解锁/首通节点；旧Lv310→316；NR_Layer 116 / 修正ID 2001｜2026-09-14 30层结构难度重设计：目标TTK/存活档内线性爬坡（整体约+25%），J等级与对照G不变；AE按60s/20s反查，无解封顶1,600,000。｜2026-09-14 等级带重排：J=228（150→300档内插值），目标曲线沿用30层重设计，K/L按新等级重拟合。｜2026-09-14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50" s="4" t="n">
        <v>1340000</v>
      </c>
      <c r="AF50" s="4">
        <f>INDEX(_统一战力!$B$2:$B$501,J50)</f>
        <v/>
      </c>
      <c r="AG50" t="n">
        <v>2001</v>
      </c>
      <c r="AH50" t="n">
        <v>116</v>
      </c>
      <c r="AI50" t="n">
        <v>2</v>
      </c>
    </row>
    <row r="51">
      <c r="A51" t="inlineStr">
        <is>
          <t>当前源表</t>
        </is>
      </c>
      <c r="B51" t="inlineStr">
        <is>
          <t>无限之旅</t>
        </is>
      </c>
      <c r="C51" t="inlineStr">
        <is>
          <t>难度2</t>
        </is>
      </c>
      <c r="D51" t="inlineStr">
        <is>
          <t>难度2-层117</t>
        </is>
      </c>
      <c r="F51" t="inlineStr">
        <is>
          <t>Boss</t>
        </is>
      </c>
      <c r="G51" t="n">
        <v>242</v>
      </c>
      <c r="I51" t="n">
        <v>242</v>
      </c>
      <c r="J51" t="n">
        <v>183</v>
      </c>
      <c r="K51" s="83" t="n">
        <v>6.0755521856</v>
      </c>
      <c r="L51" s="83" t="n">
        <v>2.8550372734</v>
      </c>
      <c r="M51" s="83" t="n">
        <v>1</v>
      </c>
      <c r="N51" t="n">
        <v>1</v>
      </c>
      <c r="O51" t="n">
        <v>1</v>
      </c>
      <c r="P51" s="17" t="n">
        <v>67.2230574858507</v>
      </c>
      <c r="Q51" s="21">
        <f>IF($I51="","",IFERROR(INDEX(_玩家曲线!$H$2:$H$286,MATCH($I51,_玩家曲线!$A$2:$A$286,0)),""))</f>
        <v/>
      </c>
      <c r="R51" s="21">
        <f>IF($I51="","",IFERROR(INDEX(_玩家曲线!$I$2:$I$286,MATCH($I51,_玩家曲线!$A$2:$A$286,0)),""))</f>
        <v/>
      </c>
      <c r="S51" s="21">
        <f>IF(OR($J51="",$F51="不适用"),"",IFERROR(INDEX(_怪物模型!$D$2:$D$4501,(INT($J51)-1)*ROWS(_怪物类型!$A$2:$A$10)+MATCH($F51,_怪物类型!$A$2:$A$10,0))*IF($K51="",1,$K51),""))</f>
        <v/>
      </c>
      <c r="T51" s="21">
        <f>IF(OR($J51="",$F51="不适用"),"",IFERROR(INDEX(_怪物模型!$E$2:$E$4501,(INT($J51)-1)*ROWS(_怪物类型!$A$2:$A$10)+MATCH($F51,_怪物类型!$A$2:$A$10,0))*IF($L51="",1,$L51),""))</f>
        <v/>
      </c>
      <c r="U51" s="21">
        <f>IF(OR($J51="",$F51="不适用"),"",IFERROR(INDEX(_怪物模型!$F$2:$F$4501,(INT($J51)-1)*ROWS(_怪物类型!$A$2:$A$10)+MATCH($F51,_怪物类型!$A$2:$A$10,0))*IF($M51="",1,$M51),""))</f>
        <v/>
      </c>
      <c r="V51" s="84">
        <f>IF($U51="","",MIN(0.75,$U51/($U51+24000)))</f>
        <v/>
      </c>
      <c r="W51" s="21">
        <f>IF($S51="","",$S51/(1-$V51)*IF($N51="",1,$N51))</f>
        <v/>
      </c>
      <c r="X51" s="17">
        <f>IF(OR($W51="",$Q51="",$Q51=0),"",$W51/$Q51)</f>
        <v/>
      </c>
      <c r="Y51" s="17">
        <f>IF(OR($R51="",$T51="",$T51=0),"",$R51/($T51*IF($O51="",1,$O51)))</f>
        <v/>
      </c>
      <c r="Z51" s="17">
        <f>IF(OR($X51="",$P51="",$P51=0),"",$X51/$P51)</f>
        <v/>
      </c>
      <c r="AA51">
        <f>IF($J51="","待填怪物等级",IF(OR($I51="",$Q51=""),"待填对照关卡",IF($P51="","已计算",IF(AND($Y51&lt;&gt;"",$Y51&lt;$X51),"生存不成立",IF($Z51&lt;0.5,"碾压",IF($Z51&lt;0.8,"偏简单",IF($Z51&lt;=1.2,"适中",IF($Z51&lt;=1.5,"偏难","过难"))))))))</f>
        <v/>
      </c>
      <c r="AB51">
        <f>IF($J51="","待填",IF(AND(ISNUMBER($J51),$J51&gt;=1,$J51&lt;=500,MOD($J51,1)=0),"有效","超范围"))</f>
        <v/>
      </c>
      <c r="AC51">
        <f>IF(C51&lt;&gt;C50,"新玩法组",IF(J51&gt;=J50,"不降","回退"))</f>
        <v/>
      </c>
      <c r="AD51" t="inlineStr">
        <is>
          <t>等效进度估算S278，非解锁/首通节点；旧Lv314→323；NR_Layer 117 / 修正ID 2001｜2026-09-14 30层结构难度重设计：目标TTK/存活档内线性爬坡（整体约+25%），J等级与对照G不变；AE按60s/20s反查，无解封顶1,600,000。｜2026-09-14 等级带重排：J=233（150→300档内插值），目标曲线沿用30层重设计，K/L按新等级重拟合。｜2026-09-14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51" s="4" t="n">
        <v>1420000</v>
      </c>
      <c r="AF51" s="4">
        <f>INDEX(_统一战力!$B$2:$B$501,J51)</f>
        <v/>
      </c>
      <c r="AG51" t="n">
        <v>2001</v>
      </c>
      <c r="AH51" t="n">
        <v>117</v>
      </c>
      <c r="AI51" t="n">
        <v>2</v>
      </c>
    </row>
    <row r="52">
      <c r="A52" t="inlineStr">
        <is>
          <t>当前源表</t>
        </is>
      </c>
      <c r="B52" t="inlineStr">
        <is>
          <t>无限之旅</t>
        </is>
      </c>
      <c r="C52" t="inlineStr">
        <is>
          <t>难度2</t>
        </is>
      </c>
      <c r="D52" t="inlineStr">
        <is>
          <t>难度2-层118</t>
        </is>
      </c>
      <c r="F52" t="inlineStr">
        <is>
          <t>Boss</t>
        </is>
      </c>
      <c r="G52" t="n">
        <v>251</v>
      </c>
      <c r="I52" t="n">
        <v>251</v>
      </c>
      <c r="J52" t="n">
        <v>188</v>
      </c>
      <c r="K52" s="83" t="n">
        <v>5.840906314</v>
      </c>
      <c r="L52" s="83" t="n">
        <v>2.8197800235</v>
      </c>
      <c r="M52" s="83" t="n">
        <v>1</v>
      </c>
      <c r="N52" t="n">
        <v>1</v>
      </c>
      <c r="O52" t="n">
        <v>1</v>
      </c>
      <c r="P52" s="17" t="n">
        <v>71.3945782039728</v>
      </c>
      <c r="Q52" s="21">
        <f>IF($I52="","",IFERROR(INDEX(_玩家曲线!$H$2:$H$286,MATCH($I52,_玩家曲线!$A$2:$A$286,0)),""))</f>
        <v/>
      </c>
      <c r="R52" s="21">
        <f>IF($I52="","",IFERROR(INDEX(_玩家曲线!$I$2:$I$286,MATCH($I52,_玩家曲线!$A$2:$A$286,0)),""))</f>
        <v/>
      </c>
      <c r="S52" s="21">
        <f>IF(OR($J52="",$F52="不适用"),"",IFERROR(INDEX(_怪物模型!$D$2:$D$4501,(INT($J52)-1)*ROWS(_怪物类型!$A$2:$A$10)+MATCH($F52,_怪物类型!$A$2:$A$10,0))*IF($K52="",1,$K52),""))</f>
        <v/>
      </c>
      <c r="T52" s="21">
        <f>IF(OR($J52="",$F52="不适用"),"",IFERROR(INDEX(_怪物模型!$E$2:$E$4501,(INT($J52)-1)*ROWS(_怪物类型!$A$2:$A$10)+MATCH($F52,_怪物类型!$A$2:$A$10,0))*IF($L52="",1,$L52),""))</f>
        <v/>
      </c>
      <c r="U52" s="21">
        <f>IF(OR($J52="",$F52="不适用"),"",IFERROR(INDEX(_怪物模型!$F$2:$F$4501,(INT($J52)-1)*ROWS(_怪物类型!$A$2:$A$10)+MATCH($F52,_怪物类型!$A$2:$A$10,0))*IF($M52="",1,$M52),""))</f>
        <v/>
      </c>
      <c r="V52" s="84">
        <f>IF($U52="","",MIN(0.75,$U52/($U52+24000)))</f>
        <v/>
      </c>
      <c r="W52" s="21">
        <f>IF($S52="","",$S52/(1-$V52)*IF($N52="",1,$N52))</f>
        <v/>
      </c>
      <c r="X52" s="17">
        <f>IF(OR($W52="",$Q52="",$Q52=0),"",$W52/$Q52)</f>
        <v/>
      </c>
      <c r="Y52" s="17">
        <f>IF(OR($R52="",$T52="",$T52=0),"",$R52/($T52*IF($O52="",1,$O52)))</f>
        <v/>
      </c>
      <c r="Z52" s="17">
        <f>IF(OR($X52="",$P52="",$P52=0),"",$X52/$P52)</f>
        <v/>
      </c>
      <c r="AA52">
        <f>IF($J52="","待填怪物等级",IF(OR($I52="",$Q52=""),"待填对照关卡",IF($P52="","已计算",IF(AND($Y52&lt;&gt;"",$Y52&lt;$X52),"生存不成立",IF($Z52&lt;0.5,"碾压",IF($Z52&lt;0.8,"偏简单",IF($Z52&lt;=1.2,"适中",IF($Z52&lt;=1.5,"偏难","过难"))))))))</f>
        <v/>
      </c>
      <c r="AB52">
        <f>IF($J52="","待填",IF(AND(ISNUMBER($J52),$J52&gt;=1,$J52&lt;=500,MOD($J52,1)=0),"有效","超范围"))</f>
        <v/>
      </c>
      <c r="AC52">
        <f>IF(C52&lt;&gt;C51,"新玩法组",IF(J52&gt;=J51,"不降","回退"))</f>
        <v/>
      </c>
      <c r="AD52" t="inlineStr">
        <is>
          <t>等效进度估算S278，非解锁/首通节点；旧Lv319→328；NR_Layer 118 / 修正ID 2001｜2026-09-14 30层结构难度重设计：目标TTK/存活档内线性爬坡（整体约+25%），J等级与对照G不变；AE按60s/20s反查，无解封顶1,600,000。｜2026-09-14 等级带重排：J=238（150→300档内插值），目标曲线沿用30层重设计，K/L按新等级重拟合。｜2026-09-14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52" s="4" t="n">
        <v>1460000</v>
      </c>
      <c r="AF52" s="4">
        <f>INDEX(_统一战力!$B$2:$B$501,J52)</f>
        <v/>
      </c>
      <c r="AG52" t="n">
        <v>2001</v>
      </c>
      <c r="AH52" t="n">
        <v>118</v>
      </c>
      <c r="AI52" t="n">
        <v>2</v>
      </c>
    </row>
    <row r="53">
      <c r="A53" t="inlineStr">
        <is>
          <t>当前源表</t>
        </is>
      </c>
      <c r="B53" t="inlineStr">
        <is>
          <t>无限之旅</t>
        </is>
      </c>
      <c r="C53" t="inlineStr">
        <is>
          <t>难度2</t>
        </is>
      </c>
      <c r="D53" t="inlineStr">
        <is>
          <t>难度2-层119</t>
        </is>
      </c>
      <c r="F53" t="inlineStr">
        <is>
          <t>Boss</t>
        </is>
      </c>
      <c r="G53" t="n">
        <v>259</v>
      </c>
      <c r="I53" t="n">
        <v>259</v>
      </c>
      <c r="J53" t="n">
        <v>193</v>
      </c>
      <c r="K53" s="83" t="n">
        <v>5.6144353287</v>
      </c>
      <c r="L53" s="83" t="n">
        <v>2.7881128919</v>
      </c>
      <c r="M53" s="83" t="n">
        <v>1</v>
      </c>
      <c r="N53" t="n">
        <v>1</v>
      </c>
      <c r="O53" t="n">
        <v>1</v>
      </c>
      <c r="P53" s="17" t="n">
        <v>74.8895195458088</v>
      </c>
      <c r="Q53" s="21">
        <f>IF($I53="","",IFERROR(INDEX(_玩家曲线!$H$2:$H$286,MATCH($I53,_玩家曲线!$A$2:$A$286,0)),""))</f>
        <v/>
      </c>
      <c r="R53" s="21">
        <f>IF($I53="","",IFERROR(INDEX(_玩家曲线!$I$2:$I$286,MATCH($I53,_玩家曲线!$A$2:$A$286,0)),""))</f>
        <v/>
      </c>
      <c r="S53" s="21">
        <f>IF(OR($J53="",$F53="不适用"),"",IFERROR(INDEX(_怪物模型!$D$2:$D$4501,(INT($J53)-1)*ROWS(_怪物类型!$A$2:$A$10)+MATCH($F53,_怪物类型!$A$2:$A$10,0))*IF($K53="",1,$K53),""))</f>
        <v/>
      </c>
      <c r="T53" s="21">
        <f>IF(OR($J53="",$F53="不适用"),"",IFERROR(INDEX(_怪物模型!$E$2:$E$4501,(INT($J53)-1)*ROWS(_怪物类型!$A$2:$A$10)+MATCH($F53,_怪物类型!$A$2:$A$10,0))*IF($L53="",1,$L53),""))</f>
        <v/>
      </c>
      <c r="U53" s="21">
        <f>IF(OR($J53="",$F53="不适用"),"",IFERROR(INDEX(_怪物模型!$F$2:$F$4501,(INT($J53)-1)*ROWS(_怪物类型!$A$2:$A$10)+MATCH($F53,_怪物类型!$A$2:$A$10,0))*IF($M53="",1,$M53),""))</f>
        <v/>
      </c>
      <c r="V53" s="84">
        <f>IF($U53="","",MIN(0.75,$U53/($U53+24000)))</f>
        <v/>
      </c>
      <c r="W53" s="21">
        <f>IF($S53="","",$S53/(1-$V53)*IF($N53="",1,$N53))</f>
        <v/>
      </c>
      <c r="X53" s="17">
        <f>IF(OR($W53="",$Q53="",$Q53=0),"",$W53/$Q53)</f>
        <v/>
      </c>
      <c r="Y53" s="17">
        <f>IF(OR($R53="",$T53="",$T53=0),"",$R53/($T53*IF($O53="",1,$O53)))</f>
        <v/>
      </c>
      <c r="Z53" s="17">
        <f>IF(OR($X53="",$P53="",$P53=0),"",$X53/$P53)</f>
        <v/>
      </c>
      <c r="AA53">
        <f>IF($J53="","待填怪物等级",IF(OR($I53="",$Q53=""),"待填对照关卡",IF($P53="","已计算",IF(AND($Y53&lt;&gt;"",$Y53&lt;$X53),"生存不成立",IF($Z53&lt;0.5,"碾压",IF($Z53&lt;0.8,"偏简单",IF($Z53&lt;=1.2,"适中",IF($Z53&lt;=1.5,"偏难","过难"))))))))</f>
        <v/>
      </c>
      <c r="AB53">
        <f>IF($J53="","待填",IF(AND(ISNUMBER($J53),$J53&gt;=1,$J53&lt;=500,MOD($J53,1)=0),"有效","超范围"))</f>
        <v/>
      </c>
      <c r="AC53">
        <f>IF(C53&lt;&gt;C52,"新玩法组",IF(J53&gt;=J52,"不降","回退"))</f>
        <v/>
      </c>
      <c r="AD53" t="inlineStr">
        <is>
          <t>等效进度估算S278，非解锁/首通节点；旧Lv323→332；NR_Layer 119 / 修正ID 2001｜2026-09-14 30层结构难度重设计：目标TTK/存活档内线性爬坡（整体约+25%），J等级与对照G不变；AE按60s/20s反查，无解封顶1,600,000。｜2026-09-14 等级带重排：J=243（150→300档内插值），目标曲线沿用30层重设计，K/L按新等级重拟合。｜2026-09-14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53" s="4" t="n">
        <v>1500000</v>
      </c>
      <c r="AF53" s="4">
        <f>INDEX(_统一战力!$B$2:$B$501,J53)</f>
        <v/>
      </c>
      <c r="AG53" t="n">
        <v>2001</v>
      </c>
      <c r="AH53" t="n">
        <v>119</v>
      </c>
      <c r="AI53" t="n">
        <v>2</v>
      </c>
    </row>
    <row r="54">
      <c r="A54" t="inlineStr">
        <is>
          <t>当前源表</t>
        </is>
      </c>
      <c r="B54" t="inlineStr">
        <is>
          <t>无限之旅</t>
        </is>
      </c>
      <c r="C54" t="inlineStr">
        <is>
          <t>难度2</t>
        </is>
      </c>
      <c r="D54" t="inlineStr">
        <is>
          <t>难度2-层120</t>
        </is>
      </c>
      <c r="F54" t="inlineStr">
        <is>
          <t>Boss</t>
        </is>
      </c>
      <c r="G54" t="n">
        <v>267</v>
      </c>
      <c r="I54" t="n">
        <v>267</v>
      </c>
      <c r="J54" t="n">
        <v>198</v>
      </c>
      <c r="K54" s="83" t="n">
        <v>5.3961580309</v>
      </c>
      <c r="L54" s="83" t="n">
        <v>2.7600467472</v>
      </c>
      <c r="M54" s="83" t="n">
        <v>1</v>
      </c>
      <c r="N54" t="n">
        <v>1</v>
      </c>
      <c r="O54" t="n">
        <v>1</v>
      </c>
      <c r="P54" s="17" t="n">
        <v>78.5292669580907</v>
      </c>
      <c r="Q54" s="21">
        <f>IF($I54="","",IFERROR(INDEX(_玩家曲线!$H$2:$H$286,MATCH($I54,_玩家曲线!$A$2:$A$286,0)),""))</f>
        <v/>
      </c>
      <c r="R54" s="21">
        <f>IF($I54="","",IFERROR(INDEX(_玩家曲线!$I$2:$I$286,MATCH($I54,_玩家曲线!$A$2:$A$286,0)),""))</f>
        <v/>
      </c>
      <c r="S54" s="21">
        <f>IF(OR($J54="",$F54="不适用"),"",IFERROR(INDEX(_怪物模型!$D$2:$D$4501,(INT($J54)-1)*ROWS(_怪物类型!$A$2:$A$10)+MATCH($F54,_怪物类型!$A$2:$A$10,0))*IF($K54="",1,$K54),""))</f>
        <v/>
      </c>
      <c r="T54" s="21">
        <f>IF(OR($J54="",$F54="不适用"),"",IFERROR(INDEX(_怪物模型!$E$2:$E$4501,(INT($J54)-1)*ROWS(_怪物类型!$A$2:$A$10)+MATCH($F54,_怪物类型!$A$2:$A$10,0))*IF($L54="",1,$L54),""))</f>
        <v/>
      </c>
      <c r="U54" s="21">
        <f>IF(OR($J54="",$F54="不适用"),"",IFERROR(INDEX(_怪物模型!$F$2:$F$4501,(INT($J54)-1)*ROWS(_怪物类型!$A$2:$A$10)+MATCH($F54,_怪物类型!$A$2:$A$10,0))*IF($M54="",1,$M54),""))</f>
        <v/>
      </c>
      <c r="V54" s="84">
        <f>IF($U54="","",MIN(0.75,$U54/($U54+24000)))</f>
        <v/>
      </c>
      <c r="W54" s="21">
        <f>IF($S54="","",$S54/(1-$V54)*IF($N54="",1,$N54))</f>
        <v/>
      </c>
      <c r="X54" s="17">
        <f>IF(OR($W54="",$Q54="",$Q54=0),"",$W54/$Q54)</f>
        <v/>
      </c>
      <c r="Y54" s="17">
        <f>IF(OR($R54="",$T54="",$T54=0),"",$R54/($T54*IF($O54="",1,$O54)))</f>
        <v/>
      </c>
      <c r="Z54" s="17">
        <f>IF(OR($X54="",$P54="",$P54=0),"",$X54/$P54)</f>
        <v/>
      </c>
      <c r="AA54">
        <f>IF($J54="","待填怪物等级",IF(OR($I54="",$Q54=""),"待填对照关卡",IF($P54="","已计算",IF(AND($Y54&lt;&gt;"",$Y54&lt;$X54),"生存不成立",IF($Z54&lt;0.5,"碾压",IF($Z54&lt;0.8,"偏简单",IF($Z54&lt;=1.2,"适中",IF($Z54&lt;=1.5,"偏难","过难"))))))))</f>
        <v/>
      </c>
      <c r="AB54">
        <f>IF($J54="","待填",IF(AND(ISNUMBER($J54),$J54&gt;=1,$J54&lt;=500,MOD($J54,1)=0),"有效","超范围"))</f>
        <v/>
      </c>
      <c r="AC54">
        <f>IF(C54&lt;&gt;C53,"新玩法组",IF(J54&gt;=J53,"不降","回退"))</f>
        <v/>
      </c>
      <c r="AD54" t="inlineStr">
        <is>
          <t>等效进度估算S278，非解锁/首通节点；旧Lv327→336；NR_Layer 120 / 修正ID 2001｜2026-09-14 30层结构难度重设计：目标TTK/存活档内线性爬坡（整体约+25%），J等级与对照G不变；AE按60s/20s反查，无解封顶1,600,000。｜2026-09-14 等级带重排：J=248（150→300档内插值），目标曲线沿用30层重设计，K/L按新等级重拟合。｜2026-09-14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54" s="4" t="n">
        <v>1540000</v>
      </c>
      <c r="AF54" s="4">
        <f>INDEX(_统一战力!$B$2:$B$501,J54)</f>
        <v/>
      </c>
      <c r="AG54" t="n">
        <v>2001</v>
      </c>
      <c r="AH54" t="n">
        <v>120</v>
      </c>
      <c r="AI54" t="n">
        <v>2</v>
      </c>
    </row>
    <row r="55">
      <c r="A55" t="inlineStr">
        <is>
          <t>当前源表</t>
        </is>
      </c>
      <c r="B55" t="inlineStr">
        <is>
          <t>无限之旅</t>
        </is>
      </c>
      <c r="C55" t="inlineStr">
        <is>
          <t>难度2</t>
        </is>
      </c>
      <c r="D55" t="inlineStr">
        <is>
          <t>难度2-层121</t>
        </is>
      </c>
      <c r="F55" t="inlineStr">
        <is>
          <t>Boss</t>
        </is>
      </c>
      <c r="G55" t="n">
        <v>275</v>
      </c>
      <c r="I55" t="n">
        <v>275</v>
      </c>
      <c r="J55" t="n">
        <v>203</v>
      </c>
      <c r="K55" s="83" t="n">
        <v>5.1858474471</v>
      </c>
      <c r="L55" s="83" t="n">
        <v>2.7354412797</v>
      </c>
      <c r="M55" s="83" t="n">
        <v>1</v>
      </c>
      <c r="N55" t="n">
        <v>1</v>
      </c>
      <c r="O55" t="n">
        <v>1</v>
      </c>
      <c r="P55" s="17" t="n">
        <v>83.2905299302231</v>
      </c>
      <c r="Q55" s="21">
        <f>IF($I55="","",IFERROR(INDEX(_玩家曲线!$H$2:$H$286,MATCH($I55,_玩家曲线!$A$2:$A$286,0)),""))</f>
        <v/>
      </c>
      <c r="R55" s="21">
        <f>IF($I55="","",IFERROR(INDEX(_玩家曲线!$I$2:$I$286,MATCH($I55,_玩家曲线!$A$2:$A$286,0)),""))</f>
        <v/>
      </c>
      <c r="S55" s="21">
        <f>IF(OR($J55="",$F55="不适用"),"",IFERROR(INDEX(_怪物模型!$D$2:$D$4501,(INT($J55)-1)*ROWS(_怪物类型!$A$2:$A$10)+MATCH($F55,_怪物类型!$A$2:$A$10,0))*IF($K55="",1,$K55),""))</f>
        <v/>
      </c>
      <c r="T55" s="21">
        <f>IF(OR($J55="",$F55="不适用"),"",IFERROR(INDEX(_怪物模型!$E$2:$E$4501,(INT($J55)-1)*ROWS(_怪物类型!$A$2:$A$10)+MATCH($F55,_怪物类型!$A$2:$A$10,0))*IF($L55="",1,$L55),""))</f>
        <v/>
      </c>
      <c r="U55" s="21">
        <f>IF(OR($J55="",$F55="不适用"),"",IFERROR(INDEX(_怪物模型!$F$2:$F$4501,(INT($J55)-1)*ROWS(_怪物类型!$A$2:$A$10)+MATCH($F55,_怪物类型!$A$2:$A$10,0))*IF($M55="",1,$M55),""))</f>
        <v/>
      </c>
      <c r="V55" s="84">
        <f>IF($U55="","",MIN(0.75,$U55/($U55+24000)))</f>
        <v/>
      </c>
      <c r="W55" s="21">
        <f>IF($S55="","",$S55/(1-$V55)*IF($N55="",1,$N55))</f>
        <v/>
      </c>
      <c r="X55" s="17">
        <f>IF(OR($W55="",$Q55="",$Q55=0),"",$W55/$Q55)</f>
        <v/>
      </c>
      <c r="Y55" s="17">
        <f>IF(OR($R55="",$T55="",$T55=0),"",$R55/($T55*IF($O55="",1,$O55)))</f>
        <v/>
      </c>
      <c r="Z55" s="17">
        <f>IF(OR($X55="",$P55="",$P55=0),"",$X55/$P55)</f>
        <v/>
      </c>
      <c r="AA55">
        <f>IF($J55="","待填怪物等级",IF(OR($I55="",$Q55=""),"待填对照关卡",IF($P55="","已计算",IF(AND($Y55&lt;&gt;"",$Y55&lt;$X55),"生存不成立",IF($Z55&lt;0.5,"碾压",IF($Z55&lt;0.8,"偏简单",IF($Z55&lt;=1.2,"适中",IF($Z55&lt;=1.5,"偏难","过难"))))))))</f>
        <v/>
      </c>
      <c r="AB55">
        <f>IF($J55="","待填",IF(AND(ISNUMBER($J55),$J55&gt;=1,$J55&lt;=500,MOD($J55,1)=0),"有效","超范围"))</f>
        <v/>
      </c>
      <c r="AC55">
        <f>IF(C55&lt;&gt;C54,"新玩法组",IF(J55&gt;=J54,"不降","回退"))</f>
        <v/>
      </c>
      <c r="AD55" t="inlineStr">
        <is>
          <t>等效进度估算S278，非解锁/首通节点；旧Lv332→342；NR_Layer 121 / 修正ID 2001｜2026-09-14 30层结构难度重设计：目标TTK/存活档内线性爬坡（整体约+25%），J等级与对照G不变；AE按60s/20s反查，无解封顶1,600,000。｜2026-09-14 等级带重排：J=253（150→300档内插值），目标曲线沿用30层重设计，K/L按新等级重拟合。｜2026-09-14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55" s="4" t="n">
        <v>1580000</v>
      </c>
      <c r="AF55" s="4">
        <f>INDEX(_统一战力!$B$2:$B$501,J55)</f>
        <v/>
      </c>
      <c r="AG55" t="n">
        <v>2001</v>
      </c>
      <c r="AH55" t="n">
        <v>121</v>
      </c>
      <c r="AI55" t="n">
        <v>2</v>
      </c>
    </row>
    <row r="56">
      <c r="A56" t="inlineStr">
        <is>
          <t>当前源表</t>
        </is>
      </c>
      <c r="B56" t="inlineStr">
        <is>
          <t>无限之旅</t>
        </is>
      </c>
      <c r="C56" t="inlineStr">
        <is>
          <t>难度2</t>
        </is>
      </c>
      <c r="D56" t="inlineStr">
        <is>
          <t>难度2-层122</t>
        </is>
      </c>
      <c r="F56" t="inlineStr">
        <is>
          <t>Boss</t>
        </is>
      </c>
      <c r="G56" t="n">
        <v>279</v>
      </c>
      <c r="I56" t="n">
        <v>279</v>
      </c>
      <c r="J56" t="n">
        <v>209</v>
      </c>
      <c r="K56" s="83" t="n">
        <v>4.9157436261</v>
      </c>
      <c r="L56" s="83" t="n">
        <v>2.6944691384</v>
      </c>
      <c r="M56" s="83" t="n">
        <v>1</v>
      </c>
      <c r="N56" t="n">
        <v>1</v>
      </c>
      <c r="O56" t="n">
        <v>1</v>
      </c>
      <c r="P56" s="17" t="n">
        <v>87.27390844418279</v>
      </c>
      <c r="Q56" s="21">
        <f>IF($I56="","",IFERROR(INDEX(_玩家曲线!$H$2:$H$286,MATCH($I56,_玩家曲线!$A$2:$A$286,0)),""))</f>
        <v/>
      </c>
      <c r="R56" s="21">
        <f>IF($I56="","",IFERROR(INDEX(_玩家曲线!$I$2:$I$286,MATCH($I56,_玩家曲线!$A$2:$A$286,0)),""))</f>
        <v/>
      </c>
      <c r="S56" s="21">
        <f>IF(OR($J56="",$F56="不适用"),"",IFERROR(INDEX(_怪物模型!$D$2:$D$4501,(INT($J56)-1)*ROWS(_怪物类型!$A$2:$A$10)+MATCH($F56,_怪物类型!$A$2:$A$10,0))*IF($K56="",1,$K56),""))</f>
        <v/>
      </c>
      <c r="T56" s="21">
        <f>IF(OR($J56="",$F56="不适用"),"",IFERROR(INDEX(_怪物模型!$E$2:$E$4501,(INT($J56)-1)*ROWS(_怪物类型!$A$2:$A$10)+MATCH($F56,_怪物类型!$A$2:$A$10,0))*IF($L56="",1,$L56),""))</f>
        <v/>
      </c>
      <c r="U56" s="21">
        <f>IF(OR($J56="",$F56="不适用"),"",IFERROR(INDEX(_怪物模型!$F$2:$F$4501,(INT($J56)-1)*ROWS(_怪物类型!$A$2:$A$10)+MATCH($F56,_怪物类型!$A$2:$A$10,0))*IF($M56="",1,$M56),""))</f>
        <v/>
      </c>
      <c r="V56" s="84">
        <f>IF($U56="","",MIN(0.75,$U56/($U56+24000)))</f>
        <v/>
      </c>
      <c r="W56" s="21">
        <f>IF($S56="","",$S56/(1-$V56)*IF($N56="",1,$N56))</f>
        <v/>
      </c>
      <c r="X56" s="17">
        <f>IF(OR($W56="",$Q56="",$Q56=0),"",$W56/$Q56)</f>
        <v/>
      </c>
      <c r="Y56" s="17">
        <f>IF(OR($R56="",$T56="",$T56=0),"",$R56/($T56*IF($O56="",1,$O56)))</f>
        <v/>
      </c>
      <c r="Z56" s="17">
        <f>IF(OR($X56="",$P56="",$P56=0),"",$X56/$P56)</f>
        <v/>
      </c>
      <c r="AA56">
        <f>IF($J56="","待填怪物等级",IF(OR($I56="",$Q56=""),"待填对照关卡",IF($P56="","已计算",IF(AND($Y56&lt;&gt;"",$Y56&lt;$X56),"生存不成立",IF($Z56&lt;0.5,"碾压",IF($Z56&lt;0.8,"偏简单",IF($Z56&lt;=1.2,"适中",IF($Z56&lt;=1.5,"偏难","过难"))))))))</f>
        <v/>
      </c>
      <c r="AB56">
        <f>IF($J56="","待填",IF(AND(ISNUMBER($J56),$J56&gt;=1,$J56&lt;=500,MOD($J56,1)=0),"有效","超范围"))</f>
        <v/>
      </c>
      <c r="AC56">
        <f>IF(C56&lt;&gt;C55,"新玩法组",IF(J56&gt;=J55,"不降","回退"))</f>
        <v/>
      </c>
      <c r="AD56" t="inlineStr">
        <is>
          <t>等效进度估算S278，非解锁/首通节点；旧Lv336→346；NR_Layer 122 / 修正ID 2001｜2026-09-14 30层结构难度重设计：目标TTK/存活档内线性爬坡（整体约+25%），J等级与对照G不变；AE按60s/20s反查，无解封顶1,600,000。｜2026-09-14 等级带重排：J=259（150→300档内插值），目标曲线沿用30层重设计，K/L按新等级重拟合。｜2026-09-14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56" s="4" t="n">
        <v>1600000</v>
      </c>
      <c r="AF56" s="4">
        <f>INDEX(_统一战力!$B$2:$B$501,J56)</f>
        <v/>
      </c>
      <c r="AG56" t="n">
        <v>2001</v>
      </c>
      <c r="AH56" t="n">
        <v>122</v>
      </c>
      <c r="AI56" t="n">
        <v>2</v>
      </c>
    </row>
    <row r="57">
      <c r="A57" t="inlineStr">
        <is>
          <t>当前源表</t>
        </is>
      </c>
      <c r="B57" t="inlineStr">
        <is>
          <t>无限之旅</t>
        </is>
      </c>
      <c r="C57" t="inlineStr">
        <is>
          <t>难度2</t>
        </is>
      </c>
      <c r="D57" t="inlineStr">
        <is>
          <t>难度2-层123</t>
        </is>
      </c>
      <c r="F57" t="inlineStr">
        <is>
          <t>Boss</t>
        </is>
      </c>
      <c r="G57" t="n">
        <v>279</v>
      </c>
      <c r="I57" t="n">
        <v>279</v>
      </c>
      <c r="J57" t="n">
        <v>214</v>
      </c>
      <c r="K57" s="83" t="n">
        <v>4.7243842498</v>
      </c>
      <c r="L57" s="83" t="n">
        <v>2.6772190494</v>
      </c>
      <c r="M57" s="83" t="n">
        <v>1</v>
      </c>
      <c r="N57" t="n">
        <v>1</v>
      </c>
      <c r="O57" t="n">
        <v>1</v>
      </c>
      <c r="P57" s="17" t="n">
        <v>91.41924823556791</v>
      </c>
      <c r="Q57" s="21">
        <f>IF($I57="","",IFERROR(INDEX(_玩家曲线!$H$2:$H$286,MATCH($I57,_玩家曲线!$A$2:$A$286,0)),""))</f>
        <v/>
      </c>
      <c r="R57" s="21">
        <f>IF($I57="","",IFERROR(INDEX(_玩家曲线!$I$2:$I$286,MATCH($I57,_玩家曲线!$A$2:$A$286,0)),""))</f>
        <v/>
      </c>
      <c r="S57" s="21">
        <f>IF(OR($J57="",$F57="不适用"),"",IFERROR(INDEX(_怪物模型!$D$2:$D$4501,(INT($J57)-1)*ROWS(_怪物类型!$A$2:$A$10)+MATCH($F57,_怪物类型!$A$2:$A$10,0))*IF($K57="",1,$K57),""))</f>
        <v/>
      </c>
      <c r="T57" s="21">
        <f>IF(OR($J57="",$F57="不适用"),"",IFERROR(INDEX(_怪物模型!$E$2:$E$4501,(INT($J57)-1)*ROWS(_怪物类型!$A$2:$A$10)+MATCH($F57,_怪物类型!$A$2:$A$10,0))*IF($L57="",1,$L57),""))</f>
        <v/>
      </c>
      <c r="U57" s="21">
        <f>IF(OR($J57="",$F57="不适用"),"",IFERROR(INDEX(_怪物模型!$F$2:$F$4501,(INT($J57)-1)*ROWS(_怪物类型!$A$2:$A$10)+MATCH($F57,_怪物类型!$A$2:$A$10,0))*IF($M57="",1,$M57),""))</f>
        <v/>
      </c>
      <c r="V57" s="84">
        <f>IF($U57="","",MIN(0.75,$U57/($U57+24000)))</f>
        <v/>
      </c>
      <c r="W57" s="21">
        <f>IF($S57="","",$S57/(1-$V57)*IF($N57="",1,$N57))</f>
        <v/>
      </c>
      <c r="X57" s="17">
        <f>IF(OR($W57="",$Q57="",$Q57=0),"",$W57/$Q57)</f>
        <v/>
      </c>
      <c r="Y57" s="17">
        <f>IF(OR($R57="",$T57="",$T57=0),"",$R57/($T57*IF($O57="",1,$O57)))</f>
        <v/>
      </c>
      <c r="Z57" s="17">
        <f>IF(OR($X57="",$P57="",$P57=0),"",$X57/$P57)</f>
        <v/>
      </c>
      <c r="AA57">
        <f>IF($J57="","待填怪物等级",IF(OR($I57="",$Q57=""),"待填对照关卡",IF($P57="","已计算",IF(AND($Y57&lt;&gt;"",$Y57&lt;$X57),"生存不成立",IF($Z57&lt;0.5,"碾压",IF($Z57&lt;0.8,"偏简单",IF($Z57&lt;=1.2,"适中",IF($Z57&lt;=1.5,"偏难","过难"))))))))</f>
        <v/>
      </c>
      <c r="AB57">
        <f>IF($J57="","待填",IF(AND(ISNUMBER($J57),$J57&gt;=1,$J57&lt;=500,MOD($J57,1)=0),"有效","超范围"))</f>
        <v/>
      </c>
      <c r="AC57">
        <f>IF(C57&lt;&gt;C56,"新玩法组",IF(J57&gt;=J56,"不降","回退"))</f>
        <v/>
      </c>
      <c r="AD57" t="inlineStr">
        <is>
          <t>等效进度估算S278，非解锁/首通节点；旧Lv340→350；NR_Layer 123 / 修正ID 2001｜2026-09-14 30层结构难度重设计：目标TTK/存活档内线性爬坡（整体约+25%），J等级与对照G不变；AE按60s/20s反查，无解封顶1,600,000。｜2026-09-14 等级带重排：J=264（150→300档内插值），目标曲线沿用30层重设计，K/L按新等级重拟合。｜2026-09-14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57" s="4" t="n">
        <v>1600000</v>
      </c>
      <c r="AF57" s="4">
        <f>INDEX(_统一战力!$B$2:$B$501,J57)</f>
        <v/>
      </c>
      <c r="AG57" t="n">
        <v>2001</v>
      </c>
      <c r="AH57" t="n">
        <v>123</v>
      </c>
      <c r="AI57" t="n">
        <v>2</v>
      </c>
    </row>
    <row r="58">
      <c r="A58" t="inlineStr">
        <is>
          <t>当前源表</t>
        </is>
      </c>
      <c r="B58" t="inlineStr">
        <is>
          <t>无限之旅</t>
        </is>
      </c>
      <c r="C58" t="inlineStr">
        <is>
          <t>难度2</t>
        </is>
      </c>
      <c r="D58" t="inlineStr">
        <is>
          <t>难度2-层124</t>
        </is>
      </c>
      <c r="F58" t="inlineStr">
        <is>
          <t>Boss</t>
        </is>
      </c>
      <c r="G58" t="n">
        <v>279</v>
      </c>
      <c r="I58" t="n">
        <v>279</v>
      </c>
      <c r="J58" t="n">
        <v>219</v>
      </c>
      <c r="K58" s="83" t="n">
        <v>4.5403117054</v>
      </c>
      <c r="L58" s="83" t="n">
        <v>2.6634943551</v>
      </c>
      <c r="M58" s="83" t="n">
        <v>1</v>
      </c>
      <c r="N58" t="n">
        <v>1</v>
      </c>
      <c r="O58" t="n">
        <v>1</v>
      </c>
      <c r="P58" s="17" t="n">
        <v>95.7337104680081</v>
      </c>
      <c r="Q58" s="21">
        <f>IF($I58="","",IFERROR(INDEX(_玩家曲线!$H$2:$H$286,MATCH($I58,_玩家曲线!$A$2:$A$286,0)),""))</f>
        <v/>
      </c>
      <c r="R58" s="21">
        <f>IF($I58="","",IFERROR(INDEX(_玩家曲线!$I$2:$I$286,MATCH($I58,_玩家曲线!$A$2:$A$286,0)),""))</f>
        <v/>
      </c>
      <c r="S58" s="21">
        <f>IF(OR($J58="",$F58="不适用"),"",IFERROR(INDEX(_怪物模型!$D$2:$D$4501,(INT($J58)-1)*ROWS(_怪物类型!$A$2:$A$10)+MATCH($F58,_怪物类型!$A$2:$A$10,0))*IF($K58="",1,$K58),""))</f>
        <v/>
      </c>
      <c r="T58" s="21">
        <f>IF(OR($J58="",$F58="不适用"),"",IFERROR(INDEX(_怪物模型!$E$2:$E$4501,(INT($J58)-1)*ROWS(_怪物类型!$A$2:$A$10)+MATCH($F58,_怪物类型!$A$2:$A$10,0))*IF($L58="",1,$L58),""))</f>
        <v/>
      </c>
      <c r="U58" s="21">
        <f>IF(OR($J58="",$F58="不适用"),"",IFERROR(INDEX(_怪物模型!$F$2:$F$4501,(INT($J58)-1)*ROWS(_怪物类型!$A$2:$A$10)+MATCH($F58,_怪物类型!$A$2:$A$10,0))*IF($M58="",1,$M58),""))</f>
        <v/>
      </c>
      <c r="V58" s="84">
        <f>IF($U58="","",MIN(0.75,$U58/($U58+24000)))</f>
        <v/>
      </c>
      <c r="W58" s="21">
        <f>IF($S58="","",$S58/(1-$V58)*IF($N58="",1,$N58))</f>
        <v/>
      </c>
      <c r="X58" s="17">
        <f>IF(OR($W58="",$Q58="",$Q58=0),"",$W58/$Q58)</f>
        <v/>
      </c>
      <c r="Y58" s="17">
        <f>IF(OR($R58="",$T58="",$T58=0),"",$R58/($T58*IF($O58="",1,$O58)))</f>
        <v/>
      </c>
      <c r="Z58" s="17">
        <f>IF(OR($X58="",$P58="",$P58=0),"",$X58/$P58)</f>
        <v/>
      </c>
      <c r="AA58">
        <f>IF($J58="","待填怪物等级",IF(OR($I58="",$Q58=""),"待填对照关卡",IF($P58="","已计算",IF(AND($Y58&lt;&gt;"",$Y58&lt;$X58),"生存不成立",IF($Z58&lt;0.5,"碾压",IF($Z58&lt;0.8,"偏简单",IF($Z58&lt;=1.2,"适中",IF($Z58&lt;=1.5,"偏难","过难"))))))))</f>
        <v/>
      </c>
      <c r="AB58">
        <f>IF($J58="","待填",IF(AND(ISNUMBER($J58),$J58&gt;=1,$J58&lt;=500,MOD($J58,1)=0),"有效","超范围"))</f>
        <v/>
      </c>
      <c r="AC58">
        <f>IF(C58&lt;&gt;C57,"新玩法组",IF(J58&gt;=J57,"不降","回退"))</f>
        <v/>
      </c>
      <c r="AD58" t="inlineStr">
        <is>
          <t>等效进度估算S278，非解锁/首通节点；旧Lv344→354；NR_Layer 124 / 修正ID 2001｜2026-09-14 30层结构难度重设计：目标TTK/存活档内线性爬坡（整体约+25%），J等级与对照G不变；AE按60s/20s反查，无解封顶1,600,000。｜2026-09-14 等级带重排：J=269（150→300档内插值），目标曲线沿用30层重设计，K/L按新等级重拟合。｜2026-09-14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58" s="4" t="n">
        <v>1600000</v>
      </c>
      <c r="AF58" s="4">
        <f>INDEX(_统一战力!$B$2:$B$501,J58)</f>
        <v/>
      </c>
      <c r="AG58" t="n">
        <v>2001</v>
      </c>
      <c r="AH58" t="n">
        <v>124</v>
      </c>
      <c r="AI58" t="n">
        <v>2</v>
      </c>
    </row>
    <row r="59">
      <c r="A59" t="inlineStr">
        <is>
          <t>当前源表</t>
        </is>
      </c>
      <c r="B59" t="inlineStr">
        <is>
          <t>无限之旅</t>
        </is>
      </c>
      <c r="C59" t="inlineStr">
        <is>
          <t>难度2</t>
        </is>
      </c>
      <c r="D59" t="inlineStr">
        <is>
          <t>难度2-层125</t>
        </is>
      </c>
      <c r="F59" t="inlineStr">
        <is>
          <t>Boss</t>
        </is>
      </c>
      <c r="G59" t="n">
        <v>279</v>
      </c>
      <c r="I59" t="n">
        <v>279</v>
      </c>
      <c r="J59" t="n">
        <v>224</v>
      </c>
      <c r="K59" s="83" t="n">
        <v>4.363327775</v>
      </c>
      <c r="L59" s="83" t="n">
        <v>2.6533543835</v>
      </c>
      <c r="M59" s="83" t="n">
        <v>1</v>
      </c>
      <c r="N59" t="n">
        <v>1</v>
      </c>
      <c r="O59" t="n">
        <v>1</v>
      </c>
      <c r="P59" s="17" t="n">
        <v>100.219862896681</v>
      </c>
      <c r="Q59" s="21">
        <f>IF($I59="","",IFERROR(INDEX(_玩家曲线!$H$2:$H$286,MATCH($I59,_玩家曲线!$A$2:$A$286,0)),""))</f>
        <v/>
      </c>
      <c r="R59" s="21">
        <f>IF($I59="","",IFERROR(INDEX(_玩家曲线!$I$2:$I$286,MATCH($I59,_玩家曲线!$A$2:$A$286,0)),""))</f>
        <v/>
      </c>
      <c r="S59" s="21">
        <f>IF(OR($J59="",$F59="不适用"),"",IFERROR(INDEX(_怪物模型!$D$2:$D$4501,(INT($J59)-1)*ROWS(_怪物类型!$A$2:$A$10)+MATCH($F59,_怪物类型!$A$2:$A$10,0))*IF($K59="",1,$K59),""))</f>
        <v/>
      </c>
      <c r="T59" s="21">
        <f>IF(OR($J59="",$F59="不适用"),"",IFERROR(INDEX(_怪物模型!$E$2:$E$4501,(INT($J59)-1)*ROWS(_怪物类型!$A$2:$A$10)+MATCH($F59,_怪物类型!$A$2:$A$10,0))*IF($L59="",1,$L59),""))</f>
        <v/>
      </c>
      <c r="U59" s="21">
        <f>IF(OR($J59="",$F59="不适用"),"",IFERROR(INDEX(_怪物模型!$F$2:$F$4501,(INT($J59)-1)*ROWS(_怪物类型!$A$2:$A$10)+MATCH($F59,_怪物类型!$A$2:$A$10,0))*IF($M59="",1,$M59),""))</f>
        <v/>
      </c>
      <c r="V59" s="84">
        <f>IF($U59="","",MIN(0.75,$U59/($U59+24000)))</f>
        <v/>
      </c>
      <c r="W59" s="21">
        <f>IF($S59="","",$S59/(1-$V59)*IF($N59="",1,$N59))</f>
        <v/>
      </c>
      <c r="X59" s="17">
        <f>IF(OR($W59="",$Q59="",$Q59=0),"",$W59/$Q59)</f>
        <v/>
      </c>
      <c r="Y59" s="17">
        <f>IF(OR($R59="",$T59="",$T59=0),"",$R59/($T59*IF($O59="",1,$O59)))</f>
        <v/>
      </c>
      <c r="Z59" s="17">
        <f>IF(OR($X59="",$P59="",$P59=0),"",$X59/$P59)</f>
        <v/>
      </c>
      <c r="AA59">
        <f>IF($J59="","待填怪物等级",IF(OR($I59="",$Q59=""),"待填对照关卡",IF($P59="","已计算",IF(AND($Y59&lt;&gt;"",$Y59&lt;$X59),"生存不成立",IF($Z59&lt;0.5,"碾压",IF($Z59&lt;0.8,"偏简单",IF($Z59&lt;=1.2,"适中",IF($Z59&lt;=1.5,"偏难","过难"))))))))</f>
        <v/>
      </c>
      <c r="AB59">
        <f>IF($J59="","待填",IF(AND(ISNUMBER($J59),$J59&gt;=1,$J59&lt;=500,MOD($J59,1)=0),"有效","超范围"))</f>
        <v/>
      </c>
      <c r="AC59">
        <f>IF(C59&lt;&gt;C58,"新玩法组",IF(J59&gt;=J58,"不降","回退"))</f>
        <v/>
      </c>
      <c r="AD59" t="inlineStr">
        <is>
          <t>等效进度估算S278，非解锁/首通节点；旧Lv348→358；NR_Layer 125 / 修正ID 2001｜2026-09-14 30层结构难度重设计：目标TTK/存活档内线性爬坡（整体约+25%），J等级与对照G不变；AE按60s/20s反查，无解封顶1,600,000。｜2026-09-14 等级带重排：J=274（150→300档内插值），目标曲线沿用30层重设计，K/L按新等级重拟合。｜2026-09-14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59" s="4" t="n">
        <v>1600000</v>
      </c>
      <c r="AF59" s="4">
        <f>INDEX(_统一战力!$B$2:$B$501,J59)</f>
        <v/>
      </c>
      <c r="AG59" t="n">
        <v>2001</v>
      </c>
      <c r="AH59" t="n">
        <v>125</v>
      </c>
      <c r="AI59" t="n">
        <v>2</v>
      </c>
    </row>
    <row r="60">
      <c r="A60" t="inlineStr">
        <is>
          <t>当前源表</t>
        </is>
      </c>
      <c r="B60" t="inlineStr">
        <is>
          <t>无限之旅</t>
        </is>
      </c>
      <c r="C60" t="inlineStr">
        <is>
          <t>难度2</t>
        </is>
      </c>
      <c r="D60" t="inlineStr">
        <is>
          <t>难度2-层126</t>
        </is>
      </c>
      <c r="F60" t="inlineStr">
        <is>
          <t>Boss</t>
        </is>
      </c>
      <c r="G60" t="n">
        <v>279</v>
      </c>
      <c r="I60" t="n">
        <v>279</v>
      </c>
      <c r="J60" t="n">
        <v>229</v>
      </c>
      <c r="K60" s="83" t="n">
        <v>4.1932384272</v>
      </c>
      <c r="L60" s="83" t="n">
        <v>2.64689117</v>
      </c>
      <c r="M60" s="83" t="n">
        <v>1</v>
      </c>
      <c r="N60" t="n">
        <v>1</v>
      </c>
      <c r="O60" t="n">
        <v>1</v>
      </c>
      <c r="P60" s="17" t="n">
        <v>104.885188677311</v>
      </c>
      <c r="Q60" s="21">
        <f>IF($I60="","",IFERROR(INDEX(_玩家曲线!$H$2:$H$286,MATCH($I60,_玩家曲线!$A$2:$A$286,0)),""))</f>
        <v/>
      </c>
      <c r="R60" s="21">
        <f>IF($I60="","",IFERROR(INDEX(_玩家曲线!$I$2:$I$286,MATCH($I60,_玩家曲线!$A$2:$A$286,0)),""))</f>
        <v/>
      </c>
      <c r="S60" s="21">
        <f>IF(OR($J60="",$F60="不适用"),"",IFERROR(INDEX(_怪物模型!$D$2:$D$4501,(INT($J60)-1)*ROWS(_怪物类型!$A$2:$A$10)+MATCH($F60,_怪物类型!$A$2:$A$10,0))*IF($K60="",1,$K60),""))</f>
        <v/>
      </c>
      <c r="T60" s="21">
        <f>IF(OR($J60="",$F60="不适用"),"",IFERROR(INDEX(_怪物模型!$E$2:$E$4501,(INT($J60)-1)*ROWS(_怪物类型!$A$2:$A$10)+MATCH($F60,_怪物类型!$A$2:$A$10,0))*IF($L60="",1,$L60),""))</f>
        <v/>
      </c>
      <c r="U60" s="21">
        <f>IF(OR($J60="",$F60="不适用"),"",IFERROR(INDEX(_怪物模型!$F$2:$F$4501,(INT($J60)-1)*ROWS(_怪物类型!$A$2:$A$10)+MATCH($F60,_怪物类型!$A$2:$A$10,0))*IF($M60="",1,$M60),""))</f>
        <v/>
      </c>
      <c r="V60" s="84">
        <f>IF($U60="","",MIN(0.75,$U60/($U60+24000)))</f>
        <v/>
      </c>
      <c r="W60" s="21">
        <f>IF($S60="","",$S60/(1-$V60)*IF($N60="",1,$N60))</f>
        <v/>
      </c>
      <c r="X60" s="17">
        <f>IF(OR($W60="",$Q60="",$Q60=0),"",$W60/$Q60)</f>
        <v/>
      </c>
      <c r="Y60" s="17">
        <f>IF(OR($R60="",$T60="",$T60=0),"",$R60/($T60*IF($O60="",1,$O60)))</f>
        <v/>
      </c>
      <c r="Z60" s="17">
        <f>IF(OR($X60="",$P60="",$P60=0),"",$X60/$P60)</f>
        <v/>
      </c>
      <c r="AA60">
        <f>IF($J60="","待填怪物等级",IF(OR($I60="",$Q60=""),"待填对照关卡",IF($P60="","已计算",IF(AND($Y60&lt;&gt;"",$Y60&lt;$X60),"生存不成立",IF($Z60&lt;0.5,"碾压",IF($Z60&lt;0.8,"偏简单",IF($Z60&lt;=1.2,"适中",IF($Z60&lt;=1.5,"偏难","过难"))))))))</f>
        <v/>
      </c>
      <c r="AB60">
        <f>IF($J60="","待填",IF(AND(ISNUMBER($J60),$J60&gt;=1,$J60&lt;=500,MOD($J60,1)=0),"有效","超范围"))</f>
        <v/>
      </c>
      <c r="AC60">
        <f>IF(C60&lt;&gt;C59,"新玩法组",IF(J60&gt;=J59,"不降","回退"))</f>
        <v/>
      </c>
      <c r="AD60" t="inlineStr">
        <is>
          <t>等效进度估算S278，非解锁/首通节点；旧Lv352→362；NR_Layer 126 / 修正ID 2001｜2026-09-14 30层结构难度重设计：目标TTK/存活档内线性爬坡（整体约+25%），J等级与对照G不变；AE按60s/20s反查，无解封顶1,600,000。｜2026-09-14 等级带重排：J=279（150→300档内插值），目标曲线沿用30层重设计，K/L按新等级重拟合。｜2026-09-14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60" s="4" t="n">
        <v>1600000</v>
      </c>
      <c r="AF60" s="4">
        <f>INDEX(_统一战力!$B$2:$B$501,J60)</f>
        <v/>
      </c>
      <c r="AG60" t="n">
        <v>2001</v>
      </c>
      <c r="AH60" t="n">
        <v>126</v>
      </c>
      <c r="AI60" t="n">
        <v>2</v>
      </c>
    </row>
    <row r="61">
      <c r="A61" t="inlineStr">
        <is>
          <t>当前源表</t>
        </is>
      </c>
      <c r="B61" t="inlineStr">
        <is>
          <t>无限之旅</t>
        </is>
      </c>
      <c r="C61" t="inlineStr">
        <is>
          <t>难度2</t>
        </is>
      </c>
      <c r="D61" t="inlineStr">
        <is>
          <t>难度2-层127</t>
        </is>
      </c>
      <c r="F61" t="inlineStr">
        <is>
          <t>Boss</t>
        </is>
      </c>
      <c r="G61" t="n">
        <v>279</v>
      </c>
      <c r="I61" t="n">
        <v>279</v>
      </c>
      <c r="J61" t="n">
        <v>234</v>
      </c>
      <c r="K61" s="83" t="n">
        <v>4.0299047402</v>
      </c>
      <c r="L61" s="83" t="n">
        <v>2.6442955385</v>
      </c>
      <c r="M61" s="83" t="n">
        <v>1</v>
      </c>
      <c r="N61" t="n">
        <v>1</v>
      </c>
      <c r="O61" t="n">
        <v>1</v>
      </c>
      <c r="P61" s="17" t="n">
        <v>109.735810738208</v>
      </c>
      <c r="Q61" s="21">
        <f>IF($I61="","",IFERROR(INDEX(_玩家曲线!$H$2:$H$286,MATCH($I61,_玩家曲线!$A$2:$A$286,0)),""))</f>
        <v/>
      </c>
      <c r="R61" s="21">
        <f>IF($I61="","",IFERROR(INDEX(_玩家曲线!$I$2:$I$286,MATCH($I61,_玩家曲线!$A$2:$A$286,0)),""))</f>
        <v/>
      </c>
      <c r="S61" s="21">
        <f>IF(OR($J61="",$F61="不适用"),"",IFERROR(INDEX(_怪物模型!$D$2:$D$4501,(INT($J61)-1)*ROWS(_怪物类型!$A$2:$A$10)+MATCH($F61,_怪物类型!$A$2:$A$10,0))*IF($K61="",1,$K61),""))</f>
        <v/>
      </c>
      <c r="T61" s="21">
        <f>IF(OR($J61="",$F61="不适用"),"",IFERROR(INDEX(_怪物模型!$E$2:$E$4501,(INT($J61)-1)*ROWS(_怪物类型!$A$2:$A$10)+MATCH($F61,_怪物类型!$A$2:$A$10,0))*IF($L61="",1,$L61),""))</f>
        <v/>
      </c>
      <c r="U61" s="21">
        <f>IF(OR($J61="",$F61="不适用"),"",IFERROR(INDEX(_怪物模型!$F$2:$F$4501,(INT($J61)-1)*ROWS(_怪物类型!$A$2:$A$10)+MATCH($F61,_怪物类型!$A$2:$A$10,0))*IF($M61="",1,$M61),""))</f>
        <v/>
      </c>
      <c r="V61" s="84">
        <f>IF($U61="","",MIN(0.75,$U61/($U61+24000)))</f>
        <v/>
      </c>
      <c r="W61" s="21">
        <f>IF($S61="","",$S61/(1-$V61)*IF($N61="",1,$N61))</f>
        <v/>
      </c>
      <c r="X61" s="17">
        <f>IF(OR($W61="",$Q61="",$Q61=0),"",$W61/$Q61)</f>
        <v/>
      </c>
      <c r="Y61" s="17">
        <f>IF(OR($R61="",$T61="",$T61=0),"",$R61/($T61*IF($O61="",1,$O61)))</f>
        <v/>
      </c>
      <c r="Z61" s="17">
        <f>IF(OR($X61="",$P61="",$P61=0),"",$X61/$P61)</f>
        <v/>
      </c>
      <c r="AA61">
        <f>IF($J61="","待填怪物等级",IF(OR($I61="",$Q61=""),"待填对照关卡",IF($P61="","已计算",IF(AND($Y61&lt;&gt;"",$Y61&lt;$X61),"生存不成立",IF($Z61&lt;0.5,"碾压",IF($Z61&lt;0.8,"偏简单",IF($Z61&lt;=1.2,"适中",IF($Z61&lt;=1.5,"偏难","过难"))))))))</f>
        <v/>
      </c>
      <c r="AB61">
        <f>IF($J61="","待填",IF(AND(ISNUMBER($J61),$J61&gt;=1,$J61&lt;=500,MOD($J61,1)=0),"有效","超范围"))</f>
        <v/>
      </c>
      <c r="AC61">
        <f>IF(C61&lt;&gt;C60,"新玩法组",IF(J61&gt;=J60,"不降","回退"))</f>
        <v/>
      </c>
      <c r="AD61" t="inlineStr">
        <is>
          <t>等效进度估算S278，非解锁/首通节点；旧Lv356→366；NR_Layer 127 / 修正ID 2001｜2026-09-14 30层结构难度重设计：目标TTK/存活档内线性爬坡（整体约+25%），J等级与对照G不变；AE按60s/20s反查，无解封顶1,600,000。｜2026-09-14 等级带重排：J=284（150→300档内插值），目标曲线沿用30层重设计，K/L按新等级重拟合。｜2026-09-14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61" s="4" t="n">
        <v>1600000</v>
      </c>
      <c r="AF61" s="4">
        <f>INDEX(_统一战力!$B$2:$B$501,J61)</f>
        <v/>
      </c>
      <c r="AG61" t="n">
        <v>2001</v>
      </c>
      <c r="AH61" t="n">
        <v>127</v>
      </c>
      <c r="AI61" t="n">
        <v>2</v>
      </c>
    </row>
    <row r="62">
      <c r="A62" t="inlineStr">
        <is>
          <t>当前源表</t>
        </is>
      </c>
      <c r="B62" t="inlineStr">
        <is>
          <t>无限之旅</t>
        </is>
      </c>
      <c r="C62" t="inlineStr">
        <is>
          <t>难度2</t>
        </is>
      </c>
      <c r="D62" t="inlineStr">
        <is>
          <t>难度2-层128</t>
        </is>
      </c>
      <c r="F62" t="inlineStr">
        <is>
          <t>Boss</t>
        </is>
      </c>
      <c r="G62" t="n">
        <v>279</v>
      </c>
      <c r="I62" t="n">
        <v>279</v>
      </c>
      <c r="J62" t="n">
        <v>240</v>
      </c>
      <c r="K62" s="83" t="n">
        <v>3.8238468183</v>
      </c>
      <c r="L62" s="83" t="n">
        <v>2.62739069</v>
      </c>
      <c r="M62" s="83" t="n">
        <v>1</v>
      </c>
      <c r="N62" t="n">
        <v>1</v>
      </c>
      <c r="O62" t="n">
        <v>1</v>
      </c>
      <c r="P62" s="17" t="n">
        <v>114.779924992467</v>
      </c>
      <c r="Q62" s="21">
        <f>IF($I62="","",IFERROR(INDEX(_玩家曲线!$H$2:$H$286,MATCH($I62,_玩家曲线!$A$2:$A$286,0)),""))</f>
        <v/>
      </c>
      <c r="R62" s="21">
        <f>IF($I62="","",IFERROR(INDEX(_玩家曲线!$I$2:$I$286,MATCH($I62,_玩家曲线!$A$2:$A$286,0)),""))</f>
        <v/>
      </c>
      <c r="S62" s="21">
        <f>IF(OR($J62="",$F62="不适用"),"",IFERROR(INDEX(_怪物模型!$D$2:$D$4501,(INT($J62)-1)*ROWS(_怪物类型!$A$2:$A$10)+MATCH($F62,_怪物类型!$A$2:$A$10,0))*IF($K62="",1,$K62),""))</f>
        <v/>
      </c>
      <c r="T62" s="21">
        <f>IF(OR($J62="",$F62="不适用"),"",IFERROR(INDEX(_怪物模型!$E$2:$E$4501,(INT($J62)-1)*ROWS(_怪物类型!$A$2:$A$10)+MATCH($F62,_怪物类型!$A$2:$A$10,0))*IF($L62="",1,$L62),""))</f>
        <v/>
      </c>
      <c r="U62" s="21">
        <f>IF(OR($J62="",$F62="不适用"),"",IFERROR(INDEX(_怪物模型!$F$2:$F$4501,(INT($J62)-1)*ROWS(_怪物类型!$A$2:$A$10)+MATCH($F62,_怪物类型!$A$2:$A$10,0))*IF($M62="",1,$M62),""))</f>
        <v/>
      </c>
      <c r="V62" s="84">
        <f>IF($U62="","",MIN(0.75,$U62/($U62+24000)))</f>
        <v/>
      </c>
      <c r="W62" s="21">
        <f>IF($S62="","",$S62/(1-$V62)*IF($N62="",1,$N62))</f>
        <v/>
      </c>
      <c r="X62" s="17">
        <f>IF(OR($W62="",$Q62="",$Q62=0),"",$W62/$Q62)</f>
        <v/>
      </c>
      <c r="Y62" s="17">
        <f>IF(OR($R62="",$T62="",$T62=0),"",$R62/($T62*IF($O62="",1,$O62)))</f>
        <v/>
      </c>
      <c r="Z62" s="17">
        <f>IF(OR($X62="",$P62="",$P62=0),"",$X62/$P62)</f>
        <v/>
      </c>
      <c r="AA62">
        <f>IF($J62="","待填怪物等级",IF(OR($I62="",$Q62=""),"待填对照关卡",IF($P62="","已计算",IF(AND($Y62&lt;&gt;"",$Y62&lt;$X62),"生存不成立",IF($Z62&lt;0.5,"碾压",IF($Z62&lt;0.8,"偏简单",IF($Z62&lt;=1.2,"适中",IF($Z62&lt;=1.5,"偏难","过难"))))))))</f>
        <v/>
      </c>
      <c r="AB62">
        <f>IF($J62="","待填",IF(AND(ISNUMBER($J62),$J62&gt;=1,$J62&lt;=500,MOD($J62,1)=0),"有效","超范围"))</f>
        <v/>
      </c>
      <c r="AC62">
        <f>IF(C62&lt;&gt;C61,"新玩法组",IF(J62&gt;=J61,"不降","回退"))</f>
        <v/>
      </c>
      <c r="AD62" t="inlineStr">
        <is>
          <t>等效进度估算S278，非解锁/首通节点；旧Lv360→370；NR_Layer 128 / 修正ID 2001｜2026-09-14 30层结构难度重设计：目标TTK/存活档内线性爬坡（整体约+25%），J等级与对照G不变；AE按60s/20s反查，无解封顶1,600,000。｜2026-09-14 等级带重排：J=290（150→300档内插值），目标曲线沿用30层重设计，K/L按新等级重拟合。｜2026-09-14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62" s="4" t="n">
        <v>1600000</v>
      </c>
      <c r="AF62" s="4">
        <f>INDEX(_统一战力!$B$2:$B$501,J62)</f>
        <v/>
      </c>
      <c r="AG62" t="n">
        <v>2001</v>
      </c>
      <c r="AH62" t="n">
        <v>128</v>
      </c>
      <c r="AI62" t="n">
        <v>2</v>
      </c>
    </row>
    <row r="63">
      <c r="A63" t="inlineStr">
        <is>
          <t>当前源表</t>
        </is>
      </c>
      <c r="B63" t="inlineStr">
        <is>
          <t>无限之旅</t>
        </is>
      </c>
      <c r="C63" t="inlineStr">
        <is>
          <t>难度2</t>
        </is>
      </c>
      <c r="D63" t="inlineStr">
        <is>
          <t>难度2-层129</t>
        </is>
      </c>
      <c r="F63" t="inlineStr">
        <is>
          <t>Boss</t>
        </is>
      </c>
      <c r="G63" t="n">
        <v>279</v>
      </c>
      <c r="I63" t="n">
        <v>279</v>
      </c>
      <c r="J63" t="n">
        <v>245</v>
      </c>
      <c r="K63" s="83" t="n">
        <v>3.6755893169</v>
      </c>
      <c r="L63" s="83" t="n">
        <v>2.6331117088</v>
      </c>
      <c r="M63" s="83" t="n">
        <v>1</v>
      </c>
      <c r="N63" t="n">
        <v>1</v>
      </c>
      <c r="O63" t="n">
        <v>1</v>
      </c>
      <c r="P63" s="17" t="n">
        <v>120.020243333565</v>
      </c>
      <c r="Q63" s="21">
        <f>IF($I63="","",IFERROR(INDEX(_玩家曲线!$H$2:$H$286,MATCH($I63,_玩家曲线!$A$2:$A$286,0)),""))</f>
        <v/>
      </c>
      <c r="R63" s="21">
        <f>IF($I63="","",IFERROR(INDEX(_玩家曲线!$I$2:$I$286,MATCH($I63,_玩家曲线!$A$2:$A$286,0)),""))</f>
        <v/>
      </c>
      <c r="S63" s="21">
        <f>IF(OR($J63="",$F63="不适用"),"",IFERROR(INDEX(_怪物模型!$D$2:$D$4501,(INT($J63)-1)*ROWS(_怪物类型!$A$2:$A$10)+MATCH($F63,_怪物类型!$A$2:$A$10,0))*IF($K63="",1,$K63),""))</f>
        <v/>
      </c>
      <c r="T63" s="21">
        <f>IF(OR($J63="",$F63="不适用"),"",IFERROR(INDEX(_怪物模型!$E$2:$E$4501,(INT($J63)-1)*ROWS(_怪物类型!$A$2:$A$10)+MATCH($F63,_怪物类型!$A$2:$A$10,0))*IF($L63="",1,$L63),""))</f>
        <v/>
      </c>
      <c r="U63" s="21">
        <f>IF(OR($J63="",$F63="不适用"),"",IFERROR(INDEX(_怪物模型!$F$2:$F$4501,(INT($J63)-1)*ROWS(_怪物类型!$A$2:$A$10)+MATCH($F63,_怪物类型!$A$2:$A$10,0))*IF($M63="",1,$M63),""))</f>
        <v/>
      </c>
      <c r="V63" s="84">
        <f>IF($U63="","",MIN(0.75,$U63/($U63+24000)))</f>
        <v/>
      </c>
      <c r="W63" s="21">
        <f>IF($S63="","",$S63/(1-$V63)*IF($N63="",1,$N63))</f>
        <v/>
      </c>
      <c r="X63" s="17">
        <f>IF(OR($W63="",$Q63="",$Q63=0),"",$W63/$Q63)</f>
        <v/>
      </c>
      <c r="Y63" s="17">
        <f>IF(OR($R63="",$T63="",$T63=0),"",$R63/($T63*IF($O63="",1,$O63)))</f>
        <v/>
      </c>
      <c r="Z63" s="17">
        <f>IF(OR($X63="",$P63="",$P63=0),"",$X63/$P63)</f>
        <v/>
      </c>
      <c r="AA63">
        <f>IF($J63="","待填怪物等级",IF(OR($I63="",$Q63=""),"待填对照关卡",IF($P63="","已计算",IF(AND($Y63&lt;&gt;"",$Y63&lt;$X63),"生存不成立",IF($Z63&lt;0.5,"碾压",IF($Z63&lt;0.8,"偏简单",IF($Z63&lt;=1.2,"适中",IF($Z63&lt;=1.5,"偏难","过难"))))))))</f>
        <v/>
      </c>
      <c r="AB63">
        <f>IF($J63="","待填",IF(AND(ISNUMBER($J63),$J63&gt;=1,$J63&lt;=500,MOD($J63,1)=0),"有效","超范围"))</f>
        <v/>
      </c>
      <c r="AC63">
        <f>IF(C63&lt;&gt;C62,"新玩法组",IF(J63&gt;=J62,"不降","回退"))</f>
        <v/>
      </c>
      <c r="AD63" t="inlineStr">
        <is>
          <t>等效进度估算S278，非解锁/首通节点；旧Lv364→374；NR_Layer 129 / 修正ID 2001｜2026-09-14 30层结构难度重设计：目标TTK/存活档内线性爬坡（整体约+25%），J等级与对照G不变；AE按60s/20s反查，无解封顶1,600,000。｜2026-09-14 等级带重排：J=295（150→300档内插值），目标曲线沿用30层重设计，K/L按新等级重拟合。｜2026-09-14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63" s="4" t="n">
        <v>1600000</v>
      </c>
      <c r="AF63" s="4">
        <f>INDEX(_统一战力!$B$2:$B$501,J63)</f>
        <v/>
      </c>
      <c r="AG63" t="n">
        <v>2001</v>
      </c>
      <c r="AH63" t="n">
        <v>129</v>
      </c>
      <c r="AI63" t="n">
        <v>2</v>
      </c>
    </row>
    <row r="64">
      <c r="A64" t="inlineStr">
        <is>
          <t>当前源表</t>
        </is>
      </c>
      <c r="B64" t="inlineStr">
        <is>
          <t>无限之旅</t>
        </is>
      </c>
      <c r="C64" t="inlineStr">
        <is>
          <t>难度2</t>
        </is>
      </c>
      <c r="D64" t="inlineStr">
        <is>
          <t>难度2-层130</t>
        </is>
      </c>
      <c r="F64" t="inlineStr">
        <is>
          <t>Boss</t>
        </is>
      </c>
      <c r="G64" t="n">
        <v>279</v>
      </c>
      <c r="I64" t="n">
        <v>279</v>
      </c>
      <c r="J64" t="n">
        <v>250</v>
      </c>
      <c r="K64" s="83" t="n">
        <v>3.5332373243</v>
      </c>
      <c r="L64" s="83" t="n">
        <v>2.6432468956</v>
      </c>
      <c r="M64" s="83" t="n">
        <v>1</v>
      </c>
      <c r="N64" t="n">
        <v>1</v>
      </c>
      <c r="O64" t="n">
        <v>1</v>
      </c>
      <c r="P64" s="17" t="n">
        <v>125.465305184338</v>
      </c>
      <c r="Q64" s="21">
        <f>IF($I64="","",IFERROR(INDEX(_玩家曲线!$H$2:$H$286,MATCH($I64,_玩家曲线!$A$2:$A$286,0)),""))</f>
        <v/>
      </c>
      <c r="R64" s="21">
        <f>IF($I64="","",IFERROR(INDEX(_玩家曲线!$I$2:$I$286,MATCH($I64,_玩家曲线!$A$2:$A$286,0)),""))</f>
        <v/>
      </c>
      <c r="S64" s="21">
        <f>IF(OR($J64="",$F64="不适用"),"",IFERROR(INDEX(_怪物模型!$D$2:$D$4501,(INT($J64)-1)*ROWS(_怪物类型!$A$2:$A$10)+MATCH($F64,_怪物类型!$A$2:$A$10,0))*IF($K64="",1,$K64),""))</f>
        <v/>
      </c>
      <c r="T64" s="21">
        <f>IF(OR($J64="",$F64="不适用"),"",IFERROR(INDEX(_怪物模型!$E$2:$E$4501,(INT($J64)-1)*ROWS(_怪物类型!$A$2:$A$10)+MATCH($F64,_怪物类型!$A$2:$A$10,0))*IF($L64="",1,$L64),""))</f>
        <v/>
      </c>
      <c r="U64" s="21">
        <f>IF(OR($J64="",$F64="不适用"),"",IFERROR(INDEX(_怪物模型!$F$2:$F$4501,(INT($J64)-1)*ROWS(_怪物类型!$A$2:$A$10)+MATCH($F64,_怪物类型!$A$2:$A$10,0))*IF($M64="",1,$M64),""))</f>
        <v/>
      </c>
      <c r="V64" s="84">
        <f>IF($U64="","",MIN(0.75,$U64/($U64+24000)))</f>
        <v/>
      </c>
      <c r="W64" s="21">
        <f>IF($S64="","",$S64/(1-$V64)*IF($N64="",1,$N64))</f>
        <v/>
      </c>
      <c r="X64" s="17">
        <f>IF(OR($W64="",$Q64="",$Q64=0),"",$W64/$Q64)</f>
        <v/>
      </c>
      <c r="Y64" s="17">
        <f>IF(OR($R64="",$T64="",$T64=0),"",$R64/($T64*IF($O64="",1,$O64)))</f>
        <v/>
      </c>
      <c r="Z64" s="17">
        <f>IF(OR($X64="",$P64="",$P64=0),"",$X64/$P64)</f>
        <v/>
      </c>
      <c r="AA64">
        <f>IF($J64="","待填怪物等级",IF(OR($I64="",$Q64=""),"待填对照关卡",IF($P64="","已计算",IF(AND($Y64&lt;&gt;"",$Y64&lt;$X64),"生存不成立",IF($Z64&lt;0.5,"碾压",IF($Z64&lt;0.8,"偏简单",IF($Z64&lt;=1.2,"适中",IF($Z64&lt;=1.5,"偏难","过难"))))))))</f>
        <v/>
      </c>
      <c r="AB64">
        <f>IF($J64="","待填",IF(AND(ISNUMBER($J64),$J64&gt;=1,$J64&lt;=500,MOD($J64,1)=0),"有效","超范围"))</f>
        <v/>
      </c>
      <c r="AC64">
        <f>IF(C64&lt;&gt;C63,"新玩法组",IF(J64&gt;=J63,"不降","回退"))</f>
        <v/>
      </c>
      <c r="AD64" t="inlineStr">
        <is>
          <t>等效进度估算S278，非解锁/首通节点；旧Lv368→378；NR_Layer 130 / 修正ID 2001｜2026-09-14 30层结构难度重设计：目标TTK/存活档内线性爬坡（整体约+25%），J等级与对照G不变；AE按60s/20s反查，无解封顶1,600,000。｜2026-09-14 等级带重排：J=300（150→300档内插值），目标曲线沿用30层重设计，K/L按新等级重拟合。｜2026-09-14 等级带v2（用户定档）：D2 100→250 / D3 150→330 / D4 200→450（D1 50→200 不变），K/L 系数不变，难度实质下调；AE 按 60s/20s 重算。</t>
        </is>
      </c>
      <c r="AE64" s="4" t="n">
        <v>1600000</v>
      </c>
      <c r="AF64" s="4">
        <f>INDEX(_统一战力!$B$2:$B$501,J64)</f>
        <v/>
      </c>
      <c r="AG64" t="n">
        <v>2001</v>
      </c>
      <c r="AH64" t="n">
        <v>130</v>
      </c>
      <c r="AI64" t="n">
        <v>2</v>
      </c>
    </row>
    <row r="65">
      <c r="A65" t="inlineStr">
        <is>
          <t>当前源表</t>
        </is>
      </c>
      <c r="B65" t="inlineStr">
        <is>
          <t>无限之旅</t>
        </is>
      </c>
      <c r="C65" t="inlineStr">
        <is>
          <t>难度3</t>
        </is>
      </c>
      <c r="D65" t="inlineStr">
        <is>
          <t>难度3-层201</t>
        </is>
      </c>
      <c r="F65" t="inlineStr">
        <is>
          <t>Boss</t>
        </is>
      </c>
      <c r="G65" t="n">
        <v>261</v>
      </c>
      <c r="I65" t="n">
        <v>261</v>
      </c>
      <c r="J65" t="n">
        <v>150</v>
      </c>
      <c r="K65" s="83" t="n">
        <v>12.0010400182</v>
      </c>
      <c r="L65" s="83" t="n">
        <v>4.7392492156</v>
      </c>
      <c r="M65" s="83" t="n">
        <v>1</v>
      </c>
      <c r="N65" t="n">
        <v>1</v>
      </c>
      <c r="O65" t="n">
        <v>1</v>
      </c>
      <c r="P65" s="17" t="n">
        <v>131.121910940032</v>
      </c>
      <c r="Q65" s="21">
        <f>IF($I65="","",IFERROR(INDEX(_玩家曲线!$H$2:$H$286,MATCH($I65,_玩家曲线!$A$2:$A$286,0)),""))</f>
        <v/>
      </c>
      <c r="R65" s="21">
        <f>IF($I65="","",IFERROR(INDEX(_玩家曲线!$I$2:$I$286,MATCH($I65,_玩家曲线!$A$2:$A$286,0)),""))</f>
        <v/>
      </c>
      <c r="S65" s="21">
        <f>IF(OR($J65="",$F65="不适用"),"",IFERROR(INDEX(_怪物模型!$D$2:$D$4501,(INT($J65)-1)*ROWS(_怪物类型!$A$2:$A$10)+MATCH($F65,_怪物类型!$A$2:$A$10,0))*IF($K65="",1,$K65),""))</f>
        <v/>
      </c>
      <c r="T65" s="21">
        <f>IF(OR($J65="",$F65="不适用"),"",IFERROR(INDEX(_怪物模型!$E$2:$E$4501,(INT($J65)-1)*ROWS(_怪物类型!$A$2:$A$10)+MATCH($F65,_怪物类型!$A$2:$A$10,0))*IF($L65="",1,$L65),""))</f>
        <v/>
      </c>
      <c r="U65" s="21">
        <f>IF(OR($J65="",$F65="不适用"),"",IFERROR(INDEX(_怪物模型!$F$2:$F$4501,(INT($J65)-1)*ROWS(_怪物类型!$A$2:$A$10)+MATCH($F65,_怪物类型!$A$2:$A$10,0))*IF($M65="",1,$M65),""))</f>
        <v/>
      </c>
      <c r="V65" s="84">
        <f>IF($U65="","",MIN(0.75,$U65/($U65+24000)))</f>
        <v/>
      </c>
      <c r="W65" s="21">
        <f>IF($S65="","",$S65/(1-$V65)*IF($N65="",1,$N65))</f>
        <v/>
      </c>
      <c r="X65" s="17">
        <f>IF(OR($W65="",$Q65="",$Q65=0),"",$W65/$Q65)</f>
        <v/>
      </c>
      <c r="Y65" s="17">
        <f>IF(OR($R65="",$T65="",$T65=0),"",$R65/($T65*IF($O65="",1,$O65)))</f>
        <v/>
      </c>
      <c r="Z65" s="17">
        <f>IF(OR($X65="",$P65="",$P65=0),"",$X65/$P65)</f>
        <v/>
      </c>
      <c r="AA65">
        <f>IF($J65="","待填怪物等级",IF(OR($I65="",$Q65=""),"待填对照关卡",IF($P65="","已计算",IF(AND($Y65&lt;&gt;"",$Y65&lt;$X65),"生存不成立",IF($Z65&lt;0.5,"碾压",IF($Z65&lt;0.8,"偏简单",IF($Z65&lt;=1.2,"适中",IF($Z65&lt;=1.5,"偏难","过难"))))))))</f>
        <v/>
      </c>
      <c r="AB65">
        <f>IF($J65="","待填",IF(AND(ISNUMBER($J65),$J65&gt;=1,$J65&lt;=500,MOD($J65,1)=0),"有效","超范围"))</f>
        <v/>
      </c>
      <c r="AC65">
        <f>IF(C65&lt;&gt;C64,"新玩法组",IF(J65&gt;=J64,"不降","回退"))</f>
        <v/>
      </c>
      <c r="AD65" t="inlineStr">
        <is>
          <t>等效进度估算S278，非解锁/首通节点；旧Lv372→383；NR_Layer 201 / 修正ID 2001｜2026-09-14 30层结构难度重设计：目标TTK/存活档内线性爬坡（整体约+25%），J等级与对照G不变；AE按60s/20s反查，无解封顶1,600,000。｜2026-09-14 等级带重排：J=200（200→400档内插值），目标曲线沿用30层重设计，K/L按新等级重拟合。｜2026-09-14 显示调整：NR_Difficult.Recommend 改按放宽口径(120s/15s)显示，难度字段与AE不变。｜2026-09-14 显示口径v2（用户指正不能按层1）：NR_Difficult显示=本难度60s口径最深可解层推荐（无可解层→1,600,000），难度字段不变。｜2026-09-14 显示口径v3（用户定档）：NR_Difficult显示=本难度第6/9/12/15层的AE（层12=1,600,000）。｜2026-09-14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K/L重拟合：新等级带上按@278目标TTK/存活重定系数，难度实质大幅下调。｜2026-09-14 显示口径v4（用户调低D2/D3）：层6@120s挑战口径=1,110,000。</t>
        </is>
      </c>
      <c r="AE65" s="4" t="n">
        <v>1510000</v>
      </c>
      <c r="AF65" s="4">
        <f>INDEX(_统一战力!$B$2:$B$501,J65)</f>
        <v/>
      </c>
      <c r="AG65" t="n">
        <v>2001</v>
      </c>
      <c r="AH65" t="n">
        <v>201</v>
      </c>
      <c r="AI65" t="n">
        <v>3</v>
      </c>
    </row>
    <row r="66">
      <c r="A66" t="inlineStr">
        <is>
          <t>当前源表</t>
        </is>
      </c>
      <c r="B66" t="inlineStr">
        <is>
          <t>无限之旅</t>
        </is>
      </c>
      <c r="C66" t="inlineStr">
        <is>
          <t>难度3</t>
        </is>
      </c>
      <c r="D66" t="inlineStr">
        <is>
          <t>难度3-层202</t>
        </is>
      </c>
      <c r="F66" t="inlineStr">
        <is>
          <t>Boss</t>
        </is>
      </c>
      <c r="G66" t="n">
        <v>271</v>
      </c>
      <c r="I66" t="n">
        <v>271</v>
      </c>
      <c r="J66" t="n">
        <v>156</v>
      </c>
      <c r="K66" s="83" t="n">
        <v>11.2996687317</v>
      </c>
      <c r="L66" s="83" t="n">
        <v>4.515607528</v>
      </c>
      <c r="M66" s="83" t="n">
        <v>1</v>
      </c>
      <c r="N66" t="n">
        <v>1</v>
      </c>
      <c r="O66" t="n">
        <v>1</v>
      </c>
      <c r="P66" s="17" t="n">
        <v>136.994923091773</v>
      </c>
      <c r="Q66" s="21">
        <f>IF($I66="","",IFERROR(INDEX(_玩家曲线!$H$2:$H$286,MATCH($I66,_玩家曲线!$A$2:$A$286,0)),""))</f>
        <v/>
      </c>
      <c r="R66" s="21">
        <f>IF($I66="","",IFERROR(INDEX(_玩家曲线!$I$2:$I$286,MATCH($I66,_玩家曲线!$A$2:$A$286,0)),""))</f>
        <v/>
      </c>
      <c r="S66" s="21">
        <f>IF(OR($J66="",$F66="不适用"),"",IFERROR(INDEX(_怪物模型!$D$2:$D$4501,(INT($J66)-1)*ROWS(_怪物类型!$A$2:$A$10)+MATCH($F66,_怪物类型!$A$2:$A$10,0))*IF($K66="",1,$K66),""))</f>
        <v/>
      </c>
      <c r="T66" s="21">
        <f>IF(OR($J66="",$F66="不适用"),"",IFERROR(INDEX(_怪物模型!$E$2:$E$4501,(INT($J66)-1)*ROWS(_怪物类型!$A$2:$A$10)+MATCH($F66,_怪物类型!$A$2:$A$10,0))*IF($L66="",1,$L66),""))</f>
        <v/>
      </c>
      <c r="U66" s="21">
        <f>IF(OR($J66="",$F66="不适用"),"",IFERROR(INDEX(_怪物模型!$F$2:$F$4501,(INT($J66)-1)*ROWS(_怪物类型!$A$2:$A$10)+MATCH($F66,_怪物类型!$A$2:$A$10,0))*IF($M66="",1,$M66),""))</f>
        <v/>
      </c>
      <c r="V66" s="84">
        <f>IF($U66="","",MIN(0.75,$U66/($U66+24000)))</f>
        <v/>
      </c>
      <c r="W66" s="21">
        <f>IF($S66="","",$S66/(1-$V66)*IF($N66="",1,$N66))</f>
        <v/>
      </c>
      <c r="X66" s="17">
        <f>IF(OR($W66="",$Q66="",$Q66=0),"",$W66/$Q66)</f>
        <v/>
      </c>
      <c r="Y66" s="17">
        <f>IF(OR($R66="",$T66="",$T66=0),"",$R66/($T66*IF($O66="",1,$O66)))</f>
        <v/>
      </c>
      <c r="Z66" s="17">
        <f>IF(OR($X66="",$P66="",$P66=0),"",$X66/$P66)</f>
        <v/>
      </c>
      <c r="AA66">
        <f>IF($J66="","待填怪物等级",IF(OR($I66="",$Q66=""),"待填对照关卡",IF($P66="","已计算",IF(AND($Y66&lt;&gt;"",$Y66&lt;$X66),"生存不成立",IF($Z66&lt;0.5,"碾压",IF($Z66&lt;0.8,"偏简单",IF($Z66&lt;=1.2,"适中",IF($Z66&lt;=1.5,"偏难","过难"))))))))</f>
        <v/>
      </c>
      <c r="AB66">
        <f>IF($J66="","待填",IF(AND(ISNUMBER($J66),$J66&gt;=1,$J66&lt;=500,MOD($J66,1)=0),"有效","超范围"))</f>
        <v/>
      </c>
      <c r="AC66">
        <f>IF(C66&lt;&gt;C65,"新玩法组",IF(J66&gt;=J65,"不降","回退"))</f>
        <v/>
      </c>
      <c r="AD66" t="inlineStr">
        <is>
          <t>等效进度估算S278，非解锁/首通节点；旧Lv376→387；NR_Layer 202 / 修正ID 2001｜2026-09-14 30层结构难度重设计：目标TTK/存活档内线性爬坡（整体约+25%），J等级与对照G不变；AE按60s/20s反查，无解封顶1,600,000。｜2026-09-14 等级带重排：J=207（200→400档内插值），目标曲线沿用30层重设计，K/L按新等级重拟合。｜2026-09-14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66" s="4" t="n">
        <v>1560000</v>
      </c>
      <c r="AF66" s="4">
        <f>INDEX(_统一战力!$B$2:$B$501,J66)</f>
        <v/>
      </c>
      <c r="AG66" t="n">
        <v>2001</v>
      </c>
      <c r="AH66" t="n">
        <v>202</v>
      </c>
      <c r="AI66" t="n">
        <v>3</v>
      </c>
    </row>
    <row r="67">
      <c r="A67" t="inlineStr">
        <is>
          <t>当前源表</t>
        </is>
      </c>
      <c r="B67" t="inlineStr">
        <is>
          <t>无限之旅</t>
        </is>
      </c>
      <c r="C67" t="inlineStr">
        <is>
          <t>难度3</t>
        </is>
      </c>
      <c r="D67" t="inlineStr">
        <is>
          <t>难度3-层203</t>
        </is>
      </c>
      <c r="F67" t="inlineStr">
        <is>
          <t>Boss</t>
        </is>
      </c>
      <c r="G67" t="n">
        <v>279</v>
      </c>
      <c r="I67" t="n">
        <v>279</v>
      </c>
      <c r="J67" t="n">
        <v>162</v>
      </c>
      <c r="K67" s="83" t="n">
        <v>10.6399360082</v>
      </c>
      <c r="L67" s="83" t="n">
        <v>4.3094077195</v>
      </c>
      <c r="M67" s="83" t="n">
        <v>1</v>
      </c>
      <c r="N67" t="n">
        <v>1</v>
      </c>
      <c r="O67" t="n">
        <v>1</v>
      </c>
      <c r="P67" s="17" t="n">
        <v>141.550797105099</v>
      </c>
      <c r="Q67" s="21">
        <f>IF($I67="","",IFERROR(INDEX(_玩家曲线!$H$2:$H$286,MATCH($I67,_玩家曲线!$A$2:$A$286,0)),""))</f>
        <v/>
      </c>
      <c r="R67" s="21">
        <f>IF($I67="","",IFERROR(INDEX(_玩家曲线!$I$2:$I$286,MATCH($I67,_玩家曲线!$A$2:$A$286,0)),""))</f>
        <v/>
      </c>
      <c r="S67" s="21">
        <f>IF(OR($J67="",$F67="不适用"),"",IFERROR(INDEX(_怪物模型!$D$2:$D$4501,(INT($J67)-1)*ROWS(_怪物类型!$A$2:$A$10)+MATCH($F67,_怪物类型!$A$2:$A$10,0))*IF($K67="",1,$K67),""))</f>
        <v/>
      </c>
      <c r="T67" s="21">
        <f>IF(OR($J67="",$F67="不适用"),"",IFERROR(INDEX(_怪物模型!$E$2:$E$4501,(INT($J67)-1)*ROWS(_怪物类型!$A$2:$A$10)+MATCH($F67,_怪物类型!$A$2:$A$10,0))*IF($L67="",1,$L67),""))</f>
        <v/>
      </c>
      <c r="U67" s="21">
        <f>IF(OR($J67="",$F67="不适用"),"",IFERROR(INDEX(_怪物模型!$F$2:$F$4501,(INT($J67)-1)*ROWS(_怪物类型!$A$2:$A$10)+MATCH($F67,_怪物类型!$A$2:$A$10,0))*IF($M67="",1,$M67),""))</f>
        <v/>
      </c>
      <c r="V67" s="84">
        <f>IF($U67="","",MIN(0.75,$U67/($U67+24000)))</f>
        <v/>
      </c>
      <c r="W67" s="21">
        <f>IF($S67="","",$S67/(1-$V67)*IF($N67="",1,$N67))</f>
        <v/>
      </c>
      <c r="X67" s="17">
        <f>IF(OR($W67="",$Q67="",$Q67=0),"",$W67/$Q67)</f>
        <v/>
      </c>
      <c r="Y67" s="17">
        <f>IF(OR($R67="",$T67="",$T67=0),"",$R67/($T67*IF($O67="",1,$O67)))</f>
        <v/>
      </c>
      <c r="Z67" s="17">
        <f>IF(OR($X67="",$P67="",$P67=0),"",$X67/$P67)</f>
        <v/>
      </c>
      <c r="AA67">
        <f>IF($J67="","待填怪物等级",IF(OR($I67="",$Q67=""),"待填对照关卡",IF($P67="","已计算",IF(AND($Y67&lt;&gt;"",$Y67&lt;$X67),"生存不成立",IF($Z67&lt;0.5,"碾压",IF($Z67&lt;0.8,"偏简单",IF($Z67&lt;=1.2,"适中",IF($Z67&lt;=1.5,"偏难","过难"))))))))</f>
        <v/>
      </c>
      <c r="AB67">
        <f>IF($J67="","待填",IF(AND(ISNUMBER($J67),$J67&gt;=1,$J67&lt;=500,MOD($J67,1)=0),"有效","超范围"))</f>
        <v/>
      </c>
      <c r="AC67">
        <f>IF(C67&lt;&gt;C66,"新玩法组",IF(J67&gt;=J66,"不降","回退"))</f>
        <v/>
      </c>
      <c r="AD67" t="inlineStr">
        <is>
          <t>等效进度估算S278，非解锁/首通节点；旧Lv379→390；NR_Layer 203 / 修正ID 2001｜2026-09-14 30层结构难度重设计：目标TTK/存活档内线性爬坡（整体约+25%），J等级与对照G不变；AE按60s/20s反查，无解封顶1,600,000。｜2026-09-14 等级带重排：J=214（200→400档内插值），目标曲线沿用30层重设计，K/L按新等级重拟合。｜2026-09-14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67" s="4" t="n">
        <v>1600000</v>
      </c>
      <c r="AF67" s="4">
        <f>INDEX(_统一战力!$B$2:$B$501,J67)</f>
        <v/>
      </c>
      <c r="AG67" t="n">
        <v>2001</v>
      </c>
      <c r="AH67" t="n">
        <v>203</v>
      </c>
      <c r="AI67" t="n">
        <v>3</v>
      </c>
    </row>
    <row r="68">
      <c r="A68" t="inlineStr">
        <is>
          <t>当前源表</t>
        </is>
      </c>
      <c r="B68" t="inlineStr">
        <is>
          <t>无限之旅</t>
        </is>
      </c>
      <c r="C68" t="inlineStr">
        <is>
          <t>难度3</t>
        </is>
      </c>
      <c r="D68" t="inlineStr">
        <is>
          <t>难度3-层204</t>
        </is>
      </c>
      <c r="F68" t="inlineStr">
        <is>
          <t>Boss</t>
        </is>
      </c>
      <c r="G68" t="n">
        <v>279</v>
      </c>
      <c r="I68" t="n">
        <v>279</v>
      </c>
      <c r="J68" t="n">
        <v>169</v>
      </c>
      <c r="K68" s="83" t="n">
        <v>9.8451784903</v>
      </c>
      <c r="L68" s="83" t="n">
        <v>4.0805280345</v>
      </c>
      <c r="M68" s="83" t="n">
        <v>1</v>
      </c>
      <c r="N68" t="n">
        <v>1</v>
      </c>
      <c r="O68" t="n">
        <v>1</v>
      </c>
      <c r="P68" s="17" t="n">
        <v>147.825442195279</v>
      </c>
      <c r="Q68" s="21">
        <f>IF($I68="","",IFERROR(INDEX(_玩家曲线!$H$2:$H$286,MATCH($I68,_玩家曲线!$A$2:$A$286,0)),""))</f>
        <v/>
      </c>
      <c r="R68" s="21">
        <f>IF($I68="","",IFERROR(INDEX(_玩家曲线!$I$2:$I$286,MATCH($I68,_玩家曲线!$A$2:$A$286,0)),""))</f>
        <v/>
      </c>
      <c r="S68" s="21">
        <f>IF(OR($J68="",$F68="不适用"),"",IFERROR(INDEX(_怪物模型!$D$2:$D$4501,(INT($J68)-1)*ROWS(_怪物类型!$A$2:$A$10)+MATCH($F68,_怪物类型!$A$2:$A$10,0))*IF($K68="",1,$K68),""))</f>
        <v/>
      </c>
      <c r="T68" s="21">
        <f>IF(OR($J68="",$F68="不适用"),"",IFERROR(INDEX(_怪物模型!$E$2:$E$4501,(INT($J68)-1)*ROWS(_怪物类型!$A$2:$A$10)+MATCH($F68,_怪物类型!$A$2:$A$10,0))*IF($L68="",1,$L68),""))</f>
        <v/>
      </c>
      <c r="U68" s="21">
        <f>IF(OR($J68="",$F68="不适用"),"",IFERROR(INDEX(_怪物模型!$F$2:$F$4501,(INT($J68)-1)*ROWS(_怪物类型!$A$2:$A$10)+MATCH($F68,_怪物类型!$A$2:$A$10,0))*IF($M68="",1,$M68),""))</f>
        <v/>
      </c>
      <c r="V68" s="84">
        <f>IF($U68="","",MIN(0.75,$U68/($U68+24000)))</f>
        <v/>
      </c>
      <c r="W68" s="21">
        <f>IF($S68="","",$S68/(1-$V68)*IF($N68="",1,$N68))</f>
        <v/>
      </c>
      <c r="X68" s="17">
        <f>IF(OR($W68="",$Q68="",$Q68=0),"",$W68/$Q68)</f>
        <v/>
      </c>
      <c r="Y68" s="17">
        <f>IF(OR($R68="",$T68="",$T68=0),"",$R68/($T68*IF($O68="",1,$O68)))</f>
        <v/>
      </c>
      <c r="Z68" s="17">
        <f>IF(OR($X68="",$P68="",$P68=0),"",$X68/$P68)</f>
        <v/>
      </c>
      <c r="AA68">
        <f>IF($J68="","待填怪物等级",IF(OR($I68="",$Q68=""),"待填对照关卡",IF($P68="","已计算",IF(AND($Y68&lt;&gt;"",$Y68&lt;$X68),"生存不成立",IF($Z68&lt;0.5,"碾压",IF($Z68&lt;0.8,"偏简单",IF($Z68&lt;=1.2,"适中",IF($Z68&lt;=1.5,"偏难","过难"))))))))</f>
        <v/>
      </c>
      <c r="AB68">
        <f>IF($J68="","待填",IF(AND(ISNUMBER($J68),$J68&gt;=1,$J68&lt;=500,MOD($J68,1)=0),"有效","超范围"))</f>
        <v/>
      </c>
      <c r="AC68">
        <f>IF(C68&lt;&gt;C67,"新玩法组",IF(J68&gt;=J67,"不降","回退"))</f>
        <v/>
      </c>
      <c r="AD68" t="inlineStr">
        <is>
          <t>等效进度估算S278，非解锁/首通节点；旧Lv383→394；NR_Layer 204 / 修正ID 2001｜2026-09-14 30层结构难度重设计：目标TTK/存活档内线性爬坡（整体约+25%），J等级与对照G不变；AE按60s/20s反查，无解封顶1,600,000。｜2026-09-14 等级带重排：J=221（200→400档内插值），目标曲线沿用30层重设计，K/L按新等级重拟合。｜2026-09-14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68" s="4" t="n">
        <v>1600000</v>
      </c>
      <c r="AF68" s="4">
        <f>INDEX(_统一战力!$B$2:$B$501,J68)</f>
        <v/>
      </c>
      <c r="AG68" t="n">
        <v>2001</v>
      </c>
      <c r="AH68" t="n">
        <v>204</v>
      </c>
      <c r="AI68" t="n">
        <v>3</v>
      </c>
    </row>
    <row r="69">
      <c r="A69" t="inlineStr">
        <is>
          <t>当前源表</t>
        </is>
      </c>
      <c r="B69" t="inlineStr">
        <is>
          <t>无限之旅</t>
        </is>
      </c>
      <c r="C69" t="inlineStr">
        <is>
          <t>难度3</t>
        </is>
      </c>
      <c r="D69" t="inlineStr">
        <is>
          <t>难度3-层205</t>
        </is>
      </c>
      <c r="F69" t="inlineStr">
        <is>
          <t>Boss</t>
        </is>
      </c>
      <c r="G69" t="n">
        <v>279</v>
      </c>
      <c r="I69" t="n">
        <v>279</v>
      </c>
      <c r="J69" t="n">
        <v>175</v>
      </c>
      <c r="K69" s="83" t="n">
        <v>9.2768362425</v>
      </c>
      <c r="L69" s="83" t="n">
        <v>3.9065277037</v>
      </c>
      <c r="M69" s="83" t="n">
        <v>1</v>
      </c>
      <c r="N69" t="n">
        <v>1</v>
      </c>
      <c r="O69" t="n">
        <v>1</v>
      </c>
      <c r="P69" s="17" t="n">
        <v>154.339087578392</v>
      </c>
      <c r="Q69" s="21">
        <f>IF($I69="","",IFERROR(INDEX(_玩家曲线!$H$2:$H$286,MATCH($I69,_玩家曲线!$A$2:$A$286,0)),""))</f>
        <v/>
      </c>
      <c r="R69" s="21">
        <f>IF($I69="","",IFERROR(INDEX(_玩家曲线!$I$2:$I$286,MATCH($I69,_玩家曲线!$A$2:$A$286,0)),""))</f>
        <v/>
      </c>
      <c r="S69" s="21">
        <f>IF(OR($J69="",$F69="不适用"),"",IFERROR(INDEX(_怪物模型!$D$2:$D$4501,(INT($J69)-1)*ROWS(_怪物类型!$A$2:$A$10)+MATCH($F69,_怪物类型!$A$2:$A$10,0))*IF($K69="",1,$K69),""))</f>
        <v/>
      </c>
      <c r="T69" s="21">
        <f>IF(OR($J69="",$F69="不适用"),"",IFERROR(INDEX(_怪物模型!$E$2:$E$4501,(INT($J69)-1)*ROWS(_怪物类型!$A$2:$A$10)+MATCH($F69,_怪物类型!$A$2:$A$10,0))*IF($L69="",1,$L69),""))</f>
        <v/>
      </c>
      <c r="U69" s="21">
        <f>IF(OR($J69="",$F69="不适用"),"",IFERROR(INDEX(_怪物模型!$F$2:$F$4501,(INT($J69)-1)*ROWS(_怪物类型!$A$2:$A$10)+MATCH($F69,_怪物类型!$A$2:$A$10,0))*IF($M69="",1,$M69),""))</f>
        <v/>
      </c>
      <c r="V69" s="84">
        <f>IF($U69="","",MIN(0.75,$U69/($U69+24000)))</f>
        <v/>
      </c>
      <c r="W69" s="21">
        <f>IF($S69="","",$S69/(1-$V69)*IF($N69="",1,$N69))</f>
        <v/>
      </c>
      <c r="X69" s="17">
        <f>IF(OR($W69="",$Q69="",$Q69=0),"",$W69/$Q69)</f>
        <v/>
      </c>
      <c r="Y69" s="17">
        <f>IF(OR($R69="",$T69="",$T69=0),"",$R69/($T69*IF($O69="",1,$O69)))</f>
        <v/>
      </c>
      <c r="Z69" s="17">
        <f>IF(OR($X69="",$P69="",$P69=0),"",$X69/$P69)</f>
        <v/>
      </c>
      <c r="AA69">
        <f>IF($J69="","待填怪物等级",IF(OR($I69="",$Q69=""),"待填对照关卡",IF($P69="","已计算",IF(AND($Y69&lt;&gt;"",$Y69&lt;$X69),"生存不成立",IF($Z69&lt;0.5,"碾压",IF($Z69&lt;0.8,"偏简单",IF($Z69&lt;=1.2,"适中",IF($Z69&lt;=1.5,"偏难","过难"))))))))</f>
        <v/>
      </c>
      <c r="AB69">
        <f>IF($J69="","待填",IF(AND(ISNUMBER($J69),$J69&gt;=1,$J69&lt;=500,MOD($J69,1)=0),"有效","超范围"))</f>
        <v/>
      </c>
      <c r="AC69">
        <f>IF(C69&lt;&gt;C68,"新玩法组",IF(J69&gt;=J68,"不降","回退"))</f>
        <v/>
      </c>
      <c r="AD69" t="inlineStr">
        <is>
          <t>等效进度估算S278，非解锁/首通节点；旧Lv387→398；NR_Layer 205 / 修正ID 2001｜2026-09-14 30层结构难度重设计：目标TTK/存活档内线性爬坡（整体约+25%），J等级与对照G不变；AE按60s/20s反查，无解封顶1,600,000。｜2026-09-14 等级带重排：J=228（200→400档内插值），目标曲线沿用30层重设计，K/L按新等级重拟合。｜2026-09-14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69" s="4" t="n">
        <v>1600000</v>
      </c>
      <c r="AF69" s="4">
        <f>INDEX(_统一战力!$B$2:$B$501,J69)</f>
        <v/>
      </c>
      <c r="AG69" t="n">
        <v>2001</v>
      </c>
      <c r="AH69" t="n">
        <v>205</v>
      </c>
      <c r="AI69" t="n">
        <v>3</v>
      </c>
    </row>
    <row r="70">
      <c r="A70" t="inlineStr">
        <is>
          <t>当前源表</t>
        </is>
      </c>
      <c r="B70" t="inlineStr">
        <is>
          <t>无限之旅</t>
        </is>
      </c>
      <c r="C70" t="inlineStr">
        <is>
          <t>难度3</t>
        </is>
      </c>
      <c r="D70" t="inlineStr">
        <is>
          <t>难度3-层206</t>
        </is>
      </c>
      <c r="F70" t="inlineStr">
        <is>
          <t>Boss</t>
        </is>
      </c>
      <c r="G70" t="n">
        <v>279</v>
      </c>
      <c r="I70" t="n">
        <v>279</v>
      </c>
      <c r="J70" t="n">
        <v>181</v>
      </c>
      <c r="K70" s="83" t="n">
        <v>8.743478123699999</v>
      </c>
      <c r="L70" s="83" t="n">
        <v>3.7446028812</v>
      </c>
      <c r="M70" s="83" t="n">
        <v>1</v>
      </c>
      <c r="N70" t="n">
        <v>1</v>
      </c>
      <c r="O70" t="n">
        <v>1</v>
      </c>
      <c r="P70" s="17" t="n">
        <v>159.385293221673</v>
      </c>
      <c r="Q70" s="21">
        <f>IF($I70="","",IFERROR(INDEX(_玩家曲线!$H$2:$H$286,MATCH($I70,_玩家曲线!$A$2:$A$286,0)),""))</f>
        <v/>
      </c>
      <c r="R70" s="21">
        <f>IF($I70="","",IFERROR(INDEX(_玩家曲线!$I$2:$I$286,MATCH($I70,_玩家曲线!$A$2:$A$286,0)),""))</f>
        <v/>
      </c>
      <c r="S70" s="21">
        <f>IF(OR($J70="",$F70="不适用"),"",IFERROR(INDEX(_怪物模型!$D$2:$D$4501,(INT($J70)-1)*ROWS(_怪物类型!$A$2:$A$10)+MATCH($F70,_怪物类型!$A$2:$A$10,0))*IF($K70="",1,$K70),""))</f>
        <v/>
      </c>
      <c r="T70" s="21">
        <f>IF(OR($J70="",$F70="不适用"),"",IFERROR(INDEX(_怪物模型!$E$2:$E$4501,(INT($J70)-1)*ROWS(_怪物类型!$A$2:$A$10)+MATCH($F70,_怪物类型!$A$2:$A$10,0))*IF($L70="",1,$L70),""))</f>
        <v/>
      </c>
      <c r="U70" s="21">
        <f>IF(OR($J70="",$F70="不适用"),"",IFERROR(INDEX(_怪物模型!$F$2:$F$4501,(INT($J70)-1)*ROWS(_怪物类型!$A$2:$A$10)+MATCH($F70,_怪物类型!$A$2:$A$10,0))*IF($M70="",1,$M70),""))</f>
        <v/>
      </c>
      <c r="V70" s="84">
        <f>IF($U70="","",MIN(0.75,$U70/($U70+24000)))</f>
        <v/>
      </c>
      <c r="W70" s="21">
        <f>IF($S70="","",$S70/(1-$V70)*IF($N70="",1,$N70))</f>
        <v/>
      </c>
      <c r="X70" s="17">
        <f>IF(OR($W70="",$Q70="",$Q70=0),"",$W70/$Q70)</f>
        <v/>
      </c>
      <c r="Y70" s="17">
        <f>IF(OR($R70="",$T70="",$T70=0),"",$R70/($T70*IF($O70="",1,$O70)))</f>
        <v/>
      </c>
      <c r="Z70" s="17">
        <f>IF(OR($X70="",$P70="",$P70=0),"",$X70/$P70)</f>
        <v/>
      </c>
      <c r="AA70">
        <f>IF($J70="","待填怪物等级",IF(OR($I70="",$Q70=""),"待填对照关卡",IF($P70="","已计算",IF(AND($Y70&lt;&gt;"",$Y70&lt;$X70),"生存不成立",IF($Z70&lt;0.5,"碾压",IF($Z70&lt;0.8,"偏简单",IF($Z70&lt;=1.2,"适中",IF($Z70&lt;=1.5,"偏难","过难"))))))))</f>
        <v/>
      </c>
      <c r="AB70">
        <f>IF($J70="","待填",IF(AND(ISNUMBER($J70),$J70&gt;=1,$J70&lt;=500,MOD($J70,1)=0),"有效","超范围"))</f>
        <v/>
      </c>
      <c r="AC70">
        <f>IF(C70&lt;&gt;C69,"新玩法组",IF(J70&gt;=J69,"不降","回退"))</f>
        <v/>
      </c>
      <c r="AD70" t="inlineStr">
        <is>
          <t>等效进度估算S278，非解锁/首通节点；旧Lv390→401；NR_Layer 206 / 修正ID 2001｜2026-09-14 30层结构难度重设计：目标TTK/存活档内线性爬坡（整体约+25%），J等级与对照G不变；AE按60s/20s反查，无解封顶1,600,000。｜2026-09-14 等级带重排：J=234（200→400档内插值），目标曲线沿用30层重设计，K/L按新等级重拟合。｜2026-09-14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70" s="4" t="n">
        <v>1600000</v>
      </c>
      <c r="AF70" s="4">
        <f>INDEX(_统一战力!$B$2:$B$501,J70)</f>
        <v/>
      </c>
      <c r="AG70" t="n">
        <v>2001</v>
      </c>
      <c r="AH70" t="n">
        <v>206</v>
      </c>
      <c r="AI70" t="n">
        <v>3</v>
      </c>
    </row>
    <row r="71">
      <c r="A71" t="inlineStr">
        <is>
          <t>当前源表</t>
        </is>
      </c>
      <c r="B71" t="inlineStr">
        <is>
          <t>无限之旅</t>
        </is>
      </c>
      <c r="C71" t="inlineStr">
        <is>
          <t>难度3</t>
        </is>
      </c>
      <c r="D71" t="inlineStr">
        <is>
          <t>难度3-层207</t>
        </is>
      </c>
      <c r="F71" t="inlineStr">
        <is>
          <t>Boss</t>
        </is>
      </c>
      <c r="G71" t="n">
        <v>279</v>
      </c>
      <c r="I71" t="n">
        <v>279</v>
      </c>
      <c r="J71" t="n">
        <v>187</v>
      </c>
      <c r="K71" s="83" t="n">
        <v>8.242789400099999</v>
      </c>
      <c r="L71" s="83" t="n">
        <v>3.5939938123</v>
      </c>
      <c r="M71" s="83" t="n">
        <v>1</v>
      </c>
      <c r="N71" t="n">
        <v>1</v>
      </c>
      <c r="O71" t="n">
        <v>1</v>
      </c>
      <c r="P71" s="17" t="n">
        <v>166.33530373071</v>
      </c>
      <c r="Q71" s="21">
        <f>IF($I71="","",IFERROR(INDEX(_玩家曲线!$H$2:$H$286,MATCH($I71,_玩家曲线!$A$2:$A$286,0)),""))</f>
        <v/>
      </c>
      <c r="R71" s="21">
        <f>IF($I71="","",IFERROR(INDEX(_玩家曲线!$I$2:$I$286,MATCH($I71,_玩家曲线!$A$2:$A$286,0)),""))</f>
        <v/>
      </c>
      <c r="S71" s="21">
        <f>IF(OR($J71="",$F71="不适用"),"",IFERROR(INDEX(_怪物模型!$D$2:$D$4501,(INT($J71)-1)*ROWS(_怪物类型!$A$2:$A$10)+MATCH($F71,_怪物类型!$A$2:$A$10,0))*IF($K71="",1,$K71),""))</f>
        <v/>
      </c>
      <c r="T71" s="21">
        <f>IF(OR($J71="",$F71="不适用"),"",IFERROR(INDEX(_怪物模型!$E$2:$E$4501,(INT($J71)-1)*ROWS(_怪物类型!$A$2:$A$10)+MATCH($F71,_怪物类型!$A$2:$A$10,0))*IF($L71="",1,$L71),""))</f>
        <v/>
      </c>
      <c r="U71" s="21">
        <f>IF(OR($J71="",$F71="不适用"),"",IFERROR(INDEX(_怪物模型!$F$2:$F$4501,(INT($J71)-1)*ROWS(_怪物类型!$A$2:$A$10)+MATCH($F71,_怪物类型!$A$2:$A$10,0))*IF($M71="",1,$M71),""))</f>
        <v/>
      </c>
      <c r="V71" s="84">
        <f>IF($U71="","",MIN(0.75,$U71/($U71+24000)))</f>
        <v/>
      </c>
      <c r="W71" s="21">
        <f>IF($S71="","",$S71/(1-$V71)*IF($N71="",1,$N71))</f>
        <v/>
      </c>
      <c r="X71" s="17">
        <f>IF(OR($W71="",$Q71="",$Q71=0),"",$W71/$Q71)</f>
        <v/>
      </c>
      <c r="Y71" s="17">
        <f>IF(OR($R71="",$T71="",$T71=0),"",$R71/($T71*IF($O71="",1,$O71)))</f>
        <v/>
      </c>
      <c r="Z71" s="17">
        <f>IF(OR($X71="",$P71="",$P71=0),"",$X71/$P71)</f>
        <v/>
      </c>
      <c r="AA71">
        <f>IF($J71="","待填怪物等级",IF(OR($I71="",$Q71=""),"待填对照关卡",IF($P71="","已计算",IF(AND($Y71&lt;&gt;"",$Y71&lt;$X71),"生存不成立",IF($Z71&lt;0.5,"碾压",IF($Z71&lt;0.8,"偏简单",IF($Z71&lt;=1.2,"适中",IF($Z71&lt;=1.5,"偏难","过难"))))))))</f>
        <v/>
      </c>
      <c r="AB71">
        <f>IF($J71="","待填",IF(AND(ISNUMBER($J71),$J71&gt;=1,$J71&lt;=500,MOD($J71,1)=0),"有效","超范围"))</f>
        <v/>
      </c>
      <c r="AC71">
        <f>IF(C71&lt;&gt;C70,"新玩法组",IF(J71&gt;=J70,"不降","回退"))</f>
        <v/>
      </c>
      <c r="AD71" t="inlineStr">
        <is>
          <t>等效进度估算S278，非解锁/首通节点；旧Lv394→405；NR_Layer 207 / 修正ID 2001｜2026-09-14 30层结构难度重设计：目标TTK/存活档内线性爬坡（整体约+25%），J等级与对照G不变；AE按60s/20s反查，无解封顶1,600,000。｜2026-09-14 等级带重排：J=241（200→400档内插值），目标曲线沿用30层重设计，K/L按新等级重拟合。｜2026-09-14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71" s="4" t="n">
        <v>1600000</v>
      </c>
      <c r="AF71" s="4">
        <f>INDEX(_统一战力!$B$2:$B$501,J71)</f>
        <v/>
      </c>
      <c r="AG71" t="n">
        <v>2001</v>
      </c>
      <c r="AH71" t="n">
        <v>207</v>
      </c>
      <c r="AI71" t="n">
        <v>3</v>
      </c>
    </row>
    <row r="72">
      <c r="A72" t="inlineStr">
        <is>
          <t>当前源表</t>
        </is>
      </c>
      <c r="B72" t="inlineStr">
        <is>
          <t>无限之旅</t>
        </is>
      </c>
      <c r="C72" t="inlineStr">
        <is>
          <t>难度3</t>
        </is>
      </c>
      <c r="D72" t="inlineStr">
        <is>
          <t>难度3-层208</t>
        </is>
      </c>
      <c r="F72" t="inlineStr">
        <is>
          <t>Boss</t>
        </is>
      </c>
      <c r="G72" t="n">
        <v>279</v>
      </c>
      <c r="I72" t="n">
        <v>279</v>
      </c>
      <c r="J72" t="n">
        <v>193</v>
      </c>
      <c r="K72" s="83" t="n">
        <v>7.7728651232</v>
      </c>
      <c r="L72" s="83" t="n">
        <v>3.4536180657</v>
      </c>
      <c r="M72" s="83" t="n">
        <v>1</v>
      </c>
      <c r="N72" t="n">
        <v>1</v>
      </c>
      <c r="O72" t="n">
        <v>1</v>
      </c>
      <c r="P72" s="17" t="n">
        <v>171.718656812052</v>
      </c>
      <c r="Q72" s="21">
        <f>IF($I72="","",IFERROR(INDEX(_玩家曲线!$H$2:$H$286,MATCH($I72,_玩家曲线!$A$2:$A$286,0)),""))</f>
        <v/>
      </c>
      <c r="R72" s="21">
        <f>IF($I72="","",IFERROR(INDEX(_玩家曲线!$I$2:$I$286,MATCH($I72,_玩家曲线!$A$2:$A$286,0)),""))</f>
        <v/>
      </c>
      <c r="S72" s="21">
        <f>IF(OR($J72="",$F72="不适用"),"",IFERROR(INDEX(_怪物模型!$D$2:$D$4501,(INT($J72)-1)*ROWS(_怪物类型!$A$2:$A$10)+MATCH($F72,_怪物类型!$A$2:$A$10,0))*IF($K72="",1,$K72),""))</f>
        <v/>
      </c>
      <c r="T72" s="21">
        <f>IF(OR($J72="",$F72="不适用"),"",IFERROR(INDEX(_怪物模型!$E$2:$E$4501,(INT($J72)-1)*ROWS(_怪物类型!$A$2:$A$10)+MATCH($F72,_怪物类型!$A$2:$A$10,0))*IF($L72="",1,$L72),""))</f>
        <v/>
      </c>
      <c r="U72" s="21">
        <f>IF(OR($J72="",$F72="不适用"),"",IFERROR(INDEX(_怪物模型!$F$2:$F$4501,(INT($J72)-1)*ROWS(_怪物类型!$A$2:$A$10)+MATCH($F72,_怪物类型!$A$2:$A$10,0))*IF($M72="",1,$M72),""))</f>
        <v/>
      </c>
      <c r="V72" s="84">
        <f>IF($U72="","",MIN(0.75,$U72/($U72+24000)))</f>
        <v/>
      </c>
      <c r="W72" s="21">
        <f>IF($S72="","",$S72/(1-$V72)*IF($N72="",1,$N72))</f>
        <v/>
      </c>
      <c r="X72" s="17">
        <f>IF(OR($W72="",$Q72="",$Q72=0),"",$W72/$Q72)</f>
        <v/>
      </c>
      <c r="Y72" s="17">
        <f>IF(OR($R72="",$T72="",$T72=0),"",$R72/($T72*IF($O72="",1,$O72)))</f>
        <v/>
      </c>
      <c r="Z72" s="17">
        <f>IF(OR($X72="",$P72="",$P72=0),"",$X72/$P72)</f>
        <v/>
      </c>
      <c r="AA72">
        <f>IF($J72="","待填怪物等级",IF(OR($I72="",$Q72=""),"待填对照关卡",IF($P72="","已计算",IF(AND($Y72&lt;&gt;"",$Y72&lt;$X72),"生存不成立",IF($Z72&lt;0.5,"碾压",IF($Z72&lt;0.8,"偏简单",IF($Z72&lt;=1.2,"适中",IF($Z72&lt;=1.5,"偏难","过难"))))))))</f>
        <v/>
      </c>
      <c r="AB72">
        <f>IF($J72="","待填",IF(AND(ISNUMBER($J72),$J72&gt;=1,$J72&lt;=500,MOD($J72,1)=0),"有效","超范围"))</f>
        <v/>
      </c>
      <c r="AC72">
        <f>IF(C72&lt;&gt;C71,"新玩法组",IF(J72&gt;=J71,"不降","回退"))</f>
        <v/>
      </c>
      <c r="AD72" t="inlineStr">
        <is>
          <t>等效进度估算S278，非解锁/首通节点；旧Lv397→408；NR_Layer 208 / 修正ID 2001｜2026-09-14 30层结构难度重设计：目标TTK/存活档内线性爬坡（整体约+25%），J等级与对照G不变；AE按60s/20s反查，无解封顶1,600,000。｜2026-09-14 等级带重排：J=248（200→400档内插值），目标曲线沿用30层重设计，K/L按新等级重拟合。｜2026-09-14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72" s="4" t="n">
        <v>1600000</v>
      </c>
      <c r="AF72" s="4">
        <f>INDEX(_统一战力!$B$2:$B$501,J72)</f>
        <v/>
      </c>
      <c r="AG72" t="n">
        <v>2001</v>
      </c>
      <c r="AH72" t="n">
        <v>208</v>
      </c>
      <c r="AI72" t="n">
        <v>3</v>
      </c>
    </row>
    <row r="73">
      <c r="A73" t="inlineStr">
        <is>
          <t>当前源表</t>
        </is>
      </c>
      <c r="B73" t="inlineStr">
        <is>
          <t>无限之旅</t>
        </is>
      </c>
      <c r="C73" t="inlineStr">
        <is>
          <t>难度3</t>
        </is>
      </c>
      <c r="D73" t="inlineStr">
        <is>
          <t>难度3-层209</t>
        </is>
      </c>
      <c r="F73" t="inlineStr">
        <is>
          <t>Boss</t>
        </is>
      </c>
      <c r="G73" t="n">
        <v>279</v>
      </c>
      <c r="I73" t="n">
        <v>279</v>
      </c>
      <c r="J73" t="n">
        <v>200</v>
      </c>
      <c r="K73" s="83" t="n">
        <v>7.2165775938</v>
      </c>
      <c r="L73" s="83" t="n">
        <v>3.2942842169</v>
      </c>
      <c r="M73" s="83" t="n">
        <v>1</v>
      </c>
      <c r="N73" t="n">
        <v>1</v>
      </c>
      <c r="O73" t="n">
        <v>1</v>
      </c>
      <c r="P73" s="17" t="n">
        <v>179.13017829536</v>
      </c>
      <c r="Q73" s="21">
        <f>IF($I73="","",IFERROR(INDEX(_玩家曲线!$H$2:$H$286,MATCH($I73,_玩家曲线!$A$2:$A$286,0)),""))</f>
        <v/>
      </c>
      <c r="R73" s="21">
        <f>IF($I73="","",IFERROR(INDEX(_玩家曲线!$I$2:$I$286,MATCH($I73,_玩家曲线!$A$2:$A$286,0)),""))</f>
        <v/>
      </c>
      <c r="S73" s="21">
        <f>IF(OR($J73="",$F73="不适用"),"",IFERROR(INDEX(_怪物模型!$D$2:$D$4501,(INT($J73)-1)*ROWS(_怪物类型!$A$2:$A$10)+MATCH($F73,_怪物类型!$A$2:$A$10,0))*IF($K73="",1,$K73),""))</f>
        <v/>
      </c>
      <c r="T73" s="21">
        <f>IF(OR($J73="",$F73="不适用"),"",IFERROR(INDEX(_怪物模型!$E$2:$E$4501,(INT($J73)-1)*ROWS(_怪物类型!$A$2:$A$10)+MATCH($F73,_怪物类型!$A$2:$A$10,0))*IF($L73="",1,$L73),""))</f>
        <v/>
      </c>
      <c r="U73" s="21">
        <f>IF(OR($J73="",$F73="不适用"),"",IFERROR(INDEX(_怪物模型!$F$2:$F$4501,(INT($J73)-1)*ROWS(_怪物类型!$A$2:$A$10)+MATCH($F73,_怪物类型!$A$2:$A$10,0))*IF($M73="",1,$M73),""))</f>
        <v/>
      </c>
      <c r="V73" s="84">
        <f>IF($U73="","",MIN(0.75,$U73/($U73+24000)))</f>
        <v/>
      </c>
      <c r="W73" s="21">
        <f>IF($S73="","",$S73/(1-$V73)*IF($N73="",1,$N73))</f>
        <v/>
      </c>
      <c r="X73" s="17">
        <f>IF(OR($W73="",$Q73="",$Q73=0),"",$W73/$Q73)</f>
        <v/>
      </c>
      <c r="Y73" s="17">
        <f>IF(OR($R73="",$T73="",$T73=0),"",$R73/($T73*IF($O73="",1,$O73)))</f>
        <v/>
      </c>
      <c r="Z73" s="17">
        <f>IF(OR($X73="",$P73="",$P73=0),"",$X73/$P73)</f>
        <v/>
      </c>
      <c r="AA73">
        <f>IF($J73="","待填怪物等级",IF(OR($I73="",$Q73=""),"待填对照关卡",IF($P73="","已计算",IF(AND($Y73&lt;&gt;"",$Y73&lt;$X73),"生存不成立",IF($Z73&lt;0.5,"碾压",IF($Z73&lt;0.8,"偏简单",IF($Z73&lt;=1.2,"适中",IF($Z73&lt;=1.5,"偏难","过难"))))))))</f>
        <v/>
      </c>
      <c r="AB73">
        <f>IF($J73="","待填",IF(AND(ISNUMBER($J73),$J73&gt;=1,$J73&lt;=500,MOD($J73,1)=0),"有效","超范围"))</f>
        <v/>
      </c>
      <c r="AC73">
        <f>IF(C73&lt;&gt;C72,"新玩法组",IF(J73&gt;=J72,"不降","回退"))</f>
        <v/>
      </c>
      <c r="AD73" t="inlineStr">
        <is>
          <t>等效进度估算S278，非解锁/首通节点；旧Lv401→412；NR_Layer 209 / 修正ID 2001｜2026-09-14 30层结构难度重设计：目标TTK/存活档内线性爬坡（整体约+25%），J等级与对照G不变；AE按60s/20s反查，无解封顶1,600,000。｜2026-09-14 等级带重排：J=255（200→400档内插值），目标曲线沿用30层重设计，K/L按新等级重拟合。｜2026-09-14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73" s="4" t="n">
        <v>1600000</v>
      </c>
      <c r="AF73" s="4">
        <f>INDEX(_统一战力!$B$2:$B$501,J73)</f>
        <v/>
      </c>
      <c r="AG73" t="n">
        <v>2001</v>
      </c>
      <c r="AH73" t="n">
        <v>209</v>
      </c>
      <c r="AI73" t="n">
        <v>3</v>
      </c>
    </row>
    <row r="74">
      <c r="A74" t="inlineStr">
        <is>
          <t>当前源表</t>
        </is>
      </c>
      <c r="B74" t="inlineStr">
        <is>
          <t>无限之旅</t>
        </is>
      </c>
      <c r="C74" t="inlineStr">
        <is>
          <t>难度3</t>
        </is>
      </c>
      <c r="D74" t="inlineStr">
        <is>
          <t>难度3-层210</t>
        </is>
      </c>
      <c r="F74" t="inlineStr">
        <is>
          <t>Boss</t>
        </is>
      </c>
      <c r="G74" t="n">
        <v>279</v>
      </c>
      <c r="I74" t="n">
        <v>279</v>
      </c>
      <c r="J74" t="n">
        <v>206</v>
      </c>
      <c r="K74" s="83" t="n">
        <v>6.8115707225</v>
      </c>
      <c r="L74" s="83" t="n">
        <v>3.1727940885</v>
      </c>
      <c r="M74" s="83" t="n">
        <v>1</v>
      </c>
      <c r="N74" t="n">
        <v>1</v>
      </c>
      <c r="O74" t="n">
        <v>1</v>
      </c>
      <c r="P74" s="17" t="n">
        <v>184.869998928256</v>
      </c>
      <c r="Q74" s="21">
        <f>IF($I74="","",IFERROR(INDEX(_玩家曲线!$H$2:$H$286,MATCH($I74,_玩家曲线!$A$2:$A$286,0)),""))</f>
        <v/>
      </c>
      <c r="R74" s="21">
        <f>IF($I74="","",IFERROR(INDEX(_玩家曲线!$I$2:$I$286,MATCH($I74,_玩家曲线!$A$2:$A$286,0)),""))</f>
        <v/>
      </c>
      <c r="S74" s="21">
        <f>IF(OR($J74="",$F74="不适用"),"",IFERROR(INDEX(_怪物模型!$D$2:$D$4501,(INT($J74)-1)*ROWS(_怪物类型!$A$2:$A$10)+MATCH($F74,_怪物类型!$A$2:$A$10,0))*IF($K74="",1,$K74),""))</f>
        <v/>
      </c>
      <c r="T74" s="21">
        <f>IF(OR($J74="",$F74="不适用"),"",IFERROR(INDEX(_怪物模型!$E$2:$E$4501,(INT($J74)-1)*ROWS(_怪物类型!$A$2:$A$10)+MATCH($F74,_怪物类型!$A$2:$A$10,0))*IF($L74="",1,$L74),""))</f>
        <v/>
      </c>
      <c r="U74" s="21">
        <f>IF(OR($J74="",$F74="不适用"),"",IFERROR(INDEX(_怪物模型!$F$2:$F$4501,(INT($J74)-1)*ROWS(_怪物类型!$A$2:$A$10)+MATCH($F74,_怪物类型!$A$2:$A$10,0))*IF($M74="",1,$M74),""))</f>
        <v/>
      </c>
      <c r="V74" s="84">
        <f>IF($U74="","",MIN(0.75,$U74/($U74+24000)))</f>
        <v/>
      </c>
      <c r="W74" s="21">
        <f>IF($S74="","",$S74/(1-$V74)*IF($N74="",1,$N74))</f>
        <v/>
      </c>
      <c r="X74" s="17">
        <f>IF(OR($W74="",$Q74="",$Q74=0),"",$W74/$Q74)</f>
        <v/>
      </c>
      <c r="Y74" s="17">
        <f>IF(OR($R74="",$T74="",$T74=0),"",$R74/($T74*IF($O74="",1,$O74)))</f>
        <v/>
      </c>
      <c r="Z74" s="17">
        <f>IF(OR($X74="",$P74="",$P74=0),"",$X74/$P74)</f>
        <v/>
      </c>
      <c r="AA74">
        <f>IF($J74="","待填怪物等级",IF(OR($I74="",$Q74=""),"待填对照关卡",IF($P74="","已计算",IF(AND($Y74&lt;&gt;"",$Y74&lt;$X74),"生存不成立",IF($Z74&lt;0.5,"碾压",IF($Z74&lt;0.8,"偏简单",IF($Z74&lt;=1.2,"适中",IF($Z74&lt;=1.5,"偏难","过难"))))))))</f>
        <v/>
      </c>
      <c r="AB74">
        <f>IF($J74="","待填",IF(AND(ISNUMBER($J74),$J74&gt;=1,$J74&lt;=500,MOD($J74,1)=0),"有效","超范围"))</f>
        <v/>
      </c>
      <c r="AC74">
        <f>IF(C74&lt;&gt;C73,"新玩法组",IF(J74&gt;=J73,"不降","回退"))</f>
        <v/>
      </c>
      <c r="AD74" t="inlineStr">
        <is>
          <t>等效进度估算S278，非解锁/首通节点；旧Lv404→415；NR_Layer 210 / 修正ID 2001｜2026-09-14 30层结构难度重设计：目标TTK/存活档内线性爬坡（整体约+25%），J等级与对照G不变；AE按60s/20s反查，无解封顶1,600,000。｜2026-09-14 等级带重排：J=262（200→400档内插值），目标曲线沿用30层重设计，K/L按新等级重拟合。｜2026-09-14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74" s="4" t="n">
        <v>1600000</v>
      </c>
      <c r="AF74" s="4">
        <f>INDEX(_统一战力!$B$2:$B$501,J74)</f>
        <v/>
      </c>
      <c r="AG74" t="n">
        <v>2001</v>
      </c>
      <c r="AH74" t="n">
        <v>210</v>
      </c>
      <c r="AI74" t="n">
        <v>3</v>
      </c>
    </row>
    <row r="75">
      <c r="A75" t="inlineStr">
        <is>
          <t>当前源表</t>
        </is>
      </c>
      <c r="B75" t="inlineStr">
        <is>
          <t>无限之旅</t>
        </is>
      </c>
      <c r="C75" t="inlineStr">
        <is>
          <t>难度3</t>
        </is>
      </c>
      <c r="D75" t="inlineStr">
        <is>
          <t>难度3-层211</t>
        </is>
      </c>
      <c r="F75" t="inlineStr">
        <is>
          <t>Boss</t>
        </is>
      </c>
      <c r="G75" t="n">
        <v>279</v>
      </c>
      <c r="I75" t="n">
        <v>279</v>
      </c>
      <c r="J75" t="n">
        <v>212</v>
      </c>
      <c r="K75" s="83" t="n">
        <v>6.431413843</v>
      </c>
      <c r="L75" s="83" t="n">
        <v>3.0588734579</v>
      </c>
      <c r="M75" s="83" t="n">
        <v>1</v>
      </c>
      <c r="N75" t="n">
        <v>1</v>
      </c>
      <c r="O75" t="n">
        <v>1</v>
      </c>
      <c r="P75" s="17" t="n">
        <v>190.769598699849</v>
      </c>
      <c r="Q75" s="21">
        <f>IF($I75="","",IFERROR(INDEX(_玩家曲线!$H$2:$H$286,MATCH($I75,_玩家曲线!$A$2:$A$286,0)),""))</f>
        <v/>
      </c>
      <c r="R75" s="21">
        <f>IF($I75="","",IFERROR(INDEX(_玩家曲线!$I$2:$I$286,MATCH($I75,_玩家曲线!$A$2:$A$286,0)),""))</f>
        <v/>
      </c>
      <c r="S75" s="21">
        <f>IF(OR($J75="",$F75="不适用"),"",IFERROR(INDEX(_怪物模型!$D$2:$D$4501,(INT($J75)-1)*ROWS(_怪物类型!$A$2:$A$10)+MATCH($F75,_怪物类型!$A$2:$A$10,0))*IF($K75="",1,$K75),""))</f>
        <v/>
      </c>
      <c r="T75" s="21">
        <f>IF(OR($J75="",$F75="不适用"),"",IFERROR(INDEX(_怪物模型!$E$2:$E$4501,(INT($J75)-1)*ROWS(_怪物类型!$A$2:$A$10)+MATCH($F75,_怪物类型!$A$2:$A$10,0))*IF($L75="",1,$L75),""))</f>
        <v/>
      </c>
      <c r="U75" s="21">
        <f>IF(OR($J75="",$F75="不适用"),"",IFERROR(INDEX(_怪物模型!$F$2:$F$4501,(INT($J75)-1)*ROWS(_怪物类型!$A$2:$A$10)+MATCH($F75,_怪物类型!$A$2:$A$10,0))*IF($M75="",1,$M75),""))</f>
        <v/>
      </c>
      <c r="V75" s="84">
        <f>IF($U75="","",MIN(0.75,$U75/($U75+24000)))</f>
        <v/>
      </c>
      <c r="W75" s="21">
        <f>IF($S75="","",$S75/(1-$V75)*IF($N75="",1,$N75))</f>
        <v/>
      </c>
      <c r="X75" s="17">
        <f>IF(OR($W75="",$Q75="",$Q75=0),"",$W75/$Q75)</f>
        <v/>
      </c>
      <c r="Y75" s="17">
        <f>IF(OR($R75="",$T75="",$T75=0),"",$R75/($T75*IF($O75="",1,$O75)))</f>
        <v/>
      </c>
      <c r="Z75" s="17">
        <f>IF(OR($X75="",$P75="",$P75=0),"",$X75/$P75)</f>
        <v/>
      </c>
      <c r="AA75">
        <f>IF($J75="","待填怪物等级",IF(OR($I75="",$Q75=""),"待填对照关卡",IF($P75="","已计算",IF(AND($Y75&lt;&gt;"",$Y75&lt;$X75),"生存不成立",IF($Z75&lt;0.5,"碾压",IF($Z75&lt;0.8,"偏简单",IF($Z75&lt;=1.2,"适中",IF($Z75&lt;=1.5,"偏难","过难"))))))))</f>
        <v/>
      </c>
      <c r="AB75">
        <f>IF($J75="","待填",IF(AND(ISNUMBER($J75),$J75&gt;=1,$J75&lt;=500,MOD($J75,1)=0),"有效","超范围"))</f>
        <v/>
      </c>
      <c r="AC75">
        <f>IF(C75&lt;&gt;C74,"新玩法组",IF(J75&gt;=J74,"不降","回退"))</f>
        <v/>
      </c>
      <c r="AD75" t="inlineStr">
        <is>
          <t>等效进度估算S278，非解锁/首通节点；旧Lv407→418；NR_Layer 211 / 修正ID 2001｜2026-09-14 30层结构难度重设计：目标TTK/存活档内线性爬坡（整体约+25%），J等级与对照G不变；AE按60s/20s反查，无解封顶1,600,000。｜2026-09-14 等级带重排：J=269（200→400档内插值），目标曲线沿用30层重设计，K/L按新等级重拟合。｜2026-09-14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75" s="4" t="n">
        <v>1600000</v>
      </c>
      <c r="AF75" s="4">
        <f>INDEX(_统一战力!$B$2:$B$501,J75)</f>
        <v/>
      </c>
      <c r="AG75" t="n">
        <v>2001</v>
      </c>
      <c r="AH75" t="n">
        <v>211</v>
      </c>
      <c r="AI75" t="n">
        <v>3</v>
      </c>
    </row>
    <row r="76">
      <c r="A76" t="inlineStr">
        <is>
          <t>当前源表</t>
        </is>
      </c>
      <c r="B76" t="inlineStr">
        <is>
          <t>无限之旅</t>
        </is>
      </c>
      <c r="C76" t="inlineStr">
        <is>
          <t>难度3</t>
        </is>
      </c>
      <c r="D76" t="inlineStr">
        <is>
          <t>难度3-层212</t>
        </is>
      </c>
      <c r="F76" t="inlineStr">
        <is>
          <t>Boss</t>
        </is>
      </c>
      <c r="G76" t="n">
        <v>279</v>
      </c>
      <c r="I76" t="n">
        <v>279</v>
      </c>
      <c r="J76" t="n">
        <v>218</v>
      </c>
      <c r="K76" s="83" t="n">
        <v>6.0744032694</v>
      </c>
      <c r="L76" s="83" t="n">
        <v>2.9520246504</v>
      </c>
      <c r="M76" s="83" t="n">
        <v>1</v>
      </c>
      <c r="N76" t="n">
        <v>1</v>
      </c>
      <c r="O76" t="n">
        <v>1</v>
      </c>
      <c r="P76" s="17" t="n">
        <v>198.888638312418</v>
      </c>
      <c r="Q76" s="21">
        <f>IF($I76="","",IFERROR(INDEX(_玩家曲线!$H$2:$H$286,MATCH($I76,_玩家曲线!$A$2:$A$286,0)),""))</f>
        <v/>
      </c>
      <c r="R76" s="21">
        <f>IF($I76="","",IFERROR(INDEX(_玩家曲线!$I$2:$I$286,MATCH($I76,_玩家曲线!$A$2:$A$286,0)),""))</f>
        <v/>
      </c>
      <c r="S76" s="21">
        <f>IF(OR($J76="",$F76="不适用"),"",IFERROR(INDEX(_怪物模型!$D$2:$D$4501,(INT($J76)-1)*ROWS(_怪物类型!$A$2:$A$10)+MATCH($F76,_怪物类型!$A$2:$A$10,0))*IF($K76="",1,$K76),""))</f>
        <v/>
      </c>
      <c r="T76" s="21">
        <f>IF(OR($J76="",$F76="不适用"),"",IFERROR(INDEX(_怪物模型!$E$2:$E$4501,(INT($J76)-1)*ROWS(_怪物类型!$A$2:$A$10)+MATCH($F76,_怪物类型!$A$2:$A$10,0))*IF($L76="",1,$L76),""))</f>
        <v/>
      </c>
      <c r="U76" s="21">
        <f>IF(OR($J76="",$F76="不适用"),"",IFERROR(INDEX(_怪物模型!$F$2:$F$4501,(INT($J76)-1)*ROWS(_怪物类型!$A$2:$A$10)+MATCH($F76,_怪物类型!$A$2:$A$10,0))*IF($M76="",1,$M76),""))</f>
        <v/>
      </c>
      <c r="V76" s="84">
        <f>IF($U76="","",MIN(0.75,$U76/($U76+24000)))</f>
        <v/>
      </c>
      <c r="W76" s="21">
        <f>IF($S76="","",$S76/(1-$V76)*IF($N76="",1,$N76))</f>
        <v/>
      </c>
      <c r="X76" s="17">
        <f>IF(OR($W76="",$Q76="",$Q76=0),"",$W76/$Q76)</f>
        <v/>
      </c>
      <c r="Y76" s="17">
        <f>IF(OR($R76="",$T76="",$T76=0),"",$R76/($T76*IF($O76="",1,$O76)))</f>
        <v/>
      </c>
      <c r="Z76" s="17">
        <f>IF(OR($X76="",$P76="",$P76=0),"",$X76/$P76)</f>
        <v/>
      </c>
      <c r="AA76">
        <f>IF($J76="","待填怪物等级",IF(OR($I76="",$Q76=""),"待填对照关卡",IF($P76="","已计算",IF(AND($Y76&lt;&gt;"",$Y76&lt;$X76),"生存不成立",IF($Z76&lt;0.5,"碾压",IF($Z76&lt;0.8,"偏简单",IF($Z76&lt;=1.2,"适中",IF($Z76&lt;=1.5,"偏难","过难"))))))))</f>
        <v/>
      </c>
      <c r="AB76">
        <f>IF($J76="","待填",IF(AND(ISNUMBER($J76),$J76&gt;=1,$J76&lt;=500,MOD($J76,1)=0),"有效","超范围"))</f>
        <v/>
      </c>
      <c r="AC76">
        <f>IF(C76&lt;&gt;C75,"新玩法组",IF(J76&gt;=J75,"不降","回退"))</f>
        <v/>
      </c>
      <c r="AD76" t="inlineStr">
        <is>
          <t>等效进度估算S278，非解锁/首通节点；旧Lv411→422；NR_Layer 212 / 修正ID 2001｜2026-09-14 30层结构难度重设计：目标TTK/存活档内线性爬坡（整体约+25%），J等级与对照G不变；AE按60s/20s反查，无解封顶1,600,000。｜2026-09-14 等级带重排：J=276（200→400档内插值），目标曲线沿用30层重设计，K/L按新等级重拟合。｜2026-09-14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76" s="4" t="n">
        <v>1600000</v>
      </c>
      <c r="AF76" s="4">
        <f>INDEX(_统一战力!$B$2:$B$501,J76)</f>
        <v/>
      </c>
      <c r="AG76" t="n">
        <v>2001</v>
      </c>
      <c r="AH76" t="n">
        <v>212</v>
      </c>
      <c r="AI76" t="n">
        <v>3</v>
      </c>
    </row>
    <row r="77">
      <c r="A77" t="inlineStr">
        <is>
          <t>当前源表</t>
        </is>
      </c>
      <c r="B77" t="inlineStr">
        <is>
          <t>无限之旅</t>
        </is>
      </c>
      <c r="C77" t="inlineStr">
        <is>
          <t>难度3</t>
        </is>
      </c>
      <c r="D77" t="inlineStr">
        <is>
          <t>难度3-层213</t>
        </is>
      </c>
      <c r="F77" t="inlineStr">
        <is>
          <t>Boss</t>
        </is>
      </c>
      <c r="G77" t="n">
        <v>279</v>
      </c>
      <c r="I77" t="n">
        <v>279</v>
      </c>
      <c r="J77" t="n">
        <v>224</v>
      </c>
      <c r="K77" s="83" t="n">
        <v>5.73935665</v>
      </c>
      <c r="L77" s="83" t="n">
        <v>2.8513541434</v>
      </c>
      <c r="M77" s="83" t="n">
        <v>1</v>
      </c>
      <c r="N77" t="n">
        <v>1</v>
      </c>
      <c r="O77" t="n">
        <v>1</v>
      </c>
      <c r="P77" s="17" t="n">
        <v>205.171075960127</v>
      </c>
      <c r="Q77" s="21">
        <f>IF($I77="","",IFERROR(INDEX(_玩家曲线!$H$2:$H$286,MATCH($I77,_玩家曲线!$A$2:$A$286,0)),""))</f>
        <v/>
      </c>
      <c r="R77" s="21">
        <f>IF($I77="","",IFERROR(INDEX(_玩家曲线!$I$2:$I$286,MATCH($I77,_玩家曲线!$A$2:$A$286,0)),""))</f>
        <v/>
      </c>
      <c r="S77" s="21">
        <f>IF(OR($J77="",$F77="不适用"),"",IFERROR(INDEX(_怪物模型!$D$2:$D$4501,(INT($J77)-1)*ROWS(_怪物类型!$A$2:$A$10)+MATCH($F77,_怪物类型!$A$2:$A$10,0))*IF($K77="",1,$K77),""))</f>
        <v/>
      </c>
      <c r="T77" s="21">
        <f>IF(OR($J77="",$F77="不适用"),"",IFERROR(INDEX(_怪物模型!$E$2:$E$4501,(INT($J77)-1)*ROWS(_怪物类型!$A$2:$A$10)+MATCH($F77,_怪物类型!$A$2:$A$10,0))*IF($L77="",1,$L77),""))</f>
        <v/>
      </c>
      <c r="U77" s="21">
        <f>IF(OR($J77="",$F77="不适用"),"",IFERROR(INDEX(_怪物模型!$F$2:$F$4501,(INT($J77)-1)*ROWS(_怪物类型!$A$2:$A$10)+MATCH($F77,_怪物类型!$A$2:$A$10,0))*IF($M77="",1,$M77),""))</f>
        <v/>
      </c>
      <c r="V77" s="84">
        <f>IF($U77="","",MIN(0.75,$U77/($U77+24000)))</f>
        <v/>
      </c>
      <c r="W77" s="21">
        <f>IF($S77="","",$S77/(1-$V77)*IF($N77="",1,$N77))</f>
        <v/>
      </c>
      <c r="X77" s="17">
        <f>IF(OR($W77="",$Q77="",$Q77=0),"",$W77/$Q77)</f>
        <v/>
      </c>
      <c r="Y77" s="17">
        <f>IF(OR($R77="",$T77="",$T77=0),"",$R77/($T77*IF($O77="",1,$O77)))</f>
        <v/>
      </c>
      <c r="Z77" s="17">
        <f>IF(OR($X77="",$P77="",$P77=0),"",$X77/$P77)</f>
        <v/>
      </c>
      <c r="AA77">
        <f>IF($J77="","待填怪物等级",IF(OR($I77="",$Q77=""),"待填对照关卡",IF($P77="","已计算",IF(AND($Y77&lt;&gt;"",$Y77&lt;$X77),"生存不成立",IF($Z77&lt;0.5,"碾压",IF($Z77&lt;0.8,"偏简单",IF($Z77&lt;=1.2,"适中",IF($Z77&lt;=1.5,"偏难","过难"))))))))</f>
        <v/>
      </c>
      <c r="AB77">
        <f>IF($J77="","待填",IF(AND(ISNUMBER($J77),$J77&gt;=1,$J77&lt;=500,MOD($J77,1)=0),"有效","超范围"))</f>
        <v/>
      </c>
      <c r="AC77">
        <f>IF(C77&lt;&gt;C76,"新玩法组",IF(J77&gt;=J76,"不降","回退"))</f>
        <v/>
      </c>
      <c r="AD77" t="inlineStr">
        <is>
          <t>等效进度估算S278，非解锁/首通节点；旧Lv414→425；NR_Layer 213 / 修正ID 2001｜2026-09-14 30层结构难度重设计：目标TTK/存活档内线性爬坡（整体约+25%），J等级与对照G不变；AE按60s/20s反查，无解封顶1,600,000。｜2026-09-14 等级带重排：J=283（200→400档内插值），目标曲线沿用30层重设计，K/L按新等级重拟合。｜2026-09-14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77" s="4" t="n">
        <v>1600000</v>
      </c>
      <c r="AF77" s="4">
        <f>INDEX(_统一战力!$B$2:$B$501,J77)</f>
        <v/>
      </c>
      <c r="AG77" t="n">
        <v>2001</v>
      </c>
      <c r="AH77" t="n">
        <v>213</v>
      </c>
      <c r="AI77" t="n">
        <v>3</v>
      </c>
    </row>
    <row r="78">
      <c r="A78" t="inlineStr">
        <is>
          <t>当前源表</t>
        </is>
      </c>
      <c r="B78" t="inlineStr">
        <is>
          <t>无限之旅</t>
        </is>
      </c>
      <c r="C78" t="inlineStr">
        <is>
          <t>难度3</t>
        </is>
      </c>
      <c r="D78" t="inlineStr">
        <is>
          <t>难度3-层214</t>
        </is>
      </c>
      <c r="F78" t="inlineStr">
        <is>
          <t>Boss</t>
        </is>
      </c>
      <c r="G78" t="n">
        <v>279</v>
      </c>
      <c r="I78" t="n">
        <v>279</v>
      </c>
      <c r="J78" t="n">
        <v>231</v>
      </c>
      <c r="K78" s="83" t="n">
        <v>5.3460076504</v>
      </c>
      <c r="L78" s="83" t="n">
        <v>2.7352750138</v>
      </c>
      <c r="M78" s="83" t="n">
        <v>1</v>
      </c>
      <c r="N78" t="n">
        <v>1</v>
      </c>
      <c r="O78" t="n">
        <v>1</v>
      </c>
      <c r="P78" s="17" t="n">
        <v>211.626122550884</v>
      </c>
      <c r="Q78" s="21">
        <f>IF($I78="","",IFERROR(INDEX(_玩家曲线!$H$2:$H$286,MATCH($I78,_玩家曲线!$A$2:$A$286,0)),""))</f>
        <v/>
      </c>
      <c r="R78" s="21">
        <f>IF($I78="","",IFERROR(INDEX(_玩家曲线!$I$2:$I$286,MATCH($I78,_玩家曲线!$A$2:$A$286,0)),""))</f>
        <v/>
      </c>
      <c r="S78" s="21">
        <f>IF(OR($J78="",$F78="不适用"),"",IFERROR(INDEX(_怪物模型!$D$2:$D$4501,(INT($J78)-1)*ROWS(_怪物类型!$A$2:$A$10)+MATCH($F78,_怪物类型!$A$2:$A$10,0))*IF($K78="",1,$K78),""))</f>
        <v/>
      </c>
      <c r="T78" s="21">
        <f>IF(OR($J78="",$F78="不适用"),"",IFERROR(INDEX(_怪物模型!$E$2:$E$4501,(INT($J78)-1)*ROWS(_怪物类型!$A$2:$A$10)+MATCH($F78,_怪物类型!$A$2:$A$10,0))*IF($L78="",1,$L78),""))</f>
        <v/>
      </c>
      <c r="U78" s="21">
        <f>IF(OR($J78="",$F78="不适用"),"",IFERROR(INDEX(_怪物模型!$F$2:$F$4501,(INT($J78)-1)*ROWS(_怪物类型!$A$2:$A$10)+MATCH($F78,_怪物类型!$A$2:$A$10,0))*IF($M78="",1,$M78),""))</f>
        <v/>
      </c>
      <c r="V78" s="84">
        <f>IF($U78="","",MIN(0.75,$U78/($U78+24000)))</f>
        <v/>
      </c>
      <c r="W78" s="21">
        <f>IF($S78="","",$S78/(1-$V78)*IF($N78="",1,$N78))</f>
        <v/>
      </c>
      <c r="X78" s="17">
        <f>IF(OR($W78="",$Q78="",$Q78=0),"",$W78/$Q78)</f>
        <v/>
      </c>
      <c r="Y78" s="17">
        <f>IF(OR($R78="",$T78="",$T78=0),"",$R78/($T78*IF($O78="",1,$O78)))</f>
        <v/>
      </c>
      <c r="Z78" s="17">
        <f>IF(OR($X78="",$P78="",$P78=0),"",$X78/$P78)</f>
        <v/>
      </c>
      <c r="AA78">
        <f>IF($J78="","待填怪物等级",IF(OR($I78="",$Q78=""),"待填对照关卡",IF($P78="","已计算",IF(AND($Y78&lt;&gt;"",$Y78&lt;$X78),"生存不成立",IF($Z78&lt;0.5,"碾压",IF($Z78&lt;0.8,"偏简单",IF($Z78&lt;=1.2,"适中",IF($Z78&lt;=1.5,"偏难","过难"))))))))</f>
        <v/>
      </c>
      <c r="AB78">
        <f>IF($J78="","待填",IF(AND(ISNUMBER($J78),$J78&gt;=1,$J78&lt;=500,MOD($J78,1)=0),"有效","超范围"))</f>
        <v/>
      </c>
      <c r="AC78">
        <f>IF(C78&lt;&gt;C77,"新玩法组",IF(J78&gt;=J77,"不降","回退"))</f>
        <v/>
      </c>
      <c r="AD78" t="inlineStr">
        <is>
          <t>等效进度估算S278，非解锁/首通节点；旧Lv417→428；NR_Layer 214 / 修正ID 2001｜2026-09-14 30层结构难度重设计：目标TTK/存活档内线性爬坡（整体约+25%），J等级与对照G不变；AE按60s/20s反查，无解封顶1,600,000。｜2026-09-14 等级带重排：J=290（200→400档内插值），目标曲线沿用30层重设计，K/L按新等级重拟合。｜2026-09-14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78" s="4" t="n">
        <v>1600000</v>
      </c>
      <c r="AF78" s="4">
        <f>INDEX(_统一战力!$B$2:$B$501,J78)</f>
        <v/>
      </c>
      <c r="AG78" t="n">
        <v>2001</v>
      </c>
      <c r="AH78" t="n">
        <v>214</v>
      </c>
      <c r="AI78" t="n">
        <v>3</v>
      </c>
    </row>
    <row r="79">
      <c r="A79" t="inlineStr">
        <is>
          <t>当前源表</t>
        </is>
      </c>
      <c r="B79" t="inlineStr">
        <is>
          <t>无限之旅</t>
        </is>
      </c>
      <c r="C79" t="inlineStr">
        <is>
          <t>难度3</t>
        </is>
      </c>
      <c r="D79" t="inlineStr">
        <is>
          <t>难度3-层215</t>
        </is>
      </c>
      <c r="F79" t="inlineStr">
        <is>
          <t>Boss</t>
        </is>
      </c>
      <c r="G79" t="n">
        <v>279</v>
      </c>
      <c r="I79" t="n">
        <v>279</v>
      </c>
      <c r="J79" t="n">
        <v>237</v>
      </c>
      <c r="K79" s="83" t="n">
        <v>5.0556630552</v>
      </c>
      <c r="L79" s="83" t="n">
        <v>2.6469489412</v>
      </c>
      <c r="M79" s="83" t="n">
        <v>1</v>
      </c>
      <c r="N79" t="n">
        <v>1</v>
      </c>
      <c r="O79" t="n">
        <v>1</v>
      </c>
      <c r="P79" s="17" t="n">
        <v>220.50722290242</v>
      </c>
      <c r="Q79" s="21">
        <f>IF($I79="","",IFERROR(INDEX(_玩家曲线!$H$2:$H$286,MATCH($I79,_玩家曲线!$A$2:$A$286,0)),""))</f>
        <v/>
      </c>
      <c r="R79" s="21">
        <f>IF($I79="","",IFERROR(INDEX(_玩家曲线!$I$2:$I$286,MATCH($I79,_玩家曲线!$A$2:$A$286,0)),""))</f>
        <v/>
      </c>
      <c r="S79" s="21">
        <f>IF(OR($J79="",$F79="不适用"),"",IFERROR(INDEX(_怪物模型!$D$2:$D$4501,(INT($J79)-1)*ROWS(_怪物类型!$A$2:$A$10)+MATCH($F79,_怪物类型!$A$2:$A$10,0))*IF($K79="",1,$K79),""))</f>
        <v/>
      </c>
      <c r="T79" s="21">
        <f>IF(OR($J79="",$F79="不适用"),"",IFERROR(INDEX(_怪物模型!$E$2:$E$4501,(INT($J79)-1)*ROWS(_怪物类型!$A$2:$A$10)+MATCH($F79,_怪物类型!$A$2:$A$10,0))*IF($L79="",1,$L79),""))</f>
        <v/>
      </c>
      <c r="U79" s="21">
        <f>IF(OR($J79="",$F79="不适用"),"",IFERROR(INDEX(_怪物模型!$F$2:$F$4501,(INT($J79)-1)*ROWS(_怪物类型!$A$2:$A$10)+MATCH($F79,_怪物类型!$A$2:$A$10,0))*IF($M79="",1,$M79),""))</f>
        <v/>
      </c>
      <c r="V79" s="84">
        <f>IF($U79="","",MIN(0.75,$U79/($U79+24000)))</f>
        <v/>
      </c>
      <c r="W79" s="21">
        <f>IF($S79="","",$S79/(1-$V79)*IF($N79="",1,$N79))</f>
        <v/>
      </c>
      <c r="X79" s="17">
        <f>IF(OR($W79="",$Q79="",$Q79=0),"",$W79/$Q79)</f>
        <v/>
      </c>
      <c r="Y79" s="17">
        <f>IF(OR($R79="",$T79="",$T79=0),"",$R79/($T79*IF($O79="",1,$O79)))</f>
        <v/>
      </c>
      <c r="Z79" s="17">
        <f>IF(OR($X79="",$P79="",$P79=0),"",$X79/$P79)</f>
        <v/>
      </c>
      <c r="AA79">
        <f>IF($J79="","待填怪物等级",IF(OR($I79="",$Q79=""),"待填对照关卡",IF($P79="","已计算",IF(AND($Y79&lt;&gt;"",$Y79&lt;$X79),"生存不成立",IF($Z79&lt;0.5,"碾压",IF($Z79&lt;0.8,"偏简单",IF($Z79&lt;=1.2,"适中",IF($Z79&lt;=1.5,"偏难","过难"))))))))</f>
        <v/>
      </c>
      <c r="AB79">
        <f>IF($J79="","待填",IF(AND(ISNUMBER($J79),$J79&gt;=1,$J79&lt;=500,MOD($J79,1)=0),"有效","超范围"))</f>
        <v/>
      </c>
      <c r="AC79">
        <f>IF(C79&lt;&gt;C78,"新玩法组",IF(J79&gt;=J78,"不降","回退"))</f>
        <v/>
      </c>
      <c r="AD79" t="inlineStr">
        <is>
          <t>等效进度估算S278，非解锁/首通节点；旧Lv421→433；NR_Layer 215 / 修正ID 2001｜2026-09-14 30层结构难度重设计：目标TTK/存活档内线性爬坡（整体约+25%），J等级与对照G不变；AE按60s/20s反查，无解封顶1,600,000。｜2026-09-14 等级带重排：J=297（200→400档内插值），目标曲线沿用30层重设计，K/L按新等级重拟合。｜2026-09-14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79" s="4" t="n">
        <v>1600000</v>
      </c>
      <c r="AF79" s="4">
        <f>INDEX(_统一战力!$B$2:$B$501,J79)</f>
        <v/>
      </c>
      <c r="AG79" t="n">
        <v>2001</v>
      </c>
      <c r="AH79" t="n">
        <v>215</v>
      </c>
      <c r="AI79" t="n">
        <v>3</v>
      </c>
    </row>
    <row r="80">
      <c r="A80" t="inlineStr">
        <is>
          <t>当前源表</t>
        </is>
      </c>
      <c r="B80" t="inlineStr">
        <is>
          <t>无限之旅</t>
        </is>
      </c>
      <c r="C80" t="inlineStr">
        <is>
          <t>难度3</t>
        </is>
      </c>
      <c r="D80" t="inlineStr">
        <is>
          <t>难度3-层216</t>
        </is>
      </c>
      <c r="F80" t="inlineStr">
        <is>
          <t>Boss</t>
        </is>
      </c>
      <c r="G80" t="n">
        <v>279</v>
      </c>
      <c r="I80" t="n">
        <v>279</v>
      </c>
      <c r="J80" t="n">
        <v>243</v>
      </c>
      <c r="K80" s="83" t="n">
        <v>4.7828522984</v>
      </c>
      <c r="L80" s="83" t="n">
        <v>2.563514909</v>
      </c>
      <c r="M80" s="83" t="n">
        <v>1</v>
      </c>
      <c r="N80" t="n">
        <v>1</v>
      </c>
      <c r="O80" t="n">
        <v>1</v>
      </c>
      <c r="P80" s="17" t="n">
        <v>227.379138047711</v>
      </c>
      <c r="Q80" s="21">
        <f>IF($I80="","",IFERROR(INDEX(_玩家曲线!$H$2:$H$286,MATCH($I80,_玩家曲线!$A$2:$A$286,0)),""))</f>
        <v/>
      </c>
      <c r="R80" s="21">
        <f>IF($I80="","",IFERROR(INDEX(_玩家曲线!$I$2:$I$286,MATCH($I80,_玩家曲线!$A$2:$A$286,0)),""))</f>
        <v/>
      </c>
      <c r="S80" s="21">
        <f>IF(OR($J80="",$F80="不适用"),"",IFERROR(INDEX(_怪物模型!$D$2:$D$4501,(INT($J80)-1)*ROWS(_怪物类型!$A$2:$A$10)+MATCH($F80,_怪物类型!$A$2:$A$10,0))*IF($K80="",1,$K80),""))</f>
        <v/>
      </c>
      <c r="T80" s="21">
        <f>IF(OR($J80="",$F80="不适用"),"",IFERROR(INDEX(_怪物模型!$E$2:$E$4501,(INT($J80)-1)*ROWS(_怪物类型!$A$2:$A$10)+MATCH($F80,_怪物类型!$A$2:$A$10,0))*IF($L80="",1,$L80),""))</f>
        <v/>
      </c>
      <c r="U80" s="21">
        <f>IF(OR($J80="",$F80="不适用"),"",IFERROR(INDEX(_怪物模型!$F$2:$F$4501,(INT($J80)-1)*ROWS(_怪物类型!$A$2:$A$10)+MATCH($F80,_怪物类型!$A$2:$A$10,0))*IF($M80="",1,$M80),""))</f>
        <v/>
      </c>
      <c r="V80" s="84">
        <f>IF($U80="","",MIN(0.75,$U80/($U80+24000)))</f>
        <v/>
      </c>
      <c r="W80" s="21">
        <f>IF($S80="","",$S80/(1-$V80)*IF($N80="",1,$N80))</f>
        <v/>
      </c>
      <c r="X80" s="17">
        <f>IF(OR($W80="",$Q80="",$Q80=0),"",$W80/$Q80)</f>
        <v/>
      </c>
      <c r="Y80" s="17">
        <f>IF(OR($R80="",$T80="",$T80=0),"",$R80/($T80*IF($O80="",1,$O80)))</f>
        <v/>
      </c>
      <c r="Z80" s="17">
        <f>IF(OR($X80="",$P80="",$P80=0),"",$X80/$P80)</f>
        <v/>
      </c>
      <c r="AA80">
        <f>IF($J80="","待填怪物等级",IF(OR($I80="",$Q80=""),"待填对照关卡",IF($P80="","已计算",IF(AND($Y80&lt;&gt;"",$Y80&lt;$X80),"生存不成立",IF($Z80&lt;0.5,"碾压",IF($Z80&lt;0.8,"偏简单",IF($Z80&lt;=1.2,"适中",IF($Z80&lt;=1.5,"偏难","过难"))))))))</f>
        <v/>
      </c>
      <c r="AB80">
        <f>IF($J80="","待填",IF(AND(ISNUMBER($J80),$J80&gt;=1,$J80&lt;=500,MOD($J80,1)=0),"有效","超范围"))</f>
        <v/>
      </c>
      <c r="AC80">
        <f>IF(C80&lt;&gt;C79,"新玩法组",IF(J80&gt;=J79,"不降","回退"))</f>
        <v/>
      </c>
      <c r="AD80" t="inlineStr">
        <is>
          <t>等效进度估算S278，非解锁/首通节点；旧Lv424→436；NR_Layer 216 / 修正ID 2001｜2026-09-14 30层结构难度重设计：目标TTK/存活档内线性爬坡（整体约+25%），J等级与对照G不变；AE按60s/20s反查，无解封顶1,600,000。｜2026-09-14 等级带重排：J=303（200→400档内插值），目标曲线沿用30层重设计，K/L按新等级重拟合。｜2026-09-14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80" s="4" t="n">
        <v>1600000</v>
      </c>
      <c r="AF80" s="4">
        <f>INDEX(_统一战力!$B$2:$B$501,J80)</f>
        <v/>
      </c>
      <c r="AG80" t="n">
        <v>2001</v>
      </c>
      <c r="AH80" t="n">
        <v>216</v>
      </c>
      <c r="AI80" t="n">
        <v>3</v>
      </c>
    </row>
    <row r="81">
      <c r="A81" t="inlineStr">
        <is>
          <t>当前源表</t>
        </is>
      </c>
      <c r="B81" t="inlineStr">
        <is>
          <t>无限之旅</t>
        </is>
      </c>
      <c r="C81" t="inlineStr">
        <is>
          <t>难度3</t>
        </is>
      </c>
      <c r="D81" t="inlineStr">
        <is>
          <t>难度3-层217</t>
        </is>
      </c>
      <c r="F81" t="inlineStr">
        <is>
          <t>Boss</t>
        </is>
      </c>
      <c r="G81" t="n">
        <v>279</v>
      </c>
      <c r="I81" t="n">
        <v>279</v>
      </c>
      <c r="J81" t="n">
        <v>249</v>
      </c>
      <c r="K81" s="83" t="n">
        <v>4.5262483733</v>
      </c>
      <c r="L81" s="83" t="n">
        <v>2.4848067067</v>
      </c>
      <c r="M81" s="83" t="n">
        <v>1</v>
      </c>
      <c r="N81" t="n">
        <v>1</v>
      </c>
      <c r="O81" t="n">
        <v>1</v>
      </c>
      <c r="P81" s="17" t="n">
        <v>234.437699775448</v>
      </c>
      <c r="Q81" s="21">
        <f>IF($I81="","",IFERROR(INDEX(_玩家曲线!$H$2:$H$286,MATCH($I81,_玩家曲线!$A$2:$A$286,0)),""))</f>
        <v/>
      </c>
      <c r="R81" s="21">
        <f>IF($I81="","",IFERROR(INDEX(_玩家曲线!$I$2:$I$286,MATCH($I81,_玩家曲线!$A$2:$A$286,0)),""))</f>
        <v/>
      </c>
      <c r="S81" s="21">
        <f>IF(OR($J81="",$F81="不适用"),"",IFERROR(INDEX(_怪物模型!$D$2:$D$4501,(INT($J81)-1)*ROWS(_怪物类型!$A$2:$A$10)+MATCH($F81,_怪物类型!$A$2:$A$10,0))*IF($K81="",1,$K81),""))</f>
        <v/>
      </c>
      <c r="T81" s="21">
        <f>IF(OR($J81="",$F81="不适用"),"",IFERROR(INDEX(_怪物模型!$E$2:$E$4501,(INT($J81)-1)*ROWS(_怪物类型!$A$2:$A$10)+MATCH($F81,_怪物类型!$A$2:$A$10,0))*IF($L81="",1,$L81),""))</f>
        <v/>
      </c>
      <c r="U81" s="21">
        <f>IF(OR($J81="",$F81="不适用"),"",IFERROR(INDEX(_怪物模型!$F$2:$F$4501,(INT($J81)-1)*ROWS(_怪物类型!$A$2:$A$10)+MATCH($F81,_怪物类型!$A$2:$A$10,0))*IF($M81="",1,$M81),""))</f>
        <v/>
      </c>
      <c r="V81" s="84">
        <f>IF($U81="","",MIN(0.75,$U81/($U81+24000)))</f>
        <v/>
      </c>
      <c r="W81" s="21">
        <f>IF($S81="","",$S81/(1-$V81)*IF($N81="",1,$N81))</f>
        <v/>
      </c>
      <c r="X81" s="17">
        <f>IF(OR($W81="",$Q81="",$Q81=0),"",$W81/$Q81)</f>
        <v/>
      </c>
      <c r="Y81" s="17">
        <f>IF(OR($R81="",$T81="",$T81=0),"",$R81/($T81*IF($O81="",1,$O81)))</f>
        <v/>
      </c>
      <c r="Z81" s="17">
        <f>IF(OR($X81="",$P81="",$P81=0),"",$X81/$P81)</f>
        <v/>
      </c>
      <c r="AA81">
        <f>IF($J81="","待填怪物等级",IF(OR($I81="",$Q81=""),"待填对照关卡",IF($P81="","已计算",IF(AND($Y81&lt;&gt;"",$Y81&lt;$X81),"生存不成立",IF($Z81&lt;0.5,"碾压",IF($Z81&lt;0.8,"偏简单",IF($Z81&lt;=1.2,"适中",IF($Z81&lt;=1.5,"偏难","过难"))))))))</f>
        <v/>
      </c>
      <c r="AB81">
        <f>IF($J81="","待填",IF(AND(ISNUMBER($J81),$J81&gt;=1,$J81&lt;=500,MOD($J81,1)=0),"有效","超范围"))</f>
        <v/>
      </c>
      <c r="AC81">
        <f>IF(C81&lt;&gt;C80,"新玩法组",IF(J81&gt;=J80,"不降","回退"))</f>
        <v/>
      </c>
      <c r="AD81" t="inlineStr">
        <is>
          <t>等效进度估算S278，非解锁/首通节点；旧Lv427→439；NR_Layer 217 / 修正ID 2001｜2026-09-14 30层结构难度重设计：目标TTK/存活档内线性爬坡（整体约+25%），J等级与对照G不变；AE按60s/20s反查，无解封顶1,600,000。｜2026-09-14 等级带重排：J=310（200→400档内插值），目标曲线沿用30层重设计，K/L按新等级重拟合。｜2026-09-14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81" s="4" t="n">
        <v>1600000</v>
      </c>
      <c r="AF81" s="4">
        <f>INDEX(_统一战力!$B$2:$B$501,J81)</f>
        <v/>
      </c>
      <c r="AG81" t="n">
        <v>2001</v>
      </c>
      <c r="AH81" t="n">
        <v>217</v>
      </c>
      <c r="AI81" t="n">
        <v>3</v>
      </c>
    </row>
    <row r="82">
      <c r="A82" t="inlineStr">
        <is>
          <t>当前源表</t>
        </is>
      </c>
      <c r="B82" t="inlineStr">
        <is>
          <t>无限之旅</t>
        </is>
      </c>
      <c r="C82" t="inlineStr">
        <is>
          <t>难度3</t>
        </is>
      </c>
      <c r="D82" t="inlineStr">
        <is>
          <t>难度3-层218</t>
        </is>
      </c>
      <c r="F82" t="inlineStr">
        <is>
          <t>Boss</t>
        </is>
      </c>
      <c r="G82" t="n">
        <v>279</v>
      </c>
      <c r="I82" t="n">
        <v>279</v>
      </c>
      <c r="J82" t="n">
        <v>256</v>
      </c>
      <c r="K82" s="83" t="n">
        <v>4.2264988116</v>
      </c>
      <c r="L82" s="83" t="n">
        <v>2.3925153402</v>
      </c>
      <c r="M82" s="83" t="n">
        <v>1</v>
      </c>
      <c r="N82" t="n">
        <v>1</v>
      </c>
      <c r="O82" t="n">
        <v>1</v>
      </c>
      <c r="P82" s="17" t="n">
        <v>241.683904963896</v>
      </c>
      <c r="Q82" s="21">
        <f>IF($I82="","",IFERROR(INDEX(_玩家曲线!$H$2:$H$286,MATCH($I82,_玩家曲线!$A$2:$A$286,0)),""))</f>
        <v/>
      </c>
      <c r="R82" s="21">
        <f>IF($I82="","",IFERROR(INDEX(_玩家曲线!$I$2:$I$286,MATCH($I82,_玩家曲线!$A$2:$A$286,0)),""))</f>
        <v/>
      </c>
      <c r="S82" s="21">
        <f>IF(OR($J82="",$F82="不适用"),"",IFERROR(INDEX(_怪物模型!$D$2:$D$4501,(INT($J82)-1)*ROWS(_怪物类型!$A$2:$A$10)+MATCH($F82,_怪物类型!$A$2:$A$10,0))*IF($K82="",1,$K82),""))</f>
        <v/>
      </c>
      <c r="T82" s="21">
        <f>IF(OR($J82="",$F82="不适用"),"",IFERROR(INDEX(_怪物模型!$E$2:$E$4501,(INT($J82)-1)*ROWS(_怪物类型!$A$2:$A$10)+MATCH($F82,_怪物类型!$A$2:$A$10,0))*IF($L82="",1,$L82),""))</f>
        <v/>
      </c>
      <c r="U82" s="21">
        <f>IF(OR($J82="",$F82="不适用"),"",IFERROR(INDEX(_怪物模型!$F$2:$F$4501,(INT($J82)-1)*ROWS(_怪物类型!$A$2:$A$10)+MATCH($F82,_怪物类型!$A$2:$A$10,0))*IF($M82="",1,$M82),""))</f>
        <v/>
      </c>
      <c r="V82" s="84">
        <f>IF($U82="","",MIN(0.75,$U82/($U82+24000)))</f>
        <v/>
      </c>
      <c r="W82" s="21">
        <f>IF($S82="","",$S82/(1-$V82)*IF($N82="",1,$N82))</f>
        <v/>
      </c>
      <c r="X82" s="17">
        <f>IF(OR($W82="",$Q82="",$Q82=0),"",$W82/$Q82)</f>
        <v/>
      </c>
      <c r="Y82" s="17">
        <f>IF(OR($R82="",$T82="",$T82=0),"",$R82/($T82*IF($O82="",1,$O82)))</f>
        <v/>
      </c>
      <c r="Z82" s="17">
        <f>IF(OR($X82="",$P82="",$P82=0),"",$X82/$P82)</f>
        <v/>
      </c>
      <c r="AA82">
        <f>IF($J82="","待填怪物等级",IF(OR($I82="",$Q82=""),"待填对照关卡",IF($P82="","已计算",IF(AND($Y82&lt;&gt;"",$Y82&lt;$X82),"生存不成立",IF($Z82&lt;0.5,"碾压",IF($Z82&lt;0.8,"偏简单",IF($Z82&lt;=1.2,"适中",IF($Z82&lt;=1.5,"偏难","过难"))))))))</f>
        <v/>
      </c>
      <c r="AB82">
        <f>IF($J82="","待填",IF(AND(ISNUMBER($J82),$J82&gt;=1,$J82&lt;=500,MOD($J82,1)=0),"有效","超范围"))</f>
        <v/>
      </c>
      <c r="AC82">
        <f>IF(C82&lt;&gt;C81,"新玩法组",IF(J82&gt;=J81,"不降","回退"))</f>
        <v/>
      </c>
      <c r="AD82" t="inlineStr">
        <is>
          <t>等效进度估算S278，非解锁/首通节点；旧Lv430→442；NR_Layer 218 / 修正ID 2001｜2026-09-14 30层结构难度重设计：目标TTK/存活档内线性爬坡（整体约+25%），J等级与对照G不变；AE按60s/20s反查，无解封顶1,600,000。｜2026-09-14 等级带重排：J=317（200→400档内插值），目标曲线沿用30层重设计，K/L按新等级重拟合。｜2026-09-14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82" s="4" t="n">
        <v>1600000</v>
      </c>
      <c r="AF82" s="4">
        <f>INDEX(_统一战力!$B$2:$B$501,J82)</f>
        <v/>
      </c>
      <c r="AG82" t="n">
        <v>2001</v>
      </c>
      <c r="AH82" t="n">
        <v>218</v>
      </c>
      <c r="AI82" t="n">
        <v>3</v>
      </c>
    </row>
    <row r="83">
      <c r="A83" t="inlineStr">
        <is>
          <t>当前源表</t>
        </is>
      </c>
      <c r="B83" t="inlineStr">
        <is>
          <t>无限之旅</t>
        </is>
      </c>
      <c r="C83" t="inlineStr">
        <is>
          <t>难度3</t>
        </is>
      </c>
      <c r="D83" t="inlineStr">
        <is>
          <t>难度3-层219</t>
        </is>
      </c>
      <c r="F83" t="inlineStr">
        <is>
          <t>Boss</t>
        </is>
      </c>
      <c r="G83" t="n">
        <v>279</v>
      </c>
      <c r="I83" t="n">
        <v>279</v>
      </c>
      <c r="J83" t="n">
        <v>262</v>
      </c>
      <c r="K83" s="83" t="n">
        <v>4.0032310112</v>
      </c>
      <c r="L83" s="83" t="n">
        <v>2.3227379629</v>
      </c>
      <c r="M83" s="83" t="n">
        <v>1</v>
      </c>
      <c r="N83" t="n">
        <v>1</v>
      </c>
      <c r="O83" t="n">
        <v>1</v>
      </c>
      <c r="P83" s="17" t="n">
        <v>249.12549856601</v>
      </c>
      <c r="Q83" s="21">
        <f>IF($I83="","",IFERROR(INDEX(_玩家曲线!$H$2:$H$286,MATCH($I83,_玩家曲线!$A$2:$A$286,0)),""))</f>
        <v/>
      </c>
      <c r="R83" s="21">
        <f>IF($I83="","",IFERROR(INDEX(_玩家曲线!$I$2:$I$286,MATCH($I83,_玩家曲线!$A$2:$A$286,0)),""))</f>
        <v/>
      </c>
      <c r="S83" s="21">
        <f>IF(OR($J83="",$F83="不适用"),"",IFERROR(INDEX(_怪物模型!$D$2:$D$4501,(INT($J83)-1)*ROWS(_怪物类型!$A$2:$A$10)+MATCH($F83,_怪物类型!$A$2:$A$10,0))*IF($K83="",1,$K83),""))</f>
        <v/>
      </c>
      <c r="T83" s="21">
        <f>IF(OR($J83="",$F83="不适用"),"",IFERROR(INDEX(_怪物模型!$E$2:$E$4501,(INT($J83)-1)*ROWS(_怪物类型!$A$2:$A$10)+MATCH($F83,_怪物类型!$A$2:$A$10,0))*IF($L83="",1,$L83),""))</f>
        <v/>
      </c>
      <c r="U83" s="21">
        <f>IF(OR($J83="",$F83="不适用"),"",IFERROR(INDEX(_怪物模型!$F$2:$F$4501,(INT($J83)-1)*ROWS(_怪物类型!$A$2:$A$10)+MATCH($F83,_怪物类型!$A$2:$A$10,0))*IF($M83="",1,$M83),""))</f>
        <v/>
      </c>
      <c r="V83" s="84">
        <f>IF($U83="","",MIN(0.75,$U83/($U83+24000)))</f>
        <v/>
      </c>
      <c r="W83" s="21">
        <f>IF($S83="","",$S83/(1-$V83)*IF($N83="",1,$N83))</f>
        <v/>
      </c>
      <c r="X83" s="17">
        <f>IF(OR($W83="",$Q83="",$Q83=0),"",$W83/$Q83)</f>
        <v/>
      </c>
      <c r="Y83" s="17">
        <f>IF(OR($R83="",$T83="",$T83=0),"",$R83/($T83*IF($O83="",1,$O83)))</f>
        <v/>
      </c>
      <c r="Z83" s="17">
        <f>IF(OR($X83="",$P83="",$P83=0),"",$X83/$P83)</f>
        <v/>
      </c>
      <c r="AA83">
        <f>IF($J83="","待填怪物等级",IF(OR($I83="",$Q83=""),"待填对照关卡",IF($P83="","已计算",IF(AND($Y83&lt;&gt;"",$Y83&lt;$X83),"生存不成立",IF($Z83&lt;0.5,"碾压",IF($Z83&lt;0.8,"偏简单",IF($Z83&lt;=1.2,"适中",IF($Z83&lt;=1.5,"偏难","过难"))))))))</f>
        <v/>
      </c>
      <c r="AB83">
        <f>IF($J83="","待填",IF(AND(ISNUMBER($J83),$J83&gt;=1,$J83&lt;=500,MOD($J83,1)=0),"有效","超范围"))</f>
        <v/>
      </c>
      <c r="AC83">
        <f>IF(C83&lt;&gt;C82,"新玩法组",IF(J83&gt;=J82,"不降","回退"))</f>
        <v/>
      </c>
      <c r="AD83" t="inlineStr">
        <is>
          <t>等效进度估算S278，非解锁/首通节点；旧Lv433→445；NR_Layer 219 / 修正ID 2001｜2026-09-14 30层结构难度重设计：目标TTK/存活档内线性爬坡（整体约+25%），J等级与对照G不变；AE按60s/20s反查，无解封顶1,600,000。｜2026-09-14 等级带重排：J=324（200→400档内插值），目标曲线沿用30层重设计，K/L按新等级重拟合。｜2026-09-14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83" s="4" t="n">
        <v>1600000</v>
      </c>
      <c r="AF83" s="4">
        <f>INDEX(_统一战力!$B$2:$B$501,J83)</f>
        <v/>
      </c>
      <c r="AG83" t="n">
        <v>2001</v>
      </c>
      <c r="AH83" t="n">
        <v>219</v>
      </c>
      <c r="AI83" t="n">
        <v>3</v>
      </c>
    </row>
    <row r="84">
      <c r="A84" t="inlineStr">
        <is>
          <t>当前源表</t>
        </is>
      </c>
      <c r="B84" t="inlineStr">
        <is>
          <t>无限之旅</t>
        </is>
      </c>
      <c r="C84" t="inlineStr">
        <is>
          <t>难度3</t>
        </is>
      </c>
      <c r="D84" t="inlineStr">
        <is>
          <t>难度3-层220</t>
        </is>
      </c>
      <c r="F84" t="inlineStr">
        <is>
          <t>Boss</t>
        </is>
      </c>
      <c r="G84" t="n">
        <v>279</v>
      </c>
      <c r="I84" t="n">
        <v>279</v>
      </c>
      <c r="J84" t="n">
        <v>268</v>
      </c>
      <c r="K84" s="83" t="n">
        <v>3.7931214653</v>
      </c>
      <c r="L84" s="83" t="n">
        <v>2.2566252859</v>
      </c>
      <c r="M84" s="83" t="n">
        <v>1</v>
      </c>
      <c r="N84" t="n">
        <v>1</v>
      </c>
      <c r="O84" t="n">
        <v>1</v>
      </c>
      <c r="P84" s="17" t="n">
        <v>256.766984306347</v>
      </c>
      <c r="Q84" s="21">
        <f>IF($I84="","",IFERROR(INDEX(_玩家曲线!$H$2:$H$286,MATCH($I84,_玩家曲线!$A$2:$A$286,0)),""))</f>
        <v/>
      </c>
      <c r="R84" s="21">
        <f>IF($I84="","",IFERROR(INDEX(_玩家曲线!$I$2:$I$286,MATCH($I84,_玩家曲线!$A$2:$A$286,0)),""))</f>
        <v/>
      </c>
      <c r="S84" s="21">
        <f>IF(OR($J84="",$F84="不适用"),"",IFERROR(INDEX(_怪物模型!$D$2:$D$4501,(INT($J84)-1)*ROWS(_怪物类型!$A$2:$A$10)+MATCH($F84,_怪物类型!$A$2:$A$10,0))*IF($K84="",1,$K84),""))</f>
        <v/>
      </c>
      <c r="T84" s="21">
        <f>IF(OR($J84="",$F84="不适用"),"",IFERROR(INDEX(_怪物模型!$E$2:$E$4501,(INT($J84)-1)*ROWS(_怪物类型!$A$2:$A$10)+MATCH($F84,_怪物类型!$A$2:$A$10,0))*IF($L84="",1,$L84),""))</f>
        <v/>
      </c>
      <c r="U84" s="21">
        <f>IF(OR($J84="",$F84="不适用"),"",IFERROR(INDEX(_怪物模型!$F$2:$F$4501,(INT($J84)-1)*ROWS(_怪物类型!$A$2:$A$10)+MATCH($F84,_怪物类型!$A$2:$A$10,0))*IF($M84="",1,$M84),""))</f>
        <v/>
      </c>
      <c r="V84" s="84">
        <f>IF($U84="","",MIN(0.75,$U84/($U84+24000)))</f>
        <v/>
      </c>
      <c r="W84" s="21">
        <f>IF($S84="","",$S84/(1-$V84)*IF($N84="",1,$N84))</f>
        <v/>
      </c>
      <c r="X84" s="17">
        <f>IF(OR($W84="",$Q84="",$Q84=0),"",$W84/$Q84)</f>
        <v/>
      </c>
      <c r="Y84" s="17">
        <f>IF(OR($R84="",$T84="",$T84=0),"",$R84/($T84*IF($O84="",1,$O84)))</f>
        <v/>
      </c>
      <c r="Z84" s="17">
        <f>IF(OR($X84="",$P84="",$P84=0),"",$X84/$P84)</f>
        <v/>
      </c>
      <c r="AA84">
        <f>IF($J84="","待填怪物等级",IF(OR($I84="",$Q84=""),"待填对照关卡",IF($P84="","已计算",IF(AND($Y84&lt;&gt;"",$Y84&lt;$X84),"生存不成立",IF($Z84&lt;0.5,"碾压",IF($Z84&lt;0.8,"偏简单",IF($Z84&lt;=1.2,"适中",IF($Z84&lt;=1.5,"偏难","过难"))))))))</f>
        <v/>
      </c>
      <c r="AB84">
        <f>IF($J84="","待填",IF(AND(ISNUMBER($J84),$J84&gt;=1,$J84&lt;=500,MOD($J84,1)=0),"有效","超范围"))</f>
        <v/>
      </c>
      <c r="AC84">
        <f>IF(C84&lt;&gt;C83,"新玩法组",IF(J84&gt;=J83,"不降","回退"))</f>
        <v/>
      </c>
      <c r="AD84" t="inlineStr">
        <is>
          <t>等效进度估算S278，非解锁/首通节点；旧Lv436→448；NR_Layer 220 / 修正ID 2001｜2026-09-14 30层结构难度重设计：目标TTK/存活档内线性爬坡（整体约+25%），J等级与对照G不变；AE按60s/20s反查，无解封顶1,600,000。｜2026-09-14 等级带重排：J=331（200→400档内插值），目标曲线沿用30层重设计，K/L按新等级重拟合。｜2026-09-14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84" s="4" t="n">
        <v>1600000</v>
      </c>
      <c r="AF84" s="4">
        <f>INDEX(_统一战力!$B$2:$B$501,J84)</f>
        <v/>
      </c>
      <c r="AG84" t="n">
        <v>2001</v>
      </c>
      <c r="AH84" t="n">
        <v>220</v>
      </c>
      <c r="AI84" t="n">
        <v>3</v>
      </c>
    </row>
    <row r="85">
      <c r="A85" t="inlineStr">
        <is>
          <t>当前源表</t>
        </is>
      </c>
      <c r="B85" t="inlineStr">
        <is>
          <t>无限之旅</t>
        </is>
      </c>
      <c r="C85" t="inlineStr">
        <is>
          <t>难度3</t>
        </is>
      </c>
      <c r="D85" t="inlineStr">
        <is>
          <t>难度3-层221</t>
        </is>
      </c>
      <c r="F85" t="inlineStr">
        <is>
          <t>Boss</t>
        </is>
      </c>
      <c r="G85" t="n">
        <v>279</v>
      </c>
      <c r="I85" t="n">
        <v>279</v>
      </c>
      <c r="J85" t="n">
        <v>274</v>
      </c>
      <c r="K85" s="83" t="n">
        <v>3.5951900521</v>
      </c>
      <c r="L85" s="83" t="n">
        <v>2.1939676544</v>
      </c>
      <c r="M85" s="83" t="n">
        <v>1</v>
      </c>
      <c r="N85" t="n">
        <v>1</v>
      </c>
      <c r="O85" t="n">
        <v>1</v>
      </c>
      <c r="P85" s="17" t="n">
        <v>264.60947380342</v>
      </c>
      <c r="Q85" s="21">
        <f>IF($I85="","",IFERROR(INDEX(_玩家曲线!$H$2:$H$286,MATCH($I85,_玩家曲线!$A$2:$A$286,0)),""))</f>
        <v/>
      </c>
      <c r="R85" s="21">
        <f>IF($I85="","",IFERROR(INDEX(_玩家曲线!$I$2:$I$286,MATCH($I85,_玩家曲线!$A$2:$A$286,0)),""))</f>
        <v/>
      </c>
      <c r="S85" s="21">
        <f>IF(OR($J85="",$F85="不适用"),"",IFERROR(INDEX(_怪物模型!$D$2:$D$4501,(INT($J85)-1)*ROWS(_怪物类型!$A$2:$A$10)+MATCH($F85,_怪物类型!$A$2:$A$10,0))*IF($K85="",1,$K85),""))</f>
        <v/>
      </c>
      <c r="T85" s="21">
        <f>IF(OR($J85="",$F85="不适用"),"",IFERROR(INDEX(_怪物模型!$E$2:$E$4501,(INT($J85)-1)*ROWS(_怪物类型!$A$2:$A$10)+MATCH($F85,_怪物类型!$A$2:$A$10,0))*IF($L85="",1,$L85),""))</f>
        <v/>
      </c>
      <c r="U85" s="21">
        <f>IF(OR($J85="",$F85="不适用"),"",IFERROR(INDEX(_怪物模型!$F$2:$F$4501,(INT($J85)-1)*ROWS(_怪物类型!$A$2:$A$10)+MATCH($F85,_怪物类型!$A$2:$A$10,0))*IF($M85="",1,$M85),""))</f>
        <v/>
      </c>
      <c r="V85" s="84">
        <f>IF($U85="","",MIN(0.75,$U85/($U85+24000)))</f>
        <v/>
      </c>
      <c r="W85" s="21">
        <f>IF($S85="","",$S85/(1-$V85)*IF($N85="",1,$N85))</f>
        <v/>
      </c>
      <c r="X85" s="17">
        <f>IF(OR($W85="",$Q85="",$Q85=0),"",$W85/$Q85)</f>
        <v/>
      </c>
      <c r="Y85" s="17">
        <f>IF(OR($R85="",$T85="",$T85=0),"",$R85/($T85*IF($O85="",1,$O85)))</f>
        <v/>
      </c>
      <c r="Z85" s="17">
        <f>IF(OR($X85="",$P85="",$P85=0),"",$X85/$P85)</f>
        <v/>
      </c>
      <c r="AA85">
        <f>IF($J85="","待填怪物等级",IF(OR($I85="",$Q85=""),"待填对照关卡",IF($P85="","已计算",IF(AND($Y85&lt;&gt;"",$Y85&lt;$X85),"生存不成立",IF($Z85&lt;0.5,"碾压",IF($Z85&lt;0.8,"偏简单",IF($Z85&lt;=1.2,"适中",IF($Z85&lt;=1.5,"偏难","过难"))))))))</f>
        <v/>
      </c>
      <c r="AB85">
        <f>IF($J85="","待填",IF(AND(ISNUMBER($J85),$J85&gt;=1,$J85&lt;=500,MOD($J85,1)=0),"有效","超范围"))</f>
        <v/>
      </c>
      <c r="AC85">
        <f>IF(C85&lt;&gt;C84,"新玩法组",IF(J85&gt;=J84,"不降","回退"))</f>
        <v/>
      </c>
      <c r="AD85" t="inlineStr">
        <is>
          <t>等效进度估算S278，非解锁/首通节点；旧Lv439→451；NR_Layer 221 / 修正ID 2001｜2026-09-14 30层结构难度重设计：目标TTK/存活档内线性爬坡（整体约+25%），J等级与对照G不变；AE按60s/20s反查，无解封顶1,600,000。｜2026-09-14 等级带重排：J=338（200→400档内插值），目标曲线沿用30层重设计，K/L按新等级重拟合。｜2026-09-14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85" s="4" t="n">
        <v>1600000</v>
      </c>
      <c r="AF85" s="4">
        <f>INDEX(_统一战力!$B$2:$B$501,J85)</f>
        <v/>
      </c>
      <c r="AG85" t="n">
        <v>2001</v>
      </c>
      <c r="AH85" t="n">
        <v>221</v>
      </c>
      <c r="AI85" t="n">
        <v>3</v>
      </c>
    </row>
    <row r="86">
      <c r="A86" t="inlineStr">
        <is>
          <t>当前源表</t>
        </is>
      </c>
      <c r="B86" t="inlineStr">
        <is>
          <t>无限之旅</t>
        </is>
      </c>
      <c r="C86" t="inlineStr">
        <is>
          <t>难度3</t>
        </is>
      </c>
      <c r="D86" t="inlineStr">
        <is>
          <t>难度3-层222</t>
        </is>
      </c>
      <c r="F86" t="inlineStr">
        <is>
          <t>Boss</t>
        </is>
      </c>
      <c r="G86" t="n">
        <v>279</v>
      </c>
      <c r="I86" t="n">
        <v>279</v>
      </c>
      <c r="J86" t="n">
        <v>280</v>
      </c>
      <c r="K86" s="83" t="n">
        <v>3.4087372101</v>
      </c>
      <c r="L86" s="83" t="n">
        <v>2.1344662857</v>
      </c>
      <c r="M86" s="83" t="n">
        <v>1</v>
      </c>
      <c r="N86" t="n">
        <v>1</v>
      </c>
      <c r="O86" t="n">
        <v>1</v>
      </c>
      <c r="P86" s="17" t="n">
        <v>272.661151366749</v>
      </c>
      <c r="Q86" s="21">
        <f>IF($I86="","",IFERROR(INDEX(_玩家曲线!$H$2:$H$286,MATCH($I86,_玩家曲线!$A$2:$A$286,0)),""))</f>
        <v/>
      </c>
      <c r="R86" s="21">
        <f>IF($I86="","",IFERROR(INDEX(_玩家曲线!$I$2:$I$286,MATCH($I86,_玩家曲线!$A$2:$A$286,0)),""))</f>
        <v/>
      </c>
      <c r="S86" s="21">
        <f>IF(OR($J86="",$F86="不适用"),"",IFERROR(INDEX(_怪物模型!$D$2:$D$4501,(INT($J86)-1)*ROWS(_怪物类型!$A$2:$A$10)+MATCH($F86,_怪物类型!$A$2:$A$10,0))*IF($K86="",1,$K86),""))</f>
        <v/>
      </c>
      <c r="T86" s="21">
        <f>IF(OR($J86="",$F86="不适用"),"",IFERROR(INDEX(_怪物模型!$E$2:$E$4501,(INT($J86)-1)*ROWS(_怪物类型!$A$2:$A$10)+MATCH($F86,_怪物类型!$A$2:$A$10,0))*IF($L86="",1,$L86),""))</f>
        <v/>
      </c>
      <c r="U86" s="21">
        <f>IF(OR($J86="",$F86="不适用"),"",IFERROR(INDEX(_怪物模型!$F$2:$F$4501,(INT($J86)-1)*ROWS(_怪物类型!$A$2:$A$10)+MATCH($F86,_怪物类型!$A$2:$A$10,0))*IF($M86="",1,$M86),""))</f>
        <v/>
      </c>
      <c r="V86" s="84">
        <f>IF($U86="","",MIN(0.75,$U86/($U86+24000)))</f>
        <v/>
      </c>
      <c r="W86" s="21">
        <f>IF($S86="","",$S86/(1-$V86)*IF($N86="",1,$N86))</f>
        <v/>
      </c>
      <c r="X86" s="17">
        <f>IF(OR($W86="",$Q86="",$Q86=0),"",$W86/$Q86)</f>
        <v/>
      </c>
      <c r="Y86" s="17">
        <f>IF(OR($R86="",$T86="",$T86=0),"",$R86/($T86*IF($O86="",1,$O86)))</f>
        <v/>
      </c>
      <c r="Z86" s="17">
        <f>IF(OR($X86="",$P86="",$P86=0),"",$X86/$P86)</f>
        <v/>
      </c>
      <c r="AA86">
        <f>IF($J86="","待填怪物等级",IF(OR($I86="",$Q86=""),"待填对照关卡",IF($P86="","已计算",IF(AND($Y86&lt;&gt;"",$Y86&lt;$X86),"生存不成立",IF($Z86&lt;0.5,"碾压",IF($Z86&lt;0.8,"偏简单",IF($Z86&lt;=1.2,"适中",IF($Z86&lt;=1.5,"偏难","过难"))))))))</f>
        <v/>
      </c>
      <c r="AB86">
        <f>IF($J86="","待填",IF(AND(ISNUMBER($J86),$J86&gt;=1,$J86&lt;=500,MOD($J86,1)=0),"有效","超范围"))</f>
        <v/>
      </c>
      <c r="AC86">
        <f>IF(C86&lt;&gt;C85,"新玩法组",IF(J86&gt;=J85,"不降","回退"))</f>
        <v/>
      </c>
      <c r="AD86" t="inlineStr">
        <is>
          <t>等效进度估算S278，非解锁/首通节点；旧Lv442→454；NR_Layer 222 / 修正ID 2001｜2026-09-14 30层结构难度重设计：目标TTK/存活档内线性爬坡（整体约+25%），J等级与对照G不变；AE按60s/20s反查，无解封顶1,600,000。｜2026-09-14 等级带重排：J=345（200→400档内插值），目标曲线沿用30层重设计，K/L按新等级重拟合。｜2026-09-14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86" s="4" t="n">
        <v>1600000</v>
      </c>
      <c r="AF86" s="4">
        <f>INDEX(_统一战力!$B$2:$B$501,J86)</f>
        <v/>
      </c>
      <c r="AG86" t="n">
        <v>2001</v>
      </c>
      <c r="AH86" t="n">
        <v>222</v>
      </c>
      <c r="AI86" t="n">
        <v>3</v>
      </c>
    </row>
    <row r="87">
      <c r="A87" t="inlineStr">
        <is>
          <t>当前源表</t>
        </is>
      </c>
      <c r="B87" t="inlineStr">
        <is>
          <t>无限之旅</t>
        </is>
      </c>
      <c r="C87" t="inlineStr">
        <is>
          <t>难度3</t>
        </is>
      </c>
      <c r="D87" t="inlineStr">
        <is>
          <t>难度3-层223</t>
        </is>
      </c>
      <c r="F87" t="inlineStr">
        <is>
          <t>Boss</t>
        </is>
      </c>
      <c r="G87" t="n">
        <v>279</v>
      </c>
      <c r="I87" t="n">
        <v>279</v>
      </c>
      <c r="J87" t="n">
        <v>287</v>
      </c>
      <c r="K87" s="83" t="n">
        <v>3.191692836</v>
      </c>
      <c r="L87" s="83" t="n">
        <v>2.0635986578</v>
      </c>
      <c r="M87" s="83" t="n">
        <v>1</v>
      </c>
      <c r="N87" t="n">
        <v>1</v>
      </c>
      <c r="O87" t="n">
        <v>1</v>
      </c>
      <c r="P87" s="17" t="n">
        <v>280.923086546106</v>
      </c>
      <c r="Q87" s="21">
        <f>IF($I87="","",IFERROR(INDEX(_玩家曲线!$H$2:$H$286,MATCH($I87,_玩家曲线!$A$2:$A$286,0)),""))</f>
        <v/>
      </c>
      <c r="R87" s="21">
        <f>IF($I87="","",IFERROR(INDEX(_玩家曲线!$I$2:$I$286,MATCH($I87,_玩家曲线!$A$2:$A$286,0)),""))</f>
        <v/>
      </c>
      <c r="S87" s="21">
        <f>IF(OR($J87="",$F87="不适用"),"",IFERROR(INDEX(_怪物模型!$D$2:$D$4501,(INT($J87)-1)*ROWS(_怪物类型!$A$2:$A$10)+MATCH($F87,_怪物类型!$A$2:$A$10,0))*IF($K87="",1,$K87),""))</f>
        <v/>
      </c>
      <c r="T87" s="21">
        <f>IF(OR($J87="",$F87="不适用"),"",IFERROR(INDEX(_怪物模型!$E$2:$E$4501,(INT($J87)-1)*ROWS(_怪物类型!$A$2:$A$10)+MATCH($F87,_怪物类型!$A$2:$A$10,0))*IF($L87="",1,$L87),""))</f>
        <v/>
      </c>
      <c r="U87" s="21">
        <f>IF(OR($J87="",$F87="不适用"),"",IFERROR(INDEX(_怪物模型!$F$2:$F$4501,(INT($J87)-1)*ROWS(_怪物类型!$A$2:$A$10)+MATCH($F87,_怪物类型!$A$2:$A$10,0))*IF($M87="",1,$M87),""))</f>
        <v/>
      </c>
      <c r="V87" s="84">
        <f>IF($U87="","",MIN(0.75,$U87/($U87+24000)))</f>
        <v/>
      </c>
      <c r="W87" s="21">
        <f>IF($S87="","",$S87/(1-$V87)*IF($N87="",1,$N87))</f>
        <v/>
      </c>
      <c r="X87" s="17">
        <f>IF(OR($W87="",$Q87="",$Q87=0),"",$W87/$Q87)</f>
        <v/>
      </c>
      <c r="Y87" s="17">
        <f>IF(OR($R87="",$T87="",$T87=0),"",$R87/($T87*IF($O87="",1,$O87)))</f>
        <v/>
      </c>
      <c r="Z87" s="17">
        <f>IF(OR($X87="",$P87="",$P87=0),"",$X87/$P87)</f>
        <v/>
      </c>
      <c r="AA87">
        <f>IF($J87="","待填怪物等级",IF(OR($I87="",$Q87=""),"待填对照关卡",IF($P87="","已计算",IF(AND($Y87&lt;&gt;"",$Y87&lt;$X87),"生存不成立",IF($Z87&lt;0.5,"碾压",IF($Z87&lt;0.8,"偏简单",IF($Z87&lt;=1.2,"适中",IF($Z87&lt;=1.5,"偏难","过难"))))))))</f>
        <v/>
      </c>
      <c r="AB87">
        <f>IF($J87="","待填",IF(AND(ISNUMBER($J87),$J87&gt;=1,$J87&lt;=500,MOD($J87,1)=0),"有效","超范围"))</f>
        <v/>
      </c>
      <c r="AC87">
        <f>IF(C87&lt;&gt;C86,"新玩法组",IF(J87&gt;=J86,"不降","回退"))</f>
        <v/>
      </c>
      <c r="AD87" t="inlineStr">
        <is>
          <t>等效进度估算S278，非解锁/首通节点；旧Lv445→457；NR_Layer 223 / 修正ID 2001｜2026-09-14 30层结构难度重设计：目标TTK/存活档内线性爬坡（整体约+25%），J等级与对照G不变；AE按60s/20s反查，无解封顶1,600,000。｜2026-09-14 等级带重排：J=352（200→400档内插值），目标曲线沿用30层重设计，K/L按新等级重拟合。｜2026-09-14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87" s="4" t="n">
        <v>1600000</v>
      </c>
      <c r="AF87" s="4">
        <f>INDEX(_统一战力!$B$2:$B$501,J87)</f>
        <v/>
      </c>
      <c r="AG87" t="n">
        <v>2001</v>
      </c>
      <c r="AH87" t="n">
        <v>223</v>
      </c>
      <c r="AI87" t="n">
        <v>3</v>
      </c>
    </row>
    <row r="88">
      <c r="A88" t="inlineStr">
        <is>
          <t>当前源表</t>
        </is>
      </c>
      <c r="B88" t="inlineStr">
        <is>
          <t>无限之旅</t>
        </is>
      </c>
      <c r="C88" t="inlineStr">
        <is>
          <t>难度3</t>
        </is>
      </c>
      <c r="D88" t="inlineStr">
        <is>
          <t>难度3-层224</t>
        </is>
      </c>
      <c r="F88" t="inlineStr">
        <is>
          <t>Boss</t>
        </is>
      </c>
      <c r="G88" t="n">
        <v>279</v>
      </c>
      <c r="I88" t="n">
        <v>279</v>
      </c>
      <c r="J88" t="n">
        <v>293</v>
      </c>
      <c r="K88" s="83" t="n">
        <v>3.0286028761</v>
      </c>
      <c r="L88" s="83" t="n">
        <v>2.0105218239</v>
      </c>
      <c r="M88" s="83" t="n">
        <v>1</v>
      </c>
      <c r="N88" t="n">
        <v>1</v>
      </c>
      <c r="O88" t="n">
        <v>1</v>
      </c>
      <c r="P88" s="17" t="n">
        <v>289.407844875535</v>
      </c>
      <c r="Q88" s="21">
        <f>IF($I88="","",IFERROR(INDEX(_玩家曲线!$H$2:$H$286,MATCH($I88,_玩家曲线!$A$2:$A$286,0)),""))</f>
        <v/>
      </c>
      <c r="R88" s="21">
        <f>IF($I88="","",IFERROR(INDEX(_玩家曲线!$I$2:$I$286,MATCH($I88,_玩家曲线!$A$2:$A$286,0)),""))</f>
        <v/>
      </c>
      <c r="S88" s="21">
        <f>IF(OR($J88="",$F88="不适用"),"",IFERROR(INDEX(_怪物模型!$D$2:$D$4501,(INT($J88)-1)*ROWS(_怪物类型!$A$2:$A$10)+MATCH($F88,_怪物类型!$A$2:$A$10,0))*IF($K88="",1,$K88),""))</f>
        <v/>
      </c>
      <c r="T88" s="21">
        <f>IF(OR($J88="",$F88="不适用"),"",IFERROR(INDEX(_怪物模型!$E$2:$E$4501,(INT($J88)-1)*ROWS(_怪物类型!$A$2:$A$10)+MATCH($F88,_怪物类型!$A$2:$A$10,0))*IF($L88="",1,$L88),""))</f>
        <v/>
      </c>
      <c r="U88" s="21">
        <f>IF(OR($J88="",$F88="不适用"),"",IFERROR(INDEX(_怪物模型!$F$2:$F$4501,(INT($J88)-1)*ROWS(_怪物类型!$A$2:$A$10)+MATCH($F88,_怪物类型!$A$2:$A$10,0))*IF($M88="",1,$M88),""))</f>
        <v/>
      </c>
      <c r="V88" s="84">
        <f>IF($U88="","",MIN(0.75,$U88/($U88+24000)))</f>
        <v/>
      </c>
      <c r="W88" s="21">
        <f>IF($S88="","",$S88/(1-$V88)*IF($N88="",1,$N88))</f>
        <v/>
      </c>
      <c r="X88" s="17">
        <f>IF(OR($W88="",$Q88="",$Q88=0),"",$W88/$Q88)</f>
        <v/>
      </c>
      <c r="Y88" s="17">
        <f>IF(OR($R88="",$T88="",$T88=0),"",$R88/($T88*IF($O88="",1,$O88)))</f>
        <v/>
      </c>
      <c r="Z88" s="17">
        <f>IF(OR($X88="",$P88="",$P88=0),"",$X88/$P88)</f>
        <v/>
      </c>
      <c r="AA88">
        <f>IF($J88="","待填怪物等级",IF(OR($I88="",$Q88=""),"待填对照关卡",IF($P88="","已计算",IF(AND($Y88&lt;&gt;"",$Y88&lt;$X88),"生存不成立",IF($Z88&lt;0.5,"碾压",IF($Z88&lt;0.8,"偏简单",IF($Z88&lt;=1.2,"适中",IF($Z88&lt;=1.5,"偏难","过难"))))))))</f>
        <v/>
      </c>
      <c r="AB88">
        <f>IF($J88="","待填",IF(AND(ISNUMBER($J88),$J88&gt;=1,$J88&lt;=500,MOD($J88,1)=0),"有效","超范围"))</f>
        <v/>
      </c>
      <c r="AC88">
        <f>IF(C88&lt;&gt;C87,"新玩法组",IF(J88&gt;=J87,"不降","回退"))</f>
        <v/>
      </c>
      <c r="AD88" t="inlineStr">
        <is>
          <t>等效进度估算S278，非解锁/首通节点；旧Lv448→460；NR_Layer 224 / 修正ID 2001｜2026-09-14 30层结构难度重设计：目标TTK/存活档内线性爬坡（整体约+25%），J等级与对照G不变；AE按60s/20s反查，无解封顶1,600,000。｜2026-09-14 等级带重排：J=359（200→400档内插值），目标曲线沿用30层重设计，K/L按新等级重拟合。｜2026-09-14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88" s="4" t="n">
        <v>1600000</v>
      </c>
      <c r="AF88" s="4">
        <f>INDEX(_统一战力!$B$2:$B$501,J88)</f>
        <v/>
      </c>
      <c r="AG88" t="n">
        <v>2001</v>
      </c>
      <c r="AH88" t="n">
        <v>224</v>
      </c>
      <c r="AI88" t="n">
        <v>3</v>
      </c>
    </row>
    <row r="89">
      <c r="A89" t="inlineStr">
        <is>
          <t>当前源表</t>
        </is>
      </c>
      <c r="B89" t="inlineStr">
        <is>
          <t>无限之旅</t>
        </is>
      </c>
      <c r="C89" t="inlineStr">
        <is>
          <t>难度3</t>
        </is>
      </c>
      <c r="D89" t="inlineStr">
        <is>
          <t>难度3-层225</t>
        </is>
      </c>
      <c r="F89" t="inlineStr">
        <is>
          <t>Boss</t>
        </is>
      </c>
      <c r="G89" t="n">
        <v>279</v>
      </c>
      <c r="I89" t="n">
        <v>279</v>
      </c>
      <c r="J89" t="n">
        <v>299</v>
      </c>
      <c r="K89" s="83" t="n">
        <v>2.8747737305</v>
      </c>
      <c r="L89" s="83" t="n">
        <v>1.9600853752</v>
      </c>
      <c r="M89" s="83" t="n">
        <v>1</v>
      </c>
      <c r="N89" t="n">
        <v>1</v>
      </c>
      <c r="O89" t="n">
        <v>1</v>
      </c>
      <c r="P89" s="17" t="n">
        <v>298.10865571265</v>
      </c>
      <c r="Q89" s="21">
        <f>IF($I89="","",IFERROR(INDEX(_玩家曲线!$H$2:$H$286,MATCH($I89,_玩家曲线!$A$2:$A$286,0)),""))</f>
        <v/>
      </c>
      <c r="R89" s="21">
        <f>IF($I89="","",IFERROR(INDEX(_玩家曲线!$I$2:$I$286,MATCH($I89,_玩家曲线!$A$2:$A$286,0)),""))</f>
        <v/>
      </c>
      <c r="S89" s="21">
        <f>IF(OR($J89="",$F89="不适用"),"",IFERROR(INDEX(_怪物模型!$D$2:$D$4501,(INT($J89)-1)*ROWS(_怪物类型!$A$2:$A$10)+MATCH($F89,_怪物类型!$A$2:$A$10,0))*IF($K89="",1,$K89),""))</f>
        <v/>
      </c>
      <c r="T89" s="21">
        <f>IF(OR($J89="",$F89="不适用"),"",IFERROR(INDEX(_怪物模型!$E$2:$E$4501,(INT($J89)-1)*ROWS(_怪物类型!$A$2:$A$10)+MATCH($F89,_怪物类型!$A$2:$A$10,0))*IF($L89="",1,$L89),""))</f>
        <v/>
      </c>
      <c r="U89" s="21">
        <f>IF(OR($J89="",$F89="不适用"),"",IFERROR(INDEX(_怪物模型!$F$2:$F$4501,(INT($J89)-1)*ROWS(_怪物类型!$A$2:$A$10)+MATCH($F89,_怪物类型!$A$2:$A$10,0))*IF($M89="",1,$M89),""))</f>
        <v/>
      </c>
      <c r="V89" s="84">
        <f>IF($U89="","",MIN(0.75,$U89/($U89+24000)))</f>
        <v/>
      </c>
      <c r="W89" s="21">
        <f>IF($S89="","",$S89/(1-$V89)*IF($N89="",1,$N89))</f>
        <v/>
      </c>
      <c r="X89" s="17">
        <f>IF(OR($W89="",$Q89="",$Q89=0),"",$W89/$Q89)</f>
        <v/>
      </c>
      <c r="Y89" s="17">
        <f>IF(OR($R89="",$T89="",$T89=0),"",$R89/($T89*IF($O89="",1,$O89)))</f>
        <v/>
      </c>
      <c r="Z89" s="17">
        <f>IF(OR($X89="",$P89="",$P89=0),"",$X89/$P89)</f>
        <v/>
      </c>
      <c r="AA89">
        <f>IF($J89="","待填怪物等级",IF(OR($I89="",$Q89=""),"待填对照关卡",IF($P89="","已计算",IF(AND($Y89&lt;&gt;"",$Y89&lt;$X89),"生存不成立",IF($Z89&lt;0.5,"碾压",IF($Z89&lt;0.8,"偏简单",IF($Z89&lt;=1.2,"适中",IF($Z89&lt;=1.5,"偏难","过难"))))))))</f>
        <v/>
      </c>
      <c r="AB89">
        <f>IF($J89="","待填",IF(AND(ISNUMBER($J89),$J89&gt;=1,$J89&lt;=500,MOD($J89,1)=0),"有效","超范围"))</f>
        <v/>
      </c>
      <c r="AC89">
        <f>IF(C89&lt;&gt;C88,"新玩法组",IF(J89&gt;=J88,"不降","回退"))</f>
        <v/>
      </c>
      <c r="AD89" t="inlineStr">
        <is>
          <t>等效进度估算S278，非解锁/首通节点；旧Lv451→463；NR_Layer 225 / 修正ID 2001｜2026-09-14 30层结构难度重设计：目标TTK/存活档内线性爬坡（整体约+25%），J等级与对照G不变；AE按60s/20s反查，无解封顶1,600,000。｜2026-09-14 等级带重排：J=366（200→400档内插值），目标曲线沿用30层重设计，K/L按新等级重拟合。｜2026-09-14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89" s="4" t="n">
        <v>1600000</v>
      </c>
      <c r="AF89" s="4">
        <f>INDEX(_统一战力!$B$2:$B$501,J89)</f>
        <v/>
      </c>
      <c r="AG89" t="n">
        <v>2001</v>
      </c>
      <c r="AH89" t="n">
        <v>225</v>
      </c>
      <c r="AI89" t="n">
        <v>3</v>
      </c>
    </row>
    <row r="90">
      <c r="A90" t="inlineStr">
        <is>
          <t>当前源表</t>
        </is>
      </c>
      <c r="B90" t="inlineStr">
        <is>
          <t>无限之旅</t>
        </is>
      </c>
      <c r="C90" t="inlineStr">
        <is>
          <t>难度3</t>
        </is>
      </c>
      <c r="D90" t="inlineStr">
        <is>
          <t>难度3-层226</t>
        </is>
      </c>
      <c r="F90" t="inlineStr">
        <is>
          <t>Boss</t>
        </is>
      </c>
      <c r="G90" t="n">
        <v>279</v>
      </c>
      <c r="I90" t="n">
        <v>279</v>
      </c>
      <c r="J90" t="n">
        <v>305</v>
      </c>
      <c r="K90" s="83" t="n">
        <v>2.7296341309</v>
      </c>
      <c r="L90" s="83" t="n">
        <v>1.9121290185</v>
      </c>
      <c r="M90" s="83" t="n">
        <v>1</v>
      </c>
      <c r="N90" t="n">
        <v>1</v>
      </c>
      <c r="O90" t="n">
        <v>1</v>
      </c>
      <c r="P90" s="17" t="n">
        <v>307.042486260742</v>
      </c>
      <c r="Q90" s="21">
        <f>IF($I90="","",IFERROR(INDEX(_玩家曲线!$H$2:$H$286,MATCH($I90,_玩家曲线!$A$2:$A$286,0)),""))</f>
        <v/>
      </c>
      <c r="R90" s="21">
        <f>IF($I90="","",IFERROR(INDEX(_玩家曲线!$I$2:$I$286,MATCH($I90,_玩家曲线!$A$2:$A$286,0)),""))</f>
        <v/>
      </c>
      <c r="S90" s="21">
        <f>IF(OR($J90="",$F90="不适用"),"",IFERROR(INDEX(_怪物模型!$D$2:$D$4501,(INT($J90)-1)*ROWS(_怪物类型!$A$2:$A$10)+MATCH($F90,_怪物类型!$A$2:$A$10,0))*IF($K90="",1,$K90),""))</f>
        <v/>
      </c>
      <c r="T90" s="21">
        <f>IF(OR($J90="",$F90="不适用"),"",IFERROR(INDEX(_怪物模型!$E$2:$E$4501,(INT($J90)-1)*ROWS(_怪物类型!$A$2:$A$10)+MATCH($F90,_怪物类型!$A$2:$A$10,0))*IF($L90="",1,$L90),""))</f>
        <v/>
      </c>
      <c r="U90" s="21">
        <f>IF(OR($J90="",$F90="不适用"),"",IFERROR(INDEX(_怪物模型!$F$2:$F$4501,(INT($J90)-1)*ROWS(_怪物类型!$A$2:$A$10)+MATCH($F90,_怪物类型!$A$2:$A$10,0))*IF($M90="",1,$M90),""))</f>
        <v/>
      </c>
      <c r="V90" s="84">
        <f>IF($U90="","",MIN(0.75,$U90/($U90+24000)))</f>
        <v/>
      </c>
      <c r="W90" s="21">
        <f>IF($S90="","",$S90/(1-$V90)*IF($N90="",1,$N90))</f>
        <v/>
      </c>
      <c r="X90" s="17">
        <f>IF(OR($W90="",$Q90="",$Q90=0),"",$W90/$Q90)</f>
        <v/>
      </c>
      <c r="Y90" s="17">
        <f>IF(OR($R90="",$T90="",$T90=0),"",$R90/($T90*IF($O90="",1,$O90)))</f>
        <v/>
      </c>
      <c r="Z90" s="17">
        <f>IF(OR($X90="",$P90="",$P90=0),"",$X90/$P90)</f>
        <v/>
      </c>
      <c r="AA90">
        <f>IF($J90="","待填怪物等级",IF(OR($I90="",$Q90=""),"待填对照关卡",IF($P90="","已计算",IF(AND($Y90&lt;&gt;"",$Y90&lt;$X90),"生存不成立",IF($Z90&lt;0.5,"碾压",IF($Z90&lt;0.8,"偏简单",IF($Z90&lt;=1.2,"适中",IF($Z90&lt;=1.5,"偏难","过难"))))))))</f>
        <v/>
      </c>
      <c r="AB90">
        <f>IF($J90="","待填",IF(AND(ISNUMBER($J90),$J90&gt;=1,$J90&lt;=500,MOD($J90,1)=0),"有效","超范围"))</f>
        <v/>
      </c>
      <c r="AC90">
        <f>IF(C90&lt;&gt;C89,"新玩法组",IF(J90&gt;=J89,"不降","回退"))</f>
        <v/>
      </c>
      <c r="AD90" t="inlineStr">
        <is>
          <t>等效进度估算S278，非解锁/首通节点；旧Lv454→466；NR_Layer 226 / 修正ID 2001｜2026-09-14 30层结构难度重设计：目标TTK/存活档内线性爬坡（整体约+25%），J等级与对照G不变；AE按60s/20s反查，无解封顶1,600,000。｜2026-09-14 等级带重排：J=372（200→400档内插值），目标曲线沿用30层重设计，K/L按新等级重拟合。｜2026-09-14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90" s="4" t="n">
        <v>1600000</v>
      </c>
      <c r="AF90" s="4">
        <f>INDEX(_统一战力!$B$2:$B$501,J90)</f>
        <v/>
      </c>
      <c r="AG90" t="n">
        <v>2001</v>
      </c>
      <c r="AH90" t="n">
        <v>226</v>
      </c>
      <c r="AI90" t="n">
        <v>3</v>
      </c>
    </row>
    <row r="91">
      <c r="A91" t="inlineStr">
        <is>
          <t>当前源表</t>
        </is>
      </c>
      <c r="B91" t="inlineStr">
        <is>
          <t>无限之旅</t>
        </is>
      </c>
      <c r="C91" t="inlineStr">
        <is>
          <t>难度3</t>
        </is>
      </c>
      <c r="D91" t="inlineStr">
        <is>
          <t>难度3-层227</t>
        </is>
      </c>
      <c r="F91" t="inlineStr">
        <is>
          <t>Boss</t>
        </is>
      </c>
      <c r="G91" t="n">
        <v>279</v>
      </c>
      <c r="I91" t="n">
        <v>279</v>
      </c>
      <c r="J91" t="n">
        <v>311</v>
      </c>
      <c r="K91" s="83" t="n">
        <v>2.5926439741</v>
      </c>
      <c r="L91" s="83" t="n">
        <v>1.8665837729</v>
      </c>
      <c r="M91" s="83" t="n">
        <v>1</v>
      </c>
      <c r="N91" t="n">
        <v>1</v>
      </c>
      <c r="O91" t="n">
        <v>1</v>
      </c>
      <c r="P91" s="17" t="n">
        <v>316.206418823404</v>
      </c>
      <c r="Q91" s="21">
        <f>IF($I91="","",IFERROR(INDEX(_玩家曲线!$H$2:$H$286,MATCH($I91,_玩家曲线!$A$2:$A$286,0)),""))</f>
        <v/>
      </c>
      <c r="R91" s="21">
        <f>IF($I91="","",IFERROR(INDEX(_玩家曲线!$I$2:$I$286,MATCH($I91,_玩家曲线!$A$2:$A$286,0)),""))</f>
        <v/>
      </c>
      <c r="S91" s="21">
        <f>IF(OR($J91="",$F91="不适用"),"",IFERROR(INDEX(_怪物模型!$D$2:$D$4501,(INT($J91)-1)*ROWS(_怪物类型!$A$2:$A$10)+MATCH($F91,_怪物类型!$A$2:$A$10,0))*IF($K91="",1,$K91),""))</f>
        <v/>
      </c>
      <c r="T91" s="21">
        <f>IF(OR($J91="",$F91="不适用"),"",IFERROR(INDEX(_怪物模型!$E$2:$E$4501,(INT($J91)-1)*ROWS(_怪物类型!$A$2:$A$10)+MATCH($F91,_怪物类型!$A$2:$A$10,0))*IF($L91="",1,$L91),""))</f>
        <v/>
      </c>
      <c r="U91" s="21">
        <f>IF(OR($J91="",$F91="不适用"),"",IFERROR(INDEX(_怪物模型!$F$2:$F$4501,(INT($J91)-1)*ROWS(_怪物类型!$A$2:$A$10)+MATCH($F91,_怪物类型!$A$2:$A$10,0))*IF($M91="",1,$M91),""))</f>
        <v/>
      </c>
      <c r="V91" s="84">
        <f>IF($U91="","",MIN(0.75,$U91/($U91+24000)))</f>
        <v/>
      </c>
      <c r="W91" s="21">
        <f>IF($S91="","",$S91/(1-$V91)*IF($N91="",1,$N91))</f>
        <v/>
      </c>
      <c r="X91" s="17">
        <f>IF(OR($W91="",$Q91="",$Q91=0),"",$W91/$Q91)</f>
        <v/>
      </c>
      <c r="Y91" s="17">
        <f>IF(OR($R91="",$T91="",$T91=0),"",$R91/($T91*IF($O91="",1,$O91)))</f>
        <v/>
      </c>
      <c r="Z91" s="17">
        <f>IF(OR($X91="",$P91="",$P91=0),"",$X91/$P91)</f>
        <v/>
      </c>
      <c r="AA91">
        <f>IF($J91="","待填怪物等级",IF(OR($I91="",$Q91=""),"待填对照关卡",IF($P91="","已计算",IF(AND($Y91&lt;&gt;"",$Y91&lt;$X91),"生存不成立",IF($Z91&lt;0.5,"碾压",IF($Z91&lt;0.8,"偏简单",IF($Z91&lt;=1.2,"适中",IF($Z91&lt;=1.5,"偏难","过难"))))))))</f>
        <v/>
      </c>
      <c r="AB91">
        <f>IF($J91="","待填",IF(AND(ISNUMBER($J91),$J91&gt;=1,$J91&lt;=500,MOD($J91,1)=0),"有效","超范围"))</f>
        <v/>
      </c>
      <c r="AC91">
        <f>IF(C91&lt;&gt;C90,"新玩法组",IF(J91&gt;=J90,"不降","回退"))</f>
        <v/>
      </c>
      <c r="AD91" t="inlineStr">
        <is>
          <t>等效进度估算S278，非解锁/首通节点；旧Lv457→469；NR_Layer 227 / 修正ID 2001｜2026-09-14 30层结构难度重设计：目标TTK/存活档内线性爬坡（整体约+25%），J等级与对照G不变；AE按60s/20s反查，无解封顶1,600,000。｜2026-09-14 等级带重排：J=379（200→400档内插值），目标曲线沿用30层重设计，K/L按新等级重拟合。｜2026-09-14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91" s="4" t="n">
        <v>1600000</v>
      </c>
      <c r="AF91" s="4">
        <f>INDEX(_统一战力!$B$2:$B$501,J91)</f>
        <v/>
      </c>
      <c r="AG91" t="n">
        <v>2001</v>
      </c>
      <c r="AH91" t="n">
        <v>227</v>
      </c>
      <c r="AI91" t="n">
        <v>3</v>
      </c>
    </row>
    <row r="92">
      <c r="A92" t="inlineStr">
        <is>
          <t>当前源表</t>
        </is>
      </c>
      <c r="B92" t="inlineStr">
        <is>
          <t>无限之旅</t>
        </is>
      </c>
      <c r="C92" t="inlineStr">
        <is>
          <t>难度3</t>
        </is>
      </c>
      <c r="D92" t="inlineStr">
        <is>
          <t>难度3-层228</t>
        </is>
      </c>
      <c r="F92" t="inlineStr">
        <is>
          <t>Boss</t>
        </is>
      </c>
      <c r="G92" t="n">
        <v>279</v>
      </c>
      <c r="I92" t="n">
        <v>279</v>
      </c>
      <c r="J92" t="n">
        <v>318</v>
      </c>
      <c r="K92" s="83" t="n">
        <v>2.4335915893</v>
      </c>
      <c r="L92" s="83" t="n">
        <v>1.8111579582</v>
      </c>
      <c r="M92" s="83" t="n">
        <v>1</v>
      </c>
      <c r="N92" t="n">
        <v>1</v>
      </c>
      <c r="O92" t="n">
        <v>1</v>
      </c>
      <c r="P92" s="17" t="n">
        <v>325.609860217274</v>
      </c>
      <c r="Q92" s="21">
        <f>IF($I92="","",IFERROR(INDEX(_玩家曲线!$H$2:$H$286,MATCH($I92,_玩家曲线!$A$2:$A$286,0)),""))</f>
        <v/>
      </c>
      <c r="R92" s="21">
        <f>IF($I92="","",IFERROR(INDEX(_玩家曲线!$I$2:$I$286,MATCH($I92,_玩家曲线!$A$2:$A$286,0)),""))</f>
        <v/>
      </c>
      <c r="S92" s="21">
        <f>IF(OR($J92="",$F92="不适用"),"",IFERROR(INDEX(_怪物模型!$D$2:$D$4501,(INT($J92)-1)*ROWS(_怪物类型!$A$2:$A$10)+MATCH($F92,_怪物类型!$A$2:$A$10,0))*IF($K92="",1,$K92),""))</f>
        <v/>
      </c>
      <c r="T92" s="21">
        <f>IF(OR($J92="",$F92="不适用"),"",IFERROR(INDEX(_怪物模型!$E$2:$E$4501,(INT($J92)-1)*ROWS(_怪物类型!$A$2:$A$10)+MATCH($F92,_怪物类型!$A$2:$A$10,0))*IF($L92="",1,$L92),""))</f>
        <v/>
      </c>
      <c r="U92" s="21">
        <f>IF(OR($J92="",$F92="不适用"),"",IFERROR(INDEX(_怪物模型!$F$2:$F$4501,(INT($J92)-1)*ROWS(_怪物类型!$A$2:$A$10)+MATCH($F92,_怪物类型!$A$2:$A$10,0))*IF($M92="",1,$M92),""))</f>
        <v/>
      </c>
      <c r="V92" s="84">
        <f>IF($U92="","",MIN(0.75,$U92/($U92+24000)))</f>
        <v/>
      </c>
      <c r="W92" s="21">
        <f>IF($S92="","",$S92/(1-$V92)*IF($N92="",1,$N92))</f>
        <v/>
      </c>
      <c r="X92" s="17">
        <f>IF(OR($W92="",$Q92="",$Q92=0),"",$W92/$Q92)</f>
        <v/>
      </c>
      <c r="Y92" s="17">
        <f>IF(OR($R92="",$T92="",$T92=0),"",$R92/($T92*IF($O92="",1,$O92)))</f>
        <v/>
      </c>
      <c r="Z92" s="17">
        <f>IF(OR($X92="",$P92="",$P92=0),"",$X92/$P92)</f>
        <v/>
      </c>
      <c r="AA92">
        <f>IF($J92="","待填怪物等级",IF(OR($I92="",$Q92=""),"待填对照关卡",IF($P92="","已计算",IF(AND($Y92&lt;&gt;"",$Y92&lt;$X92),"生存不成立",IF($Z92&lt;0.5,"碾压",IF($Z92&lt;0.8,"偏简单",IF($Z92&lt;=1.2,"适中",IF($Z92&lt;=1.5,"偏难","过难"))))))))</f>
        <v/>
      </c>
      <c r="AB92">
        <f>IF($J92="","待填",IF(AND(ISNUMBER($J92),$J92&gt;=1,$J92&lt;=500,MOD($J92,1)=0),"有效","超范围"))</f>
        <v/>
      </c>
      <c r="AC92">
        <f>IF(C92&lt;&gt;C91,"新玩法组",IF(J92&gt;=J91,"不降","回退"))</f>
        <v/>
      </c>
      <c r="AD92" t="inlineStr">
        <is>
          <t>等效进度估算S278，非解锁/首通节点；旧Lv460→472；NR_Layer 228 / 修正ID 2001｜2026-09-14 30层结构难度重设计：目标TTK/存活档内线性爬坡（整体约+25%），J等级与对照G不变；AE按60s/20s反查，无解封顶1,600,000。｜2026-09-14 等级带重排：J=386（200→400档内插值），目标曲线沿用30层重设计，K/L按新等级重拟合。｜2026-09-14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92" s="4" t="n">
        <v>1600000</v>
      </c>
      <c r="AF92" s="4">
        <f>INDEX(_统一战力!$B$2:$B$501,J92)</f>
        <v/>
      </c>
      <c r="AG92" t="n">
        <v>2001</v>
      </c>
      <c r="AH92" t="n">
        <v>228</v>
      </c>
      <c r="AI92" t="n">
        <v>3</v>
      </c>
    </row>
    <row r="93">
      <c r="A93" t="inlineStr">
        <is>
          <t>当前源表</t>
        </is>
      </c>
      <c r="B93" t="inlineStr">
        <is>
          <t>无限之旅</t>
        </is>
      </c>
      <c r="C93" t="inlineStr">
        <is>
          <t>难度3</t>
        </is>
      </c>
      <c r="D93" t="inlineStr">
        <is>
          <t>难度3-层229</t>
        </is>
      </c>
      <c r="F93" t="inlineStr">
        <is>
          <t>Boss</t>
        </is>
      </c>
      <c r="G93" t="n">
        <v>279</v>
      </c>
      <c r="I93" t="n">
        <v>279</v>
      </c>
      <c r="J93" t="n">
        <v>324</v>
      </c>
      <c r="K93" s="83" t="n">
        <v>2.3131735161</v>
      </c>
      <c r="L93" s="83" t="n">
        <v>1.7703363161</v>
      </c>
      <c r="M93" s="83" t="n">
        <v>1</v>
      </c>
      <c r="N93" t="n">
        <v>1</v>
      </c>
      <c r="O93" t="n">
        <v>1</v>
      </c>
      <c r="P93" s="17" t="n">
        <v>335.258303543846</v>
      </c>
      <c r="Q93" s="21">
        <f>IF($I93="","",IFERROR(INDEX(_玩家曲线!$H$2:$H$286,MATCH($I93,_玩家曲线!$A$2:$A$286,0)),""))</f>
        <v/>
      </c>
      <c r="R93" s="21">
        <f>IF($I93="","",IFERROR(INDEX(_玩家曲线!$I$2:$I$286,MATCH($I93,_玩家曲线!$A$2:$A$286,0)),""))</f>
        <v/>
      </c>
      <c r="S93" s="21">
        <f>IF(OR($J93="",$F93="不适用"),"",IFERROR(INDEX(_怪物模型!$D$2:$D$4501,(INT($J93)-1)*ROWS(_怪物类型!$A$2:$A$10)+MATCH($F93,_怪物类型!$A$2:$A$10,0))*IF($K93="",1,$K93),""))</f>
        <v/>
      </c>
      <c r="T93" s="21">
        <f>IF(OR($J93="",$F93="不适用"),"",IFERROR(INDEX(_怪物模型!$E$2:$E$4501,(INT($J93)-1)*ROWS(_怪物类型!$A$2:$A$10)+MATCH($F93,_怪物类型!$A$2:$A$10,0))*IF($L93="",1,$L93),""))</f>
        <v/>
      </c>
      <c r="U93" s="21">
        <f>IF(OR($J93="",$F93="不适用"),"",IFERROR(INDEX(_怪物模型!$F$2:$F$4501,(INT($J93)-1)*ROWS(_怪物类型!$A$2:$A$10)+MATCH($F93,_怪物类型!$A$2:$A$10,0))*IF($M93="",1,$M93),""))</f>
        <v/>
      </c>
      <c r="V93" s="84">
        <f>IF($U93="","",MIN(0.75,$U93/($U93+24000)))</f>
        <v/>
      </c>
      <c r="W93" s="21">
        <f>IF($S93="","",$S93/(1-$V93)*IF($N93="",1,$N93))</f>
        <v/>
      </c>
      <c r="X93" s="17">
        <f>IF(OR($W93="",$Q93="",$Q93=0),"",$W93/$Q93)</f>
        <v/>
      </c>
      <c r="Y93" s="17">
        <f>IF(OR($R93="",$T93="",$T93=0),"",$R93/($T93*IF($O93="",1,$O93)))</f>
        <v/>
      </c>
      <c r="Z93" s="17">
        <f>IF(OR($X93="",$P93="",$P93=0),"",$X93/$P93)</f>
        <v/>
      </c>
      <c r="AA93">
        <f>IF($J93="","待填怪物等级",IF(OR($I93="",$Q93=""),"待填对照关卡",IF($P93="","已计算",IF(AND($Y93&lt;&gt;"",$Y93&lt;$X93),"生存不成立",IF($Z93&lt;0.5,"碾压",IF($Z93&lt;0.8,"偏简单",IF($Z93&lt;=1.2,"适中",IF($Z93&lt;=1.5,"偏难","过难"))))))))</f>
        <v/>
      </c>
      <c r="AB93">
        <f>IF($J93="","待填",IF(AND(ISNUMBER($J93),$J93&gt;=1,$J93&lt;=500,MOD($J93,1)=0),"有效","超范围"))</f>
        <v/>
      </c>
      <c r="AC93">
        <f>IF(C93&lt;&gt;C92,"新玩法组",IF(J93&gt;=J92,"不降","回退"))</f>
        <v/>
      </c>
      <c r="AD93" t="inlineStr">
        <is>
          <t>等效进度估算S278，非解锁/首通节点；旧Lv463→475；NR_Layer 229 / 修正ID 2001｜2026-09-14 30层结构难度重设计：目标TTK/存活档内线性爬坡（整体约+25%），J等级与对照G不变；AE按60s/20s反查，无解封顶1,600,000。｜2026-09-14 等级带重排：J=393（200→400档内插值），目标曲线沿用30层重设计，K/L按新等级重拟合。｜2026-09-14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93" s="4" t="n">
        <v>1600000</v>
      </c>
      <c r="AF93" s="4">
        <f>INDEX(_统一战力!$B$2:$B$501,J93)</f>
        <v/>
      </c>
      <c r="AG93" t="n">
        <v>2001</v>
      </c>
      <c r="AH93" t="n">
        <v>229</v>
      </c>
      <c r="AI93" t="n">
        <v>3</v>
      </c>
    </row>
    <row r="94">
      <c r="A94" t="inlineStr">
        <is>
          <t>当前源表</t>
        </is>
      </c>
      <c r="B94" t="inlineStr">
        <is>
          <t>无限之旅</t>
        </is>
      </c>
      <c r="C94" t="inlineStr">
        <is>
          <t>难度3</t>
        </is>
      </c>
      <c r="D94" t="inlineStr">
        <is>
          <t>难度3-层230</t>
        </is>
      </c>
      <c r="F94" t="inlineStr">
        <is>
          <t>Boss</t>
        </is>
      </c>
      <c r="G94" t="n">
        <v>279</v>
      </c>
      <c r="I94" t="n">
        <v>279</v>
      </c>
      <c r="J94" t="n">
        <v>330</v>
      </c>
      <c r="K94" s="83" t="n">
        <v>2.1993437834</v>
      </c>
      <c r="L94" s="83" t="n">
        <v>1.7314776626</v>
      </c>
      <c r="M94" s="83" t="n">
        <v>1</v>
      </c>
      <c r="N94" t="n">
        <v>1</v>
      </c>
      <c r="O94" t="n">
        <v>1</v>
      </c>
      <c r="P94" s="17" t="n">
        <v>341.824423917313</v>
      </c>
      <c r="Q94" s="21">
        <f>IF($I94="","",IFERROR(INDEX(_玩家曲线!$H$2:$H$286,MATCH($I94,_玩家曲线!$A$2:$A$286,0)),""))</f>
        <v/>
      </c>
      <c r="R94" s="21">
        <f>IF($I94="","",IFERROR(INDEX(_玩家曲线!$I$2:$I$286,MATCH($I94,_玩家曲线!$A$2:$A$286,0)),""))</f>
        <v/>
      </c>
      <c r="S94" s="21">
        <f>IF(OR($J94="",$F94="不适用"),"",IFERROR(INDEX(_怪物模型!$D$2:$D$4501,(INT($J94)-1)*ROWS(_怪物类型!$A$2:$A$10)+MATCH($F94,_怪物类型!$A$2:$A$10,0))*IF($K94="",1,$K94),""))</f>
        <v/>
      </c>
      <c r="T94" s="21">
        <f>IF(OR($J94="",$F94="不适用"),"",IFERROR(INDEX(_怪物模型!$E$2:$E$4501,(INT($J94)-1)*ROWS(_怪物类型!$A$2:$A$10)+MATCH($F94,_怪物类型!$A$2:$A$10,0))*IF($L94="",1,$L94),""))</f>
        <v/>
      </c>
      <c r="U94" s="21">
        <f>IF(OR($J94="",$F94="不适用"),"",IFERROR(INDEX(_怪物模型!$F$2:$F$4501,(INT($J94)-1)*ROWS(_怪物类型!$A$2:$A$10)+MATCH($F94,_怪物类型!$A$2:$A$10,0))*IF($M94="",1,$M94),""))</f>
        <v/>
      </c>
      <c r="V94" s="84">
        <f>IF($U94="","",MIN(0.75,$U94/($U94+24000)))</f>
        <v/>
      </c>
      <c r="W94" s="21">
        <f>IF($S94="","",$S94/(1-$V94)*IF($N94="",1,$N94))</f>
        <v/>
      </c>
      <c r="X94" s="17">
        <f>IF(OR($W94="",$Q94="",$Q94=0),"",$W94/$Q94)</f>
        <v/>
      </c>
      <c r="Y94" s="17">
        <f>IF(OR($R94="",$T94="",$T94=0),"",$R94/($T94*IF($O94="",1,$O94)))</f>
        <v/>
      </c>
      <c r="Z94" s="17">
        <f>IF(OR($X94="",$P94="",$P94=0),"",$X94/$P94)</f>
        <v/>
      </c>
      <c r="AA94">
        <f>IF($J94="","待填怪物等级",IF(OR($I94="",$Q94=""),"待填对照关卡",IF($P94="","已计算",IF(AND($Y94&lt;&gt;"",$Y94&lt;$X94),"生存不成立",IF($Z94&lt;0.5,"碾压",IF($Z94&lt;0.8,"偏简单",IF($Z94&lt;=1.2,"适中",IF($Z94&lt;=1.5,"偏难","过难"))))))))</f>
        <v/>
      </c>
      <c r="AB94">
        <f>IF($J94="","待填",IF(AND(ISNUMBER($J94),$J94&gt;=1,$J94&lt;=500,MOD($J94,1)=0),"有效","超范围"))</f>
        <v/>
      </c>
      <c r="AC94">
        <f>IF(C94&lt;&gt;C93,"新玩法组",IF(J94&gt;=J93,"不降","回退"))</f>
        <v/>
      </c>
      <c r="AD94" t="inlineStr">
        <is>
          <t>等效进度估算S278，非解锁/首通节点；旧Lv465→477；NR_Layer 230 / 修正ID 2001｜2026-09-14 30层结构难度重设计：目标TTK/存活档内线性爬坡（整体约+25%），J等级与对照G不变；AE按60s/20s反查，无解封顶1,600,000。｜2026-09-14 等级带重排：J=400（200→400档内插值），目标曲线沿用30层重设计，K/L按新等级重拟合。｜2026-09-14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94" s="4" t="n">
        <v>1600000</v>
      </c>
      <c r="AF94" s="4">
        <f>INDEX(_统一战力!$B$2:$B$501,J94)</f>
        <v/>
      </c>
      <c r="AG94" t="n">
        <v>2001</v>
      </c>
      <c r="AH94" t="n">
        <v>230</v>
      </c>
      <c r="AI94" t="n">
        <v>3</v>
      </c>
    </row>
    <row r="95">
      <c r="A95" t="inlineStr">
        <is>
          <t>当前源表</t>
        </is>
      </c>
      <c r="B95" t="inlineStr">
        <is>
          <t>无限之旅</t>
        </is>
      </c>
      <c r="C95" t="inlineStr">
        <is>
          <t>难度4</t>
        </is>
      </c>
      <c r="D95" t="inlineStr">
        <is>
          <t>难度4-层301</t>
        </is>
      </c>
      <c r="F95" t="inlineStr">
        <is>
          <t>Boss</t>
        </is>
      </c>
      <c r="G95" t="n">
        <v>279</v>
      </c>
      <c r="I95" t="n">
        <v>279</v>
      </c>
      <c r="J95" t="n">
        <v>200</v>
      </c>
      <c r="K95" s="83" t="n">
        <v>8.279238470299999</v>
      </c>
      <c r="L95" s="83" t="n">
        <v>3.3652817216</v>
      </c>
      <c r="M95" s="83" t="n">
        <v>1</v>
      </c>
      <c r="N95" t="n">
        <v>1</v>
      </c>
      <c r="O95" t="n">
        <v>1</v>
      </c>
      <c r="P95" s="17" t="n">
        <v>351.891941353229</v>
      </c>
      <c r="Q95" s="21">
        <f>IF($I95="","",IFERROR(INDEX(_玩家曲线!$H$2:$H$286,MATCH($I95,_玩家曲线!$A$2:$A$286,0)),""))</f>
        <v/>
      </c>
      <c r="R95" s="21">
        <f>IF($I95="","",IFERROR(INDEX(_玩家曲线!$I$2:$I$286,MATCH($I95,_玩家曲线!$A$2:$A$286,0)),""))</f>
        <v/>
      </c>
      <c r="S95" s="21">
        <f>IF(OR($J95="",$F95="不适用"),"",IFERROR(INDEX(_怪物模型!$D$2:$D$4501,(INT($J95)-1)*ROWS(_怪物类型!$A$2:$A$10)+MATCH($F95,_怪物类型!$A$2:$A$10,0))*IF($K95="",1,$K95),""))</f>
        <v/>
      </c>
      <c r="T95" s="21">
        <f>IF(OR($J95="",$F95="不适用"),"",IFERROR(INDEX(_怪物模型!$E$2:$E$4501,(INT($J95)-1)*ROWS(_怪物类型!$A$2:$A$10)+MATCH($F95,_怪物类型!$A$2:$A$10,0))*IF($L95="",1,$L95),""))</f>
        <v/>
      </c>
      <c r="U95" s="21">
        <f>IF(OR($J95="",$F95="不适用"),"",IFERROR(INDEX(_怪物模型!$F$2:$F$4501,(INT($J95)-1)*ROWS(_怪物类型!$A$2:$A$10)+MATCH($F95,_怪物类型!$A$2:$A$10,0))*IF($M95="",1,$M95),""))</f>
        <v/>
      </c>
      <c r="V95" s="84">
        <f>IF($U95="","",MIN(0.75,$U95/($U95+24000)))</f>
        <v/>
      </c>
      <c r="W95" s="21">
        <f>IF($S95="","",$S95/(1-$V95)*IF($N95="",1,$N95))</f>
        <v/>
      </c>
      <c r="X95" s="17">
        <f>IF(OR($W95="",$Q95="",$Q95=0),"",$W95/$Q95)</f>
        <v/>
      </c>
      <c r="Y95" s="17">
        <f>IF(OR($R95="",$T95="",$T95=0),"",$R95/($T95*IF($O95="",1,$O95)))</f>
        <v/>
      </c>
      <c r="Z95" s="17">
        <f>IF(OR($X95="",$P95="",$P95=0),"",$X95/$P95)</f>
        <v/>
      </c>
      <c r="AA95">
        <f>IF($J95="","待填怪物等级",IF(OR($I95="",$Q95=""),"待填对照关卡",IF($P95="","已计算",IF(AND($Y95&lt;&gt;"",$Y95&lt;$X95),"生存不成立",IF($Z95&lt;0.5,"碾压",IF($Z95&lt;0.8,"偏简单",IF($Z95&lt;=1.2,"适中",IF($Z95&lt;=1.5,"偏难","过难"))))))))</f>
        <v/>
      </c>
      <c r="AB95">
        <f>IF($J95="","待填",IF(AND(ISNUMBER($J95),$J95&gt;=1,$J95&lt;=500,MOD($J95,1)=0),"有效","超范围"))</f>
        <v/>
      </c>
      <c r="AC95">
        <f>IF(C95&lt;&gt;C94,"新玩法组",IF(J95&gt;=J94,"不降","回退"))</f>
        <v/>
      </c>
      <c r="AD95" t="inlineStr">
        <is>
          <t>等效进度估算S278，非解锁/首通节点；旧Lv468→480；NR_Layer 301 / 修正ID 2001｜2026-09-14 30层结构难度重设计：目标TTK/存活档内线性爬坡（整体约+25%），J等级与对照G不变；AE按60s/20s反查，无解封顶1,600,000。｜2026-09-14 等级带重排：J=240（240→500档内插值），目标曲线沿用30层重设计，K/L按新等级重拟合。｜2026-09-14 显示调整：NR_Difficult.Recommend 改按放宽口径(120s/15s)显示，难度字段与AE不变。｜2026-09-14 显示口径v2（用户指正不能按层1）：NR_Difficult显示=本难度60s口径最深可解层推荐（无可解层→1,600,000），难度字段不变。｜2026-09-14 显示口径v3（用户定档）：NR_Difficult显示=本难度第6/9/12/15层的AE（层15=1,600,000）。｜2026-09-14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K/L重拟合：新等级带上按@278目标TTK/存活重定系数，难度实质大幅下调。｜2026-09-14 显示口径v4（用户调低D2/D3）：封顶1,600,000。</t>
        </is>
      </c>
      <c r="AE95" s="4" t="n">
        <v>1600000</v>
      </c>
      <c r="AF95" s="4">
        <f>INDEX(_统一战力!$B$2:$B$501,J95)</f>
        <v/>
      </c>
      <c r="AG95" t="n">
        <v>2001</v>
      </c>
      <c r="AH95" t="n">
        <v>301</v>
      </c>
      <c r="AI95" t="n">
        <v>4</v>
      </c>
    </row>
    <row r="96">
      <c r="A96" t="inlineStr">
        <is>
          <t>当前源表</t>
        </is>
      </c>
      <c r="B96" t="inlineStr">
        <is>
          <t>无限之旅</t>
        </is>
      </c>
      <c r="C96" t="inlineStr">
        <is>
          <t>难度4</t>
        </is>
      </c>
      <c r="D96" t="inlineStr">
        <is>
          <t>难度4-层302</t>
        </is>
      </c>
      <c r="F96" t="inlineStr">
        <is>
          <t>Boss</t>
        </is>
      </c>
      <c r="G96" t="n">
        <v>279</v>
      </c>
      <c r="I96" t="n">
        <v>279</v>
      </c>
      <c r="J96" t="n">
        <v>209</v>
      </c>
      <c r="K96" s="83" t="n">
        <v>7.5482232812</v>
      </c>
      <c r="L96" s="83" t="n">
        <v>3.1626273694</v>
      </c>
      <c r="M96" s="83" t="n">
        <v>1</v>
      </c>
      <c r="N96" t="n">
        <v>1</v>
      </c>
      <c r="O96" t="n">
        <v>1</v>
      </c>
      <c r="P96" s="17" t="n">
        <v>362.210048664639</v>
      </c>
      <c r="Q96" s="21">
        <f>IF($I96="","",IFERROR(INDEX(_玩家曲线!$H$2:$H$286,MATCH($I96,_玩家曲线!$A$2:$A$286,0)),""))</f>
        <v/>
      </c>
      <c r="R96" s="21">
        <f>IF($I96="","",IFERROR(INDEX(_玩家曲线!$I$2:$I$286,MATCH($I96,_玩家曲线!$A$2:$A$286,0)),""))</f>
        <v/>
      </c>
      <c r="S96" s="21">
        <f>IF(OR($J96="",$F96="不适用"),"",IFERROR(INDEX(_怪物模型!$D$2:$D$4501,(INT($J96)-1)*ROWS(_怪物类型!$A$2:$A$10)+MATCH($F96,_怪物类型!$A$2:$A$10,0))*IF($K96="",1,$K96),""))</f>
        <v/>
      </c>
      <c r="T96" s="21">
        <f>IF(OR($J96="",$F96="不适用"),"",IFERROR(INDEX(_怪物模型!$E$2:$E$4501,(INT($J96)-1)*ROWS(_怪物类型!$A$2:$A$10)+MATCH($F96,_怪物类型!$A$2:$A$10,0))*IF($L96="",1,$L96),""))</f>
        <v/>
      </c>
      <c r="U96" s="21">
        <f>IF(OR($J96="",$F96="不适用"),"",IFERROR(INDEX(_怪物模型!$F$2:$F$4501,(INT($J96)-1)*ROWS(_怪物类型!$A$2:$A$10)+MATCH($F96,_怪物类型!$A$2:$A$10,0))*IF($M96="",1,$M96),""))</f>
        <v/>
      </c>
      <c r="V96" s="84">
        <f>IF($U96="","",MIN(0.75,$U96/($U96+24000)))</f>
        <v/>
      </c>
      <c r="W96" s="21">
        <f>IF($S96="","",$S96/(1-$V96)*IF($N96="",1,$N96))</f>
        <v/>
      </c>
      <c r="X96" s="17">
        <f>IF(OR($W96="",$Q96="",$Q96=0),"",$W96/$Q96)</f>
        <v/>
      </c>
      <c r="Y96" s="17">
        <f>IF(OR($R96="",$T96="",$T96=0),"",$R96/($T96*IF($O96="",1,$O96)))</f>
        <v/>
      </c>
      <c r="Z96" s="17">
        <f>IF(OR($X96="",$P96="",$P96=0),"",$X96/$P96)</f>
        <v/>
      </c>
      <c r="AA96">
        <f>IF($J96="","待填怪物等级",IF(OR($I96="",$Q96=""),"待填对照关卡",IF($P96="","已计算",IF(AND($Y96&lt;&gt;"",$Y96&lt;$X96),"生存不成立",IF($Z96&lt;0.5,"碾压",IF($Z96&lt;0.8,"偏简单",IF($Z96&lt;=1.2,"适中",IF($Z96&lt;=1.5,"偏难","过难"))))))))</f>
        <v/>
      </c>
      <c r="AB96">
        <f>IF($J96="","待填",IF(AND(ISNUMBER($J96),$J96&gt;=1,$J96&lt;=500,MOD($J96,1)=0),"有效","超范围"))</f>
        <v/>
      </c>
      <c r="AC96">
        <f>IF(C96&lt;&gt;C95,"新玩法组",IF(J96&gt;=J95,"不降","回退"))</f>
        <v/>
      </c>
      <c r="AD96" t="inlineStr">
        <is>
          <t>等效进度估算S278，非解锁/首通节点；旧Lv471→483；NR_Layer 302 / 修正ID 2001｜2026-09-14 30层结构难度重设计：目标TTK/存活档内线性爬坡（整体约+25%），J等级与对照G不变；AE按60s/20s反查，无解封顶1,600,000。｜2026-09-14 等级带重排：J=249（240→500档内插值），目标曲线沿用30层重设计，K/L按新等级重拟合。｜2026-09-14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96" s="4" t="n">
        <v>1600000</v>
      </c>
      <c r="AF96" s="4">
        <f>INDEX(_统一战力!$B$2:$B$501,J96)</f>
        <v/>
      </c>
      <c r="AG96" t="n">
        <v>2001</v>
      </c>
      <c r="AH96" t="n">
        <v>302</v>
      </c>
      <c r="AI96" t="n">
        <v>4</v>
      </c>
    </row>
    <row r="97">
      <c r="A97" t="inlineStr">
        <is>
          <t>当前源表</t>
        </is>
      </c>
      <c r="B97" t="inlineStr">
        <is>
          <t>无限之旅</t>
        </is>
      </c>
      <c r="C97" t="inlineStr">
        <is>
          <t>难度4</t>
        </is>
      </c>
      <c r="D97" t="inlineStr">
        <is>
          <t>难度4-层303</t>
        </is>
      </c>
      <c r="F97" t="inlineStr">
        <is>
          <t>Boss</t>
        </is>
      </c>
      <c r="G97" t="n">
        <v>279</v>
      </c>
      <c r="I97" t="n">
        <v>279</v>
      </c>
      <c r="J97" t="n">
        <v>217</v>
      </c>
      <c r="K97" s="83" t="n">
        <v>6.9957296097</v>
      </c>
      <c r="L97" s="83" t="n">
        <v>3.0021528061</v>
      </c>
      <c r="M97" s="83" t="n">
        <v>1</v>
      </c>
      <c r="N97" t="n">
        <v>1</v>
      </c>
      <c r="O97" t="n">
        <v>1</v>
      </c>
      <c r="P97" s="17" t="n">
        <v>369.240149100582</v>
      </c>
      <c r="Q97" s="21">
        <f>IF($I97="","",IFERROR(INDEX(_玩家曲线!$H$2:$H$286,MATCH($I97,_玩家曲线!$A$2:$A$286,0)),""))</f>
        <v/>
      </c>
      <c r="R97" s="21">
        <f>IF($I97="","",IFERROR(INDEX(_玩家曲线!$I$2:$I$286,MATCH($I97,_玩家曲线!$A$2:$A$286,0)),""))</f>
        <v/>
      </c>
      <c r="S97" s="21">
        <f>IF(OR($J97="",$F97="不适用"),"",IFERROR(INDEX(_怪物模型!$D$2:$D$4501,(INT($J97)-1)*ROWS(_怪物类型!$A$2:$A$10)+MATCH($F97,_怪物类型!$A$2:$A$10,0))*IF($K97="",1,$K97),""))</f>
        <v/>
      </c>
      <c r="T97" s="21">
        <f>IF(OR($J97="",$F97="不适用"),"",IFERROR(INDEX(_怪物模型!$E$2:$E$4501,(INT($J97)-1)*ROWS(_怪物类型!$A$2:$A$10)+MATCH($F97,_怪物类型!$A$2:$A$10,0))*IF($L97="",1,$L97),""))</f>
        <v/>
      </c>
      <c r="U97" s="21">
        <f>IF(OR($J97="",$F97="不适用"),"",IFERROR(INDEX(_怪物模型!$F$2:$F$4501,(INT($J97)-1)*ROWS(_怪物类型!$A$2:$A$10)+MATCH($F97,_怪物类型!$A$2:$A$10,0))*IF($M97="",1,$M97),""))</f>
        <v/>
      </c>
      <c r="V97" s="84">
        <f>IF($U97="","",MIN(0.75,$U97/($U97+24000)))</f>
        <v/>
      </c>
      <c r="W97" s="21">
        <f>IF($S97="","",$S97/(1-$V97)*IF($N97="",1,$N97))</f>
        <v/>
      </c>
      <c r="X97" s="17">
        <f>IF(OR($W97="",$Q97="",$Q97=0),"",$W97/$Q97)</f>
        <v/>
      </c>
      <c r="Y97" s="17">
        <f>IF(OR($R97="",$T97="",$T97=0),"",$R97/($T97*IF($O97="",1,$O97)))</f>
        <v/>
      </c>
      <c r="Z97" s="17">
        <f>IF(OR($X97="",$P97="",$P97=0),"",$X97/$P97)</f>
        <v/>
      </c>
      <c r="AA97">
        <f>IF($J97="","待填怪物等级",IF(OR($I97="",$Q97=""),"待填对照关卡",IF($P97="","已计算",IF(AND($Y97&lt;&gt;"",$Y97&lt;$X97),"生存不成立",IF($Z97&lt;0.5,"碾压",IF($Z97&lt;0.8,"偏简单",IF($Z97&lt;=1.2,"适中",IF($Z97&lt;=1.5,"偏难","过难"))))))))</f>
        <v/>
      </c>
      <c r="AB97">
        <f>IF($J97="","待填",IF(AND(ISNUMBER($J97),$J97&gt;=1,$J97&lt;=500,MOD($J97,1)=0),"有效","超范围"))</f>
        <v/>
      </c>
      <c r="AC97">
        <f>IF(C97&lt;&gt;C96,"新玩法组",IF(J97&gt;=J96,"不降","回退"))</f>
        <v/>
      </c>
      <c r="AD97" t="inlineStr">
        <is>
          <t>等效进度估算S278，非解锁/首通节点；旧Lv473→485；NR_Layer 303 / 修正ID 2001｜2026-09-14 30层结构难度重设计：目标TTK/存活档内线性爬坡（整体约+25%），J等级与对照G不变；AE按60s/20s反查，无解封顶1,600,000。｜2026-09-14 等级带重排：J=258（240→500档内插值），目标曲线沿用30层重设计，K/L按新等级重拟合。｜2026-09-14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97" s="4" t="n">
        <v>1600000</v>
      </c>
      <c r="AF97" s="4">
        <f>INDEX(_统一战力!$B$2:$B$501,J97)</f>
        <v/>
      </c>
      <c r="AG97" t="n">
        <v>2001</v>
      </c>
      <c r="AH97" t="n">
        <v>303</v>
      </c>
      <c r="AI97" t="n">
        <v>4</v>
      </c>
    </row>
    <row r="98">
      <c r="A98" t="inlineStr">
        <is>
          <t>当前源表</t>
        </is>
      </c>
      <c r="B98" t="inlineStr">
        <is>
          <t>无限之旅</t>
        </is>
      </c>
      <c r="C98" t="inlineStr">
        <is>
          <t>难度4</t>
        </is>
      </c>
      <c r="D98" t="inlineStr">
        <is>
          <t>难度4-层304</t>
        </is>
      </c>
      <c r="F98" t="inlineStr">
        <is>
          <t>Boss</t>
        </is>
      </c>
      <c r="G98" t="n">
        <v>279</v>
      </c>
      <c r="I98" t="n">
        <v>279</v>
      </c>
      <c r="J98" t="n">
        <v>226</v>
      </c>
      <c r="K98" s="83" t="n">
        <v>6.3922235511</v>
      </c>
      <c r="L98" s="83" t="n">
        <v>2.8318574766</v>
      </c>
      <c r="M98" s="83" t="n">
        <v>1</v>
      </c>
      <c r="N98" t="n">
        <v>1</v>
      </c>
      <c r="O98" t="n">
        <v>1</v>
      </c>
      <c r="P98" s="17" t="n">
        <v>380.00724143374</v>
      </c>
      <c r="Q98" s="21">
        <f>IF($I98="","",IFERROR(INDEX(_玩家曲线!$H$2:$H$286,MATCH($I98,_玩家曲线!$A$2:$A$286,0)),""))</f>
        <v/>
      </c>
      <c r="R98" s="21">
        <f>IF($I98="","",IFERROR(INDEX(_玩家曲线!$I$2:$I$286,MATCH($I98,_玩家曲线!$A$2:$A$286,0)),""))</f>
        <v/>
      </c>
      <c r="S98" s="21">
        <f>IF(OR($J98="",$F98="不适用"),"",IFERROR(INDEX(_怪物模型!$D$2:$D$4501,(INT($J98)-1)*ROWS(_怪物类型!$A$2:$A$10)+MATCH($F98,_怪物类型!$A$2:$A$10,0))*IF($K98="",1,$K98),""))</f>
        <v/>
      </c>
      <c r="T98" s="21">
        <f>IF(OR($J98="",$F98="不适用"),"",IFERROR(INDEX(_怪物模型!$E$2:$E$4501,(INT($J98)-1)*ROWS(_怪物类型!$A$2:$A$10)+MATCH($F98,_怪物类型!$A$2:$A$10,0))*IF($L98="",1,$L98),""))</f>
        <v/>
      </c>
      <c r="U98" s="21">
        <f>IF(OR($J98="",$F98="不适用"),"",IFERROR(INDEX(_怪物模型!$F$2:$F$4501,(INT($J98)-1)*ROWS(_怪物类型!$A$2:$A$10)+MATCH($F98,_怪物类型!$A$2:$A$10,0))*IF($M98="",1,$M98),""))</f>
        <v/>
      </c>
      <c r="V98" s="84">
        <f>IF($U98="","",MIN(0.75,$U98/($U98+24000)))</f>
        <v/>
      </c>
      <c r="W98" s="21">
        <f>IF($S98="","",$S98/(1-$V98)*IF($N98="",1,$N98))</f>
        <v/>
      </c>
      <c r="X98" s="17">
        <f>IF(OR($W98="",$Q98="",$Q98=0),"",$W98/$Q98)</f>
        <v/>
      </c>
      <c r="Y98" s="17">
        <f>IF(OR($R98="",$T98="",$T98=0),"",$R98/($T98*IF($O98="",1,$O98)))</f>
        <v/>
      </c>
      <c r="Z98" s="17">
        <f>IF(OR($X98="",$P98="",$P98=0),"",$X98/$P98)</f>
        <v/>
      </c>
      <c r="AA98">
        <f>IF($J98="","待填怪物等级",IF(OR($I98="",$Q98=""),"待填对照关卡",IF($P98="","已计算",IF(AND($Y98&lt;&gt;"",$Y98&lt;$X98),"生存不成立",IF($Z98&lt;0.5,"碾压",IF($Z98&lt;0.8,"偏简单",IF($Z98&lt;=1.2,"适中",IF($Z98&lt;=1.5,"偏难","过难"))))))))</f>
        <v/>
      </c>
      <c r="AB98">
        <f>IF($J98="","待填",IF(AND(ISNUMBER($J98),$J98&gt;=1,$J98&lt;=500,MOD($J98,1)=0),"有效","超范围"))</f>
        <v/>
      </c>
      <c r="AC98">
        <f>IF(C98&lt;&gt;C97,"新玩法组",IF(J98&gt;=J97,"不降","回退"))</f>
        <v/>
      </c>
      <c r="AD98" t="inlineStr">
        <is>
          <t>等效进度估算S278，非解锁/首通节点；旧Lv476→488；NR_Layer 304 / 修正ID 2001｜2026-09-14 30层结构难度重设计：目标TTK/存活档内线性爬坡（整体约+25%），J等级与对照G不变；AE按60s/20s反查，无解封顶1,600,000。｜2026-09-14 等级带重排：J=267（240→500档内插值），目标曲线沿用30层重设计，K/L按新等级重拟合。｜2026-09-14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98" s="4" t="n">
        <v>1600000</v>
      </c>
      <c r="AF98" s="4">
        <f>INDEX(_统一战力!$B$2:$B$501,J98)</f>
        <v/>
      </c>
      <c r="AG98" t="n">
        <v>2001</v>
      </c>
      <c r="AH98" t="n">
        <v>304</v>
      </c>
      <c r="AI98" t="n">
        <v>4</v>
      </c>
    </row>
    <row r="99">
      <c r="A99" t="inlineStr">
        <is>
          <t>当前源表</t>
        </is>
      </c>
      <c r="B99" t="inlineStr">
        <is>
          <t>无限之旅</t>
        </is>
      </c>
      <c r="C99" t="inlineStr">
        <is>
          <t>难度4</t>
        </is>
      </c>
      <c r="D99" t="inlineStr">
        <is>
          <t>难度4-层305</t>
        </is>
      </c>
      <c r="F99" t="inlineStr">
        <is>
          <t>Boss</t>
        </is>
      </c>
      <c r="G99" t="n">
        <v>279</v>
      </c>
      <c r="I99" t="n">
        <v>279</v>
      </c>
      <c r="J99" t="n">
        <v>234</v>
      </c>
      <c r="K99" s="83" t="n">
        <v>5.9331807304</v>
      </c>
      <c r="L99" s="83" t="n">
        <v>2.6965416703</v>
      </c>
      <c r="M99" s="83" t="n">
        <v>1</v>
      </c>
      <c r="N99" t="n">
        <v>1</v>
      </c>
      <c r="O99" t="n">
        <v>1</v>
      </c>
      <c r="P99" s="17" t="n">
        <v>391.045004834022</v>
      </c>
      <c r="Q99" s="21">
        <f>IF($I99="","",IFERROR(INDEX(_玩家曲线!$H$2:$H$286,MATCH($I99,_玩家曲线!$A$2:$A$286,0)),""))</f>
        <v/>
      </c>
      <c r="R99" s="21">
        <f>IF($I99="","",IFERROR(INDEX(_玩家曲线!$I$2:$I$286,MATCH($I99,_玩家曲线!$A$2:$A$286,0)),""))</f>
        <v/>
      </c>
      <c r="S99" s="21">
        <f>IF(OR($J99="",$F99="不适用"),"",IFERROR(INDEX(_怪物模型!$D$2:$D$4501,(INT($J99)-1)*ROWS(_怪物类型!$A$2:$A$10)+MATCH($F99,_怪物类型!$A$2:$A$10,0))*IF($K99="",1,$K99),""))</f>
        <v/>
      </c>
      <c r="T99" s="21">
        <f>IF(OR($J99="",$F99="不适用"),"",IFERROR(INDEX(_怪物模型!$E$2:$E$4501,(INT($J99)-1)*ROWS(_怪物类型!$A$2:$A$10)+MATCH($F99,_怪物类型!$A$2:$A$10,0))*IF($L99="",1,$L99),""))</f>
        <v/>
      </c>
      <c r="U99" s="21">
        <f>IF(OR($J99="",$F99="不适用"),"",IFERROR(INDEX(_怪物模型!$F$2:$F$4501,(INT($J99)-1)*ROWS(_怪物类型!$A$2:$A$10)+MATCH($F99,_怪物类型!$A$2:$A$10,0))*IF($M99="",1,$M99),""))</f>
        <v/>
      </c>
      <c r="V99" s="84">
        <f>IF($U99="","",MIN(0.75,$U99/($U99+24000)))</f>
        <v/>
      </c>
      <c r="W99" s="21">
        <f>IF($S99="","",$S99/(1-$V99)*IF($N99="",1,$N99))</f>
        <v/>
      </c>
      <c r="X99" s="17">
        <f>IF(OR($W99="",$Q99="",$Q99=0),"",$W99/$Q99)</f>
        <v/>
      </c>
      <c r="Y99" s="17">
        <f>IF(OR($R99="",$T99="",$T99=0),"",$R99/($T99*IF($O99="",1,$O99)))</f>
        <v/>
      </c>
      <c r="Z99" s="17">
        <f>IF(OR($X99="",$P99="",$P99=0),"",$X99/$P99)</f>
        <v/>
      </c>
      <c r="AA99">
        <f>IF($J99="","待填怪物等级",IF(OR($I99="",$Q99=""),"待填对照关卡",IF($P99="","已计算",IF(AND($Y99&lt;&gt;"",$Y99&lt;$X99),"生存不成立",IF($Z99&lt;0.5,"碾压",IF($Z99&lt;0.8,"偏简单",IF($Z99&lt;=1.2,"适中",IF($Z99&lt;=1.5,"偏难","过难"))))))))</f>
        <v/>
      </c>
      <c r="AB99">
        <f>IF($J99="","待填",IF(AND(ISNUMBER($J99),$J99&gt;=1,$J99&lt;=500,MOD($J99,1)=0),"有效","超范围"))</f>
        <v/>
      </c>
      <c r="AC99">
        <f>IF(C99&lt;&gt;C98,"新玩法组",IF(J99&gt;=J98,"不降","回退"))</f>
        <v/>
      </c>
      <c r="AD99" t="inlineStr">
        <is>
          <t>等效进度估算S278，非解锁/首通节点；旧Lv479→491；NR_Layer 305 / 修正ID 2001｜2026-09-14 30层结构难度重设计：目标TTK/存活档内线性爬坡（整体约+25%），J等级与对照G不变；AE按60s/20s反查，无解封顶1,600,000。｜2026-09-14 等级带重排：J=276（240→500档内插值），目标曲线沿用30层重设计，K/L按新等级重拟合。｜2026-09-14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99" s="4" t="n">
        <v>1600000</v>
      </c>
      <c r="AF99" s="4">
        <f>INDEX(_统一战力!$B$2:$B$501,J99)</f>
        <v/>
      </c>
      <c r="AG99" t="n">
        <v>2001</v>
      </c>
      <c r="AH99" t="n">
        <v>305</v>
      </c>
      <c r="AI99" t="n">
        <v>4</v>
      </c>
    </row>
    <row r="100">
      <c r="A100" t="inlineStr">
        <is>
          <t>当前源表</t>
        </is>
      </c>
      <c r="B100" t="inlineStr">
        <is>
          <t>无限之旅</t>
        </is>
      </c>
      <c r="C100" t="inlineStr">
        <is>
          <t>难度4</t>
        </is>
      </c>
      <c r="D100" t="inlineStr">
        <is>
          <t>难度4-层306</t>
        </is>
      </c>
      <c r="F100" t="inlineStr">
        <is>
          <t>Boss</t>
        </is>
      </c>
      <c r="G100" t="n">
        <v>279</v>
      </c>
      <c r="I100" t="n">
        <v>279</v>
      </c>
      <c r="J100" t="n">
        <v>243</v>
      </c>
      <c r="K100" s="83" t="n">
        <v>5.4327869313</v>
      </c>
      <c r="L100" s="83" t="n">
        <v>2.5517014762</v>
      </c>
      <c r="M100" s="83" t="n">
        <v>1</v>
      </c>
      <c r="N100" t="n">
        <v>1</v>
      </c>
      <c r="O100" t="n">
        <v>1</v>
      </c>
      <c r="P100" s="17" t="n">
        <v>398.562373548101</v>
      </c>
      <c r="Q100" s="21">
        <f>IF($I100="","",IFERROR(INDEX(_玩家曲线!$H$2:$H$286,MATCH($I100,_玩家曲线!$A$2:$A$286,0)),""))</f>
        <v/>
      </c>
      <c r="R100" s="21">
        <f>IF($I100="","",IFERROR(INDEX(_玩家曲线!$I$2:$I$286,MATCH($I100,_玩家曲线!$A$2:$A$286,0)),""))</f>
        <v/>
      </c>
      <c r="S100" s="21">
        <f>IF(OR($J100="",$F100="不适用"),"",IFERROR(INDEX(_怪物模型!$D$2:$D$4501,(INT($J100)-1)*ROWS(_怪物类型!$A$2:$A$10)+MATCH($F100,_怪物类型!$A$2:$A$10,0))*IF($K100="",1,$K100),""))</f>
        <v/>
      </c>
      <c r="T100" s="21">
        <f>IF(OR($J100="",$F100="不适用"),"",IFERROR(INDEX(_怪物模型!$E$2:$E$4501,(INT($J100)-1)*ROWS(_怪物类型!$A$2:$A$10)+MATCH($F100,_怪物类型!$A$2:$A$10,0))*IF($L100="",1,$L100),""))</f>
        <v/>
      </c>
      <c r="U100" s="21">
        <f>IF(OR($J100="",$F100="不适用"),"",IFERROR(INDEX(_怪物模型!$F$2:$F$4501,(INT($J100)-1)*ROWS(_怪物类型!$A$2:$A$10)+MATCH($F100,_怪物类型!$A$2:$A$10,0))*IF($M100="",1,$M100),""))</f>
        <v/>
      </c>
      <c r="V100" s="84">
        <f>IF($U100="","",MIN(0.75,$U100/($U100+24000)))</f>
        <v/>
      </c>
      <c r="W100" s="21">
        <f>IF($S100="","",$S100/(1-$V100)*IF($N100="",1,$N100))</f>
        <v/>
      </c>
      <c r="X100" s="17">
        <f>IF(OR($W100="",$Q100="",$Q100=0),"",$W100/$Q100)</f>
        <v/>
      </c>
      <c r="Y100" s="17">
        <f>IF(OR($R100="",$T100="",$T100=0),"",$R100/($T100*IF($O100="",1,$O100)))</f>
        <v/>
      </c>
      <c r="Z100" s="17">
        <f>IF(OR($X100="",$P100="",$P100=0),"",$X100/$P100)</f>
        <v/>
      </c>
      <c r="AA100">
        <f>IF($J100="","待填怪物等级",IF(OR($I100="",$Q100=""),"待填对照关卡",IF($P100="","已计算",IF(AND($Y100&lt;&gt;"",$Y100&lt;$X100),"生存不成立",IF($Z100&lt;0.5,"碾压",IF($Z100&lt;0.8,"偏简单",IF($Z100&lt;=1.2,"适中",IF($Z100&lt;=1.5,"偏难","过难"))))))))</f>
        <v/>
      </c>
      <c r="AB100">
        <f>IF($J100="","待填",IF(AND(ISNUMBER($J100),$J100&gt;=1,$J100&lt;=500,MOD($J100,1)=0),"有效","超范围"))</f>
        <v/>
      </c>
      <c r="AC100">
        <f>IF(C100&lt;&gt;C99,"新玩法组",IF(J100&gt;=J99,"不降","回退"))</f>
        <v/>
      </c>
      <c r="AD100" t="inlineStr">
        <is>
          <t>等效进度估算S278，非解锁/首通节点；旧Lv481→493；NR_Layer 306 / 修正ID 2001｜2026-09-14 30层结构难度重设计：目标TTK/存活档内线性爬坡（整体约+25%），J等级与对照G不变；AE按60s/20s反查，无解封顶1,600,000。｜2026-09-14 等级带重排：J=285（240→500档内插值），目标曲线沿用30层重设计，K/L按新等级重拟合。｜2026-09-14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100" s="4" t="n">
        <v>1600000</v>
      </c>
      <c r="AF100" s="4">
        <f>INDEX(_统一战力!$B$2:$B$501,J100)</f>
        <v/>
      </c>
      <c r="AG100" t="n">
        <v>2001</v>
      </c>
      <c r="AH100" t="n">
        <v>306</v>
      </c>
      <c r="AI100" t="n">
        <v>4</v>
      </c>
    </row>
    <row r="101">
      <c r="A101" t="inlineStr">
        <is>
          <t>当前源表</t>
        </is>
      </c>
      <c r="B101" t="inlineStr">
        <is>
          <t>无限之旅</t>
        </is>
      </c>
      <c r="C101" t="inlineStr">
        <is>
          <t>难度4</t>
        </is>
      </c>
      <c r="D101" t="inlineStr">
        <is>
          <t>难度4-层307</t>
        </is>
      </c>
      <c r="F101" t="inlineStr">
        <is>
          <t>Boss</t>
        </is>
      </c>
      <c r="G101" t="n">
        <v>279</v>
      </c>
      <c r="I101" t="n">
        <v>279</v>
      </c>
      <c r="J101" t="n">
        <v>252</v>
      </c>
      <c r="K101" s="83" t="n">
        <v>4.9804261143</v>
      </c>
      <c r="L101" s="83" t="n">
        <v>2.4184111361</v>
      </c>
      <c r="M101" s="83" t="n">
        <v>1</v>
      </c>
      <c r="N101" t="n">
        <v>1</v>
      </c>
      <c r="O101" t="n">
        <v>1</v>
      </c>
      <c r="P101" s="17" t="n">
        <v>410.071142025166</v>
      </c>
      <c r="Q101" s="21">
        <f>IF($I101="","",IFERROR(INDEX(_玩家曲线!$H$2:$H$286,MATCH($I101,_玩家曲线!$A$2:$A$286,0)),""))</f>
        <v/>
      </c>
      <c r="R101" s="21">
        <f>IF($I101="","",IFERROR(INDEX(_玩家曲线!$I$2:$I$286,MATCH($I101,_玩家曲线!$A$2:$A$286,0)),""))</f>
        <v/>
      </c>
      <c r="S101" s="21">
        <f>IF(OR($J101="",$F101="不适用"),"",IFERROR(INDEX(_怪物模型!$D$2:$D$4501,(INT($J101)-1)*ROWS(_怪物类型!$A$2:$A$10)+MATCH($F101,_怪物类型!$A$2:$A$10,0))*IF($K101="",1,$K101),""))</f>
        <v/>
      </c>
      <c r="T101" s="21">
        <f>IF(OR($J101="",$F101="不适用"),"",IFERROR(INDEX(_怪物模型!$E$2:$E$4501,(INT($J101)-1)*ROWS(_怪物类型!$A$2:$A$10)+MATCH($F101,_怪物类型!$A$2:$A$10,0))*IF($L101="",1,$L101),""))</f>
        <v/>
      </c>
      <c r="U101" s="21">
        <f>IF(OR($J101="",$F101="不适用"),"",IFERROR(INDEX(_怪物模型!$F$2:$F$4501,(INT($J101)-1)*ROWS(_怪物类型!$A$2:$A$10)+MATCH($F101,_怪物类型!$A$2:$A$10,0))*IF($M101="",1,$M101),""))</f>
        <v/>
      </c>
      <c r="V101" s="84">
        <f>IF($U101="","",MIN(0.75,$U101/($U101+24000)))</f>
        <v/>
      </c>
      <c r="W101" s="21">
        <f>IF($S101="","",$S101/(1-$V101)*IF($N101="",1,$N101))</f>
        <v/>
      </c>
      <c r="X101" s="17">
        <f>IF(OR($W101="",$Q101="",$Q101=0),"",$W101/$Q101)</f>
        <v/>
      </c>
      <c r="Y101" s="17">
        <f>IF(OR($R101="",$T101="",$T101=0),"",$R101/($T101*IF($O101="",1,$O101)))</f>
        <v/>
      </c>
      <c r="Z101" s="17">
        <f>IF(OR($X101="",$P101="",$P101=0),"",$X101/$P101)</f>
        <v/>
      </c>
      <c r="AA101">
        <f>IF($J101="","待填怪物等级",IF(OR($I101="",$Q101=""),"待填对照关卡",IF($P101="","已计算",IF(AND($Y101&lt;&gt;"",$Y101&lt;$X101),"生存不成立",IF($Z101&lt;0.5,"碾压",IF($Z101&lt;0.8,"偏简单",IF($Z101&lt;=1.2,"适中",IF($Z101&lt;=1.5,"偏难","过难"))))))))</f>
        <v/>
      </c>
      <c r="AB101">
        <f>IF($J101="","待填",IF(AND(ISNUMBER($J101),$J101&gt;=1,$J101&lt;=500,MOD($J101,1)=0),"有效","超范围"))</f>
        <v/>
      </c>
      <c r="AC101">
        <f>IF(C101&lt;&gt;C100,"新玩法组",IF(J101&gt;=J100,"不降","回退"))</f>
        <v/>
      </c>
      <c r="AD101" t="inlineStr">
        <is>
          <t>等效进度估算S278，非解锁/首通节点；旧Lv484→496；NR_Layer 307 / 修正ID 2001｜2026-09-14 30层结构难度重设计：目标TTK/存活档内线性爬坡（整体约+25%），J等级与对照G不变；AE按60s/20s反查，无解封顶1,600,000。｜2026-09-14 等级带重排：J=294（240→500档内插值），目标曲线沿用30层重设计，K/L按新等级重拟合。｜2026-09-14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101" s="4" t="n">
        <v>1600000</v>
      </c>
      <c r="AF101" s="4">
        <f>INDEX(_统一战力!$B$2:$B$501,J101)</f>
        <v/>
      </c>
      <c r="AG101" t="n">
        <v>2001</v>
      </c>
      <c r="AH101" t="n">
        <v>307</v>
      </c>
      <c r="AI101" t="n">
        <v>4</v>
      </c>
    </row>
    <row r="102">
      <c r="A102" t="inlineStr">
        <is>
          <t>当前源表</t>
        </is>
      </c>
      <c r="B102" t="inlineStr">
        <is>
          <t>无限之旅</t>
        </is>
      </c>
      <c r="C102" t="inlineStr">
        <is>
          <t>难度4</t>
        </is>
      </c>
      <c r="D102" t="inlineStr">
        <is>
          <t>难度4-层308</t>
        </is>
      </c>
      <c r="F102" t="inlineStr">
        <is>
          <t>Boss</t>
        </is>
      </c>
      <c r="G102" t="n">
        <v>279</v>
      </c>
      <c r="I102" t="n">
        <v>279</v>
      </c>
      <c r="J102" t="n">
        <v>260</v>
      </c>
      <c r="K102" s="83" t="n">
        <v>4.6334332576</v>
      </c>
      <c r="L102" s="83" t="n">
        <v>2.312240137</v>
      </c>
      <c r="M102" s="83" t="n">
        <v>1</v>
      </c>
      <c r="N102" t="n">
        <v>1</v>
      </c>
      <c r="O102" t="n">
        <v>1</v>
      </c>
      <c r="P102" s="17" t="n">
        <v>421.866759434699</v>
      </c>
      <c r="Q102" s="21">
        <f>IF($I102="","",IFERROR(INDEX(_玩家曲线!$H$2:$H$286,MATCH($I102,_玩家曲线!$A$2:$A$286,0)),""))</f>
        <v/>
      </c>
      <c r="R102" s="21">
        <f>IF($I102="","",IFERROR(INDEX(_玩家曲线!$I$2:$I$286,MATCH($I102,_玩家曲线!$A$2:$A$286,0)),""))</f>
        <v/>
      </c>
      <c r="S102" s="21">
        <f>IF(OR($J102="",$F102="不适用"),"",IFERROR(INDEX(_怪物模型!$D$2:$D$4501,(INT($J102)-1)*ROWS(_怪物类型!$A$2:$A$10)+MATCH($F102,_怪物类型!$A$2:$A$10,0))*IF($K102="",1,$K102),""))</f>
        <v/>
      </c>
      <c r="T102" s="21">
        <f>IF(OR($J102="",$F102="不适用"),"",IFERROR(INDEX(_怪物模型!$E$2:$E$4501,(INT($J102)-1)*ROWS(_怪物类型!$A$2:$A$10)+MATCH($F102,_怪物类型!$A$2:$A$10,0))*IF($L102="",1,$L102),""))</f>
        <v/>
      </c>
      <c r="U102" s="21">
        <f>IF(OR($J102="",$F102="不适用"),"",IFERROR(INDEX(_怪物模型!$F$2:$F$4501,(INT($J102)-1)*ROWS(_怪物类型!$A$2:$A$10)+MATCH($F102,_怪物类型!$A$2:$A$10,0))*IF($M102="",1,$M102),""))</f>
        <v/>
      </c>
      <c r="V102" s="84">
        <f>IF($U102="","",MIN(0.75,$U102/($U102+24000)))</f>
        <v/>
      </c>
      <c r="W102" s="21">
        <f>IF($S102="","",$S102/(1-$V102)*IF($N102="",1,$N102))</f>
        <v/>
      </c>
      <c r="X102" s="17">
        <f>IF(OR($W102="",$Q102="",$Q102=0),"",$W102/$Q102)</f>
        <v/>
      </c>
      <c r="Y102" s="17">
        <f>IF(OR($R102="",$T102="",$T102=0),"",$R102/($T102*IF($O102="",1,$O102)))</f>
        <v/>
      </c>
      <c r="Z102" s="17">
        <f>IF(OR($X102="",$P102="",$P102=0),"",$X102/$P102)</f>
        <v/>
      </c>
      <c r="AA102">
        <f>IF($J102="","待填怪物等级",IF(OR($I102="",$Q102=""),"待填对照关卡",IF($P102="","已计算",IF(AND($Y102&lt;&gt;"",$Y102&lt;$X102),"生存不成立",IF($Z102&lt;0.5,"碾压",IF($Z102&lt;0.8,"偏简单",IF($Z102&lt;=1.2,"适中",IF($Z102&lt;=1.5,"偏难","过难"))))))))</f>
        <v/>
      </c>
      <c r="AB102">
        <f>IF($J102="","待填",IF(AND(ISNUMBER($J102),$J102&gt;=1,$J102&lt;=500,MOD($J102,1)=0),"有效","超范围"))</f>
        <v/>
      </c>
      <c r="AC102">
        <f>IF(C102&lt;&gt;C101,"新玩法组",IF(J102&gt;=J101,"不降","回退"))</f>
        <v/>
      </c>
      <c r="AD102" t="inlineStr">
        <is>
          <t>等效进度估算S278，非解锁/首通节点；旧Lv487→499；NR_Layer 308 / 修正ID 2001｜2026-09-14 30层结构难度重设计：目标TTK/存活档内线性爬坡（整体约+25%），J等级与对照G不变；AE按60s/20s反查，无解封顶1,600,000。｜2026-09-14 等级带重排：J=303（240→500档内插值），目标曲线沿用30层重设计，K/L按新等级重拟合。｜2026-09-14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102" s="4" t="n">
        <v>1600000</v>
      </c>
      <c r="AF102" s="4">
        <f>INDEX(_统一战力!$B$2:$B$501,J102)</f>
        <v/>
      </c>
      <c r="AG102" t="n">
        <v>2001</v>
      </c>
      <c r="AH102" t="n">
        <v>308</v>
      </c>
      <c r="AI102" t="n">
        <v>4</v>
      </c>
    </row>
    <row r="103">
      <c r="A103" t="inlineStr">
        <is>
          <t>当前源表</t>
        </is>
      </c>
      <c r="B103" t="inlineStr">
        <is>
          <t>无限之旅</t>
        </is>
      </c>
      <c r="C103" t="inlineStr">
        <is>
          <t>难度4</t>
        </is>
      </c>
      <c r="D103" t="inlineStr">
        <is>
          <t>难度4-层309</t>
        </is>
      </c>
      <c r="F103" t="inlineStr">
        <is>
          <t>Boss</t>
        </is>
      </c>
      <c r="G103" t="n">
        <v>279</v>
      </c>
      <c r="I103" t="n">
        <v>279</v>
      </c>
      <c r="J103" t="n">
        <v>269</v>
      </c>
      <c r="K103" s="83" t="n">
        <v>4.2558134886</v>
      </c>
      <c r="L103" s="83" t="n">
        <v>2.1973828429</v>
      </c>
      <c r="M103" s="83" t="n">
        <v>1</v>
      </c>
      <c r="N103" t="n">
        <v>1</v>
      </c>
      <c r="O103" t="n">
        <v>1</v>
      </c>
      <c r="P103" s="17" t="n">
        <v>429.90048919219</v>
      </c>
      <c r="Q103" s="21">
        <f>IF($I103="","",IFERROR(INDEX(_玩家曲线!$H$2:$H$286,MATCH($I103,_玩家曲线!$A$2:$A$286,0)),""))</f>
        <v/>
      </c>
      <c r="R103" s="21">
        <f>IF($I103="","",IFERROR(INDEX(_玩家曲线!$I$2:$I$286,MATCH($I103,_玩家曲线!$A$2:$A$286,0)),""))</f>
        <v/>
      </c>
      <c r="S103" s="21">
        <f>IF(OR($J103="",$F103="不适用"),"",IFERROR(INDEX(_怪物模型!$D$2:$D$4501,(INT($J103)-1)*ROWS(_怪物类型!$A$2:$A$10)+MATCH($F103,_怪物类型!$A$2:$A$10,0))*IF($K103="",1,$K103),""))</f>
        <v/>
      </c>
      <c r="T103" s="21">
        <f>IF(OR($J103="",$F103="不适用"),"",IFERROR(INDEX(_怪物模型!$E$2:$E$4501,(INT($J103)-1)*ROWS(_怪物类型!$A$2:$A$10)+MATCH($F103,_怪物类型!$A$2:$A$10,0))*IF($L103="",1,$L103),""))</f>
        <v/>
      </c>
      <c r="U103" s="21">
        <f>IF(OR($J103="",$F103="不适用"),"",IFERROR(INDEX(_怪物模型!$F$2:$F$4501,(INT($J103)-1)*ROWS(_怪物类型!$A$2:$A$10)+MATCH($F103,_怪物类型!$A$2:$A$10,0))*IF($M103="",1,$M103),""))</f>
        <v/>
      </c>
      <c r="V103" s="84">
        <f>IF($U103="","",MIN(0.75,$U103/($U103+24000)))</f>
        <v/>
      </c>
      <c r="W103" s="21">
        <f>IF($S103="","",$S103/(1-$V103)*IF($N103="",1,$N103))</f>
        <v/>
      </c>
      <c r="X103" s="17">
        <f>IF(OR($W103="",$Q103="",$Q103=0),"",$W103/$Q103)</f>
        <v/>
      </c>
      <c r="Y103" s="17">
        <f>IF(OR($R103="",$T103="",$T103=0),"",$R103/($T103*IF($O103="",1,$O103)))</f>
        <v/>
      </c>
      <c r="Z103" s="17">
        <f>IF(OR($X103="",$P103="",$P103=0),"",$X103/$P103)</f>
        <v/>
      </c>
      <c r="AA103">
        <f>IF($J103="","待填怪物等级",IF(OR($I103="",$Q103=""),"待填对照关卡",IF($P103="","已计算",IF(AND($Y103&lt;&gt;"",$Y103&lt;$X103),"生存不成立",IF($Z103&lt;0.5,"碾压",IF($Z103&lt;0.8,"偏简单",IF($Z103&lt;=1.2,"适中",IF($Z103&lt;=1.5,"偏难","过难"))))))))</f>
        <v/>
      </c>
      <c r="AB103">
        <f>IF($J103="","待填",IF(AND(ISNUMBER($J103),$J103&gt;=1,$J103&lt;=500,MOD($J103,1)=0),"有效","超范围"))</f>
        <v/>
      </c>
      <c r="AC103">
        <f>IF(C103&lt;&gt;C102,"新玩法组",IF(J103&gt;=J102,"不降","回退"))</f>
        <v/>
      </c>
      <c r="AD103" t="inlineStr">
        <is>
          <t>等效进度估算S278，非解锁/首通节点；旧Lv489→500；NR_Layer 309 / 修正ID 2001｜2026-09-14 30层结构难度重设计：目标TTK/存活档内线性爬坡（整体约+25%），J等级与对照G不变；AE按60s/20s反查，无解封顶1,600,000。｜2026-09-14 等级带重排：J=312（240→500档内插值），目标曲线沿用30层重设计，K/L按新等级重拟合。｜2026-09-14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103" s="4" t="n">
        <v>1600000</v>
      </c>
      <c r="AF103" s="4">
        <f>INDEX(_统一战力!$B$2:$B$501,J103)</f>
        <v/>
      </c>
      <c r="AG103" t="n">
        <v>2001</v>
      </c>
      <c r="AH103" t="n">
        <v>309</v>
      </c>
      <c r="AI103" t="n">
        <v>4</v>
      </c>
    </row>
    <row r="104">
      <c r="A104" t="inlineStr">
        <is>
          <t>当前源表</t>
        </is>
      </c>
      <c r="B104" t="inlineStr">
        <is>
          <t>无限之旅</t>
        </is>
      </c>
      <c r="C104" t="inlineStr">
        <is>
          <t>难度4</t>
        </is>
      </c>
      <c r="D104" t="inlineStr">
        <is>
          <t>难度4-层310</t>
        </is>
      </c>
      <c r="F104" t="inlineStr">
        <is>
          <t>Boss</t>
        </is>
      </c>
      <c r="G104" t="n">
        <v>279</v>
      </c>
      <c r="I104" t="n">
        <v>279</v>
      </c>
      <c r="J104" t="n">
        <v>278</v>
      </c>
      <c r="K104" s="83" t="n">
        <v>3.9131023699</v>
      </c>
      <c r="L104" s="83" t="n">
        <v>2.0909134187</v>
      </c>
      <c r="M104" s="83" t="n">
        <v>1</v>
      </c>
      <c r="N104" t="n">
        <v>1</v>
      </c>
      <c r="O104" t="n">
        <v>1</v>
      </c>
      <c r="P104" s="17" t="n">
        <v>442.19503685864</v>
      </c>
      <c r="Q104" s="21">
        <f>IF($I104="","",IFERROR(INDEX(_玩家曲线!$H$2:$H$286,MATCH($I104,_玩家曲线!$A$2:$A$286,0)),""))</f>
        <v/>
      </c>
      <c r="R104" s="21">
        <f>IF($I104="","",IFERROR(INDEX(_玩家曲线!$I$2:$I$286,MATCH($I104,_玩家曲线!$A$2:$A$286,0)),""))</f>
        <v/>
      </c>
      <c r="S104" s="21">
        <f>IF(OR($J104="",$F104="不适用"),"",IFERROR(INDEX(_怪物模型!$D$2:$D$4501,(INT($J104)-1)*ROWS(_怪物类型!$A$2:$A$10)+MATCH($F104,_怪物类型!$A$2:$A$10,0))*IF($K104="",1,$K104),""))</f>
        <v/>
      </c>
      <c r="T104" s="21">
        <f>IF(OR($J104="",$F104="不适用"),"",IFERROR(INDEX(_怪物模型!$E$2:$E$4501,(INT($J104)-1)*ROWS(_怪物类型!$A$2:$A$10)+MATCH($F104,_怪物类型!$A$2:$A$10,0))*IF($L104="",1,$L104),""))</f>
        <v/>
      </c>
      <c r="U104" s="21">
        <f>IF(OR($J104="",$F104="不适用"),"",IFERROR(INDEX(_怪物模型!$F$2:$F$4501,(INT($J104)-1)*ROWS(_怪物类型!$A$2:$A$10)+MATCH($F104,_怪物类型!$A$2:$A$10,0))*IF($M104="",1,$M104),""))</f>
        <v/>
      </c>
      <c r="V104" s="84">
        <f>IF($U104="","",MIN(0.75,$U104/($U104+24000)))</f>
        <v/>
      </c>
      <c r="W104" s="21">
        <f>IF($S104="","",$S104/(1-$V104)*IF($N104="",1,$N104))</f>
        <v/>
      </c>
      <c r="X104" s="17">
        <f>IF(OR($W104="",$Q104="",$Q104=0),"",$W104/$Q104)</f>
        <v/>
      </c>
      <c r="Y104" s="17">
        <f>IF(OR($R104="",$T104="",$T104=0),"",$R104/($T104*IF($O104="",1,$O104)))</f>
        <v/>
      </c>
      <c r="Z104" s="17">
        <f>IF(OR($X104="",$P104="",$P104=0),"",$X104/$P104)</f>
        <v/>
      </c>
      <c r="AA104">
        <f>IF($J104="","待填怪物等级",IF(OR($I104="",$Q104=""),"待填对照关卡",IF($P104="","已计算",IF(AND($Y104&lt;&gt;"",$Y104&lt;$X104),"生存不成立",IF($Z104&lt;0.5,"碾压",IF($Z104&lt;0.8,"偏简单",IF($Z104&lt;=1.2,"适中",IF($Z104&lt;=1.5,"偏难","过难"))))))))</f>
        <v/>
      </c>
      <c r="AB104">
        <f>IF($J104="","待填",IF(AND(ISNUMBER($J104),$J104&gt;=1,$J104&lt;=500,MOD($J104,1)=0),"有效","超范围"))</f>
        <v/>
      </c>
      <c r="AC104">
        <f>IF(C104&lt;&gt;C103,"新玩法组",IF(J104&gt;=J103,"不降","回退"))</f>
        <v/>
      </c>
      <c r="AD104" t="inlineStr">
        <is>
          <t>等效进度估算S278，非解锁/首通节点；旧Lv492→500；NR_Layer 310 / 修正ID 2001｜2026-09-14 30层结构难度重设计：目标TTK/存活档内线性爬坡（整体约+25%），J等级与对照G不变；AE按60s/20s反查，无解封顶1,600,000。｜2026-09-14 等级带重排：J=321（240→500档内插值），目标曲线沿用30层重设计，K/L按新等级重拟合。｜2026-09-14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104" s="4" t="n">
        <v>1600000</v>
      </c>
      <c r="AF104" s="4">
        <f>INDEX(_统一战力!$B$2:$B$501,J104)</f>
        <v/>
      </c>
      <c r="AG104" t="n">
        <v>2001</v>
      </c>
      <c r="AH104" t="n">
        <v>310</v>
      </c>
      <c r="AI104" t="n">
        <v>4</v>
      </c>
    </row>
    <row r="105">
      <c r="A105" t="inlineStr">
        <is>
          <t>当前源表</t>
        </is>
      </c>
      <c r="B105" t="inlineStr">
        <is>
          <t>无限之旅</t>
        </is>
      </c>
      <c r="C105" t="inlineStr">
        <is>
          <t>难度4</t>
        </is>
      </c>
      <c r="D105" t="inlineStr">
        <is>
          <t>难度4-层311</t>
        </is>
      </c>
      <c r="F105" t="inlineStr">
        <is>
          <t>Boss</t>
        </is>
      </c>
      <c r="G105" t="n">
        <v>279</v>
      </c>
      <c r="I105" t="n">
        <v>279</v>
      </c>
      <c r="J105" t="n">
        <v>286</v>
      </c>
      <c r="K105" s="83" t="n">
        <v>3.648239948</v>
      </c>
      <c r="L105" s="83" t="n">
        <v>2.0060490686</v>
      </c>
      <c r="M105" s="83" t="n">
        <v>1</v>
      </c>
      <c r="N105" t="n">
        <v>1</v>
      </c>
      <c r="O105" t="n">
        <v>1</v>
      </c>
      <c r="P105" s="17" t="n">
        <v>450.567686271529</v>
      </c>
      <c r="Q105" s="21">
        <f>IF($I105="","",IFERROR(INDEX(_玩家曲线!$H$2:$H$286,MATCH($I105,_玩家曲线!$A$2:$A$286,0)),""))</f>
        <v/>
      </c>
      <c r="R105" s="21">
        <f>IF($I105="","",IFERROR(INDEX(_玩家曲线!$I$2:$I$286,MATCH($I105,_玩家曲线!$A$2:$A$286,0)),""))</f>
        <v/>
      </c>
      <c r="S105" s="21">
        <f>IF(OR($J105="",$F105="不适用"),"",IFERROR(INDEX(_怪物模型!$D$2:$D$4501,(INT($J105)-1)*ROWS(_怪物类型!$A$2:$A$10)+MATCH($F105,_怪物类型!$A$2:$A$10,0))*IF($K105="",1,$K105),""))</f>
        <v/>
      </c>
      <c r="T105" s="21">
        <f>IF(OR($J105="",$F105="不适用"),"",IFERROR(INDEX(_怪物模型!$E$2:$E$4501,(INT($J105)-1)*ROWS(_怪物类型!$A$2:$A$10)+MATCH($F105,_怪物类型!$A$2:$A$10,0))*IF($L105="",1,$L105),""))</f>
        <v/>
      </c>
      <c r="U105" s="21">
        <f>IF(OR($J105="",$F105="不适用"),"",IFERROR(INDEX(_怪物模型!$F$2:$F$4501,(INT($J105)-1)*ROWS(_怪物类型!$A$2:$A$10)+MATCH($F105,_怪物类型!$A$2:$A$10,0))*IF($M105="",1,$M105),""))</f>
        <v/>
      </c>
      <c r="V105" s="84">
        <f>IF($U105="","",MIN(0.75,$U105/($U105+24000)))</f>
        <v/>
      </c>
      <c r="W105" s="21">
        <f>IF($S105="","",$S105/(1-$V105)*IF($N105="",1,$N105))</f>
        <v/>
      </c>
      <c r="X105" s="17">
        <f>IF(OR($W105="",$Q105="",$Q105=0),"",$W105/$Q105)</f>
        <v/>
      </c>
      <c r="Y105" s="17">
        <f>IF(OR($R105="",$T105="",$T105=0),"",$R105/($T105*IF($O105="",1,$O105)))</f>
        <v/>
      </c>
      <c r="Z105" s="17">
        <f>IF(OR($X105="",$P105="",$P105=0),"",$X105/$P105)</f>
        <v/>
      </c>
      <c r="AA105">
        <f>IF($J105="","待填怪物等级",IF(OR($I105="",$Q105=""),"待填对照关卡",IF($P105="","已计算",IF(AND($Y105&lt;&gt;"",$Y105&lt;$X105),"生存不成立",IF($Z105&lt;0.5,"碾压",IF($Z105&lt;0.8,"偏简单",IF($Z105&lt;=1.2,"适中",IF($Z105&lt;=1.5,"偏难","过难"))))))))</f>
        <v/>
      </c>
      <c r="AB105">
        <f>IF($J105="","待填",IF(AND(ISNUMBER($J105),$J105&gt;=1,$J105&lt;=500,MOD($J105,1)=0),"有效","超范围"))</f>
        <v/>
      </c>
      <c r="AC105">
        <f>IF(C105&lt;&gt;C104,"新玩法组",IF(J105&gt;=J104,"不降","回退"))</f>
        <v/>
      </c>
      <c r="AD105" t="inlineStr">
        <is>
          <t>等效进度估算S278，非解锁/首通节点；旧Lv494→500；NR_Layer 311 / 修正ID 2001｜2026-09-14 30层结构难度重设计：目标TTK/存活档内线性爬坡（整体约+25%），J等级与对照G不变；AE按60s/20s反查，无解封顶1,600,000。｜2026-09-14 等级带重排：J=330（240→500档内插值），目标曲线沿用30层重设计，K/L按新等级重拟合。｜2026-09-14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105" s="4" t="n">
        <v>1600000</v>
      </c>
      <c r="AF105" s="4">
        <f>INDEX(_统一战力!$B$2:$B$501,J105)</f>
        <v/>
      </c>
      <c r="AG105" t="n">
        <v>2001</v>
      </c>
      <c r="AH105" t="n">
        <v>311</v>
      </c>
      <c r="AI105" t="n">
        <v>4</v>
      </c>
    </row>
    <row r="106">
      <c r="A106" t="inlineStr">
        <is>
          <t>当前源表</t>
        </is>
      </c>
      <c r="B106" t="inlineStr">
        <is>
          <t>无限之旅</t>
        </is>
      </c>
      <c r="C106" t="inlineStr">
        <is>
          <t>难度4</t>
        </is>
      </c>
      <c r="D106" t="inlineStr">
        <is>
          <t>难度4-层312</t>
        </is>
      </c>
      <c r="F106" t="inlineStr">
        <is>
          <t>Boss</t>
        </is>
      </c>
      <c r="G106" t="n">
        <v>279</v>
      </c>
      <c r="I106" t="n">
        <v>279</v>
      </c>
      <c r="J106" t="n">
        <v>295</v>
      </c>
      <c r="K106" s="83" t="n">
        <v>3.3603486852</v>
      </c>
      <c r="L106" s="83" t="n">
        <v>1.9133062969</v>
      </c>
      <c r="M106" s="83" t="n">
        <v>1</v>
      </c>
      <c r="N106" t="n">
        <v>1</v>
      </c>
      <c r="O106" t="n">
        <v>1</v>
      </c>
      <c r="P106" s="17" t="n">
        <v>463.379673291126</v>
      </c>
      <c r="Q106" s="21">
        <f>IF($I106="","",IFERROR(INDEX(_玩家曲线!$H$2:$H$286,MATCH($I106,_玩家曲线!$A$2:$A$286,0)),""))</f>
        <v/>
      </c>
      <c r="R106" s="21">
        <f>IF($I106="","",IFERROR(INDEX(_玩家曲线!$I$2:$I$286,MATCH($I106,_玩家曲线!$A$2:$A$286,0)),""))</f>
        <v/>
      </c>
      <c r="S106" s="21">
        <f>IF(OR($J106="",$F106="不适用"),"",IFERROR(INDEX(_怪物模型!$D$2:$D$4501,(INT($J106)-1)*ROWS(_怪物类型!$A$2:$A$10)+MATCH($F106,_怪物类型!$A$2:$A$10,0))*IF($K106="",1,$K106),""))</f>
        <v/>
      </c>
      <c r="T106" s="21">
        <f>IF(OR($J106="",$F106="不适用"),"",IFERROR(INDEX(_怪物模型!$E$2:$E$4501,(INT($J106)-1)*ROWS(_怪物类型!$A$2:$A$10)+MATCH($F106,_怪物类型!$A$2:$A$10,0))*IF($L106="",1,$L106),""))</f>
        <v/>
      </c>
      <c r="U106" s="21">
        <f>IF(OR($J106="",$F106="不适用"),"",IFERROR(INDEX(_怪物模型!$F$2:$F$4501,(INT($J106)-1)*ROWS(_怪物类型!$A$2:$A$10)+MATCH($F106,_怪物类型!$A$2:$A$10,0))*IF($M106="",1,$M106),""))</f>
        <v/>
      </c>
      <c r="V106" s="84">
        <f>IF($U106="","",MIN(0.75,$U106/($U106+24000)))</f>
        <v/>
      </c>
      <c r="W106" s="21">
        <f>IF($S106="","",$S106/(1-$V106)*IF($N106="",1,$N106))</f>
        <v/>
      </c>
      <c r="X106" s="17">
        <f>IF(OR($W106="",$Q106="",$Q106=0),"",$W106/$Q106)</f>
        <v/>
      </c>
      <c r="Y106" s="17">
        <f>IF(OR($R106="",$T106="",$T106=0),"",$R106/($T106*IF($O106="",1,$O106)))</f>
        <v/>
      </c>
      <c r="Z106" s="17">
        <f>IF(OR($X106="",$P106="",$P106=0),"",$X106/$P106)</f>
        <v/>
      </c>
      <c r="AA106">
        <f>IF($J106="","待填怪物等级",IF(OR($I106="",$Q106=""),"待填对照关卡",IF($P106="","已计算",IF(AND($Y106&lt;&gt;"",$Y106&lt;$X106),"生存不成立",IF($Z106&lt;0.5,"碾压",IF($Z106&lt;0.8,"偏简单",IF($Z106&lt;=1.2,"适中",IF($Z106&lt;=1.5,"偏难","过难"))))))))</f>
        <v/>
      </c>
      <c r="AB106">
        <f>IF($J106="","待填",IF(AND(ISNUMBER($J106),$J106&gt;=1,$J106&lt;=500,MOD($J106,1)=0),"有效","超范围"))</f>
        <v/>
      </c>
      <c r="AC106">
        <f>IF(C106&lt;&gt;C105,"新玩法组",IF(J106&gt;=J105,"不降","回退"))</f>
        <v/>
      </c>
      <c r="AD106" t="inlineStr">
        <is>
          <t>等效进度估算S278，非解锁/首通节点；旧Lv497→500；NR_Layer 312 / 修正ID 2001｜2026-09-14 30层结构难度重设计：目标TTK/存活档内线性爬坡（整体约+25%），J等级与对照G不变；AE按60s/20s反查，无解封顶1,600,000。｜2026-09-14 等级带重排：J=339（240→500档内插值），目标曲线沿用30层重设计，K/L按新等级重拟合。｜2026-09-14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106" s="4" t="n">
        <v>1600000</v>
      </c>
      <c r="AF106" s="4">
        <f>INDEX(_统一战力!$B$2:$B$501,J106)</f>
        <v/>
      </c>
      <c r="AG106" t="n">
        <v>2001</v>
      </c>
      <c r="AH106" t="n">
        <v>312</v>
      </c>
      <c r="AI106" t="n">
        <v>4</v>
      </c>
    </row>
    <row r="107">
      <c r="A107" t="inlineStr">
        <is>
          <t>当前源表</t>
        </is>
      </c>
      <c r="B107" t="inlineStr">
        <is>
          <t>无限之旅</t>
        </is>
      </c>
      <c r="C107" t="inlineStr">
        <is>
          <t>难度4</t>
        </is>
      </c>
      <c r="D107" t="inlineStr">
        <is>
          <t>难度4-层313</t>
        </is>
      </c>
      <c r="F107" t="inlineStr">
        <is>
          <t>Boss</t>
        </is>
      </c>
      <c r="G107" t="n">
        <v>279</v>
      </c>
      <c r="I107" t="n">
        <v>279</v>
      </c>
      <c r="J107" t="n">
        <v>303</v>
      </c>
      <c r="K107" s="83" t="n">
        <v>3.1369184394</v>
      </c>
      <c r="L107" s="83" t="n">
        <v>1.8393325403</v>
      </c>
      <c r="M107" s="83" t="n">
        <v>1</v>
      </c>
      <c r="N107" t="n">
        <v>1</v>
      </c>
      <c r="O107" t="n">
        <v>1</v>
      </c>
      <c r="P107" s="17" t="n">
        <v>472.098056021429</v>
      </c>
      <c r="Q107" s="21">
        <f>IF($I107="","",IFERROR(INDEX(_玩家曲线!$H$2:$H$286,MATCH($I107,_玩家曲线!$A$2:$A$286,0)),""))</f>
        <v/>
      </c>
      <c r="R107" s="21">
        <f>IF($I107="","",IFERROR(INDEX(_玩家曲线!$I$2:$I$286,MATCH($I107,_玩家曲线!$A$2:$A$286,0)),""))</f>
        <v/>
      </c>
      <c r="S107" s="21">
        <f>IF(OR($J107="",$F107="不适用"),"",IFERROR(INDEX(_怪物模型!$D$2:$D$4501,(INT($J107)-1)*ROWS(_怪物类型!$A$2:$A$10)+MATCH($F107,_怪物类型!$A$2:$A$10,0))*IF($K107="",1,$K107),""))</f>
        <v/>
      </c>
      <c r="T107" s="21">
        <f>IF(OR($J107="",$F107="不适用"),"",IFERROR(INDEX(_怪物模型!$E$2:$E$4501,(INT($J107)-1)*ROWS(_怪物类型!$A$2:$A$10)+MATCH($F107,_怪物类型!$A$2:$A$10,0))*IF($L107="",1,$L107),""))</f>
        <v/>
      </c>
      <c r="U107" s="21">
        <f>IF(OR($J107="",$F107="不适用"),"",IFERROR(INDEX(_怪物模型!$F$2:$F$4501,(INT($J107)-1)*ROWS(_怪物类型!$A$2:$A$10)+MATCH($F107,_怪物类型!$A$2:$A$10,0))*IF($M107="",1,$M107),""))</f>
        <v/>
      </c>
      <c r="V107" s="84">
        <f>IF($U107="","",MIN(0.75,$U107/($U107+24000)))</f>
        <v/>
      </c>
      <c r="W107" s="21">
        <f>IF($S107="","",$S107/(1-$V107)*IF($N107="",1,$N107))</f>
        <v/>
      </c>
      <c r="X107" s="17">
        <f>IF(OR($W107="",$Q107="",$Q107=0),"",$W107/$Q107)</f>
        <v/>
      </c>
      <c r="Y107" s="17">
        <f>IF(OR($R107="",$T107="",$T107=0),"",$R107/($T107*IF($O107="",1,$O107)))</f>
        <v/>
      </c>
      <c r="Z107" s="17">
        <f>IF(OR($X107="",$P107="",$P107=0),"",$X107/$P107)</f>
        <v/>
      </c>
      <c r="AA107">
        <f>IF($J107="","待填怪物等级",IF(OR($I107="",$Q107=""),"待填对照关卡",IF($P107="","已计算",IF(AND($Y107&lt;&gt;"",$Y107&lt;$X107),"生存不成立",IF($Z107&lt;0.5,"碾压",IF($Z107&lt;0.8,"偏简单",IF($Z107&lt;=1.2,"适中",IF($Z107&lt;=1.5,"偏难","过难"))))))))</f>
        <v/>
      </c>
      <c r="AB107">
        <f>IF($J107="","待填",IF(AND(ISNUMBER($J107),$J107&gt;=1,$J107&lt;=500,MOD($J107,1)=0),"有效","超范围"))</f>
        <v/>
      </c>
      <c r="AC107">
        <f>IF(C107&lt;&gt;C106,"新玩法组",IF(J107&gt;=J106,"不降","回退"))</f>
        <v/>
      </c>
      <c r="AD107" t="inlineStr">
        <is>
          <t>等效进度估算S278，非解锁/首通节点；旧Lv499→500；NR_Layer 313 / 修正ID 2001｜2026-09-14 30层结构难度重设计：目标TTK/存活档内线性爬坡（整体约+25%），J等级与对照G不变；AE按60s/20s反查，无解封顶1,600,000。｜2026-09-14 等级带重排：J=348（240→500档内插值），目标曲线沿用30层重设计，K/L按新等级重拟合。｜2026-09-14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107" s="4" t="n">
        <v>1600000</v>
      </c>
      <c r="AF107" s="4">
        <f>INDEX(_统一战力!$B$2:$B$501,J107)</f>
        <v/>
      </c>
      <c r="AG107" t="n">
        <v>2001</v>
      </c>
      <c r="AH107" t="n">
        <v>313</v>
      </c>
      <c r="AI107" t="n">
        <v>4</v>
      </c>
    </row>
    <row r="108">
      <c r="A108" t="inlineStr">
        <is>
          <t>当前源表</t>
        </is>
      </c>
      <c r="B108" t="inlineStr">
        <is>
          <t>无限之旅</t>
        </is>
      </c>
      <c r="C108" t="inlineStr">
        <is>
          <t>难度4</t>
        </is>
      </c>
      <c r="D108" t="inlineStr">
        <is>
          <t>难度4-层314</t>
        </is>
      </c>
      <c r="F108" t="inlineStr">
        <is>
          <t>Boss</t>
        </is>
      </c>
      <c r="G108" t="n">
        <v>279</v>
      </c>
      <c r="I108" t="n">
        <v>279</v>
      </c>
      <c r="J108" t="n">
        <v>312</v>
      </c>
      <c r="K108" s="83" t="n">
        <v>2.8941866787</v>
      </c>
      <c r="L108" s="83" t="n">
        <v>1.7580497082</v>
      </c>
      <c r="M108" s="83" t="n">
        <v>1</v>
      </c>
      <c r="N108" t="n">
        <v>1</v>
      </c>
      <c r="O108" t="n">
        <v>1</v>
      </c>
      <c r="P108" s="17" t="n">
        <v>472.098056021429</v>
      </c>
      <c r="Q108" s="21">
        <f>IF($I108="","",IFERROR(INDEX(_玩家曲线!$H$2:$H$286,MATCH($I108,_玩家曲线!$A$2:$A$286,0)),""))</f>
        <v/>
      </c>
      <c r="R108" s="21">
        <f>IF($I108="","",IFERROR(INDEX(_玩家曲线!$I$2:$I$286,MATCH($I108,_玩家曲线!$A$2:$A$286,0)),""))</f>
        <v/>
      </c>
      <c r="S108" s="21">
        <f>IF(OR($J108="",$F108="不适用"),"",IFERROR(INDEX(_怪物模型!$D$2:$D$4501,(INT($J108)-1)*ROWS(_怪物类型!$A$2:$A$10)+MATCH($F108,_怪物类型!$A$2:$A$10,0))*IF($K108="",1,$K108),""))</f>
        <v/>
      </c>
      <c r="T108" s="21">
        <f>IF(OR($J108="",$F108="不适用"),"",IFERROR(INDEX(_怪物模型!$E$2:$E$4501,(INT($J108)-1)*ROWS(_怪物类型!$A$2:$A$10)+MATCH($F108,_怪物类型!$A$2:$A$10,0))*IF($L108="",1,$L108),""))</f>
        <v/>
      </c>
      <c r="U108" s="21">
        <f>IF(OR($J108="",$F108="不适用"),"",IFERROR(INDEX(_怪物模型!$F$2:$F$4501,(INT($J108)-1)*ROWS(_怪物类型!$A$2:$A$10)+MATCH($F108,_怪物类型!$A$2:$A$10,0))*IF($M108="",1,$M108),""))</f>
        <v/>
      </c>
      <c r="V108" s="84">
        <f>IF($U108="","",MIN(0.75,$U108/($U108+24000)))</f>
        <v/>
      </c>
      <c r="W108" s="21">
        <f>IF($S108="","",$S108/(1-$V108)*IF($N108="",1,$N108))</f>
        <v/>
      </c>
      <c r="X108" s="17">
        <f>IF(OR($W108="",$Q108="",$Q108=0),"",$W108/$Q108)</f>
        <v/>
      </c>
      <c r="Y108" s="17">
        <f>IF(OR($R108="",$T108="",$T108=0),"",$R108/($T108*IF($O108="",1,$O108)))</f>
        <v/>
      </c>
      <c r="Z108" s="17">
        <f>IF(OR($X108="",$P108="",$P108=0),"",$X108/$P108)</f>
        <v/>
      </c>
      <c r="AA108">
        <f>IF($J108="","待填怪物等级",IF(OR($I108="",$Q108=""),"待填对照关卡",IF($P108="","已计算",IF(AND($Y108&lt;&gt;"",$Y108&lt;$X108),"生存不成立",IF($Z108&lt;0.5,"碾压",IF($Z108&lt;0.8,"偏简单",IF($Z108&lt;=1.2,"适中",IF($Z108&lt;=1.5,"偏难","过难"))))))))</f>
        <v/>
      </c>
      <c r="AB108">
        <f>IF($J108="","待填",IF(AND(ISNUMBER($J108),$J108&gt;=1,$J108&lt;=500,MOD($J108,1)=0),"有效","超范围"))</f>
        <v/>
      </c>
      <c r="AC108">
        <f>IF(C108&lt;&gt;C107,"新玩法组",IF(J108&gt;=J107,"不降","回退"))</f>
        <v/>
      </c>
      <c r="AD108" t="inlineStr">
        <is>
          <t>等效进度估算S278，非解锁/首通节点；旧Lv499→500；NR_Layer 314 / 修正ID 2001｜2026-09-14 30层结构难度重设计：目标TTK/存活档内线性爬坡（整体约+25%），J等级与对照G不变；AE按60s/20s反查，无解封顶1,600,000。｜2026-09-14 等级带重排：J=357（240→500档内插值），目标曲线沿用30层重设计，K/L按新等级重拟合。｜2026-09-14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108" s="4" t="n">
        <v>1600000</v>
      </c>
      <c r="AF108" s="4">
        <f>INDEX(_统一战力!$B$2:$B$501,J108)</f>
        <v/>
      </c>
      <c r="AG108" t="n">
        <v>2001</v>
      </c>
      <c r="AH108" t="n">
        <v>314</v>
      </c>
      <c r="AI108" t="n">
        <v>4</v>
      </c>
    </row>
    <row r="109">
      <c r="A109" t="inlineStr">
        <is>
          <t>当前源表</t>
        </is>
      </c>
      <c r="B109" t="inlineStr">
        <is>
          <t>无限之旅</t>
        </is>
      </c>
      <c r="C109" t="inlineStr">
        <is>
          <t>难度4</t>
        </is>
      </c>
      <c r="D109" t="inlineStr">
        <is>
          <t>难度4-层315</t>
        </is>
      </c>
      <c r="F109" t="inlineStr">
        <is>
          <t>Boss</t>
        </is>
      </c>
      <c r="G109" t="n">
        <v>279</v>
      </c>
      <c r="I109" t="n">
        <v>279</v>
      </c>
      <c r="J109" t="n">
        <v>321</v>
      </c>
      <c r="K109" s="83" t="n">
        <v>2.6726529248</v>
      </c>
      <c r="L109" s="83" t="n">
        <v>1.682111785</v>
      </c>
      <c r="M109" s="83" t="n">
        <v>1</v>
      </c>
      <c r="N109" t="n">
        <v>1</v>
      </c>
      <c r="O109" t="n">
        <v>1</v>
      </c>
      <c r="P109" s="17" t="n">
        <v>476.512185562052</v>
      </c>
      <c r="Q109" s="21">
        <f>IF($I109="","",IFERROR(INDEX(_玩家曲线!$H$2:$H$286,MATCH($I109,_玩家曲线!$A$2:$A$286,0)),""))</f>
        <v/>
      </c>
      <c r="R109" s="21">
        <f>IF($I109="","",IFERROR(INDEX(_玩家曲线!$I$2:$I$286,MATCH($I109,_玩家曲线!$A$2:$A$286,0)),""))</f>
        <v/>
      </c>
      <c r="S109" s="21">
        <f>IF(OR($J109="",$F109="不适用"),"",IFERROR(INDEX(_怪物模型!$D$2:$D$4501,(INT($J109)-1)*ROWS(_怪物类型!$A$2:$A$10)+MATCH($F109,_怪物类型!$A$2:$A$10,0))*IF($K109="",1,$K109),""))</f>
        <v/>
      </c>
      <c r="T109" s="21">
        <f>IF(OR($J109="",$F109="不适用"),"",IFERROR(INDEX(_怪物模型!$E$2:$E$4501,(INT($J109)-1)*ROWS(_怪物类型!$A$2:$A$10)+MATCH($F109,_怪物类型!$A$2:$A$10,0))*IF($L109="",1,$L109),""))</f>
        <v/>
      </c>
      <c r="U109" s="21">
        <f>IF(OR($J109="",$F109="不适用"),"",IFERROR(INDEX(_怪物模型!$F$2:$F$4501,(INT($J109)-1)*ROWS(_怪物类型!$A$2:$A$10)+MATCH($F109,_怪物类型!$A$2:$A$10,0))*IF($M109="",1,$M109),""))</f>
        <v/>
      </c>
      <c r="V109" s="84">
        <f>IF($U109="","",MIN(0.75,$U109/($U109+24000)))</f>
        <v/>
      </c>
      <c r="W109" s="21">
        <f>IF($S109="","",$S109/(1-$V109)*IF($N109="",1,$N109))</f>
        <v/>
      </c>
      <c r="X109" s="17">
        <f>IF(OR($W109="",$Q109="",$Q109=0),"",$W109/$Q109)</f>
        <v/>
      </c>
      <c r="Y109" s="17">
        <f>IF(OR($R109="",$T109="",$T109=0),"",$R109/($T109*IF($O109="",1,$O109)))</f>
        <v/>
      </c>
      <c r="Z109" s="17">
        <f>IF(OR($X109="",$P109="",$P109=0),"",$X109/$P109)</f>
        <v/>
      </c>
      <c r="AA109">
        <f>IF($J109="","待填怪物等级",IF(OR($I109="",$Q109=""),"待填对照关卡",IF($P109="","已计算",IF(AND($Y109&lt;&gt;"",$Y109&lt;$X109),"生存不成立",IF($Z109&lt;0.5,"碾压",IF($Z109&lt;0.8,"偏简单",IF($Z109&lt;=1.2,"适中",IF($Z109&lt;=1.5,"偏难","过难"))))))))</f>
        <v/>
      </c>
      <c r="AB109">
        <f>IF($J109="","待填",IF(AND(ISNUMBER($J109),$J109&gt;=1,$J109&lt;=500,MOD($J109,1)=0),"有效","超范围"))</f>
        <v/>
      </c>
      <c r="AC109">
        <f>IF(C109&lt;&gt;C108,"新玩法组",IF(J109&gt;=J108,"不降","回退"))</f>
        <v/>
      </c>
      <c r="AD109" t="inlineStr">
        <is>
          <t>等效进度估算S278，非解锁/首通节点；旧Lv500→500；NR_Layer 315 / 修正ID 2001｜2026-09-14 30层结构难度重设计：目标TTK/存活档内线性爬坡（整体约+25%），J等级与对照G不变；AE按60s/20s反查，无解封顶1,600,000。｜2026-09-14 等级带重排：J=366（240→500档内插值），目标曲线沿用30层重设计，K/L按新等级重拟合。｜2026-09-14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109" s="4" t="n">
        <v>1600000</v>
      </c>
      <c r="AF109" s="4">
        <f>INDEX(_统一战力!$B$2:$B$501,J109)</f>
        <v/>
      </c>
      <c r="AG109" t="n">
        <v>2001</v>
      </c>
      <c r="AH109" t="n">
        <v>315</v>
      </c>
      <c r="AI109" t="n">
        <v>4</v>
      </c>
    </row>
    <row r="110">
      <c r="A110" t="inlineStr">
        <is>
          <t>当前源表</t>
        </is>
      </c>
      <c r="B110" t="inlineStr">
        <is>
          <t>无限之旅</t>
        </is>
      </c>
      <c r="C110" t="inlineStr">
        <is>
          <t>难度4</t>
        </is>
      </c>
      <c r="D110" t="inlineStr">
        <is>
          <t>难度4-层316</t>
        </is>
      </c>
      <c r="F110" t="inlineStr">
        <is>
          <t>Boss</t>
        </is>
      </c>
      <c r="G110" t="n">
        <v>279</v>
      </c>
      <c r="I110" t="n">
        <v>279</v>
      </c>
      <c r="J110" t="n">
        <v>329</v>
      </c>
      <c r="K110" s="83" t="n">
        <v>2.4997365365</v>
      </c>
      <c r="L110" s="83" t="n">
        <v>1.621662776</v>
      </c>
      <c r="M110" s="83" t="n">
        <v>1.02</v>
      </c>
      <c r="N110" t="n">
        <v>1</v>
      </c>
      <c r="O110" t="n">
        <v>1</v>
      </c>
      <c r="P110" s="17" t="n">
        <v>410.777780412269</v>
      </c>
      <c r="Q110" s="21">
        <f>IF($I110="","",IFERROR(INDEX(_玩家曲线!$H$2:$H$286,MATCH($I110,_玩家曲线!$A$2:$A$286,0)),""))</f>
        <v/>
      </c>
      <c r="R110" s="21">
        <f>IF($I110="","",IFERROR(INDEX(_玩家曲线!$I$2:$I$286,MATCH($I110,_玩家曲线!$A$2:$A$286,0)),""))</f>
        <v/>
      </c>
      <c r="S110" s="21">
        <f>IF(OR($J110="",$F110="不适用"),"",IFERROR(INDEX(_怪物模型!$D$2:$D$4501,(INT($J110)-1)*ROWS(_怪物类型!$A$2:$A$10)+MATCH($F110,_怪物类型!$A$2:$A$10,0))*IF($K110="",1,$K110),""))</f>
        <v/>
      </c>
      <c r="T110" s="21">
        <f>IF(OR($J110="",$F110="不适用"),"",IFERROR(INDEX(_怪物模型!$E$2:$E$4501,(INT($J110)-1)*ROWS(_怪物类型!$A$2:$A$10)+MATCH($F110,_怪物类型!$A$2:$A$10,0))*IF($L110="",1,$L110),""))</f>
        <v/>
      </c>
      <c r="U110" s="21">
        <f>IF(OR($J110="",$F110="不适用"),"",IFERROR(INDEX(_怪物模型!$F$2:$F$4501,(INT($J110)-1)*ROWS(_怪物类型!$A$2:$A$10)+MATCH($F110,_怪物类型!$A$2:$A$10,0))*IF($M110="",1,$M110),""))</f>
        <v/>
      </c>
      <c r="V110" s="84">
        <f>IF($U110="","",MIN(0.75,$U110/($U110+24000)))</f>
        <v/>
      </c>
      <c r="W110" s="21">
        <f>IF($S110="","",$S110/(1-$V110)*IF($N110="",1,$N110))</f>
        <v/>
      </c>
      <c r="X110" s="17">
        <f>IF(OR($W110="",$Q110="",$Q110=0),"",$W110/$Q110)</f>
        <v/>
      </c>
      <c r="Y110" s="17">
        <f>IF(OR($R110="",$T110="",$T110=0),"",$R110/($T110*IF($O110="",1,$O110)))</f>
        <v/>
      </c>
      <c r="Z110" s="17">
        <f>IF(OR($X110="",$P110="",$P110=0),"",$X110/$P110)</f>
        <v/>
      </c>
      <c r="AA110">
        <f>IF($J110="","待填怪物等级",IF(OR($I110="",$Q110=""),"待填对照关卡",IF($P110="","已计算",IF(AND($Y110&lt;&gt;"",$Y110&lt;$X110),"生存不成立",IF($Z110&lt;0.5,"碾压",IF($Z110&lt;0.8,"偏简单",IF($Z110&lt;=1.2,"适中",IF($Z110&lt;=1.5,"偏难","过难"))))))))</f>
        <v/>
      </c>
      <c r="AB110">
        <f>IF($J110="","待填",IF(AND(ISNUMBER($J110),$J110&gt;=1,$J110&lt;=500,MOD($J110,1)=0),"有效","超范围"))</f>
        <v/>
      </c>
      <c r="AC110">
        <f>IF(C110&lt;&gt;C109,"新玩法组",IF(J110&gt;=J109,"不降","回退"))</f>
        <v/>
      </c>
      <c r="AD110" t="inlineStr">
        <is>
          <t>等效进度估算S278，非解锁/首通节点；旧Lv500→500；NR_Layer 316 / 修正ID 2002｜2026-09-14 30层结构难度重设计：目标TTK/存活档内线性爬坡（整体约+25%），J等级与对照G不变；AE按60s/20s反查，无解封顶1,600,000。｜2026-09-14 等级带重排：J=374（240→500档内插值），目标曲线沿用30层重设计，K/L按新等级重拟合。｜2026-09-14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110" s="4" t="n">
        <v>1600000</v>
      </c>
      <c r="AF110" s="4">
        <f>INDEX(_统一战力!$B$2:$B$501,J110)</f>
        <v/>
      </c>
      <c r="AG110" t="n">
        <v>2002</v>
      </c>
      <c r="AH110" t="n">
        <v>316</v>
      </c>
      <c r="AI110" t="n">
        <v>4</v>
      </c>
    </row>
    <row r="111">
      <c r="A111" t="inlineStr">
        <is>
          <t>当前源表</t>
        </is>
      </c>
      <c r="B111" t="inlineStr">
        <is>
          <t>无限之旅</t>
        </is>
      </c>
      <c r="C111" t="inlineStr">
        <is>
          <t>难度4</t>
        </is>
      </c>
      <c r="D111" t="inlineStr">
        <is>
          <t>难度4-层317</t>
        </is>
      </c>
      <c r="F111" t="inlineStr">
        <is>
          <t>Boss</t>
        </is>
      </c>
      <c r="G111" t="n">
        <v>279</v>
      </c>
      <c r="I111" t="n">
        <v>279</v>
      </c>
      <c r="J111" t="n">
        <v>338</v>
      </c>
      <c r="K111" s="83" t="n">
        <v>2.3119234831</v>
      </c>
      <c r="L111" s="83" t="n">
        <v>1.5545986061</v>
      </c>
      <c r="M111" s="83" t="n">
        <v>1.04</v>
      </c>
      <c r="N111" t="n">
        <v>1</v>
      </c>
      <c r="O111" t="n">
        <v>1</v>
      </c>
      <c r="P111" s="17" t="n">
        <v>424.687265902612</v>
      </c>
      <c r="Q111" s="21">
        <f>IF($I111="","",IFERROR(INDEX(_玩家曲线!$H$2:$H$286,MATCH($I111,_玩家曲线!$A$2:$A$286,0)),""))</f>
        <v/>
      </c>
      <c r="R111" s="21">
        <f>IF($I111="","",IFERROR(INDEX(_玩家曲线!$I$2:$I$286,MATCH($I111,_玩家曲线!$A$2:$A$286,0)),""))</f>
        <v/>
      </c>
      <c r="S111" s="21">
        <f>IF(OR($J111="",$F111="不适用"),"",IFERROR(INDEX(_怪物模型!$D$2:$D$4501,(INT($J111)-1)*ROWS(_怪物类型!$A$2:$A$10)+MATCH($F111,_怪物类型!$A$2:$A$10,0))*IF($K111="",1,$K111),""))</f>
        <v/>
      </c>
      <c r="T111" s="21">
        <f>IF(OR($J111="",$F111="不适用"),"",IFERROR(INDEX(_怪物模型!$E$2:$E$4501,(INT($J111)-1)*ROWS(_怪物类型!$A$2:$A$10)+MATCH($F111,_怪物类型!$A$2:$A$10,0))*IF($L111="",1,$L111),""))</f>
        <v/>
      </c>
      <c r="U111" s="21">
        <f>IF(OR($J111="",$F111="不适用"),"",IFERROR(INDEX(_怪物模型!$F$2:$F$4501,(INT($J111)-1)*ROWS(_怪物类型!$A$2:$A$10)+MATCH($F111,_怪物类型!$A$2:$A$10,0))*IF($M111="",1,$M111),""))</f>
        <v/>
      </c>
      <c r="V111" s="84">
        <f>IF($U111="","",MIN(0.75,$U111/($U111+24000)))</f>
        <v/>
      </c>
      <c r="W111" s="21">
        <f>IF($S111="","",$S111/(1-$V111)*IF($N111="",1,$N111))</f>
        <v/>
      </c>
      <c r="X111" s="17">
        <f>IF(OR($W111="",$Q111="",$Q111=0),"",$W111/$Q111)</f>
        <v/>
      </c>
      <c r="Y111" s="17">
        <f>IF(OR($R111="",$T111="",$T111=0),"",$R111/($T111*IF($O111="",1,$O111)))</f>
        <v/>
      </c>
      <c r="Z111" s="17">
        <f>IF(OR($X111="",$P111="",$P111=0),"",$X111/$P111)</f>
        <v/>
      </c>
      <c r="AA111">
        <f>IF($J111="","待填怪物等级",IF(OR($I111="",$Q111=""),"待填对照关卡",IF($P111="","已计算",IF(AND($Y111&lt;&gt;"",$Y111&lt;$X111),"生存不成立",IF($Z111&lt;0.5,"碾压",IF($Z111&lt;0.8,"偏简单",IF($Z111&lt;=1.2,"适中",IF($Z111&lt;=1.5,"偏难","过难"))))))))</f>
        <v/>
      </c>
      <c r="AB111">
        <f>IF($J111="","待填",IF(AND(ISNUMBER($J111),$J111&gt;=1,$J111&lt;=500,MOD($J111,1)=0),"有效","超范围"))</f>
        <v/>
      </c>
      <c r="AC111">
        <f>IF(C111&lt;&gt;C110,"新玩法组",IF(J111&gt;=J110,"不降","回退"))</f>
        <v/>
      </c>
      <c r="AD111" t="inlineStr">
        <is>
          <t>等效进度估算S278，非解锁/首通节点；旧Lv500→500；NR_Layer 317 / 修正ID 2003｜2026-09-14 30层结构难度重设计：目标TTK/存活档内线性爬坡（整体约+25%），J等级与对照G不变；AE按60s/20s反查，无解封顶1,600,000。｜2026-09-14 等级带重排：J=383（240→500档内插值），目标曲线沿用30层重设计，K/L按新等级重拟合。｜2026-09-14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111" s="4" t="n">
        <v>1600000</v>
      </c>
      <c r="AF111" s="4">
        <f>INDEX(_统一战力!$B$2:$B$501,J111)</f>
        <v/>
      </c>
      <c r="AG111" t="n">
        <v>2003</v>
      </c>
      <c r="AH111" t="n">
        <v>317</v>
      </c>
      <c r="AI111" t="n">
        <v>4</v>
      </c>
    </row>
    <row r="112">
      <c r="A112" t="inlineStr">
        <is>
          <t>当前源表</t>
        </is>
      </c>
      <c r="B112" t="inlineStr">
        <is>
          <t>无限之旅</t>
        </is>
      </c>
      <c r="C112" t="inlineStr">
        <is>
          <t>难度4</t>
        </is>
      </c>
      <c r="D112" t="inlineStr">
        <is>
          <t>难度4-层318</t>
        </is>
      </c>
      <c r="F112" t="inlineStr">
        <is>
          <t>Boss</t>
        </is>
      </c>
      <c r="G112" t="n">
        <v>279</v>
      </c>
      <c r="I112" t="n">
        <v>279</v>
      </c>
      <c r="J112" t="n">
        <v>347</v>
      </c>
      <c r="K112" s="83" t="n">
        <v>2.1399961931</v>
      </c>
      <c r="L112" s="83" t="n">
        <v>1.4917321812</v>
      </c>
      <c r="M112" s="83" t="n">
        <v>1.06</v>
      </c>
      <c r="N112" t="n">
        <v>1</v>
      </c>
      <c r="O112" t="n">
        <v>1</v>
      </c>
      <c r="P112" s="17" t="n">
        <v>438.821944439408</v>
      </c>
      <c r="Q112" s="21">
        <f>IF($I112="","",IFERROR(INDEX(_玩家曲线!$H$2:$H$286,MATCH($I112,_玩家曲线!$A$2:$A$286,0)),""))</f>
        <v/>
      </c>
      <c r="R112" s="21">
        <f>IF($I112="","",IFERROR(INDEX(_玩家曲线!$I$2:$I$286,MATCH($I112,_玩家曲线!$A$2:$A$286,0)),""))</f>
        <v/>
      </c>
      <c r="S112" s="21">
        <f>IF(OR($J112="",$F112="不适用"),"",IFERROR(INDEX(_怪物模型!$D$2:$D$4501,(INT($J112)-1)*ROWS(_怪物类型!$A$2:$A$10)+MATCH($F112,_怪物类型!$A$2:$A$10,0))*IF($K112="",1,$K112),""))</f>
        <v/>
      </c>
      <c r="T112" s="21">
        <f>IF(OR($J112="",$F112="不适用"),"",IFERROR(INDEX(_怪物模型!$E$2:$E$4501,(INT($J112)-1)*ROWS(_怪物类型!$A$2:$A$10)+MATCH($F112,_怪物类型!$A$2:$A$10,0))*IF($L112="",1,$L112),""))</f>
        <v/>
      </c>
      <c r="U112" s="21">
        <f>IF(OR($J112="",$F112="不适用"),"",IFERROR(INDEX(_怪物模型!$F$2:$F$4501,(INT($J112)-1)*ROWS(_怪物类型!$A$2:$A$10)+MATCH($F112,_怪物类型!$A$2:$A$10,0))*IF($M112="",1,$M112),""))</f>
        <v/>
      </c>
      <c r="V112" s="84">
        <f>IF($U112="","",MIN(0.75,$U112/($U112+24000)))</f>
        <v/>
      </c>
      <c r="W112" s="21">
        <f>IF($S112="","",$S112/(1-$V112)*IF($N112="",1,$N112))</f>
        <v/>
      </c>
      <c r="X112" s="17">
        <f>IF(OR($W112="",$Q112="",$Q112=0),"",$W112/$Q112)</f>
        <v/>
      </c>
      <c r="Y112" s="17">
        <f>IF(OR($R112="",$T112="",$T112=0),"",$R112/($T112*IF($O112="",1,$O112)))</f>
        <v/>
      </c>
      <c r="Z112" s="17">
        <f>IF(OR($X112="",$P112="",$P112=0),"",$X112/$P112)</f>
        <v/>
      </c>
      <c r="AA112">
        <f>IF($J112="","待填怪物等级",IF(OR($I112="",$Q112=""),"待填对照关卡",IF($P112="","已计算",IF(AND($Y112&lt;&gt;"",$Y112&lt;$X112),"生存不成立",IF($Z112&lt;0.5,"碾压",IF($Z112&lt;0.8,"偏简单",IF($Z112&lt;=1.2,"适中",IF($Z112&lt;=1.5,"偏难","过难"))))))))</f>
        <v/>
      </c>
      <c r="AB112">
        <f>IF($J112="","待填",IF(AND(ISNUMBER($J112),$J112&gt;=1,$J112&lt;=500,MOD($J112,1)=0),"有效","超范围"))</f>
        <v/>
      </c>
      <c r="AC112">
        <f>IF(C112&lt;&gt;C111,"新玩法组",IF(J112&gt;=J111,"不降","回退"))</f>
        <v/>
      </c>
      <c r="AD112" t="inlineStr">
        <is>
          <t>等效进度估算S278，非解锁/首通节点；旧Lv500→500；NR_Layer 318 / 修正ID 2004｜2026-09-14 30层结构难度重设计：目标TTK/存活档内线性爬坡（整体约+25%），J等级与对照G不变；AE按60s/20s反查，无解封顶1,600,000。｜2026-09-14 等级带重排：J=392（240→500档内插值），目标曲线沿用30层重设计，K/L按新等级重拟合。｜2026-09-14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112" s="4" t="n">
        <v>1600000</v>
      </c>
      <c r="AF112" s="4">
        <f>INDEX(_统一战力!$B$2:$B$501,J112)</f>
        <v/>
      </c>
      <c r="AG112" t="n">
        <v>2004</v>
      </c>
      <c r="AH112" t="n">
        <v>318</v>
      </c>
      <c r="AI112" t="n">
        <v>4</v>
      </c>
    </row>
    <row r="113">
      <c r="A113" t="inlineStr">
        <is>
          <t>当前源表</t>
        </is>
      </c>
      <c r="B113" t="inlineStr">
        <is>
          <t>无限之旅</t>
        </is>
      </c>
      <c r="C113" t="inlineStr">
        <is>
          <t>难度4</t>
        </is>
      </c>
      <c r="D113" t="inlineStr">
        <is>
          <t>难度4-层319</t>
        </is>
      </c>
      <c r="F113" t="inlineStr">
        <is>
          <t>Boss</t>
        </is>
      </c>
      <c r="G113" t="n">
        <v>279</v>
      </c>
      <c r="I113" t="n">
        <v>279</v>
      </c>
      <c r="J113" t="n">
        <v>355</v>
      </c>
      <c r="K113" s="83" t="n">
        <v>2.0050910188</v>
      </c>
      <c r="L113" s="83" t="n">
        <v>1.441814419</v>
      </c>
      <c r="M113" s="83" t="n">
        <v>1.08</v>
      </c>
      <c r="N113" t="n">
        <v>1</v>
      </c>
      <c r="O113" t="n">
        <v>1</v>
      </c>
      <c r="P113" s="17" t="n">
        <v>453.181816022656</v>
      </c>
      <c r="Q113" s="21">
        <f>IF($I113="","",IFERROR(INDEX(_玩家曲线!$H$2:$H$286,MATCH($I113,_玩家曲线!$A$2:$A$286,0)),""))</f>
        <v/>
      </c>
      <c r="R113" s="21">
        <f>IF($I113="","",IFERROR(INDEX(_玩家曲线!$I$2:$I$286,MATCH($I113,_玩家曲线!$A$2:$A$286,0)),""))</f>
        <v/>
      </c>
      <c r="S113" s="21">
        <f>IF(OR($J113="",$F113="不适用"),"",IFERROR(INDEX(_怪物模型!$D$2:$D$4501,(INT($J113)-1)*ROWS(_怪物类型!$A$2:$A$10)+MATCH($F113,_怪物类型!$A$2:$A$10,0))*IF($K113="",1,$K113),""))</f>
        <v/>
      </c>
      <c r="T113" s="21">
        <f>IF(OR($J113="",$F113="不适用"),"",IFERROR(INDEX(_怪物模型!$E$2:$E$4501,(INT($J113)-1)*ROWS(_怪物类型!$A$2:$A$10)+MATCH($F113,_怪物类型!$A$2:$A$10,0))*IF($L113="",1,$L113),""))</f>
        <v/>
      </c>
      <c r="U113" s="21">
        <f>IF(OR($J113="",$F113="不适用"),"",IFERROR(INDEX(_怪物模型!$F$2:$F$4501,(INT($J113)-1)*ROWS(_怪物类型!$A$2:$A$10)+MATCH($F113,_怪物类型!$A$2:$A$10,0))*IF($M113="",1,$M113),""))</f>
        <v/>
      </c>
      <c r="V113" s="84">
        <f>IF($U113="","",MIN(0.75,$U113/($U113+24000)))</f>
        <v/>
      </c>
      <c r="W113" s="21">
        <f>IF($S113="","",$S113/(1-$V113)*IF($N113="",1,$N113))</f>
        <v/>
      </c>
      <c r="X113" s="17">
        <f>IF(OR($W113="",$Q113="",$Q113=0),"",$W113/$Q113)</f>
        <v/>
      </c>
      <c r="Y113" s="17">
        <f>IF(OR($R113="",$T113="",$T113=0),"",$R113/($T113*IF($O113="",1,$O113)))</f>
        <v/>
      </c>
      <c r="Z113" s="17">
        <f>IF(OR($X113="",$P113="",$P113=0),"",$X113/$P113)</f>
        <v/>
      </c>
      <c r="AA113">
        <f>IF($J113="","待填怪物等级",IF(OR($I113="",$Q113=""),"待填对照关卡",IF($P113="","已计算",IF(AND($Y113&lt;&gt;"",$Y113&lt;$X113),"生存不成立",IF($Z113&lt;0.5,"碾压",IF($Z113&lt;0.8,"偏简单",IF($Z113&lt;=1.2,"适中",IF($Z113&lt;=1.5,"偏难","过难"))))))))</f>
        <v/>
      </c>
      <c r="AB113">
        <f>IF($J113="","待填",IF(AND(ISNUMBER($J113),$J113&gt;=1,$J113&lt;=500,MOD($J113,1)=0),"有效","超范围"))</f>
        <v/>
      </c>
      <c r="AC113">
        <f>IF(C113&lt;&gt;C112,"新玩法组",IF(J113&gt;=J112,"不降","回退"))</f>
        <v/>
      </c>
      <c r="AD113" t="inlineStr">
        <is>
          <t>等效进度估算S278，非解锁/首通节点；旧Lv500→500；NR_Layer 319 / 修正ID 2005｜2026-09-14 30层结构难度重设计：目标TTK/存活档内线性爬坡（整体约+25%），J等级与对照G不变；AE按60s/20s反查，无解封顶1,600,000。｜2026-09-14 等级带重排：J=401（240→500档内插值），目标曲线沿用30层重设计，K/L按新等级重拟合。｜2026-09-14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113" s="4" t="n">
        <v>1600000</v>
      </c>
      <c r="AF113" s="4">
        <f>INDEX(_统一战力!$B$2:$B$501,J113)</f>
        <v/>
      </c>
      <c r="AG113" t="n">
        <v>2005</v>
      </c>
      <c r="AH113" t="n">
        <v>319</v>
      </c>
      <c r="AI113" t="n">
        <v>4</v>
      </c>
    </row>
    <row r="114">
      <c r="A114" t="inlineStr">
        <is>
          <t>当前源表</t>
        </is>
      </c>
      <c r="B114" t="inlineStr">
        <is>
          <t>无限之旅</t>
        </is>
      </c>
      <c r="C114" t="inlineStr">
        <is>
          <t>难度4</t>
        </is>
      </c>
      <c r="D114" t="inlineStr">
        <is>
          <t>难度4-层320</t>
        </is>
      </c>
      <c r="F114" t="inlineStr">
        <is>
          <t>Boss</t>
        </is>
      </c>
      <c r="G114" t="n">
        <v>279</v>
      </c>
      <c r="I114" t="n">
        <v>279</v>
      </c>
      <c r="J114" t="n">
        <v>364</v>
      </c>
      <c r="K114" s="83" t="n">
        <v>1.8586007036</v>
      </c>
      <c r="L114" s="83" t="n">
        <v>1.3859375757</v>
      </c>
      <c r="M114" s="83" t="n">
        <v>1.1</v>
      </c>
      <c r="N114" t="n">
        <v>1</v>
      </c>
      <c r="O114" t="n">
        <v>1</v>
      </c>
      <c r="P114" s="17" t="n">
        <v>467.766880652355</v>
      </c>
      <c r="Q114" s="21">
        <f>IF($I114="","",IFERROR(INDEX(_玩家曲线!$H$2:$H$286,MATCH($I114,_玩家曲线!$A$2:$A$286,0)),""))</f>
        <v/>
      </c>
      <c r="R114" s="21">
        <f>IF($I114="","",IFERROR(INDEX(_玩家曲线!$I$2:$I$286,MATCH($I114,_玩家曲线!$A$2:$A$286,0)),""))</f>
        <v/>
      </c>
      <c r="S114" s="21">
        <f>IF(OR($J114="",$F114="不适用"),"",IFERROR(INDEX(_怪物模型!$D$2:$D$4501,(INT($J114)-1)*ROWS(_怪物类型!$A$2:$A$10)+MATCH($F114,_怪物类型!$A$2:$A$10,0))*IF($K114="",1,$K114),""))</f>
        <v/>
      </c>
      <c r="T114" s="21">
        <f>IF(OR($J114="",$F114="不适用"),"",IFERROR(INDEX(_怪物模型!$E$2:$E$4501,(INT($J114)-1)*ROWS(_怪物类型!$A$2:$A$10)+MATCH($F114,_怪物类型!$A$2:$A$10,0))*IF($L114="",1,$L114),""))</f>
        <v/>
      </c>
      <c r="U114" s="21">
        <f>IF(OR($J114="",$F114="不适用"),"",IFERROR(INDEX(_怪物模型!$F$2:$F$4501,(INT($J114)-1)*ROWS(_怪物类型!$A$2:$A$10)+MATCH($F114,_怪物类型!$A$2:$A$10,0))*IF($M114="",1,$M114),""))</f>
        <v/>
      </c>
      <c r="V114" s="84">
        <f>IF($U114="","",MIN(0.75,$U114/($U114+24000)))</f>
        <v/>
      </c>
      <c r="W114" s="21">
        <f>IF($S114="","",$S114/(1-$V114)*IF($N114="",1,$N114))</f>
        <v/>
      </c>
      <c r="X114" s="17">
        <f>IF(OR($W114="",$Q114="",$Q114=0),"",$W114/$Q114)</f>
        <v/>
      </c>
      <c r="Y114" s="17">
        <f>IF(OR($R114="",$T114="",$T114=0),"",$R114/($T114*IF($O114="",1,$O114)))</f>
        <v/>
      </c>
      <c r="Z114" s="17">
        <f>IF(OR($X114="",$P114="",$P114=0),"",$X114/$P114)</f>
        <v/>
      </c>
      <c r="AA114">
        <f>IF($J114="","待填怪物等级",IF(OR($I114="",$Q114=""),"待填对照关卡",IF($P114="","已计算",IF(AND($Y114&lt;&gt;"",$Y114&lt;$X114),"生存不成立",IF($Z114&lt;0.5,"碾压",IF($Z114&lt;0.8,"偏简单",IF($Z114&lt;=1.2,"适中",IF($Z114&lt;=1.5,"偏难","过难"))))))))</f>
        <v/>
      </c>
      <c r="AB114">
        <f>IF($J114="","待填",IF(AND(ISNUMBER($J114),$J114&gt;=1,$J114&lt;=500,MOD($J114,1)=0),"有效","超范围"))</f>
        <v/>
      </c>
      <c r="AC114">
        <f>IF(C114&lt;&gt;C113,"新玩法组",IF(J114&gt;=J113,"不降","回退"))</f>
        <v/>
      </c>
      <c r="AD114" t="inlineStr">
        <is>
          <t>等效进度估算S278，非解锁/首通节点；旧Lv500→500；NR_Layer 320 / 修正ID 2006｜2026-09-14 30层结构难度重设计：目标TTK/存活档内线性爬坡（整体约+25%），J等级与对照G不变；AE按60s/20s反查，无解封顶1,600,000。｜2026-09-14 等级带重排：J=410（240→500档内插值），目标曲线沿用30层重设计，K/L按新等级重拟合。｜2026-09-14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114" s="4" t="n">
        <v>1600000</v>
      </c>
      <c r="AF114" s="4">
        <f>INDEX(_统一战力!$B$2:$B$501,J114)</f>
        <v/>
      </c>
      <c r="AG114" t="n">
        <v>2006</v>
      </c>
      <c r="AH114" t="n">
        <v>320</v>
      </c>
      <c r="AI114" t="n">
        <v>4</v>
      </c>
    </row>
    <row r="115">
      <c r="A115" t="inlineStr">
        <is>
          <t>当前源表</t>
        </is>
      </c>
      <c r="B115" t="inlineStr">
        <is>
          <t>无限之旅</t>
        </is>
      </c>
      <c r="C115" t="inlineStr">
        <is>
          <t>难度4</t>
        </is>
      </c>
      <c r="D115" t="inlineStr">
        <is>
          <t>难度4-层321</t>
        </is>
      </c>
      <c r="F115" t="inlineStr">
        <is>
          <t>Boss</t>
        </is>
      </c>
      <c r="G115" t="n">
        <v>279</v>
      </c>
      <c r="I115" t="n">
        <v>279</v>
      </c>
      <c r="J115" t="n">
        <v>372</v>
      </c>
      <c r="K115" s="83" t="n">
        <v>1.7433361225</v>
      </c>
      <c r="L115" s="83" t="n">
        <v>1.3417021548</v>
      </c>
      <c r="M115" s="83" t="n">
        <v>1.13</v>
      </c>
      <c r="N115" t="n">
        <v>1</v>
      </c>
      <c r="O115" t="n">
        <v>1</v>
      </c>
      <c r="P115" s="17" t="n">
        <v>490.066714559002</v>
      </c>
      <c r="Q115" s="21">
        <f>IF($I115="","",IFERROR(INDEX(_玩家曲线!$H$2:$H$286,MATCH($I115,_玩家曲线!$A$2:$A$286,0)),""))</f>
        <v/>
      </c>
      <c r="R115" s="21">
        <f>IF($I115="","",IFERROR(INDEX(_玩家曲线!$I$2:$I$286,MATCH($I115,_玩家曲线!$A$2:$A$286,0)),""))</f>
        <v/>
      </c>
      <c r="S115" s="21">
        <f>IF(OR($J115="",$F115="不适用"),"",IFERROR(INDEX(_怪物模型!$D$2:$D$4501,(INT($J115)-1)*ROWS(_怪物类型!$A$2:$A$10)+MATCH($F115,_怪物类型!$A$2:$A$10,0))*IF($K115="",1,$K115),""))</f>
        <v/>
      </c>
      <c r="T115" s="21">
        <f>IF(OR($J115="",$F115="不适用"),"",IFERROR(INDEX(_怪物模型!$E$2:$E$4501,(INT($J115)-1)*ROWS(_怪物类型!$A$2:$A$10)+MATCH($F115,_怪物类型!$A$2:$A$10,0))*IF($L115="",1,$L115),""))</f>
        <v/>
      </c>
      <c r="U115" s="21">
        <f>IF(OR($J115="",$F115="不适用"),"",IFERROR(INDEX(_怪物模型!$F$2:$F$4501,(INT($J115)-1)*ROWS(_怪物类型!$A$2:$A$10)+MATCH($F115,_怪物类型!$A$2:$A$10,0))*IF($M115="",1,$M115),""))</f>
        <v/>
      </c>
      <c r="V115" s="84">
        <f>IF($U115="","",MIN(0.75,$U115/($U115+24000)))</f>
        <v/>
      </c>
      <c r="W115" s="21">
        <f>IF($S115="","",$S115/(1-$V115)*IF($N115="",1,$N115))</f>
        <v/>
      </c>
      <c r="X115" s="17">
        <f>IF(OR($W115="",$Q115="",$Q115=0),"",$W115/$Q115)</f>
        <v/>
      </c>
      <c r="Y115" s="17">
        <f>IF(OR($R115="",$T115="",$T115=0),"",$R115/($T115*IF($O115="",1,$O115)))</f>
        <v/>
      </c>
      <c r="Z115" s="17">
        <f>IF(OR($X115="",$P115="",$P115=0),"",$X115/$P115)</f>
        <v/>
      </c>
      <c r="AA115">
        <f>IF($J115="","待填怪物等级",IF(OR($I115="",$Q115=""),"待填对照关卡",IF($P115="","已计算",IF(AND($Y115&lt;&gt;"",$Y115&lt;$X115),"生存不成立",IF($Z115&lt;0.5,"碾压",IF($Z115&lt;0.8,"偏简单",IF($Z115&lt;=1.2,"适中",IF($Z115&lt;=1.5,"偏难","过难"))))))))</f>
        <v/>
      </c>
      <c r="AB115">
        <f>IF($J115="","待填",IF(AND(ISNUMBER($J115),$J115&gt;=1,$J115&lt;=500,MOD($J115,1)=0),"有效","超范围"))</f>
        <v/>
      </c>
      <c r="AC115">
        <f>IF(C115&lt;&gt;C114,"新玩法组",IF(J115&gt;=J114,"不降","回退"))</f>
        <v/>
      </c>
      <c r="AD115" t="inlineStr">
        <is>
          <t>等效进度估算S278，非解锁/首通节点；旧Lv500→500；NR_Layer 321 / 修正ID 2007｜2026-09-14 30层结构难度重设计：目标TTK/存活档内线性爬坡（整体约+25%），J等级与对照G不变；AE按60s/20s反查，无解封顶1,600,000。｜2026-09-14 等级带重排：J=419（240→500档内插值），目标曲线沿用30层重设计，K/L按新等级重拟合。｜2026-09-14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115" s="4" t="n">
        <v>1600000</v>
      </c>
      <c r="AF115" s="4">
        <f>INDEX(_统一战力!$B$2:$B$501,J115)</f>
        <v/>
      </c>
      <c r="AG115" t="n">
        <v>2007</v>
      </c>
      <c r="AH115" t="n">
        <v>321</v>
      </c>
      <c r="AI115" t="n">
        <v>4</v>
      </c>
    </row>
    <row r="116">
      <c r="A116" t="inlineStr">
        <is>
          <t>当前源表</t>
        </is>
      </c>
      <c r="B116" t="inlineStr">
        <is>
          <t>无限之旅</t>
        </is>
      </c>
      <c r="C116" t="inlineStr">
        <is>
          <t>难度4</t>
        </is>
      </c>
      <c r="D116" t="inlineStr">
        <is>
          <t>难度4-层322</t>
        </is>
      </c>
      <c r="F116" t="inlineStr">
        <is>
          <t>Boss</t>
        </is>
      </c>
      <c r="G116" t="n">
        <v>279</v>
      </c>
      <c r="I116" t="n">
        <v>279</v>
      </c>
      <c r="J116" t="n">
        <v>381</v>
      </c>
      <c r="K116" s="83" t="n">
        <v>1.6181445598</v>
      </c>
      <c r="L116" s="83" t="n">
        <v>1.2919073856</v>
      </c>
      <c r="M116" s="83" t="n">
        <v>1.15</v>
      </c>
      <c r="N116" t="n">
        <v>1</v>
      </c>
      <c r="O116" t="n">
        <v>1</v>
      </c>
      <c r="P116" s="17" t="n">
        <v>505.214761804831</v>
      </c>
      <c r="Q116" s="21">
        <f>IF($I116="","",IFERROR(INDEX(_玩家曲线!$H$2:$H$286,MATCH($I116,_玩家曲线!$A$2:$A$286,0)),""))</f>
        <v/>
      </c>
      <c r="R116" s="21">
        <f>IF($I116="","",IFERROR(INDEX(_玩家曲线!$I$2:$I$286,MATCH($I116,_玩家曲线!$A$2:$A$286,0)),""))</f>
        <v/>
      </c>
      <c r="S116" s="21">
        <f>IF(OR($J116="",$F116="不适用"),"",IFERROR(INDEX(_怪物模型!$D$2:$D$4501,(INT($J116)-1)*ROWS(_怪物类型!$A$2:$A$10)+MATCH($F116,_怪物类型!$A$2:$A$10,0))*IF($K116="",1,$K116),""))</f>
        <v/>
      </c>
      <c r="T116" s="21">
        <f>IF(OR($J116="",$F116="不适用"),"",IFERROR(INDEX(_怪物模型!$E$2:$E$4501,(INT($J116)-1)*ROWS(_怪物类型!$A$2:$A$10)+MATCH($F116,_怪物类型!$A$2:$A$10,0))*IF($L116="",1,$L116),""))</f>
        <v/>
      </c>
      <c r="U116" s="21">
        <f>IF(OR($J116="",$F116="不适用"),"",IFERROR(INDEX(_怪物模型!$F$2:$F$4501,(INT($J116)-1)*ROWS(_怪物类型!$A$2:$A$10)+MATCH($F116,_怪物类型!$A$2:$A$10,0))*IF($M116="",1,$M116),""))</f>
        <v/>
      </c>
      <c r="V116" s="84">
        <f>IF($U116="","",MIN(0.75,$U116/($U116+24000)))</f>
        <v/>
      </c>
      <c r="W116" s="21">
        <f>IF($S116="","",$S116/(1-$V116)*IF($N116="",1,$N116))</f>
        <v/>
      </c>
      <c r="X116" s="17">
        <f>IF(OR($W116="",$Q116="",$Q116=0),"",$W116/$Q116)</f>
        <v/>
      </c>
      <c r="Y116" s="17">
        <f>IF(OR($R116="",$T116="",$T116=0),"",$R116/($T116*IF($O116="",1,$O116)))</f>
        <v/>
      </c>
      <c r="Z116" s="17">
        <f>IF(OR($X116="",$P116="",$P116=0),"",$X116/$P116)</f>
        <v/>
      </c>
      <c r="AA116">
        <f>IF($J116="","待填怪物等级",IF(OR($I116="",$Q116=""),"待填对照关卡",IF($P116="","已计算",IF(AND($Y116&lt;&gt;"",$Y116&lt;$X116),"生存不成立",IF($Z116&lt;0.5,"碾压",IF($Z116&lt;0.8,"偏简单",IF($Z116&lt;=1.2,"适中",IF($Z116&lt;=1.5,"偏难","过难"))))))))</f>
        <v/>
      </c>
      <c r="AB116">
        <f>IF($J116="","待填",IF(AND(ISNUMBER($J116),$J116&gt;=1,$J116&lt;=500,MOD($J116,1)=0),"有效","超范围"))</f>
        <v/>
      </c>
      <c r="AC116">
        <f>IF(C116&lt;&gt;C115,"新玩法组",IF(J116&gt;=J115,"不降","回退"))</f>
        <v/>
      </c>
      <c r="AD116" t="inlineStr">
        <is>
          <t>等效进度估算S278，非解锁/首通节点；旧Lv500→500；NR_Layer 322 / 修正ID 2008｜2026-09-14 30层结构难度重设计：目标TTK/存活档内线性爬坡（整体约+25%），J等级与对照G不变；AE按60s/20s反查，无解封顶1,600,000。｜2026-09-14 等级带重排：J=428（240→500档内插值），目标曲线沿用30层重设计，K/L按新等级重拟合。｜2026-09-14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116" s="4" t="n">
        <v>1600000</v>
      </c>
      <c r="AF116" s="4">
        <f>INDEX(_统一战力!$B$2:$B$501,J116)</f>
        <v/>
      </c>
      <c r="AG116" t="n">
        <v>2008</v>
      </c>
      <c r="AH116" t="n">
        <v>322</v>
      </c>
      <c r="AI116" t="n">
        <v>4</v>
      </c>
    </row>
    <row r="117">
      <c r="A117" t="inlineStr">
        <is>
          <t>当前源表</t>
        </is>
      </c>
      <c r="B117" t="inlineStr">
        <is>
          <t>无限之旅</t>
        </is>
      </c>
      <c r="C117" t="inlineStr">
        <is>
          <t>难度4</t>
        </is>
      </c>
      <c r="D117" t="inlineStr">
        <is>
          <t>难度4-层323</t>
        </is>
      </c>
      <c r="F117" t="inlineStr">
        <is>
          <t>Boss</t>
        </is>
      </c>
      <c r="G117" t="n">
        <v>279</v>
      </c>
      <c r="I117" t="n">
        <v>279</v>
      </c>
      <c r="J117" t="n">
        <v>390</v>
      </c>
      <c r="K117" s="83" t="n">
        <v>1.5030372243</v>
      </c>
      <c r="L117" s="83" t="n">
        <v>1.2450205816</v>
      </c>
      <c r="M117" s="83" t="n">
        <v>1.17</v>
      </c>
      <c r="N117" t="n">
        <v>1</v>
      </c>
      <c r="O117" t="n">
        <v>1</v>
      </c>
      <c r="P117" s="17" t="n">
        <v>520.588002097113</v>
      </c>
      <c r="Q117" s="21">
        <f>IF($I117="","",IFERROR(INDEX(_玩家曲线!$H$2:$H$286,MATCH($I117,_玩家曲线!$A$2:$A$286,0)),""))</f>
        <v/>
      </c>
      <c r="R117" s="21">
        <f>IF($I117="","",IFERROR(INDEX(_玩家曲线!$I$2:$I$286,MATCH($I117,_玩家曲线!$A$2:$A$286,0)),""))</f>
        <v/>
      </c>
      <c r="S117" s="21">
        <f>IF(OR($J117="",$F117="不适用"),"",IFERROR(INDEX(_怪物模型!$D$2:$D$4501,(INT($J117)-1)*ROWS(_怪物类型!$A$2:$A$10)+MATCH($F117,_怪物类型!$A$2:$A$10,0))*IF($K117="",1,$K117),""))</f>
        <v/>
      </c>
      <c r="T117" s="21">
        <f>IF(OR($J117="",$F117="不适用"),"",IFERROR(INDEX(_怪物模型!$E$2:$E$4501,(INT($J117)-1)*ROWS(_怪物类型!$A$2:$A$10)+MATCH($F117,_怪物类型!$A$2:$A$10,0))*IF($L117="",1,$L117),""))</f>
        <v/>
      </c>
      <c r="U117" s="21">
        <f>IF(OR($J117="",$F117="不适用"),"",IFERROR(INDEX(_怪物模型!$F$2:$F$4501,(INT($J117)-1)*ROWS(_怪物类型!$A$2:$A$10)+MATCH($F117,_怪物类型!$A$2:$A$10,0))*IF($M117="",1,$M117),""))</f>
        <v/>
      </c>
      <c r="V117" s="84">
        <f>IF($U117="","",MIN(0.75,$U117/($U117+24000)))</f>
        <v/>
      </c>
      <c r="W117" s="21">
        <f>IF($S117="","",$S117/(1-$V117)*IF($N117="",1,$N117))</f>
        <v/>
      </c>
      <c r="X117" s="17">
        <f>IF(OR($W117="",$Q117="",$Q117=0),"",$W117/$Q117)</f>
        <v/>
      </c>
      <c r="Y117" s="17">
        <f>IF(OR($R117="",$T117="",$T117=0),"",$R117/($T117*IF($O117="",1,$O117)))</f>
        <v/>
      </c>
      <c r="Z117" s="17">
        <f>IF(OR($X117="",$P117="",$P117=0),"",$X117/$P117)</f>
        <v/>
      </c>
      <c r="AA117">
        <f>IF($J117="","待填怪物等级",IF(OR($I117="",$Q117=""),"待填对照关卡",IF($P117="","已计算",IF(AND($Y117&lt;&gt;"",$Y117&lt;$X117),"生存不成立",IF($Z117&lt;0.5,"碾压",IF($Z117&lt;0.8,"偏简单",IF($Z117&lt;=1.2,"适中",IF($Z117&lt;=1.5,"偏难","过难"))))))))</f>
        <v/>
      </c>
      <c r="AB117">
        <f>IF($J117="","待填",IF(AND(ISNUMBER($J117),$J117&gt;=1,$J117&lt;=500,MOD($J117,1)=0),"有效","超范围"))</f>
        <v/>
      </c>
      <c r="AC117">
        <f>IF(C117&lt;&gt;C116,"新玩法组",IF(J117&gt;=J116,"不降","回退"))</f>
        <v/>
      </c>
      <c r="AD117" t="inlineStr">
        <is>
          <t>等效进度估算S278，非解锁/首通节点；旧Lv500→500；NR_Layer 323 / 修正ID 2009｜2026-09-14 30层结构难度重设计：目标TTK/存活档内线性爬坡（整体约+25%），J等级与对照G不变；AE按60s/20s反查，无解封顶1,600,000。｜2026-09-14 等级带重排：J=437（240→500档内插值），目标曲线沿用30层重设计，K/L按新等级重拟合。｜2026-09-14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117" s="4" t="n">
        <v>1600000</v>
      </c>
      <c r="AF117" s="4">
        <f>INDEX(_统一战力!$B$2:$B$501,J117)</f>
        <v/>
      </c>
      <c r="AG117" t="n">
        <v>2009</v>
      </c>
      <c r="AH117" t="n">
        <v>323</v>
      </c>
      <c r="AI117" t="n">
        <v>4</v>
      </c>
    </row>
    <row r="118">
      <c r="A118" t="inlineStr">
        <is>
          <t>当前源表</t>
        </is>
      </c>
      <c r="B118" t="inlineStr">
        <is>
          <t>无限之旅</t>
        </is>
      </c>
      <c r="C118" t="inlineStr">
        <is>
          <t>难度4</t>
        </is>
      </c>
      <c r="D118" t="inlineStr">
        <is>
          <t>难度4-层324</t>
        </is>
      </c>
      <c r="F118" t="inlineStr">
        <is>
          <t>Boss</t>
        </is>
      </c>
      <c r="G118" t="n">
        <v>279</v>
      </c>
      <c r="I118" t="n">
        <v>279</v>
      </c>
      <c r="J118" t="n">
        <v>398</v>
      </c>
      <c r="K118" s="83" t="n">
        <v>1.4120681491</v>
      </c>
      <c r="L118" s="83" t="n">
        <v>1.2080903267</v>
      </c>
      <c r="M118" s="83" t="n">
        <v>1.2</v>
      </c>
      <c r="N118" t="n">
        <v>1</v>
      </c>
      <c r="O118" t="n">
        <v>1</v>
      </c>
      <c r="P118" s="17" t="n">
        <v>544.070099497632</v>
      </c>
      <c r="Q118" s="21">
        <f>IF($I118="","",IFERROR(INDEX(_玩家曲线!$H$2:$H$286,MATCH($I118,_玩家曲线!$A$2:$A$286,0)),""))</f>
        <v/>
      </c>
      <c r="R118" s="21">
        <f>IF($I118="","",IFERROR(INDEX(_玩家曲线!$I$2:$I$286,MATCH($I118,_玩家曲线!$A$2:$A$286,0)),""))</f>
        <v/>
      </c>
      <c r="S118" s="21">
        <f>IF(OR($J118="",$F118="不适用"),"",IFERROR(INDEX(_怪物模型!$D$2:$D$4501,(INT($J118)-1)*ROWS(_怪物类型!$A$2:$A$10)+MATCH($F118,_怪物类型!$A$2:$A$10,0))*IF($K118="",1,$K118),""))</f>
        <v/>
      </c>
      <c r="T118" s="21">
        <f>IF(OR($J118="",$F118="不适用"),"",IFERROR(INDEX(_怪物模型!$E$2:$E$4501,(INT($J118)-1)*ROWS(_怪物类型!$A$2:$A$10)+MATCH($F118,_怪物类型!$A$2:$A$10,0))*IF($L118="",1,$L118),""))</f>
        <v/>
      </c>
      <c r="U118" s="21">
        <f>IF(OR($J118="",$F118="不适用"),"",IFERROR(INDEX(_怪物模型!$F$2:$F$4501,(INT($J118)-1)*ROWS(_怪物类型!$A$2:$A$10)+MATCH($F118,_怪物类型!$A$2:$A$10,0))*IF($M118="",1,$M118),""))</f>
        <v/>
      </c>
      <c r="V118" s="84">
        <f>IF($U118="","",MIN(0.75,$U118/($U118+24000)))</f>
        <v/>
      </c>
      <c r="W118" s="21">
        <f>IF($S118="","",$S118/(1-$V118)*IF($N118="",1,$N118))</f>
        <v/>
      </c>
      <c r="X118" s="17">
        <f>IF(OR($W118="",$Q118="",$Q118=0),"",$W118/$Q118)</f>
        <v/>
      </c>
      <c r="Y118" s="17">
        <f>IF(OR($R118="",$T118="",$T118=0),"",$R118/($T118*IF($O118="",1,$O118)))</f>
        <v/>
      </c>
      <c r="Z118" s="17">
        <f>IF(OR($X118="",$P118="",$P118=0),"",$X118/$P118)</f>
        <v/>
      </c>
      <c r="AA118">
        <f>IF($J118="","待填怪物等级",IF(OR($I118="",$Q118=""),"待填对照关卡",IF($P118="","已计算",IF(AND($Y118&lt;&gt;"",$Y118&lt;$X118),"生存不成立",IF($Z118&lt;0.5,"碾压",IF($Z118&lt;0.8,"偏简单",IF($Z118&lt;=1.2,"适中",IF($Z118&lt;=1.5,"偏难","过难"))))))))</f>
        <v/>
      </c>
      <c r="AB118">
        <f>IF($J118="","待填",IF(AND(ISNUMBER($J118),$J118&gt;=1,$J118&lt;=500,MOD($J118,1)=0),"有效","超范围"))</f>
        <v/>
      </c>
      <c r="AC118">
        <f>IF(C118&lt;&gt;C117,"新玩法组",IF(J118&gt;=J117,"不降","回退"))</f>
        <v/>
      </c>
      <c r="AD118" t="inlineStr">
        <is>
          <t>等效进度估算S278，非解锁/首通节点；旧Lv500→500；NR_Layer 324 / 修正ID 2010｜2026-09-14 30层结构难度重设计：目标TTK/存活档内线性爬坡（整体约+25%），J等级与对照G不变；AE按60s/20s反查，无解封顶1,600,000。｜2026-09-14 等级带重排：J=446（240→500档内插值），目标曲线沿用30层重设计，K/L按新等级重拟合。｜2026-09-14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118" s="4" t="n">
        <v>1600000</v>
      </c>
      <c r="AF118" s="4">
        <f>INDEX(_统一战力!$B$2:$B$501,J118)</f>
        <v/>
      </c>
      <c r="AG118" t="n">
        <v>2010</v>
      </c>
      <c r="AH118" t="n">
        <v>324</v>
      </c>
      <c r="AI118" t="n">
        <v>4</v>
      </c>
    </row>
    <row r="119">
      <c r="A119" t="inlineStr">
        <is>
          <t>当前源表</t>
        </is>
      </c>
      <c r="B119" t="inlineStr">
        <is>
          <t>无限之旅</t>
        </is>
      </c>
      <c r="C119" t="inlineStr">
        <is>
          <t>难度4</t>
        </is>
      </c>
      <c r="D119" t="inlineStr">
        <is>
          <t>难度4-层325</t>
        </is>
      </c>
      <c r="F119" t="inlineStr">
        <is>
          <t>Boss</t>
        </is>
      </c>
      <c r="G119" t="n">
        <v>279</v>
      </c>
      <c r="I119" t="n">
        <v>279</v>
      </c>
      <c r="J119" t="n">
        <v>407</v>
      </c>
      <c r="K119" s="83" t="n">
        <v>1.3132629151</v>
      </c>
      <c r="L119" s="83" t="n">
        <v>1.1661406676</v>
      </c>
      <c r="M119" s="83" t="n">
        <v>1.22</v>
      </c>
      <c r="N119" t="n">
        <v>1</v>
      </c>
      <c r="O119" t="n">
        <v>1</v>
      </c>
      <c r="P119" s="17" t="n">
        <v>560.006322406044</v>
      </c>
      <c r="Q119" s="21">
        <f>IF($I119="","",IFERROR(INDEX(_玩家曲线!$H$2:$H$286,MATCH($I119,_玩家曲线!$A$2:$A$286,0)),""))</f>
        <v/>
      </c>
      <c r="R119" s="21">
        <f>IF($I119="","",IFERROR(INDEX(_玩家曲线!$I$2:$I$286,MATCH($I119,_玩家曲线!$A$2:$A$286,0)),""))</f>
        <v/>
      </c>
      <c r="S119" s="21">
        <f>IF(OR($J119="",$F119="不适用"),"",IFERROR(INDEX(_怪物模型!$D$2:$D$4501,(INT($J119)-1)*ROWS(_怪物类型!$A$2:$A$10)+MATCH($F119,_怪物类型!$A$2:$A$10,0))*IF($K119="",1,$K119),""))</f>
        <v/>
      </c>
      <c r="T119" s="21">
        <f>IF(OR($J119="",$F119="不适用"),"",IFERROR(INDEX(_怪物模型!$E$2:$E$4501,(INT($J119)-1)*ROWS(_怪物类型!$A$2:$A$10)+MATCH($F119,_怪物类型!$A$2:$A$10,0))*IF($L119="",1,$L119),""))</f>
        <v/>
      </c>
      <c r="U119" s="21">
        <f>IF(OR($J119="",$F119="不适用"),"",IFERROR(INDEX(_怪物模型!$F$2:$F$4501,(INT($J119)-1)*ROWS(_怪物类型!$A$2:$A$10)+MATCH($F119,_怪物类型!$A$2:$A$10,0))*IF($M119="",1,$M119),""))</f>
        <v/>
      </c>
      <c r="V119" s="84">
        <f>IF($U119="","",MIN(0.75,$U119/($U119+24000)))</f>
        <v/>
      </c>
      <c r="W119" s="21">
        <f>IF($S119="","",$S119/(1-$V119)*IF($N119="",1,$N119))</f>
        <v/>
      </c>
      <c r="X119" s="17">
        <f>IF(OR($W119="",$Q119="",$Q119=0),"",$W119/$Q119)</f>
        <v/>
      </c>
      <c r="Y119" s="17">
        <f>IF(OR($R119="",$T119="",$T119=0),"",$R119/($T119*IF($O119="",1,$O119)))</f>
        <v/>
      </c>
      <c r="Z119" s="17">
        <f>IF(OR($X119="",$P119="",$P119=0),"",$X119/$P119)</f>
        <v/>
      </c>
      <c r="AA119">
        <f>IF($J119="","待填怪物等级",IF(OR($I119="",$Q119=""),"待填对照关卡",IF($P119="","已计算",IF(AND($Y119&lt;&gt;"",$Y119&lt;$X119),"生存不成立",IF($Z119&lt;0.5,"碾压",IF($Z119&lt;0.8,"偏简单",IF($Z119&lt;=1.2,"适中",IF($Z119&lt;=1.5,"偏难","过难"))))))))</f>
        <v/>
      </c>
      <c r="AB119">
        <f>IF($J119="","待填",IF(AND(ISNUMBER($J119),$J119&gt;=1,$J119&lt;=500,MOD($J119,1)=0),"有效","超范围"))</f>
        <v/>
      </c>
      <c r="AC119">
        <f>IF(C119&lt;&gt;C118,"新玩法组",IF(J119&gt;=J118,"不降","回退"))</f>
        <v/>
      </c>
      <c r="AD119" t="inlineStr">
        <is>
          <t>等效进度估算S278，非解锁/首通节点；旧Lv500→500；NR_Layer 325 / 修正ID 2011｜2026-09-14 30层结构难度重设计：目标TTK/存活档内线性爬坡（整体约+25%），J等级与对照G不变；AE按60s/20s反查，无解封顶1,600,000。｜2026-09-14 等级带重排：J=455（240→500档内插值），目标曲线沿用30层重设计，K/L按新等级重拟合。｜2026-09-14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119" s="4" t="n">
        <v>1600000</v>
      </c>
      <c r="AF119" s="4">
        <f>INDEX(_统一战力!$B$2:$B$501,J119)</f>
        <v/>
      </c>
      <c r="AG119" t="n">
        <v>2011</v>
      </c>
      <c r="AH119" t="n">
        <v>325</v>
      </c>
      <c r="AI119" t="n">
        <v>4</v>
      </c>
    </row>
    <row r="120">
      <c r="A120" t="inlineStr">
        <is>
          <t>当前源表</t>
        </is>
      </c>
      <c r="B120" t="inlineStr">
        <is>
          <t>无限之旅</t>
        </is>
      </c>
      <c r="C120" t="inlineStr">
        <is>
          <t>难度4</t>
        </is>
      </c>
      <c r="D120" t="inlineStr">
        <is>
          <t>难度4-层326</t>
        </is>
      </c>
      <c r="F120" t="inlineStr">
        <is>
          <t>Boss</t>
        </is>
      </c>
      <c r="G120" t="n">
        <v>279</v>
      </c>
      <c r="I120" t="n">
        <v>279</v>
      </c>
      <c r="J120" t="n">
        <v>416</v>
      </c>
      <c r="K120" s="83" t="n">
        <v>1.2221826916</v>
      </c>
      <c r="L120" s="83" t="n">
        <v>1.1265611007</v>
      </c>
      <c r="M120" s="83" t="n">
        <v>1.24</v>
      </c>
      <c r="N120" t="n">
        <v>1</v>
      </c>
      <c r="O120" t="n">
        <v>1</v>
      </c>
      <c r="P120" s="17" t="n">
        <v>573.386812321149</v>
      </c>
      <c r="Q120" s="21">
        <f>IF($I120="","",IFERROR(INDEX(_玩家曲线!$H$2:$H$286,MATCH($I120,_玩家曲线!$A$2:$A$286,0)),""))</f>
        <v/>
      </c>
      <c r="R120" s="21">
        <f>IF($I120="","",IFERROR(INDEX(_玩家曲线!$I$2:$I$286,MATCH($I120,_玩家曲线!$A$2:$A$286,0)),""))</f>
        <v/>
      </c>
      <c r="S120" s="21">
        <f>IF(OR($J120="",$F120="不适用"),"",IFERROR(INDEX(_怪物模型!$D$2:$D$4501,(INT($J120)-1)*ROWS(_怪物类型!$A$2:$A$10)+MATCH($F120,_怪物类型!$A$2:$A$10,0))*IF($K120="",1,$K120),""))</f>
        <v/>
      </c>
      <c r="T120" s="21">
        <f>IF(OR($J120="",$F120="不适用"),"",IFERROR(INDEX(_怪物模型!$E$2:$E$4501,(INT($J120)-1)*ROWS(_怪物类型!$A$2:$A$10)+MATCH($F120,_怪物类型!$A$2:$A$10,0))*IF($L120="",1,$L120),""))</f>
        <v/>
      </c>
      <c r="U120" s="21">
        <f>IF(OR($J120="",$F120="不适用"),"",IFERROR(INDEX(_怪物模型!$F$2:$F$4501,(INT($J120)-1)*ROWS(_怪物类型!$A$2:$A$10)+MATCH($F120,_怪物类型!$A$2:$A$10,0))*IF($M120="",1,$M120),""))</f>
        <v/>
      </c>
      <c r="V120" s="84">
        <f>IF($U120="","",MIN(0.75,$U120/($U120+24000)))</f>
        <v/>
      </c>
      <c r="W120" s="21">
        <f>IF($S120="","",$S120/(1-$V120)*IF($N120="",1,$N120))</f>
        <v/>
      </c>
      <c r="X120" s="17">
        <f>IF(OR($W120="",$Q120="",$Q120=0),"",$W120/$Q120)</f>
        <v/>
      </c>
      <c r="Y120" s="17">
        <f>IF(OR($R120="",$T120="",$T120=0),"",$R120/($T120*IF($O120="",1,$O120)))</f>
        <v/>
      </c>
      <c r="Z120" s="17">
        <f>IF(OR($X120="",$P120="",$P120=0),"",$X120/$P120)</f>
        <v/>
      </c>
      <c r="AA120">
        <f>IF($J120="","待填怪物等级",IF(OR($I120="",$Q120=""),"待填对照关卡",IF($P120="","已计算",IF(AND($Y120&lt;&gt;"",$Y120&lt;$X120),"生存不成立",IF($Z120&lt;0.5,"碾压",IF($Z120&lt;0.8,"偏简单",IF($Z120&lt;=1.2,"适中",IF($Z120&lt;=1.5,"偏难","过难"))))))))</f>
        <v/>
      </c>
      <c r="AB120">
        <f>IF($J120="","待填",IF(AND(ISNUMBER($J120),$J120&gt;=1,$J120&lt;=500,MOD($J120,1)=0),"有效","超范围"))</f>
        <v/>
      </c>
      <c r="AC120">
        <f>IF(C120&lt;&gt;C119,"新玩法组",IF(J120&gt;=J119,"不降","回退"))</f>
        <v/>
      </c>
      <c r="AD120" t="inlineStr">
        <is>
          <t>等效进度估算S278，非解锁/首通节点；旧Lv500→500；NR_Layer 326 / 修正ID 2012｜2026-09-14 30层结构难度重设计：目标TTK/存活档内线性爬坡（整体约+25%），J等级与对照G不变；AE按60s/20s反查，无解封顶1,600,000。｜2026-09-14 等级带重排：J=464（240→500档内插值），目标曲线沿用30层重设计，K/L按新等级重拟合。｜2026-09-14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120" s="4" t="n">
        <v>1600000</v>
      </c>
      <c r="AF120" s="4">
        <f>INDEX(_统一战力!$B$2:$B$501,J120)</f>
        <v/>
      </c>
      <c r="AG120" t="n">
        <v>2012</v>
      </c>
      <c r="AH120" t="n">
        <v>326</v>
      </c>
      <c r="AI120" t="n">
        <v>4</v>
      </c>
    </row>
    <row r="121">
      <c r="A121" t="inlineStr">
        <is>
          <t>当前源表</t>
        </is>
      </c>
      <c r="B121" t="inlineStr">
        <is>
          <t>无限之旅</t>
        </is>
      </c>
      <c r="C121" t="inlineStr">
        <is>
          <t>难度4</t>
        </is>
      </c>
      <c r="D121" t="inlineStr">
        <is>
          <t>难度4-层327</t>
        </is>
      </c>
      <c r="F121" t="inlineStr">
        <is>
          <t>Boss</t>
        </is>
      </c>
      <c r="G121" t="n">
        <v>279</v>
      </c>
      <c r="I121" t="n">
        <v>279</v>
      </c>
      <c r="J121" t="n">
        <v>424</v>
      </c>
      <c r="K121" s="83" t="n">
        <v>1.1499593839</v>
      </c>
      <c r="L121" s="83" t="n">
        <v>1.0956277201</v>
      </c>
      <c r="M121" s="83" t="n">
        <v>1.27</v>
      </c>
      <c r="N121" t="n">
        <v>1</v>
      </c>
      <c r="O121" t="n">
        <v>1</v>
      </c>
      <c r="P121" s="17" t="n">
        <v>587.259073909564</v>
      </c>
      <c r="Q121" s="21">
        <f>IF($I121="","",IFERROR(INDEX(_玩家曲线!$H$2:$H$286,MATCH($I121,_玩家曲线!$A$2:$A$286,0)),""))</f>
        <v/>
      </c>
      <c r="R121" s="21">
        <f>IF($I121="","",IFERROR(INDEX(_玩家曲线!$I$2:$I$286,MATCH($I121,_玩家曲线!$A$2:$A$286,0)),""))</f>
        <v/>
      </c>
      <c r="S121" s="21">
        <f>IF(OR($J121="",$F121="不适用"),"",IFERROR(INDEX(_怪物模型!$D$2:$D$4501,(INT($J121)-1)*ROWS(_怪物类型!$A$2:$A$10)+MATCH($F121,_怪物类型!$A$2:$A$10,0))*IF($K121="",1,$K121),""))</f>
        <v/>
      </c>
      <c r="T121" s="21">
        <f>IF(OR($J121="",$F121="不适用"),"",IFERROR(INDEX(_怪物模型!$E$2:$E$4501,(INT($J121)-1)*ROWS(_怪物类型!$A$2:$A$10)+MATCH($F121,_怪物类型!$A$2:$A$10,0))*IF($L121="",1,$L121),""))</f>
        <v/>
      </c>
      <c r="U121" s="21">
        <f>IF(OR($J121="",$F121="不适用"),"",IFERROR(INDEX(_怪物模型!$F$2:$F$4501,(INT($J121)-1)*ROWS(_怪物类型!$A$2:$A$10)+MATCH($F121,_怪物类型!$A$2:$A$10,0))*IF($M121="",1,$M121),""))</f>
        <v/>
      </c>
      <c r="V121" s="84">
        <f>IF($U121="","",MIN(0.75,$U121/($U121+24000)))</f>
        <v/>
      </c>
      <c r="W121" s="21">
        <f>IF($S121="","",$S121/(1-$V121)*IF($N121="",1,$N121))</f>
        <v/>
      </c>
      <c r="X121" s="17">
        <f>IF(OR($W121="",$Q121="",$Q121=0),"",$W121/$Q121)</f>
        <v/>
      </c>
      <c r="Y121" s="17">
        <f>IF(OR($R121="",$T121="",$T121=0),"",$R121/($T121*IF($O121="",1,$O121)))</f>
        <v/>
      </c>
      <c r="Z121" s="17">
        <f>IF(OR($X121="",$P121="",$P121=0),"",$X121/$P121)</f>
        <v/>
      </c>
      <c r="AA121">
        <f>IF($J121="","待填怪物等级",IF(OR($I121="",$Q121=""),"待填对照关卡",IF($P121="","已计算",IF(AND($Y121&lt;&gt;"",$Y121&lt;$X121),"生存不成立",IF($Z121&lt;0.5,"碾压",IF($Z121&lt;0.8,"偏简单",IF($Z121&lt;=1.2,"适中",IF($Z121&lt;=1.5,"偏难","过难"))))))))</f>
        <v/>
      </c>
      <c r="AB121">
        <f>IF($J121="","待填",IF(AND(ISNUMBER($J121),$J121&gt;=1,$J121&lt;=500,MOD($J121,1)=0),"有效","超范围"))</f>
        <v/>
      </c>
      <c r="AC121">
        <f>IF(C121&lt;&gt;C120,"新玩法组",IF(J121&gt;=J120,"不降","回退"))</f>
        <v/>
      </c>
      <c r="AD121" t="inlineStr">
        <is>
          <t>等效进度估算S278，非解锁/首通节点；旧Lv500→500；NR_Layer 327 / 修正ID 2013｜2026-09-14 30层结构难度重设计：目标TTK/存活档内线性爬坡（整体约+25%），J等级与对照G不变；AE按60s/20s反查，无解封顶1,600,000。｜2026-09-14 等级带重排：J=473（240→500档内插值），目标曲线沿用30层重设计，K/L按新等级重拟合。｜2026-09-14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121" s="4" t="n">
        <v>1600000</v>
      </c>
      <c r="AF121" s="4">
        <f>INDEX(_统一战力!$B$2:$B$501,J121)</f>
        <v/>
      </c>
      <c r="AG121" t="n">
        <v>2013</v>
      </c>
      <c r="AH121" t="n">
        <v>327</v>
      </c>
      <c r="AI121" t="n">
        <v>4</v>
      </c>
    </row>
    <row r="122">
      <c r="A122" t="inlineStr">
        <is>
          <t>当前源表</t>
        </is>
      </c>
      <c r="B122" t="inlineStr">
        <is>
          <t>无限之旅</t>
        </is>
      </c>
      <c r="C122" t="inlineStr">
        <is>
          <t>难度4</t>
        </is>
      </c>
      <c r="D122" t="inlineStr">
        <is>
          <t>难度4-层328</t>
        </is>
      </c>
      <c r="F122" t="inlineStr">
        <is>
          <t>Boss</t>
        </is>
      </c>
      <c r="G122" t="n">
        <v>279</v>
      </c>
      <c r="I122" t="n">
        <v>279</v>
      </c>
      <c r="J122" t="n">
        <v>433</v>
      </c>
      <c r="K122" s="83" t="n">
        <v>1.0714578029</v>
      </c>
      <c r="L122" s="83" t="n">
        <v>1.0601270289</v>
      </c>
      <c r="M122" s="83" t="n">
        <v>1.29</v>
      </c>
      <c r="N122" t="n">
        <v>1</v>
      </c>
      <c r="O122" t="n">
        <v>1</v>
      </c>
      <c r="P122" s="17" t="n">
        <v>596.5072483018409</v>
      </c>
      <c r="Q122" s="21">
        <f>IF($I122="","",IFERROR(INDEX(_玩家曲线!$H$2:$H$286,MATCH($I122,_玩家曲线!$A$2:$A$286,0)),""))</f>
        <v/>
      </c>
      <c r="R122" s="21">
        <f>IF($I122="","",IFERROR(INDEX(_玩家曲线!$I$2:$I$286,MATCH($I122,_玩家曲线!$A$2:$A$286,0)),""))</f>
        <v/>
      </c>
      <c r="S122" s="21">
        <f>IF(OR($J122="",$F122="不适用"),"",IFERROR(INDEX(_怪物模型!$D$2:$D$4501,(INT($J122)-1)*ROWS(_怪物类型!$A$2:$A$10)+MATCH($F122,_怪物类型!$A$2:$A$10,0))*IF($K122="",1,$K122),""))</f>
        <v/>
      </c>
      <c r="T122" s="21">
        <f>IF(OR($J122="",$F122="不适用"),"",IFERROR(INDEX(_怪物模型!$E$2:$E$4501,(INT($J122)-1)*ROWS(_怪物类型!$A$2:$A$10)+MATCH($F122,_怪物类型!$A$2:$A$10,0))*IF($L122="",1,$L122),""))</f>
        <v/>
      </c>
      <c r="U122" s="21">
        <f>IF(OR($J122="",$F122="不适用"),"",IFERROR(INDEX(_怪物模型!$F$2:$F$4501,(INT($J122)-1)*ROWS(_怪物类型!$A$2:$A$10)+MATCH($F122,_怪物类型!$A$2:$A$10,0))*IF($M122="",1,$M122),""))</f>
        <v/>
      </c>
      <c r="V122" s="84">
        <f>IF($U122="","",MIN(0.75,$U122/($U122+24000)))</f>
        <v/>
      </c>
      <c r="W122" s="21">
        <f>IF($S122="","",$S122/(1-$V122)*IF($N122="",1,$N122))</f>
        <v/>
      </c>
      <c r="X122" s="17">
        <f>IF(OR($W122="",$Q122="",$Q122=0),"",$W122/$Q122)</f>
        <v/>
      </c>
      <c r="Y122" s="17">
        <f>IF(OR($R122="",$T122="",$T122=0),"",$R122/($T122*IF($O122="",1,$O122)))</f>
        <v/>
      </c>
      <c r="Z122" s="17">
        <f>IF(OR($X122="",$P122="",$P122=0),"",$X122/$P122)</f>
        <v/>
      </c>
      <c r="AA122">
        <f>IF($J122="","待填怪物等级",IF(OR($I122="",$Q122=""),"待填对照关卡",IF($P122="","已计算",IF(AND($Y122&lt;&gt;"",$Y122&lt;$X122),"生存不成立",IF($Z122&lt;0.5,"碾压",IF($Z122&lt;0.8,"偏简单",IF($Z122&lt;=1.2,"适中",IF($Z122&lt;=1.5,"偏难","过难"))))))))</f>
        <v/>
      </c>
      <c r="AB122">
        <f>IF($J122="","待填",IF(AND(ISNUMBER($J122),$J122&gt;=1,$J122&lt;=500,MOD($J122,1)=0),"有效","超范围"))</f>
        <v/>
      </c>
      <c r="AC122">
        <f>IF(C122&lt;&gt;C121,"新玩法组",IF(J122&gt;=J121,"不降","回退"))</f>
        <v/>
      </c>
      <c r="AD122" t="inlineStr">
        <is>
          <t>等效进度估算S278，非解锁/首通节点；旧Lv500→500；NR_Layer 328 / 修正ID 2014｜2026-09-14 30层结构难度重设计：目标TTK/存活档内线性爬坡（整体约+25%），J等级与对照G不变；AE按60s/20s反查，无解封顶1,600,000。｜2026-09-14 等级带重排：J=482（240→500档内插值），目标曲线沿用30层重设计，K/L按新等级重拟合。｜2026-09-14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122" s="4" t="n">
        <v>1600000</v>
      </c>
      <c r="AF122" s="4">
        <f>INDEX(_统一战力!$B$2:$B$501,J122)</f>
        <v/>
      </c>
      <c r="AG122" t="n">
        <v>2014</v>
      </c>
      <c r="AH122" t="n">
        <v>328</v>
      </c>
      <c r="AI122" t="n">
        <v>4</v>
      </c>
    </row>
    <row r="123">
      <c r="A123" t="inlineStr">
        <is>
          <t>当前源表</t>
        </is>
      </c>
      <c r="B123" t="inlineStr">
        <is>
          <t>无限之旅</t>
        </is>
      </c>
      <c r="C123" t="inlineStr">
        <is>
          <t>难度4</t>
        </is>
      </c>
      <c r="D123" t="inlineStr">
        <is>
          <t>难度4-层329</t>
        </is>
      </c>
      <c r="F123" t="inlineStr">
        <is>
          <t>Boss</t>
        </is>
      </c>
      <c r="G123" t="n">
        <v>279</v>
      </c>
      <c r="I123" t="n">
        <v>279</v>
      </c>
      <c r="J123" t="n">
        <v>441</v>
      </c>
      <c r="K123" s="83" t="n">
        <v>1.009053151</v>
      </c>
      <c r="L123" s="83" t="n">
        <v>1.0325466623</v>
      </c>
      <c r="M123" s="83" t="n">
        <v>1.32</v>
      </c>
      <c r="N123" t="n">
        <v>1</v>
      </c>
      <c r="O123" t="n">
        <v>1</v>
      </c>
      <c r="P123" s="17" t="n">
        <v>610.379509890256</v>
      </c>
      <c r="Q123" s="21">
        <f>IF($I123="","",IFERROR(INDEX(_玩家曲线!$H$2:$H$286,MATCH($I123,_玩家曲线!$A$2:$A$286,0)),""))</f>
        <v/>
      </c>
      <c r="R123" s="21">
        <f>IF($I123="","",IFERROR(INDEX(_玩家曲线!$I$2:$I$286,MATCH($I123,_玩家曲线!$A$2:$A$286,0)),""))</f>
        <v/>
      </c>
      <c r="S123" s="21">
        <f>IF(OR($J123="",$F123="不适用"),"",IFERROR(INDEX(_怪物模型!$D$2:$D$4501,(INT($J123)-1)*ROWS(_怪物类型!$A$2:$A$10)+MATCH($F123,_怪物类型!$A$2:$A$10,0))*IF($K123="",1,$K123),""))</f>
        <v/>
      </c>
      <c r="T123" s="21">
        <f>IF(OR($J123="",$F123="不适用"),"",IFERROR(INDEX(_怪物模型!$E$2:$E$4501,(INT($J123)-1)*ROWS(_怪物类型!$A$2:$A$10)+MATCH($F123,_怪物类型!$A$2:$A$10,0))*IF($L123="",1,$L123),""))</f>
        <v/>
      </c>
      <c r="U123" s="21">
        <f>IF(OR($J123="",$F123="不适用"),"",IFERROR(INDEX(_怪物模型!$F$2:$F$4501,(INT($J123)-1)*ROWS(_怪物类型!$A$2:$A$10)+MATCH($F123,_怪物类型!$A$2:$A$10,0))*IF($M123="",1,$M123),""))</f>
        <v/>
      </c>
      <c r="V123" s="84">
        <f>IF($U123="","",MIN(0.75,$U123/($U123+24000)))</f>
        <v/>
      </c>
      <c r="W123" s="21">
        <f>IF($S123="","",$S123/(1-$V123)*IF($N123="",1,$N123))</f>
        <v/>
      </c>
      <c r="X123" s="17">
        <f>IF(OR($W123="",$Q123="",$Q123=0),"",$W123/$Q123)</f>
        <v/>
      </c>
      <c r="Y123" s="17">
        <f>IF(OR($R123="",$T123="",$T123=0),"",$R123/($T123*IF($O123="",1,$O123)))</f>
        <v/>
      </c>
      <c r="Z123" s="17">
        <f>IF(OR($X123="",$P123="",$P123=0),"",$X123/$P123)</f>
        <v/>
      </c>
      <c r="AA123">
        <f>IF($J123="","待填怪物等级",IF(OR($I123="",$Q123=""),"待填对照关卡",IF($P123="","已计算",IF(AND($Y123&lt;&gt;"",$Y123&lt;$X123),"生存不成立",IF($Z123&lt;0.5,"碾压",IF($Z123&lt;0.8,"偏简单",IF($Z123&lt;=1.2,"适中",IF($Z123&lt;=1.5,"偏难","过难"))))))))</f>
        <v/>
      </c>
      <c r="AB123">
        <f>IF($J123="","待填",IF(AND(ISNUMBER($J123),$J123&gt;=1,$J123&lt;=500,MOD($J123,1)=0),"有效","超范围"))</f>
        <v/>
      </c>
      <c r="AC123">
        <f>IF(C123&lt;&gt;C122,"新玩法组",IF(J123&gt;=J122,"不降","回退"))</f>
        <v/>
      </c>
      <c r="AD123" t="inlineStr">
        <is>
          <t>等效进度估算S278，非解锁/首通节点；旧Lv500→500；NR_Layer 329 / 修正ID 2015｜2026-09-14 30层结构难度重设计：目标TTK/存活档内线性爬坡（整体约+25%），J等级与对照G不变；AE按60s/20s反查，无解封顶1,600,000。｜2026-09-14 等级带重排：J=491（240→500档内插值），目标曲线沿用30层重设计，K/L按新等级重拟合。｜2026-09-14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123" s="4" t="n">
        <v>1600000</v>
      </c>
      <c r="AF123" s="4">
        <f>INDEX(_统一战力!$B$2:$B$501,J123)</f>
        <v/>
      </c>
      <c r="AG123" t="n">
        <v>2015</v>
      </c>
      <c r="AH123" t="n">
        <v>329</v>
      </c>
      <c r="AI123" t="n">
        <v>4</v>
      </c>
    </row>
    <row r="124">
      <c r="A124" t="inlineStr">
        <is>
          <t>当前源表</t>
        </is>
      </c>
      <c r="B124" t="inlineStr">
        <is>
          <t>无限之旅</t>
        </is>
      </c>
      <c r="C124" t="inlineStr">
        <is>
          <t>难度4</t>
        </is>
      </c>
      <c r="D124" t="inlineStr">
        <is>
          <t>难度4-层330</t>
        </is>
      </c>
      <c r="F124" t="inlineStr">
        <is>
          <t>Boss</t>
        </is>
      </c>
      <c r="G124" t="n">
        <v>279</v>
      </c>
      <c r="I124" t="n">
        <v>279</v>
      </c>
      <c r="J124" t="n">
        <v>450</v>
      </c>
      <c r="K124" s="83" t="n">
        <v>0.941238671</v>
      </c>
      <c r="L124" s="83" t="n">
        <v>1.0006674526</v>
      </c>
      <c r="M124" s="83" t="n">
        <v>1.35</v>
      </c>
      <c r="N124" t="n">
        <v>1</v>
      </c>
      <c r="O124" t="n">
        <v>1</v>
      </c>
      <c r="P124" s="17" t="n">
        <v>624.251771478671</v>
      </c>
      <c r="Q124" s="21">
        <f>IF($I124="","",IFERROR(INDEX(_玩家曲线!$H$2:$H$286,MATCH($I124,_玩家曲线!$A$2:$A$286,0)),""))</f>
        <v/>
      </c>
      <c r="R124" s="21">
        <f>IF($I124="","",IFERROR(INDEX(_玩家曲线!$I$2:$I$286,MATCH($I124,_玩家曲线!$A$2:$A$286,0)),""))</f>
        <v/>
      </c>
      <c r="S124" s="21">
        <f>IF(OR($J124="",$F124="不适用"),"",IFERROR(INDEX(_怪物模型!$D$2:$D$4501,(INT($J124)-1)*ROWS(_怪物类型!$A$2:$A$10)+MATCH($F124,_怪物类型!$A$2:$A$10,0))*IF($K124="",1,$K124),""))</f>
        <v/>
      </c>
      <c r="T124" s="21">
        <f>IF(OR($J124="",$F124="不适用"),"",IFERROR(INDEX(_怪物模型!$E$2:$E$4501,(INT($J124)-1)*ROWS(_怪物类型!$A$2:$A$10)+MATCH($F124,_怪物类型!$A$2:$A$10,0))*IF($L124="",1,$L124),""))</f>
        <v/>
      </c>
      <c r="U124" s="21">
        <f>IF(OR($J124="",$F124="不适用"),"",IFERROR(INDEX(_怪物模型!$F$2:$F$4501,(INT($J124)-1)*ROWS(_怪物类型!$A$2:$A$10)+MATCH($F124,_怪物类型!$A$2:$A$10,0))*IF($M124="",1,$M124),""))</f>
        <v/>
      </c>
      <c r="V124" s="84">
        <f>IF($U124="","",MIN(0.75,$U124/($U124+24000)))</f>
        <v/>
      </c>
      <c r="W124" s="21">
        <f>IF($S124="","",$S124/(1-$V124)*IF($N124="",1,$N124))</f>
        <v/>
      </c>
      <c r="X124" s="17">
        <f>IF(OR($W124="",$Q124="",$Q124=0),"",$W124/$Q124)</f>
        <v/>
      </c>
      <c r="Y124" s="17">
        <f>IF(OR($R124="",$T124="",$T124=0),"",$R124/($T124*IF($O124="",1,$O124)))</f>
        <v/>
      </c>
      <c r="Z124" s="17">
        <f>IF(OR($X124="",$P124="",$P124=0),"",$X124/$P124)</f>
        <v/>
      </c>
      <c r="AA124">
        <f>IF($J124="","待填怪物等级",IF(OR($I124="",$Q124=""),"待填对照关卡",IF($P124="","已计算",IF(AND($Y124&lt;&gt;"",$Y124&lt;$X124),"生存不成立",IF($Z124&lt;0.5,"碾压",IF($Z124&lt;0.8,"偏简单",IF($Z124&lt;=1.2,"适中",IF($Z124&lt;=1.5,"偏难","过难"))))))))</f>
        <v/>
      </c>
      <c r="AB124">
        <f>IF($J124="","待填",IF(AND(ISNUMBER($J124),$J124&gt;=1,$J124&lt;=500,MOD($J124,1)=0),"有效","超范围"))</f>
        <v/>
      </c>
      <c r="AC124">
        <f>IF(C124&lt;&gt;C123,"新玩法组",IF(J124&gt;=J123,"不降","回退"))</f>
        <v/>
      </c>
      <c r="AD124" t="inlineStr">
        <is>
          <t>等效进度估算S278，非解锁/首通节点；旧Lv500→500；NR_Layer 330 / 修正ID 2016｜2026-09-14 30层结构难度重设计：目标TTK/存活档内线性爬坡（整体约+25%），J等级与对照G不变；AE按60s/20s反查，无解封顶1,600,000。｜2026-09-14 等级带重排：J=500（240→500档内插值），目标曲线沿用30层重设计，K/L按新等级重拟合。｜2026-09-14 等级带v2（用户定档）：D2 100→250 / D3 150→330 / D4 200→450（D1 50→200 不变），K/L 系数不变，难度实质下调；AE 按 60s/20s 重算。｜2026-09-14 K/L重拟合：新等级带上按@278目标TTK/存活重定系数，难度实质大幅下调。</t>
        </is>
      </c>
      <c r="AE124" s="4" t="n">
        <v>1600000</v>
      </c>
      <c r="AF124" s="4">
        <f>INDEX(_统一战力!$B$2:$B$501,J124)</f>
        <v/>
      </c>
      <c r="AG124" t="n">
        <v>2016</v>
      </c>
      <c r="AH124" t="n">
        <v>330</v>
      </c>
      <c r="AI124" t="n">
        <v>4</v>
      </c>
    </row>
  </sheetData>
  <mergeCells count="2">
    <mergeCell ref="A1:AF1"/>
    <mergeCell ref="A2:AF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F240"/>
  <sheetViews>
    <sheetView workbookViewId="0">
      <selection activeCell="A35" sqref="$A35:$XFD40"/>
    </sheetView>
  </sheetViews>
  <sheetFormatPr baseColWidth="8" defaultColWidth="9" defaultRowHeight="13.5"/>
  <cols>
    <col width="15" customWidth="1" min="1" max="3"/>
    <col width="26" customWidth="1" min="4" max="5"/>
    <col width="15" customWidth="1" min="6" max="29"/>
    <col width="65" customWidth="1" min="30" max="30"/>
    <col width="22" customWidth="1" min="31" max="32"/>
  </cols>
  <sheetData>
    <row r="1" ht="32" customHeight="1">
      <c r="A1" s="8" t="inlineStr">
        <is>
          <t>其他战斗玩法 · 统一难度源表</t>
        </is>
      </c>
    </row>
    <row r="2" ht="40" customHeight="1">
      <c r="A2" s="18" t="inlineStr">
        <is>
          <t>等效进度估算不是解锁条件；H列可手动覆盖。无限之旅修正ID保留，倍率建议需落表时拆分共享ID。</t>
        </is>
      </c>
    </row>
    <row r="3">
      <c r="A3" t="inlineStr">
        <is>
          <t>公式口径：怪物实际属性=战斗公式标准模型×可选系数；怪物EHP=实际生命÷(1-防御减伤)×整关EHP倍率；TTK=怪物EHP÷玩家DPS。</t>
        </is>
      </c>
    </row>
    <row r="4" ht="40" customHeight="1">
      <c r="A4" t="inlineStr">
        <is>
          <t>状态</t>
        </is>
      </c>
      <c r="B4" t="inlineStr">
        <is>
          <t>玩法</t>
        </is>
      </c>
      <c r="C4" t="inlineStr">
        <is>
          <t>子玩法/共用范围</t>
        </is>
      </c>
      <c r="D4" t="inlineStr">
        <is>
          <t>节点名称</t>
        </is>
      </c>
      <c r="E4" t="inlineStr">
        <is>
          <t>LevelId/配置映射</t>
        </is>
      </c>
      <c r="F4" t="inlineStr">
        <is>
          <t>怪物类型</t>
        </is>
      </c>
      <c r="G4" t="inlineStr">
        <is>
          <t>默认对照关卡</t>
        </is>
      </c>
      <c r="H4" t="inlineStr">
        <is>
          <t>手动对照关卡</t>
        </is>
      </c>
      <c r="I4" t="inlineStr">
        <is>
          <t>实际对照关卡</t>
        </is>
      </c>
      <c r="J4" t="inlineStr">
        <is>
          <t>怪物等级</t>
        </is>
      </c>
      <c r="K4" t="inlineStr">
        <is>
          <t>生命系数</t>
        </is>
      </c>
      <c r="L4" t="inlineStr">
        <is>
          <t>攻击系数</t>
        </is>
      </c>
      <c r="M4" t="inlineStr">
        <is>
          <t>防御系数</t>
        </is>
      </c>
      <c r="N4" t="inlineStr">
        <is>
          <t>整关EHP倍率</t>
        </is>
      </c>
      <c r="O4" t="inlineStr">
        <is>
          <t>攻击压力倍率</t>
        </is>
      </c>
      <c r="P4" t="inlineStr">
        <is>
          <t>目标时间(s)</t>
        </is>
      </c>
      <c r="Q4" s="3" t="inlineStr">
        <is>
          <t>玩家DPS</t>
        </is>
      </c>
      <c r="R4" s="3" t="inlineStr">
        <is>
          <t>玩家队伍EHP</t>
        </is>
      </c>
      <c r="S4" s="3" t="inlineStr">
        <is>
          <t>怪物实际生命</t>
        </is>
      </c>
      <c r="T4" s="3" t="inlineStr">
        <is>
          <t>怪物实际攻击</t>
        </is>
      </c>
      <c r="U4" s="3" t="inlineStr">
        <is>
          <t>怪物实际防御</t>
        </is>
      </c>
      <c r="V4" s="3" t="inlineStr">
        <is>
          <t>怪物减伤率</t>
        </is>
      </c>
      <c r="W4" s="3" t="inlineStr">
        <is>
          <t>整关目标EHP</t>
        </is>
      </c>
      <c r="X4" s="3" t="inlineStr">
        <is>
          <t>预测TTK(s)</t>
        </is>
      </c>
      <c r="Y4" s="3" t="inlineStr">
        <is>
          <t>预测存活(s)</t>
        </is>
      </c>
      <c r="Z4" s="3" t="inlineStr">
        <is>
          <t>TTK/目标</t>
        </is>
      </c>
      <c r="AA4" s="3" t="inlineStr">
        <is>
          <t>难度判断</t>
        </is>
      </c>
      <c r="AB4" s="3" t="inlineStr">
        <is>
          <t>等级检查</t>
        </is>
      </c>
      <c r="AC4" s="3" t="inlineStr">
        <is>
          <t>等级趋势</t>
        </is>
      </c>
      <c r="AD4" s="3" t="inlineStr">
        <is>
          <t>备注</t>
        </is>
      </c>
      <c r="AE4" s="3" t="inlineStr">
        <is>
          <t>玩法推荐战力</t>
        </is>
      </c>
      <c r="AF4" s="3" t="inlineStr">
        <is>
          <t>标准等级战力</t>
        </is>
      </c>
    </row>
    <row r="5">
      <c r="A5" t="inlineStr">
        <is>
          <t>当前源表</t>
        </is>
      </c>
      <c r="B5" t="inlineStr">
        <is>
          <t>其他战斗玩法</t>
        </is>
      </c>
      <c r="C5" t="inlineStr">
        <is>
          <t>LevelType_BossDungeonChallenges_Hard</t>
        </is>
      </c>
      <c r="D5" t="inlineStr">
        <is>
          <t>雪怪王 难度1</t>
        </is>
      </c>
      <c r="E5" t="inlineStr">
        <is>
          <t>510101</t>
        </is>
      </c>
      <c r="F5" t="inlineStr">
        <is>
          <t>Boss</t>
        </is>
      </c>
      <c r="G5" t="n">
        <v>53</v>
      </c>
      <c r="I5">
        <f>IF($H5="",$G5,$H5)</f>
        <v/>
      </c>
      <c r="J5" t="n">
        <v>98</v>
      </c>
      <c r="K5" s="83" t="n">
        <v>1.09264050109355</v>
      </c>
      <c r="L5" s="83" t="n">
        <v>0.79268174391955</v>
      </c>
      <c r="M5" s="83" t="n">
        <v>1</v>
      </c>
      <c r="N5" t="n">
        <v>1</v>
      </c>
      <c r="O5" t="n">
        <v>1</v>
      </c>
      <c r="P5" s="17" t="n">
        <v>35.9270793257236</v>
      </c>
      <c r="Q5" s="21">
        <f>IF($I5="","",IFERROR(INDEX(_玩家曲线!$H$2:$H$286,MATCH($I5,_玩家曲线!$A$2:$A$286,0)),""))</f>
        <v/>
      </c>
      <c r="R5" s="21">
        <f>IF($I5="","",IFERROR(INDEX(_玩家曲线!$I$2:$I$286,MATCH($I5,_玩家曲线!$A$2:$A$286,0)),""))</f>
        <v/>
      </c>
      <c r="S5" s="21">
        <f>IF(OR($J5="",$F5="不适用"),"",IFERROR(INDEX(_怪物模型!$D$2:$D$4501,(INT($J5)-1)*ROWS(_怪物类型!$A$2:$A$10)+MATCH($F5,_怪物类型!$A$2:$A$10,0))*IF($K5="",1,$K5),""))</f>
        <v/>
      </c>
      <c r="T5" s="21">
        <f>IF(OR($J5="",$F5="不适用"),"",IFERROR(INDEX(_怪物模型!$E$2:$E$4501,(INT($J5)-1)*ROWS(_怪物类型!$A$2:$A$10)+MATCH($F5,_怪物类型!$A$2:$A$10,0))*IF($L5="",1,$L5),""))</f>
        <v/>
      </c>
      <c r="U5" s="21">
        <f>IF(OR($J5="",$F5="不适用"),"",IFERROR(INDEX(_怪物模型!$F$2:$F$4501,(INT($J5)-1)*ROWS(_怪物类型!$A$2:$A$10)+MATCH($F5,_怪物类型!$A$2:$A$10,0))*IF($M5="",1,$M5),""))</f>
        <v/>
      </c>
      <c r="V5" s="84">
        <f>IF($U5="","",MIN(0.75,$U5/($U5+24000)))</f>
        <v/>
      </c>
      <c r="W5" s="21">
        <f>IF($S5="","",$S5/(1-$V5)*IF($N5="",1,$N5))</f>
        <v/>
      </c>
      <c r="X5" s="17">
        <f>IF(OR($W5="",$Q5="",$Q5=0),"",$W5/$Q5)</f>
        <v/>
      </c>
      <c r="Y5" s="17">
        <f>IF(OR($R5="",$T5="",$T5=0),"",$R5/($T5*IF($O5="",1,$O5)))</f>
        <v/>
      </c>
      <c r="Z5" s="17">
        <f>IF(OR($X5="",$P5="",$P5=0),"",$X5/$P5)</f>
        <v/>
      </c>
      <c r="AA5">
        <f>IF($J5="","待填怪物等级",IF(OR($I5="",$Q5=""),"待填对照关卡",IF($P5="","已计算",IF(AND($Y5&lt;&gt;"",$Y5&lt;$X5),"生存不成立",IF($Z5&lt;0.5,"碾压",IF($Z5&lt;0.8,"偏简单",IF($Z5&lt;=1.2,"适中",IF($Z5&lt;=1.5,"偏难","过难"))))))))</f>
        <v/>
      </c>
      <c r="AB5">
        <f>IF($J5="","待填",IF(AND(ISNUMBER($J5),$J5&gt;=1,$J5&lt;=500,MOD($J5,1)=0),"有效","超范围"))</f>
        <v/>
      </c>
      <c r="AC5" t="inlineStr">
        <is>
          <t>起点</t>
        </is>
      </c>
      <c r="AD5" t="inlineStr">
        <is>
          <t>等效进度估算S53，非解锁/首通节点；旧Lv120→98</t>
        </is>
      </c>
      <c r="AE5" s="4" t="n">
        <v>65300</v>
      </c>
      <c r="AF5" s="4">
        <f>INDEX(_统一战力!$B$2:$B$501,J5)</f>
        <v/>
      </c>
    </row>
    <row r="6">
      <c r="A6" t="inlineStr">
        <is>
          <t>当前源表</t>
        </is>
      </c>
      <c r="B6" t="inlineStr">
        <is>
          <t>其他战斗玩法</t>
        </is>
      </c>
      <c r="C6" t="inlineStr">
        <is>
          <t>LevelType_BossDungeonChallenges_Hard</t>
        </is>
      </c>
      <c r="D6" t="inlineStr">
        <is>
          <t>莫尔拉 难度1</t>
        </is>
      </c>
      <c r="E6" t="inlineStr">
        <is>
          <t>520101</t>
        </is>
      </c>
      <c r="F6" t="inlineStr">
        <is>
          <t>Boss</t>
        </is>
      </c>
      <c r="G6" t="n">
        <v>53</v>
      </c>
      <c r="I6">
        <f>IF($H6="",$G6,$H6)</f>
        <v/>
      </c>
      <c r="J6" t="n">
        <v>98</v>
      </c>
      <c r="K6" s="83" t="n">
        <v>1.09264050109355</v>
      </c>
      <c r="L6" s="83" t="n">
        <v>0.79268174391955</v>
      </c>
      <c r="M6" s="83" t="n">
        <v>1</v>
      </c>
      <c r="N6" t="n">
        <v>1</v>
      </c>
      <c r="O6" t="n">
        <v>1</v>
      </c>
      <c r="P6" s="17" t="n">
        <v>35.9270793257236</v>
      </c>
      <c r="Q6" s="21">
        <f>IF($I6="","",IFERROR(INDEX(_玩家曲线!$H$2:$H$286,MATCH($I6,_玩家曲线!$A$2:$A$286,0)),""))</f>
        <v/>
      </c>
      <c r="R6" s="21">
        <f>IF($I6="","",IFERROR(INDEX(_玩家曲线!$I$2:$I$286,MATCH($I6,_玩家曲线!$A$2:$A$286,0)),""))</f>
        <v/>
      </c>
      <c r="S6" s="21">
        <f>IF(OR($J6="",$F6="不适用"),"",IFERROR(INDEX(_怪物模型!$D$2:$D$4501,(INT($J6)-1)*ROWS(_怪物类型!$A$2:$A$10)+MATCH($F6,_怪物类型!$A$2:$A$10,0))*IF($K6="",1,$K6),""))</f>
        <v/>
      </c>
      <c r="T6" s="21">
        <f>IF(OR($J6="",$F6="不适用"),"",IFERROR(INDEX(_怪物模型!$E$2:$E$4501,(INT($J6)-1)*ROWS(_怪物类型!$A$2:$A$10)+MATCH($F6,_怪物类型!$A$2:$A$10,0))*IF($L6="",1,$L6),""))</f>
        <v/>
      </c>
      <c r="U6" s="21">
        <f>IF(OR($J6="",$F6="不适用"),"",IFERROR(INDEX(_怪物模型!$F$2:$F$4501,(INT($J6)-1)*ROWS(_怪物类型!$A$2:$A$10)+MATCH($F6,_怪物类型!$A$2:$A$10,0))*IF($M6="",1,$M6),""))</f>
        <v/>
      </c>
      <c r="V6" s="84">
        <f>IF($U6="","",MIN(0.75,$U6/($U6+24000)))</f>
        <v/>
      </c>
      <c r="W6" s="21">
        <f>IF($S6="","",$S6/(1-$V6)*IF($N6="",1,$N6))</f>
        <v/>
      </c>
      <c r="X6" s="17">
        <f>IF(OR($W6="",$Q6="",$Q6=0),"",$W6/$Q6)</f>
        <v/>
      </c>
      <c r="Y6" s="17">
        <f>IF(OR($R6="",$T6="",$T6=0),"",$R6/($T6*IF($O6="",1,$O6)))</f>
        <v/>
      </c>
      <c r="Z6" s="17">
        <f>IF(OR($X6="",$P6="",$P6=0),"",$X6/$P6)</f>
        <v/>
      </c>
      <c r="AA6">
        <f>IF($J6="","待填怪物等级",IF(OR($I6="",$Q6=""),"待填对照关卡",IF($P6="","已计算",IF(AND($Y6&lt;&gt;"",$Y6&lt;$X6),"生存不成立",IF($Z6&lt;0.5,"碾压",IF($Z6&lt;0.8,"偏简单",IF($Z6&lt;=1.2,"适中",IF($Z6&lt;=1.5,"偏难","过难"))))))))</f>
        <v/>
      </c>
      <c r="AB6">
        <f>IF($J6="","待填",IF(AND(ISNUMBER($J6),$J6&gt;=1,$J6&lt;=500,MOD($J6,1)=0),"有效","超范围"))</f>
        <v/>
      </c>
      <c r="AC6">
        <f>IF(C6&lt;&gt;C5,"新玩法组",IF(J6&gt;=J5,"不降","回退"))</f>
        <v/>
      </c>
      <c r="AD6" t="inlineStr">
        <is>
          <t>等效进度估算S53，非解锁/首通节点；旧Lv120→98</t>
        </is>
      </c>
      <c r="AE6" s="4" t="n">
        <v>65300</v>
      </c>
      <c r="AF6" s="4">
        <f>INDEX(_统一战力!$B$2:$B$501,J6)</f>
        <v/>
      </c>
    </row>
    <row r="7">
      <c r="A7" t="inlineStr">
        <is>
          <t>当前源表</t>
        </is>
      </c>
      <c r="B7" t="inlineStr">
        <is>
          <t>其他战斗玩法</t>
        </is>
      </c>
      <c r="C7" t="inlineStr">
        <is>
          <t>LevelType_BossDungeonChallenges_Hard</t>
        </is>
      </c>
      <c r="D7" t="inlineStr">
        <is>
          <t>雪怪王 难度2</t>
        </is>
      </c>
      <c r="E7" t="inlineStr">
        <is>
          <t>510102</t>
        </is>
      </c>
      <c r="F7" t="inlineStr">
        <is>
          <t>Boss</t>
        </is>
      </c>
      <c r="G7" t="n">
        <v>64</v>
      </c>
      <c r="I7">
        <f>IF($H7="",$G7,$H7)</f>
        <v/>
      </c>
      <c r="J7" t="n">
        <v>115</v>
      </c>
      <c r="K7" s="83" t="n">
        <v>1.08111097404659</v>
      </c>
      <c r="L7" s="83" t="n">
        <v>0.8237006128348759</v>
      </c>
      <c r="M7" s="83" t="n">
        <v>1</v>
      </c>
      <c r="N7" t="n">
        <v>1</v>
      </c>
      <c r="O7" t="n">
        <v>1</v>
      </c>
      <c r="P7" s="17" t="n">
        <v>36.3073932234264</v>
      </c>
      <c r="Q7" s="21">
        <f>IF($I7="","",IFERROR(INDEX(_玩家曲线!$H$2:$H$286,MATCH($I7,_玩家曲线!$A$2:$A$286,0)),""))</f>
        <v/>
      </c>
      <c r="R7" s="21">
        <f>IF($I7="","",IFERROR(INDEX(_玩家曲线!$I$2:$I$286,MATCH($I7,_玩家曲线!$A$2:$A$286,0)),""))</f>
        <v/>
      </c>
      <c r="S7" s="21">
        <f>IF(OR($J7="",$F7="不适用"),"",IFERROR(INDEX(_怪物模型!$D$2:$D$4501,(INT($J7)-1)*ROWS(_怪物类型!$A$2:$A$10)+MATCH($F7,_怪物类型!$A$2:$A$10,0))*IF($K7="",1,$K7),""))</f>
        <v/>
      </c>
      <c r="T7" s="21">
        <f>IF(OR($J7="",$F7="不适用"),"",IFERROR(INDEX(_怪物模型!$E$2:$E$4501,(INT($J7)-1)*ROWS(_怪物类型!$A$2:$A$10)+MATCH($F7,_怪物类型!$A$2:$A$10,0))*IF($L7="",1,$L7),""))</f>
        <v/>
      </c>
      <c r="U7" s="21">
        <f>IF(OR($J7="",$F7="不适用"),"",IFERROR(INDEX(_怪物模型!$F$2:$F$4501,(INT($J7)-1)*ROWS(_怪物类型!$A$2:$A$10)+MATCH($F7,_怪物类型!$A$2:$A$10,0))*IF($M7="",1,$M7),""))</f>
        <v/>
      </c>
      <c r="V7" s="84">
        <f>IF($U7="","",MIN(0.75,$U7/($U7+24000)))</f>
        <v/>
      </c>
      <c r="W7" s="21">
        <f>IF($S7="","",$S7/(1-$V7)*IF($N7="",1,$N7))</f>
        <v/>
      </c>
      <c r="X7" s="17">
        <f>IF(OR($W7="",$Q7="",$Q7=0),"",$W7/$Q7)</f>
        <v/>
      </c>
      <c r="Y7" s="17">
        <f>IF(OR($R7="",$T7="",$T7=0),"",$R7/($T7*IF($O7="",1,$O7)))</f>
        <v/>
      </c>
      <c r="Z7" s="17">
        <f>IF(OR($X7="",$P7="",$P7=0),"",$X7/$P7)</f>
        <v/>
      </c>
      <c r="AA7">
        <f>IF($J7="","待填怪物等级",IF(OR($I7="",$Q7=""),"待填对照关卡",IF($P7="","已计算",IF(AND($Y7&lt;&gt;"",$Y7&lt;$X7),"生存不成立",IF($Z7&lt;0.5,"碾压",IF($Z7&lt;0.8,"偏简单",IF($Z7&lt;=1.2,"适中",IF($Z7&lt;=1.5,"偏难","过难"))))))))</f>
        <v/>
      </c>
      <c r="AB7">
        <f>IF($J7="","待填",IF(AND(ISNUMBER($J7),$J7&gt;=1,$J7&lt;=500,MOD($J7,1)=0),"有效","超范围"))</f>
        <v/>
      </c>
      <c r="AC7">
        <f>IF(C7&lt;&gt;C6,"新玩法组",IF(J7&gt;=J6,"不降","回退"))</f>
        <v/>
      </c>
      <c r="AD7" t="inlineStr">
        <is>
          <t>等效进度估算S64，非解锁/首通节点；旧Lv140→115</t>
        </is>
      </c>
      <c r="AE7" s="4" t="n">
        <v>91400</v>
      </c>
      <c r="AF7" s="4">
        <f>INDEX(_统一战力!$B$2:$B$501,J7)</f>
        <v/>
      </c>
    </row>
    <row r="8">
      <c r="A8" t="inlineStr">
        <is>
          <t>当前源表</t>
        </is>
      </c>
      <c r="B8" t="inlineStr">
        <is>
          <t>其他战斗玩法</t>
        </is>
      </c>
      <c r="C8" t="inlineStr">
        <is>
          <t>LevelType_BossDungeonChallenges_Hard</t>
        </is>
      </c>
      <c r="D8" t="inlineStr">
        <is>
          <t>莫尔拉 难度2</t>
        </is>
      </c>
      <c r="E8" t="inlineStr">
        <is>
          <t>520102</t>
        </is>
      </c>
      <c r="F8" t="inlineStr">
        <is>
          <t>Boss</t>
        </is>
      </c>
      <c r="G8" t="n">
        <v>64</v>
      </c>
      <c r="I8">
        <f>IF($H8="",$G8,$H8)</f>
        <v/>
      </c>
      <c r="J8" t="n">
        <v>115</v>
      </c>
      <c r="K8" s="83" t="n">
        <v>1.08111097404659</v>
      </c>
      <c r="L8" s="83" t="n">
        <v>0.8237006128348759</v>
      </c>
      <c r="M8" s="83" t="n">
        <v>1</v>
      </c>
      <c r="N8" t="n">
        <v>1</v>
      </c>
      <c r="O8" t="n">
        <v>1</v>
      </c>
      <c r="P8" s="17" t="n">
        <v>36.3073932234264</v>
      </c>
      <c r="Q8" s="21">
        <f>IF($I8="","",IFERROR(INDEX(_玩家曲线!$H$2:$H$286,MATCH($I8,_玩家曲线!$A$2:$A$286,0)),""))</f>
        <v/>
      </c>
      <c r="R8" s="21">
        <f>IF($I8="","",IFERROR(INDEX(_玩家曲线!$I$2:$I$286,MATCH($I8,_玩家曲线!$A$2:$A$286,0)),""))</f>
        <v/>
      </c>
      <c r="S8" s="21">
        <f>IF(OR($J8="",$F8="不适用"),"",IFERROR(INDEX(_怪物模型!$D$2:$D$4501,(INT($J8)-1)*ROWS(_怪物类型!$A$2:$A$10)+MATCH($F8,_怪物类型!$A$2:$A$10,0))*IF($K8="",1,$K8),""))</f>
        <v/>
      </c>
      <c r="T8" s="21">
        <f>IF(OR($J8="",$F8="不适用"),"",IFERROR(INDEX(_怪物模型!$E$2:$E$4501,(INT($J8)-1)*ROWS(_怪物类型!$A$2:$A$10)+MATCH($F8,_怪物类型!$A$2:$A$10,0))*IF($L8="",1,$L8),""))</f>
        <v/>
      </c>
      <c r="U8" s="21">
        <f>IF(OR($J8="",$F8="不适用"),"",IFERROR(INDEX(_怪物模型!$F$2:$F$4501,(INT($J8)-1)*ROWS(_怪物类型!$A$2:$A$10)+MATCH($F8,_怪物类型!$A$2:$A$10,0))*IF($M8="",1,$M8),""))</f>
        <v/>
      </c>
      <c r="V8" s="84">
        <f>IF($U8="","",MIN(0.75,$U8/($U8+24000)))</f>
        <v/>
      </c>
      <c r="W8" s="21">
        <f>IF($S8="","",$S8/(1-$V8)*IF($N8="",1,$N8))</f>
        <v/>
      </c>
      <c r="X8" s="17">
        <f>IF(OR($W8="",$Q8="",$Q8=0),"",$W8/$Q8)</f>
        <v/>
      </c>
      <c r="Y8" s="17">
        <f>IF(OR($R8="",$T8="",$T8=0),"",$R8/($T8*IF($O8="",1,$O8)))</f>
        <v/>
      </c>
      <c r="Z8" s="17">
        <f>IF(OR($X8="",$P8="",$P8=0),"",$X8/$P8)</f>
        <v/>
      </c>
      <c r="AA8">
        <f>IF($J8="","待填怪物等级",IF(OR($I8="",$Q8=""),"待填对照关卡",IF($P8="","已计算",IF(AND($Y8&lt;&gt;"",$Y8&lt;$X8),"生存不成立",IF($Z8&lt;0.5,"碾压",IF($Z8&lt;0.8,"偏简单",IF($Z8&lt;=1.2,"适中",IF($Z8&lt;=1.5,"偏难","过难"))))))))</f>
        <v/>
      </c>
      <c r="AB8">
        <f>IF($J8="","待填",IF(AND(ISNUMBER($J8),$J8&gt;=1,$J8&lt;=500,MOD($J8,1)=0),"有效","超范围"))</f>
        <v/>
      </c>
      <c r="AC8">
        <f>IF(C8&lt;&gt;C7,"新玩法组",IF(J8&gt;=J7,"不降","回退"))</f>
        <v/>
      </c>
      <c r="AD8" t="inlineStr">
        <is>
          <t>等效进度估算S64，非解锁/首通节点；旧Lv140→115</t>
        </is>
      </c>
      <c r="AE8" s="4" t="n">
        <v>91400</v>
      </c>
      <c r="AF8" s="4">
        <f>INDEX(_统一战力!$B$2:$B$501,J8)</f>
        <v/>
      </c>
    </row>
    <row r="9">
      <c r="A9" t="inlineStr">
        <is>
          <t>当前源表</t>
        </is>
      </c>
      <c r="B9" t="inlineStr">
        <is>
          <t>其他战斗玩法</t>
        </is>
      </c>
      <c r="C9" t="inlineStr">
        <is>
          <t>LevelType_BossDungeonChallenges_Hard</t>
        </is>
      </c>
      <c r="D9" t="inlineStr">
        <is>
          <t>雪怪王 难度3</t>
        </is>
      </c>
      <c r="E9" t="inlineStr">
        <is>
          <t>510103</t>
        </is>
      </c>
      <c r="F9" t="inlineStr">
        <is>
          <t>Boss</t>
        </is>
      </c>
      <c r="G9" t="n">
        <v>74</v>
      </c>
      <c r="I9">
        <f>IF($H9="",$G9,$H9)</f>
        <v/>
      </c>
      <c r="J9" t="n">
        <v>132</v>
      </c>
      <c r="K9" s="83" t="n">
        <v>1.05316722932026</v>
      </c>
      <c r="L9" s="83" t="n">
        <v>0.837748809814455</v>
      </c>
      <c r="M9" s="83" t="n">
        <v>1</v>
      </c>
      <c r="N9" t="n">
        <v>1</v>
      </c>
      <c r="O9" t="n">
        <v>1</v>
      </c>
      <c r="P9" s="17" t="n">
        <v>36.7512501798507</v>
      </c>
      <c r="Q9" s="21">
        <f>IF($I9="","",IFERROR(INDEX(_玩家曲线!$H$2:$H$286,MATCH($I9,_玩家曲线!$A$2:$A$286,0)),""))</f>
        <v/>
      </c>
      <c r="R9" s="21">
        <f>IF($I9="","",IFERROR(INDEX(_玩家曲线!$I$2:$I$286,MATCH($I9,_玩家曲线!$A$2:$A$286,0)),""))</f>
        <v/>
      </c>
      <c r="S9" s="21">
        <f>IF(OR($J9="",$F9="不适用"),"",IFERROR(INDEX(_怪物模型!$D$2:$D$4501,(INT($J9)-1)*ROWS(_怪物类型!$A$2:$A$10)+MATCH($F9,_怪物类型!$A$2:$A$10,0))*IF($K9="",1,$K9),""))</f>
        <v/>
      </c>
      <c r="T9" s="21">
        <f>IF(OR($J9="",$F9="不适用"),"",IFERROR(INDEX(_怪物模型!$E$2:$E$4501,(INT($J9)-1)*ROWS(_怪物类型!$A$2:$A$10)+MATCH($F9,_怪物类型!$A$2:$A$10,0))*IF($L9="",1,$L9),""))</f>
        <v/>
      </c>
      <c r="U9" s="21">
        <f>IF(OR($J9="",$F9="不适用"),"",IFERROR(INDEX(_怪物模型!$F$2:$F$4501,(INT($J9)-1)*ROWS(_怪物类型!$A$2:$A$10)+MATCH($F9,_怪物类型!$A$2:$A$10,0))*IF($M9="",1,$M9),""))</f>
        <v/>
      </c>
      <c r="V9" s="84">
        <f>IF($U9="","",MIN(0.75,$U9/($U9+24000)))</f>
        <v/>
      </c>
      <c r="W9" s="21">
        <f>IF($S9="","",$S9/(1-$V9)*IF($N9="",1,$N9))</f>
        <v/>
      </c>
      <c r="X9" s="17">
        <f>IF(OR($W9="",$Q9="",$Q9=0),"",$W9/$Q9)</f>
        <v/>
      </c>
      <c r="Y9" s="17">
        <f>IF(OR($R9="",$T9="",$T9=0),"",$R9/($T9*IF($O9="",1,$O9)))</f>
        <v/>
      </c>
      <c r="Z9" s="17">
        <f>IF(OR($X9="",$P9="",$P9=0),"",$X9/$P9)</f>
        <v/>
      </c>
      <c r="AA9">
        <f>IF($J9="","待填怪物等级",IF(OR($I9="",$Q9=""),"待填对照关卡",IF($P9="","已计算",IF(AND($Y9&lt;&gt;"",$Y9&lt;$X9),"生存不成立",IF($Z9&lt;0.5,"碾压",IF($Z9&lt;0.8,"偏简单",IF($Z9&lt;=1.2,"适中",IF($Z9&lt;=1.5,"偏难","过难"))))))))</f>
        <v/>
      </c>
      <c r="AB9">
        <f>IF($J9="","待填",IF(AND(ISNUMBER($J9),$J9&gt;=1,$J9&lt;=500,MOD($J9,1)=0),"有效","超范围"))</f>
        <v/>
      </c>
      <c r="AC9">
        <f>IF(C9&lt;&gt;C8,"新玩法组",IF(J9&gt;=J8,"不降","回退"))</f>
        <v/>
      </c>
      <c r="AD9" t="inlineStr">
        <is>
          <t>等效进度估算S74，非解锁/首通节点；旧Lv160→132</t>
        </is>
      </c>
      <c r="AE9" s="4" t="n">
        <v>115000</v>
      </c>
      <c r="AF9" s="4">
        <f>INDEX(_统一战力!$B$2:$B$501,J9)</f>
        <v/>
      </c>
    </row>
    <row r="10">
      <c r="A10" t="inlineStr">
        <is>
          <t>当前源表</t>
        </is>
      </c>
      <c r="B10" t="inlineStr">
        <is>
          <t>其他战斗玩法</t>
        </is>
      </c>
      <c r="C10" t="inlineStr">
        <is>
          <t>LevelType_BossDungeonChallenges_Hard</t>
        </is>
      </c>
      <c r="D10" t="inlineStr">
        <is>
          <t>莫尔拉 难度3</t>
        </is>
      </c>
      <c r="E10" t="inlineStr">
        <is>
          <t>520103</t>
        </is>
      </c>
      <c r="F10" t="inlineStr">
        <is>
          <t>Boss</t>
        </is>
      </c>
      <c r="G10" t="n">
        <v>74</v>
      </c>
      <c r="I10">
        <f>IF($H10="",$G10,$H10)</f>
        <v/>
      </c>
      <c r="J10" t="n">
        <v>132</v>
      </c>
      <c r="K10" s="83" t="n">
        <v>1.05316722932026</v>
      </c>
      <c r="L10" s="83" t="n">
        <v>0.837748809814455</v>
      </c>
      <c r="M10" s="83" t="n">
        <v>1</v>
      </c>
      <c r="N10" t="n">
        <v>1</v>
      </c>
      <c r="O10" t="n">
        <v>1</v>
      </c>
      <c r="P10" s="17" t="n">
        <v>36.7512501798507</v>
      </c>
      <c r="Q10" s="21">
        <f>IF($I10="","",IFERROR(INDEX(_玩家曲线!$H$2:$H$286,MATCH($I10,_玩家曲线!$A$2:$A$286,0)),""))</f>
        <v/>
      </c>
      <c r="R10" s="21">
        <f>IF($I10="","",IFERROR(INDEX(_玩家曲线!$I$2:$I$286,MATCH($I10,_玩家曲线!$A$2:$A$286,0)),""))</f>
        <v/>
      </c>
      <c r="S10" s="21">
        <f>IF(OR($J10="",$F10="不适用"),"",IFERROR(INDEX(_怪物模型!$D$2:$D$4501,(INT($J10)-1)*ROWS(_怪物类型!$A$2:$A$10)+MATCH($F10,_怪物类型!$A$2:$A$10,0))*IF($K10="",1,$K10),""))</f>
        <v/>
      </c>
      <c r="T10" s="21">
        <f>IF(OR($J10="",$F10="不适用"),"",IFERROR(INDEX(_怪物模型!$E$2:$E$4501,(INT($J10)-1)*ROWS(_怪物类型!$A$2:$A$10)+MATCH($F10,_怪物类型!$A$2:$A$10,0))*IF($L10="",1,$L10),""))</f>
        <v/>
      </c>
      <c r="U10" s="21">
        <f>IF(OR($J10="",$F10="不适用"),"",IFERROR(INDEX(_怪物模型!$F$2:$F$4501,(INT($J10)-1)*ROWS(_怪物类型!$A$2:$A$10)+MATCH($F10,_怪物类型!$A$2:$A$10,0))*IF($M10="",1,$M10),""))</f>
        <v/>
      </c>
      <c r="V10" s="84">
        <f>IF($U10="","",MIN(0.75,$U10/($U10+24000)))</f>
        <v/>
      </c>
      <c r="W10" s="21">
        <f>IF($S10="","",$S10/(1-$V10)*IF($N10="",1,$N10))</f>
        <v/>
      </c>
      <c r="X10" s="17">
        <f>IF(OR($W10="",$Q10="",$Q10=0),"",$W10/$Q10)</f>
        <v/>
      </c>
      <c r="Y10" s="17">
        <f>IF(OR($R10="",$T10="",$T10=0),"",$R10/($T10*IF($O10="",1,$O10)))</f>
        <v/>
      </c>
      <c r="Z10" s="17">
        <f>IF(OR($X10="",$P10="",$P10=0),"",$X10/$P10)</f>
        <v/>
      </c>
      <c r="AA10">
        <f>IF($J10="","待填怪物等级",IF(OR($I10="",$Q10=""),"待填对照关卡",IF($P10="","已计算",IF(AND($Y10&lt;&gt;"",$Y10&lt;$X10),"生存不成立",IF($Z10&lt;0.5,"碾压",IF($Z10&lt;0.8,"偏简单",IF($Z10&lt;=1.2,"适中",IF($Z10&lt;=1.5,"偏难","过难"))))))))</f>
        <v/>
      </c>
      <c r="AB10">
        <f>IF($J10="","待填",IF(AND(ISNUMBER($J10),$J10&gt;=1,$J10&lt;=500,MOD($J10,1)=0),"有效","超范围"))</f>
        <v/>
      </c>
      <c r="AC10">
        <f>IF(C10&lt;&gt;C9,"新玩法组",IF(J10&gt;=J9,"不降","回退"))</f>
        <v/>
      </c>
      <c r="AD10" t="inlineStr">
        <is>
          <t>等效进度估算S74，非解锁/首通节点；旧Lv160→132</t>
        </is>
      </c>
      <c r="AE10" s="4" t="n">
        <v>115000</v>
      </c>
      <c r="AF10" s="4">
        <f>INDEX(_统一战力!$B$2:$B$501,J10)</f>
        <v/>
      </c>
    </row>
    <row r="11">
      <c r="A11" t="inlineStr">
        <is>
          <t>当前源表</t>
        </is>
      </c>
      <c r="B11" t="inlineStr">
        <is>
          <t>其他战斗玩法</t>
        </is>
      </c>
      <c r="C11" t="inlineStr">
        <is>
          <t>LevelType_BossDungeonChallenges_Hard</t>
        </is>
      </c>
      <c r="D11" t="inlineStr">
        <is>
          <t>雪怪王 难度4</t>
        </is>
      </c>
      <c r="E11" t="inlineStr">
        <is>
          <t>510104</t>
        </is>
      </c>
      <c r="F11" t="inlineStr">
        <is>
          <t>Boss</t>
        </is>
      </c>
      <c r="G11" t="n">
        <v>87</v>
      </c>
      <c r="I11">
        <f>IF($H11="",$G11,$H11)</f>
        <v/>
      </c>
      <c r="J11" t="n">
        <v>149</v>
      </c>
      <c r="K11" s="83" t="n">
        <v>1.04237865009292</v>
      </c>
      <c r="L11" s="83" t="n">
        <v>0.863088524131312</v>
      </c>
      <c r="M11" s="83" t="n">
        <v>1</v>
      </c>
      <c r="N11" t="n">
        <v>1</v>
      </c>
      <c r="O11" t="n">
        <v>1</v>
      </c>
      <c r="P11" s="17" t="n">
        <v>36.9876182383789</v>
      </c>
      <c r="Q11" s="21">
        <f>IF($I11="","",IFERROR(INDEX(_玩家曲线!$H$2:$H$286,MATCH($I11,_玩家曲线!$A$2:$A$286,0)),""))</f>
        <v/>
      </c>
      <c r="R11" s="21">
        <f>IF($I11="","",IFERROR(INDEX(_玩家曲线!$I$2:$I$286,MATCH($I11,_玩家曲线!$A$2:$A$286,0)),""))</f>
        <v/>
      </c>
      <c r="S11" s="21">
        <f>IF(OR($J11="",$F11="不适用"),"",IFERROR(INDEX(_怪物模型!$D$2:$D$4501,(INT($J11)-1)*ROWS(_怪物类型!$A$2:$A$10)+MATCH($F11,_怪物类型!$A$2:$A$10,0))*IF($K11="",1,$K11),""))</f>
        <v/>
      </c>
      <c r="T11" s="21">
        <f>IF(OR($J11="",$F11="不适用"),"",IFERROR(INDEX(_怪物模型!$E$2:$E$4501,(INT($J11)-1)*ROWS(_怪物类型!$A$2:$A$10)+MATCH($F11,_怪物类型!$A$2:$A$10,0))*IF($L11="",1,$L11),""))</f>
        <v/>
      </c>
      <c r="U11" s="21">
        <f>IF(OR($J11="",$F11="不适用"),"",IFERROR(INDEX(_怪物模型!$F$2:$F$4501,(INT($J11)-1)*ROWS(_怪物类型!$A$2:$A$10)+MATCH($F11,_怪物类型!$A$2:$A$10,0))*IF($M11="",1,$M11),""))</f>
        <v/>
      </c>
      <c r="V11" s="84">
        <f>IF($U11="","",MIN(0.75,$U11/($U11+24000)))</f>
        <v/>
      </c>
      <c r="W11" s="21">
        <f>IF($S11="","",$S11/(1-$V11)*IF($N11="",1,$N11))</f>
        <v/>
      </c>
      <c r="X11" s="17">
        <f>IF(OR($W11="",$Q11="",$Q11=0),"",$W11/$Q11)</f>
        <v/>
      </c>
      <c r="Y11" s="17">
        <f>IF(OR($R11="",$T11="",$T11=0),"",$R11/($T11*IF($O11="",1,$O11)))</f>
        <v/>
      </c>
      <c r="Z11" s="17">
        <f>IF(OR($X11="",$P11="",$P11=0),"",$X11/$P11)</f>
        <v/>
      </c>
      <c r="AA11">
        <f>IF($J11="","待填怪物等级",IF(OR($I11="",$Q11=""),"待填对照关卡",IF($P11="","已计算",IF(AND($Y11&lt;&gt;"",$Y11&lt;$X11),"生存不成立",IF($Z11&lt;0.5,"碾压",IF($Z11&lt;0.8,"偏简单",IF($Z11&lt;=1.2,"适中",IF($Z11&lt;=1.5,"偏难","过难"))))))))</f>
        <v/>
      </c>
      <c r="AB11">
        <f>IF($J11="","待填",IF(AND(ISNUMBER($J11),$J11&gt;=1,$J11&lt;=500,MOD($J11,1)=0),"有效","超范围"))</f>
        <v/>
      </c>
      <c r="AC11">
        <f>IF(C11&lt;&gt;C10,"新玩法组",IF(J11&gt;=J10,"不降","回退"))</f>
        <v/>
      </c>
      <c r="AD11" t="inlineStr">
        <is>
          <t>等效进度估算S87，非解锁/首通节点；旧Lv180→149</t>
        </is>
      </c>
      <c r="AE11" s="4" t="n">
        <v>151000</v>
      </c>
      <c r="AF11" s="4">
        <f>INDEX(_统一战力!$B$2:$B$501,J11)</f>
        <v/>
      </c>
    </row>
    <row r="12">
      <c r="A12" t="inlineStr">
        <is>
          <t>当前源表</t>
        </is>
      </c>
      <c r="B12" t="inlineStr">
        <is>
          <t>其他战斗玩法</t>
        </is>
      </c>
      <c r="C12" t="inlineStr">
        <is>
          <t>LevelType_BossDungeonChallenges_Hard</t>
        </is>
      </c>
      <c r="D12" t="inlineStr">
        <is>
          <t>莫尔拉 难度4</t>
        </is>
      </c>
      <c r="E12" t="inlineStr">
        <is>
          <t>520104</t>
        </is>
      </c>
      <c r="F12" t="inlineStr">
        <is>
          <t>Boss</t>
        </is>
      </c>
      <c r="G12" t="n">
        <v>87</v>
      </c>
      <c r="I12">
        <f>IF($H12="",$G12,$H12)</f>
        <v/>
      </c>
      <c r="J12" t="n">
        <v>149</v>
      </c>
      <c r="K12" s="83" t="n">
        <v>1.04237865009292</v>
      </c>
      <c r="L12" s="83" t="n">
        <v>0.863088524131312</v>
      </c>
      <c r="M12" s="83" t="n">
        <v>1</v>
      </c>
      <c r="N12" t="n">
        <v>1</v>
      </c>
      <c r="O12" t="n">
        <v>1</v>
      </c>
      <c r="P12" s="17" t="n">
        <v>36.9876182383789</v>
      </c>
      <c r="Q12" s="21">
        <f>IF($I12="","",IFERROR(INDEX(_玩家曲线!$H$2:$H$286,MATCH($I12,_玩家曲线!$A$2:$A$286,0)),""))</f>
        <v/>
      </c>
      <c r="R12" s="21">
        <f>IF($I12="","",IFERROR(INDEX(_玩家曲线!$I$2:$I$286,MATCH($I12,_玩家曲线!$A$2:$A$286,0)),""))</f>
        <v/>
      </c>
      <c r="S12" s="21">
        <f>IF(OR($J12="",$F12="不适用"),"",IFERROR(INDEX(_怪物模型!$D$2:$D$4501,(INT($J12)-1)*ROWS(_怪物类型!$A$2:$A$10)+MATCH($F12,_怪物类型!$A$2:$A$10,0))*IF($K12="",1,$K12),""))</f>
        <v/>
      </c>
      <c r="T12" s="21">
        <f>IF(OR($J12="",$F12="不适用"),"",IFERROR(INDEX(_怪物模型!$E$2:$E$4501,(INT($J12)-1)*ROWS(_怪物类型!$A$2:$A$10)+MATCH($F12,_怪物类型!$A$2:$A$10,0))*IF($L12="",1,$L12),""))</f>
        <v/>
      </c>
      <c r="U12" s="21">
        <f>IF(OR($J12="",$F12="不适用"),"",IFERROR(INDEX(_怪物模型!$F$2:$F$4501,(INT($J12)-1)*ROWS(_怪物类型!$A$2:$A$10)+MATCH($F12,_怪物类型!$A$2:$A$10,0))*IF($M12="",1,$M12),""))</f>
        <v/>
      </c>
      <c r="V12" s="84">
        <f>IF($U12="","",MIN(0.75,$U12/($U12+24000)))</f>
        <v/>
      </c>
      <c r="W12" s="21">
        <f>IF($S12="","",$S12/(1-$V12)*IF($N12="",1,$N12))</f>
        <v/>
      </c>
      <c r="X12" s="17">
        <f>IF(OR($W12="",$Q12="",$Q12=0),"",$W12/$Q12)</f>
        <v/>
      </c>
      <c r="Y12" s="17">
        <f>IF(OR($R12="",$T12="",$T12=0),"",$R12/($T12*IF($O12="",1,$O12)))</f>
        <v/>
      </c>
      <c r="Z12" s="17">
        <f>IF(OR($X12="",$P12="",$P12=0),"",$X12/$P12)</f>
        <v/>
      </c>
      <c r="AA12">
        <f>IF($J12="","待填怪物等级",IF(OR($I12="",$Q12=""),"待填对照关卡",IF($P12="","已计算",IF(AND($Y12&lt;&gt;"",$Y12&lt;$X12),"生存不成立",IF($Z12&lt;0.5,"碾压",IF($Z12&lt;0.8,"偏简单",IF($Z12&lt;=1.2,"适中",IF($Z12&lt;=1.5,"偏难","过难"))))))))</f>
        <v/>
      </c>
      <c r="AB12">
        <f>IF($J12="","待填",IF(AND(ISNUMBER($J12),$J12&gt;=1,$J12&lt;=500,MOD($J12,1)=0),"有效","超范围"))</f>
        <v/>
      </c>
      <c r="AC12">
        <f>IF(C12&lt;&gt;C11,"新玩法组",IF(J12&gt;=J11,"不降","回退"))</f>
        <v/>
      </c>
      <c r="AD12" t="inlineStr">
        <is>
          <t>等效进度估算S87，非解锁/首通节点；旧Lv180→149</t>
        </is>
      </c>
      <c r="AE12" s="4" t="n">
        <v>151000</v>
      </c>
      <c r="AF12" s="4">
        <f>INDEX(_统一战力!$B$2:$B$501,J12)</f>
        <v/>
      </c>
    </row>
    <row r="13">
      <c r="A13" t="inlineStr">
        <is>
          <t>当前源表</t>
        </is>
      </c>
      <c r="B13" t="inlineStr">
        <is>
          <t>其他战斗玩法</t>
        </is>
      </c>
      <c r="C13" t="inlineStr">
        <is>
          <t>LevelType_BossDungeonChallenges_Hard</t>
        </is>
      </c>
      <c r="D13" t="inlineStr">
        <is>
          <t>雪怪王 难度5</t>
        </is>
      </c>
      <c r="E13" t="inlineStr">
        <is>
          <t>510105</t>
        </is>
      </c>
      <c r="F13" t="inlineStr">
        <is>
          <t>Boss</t>
        </is>
      </c>
      <c r="G13" t="n">
        <v>102</v>
      </c>
      <c r="I13">
        <f>IF($H13="",$G13,$H13)</f>
        <v/>
      </c>
      <c r="J13" t="n">
        <v>166</v>
      </c>
      <c r="K13" s="83" t="n">
        <v>1.03282438955474</v>
      </c>
      <c r="L13" s="83" t="n">
        <v>0.8884254483477489</v>
      </c>
      <c r="M13" s="83" t="n">
        <v>1</v>
      </c>
      <c r="N13" t="n">
        <v>1</v>
      </c>
      <c r="O13" t="n">
        <v>1</v>
      </c>
      <c r="P13" s="17" t="n">
        <v>37.8844814031346</v>
      </c>
      <c r="Q13" s="21">
        <f>IF($I13="","",IFERROR(INDEX(_玩家曲线!$H$2:$H$286,MATCH($I13,_玩家曲线!$A$2:$A$286,0)),""))</f>
        <v/>
      </c>
      <c r="R13" s="21">
        <f>IF($I13="","",IFERROR(INDEX(_玩家曲线!$I$2:$I$286,MATCH($I13,_玩家曲线!$A$2:$A$286,0)),""))</f>
        <v/>
      </c>
      <c r="S13" s="21">
        <f>IF(OR($J13="",$F13="不适用"),"",IFERROR(INDEX(_怪物模型!$D$2:$D$4501,(INT($J13)-1)*ROWS(_怪物类型!$A$2:$A$10)+MATCH($F13,_怪物类型!$A$2:$A$10,0))*IF($K13="",1,$K13),""))</f>
        <v/>
      </c>
      <c r="T13" s="21">
        <f>IF(OR($J13="",$F13="不适用"),"",IFERROR(INDEX(_怪物模型!$E$2:$E$4501,(INT($J13)-1)*ROWS(_怪物类型!$A$2:$A$10)+MATCH($F13,_怪物类型!$A$2:$A$10,0))*IF($L13="",1,$L13),""))</f>
        <v/>
      </c>
      <c r="U13" s="21">
        <f>IF(OR($J13="",$F13="不适用"),"",IFERROR(INDEX(_怪物模型!$F$2:$F$4501,(INT($J13)-1)*ROWS(_怪物类型!$A$2:$A$10)+MATCH($F13,_怪物类型!$A$2:$A$10,0))*IF($M13="",1,$M13),""))</f>
        <v/>
      </c>
      <c r="V13" s="84">
        <f>IF($U13="","",MIN(0.75,$U13/($U13+24000)))</f>
        <v/>
      </c>
      <c r="W13" s="21">
        <f>IF($S13="","",$S13/(1-$V13)*IF($N13="",1,$N13))</f>
        <v/>
      </c>
      <c r="X13" s="17">
        <f>IF(OR($W13="",$Q13="",$Q13=0),"",$W13/$Q13)</f>
        <v/>
      </c>
      <c r="Y13" s="17">
        <f>IF(OR($R13="",$T13="",$T13=0),"",$R13/($T13*IF($O13="",1,$O13)))</f>
        <v/>
      </c>
      <c r="Z13" s="17">
        <f>IF(OR($X13="",$P13="",$P13=0),"",$X13/$P13)</f>
        <v/>
      </c>
      <c r="AA13">
        <f>IF($J13="","待填怪物等级",IF(OR($I13="",$Q13=""),"待填对照关卡",IF($P13="","已计算",IF(AND($Y13&lt;&gt;"",$Y13&lt;$X13),"生存不成立",IF($Z13&lt;0.5,"碾压",IF($Z13&lt;0.8,"偏简单",IF($Z13&lt;=1.2,"适中",IF($Z13&lt;=1.5,"偏难","过难"))))))))</f>
        <v/>
      </c>
      <c r="AB13">
        <f>IF($J13="","待填",IF(AND(ISNUMBER($J13),$J13&gt;=1,$J13&lt;=500,MOD($J13,1)=0),"有效","超范围"))</f>
        <v/>
      </c>
      <c r="AC13">
        <f>IF(C13&lt;&gt;C12,"新玩法组",IF(J13&gt;=J12,"不降","回退"))</f>
        <v/>
      </c>
      <c r="AD13" t="inlineStr">
        <is>
          <t>等效进度估算S102，非解锁/首通节点；旧Lv200→166</t>
        </is>
      </c>
      <c r="AE13" s="4" t="n">
        <v>185000</v>
      </c>
      <c r="AF13" s="4">
        <f>INDEX(_统一战力!$B$2:$B$501,J13)</f>
        <v/>
      </c>
    </row>
    <row r="14">
      <c r="A14" t="inlineStr">
        <is>
          <t>当前源表</t>
        </is>
      </c>
      <c r="B14" t="inlineStr">
        <is>
          <t>其他战斗玩法</t>
        </is>
      </c>
      <c r="C14" t="inlineStr">
        <is>
          <t>LevelType_BossDungeonChallenges_Hard</t>
        </is>
      </c>
      <c r="D14" t="inlineStr">
        <is>
          <t>莫尔拉 难度5</t>
        </is>
      </c>
      <c r="E14" t="inlineStr">
        <is>
          <t>520105</t>
        </is>
      </c>
      <c r="F14" t="inlineStr">
        <is>
          <t>Boss</t>
        </is>
      </c>
      <c r="G14" t="n">
        <v>102</v>
      </c>
      <c r="I14">
        <f>IF($H14="",$G14,$H14)</f>
        <v/>
      </c>
      <c r="J14" t="n">
        <v>166</v>
      </c>
      <c r="K14" s="83" t="n">
        <v>1.03282438955474</v>
      </c>
      <c r="L14" s="83" t="n">
        <v>0.8884254483477489</v>
      </c>
      <c r="M14" s="83" t="n">
        <v>1</v>
      </c>
      <c r="N14" t="n">
        <v>1</v>
      </c>
      <c r="O14" t="n">
        <v>1</v>
      </c>
      <c r="P14" s="17" t="n">
        <v>37.8844814031346</v>
      </c>
      <c r="Q14" s="21">
        <f>IF($I14="","",IFERROR(INDEX(_玩家曲线!$H$2:$H$286,MATCH($I14,_玩家曲线!$A$2:$A$286,0)),""))</f>
        <v/>
      </c>
      <c r="R14" s="21">
        <f>IF($I14="","",IFERROR(INDEX(_玩家曲线!$I$2:$I$286,MATCH($I14,_玩家曲线!$A$2:$A$286,0)),""))</f>
        <v/>
      </c>
      <c r="S14" s="21">
        <f>IF(OR($J14="",$F14="不适用"),"",IFERROR(INDEX(_怪物模型!$D$2:$D$4501,(INT($J14)-1)*ROWS(_怪物类型!$A$2:$A$10)+MATCH($F14,_怪物类型!$A$2:$A$10,0))*IF($K14="",1,$K14),""))</f>
        <v/>
      </c>
      <c r="T14" s="21">
        <f>IF(OR($J14="",$F14="不适用"),"",IFERROR(INDEX(_怪物模型!$E$2:$E$4501,(INT($J14)-1)*ROWS(_怪物类型!$A$2:$A$10)+MATCH($F14,_怪物类型!$A$2:$A$10,0))*IF($L14="",1,$L14),""))</f>
        <v/>
      </c>
      <c r="U14" s="21">
        <f>IF(OR($J14="",$F14="不适用"),"",IFERROR(INDEX(_怪物模型!$F$2:$F$4501,(INT($J14)-1)*ROWS(_怪物类型!$A$2:$A$10)+MATCH($F14,_怪物类型!$A$2:$A$10,0))*IF($M14="",1,$M14),""))</f>
        <v/>
      </c>
      <c r="V14" s="84">
        <f>IF($U14="","",MIN(0.75,$U14/($U14+24000)))</f>
        <v/>
      </c>
      <c r="W14" s="21">
        <f>IF($S14="","",$S14/(1-$V14)*IF($N14="",1,$N14))</f>
        <v/>
      </c>
      <c r="X14" s="17">
        <f>IF(OR($W14="",$Q14="",$Q14=0),"",$W14/$Q14)</f>
        <v/>
      </c>
      <c r="Y14" s="17">
        <f>IF(OR($R14="",$T14="",$T14=0),"",$R14/($T14*IF($O14="",1,$O14)))</f>
        <v/>
      </c>
      <c r="Z14" s="17">
        <f>IF(OR($X14="",$P14="",$P14=0),"",$X14/$P14)</f>
        <v/>
      </c>
      <c r="AA14">
        <f>IF($J14="","待填怪物等级",IF(OR($I14="",$Q14=""),"待填对照关卡",IF($P14="","已计算",IF(AND($Y14&lt;&gt;"",$Y14&lt;$X14),"生存不成立",IF($Z14&lt;0.5,"碾压",IF($Z14&lt;0.8,"偏简单",IF($Z14&lt;=1.2,"适中",IF($Z14&lt;=1.5,"偏难","过难"))))))))</f>
        <v/>
      </c>
      <c r="AB14">
        <f>IF($J14="","待填",IF(AND(ISNUMBER($J14),$J14&gt;=1,$J14&lt;=500,MOD($J14,1)=0),"有效","超范围"))</f>
        <v/>
      </c>
      <c r="AC14">
        <f>IF(C14&lt;&gt;C13,"新玩法组",IF(J14&gt;=J13,"不降","回退"))</f>
        <v/>
      </c>
      <c r="AD14" t="inlineStr">
        <is>
          <t>等效进度估算S102，非解锁/首通节点；旧Lv200→166</t>
        </is>
      </c>
      <c r="AE14" s="4" t="n">
        <v>185000</v>
      </c>
      <c r="AF14" s="4">
        <f>INDEX(_统一战力!$B$2:$B$501,J14)</f>
        <v/>
      </c>
    </row>
    <row r="15">
      <c r="A15" t="inlineStr">
        <is>
          <t>当前源表</t>
        </is>
      </c>
      <c r="B15" t="inlineStr">
        <is>
          <t>其他战斗玩法</t>
        </is>
      </c>
      <c r="C15" t="inlineStr">
        <is>
          <t>LevelType_BossDungeonChallenges_Hard</t>
        </is>
      </c>
      <c r="D15" t="inlineStr">
        <is>
          <t>雪怪王 难度6</t>
        </is>
      </c>
      <c r="E15" t="inlineStr">
        <is>
          <t>510106</t>
        </is>
      </c>
      <c r="F15" t="inlineStr">
        <is>
          <t>Boss</t>
        </is>
      </c>
      <c r="G15" t="n">
        <v>123</v>
      </c>
      <c r="I15">
        <f>IF($H15="",$G15,$H15)</f>
        <v/>
      </c>
      <c r="J15" t="n">
        <v>195</v>
      </c>
      <c r="K15" s="83" t="n">
        <v>1.02338346071287</v>
      </c>
      <c r="L15" s="83" t="n">
        <v>0.944699661217369</v>
      </c>
      <c r="M15" s="83" t="n">
        <v>1</v>
      </c>
      <c r="N15" t="n">
        <v>1</v>
      </c>
      <c r="O15" t="n">
        <v>1</v>
      </c>
      <c r="P15" s="17" t="n">
        <v>38.2610103506263</v>
      </c>
      <c r="Q15" s="21">
        <f>IF($I15="","",IFERROR(INDEX(_玩家曲线!$H$2:$H$286,MATCH($I15,_玩家曲线!$A$2:$A$286,0)),""))</f>
        <v/>
      </c>
      <c r="R15" s="21">
        <f>IF($I15="","",IFERROR(INDEX(_玩家曲线!$I$2:$I$286,MATCH($I15,_玩家曲线!$A$2:$A$286,0)),""))</f>
        <v/>
      </c>
      <c r="S15" s="21">
        <f>IF(OR($J15="",$F15="不适用"),"",IFERROR(INDEX(_怪物模型!$D$2:$D$4501,(INT($J15)-1)*ROWS(_怪物类型!$A$2:$A$10)+MATCH($F15,_怪物类型!$A$2:$A$10,0))*IF($K15="",1,$K15),""))</f>
        <v/>
      </c>
      <c r="T15" s="21">
        <f>IF(OR($J15="",$F15="不适用"),"",IFERROR(INDEX(_怪物模型!$E$2:$E$4501,(INT($J15)-1)*ROWS(_怪物类型!$A$2:$A$10)+MATCH($F15,_怪物类型!$A$2:$A$10,0))*IF($L15="",1,$L15),""))</f>
        <v/>
      </c>
      <c r="U15" s="21">
        <f>IF(OR($J15="",$F15="不适用"),"",IFERROR(INDEX(_怪物模型!$F$2:$F$4501,(INT($J15)-1)*ROWS(_怪物类型!$A$2:$A$10)+MATCH($F15,_怪物类型!$A$2:$A$10,0))*IF($M15="",1,$M15),""))</f>
        <v/>
      </c>
      <c r="V15" s="84">
        <f>IF($U15="","",MIN(0.75,$U15/($U15+24000)))</f>
        <v/>
      </c>
      <c r="W15" s="21">
        <f>IF($S15="","",$S15/(1-$V15)*IF($N15="",1,$N15))</f>
        <v/>
      </c>
      <c r="X15" s="17">
        <f>IF(OR($W15="",$Q15="",$Q15=0),"",$W15/$Q15)</f>
        <v/>
      </c>
      <c r="Y15" s="17">
        <f>IF(OR($R15="",$T15="",$T15=0),"",$R15/($T15*IF($O15="",1,$O15)))</f>
        <v/>
      </c>
      <c r="Z15" s="17">
        <f>IF(OR($X15="",$P15="",$P15=0),"",$X15/$P15)</f>
        <v/>
      </c>
      <c r="AA15">
        <f>IF($J15="","待填怪物等级",IF(OR($I15="",$Q15=""),"待填对照关卡",IF($P15="","已计算",IF(AND($Y15&lt;&gt;"",$Y15&lt;$X15),"生存不成立",IF($Z15&lt;0.5,"碾压",IF($Z15&lt;0.8,"偏简单",IF($Z15&lt;=1.2,"适中",IF($Z15&lt;=1.5,"偏难","过难"))))))))</f>
        <v/>
      </c>
      <c r="AB15">
        <f>IF($J15="","待填",IF(AND(ISNUMBER($J15),$J15&gt;=1,$J15&lt;=500,MOD($J15,1)=0),"有效","超范围"))</f>
        <v/>
      </c>
      <c r="AC15">
        <f>IF(C15&lt;&gt;C14,"新玩法组",IF(J15&gt;=J14,"不降","回退"))</f>
        <v/>
      </c>
      <c r="AD15" t="inlineStr">
        <is>
          <t>等效进度估算S123，非解锁/首通节点；旧Lv230→195</t>
        </is>
      </c>
      <c r="AE15" s="4" t="n">
        <v>268000</v>
      </c>
      <c r="AF15" s="4">
        <f>INDEX(_统一战力!$B$2:$B$501,J15)</f>
        <v/>
      </c>
    </row>
    <row r="16">
      <c r="A16" t="inlineStr">
        <is>
          <t>当前源表</t>
        </is>
      </c>
      <c r="B16" t="inlineStr">
        <is>
          <t>其他战斗玩法</t>
        </is>
      </c>
      <c r="C16" t="inlineStr">
        <is>
          <t>LevelType_BossDungeonChallenges_Hard</t>
        </is>
      </c>
      <c r="D16" t="inlineStr">
        <is>
          <t>莫尔拉 难度6</t>
        </is>
      </c>
      <c r="E16" t="inlineStr">
        <is>
          <t>520106</t>
        </is>
      </c>
      <c r="F16" t="inlineStr">
        <is>
          <t>Boss</t>
        </is>
      </c>
      <c r="G16" t="n">
        <v>123</v>
      </c>
      <c r="I16">
        <f>IF($H16="",$G16,$H16)</f>
        <v/>
      </c>
      <c r="J16" t="n">
        <v>195</v>
      </c>
      <c r="K16" s="83" t="n">
        <v>1.02338346071287</v>
      </c>
      <c r="L16" s="83" t="n">
        <v>0.944699661217369</v>
      </c>
      <c r="M16" s="83" t="n">
        <v>1</v>
      </c>
      <c r="N16" t="n">
        <v>1</v>
      </c>
      <c r="O16" t="n">
        <v>1</v>
      </c>
      <c r="P16" s="17" t="n">
        <v>38.2610103506263</v>
      </c>
      <c r="Q16" s="21">
        <f>IF($I16="","",IFERROR(INDEX(_玩家曲线!$H$2:$H$286,MATCH($I16,_玩家曲线!$A$2:$A$286,0)),""))</f>
        <v/>
      </c>
      <c r="R16" s="21">
        <f>IF($I16="","",IFERROR(INDEX(_玩家曲线!$I$2:$I$286,MATCH($I16,_玩家曲线!$A$2:$A$286,0)),""))</f>
        <v/>
      </c>
      <c r="S16" s="21">
        <f>IF(OR($J16="",$F16="不适用"),"",IFERROR(INDEX(_怪物模型!$D$2:$D$4501,(INT($J16)-1)*ROWS(_怪物类型!$A$2:$A$10)+MATCH($F16,_怪物类型!$A$2:$A$10,0))*IF($K16="",1,$K16),""))</f>
        <v/>
      </c>
      <c r="T16" s="21">
        <f>IF(OR($J16="",$F16="不适用"),"",IFERROR(INDEX(_怪物模型!$E$2:$E$4501,(INT($J16)-1)*ROWS(_怪物类型!$A$2:$A$10)+MATCH($F16,_怪物类型!$A$2:$A$10,0))*IF($L16="",1,$L16),""))</f>
        <v/>
      </c>
      <c r="U16" s="21">
        <f>IF(OR($J16="",$F16="不适用"),"",IFERROR(INDEX(_怪物模型!$F$2:$F$4501,(INT($J16)-1)*ROWS(_怪物类型!$A$2:$A$10)+MATCH($F16,_怪物类型!$A$2:$A$10,0))*IF($M16="",1,$M16),""))</f>
        <v/>
      </c>
      <c r="V16" s="84">
        <f>IF($U16="","",MIN(0.75,$U16/($U16+24000)))</f>
        <v/>
      </c>
      <c r="W16" s="21">
        <f>IF($S16="","",$S16/(1-$V16)*IF($N16="",1,$N16))</f>
        <v/>
      </c>
      <c r="X16" s="17">
        <f>IF(OR($W16="",$Q16="",$Q16=0),"",$W16/$Q16)</f>
        <v/>
      </c>
      <c r="Y16" s="17">
        <f>IF(OR($R16="",$T16="",$T16=0),"",$R16/($T16*IF($O16="",1,$O16)))</f>
        <v/>
      </c>
      <c r="Z16" s="17">
        <f>IF(OR($X16="",$P16="",$P16=0),"",$X16/$P16)</f>
        <v/>
      </c>
      <c r="AA16">
        <f>IF($J16="","待填怪物等级",IF(OR($I16="",$Q16=""),"待填对照关卡",IF($P16="","已计算",IF(AND($Y16&lt;&gt;"",$Y16&lt;$X16),"生存不成立",IF($Z16&lt;0.5,"碾压",IF($Z16&lt;0.8,"偏简单",IF($Z16&lt;=1.2,"适中",IF($Z16&lt;=1.5,"偏难","过难"))))))))</f>
        <v/>
      </c>
      <c r="AB16">
        <f>IF($J16="","待填",IF(AND(ISNUMBER($J16),$J16&gt;=1,$J16&lt;=500,MOD($J16,1)=0),"有效","超范围"))</f>
        <v/>
      </c>
      <c r="AC16">
        <f>IF(C16&lt;&gt;C15,"新玩法组",IF(J16&gt;=J15,"不降","回退"))</f>
        <v/>
      </c>
      <c r="AD16" t="inlineStr">
        <is>
          <t>等效进度估算S123，非解锁/首通节点；旧Lv230→195</t>
        </is>
      </c>
      <c r="AE16" s="4" t="n">
        <v>268000</v>
      </c>
      <c r="AF16" s="4">
        <f>INDEX(_统一战力!$B$2:$B$501,J16)</f>
        <v/>
      </c>
    </row>
    <row r="17">
      <c r="A17" t="inlineStr">
        <is>
          <t>当前源表</t>
        </is>
      </c>
      <c r="B17" t="inlineStr">
        <is>
          <t>其他战斗玩法</t>
        </is>
      </c>
      <c r="C17" t="inlineStr">
        <is>
          <t>LevelType_BossDungeonChallenges_Hard</t>
        </is>
      </c>
      <c r="D17" t="inlineStr">
        <is>
          <t>雪怪王 难度7</t>
        </is>
      </c>
      <c r="E17" t="inlineStr">
        <is>
          <t>510107</t>
        </is>
      </c>
      <c r="F17" t="inlineStr">
        <is>
          <t>Boss</t>
        </is>
      </c>
      <c r="G17" t="n">
        <v>155</v>
      </c>
      <c r="I17">
        <f>IF($H17="",$G17,$H17)</f>
        <v/>
      </c>
      <c r="J17" t="n">
        <v>230</v>
      </c>
      <c r="K17" s="83" t="n">
        <v>1.00377794054907</v>
      </c>
      <c r="L17" s="83" t="n">
        <v>1.00277933827993</v>
      </c>
      <c r="M17" s="83" t="n">
        <v>1</v>
      </c>
      <c r="N17" t="n">
        <v>1</v>
      </c>
      <c r="O17" t="n">
        <v>1</v>
      </c>
      <c r="P17" s="17" t="n">
        <v>40.1908286134743</v>
      </c>
      <c r="Q17" s="21">
        <f>IF($I17="","",IFERROR(INDEX(_玩家曲线!$H$2:$H$286,MATCH($I17,_玩家曲线!$A$2:$A$286,0)),""))</f>
        <v/>
      </c>
      <c r="R17" s="21">
        <f>IF($I17="","",IFERROR(INDEX(_玩家曲线!$I$2:$I$286,MATCH($I17,_玩家曲线!$A$2:$A$286,0)),""))</f>
        <v/>
      </c>
      <c r="S17" s="21">
        <f>IF(OR($J17="",$F17="不适用"),"",IFERROR(INDEX(_怪物模型!$D$2:$D$4501,(INT($J17)-1)*ROWS(_怪物类型!$A$2:$A$10)+MATCH($F17,_怪物类型!$A$2:$A$10,0))*IF($K17="",1,$K17),""))</f>
        <v/>
      </c>
      <c r="T17" s="21">
        <f>IF(OR($J17="",$F17="不适用"),"",IFERROR(INDEX(_怪物模型!$E$2:$E$4501,(INT($J17)-1)*ROWS(_怪物类型!$A$2:$A$10)+MATCH($F17,_怪物类型!$A$2:$A$10,0))*IF($L17="",1,$L17),""))</f>
        <v/>
      </c>
      <c r="U17" s="21">
        <f>IF(OR($J17="",$F17="不适用"),"",IFERROR(INDEX(_怪物模型!$F$2:$F$4501,(INT($J17)-1)*ROWS(_怪物类型!$A$2:$A$10)+MATCH($F17,_怪物类型!$A$2:$A$10,0))*IF($M17="",1,$M17),""))</f>
        <v/>
      </c>
      <c r="V17" s="84">
        <f>IF($U17="","",MIN(0.75,$U17/($U17+24000)))</f>
        <v/>
      </c>
      <c r="W17" s="21">
        <f>IF($S17="","",$S17/(1-$V17)*IF($N17="",1,$N17))</f>
        <v/>
      </c>
      <c r="X17" s="17">
        <f>IF(OR($W17="",$Q17="",$Q17=0),"",$W17/$Q17)</f>
        <v/>
      </c>
      <c r="Y17" s="17">
        <f>IF(OR($R17="",$T17="",$T17=0),"",$R17/($T17*IF($O17="",1,$O17)))</f>
        <v/>
      </c>
      <c r="Z17" s="17">
        <f>IF(OR($X17="",$P17="",$P17=0),"",$X17/$P17)</f>
        <v/>
      </c>
      <c r="AA17">
        <f>IF($J17="","待填怪物等级",IF(OR($I17="",$Q17=""),"待填对照关卡",IF($P17="","已计算",IF(AND($Y17&lt;&gt;"",$Y17&lt;$X17),"生存不成立",IF($Z17&lt;0.5,"碾压",IF($Z17&lt;0.8,"偏简单",IF($Z17&lt;=1.2,"适中",IF($Z17&lt;=1.5,"偏难","过难"))))))))</f>
        <v/>
      </c>
      <c r="AB17">
        <f>IF($J17="","待填",IF(AND(ISNUMBER($J17),$J17&gt;=1,$J17&lt;=500,MOD($J17,1)=0),"有效","超范围"))</f>
        <v/>
      </c>
      <c r="AC17">
        <f>IF(C17&lt;&gt;C16,"新玩法组",IF(J17&gt;=J16,"不降","回退"))</f>
        <v/>
      </c>
      <c r="AD17" t="inlineStr">
        <is>
          <t>等效进度估算S155，非解锁/首通节点；旧Lv260→230</t>
        </is>
      </c>
      <c r="AE17" s="4" t="n">
        <v>386000</v>
      </c>
      <c r="AF17" s="4">
        <f>INDEX(_统一战力!$B$2:$B$501,J17)</f>
        <v/>
      </c>
    </row>
    <row r="18">
      <c r="A18" t="inlineStr">
        <is>
          <t>当前源表</t>
        </is>
      </c>
      <c r="B18" t="inlineStr">
        <is>
          <t>其他战斗玩法</t>
        </is>
      </c>
      <c r="C18" t="inlineStr">
        <is>
          <t>LevelType_BossDungeonChallenges_Hard</t>
        </is>
      </c>
      <c r="D18" t="inlineStr">
        <is>
          <t>莫尔拉 难度7</t>
        </is>
      </c>
      <c r="E18" t="inlineStr">
        <is>
          <t>520107</t>
        </is>
      </c>
      <c r="F18" t="inlineStr">
        <is>
          <t>Boss</t>
        </is>
      </c>
      <c r="G18" t="n">
        <v>155</v>
      </c>
      <c r="I18">
        <f>IF($H18="",$G18,$H18)</f>
        <v/>
      </c>
      <c r="J18" t="n">
        <v>230</v>
      </c>
      <c r="K18" s="83" t="n">
        <v>1.00377794054907</v>
      </c>
      <c r="L18" s="83" t="n">
        <v>1.00277933827993</v>
      </c>
      <c r="M18" s="83" t="n">
        <v>1</v>
      </c>
      <c r="N18" t="n">
        <v>1</v>
      </c>
      <c r="O18" t="n">
        <v>1</v>
      </c>
      <c r="P18" s="17" t="n">
        <v>40.1908286134743</v>
      </c>
      <c r="Q18" s="21">
        <f>IF($I18="","",IFERROR(INDEX(_玩家曲线!$H$2:$H$286,MATCH($I18,_玩家曲线!$A$2:$A$286,0)),""))</f>
        <v/>
      </c>
      <c r="R18" s="21">
        <f>IF($I18="","",IFERROR(INDEX(_玩家曲线!$I$2:$I$286,MATCH($I18,_玩家曲线!$A$2:$A$286,0)),""))</f>
        <v/>
      </c>
      <c r="S18" s="21">
        <f>IF(OR($J18="",$F18="不适用"),"",IFERROR(INDEX(_怪物模型!$D$2:$D$4501,(INT($J18)-1)*ROWS(_怪物类型!$A$2:$A$10)+MATCH($F18,_怪物类型!$A$2:$A$10,0))*IF($K18="",1,$K18),""))</f>
        <v/>
      </c>
      <c r="T18" s="21">
        <f>IF(OR($J18="",$F18="不适用"),"",IFERROR(INDEX(_怪物模型!$E$2:$E$4501,(INT($J18)-1)*ROWS(_怪物类型!$A$2:$A$10)+MATCH($F18,_怪物类型!$A$2:$A$10,0))*IF($L18="",1,$L18),""))</f>
        <v/>
      </c>
      <c r="U18" s="21">
        <f>IF(OR($J18="",$F18="不适用"),"",IFERROR(INDEX(_怪物模型!$F$2:$F$4501,(INT($J18)-1)*ROWS(_怪物类型!$A$2:$A$10)+MATCH($F18,_怪物类型!$A$2:$A$10,0))*IF($M18="",1,$M18),""))</f>
        <v/>
      </c>
      <c r="V18" s="84">
        <f>IF($U18="","",MIN(0.75,$U18/($U18+24000)))</f>
        <v/>
      </c>
      <c r="W18" s="21">
        <f>IF($S18="","",$S18/(1-$V18)*IF($N18="",1,$N18))</f>
        <v/>
      </c>
      <c r="X18" s="17">
        <f>IF(OR($W18="",$Q18="",$Q18=0),"",$W18/$Q18)</f>
        <v/>
      </c>
      <c r="Y18" s="17">
        <f>IF(OR($R18="",$T18="",$T18=0),"",$R18/($T18*IF($O18="",1,$O18)))</f>
        <v/>
      </c>
      <c r="Z18" s="17">
        <f>IF(OR($X18="",$P18="",$P18=0),"",$X18/$P18)</f>
        <v/>
      </c>
      <c r="AA18">
        <f>IF($J18="","待填怪物等级",IF(OR($I18="",$Q18=""),"待填对照关卡",IF($P18="","已计算",IF(AND($Y18&lt;&gt;"",$Y18&lt;$X18),"生存不成立",IF($Z18&lt;0.5,"碾压",IF($Z18&lt;0.8,"偏简单",IF($Z18&lt;=1.2,"适中",IF($Z18&lt;=1.5,"偏难","过难"))))))))</f>
        <v/>
      </c>
      <c r="AB18">
        <f>IF($J18="","待填",IF(AND(ISNUMBER($J18),$J18&gt;=1,$J18&lt;=500,MOD($J18,1)=0),"有效","超范围"))</f>
        <v/>
      </c>
      <c r="AC18">
        <f>IF(C18&lt;&gt;C17,"新玩法组",IF(J18&gt;=J17,"不降","回退"))</f>
        <v/>
      </c>
      <c r="AD18" t="inlineStr">
        <is>
          <t>等效进度估算S155，非解锁/首通节点；旧Lv260→230</t>
        </is>
      </c>
      <c r="AE18" s="4" t="n">
        <v>386000</v>
      </c>
      <c r="AF18" s="4">
        <f>INDEX(_统一战力!$B$2:$B$501,J18)</f>
        <v/>
      </c>
    </row>
    <row r="19">
      <c r="A19" t="inlineStr">
        <is>
          <t>当前源表</t>
        </is>
      </c>
      <c r="B19" t="inlineStr">
        <is>
          <t>其他战斗玩法</t>
        </is>
      </c>
      <c r="C19" t="inlineStr">
        <is>
          <t>LevelType_BossDungeonChallenges_Hard</t>
        </is>
      </c>
      <c r="D19" t="inlineStr">
        <is>
          <t>雪怪王 难度8</t>
        </is>
      </c>
      <c r="E19" t="inlineStr">
        <is>
          <t>510108</t>
        </is>
      </c>
      <c r="F19" t="inlineStr">
        <is>
          <t>Boss</t>
        </is>
      </c>
      <c r="G19" t="n">
        <v>214</v>
      </c>
      <c r="I19">
        <f>IF($H19="",$G19,$H19)</f>
        <v/>
      </c>
      <c r="J19" t="n">
        <v>277</v>
      </c>
      <c r="K19" s="83" t="n">
        <v>0.975797192130606</v>
      </c>
      <c r="L19" s="83" t="n">
        <v>1.07135589100686</v>
      </c>
      <c r="M19" s="83" t="n">
        <v>1</v>
      </c>
      <c r="N19" t="n">
        <v>1</v>
      </c>
      <c r="O19" t="n">
        <v>1</v>
      </c>
      <c r="P19" s="17" t="n">
        <v>45.3496314351031</v>
      </c>
      <c r="Q19" s="21">
        <f>IF($I19="","",IFERROR(INDEX(_玩家曲线!$H$2:$H$286,MATCH($I19,_玩家曲线!$A$2:$A$286,0)),""))</f>
        <v/>
      </c>
      <c r="R19" s="21">
        <f>IF($I19="","",IFERROR(INDEX(_玩家曲线!$I$2:$I$286,MATCH($I19,_玩家曲线!$A$2:$A$286,0)),""))</f>
        <v/>
      </c>
      <c r="S19" s="21">
        <f>IF(OR($J19="",$F19="不适用"),"",IFERROR(INDEX(_怪物模型!$D$2:$D$4501,(INT($J19)-1)*ROWS(_怪物类型!$A$2:$A$10)+MATCH($F19,_怪物类型!$A$2:$A$10,0))*IF($K19="",1,$K19),""))</f>
        <v/>
      </c>
      <c r="T19" s="21">
        <f>IF(OR($J19="",$F19="不适用"),"",IFERROR(INDEX(_怪物模型!$E$2:$E$4501,(INT($J19)-1)*ROWS(_怪物类型!$A$2:$A$10)+MATCH($F19,_怪物类型!$A$2:$A$10,0))*IF($L19="",1,$L19),""))</f>
        <v/>
      </c>
      <c r="U19" s="21">
        <f>IF(OR($J19="",$F19="不适用"),"",IFERROR(INDEX(_怪物模型!$F$2:$F$4501,(INT($J19)-1)*ROWS(_怪物类型!$A$2:$A$10)+MATCH($F19,_怪物类型!$A$2:$A$10,0))*IF($M19="",1,$M19),""))</f>
        <v/>
      </c>
      <c r="V19" s="84">
        <f>IF($U19="","",MIN(0.75,$U19/($U19+24000)))</f>
        <v/>
      </c>
      <c r="W19" s="21">
        <f>IF($S19="","",$S19/(1-$V19)*IF($N19="",1,$N19))</f>
        <v/>
      </c>
      <c r="X19" s="17">
        <f>IF(OR($W19="",$Q19="",$Q19=0),"",$W19/$Q19)</f>
        <v/>
      </c>
      <c r="Y19" s="17">
        <f>IF(OR($R19="",$T19="",$T19=0),"",$R19/($T19*IF($O19="",1,$O19)))</f>
        <v/>
      </c>
      <c r="Z19" s="17">
        <f>IF(OR($X19="",$P19="",$P19=0),"",$X19/$P19)</f>
        <v/>
      </c>
      <c r="AA19">
        <f>IF($J19="","待填怪物等级",IF(OR($I19="",$Q19=""),"待填对照关卡",IF($P19="","已计算",IF(AND($Y19&lt;&gt;"",$Y19&lt;$X19),"生存不成立",IF($Z19&lt;0.5,"碾压",IF($Z19&lt;0.8,"偏简单",IF($Z19&lt;=1.2,"适中",IF($Z19&lt;=1.5,"偏难","过难"))))))))</f>
        <v/>
      </c>
      <c r="AB19">
        <f>IF($J19="","待填",IF(AND(ISNUMBER($J19),$J19&gt;=1,$J19&lt;=500,MOD($J19,1)=0),"有效","超范围"))</f>
        <v/>
      </c>
      <c r="AC19">
        <f>IF(C19&lt;&gt;C18,"新玩法组",IF(J19&gt;=J18,"不降","回退"))</f>
        <v/>
      </c>
      <c r="AD19" t="inlineStr">
        <is>
          <t>等效进度估算S214，非解锁/首通节点；旧Lv290→277</t>
        </is>
      </c>
      <c r="AE19" s="4" t="n">
        <v>577000</v>
      </c>
      <c r="AF19" s="4">
        <f>INDEX(_统一战力!$B$2:$B$501,J19)</f>
        <v/>
      </c>
    </row>
    <row r="20">
      <c r="A20" t="inlineStr">
        <is>
          <t>当前源表</t>
        </is>
      </c>
      <c r="B20" t="inlineStr">
        <is>
          <t>其他战斗玩法</t>
        </is>
      </c>
      <c r="C20" t="inlineStr">
        <is>
          <t>LevelType_BossDungeonChallenges_Hard</t>
        </is>
      </c>
      <c r="D20" t="inlineStr">
        <is>
          <t>莫尔拉 难度8</t>
        </is>
      </c>
      <c r="E20" t="inlineStr">
        <is>
          <t>520108</t>
        </is>
      </c>
      <c r="F20" t="inlineStr">
        <is>
          <t>Boss</t>
        </is>
      </c>
      <c r="G20" t="n">
        <v>214</v>
      </c>
      <c r="I20">
        <f>IF($H20="",$G20,$H20)</f>
        <v/>
      </c>
      <c r="J20" t="n">
        <v>277</v>
      </c>
      <c r="K20" s="83" t="n">
        <v>0.975797192130606</v>
      </c>
      <c r="L20" s="83" t="n">
        <v>1.07135589100686</v>
      </c>
      <c r="M20" s="83" t="n">
        <v>1</v>
      </c>
      <c r="N20" t="n">
        <v>1</v>
      </c>
      <c r="O20" t="n">
        <v>1</v>
      </c>
      <c r="P20" s="17" t="n">
        <v>45.3496314351031</v>
      </c>
      <c r="Q20" s="21">
        <f>IF($I20="","",IFERROR(INDEX(_玩家曲线!$H$2:$H$286,MATCH($I20,_玩家曲线!$A$2:$A$286,0)),""))</f>
        <v/>
      </c>
      <c r="R20" s="21">
        <f>IF($I20="","",IFERROR(INDEX(_玩家曲线!$I$2:$I$286,MATCH($I20,_玩家曲线!$A$2:$A$286,0)),""))</f>
        <v/>
      </c>
      <c r="S20" s="21">
        <f>IF(OR($J20="",$F20="不适用"),"",IFERROR(INDEX(_怪物模型!$D$2:$D$4501,(INT($J20)-1)*ROWS(_怪物类型!$A$2:$A$10)+MATCH($F20,_怪物类型!$A$2:$A$10,0))*IF($K20="",1,$K20),""))</f>
        <v/>
      </c>
      <c r="T20" s="21">
        <f>IF(OR($J20="",$F20="不适用"),"",IFERROR(INDEX(_怪物模型!$E$2:$E$4501,(INT($J20)-1)*ROWS(_怪物类型!$A$2:$A$10)+MATCH($F20,_怪物类型!$A$2:$A$10,0))*IF($L20="",1,$L20),""))</f>
        <v/>
      </c>
      <c r="U20" s="21">
        <f>IF(OR($J20="",$F20="不适用"),"",IFERROR(INDEX(_怪物模型!$F$2:$F$4501,(INT($J20)-1)*ROWS(_怪物类型!$A$2:$A$10)+MATCH($F20,_怪物类型!$A$2:$A$10,0))*IF($M20="",1,$M20),""))</f>
        <v/>
      </c>
      <c r="V20" s="84">
        <f>IF($U20="","",MIN(0.75,$U20/($U20+24000)))</f>
        <v/>
      </c>
      <c r="W20" s="21">
        <f>IF($S20="","",$S20/(1-$V20)*IF($N20="",1,$N20))</f>
        <v/>
      </c>
      <c r="X20" s="17">
        <f>IF(OR($W20="",$Q20="",$Q20=0),"",$W20/$Q20)</f>
        <v/>
      </c>
      <c r="Y20" s="17">
        <f>IF(OR($R20="",$T20="",$T20=0),"",$R20/($T20*IF($O20="",1,$O20)))</f>
        <v/>
      </c>
      <c r="Z20" s="17">
        <f>IF(OR($X20="",$P20="",$P20=0),"",$X20/$P20)</f>
        <v/>
      </c>
      <c r="AA20">
        <f>IF($J20="","待填怪物等级",IF(OR($I20="",$Q20=""),"待填对照关卡",IF($P20="","已计算",IF(AND($Y20&lt;&gt;"",$Y20&lt;$X20),"生存不成立",IF($Z20&lt;0.5,"碾压",IF($Z20&lt;0.8,"偏简单",IF($Z20&lt;=1.2,"适中",IF($Z20&lt;=1.5,"偏难","过难"))))))))</f>
        <v/>
      </c>
      <c r="AB20">
        <f>IF($J20="","待填",IF(AND(ISNUMBER($J20),$J20&gt;=1,$J20&lt;=500,MOD($J20,1)=0),"有效","超范围"))</f>
        <v/>
      </c>
      <c r="AC20">
        <f>IF(C20&lt;&gt;C19,"新玩法组",IF(J20&gt;=J19,"不降","回退"))</f>
        <v/>
      </c>
      <c r="AD20" t="inlineStr">
        <is>
          <t>等效进度估算S214，非解锁/首通节点；旧Lv290→277</t>
        </is>
      </c>
      <c r="AE20" s="4" t="n">
        <v>577000</v>
      </c>
      <c r="AF20" s="4">
        <f>INDEX(_统一战力!$B$2:$B$501,J20)</f>
        <v/>
      </c>
    </row>
    <row r="21">
      <c r="A21" t="inlineStr">
        <is>
          <t>当前源表</t>
        </is>
      </c>
      <c r="B21" t="inlineStr">
        <is>
          <t>其他战斗玩法</t>
        </is>
      </c>
      <c r="C21" t="inlineStr">
        <is>
          <t>LevelType_BossDungeonChallenges_Hard</t>
        </is>
      </c>
      <c r="D21" t="inlineStr">
        <is>
          <t>雪怪王 难度9</t>
        </is>
      </c>
      <c r="E21" t="inlineStr">
        <is>
          <t>510109</t>
        </is>
      </c>
      <c r="F21" t="inlineStr">
        <is>
          <t>Boss</t>
        </is>
      </c>
      <c r="G21" t="n">
        <v>278</v>
      </c>
      <c r="I21">
        <f>IF($H21="",$G21,$H21)</f>
        <v/>
      </c>
      <c r="J21" t="n">
        <v>329</v>
      </c>
      <c r="K21" s="83" t="n">
        <v>0.957229469150641</v>
      </c>
      <c r="L21" s="83" t="n">
        <v>1.13811993814146</v>
      </c>
      <c r="M21" s="83" t="n">
        <v>1</v>
      </c>
      <c r="N21" t="n">
        <v>1</v>
      </c>
      <c r="O21" t="n">
        <v>1</v>
      </c>
      <c r="P21" s="17" t="n">
        <v>60.2127783653</v>
      </c>
      <c r="Q21" s="21">
        <f>IF($I21="","",IFERROR(INDEX(_玩家曲线!$H$2:$H$286,MATCH($I21,_玩家曲线!$A$2:$A$286,0)),""))</f>
        <v/>
      </c>
      <c r="R21" s="21">
        <f>IF($I21="","",IFERROR(INDEX(_玩家曲线!$I$2:$I$286,MATCH($I21,_玩家曲线!$A$2:$A$286,0)),""))</f>
        <v/>
      </c>
      <c r="S21" s="21">
        <f>IF(OR($J21="",$F21="不适用"),"",IFERROR(INDEX(_怪物模型!$D$2:$D$4501,(INT($J21)-1)*ROWS(_怪物类型!$A$2:$A$10)+MATCH($F21,_怪物类型!$A$2:$A$10,0))*IF($K21="",1,$K21),""))</f>
        <v/>
      </c>
      <c r="T21" s="21">
        <f>IF(OR($J21="",$F21="不适用"),"",IFERROR(INDEX(_怪物模型!$E$2:$E$4501,(INT($J21)-1)*ROWS(_怪物类型!$A$2:$A$10)+MATCH($F21,_怪物类型!$A$2:$A$10,0))*IF($L21="",1,$L21),""))</f>
        <v/>
      </c>
      <c r="U21" s="21">
        <f>IF(OR($J21="",$F21="不适用"),"",IFERROR(INDEX(_怪物模型!$F$2:$F$4501,(INT($J21)-1)*ROWS(_怪物类型!$A$2:$A$10)+MATCH($F21,_怪物类型!$A$2:$A$10,0))*IF($M21="",1,$M21),""))</f>
        <v/>
      </c>
      <c r="V21" s="84">
        <f>IF($U21="","",MIN(0.75,$U21/($U21+24000)))</f>
        <v/>
      </c>
      <c r="W21" s="21">
        <f>IF($S21="","",$S21/(1-$V21)*IF($N21="",1,$N21))</f>
        <v/>
      </c>
      <c r="X21" s="17">
        <f>IF(OR($W21="",$Q21="",$Q21=0),"",$W21/$Q21)</f>
        <v/>
      </c>
      <c r="Y21" s="17">
        <f>IF(OR($R21="",$T21="",$T21=0),"",$R21/($T21*IF($O21="",1,$O21)))</f>
        <v/>
      </c>
      <c r="Z21" s="17">
        <f>IF(OR($X21="",$P21="",$P21=0),"",$X21/$P21)</f>
        <v/>
      </c>
      <c r="AA21">
        <f>IF($J21="","待填怪物等级",IF(OR($I21="",$Q21=""),"待填对照关卡",IF($P21="","已计算",IF(AND($Y21&lt;&gt;"",$Y21&lt;$X21),"生存不成立",IF($Z21&lt;0.5,"碾压",IF($Z21&lt;0.8,"偏简单",IF($Z21&lt;=1.2,"适中",IF($Z21&lt;=1.5,"偏难","过难"))))))))</f>
        <v/>
      </c>
      <c r="AB21">
        <f>IF($J21="","待填",IF(AND(ISNUMBER($J21),$J21&gt;=1,$J21&lt;=500,MOD($J21,1)=0),"有效","超范围"))</f>
        <v/>
      </c>
      <c r="AC21">
        <f>IF(C21&lt;&gt;C20,"新玩法组",IF(J21&gt;=J20,"不降","回退"))</f>
        <v/>
      </c>
      <c r="AD21" t="inlineStr">
        <is>
          <t>等效进度估算S278，非解锁/首通节点；旧Lv320→329</t>
        </is>
      </c>
      <c r="AE21" s="4" t="n">
        <v>840000</v>
      </c>
      <c r="AF21" s="4">
        <f>INDEX(_统一战力!$B$2:$B$501,J21)</f>
        <v/>
      </c>
    </row>
    <row r="22">
      <c r="A22" t="inlineStr">
        <is>
          <t>当前源表</t>
        </is>
      </c>
      <c r="B22" t="inlineStr">
        <is>
          <t>其他战斗玩法</t>
        </is>
      </c>
      <c r="C22" t="inlineStr">
        <is>
          <t>LevelType_BossDungeonChallenges_Hard</t>
        </is>
      </c>
      <c r="D22" t="inlineStr">
        <is>
          <t>莫尔拉 难度9</t>
        </is>
      </c>
      <c r="E22" t="inlineStr">
        <is>
          <t>520109</t>
        </is>
      </c>
      <c r="F22" t="inlineStr">
        <is>
          <t>Boss</t>
        </is>
      </c>
      <c r="G22" t="n">
        <v>278</v>
      </c>
      <c r="I22">
        <f>IF($H22="",$G22,$H22)</f>
        <v/>
      </c>
      <c r="J22" t="n">
        <v>329</v>
      </c>
      <c r="K22" s="83" t="n">
        <v>0.957229469150641</v>
      </c>
      <c r="L22" s="83" t="n">
        <v>1.13811993814146</v>
      </c>
      <c r="M22" s="83" t="n">
        <v>1</v>
      </c>
      <c r="N22" t="n">
        <v>1</v>
      </c>
      <c r="O22" t="n">
        <v>1</v>
      </c>
      <c r="P22" s="17" t="n">
        <v>60.2127783653</v>
      </c>
      <c r="Q22" s="21">
        <f>IF($I22="","",IFERROR(INDEX(_玩家曲线!$H$2:$H$286,MATCH($I22,_玩家曲线!$A$2:$A$286,0)),""))</f>
        <v/>
      </c>
      <c r="R22" s="21">
        <f>IF($I22="","",IFERROR(INDEX(_玩家曲线!$I$2:$I$286,MATCH($I22,_玩家曲线!$A$2:$A$286,0)),""))</f>
        <v/>
      </c>
      <c r="S22" s="21">
        <f>IF(OR($J22="",$F22="不适用"),"",IFERROR(INDEX(_怪物模型!$D$2:$D$4501,(INT($J22)-1)*ROWS(_怪物类型!$A$2:$A$10)+MATCH($F22,_怪物类型!$A$2:$A$10,0))*IF($K22="",1,$K22),""))</f>
        <v/>
      </c>
      <c r="T22" s="21">
        <f>IF(OR($J22="",$F22="不适用"),"",IFERROR(INDEX(_怪物模型!$E$2:$E$4501,(INT($J22)-1)*ROWS(_怪物类型!$A$2:$A$10)+MATCH($F22,_怪物类型!$A$2:$A$10,0))*IF($L22="",1,$L22),""))</f>
        <v/>
      </c>
      <c r="U22" s="21">
        <f>IF(OR($J22="",$F22="不适用"),"",IFERROR(INDEX(_怪物模型!$F$2:$F$4501,(INT($J22)-1)*ROWS(_怪物类型!$A$2:$A$10)+MATCH($F22,_怪物类型!$A$2:$A$10,0))*IF($M22="",1,$M22),""))</f>
        <v/>
      </c>
      <c r="V22" s="84">
        <f>IF($U22="","",MIN(0.75,$U22/($U22+24000)))</f>
        <v/>
      </c>
      <c r="W22" s="21">
        <f>IF($S22="","",$S22/(1-$V22)*IF($N22="",1,$N22))</f>
        <v/>
      </c>
      <c r="X22" s="17">
        <f>IF(OR($W22="",$Q22="",$Q22=0),"",$W22/$Q22)</f>
        <v/>
      </c>
      <c r="Y22" s="17">
        <f>IF(OR($R22="",$T22="",$T22=0),"",$R22/($T22*IF($O22="",1,$O22)))</f>
        <v/>
      </c>
      <c r="Z22" s="17">
        <f>IF(OR($X22="",$P22="",$P22=0),"",$X22/$P22)</f>
        <v/>
      </c>
      <c r="AA22">
        <f>IF($J22="","待填怪物等级",IF(OR($I22="",$Q22=""),"待填对照关卡",IF($P22="","已计算",IF(AND($Y22&lt;&gt;"",$Y22&lt;$X22),"生存不成立",IF($Z22&lt;0.5,"碾压",IF($Z22&lt;0.8,"偏简单",IF($Z22&lt;=1.2,"适中",IF($Z22&lt;=1.5,"偏难","过难"))))))))</f>
        <v/>
      </c>
      <c r="AB22">
        <f>IF($J22="","待填",IF(AND(ISNUMBER($J22),$J22&gt;=1,$J22&lt;=500,MOD($J22,1)=0),"有效","超范围"))</f>
        <v/>
      </c>
      <c r="AC22">
        <f>IF(C22&lt;&gt;C21,"新玩法组",IF(J22&gt;=J21,"不降","回退"))</f>
        <v/>
      </c>
      <c r="AD22" t="inlineStr">
        <is>
          <t>等效进度估算S278，非解锁/首通节点；旧Lv320→329</t>
        </is>
      </c>
      <c r="AE22" s="4" t="n">
        <v>840000</v>
      </c>
      <c r="AF22" s="4">
        <f>INDEX(_统一战力!$B$2:$B$501,J22)</f>
        <v/>
      </c>
    </row>
    <row r="23">
      <c r="A23" t="inlineStr">
        <is>
          <t>当前源表</t>
        </is>
      </c>
      <c r="B23" t="inlineStr">
        <is>
          <t>其他战斗玩法</t>
        </is>
      </c>
      <c r="C23" t="inlineStr">
        <is>
          <t>LevelType_BossDungeonChallenges_Hard</t>
        </is>
      </c>
      <c r="D23" t="inlineStr">
        <is>
          <t>雪怪王 难度10</t>
        </is>
      </c>
      <c r="E23" t="inlineStr">
        <is>
          <t>510110</t>
        </is>
      </c>
      <c r="F23" t="inlineStr">
        <is>
          <t>Boss</t>
        </is>
      </c>
      <c r="G23" t="n">
        <v>278</v>
      </c>
      <c r="I23">
        <f>IF($H23="",$G23,$H23)</f>
        <v/>
      </c>
      <c r="J23" t="n">
        <v>360</v>
      </c>
      <c r="K23" s="83" t="n">
        <v>0.948333962808333</v>
      </c>
      <c r="L23" s="83" t="n">
        <v>1.15574881221252</v>
      </c>
      <c r="M23" s="83" t="n">
        <v>1</v>
      </c>
      <c r="N23" t="n">
        <v>1</v>
      </c>
      <c r="O23" t="n">
        <v>1</v>
      </c>
      <c r="P23" s="17" t="n">
        <v>85.4412423689003</v>
      </c>
      <c r="Q23" s="21">
        <f>IF($I23="","",IFERROR(INDEX(_玩家曲线!$H$2:$H$286,MATCH($I23,_玩家曲线!$A$2:$A$286,0)),""))</f>
        <v/>
      </c>
      <c r="R23" s="21">
        <f>IF($I23="","",IFERROR(INDEX(_玩家曲线!$I$2:$I$286,MATCH($I23,_玩家曲线!$A$2:$A$286,0)),""))</f>
        <v/>
      </c>
      <c r="S23" s="21">
        <f>IF(OR($J23="",$F23="不适用"),"",IFERROR(INDEX(_怪物模型!$D$2:$D$4501,(INT($J23)-1)*ROWS(_怪物类型!$A$2:$A$10)+MATCH($F23,_怪物类型!$A$2:$A$10,0))*IF($K23="",1,$K23),""))</f>
        <v/>
      </c>
      <c r="T23" s="21">
        <f>IF(OR($J23="",$F23="不适用"),"",IFERROR(INDEX(_怪物模型!$E$2:$E$4501,(INT($J23)-1)*ROWS(_怪物类型!$A$2:$A$10)+MATCH($F23,_怪物类型!$A$2:$A$10,0))*IF($L23="",1,$L23),""))</f>
        <v/>
      </c>
      <c r="U23" s="21">
        <f>IF(OR($J23="",$F23="不适用"),"",IFERROR(INDEX(_怪物模型!$F$2:$F$4501,(INT($J23)-1)*ROWS(_怪物类型!$A$2:$A$10)+MATCH($F23,_怪物类型!$A$2:$A$10,0))*IF($M23="",1,$M23),""))</f>
        <v/>
      </c>
      <c r="V23" s="84">
        <f>IF($U23="","",MIN(0.75,$U23/($U23+24000)))</f>
        <v/>
      </c>
      <c r="W23" s="21">
        <f>IF($S23="","",$S23/(1-$V23)*IF($N23="",1,$N23))</f>
        <v/>
      </c>
      <c r="X23" s="17">
        <f>IF(OR($W23="",$Q23="",$Q23=0),"",$W23/$Q23)</f>
        <v/>
      </c>
      <c r="Y23" s="17">
        <f>IF(OR($R23="",$T23="",$T23=0),"",$R23/($T23*IF($O23="",1,$O23)))</f>
        <v/>
      </c>
      <c r="Z23" s="17">
        <f>IF(OR($X23="",$P23="",$P23=0),"",$X23/$P23)</f>
        <v/>
      </c>
      <c r="AA23">
        <f>IF($J23="","待填怪物等级",IF(OR($I23="",$Q23=""),"待填对照关卡",IF($P23="","已计算",IF(AND($Y23&lt;&gt;"",$Y23&lt;$X23),"生存不成立",IF($Z23&lt;0.5,"碾压",IF($Z23&lt;0.8,"偏简单",IF($Z23&lt;=1.2,"适中",IF($Z23&lt;=1.5,"偏难","过难"))))))))</f>
        <v/>
      </c>
      <c r="AB23">
        <f>IF($J23="","待填",IF(AND(ISNUMBER($J23),$J23&gt;=1,$J23&lt;=500,MOD($J23,1)=0),"有效","超范围"))</f>
        <v/>
      </c>
      <c r="AC23">
        <f>IF(C23&lt;&gt;C22,"新玩法组",IF(J23&gt;=J22,"不降","回退"))</f>
        <v/>
      </c>
      <c r="AD23" t="inlineStr">
        <is>
          <t>等效进度估算S278，非解锁/首通节点；旧Lv350→360</t>
        </is>
      </c>
      <c r="AE23" s="4" t="n">
        <v>1030000</v>
      </c>
      <c r="AF23" s="4">
        <f>INDEX(_统一战力!$B$2:$B$501,J23)</f>
        <v/>
      </c>
    </row>
    <row r="24">
      <c r="A24" t="inlineStr">
        <is>
          <t>当前源表</t>
        </is>
      </c>
      <c r="B24" t="inlineStr">
        <is>
          <t>其他战斗玩法</t>
        </is>
      </c>
      <c r="C24" t="inlineStr">
        <is>
          <t>LevelType_BossDungeonChallenges_Hard</t>
        </is>
      </c>
      <c r="D24" t="inlineStr">
        <is>
          <t>莫尔拉 难度10</t>
        </is>
      </c>
      <c r="E24" t="inlineStr">
        <is>
          <t>520110</t>
        </is>
      </c>
      <c r="F24" t="inlineStr">
        <is>
          <t>Boss</t>
        </is>
      </c>
      <c r="G24" t="n">
        <v>278</v>
      </c>
      <c r="I24">
        <f>IF($H24="",$G24,$H24)</f>
        <v/>
      </c>
      <c r="J24" t="n">
        <v>360</v>
      </c>
      <c r="K24" s="83" t="n">
        <v>0.948333962808333</v>
      </c>
      <c r="L24" s="83" t="n">
        <v>1.15574881221252</v>
      </c>
      <c r="M24" s="83" t="n">
        <v>1</v>
      </c>
      <c r="N24" t="n">
        <v>1</v>
      </c>
      <c r="O24" t="n">
        <v>1</v>
      </c>
      <c r="P24" s="17" t="n">
        <v>85.4412423689003</v>
      </c>
      <c r="Q24" s="21">
        <f>IF($I24="","",IFERROR(INDEX(_玩家曲线!$H$2:$H$286,MATCH($I24,_玩家曲线!$A$2:$A$286,0)),""))</f>
        <v/>
      </c>
      <c r="R24" s="21">
        <f>IF($I24="","",IFERROR(INDEX(_玩家曲线!$I$2:$I$286,MATCH($I24,_玩家曲线!$A$2:$A$286,0)),""))</f>
        <v/>
      </c>
      <c r="S24" s="21">
        <f>IF(OR($J24="",$F24="不适用"),"",IFERROR(INDEX(_怪物模型!$D$2:$D$4501,(INT($J24)-1)*ROWS(_怪物类型!$A$2:$A$10)+MATCH($F24,_怪物类型!$A$2:$A$10,0))*IF($K24="",1,$K24),""))</f>
        <v/>
      </c>
      <c r="T24" s="21">
        <f>IF(OR($J24="",$F24="不适用"),"",IFERROR(INDEX(_怪物模型!$E$2:$E$4501,(INT($J24)-1)*ROWS(_怪物类型!$A$2:$A$10)+MATCH($F24,_怪物类型!$A$2:$A$10,0))*IF($L24="",1,$L24),""))</f>
        <v/>
      </c>
      <c r="U24" s="21">
        <f>IF(OR($J24="",$F24="不适用"),"",IFERROR(INDEX(_怪物模型!$F$2:$F$4501,(INT($J24)-1)*ROWS(_怪物类型!$A$2:$A$10)+MATCH($F24,_怪物类型!$A$2:$A$10,0))*IF($M24="",1,$M24),""))</f>
        <v/>
      </c>
      <c r="V24" s="84">
        <f>IF($U24="","",MIN(0.75,$U24/($U24+24000)))</f>
        <v/>
      </c>
      <c r="W24" s="21">
        <f>IF($S24="","",$S24/(1-$V24)*IF($N24="",1,$N24))</f>
        <v/>
      </c>
      <c r="X24" s="17">
        <f>IF(OR($W24="",$Q24="",$Q24=0),"",$W24/$Q24)</f>
        <v/>
      </c>
      <c r="Y24" s="17">
        <f>IF(OR($R24="",$T24="",$T24=0),"",$R24/($T24*IF($O24="",1,$O24)))</f>
        <v/>
      </c>
      <c r="Z24" s="17">
        <f>IF(OR($X24="",$P24="",$P24=0),"",$X24/$P24)</f>
        <v/>
      </c>
      <c r="AA24">
        <f>IF($J24="","待填怪物等级",IF(OR($I24="",$Q24=""),"待填对照关卡",IF($P24="","已计算",IF(AND($Y24&lt;&gt;"",$Y24&lt;$X24),"生存不成立",IF($Z24&lt;0.5,"碾压",IF($Z24&lt;0.8,"偏简单",IF($Z24&lt;=1.2,"适中",IF($Z24&lt;=1.5,"偏难","过难"))))))))</f>
        <v/>
      </c>
      <c r="AB24">
        <f>IF($J24="","待填",IF(AND(ISNUMBER($J24),$J24&gt;=1,$J24&lt;=500,MOD($J24,1)=0),"有效","超范围"))</f>
        <v/>
      </c>
      <c r="AC24">
        <f>IF(C24&lt;&gt;C23,"新玩法组",IF(J24&gt;=J23,"不降","回退"))</f>
        <v/>
      </c>
      <c r="AD24" t="inlineStr">
        <is>
          <t>等效进度估算S278，非解锁/首通节点；旧Lv350→360</t>
        </is>
      </c>
      <c r="AE24" s="4" t="n">
        <v>1030000</v>
      </c>
      <c r="AF24" s="4">
        <f>INDEX(_统一战力!$B$2:$B$501,J24)</f>
        <v/>
      </c>
    </row>
    <row r="25">
      <c r="A25" t="inlineStr">
        <is>
          <t>当前源表</t>
        </is>
      </c>
      <c r="B25" t="inlineStr">
        <is>
          <t>其他战斗玩法</t>
        </is>
      </c>
      <c r="C25" t="inlineStr">
        <is>
          <t>LevelType_ExtraLevel</t>
        </is>
      </c>
      <c r="D25" t="inlineStr">
        <is>
          <t>危机四伏</t>
        </is>
      </c>
      <c r="E25" t="inlineStr">
        <is>
          <t>150101</t>
        </is>
      </c>
      <c r="F25" t="inlineStr">
        <is>
          <t>普通怪</t>
        </is>
      </c>
      <c r="G25" t="n">
        <v>7</v>
      </c>
      <c r="I25">
        <f>IF($H25="",$G25,$H25)</f>
        <v/>
      </c>
      <c r="J25" t="n">
        <v>13</v>
      </c>
      <c r="K25" s="83" t="n">
        <v>1.3</v>
      </c>
      <c r="L25" s="83" t="n">
        <v>1.3</v>
      </c>
      <c r="M25" s="83" t="n">
        <v>1</v>
      </c>
      <c r="N25" t="n">
        <v>1</v>
      </c>
      <c r="O25" t="n">
        <v>1</v>
      </c>
      <c r="P25" s="17" t="n">
        <v>0.382434921929684</v>
      </c>
      <c r="Q25" s="21">
        <f>IF($I25="","",IFERROR(INDEX(_玩家曲线!$H$2:$H$286,MATCH($I25,_玩家曲线!$A$2:$A$286,0)),""))</f>
        <v/>
      </c>
      <c r="R25" s="21">
        <f>IF($I25="","",IFERROR(INDEX(_玩家曲线!$I$2:$I$286,MATCH($I25,_玩家曲线!$A$2:$A$286,0)),""))</f>
        <v/>
      </c>
      <c r="S25" s="21">
        <f>IF(OR($J25="",$F25="不适用"),"",IFERROR(INDEX(_怪物模型!$D$2:$D$4501,(INT($J25)-1)*ROWS(_怪物类型!$A$2:$A$10)+MATCH($F25,_怪物类型!$A$2:$A$10,0))*IF($K25="",1,$K25),""))</f>
        <v/>
      </c>
      <c r="T25" s="21">
        <f>IF(OR($J25="",$F25="不适用"),"",IFERROR(INDEX(_怪物模型!$E$2:$E$4501,(INT($J25)-1)*ROWS(_怪物类型!$A$2:$A$10)+MATCH($F25,_怪物类型!$A$2:$A$10,0))*IF($L25="",1,$L25),""))</f>
        <v/>
      </c>
      <c r="U25" s="21">
        <f>IF(OR($J25="",$F25="不适用"),"",IFERROR(INDEX(_怪物模型!$F$2:$F$4501,(INT($J25)-1)*ROWS(_怪物类型!$A$2:$A$10)+MATCH($F25,_怪物类型!$A$2:$A$10,0))*IF($M25="",1,$M25),""))</f>
        <v/>
      </c>
      <c r="V25" s="84">
        <f>IF($U25="","",MIN(0.75,$U25/($U25+24000)))</f>
        <v/>
      </c>
      <c r="W25" s="21">
        <f>IF($S25="","",$S25/(1-$V25)*IF($N25="",1,$N25))</f>
        <v/>
      </c>
      <c r="X25" s="17">
        <f>IF(OR($W25="",$Q25="",$Q25=0),"",$W25/$Q25)</f>
        <v/>
      </c>
      <c r="Y25" s="17">
        <f>IF(OR($R25="",$T25="",$T25=0),"",$R25/($T25*IF($O25="",1,$O25)))</f>
        <v/>
      </c>
      <c r="Z25" s="17">
        <f>IF(OR($X25="",$P25="",$P25=0),"",$X25/$P25)</f>
        <v/>
      </c>
      <c r="AA25">
        <f>IF($J25="","待填怪物等级",IF(OR($I25="",$Q25=""),"待填对照关卡",IF($P25="","已计算",IF(AND($Y25&lt;&gt;"",$Y25&lt;$X25),"生存不成立",IF($Z25&lt;0.5,"碾压",IF($Z25&lt;0.8,"偏简单",IF($Z25&lt;=1.2,"适中",IF($Z25&lt;=1.5,"偏难","过难"))))))))</f>
        <v/>
      </c>
      <c r="AB25">
        <f>IF($J25="","待填",IF(AND(ISNUMBER($J25),$J25&gt;=1,$J25&lt;=500,MOD($J25,1)=0),"有效","超范围"))</f>
        <v/>
      </c>
      <c r="AC25">
        <f>IF(C25&lt;&gt;C24,"新玩法组",IF(J25&gt;=J24,"不降","回退"))</f>
        <v/>
      </c>
      <c r="AD25" t="inlineStr">
        <is>
          <t>等效进度估算S7，非解锁/首通节点；旧Lv14→13</t>
        </is>
      </c>
      <c r="AE25" s="4" t="n">
        <v>7220</v>
      </c>
      <c r="AF25" s="4">
        <f>INDEX(_统一战力!$B$2:$B$501,J25)</f>
        <v/>
      </c>
    </row>
    <row r="26">
      <c r="A26" t="inlineStr">
        <is>
          <t>当前源表</t>
        </is>
      </c>
      <c r="B26" t="inlineStr">
        <is>
          <t>其他战斗玩法</t>
        </is>
      </c>
      <c r="C26" t="inlineStr">
        <is>
          <t>LevelType_ExtraLevel</t>
        </is>
      </c>
      <c r="D26" t="inlineStr">
        <is>
          <t>结伴同行</t>
        </is>
      </c>
      <c r="E26" t="inlineStr">
        <is>
          <t>150102</t>
        </is>
      </c>
      <c r="F26" t="inlineStr">
        <is>
          <t>普通怪</t>
        </is>
      </c>
      <c r="G26" t="n">
        <v>7</v>
      </c>
      <c r="I26">
        <f>IF($H26="",$G26,$H26)</f>
        <v/>
      </c>
      <c r="J26" t="n">
        <v>14</v>
      </c>
      <c r="K26" s="83" t="n">
        <v>1.3</v>
      </c>
      <c r="L26" s="83" t="n">
        <v>1.3</v>
      </c>
      <c r="M26" s="83" t="n">
        <v>1</v>
      </c>
      <c r="N26" t="n">
        <v>1</v>
      </c>
      <c r="O26" t="n">
        <v>1</v>
      </c>
      <c r="P26" s="17" t="n">
        <v>0.418858868567819</v>
      </c>
      <c r="Q26" s="21">
        <f>IF($I26="","",IFERROR(INDEX(_玩家曲线!$H$2:$H$286,MATCH($I26,_玩家曲线!$A$2:$A$286,0)),""))</f>
        <v/>
      </c>
      <c r="R26" s="21">
        <f>IF($I26="","",IFERROR(INDEX(_玩家曲线!$I$2:$I$286,MATCH($I26,_玩家曲线!$A$2:$A$286,0)),""))</f>
        <v/>
      </c>
      <c r="S26" s="21">
        <f>IF(OR($J26="",$F26="不适用"),"",IFERROR(INDEX(_怪物模型!$D$2:$D$4501,(INT($J26)-1)*ROWS(_怪物类型!$A$2:$A$10)+MATCH($F26,_怪物类型!$A$2:$A$10,0))*IF($K26="",1,$K26),""))</f>
        <v/>
      </c>
      <c r="T26" s="21">
        <f>IF(OR($J26="",$F26="不适用"),"",IFERROR(INDEX(_怪物模型!$E$2:$E$4501,(INT($J26)-1)*ROWS(_怪物类型!$A$2:$A$10)+MATCH($F26,_怪物类型!$A$2:$A$10,0))*IF($L26="",1,$L26),""))</f>
        <v/>
      </c>
      <c r="U26" s="21">
        <f>IF(OR($J26="",$F26="不适用"),"",IFERROR(INDEX(_怪物模型!$F$2:$F$4501,(INT($J26)-1)*ROWS(_怪物类型!$A$2:$A$10)+MATCH($F26,_怪物类型!$A$2:$A$10,0))*IF($M26="",1,$M26),""))</f>
        <v/>
      </c>
      <c r="V26" s="84">
        <f>IF($U26="","",MIN(0.75,$U26/($U26+24000)))</f>
        <v/>
      </c>
      <c r="W26" s="21">
        <f>IF($S26="","",$S26/(1-$V26)*IF($N26="",1,$N26))</f>
        <v/>
      </c>
      <c r="X26" s="17">
        <f>IF(OR($W26="",$Q26="",$Q26=0),"",$W26/$Q26)</f>
        <v/>
      </c>
      <c r="Y26" s="17">
        <f>IF(OR($R26="",$T26="",$T26=0),"",$R26/($T26*IF($O26="",1,$O26)))</f>
        <v/>
      </c>
      <c r="Z26" s="17">
        <f>IF(OR($X26="",$P26="",$P26=0),"",$X26/$P26)</f>
        <v/>
      </c>
      <c r="AA26">
        <f>IF($J26="","待填怪物等级",IF(OR($I26="",$Q26=""),"待填对照关卡",IF($P26="","已计算",IF(AND($Y26&lt;&gt;"",$Y26&lt;$X26),"生存不成立",IF($Z26&lt;0.5,"碾压",IF($Z26&lt;0.8,"偏简单",IF($Z26&lt;=1.2,"适中",IF($Z26&lt;=1.5,"偏难","过难"))))))))</f>
        <v/>
      </c>
      <c r="AB26">
        <f>IF($J26="","待填",IF(AND(ISNUMBER($J26),$J26&gt;=1,$J26&lt;=500,MOD($J26,1)=0),"有效","超范围"))</f>
        <v/>
      </c>
      <c r="AC26">
        <f>IF(C26&lt;&gt;C25,"新玩法组",IF(J26&gt;=J25,"不降","回退"))</f>
        <v/>
      </c>
      <c r="AD26" t="inlineStr">
        <is>
          <t>等效进度估算S7，非解锁/首通节点；旧Lv15→14</t>
        </is>
      </c>
      <c r="AE26" s="4" t="n">
        <v>8610</v>
      </c>
      <c r="AF26" s="4">
        <f>INDEX(_统一战力!$B$2:$B$501,J26)</f>
        <v/>
      </c>
    </row>
    <row r="27">
      <c r="A27" t="inlineStr">
        <is>
          <t>当前源表</t>
        </is>
      </c>
      <c r="B27" t="inlineStr">
        <is>
          <t>其他战斗玩法</t>
        </is>
      </c>
      <c r="C27" t="inlineStr">
        <is>
          <t>LevelType_ExtraLevel</t>
        </is>
      </c>
      <c r="D27" t="inlineStr">
        <is>
          <t>雪境聚落</t>
        </is>
      </c>
      <c r="E27" t="inlineStr">
        <is>
          <t>150103</t>
        </is>
      </c>
      <c r="F27" t="inlineStr">
        <is>
          <t>普通怪</t>
        </is>
      </c>
      <c r="G27" t="n">
        <v>11</v>
      </c>
      <c r="I27">
        <f>IF($H27="",$G27,$H27)</f>
        <v/>
      </c>
      <c r="J27" t="n">
        <v>20</v>
      </c>
      <c r="K27" s="83" t="n">
        <v>1.3</v>
      </c>
      <c r="L27" s="83" t="n">
        <v>1.3</v>
      </c>
      <c r="M27" s="83" t="n">
        <v>1</v>
      </c>
      <c r="N27" t="n">
        <v>1</v>
      </c>
      <c r="O27" t="n">
        <v>1</v>
      </c>
      <c r="P27" s="17" t="n">
        <v>0.415937257137191</v>
      </c>
      <c r="Q27" s="21">
        <f>IF($I27="","",IFERROR(INDEX(_玩家曲线!$H$2:$H$286,MATCH($I27,_玩家曲线!$A$2:$A$286,0)),""))</f>
        <v/>
      </c>
      <c r="R27" s="21">
        <f>IF($I27="","",IFERROR(INDEX(_玩家曲线!$I$2:$I$286,MATCH($I27,_玩家曲线!$A$2:$A$286,0)),""))</f>
        <v/>
      </c>
      <c r="S27" s="21">
        <f>IF(OR($J27="",$F27="不适用"),"",IFERROR(INDEX(_怪物模型!$D$2:$D$4501,(INT($J27)-1)*ROWS(_怪物类型!$A$2:$A$10)+MATCH($F27,_怪物类型!$A$2:$A$10,0))*IF($K27="",1,$K27),""))</f>
        <v/>
      </c>
      <c r="T27" s="21">
        <f>IF(OR($J27="",$F27="不适用"),"",IFERROR(INDEX(_怪物模型!$E$2:$E$4501,(INT($J27)-1)*ROWS(_怪物类型!$A$2:$A$10)+MATCH($F27,_怪物类型!$A$2:$A$10,0))*IF($L27="",1,$L27),""))</f>
        <v/>
      </c>
      <c r="U27" s="21">
        <f>IF(OR($J27="",$F27="不适用"),"",IFERROR(INDEX(_怪物模型!$F$2:$F$4501,(INT($J27)-1)*ROWS(_怪物类型!$A$2:$A$10)+MATCH($F27,_怪物类型!$A$2:$A$10,0))*IF($M27="",1,$M27),""))</f>
        <v/>
      </c>
      <c r="V27" s="84">
        <f>IF($U27="","",MIN(0.75,$U27/($U27+24000)))</f>
        <v/>
      </c>
      <c r="W27" s="21">
        <f>IF($S27="","",$S27/(1-$V27)*IF($N27="",1,$N27))</f>
        <v/>
      </c>
      <c r="X27" s="17">
        <f>IF(OR($W27="",$Q27="",$Q27=0),"",$W27/$Q27)</f>
        <v/>
      </c>
      <c r="Y27" s="17">
        <f>IF(OR($R27="",$T27="",$T27=0),"",$R27/($T27*IF($O27="",1,$O27)))</f>
        <v/>
      </c>
      <c r="Z27" s="17">
        <f>IF(OR($X27="",$P27="",$P27=0),"",$X27/$P27)</f>
        <v/>
      </c>
      <c r="AA27">
        <f>IF($J27="","待填怪物等级",IF(OR($I27="",$Q27=""),"待填对照关卡",IF($P27="","已计算",IF(AND($Y27&lt;&gt;"",$Y27&lt;$X27),"生存不成立",IF($Z27&lt;0.5,"碾压",IF($Z27&lt;0.8,"偏简单",IF($Z27&lt;=1.2,"适中",IF($Z27&lt;=1.5,"偏难","过难"))))))))</f>
        <v/>
      </c>
      <c r="AB27">
        <f>IF($J27="","待填",IF(AND(ISNUMBER($J27),$J27&gt;=1,$J27&lt;=500,MOD($J27,1)=0),"有效","超范围"))</f>
        <v/>
      </c>
      <c r="AC27">
        <f>IF(C27&lt;&gt;C26,"新玩法组",IF(J27&gt;=J26,"不降","回退"))</f>
        <v/>
      </c>
      <c r="AD27" t="inlineStr">
        <is>
          <t>等效进度估算S11，非解锁/首通节点；旧Lv22→20</t>
        </is>
      </c>
      <c r="AE27" s="4" t="n">
        <v>11200</v>
      </c>
      <c r="AF27" s="4">
        <f>INDEX(_统一战力!$B$2:$B$501,J27)</f>
        <v/>
      </c>
    </row>
    <row r="28">
      <c r="A28" t="inlineStr">
        <is>
          <t>当前源表</t>
        </is>
      </c>
      <c r="B28" t="inlineStr">
        <is>
          <t>其他战斗玩法</t>
        </is>
      </c>
      <c r="C28" t="inlineStr">
        <is>
          <t>LevelType_ExtraLevel</t>
        </is>
      </c>
      <c r="D28" t="inlineStr">
        <is>
          <t>战斗</t>
        </is>
      </c>
      <c r="E28" t="inlineStr">
        <is>
          <t>170101</t>
        </is>
      </c>
      <c r="F28" t="inlineStr">
        <is>
          <t>普通怪</t>
        </is>
      </c>
      <c r="G28" t="n">
        <v>11</v>
      </c>
      <c r="I28">
        <f>IF($H28="",$G28,$H28)</f>
        <v/>
      </c>
      <c r="J28" t="n">
        <v>20</v>
      </c>
      <c r="K28" s="83" t="n">
        <v>1.3</v>
      </c>
      <c r="L28" s="83" t="n">
        <v>1.3</v>
      </c>
      <c r="M28" s="83" t="n">
        <v>1</v>
      </c>
      <c r="N28" t="n">
        <v>1</v>
      </c>
      <c r="O28" t="n">
        <v>1</v>
      </c>
      <c r="P28" s="17" t="n">
        <v>0.415937257137191</v>
      </c>
      <c r="Q28" s="21">
        <f>IF($I28="","",IFERROR(INDEX(_玩家曲线!$H$2:$H$286,MATCH($I28,_玩家曲线!$A$2:$A$286,0)),""))</f>
        <v/>
      </c>
      <c r="R28" s="21">
        <f>IF($I28="","",IFERROR(INDEX(_玩家曲线!$I$2:$I$286,MATCH($I28,_玩家曲线!$A$2:$A$286,0)),""))</f>
        <v/>
      </c>
      <c r="S28" s="21">
        <f>IF(OR($J28="",$F28="不适用"),"",IFERROR(INDEX(_怪物模型!$D$2:$D$4501,(INT($J28)-1)*ROWS(_怪物类型!$A$2:$A$10)+MATCH($F28,_怪物类型!$A$2:$A$10,0))*IF($K28="",1,$K28),""))</f>
        <v/>
      </c>
      <c r="T28" s="21">
        <f>IF(OR($J28="",$F28="不适用"),"",IFERROR(INDEX(_怪物模型!$E$2:$E$4501,(INT($J28)-1)*ROWS(_怪物类型!$A$2:$A$10)+MATCH($F28,_怪物类型!$A$2:$A$10,0))*IF($L28="",1,$L28),""))</f>
        <v/>
      </c>
      <c r="U28" s="21">
        <f>IF(OR($J28="",$F28="不适用"),"",IFERROR(INDEX(_怪物模型!$F$2:$F$4501,(INT($J28)-1)*ROWS(_怪物类型!$A$2:$A$10)+MATCH($F28,_怪物类型!$A$2:$A$10,0))*IF($M28="",1,$M28),""))</f>
        <v/>
      </c>
      <c r="V28" s="84">
        <f>IF($U28="","",MIN(0.75,$U28/($U28+24000)))</f>
        <v/>
      </c>
      <c r="W28" s="21">
        <f>IF($S28="","",$S28/(1-$V28)*IF($N28="",1,$N28))</f>
        <v/>
      </c>
      <c r="X28" s="17">
        <f>IF(OR($W28="",$Q28="",$Q28=0),"",$W28/$Q28)</f>
        <v/>
      </c>
      <c r="Y28" s="17">
        <f>IF(OR($R28="",$T28="",$T28=0),"",$R28/($T28*IF($O28="",1,$O28)))</f>
        <v/>
      </c>
      <c r="Z28" s="17">
        <f>IF(OR($X28="",$P28="",$P28=0),"",$X28/$P28)</f>
        <v/>
      </c>
      <c r="AA28">
        <f>IF($J28="","待填怪物等级",IF(OR($I28="",$Q28=""),"待填对照关卡",IF($P28="","已计算",IF(AND($Y28&lt;&gt;"",$Y28&lt;$X28),"生存不成立",IF($Z28&lt;0.5,"碾压",IF($Z28&lt;0.8,"偏简单",IF($Z28&lt;=1.2,"适中",IF($Z28&lt;=1.5,"偏难","过难"))))))))</f>
        <v/>
      </c>
      <c r="AB28">
        <f>IF($J28="","待填",IF(AND(ISNUMBER($J28),$J28&gt;=1,$J28&lt;=500,MOD($J28,1)=0),"有效","超范围"))</f>
        <v/>
      </c>
      <c r="AC28">
        <f>IF(C28&lt;&gt;C27,"新玩法组",IF(J28&gt;=J27,"不降","回退"))</f>
        <v/>
      </c>
      <c r="AD28" t="inlineStr">
        <is>
          <t>等效进度估算S11，非解锁/首通节点；旧Lv22→20</t>
        </is>
      </c>
      <c r="AE28" s="4" t="n">
        <v>11200</v>
      </c>
      <c r="AF28" s="4">
        <f>INDEX(_统一战力!$B$2:$B$501,J28)</f>
        <v/>
      </c>
    </row>
    <row r="29">
      <c r="A29" t="inlineStr">
        <is>
          <t>当前源表</t>
        </is>
      </c>
      <c r="B29" t="inlineStr">
        <is>
          <t>其他战斗玩法</t>
        </is>
      </c>
      <c r="C29" t="inlineStr">
        <is>
          <t>LevelType_ExtraLevel</t>
        </is>
      </c>
      <c r="D29" t="inlineStr">
        <is>
          <t>战斗</t>
        </is>
      </c>
      <c r="E29" t="inlineStr">
        <is>
          <t>170201</t>
        </is>
      </c>
      <c r="F29" t="inlineStr">
        <is>
          <t>普通怪</t>
        </is>
      </c>
      <c r="G29" t="n">
        <v>11</v>
      </c>
      <c r="I29">
        <f>IF($H29="",$G29,$H29)</f>
        <v/>
      </c>
      <c r="J29" t="n">
        <v>20</v>
      </c>
      <c r="K29" s="83" t="n">
        <v>1.3</v>
      </c>
      <c r="L29" s="83" t="n">
        <v>1.3</v>
      </c>
      <c r="M29" s="83" t="n">
        <v>1</v>
      </c>
      <c r="N29" t="n">
        <v>1</v>
      </c>
      <c r="O29" t="n">
        <v>1</v>
      </c>
      <c r="P29" s="17" t="n">
        <v>0.415937257137191</v>
      </c>
      <c r="Q29" s="21">
        <f>IF($I29="","",IFERROR(INDEX(_玩家曲线!$H$2:$H$286,MATCH($I29,_玩家曲线!$A$2:$A$286,0)),""))</f>
        <v/>
      </c>
      <c r="R29" s="21">
        <f>IF($I29="","",IFERROR(INDEX(_玩家曲线!$I$2:$I$286,MATCH($I29,_玩家曲线!$A$2:$A$286,0)),""))</f>
        <v/>
      </c>
      <c r="S29" s="21">
        <f>IF(OR($J29="",$F29="不适用"),"",IFERROR(INDEX(_怪物模型!$D$2:$D$4501,(INT($J29)-1)*ROWS(_怪物类型!$A$2:$A$10)+MATCH($F29,_怪物类型!$A$2:$A$10,0))*IF($K29="",1,$K29),""))</f>
        <v/>
      </c>
      <c r="T29" s="21">
        <f>IF(OR($J29="",$F29="不适用"),"",IFERROR(INDEX(_怪物模型!$E$2:$E$4501,(INT($J29)-1)*ROWS(_怪物类型!$A$2:$A$10)+MATCH($F29,_怪物类型!$A$2:$A$10,0))*IF($L29="",1,$L29),""))</f>
        <v/>
      </c>
      <c r="U29" s="21">
        <f>IF(OR($J29="",$F29="不适用"),"",IFERROR(INDEX(_怪物模型!$F$2:$F$4501,(INT($J29)-1)*ROWS(_怪物类型!$A$2:$A$10)+MATCH($F29,_怪物类型!$A$2:$A$10,0))*IF($M29="",1,$M29),""))</f>
        <v/>
      </c>
      <c r="V29" s="84">
        <f>IF($U29="","",MIN(0.75,$U29/($U29+24000)))</f>
        <v/>
      </c>
      <c r="W29" s="21">
        <f>IF($S29="","",$S29/(1-$V29)*IF($N29="",1,$N29))</f>
        <v/>
      </c>
      <c r="X29" s="17">
        <f>IF(OR($W29="",$Q29="",$Q29=0),"",$W29/$Q29)</f>
        <v/>
      </c>
      <c r="Y29" s="17">
        <f>IF(OR($R29="",$T29="",$T29=0),"",$R29/($T29*IF($O29="",1,$O29)))</f>
        <v/>
      </c>
      <c r="Z29" s="17">
        <f>IF(OR($X29="",$P29="",$P29=0),"",$X29/$P29)</f>
        <v/>
      </c>
      <c r="AA29">
        <f>IF($J29="","待填怪物等级",IF(OR($I29="",$Q29=""),"待填对照关卡",IF($P29="","已计算",IF(AND($Y29&lt;&gt;"",$Y29&lt;$X29),"生存不成立",IF($Z29&lt;0.5,"碾压",IF($Z29&lt;0.8,"偏简单",IF($Z29&lt;=1.2,"适中",IF($Z29&lt;=1.5,"偏难","过难"))))))))</f>
        <v/>
      </c>
      <c r="AB29">
        <f>IF($J29="","待填",IF(AND(ISNUMBER($J29),$J29&gt;=1,$J29&lt;=500,MOD($J29,1)=0),"有效","超范围"))</f>
        <v/>
      </c>
      <c r="AC29">
        <f>IF(C29&lt;&gt;C28,"新玩法组",IF(J29&gt;=J28,"不降","回退"))</f>
        <v/>
      </c>
      <c r="AD29" t="inlineStr">
        <is>
          <t>等效进度估算S11，非解锁/首通节点；旧Lv22→20</t>
        </is>
      </c>
      <c r="AE29" s="4" t="n">
        <v>11200</v>
      </c>
      <c r="AF29" s="4">
        <f>INDEX(_统一战力!$B$2:$B$501,J29)</f>
        <v/>
      </c>
    </row>
    <row r="30">
      <c r="A30" t="inlineStr">
        <is>
          <t>当前源表</t>
        </is>
      </c>
      <c r="B30" t="inlineStr">
        <is>
          <t>其他战斗玩法</t>
        </is>
      </c>
      <c r="C30" t="inlineStr">
        <is>
          <t>LevelType_ExtraLevel</t>
        </is>
      </c>
      <c r="D30" t="inlineStr">
        <is>
          <t>战斗</t>
        </is>
      </c>
      <c r="E30" t="inlineStr">
        <is>
          <t>170301</t>
        </is>
      </c>
      <c r="F30" t="inlineStr">
        <is>
          <t>普通怪</t>
        </is>
      </c>
      <c r="G30" t="n">
        <v>11</v>
      </c>
      <c r="I30">
        <f>IF($H30="",$G30,$H30)</f>
        <v/>
      </c>
      <c r="J30" t="n">
        <v>20</v>
      </c>
      <c r="K30" s="83" t="n">
        <v>1.3</v>
      </c>
      <c r="L30" s="83" t="n">
        <v>1.3</v>
      </c>
      <c r="M30" s="83" t="n">
        <v>1</v>
      </c>
      <c r="N30" t="n">
        <v>1</v>
      </c>
      <c r="O30" t="n">
        <v>1</v>
      </c>
      <c r="P30" s="17" t="n">
        <v>0.415937257137191</v>
      </c>
      <c r="Q30" s="21">
        <f>IF($I30="","",IFERROR(INDEX(_玩家曲线!$H$2:$H$286,MATCH($I30,_玩家曲线!$A$2:$A$286,0)),""))</f>
        <v/>
      </c>
      <c r="R30" s="21">
        <f>IF($I30="","",IFERROR(INDEX(_玩家曲线!$I$2:$I$286,MATCH($I30,_玩家曲线!$A$2:$A$286,0)),""))</f>
        <v/>
      </c>
      <c r="S30" s="21">
        <f>IF(OR($J30="",$F30="不适用"),"",IFERROR(INDEX(_怪物模型!$D$2:$D$4501,(INT($J30)-1)*ROWS(_怪物类型!$A$2:$A$10)+MATCH($F30,_怪物类型!$A$2:$A$10,0))*IF($K30="",1,$K30),""))</f>
        <v/>
      </c>
      <c r="T30" s="21">
        <f>IF(OR($J30="",$F30="不适用"),"",IFERROR(INDEX(_怪物模型!$E$2:$E$4501,(INT($J30)-1)*ROWS(_怪物类型!$A$2:$A$10)+MATCH($F30,_怪物类型!$A$2:$A$10,0))*IF($L30="",1,$L30),""))</f>
        <v/>
      </c>
      <c r="U30" s="21">
        <f>IF(OR($J30="",$F30="不适用"),"",IFERROR(INDEX(_怪物模型!$F$2:$F$4501,(INT($J30)-1)*ROWS(_怪物类型!$A$2:$A$10)+MATCH($F30,_怪物类型!$A$2:$A$10,0))*IF($M30="",1,$M30),""))</f>
        <v/>
      </c>
      <c r="V30" s="84">
        <f>IF($U30="","",MIN(0.75,$U30/($U30+24000)))</f>
        <v/>
      </c>
      <c r="W30" s="21">
        <f>IF($S30="","",$S30/(1-$V30)*IF($N30="",1,$N30))</f>
        <v/>
      </c>
      <c r="X30" s="17">
        <f>IF(OR($W30="",$Q30="",$Q30=0),"",$W30/$Q30)</f>
        <v/>
      </c>
      <c r="Y30" s="17">
        <f>IF(OR($R30="",$T30="",$T30=0),"",$R30/($T30*IF($O30="",1,$O30)))</f>
        <v/>
      </c>
      <c r="Z30" s="17">
        <f>IF(OR($X30="",$P30="",$P30=0),"",$X30/$P30)</f>
        <v/>
      </c>
      <c r="AA30">
        <f>IF($J30="","待填怪物等级",IF(OR($I30="",$Q30=""),"待填对照关卡",IF($P30="","已计算",IF(AND($Y30&lt;&gt;"",$Y30&lt;$X30),"生存不成立",IF($Z30&lt;0.5,"碾压",IF($Z30&lt;0.8,"偏简单",IF($Z30&lt;=1.2,"适中",IF($Z30&lt;=1.5,"偏难","过难"))))))))</f>
        <v/>
      </c>
      <c r="AB30">
        <f>IF($J30="","待填",IF(AND(ISNUMBER($J30),$J30&gt;=1,$J30&lt;=500,MOD($J30,1)=0),"有效","超范围"))</f>
        <v/>
      </c>
      <c r="AC30">
        <f>IF(C30&lt;&gt;C29,"新玩法组",IF(J30&gt;=J29,"不降","回退"))</f>
        <v/>
      </c>
      <c r="AD30" t="inlineStr">
        <is>
          <t>等效进度估算S11，非解锁/首通节点；旧Lv22→20</t>
        </is>
      </c>
      <c r="AE30" s="4" t="n">
        <v>11200</v>
      </c>
      <c r="AF30" s="4">
        <f>INDEX(_统一战力!$B$2:$B$501,J30)</f>
        <v/>
      </c>
    </row>
    <row r="31">
      <c r="A31" t="inlineStr">
        <is>
          <t>当前源表</t>
        </is>
      </c>
      <c r="B31" t="inlineStr">
        <is>
          <t>其他战斗玩法</t>
        </is>
      </c>
      <c r="C31" t="inlineStr">
        <is>
          <t>LevelType_ExtraLevel</t>
        </is>
      </c>
      <c r="D31" t="inlineStr">
        <is>
          <t>战斗</t>
        </is>
      </c>
      <c r="E31" t="inlineStr">
        <is>
          <t>170401</t>
        </is>
      </c>
      <c r="F31" t="inlineStr">
        <is>
          <t>普通怪</t>
        </is>
      </c>
      <c r="G31" t="n">
        <v>11</v>
      </c>
      <c r="I31">
        <f>IF($H31="",$G31,$H31)</f>
        <v/>
      </c>
      <c r="J31" t="n">
        <v>20</v>
      </c>
      <c r="K31" s="83" t="n">
        <v>1.3</v>
      </c>
      <c r="L31" s="83" t="n">
        <v>1.3</v>
      </c>
      <c r="M31" s="83" t="n">
        <v>1</v>
      </c>
      <c r="N31" t="n">
        <v>1</v>
      </c>
      <c r="O31" t="n">
        <v>1</v>
      </c>
      <c r="P31" s="17" t="n">
        <v>0.415937257137191</v>
      </c>
      <c r="Q31" s="21">
        <f>IF($I31="","",IFERROR(INDEX(_玩家曲线!$H$2:$H$286,MATCH($I31,_玩家曲线!$A$2:$A$286,0)),""))</f>
        <v/>
      </c>
      <c r="R31" s="21">
        <f>IF($I31="","",IFERROR(INDEX(_玩家曲线!$I$2:$I$286,MATCH($I31,_玩家曲线!$A$2:$A$286,0)),""))</f>
        <v/>
      </c>
      <c r="S31" s="21">
        <f>IF(OR($J31="",$F31="不适用"),"",IFERROR(INDEX(_怪物模型!$D$2:$D$4501,(INT($J31)-1)*ROWS(_怪物类型!$A$2:$A$10)+MATCH($F31,_怪物类型!$A$2:$A$10,0))*IF($K31="",1,$K31),""))</f>
        <v/>
      </c>
      <c r="T31" s="21">
        <f>IF(OR($J31="",$F31="不适用"),"",IFERROR(INDEX(_怪物模型!$E$2:$E$4501,(INT($J31)-1)*ROWS(_怪物类型!$A$2:$A$10)+MATCH($F31,_怪物类型!$A$2:$A$10,0))*IF($L31="",1,$L31),""))</f>
        <v/>
      </c>
      <c r="U31" s="21">
        <f>IF(OR($J31="",$F31="不适用"),"",IFERROR(INDEX(_怪物模型!$F$2:$F$4501,(INT($J31)-1)*ROWS(_怪物类型!$A$2:$A$10)+MATCH($F31,_怪物类型!$A$2:$A$10,0))*IF($M31="",1,$M31),""))</f>
        <v/>
      </c>
      <c r="V31" s="84">
        <f>IF($U31="","",MIN(0.75,$U31/($U31+24000)))</f>
        <v/>
      </c>
      <c r="W31" s="21">
        <f>IF($S31="","",$S31/(1-$V31)*IF($N31="",1,$N31))</f>
        <v/>
      </c>
      <c r="X31" s="17">
        <f>IF(OR($W31="",$Q31="",$Q31=0),"",$W31/$Q31)</f>
        <v/>
      </c>
      <c r="Y31" s="17">
        <f>IF(OR($R31="",$T31="",$T31=0),"",$R31/($T31*IF($O31="",1,$O31)))</f>
        <v/>
      </c>
      <c r="Z31" s="17">
        <f>IF(OR($X31="",$P31="",$P31=0),"",$X31/$P31)</f>
        <v/>
      </c>
      <c r="AA31">
        <f>IF($J31="","待填怪物等级",IF(OR($I31="",$Q31=""),"待填对照关卡",IF($P31="","已计算",IF(AND($Y31&lt;&gt;"",$Y31&lt;$X31),"生存不成立",IF($Z31&lt;0.5,"碾压",IF($Z31&lt;0.8,"偏简单",IF($Z31&lt;=1.2,"适中",IF($Z31&lt;=1.5,"偏难","过难"))))))))</f>
        <v/>
      </c>
      <c r="AB31">
        <f>IF($J31="","待填",IF(AND(ISNUMBER($J31),$J31&gt;=1,$J31&lt;=500,MOD($J31,1)=0),"有效","超范围"))</f>
        <v/>
      </c>
      <c r="AC31">
        <f>IF(C31&lt;&gt;C30,"新玩法组",IF(J31&gt;=J30,"不降","回退"))</f>
        <v/>
      </c>
      <c r="AD31" t="inlineStr">
        <is>
          <t>等效进度估算S11，非解锁/首通节点；旧Lv22→20</t>
        </is>
      </c>
      <c r="AE31" s="4" t="n">
        <v>11200</v>
      </c>
      <c r="AF31" s="4">
        <f>INDEX(_统一战力!$B$2:$B$501,J31)</f>
        <v/>
      </c>
    </row>
    <row r="32">
      <c r="A32" t="inlineStr">
        <is>
          <t>当前源表</t>
        </is>
      </c>
      <c r="B32" t="inlineStr">
        <is>
          <t>其他战斗玩法</t>
        </is>
      </c>
      <c r="C32" t="inlineStr">
        <is>
          <t>LevelType_ExtraLevel</t>
        </is>
      </c>
      <c r="D32" t="inlineStr">
        <is>
          <t>暗中窥影</t>
        </is>
      </c>
      <c r="E32" t="inlineStr">
        <is>
          <t>150104</t>
        </is>
      </c>
      <c r="F32" t="inlineStr">
        <is>
          <t>普通怪</t>
        </is>
      </c>
      <c r="G32" t="n">
        <v>11</v>
      </c>
      <c r="I32">
        <f>IF($H32="",$G32,$H32)</f>
        <v/>
      </c>
      <c r="J32" t="n">
        <v>21</v>
      </c>
      <c r="K32" s="83" t="n">
        <v>1.3</v>
      </c>
      <c r="L32" s="83" t="n">
        <v>1.3</v>
      </c>
      <c r="M32" s="83" t="n">
        <v>1</v>
      </c>
      <c r="N32" t="n">
        <v>1</v>
      </c>
      <c r="O32" t="n">
        <v>1</v>
      </c>
      <c r="P32" s="17" t="n">
        <v>0.443291346652538</v>
      </c>
      <c r="Q32" s="21">
        <f>IF($I32="","",IFERROR(INDEX(_玩家曲线!$H$2:$H$286,MATCH($I32,_玩家曲线!$A$2:$A$286,0)),""))</f>
        <v/>
      </c>
      <c r="R32" s="21">
        <f>IF($I32="","",IFERROR(INDEX(_玩家曲线!$I$2:$I$286,MATCH($I32,_玩家曲线!$A$2:$A$286,0)),""))</f>
        <v/>
      </c>
      <c r="S32" s="21">
        <f>IF(OR($J32="",$F32="不适用"),"",IFERROR(INDEX(_怪物模型!$D$2:$D$4501,(INT($J32)-1)*ROWS(_怪物类型!$A$2:$A$10)+MATCH($F32,_怪物类型!$A$2:$A$10,0))*IF($K32="",1,$K32),""))</f>
        <v/>
      </c>
      <c r="T32" s="21">
        <f>IF(OR($J32="",$F32="不适用"),"",IFERROR(INDEX(_怪物模型!$E$2:$E$4501,(INT($J32)-1)*ROWS(_怪物类型!$A$2:$A$10)+MATCH($F32,_怪物类型!$A$2:$A$10,0))*IF($L32="",1,$L32),""))</f>
        <v/>
      </c>
      <c r="U32" s="21">
        <f>IF(OR($J32="",$F32="不适用"),"",IFERROR(INDEX(_怪物模型!$F$2:$F$4501,(INT($J32)-1)*ROWS(_怪物类型!$A$2:$A$10)+MATCH($F32,_怪物类型!$A$2:$A$10,0))*IF($M32="",1,$M32),""))</f>
        <v/>
      </c>
      <c r="V32" s="84">
        <f>IF($U32="","",MIN(0.75,$U32/($U32+24000)))</f>
        <v/>
      </c>
      <c r="W32" s="21">
        <f>IF($S32="","",$S32/(1-$V32)*IF($N32="",1,$N32))</f>
        <v/>
      </c>
      <c r="X32" s="17">
        <f>IF(OR($W32="",$Q32="",$Q32=0),"",$W32/$Q32)</f>
        <v/>
      </c>
      <c r="Y32" s="17">
        <f>IF(OR($R32="",$T32="",$T32=0),"",$R32/($T32*IF($O32="",1,$O32)))</f>
        <v/>
      </c>
      <c r="Z32" s="17">
        <f>IF(OR($X32="",$P32="",$P32=0),"",$X32/$P32)</f>
        <v/>
      </c>
      <c r="AA32">
        <f>IF($J32="","待填怪物等级",IF(OR($I32="",$Q32=""),"待填对照关卡",IF($P32="","已计算",IF(AND($Y32&lt;&gt;"",$Y32&lt;$X32),"生存不成立",IF($Z32&lt;0.5,"碾压",IF($Z32&lt;0.8,"偏简单",IF($Z32&lt;=1.2,"适中",IF($Z32&lt;=1.5,"偏难","过难"))))))))</f>
        <v/>
      </c>
      <c r="AB32">
        <f>IF($J32="","待填",IF(AND(ISNUMBER($J32),$J32&gt;=1,$J32&lt;=500,MOD($J32,1)=0),"有效","超范围"))</f>
        <v/>
      </c>
      <c r="AC32">
        <f>IF(C32&lt;&gt;C31,"新玩法组",IF(J32&gt;=J31,"不降","回退"))</f>
        <v/>
      </c>
      <c r="AD32" t="inlineStr">
        <is>
          <t>等效进度估算S11，非解锁/首通节点；旧Lv23→21</t>
        </is>
      </c>
      <c r="AE32" s="4" t="n">
        <v>11200</v>
      </c>
      <c r="AF32" s="4">
        <f>INDEX(_统一战力!$B$2:$B$501,J32)</f>
        <v/>
      </c>
    </row>
    <row r="33">
      <c r="A33" t="inlineStr">
        <is>
          <t>当前源表</t>
        </is>
      </c>
      <c r="B33" t="inlineStr">
        <is>
          <t>其他战斗玩法</t>
        </is>
      </c>
      <c r="C33" t="inlineStr">
        <is>
          <t>LevelType_ExtraLevel</t>
        </is>
      </c>
      <c r="D33" t="inlineStr">
        <is>
          <t>整备前行</t>
        </is>
      </c>
      <c r="E33" t="inlineStr">
        <is>
          <t>150105</t>
        </is>
      </c>
      <c r="F33" t="inlineStr">
        <is>
          <t>普通怪</t>
        </is>
      </c>
      <c r="G33" t="n">
        <v>12</v>
      </c>
      <c r="I33">
        <f>IF($H33="",$G33,$H33)</f>
        <v/>
      </c>
      <c r="J33" t="n">
        <v>22</v>
      </c>
      <c r="K33" s="83" t="n">
        <v>1.3</v>
      </c>
      <c r="L33" s="83" t="n">
        <v>1.3</v>
      </c>
      <c r="M33" s="83" t="n">
        <v>1</v>
      </c>
      <c r="N33" t="n">
        <v>1</v>
      </c>
      <c r="O33" t="n">
        <v>1</v>
      </c>
      <c r="P33" s="17" t="n">
        <v>0.430180246751498</v>
      </c>
      <c r="Q33" s="21">
        <f>IF($I33="","",IFERROR(INDEX(_玩家曲线!$H$2:$H$286,MATCH($I33,_玩家曲线!$A$2:$A$286,0)),""))</f>
        <v/>
      </c>
      <c r="R33" s="21">
        <f>IF($I33="","",IFERROR(INDEX(_玩家曲线!$I$2:$I$286,MATCH($I33,_玩家曲线!$A$2:$A$286,0)),""))</f>
        <v/>
      </c>
      <c r="S33" s="21">
        <f>IF(OR($J33="",$F33="不适用"),"",IFERROR(INDEX(_怪物模型!$D$2:$D$4501,(INT($J33)-1)*ROWS(_怪物类型!$A$2:$A$10)+MATCH($F33,_怪物类型!$A$2:$A$10,0))*IF($K33="",1,$K33),""))</f>
        <v/>
      </c>
      <c r="T33" s="21">
        <f>IF(OR($J33="",$F33="不适用"),"",IFERROR(INDEX(_怪物模型!$E$2:$E$4501,(INT($J33)-1)*ROWS(_怪物类型!$A$2:$A$10)+MATCH($F33,_怪物类型!$A$2:$A$10,0))*IF($L33="",1,$L33),""))</f>
        <v/>
      </c>
      <c r="U33" s="21">
        <f>IF(OR($J33="",$F33="不适用"),"",IFERROR(INDEX(_怪物模型!$F$2:$F$4501,(INT($J33)-1)*ROWS(_怪物类型!$A$2:$A$10)+MATCH($F33,_怪物类型!$A$2:$A$10,0))*IF($M33="",1,$M33),""))</f>
        <v/>
      </c>
      <c r="V33" s="84">
        <f>IF($U33="","",MIN(0.75,$U33/($U33+24000)))</f>
        <v/>
      </c>
      <c r="W33" s="21">
        <f>IF($S33="","",$S33/(1-$V33)*IF($N33="",1,$N33))</f>
        <v/>
      </c>
      <c r="X33" s="17">
        <f>IF(OR($W33="",$Q33="",$Q33=0),"",$W33/$Q33)</f>
        <v/>
      </c>
      <c r="Y33" s="17">
        <f>IF(OR($R33="",$T33="",$T33=0),"",$R33/($T33*IF($O33="",1,$O33)))</f>
        <v/>
      </c>
      <c r="Z33" s="17">
        <f>IF(OR($X33="",$P33="",$P33=0),"",$X33/$P33)</f>
        <v/>
      </c>
      <c r="AA33">
        <f>IF($J33="","待填怪物等级",IF(OR($I33="",$Q33=""),"待填对照关卡",IF($P33="","已计算",IF(AND($Y33&lt;&gt;"",$Y33&lt;$X33),"生存不成立",IF($Z33&lt;0.5,"碾压",IF($Z33&lt;0.8,"偏简单",IF($Z33&lt;=1.2,"适中",IF($Z33&lt;=1.5,"偏难","过难"))))))))</f>
        <v/>
      </c>
      <c r="AB33">
        <f>IF($J33="","待填",IF(AND(ISNUMBER($J33),$J33&gt;=1,$J33&lt;=500,MOD($J33,1)=0),"有效","超范围"))</f>
        <v/>
      </c>
      <c r="AC33">
        <f>IF(C33&lt;&gt;C32,"新玩法组",IF(J33&gt;=J32,"不降","回退"))</f>
        <v/>
      </c>
      <c r="AD33" t="inlineStr">
        <is>
          <t>等效进度估算S12，非解锁/首通节点；旧Lv24→22</t>
        </is>
      </c>
      <c r="AE33" s="4" t="n">
        <v>12300</v>
      </c>
      <c r="AF33" s="4">
        <f>INDEX(_统一战力!$B$2:$B$501,J33)</f>
        <v/>
      </c>
    </row>
    <row r="34">
      <c r="A34" t="inlineStr">
        <is>
          <t>当前源表</t>
        </is>
      </c>
      <c r="B34" t="inlineStr">
        <is>
          <t>其他战斗玩法</t>
        </is>
      </c>
      <c r="C34" t="inlineStr">
        <is>
          <t>LevelType_ExtraLevel</t>
        </is>
      </c>
      <c r="D34" t="inlineStr">
        <is>
          <t>暴风残雪</t>
        </is>
      </c>
      <c r="E34" t="inlineStr">
        <is>
          <t>150106</t>
        </is>
      </c>
      <c r="F34" t="inlineStr">
        <is>
          <t>普通怪</t>
        </is>
      </c>
      <c r="G34" t="n">
        <v>16</v>
      </c>
      <c r="I34">
        <f>IF($H34="",$G34,$H34)</f>
        <v/>
      </c>
      <c r="J34" t="n">
        <v>29</v>
      </c>
      <c r="K34" s="83" t="n">
        <v>1.3</v>
      </c>
      <c r="L34" s="83" t="n">
        <v>1.3</v>
      </c>
      <c r="M34" s="83" t="n">
        <v>1</v>
      </c>
      <c r="N34" t="n">
        <v>1</v>
      </c>
      <c r="O34" t="n">
        <v>1</v>
      </c>
      <c r="P34" s="17" t="n">
        <v>0.455296696414133</v>
      </c>
      <c r="Q34" s="21">
        <f>IF($I34="","",IFERROR(INDEX(_玩家曲线!$H$2:$H$286,MATCH($I34,_玩家曲线!$A$2:$A$286,0)),""))</f>
        <v/>
      </c>
      <c r="R34" s="21">
        <f>IF($I34="","",IFERROR(INDEX(_玩家曲线!$I$2:$I$286,MATCH($I34,_玩家曲线!$A$2:$A$286,0)),""))</f>
        <v/>
      </c>
      <c r="S34" s="21">
        <f>IF(OR($J34="",$F34="不适用"),"",IFERROR(INDEX(_怪物模型!$D$2:$D$4501,(INT($J34)-1)*ROWS(_怪物类型!$A$2:$A$10)+MATCH($F34,_怪物类型!$A$2:$A$10,0))*IF($K34="",1,$K34),""))</f>
        <v/>
      </c>
      <c r="T34" s="21">
        <f>IF(OR($J34="",$F34="不适用"),"",IFERROR(INDEX(_怪物模型!$E$2:$E$4501,(INT($J34)-1)*ROWS(_怪物类型!$A$2:$A$10)+MATCH($F34,_怪物类型!$A$2:$A$10,0))*IF($L34="",1,$L34),""))</f>
        <v/>
      </c>
      <c r="U34" s="21">
        <f>IF(OR($J34="",$F34="不适用"),"",IFERROR(INDEX(_怪物模型!$F$2:$F$4501,(INT($J34)-1)*ROWS(_怪物类型!$A$2:$A$10)+MATCH($F34,_怪物类型!$A$2:$A$10,0))*IF($M34="",1,$M34),""))</f>
        <v/>
      </c>
      <c r="V34" s="84">
        <f>IF($U34="","",MIN(0.75,$U34/($U34+24000)))</f>
        <v/>
      </c>
      <c r="W34" s="21">
        <f>IF($S34="","",$S34/(1-$V34)*IF($N34="",1,$N34))</f>
        <v/>
      </c>
      <c r="X34" s="17">
        <f>IF(OR($W34="",$Q34="",$Q34=0),"",$W34/$Q34)</f>
        <v/>
      </c>
      <c r="Y34" s="17">
        <f>IF(OR($R34="",$T34="",$T34=0),"",$R34/($T34*IF($O34="",1,$O34)))</f>
        <v/>
      </c>
      <c r="Z34" s="17">
        <f>IF(OR($X34="",$P34="",$P34=0),"",$X34/$P34)</f>
        <v/>
      </c>
      <c r="AA34">
        <f>IF($J34="","待填怪物等级",IF(OR($I34="",$Q34=""),"待填对照关卡",IF($P34="","已计算",IF(AND($Y34&lt;&gt;"",$Y34&lt;$X34),"生存不成立",IF($Z34&lt;0.5,"碾压",IF($Z34&lt;0.8,"偏简单",IF($Z34&lt;=1.2,"适中",IF($Z34&lt;=1.5,"偏难","过难"))))))))</f>
        <v/>
      </c>
      <c r="AB34">
        <f>IF($J34="","待填",IF(AND(ISNUMBER($J34),$J34&gt;=1,$J34&lt;=500,MOD($J34,1)=0),"有效","超范围"))</f>
        <v/>
      </c>
      <c r="AC34">
        <f>IF(C34&lt;&gt;C33,"新玩法组",IF(J34&gt;=J33,"不降","回退"))</f>
        <v/>
      </c>
      <c r="AD34" t="inlineStr">
        <is>
          <t>等效进度估算S16，非解锁/首通节点；旧Lv31→29</t>
        </is>
      </c>
      <c r="AE34" s="4" t="n">
        <v>16000</v>
      </c>
      <c r="AF34" s="4">
        <f>INDEX(_统一战力!$B$2:$B$501,J34)</f>
        <v/>
      </c>
    </row>
    <row r="35">
      <c r="A35" t="inlineStr">
        <is>
          <t>当前源表</t>
        </is>
      </c>
      <c r="B35" t="inlineStr">
        <is>
          <t>其他战斗玩法</t>
        </is>
      </c>
      <c r="C35" t="inlineStr">
        <is>
          <t>LevelType_ExtraLevel</t>
        </is>
      </c>
      <c r="D35" t="inlineStr">
        <is>
          <t>雪境聚落</t>
        </is>
      </c>
      <c r="E35" t="n">
        <v>150110</v>
      </c>
      <c r="F35" t="inlineStr">
        <is>
          <t>普通怪</t>
        </is>
      </c>
      <c r="G35" t="n">
        <v>17</v>
      </c>
      <c r="I35">
        <f>IF($H35="",$G35,$H35)</f>
        <v/>
      </c>
      <c r="J35" t="n">
        <v>30</v>
      </c>
      <c r="K35" s="83" t="n">
        <v>1.3</v>
      </c>
      <c r="L35" s="83" t="n">
        <v>1.3</v>
      </c>
      <c r="M35" s="83" t="n">
        <v>1</v>
      </c>
      <c r="N35" t="n">
        <v>1</v>
      </c>
      <c r="O35" t="n">
        <v>1</v>
      </c>
      <c r="P35" s="17" t="n">
        <v>0.455296696414133</v>
      </c>
      <c r="Q35" s="21">
        <f>IF($I35="","",IFERROR(INDEX(_玩家曲线!$H$2:$H$286,MATCH($I35,_玩家曲线!$A$2:$A$286,0)),""))</f>
        <v/>
      </c>
      <c r="R35" s="21">
        <f>IF($I35="","",IFERROR(INDEX(_玩家曲线!$I$2:$I$286,MATCH($I35,_玩家曲线!$A$2:$A$286,0)),""))</f>
        <v/>
      </c>
      <c r="S35" s="21">
        <f>IF(OR($J35="",$F35="不适用"),"",IFERROR(INDEX(_怪物模型!$D$2:$D$4501,(INT($J35)-1)*ROWS(_怪物类型!$A$2:$A$10)+MATCH($F35,_怪物类型!$A$2:$A$10,0))*IF($K35="",1,$K35),""))</f>
        <v/>
      </c>
      <c r="T35" s="21">
        <f>IF(OR($J35="",$F35="不适用"),"",IFERROR(INDEX(_怪物模型!$E$2:$E$4501,(INT($J35)-1)*ROWS(_怪物类型!$A$2:$A$10)+MATCH($F35,_怪物类型!$A$2:$A$10,0))*IF($L35="",1,$L35),""))</f>
        <v/>
      </c>
      <c r="U35" s="21">
        <f>IF(OR($J35="",$F35="不适用"),"",IFERROR(INDEX(_怪物模型!$F$2:$F$4501,(INT($J35)-1)*ROWS(_怪物类型!$A$2:$A$10)+MATCH($F35,_怪物类型!$A$2:$A$10,0))*IF($M35="",1,$M35),""))</f>
        <v/>
      </c>
      <c r="V35" s="84">
        <f>IF($U35="","",MIN(0.75,$U35/($U35+24000)))</f>
        <v/>
      </c>
      <c r="W35" s="21">
        <f>IF($S35="","",$S35/(1-$V35)*IF($N35="",1,$N35))</f>
        <v/>
      </c>
      <c r="X35" s="17">
        <f>IF(OR($W35="",$Q35="",$Q35=0),"",$W35/$Q35)</f>
        <v/>
      </c>
      <c r="Y35" s="17">
        <f>IF(OR($R35="",$T35="",$T35=0),"",$R35/($T35*IF($O35="",1,$O35)))</f>
        <v/>
      </c>
      <c r="Z35" s="17">
        <f>IF(OR($X35="",$P35="",$P35=0),"",$X35/$P35)</f>
        <v/>
      </c>
      <c r="AA35">
        <f>IF($J35="","待填怪物等级",IF(OR($I35="",$Q35=""),"待填对照关卡",IF($P35="","已计算",IF(AND($Y35&lt;&gt;"",$Y35&lt;$X35),"生存不成立",IF($Z35&lt;0.5,"碾压",IF($Z35&lt;0.8,"偏简单",IF($Z35&lt;=1.2,"适中",IF($Z35&lt;=1.5,"偏难","过难"))))))))</f>
        <v/>
      </c>
      <c r="AB35">
        <f>IF($J35="","待填",IF(AND(ISNUMBER($J35),$J35&gt;=1,$J35&lt;=500,MOD($J35,1)=0),"有效","超范围"))</f>
        <v/>
      </c>
      <c r="AC35">
        <f>IF(C35&lt;&gt;C34,"新玩法组",IF(J35&gt;=J34,"不降","回退"))</f>
        <v/>
      </c>
      <c r="AE35" s="4" t="n">
        <v>16700</v>
      </c>
      <c r="AF35" s="4">
        <f>INDEX(_统一战力!$B$2:$B$501,J35)</f>
        <v/>
      </c>
    </row>
    <row r="36">
      <c r="A36" t="inlineStr">
        <is>
          <t>当前源表</t>
        </is>
      </c>
      <c r="B36" t="inlineStr">
        <is>
          <t>其他战斗玩法</t>
        </is>
      </c>
      <c r="C36" t="inlineStr">
        <is>
          <t>LevelType_ExtraLevel</t>
        </is>
      </c>
      <c r="D36" t="inlineStr">
        <is>
          <t>暗中窥影</t>
        </is>
      </c>
      <c r="E36" t="n">
        <v>150111</v>
      </c>
      <c r="F36" t="inlineStr">
        <is>
          <t>普通怪</t>
        </is>
      </c>
      <c r="G36" t="n">
        <v>18</v>
      </c>
      <c r="I36">
        <f>IF($H36="",$G36,$H36)</f>
        <v/>
      </c>
      <c r="J36" t="n">
        <v>31</v>
      </c>
      <c r="K36" s="83" t="n">
        <v>1.3</v>
      </c>
      <c r="L36" s="83" t="n">
        <v>1.3</v>
      </c>
      <c r="M36" s="83" t="n">
        <v>1</v>
      </c>
      <c r="N36" t="n">
        <v>1</v>
      </c>
      <c r="O36" t="n">
        <v>1</v>
      </c>
      <c r="P36" s="17" t="n">
        <v>0.455296696414133</v>
      </c>
      <c r="Q36" s="21">
        <f>IF($I36="","",IFERROR(INDEX(_玩家曲线!$H$2:$H$286,MATCH($I36,_玩家曲线!$A$2:$A$286,0)),""))</f>
        <v/>
      </c>
      <c r="R36" s="21">
        <f>IF($I36="","",IFERROR(INDEX(_玩家曲线!$I$2:$I$286,MATCH($I36,_玩家曲线!$A$2:$A$286,0)),""))</f>
        <v/>
      </c>
      <c r="S36" s="21">
        <f>IF(OR($J36="",$F36="不适用"),"",IFERROR(INDEX(_怪物模型!$D$2:$D$4501,(INT($J36)-1)*ROWS(_怪物类型!$A$2:$A$10)+MATCH($F36,_怪物类型!$A$2:$A$10,0))*IF($K36="",1,$K36),""))</f>
        <v/>
      </c>
      <c r="T36" s="21">
        <f>IF(OR($J36="",$F36="不适用"),"",IFERROR(INDEX(_怪物模型!$E$2:$E$4501,(INT($J36)-1)*ROWS(_怪物类型!$A$2:$A$10)+MATCH($F36,_怪物类型!$A$2:$A$10,0))*IF($L36="",1,$L36),""))</f>
        <v/>
      </c>
      <c r="U36" s="21">
        <f>IF(OR($J36="",$F36="不适用"),"",IFERROR(INDEX(_怪物模型!$F$2:$F$4501,(INT($J36)-1)*ROWS(_怪物类型!$A$2:$A$10)+MATCH($F36,_怪物类型!$A$2:$A$10,0))*IF($M36="",1,$M36),""))</f>
        <v/>
      </c>
      <c r="V36" s="84">
        <f>IF($U36="","",MIN(0.75,$U36/($U36+24000)))</f>
        <v/>
      </c>
      <c r="W36" s="21">
        <f>IF($S36="","",$S36/(1-$V36)*IF($N36="",1,$N36))</f>
        <v/>
      </c>
      <c r="X36" s="17">
        <f>IF(OR($W36="",$Q36="",$Q36=0),"",$W36/$Q36)</f>
        <v/>
      </c>
      <c r="Y36" s="17">
        <f>IF(OR($R36="",$T36="",$T36=0),"",$R36/($T36*IF($O36="",1,$O36)))</f>
        <v/>
      </c>
      <c r="Z36" s="17">
        <f>IF(OR($X36="",$P36="",$P36=0),"",$X36/$P36)</f>
        <v/>
      </c>
      <c r="AA36">
        <f>IF($J36="","待填怪物等级",IF(OR($I36="",$Q36=""),"待填对照关卡",IF($P36="","已计算",IF(AND($Y36&lt;&gt;"",$Y36&lt;$X36),"生存不成立",IF($Z36&lt;0.5,"碾压",IF($Z36&lt;0.8,"偏简单",IF($Z36&lt;=1.2,"适中",IF($Z36&lt;=1.5,"偏难","过难"))))))))</f>
        <v/>
      </c>
      <c r="AB36">
        <f>IF($J36="","待填",IF(AND(ISNUMBER($J36),$J36&gt;=1,$J36&lt;=500,MOD($J36,1)=0),"有效","超范围"))</f>
        <v/>
      </c>
      <c r="AC36">
        <f>IF(C36&lt;&gt;C35,"新玩法组",IF(J36&gt;=J35,"不降","回退"))</f>
        <v/>
      </c>
      <c r="AE36" s="4" t="n">
        <v>18200</v>
      </c>
      <c r="AF36" s="4">
        <f>INDEX(_统一战力!$B$2:$B$501,J36)</f>
        <v/>
      </c>
    </row>
    <row r="37">
      <c r="A37" t="inlineStr">
        <is>
          <t>当前源表</t>
        </is>
      </c>
      <c r="B37" t="inlineStr">
        <is>
          <t>其他战斗玩法</t>
        </is>
      </c>
      <c r="C37" t="inlineStr">
        <is>
          <t>LevelType_ExtraLevel</t>
        </is>
      </c>
      <c r="D37" t="inlineStr">
        <is>
          <t>整备前行</t>
        </is>
      </c>
      <c r="E37" t="n">
        <v>150112</v>
      </c>
      <c r="F37" t="inlineStr">
        <is>
          <t>普通怪</t>
        </is>
      </c>
      <c r="G37" t="n">
        <v>19</v>
      </c>
      <c r="I37">
        <f>IF($H37="",$G37,$H37)</f>
        <v/>
      </c>
      <c r="J37" t="n">
        <v>32</v>
      </c>
      <c r="K37" s="83" t="n">
        <v>1.3</v>
      </c>
      <c r="L37" s="83" t="n">
        <v>1.3</v>
      </c>
      <c r="M37" s="83" t="n">
        <v>1</v>
      </c>
      <c r="N37" t="n">
        <v>1</v>
      </c>
      <c r="O37" t="n">
        <v>1</v>
      </c>
      <c r="P37" s="17" t="n">
        <v>0.455296696414133</v>
      </c>
      <c r="Q37" s="21">
        <f>IF($I37="","",IFERROR(INDEX(_玩家曲线!$H$2:$H$286,MATCH($I37,_玩家曲线!$A$2:$A$286,0)),""))</f>
        <v/>
      </c>
      <c r="R37" s="21">
        <f>IF($I37="","",IFERROR(INDEX(_玩家曲线!$I$2:$I$286,MATCH($I37,_玩家曲线!$A$2:$A$286,0)),""))</f>
        <v/>
      </c>
      <c r="S37" s="21">
        <f>IF(OR($J37="",$F37="不适用"),"",IFERROR(INDEX(_怪物模型!$D$2:$D$4501,(INT($J37)-1)*ROWS(_怪物类型!$A$2:$A$10)+MATCH($F37,_怪物类型!$A$2:$A$10,0))*IF($K37="",1,$K37),""))</f>
        <v/>
      </c>
      <c r="T37" s="21">
        <f>IF(OR($J37="",$F37="不适用"),"",IFERROR(INDEX(_怪物模型!$E$2:$E$4501,(INT($J37)-1)*ROWS(_怪物类型!$A$2:$A$10)+MATCH($F37,_怪物类型!$A$2:$A$10,0))*IF($L37="",1,$L37),""))</f>
        <v/>
      </c>
      <c r="U37" s="21">
        <f>IF(OR($J37="",$F37="不适用"),"",IFERROR(INDEX(_怪物模型!$F$2:$F$4501,(INT($J37)-1)*ROWS(_怪物类型!$A$2:$A$10)+MATCH($F37,_怪物类型!$A$2:$A$10,0))*IF($M37="",1,$M37),""))</f>
        <v/>
      </c>
      <c r="V37" s="84">
        <f>IF($U37="","",MIN(0.75,$U37/($U37+24000)))</f>
        <v/>
      </c>
      <c r="W37" s="21">
        <f>IF($S37="","",$S37/(1-$V37)*IF($N37="",1,$N37))</f>
        <v/>
      </c>
      <c r="X37" s="17">
        <f>IF(OR($W37="",$Q37="",$Q37=0),"",$W37/$Q37)</f>
        <v/>
      </c>
      <c r="Y37" s="17">
        <f>IF(OR($R37="",$T37="",$T37=0),"",$R37/($T37*IF($O37="",1,$O37)))</f>
        <v/>
      </c>
      <c r="Z37" s="17">
        <f>IF(OR($X37="",$P37="",$P37=0),"",$X37/$P37)</f>
        <v/>
      </c>
      <c r="AA37">
        <f>IF($J37="","待填怪物等级",IF(OR($I37="",$Q37=""),"待填对照关卡",IF($P37="","已计算",IF(AND($Y37&lt;&gt;"",$Y37&lt;$X37),"生存不成立",IF($Z37&lt;0.5,"碾压",IF($Z37&lt;0.8,"偏简单",IF($Z37&lt;=1.2,"适中",IF($Z37&lt;=1.5,"偏难","过难"))))))))</f>
        <v/>
      </c>
      <c r="AB37">
        <f>IF($J37="","待填",IF(AND(ISNUMBER($J37),$J37&gt;=1,$J37&lt;=500,MOD($J37,1)=0),"有效","超范围"))</f>
        <v/>
      </c>
      <c r="AC37">
        <f>IF(C37&lt;&gt;C36,"新玩法组",IF(J37&gt;=J36,"不降","回退"))</f>
        <v/>
      </c>
      <c r="AE37" s="4" t="n">
        <v>18200</v>
      </c>
      <c r="AF37" s="4">
        <f>INDEX(_统一战力!$B$2:$B$501,J37)</f>
        <v/>
      </c>
    </row>
    <row r="38">
      <c r="A38" t="inlineStr">
        <is>
          <t>当前源表</t>
        </is>
      </c>
      <c r="B38" t="inlineStr">
        <is>
          <t>其他战斗玩法</t>
        </is>
      </c>
      <c r="C38" t="inlineStr">
        <is>
          <t>LevelType_ExtraLevel</t>
        </is>
      </c>
      <c r="D38" t="inlineStr">
        <is>
          <t>暴风残雪</t>
        </is>
      </c>
      <c r="E38" t="n">
        <v>150113</v>
      </c>
      <c r="F38" t="inlineStr">
        <is>
          <t>普通怪</t>
        </is>
      </c>
      <c r="G38" t="n">
        <v>20</v>
      </c>
      <c r="I38">
        <f>IF($H38="",$G38,$H38)</f>
        <v/>
      </c>
      <c r="J38" t="n">
        <v>33</v>
      </c>
      <c r="K38" s="83" t="n">
        <v>1.3</v>
      </c>
      <c r="L38" s="83" t="n">
        <v>1.3</v>
      </c>
      <c r="M38" s="83" t="n">
        <v>1</v>
      </c>
      <c r="N38" t="n">
        <v>1</v>
      </c>
      <c r="O38" t="n">
        <v>1</v>
      </c>
      <c r="P38" s="17" t="n">
        <v>0.455296696414133</v>
      </c>
      <c r="Q38" s="21">
        <f>IF($I38="","",IFERROR(INDEX(_玩家曲线!$H$2:$H$286,MATCH($I38,_玩家曲线!$A$2:$A$286,0)),""))</f>
        <v/>
      </c>
      <c r="R38" s="21">
        <f>IF($I38="","",IFERROR(INDEX(_玩家曲线!$I$2:$I$286,MATCH($I38,_玩家曲线!$A$2:$A$286,0)),""))</f>
        <v/>
      </c>
      <c r="S38" s="21">
        <f>IF(OR($J38="",$F38="不适用"),"",IFERROR(INDEX(_怪物模型!$D$2:$D$4501,(INT($J38)-1)*ROWS(_怪物类型!$A$2:$A$10)+MATCH($F38,_怪物类型!$A$2:$A$10,0))*IF($K38="",1,$K38),""))</f>
        <v/>
      </c>
      <c r="T38" s="21">
        <f>IF(OR($J38="",$F38="不适用"),"",IFERROR(INDEX(_怪物模型!$E$2:$E$4501,(INT($J38)-1)*ROWS(_怪物类型!$A$2:$A$10)+MATCH($F38,_怪物类型!$A$2:$A$10,0))*IF($L38="",1,$L38),""))</f>
        <v/>
      </c>
      <c r="U38" s="21">
        <f>IF(OR($J38="",$F38="不适用"),"",IFERROR(INDEX(_怪物模型!$F$2:$F$4501,(INT($J38)-1)*ROWS(_怪物类型!$A$2:$A$10)+MATCH($F38,_怪物类型!$A$2:$A$10,0))*IF($M38="",1,$M38),""))</f>
        <v/>
      </c>
      <c r="V38" s="84">
        <f>IF($U38="","",MIN(0.75,$U38/($U38+24000)))</f>
        <v/>
      </c>
      <c r="W38" s="21">
        <f>IF($S38="","",$S38/(1-$V38)*IF($N38="",1,$N38))</f>
        <v/>
      </c>
      <c r="X38" s="17">
        <f>IF(OR($W38="",$Q38="",$Q38=0),"",$W38/$Q38)</f>
        <v/>
      </c>
      <c r="Y38" s="17">
        <f>IF(OR($R38="",$T38="",$T38=0),"",$R38/($T38*IF($O38="",1,$O38)))</f>
        <v/>
      </c>
      <c r="Z38" s="17">
        <f>IF(OR($X38="",$P38="",$P38=0),"",$X38/$P38)</f>
        <v/>
      </c>
      <c r="AA38">
        <f>IF($J38="","待填怪物等级",IF(OR($I38="",$Q38=""),"待填对照关卡",IF($P38="","已计算",IF(AND($Y38&lt;&gt;"",$Y38&lt;$X38),"生存不成立",IF($Z38&lt;0.5,"碾压",IF($Z38&lt;0.8,"偏简单",IF($Z38&lt;=1.2,"适中",IF($Z38&lt;=1.5,"偏难","过难"))))))))</f>
        <v/>
      </c>
      <c r="AB38">
        <f>IF($J38="","待填",IF(AND(ISNUMBER($J38),$J38&gt;=1,$J38&lt;=500,MOD($J38,1)=0),"有效","超范围"))</f>
        <v/>
      </c>
      <c r="AC38">
        <f>IF(C38&lt;&gt;C37,"新玩法组",IF(J38&gt;=J37,"不降","回退"))</f>
        <v/>
      </c>
      <c r="AE38" s="4" t="n">
        <v>19800</v>
      </c>
      <c r="AF38" s="4">
        <f>INDEX(_统一战力!$B$2:$B$501,J38)</f>
        <v/>
      </c>
    </row>
    <row r="39">
      <c r="A39" t="inlineStr">
        <is>
          <t>当前源表</t>
        </is>
      </c>
      <c r="B39" t="inlineStr">
        <is>
          <t>其他战斗玩法</t>
        </is>
      </c>
      <c r="C39" t="inlineStr">
        <is>
          <t>LevelType_ExtraLevel</t>
        </is>
      </c>
      <c r="D39" t="inlineStr">
        <is>
          <t>凛冬已至</t>
        </is>
      </c>
      <c r="E39" t="n">
        <v>150114</v>
      </c>
      <c r="F39" t="inlineStr">
        <is>
          <t>普通怪</t>
        </is>
      </c>
      <c r="G39" t="n">
        <v>21</v>
      </c>
      <c r="I39">
        <f>IF($H39="",$G39,$H39)</f>
        <v/>
      </c>
      <c r="J39" t="n">
        <v>34</v>
      </c>
      <c r="K39" s="83" t="n">
        <v>1.3</v>
      </c>
      <c r="L39" s="83" t="n">
        <v>1.3</v>
      </c>
      <c r="M39" s="83" t="n">
        <v>1</v>
      </c>
      <c r="N39" t="n">
        <v>1</v>
      </c>
      <c r="O39" t="n">
        <v>1</v>
      </c>
      <c r="P39" s="17" t="n">
        <v>0.455296696414133</v>
      </c>
      <c r="Q39" s="21">
        <f>IF($I39="","",IFERROR(INDEX(_玩家曲线!$H$2:$H$286,MATCH($I39,_玩家曲线!$A$2:$A$286,0)),""))</f>
        <v/>
      </c>
      <c r="R39" s="21">
        <f>IF($I39="","",IFERROR(INDEX(_玩家曲线!$I$2:$I$286,MATCH($I39,_玩家曲线!$A$2:$A$286,0)),""))</f>
        <v/>
      </c>
      <c r="S39" s="21">
        <f>IF(OR($J39="",$F39="不适用"),"",IFERROR(INDEX(_怪物模型!$D$2:$D$4501,(INT($J39)-1)*ROWS(_怪物类型!$A$2:$A$10)+MATCH($F39,_怪物类型!$A$2:$A$10,0))*IF($K39="",1,$K39),""))</f>
        <v/>
      </c>
      <c r="T39" s="21">
        <f>IF(OR($J39="",$F39="不适用"),"",IFERROR(INDEX(_怪物模型!$E$2:$E$4501,(INT($J39)-1)*ROWS(_怪物类型!$A$2:$A$10)+MATCH($F39,_怪物类型!$A$2:$A$10,0))*IF($L39="",1,$L39),""))</f>
        <v/>
      </c>
      <c r="U39" s="21">
        <f>IF(OR($J39="",$F39="不适用"),"",IFERROR(INDEX(_怪物模型!$F$2:$F$4501,(INT($J39)-1)*ROWS(_怪物类型!$A$2:$A$10)+MATCH($F39,_怪物类型!$A$2:$A$10,0))*IF($M39="",1,$M39),""))</f>
        <v/>
      </c>
      <c r="V39" s="84">
        <f>IF($U39="","",MIN(0.75,$U39/($U39+24000)))</f>
        <v/>
      </c>
      <c r="W39" s="21">
        <f>IF($S39="","",$S39/(1-$V39)*IF($N39="",1,$N39))</f>
        <v/>
      </c>
      <c r="X39" s="17">
        <f>IF(OR($W39="",$Q39="",$Q39=0),"",$W39/$Q39)</f>
        <v/>
      </c>
      <c r="Y39" s="17">
        <f>IF(OR($R39="",$T39="",$T39=0),"",$R39/($T39*IF($O39="",1,$O39)))</f>
        <v/>
      </c>
      <c r="Z39" s="17">
        <f>IF(OR($X39="",$P39="",$P39=0),"",$X39/$P39)</f>
        <v/>
      </c>
      <c r="AA39">
        <f>IF($J39="","待填怪物等级",IF(OR($I39="",$Q39=""),"待填对照关卡",IF($P39="","已计算",IF(AND($Y39&lt;&gt;"",$Y39&lt;$X39),"生存不成立",IF($Z39&lt;0.5,"碾压",IF($Z39&lt;0.8,"偏简单",IF($Z39&lt;=1.2,"适中",IF($Z39&lt;=1.5,"偏难","过难"))))))))</f>
        <v/>
      </c>
      <c r="AB39">
        <f>IF($J39="","待填",IF(AND(ISNUMBER($J39),$J39&gt;=1,$J39&lt;=500,MOD($J39,1)=0),"有效","超范围"))</f>
        <v/>
      </c>
      <c r="AC39">
        <f>IF(C39&lt;&gt;C38,"新玩法组",IF(J39&gt;=J38,"不降","回退"))</f>
        <v/>
      </c>
      <c r="AE39" s="4" t="n">
        <v>19800</v>
      </c>
      <c r="AF39" s="4">
        <f>INDEX(_统一战力!$B$2:$B$501,J39)</f>
        <v/>
      </c>
    </row>
    <row r="40">
      <c r="A40" t="inlineStr">
        <is>
          <t>当前源表</t>
        </is>
      </c>
      <c r="B40" t="inlineStr">
        <is>
          <t>其他战斗玩法</t>
        </is>
      </c>
      <c r="C40" t="inlineStr">
        <is>
          <t>LevelType_ExtraLevel</t>
        </is>
      </c>
      <c r="D40" t="inlineStr">
        <is>
          <t>魔潮再临</t>
        </is>
      </c>
      <c r="E40" t="n">
        <v>150115</v>
      </c>
      <c r="F40" t="inlineStr">
        <is>
          <t>普通怪</t>
        </is>
      </c>
      <c r="G40" t="n">
        <v>22</v>
      </c>
      <c r="I40">
        <f>IF($H40="",$G40,$H40)</f>
        <v/>
      </c>
      <c r="J40" t="n">
        <v>35</v>
      </c>
      <c r="K40" s="83" t="n">
        <v>1.3</v>
      </c>
      <c r="L40" s="83" t="n">
        <v>1.3</v>
      </c>
      <c r="M40" s="83" t="n">
        <v>1</v>
      </c>
      <c r="N40" t="n">
        <v>1</v>
      </c>
      <c r="O40" t="n">
        <v>1</v>
      </c>
      <c r="P40" s="17" t="n">
        <v>0.455296696414133</v>
      </c>
      <c r="Q40" s="21">
        <f>IF($I40="","",IFERROR(INDEX(_玩家曲线!$H$2:$H$286,MATCH($I40,_玩家曲线!$A$2:$A$286,0)),""))</f>
        <v/>
      </c>
      <c r="R40" s="21">
        <f>IF($I40="","",IFERROR(INDEX(_玩家曲线!$I$2:$I$286,MATCH($I40,_玩家曲线!$A$2:$A$286,0)),""))</f>
        <v/>
      </c>
      <c r="S40" s="21">
        <f>IF(OR($J40="",$F40="不适用"),"",IFERROR(INDEX(_怪物模型!$D$2:$D$4501,(INT($J40)-1)*ROWS(_怪物类型!$A$2:$A$10)+MATCH($F40,_怪物类型!$A$2:$A$10,0))*IF($K40="",1,$K40),""))</f>
        <v/>
      </c>
      <c r="T40" s="21">
        <f>IF(OR($J40="",$F40="不适用"),"",IFERROR(INDEX(_怪物模型!$E$2:$E$4501,(INT($J40)-1)*ROWS(_怪物类型!$A$2:$A$10)+MATCH($F40,_怪物类型!$A$2:$A$10,0))*IF($L40="",1,$L40),""))</f>
        <v/>
      </c>
      <c r="U40" s="21">
        <f>IF(OR($J40="",$F40="不适用"),"",IFERROR(INDEX(_怪物模型!$F$2:$F$4501,(INT($J40)-1)*ROWS(_怪物类型!$A$2:$A$10)+MATCH($F40,_怪物类型!$A$2:$A$10,0))*IF($M40="",1,$M40),""))</f>
        <v/>
      </c>
      <c r="V40" s="84">
        <f>IF($U40="","",MIN(0.75,$U40/($U40+24000)))</f>
        <v/>
      </c>
      <c r="W40" s="21">
        <f>IF($S40="","",$S40/(1-$V40)*IF($N40="",1,$N40))</f>
        <v/>
      </c>
      <c r="X40" s="17">
        <f>IF(OR($W40="",$Q40="",$Q40=0),"",$W40/$Q40)</f>
        <v/>
      </c>
      <c r="Y40" s="17">
        <f>IF(OR($R40="",$T40="",$T40=0),"",$R40/($T40*IF($O40="",1,$O40)))</f>
        <v/>
      </c>
      <c r="Z40" s="17">
        <f>IF(OR($X40="",$P40="",$P40=0),"",$X40/$P40)</f>
        <v/>
      </c>
      <c r="AA40">
        <f>IF($J40="","待填怪物等级",IF(OR($I40="",$Q40=""),"待填对照关卡",IF($P40="","已计算",IF(AND($Y40&lt;&gt;"",$Y40&lt;$X40),"生存不成立",IF($Z40&lt;0.5,"碾压",IF($Z40&lt;0.8,"偏简单",IF($Z40&lt;=1.2,"适中",IF($Z40&lt;=1.5,"偏难","过难"))))))))</f>
        <v/>
      </c>
      <c r="AB40">
        <f>IF($J40="","待填",IF(AND(ISNUMBER($J40),$J40&gt;=1,$J40&lt;=500,MOD($J40,1)=0),"有效","超范围"))</f>
        <v/>
      </c>
      <c r="AC40">
        <f>IF(C40&lt;&gt;C39,"新玩法组",IF(J40&gt;=J39,"不降","回退"))</f>
        <v/>
      </c>
      <c r="AE40" s="4" t="n">
        <v>19800</v>
      </c>
      <c r="AF40" s="4">
        <f>INDEX(_统一战力!$B$2:$B$501,J40)</f>
        <v/>
      </c>
    </row>
    <row r="41">
      <c r="A41" t="inlineStr">
        <is>
          <t>当前源表</t>
        </is>
      </c>
      <c r="B41" t="inlineStr">
        <is>
          <t>其他战斗玩法</t>
        </is>
      </c>
      <c r="C41" t="inlineStr">
        <is>
          <t>LevelType_ExtraLevel</t>
        </is>
      </c>
      <c r="D41" t="inlineStr">
        <is>
          <t>沉眠之森</t>
        </is>
      </c>
      <c r="E41" t="inlineStr">
        <is>
          <t>150201</t>
        </is>
      </c>
      <c r="F41" t="inlineStr">
        <is>
          <t>普通怪</t>
        </is>
      </c>
      <c r="G41" t="n">
        <v>18</v>
      </c>
      <c r="I41">
        <f>IF($H41="",$G41,$H41)</f>
        <v/>
      </c>
      <c r="J41" t="n">
        <v>32</v>
      </c>
      <c r="K41" s="83" t="n">
        <v>1.3</v>
      </c>
      <c r="L41" s="83" t="n">
        <v>1.3</v>
      </c>
      <c r="M41" s="83" t="n">
        <v>1</v>
      </c>
      <c r="N41" t="n">
        <v>1</v>
      </c>
      <c r="O41" t="n">
        <v>1</v>
      </c>
      <c r="P41" s="17" t="n">
        <v>0.438065627640766</v>
      </c>
      <c r="Q41" s="21">
        <f>IF($I41="","",IFERROR(INDEX(_玩家曲线!$H$2:$H$286,MATCH($I41,_玩家曲线!$A$2:$A$286,0)),""))</f>
        <v/>
      </c>
      <c r="R41" s="21">
        <f>IF($I41="","",IFERROR(INDEX(_玩家曲线!$I$2:$I$286,MATCH($I41,_玩家曲线!$A$2:$A$286,0)),""))</f>
        <v/>
      </c>
      <c r="S41" s="21">
        <f>IF(OR($J41="",$F41="不适用"),"",IFERROR(INDEX(_怪物模型!$D$2:$D$4501,(INT($J41)-1)*ROWS(_怪物类型!$A$2:$A$10)+MATCH($F41,_怪物类型!$A$2:$A$10,0))*IF($K41="",1,$K41),""))</f>
        <v/>
      </c>
      <c r="T41" s="21">
        <f>IF(OR($J41="",$F41="不适用"),"",IFERROR(INDEX(_怪物模型!$E$2:$E$4501,(INT($J41)-1)*ROWS(_怪物类型!$A$2:$A$10)+MATCH($F41,_怪物类型!$A$2:$A$10,0))*IF($L41="",1,$L41),""))</f>
        <v/>
      </c>
      <c r="U41" s="21">
        <f>IF(OR($J41="",$F41="不适用"),"",IFERROR(INDEX(_怪物模型!$F$2:$F$4501,(INT($J41)-1)*ROWS(_怪物类型!$A$2:$A$10)+MATCH($F41,_怪物类型!$A$2:$A$10,0))*IF($M41="",1,$M41),""))</f>
        <v/>
      </c>
      <c r="V41" s="84">
        <f>IF($U41="","",MIN(0.75,$U41/($U41+24000)))</f>
        <v/>
      </c>
      <c r="W41" s="21">
        <f>IF($S41="","",$S41/(1-$V41)*IF($N41="",1,$N41))</f>
        <v/>
      </c>
      <c r="X41" s="17">
        <f>IF(OR($W41="",$Q41="",$Q41=0),"",$W41/$Q41)</f>
        <v/>
      </c>
      <c r="Y41" s="17">
        <f>IF(OR($R41="",$T41="",$T41=0),"",$R41/($T41*IF($O41="",1,$O41)))</f>
        <v/>
      </c>
      <c r="Z41" s="17">
        <f>IF(OR($X41="",$P41="",$P41=0),"",$X41/$P41)</f>
        <v/>
      </c>
      <c r="AA41">
        <f>IF($J41="","待填怪物等级",IF(OR($I41="",$Q41=""),"待填对照关卡",IF($P41="","已计算",IF(AND($Y41&lt;&gt;"",$Y41&lt;$X41),"生存不成立",IF($Z41&lt;0.5,"碾压",IF($Z41&lt;0.8,"偏简单",IF($Z41&lt;=1.2,"适中",IF($Z41&lt;=1.5,"偏难","过难"))))))))</f>
        <v/>
      </c>
      <c r="AB41">
        <f>IF($J41="","待填",IF(AND(ISNUMBER($J41),$J41&gt;=1,$J41&lt;=500,MOD($J41,1)=0),"有效","超范围"))</f>
        <v/>
      </c>
      <c r="AC41">
        <f>IF(C41&lt;&gt;C34,"新玩法组",IF(J41&gt;=J34,"不降","回退"))</f>
        <v/>
      </c>
      <c r="AD41" t="inlineStr">
        <is>
          <t>等效进度估算S18，非解锁/首通节点；旧Lv34→32</t>
        </is>
      </c>
      <c r="AE41" s="4" t="n">
        <v>19800</v>
      </c>
      <c r="AF41" s="4">
        <f>INDEX(_统一战力!$B$2:$B$501,J41)</f>
        <v/>
      </c>
    </row>
    <row r="42">
      <c r="A42" t="inlineStr">
        <is>
          <t>当前源表</t>
        </is>
      </c>
      <c r="B42" t="inlineStr">
        <is>
          <t>其他战斗玩法</t>
        </is>
      </c>
      <c r="C42" t="inlineStr">
        <is>
          <t>LevelType_ExtraLevel</t>
        </is>
      </c>
      <c r="D42" t="inlineStr">
        <is>
          <t>赏金猎人</t>
        </is>
      </c>
      <c r="E42" t="inlineStr">
        <is>
          <t>150202</t>
        </is>
      </c>
      <c r="F42" t="inlineStr">
        <is>
          <t>普通怪</t>
        </is>
      </c>
      <c r="G42" t="n">
        <v>18</v>
      </c>
      <c r="I42">
        <f>IF($H42="",$G42,$H42)</f>
        <v/>
      </c>
      <c r="J42" t="n">
        <v>33</v>
      </c>
      <c r="K42" s="83" t="n">
        <v>1.3</v>
      </c>
      <c r="L42" s="83" t="n">
        <v>1.3</v>
      </c>
      <c r="M42" s="83" t="n">
        <v>1</v>
      </c>
      <c r="N42" t="n">
        <v>1</v>
      </c>
      <c r="O42" t="n">
        <v>1</v>
      </c>
      <c r="P42" s="17" t="n">
        <v>0.458367115344619</v>
      </c>
      <c r="Q42" s="21">
        <f>IF($I42="","",IFERROR(INDEX(_玩家曲线!$H$2:$H$286,MATCH($I42,_玩家曲线!$A$2:$A$286,0)),""))</f>
        <v/>
      </c>
      <c r="R42" s="21">
        <f>IF($I42="","",IFERROR(INDEX(_玩家曲线!$I$2:$I$286,MATCH($I42,_玩家曲线!$A$2:$A$286,0)),""))</f>
        <v/>
      </c>
      <c r="S42" s="21">
        <f>IF(OR($J42="",$F42="不适用"),"",IFERROR(INDEX(_怪物模型!$D$2:$D$4501,(INT($J42)-1)*ROWS(_怪物类型!$A$2:$A$10)+MATCH($F42,_怪物类型!$A$2:$A$10,0))*IF($K42="",1,$K42),""))</f>
        <v/>
      </c>
      <c r="T42" s="21">
        <f>IF(OR($J42="",$F42="不适用"),"",IFERROR(INDEX(_怪物模型!$E$2:$E$4501,(INT($J42)-1)*ROWS(_怪物类型!$A$2:$A$10)+MATCH($F42,_怪物类型!$A$2:$A$10,0))*IF($L42="",1,$L42),""))</f>
        <v/>
      </c>
      <c r="U42" s="21">
        <f>IF(OR($J42="",$F42="不适用"),"",IFERROR(INDEX(_怪物模型!$F$2:$F$4501,(INT($J42)-1)*ROWS(_怪物类型!$A$2:$A$10)+MATCH($F42,_怪物类型!$A$2:$A$10,0))*IF($M42="",1,$M42),""))</f>
        <v/>
      </c>
      <c r="V42" s="84">
        <f>IF($U42="","",MIN(0.75,$U42/($U42+24000)))</f>
        <v/>
      </c>
      <c r="W42" s="21">
        <f>IF($S42="","",$S42/(1-$V42)*IF($N42="",1,$N42))</f>
        <v/>
      </c>
      <c r="X42" s="17">
        <f>IF(OR($W42="",$Q42="",$Q42=0),"",$W42/$Q42)</f>
        <v/>
      </c>
      <c r="Y42" s="17">
        <f>IF(OR($R42="",$T42="",$T42=0),"",$R42/($T42*IF($O42="",1,$O42)))</f>
        <v/>
      </c>
      <c r="Z42" s="17">
        <f>IF(OR($X42="",$P42="",$P42=0),"",$X42/$P42)</f>
        <v/>
      </c>
      <c r="AA42">
        <f>IF($J42="","待填怪物等级",IF(OR($I42="",$Q42=""),"待填对照关卡",IF($P42="","已计算",IF(AND($Y42&lt;&gt;"",$Y42&lt;$X42),"生存不成立",IF($Z42&lt;0.5,"碾压",IF($Z42&lt;0.8,"偏简单",IF($Z42&lt;=1.2,"适中",IF($Z42&lt;=1.5,"偏难","过难"))))))))</f>
        <v/>
      </c>
      <c r="AB42">
        <f>IF($J42="","待填",IF(AND(ISNUMBER($J42),$J42&gt;=1,$J42&lt;=500,MOD($J42,1)=0),"有效","超范围"))</f>
        <v/>
      </c>
      <c r="AC42">
        <f>IF(C42&lt;&gt;C41,"新玩法组",IF(J42&gt;=J41,"不降","回退"))</f>
        <v/>
      </c>
      <c r="AD42" t="inlineStr">
        <is>
          <t>等效进度估算S18，非解锁/首通节点；旧Lv35→33</t>
        </is>
      </c>
      <c r="AE42" s="4" t="n">
        <v>19800</v>
      </c>
      <c r="AF42" s="4">
        <f>INDEX(_统一战力!$B$2:$B$501,J42)</f>
        <v/>
      </c>
    </row>
    <row r="43">
      <c r="A43" t="inlineStr">
        <is>
          <t>当前源表</t>
        </is>
      </c>
      <c r="B43" t="inlineStr">
        <is>
          <t>其他战斗玩法</t>
        </is>
      </c>
      <c r="C43" t="inlineStr">
        <is>
          <t>LevelType_ExtraLevel</t>
        </is>
      </c>
      <c r="D43" t="inlineStr">
        <is>
          <t>林中对峙</t>
        </is>
      </c>
      <c r="E43" t="inlineStr">
        <is>
          <t>150203</t>
        </is>
      </c>
      <c r="F43" t="inlineStr">
        <is>
          <t>普通怪</t>
        </is>
      </c>
      <c r="G43" t="n">
        <v>19</v>
      </c>
      <c r="I43">
        <f>IF($H43="",$G43,$H43)</f>
        <v/>
      </c>
      <c r="J43" t="n">
        <v>35</v>
      </c>
      <c r="K43" s="83" t="n">
        <v>1.3</v>
      </c>
      <c r="L43" s="83" t="n">
        <v>1.3</v>
      </c>
      <c r="M43" s="83" t="n">
        <v>1</v>
      </c>
      <c r="N43" t="n">
        <v>1</v>
      </c>
      <c r="O43" t="n">
        <v>1</v>
      </c>
      <c r="P43" s="17" t="n">
        <v>0.460828933017874</v>
      </c>
      <c r="Q43" s="21">
        <f>IF($I43="","",IFERROR(INDEX(_玩家曲线!$H$2:$H$286,MATCH($I43,_玩家曲线!$A$2:$A$286,0)),""))</f>
        <v/>
      </c>
      <c r="R43" s="21">
        <f>IF($I43="","",IFERROR(INDEX(_玩家曲线!$I$2:$I$286,MATCH($I43,_玩家曲线!$A$2:$A$286,0)),""))</f>
        <v/>
      </c>
      <c r="S43" s="21">
        <f>IF(OR($J43="",$F43="不适用"),"",IFERROR(INDEX(_怪物模型!$D$2:$D$4501,(INT($J43)-1)*ROWS(_怪物类型!$A$2:$A$10)+MATCH($F43,_怪物类型!$A$2:$A$10,0))*IF($K43="",1,$K43),""))</f>
        <v/>
      </c>
      <c r="T43" s="21">
        <f>IF(OR($J43="",$F43="不适用"),"",IFERROR(INDEX(_怪物模型!$E$2:$E$4501,(INT($J43)-1)*ROWS(_怪物类型!$A$2:$A$10)+MATCH($F43,_怪物类型!$A$2:$A$10,0))*IF($L43="",1,$L43),""))</f>
        <v/>
      </c>
      <c r="U43" s="21">
        <f>IF(OR($J43="",$F43="不适用"),"",IFERROR(INDEX(_怪物模型!$F$2:$F$4501,(INT($J43)-1)*ROWS(_怪物类型!$A$2:$A$10)+MATCH($F43,_怪物类型!$A$2:$A$10,0))*IF($M43="",1,$M43),""))</f>
        <v/>
      </c>
      <c r="V43" s="84">
        <f>IF($U43="","",MIN(0.75,$U43/($U43+24000)))</f>
        <v/>
      </c>
      <c r="W43" s="21">
        <f>IF($S43="","",$S43/(1-$V43)*IF($N43="",1,$N43))</f>
        <v/>
      </c>
      <c r="X43" s="17">
        <f>IF(OR($W43="",$Q43="",$Q43=0),"",$W43/$Q43)</f>
        <v/>
      </c>
      <c r="Y43" s="17">
        <f>IF(OR($R43="",$T43="",$T43=0),"",$R43/($T43*IF($O43="",1,$O43)))</f>
        <v/>
      </c>
      <c r="Z43" s="17">
        <f>IF(OR($X43="",$P43="",$P43=0),"",$X43/$P43)</f>
        <v/>
      </c>
      <c r="AA43">
        <f>IF($J43="","待填怪物等级",IF(OR($I43="",$Q43=""),"待填对照关卡",IF($P43="","已计算",IF(AND($Y43&lt;&gt;"",$Y43&lt;$X43),"生存不成立",IF($Z43&lt;0.5,"碾压",IF($Z43&lt;0.8,"偏简单",IF($Z43&lt;=1.2,"适中",IF($Z43&lt;=1.5,"偏难","过难"))))))))</f>
        <v/>
      </c>
      <c r="AB43">
        <f>IF($J43="","待填",IF(AND(ISNUMBER($J43),$J43&gt;=1,$J43&lt;=500,MOD($J43,1)=0),"有效","超范围"))</f>
        <v/>
      </c>
      <c r="AC43">
        <f>IF(C43&lt;&gt;C42,"新玩法组",IF(J43&gt;=J42,"不降","回退"))</f>
        <v/>
      </c>
      <c r="AD43" t="inlineStr">
        <is>
          <t>等效进度估算S19，非解锁/首通节点；旧Lv37→35</t>
        </is>
      </c>
      <c r="AE43" s="4" t="n">
        <v>19800</v>
      </c>
      <c r="AF43" s="4">
        <f>INDEX(_统一战力!$B$2:$B$501,J43)</f>
        <v/>
      </c>
    </row>
    <row r="44">
      <c r="A44" t="inlineStr">
        <is>
          <t>当前源表</t>
        </is>
      </c>
      <c r="B44" t="inlineStr">
        <is>
          <t>其他战斗玩法</t>
        </is>
      </c>
      <c r="C44" t="inlineStr">
        <is>
          <t>LevelType_ExtraLevel</t>
        </is>
      </c>
      <c r="D44" t="inlineStr">
        <is>
          <t>浊影初现</t>
        </is>
      </c>
      <c r="E44" t="inlineStr">
        <is>
          <t>150204</t>
        </is>
      </c>
      <c r="F44" t="inlineStr">
        <is>
          <t>普通怪</t>
        </is>
      </c>
      <c r="G44" t="n">
        <v>20</v>
      </c>
      <c r="I44">
        <f>IF($H44="",$G44,$H44)</f>
        <v/>
      </c>
      <c r="J44" t="n">
        <v>38</v>
      </c>
      <c r="K44" s="83" t="n">
        <v>1.3</v>
      </c>
      <c r="L44" s="83" t="n">
        <v>1.3</v>
      </c>
      <c r="M44" s="83" t="n">
        <v>1</v>
      </c>
      <c r="N44" t="n">
        <v>1</v>
      </c>
      <c r="O44" t="n">
        <v>1</v>
      </c>
      <c r="P44" s="17" t="n">
        <v>0.471401392658733</v>
      </c>
      <c r="Q44" s="21">
        <f>IF($I44="","",IFERROR(INDEX(_玩家曲线!$H$2:$H$286,MATCH($I44,_玩家曲线!$A$2:$A$286,0)),""))</f>
        <v/>
      </c>
      <c r="R44" s="21">
        <f>IF($I44="","",IFERROR(INDEX(_玩家曲线!$I$2:$I$286,MATCH($I44,_玩家曲线!$A$2:$A$286,0)),""))</f>
        <v/>
      </c>
      <c r="S44" s="21">
        <f>IF(OR($J44="",$F44="不适用"),"",IFERROR(INDEX(_怪物模型!$D$2:$D$4501,(INT($J44)-1)*ROWS(_怪物类型!$A$2:$A$10)+MATCH($F44,_怪物类型!$A$2:$A$10,0))*IF($K44="",1,$K44),""))</f>
        <v/>
      </c>
      <c r="T44" s="21">
        <f>IF(OR($J44="",$F44="不适用"),"",IFERROR(INDEX(_怪物模型!$E$2:$E$4501,(INT($J44)-1)*ROWS(_怪物类型!$A$2:$A$10)+MATCH($F44,_怪物类型!$A$2:$A$10,0))*IF($L44="",1,$L44),""))</f>
        <v/>
      </c>
      <c r="U44" s="21">
        <f>IF(OR($J44="",$F44="不适用"),"",IFERROR(INDEX(_怪物模型!$F$2:$F$4501,(INT($J44)-1)*ROWS(_怪物类型!$A$2:$A$10)+MATCH($F44,_怪物类型!$A$2:$A$10,0))*IF($M44="",1,$M44),""))</f>
        <v/>
      </c>
      <c r="V44" s="84">
        <f>IF($U44="","",MIN(0.75,$U44/($U44+24000)))</f>
        <v/>
      </c>
      <c r="W44" s="21">
        <f>IF($S44="","",$S44/(1-$V44)*IF($N44="",1,$N44))</f>
        <v/>
      </c>
      <c r="X44" s="17">
        <f>IF(OR($W44="",$Q44="",$Q44=0),"",$W44/$Q44)</f>
        <v/>
      </c>
      <c r="Y44" s="17">
        <f>IF(OR($R44="",$T44="",$T44=0),"",$R44/($T44*IF($O44="",1,$O44)))</f>
        <v/>
      </c>
      <c r="Z44" s="17">
        <f>IF(OR($X44="",$P44="",$P44=0),"",$X44/$P44)</f>
        <v/>
      </c>
      <c r="AA44">
        <f>IF($J44="","待填怪物等级",IF(OR($I44="",$Q44=""),"待填对照关卡",IF($P44="","已计算",IF(AND($Y44&lt;&gt;"",$Y44&lt;$X44),"生存不成立",IF($Z44&lt;0.5,"碾压",IF($Z44&lt;0.8,"偏简单",IF($Z44&lt;=1.2,"适中",IF($Z44&lt;=1.5,"偏难","过难"))))))))</f>
        <v/>
      </c>
      <c r="AB44">
        <f>IF($J44="","待填",IF(AND(ISNUMBER($J44),$J44&gt;=1,$J44&lt;=500,MOD($J44,1)=0),"有效","超范围"))</f>
        <v/>
      </c>
      <c r="AC44">
        <f>IF(C44&lt;&gt;C43,"新玩法组",IF(J44&gt;=J43,"不降","回退"))</f>
        <v/>
      </c>
      <c r="AD44" t="inlineStr">
        <is>
          <t>等效进度估算S20，非解锁/首通节点；旧Lv40→38</t>
        </is>
      </c>
      <c r="AE44" s="4" t="n">
        <v>23100</v>
      </c>
      <c r="AF44" s="4">
        <f>INDEX(_统一战力!$B$2:$B$501,J44)</f>
        <v/>
      </c>
    </row>
    <row r="45">
      <c r="A45" t="inlineStr">
        <is>
          <t>当前源表</t>
        </is>
      </c>
      <c r="B45" t="inlineStr">
        <is>
          <t>其他战斗玩法</t>
        </is>
      </c>
      <c r="C45" t="inlineStr">
        <is>
          <t>LevelType_ExtraLevel</t>
        </is>
      </c>
      <c r="D45" t="inlineStr">
        <is>
          <t>阴谋初现</t>
        </is>
      </c>
      <c r="E45" t="inlineStr">
        <is>
          <t>150205</t>
        </is>
      </c>
      <c r="F45" t="inlineStr">
        <is>
          <t>普通怪</t>
        </is>
      </c>
      <c r="G45" t="n">
        <v>22</v>
      </c>
      <c r="I45">
        <f>IF($H45="",$G45,$H45)</f>
        <v/>
      </c>
      <c r="J45" t="n">
        <v>41</v>
      </c>
      <c r="K45" s="83" t="n">
        <v>1.3</v>
      </c>
      <c r="L45" s="83" t="n">
        <v>1.3</v>
      </c>
      <c r="M45" s="83" t="n">
        <v>1</v>
      </c>
      <c r="N45" t="n">
        <v>1</v>
      </c>
      <c r="O45" t="n">
        <v>1</v>
      </c>
      <c r="P45" s="17" t="n">
        <v>0.438221292377313</v>
      </c>
      <c r="Q45" s="21">
        <f>IF($I45="","",IFERROR(INDEX(_玩家曲线!$H$2:$H$286,MATCH($I45,_玩家曲线!$A$2:$A$286,0)),""))</f>
        <v/>
      </c>
      <c r="R45" s="21">
        <f>IF($I45="","",IFERROR(INDEX(_玩家曲线!$I$2:$I$286,MATCH($I45,_玩家曲线!$A$2:$A$286,0)),""))</f>
        <v/>
      </c>
      <c r="S45" s="21">
        <f>IF(OR($J45="",$F45="不适用"),"",IFERROR(INDEX(_怪物模型!$D$2:$D$4501,(INT($J45)-1)*ROWS(_怪物类型!$A$2:$A$10)+MATCH($F45,_怪物类型!$A$2:$A$10,0))*IF($K45="",1,$K45),""))</f>
        <v/>
      </c>
      <c r="T45" s="21">
        <f>IF(OR($J45="",$F45="不适用"),"",IFERROR(INDEX(_怪物模型!$E$2:$E$4501,(INT($J45)-1)*ROWS(_怪物类型!$A$2:$A$10)+MATCH($F45,_怪物类型!$A$2:$A$10,0))*IF($L45="",1,$L45),""))</f>
        <v/>
      </c>
      <c r="U45" s="21">
        <f>IF(OR($J45="",$F45="不适用"),"",IFERROR(INDEX(_怪物模型!$F$2:$F$4501,(INT($J45)-1)*ROWS(_怪物类型!$A$2:$A$10)+MATCH($F45,_怪物类型!$A$2:$A$10,0))*IF($M45="",1,$M45),""))</f>
        <v/>
      </c>
      <c r="V45" s="84">
        <f>IF($U45="","",MIN(0.75,$U45/($U45+24000)))</f>
        <v/>
      </c>
      <c r="W45" s="21">
        <f>IF($S45="","",$S45/(1-$V45)*IF($N45="",1,$N45))</f>
        <v/>
      </c>
      <c r="X45" s="17">
        <f>IF(OR($W45="",$Q45="",$Q45=0),"",$W45/$Q45)</f>
        <v/>
      </c>
      <c r="Y45" s="17">
        <f>IF(OR($R45="",$T45="",$T45=0),"",$R45/($T45*IF($O45="",1,$O45)))</f>
        <v/>
      </c>
      <c r="Z45" s="17">
        <f>IF(OR($X45="",$P45="",$P45=0),"",$X45/$P45)</f>
        <v/>
      </c>
      <c r="AA45">
        <f>IF($J45="","待填怪物等级",IF(OR($I45="",$Q45=""),"待填对照关卡",IF($P45="","已计算",IF(AND($Y45&lt;&gt;"",$Y45&lt;$X45),"生存不成立",IF($Z45&lt;0.5,"碾压",IF($Z45&lt;0.8,"偏简单",IF($Z45&lt;=1.2,"适中",IF($Z45&lt;=1.5,"偏难","过难"))))))))</f>
        <v/>
      </c>
      <c r="AB45">
        <f>IF($J45="","待填",IF(AND(ISNUMBER($J45),$J45&gt;=1,$J45&lt;=500,MOD($J45,1)=0),"有效","超范围"))</f>
        <v/>
      </c>
      <c r="AC45">
        <f>IF(C45&lt;&gt;C44,"新玩法组",IF(J45&gt;=J44,"不降","回退"))</f>
        <v/>
      </c>
      <c r="AD45" t="inlineStr">
        <is>
          <t>等效进度估算S22，非解锁/首通节点；旧Lv43→41</t>
        </is>
      </c>
      <c r="AE45" s="4" t="n">
        <v>25400</v>
      </c>
      <c r="AF45" s="4">
        <f>INDEX(_统一战力!$B$2:$B$501,J45)</f>
        <v/>
      </c>
    </row>
    <row r="46">
      <c r="A46" t="inlineStr">
        <is>
          <t>当前源表</t>
        </is>
      </c>
      <c r="B46" t="inlineStr">
        <is>
          <t>其他战斗玩法</t>
        </is>
      </c>
      <c r="C46" t="inlineStr">
        <is>
          <t>LevelType_ExtraLevel</t>
        </is>
      </c>
      <c r="D46" t="inlineStr">
        <is>
          <t>神树之村</t>
        </is>
      </c>
      <c r="E46" t="inlineStr">
        <is>
          <t>150206</t>
        </is>
      </c>
      <c r="F46" t="inlineStr">
        <is>
          <t>普通怪</t>
        </is>
      </c>
      <c r="G46" t="n">
        <v>23</v>
      </c>
      <c r="I46">
        <f>IF($H46="",$G46,$H46)</f>
        <v/>
      </c>
      <c r="J46" t="n">
        <v>43</v>
      </c>
      <c r="K46" s="83" t="n">
        <v>1.3</v>
      </c>
      <c r="L46" s="83" t="n">
        <v>1.3</v>
      </c>
      <c r="M46" s="83" t="n">
        <v>1</v>
      </c>
      <c r="N46" t="n">
        <v>1</v>
      </c>
      <c r="O46" t="n">
        <v>1</v>
      </c>
      <c r="P46" s="17" t="n">
        <v>0.432080722084332</v>
      </c>
      <c r="Q46" s="21">
        <f>IF($I46="","",IFERROR(INDEX(_玩家曲线!$H$2:$H$286,MATCH($I46,_玩家曲线!$A$2:$A$286,0)),""))</f>
        <v/>
      </c>
      <c r="R46" s="21">
        <f>IF($I46="","",IFERROR(INDEX(_玩家曲线!$I$2:$I$286,MATCH($I46,_玩家曲线!$A$2:$A$286,0)),""))</f>
        <v/>
      </c>
      <c r="S46" s="21">
        <f>IF(OR($J46="",$F46="不适用"),"",IFERROR(INDEX(_怪物模型!$D$2:$D$4501,(INT($J46)-1)*ROWS(_怪物类型!$A$2:$A$10)+MATCH($F46,_怪物类型!$A$2:$A$10,0))*IF($K46="",1,$K46),""))</f>
        <v/>
      </c>
      <c r="T46" s="21">
        <f>IF(OR($J46="",$F46="不适用"),"",IFERROR(INDEX(_怪物模型!$E$2:$E$4501,(INT($J46)-1)*ROWS(_怪物类型!$A$2:$A$10)+MATCH($F46,_怪物类型!$A$2:$A$10,0))*IF($L46="",1,$L46),""))</f>
        <v/>
      </c>
      <c r="U46" s="21">
        <f>IF(OR($J46="",$F46="不适用"),"",IFERROR(INDEX(_怪物模型!$F$2:$F$4501,(INT($J46)-1)*ROWS(_怪物类型!$A$2:$A$10)+MATCH($F46,_怪物类型!$A$2:$A$10,0))*IF($M46="",1,$M46),""))</f>
        <v/>
      </c>
      <c r="V46" s="84">
        <f>IF($U46="","",MIN(0.75,$U46/($U46+24000)))</f>
        <v/>
      </c>
      <c r="W46" s="21">
        <f>IF($S46="","",$S46/(1-$V46)*IF($N46="",1,$N46))</f>
        <v/>
      </c>
      <c r="X46" s="17">
        <f>IF(OR($W46="",$Q46="",$Q46=0),"",$W46/$Q46)</f>
        <v/>
      </c>
      <c r="Y46" s="17">
        <f>IF(OR($R46="",$T46="",$T46=0),"",$R46/($T46*IF($O46="",1,$O46)))</f>
        <v/>
      </c>
      <c r="Z46" s="17">
        <f>IF(OR($X46="",$P46="",$P46=0),"",$X46/$P46)</f>
        <v/>
      </c>
      <c r="AA46">
        <f>IF($J46="","待填怪物等级",IF(OR($I46="",$Q46=""),"待填对照关卡",IF($P46="","已计算",IF(AND($Y46&lt;&gt;"",$Y46&lt;$X46),"生存不成立",IF($Z46&lt;0.5,"碾压",IF($Z46&lt;0.8,"偏简单",IF($Z46&lt;=1.2,"适中",IF($Z46&lt;=1.5,"偏难","过难"))))))))</f>
        <v/>
      </c>
      <c r="AB46">
        <f>IF($J46="","待填",IF(AND(ISNUMBER($J46),$J46&gt;=1,$J46&lt;=500,MOD($J46,1)=0),"有效","超范围"))</f>
        <v/>
      </c>
      <c r="AC46">
        <f>IF(C46&lt;&gt;C45,"新玩法组",IF(J46&gt;=J45,"不降","回退"))</f>
        <v/>
      </c>
      <c r="AD46" t="inlineStr">
        <is>
          <t>等效进度估算S23，非解锁/首通节点；旧Lv45→43</t>
        </is>
      </c>
      <c r="AE46" s="4" t="n">
        <v>27800</v>
      </c>
      <c r="AF46" s="4">
        <f>INDEX(_统一战力!$B$2:$B$501,J46)</f>
        <v/>
      </c>
    </row>
    <row r="47">
      <c r="A47" t="inlineStr">
        <is>
          <t>当前源表</t>
        </is>
      </c>
      <c r="B47" t="inlineStr">
        <is>
          <t>其他战斗玩法</t>
        </is>
      </c>
      <c r="C47" t="inlineStr">
        <is>
          <t>LevelType_ExtraLevel</t>
        </is>
      </c>
      <c r="D47" t="inlineStr">
        <is>
          <t>暴徒狂欢</t>
        </is>
      </c>
      <c r="E47" t="n">
        <v>150210</v>
      </c>
      <c r="F47" t="inlineStr">
        <is>
          <t>普通怪</t>
        </is>
      </c>
      <c r="G47" t="n">
        <v>24</v>
      </c>
      <c r="I47">
        <f>IF($H47="",$G47,$H47)</f>
        <v/>
      </c>
      <c r="J47" t="n">
        <v>44</v>
      </c>
      <c r="K47" s="83" t="n">
        <v>1.3</v>
      </c>
      <c r="L47" s="83" t="n">
        <v>1.3</v>
      </c>
      <c r="M47" s="83" t="n">
        <v>1</v>
      </c>
      <c r="N47" t="n">
        <v>1</v>
      </c>
      <c r="O47" t="n">
        <v>1</v>
      </c>
      <c r="P47" s="17" t="n">
        <v>0.432080722084332</v>
      </c>
      <c r="Q47" s="21">
        <f>IF($I47="","",IFERROR(INDEX(_玩家曲线!$H$2:$H$286,MATCH($I47,_玩家曲线!$A$2:$A$286,0)),""))</f>
        <v/>
      </c>
      <c r="R47" s="21">
        <f>IF($I47="","",IFERROR(INDEX(_玩家曲线!$I$2:$I$286,MATCH($I47,_玩家曲线!$A$2:$A$286,0)),""))</f>
        <v/>
      </c>
      <c r="S47" s="21">
        <f>IF(OR($J47="",$F47="不适用"),"",IFERROR(INDEX(_怪物模型!$D$2:$D$4501,(INT($J47)-1)*ROWS(_怪物类型!$A$2:$A$10)+MATCH($F47,_怪物类型!$A$2:$A$10,0))*IF($K47="",1,$K47),""))</f>
        <v/>
      </c>
      <c r="T47" s="21">
        <f>IF(OR($J47="",$F47="不适用"),"",IFERROR(INDEX(_怪物模型!$E$2:$E$4501,(INT($J47)-1)*ROWS(_怪物类型!$A$2:$A$10)+MATCH($F47,_怪物类型!$A$2:$A$10,0))*IF($L47="",1,$L47),""))</f>
        <v/>
      </c>
      <c r="U47" s="21">
        <f>IF(OR($J47="",$F47="不适用"),"",IFERROR(INDEX(_怪物模型!$F$2:$F$4501,(INT($J47)-1)*ROWS(_怪物类型!$A$2:$A$10)+MATCH($F47,_怪物类型!$A$2:$A$10,0))*IF($M47="",1,$M47),""))</f>
        <v/>
      </c>
      <c r="V47" s="84">
        <f>IF($U47="","",MIN(0.75,$U47/($U47+24000)))</f>
        <v/>
      </c>
      <c r="W47" s="21">
        <f>IF($S47="","",$S47/(1-$V47)*IF($N47="",1,$N47))</f>
        <v/>
      </c>
      <c r="X47" s="17">
        <f>IF(OR($W47="",$Q47="",$Q47=0),"",$W47/$Q47)</f>
        <v/>
      </c>
      <c r="Y47" s="17">
        <f>IF(OR($R47="",$T47="",$T47=0),"",$R47/($T47*IF($O47="",1,$O47)))</f>
        <v/>
      </c>
      <c r="Z47" s="17">
        <f>IF(OR($X47="",$P47="",$P47=0),"",$X47/$P47)</f>
        <v/>
      </c>
      <c r="AA47">
        <f>IF($J47="","待填怪物等级",IF(OR($I47="",$Q47=""),"待填对照关卡",IF($P47="","已计算",IF(AND($Y47&lt;&gt;"",$Y47&lt;$X47),"生存不成立",IF($Z47&lt;0.5,"碾压",IF($Z47&lt;0.8,"偏简单",IF($Z47&lt;=1.2,"适中",IF($Z47&lt;=1.5,"偏难","过难"))))))))</f>
        <v/>
      </c>
      <c r="AB47">
        <f>IF($J47="","待填",IF(AND(ISNUMBER($J47),$J47&gt;=1,$J47&lt;=500,MOD($J47,1)=0),"有效","超范围"))</f>
        <v/>
      </c>
      <c r="AC47">
        <f>IF(C47&lt;&gt;C46,"新玩法组",IF(J47&gt;=J46,"不降","回退"))</f>
        <v/>
      </c>
      <c r="AE47" s="4" t="n">
        <v>27800</v>
      </c>
      <c r="AF47" s="4">
        <f>INDEX(_统一战力!$B$2:$B$501,J47)</f>
        <v/>
      </c>
    </row>
    <row r="48">
      <c r="A48" t="inlineStr">
        <is>
          <t>当前源表</t>
        </is>
      </c>
      <c r="B48" t="inlineStr">
        <is>
          <t>其他战斗玩法</t>
        </is>
      </c>
      <c r="C48" t="inlineStr">
        <is>
          <t>LevelType_ExtraLevel</t>
        </is>
      </c>
      <c r="D48" t="inlineStr">
        <is>
          <t>恶谋展露</t>
        </is>
      </c>
      <c r="E48" t="n">
        <v>150211</v>
      </c>
      <c r="F48" t="inlineStr">
        <is>
          <t>普通怪</t>
        </is>
      </c>
      <c r="G48" t="n">
        <v>25</v>
      </c>
      <c r="I48">
        <f>IF($H48="",$G48,$H48)</f>
        <v/>
      </c>
      <c r="J48" t="n">
        <v>45</v>
      </c>
      <c r="K48" s="83" t="n">
        <v>1.3</v>
      </c>
      <c r="L48" s="83" t="n">
        <v>1.3</v>
      </c>
      <c r="M48" s="83" t="n">
        <v>1</v>
      </c>
      <c r="N48" t="n">
        <v>1</v>
      </c>
      <c r="O48" t="n">
        <v>1</v>
      </c>
      <c r="P48" s="17" t="n">
        <v>0.432080722084332</v>
      </c>
      <c r="Q48" s="21">
        <f>IF($I48="","",IFERROR(INDEX(_玩家曲线!$H$2:$H$286,MATCH($I48,_玩家曲线!$A$2:$A$286,0)),""))</f>
        <v/>
      </c>
      <c r="R48" s="21">
        <f>IF($I48="","",IFERROR(INDEX(_玩家曲线!$I$2:$I$286,MATCH($I48,_玩家曲线!$A$2:$A$286,0)),""))</f>
        <v/>
      </c>
      <c r="S48" s="21">
        <f>IF(OR($J48="",$F48="不适用"),"",IFERROR(INDEX(_怪物模型!$D$2:$D$4501,(INT($J48)-1)*ROWS(_怪物类型!$A$2:$A$10)+MATCH($F48,_怪物类型!$A$2:$A$10,0))*IF($K48="",1,$K48),""))</f>
        <v/>
      </c>
      <c r="T48" s="21">
        <f>IF(OR($J48="",$F48="不适用"),"",IFERROR(INDEX(_怪物模型!$E$2:$E$4501,(INT($J48)-1)*ROWS(_怪物类型!$A$2:$A$10)+MATCH($F48,_怪物类型!$A$2:$A$10,0))*IF($L48="",1,$L48),""))</f>
        <v/>
      </c>
      <c r="U48" s="21">
        <f>IF(OR($J48="",$F48="不适用"),"",IFERROR(INDEX(_怪物模型!$F$2:$F$4501,(INT($J48)-1)*ROWS(_怪物类型!$A$2:$A$10)+MATCH($F48,_怪物类型!$A$2:$A$10,0))*IF($M48="",1,$M48),""))</f>
        <v/>
      </c>
      <c r="V48" s="84">
        <f>IF($U48="","",MIN(0.75,$U48/($U48+24000)))</f>
        <v/>
      </c>
      <c r="W48" s="21">
        <f>IF($S48="","",$S48/(1-$V48)*IF($N48="",1,$N48))</f>
        <v/>
      </c>
      <c r="X48" s="17">
        <f>IF(OR($W48="",$Q48="",$Q48=0),"",$W48/$Q48)</f>
        <v/>
      </c>
      <c r="Y48" s="17">
        <f>IF(OR($R48="",$T48="",$T48=0),"",$R48/($T48*IF($O48="",1,$O48)))</f>
        <v/>
      </c>
      <c r="Z48" s="17">
        <f>IF(OR($X48="",$P48="",$P48=0),"",$X48/$P48)</f>
        <v/>
      </c>
      <c r="AA48">
        <f>IF($J48="","待填怪物等级",IF(OR($I48="",$Q48=""),"待填对照关卡",IF($P48="","已计算",IF(AND($Y48&lt;&gt;"",$Y48&lt;$X48),"生存不成立",IF($Z48&lt;0.5,"碾压",IF($Z48&lt;0.8,"偏简单",IF($Z48&lt;=1.2,"适中",IF($Z48&lt;=1.5,"偏难","过难"))))))))</f>
        <v/>
      </c>
      <c r="AB48">
        <f>IF($J48="","待填",IF(AND(ISNUMBER($J48),$J48&gt;=1,$J48&lt;=500,MOD($J48,1)=0),"有效","超范围"))</f>
        <v/>
      </c>
      <c r="AC48">
        <f>IF(C48&lt;&gt;C47,"新玩法组",IF(J48&gt;=J47,"不降","回退"))</f>
        <v/>
      </c>
      <c r="AE48" s="4" t="n">
        <v>27800</v>
      </c>
      <c r="AF48" s="4">
        <f>INDEX(_统一战力!$B$2:$B$501,J48)</f>
        <v/>
      </c>
    </row>
    <row r="49">
      <c r="A49" t="inlineStr">
        <is>
          <t>当前源表</t>
        </is>
      </c>
      <c r="B49" t="inlineStr">
        <is>
          <t>其他战斗玩法</t>
        </is>
      </c>
      <c r="C49" t="inlineStr">
        <is>
          <t>LevelType_ExtraLevel</t>
        </is>
      </c>
      <c r="D49" t="inlineStr">
        <is>
          <t>火力交锋</t>
        </is>
      </c>
      <c r="E49" t="n">
        <v>150212</v>
      </c>
      <c r="F49" t="inlineStr">
        <is>
          <t>普通怪</t>
        </is>
      </c>
      <c r="G49" t="n">
        <v>26</v>
      </c>
      <c r="I49">
        <f>IF($H49="",$G49,$H49)</f>
        <v/>
      </c>
      <c r="J49" t="n">
        <v>46</v>
      </c>
      <c r="K49" s="83" t="n">
        <v>1.3</v>
      </c>
      <c r="L49" s="83" t="n">
        <v>1.3</v>
      </c>
      <c r="M49" s="83" t="n">
        <v>1</v>
      </c>
      <c r="N49" t="n">
        <v>1</v>
      </c>
      <c r="O49" t="n">
        <v>1</v>
      </c>
      <c r="P49" s="17" t="n">
        <v>0.432080722084332</v>
      </c>
      <c r="Q49" s="21">
        <f>IF($I49="","",IFERROR(INDEX(_玩家曲线!$H$2:$H$286,MATCH($I49,_玩家曲线!$A$2:$A$286,0)),""))</f>
        <v/>
      </c>
      <c r="R49" s="21">
        <f>IF($I49="","",IFERROR(INDEX(_玩家曲线!$I$2:$I$286,MATCH($I49,_玩家曲线!$A$2:$A$286,0)),""))</f>
        <v/>
      </c>
      <c r="S49" s="21">
        <f>IF(OR($J49="",$F49="不适用"),"",IFERROR(INDEX(_怪物模型!$D$2:$D$4501,(INT($J49)-1)*ROWS(_怪物类型!$A$2:$A$10)+MATCH($F49,_怪物类型!$A$2:$A$10,0))*IF($K49="",1,$K49),""))</f>
        <v/>
      </c>
      <c r="T49" s="21">
        <f>IF(OR($J49="",$F49="不适用"),"",IFERROR(INDEX(_怪物模型!$E$2:$E$4501,(INT($J49)-1)*ROWS(_怪物类型!$A$2:$A$10)+MATCH($F49,_怪物类型!$A$2:$A$10,0))*IF($L49="",1,$L49),""))</f>
        <v/>
      </c>
      <c r="U49" s="21">
        <f>IF(OR($J49="",$F49="不适用"),"",IFERROR(INDEX(_怪物模型!$F$2:$F$4501,(INT($J49)-1)*ROWS(_怪物类型!$A$2:$A$10)+MATCH($F49,_怪物类型!$A$2:$A$10,0))*IF($M49="",1,$M49),""))</f>
        <v/>
      </c>
      <c r="V49" s="84">
        <f>IF($U49="","",MIN(0.75,$U49/($U49+24000)))</f>
        <v/>
      </c>
      <c r="W49" s="21">
        <f>IF($S49="","",$S49/(1-$V49)*IF($N49="",1,$N49))</f>
        <v/>
      </c>
      <c r="X49" s="17">
        <f>IF(OR($W49="",$Q49="",$Q49=0),"",$W49/$Q49)</f>
        <v/>
      </c>
      <c r="Y49" s="17">
        <f>IF(OR($R49="",$T49="",$T49=0),"",$R49/($T49*IF($O49="",1,$O49)))</f>
        <v/>
      </c>
      <c r="Z49" s="17">
        <f>IF(OR($X49="",$P49="",$P49=0),"",$X49/$P49)</f>
        <v/>
      </c>
      <c r="AA49">
        <f>IF($J49="","待填怪物等级",IF(OR($I49="",$Q49=""),"待填对照关卡",IF($P49="","已计算",IF(AND($Y49&lt;&gt;"",$Y49&lt;$X49),"生存不成立",IF($Z49&lt;0.5,"碾压",IF($Z49&lt;0.8,"偏简单",IF($Z49&lt;=1.2,"适中",IF($Z49&lt;=1.5,"偏难","过难"))))))))</f>
        <v/>
      </c>
      <c r="AB49">
        <f>IF($J49="","待填",IF(AND(ISNUMBER($J49),$J49&gt;=1,$J49&lt;=500,MOD($J49,1)=0),"有效","超范围"))</f>
        <v/>
      </c>
      <c r="AC49">
        <f>IF(C49&lt;&gt;C48,"新玩法组",IF(J49&gt;=J48,"不降","回退"))</f>
        <v/>
      </c>
      <c r="AE49" s="4" t="n">
        <v>30200</v>
      </c>
      <c r="AF49" s="4">
        <f>INDEX(_统一战力!$B$2:$B$501,J49)</f>
        <v/>
      </c>
    </row>
    <row r="50">
      <c r="A50" t="inlineStr">
        <is>
          <t>当前源表</t>
        </is>
      </c>
      <c r="B50" t="inlineStr">
        <is>
          <t>其他战斗玩法</t>
        </is>
      </c>
      <c r="C50" t="inlineStr">
        <is>
          <t>LevelType_ExtraLevel</t>
        </is>
      </c>
      <c r="D50" t="inlineStr">
        <is>
          <t>暴徒狂欢</t>
        </is>
      </c>
      <c r="E50" t="n">
        <v>150213</v>
      </c>
      <c r="F50" t="inlineStr">
        <is>
          <t>普通怪</t>
        </is>
      </c>
      <c r="G50" t="n">
        <v>27</v>
      </c>
      <c r="I50">
        <f>IF($H50="",$G50,$H50)</f>
        <v/>
      </c>
      <c r="J50" t="n">
        <v>47</v>
      </c>
      <c r="K50" s="83" t="n">
        <v>1.3</v>
      </c>
      <c r="L50" s="83" t="n">
        <v>1.3</v>
      </c>
      <c r="M50" s="83" t="n">
        <v>1</v>
      </c>
      <c r="N50" t="n">
        <v>1</v>
      </c>
      <c r="O50" t="n">
        <v>1</v>
      </c>
      <c r="P50" s="17" t="n">
        <v>0.432080722084332</v>
      </c>
      <c r="Q50" s="21">
        <f>IF($I50="","",IFERROR(INDEX(_玩家曲线!$H$2:$H$286,MATCH($I50,_玩家曲线!$A$2:$A$286,0)),""))</f>
        <v/>
      </c>
      <c r="R50" s="21">
        <f>IF($I50="","",IFERROR(INDEX(_玩家曲线!$I$2:$I$286,MATCH($I50,_玩家曲线!$A$2:$A$286,0)),""))</f>
        <v/>
      </c>
      <c r="S50" s="21">
        <f>IF(OR($J50="",$F50="不适用"),"",IFERROR(INDEX(_怪物模型!$D$2:$D$4501,(INT($J50)-1)*ROWS(_怪物类型!$A$2:$A$10)+MATCH($F50,_怪物类型!$A$2:$A$10,0))*IF($K50="",1,$K50),""))</f>
        <v/>
      </c>
      <c r="T50" s="21">
        <f>IF(OR($J50="",$F50="不适用"),"",IFERROR(INDEX(_怪物模型!$E$2:$E$4501,(INT($J50)-1)*ROWS(_怪物类型!$A$2:$A$10)+MATCH($F50,_怪物类型!$A$2:$A$10,0))*IF($L50="",1,$L50),""))</f>
        <v/>
      </c>
      <c r="U50" s="21">
        <f>IF(OR($J50="",$F50="不适用"),"",IFERROR(INDEX(_怪物模型!$F$2:$F$4501,(INT($J50)-1)*ROWS(_怪物类型!$A$2:$A$10)+MATCH($F50,_怪物类型!$A$2:$A$10,0))*IF($M50="",1,$M50),""))</f>
        <v/>
      </c>
      <c r="V50" s="84">
        <f>IF($U50="","",MIN(0.75,$U50/($U50+24000)))</f>
        <v/>
      </c>
      <c r="W50" s="21">
        <f>IF($S50="","",$S50/(1-$V50)*IF($N50="",1,$N50))</f>
        <v/>
      </c>
      <c r="X50" s="17">
        <f>IF(OR($W50="",$Q50="",$Q50=0),"",$W50/$Q50)</f>
        <v/>
      </c>
      <c r="Y50" s="17">
        <f>IF(OR($R50="",$T50="",$T50=0),"",$R50/($T50*IF($O50="",1,$O50)))</f>
        <v/>
      </c>
      <c r="Z50" s="17">
        <f>IF(OR($X50="",$P50="",$P50=0),"",$X50/$P50)</f>
        <v/>
      </c>
      <c r="AA50">
        <f>IF($J50="","待填怪物等级",IF(OR($I50="",$Q50=""),"待填对照关卡",IF($P50="","已计算",IF(AND($Y50&lt;&gt;"",$Y50&lt;$X50),"生存不成立",IF($Z50&lt;0.5,"碾压",IF($Z50&lt;0.8,"偏简单",IF($Z50&lt;=1.2,"适中",IF($Z50&lt;=1.5,"偏难","过难"))))))))</f>
        <v/>
      </c>
      <c r="AB50">
        <f>IF($J50="","待填",IF(AND(ISNUMBER($J50),$J50&gt;=1,$J50&lt;=500,MOD($J50,1)=0),"有效","超范围"))</f>
        <v/>
      </c>
      <c r="AC50">
        <f>IF(C50&lt;&gt;C49,"新玩法组",IF(J50&gt;=J49,"不降","回退"))</f>
        <v/>
      </c>
      <c r="AE50" s="4" t="n">
        <v>30200</v>
      </c>
      <c r="AF50" s="4">
        <f>INDEX(_统一战力!$B$2:$B$501,J50)</f>
        <v/>
      </c>
    </row>
    <row r="51">
      <c r="A51" t="inlineStr">
        <is>
          <t>当前源表</t>
        </is>
      </c>
      <c r="B51" t="inlineStr">
        <is>
          <t>其他战斗玩法</t>
        </is>
      </c>
      <c r="C51" t="inlineStr">
        <is>
          <t>LevelType_ExtraLevel</t>
        </is>
      </c>
      <c r="D51" t="inlineStr">
        <is>
          <t>恶谋展露</t>
        </is>
      </c>
      <c r="E51" t="n">
        <v>150214</v>
      </c>
      <c r="F51" t="inlineStr">
        <is>
          <t>普通怪</t>
        </is>
      </c>
      <c r="G51" t="n">
        <v>28</v>
      </c>
      <c r="I51">
        <f>IF($H51="",$G51,$H51)</f>
        <v/>
      </c>
      <c r="J51" t="n">
        <v>48</v>
      </c>
      <c r="K51" s="83" t="n">
        <v>1.3</v>
      </c>
      <c r="L51" s="83" t="n">
        <v>1.3</v>
      </c>
      <c r="M51" s="83" t="n">
        <v>1</v>
      </c>
      <c r="N51" t="n">
        <v>1</v>
      </c>
      <c r="O51" t="n">
        <v>1</v>
      </c>
      <c r="P51" s="17" t="n">
        <v>0.432080722084332</v>
      </c>
      <c r="Q51" s="21">
        <f>IF($I51="","",IFERROR(INDEX(_玩家曲线!$H$2:$H$286,MATCH($I51,_玩家曲线!$A$2:$A$286,0)),""))</f>
        <v/>
      </c>
      <c r="R51" s="21">
        <f>IF($I51="","",IFERROR(INDEX(_玩家曲线!$I$2:$I$286,MATCH($I51,_玩家曲线!$A$2:$A$286,0)),""))</f>
        <v/>
      </c>
      <c r="S51" s="21">
        <f>IF(OR($J51="",$F51="不适用"),"",IFERROR(INDEX(_怪物模型!$D$2:$D$4501,(INT($J51)-1)*ROWS(_怪物类型!$A$2:$A$10)+MATCH($F51,_怪物类型!$A$2:$A$10,0))*IF($K51="",1,$K51),""))</f>
        <v/>
      </c>
      <c r="T51" s="21">
        <f>IF(OR($J51="",$F51="不适用"),"",IFERROR(INDEX(_怪物模型!$E$2:$E$4501,(INT($J51)-1)*ROWS(_怪物类型!$A$2:$A$10)+MATCH($F51,_怪物类型!$A$2:$A$10,0))*IF($L51="",1,$L51),""))</f>
        <v/>
      </c>
      <c r="U51" s="21">
        <f>IF(OR($J51="",$F51="不适用"),"",IFERROR(INDEX(_怪物模型!$F$2:$F$4501,(INT($J51)-1)*ROWS(_怪物类型!$A$2:$A$10)+MATCH($F51,_怪物类型!$A$2:$A$10,0))*IF($M51="",1,$M51),""))</f>
        <v/>
      </c>
      <c r="V51" s="84">
        <f>IF($U51="","",MIN(0.75,$U51/($U51+24000)))</f>
        <v/>
      </c>
      <c r="W51" s="21">
        <f>IF($S51="","",$S51/(1-$V51)*IF($N51="",1,$N51))</f>
        <v/>
      </c>
      <c r="X51" s="17">
        <f>IF(OR($W51="",$Q51="",$Q51=0),"",$W51/$Q51)</f>
        <v/>
      </c>
      <c r="Y51" s="17">
        <f>IF(OR($R51="",$T51="",$T51=0),"",$R51/($T51*IF($O51="",1,$O51)))</f>
        <v/>
      </c>
      <c r="Z51" s="17">
        <f>IF(OR($X51="",$P51="",$P51=0),"",$X51/$P51)</f>
        <v/>
      </c>
      <c r="AA51">
        <f>IF($J51="","待填怪物等级",IF(OR($I51="",$Q51=""),"待填对照关卡",IF($P51="","已计算",IF(AND($Y51&lt;&gt;"",$Y51&lt;$X51),"生存不成立",IF($Z51&lt;0.5,"碾压",IF($Z51&lt;0.8,"偏简单",IF($Z51&lt;=1.2,"适中",IF($Z51&lt;=1.5,"偏难","过难"))))))))</f>
        <v/>
      </c>
      <c r="AB51">
        <f>IF($J51="","待填",IF(AND(ISNUMBER($J51),$J51&gt;=1,$J51&lt;=500,MOD($J51,1)=0),"有效","超范围"))</f>
        <v/>
      </c>
      <c r="AC51">
        <f>IF(C51&lt;&gt;C50,"新玩法组",IF(J51&gt;=J50,"不降","回退"))</f>
        <v/>
      </c>
      <c r="AE51" s="4" t="n">
        <v>30200</v>
      </c>
      <c r="AF51" s="4">
        <f>INDEX(_统一战力!$B$2:$B$501,J51)</f>
        <v/>
      </c>
    </row>
    <row r="52">
      <c r="A52" t="inlineStr">
        <is>
          <t>当前源表</t>
        </is>
      </c>
      <c r="B52" t="inlineStr">
        <is>
          <t>其他战斗玩法</t>
        </is>
      </c>
      <c r="C52" t="inlineStr">
        <is>
          <t>LevelType_ExtraLevel</t>
        </is>
      </c>
      <c r="D52" t="inlineStr">
        <is>
          <t>火力交锋</t>
        </is>
      </c>
      <c r="E52" t="n">
        <v>150215</v>
      </c>
      <c r="F52" t="inlineStr">
        <is>
          <t>普通怪</t>
        </is>
      </c>
      <c r="G52" t="n">
        <v>29</v>
      </c>
      <c r="I52">
        <f>IF($H52="",$G52,$H52)</f>
        <v/>
      </c>
      <c r="J52" t="n">
        <v>49</v>
      </c>
      <c r="K52" s="83" t="n">
        <v>1.3</v>
      </c>
      <c r="L52" s="83" t="n">
        <v>1.3</v>
      </c>
      <c r="M52" s="83" t="n">
        <v>1</v>
      </c>
      <c r="N52" t="n">
        <v>1</v>
      </c>
      <c r="O52" t="n">
        <v>1</v>
      </c>
      <c r="P52" s="17" t="n">
        <v>0.432080722084332</v>
      </c>
      <c r="Q52" s="21">
        <f>IF($I52="","",IFERROR(INDEX(_玩家曲线!$H$2:$H$286,MATCH($I52,_玩家曲线!$A$2:$A$286,0)),""))</f>
        <v/>
      </c>
      <c r="R52" s="21">
        <f>IF($I52="","",IFERROR(INDEX(_玩家曲线!$I$2:$I$286,MATCH($I52,_玩家曲线!$A$2:$A$286,0)),""))</f>
        <v/>
      </c>
      <c r="S52" s="21">
        <f>IF(OR($J52="",$F52="不适用"),"",IFERROR(INDEX(_怪物模型!$D$2:$D$4501,(INT($J52)-1)*ROWS(_怪物类型!$A$2:$A$10)+MATCH($F52,_怪物类型!$A$2:$A$10,0))*IF($K52="",1,$K52),""))</f>
        <v/>
      </c>
      <c r="T52" s="21">
        <f>IF(OR($J52="",$F52="不适用"),"",IFERROR(INDEX(_怪物模型!$E$2:$E$4501,(INT($J52)-1)*ROWS(_怪物类型!$A$2:$A$10)+MATCH($F52,_怪物类型!$A$2:$A$10,0))*IF($L52="",1,$L52),""))</f>
        <v/>
      </c>
      <c r="U52" s="21">
        <f>IF(OR($J52="",$F52="不适用"),"",IFERROR(INDEX(_怪物模型!$F$2:$F$4501,(INT($J52)-1)*ROWS(_怪物类型!$A$2:$A$10)+MATCH($F52,_怪物类型!$A$2:$A$10,0))*IF($M52="",1,$M52),""))</f>
        <v/>
      </c>
      <c r="V52" s="84">
        <f>IF($U52="","",MIN(0.75,$U52/($U52+24000)))</f>
        <v/>
      </c>
      <c r="W52" s="21">
        <f>IF($S52="","",$S52/(1-$V52)*IF($N52="",1,$N52))</f>
        <v/>
      </c>
      <c r="X52" s="17">
        <f>IF(OR($W52="",$Q52="",$Q52=0),"",$W52/$Q52)</f>
        <v/>
      </c>
      <c r="Y52" s="17">
        <f>IF(OR($R52="",$T52="",$T52=0),"",$R52/($T52*IF($O52="",1,$O52)))</f>
        <v/>
      </c>
      <c r="Z52" s="17">
        <f>IF(OR($X52="",$P52="",$P52=0),"",$X52/$P52)</f>
        <v/>
      </c>
      <c r="AA52">
        <f>IF($J52="","待填怪物等级",IF(OR($I52="",$Q52=""),"待填对照关卡",IF($P52="","已计算",IF(AND($Y52&lt;&gt;"",$Y52&lt;$X52),"生存不成立",IF($Z52&lt;0.5,"碾压",IF($Z52&lt;0.8,"偏简单",IF($Z52&lt;=1.2,"适中",IF($Z52&lt;=1.5,"偏难","过难"))))))))</f>
        <v/>
      </c>
      <c r="AB52">
        <f>IF($J52="","待填",IF(AND(ISNUMBER($J52),$J52&gt;=1,$J52&lt;=500,MOD($J52,1)=0),"有效","超范围"))</f>
        <v/>
      </c>
      <c r="AC52">
        <f>IF(C52&lt;&gt;C51,"新玩法组",IF(J52&gt;=J51,"不降","回退"))</f>
        <v/>
      </c>
      <c r="AE52" s="4" t="n">
        <v>32800</v>
      </c>
      <c r="AF52" s="4">
        <f>INDEX(_统一战力!$B$2:$B$501,J52)</f>
        <v/>
      </c>
    </row>
    <row r="53">
      <c r="A53" t="inlineStr">
        <is>
          <t>当前源表</t>
        </is>
      </c>
      <c r="B53" t="inlineStr">
        <is>
          <t>其他战斗玩法</t>
        </is>
      </c>
      <c r="C53" t="inlineStr">
        <is>
          <t>LevelType_ExtraLevel</t>
        </is>
      </c>
      <c r="D53" t="inlineStr">
        <is>
          <t>霜途归阙</t>
        </is>
      </c>
      <c r="E53" t="inlineStr">
        <is>
          <t>150301</t>
        </is>
      </c>
      <c r="F53" t="inlineStr">
        <is>
          <t>普通怪</t>
        </is>
      </c>
      <c r="G53" t="n">
        <v>33</v>
      </c>
      <c r="I53">
        <f>IF($H53="",$G53,$H53)</f>
        <v/>
      </c>
      <c r="J53" t="n">
        <v>58</v>
      </c>
      <c r="K53" s="83" t="n">
        <v>1.3</v>
      </c>
      <c r="L53" s="83" t="n">
        <v>1.3</v>
      </c>
      <c r="M53" s="83" t="n">
        <v>1</v>
      </c>
      <c r="N53" t="n">
        <v>1</v>
      </c>
      <c r="O53" t="n">
        <v>1</v>
      </c>
      <c r="P53" s="17" t="n">
        <v>0.416499247312832</v>
      </c>
      <c r="Q53" s="21">
        <f>IF($I53="","",IFERROR(INDEX(_玩家曲线!$H$2:$H$286,MATCH($I53,_玩家曲线!$A$2:$A$286,0)),""))</f>
        <v/>
      </c>
      <c r="R53" s="21">
        <f>IF($I53="","",IFERROR(INDEX(_玩家曲线!$I$2:$I$286,MATCH($I53,_玩家曲线!$A$2:$A$286,0)),""))</f>
        <v/>
      </c>
      <c r="S53" s="21">
        <f>IF(OR($J53="",$F53="不适用"),"",IFERROR(INDEX(_怪物模型!$D$2:$D$4501,(INT($J53)-1)*ROWS(_怪物类型!$A$2:$A$10)+MATCH($F53,_怪物类型!$A$2:$A$10,0))*IF($K53="",1,$K53),""))</f>
        <v/>
      </c>
      <c r="T53" s="21">
        <f>IF(OR($J53="",$F53="不适用"),"",IFERROR(INDEX(_怪物模型!$E$2:$E$4501,(INT($J53)-1)*ROWS(_怪物类型!$A$2:$A$10)+MATCH($F53,_怪物类型!$A$2:$A$10,0))*IF($L53="",1,$L53),""))</f>
        <v/>
      </c>
      <c r="U53" s="21">
        <f>IF(OR($J53="",$F53="不适用"),"",IFERROR(INDEX(_怪物模型!$F$2:$F$4501,(INT($J53)-1)*ROWS(_怪物类型!$A$2:$A$10)+MATCH($F53,_怪物类型!$A$2:$A$10,0))*IF($M53="",1,$M53),""))</f>
        <v/>
      </c>
      <c r="V53" s="84">
        <f>IF($U53="","",MIN(0.75,$U53/($U53+24000)))</f>
        <v/>
      </c>
      <c r="W53" s="21">
        <f>IF($S53="","",$S53/(1-$V53)*IF($N53="",1,$N53))</f>
        <v/>
      </c>
      <c r="X53" s="17">
        <f>IF(OR($W53="",$Q53="",$Q53=0),"",$W53/$Q53)</f>
        <v/>
      </c>
      <c r="Y53" s="17">
        <f>IF(OR($R53="",$T53="",$T53=0),"",$R53/($T53*IF($O53="",1,$O53)))</f>
        <v/>
      </c>
      <c r="Z53" s="17">
        <f>IF(OR($X53="",$P53="",$P53=0),"",$X53/$P53)</f>
        <v/>
      </c>
      <c r="AA53">
        <f>IF($J53="","待填怪物等级",IF(OR($I53="",$Q53=""),"待填对照关卡",IF($P53="","已计算",IF(AND($Y53&lt;&gt;"",$Y53&lt;$X53),"生存不成立",IF($Z53&lt;0.5,"碾压",IF($Z53&lt;0.8,"偏简单",IF($Z53&lt;=1.2,"适中",IF($Z53&lt;=1.5,"偏难","过难"))))))))</f>
        <v/>
      </c>
      <c r="AB53">
        <f>IF($J53="","待填",IF(AND(ISNUMBER($J53),$J53&gt;=1,$J53&lt;=500,MOD($J53,1)=0),"有效","超范围"))</f>
        <v/>
      </c>
      <c r="AC53">
        <f>IF(C53&lt;&gt;C46,"新玩法组",IF(J53&gt;=J46,"不降","回退"))</f>
        <v/>
      </c>
      <c r="AD53" t="inlineStr">
        <is>
          <t>等效进度估算S33，非解锁/首通节点；旧Lv70→58</t>
        </is>
      </c>
      <c r="AE53" s="4" t="n">
        <v>39300</v>
      </c>
      <c r="AF53" s="4">
        <f>INDEX(_统一战力!$B$2:$B$501,J53)</f>
        <v/>
      </c>
    </row>
    <row r="54">
      <c r="A54" t="inlineStr">
        <is>
          <t>当前源表</t>
        </is>
      </c>
      <c r="B54" t="inlineStr">
        <is>
          <t>其他战斗玩法</t>
        </is>
      </c>
      <c r="C54" t="inlineStr">
        <is>
          <t>LevelType_ExtraLevel</t>
        </is>
      </c>
      <c r="D54" t="inlineStr">
        <is>
          <t>狼城叩门</t>
        </is>
      </c>
      <c r="E54" t="inlineStr">
        <is>
          <t>150302</t>
        </is>
      </c>
      <c r="F54" t="inlineStr">
        <is>
          <t>普通怪</t>
        </is>
      </c>
      <c r="G54" t="n">
        <v>33</v>
      </c>
      <c r="I54">
        <f>IF($H54="",$G54,$H54)</f>
        <v/>
      </c>
      <c r="J54" t="n">
        <v>60</v>
      </c>
      <c r="K54" s="83" t="n">
        <v>1.3</v>
      </c>
      <c r="L54" s="83" t="n">
        <v>1.3</v>
      </c>
      <c r="M54" s="83" t="n">
        <v>1</v>
      </c>
      <c r="N54" t="n">
        <v>1</v>
      </c>
      <c r="O54" t="n">
        <v>1</v>
      </c>
      <c r="P54" s="17" t="n">
        <v>0.439577034131632</v>
      </c>
      <c r="Q54" s="21">
        <f>IF($I54="","",IFERROR(INDEX(_玩家曲线!$H$2:$H$286,MATCH($I54,_玩家曲线!$A$2:$A$286,0)),""))</f>
        <v/>
      </c>
      <c r="R54" s="21">
        <f>IF($I54="","",IFERROR(INDEX(_玩家曲线!$I$2:$I$286,MATCH($I54,_玩家曲线!$A$2:$A$286,0)),""))</f>
        <v/>
      </c>
      <c r="S54" s="21">
        <f>IF(OR($J54="",$F54="不适用"),"",IFERROR(INDEX(_怪物模型!$D$2:$D$4501,(INT($J54)-1)*ROWS(_怪物类型!$A$2:$A$10)+MATCH($F54,_怪物类型!$A$2:$A$10,0))*IF($K54="",1,$K54),""))</f>
        <v/>
      </c>
      <c r="T54" s="21">
        <f>IF(OR($J54="",$F54="不适用"),"",IFERROR(INDEX(_怪物模型!$E$2:$E$4501,(INT($J54)-1)*ROWS(_怪物类型!$A$2:$A$10)+MATCH($F54,_怪物类型!$A$2:$A$10,0))*IF($L54="",1,$L54),""))</f>
        <v/>
      </c>
      <c r="U54" s="21">
        <f>IF(OR($J54="",$F54="不适用"),"",IFERROR(INDEX(_怪物模型!$F$2:$F$4501,(INT($J54)-1)*ROWS(_怪物类型!$A$2:$A$10)+MATCH($F54,_怪物类型!$A$2:$A$10,0))*IF($M54="",1,$M54),""))</f>
        <v/>
      </c>
      <c r="V54" s="84">
        <f>IF($U54="","",MIN(0.75,$U54/($U54+24000)))</f>
        <v/>
      </c>
      <c r="W54" s="21">
        <f>IF($S54="","",$S54/(1-$V54)*IF($N54="",1,$N54))</f>
        <v/>
      </c>
      <c r="X54" s="17">
        <f>IF(OR($W54="",$Q54="",$Q54=0),"",$W54/$Q54)</f>
        <v/>
      </c>
      <c r="Y54" s="17">
        <f>IF(OR($R54="",$T54="",$T54=0),"",$R54/($T54*IF($O54="",1,$O54)))</f>
        <v/>
      </c>
      <c r="Z54" s="17">
        <f>IF(OR($X54="",$P54="",$P54=0),"",$X54/$P54)</f>
        <v/>
      </c>
      <c r="AA54">
        <f>IF($J54="","待填怪物等级",IF(OR($I54="",$Q54=""),"待填对照关卡",IF($P54="","已计算",IF(AND($Y54&lt;&gt;"",$Y54&lt;$X54),"生存不成立",IF($Z54&lt;0.5,"碾压",IF($Z54&lt;0.8,"偏简单",IF($Z54&lt;=1.2,"适中",IF($Z54&lt;=1.5,"偏难","过难"))))))))</f>
        <v/>
      </c>
      <c r="AB54">
        <f>IF($J54="","待填",IF(AND(ISNUMBER($J54),$J54&gt;=1,$J54&lt;=500,MOD($J54,1)=0),"有效","超范围"))</f>
        <v/>
      </c>
      <c r="AC54">
        <f>IF(C54&lt;&gt;C53,"新玩法组",IF(J54&gt;=J53,"不降","回退"))</f>
        <v/>
      </c>
      <c r="AD54" t="inlineStr">
        <is>
          <t>等效进度估算S33，非解锁/首通节点；旧Lv72→60</t>
        </is>
      </c>
      <c r="AE54" s="4" t="n">
        <v>41300</v>
      </c>
      <c r="AF54" s="4">
        <f>INDEX(_统一战力!$B$2:$B$501,J54)</f>
        <v/>
      </c>
    </row>
    <row r="55">
      <c r="A55" t="inlineStr">
        <is>
          <t>当前源表</t>
        </is>
      </c>
      <c r="B55" t="inlineStr">
        <is>
          <t>其他战斗玩法</t>
        </is>
      </c>
      <c r="C55" t="inlineStr">
        <is>
          <t>LevelType_ExtraLevel</t>
        </is>
      </c>
      <c r="D55" t="inlineStr">
        <is>
          <t>宫城逆焰</t>
        </is>
      </c>
      <c r="E55" t="inlineStr">
        <is>
          <t>150303</t>
        </is>
      </c>
      <c r="F55" t="inlineStr">
        <is>
          <t>普通怪</t>
        </is>
      </c>
      <c r="G55" t="n">
        <v>34</v>
      </c>
      <c r="I55">
        <f>IF($H55="",$G55,$H55)</f>
        <v/>
      </c>
      <c r="J55" t="n">
        <v>60</v>
      </c>
      <c r="K55" s="83" t="n">
        <v>1.3</v>
      </c>
      <c r="L55" s="83" t="n">
        <v>1.3</v>
      </c>
      <c r="M55" s="83" t="n">
        <v>1</v>
      </c>
      <c r="N55" t="n">
        <v>1</v>
      </c>
      <c r="O55" t="n">
        <v>1</v>
      </c>
      <c r="P55" s="17" t="n">
        <v>0.4236467076854</v>
      </c>
      <c r="Q55" s="21">
        <f>IF($I55="","",IFERROR(INDEX(_玩家曲线!$H$2:$H$286,MATCH($I55,_玩家曲线!$A$2:$A$286,0)),""))</f>
        <v/>
      </c>
      <c r="R55" s="21">
        <f>IF($I55="","",IFERROR(INDEX(_玩家曲线!$I$2:$I$286,MATCH($I55,_玩家曲线!$A$2:$A$286,0)),""))</f>
        <v/>
      </c>
      <c r="S55" s="21">
        <f>IF(OR($J55="",$F55="不适用"),"",IFERROR(INDEX(_怪物模型!$D$2:$D$4501,(INT($J55)-1)*ROWS(_怪物类型!$A$2:$A$10)+MATCH($F55,_怪物类型!$A$2:$A$10,0))*IF($K55="",1,$K55),""))</f>
        <v/>
      </c>
      <c r="T55" s="21">
        <f>IF(OR($J55="",$F55="不适用"),"",IFERROR(INDEX(_怪物模型!$E$2:$E$4501,(INT($J55)-1)*ROWS(_怪物类型!$A$2:$A$10)+MATCH($F55,_怪物类型!$A$2:$A$10,0))*IF($L55="",1,$L55),""))</f>
        <v/>
      </c>
      <c r="U55" s="21">
        <f>IF(OR($J55="",$F55="不适用"),"",IFERROR(INDEX(_怪物模型!$F$2:$F$4501,(INT($J55)-1)*ROWS(_怪物类型!$A$2:$A$10)+MATCH($F55,_怪物类型!$A$2:$A$10,0))*IF($M55="",1,$M55),""))</f>
        <v/>
      </c>
      <c r="V55" s="84">
        <f>IF($U55="","",MIN(0.75,$U55/($U55+24000)))</f>
        <v/>
      </c>
      <c r="W55" s="21">
        <f>IF($S55="","",$S55/(1-$V55)*IF($N55="",1,$N55))</f>
        <v/>
      </c>
      <c r="X55" s="17">
        <f>IF(OR($W55="",$Q55="",$Q55=0),"",$W55/$Q55)</f>
        <v/>
      </c>
      <c r="Y55" s="17">
        <f>IF(OR($R55="",$T55="",$T55=0),"",$R55/($T55*IF($O55="",1,$O55)))</f>
        <v/>
      </c>
      <c r="Z55" s="17">
        <f>IF(OR($X55="",$P55="",$P55=0),"",$X55/$P55)</f>
        <v/>
      </c>
      <c r="AA55">
        <f>IF($J55="","待填怪物等级",IF(OR($I55="",$Q55=""),"待填对照关卡",IF($P55="","已计算",IF(AND($Y55&lt;&gt;"",$Y55&lt;$X55),"生存不成立",IF($Z55&lt;0.5,"碾压",IF($Z55&lt;0.8,"偏简单",IF($Z55&lt;=1.2,"适中",IF($Z55&lt;=1.5,"偏难","过难"))))))))</f>
        <v/>
      </c>
      <c r="AB55">
        <f>IF($J55="","待填",IF(AND(ISNUMBER($J55),$J55&gt;=1,$J55&lt;=500,MOD($J55,1)=0),"有效","超范围"))</f>
        <v/>
      </c>
      <c r="AC55">
        <f>IF(C55&lt;&gt;C54,"新玩法组",IF(J55&gt;=J54,"不降","回退"))</f>
        <v/>
      </c>
      <c r="AD55" t="inlineStr">
        <is>
          <t>等效进度估算S34，非解锁/首通节点；旧Lv74→60</t>
        </is>
      </c>
      <c r="AE55" s="4" t="n">
        <v>41300</v>
      </c>
      <c r="AF55" s="4">
        <f>INDEX(_统一战力!$B$2:$B$501,J55)</f>
        <v/>
      </c>
    </row>
    <row r="56">
      <c r="A56" t="inlineStr">
        <is>
          <t>当前源表</t>
        </is>
      </c>
      <c r="B56" t="inlineStr">
        <is>
          <t>其他战斗玩法</t>
        </is>
      </c>
      <c r="C56" t="inlineStr">
        <is>
          <t>LevelType_ExtraLevel</t>
        </is>
      </c>
      <c r="D56" t="inlineStr">
        <is>
          <t>突变</t>
        </is>
      </c>
      <c r="E56" t="inlineStr">
        <is>
          <t>150304</t>
        </is>
      </c>
      <c r="F56" t="inlineStr">
        <is>
          <t>普通怪</t>
        </is>
      </c>
      <c r="G56" t="n">
        <v>35</v>
      </c>
      <c r="I56">
        <f>IF($H56="",$G56,$H56)</f>
        <v/>
      </c>
      <c r="J56" t="n">
        <v>61</v>
      </c>
      <c r="K56" s="83" t="n">
        <v>1.3</v>
      </c>
      <c r="L56" s="83" t="n">
        <v>1.3</v>
      </c>
      <c r="M56" s="83" t="n">
        <v>1</v>
      </c>
      <c r="N56" t="n">
        <v>1</v>
      </c>
      <c r="O56" t="n">
        <v>1</v>
      </c>
      <c r="P56" s="17" t="n">
        <v>0.409835024827256</v>
      </c>
      <c r="Q56" s="21">
        <f>IF($I56="","",IFERROR(INDEX(_玩家曲线!$H$2:$H$286,MATCH($I56,_玩家曲线!$A$2:$A$286,0)),""))</f>
        <v/>
      </c>
      <c r="R56" s="21">
        <f>IF($I56="","",IFERROR(INDEX(_玩家曲线!$I$2:$I$286,MATCH($I56,_玩家曲线!$A$2:$A$286,0)),""))</f>
        <v/>
      </c>
      <c r="S56" s="21">
        <f>IF(OR($J56="",$F56="不适用"),"",IFERROR(INDEX(_怪物模型!$D$2:$D$4501,(INT($J56)-1)*ROWS(_怪物类型!$A$2:$A$10)+MATCH($F56,_怪物类型!$A$2:$A$10,0))*IF($K56="",1,$K56),""))</f>
        <v/>
      </c>
      <c r="T56" s="21">
        <f>IF(OR($J56="",$F56="不适用"),"",IFERROR(INDEX(_怪物模型!$E$2:$E$4501,(INT($J56)-1)*ROWS(_怪物类型!$A$2:$A$10)+MATCH($F56,_怪物类型!$A$2:$A$10,0))*IF($L56="",1,$L56),""))</f>
        <v/>
      </c>
      <c r="U56" s="21">
        <f>IF(OR($J56="",$F56="不适用"),"",IFERROR(INDEX(_怪物模型!$F$2:$F$4501,(INT($J56)-1)*ROWS(_怪物类型!$A$2:$A$10)+MATCH($F56,_怪物类型!$A$2:$A$10,0))*IF($M56="",1,$M56),""))</f>
        <v/>
      </c>
      <c r="V56" s="84">
        <f>IF($U56="","",MIN(0.75,$U56/($U56+24000)))</f>
        <v/>
      </c>
      <c r="W56" s="21">
        <f>IF($S56="","",$S56/(1-$V56)*IF($N56="",1,$N56))</f>
        <v/>
      </c>
      <c r="X56" s="17">
        <f>IF(OR($W56="",$Q56="",$Q56=0),"",$W56/$Q56)</f>
        <v/>
      </c>
      <c r="Y56" s="17">
        <f>IF(OR($R56="",$T56="",$T56=0),"",$R56/($T56*IF($O56="",1,$O56)))</f>
        <v/>
      </c>
      <c r="Z56" s="17">
        <f>IF(OR($X56="",$P56="",$P56=0),"",$X56/$P56)</f>
        <v/>
      </c>
      <c r="AA56">
        <f>IF($J56="","待填怪物等级",IF(OR($I56="",$Q56=""),"待填对照关卡",IF($P56="","已计算",IF(AND($Y56&lt;&gt;"",$Y56&lt;$X56),"生存不成立",IF($Z56&lt;0.5,"碾压",IF($Z56&lt;0.8,"偏简单",IF($Z56&lt;=1.2,"适中",IF($Z56&lt;=1.5,"偏难","过难"))))))))</f>
        <v/>
      </c>
      <c r="AB56">
        <f>IF($J56="","待填",IF(AND(ISNUMBER($J56),$J56&gt;=1,$J56&lt;=500,MOD($J56,1)=0),"有效","超范围"))</f>
        <v/>
      </c>
      <c r="AC56">
        <f>IF(C56&lt;&gt;C55,"新玩法组",IF(J56&gt;=J55,"不降","回退"))</f>
        <v/>
      </c>
      <c r="AD56" t="inlineStr">
        <is>
          <t>等效进度估算S35，非解锁/首通节点；旧Lv76→61</t>
        </is>
      </c>
      <c r="AE56" s="4" t="n">
        <v>41300</v>
      </c>
      <c r="AF56" s="4">
        <f>INDEX(_统一战力!$B$2:$B$501,J56)</f>
        <v/>
      </c>
    </row>
    <row r="57">
      <c r="A57" t="inlineStr">
        <is>
          <t>当前源表</t>
        </is>
      </c>
      <c r="B57" t="inlineStr">
        <is>
          <t>其他战斗玩法</t>
        </is>
      </c>
      <c r="C57" t="inlineStr">
        <is>
          <t>LevelType_ExtraLevel</t>
        </is>
      </c>
      <c r="D57" t="inlineStr">
        <is>
          <t>寒街喋血</t>
        </is>
      </c>
      <c r="E57" t="inlineStr">
        <is>
          <t>150305</t>
        </is>
      </c>
      <c r="F57" t="inlineStr">
        <is>
          <t>普通怪</t>
        </is>
      </c>
      <c r="G57" t="n">
        <v>36</v>
      </c>
      <c r="I57">
        <f>IF($H57="",$G57,$H57)</f>
        <v/>
      </c>
      <c r="J57" t="n">
        <v>62</v>
      </c>
      <c r="K57" s="83" t="n">
        <v>1.3</v>
      </c>
      <c r="L57" s="83" t="n">
        <v>1.3</v>
      </c>
      <c r="M57" s="83" t="n">
        <v>1</v>
      </c>
      <c r="N57" t="n">
        <v>1</v>
      </c>
      <c r="O57" t="n">
        <v>1</v>
      </c>
      <c r="P57" s="17" t="n">
        <v>0.407962903898219</v>
      </c>
      <c r="Q57" s="21">
        <f>IF($I57="","",IFERROR(INDEX(_玩家曲线!$H$2:$H$286,MATCH($I57,_玩家曲线!$A$2:$A$286,0)),""))</f>
        <v/>
      </c>
      <c r="R57" s="21">
        <f>IF($I57="","",IFERROR(INDEX(_玩家曲线!$I$2:$I$286,MATCH($I57,_玩家曲线!$A$2:$A$286,0)),""))</f>
        <v/>
      </c>
      <c r="S57" s="21">
        <f>IF(OR($J57="",$F57="不适用"),"",IFERROR(INDEX(_怪物模型!$D$2:$D$4501,(INT($J57)-1)*ROWS(_怪物类型!$A$2:$A$10)+MATCH($F57,_怪物类型!$A$2:$A$10,0))*IF($K57="",1,$K57),""))</f>
        <v/>
      </c>
      <c r="T57" s="21">
        <f>IF(OR($J57="",$F57="不适用"),"",IFERROR(INDEX(_怪物模型!$E$2:$E$4501,(INT($J57)-1)*ROWS(_怪物类型!$A$2:$A$10)+MATCH($F57,_怪物类型!$A$2:$A$10,0))*IF($L57="",1,$L57),""))</f>
        <v/>
      </c>
      <c r="U57" s="21">
        <f>IF(OR($J57="",$F57="不适用"),"",IFERROR(INDEX(_怪物模型!$F$2:$F$4501,(INT($J57)-1)*ROWS(_怪物类型!$A$2:$A$10)+MATCH($F57,_怪物类型!$A$2:$A$10,0))*IF($M57="",1,$M57),""))</f>
        <v/>
      </c>
      <c r="V57" s="84">
        <f>IF($U57="","",MIN(0.75,$U57/($U57+24000)))</f>
        <v/>
      </c>
      <c r="W57" s="21">
        <f>IF($S57="","",$S57/(1-$V57)*IF($N57="",1,$N57))</f>
        <v/>
      </c>
      <c r="X57" s="17">
        <f>IF(OR($W57="",$Q57="",$Q57=0),"",$W57/$Q57)</f>
        <v/>
      </c>
      <c r="Y57" s="17">
        <f>IF(OR($R57="",$T57="",$T57=0),"",$R57/($T57*IF($O57="",1,$O57)))</f>
        <v/>
      </c>
      <c r="Z57" s="17">
        <f>IF(OR($X57="",$P57="",$P57=0),"",$X57/$P57)</f>
        <v/>
      </c>
      <c r="AA57">
        <f>IF($J57="","待填怪物等级",IF(OR($I57="",$Q57=""),"待填对照关卡",IF($P57="","已计算",IF(AND($Y57&lt;&gt;"",$Y57&lt;$X57),"生存不成立",IF($Z57&lt;0.5,"碾压",IF($Z57&lt;0.8,"偏简单",IF($Z57&lt;=1.2,"适中",IF($Z57&lt;=1.5,"偏难","过难"))))))))</f>
        <v/>
      </c>
      <c r="AB57">
        <f>IF($J57="","待填",IF(AND(ISNUMBER($J57),$J57&gt;=1,$J57&lt;=500,MOD($J57,1)=0),"有效","超范围"))</f>
        <v/>
      </c>
      <c r="AC57">
        <f>IF(C57&lt;&gt;C56,"新玩法组",IF(J57&gt;=J56,"不降","回退"))</f>
        <v/>
      </c>
      <c r="AD57" t="inlineStr">
        <is>
          <t>等效进度估算S36，非解锁/首通节点；旧Lv79→62</t>
        </is>
      </c>
      <c r="AE57" s="4" t="n">
        <v>41300</v>
      </c>
      <c r="AF57" s="4">
        <f>INDEX(_统一战力!$B$2:$B$501,J57)</f>
        <v/>
      </c>
    </row>
    <row r="58">
      <c r="A58" t="inlineStr">
        <is>
          <t>当前源表</t>
        </is>
      </c>
      <c r="B58" t="inlineStr">
        <is>
          <t>其他战斗玩法</t>
        </is>
      </c>
      <c r="C58" t="inlineStr">
        <is>
          <t>LevelType_ExtraLevel</t>
        </is>
      </c>
      <c r="D58" t="inlineStr">
        <is>
          <t>乱军围城</t>
        </is>
      </c>
      <c r="E58" t="inlineStr">
        <is>
          <t>150306</t>
        </is>
      </c>
      <c r="F58" t="inlineStr">
        <is>
          <t>普通怪</t>
        </is>
      </c>
      <c r="G58" t="n">
        <v>36</v>
      </c>
      <c r="I58">
        <f>IF($H58="",$G58,$H58)</f>
        <v/>
      </c>
      <c r="J58" t="n">
        <v>64</v>
      </c>
      <c r="K58" s="83" t="n">
        <v>1.3</v>
      </c>
      <c r="L58" s="83" t="n">
        <v>1.3</v>
      </c>
      <c r="M58" s="83" t="n">
        <v>1</v>
      </c>
      <c r="N58" t="n">
        <v>1</v>
      </c>
      <c r="O58" t="n">
        <v>1</v>
      </c>
      <c r="P58" s="17" t="n">
        <v>0.428831057914551</v>
      </c>
      <c r="Q58" s="21">
        <f>IF($I58="","",IFERROR(INDEX(_玩家曲线!$H$2:$H$286,MATCH($I58,_玩家曲线!$A$2:$A$286,0)),""))</f>
        <v/>
      </c>
      <c r="R58" s="21">
        <f>IF($I58="","",IFERROR(INDEX(_玩家曲线!$I$2:$I$286,MATCH($I58,_玩家曲线!$A$2:$A$286,0)),""))</f>
        <v/>
      </c>
      <c r="S58" s="21">
        <f>IF(OR($J58="",$F58="不适用"),"",IFERROR(INDEX(_怪物模型!$D$2:$D$4501,(INT($J58)-1)*ROWS(_怪物类型!$A$2:$A$10)+MATCH($F58,_怪物类型!$A$2:$A$10,0))*IF($K58="",1,$K58),""))</f>
        <v/>
      </c>
      <c r="T58" s="21">
        <f>IF(OR($J58="",$F58="不适用"),"",IFERROR(INDEX(_怪物模型!$E$2:$E$4501,(INT($J58)-1)*ROWS(_怪物类型!$A$2:$A$10)+MATCH($F58,_怪物类型!$A$2:$A$10,0))*IF($L58="",1,$L58),""))</f>
        <v/>
      </c>
      <c r="U58" s="21">
        <f>IF(OR($J58="",$F58="不适用"),"",IFERROR(INDEX(_怪物模型!$F$2:$F$4501,(INT($J58)-1)*ROWS(_怪物类型!$A$2:$A$10)+MATCH($F58,_怪物类型!$A$2:$A$10,0))*IF($M58="",1,$M58),""))</f>
        <v/>
      </c>
      <c r="V58" s="84">
        <f>IF($U58="","",MIN(0.75,$U58/($U58+24000)))</f>
        <v/>
      </c>
      <c r="W58" s="21">
        <f>IF($S58="","",$S58/(1-$V58)*IF($N58="",1,$N58))</f>
        <v/>
      </c>
      <c r="X58" s="17">
        <f>IF(OR($W58="",$Q58="",$Q58=0),"",$W58/$Q58)</f>
        <v/>
      </c>
      <c r="Y58" s="17">
        <f>IF(OR($R58="",$T58="",$T58=0),"",$R58/($T58*IF($O58="",1,$O58)))</f>
        <v/>
      </c>
      <c r="Z58" s="17">
        <f>IF(OR($X58="",$P58="",$P58=0),"",$X58/$P58)</f>
        <v/>
      </c>
      <c r="AA58">
        <f>IF($J58="","待填怪物等级",IF(OR($I58="",$Q58=""),"待填对照关卡",IF($P58="","已计算",IF(AND($Y58&lt;&gt;"",$Y58&lt;$X58),"生存不成立",IF($Z58&lt;0.5,"碾压",IF($Z58&lt;0.8,"偏简单",IF($Z58&lt;=1.2,"适中",IF($Z58&lt;=1.5,"偏难","过难"))))))))</f>
        <v/>
      </c>
      <c r="AB58">
        <f>IF($J58="","待填",IF(AND(ISNUMBER($J58),$J58&gt;=1,$J58&lt;=500,MOD($J58,1)=0),"有效","超范围"))</f>
        <v/>
      </c>
      <c r="AC58">
        <f>IF(C58&lt;&gt;C57,"新玩法组",IF(J58&gt;=J57,"不降","回退"))</f>
        <v/>
      </c>
      <c r="AD58" t="inlineStr">
        <is>
          <t>等效进度估算S36，非解锁/首通节点；旧Lv81→64</t>
        </is>
      </c>
      <c r="AE58" s="4" t="n">
        <v>43300</v>
      </c>
      <c r="AF58" s="4">
        <f>INDEX(_统一战力!$B$2:$B$501,J58)</f>
        <v/>
      </c>
    </row>
    <row r="59">
      <c r="A59" t="inlineStr">
        <is>
          <t>当前源表</t>
        </is>
      </c>
      <c r="B59" t="inlineStr">
        <is>
          <t>其他战斗玩法</t>
        </is>
      </c>
      <c r="C59" t="inlineStr">
        <is>
          <t>LevelType_ExtraLevel</t>
        </is>
      </c>
      <c r="D59" t="inlineStr">
        <is>
          <t>权臣破府</t>
        </is>
      </c>
      <c r="E59" t="n">
        <v>150310</v>
      </c>
      <c r="F59" t="inlineStr">
        <is>
          <t>普通怪</t>
        </is>
      </c>
      <c r="G59" t="n">
        <v>37</v>
      </c>
      <c r="I59">
        <f>IF($H59="",$G59,$H59)</f>
        <v/>
      </c>
      <c r="J59" t="n">
        <v>65</v>
      </c>
      <c r="K59" s="83" t="n">
        <v>1.3</v>
      </c>
      <c r="L59" s="83" t="n">
        <v>1.3</v>
      </c>
      <c r="M59" s="83" t="n">
        <v>1</v>
      </c>
      <c r="N59" t="n">
        <v>1</v>
      </c>
      <c r="O59" t="n">
        <v>1</v>
      </c>
      <c r="P59" s="17" t="n">
        <v>0.428831057914551</v>
      </c>
      <c r="Q59" s="21">
        <f>IF($I59="","",IFERROR(INDEX(_玩家曲线!$H$2:$H$286,MATCH($I59,_玩家曲线!$A$2:$A$286,0)),""))</f>
        <v/>
      </c>
      <c r="R59" s="21">
        <f>IF($I59="","",IFERROR(INDEX(_玩家曲线!$I$2:$I$286,MATCH($I59,_玩家曲线!$A$2:$A$286,0)),""))</f>
        <v/>
      </c>
      <c r="S59" s="21">
        <f>IF(OR($J59="",$F59="不适用"),"",IFERROR(INDEX(_怪物模型!$D$2:$D$4501,(INT($J59)-1)*ROWS(_怪物类型!$A$2:$A$10)+MATCH($F59,_怪物类型!$A$2:$A$10,0))*IF($K59="",1,$K59),""))</f>
        <v/>
      </c>
      <c r="T59" s="21">
        <f>IF(OR($J59="",$F59="不适用"),"",IFERROR(INDEX(_怪物模型!$E$2:$E$4501,(INT($J59)-1)*ROWS(_怪物类型!$A$2:$A$10)+MATCH($F59,_怪物类型!$A$2:$A$10,0))*IF($L59="",1,$L59),""))</f>
        <v/>
      </c>
      <c r="U59" s="21">
        <f>IF(OR($J59="",$F59="不适用"),"",IFERROR(INDEX(_怪物模型!$F$2:$F$4501,(INT($J59)-1)*ROWS(_怪物类型!$A$2:$A$10)+MATCH($F59,_怪物类型!$A$2:$A$10,0))*IF($M59="",1,$M59),""))</f>
        <v/>
      </c>
      <c r="V59" s="84">
        <f>IF($U59="","",MIN(0.75,$U59/($U59+24000)))</f>
        <v/>
      </c>
      <c r="W59" s="21">
        <f>IF($S59="","",$S59/(1-$V59)*IF($N59="",1,$N59))</f>
        <v/>
      </c>
      <c r="X59" s="17">
        <f>IF(OR($W59="",$Q59="",$Q59=0),"",$W59/$Q59)</f>
        <v/>
      </c>
      <c r="Y59" s="17">
        <f>IF(OR($R59="",$T59="",$T59=0),"",$R59/($T59*IF($O59="",1,$O59)))</f>
        <v/>
      </c>
      <c r="Z59" s="17">
        <f>IF(OR($X59="",$P59="",$P59=0),"",$X59/$P59)</f>
        <v/>
      </c>
      <c r="AA59">
        <f>IF($J59="","待填怪物等级",IF(OR($I59="",$Q59=""),"待填对照关卡",IF($P59="","已计算",IF(AND($Y59&lt;&gt;"",$Y59&lt;$X59),"生存不成立",IF($Z59&lt;0.5,"碾压",IF($Z59&lt;0.8,"偏简单",IF($Z59&lt;=1.2,"适中",IF($Z59&lt;=1.5,"偏难","过难"))))))))</f>
        <v/>
      </c>
      <c r="AB59">
        <f>IF($J59="","待填",IF(AND(ISNUMBER($J59),$J59&gt;=1,$J59&lt;=500,MOD($J59,1)=0),"有效","超范围"))</f>
        <v/>
      </c>
      <c r="AC59">
        <f>IF(C59&lt;&gt;C58,"新玩法组",IF(J59&gt;=J58,"不降","回退"))</f>
        <v/>
      </c>
      <c r="AE59" s="4" t="n">
        <v>45400</v>
      </c>
      <c r="AF59" s="4">
        <f>INDEX(_统一战力!$B$2:$B$501,J59)</f>
        <v/>
      </c>
    </row>
    <row r="60">
      <c r="A60" t="inlineStr">
        <is>
          <t>当前源表</t>
        </is>
      </c>
      <c r="B60" t="inlineStr">
        <is>
          <t>其他战斗玩法</t>
        </is>
      </c>
      <c r="C60" t="inlineStr">
        <is>
          <t>LevelType_ExtraLevel</t>
        </is>
      </c>
      <c r="D60" t="inlineStr">
        <is>
          <t>对峙</t>
        </is>
      </c>
      <c r="E60" t="n">
        <v>150311</v>
      </c>
      <c r="F60" t="inlineStr">
        <is>
          <t>普通怪</t>
        </is>
      </c>
      <c r="G60" t="n">
        <v>38</v>
      </c>
      <c r="I60">
        <f>IF($H60="",$G60,$H60)</f>
        <v/>
      </c>
      <c r="J60" t="n">
        <v>66</v>
      </c>
      <c r="K60" s="83" t="n">
        <v>1.3</v>
      </c>
      <c r="L60" s="83" t="n">
        <v>1.3</v>
      </c>
      <c r="M60" s="83" t="n">
        <v>1</v>
      </c>
      <c r="N60" t="n">
        <v>1</v>
      </c>
      <c r="O60" t="n">
        <v>1</v>
      </c>
      <c r="P60" s="17" t="n">
        <v>0.428831057914551</v>
      </c>
      <c r="Q60" s="21">
        <f>IF($I60="","",IFERROR(INDEX(_玩家曲线!$H$2:$H$286,MATCH($I60,_玩家曲线!$A$2:$A$286,0)),""))</f>
        <v/>
      </c>
      <c r="R60" s="21">
        <f>IF($I60="","",IFERROR(INDEX(_玩家曲线!$I$2:$I$286,MATCH($I60,_玩家曲线!$A$2:$A$286,0)),""))</f>
        <v/>
      </c>
      <c r="S60" s="21">
        <f>IF(OR($J60="",$F60="不适用"),"",IFERROR(INDEX(_怪物模型!$D$2:$D$4501,(INT($J60)-1)*ROWS(_怪物类型!$A$2:$A$10)+MATCH($F60,_怪物类型!$A$2:$A$10,0))*IF($K60="",1,$K60),""))</f>
        <v/>
      </c>
      <c r="T60" s="21">
        <f>IF(OR($J60="",$F60="不适用"),"",IFERROR(INDEX(_怪物模型!$E$2:$E$4501,(INT($J60)-1)*ROWS(_怪物类型!$A$2:$A$10)+MATCH($F60,_怪物类型!$A$2:$A$10,0))*IF($L60="",1,$L60),""))</f>
        <v/>
      </c>
      <c r="U60" s="21">
        <f>IF(OR($J60="",$F60="不适用"),"",IFERROR(INDEX(_怪物模型!$F$2:$F$4501,(INT($J60)-1)*ROWS(_怪物类型!$A$2:$A$10)+MATCH($F60,_怪物类型!$A$2:$A$10,0))*IF($M60="",1,$M60),""))</f>
        <v/>
      </c>
      <c r="V60" s="84">
        <f>IF($U60="","",MIN(0.75,$U60/($U60+24000)))</f>
        <v/>
      </c>
      <c r="W60" s="21">
        <f>IF($S60="","",$S60/(1-$V60)*IF($N60="",1,$N60))</f>
        <v/>
      </c>
      <c r="X60" s="17">
        <f>IF(OR($W60="",$Q60="",$Q60=0),"",$W60/$Q60)</f>
        <v/>
      </c>
      <c r="Y60" s="17">
        <f>IF(OR($R60="",$T60="",$T60=0),"",$R60/($T60*IF($O60="",1,$O60)))</f>
        <v/>
      </c>
      <c r="Z60" s="17">
        <f>IF(OR($X60="",$P60="",$P60=0),"",$X60/$P60)</f>
        <v/>
      </c>
      <c r="AA60">
        <f>IF($J60="","待填怪物等级",IF(OR($I60="",$Q60=""),"待填对照关卡",IF($P60="","已计算",IF(AND($Y60&lt;&gt;"",$Y60&lt;$X60),"生存不成立",IF($Z60&lt;0.5,"碾压",IF($Z60&lt;0.8,"偏简单",IF($Z60&lt;=1.2,"适中",IF($Z60&lt;=1.5,"偏难","过难"))))))))</f>
        <v/>
      </c>
      <c r="AB60">
        <f>IF($J60="","待填",IF(AND(ISNUMBER($J60),$J60&gt;=1,$J60&lt;=500,MOD($J60,1)=0),"有效","超范围"))</f>
        <v/>
      </c>
      <c r="AC60">
        <f>IF(C60&lt;&gt;C59,"新玩法组",IF(J60&gt;=J59,"不降","回退"))</f>
        <v/>
      </c>
      <c r="AE60" s="4" t="n">
        <v>45400</v>
      </c>
      <c r="AF60" s="4">
        <f>INDEX(_统一战力!$B$2:$B$501,J60)</f>
        <v/>
      </c>
    </row>
    <row r="61">
      <c r="A61" t="inlineStr">
        <is>
          <t>当前源表</t>
        </is>
      </c>
      <c r="B61" t="inlineStr">
        <is>
          <t>其他战斗玩法</t>
        </is>
      </c>
      <c r="C61" t="inlineStr">
        <is>
          <t>LevelType_ExtraLevel</t>
        </is>
      </c>
      <c r="D61" t="inlineStr">
        <is>
          <t>荣耀之路</t>
        </is>
      </c>
      <c r="E61" t="n">
        <v>150312</v>
      </c>
      <c r="F61" t="inlineStr">
        <is>
          <t>普通怪</t>
        </is>
      </c>
      <c r="G61" t="n">
        <v>39</v>
      </c>
      <c r="I61">
        <f>IF($H61="",$G61,$H61)</f>
        <v/>
      </c>
      <c r="J61" t="n">
        <v>67</v>
      </c>
      <c r="K61" s="83" t="n">
        <v>1.3</v>
      </c>
      <c r="L61" s="83" t="n">
        <v>1.3</v>
      </c>
      <c r="M61" s="83" t="n">
        <v>1</v>
      </c>
      <c r="N61" t="n">
        <v>1</v>
      </c>
      <c r="O61" t="n">
        <v>1</v>
      </c>
      <c r="P61" s="17" t="n">
        <v>0.428831057914551</v>
      </c>
      <c r="Q61" s="21">
        <f>IF($I61="","",IFERROR(INDEX(_玩家曲线!$H$2:$H$286,MATCH($I61,_玩家曲线!$A$2:$A$286,0)),""))</f>
        <v/>
      </c>
      <c r="R61" s="21">
        <f>IF($I61="","",IFERROR(INDEX(_玩家曲线!$I$2:$I$286,MATCH($I61,_玩家曲线!$A$2:$A$286,0)),""))</f>
        <v/>
      </c>
      <c r="S61" s="21">
        <f>IF(OR($J61="",$F61="不适用"),"",IFERROR(INDEX(_怪物模型!$D$2:$D$4501,(INT($J61)-1)*ROWS(_怪物类型!$A$2:$A$10)+MATCH($F61,_怪物类型!$A$2:$A$10,0))*IF($K61="",1,$K61),""))</f>
        <v/>
      </c>
      <c r="T61" s="21">
        <f>IF(OR($J61="",$F61="不适用"),"",IFERROR(INDEX(_怪物模型!$E$2:$E$4501,(INT($J61)-1)*ROWS(_怪物类型!$A$2:$A$10)+MATCH($F61,_怪物类型!$A$2:$A$10,0))*IF($L61="",1,$L61),""))</f>
        <v/>
      </c>
      <c r="U61" s="21">
        <f>IF(OR($J61="",$F61="不适用"),"",IFERROR(INDEX(_怪物模型!$F$2:$F$4501,(INT($J61)-1)*ROWS(_怪物类型!$A$2:$A$10)+MATCH($F61,_怪物类型!$A$2:$A$10,0))*IF($M61="",1,$M61),""))</f>
        <v/>
      </c>
      <c r="V61" s="84">
        <f>IF($U61="","",MIN(0.75,$U61/($U61+24000)))</f>
        <v/>
      </c>
      <c r="W61" s="21">
        <f>IF($S61="","",$S61/(1-$V61)*IF($N61="",1,$N61))</f>
        <v/>
      </c>
      <c r="X61" s="17">
        <f>IF(OR($W61="",$Q61="",$Q61=0),"",$W61/$Q61)</f>
        <v/>
      </c>
      <c r="Y61" s="17">
        <f>IF(OR($R61="",$T61="",$T61=0),"",$R61/($T61*IF($O61="",1,$O61)))</f>
        <v/>
      </c>
      <c r="Z61" s="17">
        <f>IF(OR($X61="",$P61="",$P61=0),"",$X61/$P61)</f>
        <v/>
      </c>
      <c r="AA61">
        <f>IF($J61="","待填怪物等级",IF(OR($I61="",$Q61=""),"待填对照关卡",IF($P61="","已计算",IF(AND($Y61&lt;&gt;"",$Y61&lt;$X61),"生存不成立",IF($Z61&lt;0.5,"碾压",IF($Z61&lt;0.8,"偏简单",IF($Z61&lt;=1.2,"适中",IF($Z61&lt;=1.5,"偏难","过难"))))))))</f>
        <v/>
      </c>
      <c r="AB61">
        <f>IF($J61="","待填",IF(AND(ISNUMBER($J61),$J61&gt;=1,$J61&lt;=500,MOD($J61,1)=0),"有效","超范围"))</f>
        <v/>
      </c>
      <c r="AC61">
        <f>IF(C61&lt;&gt;C60,"新玩法组",IF(J61&gt;=J60,"不降","回退"))</f>
        <v/>
      </c>
      <c r="AE61" s="4" t="n">
        <v>46600</v>
      </c>
      <c r="AF61" s="4">
        <f>INDEX(_统一战力!$B$2:$B$501,J61)</f>
        <v/>
      </c>
    </row>
    <row r="62">
      <c r="A62" t="inlineStr">
        <is>
          <t>当前源表</t>
        </is>
      </c>
      <c r="B62" t="inlineStr">
        <is>
          <t>其他战斗玩法</t>
        </is>
      </c>
      <c r="C62" t="inlineStr">
        <is>
          <t>LevelType_ExtraLevel</t>
        </is>
      </c>
      <c r="D62" t="inlineStr">
        <is>
          <t>重临</t>
        </is>
      </c>
      <c r="E62" t="n">
        <v>150313</v>
      </c>
      <c r="F62" t="inlineStr">
        <is>
          <t>普通怪</t>
        </is>
      </c>
      <c r="G62" t="n">
        <v>40</v>
      </c>
      <c r="I62">
        <f>IF($H62="",$G62,$H62)</f>
        <v/>
      </c>
      <c r="J62" t="n">
        <v>68</v>
      </c>
      <c r="K62" s="83" t="n">
        <v>1.3</v>
      </c>
      <c r="L62" s="83" t="n">
        <v>1.3</v>
      </c>
      <c r="M62" s="83" t="n">
        <v>1</v>
      </c>
      <c r="N62" t="n">
        <v>1</v>
      </c>
      <c r="O62" t="n">
        <v>1</v>
      </c>
      <c r="P62" s="17" t="n">
        <v>0.428831057914551</v>
      </c>
      <c r="Q62" s="21">
        <f>IF($I62="","",IFERROR(INDEX(_玩家曲线!$H$2:$H$286,MATCH($I62,_玩家曲线!$A$2:$A$286,0)),""))</f>
        <v/>
      </c>
      <c r="R62" s="21">
        <f>IF($I62="","",IFERROR(INDEX(_玩家曲线!$I$2:$I$286,MATCH($I62,_玩家曲线!$A$2:$A$286,0)),""))</f>
        <v/>
      </c>
      <c r="S62" s="21">
        <f>IF(OR($J62="",$F62="不适用"),"",IFERROR(INDEX(_怪物模型!$D$2:$D$4501,(INT($J62)-1)*ROWS(_怪物类型!$A$2:$A$10)+MATCH($F62,_怪物类型!$A$2:$A$10,0))*IF($K62="",1,$K62),""))</f>
        <v/>
      </c>
      <c r="T62" s="21">
        <f>IF(OR($J62="",$F62="不适用"),"",IFERROR(INDEX(_怪物模型!$E$2:$E$4501,(INT($J62)-1)*ROWS(_怪物类型!$A$2:$A$10)+MATCH($F62,_怪物类型!$A$2:$A$10,0))*IF($L62="",1,$L62),""))</f>
        <v/>
      </c>
      <c r="U62" s="21">
        <f>IF(OR($J62="",$F62="不适用"),"",IFERROR(INDEX(_怪物模型!$F$2:$F$4501,(INT($J62)-1)*ROWS(_怪物类型!$A$2:$A$10)+MATCH($F62,_怪物类型!$A$2:$A$10,0))*IF($M62="",1,$M62),""))</f>
        <v/>
      </c>
      <c r="V62" s="84">
        <f>IF($U62="","",MIN(0.75,$U62/($U62+24000)))</f>
        <v/>
      </c>
      <c r="W62" s="21">
        <f>IF($S62="","",$S62/(1-$V62)*IF($N62="",1,$N62))</f>
        <v/>
      </c>
      <c r="X62" s="17">
        <f>IF(OR($W62="",$Q62="",$Q62=0),"",$W62/$Q62)</f>
        <v/>
      </c>
      <c r="Y62" s="17">
        <f>IF(OR($R62="",$T62="",$T62=0),"",$R62/($T62*IF($O62="",1,$O62)))</f>
        <v/>
      </c>
      <c r="Z62" s="17">
        <f>IF(OR($X62="",$P62="",$P62=0),"",$X62/$P62)</f>
        <v/>
      </c>
      <c r="AA62">
        <f>IF($J62="","待填怪物等级",IF(OR($I62="",$Q62=""),"待填对照关卡",IF($P62="","已计算",IF(AND($Y62&lt;&gt;"",$Y62&lt;$X62),"生存不成立",IF($Z62&lt;0.5,"碾压",IF($Z62&lt;0.8,"偏简单",IF($Z62&lt;=1.2,"适中",IF($Z62&lt;=1.5,"偏难","过难"))))))))</f>
        <v/>
      </c>
      <c r="AB62">
        <f>IF($J62="","待填",IF(AND(ISNUMBER($J62),$J62&gt;=1,$J62&lt;=500,MOD($J62,1)=0),"有效","超范围"))</f>
        <v/>
      </c>
      <c r="AC62">
        <f>IF(C62&lt;&gt;C61,"新玩法组",IF(J62&gt;=J61,"不降","回退"))</f>
        <v/>
      </c>
      <c r="AE62" s="4" t="n">
        <v>46600</v>
      </c>
      <c r="AF62" s="4">
        <f>INDEX(_统一战力!$B$2:$B$501,J62)</f>
        <v/>
      </c>
    </row>
    <row r="63">
      <c r="A63" t="inlineStr">
        <is>
          <t>当前源表</t>
        </is>
      </c>
      <c r="B63" t="inlineStr">
        <is>
          <t>其他战斗玩法</t>
        </is>
      </c>
      <c r="C63" t="inlineStr">
        <is>
          <t>LevelType_ExtraLevel</t>
        </is>
      </c>
      <c r="D63" t="inlineStr">
        <is>
          <t>最终时刻</t>
        </is>
      </c>
      <c r="E63" t="n">
        <v>150314</v>
      </c>
      <c r="F63" t="inlineStr">
        <is>
          <t>普通怪</t>
        </is>
      </c>
      <c r="G63" t="n">
        <v>41</v>
      </c>
      <c r="I63">
        <f>IF($H63="",$G63,$H63)</f>
        <v/>
      </c>
      <c r="J63" t="n">
        <v>69</v>
      </c>
      <c r="K63" s="83" t="n">
        <v>1.3</v>
      </c>
      <c r="L63" s="83" t="n">
        <v>1.3</v>
      </c>
      <c r="M63" s="83" t="n">
        <v>1</v>
      </c>
      <c r="N63" t="n">
        <v>1</v>
      </c>
      <c r="O63" t="n">
        <v>1</v>
      </c>
      <c r="P63" s="17" t="n">
        <v>0.428831057914551</v>
      </c>
      <c r="Q63" s="21">
        <f>IF($I63="","",IFERROR(INDEX(_玩家曲线!$H$2:$H$286,MATCH($I63,_玩家曲线!$A$2:$A$286,0)),""))</f>
        <v/>
      </c>
      <c r="R63" s="21">
        <f>IF($I63="","",IFERROR(INDEX(_玩家曲线!$I$2:$I$286,MATCH($I63,_玩家曲线!$A$2:$A$286,0)),""))</f>
        <v/>
      </c>
      <c r="S63" s="21">
        <f>IF(OR($J63="",$F63="不适用"),"",IFERROR(INDEX(_怪物模型!$D$2:$D$4501,(INT($J63)-1)*ROWS(_怪物类型!$A$2:$A$10)+MATCH($F63,_怪物类型!$A$2:$A$10,0))*IF($K63="",1,$K63),""))</f>
        <v/>
      </c>
      <c r="T63" s="21">
        <f>IF(OR($J63="",$F63="不适用"),"",IFERROR(INDEX(_怪物模型!$E$2:$E$4501,(INT($J63)-1)*ROWS(_怪物类型!$A$2:$A$10)+MATCH($F63,_怪物类型!$A$2:$A$10,0))*IF($L63="",1,$L63),""))</f>
        <v/>
      </c>
      <c r="U63" s="21">
        <f>IF(OR($J63="",$F63="不适用"),"",IFERROR(INDEX(_怪物模型!$F$2:$F$4501,(INT($J63)-1)*ROWS(_怪物类型!$A$2:$A$10)+MATCH($F63,_怪物类型!$A$2:$A$10,0))*IF($M63="",1,$M63),""))</f>
        <v/>
      </c>
      <c r="V63" s="84">
        <f>IF($U63="","",MIN(0.75,$U63/($U63+24000)))</f>
        <v/>
      </c>
      <c r="W63" s="21">
        <f>IF($S63="","",$S63/(1-$V63)*IF($N63="",1,$N63))</f>
        <v/>
      </c>
      <c r="X63" s="17">
        <f>IF(OR($W63="",$Q63="",$Q63=0),"",$W63/$Q63)</f>
        <v/>
      </c>
      <c r="Y63" s="17">
        <f>IF(OR($R63="",$T63="",$T63=0),"",$R63/($T63*IF($O63="",1,$O63)))</f>
        <v/>
      </c>
      <c r="Z63" s="17">
        <f>IF(OR($X63="",$P63="",$P63=0),"",$X63/$P63)</f>
        <v/>
      </c>
      <c r="AA63">
        <f>IF($J63="","待填怪物等级",IF(OR($I63="",$Q63=""),"待填对照关卡",IF($P63="","已计算",IF(AND($Y63&lt;&gt;"",$Y63&lt;$X63),"生存不成立",IF($Z63&lt;0.5,"碾压",IF($Z63&lt;0.8,"偏简单",IF($Z63&lt;=1.2,"适中",IF($Z63&lt;=1.5,"偏难","过难"))))))))</f>
        <v/>
      </c>
      <c r="AB63">
        <f>IF($J63="","待填",IF(AND(ISNUMBER($J63),$J63&gt;=1,$J63&lt;=500,MOD($J63,1)=0),"有效","超范围"))</f>
        <v/>
      </c>
      <c r="AC63">
        <f>IF(C63&lt;&gt;C62,"新玩法组",IF(J63&gt;=J62,"不降","回退"))</f>
        <v/>
      </c>
      <c r="AE63" s="4" t="n">
        <v>49100</v>
      </c>
      <c r="AF63" s="4">
        <f>INDEX(_统一战力!$B$2:$B$501,J63)</f>
        <v/>
      </c>
    </row>
    <row r="64">
      <c r="A64" t="inlineStr">
        <is>
          <t>当前源表</t>
        </is>
      </c>
      <c r="B64" t="inlineStr">
        <is>
          <t>其他战斗玩法</t>
        </is>
      </c>
      <c r="C64" t="inlineStr">
        <is>
          <t>LevelType_ExtraLevel</t>
        </is>
      </c>
      <c r="D64" t="inlineStr">
        <is>
          <t>觉悟</t>
        </is>
      </c>
      <c r="E64" t="n">
        <v>150315</v>
      </c>
      <c r="F64" t="inlineStr">
        <is>
          <t>普通怪</t>
        </is>
      </c>
      <c r="G64" t="n">
        <v>42</v>
      </c>
      <c r="I64">
        <f>IF($H64="",$G64,$H64)</f>
        <v/>
      </c>
      <c r="J64" t="n">
        <v>70</v>
      </c>
      <c r="K64" s="83" t="n">
        <v>1.3</v>
      </c>
      <c r="L64" s="83" t="n">
        <v>1.3</v>
      </c>
      <c r="M64" s="83" t="n">
        <v>1</v>
      </c>
      <c r="N64" t="n">
        <v>1</v>
      </c>
      <c r="O64" t="n">
        <v>1</v>
      </c>
      <c r="P64" s="17" t="n">
        <v>0.428831057914551</v>
      </c>
      <c r="Q64" s="21">
        <f>IF($I64="","",IFERROR(INDEX(_玩家曲线!$H$2:$H$286,MATCH($I64,_玩家曲线!$A$2:$A$286,0)),""))</f>
        <v/>
      </c>
      <c r="R64" s="21">
        <f>IF($I64="","",IFERROR(INDEX(_玩家曲线!$I$2:$I$286,MATCH($I64,_玩家曲线!$A$2:$A$286,0)),""))</f>
        <v/>
      </c>
      <c r="S64" s="21">
        <f>IF(OR($J64="",$F64="不适用"),"",IFERROR(INDEX(_怪物模型!$D$2:$D$4501,(INT($J64)-1)*ROWS(_怪物类型!$A$2:$A$10)+MATCH($F64,_怪物类型!$A$2:$A$10,0))*IF($K64="",1,$K64),""))</f>
        <v/>
      </c>
      <c r="T64" s="21">
        <f>IF(OR($J64="",$F64="不适用"),"",IFERROR(INDEX(_怪物模型!$E$2:$E$4501,(INT($J64)-1)*ROWS(_怪物类型!$A$2:$A$10)+MATCH($F64,_怪物类型!$A$2:$A$10,0))*IF($L64="",1,$L64),""))</f>
        <v/>
      </c>
      <c r="U64" s="21">
        <f>IF(OR($J64="",$F64="不适用"),"",IFERROR(INDEX(_怪物模型!$F$2:$F$4501,(INT($J64)-1)*ROWS(_怪物类型!$A$2:$A$10)+MATCH($F64,_怪物类型!$A$2:$A$10,0))*IF($M64="",1,$M64),""))</f>
        <v/>
      </c>
      <c r="V64" s="84">
        <f>IF($U64="","",MIN(0.75,$U64/($U64+24000)))</f>
        <v/>
      </c>
      <c r="W64" s="21">
        <f>IF($S64="","",$S64/(1-$V64)*IF($N64="",1,$N64))</f>
        <v/>
      </c>
      <c r="X64" s="17">
        <f>IF(OR($W64="",$Q64="",$Q64=0),"",$W64/$Q64)</f>
        <v/>
      </c>
      <c r="Y64" s="17">
        <f>IF(OR($R64="",$T64="",$T64=0),"",$R64/($T64*IF($O64="",1,$O64)))</f>
        <v/>
      </c>
      <c r="Z64" s="17">
        <f>IF(OR($X64="",$P64="",$P64=0),"",$X64/$P64)</f>
        <v/>
      </c>
      <c r="AA64">
        <f>IF($J64="","待填怪物等级",IF(OR($I64="",$Q64=""),"待填对照关卡",IF($P64="","已计算",IF(AND($Y64&lt;&gt;"",$Y64&lt;$X64),"生存不成立",IF($Z64&lt;0.5,"碾压",IF($Z64&lt;0.8,"偏简单",IF($Z64&lt;=1.2,"适中",IF($Z64&lt;=1.5,"偏难","过难"))))))))</f>
        <v/>
      </c>
      <c r="AB64">
        <f>IF($J64="","待填",IF(AND(ISNUMBER($J64),$J64&gt;=1,$J64&lt;=500,MOD($J64,1)=0),"有效","超范围"))</f>
        <v/>
      </c>
      <c r="AC64">
        <f>IF(C64&lt;&gt;C63,"新玩法组",IF(J64&gt;=J63,"不降","回退"))</f>
        <v/>
      </c>
      <c r="AE64" s="4" t="n">
        <v>49100</v>
      </c>
      <c r="AF64" s="4">
        <f>INDEX(_统一战力!$B$2:$B$501,J64)</f>
        <v/>
      </c>
    </row>
    <row r="65">
      <c r="A65" t="inlineStr">
        <is>
          <t>当前源表</t>
        </is>
      </c>
      <c r="B65" t="inlineStr">
        <is>
          <t>其他战斗玩法</t>
        </is>
      </c>
      <c r="C65" t="inlineStr">
        <is>
          <t>LevelType_ExtraLevel</t>
        </is>
      </c>
      <c r="D65" t="inlineStr">
        <is>
          <t>霜途归阙</t>
        </is>
      </c>
      <c r="E65" t="inlineStr">
        <is>
          <t>150401</t>
        </is>
      </c>
      <c r="F65" t="inlineStr">
        <is>
          <t>普通怪</t>
        </is>
      </c>
      <c r="G65" t="n">
        <v>52</v>
      </c>
      <c r="I65">
        <f>IF($H65="",$G65,$H65)</f>
        <v/>
      </c>
      <c r="J65" t="n">
        <v>91</v>
      </c>
      <c r="K65" s="83" t="n">
        <v>1.3</v>
      </c>
      <c r="L65" s="83" t="n">
        <v>1.3</v>
      </c>
      <c r="M65" s="83" t="n">
        <v>1</v>
      </c>
      <c r="N65" t="n">
        <v>1</v>
      </c>
      <c r="O65" t="n">
        <v>1</v>
      </c>
      <c r="P65" s="17" t="n">
        <v>0.380676296307494</v>
      </c>
      <c r="Q65" s="21">
        <f>IF($I65="","",IFERROR(INDEX(_玩家曲线!$H$2:$H$286,MATCH($I65,_玩家曲线!$A$2:$A$286,0)),""))</f>
        <v/>
      </c>
      <c r="R65" s="21">
        <f>IF($I65="","",IFERROR(INDEX(_玩家曲线!$I$2:$I$286,MATCH($I65,_玩家曲线!$A$2:$A$286,0)),""))</f>
        <v/>
      </c>
      <c r="S65" s="21">
        <f>IF(OR($J65="",$F65="不适用"),"",IFERROR(INDEX(_怪物模型!$D$2:$D$4501,(INT($J65)-1)*ROWS(_怪物类型!$A$2:$A$10)+MATCH($F65,_怪物类型!$A$2:$A$10,0))*IF($K65="",1,$K65),""))</f>
        <v/>
      </c>
      <c r="T65" s="21">
        <f>IF(OR($J65="",$F65="不适用"),"",IFERROR(INDEX(_怪物模型!$E$2:$E$4501,(INT($J65)-1)*ROWS(_怪物类型!$A$2:$A$10)+MATCH($F65,_怪物类型!$A$2:$A$10,0))*IF($L65="",1,$L65),""))</f>
        <v/>
      </c>
      <c r="U65" s="21">
        <f>IF(OR($J65="",$F65="不适用"),"",IFERROR(INDEX(_怪物模型!$F$2:$F$4501,(INT($J65)-1)*ROWS(_怪物类型!$A$2:$A$10)+MATCH($F65,_怪物类型!$A$2:$A$10,0))*IF($M65="",1,$M65),""))</f>
        <v/>
      </c>
      <c r="V65" s="84">
        <f>IF($U65="","",MIN(0.75,$U65/($U65+24000)))</f>
        <v/>
      </c>
      <c r="W65" s="21">
        <f>IF($S65="","",$S65/(1-$V65)*IF($N65="",1,$N65))</f>
        <v/>
      </c>
      <c r="X65" s="17">
        <f>IF(OR($W65="",$Q65="",$Q65=0),"",$W65/$Q65)</f>
        <v/>
      </c>
      <c r="Y65" s="17">
        <f>IF(OR($R65="",$T65="",$T65=0),"",$R65/($T65*IF($O65="",1,$O65)))</f>
        <v/>
      </c>
      <c r="Z65" s="17">
        <f>IF(OR($X65="",$P65="",$P65=0),"",$X65/$P65)</f>
        <v/>
      </c>
      <c r="AA65">
        <f>IF($J65="","待填怪物等级",IF(OR($I65="",$Q65=""),"待填对照关卡",IF($P65="","已计算",IF(AND($Y65&lt;&gt;"",$Y65&lt;$X65),"生存不成立",IF($Z65&lt;0.5,"碾压",IF($Z65&lt;0.8,"偏简单",IF($Z65&lt;=1.2,"适中",IF($Z65&lt;=1.5,"偏难","过难"))))))))</f>
        <v/>
      </c>
      <c r="AB65">
        <f>IF($J65="","待填",IF(AND(ISNUMBER($J65),$J65&gt;=1,$J65&lt;=500,MOD($J65,1)=0),"有效","超范围"))</f>
        <v/>
      </c>
      <c r="AC65">
        <f>IF(C65&lt;&gt;C58,"新玩法组",IF(J65&gt;=J58,"不降","回退"))</f>
        <v/>
      </c>
      <c r="AD65" t="inlineStr">
        <is>
          <t>等效进度估算S52，非解锁/首通节点；旧Lv118→91</t>
        </is>
      </c>
      <c r="AE65" s="4" t="n">
        <v>74500</v>
      </c>
      <c r="AF65" s="4">
        <f>INDEX(_统一战力!$B$2:$B$501,J65)</f>
        <v/>
      </c>
    </row>
    <row r="66">
      <c r="A66" t="inlineStr">
        <is>
          <t>当前源表</t>
        </is>
      </c>
      <c r="B66" t="inlineStr">
        <is>
          <t>其他战斗玩法</t>
        </is>
      </c>
      <c r="C66" t="inlineStr">
        <is>
          <t>LevelType_ExtraLevel</t>
        </is>
      </c>
      <c r="D66" t="inlineStr">
        <is>
          <t>狼城叩门</t>
        </is>
      </c>
      <c r="E66" t="inlineStr">
        <is>
          <t>150402</t>
        </is>
      </c>
      <c r="F66" t="inlineStr">
        <is>
          <t>普通怪</t>
        </is>
      </c>
      <c r="G66" t="n">
        <v>53</v>
      </c>
      <c r="I66">
        <f>IF($H66="",$G66,$H66)</f>
        <v/>
      </c>
      <c r="J66" t="n">
        <v>94</v>
      </c>
      <c r="K66" s="83" t="n">
        <v>1.3</v>
      </c>
      <c r="L66" s="83" t="n">
        <v>1.3</v>
      </c>
      <c r="M66" s="83" t="n">
        <v>1</v>
      </c>
      <c r="N66" t="n">
        <v>1</v>
      </c>
      <c r="O66" t="n">
        <v>1</v>
      </c>
      <c r="P66" s="17" t="n">
        <v>0.386811228871293</v>
      </c>
      <c r="Q66" s="21">
        <f>IF($I66="","",IFERROR(INDEX(_玩家曲线!$H$2:$H$286,MATCH($I66,_玩家曲线!$A$2:$A$286,0)),""))</f>
        <v/>
      </c>
      <c r="R66" s="21">
        <f>IF($I66="","",IFERROR(INDEX(_玩家曲线!$I$2:$I$286,MATCH($I66,_玩家曲线!$A$2:$A$286,0)),""))</f>
        <v/>
      </c>
      <c r="S66" s="21">
        <f>IF(OR($J66="",$F66="不适用"),"",IFERROR(INDEX(_怪物模型!$D$2:$D$4501,(INT($J66)-1)*ROWS(_怪物类型!$A$2:$A$10)+MATCH($F66,_怪物类型!$A$2:$A$10,0))*IF($K66="",1,$K66),""))</f>
        <v/>
      </c>
      <c r="T66" s="21">
        <f>IF(OR($J66="",$F66="不适用"),"",IFERROR(INDEX(_怪物模型!$E$2:$E$4501,(INT($J66)-1)*ROWS(_怪物类型!$A$2:$A$10)+MATCH($F66,_怪物类型!$A$2:$A$10,0))*IF($L66="",1,$L66),""))</f>
        <v/>
      </c>
      <c r="U66" s="21">
        <f>IF(OR($J66="",$F66="不适用"),"",IFERROR(INDEX(_怪物模型!$F$2:$F$4501,(INT($J66)-1)*ROWS(_怪物类型!$A$2:$A$10)+MATCH($F66,_怪物类型!$A$2:$A$10,0))*IF($M66="",1,$M66),""))</f>
        <v/>
      </c>
      <c r="V66" s="84">
        <f>IF($U66="","",MIN(0.75,$U66/($U66+24000)))</f>
        <v/>
      </c>
      <c r="W66" s="21">
        <f>IF($S66="","",$S66/(1-$V66)*IF($N66="",1,$N66))</f>
        <v/>
      </c>
      <c r="X66" s="17">
        <f>IF(OR($W66="",$Q66="",$Q66=0),"",$W66/$Q66)</f>
        <v/>
      </c>
      <c r="Y66" s="17">
        <f>IF(OR($R66="",$T66="",$T66=0),"",$R66/($T66*IF($O66="",1,$O66)))</f>
        <v/>
      </c>
      <c r="Z66" s="17">
        <f>IF(OR($X66="",$P66="",$P66=0),"",$X66/$P66)</f>
        <v/>
      </c>
      <c r="AA66">
        <f>IF($J66="","待填怪物等级",IF(OR($I66="",$Q66=""),"待填对照关卡",IF($P66="","已计算",IF(AND($Y66&lt;&gt;"",$Y66&lt;$X66),"生存不成立",IF($Z66&lt;0.5,"碾压",IF($Z66&lt;0.8,"偏简单",IF($Z66&lt;=1.2,"适中",IF($Z66&lt;=1.5,"偏难","过难"))))))))</f>
        <v/>
      </c>
      <c r="AB66">
        <f>IF($J66="","待填",IF(AND(ISNUMBER($J66),$J66&gt;=1,$J66&lt;=500,MOD($J66,1)=0),"有效","超范围"))</f>
        <v/>
      </c>
      <c r="AC66">
        <f>IF(C66&lt;&gt;C65,"新玩法组",IF(J66&gt;=J65,"不降","回退"))</f>
        <v/>
      </c>
      <c r="AD66" t="inlineStr">
        <is>
          <t>等效进度估算S53，非解锁/首通节点；旧Lv121→94</t>
        </is>
      </c>
      <c r="AE66" s="4" t="n">
        <v>78600</v>
      </c>
      <c r="AF66" s="4">
        <f>INDEX(_统一战力!$B$2:$B$501,J66)</f>
        <v/>
      </c>
    </row>
    <row r="67">
      <c r="A67" t="inlineStr">
        <is>
          <t>当前源表</t>
        </is>
      </c>
      <c r="B67" t="inlineStr">
        <is>
          <t>其他战斗玩法</t>
        </is>
      </c>
      <c r="C67" t="inlineStr">
        <is>
          <t>LevelType_ExtraLevel</t>
        </is>
      </c>
      <c r="D67" t="inlineStr">
        <is>
          <t>宫城逆焰</t>
        </is>
      </c>
      <c r="E67" t="inlineStr">
        <is>
          <t>150403</t>
        </is>
      </c>
      <c r="F67" t="inlineStr">
        <is>
          <t>普通怪</t>
        </is>
      </c>
      <c r="G67" t="n">
        <v>55</v>
      </c>
      <c r="I67">
        <f>IF($H67="",$G67,$H67)</f>
        <v/>
      </c>
      <c r="J67" t="n">
        <v>97</v>
      </c>
      <c r="K67" s="83" t="n">
        <v>1.3</v>
      </c>
      <c r="L67" s="83" t="n">
        <v>1.3</v>
      </c>
      <c r="M67" s="83" t="n">
        <v>1</v>
      </c>
      <c r="N67" t="n">
        <v>1</v>
      </c>
      <c r="O67" t="n">
        <v>1</v>
      </c>
      <c r="P67" s="17" t="n">
        <v>0.384910163479594</v>
      </c>
      <c r="Q67" s="21">
        <f>IF($I67="","",IFERROR(INDEX(_玩家曲线!$H$2:$H$286,MATCH($I67,_玩家曲线!$A$2:$A$286,0)),""))</f>
        <v/>
      </c>
      <c r="R67" s="21">
        <f>IF($I67="","",IFERROR(INDEX(_玩家曲线!$I$2:$I$286,MATCH($I67,_玩家曲线!$A$2:$A$286,0)),""))</f>
        <v/>
      </c>
      <c r="S67" s="21">
        <f>IF(OR($J67="",$F67="不适用"),"",IFERROR(INDEX(_怪物模型!$D$2:$D$4501,(INT($J67)-1)*ROWS(_怪物类型!$A$2:$A$10)+MATCH($F67,_怪物类型!$A$2:$A$10,0))*IF($K67="",1,$K67),""))</f>
        <v/>
      </c>
      <c r="T67" s="21">
        <f>IF(OR($J67="",$F67="不适用"),"",IFERROR(INDEX(_怪物模型!$E$2:$E$4501,(INT($J67)-1)*ROWS(_怪物类型!$A$2:$A$10)+MATCH($F67,_怪物类型!$A$2:$A$10,0))*IF($L67="",1,$L67),""))</f>
        <v/>
      </c>
      <c r="U67" s="21">
        <f>IF(OR($J67="",$F67="不适用"),"",IFERROR(INDEX(_怪物模型!$F$2:$F$4501,(INT($J67)-1)*ROWS(_怪物类型!$A$2:$A$10)+MATCH($F67,_怪物类型!$A$2:$A$10,0))*IF($M67="",1,$M67),""))</f>
        <v/>
      </c>
      <c r="V67" s="84">
        <f>IF($U67="","",MIN(0.75,$U67/($U67+24000)))</f>
        <v/>
      </c>
      <c r="W67" s="21">
        <f>IF($S67="","",$S67/(1-$V67)*IF($N67="",1,$N67))</f>
        <v/>
      </c>
      <c r="X67" s="17">
        <f>IF(OR($W67="",$Q67="",$Q67=0),"",$W67/$Q67)</f>
        <v/>
      </c>
      <c r="Y67" s="17">
        <f>IF(OR($R67="",$T67="",$T67=0),"",$R67/($T67*IF($O67="",1,$O67)))</f>
        <v/>
      </c>
      <c r="Z67" s="17">
        <f>IF(OR($X67="",$P67="",$P67=0),"",$X67/$P67)</f>
        <v/>
      </c>
      <c r="AA67">
        <f>IF($J67="","待填怪物等级",IF(OR($I67="",$Q67=""),"待填对照关卡",IF($P67="","已计算",IF(AND($Y67&lt;&gt;"",$Y67&lt;$X67),"生存不成立",IF($Z67&lt;0.5,"碾压",IF($Z67&lt;0.8,"偏简单",IF($Z67&lt;=1.2,"适中",IF($Z67&lt;=1.5,"偏难","过难"))))))))</f>
        <v/>
      </c>
      <c r="AB67">
        <f>IF($J67="","待填",IF(AND(ISNUMBER($J67),$J67&gt;=1,$J67&lt;=500,MOD($J67,1)=0),"有效","超范围"))</f>
        <v/>
      </c>
      <c r="AC67">
        <f>IF(C67&lt;&gt;C66,"新玩法组",IF(J67&gt;=J66,"不降","回退"))</f>
        <v/>
      </c>
      <c r="AD67" t="inlineStr">
        <is>
          <t>等效进度估算S55，非解锁/首通节点；旧Lv125→97</t>
        </is>
      </c>
      <c r="AE67" s="4" t="n">
        <v>82700</v>
      </c>
      <c r="AF67" s="4">
        <f>INDEX(_统一战力!$B$2:$B$501,J67)</f>
        <v/>
      </c>
    </row>
    <row r="68">
      <c r="A68" t="inlineStr">
        <is>
          <t>当前源表</t>
        </is>
      </c>
      <c r="B68" t="inlineStr">
        <is>
          <t>其他战斗玩法</t>
        </is>
      </c>
      <c r="C68" t="inlineStr">
        <is>
          <t>LevelType_ExtraLevel</t>
        </is>
      </c>
      <c r="D68" t="inlineStr">
        <is>
          <t>突变</t>
        </is>
      </c>
      <c r="E68" t="inlineStr">
        <is>
          <t>150404</t>
        </is>
      </c>
      <c r="F68" t="inlineStr">
        <is>
          <t>普通怪</t>
        </is>
      </c>
      <c r="G68" t="n">
        <v>57</v>
      </c>
      <c r="I68">
        <f>IF($H68="",$G68,$H68)</f>
        <v/>
      </c>
      <c r="J68" t="n">
        <v>99</v>
      </c>
      <c r="K68" s="83" t="n">
        <v>1.3</v>
      </c>
      <c r="L68" s="83" t="n">
        <v>1.3</v>
      </c>
      <c r="M68" s="83" t="n">
        <v>1</v>
      </c>
      <c r="N68" t="n">
        <v>1</v>
      </c>
      <c r="O68" t="n">
        <v>1</v>
      </c>
      <c r="P68" s="17" t="n">
        <v>0.37708702952377</v>
      </c>
      <c r="Q68" s="21">
        <f>IF($I68="","",IFERROR(INDEX(_玩家曲线!$H$2:$H$286,MATCH($I68,_玩家曲线!$A$2:$A$286,0)),""))</f>
        <v/>
      </c>
      <c r="R68" s="21">
        <f>IF($I68="","",IFERROR(INDEX(_玩家曲线!$I$2:$I$286,MATCH($I68,_玩家曲线!$A$2:$A$286,0)),""))</f>
        <v/>
      </c>
      <c r="S68" s="21">
        <f>IF(OR($J68="",$F68="不适用"),"",IFERROR(INDEX(_怪物模型!$D$2:$D$4501,(INT($J68)-1)*ROWS(_怪物类型!$A$2:$A$10)+MATCH($F68,_怪物类型!$A$2:$A$10,0))*IF($K68="",1,$K68),""))</f>
        <v/>
      </c>
      <c r="T68" s="21">
        <f>IF(OR($J68="",$F68="不适用"),"",IFERROR(INDEX(_怪物模型!$E$2:$E$4501,(INT($J68)-1)*ROWS(_怪物类型!$A$2:$A$10)+MATCH($F68,_怪物类型!$A$2:$A$10,0))*IF($L68="",1,$L68),""))</f>
        <v/>
      </c>
      <c r="U68" s="21">
        <f>IF(OR($J68="",$F68="不适用"),"",IFERROR(INDEX(_怪物模型!$F$2:$F$4501,(INT($J68)-1)*ROWS(_怪物类型!$A$2:$A$10)+MATCH($F68,_怪物类型!$A$2:$A$10,0))*IF($M68="",1,$M68),""))</f>
        <v/>
      </c>
      <c r="V68" s="84">
        <f>IF($U68="","",MIN(0.75,$U68/($U68+24000)))</f>
        <v/>
      </c>
      <c r="W68" s="21">
        <f>IF($S68="","",$S68/(1-$V68)*IF($N68="",1,$N68))</f>
        <v/>
      </c>
      <c r="X68" s="17">
        <f>IF(OR($W68="",$Q68="",$Q68=0),"",$W68/$Q68)</f>
        <v/>
      </c>
      <c r="Y68" s="17">
        <f>IF(OR($R68="",$T68="",$T68=0),"",$R68/($T68*IF($O68="",1,$O68)))</f>
        <v/>
      </c>
      <c r="Z68" s="17">
        <f>IF(OR($X68="",$P68="",$P68=0),"",$X68/$P68)</f>
        <v/>
      </c>
      <c r="AA68">
        <f>IF($J68="","待填怪物等级",IF(OR($I68="",$Q68=""),"待填对照关卡",IF($P68="","已计算",IF(AND($Y68&lt;&gt;"",$Y68&lt;$X68),"生存不成立",IF($Z68&lt;0.5,"碾压",IF($Z68&lt;0.8,"偏简单",IF($Z68&lt;=1.2,"适中",IF($Z68&lt;=1.5,"偏难","过难"))))))))</f>
        <v/>
      </c>
      <c r="AB68">
        <f>IF($J68="","待填",IF(AND(ISNUMBER($J68),$J68&gt;=1,$J68&lt;=500,MOD($J68,1)=0),"有效","超范围"))</f>
        <v/>
      </c>
      <c r="AC68">
        <f>IF(C68&lt;&gt;C67,"新玩法组",IF(J68&gt;=J67,"不降","回退"))</f>
        <v/>
      </c>
      <c r="AD68" t="inlineStr">
        <is>
          <t>等效进度估算S57，非解锁/首通节点；旧Lv128→99</t>
        </is>
      </c>
      <c r="AE68" s="4" t="n">
        <v>87000</v>
      </c>
      <c r="AF68" s="4">
        <f>INDEX(_统一战力!$B$2:$B$501,J68)</f>
        <v/>
      </c>
    </row>
    <row r="69">
      <c r="A69" t="inlineStr">
        <is>
          <t>当前源表</t>
        </is>
      </c>
      <c r="B69" t="inlineStr">
        <is>
          <t>其他战斗玩法</t>
        </is>
      </c>
      <c r="C69" t="inlineStr">
        <is>
          <t>LevelType_ExtraLevel</t>
        </is>
      </c>
      <c r="D69" t="inlineStr">
        <is>
          <t>寒街喋血</t>
        </is>
      </c>
      <c r="E69" t="inlineStr">
        <is>
          <t>150405</t>
        </is>
      </c>
      <c r="F69" t="inlineStr">
        <is>
          <t>普通怪</t>
        </is>
      </c>
      <c r="G69" t="n">
        <v>58</v>
      </c>
      <c r="I69">
        <f>IF($H69="",$G69,$H69)</f>
        <v/>
      </c>
      <c r="J69" t="n">
        <v>102</v>
      </c>
      <c r="K69" s="83" t="n">
        <v>1.3</v>
      </c>
      <c r="L69" s="83" t="n">
        <v>1.3</v>
      </c>
      <c r="M69" s="83" t="n">
        <v>1</v>
      </c>
      <c r="N69" t="n">
        <v>1</v>
      </c>
      <c r="O69" t="n">
        <v>1</v>
      </c>
      <c r="P69" s="17" t="n">
        <v>0.384387748628141</v>
      </c>
      <c r="Q69" s="21">
        <f>IF($I69="","",IFERROR(INDEX(_玩家曲线!$H$2:$H$286,MATCH($I69,_玩家曲线!$A$2:$A$286,0)),""))</f>
        <v/>
      </c>
      <c r="R69" s="21">
        <f>IF($I69="","",IFERROR(INDEX(_玩家曲线!$I$2:$I$286,MATCH($I69,_玩家曲线!$A$2:$A$286,0)),""))</f>
        <v/>
      </c>
      <c r="S69" s="21">
        <f>IF(OR($J69="",$F69="不适用"),"",IFERROR(INDEX(_怪物模型!$D$2:$D$4501,(INT($J69)-1)*ROWS(_怪物类型!$A$2:$A$10)+MATCH($F69,_怪物类型!$A$2:$A$10,0))*IF($K69="",1,$K69),""))</f>
        <v/>
      </c>
      <c r="T69" s="21">
        <f>IF(OR($J69="",$F69="不适用"),"",IFERROR(INDEX(_怪物模型!$E$2:$E$4501,(INT($J69)-1)*ROWS(_怪物类型!$A$2:$A$10)+MATCH($F69,_怪物类型!$A$2:$A$10,0))*IF($L69="",1,$L69),""))</f>
        <v/>
      </c>
      <c r="U69" s="21">
        <f>IF(OR($J69="",$F69="不适用"),"",IFERROR(INDEX(_怪物模型!$F$2:$F$4501,(INT($J69)-1)*ROWS(_怪物类型!$A$2:$A$10)+MATCH($F69,_怪物类型!$A$2:$A$10,0))*IF($M69="",1,$M69),""))</f>
        <v/>
      </c>
      <c r="V69" s="84">
        <f>IF($U69="","",MIN(0.75,$U69/($U69+24000)))</f>
        <v/>
      </c>
      <c r="W69" s="21">
        <f>IF($S69="","",$S69/(1-$V69)*IF($N69="",1,$N69))</f>
        <v/>
      </c>
      <c r="X69" s="17">
        <f>IF(OR($W69="",$Q69="",$Q69=0),"",$W69/$Q69)</f>
        <v/>
      </c>
      <c r="Y69" s="17">
        <f>IF(OR($R69="",$T69="",$T69=0),"",$R69/($T69*IF($O69="",1,$O69)))</f>
        <v/>
      </c>
      <c r="Z69" s="17">
        <f>IF(OR($X69="",$P69="",$P69=0),"",$X69/$P69)</f>
        <v/>
      </c>
      <c r="AA69">
        <f>IF($J69="","待填怪物等级",IF(OR($I69="",$Q69=""),"待填对照关卡",IF($P69="","已计算",IF(AND($Y69&lt;&gt;"",$Y69&lt;$X69),"生存不成立",IF($Z69&lt;0.5,"碾压",IF($Z69&lt;0.8,"偏简单",IF($Z69&lt;=1.2,"适中",IF($Z69&lt;=1.5,"偏难","过难"))))))))</f>
        <v/>
      </c>
      <c r="AB69">
        <f>IF($J69="","待填",IF(AND(ISNUMBER($J69),$J69&gt;=1,$J69&lt;=500,MOD($J69,1)=0),"有效","超范围"))</f>
        <v/>
      </c>
      <c r="AC69">
        <f>IF(C69&lt;&gt;C68,"新玩法组",IF(J69&gt;=J68,"不降","回退"))</f>
        <v/>
      </c>
      <c r="AD69" t="inlineStr">
        <is>
          <t>等效进度估算S58，非解锁/首通节点；旧Lv131→102</t>
        </is>
      </c>
      <c r="AE69" s="4" t="n">
        <v>91400</v>
      </c>
      <c r="AF69" s="4">
        <f>INDEX(_统一战力!$B$2:$B$501,J69)</f>
        <v/>
      </c>
    </row>
    <row r="70">
      <c r="A70" t="inlineStr">
        <is>
          <t>当前源表</t>
        </is>
      </c>
      <c r="B70" t="inlineStr">
        <is>
          <t>其他战斗玩法</t>
        </is>
      </c>
      <c r="C70" t="inlineStr">
        <is>
          <t>LevelType_ExtraLevel</t>
        </is>
      </c>
      <c r="D70" t="inlineStr">
        <is>
          <t>乱军围城</t>
        </is>
      </c>
      <c r="E70" t="inlineStr">
        <is>
          <t>150406</t>
        </is>
      </c>
      <c r="F70" t="inlineStr">
        <is>
          <t>普通怪</t>
        </is>
      </c>
      <c r="G70" t="n">
        <v>60</v>
      </c>
      <c r="I70">
        <f>IF($H70="",$G70,$H70)</f>
        <v/>
      </c>
      <c r="J70" t="n">
        <v>104</v>
      </c>
      <c r="K70" s="83" t="n">
        <v>1.3</v>
      </c>
      <c r="L70" s="83" t="n">
        <v>1.3</v>
      </c>
      <c r="M70" s="83" t="n">
        <v>1</v>
      </c>
      <c r="N70" t="n">
        <v>1</v>
      </c>
      <c r="O70" t="n">
        <v>1</v>
      </c>
      <c r="P70" s="17" t="n">
        <v>0.378407082586889</v>
      </c>
      <c r="Q70" s="21">
        <f>IF($I70="","",IFERROR(INDEX(_玩家曲线!$H$2:$H$286,MATCH($I70,_玩家曲线!$A$2:$A$286,0)),""))</f>
        <v/>
      </c>
      <c r="R70" s="21">
        <f>IF($I70="","",IFERROR(INDEX(_玩家曲线!$I$2:$I$286,MATCH($I70,_玩家曲线!$A$2:$A$286,0)),""))</f>
        <v/>
      </c>
      <c r="S70" s="21">
        <f>IF(OR($J70="",$F70="不适用"),"",IFERROR(INDEX(_怪物模型!$D$2:$D$4501,(INT($J70)-1)*ROWS(_怪物类型!$A$2:$A$10)+MATCH($F70,_怪物类型!$A$2:$A$10,0))*IF($K70="",1,$K70),""))</f>
        <v/>
      </c>
      <c r="T70" s="21">
        <f>IF(OR($J70="",$F70="不适用"),"",IFERROR(INDEX(_怪物模型!$E$2:$E$4501,(INT($J70)-1)*ROWS(_怪物类型!$A$2:$A$10)+MATCH($F70,_怪物类型!$A$2:$A$10,0))*IF($L70="",1,$L70),""))</f>
        <v/>
      </c>
      <c r="U70" s="21">
        <f>IF(OR($J70="",$F70="不适用"),"",IFERROR(INDEX(_怪物模型!$F$2:$F$4501,(INT($J70)-1)*ROWS(_怪物类型!$A$2:$A$10)+MATCH($F70,_怪物类型!$A$2:$A$10,0))*IF($M70="",1,$M70),""))</f>
        <v/>
      </c>
      <c r="V70" s="84">
        <f>IF($U70="","",MIN(0.75,$U70/($U70+24000)))</f>
        <v/>
      </c>
      <c r="W70" s="21">
        <f>IF($S70="","",$S70/(1-$V70)*IF($N70="",1,$N70))</f>
        <v/>
      </c>
      <c r="X70" s="17">
        <f>IF(OR($W70="",$Q70="",$Q70=0),"",$W70/$Q70)</f>
        <v/>
      </c>
      <c r="Y70" s="17">
        <f>IF(OR($R70="",$T70="",$T70=0),"",$R70/($T70*IF($O70="",1,$O70)))</f>
        <v/>
      </c>
      <c r="Z70" s="17">
        <f>IF(OR($X70="",$P70="",$P70=0),"",$X70/$P70)</f>
        <v/>
      </c>
      <c r="AA70">
        <f>IF($J70="","待填怪物等级",IF(OR($I70="",$Q70=""),"待填对照关卡",IF($P70="","已计算",IF(AND($Y70&lt;&gt;"",$Y70&lt;$X70),"生存不成立",IF($Z70&lt;0.5,"碾压",IF($Z70&lt;0.8,"偏简单",IF($Z70&lt;=1.2,"适中",IF($Z70&lt;=1.5,"偏难","过难"))))))))</f>
        <v/>
      </c>
      <c r="AB70">
        <f>IF($J70="","待填",IF(AND(ISNUMBER($J70),$J70&gt;=1,$J70&lt;=500,MOD($J70,1)=0),"有效","超范围"))</f>
        <v/>
      </c>
      <c r="AC70">
        <f>IF(C70&lt;&gt;C69,"新玩法组",IF(J70&gt;=J69,"不降","回退"))</f>
        <v/>
      </c>
      <c r="AD70" t="inlineStr">
        <is>
          <t>等效进度估算S60，非解锁/首通节点；旧Lv134→104</t>
        </is>
      </c>
      <c r="AE70" s="4" t="n">
        <v>91400</v>
      </c>
      <c r="AF70" s="4">
        <f>INDEX(_统一战力!$B$2:$B$501,J70)</f>
        <v/>
      </c>
    </row>
    <row r="71">
      <c r="A71" t="inlineStr">
        <is>
          <t>当前源表</t>
        </is>
      </c>
      <c r="B71" t="inlineStr">
        <is>
          <t>其他战斗玩法</t>
        </is>
      </c>
      <c r="C71" t="inlineStr">
        <is>
          <t>LevelType_ExtraLevel</t>
        </is>
      </c>
      <c r="D71" t="inlineStr">
        <is>
          <t>权臣破府</t>
        </is>
      </c>
      <c r="E71" t="n">
        <v>150410</v>
      </c>
      <c r="F71" t="inlineStr">
        <is>
          <t>普通怪</t>
        </is>
      </c>
      <c r="G71" t="n">
        <v>61</v>
      </c>
      <c r="I71">
        <f>IF($H71="",$G71,$H71)</f>
        <v/>
      </c>
      <c r="J71" t="n">
        <v>105</v>
      </c>
      <c r="K71" s="83" t="n">
        <v>1.3</v>
      </c>
      <c r="L71" s="83" t="n">
        <v>1.3</v>
      </c>
      <c r="M71" s="83" t="n">
        <v>1</v>
      </c>
      <c r="N71" t="n">
        <v>1</v>
      </c>
      <c r="O71" t="n">
        <v>1</v>
      </c>
      <c r="P71" s="17" t="n">
        <v>0.378407082586889</v>
      </c>
      <c r="Q71" s="21">
        <f>IF($I71="","",IFERROR(INDEX(_玩家曲线!$H$2:$H$286,MATCH($I71,_玩家曲线!$A$2:$A$286,0)),""))</f>
        <v/>
      </c>
      <c r="R71" s="21">
        <f>IF($I71="","",IFERROR(INDEX(_玩家曲线!$I$2:$I$286,MATCH($I71,_玩家曲线!$A$2:$A$286,0)),""))</f>
        <v/>
      </c>
      <c r="S71" s="21">
        <f>IF(OR($J71="",$F71="不适用"),"",IFERROR(INDEX(_怪物模型!$D$2:$D$4501,(INT($J71)-1)*ROWS(_怪物类型!$A$2:$A$10)+MATCH($F71,_怪物类型!$A$2:$A$10,0))*IF($K71="",1,$K71),""))</f>
        <v/>
      </c>
      <c r="T71" s="21">
        <f>IF(OR($J71="",$F71="不适用"),"",IFERROR(INDEX(_怪物模型!$E$2:$E$4501,(INT($J71)-1)*ROWS(_怪物类型!$A$2:$A$10)+MATCH($F71,_怪物类型!$A$2:$A$10,0))*IF($L71="",1,$L71),""))</f>
        <v/>
      </c>
      <c r="U71" s="21">
        <f>IF(OR($J71="",$F71="不适用"),"",IFERROR(INDEX(_怪物模型!$F$2:$F$4501,(INT($J71)-1)*ROWS(_怪物类型!$A$2:$A$10)+MATCH($F71,_怪物类型!$A$2:$A$10,0))*IF($M71="",1,$M71),""))</f>
        <v/>
      </c>
      <c r="V71" s="84">
        <f>IF($U71="","",MIN(0.75,$U71/($U71+24000)))</f>
        <v/>
      </c>
      <c r="W71" s="21">
        <f>IF($S71="","",$S71/(1-$V71)*IF($N71="",1,$N71))</f>
        <v/>
      </c>
      <c r="X71" s="17">
        <f>IF(OR($W71="",$Q71="",$Q71=0),"",$W71/$Q71)</f>
        <v/>
      </c>
      <c r="Y71" s="17">
        <f>IF(OR($R71="",$T71="",$T71=0),"",$R71/($T71*IF($O71="",1,$O71)))</f>
        <v/>
      </c>
      <c r="Z71" s="17">
        <f>IF(OR($X71="",$P71="",$P71=0),"",$X71/$P71)</f>
        <v/>
      </c>
      <c r="AA71">
        <f>IF($J71="","待填怪物等级",IF(OR($I71="",$Q71=""),"待填对照关卡",IF($P71="","已计算",IF(AND($Y71&lt;&gt;"",$Y71&lt;$X71),"生存不成立",IF($Z71&lt;0.5,"碾压",IF($Z71&lt;0.8,"偏简单",IF($Z71&lt;=1.2,"适中",IF($Z71&lt;=1.5,"偏难","过难"))))))))</f>
        <v/>
      </c>
      <c r="AB71">
        <f>IF($J71="","待填",IF(AND(ISNUMBER($J71),$J71&gt;=1,$J71&lt;=500,MOD($J71,1)=0),"有效","超范围"))</f>
        <v/>
      </c>
      <c r="AC71">
        <f>IF(C71&lt;&gt;C70,"新玩法组",IF(J71&gt;=J70,"不降","回退"))</f>
        <v/>
      </c>
      <c r="AE71" s="4" t="n">
        <v>95900</v>
      </c>
      <c r="AF71" s="4">
        <f>INDEX(_统一战力!$B$2:$B$501,J71)</f>
        <v/>
      </c>
    </row>
    <row r="72">
      <c r="A72" t="inlineStr">
        <is>
          <t>当前源表</t>
        </is>
      </c>
      <c r="B72" t="inlineStr">
        <is>
          <t>其他战斗玩法</t>
        </is>
      </c>
      <c r="C72" t="inlineStr">
        <is>
          <t>LevelType_ExtraLevel</t>
        </is>
      </c>
      <c r="D72" t="inlineStr">
        <is>
          <t>对峙</t>
        </is>
      </c>
      <c r="E72" t="n">
        <v>150411</v>
      </c>
      <c r="F72" t="inlineStr">
        <is>
          <t>普通怪</t>
        </is>
      </c>
      <c r="G72" t="n">
        <v>62</v>
      </c>
      <c r="I72">
        <f>IF($H72="",$G72,$H72)</f>
        <v/>
      </c>
      <c r="J72" t="n">
        <v>106</v>
      </c>
      <c r="K72" s="83" t="n">
        <v>1.3</v>
      </c>
      <c r="L72" s="83" t="n">
        <v>1.3</v>
      </c>
      <c r="M72" s="83" t="n">
        <v>1</v>
      </c>
      <c r="N72" t="n">
        <v>1</v>
      </c>
      <c r="O72" t="n">
        <v>1</v>
      </c>
      <c r="P72" s="17" t="n">
        <v>0.378407082586889</v>
      </c>
      <c r="Q72" s="21">
        <f>IF($I72="","",IFERROR(INDEX(_玩家曲线!$H$2:$H$286,MATCH($I72,_玩家曲线!$A$2:$A$286,0)),""))</f>
        <v/>
      </c>
      <c r="R72" s="21">
        <f>IF($I72="","",IFERROR(INDEX(_玩家曲线!$I$2:$I$286,MATCH($I72,_玩家曲线!$A$2:$A$286,0)),""))</f>
        <v/>
      </c>
      <c r="S72" s="21">
        <f>IF(OR($J72="",$F72="不适用"),"",IFERROR(INDEX(_怪物模型!$D$2:$D$4501,(INT($J72)-1)*ROWS(_怪物类型!$A$2:$A$10)+MATCH($F72,_怪物类型!$A$2:$A$10,0))*IF($K72="",1,$K72),""))</f>
        <v/>
      </c>
      <c r="T72" s="21">
        <f>IF(OR($J72="",$F72="不适用"),"",IFERROR(INDEX(_怪物模型!$E$2:$E$4501,(INT($J72)-1)*ROWS(_怪物类型!$A$2:$A$10)+MATCH($F72,_怪物类型!$A$2:$A$10,0))*IF($L72="",1,$L72),""))</f>
        <v/>
      </c>
      <c r="U72" s="21">
        <f>IF(OR($J72="",$F72="不适用"),"",IFERROR(INDEX(_怪物模型!$F$2:$F$4501,(INT($J72)-1)*ROWS(_怪物类型!$A$2:$A$10)+MATCH($F72,_怪物类型!$A$2:$A$10,0))*IF($M72="",1,$M72),""))</f>
        <v/>
      </c>
      <c r="V72" s="84">
        <f>IF($U72="","",MIN(0.75,$U72/($U72+24000)))</f>
        <v/>
      </c>
      <c r="W72" s="21">
        <f>IF($S72="","",$S72/(1-$V72)*IF($N72="",1,$N72))</f>
        <v/>
      </c>
      <c r="X72" s="17">
        <f>IF(OR($W72="",$Q72="",$Q72=0),"",$W72/$Q72)</f>
        <v/>
      </c>
      <c r="Y72" s="17">
        <f>IF(OR($R72="",$T72="",$T72=0),"",$R72/($T72*IF($O72="",1,$O72)))</f>
        <v/>
      </c>
      <c r="Z72" s="17">
        <f>IF(OR($X72="",$P72="",$P72=0),"",$X72/$P72)</f>
        <v/>
      </c>
      <c r="AA72">
        <f>IF($J72="","待填怪物等级",IF(OR($I72="",$Q72=""),"待填对照关卡",IF($P72="","已计算",IF(AND($Y72&lt;&gt;"",$Y72&lt;$X72),"生存不成立",IF($Z72&lt;0.5,"碾压",IF($Z72&lt;0.8,"偏简单",IF($Z72&lt;=1.2,"适中",IF($Z72&lt;=1.5,"偏难","过难"))))))))</f>
        <v/>
      </c>
      <c r="AB72">
        <f>IF($J72="","待填",IF(AND(ISNUMBER($J72),$J72&gt;=1,$J72&lt;=500,MOD($J72,1)=0),"有效","超范围"))</f>
        <v/>
      </c>
      <c r="AC72">
        <f>IF(C72&lt;&gt;C71,"新玩法组",IF(J72&gt;=J71,"不降","回退"))</f>
        <v/>
      </c>
      <c r="AE72" s="4" t="n">
        <v>95900</v>
      </c>
      <c r="AF72" s="4">
        <f>INDEX(_统一战力!$B$2:$B$501,J72)</f>
        <v/>
      </c>
    </row>
    <row r="73">
      <c r="A73" t="inlineStr">
        <is>
          <t>当前源表</t>
        </is>
      </c>
      <c r="B73" t="inlineStr">
        <is>
          <t>其他战斗玩法</t>
        </is>
      </c>
      <c r="C73" t="inlineStr">
        <is>
          <t>LevelType_ExtraLevel</t>
        </is>
      </c>
      <c r="D73" t="inlineStr">
        <is>
          <t>荣耀之路</t>
        </is>
      </c>
      <c r="E73" t="n">
        <v>150412</v>
      </c>
      <c r="F73" t="inlineStr">
        <is>
          <t>普通怪</t>
        </is>
      </c>
      <c r="G73" t="n">
        <v>63</v>
      </c>
      <c r="I73">
        <f>IF($H73="",$G73,$H73)</f>
        <v/>
      </c>
      <c r="J73" t="n">
        <v>107</v>
      </c>
      <c r="K73" s="83" t="n">
        <v>1.3</v>
      </c>
      <c r="L73" s="83" t="n">
        <v>1.3</v>
      </c>
      <c r="M73" s="83" t="n">
        <v>1</v>
      </c>
      <c r="N73" t="n">
        <v>1</v>
      </c>
      <c r="O73" t="n">
        <v>1</v>
      </c>
      <c r="P73" s="17" t="n">
        <v>0.378407082586889</v>
      </c>
      <c r="Q73" s="21">
        <f>IF($I73="","",IFERROR(INDEX(_玩家曲线!$H$2:$H$286,MATCH($I73,_玩家曲线!$A$2:$A$286,0)),""))</f>
        <v/>
      </c>
      <c r="R73" s="21">
        <f>IF($I73="","",IFERROR(INDEX(_玩家曲线!$I$2:$I$286,MATCH($I73,_玩家曲线!$A$2:$A$286,0)),""))</f>
        <v/>
      </c>
      <c r="S73" s="21">
        <f>IF(OR($J73="",$F73="不适用"),"",IFERROR(INDEX(_怪物模型!$D$2:$D$4501,(INT($J73)-1)*ROWS(_怪物类型!$A$2:$A$10)+MATCH($F73,_怪物类型!$A$2:$A$10,0))*IF($K73="",1,$K73),""))</f>
        <v/>
      </c>
      <c r="T73" s="21">
        <f>IF(OR($J73="",$F73="不适用"),"",IFERROR(INDEX(_怪物模型!$E$2:$E$4501,(INT($J73)-1)*ROWS(_怪物类型!$A$2:$A$10)+MATCH($F73,_怪物类型!$A$2:$A$10,0))*IF($L73="",1,$L73),""))</f>
        <v/>
      </c>
      <c r="U73" s="21">
        <f>IF(OR($J73="",$F73="不适用"),"",IFERROR(INDEX(_怪物模型!$F$2:$F$4501,(INT($J73)-1)*ROWS(_怪物类型!$A$2:$A$10)+MATCH($F73,_怪物类型!$A$2:$A$10,0))*IF($M73="",1,$M73),""))</f>
        <v/>
      </c>
      <c r="V73" s="84">
        <f>IF($U73="","",MIN(0.75,$U73/($U73+24000)))</f>
        <v/>
      </c>
      <c r="W73" s="21">
        <f>IF($S73="","",$S73/(1-$V73)*IF($N73="",1,$N73))</f>
        <v/>
      </c>
      <c r="X73" s="17">
        <f>IF(OR($W73="",$Q73="",$Q73=0),"",$W73/$Q73)</f>
        <v/>
      </c>
      <c r="Y73" s="17">
        <f>IF(OR($R73="",$T73="",$T73=0),"",$R73/($T73*IF($O73="",1,$O73)))</f>
        <v/>
      </c>
      <c r="Z73" s="17">
        <f>IF(OR($X73="",$P73="",$P73=0),"",$X73/$P73)</f>
        <v/>
      </c>
      <c r="AA73">
        <f>IF($J73="","待填怪物等级",IF(OR($I73="",$Q73=""),"待填对照关卡",IF($P73="","已计算",IF(AND($Y73&lt;&gt;"",$Y73&lt;$X73),"生存不成立",IF($Z73&lt;0.5,"碾压",IF($Z73&lt;0.8,"偏简单",IF($Z73&lt;=1.2,"适中",IF($Z73&lt;=1.5,"偏难","过难"))))))))</f>
        <v/>
      </c>
      <c r="AB73">
        <f>IF($J73="","待填",IF(AND(ISNUMBER($J73),$J73&gt;=1,$J73&lt;=500,MOD($J73,1)=0),"有效","超范围"))</f>
        <v/>
      </c>
      <c r="AC73">
        <f>IF(C73&lt;&gt;C72,"新玩法组",IF(J73&gt;=J72,"不降","回退"))</f>
        <v/>
      </c>
      <c r="AE73" s="4" t="n">
        <v>95900</v>
      </c>
      <c r="AF73" s="4">
        <f>INDEX(_统一战力!$B$2:$B$501,J73)</f>
        <v/>
      </c>
    </row>
    <row r="74">
      <c r="A74" t="inlineStr">
        <is>
          <t>当前源表</t>
        </is>
      </c>
      <c r="B74" t="inlineStr">
        <is>
          <t>其他战斗玩法</t>
        </is>
      </c>
      <c r="C74" t="inlineStr">
        <is>
          <t>LevelType_ExtraLevel</t>
        </is>
      </c>
      <c r="D74" t="inlineStr">
        <is>
          <t>重临</t>
        </is>
      </c>
      <c r="E74" t="n">
        <v>150413</v>
      </c>
      <c r="F74" t="inlineStr">
        <is>
          <t>普通怪</t>
        </is>
      </c>
      <c r="G74" t="n">
        <v>64</v>
      </c>
      <c r="I74">
        <f>IF($H74="",$G74,$H74)</f>
        <v/>
      </c>
      <c r="J74" t="n">
        <v>108</v>
      </c>
      <c r="K74" s="83" t="n">
        <v>1.3</v>
      </c>
      <c r="L74" s="83" t="n">
        <v>1.3</v>
      </c>
      <c r="M74" s="83" t="n">
        <v>1</v>
      </c>
      <c r="N74" t="n">
        <v>1</v>
      </c>
      <c r="O74" t="n">
        <v>1</v>
      </c>
      <c r="P74" s="17" t="n">
        <v>0.378407082586889</v>
      </c>
      <c r="Q74" s="21">
        <f>IF($I74="","",IFERROR(INDEX(_玩家曲线!$H$2:$H$286,MATCH($I74,_玩家曲线!$A$2:$A$286,0)),""))</f>
        <v/>
      </c>
      <c r="R74" s="21">
        <f>IF($I74="","",IFERROR(INDEX(_玩家曲线!$I$2:$I$286,MATCH($I74,_玩家曲线!$A$2:$A$286,0)),""))</f>
        <v/>
      </c>
      <c r="S74" s="21">
        <f>IF(OR($J74="",$F74="不适用"),"",IFERROR(INDEX(_怪物模型!$D$2:$D$4501,(INT($J74)-1)*ROWS(_怪物类型!$A$2:$A$10)+MATCH($F74,_怪物类型!$A$2:$A$10,0))*IF($K74="",1,$K74),""))</f>
        <v/>
      </c>
      <c r="T74" s="21">
        <f>IF(OR($J74="",$F74="不适用"),"",IFERROR(INDEX(_怪物模型!$E$2:$E$4501,(INT($J74)-1)*ROWS(_怪物类型!$A$2:$A$10)+MATCH($F74,_怪物类型!$A$2:$A$10,0))*IF($L74="",1,$L74),""))</f>
        <v/>
      </c>
      <c r="U74" s="21">
        <f>IF(OR($J74="",$F74="不适用"),"",IFERROR(INDEX(_怪物模型!$F$2:$F$4501,(INT($J74)-1)*ROWS(_怪物类型!$A$2:$A$10)+MATCH($F74,_怪物类型!$A$2:$A$10,0))*IF($M74="",1,$M74),""))</f>
        <v/>
      </c>
      <c r="V74" s="84">
        <f>IF($U74="","",MIN(0.75,$U74/($U74+24000)))</f>
        <v/>
      </c>
      <c r="W74" s="21">
        <f>IF($S74="","",$S74/(1-$V74)*IF($N74="",1,$N74))</f>
        <v/>
      </c>
      <c r="X74" s="17">
        <f>IF(OR($W74="",$Q74="",$Q74=0),"",$W74/$Q74)</f>
        <v/>
      </c>
      <c r="Y74" s="17">
        <f>IF(OR($R74="",$T74="",$T74=0),"",$R74/($T74*IF($O74="",1,$O74)))</f>
        <v/>
      </c>
      <c r="Z74" s="17">
        <f>IF(OR($X74="",$P74="",$P74=0),"",$X74/$P74)</f>
        <v/>
      </c>
      <c r="AA74">
        <f>IF($J74="","待填怪物等级",IF(OR($I74="",$Q74=""),"待填对照关卡",IF($P74="","已计算",IF(AND($Y74&lt;&gt;"",$Y74&lt;$X74),"生存不成立",IF($Z74&lt;0.5,"碾压",IF($Z74&lt;0.8,"偏简单",IF($Z74&lt;=1.2,"适中",IF($Z74&lt;=1.5,"偏难","过难"))))))))</f>
        <v/>
      </c>
      <c r="AB74">
        <f>IF($J74="","待填",IF(AND(ISNUMBER($J74),$J74&gt;=1,$J74&lt;=500,MOD($J74,1)=0),"有效","超范围"))</f>
        <v/>
      </c>
      <c r="AC74">
        <f>IF(C74&lt;&gt;C73,"新玩法组",IF(J74&gt;=J73,"不降","回退"))</f>
        <v/>
      </c>
      <c r="AE74" s="4" t="n">
        <v>95900</v>
      </c>
      <c r="AF74" s="4">
        <f>INDEX(_统一战力!$B$2:$B$501,J74)</f>
        <v/>
      </c>
    </row>
    <row r="75">
      <c r="A75" t="inlineStr">
        <is>
          <t>当前源表</t>
        </is>
      </c>
      <c r="B75" t="inlineStr">
        <is>
          <t>其他战斗玩法</t>
        </is>
      </c>
      <c r="C75" t="inlineStr">
        <is>
          <t>LevelType_ExtraLevel</t>
        </is>
      </c>
      <c r="D75" t="inlineStr">
        <is>
          <t>最终时刻</t>
        </is>
      </c>
      <c r="E75" t="n">
        <v>150414</v>
      </c>
      <c r="F75" t="inlineStr">
        <is>
          <t>普通怪</t>
        </is>
      </c>
      <c r="G75" t="n">
        <v>65</v>
      </c>
      <c r="I75">
        <f>IF($H75="",$G75,$H75)</f>
        <v/>
      </c>
      <c r="J75" t="n">
        <v>109</v>
      </c>
      <c r="K75" s="83" t="n">
        <v>1.3</v>
      </c>
      <c r="L75" s="83" t="n">
        <v>1.3</v>
      </c>
      <c r="M75" s="83" t="n">
        <v>1</v>
      </c>
      <c r="N75" t="n">
        <v>1</v>
      </c>
      <c r="O75" t="n">
        <v>1</v>
      </c>
      <c r="P75" s="17" t="n">
        <v>0.378407082586889</v>
      </c>
      <c r="Q75" s="21">
        <f>IF($I75="","",IFERROR(INDEX(_玩家曲线!$H$2:$H$286,MATCH($I75,_玩家曲线!$A$2:$A$286,0)),""))</f>
        <v/>
      </c>
      <c r="R75" s="21">
        <f>IF($I75="","",IFERROR(INDEX(_玩家曲线!$I$2:$I$286,MATCH($I75,_玩家曲线!$A$2:$A$286,0)),""))</f>
        <v/>
      </c>
      <c r="S75" s="21">
        <f>IF(OR($J75="",$F75="不适用"),"",IFERROR(INDEX(_怪物模型!$D$2:$D$4501,(INT($J75)-1)*ROWS(_怪物类型!$A$2:$A$10)+MATCH($F75,_怪物类型!$A$2:$A$10,0))*IF($K75="",1,$K75),""))</f>
        <v/>
      </c>
      <c r="T75" s="21">
        <f>IF(OR($J75="",$F75="不适用"),"",IFERROR(INDEX(_怪物模型!$E$2:$E$4501,(INT($J75)-1)*ROWS(_怪物类型!$A$2:$A$10)+MATCH($F75,_怪物类型!$A$2:$A$10,0))*IF($L75="",1,$L75),""))</f>
        <v/>
      </c>
      <c r="U75" s="21">
        <f>IF(OR($J75="",$F75="不适用"),"",IFERROR(INDEX(_怪物模型!$F$2:$F$4501,(INT($J75)-1)*ROWS(_怪物类型!$A$2:$A$10)+MATCH($F75,_怪物类型!$A$2:$A$10,0))*IF($M75="",1,$M75),""))</f>
        <v/>
      </c>
      <c r="V75" s="84">
        <f>IF($U75="","",MIN(0.75,$U75/($U75+24000)))</f>
        <v/>
      </c>
      <c r="W75" s="21">
        <f>IF($S75="","",$S75/(1-$V75)*IF($N75="",1,$N75))</f>
        <v/>
      </c>
      <c r="X75" s="17">
        <f>IF(OR($W75="",$Q75="",$Q75=0),"",$W75/$Q75)</f>
        <v/>
      </c>
      <c r="Y75" s="17">
        <f>IF(OR($R75="",$T75="",$T75=0),"",$R75/($T75*IF($O75="",1,$O75)))</f>
        <v/>
      </c>
      <c r="Z75" s="17">
        <f>IF(OR($X75="",$P75="",$P75=0),"",$X75/$P75)</f>
        <v/>
      </c>
      <c r="AA75">
        <f>IF($J75="","待填怪物等级",IF(OR($I75="",$Q75=""),"待填对照关卡",IF($P75="","已计算",IF(AND($Y75&lt;&gt;"",$Y75&lt;$X75),"生存不成立",IF($Z75&lt;0.5,"碾压",IF($Z75&lt;0.8,"偏简单",IF($Z75&lt;=1.2,"适中",IF($Z75&lt;=1.5,"偏难","过难"))))))))</f>
        <v/>
      </c>
      <c r="AB75">
        <f>IF($J75="","待填",IF(AND(ISNUMBER($J75),$J75&gt;=1,$J75&lt;=500,MOD($J75,1)=0),"有效","超范围"))</f>
        <v/>
      </c>
      <c r="AC75">
        <f>IF(C75&lt;&gt;C74,"新玩法组",IF(J75&gt;=J74,"不降","回退"))</f>
        <v/>
      </c>
      <c r="AE75" s="4" t="n">
        <v>101000</v>
      </c>
      <c r="AF75" s="4">
        <f>INDEX(_统一战力!$B$2:$B$501,J75)</f>
        <v/>
      </c>
    </row>
    <row r="76">
      <c r="A76" t="inlineStr">
        <is>
          <t>当前源表</t>
        </is>
      </c>
      <c r="B76" t="inlineStr">
        <is>
          <t>其他战斗玩法</t>
        </is>
      </c>
      <c r="C76" t="inlineStr">
        <is>
          <t>LevelType_ExtraLevel</t>
        </is>
      </c>
      <c r="D76" t="inlineStr">
        <is>
          <t>觉悟</t>
        </is>
      </c>
      <c r="E76" t="n">
        <v>150415</v>
      </c>
      <c r="F76" t="inlineStr">
        <is>
          <t>普通怪</t>
        </is>
      </c>
      <c r="G76" t="n">
        <v>66</v>
      </c>
      <c r="I76">
        <f>IF($H76="",$G76,$H76)</f>
        <v/>
      </c>
      <c r="J76" t="n">
        <v>110</v>
      </c>
      <c r="K76" s="83" t="n">
        <v>1.3</v>
      </c>
      <c r="L76" s="83" t="n">
        <v>1.3</v>
      </c>
      <c r="M76" s="83" t="n">
        <v>1</v>
      </c>
      <c r="N76" t="n">
        <v>1</v>
      </c>
      <c r="O76" t="n">
        <v>1</v>
      </c>
      <c r="P76" s="17" t="n">
        <v>0.378407082586889</v>
      </c>
      <c r="Q76" s="21">
        <f>IF($I76="","",IFERROR(INDEX(_玩家曲线!$H$2:$H$286,MATCH($I76,_玩家曲线!$A$2:$A$286,0)),""))</f>
        <v/>
      </c>
      <c r="R76" s="21">
        <f>IF($I76="","",IFERROR(INDEX(_玩家曲线!$I$2:$I$286,MATCH($I76,_玩家曲线!$A$2:$A$286,0)),""))</f>
        <v/>
      </c>
      <c r="S76" s="21">
        <f>IF(OR($J76="",$F76="不适用"),"",IFERROR(INDEX(_怪物模型!$D$2:$D$4501,(INT($J76)-1)*ROWS(_怪物类型!$A$2:$A$10)+MATCH($F76,_怪物类型!$A$2:$A$10,0))*IF($K76="",1,$K76),""))</f>
        <v/>
      </c>
      <c r="T76" s="21">
        <f>IF(OR($J76="",$F76="不适用"),"",IFERROR(INDEX(_怪物模型!$E$2:$E$4501,(INT($J76)-1)*ROWS(_怪物类型!$A$2:$A$10)+MATCH($F76,_怪物类型!$A$2:$A$10,0))*IF($L76="",1,$L76),""))</f>
        <v/>
      </c>
      <c r="U76" s="21">
        <f>IF(OR($J76="",$F76="不适用"),"",IFERROR(INDEX(_怪物模型!$F$2:$F$4501,(INT($J76)-1)*ROWS(_怪物类型!$A$2:$A$10)+MATCH($F76,_怪物类型!$A$2:$A$10,0))*IF($M76="",1,$M76),""))</f>
        <v/>
      </c>
      <c r="V76" s="84">
        <f>IF($U76="","",MIN(0.75,$U76/($U76+24000)))</f>
        <v/>
      </c>
      <c r="W76" s="21">
        <f>IF($S76="","",$S76/(1-$V76)*IF($N76="",1,$N76))</f>
        <v/>
      </c>
      <c r="X76" s="17">
        <f>IF(OR($W76="",$Q76="",$Q76=0),"",$W76/$Q76)</f>
        <v/>
      </c>
      <c r="Y76" s="17">
        <f>IF(OR($R76="",$T76="",$T76=0),"",$R76/($T76*IF($O76="",1,$O76)))</f>
        <v/>
      </c>
      <c r="Z76" s="17">
        <f>IF(OR($X76="",$P76="",$P76=0),"",$X76/$P76)</f>
        <v/>
      </c>
      <c r="AA76">
        <f>IF($J76="","待填怪物等级",IF(OR($I76="",$Q76=""),"待填对照关卡",IF($P76="","已计算",IF(AND($Y76&lt;&gt;"",$Y76&lt;$X76),"生存不成立",IF($Z76&lt;0.5,"碾压",IF($Z76&lt;0.8,"偏简单",IF($Z76&lt;=1.2,"适中",IF($Z76&lt;=1.5,"偏难","过难"))))))))</f>
        <v/>
      </c>
      <c r="AB76">
        <f>IF($J76="","待填",IF(AND(ISNUMBER($J76),$J76&gt;=1,$J76&lt;=500,MOD($J76,1)=0),"有效","超范围"))</f>
        <v/>
      </c>
      <c r="AC76">
        <f>IF(C76&lt;&gt;C75,"新玩法组",IF(J76&gt;=J75,"不降","回退"))</f>
        <v/>
      </c>
      <c r="AE76" s="4" t="n">
        <v>101000</v>
      </c>
      <c r="AF76" s="4">
        <f>INDEX(_统一战力!$B$2:$B$501,J76)</f>
        <v/>
      </c>
    </row>
    <row r="77">
      <c r="A77" t="inlineStr">
        <is>
          <t>当前源表</t>
        </is>
      </c>
      <c r="B77" t="inlineStr">
        <is>
          <t>其他战斗玩法</t>
        </is>
      </c>
      <c r="C77" t="inlineStr">
        <is>
          <t>LevelType_ExtraLevel</t>
        </is>
      </c>
      <c r="D77" t="inlineStr">
        <is>
          <t>怒涛哨戒</t>
        </is>
      </c>
      <c r="E77" t="inlineStr">
        <is>
          <t>150501</t>
        </is>
      </c>
      <c r="F77" t="inlineStr">
        <is>
          <t>普通怪</t>
        </is>
      </c>
      <c r="G77" t="n">
        <v>74</v>
      </c>
      <c r="I77">
        <f>IF($H77="",$G77,$H77)</f>
        <v/>
      </c>
      <c r="J77" t="n">
        <v>125</v>
      </c>
      <c r="K77" s="83" t="n">
        <v>1.3</v>
      </c>
      <c r="L77" s="83" t="n">
        <v>1.3</v>
      </c>
      <c r="M77" s="83" t="n">
        <v>1</v>
      </c>
      <c r="N77" t="n">
        <v>1</v>
      </c>
      <c r="O77" t="n">
        <v>1</v>
      </c>
      <c r="P77" s="17" t="n">
        <v>0.363911410585384</v>
      </c>
      <c r="Q77" s="21">
        <f>IF($I77="","",IFERROR(INDEX(_玩家曲线!$H$2:$H$286,MATCH($I77,_玩家曲线!$A$2:$A$286,0)),""))</f>
        <v/>
      </c>
      <c r="R77" s="21">
        <f>IF($I77="","",IFERROR(INDEX(_玩家曲线!$I$2:$I$286,MATCH($I77,_玩家曲线!$A$2:$A$286,0)),""))</f>
        <v/>
      </c>
      <c r="S77" s="21">
        <f>IF(OR($J77="",$F77="不适用"),"",IFERROR(INDEX(_怪物模型!$D$2:$D$4501,(INT($J77)-1)*ROWS(_怪物类型!$A$2:$A$10)+MATCH($F77,_怪物类型!$A$2:$A$10,0))*IF($K77="",1,$K77),""))</f>
        <v/>
      </c>
      <c r="T77" s="21">
        <f>IF(OR($J77="",$F77="不适用"),"",IFERROR(INDEX(_怪物模型!$E$2:$E$4501,(INT($J77)-1)*ROWS(_怪物类型!$A$2:$A$10)+MATCH($F77,_怪物类型!$A$2:$A$10,0))*IF($L77="",1,$L77),""))</f>
        <v/>
      </c>
      <c r="U77" s="21">
        <f>IF(OR($J77="",$F77="不适用"),"",IFERROR(INDEX(_怪物模型!$F$2:$F$4501,(INT($J77)-1)*ROWS(_怪物类型!$A$2:$A$10)+MATCH($F77,_怪物类型!$A$2:$A$10,0))*IF($M77="",1,$M77),""))</f>
        <v/>
      </c>
      <c r="V77" s="84">
        <f>IF($U77="","",MIN(0.75,$U77/($U77+24000)))</f>
        <v/>
      </c>
      <c r="W77" s="21">
        <f>IF($S77="","",$S77/(1-$V77)*IF($N77="",1,$N77))</f>
        <v/>
      </c>
      <c r="X77" s="17">
        <f>IF(OR($W77="",$Q77="",$Q77=0),"",$W77/$Q77)</f>
        <v/>
      </c>
      <c r="Y77" s="17">
        <f>IF(OR($R77="",$T77="",$T77=0),"",$R77/($T77*IF($O77="",1,$O77)))</f>
        <v/>
      </c>
      <c r="Z77" s="17">
        <f>IF(OR($X77="",$P77="",$P77=0),"",$X77/$P77)</f>
        <v/>
      </c>
      <c r="AA77">
        <f>IF($J77="","待填怪物等级",IF(OR($I77="",$Q77=""),"待填对照关卡",IF($P77="","已计算",IF(AND($Y77&lt;&gt;"",$Y77&lt;$X77),"生存不成立",IF($Z77&lt;0.5,"碾压",IF($Z77&lt;0.8,"偏简单",IF($Z77&lt;=1.2,"适中",IF($Z77&lt;=1.5,"偏难","过难"))))))))</f>
        <v/>
      </c>
      <c r="AB77">
        <f>IF($J77="","待填",IF(AND(ISNUMBER($J77),$J77&gt;=1,$J77&lt;=500,MOD($J77,1)=0),"有效","超范围"))</f>
        <v/>
      </c>
      <c r="AC77">
        <f>IF(C77&lt;&gt;C70,"新玩法组",IF(J77&gt;=J70,"不降","回退"))</f>
        <v/>
      </c>
      <c r="AD77" t="inlineStr">
        <is>
          <t>等效进度估算S74，非解锁/首通节点；旧Lv160→125</t>
        </is>
      </c>
      <c r="AE77" s="4" t="n">
        <v>125000</v>
      </c>
      <c r="AF77" s="4">
        <f>INDEX(_统一战力!$B$2:$B$501,J77)</f>
        <v/>
      </c>
    </row>
    <row r="78">
      <c r="A78" t="inlineStr">
        <is>
          <t>当前源表</t>
        </is>
      </c>
      <c r="B78" t="inlineStr">
        <is>
          <t>其他战斗玩法</t>
        </is>
      </c>
      <c r="C78" t="inlineStr">
        <is>
          <t>LevelType_ExtraLevel</t>
        </is>
      </c>
      <c r="D78" t="inlineStr">
        <is>
          <t>暗礁拦截</t>
        </is>
      </c>
      <c r="E78" t="inlineStr">
        <is>
          <t>150502</t>
        </is>
      </c>
      <c r="F78" t="inlineStr">
        <is>
          <t>普通怪</t>
        </is>
      </c>
      <c r="G78" t="n">
        <v>76</v>
      </c>
      <c r="I78">
        <f>IF($H78="",$G78,$H78)</f>
        <v/>
      </c>
      <c r="J78" t="n">
        <v>127</v>
      </c>
      <c r="K78" s="83" t="n">
        <v>1.3</v>
      </c>
      <c r="L78" s="83" t="n">
        <v>1.3</v>
      </c>
      <c r="M78" s="83" t="n">
        <v>1</v>
      </c>
      <c r="N78" t="n">
        <v>1</v>
      </c>
      <c r="O78" t="n">
        <v>1</v>
      </c>
      <c r="P78" s="17" t="n">
        <v>0.360023023588689</v>
      </c>
      <c r="Q78" s="21">
        <f>IF($I78="","",IFERROR(INDEX(_玩家曲线!$H$2:$H$286,MATCH($I78,_玩家曲线!$A$2:$A$286,0)),""))</f>
        <v/>
      </c>
      <c r="R78" s="21">
        <f>IF($I78="","",IFERROR(INDEX(_玩家曲线!$I$2:$I$286,MATCH($I78,_玩家曲线!$A$2:$A$286,0)),""))</f>
        <v/>
      </c>
      <c r="S78" s="21">
        <f>IF(OR($J78="",$F78="不适用"),"",IFERROR(INDEX(_怪物模型!$D$2:$D$4501,(INT($J78)-1)*ROWS(_怪物类型!$A$2:$A$10)+MATCH($F78,_怪物类型!$A$2:$A$10,0))*IF($K78="",1,$K78),""))</f>
        <v/>
      </c>
      <c r="T78" s="21">
        <f>IF(OR($J78="",$F78="不适用"),"",IFERROR(INDEX(_怪物模型!$E$2:$E$4501,(INT($J78)-1)*ROWS(_怪物类型!$A$2:$A$10)+MATCH($F78,_怪物类型!$A$2:$A$10,0))*IF($L78="",1,$L78),""))</f>
        <v/>
      </c>
      <c r="U78" s="21">
        <f>IF(OR($J78="",$F78="不适用"),"",IFERROR(INDEX(_怪物模型!$F$2:$F$4501,(INT($J78)-1)*ROWS(_怪物类型!$A$2:$A$10)+MATCH($F78,_怪物类型!$A$2:$A$10,0))*IF($M78="",1,$M78),""))</f>
        <v/>
      </c>
      <c r="V78" s="84">
        <f>IF($U78="","",MIN(0.75,$U78/($U78+24000)))</f>
        <v/>
      </c>
      <c r="W78" s="21">
        <f>IF($S78="","",$S78/(1-$V78)*IF($N78="",1,$N78))</f>
        <v/>
      </c>
      <c r="X78" s="17">
        <f>IF(OR($W78="",$Q78="",$Q78=0),"",$W78/$Q78)</f>
        <v/>
      </c>
      <c r="Y78" s="17">
        <f>IF(OR($R78="",$T78="",$T78=0),"",$R78/($T78*IF($O78="",1,$O78)))</f>
        <v/>
      </c>
      <c r="Z78" s="17">
        <f>IF(OR($X78="",$P78="",$P78=0),"",$X78/$P78)</f>
        <v/>
      </c>
      <c r="AA78">
        <f>IF($J78="","待填怪物等级",IF(OR($I78="",$Q78=""),"待填对照关卡",IF($P78="","已计算",IF(AND($Y78&lt;&gt;"",$Y78&lt;$X78),"生存不成立",IF($Z78&lt;0.5,"碾压",IF($Z78&lt;0.8,"偏简单",IF($Z78&lt;=1.2,"适中",IF($Z78&lt;=1.5,"偏难","过难"))))))))</f>
        <v/>
      </c>
      <c r="AB78">
        <f>IF($J78="","待填",IF(AND(ISNUMBER($J78),$J78&gt;=1,$J78&lt;=500,MOD($J78,1)=0),"有效","超范围"))</f>
        <v/>
      </c>
      <c r="AC78">
        <f>IF(C78&lt;&gt;C77,"新玩法组",IF(J78&gt;=J77,"不降","回退"))</f>
        <v/>
      </c>
      <c r="AD78" t="inlineStr">
        <is>
          <t>等效进度估算S76，非解锁/首通节点；旧Lv163→127</t>
        </is>
      </c>
      <c r="AE78" s="4" t="n">
        <v>131000</v>
      </c>
      <c r="AF78" s="4">
        <f>INDEX(_统一战力!$B$2:$B$501,J78)</f>
        <v/>
      </c>
    </row>
    <row r="79">
      <c r="A79" t="inlineStr">
        <is>
          <t>当前源表</t>
        </is>
      </c>
      <c r="B79" t="inlineStr">
        <is>
          <t>其他战斗玩法</t>
        </is>
      </c>
      <c r="C79" t="inlineStr">
        <is>
          <t>LevelType_ExtraLevel</t>
        </is>
      </c>
      <c r="D79" t="inlineStr">
        <is>
          <t>钢舰破浪</t>
        </is>
      </c>
      <c r="E79" t="inlineStr">
        <is>
          <t>150503</t>
        </is>
      </c>
      <c r="F79" t="inlineStr">
        <is>
          <t>普通怪</t>
        </is>
      </c>
      <c r="G79" t="n">
        <v>77</v>
      </c>
      <c r="I79">
        <f>IF($H79="",$G79,$H79)</f>
        <v/>
      </c>
      <c r="J79" t="n">
        <v>129</v>
      </c>
      <c r="K79" s="83" t="n">
        <v>1.3</v>
      </c>
      <c r="L79" s="83" t="n">
        <v>1.3</v>
      </c>
      <c r="M79" s="83" t="n">
        <v>1</v>
      </c>
      <c r="N79" t="n">
        <v>1</v>
      </c>
      <c r="O79" t="n">
        <v>1</v>
      </c>
      <c r="P79" s="17" t="n">
        <v>0.361434723734176</v>
      </c>
      <c r="Q79" s="21">
        <f>IF($I79="","",IFERROR(INDEX(_玩家曲线!$H$2:$H$286,MATCH($I79,_玩家曲线!$A$2:$A$286,0)),""))</f>
        <v/>
      </c>
      <c r="R79" s="21">
        <f>IF($I79="","",IFERROR(INDEX(_玩家曲线!$I$2:$I$286,MATCH($I79,_玩家曲线!$A$2:$A$286,0)),""))</f>
        <v/>
      </c>
      <c r="S79" s="21">
        <f>IF(OR($J79="",$F79="不适用"),"",IFERROR(INDEX(_怪物模型!$D$2:$D$4501,(INT($J79)-1)*ROWS(_怪物类型!$A$2:$A$10)+MATCH($F79,_怪物类型!$A$2:$A$10,0))*IF($K79="",1,$K79),""))</f>
        <v/>
      </c>
      <c r="T79" s="21">
        <f>IF(OR($J79="",$F79="不适用"),"",IFERROR(INDEX(_怪物模型!$E$2:$E$4501,(INT($J79)-1)*ROWS(_怪物类型!$A$2:$A$10)+MATCH($F79,_怪物类型!$A$2:$A$10,0))*IF($L79="",1,$L79),""))</f>
        <v/>
      </c>
      <c r="U79" s="21">
        <f>IF(OR($J79="",$F79="不适用"),"",IFERROR(INDEX(_怪物模型!$F$2:$F$4501,(INT($J79)-1)*ROWS(_怪物类型!$A$2:$A$10)+MATCH($F79,_怪物类型!$A$2:$A$10,0))*IF($M79="",1,$M79),""))</f>
        <v/>
      </c>
      <c r="V79" s="84">
        <f>IF($U79="","",MIN(0.75,$U79/($U79+24000)))</f>
        <v/>
      </c>
      <c r="W79" s="21">
        <f>IF($S79="","",$S79/(1-$V79)*IF($N79="",1,$N79))</f>
        <v/>
      </c>
      <c r="X79" s="17">
        <f>IF(OR($W79="",$Q79="",$Q79=0),"",$W79/$Q79)</f>
        <v/>
      </c>
      <c r="Y79" s="17">
        <f>IF(OR($R79="",$T79="",$T79=0),"",$R79/($T79*IF($O79="",1,$O79)))</f>
        <v/>
      </c>
      <c r="Z79" s="17">
        <f>IF(OR($X79="",$P79="",$P79=0),"",$X79/$P79)</f>
        <v/>
      </c>
      <c r="AA79">
        <f>IF($J79="","待填怪物等级",IF(OR($I79="",$Q79=""),"待填对照关卡",IF($P79="","已计算",IF(AND($Y79&lt;&gt;"",$Y79&lt;$X79),"生存不成立",IF($Z79&lt;0.5,"碾压",IF($Z79&lt;0.8,"偏简单",IF($Z79&lt;=1.2,"适中",IF($Z79&lt;=1.5,"偏难","过难"))))))))</f>
        <v/>
      </c>
      <c r="AB79">
        <f>IF($J79="","待填",IF(AND(ISNUMBER($J79),$J79&gt;=1,$J79&lt;=500,MOD($J79,1)=0),"有效","超范围"))</f>
        <v/>
      </c>
      <c r="AC79">
        <f>IF(C79&lt;&gt;C78,"新玩法组",IF(J79&gt;=J78,"不降","回退"))</f>
        <v/>
      </c>
      <c r="AD79" t="inlineStr">
        <is>
          <t>等效进度估算S77，非解锁/首通节点；旧Lv165→129</t>
        </is>
      </c>
      <c r="AE79" s="4" t="n">
        <v>131000</v>
      </c>
      <c r="AF79" s="4">
        <f>INDEX(_统一战力!$B$2:$B$501,J79)</f>
        <v/>
      </c>
    </row>
    <row r="80">
      <c r="A80" t="inlineStr">
        <is>
          <t>当前源表</t>
        </is>
      </c>
      <c r="B80" t="inlineStr">
        <is>
          <t>其他战斗玩法</t>
        </is>
      </c>
      <c r="C80" t="inlineStr">
        <is>
          <t>LevelType_ExtraLevel</t>
        </is>
      </c>
      <c r="D80" t="inlineStr">
        <is>
          <t>雾海信号</t>
        </is>
      </c>
      <c r="E80" t="inlineStr">
        <is>
          <t>150504</t>
        </is>
      </c>
      <c r="F80" t="inlineStr">
        <is>
          <t>普通怪</t>
        </is>
      </c>
      <c r="G80" t="n">
        <v>78</v>
      </c>
      <c r="I80">
        <f>IF($H80="",$G80,$H80)</f>
        <v/>
      </c>
      <c r="J80" t="n">
        <v>131</v>
      </c>
      <c r="K80" s="83" t="n">
        <v>1.3</v>
      </c>
      <c r="L80" s="83" t="n">
        <v>1.3</v>
      </c>
      <c r="M80" s="83" t="n">
        <v>1</v>
      </c>
      <c r="N80" t="n">
        <v>1</v>
      </c>
      <c r="O80" t="n">
        <v>1</v>
      </c>
      <c r="P80" s="17" t="n">
        <v>0.363062762483342</v>
      </c>
      <c r="Q80" s="21">
        <f>IF($I80="","",IFERROR(INDEX(_玩家曲线!$H$2:$H$286,MATCH($I80,_玩家曲线!$A$2:$A$286,0)),""))</f>
        <v/>
      </c>
      <c r="R80" s="21">
        <f>IF($I80="","",IFERROR(INDEX(_玩家曲线!$I$2:$I$286,MATCH($I80,_玩家曲线!$A$2:$A$286,0)),""))</f>
        <v/>
      </c>
      <c r="S80" s="21">
        <f>IF(OR($J80="",$F80="不适用"),"",IFERROR(INDEX(_怪物模型!$D$2:$D$4501,(INT($J80)-1)*ROWS(_怪物类型!$A$2:$A$10)+MATCH($F80,_怪物类型!$A$2:$A$10,0))*IF($K80="",1,$K80),""))</f>
        <v/>
      </c>
      <c r="T80" s="21">
        <f>IF(OR($J80="",$F80="不适用"),"",IFERROR(INDEX(_怪物模型!$E$2:$E$4501,(INT($J80)-1)*ROWS(_怪物类型!$A$2:$A$10)+MATCH($F80,_怪物类型!$A$2:$A$10,0))*IF($L80="",1,$L80),""))</f>
        <v/>
      </c>
      <c r="U80" s="21">
        <f>IF(OR($J80="",$F80="不适用"),"",IFERROR(INDEX(_怪物模型!$F$2:$F$4501,(INT($J80)-1)*ROWS(_怪物类型!$A$2:$A$10)+MATCH($F80,_怪物类型!$A$2:$A$10,0))*IF($M80="",1,$M80),""))</f>
        <v/>
      </c>
      <c r="V80" s="84">
        <f>IF($U80="","",MIN(0.75,$U80/($U80+24000)))</f>
        <v/>
      </c>
      <c r="W80" s="21">
        <f>IF($S80="","",$S80/(1-$V80)*IF($N80="",1,$N80))</f>
        <v/>
      </c>
      <c r="X80" s="17">
        <f>IF(OR($W80="",$Q80="",$Q80=0),"",$W80/$Q80)</f>
        <v/>
      </c>
      <c r="Y80" s="17">
        <f>IF(OR($R80="",$T80="",$T80=0),"",$R80/($T80*IF($O80="",1,$O80)))</f>
        <v/>
      </c>
      <c r="Z80" s="17">
        <f>IF(OR($X80="",$P80="",$P80=0),"",$X80/$P80)</f>
        <v/>
      </c>
      <c r="AA80">
        <f>IF($J80="","待填怪物等级",IF(OR($I80="",$Q80=""),"待填对照关卡",IF($P80="","已计算",IF(AND($Y80&lt;&gt;"",$Y80&lt;$X80),"生存不成立",IF($Z80&lt;0.5,"碾压",IF($Z80&lt;0.8,"偏简单",IF($Z80&lt;=1.2,"适中",IF($Z80&lt;=1.5,"偏难","过难"))))))))</f>
        <v/>
      </c>
      <c r="AB80">
        <f>IF($J80="","待填",IF(AND(ISNUMBER($J80),$J80&gt;=1,$J80&lt;=500,MOD($J80,1)=0),"有效","超范围"))</f>
        <v/>
      </c>
      <c r="AC80">
        <f>IF(C80&lt;&gt;C79,"新玩法组",IF(J80&gt;=J79,"不降","回退"))</f>
        <v/>
      </c>
      <c r="AD80" t="inlineStr">
        <is>
          <t>等效进度估算S78，非解锁/首通节点；旧Lv167→131</t>
        </is>
      </c>
      <c r="AE80" s="4" t="n">
        <v>136000</v>
      </c>
      <c r="AF80" s="4">
        <f>INDEX(_统一战力!$B$2:$B$501,J80)</f>
        <v/>
      </c>
    </row>
    <row r="81">
      <c r="A81" t="inlineStr">
        <is>
          <t>当前源表</t>
        </is>
      </c>
      <c r="B81" t="inlineStr">
        <is>
          <t>其他战斗玩法</t>
        </is>
      </c>
      <c r="C81" t="inlineStr">
        <is>
          <t>LevelType_ExtraLevel</t>
        </is>
      </c>
      <c r="D81" t="inlineStr">
        <is>
          <t>空天猎鹰</t>
        </is>
      </c>
      <c r="E81" t="inlineStr">
        <is>
          <t>150505</t>
        </is>
      </c>
      <c r="F81" t="inlineStr">
        <is>
          <t>普通怪</t>
        </is>
      </c>
      <c r="G81" t="n">
        <v>79</v>
      </c>
      <c r="I81">
        <f>IF($H81="",$G81,$H81)</f>
        <v/>
      </c>
      <c r="J81" t="n">
        <v>132</v>
      </c>
      <c r="K81" s="83" t="n">
        <v>1.3</v>
      </c>
      <c r="L81" s="83" t="n">
        <v>1.3</v>
      </c>
      <c r="M81" s="83" t="n">
        <v>1</v>
      </c>
      <c r="N81" t="n">
        <v>1</v>
      </c>
      <c r="O81" t="n">
        <v>1</v>
      </c>
      <c r="P81" s="17" t="n">
        <v>0.364897941483171</v>
      </c>
      <c r="Q81" s="21">
        <f>IF($I81="","",IFERROR(INDEX(_玩家曲线!$H$2:$H$286,MATCH($I81,_玩家曲线!$A$2:$A$286,0)),""))</f>
        <v/>
      </c>
      <c r="R81" s="21">
        <f>IF($I81="","",IFERROR(INDEX(_玩家曲线!$I$2:$I$286,MATCH($I81,_玩家曲线!$A$2:$A$286,0)),""))</f>
        <v/>
      </c>
      <c r="S81" s="21">
        <f>IF(OR($J81="",$F81="不适用"),"",IFERROR(INDEX(_怪物模型!$D$2:$D$4501,(INT($J81)-1)*ROWS(_怪物类型!$A$2:$A$10)+MATCH($F81,_怪物类型!$A$2:$A$10,0))*IF($K81="",1,$K81),""))</f>
        <v/>
      </c>
      <c r="T81" s="21">
        <f>IF(OR($J81="",$F81="不适用"),"",IFERROR(INDEX(_怪物模型!$E$2:$E$4501,(INT($J81)-1)*ROWS(_怪物类型!$A$2:$A$10)+MATCH($F81,_怪物类型!$A$2:$A$10,0))*IF($L81="",1,$L81),""))</f>
        <v/>
      </c>
      <c r="U81" s="21">
        <f>IF(OR($J81="",$F81="不适用"),"",IFERROR(INDEX(_怪物模型!$F$2:$F$4501,(INT($J81)-1)*ROWS(_怪物类型!$A$2:$A$10)+MATCH($F81,_怪物类型!$A$2:$A$10,0))*IF($M81="",1,$M81),""))</f>
        <v/>
      </c>
      <c r="V81" s="84">
        <f>IF($U81="","",MIN(0.75,$U81/($U81+24000)))</f>
        <v/>
      </c>
      <c r="W81" s="21">
        <f>IF($S81="","",$S81/(1-$V81)*IF($N81="",1,$N81))</f>
        <v/>
      </c>
      <c r="X81" s="17">
        <f>IF(OR($W81="",$Q81="",$Q81=0),"",$W81/$Q81)</f>
        <v/>
      </c>
      <c r="Y81" s="17">
        <f>IF(OR($R81="",$T81="",$T81=0),"",$R81/($T81*IF($O81="",1,$O81)))</f>
        <v/>
      </c>
      <c r="Z81" s="17">
        <f>IF(OR($X81="",$P81="",$P81=0),"",$X81/$P81)</f>
        <v/>
      </c>
      <c r="AA81">
        <f>IF($J81="","待填怪物等级",IF(OR($I81="",$Q81=""),"待填对照关卡",IF($P81="","已计算",IF(AND($Y81&lt;&gt;"",$Y81&lt;$X81),"生存不成立",IF($Z81&lt;0.5,"碾压",IF($Z81&lt;0.8,"偏简单",IF($Z81&lt;=1.2,"适中",IF($Z81&lt;=1.5,"偏难","过难"))))))))</f>
        <v/>
      </c>
      <c r="AB81">
        <f>IF($J81="","待填",IF(AND(ISNUMBER($J81),$J81&gt;=1,$J81&lt;=500,MOD($J81,1)=0),"有效","超范围"))</f>
        <v/>
      </c>
      <c r="AC81">
        <f>IF(C81&lt;&gt;C80,"新玩法组",IF(J81&gt;=J80,"不降","回退"))</f>
        <v/>
      </c>
      <c r="AD81" t="inlineStr">
        <is>
          <t>等效进度估算S79，非解锁/首通节点；旧Lv169→132</t>
        </is>
      </c>
      <c r="AE81" s="4" t="n">
        <v>136000</v>
      </c>
      <c r="AF81" s="4">
        <f>INDEX(_统一战力!$B$2:$B$501,J81)</f>
        <v/>
      </c>
    </row>
    <row r="82">
      <c r="A82" t="inlineStr">
        <is>
          <t>当前源表</t>
        </is>
      </c>
      <c r="B82" t="inlineStr">
        <is>
          <t>其他战斗玩法</t>
        </is>
      </c>
      <c r="C82" t="inlineStr">
        <is>
          <t>LevelType_ExtraLevel</t>
        </is>
      </c>
      <c r="D82" t="inlineStr">
        <is>
          <t>舷炮共鸣</t>
        </is>
      </c>
      <c r="E82" t="inlineStr">
        <is>
          <t>150506</t>
        </is>
      </c>
      <c r="F82" t="inlineStr">
        <is>
          <t>普通怪</t>
        </is>
      </c>
      <c r="G82" t="n">
        <v>81</v>
      </c>
      <c r="I82">
        <f>IF($H82="",$G82,$H82)</f>
        <v/>
      </c>
      <c r="J82" t="n">
        <v>135</v>
      </c>
      <c r="K82" s="83" t="n">
        <v>1.3</v>
      </c>
      <c r="L82" s="83" t="n">
        <v>1.3</v>
      </c>
      <c r="M82" s="83" t="n">
        <v>1</v>
      </c>
      <c r="N82" t="n">
        <v>1</v>
      </c>
      <c r="O82" t="n">
        <v>1</v>
      </c>
      <c r="P82" s="17" t="n">
        <v>0.363279952219467</v>
      </c>
      <c r="Q82" s="21">
        <f>IF($I82="","",IFERROR(INDEX(_玩家曲线!$H$2:$H$286,MATCH($I82,_玩家曲线!$A$2:$A$286,0)),""))</f>
        <v/>
      </c>
      <c r="R82" s="21">
        <f>IF($I82="","",IFERROR(INDEX(_玩家曲线!$I$2:$I$286,MATCH($I82,_玩家曲线!$A$2:$A$286,0)),""))</f>
        <v/>
      </c>
      <c r="S82" s="21">
        <f>IF(OR($J82="",$F82="不适用"),"",IFERROR(INDEX(_怪物模型!$D$2:$D$4501,(INT($J82)-1)*ROWS(_怪物类型!$A$2:$A$10)+MATCH($F82,_怪物类型!$A$2:$A$10,0))*IF($K82="",1,$K82),""))</f>
        <v/>
      </c>
      <c r="T82" s="21">
        <f>IF(OR($J82="",$F82="不适用"),"",IFERROR(INDEX(_怪物模型!$E$2:$E$4501,(INT($J82)-1)*ROWS(_怪物类型!$A$2:$A$10)+MATCH($F82,_怪物类型!$A$2:$A$10,0))*IF($L82="",1,$L82),""))</f>
        <v/>
      </c>
      <c r="U82" s="21">
        <f>IF(OR($J82="",$F82="不适用"),"",IFERROR(INDEX(_怪物模型!$F$2:$F$4501,(INT($J82)-1)*ROWS(_怪物类型!$A$2:$A$10)+MATCH($F82,_怪物类型!$A$2:$A$10,0))*IF($M82="",1,$M82),""))</f>
        <v/>
      </c>
      <c r="V82" s="84">
        <f>IF($U82="","",MIN(0.75,$U82/($U82+24000)))</f>
        <v/>
      </c>
      <c r="W82" s="21">
        <f>IF($S82="","",$S82/(1-$V82)*IF($N82="",1,$N82))</f>
        <v/>
      </c>
      <c r="X82" s="17">
        <f>IF(OR($W82="",$Q82="",$Q82=0),"",$W82/$Q82)</f>
        <v/>
      </c>
      <c r="Y82" s="17">
        <f>IF(OR($R82="",$T82="",$T82=0),"",$R82/($T82*IF($O82="",1,$O82)))</f>
        <v/>
      </c>
      <c r="Z82" s="17">
        <f>IF(OR($X82="",$P82="",$P82=0),"",$X82/$P82)</f>
        <v/>
      </c>
      <c r="AA82">
        <f>IF($J82="","待填怪物等级",IF(OR($I82="",$Q82=""),"待填对照关卡",IF($P82="","已计算",IF(AND($Y82&lt;&gt;"",$Y82&lt;$X82),"生存不成立",IF($Z82&lt;0.5,"碾压",IF($Z82&lt;0.8,"偏简单",IF($Z82&lt;=1.2,"适中",IF($Z82&lt;=1.5,"偏难","过难"))))))))</f>
        <v/>
      </c>
      <c r="AB82">
        <f>IF($J82="","待填",IF(AND(ISNUMBER($J82),$J82&gt;=1,$J82&lt;=500,MOD($J82,1)=0),"有效","超范围"))</f>
        <v/>
      </c>
      <c r="AC82">
        <f>IF(C82&lt;&gt;C81,"新玩法组",IF(J82&gt;=J81,"不降","回退"))</f>
        <v/>
      </c>
      <c r="AD82" t="inlineStr">
        <is>
          <t>等效进度估算S81，非解锁/首通节点；旧Lv172→135</t>
        </is>
      </c>
      <c r="AE82" s="4" t="n">
        <v>142000</v>
      </c>
      <c r="AF82" s="4">
        <f>INDEX(_统一战力!$B$2:$B$501,J82)</f>
        <v/>
      </c>
    </row>
    <row r="83">
      <c r="A83" t="inlineStr">
        <is>
          <t>当前源表</t>
        </is>
      </c>
      <c r="B83" t="inlineStr">
        <is>
          <t>其他战斗玩法</t>
        </is>
      </c>
      <c r="C83" t="inlineStr">
        <is>
          <t>LevelType_ExtraLevel</t>
        </is>
      </c>
      <c r="D83" t="inlineStr">
        <is>
          <t>铁甲星骸</t>
        </is>
      </c>
      <c r="E83" t="n">
        <v>150510</v>
      </c>
      <c r="F83" t="inlineStr">
        <is>
          <t>普通怪</t>
        </is>
      </c>
      <c r="G83" t="n">
        <v>82</v>
      </c>
      <c r="I83">
        <f>IF($H83="",$G83,$H83)</f>
        <v/>
      </c>
      <c r="J83" t="n">
        <v>136</v>
      </c>
      <c r="K83" s="83" t="n">
        <v>1.3</v>
      </c>
      <c r="L83" s="83" t="n">
        <v>1.3</v>
      </c>
      <c r="M83" s="83" t="n">
        <v>1</v>
      </c>
      <c r="N83" t="n">
        <v>1</v>
      </c>
      <c r="O83" t="n">
        <v>1</v>
      </c>
      <c r="P83" s="17" t="n">
        <v>0.363279952219467</v>
      </c>
      <c r="Q83" s="21">
        <f>IF($I83="","",IFERROR(INDEX(_玩家曲线!$H$2:$H$286,MATCH($I83,_玩家曲线!$A$2:$A$286,0)),""))</f>
        <v/>
      </c>
      <c r="R83" s="21">
        <f>IF($I83="","",IFERROR(INDEX(_玩家曲线!$I$2:$I$286,MATCH($I83,_玩家曲线!$A$2:$A$286,0)),""))</f>
        <v/>
      </c>
      <c r="S83" s="21">
        <f>IF(OR($J83="",$F83="不适用"),"",IFERROR(INDEX(_怪物模型!$D$2:$D$4501,(INT($J83)-1)*ROWS(_怪物类型!$A$2:$A$10)+MATCH($F83,_怪物类型!$A$2:$A$10,0))*IF($K83="",1,$K83),""))</f>
        <v/>
      </c>
      <c r="T83" s="21">
        <f>IF(OR($J83="",$F83="不适用"),"",IFERROR(INDEX(_怪物模型!$E$2:$E$4501,(INT($J83)-1)*ROWS(_怪物类型!$A$2:$A$10)+MATCH($F83,_怪物类型!$A$2:$A$10,0))*IF($L83="",1,$L83),""))</f>
        <v/>
      </c>
      <c r="U83" s="21">
        <f>IF(OR($J83="",$F83="不适用"),"",IFERROR(INDEX(_怪物模型!$F$2:$F$4501,(INT($J83)-1)*ROWS(_怪物类型!$A$2:$A$10)+MATCH($F83,_怪物类型!$A$2:$A$10,0))*IF($M83="",1,$M83),""))</f>
        <v/>
      </c>
      <c r="V83" s="84">
        <f>IF($U83="","",MIN(0.75,$U83/($U83+24000)))</f>
        <v/>
      </c>
      <c r="W83" s="21">
        <f>IF($S83="","",$S83/(1-$V83)*IF($N83="",1,$N83))</f>
        <v/>
      </c>
      <c r="X83" s="17">
        <f>IF(OR($W83="",$Q83="",$Q83=0),"",$W83/$Q83)</f>
        <v/>
      </c>
      <c r="Y83" s="17">
        <f>IF(OR($R83="",$T83="",$T83=0),"",$R83/($T83*IF($O83="",1,$O83)))</f>
        <v/>
      </c>
      <c r="Z83" s="17">
        <f>IF(OR($X83="",$P83="",$P83=0),"",$X83/$P83)</f>
        <v/>
      </c>
      <c r="AA83">
        <f>IF($J83="","待填怪物等级",IF(OR($I83="",$Q83=""),"待填对照关卡",IF($P83="","已计算",IF(AND($Y83&lt;&gt;"",$Y83&lt;$X83),"生存不成立",IF($Z83&lt;0.5,"碾压",IF($Z83&lt;0.8,"偏简单",IF($Z83&lt;=1.2,"适中",IF($Z83&lt;=1.5,"偏难","过难"))))))))</f>
        <v/>
      </c>
      <c r="AB83">
        <f>IF($J83="","待填",IF(AND(ISNUMBER($J83),$J83&gt;=1,$J83&lt;=500,MOD($J83,1)=0),"有效","超范围"))</f>
        <v/>
      </c>
      <c r="AC83">
        <f>IF(C83&lt;&gt;C82,"新玩法组",IF(J83&gt;=J82,"不降","回退"))</f>
        <v/>
      </c>
      <c r="AE83" s="4" t="n">
        <v>142000</v>
      </c>
      <c r="AF83" s="4">
        <f>INDEX(_统一战力!$B$2:$B$501,J83)</f>
        <v/>
      </c>
    </row>
    <row r="84">
      <c r="A84" t="inlineStr">
        <is>
          <t>当前源表</t>
        </is>
      </c>
      <c r="B84" t="inlineStr">
        <is>
          <t>其他战斗玩法</t>
        </is>
      </c>
      <c r="C84" t="inlineStr">
        <is>
          <t>LevelType_ExtraLevel</t>
        </is>
      </c>
      <c r="D84" t="inlineStr">
        <is>
          <t>舰群协同</t>
        </is>
      </c>
      <c r="E84" t="n">
        <v>150511</v>
      </c>
      <c r="F84" t="inlineStr">
        <is>
          <t>普通怪</t>
        </is>
      </c>
      <c r="G84" t="n">
        <v>83</v>
      </c>
      <c r="I84">
        <f>IF($H84="",$G84,$H84)</f>
        <v/>
      </c>
      <c r="J84" t="n">
        <v>137</v>
      </c>
      <c r="K84" s="83" t="n">
        <v>1.3</v>
      </c>
      <c r="L84" s="83" t="n">
        <v>1.3</v>
      </c>
      <c r="M84" s="83" t="n">
        <v>1</v>
      </c>
      <c r="N84" t="n">
        <v>1</v>
      </c>
      <c r="O84" t="n">
        <v>1</v>
      </c>
      <c r="P84" s="17" t="n">
        <v>0.363279952219467</v>
      </c>
      <c r="Q84" s="21">
        <f>IF($I84="","",IFERROR(INDEX(_玩家曲线!$H$2:$H$286,MATCH($I84,_玩家曲线!$A$2:$A$286,0)),""))</f>
        <v/>
      </c>
      <c r="R84" s="21">
        <f>IF($I84="","",IFERROR(INDEX(_玩家曲线!$I$2:$I$286,MATCH($I84,_玩家曲线!$A$2:$A$286,0)),""))</f>
        <v/>
      </c>
      <c r="S84" s="21">
        <f>IF(OR($J84="",$F84="不适用"),"",IFERROR(INDEX(_怪物模型!$D$2:$D$4501,(INT($J84)-1)*ROWS(_怪物类型!$A$2:$A$10)+MATCH($F84,_怪物类型!$A$2:$A$10,0))*IF($K84="",1,$K84),""))</f>
        <v/>
      </c>
      <c r="T84" s="21">
        <f>IF(OR($J84="",$F84="不适用"),"",IFERROR(INDEX(_怪物模型!$E$2:$E$4501,(INT($J84)-1)*ROWS(_怪物类型!$A$2:$A$10)+MATCH($F84,_怪物类型!$A$2:$A$10,0))*IF($L84="",1,$L84),""))</f>
        <v/>
      </c>
      <c r="U84" s="21">
        <f>IF(OR($J84="",$F84="不适用"),"",IFERROR(INDEX(_怪物模型!$F$2:$F$4501,(INT($J84)-1)*ROWS(_怪物类型!$A$2:$A$10)+MATCH($F84,_怪物类型!$A$2:$A$10,0))*IF($M84="",1,$M84),""))</f>
        <v/>
      </c>
      <c r="V84" s="84">
        <f>IF($U84="","",MIN(0.75,$U84/($U84+24000)))</f>
        <v/>
      </c>
      <c r="W84" s="21">
        <f>IF($S84="","",$S84/(1-$V84)*IF($N84="",1,$N84))</f>
        <v/>
      </c>
      <c r="X84" s="17">
        <f>IF(OR($W84="",$Q84="",$Q84=0),"",$W84/$Q84)</f>
        <v/>
      </c>
      <c r="Y84" s="17">
        <f>IF(OR($R84="",$T84="",$T84=0),"",$R84/($T84*IF($O84="",1,$O84)))</f>
        <v/>
      </c>
      <c r="Z84" s="17">
        <f>IF(OR($X84="",$P84="",$P84=0),"",$X84/$P84)</f>
        <v/>
      </c>
      <c r="AA84">
        <f>IF($J84="","待填怪物等级",IF(OR($I84="",$Q84=""),"待填对照关卡",IF($P84="","已计算",IF(AND($Y84&lt;&gt;"",$Y84&lt;$X84),"生存不成立",IF($Z84&lt;0.5,"碾压",IF($Z84&lt;0.8,"偏简单",IF($Z84&lt;=1.2,"适中",IF($Z84&lt;=1.5,"偏难","过难"))))))))</f>
        <v/>
      </c>
      <c r="AB84">
        <f>IF($J84="","待填",IF(AND(ISNUMBER($J84),$J84&gt;=1,$J84&lt;=500,MOD($J84,1)=0),"有效","超范围"))</f>
        <v/>
      </c>
      <c r="AC84">
        <f>IF(C84&lt;&gt;C83,"新玩法组",IF(J84&gt;=J83,"不降","回退"))</f>
        <v/>
      </c>
      <c r="AE84" s="4" t="n">
        <v>147000</v>
      </c>
      <c r="AF84" s="4">
        <f>INDEX(_统一战力!$B$2:$B$501,J84)</f>
        <v/>
      </c>
    </row>
    <row r="85">
      <c r="A85" t="inlineStr">
        <is>
          <t>当前源表</t>
        </is>
      </c>
      <c r="B85" t="inlineStr">
        <is>
          <t>其他战斗玩法</t>
        </is>
      </c>
      <c r="C85" t="inlineStr">
        <is>
          <t>LevelType_ExtraLevel</t>
        </is>
      </c>
      <c r="D85" t="inlineStr">
        <is>
          <t>破晓炮轰</t>
        </is>
      </c>
      <c r="E85" t="n">
        <v>150512</v>
      </c>
      <c r="F85" t="inlineStr">
        <is>
          <t>普通怪</t>
        </is>
      </c>
      <c r="G85" t="n">
        <v>84</v>
      </c>
      <c r="I85">
        <f>IF($H85="",$G85,$H85)</f>
        <v/>
      </c>
      <c r="J85" t="n">
        <v>138</v>
      </c>
      <c r="K85" s="83" t="n">
        <v>1.3</v>
      </c>
      <c r="L85" s="83" t="n">
        <v>1.3</v>
      </c>
      <c r="M85" s="83" t="n">
        <v>1</v>
      </c>
      <c r="N85" t="n">
        <v>1</v>
      </c>
      <c r="O85" t="n">
        <v>1</v>
      </c>
      <c r="P85" s="17" t="n">
        <v>0.363279952219467</v>
      </c>
      <c r="Q85" s="21">
        <f>IF($I85="","",IFERROR(INDEX(_玩家曲线!$H$2:$H$286,MATCH($I85,_玩家曲线!$A$2:$A$286,0)),""))</f>
        <v/>
      </c>
      <c r="R85" s="21">
        <f>IF($I85="","",IFERROR(INDEX(_玩家曲线!$I$2:$I$286,MATCH($I85,_玩家曲线!$A$2:$A$286,0)),""))</f>
        <v/>
      </c>
      <c r="S85" s="21">
        <f>IF(OR($J85="",$F85="不适用"),"",IFERROR(INDEX(_怪物模型!$D$2:$D$4501,(INT($J85)-1)*ROWS(_怪物类型!$A$2:$A$10)+MATCH($F85,_怪物类型!$A$2:$A$10,0))*IF($K85="",1,$K85),""))</f>
        <v/>
      </c>
      <c r="T85" s="21">
        <f>IF(OR($J85="",$F85="不适用"),"",IFERROR(INDEX(_怪物模型!$E$2:$E$4501,(INT($J85)-1)*ROWS(_怪物类型!$A$2:$A$10)+MATCH($F85,_怪物类型!$A$2:$A$10,0))*IF($L85="",1,$L85),""))</f>
        <v/>
      </c>
      <c r="U85" s="21">
        <f>IF(OR($J85="",$F85="不适用"),"",IFERROR(INDEX(_怪物模型!$F$2:$F$4501,(INT($J85)-1)*ROWS(_怪物类型!$A$2:$A$10)+MATCH($F85,_怪物类型!$A$2:$A$10,0))*IF($M85="",1,$M85),""))</f>
        <v/>
      </c>
      <c r="V85" s="84">
        <f>IF($U85="","",MIN(0.75,$U85/($U85+24000)))</f>
        <v/>
      </c>
      <c r="W85" s="21">
        <f>IF($S85="","",$S85/(1-$V85)*IF($N85="",1,$N85))</f>
        <v/>
      </c>
      <c r="X85" s="17">
        <f>IF(OR($W85="",$Q85="",$Q85=0),"",$W85/$Q85)</f>
        <v/>
      </c>
      <c r="Y85" s="17">
        <f>IF(OR($R85="",$T85="",$T85=0),"",$R85/($T85*IF($O85="",1,$O85)))</f>
        <v/>
      </c>
      <c r="Z85" s="17">
        <f>IF(OR($X85="",$P85="",$P85=0),"",$X85/$P85)</f>
        <v/>
      </c>
      <c r="AA85">
        <f>IF($J85="","待填怪物等级",IF(OR($I85="",$Q85=""),"待填对照关卡",IF($P85="","已计算",IF(AND($Y85&lt;&gt;"",$Y85&lt;$X85),"生存不成立",IF($Z85&lt;0.5,"碾压",IF($Z85&lt;0.8,"偏简单",IF($Z85&lt;=1.2,"适中",IF($Z85&lt;=1.5,"偏难","过难"))))))))</f>
        <v/>
      </c>
      <c r="AB85">
        <f>IF($J85="","待填",IF(AND(ISNUMBER($J85),$J85&gt;=1,$J85&lt;=500,MOD($J85,1)=0),"有效","超范围"))</f>
        <v/>
      </c>
      <c r="AC85">
        <f>IF(C85&lt;&gt;C84,"新玩法组",IF(J85&gt;=J84,"不降","回退"))</f>
        <v/>
      </c>
      <c r="AE85" s="4" t="n">
        <v>147000</v>
      </c>
      <c r="AF85" s="4">
        <f>INDEX(_统一战力!$B$2:$B$501,J85)</f>
        <v/>
      </c>
    </row>
    <row r="86">
      <c r="A86" t="inlineStr">
        <is>
          <t>当前源表</t>
        </is>
      </c>
      <c r="B86" t="inlineStr">
        <is>
          <t>其他战斗玩法</t>
        </is>
      </c>
      <c r="C86" t="inlineStr">
        <is>
          <t>LevelType_ExtraLevel</t>
        </is>
      </c>
      <c r="D86" t="inlineStr">
        <is>
          <t>深蓝智胜</t>
        </is>
      </c>
      <c r="E86" t="n">
        <v>150513</v>
      </c>
      <c r="F86" t="inlineStr">
        <is>
          <t>普通怪</t>
        </is>
      </c>
      <c r="G86" t="n">
        <v>85</v>
      </c>
      <c r="I86">
        <f>IF($H86="",$G86,$H86)</f>
        <v/>
      </c>
      <c r="J86" t="n">
        <v>139</v>
      </c>
      <c r="K86" s="83" t="n">
        <v>1.3</v>
      </c>
      <c r="L86" s="83" t="n">
        <v>1.3</v>
      </c>
      <c r="M86" s="83" t="n">
        <v>1</v>
      </c>
      <c r="N86" t="n">
        <v>1</v>
      </c>
      <c r="O86" t="n">
        <v>1</v>
      </c>
      <c r="P86" s="17" t="n">
        <v>0.363279952219467</v>
      </c>
      <c r="Q86" s="21">
        <f>IF($I86="","",IFERROR(INDEX(_玩家曲线!$H$2:$H$286,MATCH($I86,_玩家曲线!$A$2:$A$286,0)),""))</f>
        <v/>
      </c>
      <c r="R86" s="21">
        <f>IF($I86="","",IFERROR(INDEX(_玩家曲线!$I$2:$I$286,MATCH($I86,_玩家曲线!$A$2:$A$286,0)),""))</f>
        <v/>
      </c>
      <c r="S86" s="21">
        <f>IF(OR($J86="",$F86="不适用"),"",IFERROR(INDEX(_怪物模型!$D$2:$D$4501,(INT($J86)-1)*ROWS(_怪物类型!$A$2:$A$10)+MATCH($F86,_怪物类型!$A$2:$A$10,0))*IF($K86="",1,$K86),""))</f>
        <v/>
      </c>
      <c r="T86" s="21">
        <f>IF(OR($J86="",$F86="不适用"),"",IFERROR(INDEX(_怪物模型!$E$2:$E$4501,(INT($J86)-1)*ROWS(_怪物类型!$A$2:$A$10)+MATCH($F86,_怪物类型!$A$2:$A$10,0))*IF($L86="",1,$L86),""))</f>
        <v/>
      </c>
      <c r="U86" s="21">
        <f>IF(OR($J86="",$F86="不适用"),"",IFERROR(INDEX(_怪物模型!$F$2:$F$4501,(INT($J86)-1)*ROWS(_怪物类型!$A$2:$A$10)+MATCH($F86,_怪物类型!$A$2:$A$10,0))*IF($M86="",1,$M86),""))</f>
        <v/>
      </c>
      <c r="V86" s="84">
        <f>IF($U86="","",MIN(0.75,$U86/($U86+24000)))</f>
        <v/>
      </c>
      <c r="W86" s="21">
        <f>IF($S86="","",$S86/(1-$V86)*IF($N86="",1,$N86))</f>
        <v/>
      </c>
      <c r="X86" s="17">
        <f>IF(OR($W86="",$Q86="",$Q86=0),"",$W86/$Q86)</f>
        <v/>
      </c>
      <c r="Y86" s="17">
        <f>IF(OR($R86="",$T86="",$T86=0),"",$R86/($T86*IF($O86="",1,$O86)))</f>
        <v/>
      </c>
      <c r="Z86" s="17">
        <f>IF(OR($X86="",$P86="",$P86=0),"",$X86/$P86)</f>
        <v/>
      </c>
      <c r="AA86">
        <f>IF($J86="","待填怪物等级",IF(OR($I86="",$Q86=""),"待填对照关卡",IF($P86="","已计算",IF(AND($Y86&lt;&gt;"",$Y86&lt;$X86),"生存不成立",IF($Z86&lt;0.5,"碾压",IF($Z86&lt;0.8,"偏简单",IF($Z86&lt;=1.2,"适中",IF($Z86&lt;=1.5,"偏难","过难"))))))))</f>
        <v/>
      </c>
      <c r="AB86">
        <f>IF($J86="","待填",IF(AND(ISNUMBER($J86),$J86&gt;=1,$J86&lt;=500,MOD($J86,1)=0),"有效","超范围"))</f>
        <v/>
      </c>
      <c r="AC86">
        <f>IF(C86&lt;&gt;C85,"新玩法组",IF(J86&gt;=J85,"不降","回退"))</f>
        <v/>
      </c>
      <c r="AE86" s="4" t="n">
        <v>151000</v>
      </c>
      <c r="AF86" s="4">
        <f>INDEX(_统一战力!$B$2:$B$501,J86)</f>
        <v/>
      </c>
    </row>
    <row r="87">
      <c r="A87" t="inlineStr">
        <is>
          <t>当前源表</t>
        </is>
      </c>
      <c r="B87" t="inlineStr">
        <is>
          <t>其他战斗玩法</t>
        </is>
      </c>
      <c r="C87" t="inlineStr">
        <is>
          <t>LevelType_ExtraLevel</t>
        </is>
      </c>
      <c r="D87" t="inlineStr">
        <is>
          <t>舰艏破障</t>
        </is>
      </c>
      <c r="E87" t="n">
        <v>150514</v>
      </c>
      <c r="F87" t="inlineStr">
        <is>
          <t>普通怪</t>
        </is>
      </c>
      <c r="G87" t="n">
        <v>86</v>
      </c>
      <c r="I87">
        <f>IF($H87="",$G87,$H87)</f>
        <v/>
      </c>
      <c r="J87" t="n">
        <v>140</v>
      </c>
      <c r="K87" s="83" t="n">
        <v>1.3</v>
      </c>
      <c r="L87" s="83" t="n">
        <v>1.3</v>
      </c>
      <c r="M87" s="83" t="n">
        <v>1</v>
      </c>
      <c r="N87" t="n">
        <v>1</v>
      </c>
      <c r="O87" t="n">
        <v>1</v>
      </c>
      <c r="P87" s="17" t="n">
        <v>0.363279952219467</v>
      </c>
      <c r="Q87" s="21">
        <f>IF($I87="","",IFERROR(INDEX(_玩家曲线!$H$2:$H$286,MATCH($I87,_玩家曲线!$A$2:$A$286,0)),""))</f>
        <v/>
      </c>
      <c r="R87" s="21">
        <f>IF($I87="","",IFERROR(INDEX(_玩家曲线!$I$2:$I$286,MATCH($I87,_玩家曲线!$A$2:$A$286,0)),""))</f>
        <v/>
      </c>
      <c r="S87" s="21">
        <f>IF(OR($J87="",$F87="不适用"),"",IFERROR(INDEX(_怪物模型!$D$2:$D$4501,(INT($J87)-1)*ROWS(_怪物类型!$A$2:$A$10)+MATCH($F87,_怪物类型!$A$2:$A$10,0))*IF($K87="",1,$K87),""))</f>
        <v/>
      </c>
      <c r="T87" s="21">
        <f>IF(OR($J87="",$F87="不适用"),"",IFERROR(INDEX(_怪物模型!$E$2:$E$4501,(INT($J87)-1)*ROWS(_怪物类型!$A$2:$A$10)+MATCH($F87,_怪物类型!$A$2:$A$10,0))*IF($L87="",1,$L87),""))</f>
        <v/>
      </c>
      <c r="U87" s="21">
        <f>IF(OR($J87="",$F87="不适用"),"",IFERROR(INDEX(_怪物模型!$F$2:$F$4501,(INT($J87)-1)*ROWS(_怪物类型!$A$2:$A$10)+MATCH($F87,_怪物类型!$A$2:$A$10,0))*IF($M87="",1,$M87),""))</f>
        <v/>
      </c>
      <c r="V87" s="84">
        <f>IF($U87="","",MIN(0.75,$U87/($U87+24000)))</f>
        <v/>
      </c>
      <c r="W87" s="21">
        <f>IF($S87="","",$S87/(1-$V87)*IF($N87="",1,$N87))</f>
        <v/>
      </c>
      <c r="X87" s="17">
        <f>IF(OR($W87="",$Q87="",$Q87=0),"",$W87/$Q87)</f>
        <v/>
      </c>
      <c r="Y87" s="17">
        <f>IF(OR($R87="",$T87="",$T87=0),"",$R87/($T87*IF($O87="",1,$O87)))</f>
        <v/>
      </c>
      <c r="Z87" s="17">
        <f>IF(OR($X87="",$P87="",$P87=0),"",$X87/$P87)</f>
        <v/>
      </c>
      <c r="AA87">
        <f>IF($J87="","待填怪物等级",IF(OR($I87="",$Q87=""),"待填对照关卡",IF($P87="","已计算",IF(AND($Y87&lt;&gt;"",$Y87&lt;$X87),"生存不成立",IF($Z87&lt;0.5,"碾压",IF($Z87&lt;0.8,"偏简单",IF($Z87&lt;=1.2,"适中",IF($Z87&lt;=1.5,"偏难","过难"))))))))</f>
        <v/>
      </c>
      <c r="AB87">
        <f>IF($J87="","待填",IF(AND(ISNUMBER($J87),$J87&gt;=1,$J87&lt;=500,MOD($J87,1)=0),"有效","超范围"))</f>
        <v/>
      </c>
      <c r="AC87">
        <f>IF(C87&lt;&gt;C86,"新玩法组",IF(J87&gt;=J86,"不降","回退"))</f>
        <v/>
      </c>
      <c r="AE87" s="4" t="n">
        <v>151000</v>
      </c>
      <c r="AF87" s="4">
        <f>INDEX(_统一战力!$B$2:$B$501,J87)</f>
        <v/>
      </c>
    </row>
    <row r="88">
      <c r="A88" t="inlineStr">
        <is>
          <t>当前源表</t>
        </is>
      </c>
      <c r="B88" t="inlineStr">
        <is>
          <t>其他战斗玩法</t>
        </is>
      </c>
      <c r="C88" t="inlineStr">
        <is>
          <t>LevelType_ExtraLevel</t>
        </is>
      </c>
      <c r="D88" t="inlineStr">
        <is>
          <t>星海归航</t>
        </is>
      </c>
      <c r="E88" t="n">
        <v>150515</v>
      </c>
      <c r="F88" t="inlineStr">
        <is>
          <t>普通怪</t>
        </is>
      </c>
      <c r="G88" t="n">
        <v>87</v>
      </c>
      <c r="I88">
        <f>IF($H88="",$G88,$H88)</f>
        <v/>
      </c>
      <c r="J88" t="n">
        <v>141</v>
      </c>
      <c r="K88" s="83" t="n">
        <v>1.3</v>
      </c>
      <c r="L88" s="83" t="n">
        <v>1.3</v>
      </c>
      <c r="M88" s="83" t="n">
        <v>1</v>
      </c>
      <c r="N88" t="n">
        <v>1</v>
      </c>
      <c r="O88" t="n">
        <v>1</v>
      </c>
      <c r="P88" s="17" t="n">
        <v>0.363279952219467</v>
      </c>
      <c r="Q88" s="21">
        <f>IF($I88="","",IFERROR(INDEX(_玩家曲线!$H$2:$H$286,MATCH($I88,_玩家曲线!$A$2:$A$286,0)),""))</f>
        <v/>
      </c>
      <c r="R88" s="21">
        <f>IF($I88="","",IFERROR(INDEX(_玩家曲线!$I$2:$I$286,MATCH($I88,_玩家曲线!$A$2:$A$286,0)),""))</f>
        <v/>
      </c>
      <c r="S88" s="21">
        <f>IF(OR($J88="",$F88="不适用"),"",IFERROR(INDEX(_怪物模型!$D$2:$D$4501,(INT($J88)-1)*ROWS(_怪物类型!$A$2:$A$10)+MATCH($F88,_怪物类型!$A$2:$A$10,0))*IF($K88="",1,$K88),""))</f>
        <v/>
      </c>
      <c r="T88" s="21">
        <f>IF(OR($J88="",$F88="不适用"),"",IFERROR(INDEX(_怪物模型!$E$2:$E$4501,(INT($J88)-1)*ROWS(_怪物类型!$A$2:$A$10)+MATCH($F88,_怪物类型!$A$2:$A$10,0))*IF($L88="",1,$L88),""))</f>
        <v/>
      </c>
      <c r="U88" s="21">
        <f>IF(OR($J88="",$F88="不适用"),"",IFERROR(INDEX(_怪物模型!$F$2:$F$4501,(INT($J88)-1)*ROWS(_怪物类型!$A$2:$A$10)+MATCH($F88,_怪物类型!$A$2:$A$10,0))*IF($M88="",1,$M88),""))</f>
        <v/>
      </c>
      <c r="V88" s="84">
        <f>IF($U88="","",MIN(0.75,$U88/($U88+24000)))</f>
        <v/>
      </c>
      <c r="W88" s="21">
        <f>IF($S88="","",$S88/(1-$V88)*IF($N88="",1,$N88))</f>
        <v/>
      </c>
      <c r="X88" s="17">
        <f>IF(OR($W88="",$Q88="",$Q88=0),"",$W88/$Q88)</f>
        <v/>
      </c>
      <c r="Y88" s="17">
        <f>IF(OR($R88="",$T88="",$T88=0),"",$R88/($T88*IF($O88="",1,$O88)))</f>
        <v/>
      </c>
      <c r="Z88" s="17">
        <f>IF(OR($X88="",$P88="",$P88=0),"",$X88/$P88)</f>
        <v/>
      </c>
      <c r="AA88">
        <f>IF($J88="","待填怪物等级",IF(OR($I88="",$Q88=""),"待填对照关卡",IF($P88="","已计算",IF(AND($Y88&lt;&gt;"",$Y88&lt;$X88),"生存不成立",IF($Z88&lt;0.5,"碾压",IF($Z88&lt;0.8,"偏简单",IF($Z88&lt;=1.2,"适中",IF($Z88&lt;=1.5,"偏难","过难"))))))))</f>
        <v/>
      </c>
      <c r="AB88">
        <f>IF($J88="","待填",IF(AND(ISNUMBER($J88),$J88&gt;=1,$J88&lt;=500,MOD($J88,1)=0),"有效","超范围"))</f>
        <v/>
      </c>
      <c r="AC88">
        <f>IF(C88&lt;&gt;C87,"新玩法组",IF(J88&gt;=J87,"不降","回退"))</f>
        <v/>
      </c>
      <c r="AE88" s="4" t="n">
        <v>151000</v>
      </c>
      <c r="AF88" s="4">
        <f>INDEX(_统一战力!$B$2:$B$501,J88)</f>
        <v/>
      </c>
    </row>
    <row r="89">
      <c r="A89" t="inlineStr">
        <is>
          <t>当前源表</t>
        </is>
      </c>
      <c r="B89" t="inlineStr">
        <is>
          <t>其他战斗玩法</t>
        </is>
      </c>
      <c r="C89" t="inlineStr">
        <is>
          <t>LevelType_GuilidBoss</t>
        </is>
      </c>
      <c r="D89" t="inlineStr">
        <is>
          <t>雪怪王 难度1</t>
        </is>
      </c>
      <c r="E89" t="inlineStr">
        <is>
          <t>610001</t>
        </is>
      </c>
      <c r="F89" t="inlineStr">
        <is>
          <t>Boss</t>
        </is>
      </c>
      <c r="G89" t="n">
        <v>42</v>
      </c>
      <c r="I89">
        <f>IF($H89="",$G89,$H89)</f>
        <v/>
      </c>
      <c r="J89" t="n">
        <v>77</v>
      </c>
      <c r="K89" s="83" t="n">
        <v>1.11351927098001</v>
      </c>
      <c r="L89" s="83" t="n">
        <v>0.759882016946184</v>
      </c>
      <c r="M89" s="83" t="n">
        <v>1</v>
      </c>
      <c r="N89" t="n">
        <v>1</v>
      </c>
      <c r="O89" t="n">
        <v>1</v>
      </c>
      <c r="P89" s="17" t="n">
        <v>36.1515757283703</v>
      </c>
      <c r="Q89" s="21">
        <f>IF($I89="","",IFERROR(INDEX(_玩家曲线!$H$2:$H$286,MATCH($I89,_玩家曲线!$A$2:$A$286,0)),""))</f>
        <v/>
      </c>
      <c r="R89" s="21">
        <f>IF($I89="","",IFERROR(INDEX(_玩家曲线!$I$2:$I$286,MATCH($I89,_玩家曲线!$A$2:$A$286,0)),""))</f>
        <v/>
      </c>
      <c r="S89" s="21">
        <f>IF(OR($J89="",$F89="不适用"),"",IFERROR(INDEX(_怪物模型!$D$2:$D$4501,(INT($J89)-1)*ROWS(_怪物类型!$A$2:$A$10)+MATCH($F89,_怪物类型!$A$2:$A$10,0))*IF($K89="",1,$K89),""))</f>
        <v/>
      </c>
      <c r="T89" s="21">
        <f>IF(OR($J89="",$F89="不适用"),"",IFERROR(INDEX(_怪物模型!$E$2:$E$4501,(INT($J89)-1)*ROWS(_怪物类型!$A$2:$A$10)+MATCH($F89,_怪物类型!$A$2:$A$10,0))*IF($L89="",1,$L89),""))</f>
        <v/>
      </c>
      <c r="U89" s="21">
        <f>IF(OR($J89="",$F89="不适用"),"",IFERROR(INDEX(_怪物模型!$F$2:$F$4501,(INT($J89)-1)*ROWS(_怪物类型!$A$2:$A$10)+MATCH($F89,_怪物类型!$A$2:$A$10,0))*IF($M89="",1,$M89),""))</f>
        <v/>
      </c>
      <c r="V89" s="84">
        <f>IF($U89="","",MIN(0.75,$U89/($U89+24000)))</f>
        <v/>
      </c>
      <c r="W89" s="21">
        <f>IF($S89="","",$S89/(1-$V89)*IF($N89="",1,$N89))</f>
        <v/>
      </c>
      <c r="X89" s="17">
        <f>IF(OR($W89="",$Q89="",$Q89=0),"",$W89/$Q89)</f>
        <v/>
      </c>
      <c r="Y89" s="17">
        <f>IF(OR($R89="",$T89="",$T89=0),"",$R89/($T89*IF($O89="",1,$O89)))</f>
        <v/>
      </c>
      <c r="Z89" s="17">
        <f>IF(OR($X89="",$P89="",$P89=0),"",$X89/$P89)</f>
        <v/>
      </c>
      <c r="AA89">
        <f>IF($J89="","待填怪物等级",IF(OR($I89="",$Q89=""),"待填对照关卡",IF($P89="","已计算",IF(AND($Y89&lt;&gt;"",$Y89&lt;$X89),"生存不成立",IF($Z89&lt;0.5,"碾压",IF($Z89&lt;0.8,"偏简单",IF($Z89&lt;=1.2,"适中",IF($Z89&lt;=1.5,"偏难","过难"))))))))</f>
        <v/>
      </c>
      <c r="AB89">
        <f>IF($J89="","待填",IF(AND(ISNUMBER($J89),$J89&gt;=1,$J89&lt;=500,MOD($J89,1)=0),"有效","超范围"))</f>
        <v/>
      </c>
      <c r="AC89">
        <f>IF(C89&lt;&gt;C82,"新玩法组",IF(J89&gt;=J82,"不降","回退"))</f>
        <v/>
      </c>
      <c r="AD89" t="inlineStr">
        <is>
          <t>等效进度估算S42，非解锁/首通节点；旧Lv96→77</t>
        </is>
      </c>
      <c r="AE89" s="4" t="n">
        <v>43300</v>
      </c>
      <c r="AF89" s="4">
        <f>INDEX(_统一战力!$B$2:$B$501,J89)</f>
        <v/>
      </c>
    </row>
    <row r="90">
      <c r="A90" t="inlineStr">
        <is>
          <t>当前源表</t>
        </is>
      </c>
      <c r="B90" t="inlineStr">
        <is>
          <t>其他战斗玩法</t>
        </is>
      </c>
      <c r="C90" t="inlineStr">
        <is>
          <t>LevelType_GuilidBoss</t>
        </is>
      </c>
      <c r="D90" t="inlineStr">
        <is>
          <t>莫尔拉 难度1</t>
        </is>
      </c>
      <c r="E90" t="inlineStr">
        <is>
          <t>610101</t>
        </is>
      </c>
      <c r="F90" t="inlineStr">
        <is>
          <t>Boss</t>
        </is>
      </c>
      <c r="G90" t="n">
        <v>42</v>
      </c>
      <c r="I90">
        <f>IF($H90="",$G90,$H90)</f>
        <v/>
      </c>
      <c r="J90" t="n">
        <v>77</v>
      </c>
      <c r="K90" s="83" t="n">
        <v>1.11351927098001</v>
      </c>
      <c r="L90" s="83" t="n">
        <v>0.759882016946184</v>
      </c>
      <c r="M90" s="83" t="n">
        <v>1</v>
      </c>
      <c r="N90" t="n">
        <v>1</v>
      </c>
      <c r="O90" t="n">
        <v>1</v>
      </c>
      <c r="P90" s="17" t="n">
        <v>36.1515757283703</v>
      </c>
      <c r="Q90" s="21">
        <f>IF($I90="","",IFERROR(INDEX(_玩家曲线!$H$2:$H$286,MATCH($I90,_玩家曲线!$A$2:$A$286,0)),""))</f>
        <v/>
      </c>
      <c r="R90" s="21">
        <f>IF($I90="","",IFERROR(INDEX(_玩家曲线!$I$2:$I$286,MATCH($I90,_玩家曲线!$A$2:$A$286,0)),""))</f>
        <v/>
      </c>
      <c r="S90" s="21">
        <f>IF(OR($J90="",$F90="不适用"),"",IFERROR(INDEX(_怪物模型!$D$2:$D$4501,(INT($J90)-1)*ROWS(_怪物类型!$A$2:$A$10)+MATCH($F90,_怪物类型!$A$2:$A$10,0))*IF($K90="",1,$K90),""))</f>
        <v/>
      </c>
      <c r="T90" s="21">
        <f>IF(OR($J90="",$F90="不适用"),"",IFERROR(INDEX(_怪物模型!$E$2:$E$4501,(INT($J90)-1)*ROWS(_怪物类型!$A$2:$A$10)+MATCH($F90,_怪物类型!$A$2:$A$10,0))*IF($L90="",1,$L90),""))</f>
        <v/>
      </c>
      <c r="U90" s="21">
        <f>IF(OR($J90="",$F90="不适用"),"",IFERROR(INDEX(_怪物模型!$F$2:$F$4501,(INT($J90)-1)*ROWS(_怪物类型!$A$2:$A$10)+MATCH($F90,_怪物类型!$A$2:$A$10,0))*IF($M90="",1,$M90),""))</f>
        <v/>
      </c>
      <c r="V90" s="84">
        <f>IF($U90="","",MIN(0.75,$U90/($U90+24000)))</f>
        <v/>
      </c>
      <c r="W90" s="21">
        <f>IF($S90="","",$S90/(1-$V90)*IF($N90="",1,$N90))</f>
        <v/>
      </c>
      <c r="X90" s="17">
        <f>IF(OR($W90="",$Q90="",$Q90=0),"",$W90/$Q90)</f>
        <v/>
      </c>
      <c r="Y90" s="17">
        <f>IF(OR($R90="",$T90="",$T90=0),"",$R90/($T90*IF($O90="",1,$O90)))</f>
        <v/>
      </c>
      <c r="Z90" s="17">
        <f>IF(OR($X90="",$P90="",$P90=0),"",$X90/$P90)</f>
        <v/>
      </c>
      <c r="AA90">
        <f>IF($J90="","待填怪物等级",IF(OR($I90="",$Q90=""),"待填对照关卡",IF($P90="","已计算",IF(AND($Y90&lt;&gt;"",$Y90&lt;$X90),"生存不成立",IF($Z90&lt;0.5,"碾压",IF($Z90&lt;0.8,"偏简单",IF($Z90&lt;=1.2,"适中",IF($Z90&lt;=1.5,"偏难","过难"))))))))</f>
        <v/>
      </c>
      <c r="AB90">
        <f>IF($J90="","待填",IF(AND(ISNUMBER($J90),$J90&gt;=1,$J90&lt;=500,MOD($J90,1)=0),"有效","超范围"))</f>
        <v/>
      </c>
      <c r="AC90">
        <f>IF(C90&lt;&gt;C89,"新玩法组",IF(J90&gt;=J89,"不降","回退"))</f>
        <v/>
      </c>
      <c r="AD90" t="inlineStr">
        <is>
          <t>等效进度估算S42，非解锁/首通节点；旧Lv96→77</t>
        </is>
      </c>
      <c r="AE90" s="4" t="n">
        <v>43300</v>
      </c>
      <c r="AF90" s="4">
        <f>INDEX(_统一战力!$B$2:$B$501,J90)</f>
        <v/>
      </c>
    </row>
    <row r="91">
      <c r="A91" t="inlineStr">
        <is>
          <t>当前源表</t>
        </is>
      </c>
      <c r="B91" t="inlineStr">
        <is>
          <t>其他战斗玩法</t>
        </is>
      </c>
      <c r="C91" t="inlineStr">
        <is>
          <t>LevelType_GuilidBoss</t>
        </is>
      </c>
      <c r="D91" t="inlineStr">
        <is>
          <t>异变林猿 难度1</t>
        </is>
      </c>
      <c r="E91" t="inlineStr">
        <is>
          <t>610201</t>
        </is>
      </c>
      <c r="F91" t="inlineStr">
        <is>
          <t>Boss</t>
        </is>
      </c>
      <c r="G91" t="n">
        <v>42</v>
      </c>
      <c r="I91">
        <f>IF($H91="",$G91,$H91)</f>
        <v/>
      </c>
      <c r="J91" t="n">
        <v>77</v>
      </c>
      <c r="K91" s="83" t="n">
        <v>1.11351927098001</v>
      </c>
      <c r="L91" s="83" t="n">
        <v>0.759882016946184</v>
      </c>
      <c r="M91" s="83" t="n">
        <v>1</v>
      </c>
      <c r="N91" t="n">
        <v>1</v>
      </c>
      <c r="O91" t="n">
        <v>1</v>
      </c>
      <c r="P91" s="17" t="n">
        <v>36.1515757283703</v>
      </c>
      <c r="Q91" s="21">
        <f>IF($I91="","",IFERROR(INDEX(_玩家曲线!$H$2:$H$286,MATCH($I91,_玩家曲线!$A$2:$A$286,0)),""))</f>
        <v/>
      </c>
      <c r="R91" s="21">
        <f>IF($I91="","",IFERROR(INDEX(_玩家曲线!$I$2:$I$286,MATCH($I91,_玩家曲线!$A$2:$A$286,0)),""))</f>
        <v/>
      </c>
      <c r="S91" s="21">
        <f>IF(OR($J91="",$F91="不适用"),"",IFERROR(INDEX(_怪物模型!$D$2:$D$4501,(INT($J91)-1)*ROWS(_怪物类型!$A$2:$A$10)+MATCH($F91,_怪物类型!$A$2:$A$10,0))*IF($K91="",1,$K91),""))</f>
        <v/>
      </c>
      <c r="T91" s="21">
        <f>IF(OR($J91="",$F91="不适用"),"",IFERROR(INDEX(_怪物模型!$E$2:$E$4501,(INT($J91)-1)*ROWS(_怪物类型!$A$2:$A$10)+MATCH($F91,_怪物类型!$A$2:$A$10,0))*IF($L91="",1,$L91),""))</f>
        <v/>
      </c>
      <c r="U91" s="21">
        <f>IF(OR($J91="",$F91="不适用"),"",IFERROR(INDEX(_怪物模型!$F$2:$F$4501,(INT($J91)-1)*ROWS(_怪物类型!$A$2:$A$10)+MATCH($F91,_怪物类型!$A$2:$A$10,0))*IF($M91="",1,$M91),""))</f>
        <v/>
      </c>
      <c r="V91" s="84">
        <f>IF($U91="","",MIN(0.75,$U91/($U91+24000)))</f>
        <v/>
      </c>
      <c r="W91" s="21">
        <f>IF($S91="","",$S91/(1-$V91)*IF($N91="",1,$N91))</f>
        <v/>
      </c>
      <c r="X91" s="17">
        <f>IF(OR($W91="",$Q91="",$Q91=0),"",$W91/$Q91)</f>
        <v/>
      </c>
      <c r="Y91" s="17">
        <f>IF(OR($R91="",$T91="",$T91=0),"",$R91/($T91*IF($O91="",1,$O91)))</f>
        <v/>
      </c>
      <c r="Z91" s="17">
        <f>IF(OR($X91="",$P91="",$P91=0),"",$X91/$P91)</f>
        <v/>
      </c>
      <c r="AA91">
        <f>IF($J91="","待填怪物等级",IF(OR($I91="",$Q91=""),"待填对照关卡",IF($P91="","已计算",IF(AND($Y91&lt;&gt;"",$Y91&lt;$X91),"生存不成立",IF($Z91&lt;0.5,"碾压",IF($Z91&lt;0.8,"偏简单",IF($Z91&lt;=1.2,"适中",IF($Z91&lt;=1.5,"偏难","过难"))))))))</f>
        <v/>
      </c>
      <c r="AB91">
        <f>IF($J91="","待填",IF(AND(ISNUMBER($J91),$J91&gt;=1,$J91&lt;=500,MOD($J91,1)=0),"有效","超范围"))</f>
        <v/>
      </c>
      <c r="AC91">
        <f>IF(C91&lt;&gt;C90,"新玩法组",IF(J91&gt;=J90,"不降","回退"))</f>
        <v/>
      </c>
      <c r="AD91" t="inlineStr">
        <is>
          <t>等效进度估算S42，非解锁/首通节点；旧Lv96→77</t>
        </is>
      </c>
      <c r="AE91" s="4" t="n">
        <v>43300</v>
      </c>
      <c r="AF91" s="4">
        <f>INDEX(_统一战力!$B$2:$B$501,J91)</f>
        <v/>
      </c>
    </row>
    <row r="92">
      <c r="A92" t="inlineStr">
        <is>
          <t>当前源表</t>
        </is>
      </c>
      <c r="B92" t="inlineStr">
        <is>
          <t>其他战斗玩法</t>
        </is>
      </c>
      <c r="C92" t="inlineStr">
        <is>
          <t>LevelType_GuilidBoss</t>
        </is>
      </c>
      <c r="D92" t="inlineStr">
        <is>
          <t>雪怪王 难度2</t>
        </is>
      </c>
      <c r="E92" t="inlineStr">
        <is>
          <t>610002</t>
        </is>
      </c>
      <c r="F92" t="inlineStr">
        <is>
          <t>Boss</t>
        </is>
      </c>
      <c r="G92" t="n">
        <v>58</v>
      </c>
      <c r="I92">
        <f>IF($H92="",$G92,$H92)</f>
        <v/>
      </c>
      <c r="J92" t="n">
        <v>107</v>
      </c>
      <c r="K92" s="83" t="n">
        <v>1.07208598079181</v>
      </c>
      <c r="L92" s="83" t="n">
        <v>0.801673297083486</v>
      </c>
      <c r="M92" s="83" t="n">
        <v>1</v>
      </c>
      <c r="N92" t="n">
        <v>1</v>
      </c>
      <c r="O92" t="n">
        <v>1</v>
      </c>
      <c r="P92" s="17" t="n">
        <v>36.3998358068056</v>
      </c>
      <c r="Q92" s="21">
        <f>IF($I92="","",IFERROR(INDEX(_玩家曲线!$H$2:$H$286,MATCH($I92,_玩家曲线!$A$2:$A$286,0)),""))</f>
        <v/>
      </c>
      <c r="R92" s="21">
        <f>IF($I92="","",IFERROR(INDEX(_玩家曲线!$I$2:$I$286,MATCH($I92,_玩家曲线!$A$2:$A$286,0)),""))</f>
        <v/>
      </c>
      <c r="S92" s="21">
        <f>IF(OR($J92="",$F92="不适用"),"",IFERROR(INDEX(_怪物模型!$D$2:$D$4501,(INT($J92)-1)*ROWS(_怪物类型!$A$2:$A$10)+MATCH($F92,_怪物类型!$A$2:$A$10,0))*IF($K92="",1,$K92),""))</f>
        <v/>
      </c>
      <c r="T92" s="21">
        <f>IF(OR($J92="",$F92="不适用"),"",IFERROR(INDEX(_怪物模型!$E$2:$E$4501,(INT($J92)-1)*ROWS(_怪物类型!$A$2:$A$10)+MATCH($F92,_怪物类型!$A$2:$A$10,0))*IF($L92="",1,$L92),""))</f>
        <v/>
      </c>
      <c r="U92" s="21">
        <f>IF(OR($J92="",$F92="不适用"),"",IFERROR(INDEX(_怪物模型!$F$2:$F$4501,(INT($J92)-1)*ROWS(_怪物类型!$A$2:$A$10)+MATCH($F92,_怪物类型!$A$2:$A$10,0))*IF($M92="",1,$M92),""))</f>
        <v/>
      </c>
      <c r="V92" s="84">
        <f>IF($U92="","",MIN(0.75,$U92/($U92+24000)))</f>
        <v/>
      </c>
      <c r="W92" s="21">
        <f>IF($S92="","",$S92/(1-$V92)*IF($N92="",1,$N92))</f>
        <v/>
      </c>
      <c r="X92" s="17">
        <f>IF(OR($W92="",$Q92="",$Q92=0),"",$W92/$Q92)</f>
        <v/>
      </c>
      <c r="Y92" s="17">
        <f>IF(OR($R92="",$T92="",$T92=0),"",$R92/($T92*IF($O92="",1,$O92)))</f>
        <v/>
      </c>
      <c r="Z92" s="17">
        <f>IF(OR($X92="",$P92="",$P92=0),"",$X92/$P92)</f>
        <v/>
      </c>
      <c r="AA92">
        <f>IF($J92="","待填怪物等级",IF(OR($I92="",$Q92=""),"待填对照关卡",IF($P92="","已计算",IF(AND($Y92&lt;&gt;"",$Y92&lt;$X92),"生存不成立",IF($Z92&lt;0.5,"碾压",IF($Z92&lt;0.8,"偏简单",IF($Z92&lt;=1.2,"适中",IF($Z92&lt;=1.5,"偏难","过难"))))))))</f>
        <v/>
      </c>
      <c r="AB92">
        <f>IF($J92="","待填",IF(AND(ISNUMBER($J92),$J92&gt;=1,$J92&lt;=500,MOD($J92,1)=0),"有效","超范围"))</f>
        <v/>
      </c>
      <c r="AC92">
        <f>IF(C92&lt;&gt;C91,"新玩法组",IF(J92&gt;=J91,"不降","回退"))</f>
        <v/>
      </c>
      <c r="AD92" t="inlineStr">
        <is>
          <t>等效进度估算S58，非解锁/首通节点；旧Lv130→107</t>
        </is>
      </c>
      <c r="AE92" s="4" t="n">
        <v>78600</v>
      </c>
      <c r="AF92" s="4">
        <f>INDEX(_统一战力!$B$2:$B$501,J92)</f>
        <v/>
      </c>
    </row>
    <row r="93">
      <c r="A93" t="inlineStr">
        <is>
          <t>当前源表</t>
        </is>
      </c>
      <c r="B93" t="inlineStr">
        <is>
          <t>其他战斗玩法</t>
        </is>
      </c>
      <c r="C93" t="inlineStr">
        <is>
          <t>LevelType_GuilidBoss</t>
        </is>
      </c>
      <c r="D93" t="inlineStr">
        <is>
          <t>莫尔拉 难度2</t>
        </is>
      </c>
      <c r="E93" t="inlineStr">
        <is>
          <t>610102</t>
        </is>
      </c>
      <c r="F93" t="inlineStr">
        <is>
          <t>Boss</t>
        </is>
      </c>
      <c r="G93" t="n">
        <v>58</v>
      </c>
      <c r="I93">
        <f>IF($H93="",$G93,$H93)</f>
        <v/>
      </c>
      <c r="J93" t="n">
        <v>107</v>
      </c>
      <c r="K93" s="83" t="n">
        <v>1.07208598079181</v>
      </c>
      <c r="L93" s="83" t="n">
        <v>0.801673297083486</v>
      </c>
      <c r="M93" s="83" t="n">
        <v>1</v>
      </c>
      <c r="N93" t="n">
        <v>1</v>
      </c>
      <c r="O93" t="n">
        <v>1</v>
      </c>
      <c r="P93" s="17" t="n">
        <v>36.3998358068056</v>
      </c>
      <c r="Q93" s="21">
        <f>IF($I93="","",IFERROR(INDEX(_玩家曲线!$H$2:$H$286,MATCH($I93,_玩家曲线!$A$2:$A$286,0)),""))</f>
        <v/>
      </c>
      <c r="R93" s="21">
        <f>IF($I93="","",IFERROR(INDEX(_玩家曲线!$I$2:$I$286,MATCH($I93,_玩家曲线!$A$2:$A$286,0)),""))</f>
        <v/>
      </c>
      <c r="S93" s="21">
        <f>IF(OR($J93="",$F93="不适用"),"",IFERROR(INDEX(_怪物模型!$D$2:$D$4501,(INT($J93)-1)*ROWS(_怪物类型!$A$2:$A$10)+MATCH($F93,_怪物类型!$A$2:$A$10,0))*IF($K93="",1,$K93),""))</f>
        <v/>
      </c>
      <c r="T93" s="21">
        <f>IF(OR($J93="",$F93="不适用"),"",IFERROR(INDEX(_怪物模型!$E$2:$E$4501,(INT($J93)-1)*ROWS(_怪物类型!$A$2:$A$10)+MATCH($F93,_怪物类型!$A$2:$A$10,0))*IF($L93="",1,$L93),""))</f>
        <v/>
      </c>
      <c r="U93" s="21">
        <f>IF(OR($J93="",$F93="不适用"),"",IFERROR(INDEX(_怪物模型!$F$2:$F$4501,(INT($J93)-1)*ROWS(_怪物类型!$A$2:$A$10)+MATCH($F93,_怪物类型!$A$2:$A$10,0))*IF($M93="",1,$M93),""))</f>
        <v/>
      </c>
      <c r="V93" s="84">
        <f>IF($U93="","",MIN(0.75,$U93/($U93+24000)))</f>
        <v/>
      </c>
      <c r="W93" s="21">
        <f>IF($S93="","",$S93/(1-$V93)*IF($N93="",1,$N93))</f>
        <v/>
      </c>
      <c r="X93" s="17">
        <f>IF(OR($W93="",$Q93="",$Q93=0),"",$W93/$Q93)</f>
        <v/>
      </c>
      <c r="Y93" s="17">
        <f>IF(OR($R93="",$T93="",$T93=0),"",$R93/($T93*IF($O93="",1,$O93)))</f>
        <v/>
      </c>
      <c r="Z93" s="17">
        <f>IF(OR($X93="",$P93="",$P93=0),"",$X93/$P93)</f>
        <v/>
      </c>
      <c r="AA93">
        <f>IF($J93="","待填怪物等级",IF(OR($I93="",$Q93=""),"待填对照关卡",IF($P93="","已计算",IF(AND($Y93&lt;&gt;"",$Y93&lt;$X93),"生存不成立",IF($Z93&lt;0.5,"碾压",IF($Z93&lt;0.8,"偏简单",IF($Z93&lt;=1.2,"适中",IF($Z93&lt;=1.5,"偏难","过难"))))))))</f>
        <v/>
      </c>
      <c r="AB93">
        <f>IF($J93="","待填",IF(AND(ISNUMBER($J93),$J93&gt;=1,$J93&lt;=500,MOD($J93,1)=0),"有效","超范围"))</f>
        <v/>
      </c>
      <c r="AC93">
        <f>IF(C93&lt;&gt;C92,"新玩法组",IF(J93&gt;=J92,"不降","回退"))</f>
        <v/>
      </c>
      <c r="AD93" t="inlineStr">
        <is>
          <t>等效进度估算S58，非解锁/首通节点；旧Lv130→107</t>
        </is>
      </c>
      <c r="AE93" s="4" t="n">
        <v>78600</v>
      </c>
      <c r="AF93" s="4">
        <f>INDEX(_统一战力!$B$2:$B$501,J93)</f>
        <v/>
      </c>
    </row>
    <row r="94">
      <c r="A94" t="inlineStr">
        <is>
          <t>当前源表</t>
        </is>
      </c>
      <c r="B94" t="inlineStr">
        <is>
          <t>其他战斗玩法</t>
        </is>
      </c>
      <c r="C94" t="inlineStr">
        <is>
          <t>LevelType_GuilidBoss</t>
        </is>
      </c>
      <c r="D94" t="inlineStr">
        <is>
          <t>异变林猿 难度2</t>
        </is>
      </c>
      <c r="E94" t="inlineStr">
        <is>
          <t>610202</t>
        </is>
      </c>
      <c r="F94" t="inlineStr">
        <is>
          <t>Boss</t>
        </is>
      </c>
      <c r="G94" t="n">
        <v>58</v>
      </c>
      <c r="I94">
        <f>IF($H94="",$G94,$H94)</f>
        <v/>
      </c>
      <c r="J94" t="n">
        <v>107</v>
      </c>
      <c r="K94" s="83" t="n">
        <v>1.07208598079181</v>
      </c>
      <c r="L94" s="83" t="n">
        <v>0.801673297083486</v>
      </c>
      <c r="M94" s="83" t="n">
        <v>1</v>
      </c>
      <c r="N94" t="n">
        <v>1</v>
      </c>
      <c r="O94" t="n">
        <v>1</v>
      </c>
      <c r="P94" s="17" t="n">
        <v>36.3998358068056</v>
      </c>
      <c r="Q94" s="21">
        <f>IF($I94="","",IFERROR(INDEX(_玩家曲线!$H$2:$H$286,MATCH($I94,_玩家曲线!$A$2:$A$286,0)),""))</f>
        <v/>
      </c>
      <c r="R94" s="21">
        <f>IF($I94="","",IFERROR(INDEX(_玩家曲线!$I$2:$I$286,MATCH($I94,_玩家曲线!$A$2:$A$286,0)),""))</f>
        <v/>
      </c>
      <c r="S94" s="21">
        <f>IF(OR($J94="",$F94="不适用"),"",IFERROR(INDEX(_怪物模型!$D$2:$D$4501,(INT($J94)-1)*ROWS(_怪物类型!$A$2:$A$10)+MATCH($F94,_怪物类型!$A$2:$A$10,0))*IF($K94="",1,$K94),""))</f>
        <v/>
      </c>
      <c r="T94" s="21">
        <f>IF(OR($J94="",$F94="不适用"),"",IFERROR(INDEX(_怪物模型!$E$2:$E$4501,(INT($J94)-1)*ROWS(_怪物类型!$A$2:$A$10)+MATCH($F94,_怪物类型!$A$2:$A$10,0))*IF($L94="",1,$L94),""))</f>
        <v/>
      </c>
      <c r="U94" s="21">
        <f>IF(OR($J94="",$F94="不适用"),"",IFERROR(INDEX(_怪物模型!$F$2:$F$4501,(INT($J94)-1)*ROWS(_怪物类型!$A$2:$A$10)+MATCH($F94,_怪物类型!$A$2:$A$10,0))*IF($M94="",1,$M94),""))</f>
        <v/>
      </c>
      <c r="V94" s="84">
        <f>IF($U94="","",MIN(0.75,$U94/($U94+24000)))</f>
        <v/>
      </c>
      <c r="W94" s="21">
        <f>IF($S94="","",$S94/(1-$V94)*IF($N94="",1,$N94))</f>
        <v/>
      </c>
      <c r="X94" s="17">
        <f>IF(OR($W94="",$Q94="",$Q94=0),"",$W94/$Q94)</f>
        <v/>
      </c>
      <c r="Y94" s="17">
        <f>IF(OR($R94="",$T94="",$T94=0),"",$R94/($T94*IF($O94="",1,$O94)))</f>
        <v/>
      </c>
      <c r="Z94" s="17">
        <f>IF(OR($X94="",$P94="",$P94=0),"",$X94/$P94)</f>
        <v/>
      </c>
      <c r="AA94">
        <f>IF($J94="","待填怪物等级",IF(OR($I94="",$Q94=""),"待填对照关卡",IF($P94="","已计算",IF(AND($Y94&lt;&gt;"",$Y94&lt;$X94),"生存不成立",IF($Z94&lt;0.5,"碾压",IF($Z94&lt;0.8,"偏简单",IF($Z94&lt;=1.2,"适中",IF($Z94&lt;=1.5,"偏难","过难"))))))))</f>
        <v/>
      </c>
      <c r="AB94">
        <f>IF($J94="","待填",IF(AND(ISNUMBER($J94),$J94&gt;=1,$J94&lt;=500,MOD($J94,1)=0),"有效","超范围"))</f>
        <v/>
      </c>
      <c r="AC94">
        <f>IF(C94&lt;&gt;C93,"新玩法组",IF(J94&gt;=J93,"不降","回退"))</f>
        <v/>
      </c>
      <c r="AD94" t="inlineStr">
        <is>
          <t>等效进度估算S58，非解锁/首通节点；旧Lv130→107</t>
        </is>
      </c>
      <c r="AE94" s="4" t="n">
        <v>78600</v>
      </c>
      <c r="AF94" s="4">
        <f>INDEX(_统一战力!$B$2:$B$501,J94)</f>
        <v/>
      </c>
    </row>
    <row r="95">
      <c r="A95" t="inlineStr">
        <is>
          <t>当前源表</t>
        </is>
      </c>
      <c r="B95" t="inlineStr">
        <is>
          <t>其他战斗玩法</t>
        </is>
      </c>
      <c r="C95" t="inlineStr">
        <is>
          <t>LevelType_GuilidBoss</t>
        </is>
      </c>
      <c r="D95" t="inlineStr">
        <is>
          <t>雪怪王 难度3</t>
        </is>
      </c>
      <c r="E95" t="inlineStr">
        <is>
          <t>610003</t>
        </is>
      </c>
      <c r="F95" t="inlineStr">
        <is>
          <t>Boss</t>
        </is>
      </c>
      <c r="G95" t="n">
        <v>76</v>
      </c>
      <c r="I95">
        <f>IF($H95="",$G95,$H95)</f>
        <v/>
      </c>
      <c r="J95" t="n">
        <v>134</v>
      </c>
      <c r="K95" s="83" t="n">
        <v>1.05973600861176</v>
      </c>
      <c r="L95" s="83" t="n">
        <v>0.8443174076879471</v>
      </c>
      <c r="M95" s="83" t="n">
        <v>1</v>
      </c>
      <c r="N95" t="n">
        <v>1</v>
      </c>
      <c r="O95" t="n">
        <v>1</v>
      </c>
      <c r="P95" s="17" t="n">
        <v>36.5002708617565</v>
      </c>
      <c r="Q95" s="21">
        <f>IF($I95="","",IFERROR(INDEX(_玩家曲线!$H$2:$H$286,MATCH($I95,_玩家曲线!$A$2:$A$286,0)),""))</f>
        <v/>
      </c>
      <c r="R95" s="21">
        <f>IF($I95="","",IFERROR(INDEX(_玩家曲线!$I$2:$I$286,MATCH($I95,_玩家曲线!$A$2:$A$286,0)),""))</f>
        <v/>
      </c>
      <c r="S95" s="21">
        <f>IF(OR($J95="",$F95="不适用"),"",IFERROR(INDEX(_怪物模型!$D$2:$D$4501,(INT($J95)-1)*ROWS(_怪物类型!$A$2:$A$10)+MATCH($F95,_怪物类型!$A$2:$A$10,0))*IF($K95="",1,$K95),""))</f>
        <v/>
      </c>
      <c r="T95" s="21">
        <f>IF(OR($J95="",$F95="不适用"),"",IFERROR(INDEX(_怪物模型!$E$2:$E$4501,(INT($J95)-1)*ROWS(_怪物类型!$A$2:$A$10)+MATCH($F95,_怪物类型!$A$2:$A$10,0))*IF($L95="",1,$L95),""))</f>
        <v/>
      </c>
      <c r="U95" s="21">
        <f>IF(OR($J95="",$F95="不适用"),"",IFERROR(INDEX(_怪物模型!$F$2:$F$4501,(INT($J95)-1)*ROWS(_怪物类型!$A$2:$A$10)+MATCH($F95,_怪物类型!$A$2:$A$10,0))*IF($M95="",1,$M95),""))</f>
        <v/>
      </c>
      <c r="V95" s="84">
        <f>IF($U95="","",MIN(0.75,$U95/($U95+24000)))</f>
        <v/>
      </c>
      <c r="W95" s="21">
        <f>IF($S95="","",$S95/(1-$V95)*IF($N95="",1,$N95))</f>
        <v/>
      </c>
      <c r="X95" s="17">
        <f>IF(OR($W95="",$Q95="",$Q95=0),"",$W95/$Q95)</f>
        <v/>
      </c>
      <c r="Y95" s="17">
        <f>IF(OR($R95="",$T95="",$T95=0),"",$R95/($T95*IF($O95="",1,$O95)))</f>
        <v/>
      </c>
      <c r="Z95" s="17">
        <f>IF(OR($X95="",$P95="",$P95=0),"",$X95/$P95)</f>
        <v/>
      </c>
      <c r="AA95">
        <f>IF($J95="","待填怪物等级",IF(OR($I95="",$Q95=""),"待填对照关卡",IF($P95="","已计算",IF(AND($Y95&lt;&gt;"",$Y95&lt;$X95),"生存不成立",IF($Z95&lt;0.5,"碾压",IF($Z95&lt;0.8,"偏简单",IF($Z95&lt;=1.2,"适中",IF($Z95&lt;=1.5,"偏难","过难"))))))))</f>
        <v/>
      </c>
      <c r="AB95">
        <f>IF($J95="","待填",IF(AND(ISNUMBER($J95),$J95&gt;=1,$J95&lt;=500,MOD($J95,1)=0),"有效","超范围"))</f>
        <v/>
      </c>
      <c r="AC95">
        <f>IF(C95&lt;&gt;C94,"新玩法组",IF(J95&gt;=J94,"不降","回退"))</f>
        <v/>
      </c>
      <c r="AD95" t="inlineStr">
        <is>
          <t>等效进度估算S76，非解锁/首通节点；旧Lv163→134</t>
        </is>
      </c>
      <c r="AE95" s="4" t="n">
        <v>120000</v>
      </c>
      <c r="AF95" s="4">
        <f>INDEX(_统一战力!$B$2:$B$501,J95)</f>
        <v/>
      </c>
    </row>
    <row r="96">
      <c r="A96" t="inlineStr">
        <is>
          <t>当前源表</t>
        </is>
      </c>
      <c r="B96" t="inlineStr">
        <is>
          <t>其他战斗玩法</t>
        </is>
      </c>
      <c r="C96" t="inlineStr">
        <is>
          <t>LevelType_GuilidBoss</t>
        </is>
      </c>
      <c r="D96" t="inlineStr">
        <is>
          <t>莫尔拉 难度3</t>
        </is>
      </c>
      <c r="E96" t="inlineStr">
        <is>
          <t>610103</t>
        </is>
      </c>
      <c r="F96" t="inlineStr">
        <is>
          <t>Boss</t>
        </is>
      </c>
      <c r="G96" t="n">
        <v>76</v>
      </c>
      <c r="I96">
        <f>IF($H96="",$G96,$H96)</f>
        <v/>
      </c>
      <c r="J96" t="n">
        <v>134</v>
      </c>
      <c r="K96" s="83" t="n">
        <v>1.05973600861176</v>
      </c>
      <c r="L96" s="83" t="n">
        <v>0.8443174076879471</v>
      </c>
      <c r="M96" s="83" t="n">
        <v>1</v>
      </c>
      <c r="N96" t="n">
        <v>1</v>
      </c>
      <c r="O96" t="n">
        <v>1</v>
      </c>
      <c r="P96" s="17" t="n">
        <v>36.5002708617565</v>
      </c>
      <c r="Q96" s="21">
        <f>IF($I96="","",IFERROR(INDEX(_玩家曲线!$H$2:$H$286,MATCH($I96,_玩家曲线!$A$2:$A$286,0)),""))</f>
        <v/>
      </c>
      <c r="R96" s="21">
        <f>IF($I96="","",IFERROR(INDEX(_玩家曲线!$I$2:$I$286,MATCH($I96,_玩家曲线!$A$2:$A$286,0)),""))</f>
        <v/>
      </c>
      <c r="S96" s="21">
        <f>IF(OR($J96="",$F96="不适用"),"",IFERROR(INDEX(_怪物模型!$D$2:$D$4501,(INT($J96)-1)*ROWS(_怪物类型!$A$2:$A$10)+MATCH($F96,_怪物类型!$A$2:$A$10,0))*IF($K96="",1,$K96),""))</f>
        <v/>
      </c>
      <c r="T96" s="21">
        <f>IF(OR($J96="",$F96="不适用"),"",IFERROR(INDEX(_怪物模型!$E$2:$E$4501,(INT($J96)-1)*ROWS(_怪物类型!$A$2:$A$10)+MATCH($F96,_怪物类型!$A$2:$A$10,0))*IF($L96="",1,$L96),""))</f>
        <v/>
      </c>
      <c r="U96" s="21">
        <f>IF(OR($J96="",$F96="不适用"),"",IFERROR(INDEX(_怪物模型!$F$2:$F$4501,(INT($J96)-1)*ROWS(_怪物类型!$A$2:$A$10)+MATCH($F96,_怪物类型!$A$2:$A$10,0))*IF($M96="",1,$M96),""))</f>
        <v/>
      </c>
      <c r="V96" s="84">
        <f>IF($U96="","",MIN(0.75,$U96/($U96+24000)))</f>
        <v/>
      </c>
      <c r="W96" s="21">
        <f>IF($S96="","",$S96/(1-$V96)*IF($N96="",1,$N96))</f>
        <v/>
      </c>
      <c r="X96" s="17">
        <f>IF(OR($W96="",$Q96="",$Q96=0),"",$W96/$Q96)</f>
        <v/>
      </c>
      <c r="Y96" s="17">
        <f>IF(OR($R96="",$T96="",$T96=0),"",$R96/($T96*IF($O96="",1,$O96)))</f>
        <v/>
      </c>
      <c r="Z96" s="17">
        <f>IF(OR($X96="",$P96="",$P96=0),"",$X96/$P96)</f>
        <v/>
      </c>
      <c r="AA96">
        <f>IF($J96="","待填怪物等级",IF(OR($I96="",$Q96=""),"待填对照关卡",IF($P96="","已计算",IF(AND($Y96&lt;&gt;"",$Y96&lt;$X96),"生存不成立",IF($Z96&lt;0.5,"碾压",IF($Z96&lt;0.8,"偏简单",IF($Z96&lt;=1.2,"适中",IF($Z96&lt;=1.5,"偏难","过难"))))))))</f>
        <v/>
      </c>
      <c r="AB96">
        <f>IF($J96="","待填",IF(AND(ISNUMBER($J96),$J96&gt;=1,$J96&lt;=500,MOD($J96,1)=0),"有效","超范围"))</f>
        <v/>
      </c>
      <c r="AC96">
        <f>IF(C96&lt;&gt;C95,"新玩法组",IF(J96&gt;=J95,"不降","回退"))</f>
        <v/>
      </c>
      <c r="AD96" t="inlineStr">
        <is>
          <t>等效进度估算S76，非解锁/首通节点；旧Lv163→134</t>
        </is>
      </c>
      <c r="AE96" s="4" t="n">
        <v>120000</v>
      </c>
      <c r="AF96" s="4">
        <f>INDEX(_统一战力!$B$2:$B$501,J96)</f>
        <v/>
      </c>
    </row>
    <row r="97">
      <c r="A97" t="inlineStr">
        <is>
          <t>当前源表</t>
        </is>
      </c>
      <c r="B97" t="inlineStr">
        <is>
          <t>其他战斗玩法</t>
        </is>
      </c>
      <c r="C97" t="inlineStr">
        <is>
          <t>LevelType_GuilidBoss</t>
        </is>
      </c>
      <c r="D97" t="inlineStr">
        <is>
          <t>异变林猿 难度3</t>
        </is>
      </c>
      <c r="E97" t="inlineStr">
        <is>
          <t>610203</t>
        </is>
      </c>
      <c r="F97" t="inlineStr">
        <is>
          <t>Boss</t>
        </is>
      </c>
      <c r="G97" t="n">
        <v>76</v>
      </c>
      <c r="I97">
        <f>IF($H97="",$G97,$H97)</f>
        <v/>
      </c>
      <c r="J97" t="n">
        <v>134</v>
      </c>
      <c r="K97" s="83" t="n">
        <v>1.05973600861176</v>
      </c>
      <c r="L97" s="83" t="n">
        <v>0.8443174076879471</v>
      </c>
      <c r="M97" s="83" t="n">
        <v>1</v>
      </c>
      <c r="N97" t="n">
        <v>1</v>
      </c>
      <c r="O97" t="n">
        <v>1</v>
      </c>
      <c r="P97" s="17" t="n">
        <v>36.5002708617565</v>
      </c>
      <c r="Q97" s="21">
        <f>IF($I97="","",IFERROR(INDEX(_玩家曲线!$H$2:$H$286,MATCH($I97,_玩家曲线!$A$2:$A$286,0)),""))</f>
        <v/>
      </c>
      <c r="R97" s="21">
        <f>IF($I97="","",IFERROR(INDEX(_玩家曲线!$I$2:$I$286,MATCH($I97,_玩家曲线!$A$2:$A$286,0)),""))</f>
        <v/>
      </c>
      <c r="S97" s="21">
        <f>IF(OR($J97="",$F97="不适用"),"",IFERROR(INDEX(_怪物模型!$D$2:$D$4501,(INT($J97)-1)*ROWS(_怪物类型!$A$2:$A$10)+MATCH($F97,_怪物类型!$A$2:$A$10,0))*IF($K97="",1,$K97),""))</f>
        <v/>
      </c>
      <c r="T97" s="21">
        <f>IF(OR($J97="",$F97="不适用"),"",IFERROR(INDEX(_怪物模型!$E$2:$E$4501,(INT($J97)-1)*ROWS(_怪物类型!$A$2:$A$10)+MATCH($F97,_怪物类型!$A$2:$A$10,0))*IF($L97="",1,$L97),""))</f>
        <v/>
      </c>
      <c r="U97" s="21">
        <f>IF(OR($J97="",$F97="不适用"),"",IFERROR(INDEX(_怪物模型!$F$2:$F$4501,(INT($J97)-1)*ROWS(_怪物类型!$A$2:$A$10)+MATCH($F97,_怪物类型!$A$2:$A$10,0))*IF($M97="",1,$M97),""))</f>
        <v/>
      </c>
      <c r="V97" s="84">
        <f>IF($U97="","",MIN(0.75,$U97/($U97+24000)))</f>
        <v/>
      </c>
      <c r="W97" s="21">
        <f>IF($S97="","",$S97/(1-$V97)*IF($N97="",1,$N97))</f>
        <v/>
      </c>
      <c r="X97" s="17">
        <f>IF(OR($W97="",$Q97="",$Q97=0),"",$W97/$Q97)</f>
        <v/>
      </c>
      <c r="Y97" s="17">
        <f>IF(OR($R97="",$T97="",$T97=0),"",$R97/($T97*IF($O97="",1,$O97)))</f>
        <v/>
      </c>
      <c r="Z97" s="17">
        <f>IF(OR($X97="",$P97="",$P97=0),"",$X97/$P97)</f>
        <v/>
      </c>
      <c r="AA97">
        <f>IF($J97="","待填怪物等级",IF(OR($I97="",$Q97=""),"待填对照关卡",IF($P97="","已计算",IF(AND($Y97&lt;&gt;"",$Y97&lt;$X97),"生存不成立",IF($Z97&lt;0.5,"碾压",IF($Z97&lt;0.8,"偏简单",IF($Z97&lt;=1.2,"适中",IF($Z97&lt;=1.5,"偏难","过难"))))))))</f>
        <v/>
      </c>
      <c r="AB97">
        <f>IF($J97="","待填",IF(AND(ISNUMBER($J97),$J97&gt;=1,$J97&lt;=500,MOD($J97,1)=0),"有效","超范围"))</f>
        <v/>
      </c>
      <c r="AC97">
        <f>IF(C97&lt;&gt;C96,"新玩法组",IF(J97&gt;=J96,"不降","回退"))</f>
        <v/>
      </c>
      <c r="AD97" t="inlineStr">
        <is>
          <t>等效进度估算S76，非解锁/首通节点；旧Lv163→134</t>
        </is>
      </c>
      <c r="AE97" s="4" t="n">
        <v>120000</v>
      </c>
      <c r="AF97" s="4">
        <f>INDEX(_统一战力!$B$2:$B$501,J97)</f>
        <v/>
      </c>
    </row>
    <row r="98">
      <c r="A98" t="inlineStr">
        <is>
          <t>当前源表</t>
        </is>
      </c>
      <c r="B98" t="inlineStr">
        <is>
          <t>其他战斗玩法</t>
        </is>
      </c>
      <c r="C98" t="inlineStr">
        <is>
          <t>LevelType_GuilidBoss</t>
        </is>
      </c>
      <c r="D98" t="inlineStr">
        <is>
          <t>雪怪王 难度4</t>
        </is>
      </c>
      <c r="E98" t="inlineStr">
        <is>
          <t>610004</t>
        </is>
      </c>
      <c r="F98" t="inlineStr">
        <is>
          <t>Boss</t>
        </is>
      </c>
      <c r="G98" t="n">
        <v>93</v>
      </c>
      <c r="I98">
        <f>IF($H98="",$G98,$H98)</f>
        <v/>
      </c>
      <c r="J98" t="n">
        <v>155</v>
      </c>
      <c r="K98" s="83" t="n">
        <v>1.04748605758338</v>
      </c>
      <c r="L98" s="83" t="n">
        <v>0.875256763021937</v>
      </c>
      <c r="M98" s="83" t="n">
        <v>1</v>
      </c>
      <c r="N98" t="n">
        <v>1</v>
      </c>
      <c r="O98" t="n">
        <v>1</v>
      </c>
      <c r="P98" s="17" t="n">
        <v>37.3454925150758</v>
      </c>
      <c r="Q98" s="21">
        <f>IF($I98="","",IFERROR(INDEX(_玩家曲线!$H$2:$H$286,MATCH($I98,_玩家曲线!$A$2:$A$286,0)),""))</f>
        <v/>
      </c>
      <c r="R98" s="21">
        <f>IF($I98="","",IFERROR(INDEX(_玩家曲线!$I$2:$I$286,MATCH($I98,_玩家曲线!$A$2:$A$286,0)),""))</f>
        <v/>
      </c>
      <c r="S98" s="21">
        <f>IF(OR($J98="",$F98="不适用"),"",IFERROR(INDEX(_怪物模型!$D$2:$D$4501,(INT($J98)-1)*ROWS(_怪物类型!$A$2:$A$10)+MATCH($F98,_怪物类型!$A$2:$A$10,0))*IF($K98="",1,$K98),""))</f>
        <v/>
      </c>
      <c r="T98" s="21">
        <f>IF(OR($J98="",$F98="不适用"),"",IFERROR(INDEX(_怪物模型!$E$2:$E$4501,(INT($J98)-1)*ROWS(_怪物类型!$A$2:$A$10)+MATCH($F98,_怪物类型!$A$2:$A$10,0))*IF($L98="",1,$L98),""))</f>
        <v/>
      </c>
      <c r="U98" s="21">
        <f>IF(OR($J98="",$F98="不适用"),"",IFERROR(INDEX(_怪物模型!$F$2:$F$4501,(INT($J98)-1)*ROWS(_怪物类型!$A$2:$A$10)+MATCH($F98,_怪物类型!$A$2:$A$10,0))*IF($M98="",1,$M98),""))</f>
        <v/>
      </c>
      <c r="V98" s="84">
        <f>IF($U98="","",MIN(0.75,$U98/($U98+24000)))</f>
        <v/>
      </c>
      <c r="W98" s="21">
        <f>IF($S98="","",$S98/(1-$V98)*IF($N98="",1,$N98))</f>
        <v/>
      </c>
      <c r="X98" s="17">
        <f>IF(OR($W98="",$Q98="",$Q98=0),"",$W98/$Q98)</f>
        <v/>
      </c>
      <c r="Y98" s="17">
        <f>IF(OR($R98="",$T98="",$T98=0),"",$R98/($T98*IF($O98="",1,$O98)))</f>
        <v/>
      </c>
      <c r="Z98" s="17">
        <f>IF(OR($X98="",$P98="",$P98=0),"",$X98/$P98)</f>
        <v/>
      </c>
      <c r="AA98">
        <f>IF($J98="","待填怪物等级",IF(OR($I98="",$Q98=""),"待填对照关卡",IF($P98="","已计算",IF(AND($Y98&lt;&gt;"",$Y98&lt;$X98),"生存不成立",IF($Z98&lt;0.5,"碾压",IF($Z98&lt;0.8,"偏简单",IF($Z98&lt;=1.2,"适中",IF($Z98&lt;=1.5,"偏难","过难"))))))))</f>
        <v/>
      </c>
      <c r="AB98">
        <f>IF($J98="","待填",IF(AND(ISNUMBER($J98),$J98&gt;=1,$J98&lt;=500,MOD($J98,1)=0),"有效","超范围"))</f>
        <v/>
      </c>
      <c r="AC98">
        <f>IF(C98&lt;&gt;C97,"新玩法组",IF(J98&gt;=J97,"不降","回退"))</f>
        <v/>
      </c>
      <c r="AD98" t="inlineStr">
        <is>
          <t>等效进度估算S93，非解锁/首通节点；旧Lv188→155</t>
        </is>
      </c>
      <c r="AE98" s="4" t="n">
        <v>166000</v>
      </c>
      <c r="AF98" s="4">
        <f>INDEX(_统一战力!$B$2:$B$501,J98)</f>
        <v/>
      </c>
    </row>
    <row r="99">
      <c r="A99" t="inlineStr">
        <is>
          <t>当前源表</t>
        </is>
      </c>
      <c r="B99" t="inlineStr">
        <is>
          <t>其他战斗玩法</t>
        </is>
      </c>
      <c r="C99" t="inlineStr">
        <is>
          <t>LevelType_GuilidBoss</t>
        </is>
      </c>
      <c r="D99" t="inlineStr">
        <is>
          <t>莫尔拉 难度4</t>
        </is>
      </c>
      <c r="E99" t="inlineStr">
        <is>
          <t>610104</t>
        </is>
      </c>
      <c r="F99" t="inlineStr">
        <is>
          <t>Boss</t>
        </is>
      </c>
      <c r="G99" t="n">
        <v>93</v>
      </c>
      <c r="I99">
        <f>IF($H99="",$G99,$H99)</f>
        <v/>
      </c>
      <c r="J99" t="n">
        <v>155</v>
      </c>
      <c r="K99" s="83" t="n">
        <v>1.04748605758338</v>
      </c>
      <c r="L99" s="83" t="n">
        <v>0.875256763021937</v>
      </c>
      <c r="M99" s="83" t="n">
        <v>1</v>
      </c>
      <c r="N99" t="n">
        <v>1</v>
      </c>
      <c r="O99" t="n">
        <v>1</v>
      </c>
      <c r="P99" s="17" t="n">
        <v>37.3454925150758</v>
      </c>
      <c r="Q99" s="21">
        <f>IF($I99="","",IFERROR(INDEX(_玩家曲线!$H$2:$H$286,MATCH($I99,_玩家曲线!$A$2:$A$286,0)),""))</f>
        <v/>
      </c>
      <c r="R99" s="21">
        <f>IF($I99="","",IFERROR(INDEX(_玩家曲线!$I$2:$I$286,MATCH($I99,_玩家曲线!$A$2:$A$286,0)),""))</f>
        <v/>
      </c>
      <c r="S99" s="21">
        <f>IF(OR($J99="",$F99="不适用"),"",IFERROR(INDEX(_怪物模型!$D$2:$D$4501,(INT($J99)-1)*ROWS(_怪物类型!$A$2:$A$10)+MATCH($F99,_怪物类型!$A$2:$A$10,0))*IF($K99="",1,$K99),""))</f>
        <v/>
      </c>
      <c r="T99" s="21">
        <f>IF(OR($J99="",$F99="不适用"),"",IFERROR(INDEX(_怪物模型!$E$2:$E$4501,(INT($J99)-1)*ROWS(_怪物类型!$A$2:$A$10)+MATCH($F99,_怪物类型!$A$2:$A$10,0))*IF($L99="",1,$L99),""))</f>
        <v/>
      </c>
      <c r="U99" s="21">
        <f>IF(OR($J99="",$F99="不适用"),"",IFERROR(INDEX(_怪物模型!$F$2:$F$4501,(INT($J99)-1)*ROWS(_怪物类型!$A$2:$A$10)+MATCH($F99,_怪物类型!$A$2:$A$10,0))*IF($M99="",1,$M99),""))</f>
        <v/>
      </c>
      <c r="V99" s="84">
        <f>IF($U99="","",MIN(0.75,$U99/($U99+24000)))</f>
        <v/>
      </c>
      <c r="W99" s="21">
        <f>IF($S99="","",$S99/(1-$V99)*IF($N99="",1,$N99))</f>
        <v/>
      </c>
      <c r="X99" s="17">
        <f>IF(OR($W99="",$Q99="",$Q99=0),"",$W99/$Q99)</f>
        <v/>
      </c>
      <c r="Y99" s="17">
        <f>IF(OR($R99="",$T99="",$T99=0),"",$R99/($T99*IF($O99="",1,$O99)))</f>
        <v/>
      </c>
      <c r="Z99" s="17">
        <f>IF(OR($X99="",$P99="",$P99=0),"",$X99/$P99)</f>
        <v/>
      </c>
      <c r="AA99">
        <f>IF($J99="","待填怪物等级",IF(OR($I99="",$Q99=""),"待填对照关卡",IF($P99="","已计算",IF(AND($Y99&lt;&gt;"",$Y99&lt;$X99),"生存不成立",IF($Z99&lt;0.5,"碾压",IF($Z99&lt;0.8,"偏简单",IF($Z99&lt;=1.2,"适中",IF($Z99&lt;=1.5,"偏难","过难"))))))))</f>
        <v/>
      </c>
      <c r="AB99">
        <f>IF($J99="","待填",IF(AND(ISNUMBER($J99),$J99&gt;=1,$J99&lt;=500,MOD($J99,1)=0),"有效","超范围"))</f>
        <v/>
      </c>
      <c r="AC99">
        <f>IF(C99&lt;&gt;C98,"新玩法组",IF(J99&gt;=J98,"不降","回退"))</f>
        <v/>
      </c>
      <c r="AD99" t="inlineStr">
        <is>
          <t>等效进度估算S93，非解锁/首通节点；旧Lv188→155</t>
        </is>
      </c>
      <c r="AE99" s="4" t="n">
        <v>166000</v>
      </c>
      <c r="AF99" s="4">
        <f>INDEX(_统一战力!$B$2:$B$501,J99)</f>
        <v/>
      </c>
    </row>
    <row r="100">
      <c r="A100" t="inlineStr">
        <is>
          <t>当前源表</t>
        </is>
      </c>
      <c r="B100" t="inlineStr">
        <is>
          <t>其他战斗玩法</t>
        </is>
      </c>
      <c r="C100" t="inlineStr">
        <is>
          <t>LevelType_GuilidBoss</t>
        </is>
      </c>
      <c r="D100" t="inlineStr">
        <is>
          <t>异变林猿 难度4</t>
        </is>
      </c>
      <c r="E100" t="inlineStr">
        <is>
          <t>610204</t>
        </is>
      </c>
      <c r="F100" t="inlineStr">
        <is>
          <t>Boss</t>
        </is>
      </c>
      <c r="G100" t="n">
        <v>93</v>
      </c>
      <c r="I100">
        <f>IF($H100="",$G100,$H100)</f>
        <v/>
      </c>
      <c r="J100" t="n">
        <v>155</v>
      </c>
      <c r="K100" s="83" t="n">
        <v>1.04748605758338</v>
      </c>
      <c r="L100" s="83" t="n">
        <v>0.875256763021937</v>
      </c>
      <c r="M100" s="83" t="n">
        <v>1</v>
      </c>
      <c r="N100" t="n">
        <v>1</v>
      </c>
      <c r="O100" t="n">
        <v>1</v>
      </c>
      <c r="P100" s="17" t="n">
        <v>37.3454925150758</v>
      </c>
      <c r="Q100" s="21">
        <f>IF($I100="","",IFERROR(INDEX(_玩家曲线!$H$2:$H$286,MATCH($I100,_玩家曲线!$A$2:$A$286,0)),""))</f>
        <v/>
      </c>
      <c r="R100" s="21">
        <f>IF($I100="","",IFERROR(INDEX(_玩家曲线!$I$2:$I$286,MATCH($I100,_玩家曲线!$A$2:$A$286,0)),""))</f>
        <v/>
      </c>
      <c r="S100" s="21">
        <f>IF(OR($J100="",$F100="不适用"),"",IFERROR(INDEX(_怪物模型!$D$2:$D$4501,(INT($J100)-1)*ROWS(_怪物类型!$A$2:$A$10)+MATCH($F100,_怪物类型!$A$2:$A$10,0))*IF($K100="",1,$K100),""))</f>
        <v/>
      </c>
      <c r="T100" s="21">
        <f>IF(OR($J100="",$F100="不适用"),"",IFERROR(INDEX(_怪物模型!$E$2:$E$4501,(INT($J100)-1)*ROWS(_怪物类型!$A$2:$A$10)+MATCH($F100,_怪物类型!$A$2:$A$10,0))*IF($L100="",1,$L100),""))</f>
        <v/>
      </c>
      <c r="U100" s="21">
        <f>IF(OR($J100="",$F100="不适用"),"",IFERROR(INDEX(_怪物模型!$F$2:$F$4501,(INT($J100)-1)*ROWS(_怪物类型!$A$2:$A$10)+MATCH($F100,_怪物类型!$A$2:$A$10,0))*IF($M100="",1,$M100),""))</f>
        <v/>
      </c>
      <c r="V100" s="84">
        <f>IF($U100="","",MIN(0.75,$U100/($U100+24000)))</f>
        <v/>
      </c>
      <c r="W100" s="21">
        <f>IF($S100="","",$S100/(1-$V100)*IF($N100="",1,$N100))</f>
        <v/>
      </c>
      <c r="X100" s="17">
        <f>IF(OR($W100="",$Q100="",$Q100=0),"",$W100/$Q100)</f>
        <v/>
      </c>
      <c r="Y100" s="17">
        <f>IF(OR($R100="",$T100="",$T100=0),"",$R100/($T100*IF($O100="",1,$O100)))</f>
        <v/>
      </c>
      <c r="Z100" s="17">
        <f>IF(OR($X100="",$P100="",$P100=0),"",$X100/$P100)</f>
        <v/>
      </c>
      <c r="AA100">
        <f>IF($J100="","待填怪物等级",IF(OR($I100="",$Q100=""),"待填对照关卡",IF($P100="","已计算",IF(AND($Y100&lt;&gt;"",$Y100&lt;$X100),"生存不成立",IF($Z100&lt;0.5,"碾压",IF($Z100&lt;0.8,"偏简单",IF($Z100&lt;=1.2,"适中",IF($Z100&lt;=1.5,"偏难","过难"))))))))</f>
        <v/>
      </c>
      <c r="AB100">
        <f>IF($J100="","待填",IF(AND(ISNUMBER($J100),$J100&gt;=1,$J100&lt;=500,MOD($J100,1)=0),"有效","超范围"))</f>
        <v/>
      </c>
      <c r="AC100">
        <f>IF(C100&lt;&gt;C99,"新玩法组",IF(J100&gt;=J99,"不降","回退"))</f>
        <v/>
      </c>
      <c r="AD100" t="inlineStr">
        <is>
          <t>等效进度估算S93，非解锁/首通节点；旧Lv188→155</t>
        </is>
      </c>
      <c r="AE100" s="4" t="n">
        <v>166000</v>
      </c>
      <c r="AF100" s="4">
        <f>INDEX(_统一战力!$B$2:$B$501,J100)</f>
        <v/>
      </c>
    </row>
    <row r="101">
      <c r="A101" t="inlineStr">
        <is>
          <t>当前源表</t>
        </is>
      </c>
      <c r="B101" t="inlineStr">
        <is>
          <t>其他战斗玩法</t>
        </is>
      </c>
      <c r="C101" t="inlineStr">
        <is>
          <t>LevelType_GuilidBoss</t>
        </is>
      </c>
      <c r="D101" t="inlineStr">
        <is>
          <t>雪怪王 难度5</t>
        </is>
      </c>
      <c r="E101" t="inlineStr">
        <is>
          <t>610005</t>
        </is>
      </c>
      <c r="F101" t="inlineStr">
        <is>
          <t>Boss</t>
        </is>
      </c>
      <c r="G101" t="n">
        <v>111</v>
      </c>
      <c r="I101">
        <f>IF($H101="",$G101,$H101)</f>
        <v/>
      </c>
      <c r="J101" t="n">
        <v>179</v>
      </c>
      <c r="K101" s="83" t="n">
        <v>1.02996991022019</v>
      </c>
      <c r="L101" s="83" t="n">
        <v>0.914922386614851</v>
      </c>
      <c r="M101" s="83" t="n">
        <v>1</v>
      </c>
      <c r="N101" t="n">
        <v>1</v>
      </c>
      <c r="O101" t="n">
        <v>1</v>
      </c>
      <c r="P101" s="17" t="n">
        <v>37.8109349293775</v>
      </c>
      <c r="Q101" s="21">
        <f>IF($I101="","",IFERROR(INDEX(_玩家曲线!$H$2:$H$286,MATCH($I101,_玩家曲线!$A$2:$A$286,0)),""))</f>
        <v/>
      </c>
      <c r="R101" s="21">
        <f>IF($I101="","",IFERROR(INDEX(_玩家曲线!$I$2:$I$286,MATCH($I101,_玩家曲线!$A$2:$A$286,0)),""))</f>
        <v/>
      </c>
      <c r="S101" s="21">
        <f>IF(OR($J101="",$F101="不适用"),"",IFERROR(INDEX(_怪物模型!$D$2:$D$4501,(INT($J101)-1)*ROWS(_怪物类型!$A$2:$A$10)+MATCH($F101,_怪物类型!$A$2:$A$10,0))*IF($K101="",1,$K101),""))</f>
        <v/>
      </c>
      <c r="T101" s="21">
        <f>IF(OR($J101="",$F101="不适用"),"",IFERROR(INDEX(_怪物模型!$E$2:$E$4501,(INT($J101)-1)*ROWS(_怪物类型!$A$2:$A$10)+MATCH($F101,_怪物类型!$A$2:$A$10,0))*IF($L101="",1,$L101),""))</f>
        <v/>
      </c>
      <c r="U101" s="21">
        <f>IF(OR($J101="",$F101="不适用"),"",IFERROR(INDEX(_怪物模型!$F$2:$F$4501,(INT($J101)-1)*ROWS(_怪物类型!$A$2:$A$10)+MATCH($F101,_怪物类型!$A$2:$A$10,0))*IF($M101="",1,$M101),""))</f>
        <v/>
      </c>
      <c r="V101" s="84">
        <f>IF($U101="","",MIN(0.75,$U101/($U101+24000)))</f>
        <v/>
      </c>
      <c r="W101" s="21">
        <f>IF($S101="","",$S101/(1-$V101)*IF($N101="",1,$N101))</f>
        <v/>
      </c>
      <c r="X101" s="17">
        <f>IF(OR($W101="",$Q101="",$Q101=0),"",$W101/$Q101)</f>
        <v/>
      </c>
      <c r="Y101" s="17">
        <f>IF(OR($R101="",$T101="",$T101=0),"",$R101/($T101*IF($O101="",1,$O101)))</f>
        <v/>
      </c>
      <c r="Z101" s="17">
        <f>IF(OR($X101="",$P101="",$P101=0),"",$X101/$P101)</f>
        <v/>
      </c>
      <c r="AA101">
        <f>IF($J101="","待填怪物等级",IF(OR($I101="",$Q101=""),"待填对照关卡",IF($P101="","已计算",IF(AND($Y101&lt;&gt;"",$Y101&lt;$X101),"生存不成立",IF($Z101&lt;0.5,"碾压",IF($Z101&lt;0.8,"偏简单",IF($Z101&lt;=1.2,"适中",IF($Z101&lt;=1.5,"偏难","过难"))))))))</f>
        <v/>
      </c>
      <c r="AB101">
        <f>IF($J101="","待填",IF(AND(ISNUMBER($J101),$J101&gt;=1,$J101&lt;=500,MOD($J101,1)=0),"有效","超范围"))</f>
        <v/>
      </c>
      <c r="AC101">
        <f>IF(C101&lt;&gt;C100,"新玩法组",IF(J101&gt;=J100,"不降","回退"))</f>
        <v/>
      </c>
      <c r="AD101" t="inlineStr">
        <is>
          <t>等效进度估算S111，非解锁/首通节点；旧Lv214→179</t>
        </is>
      </c>
      <c r="AE101" s="4" t="n">
        <v>225000</v>
      </c>
      <c r="AF101" s="4">
        <f>INDEX(_统一战力!$B$2:$B$501,J101)</f>
        <v/>
      </c>
    </row>
    <row r="102">
      <c r="A102" t="inlineStr">
        <is>
          <t>当前源表</t>
        </is>
      </c>
      <c r="B102" t="inlineStr">
        <is>
          <t>其他战斗玩法</t>
        </is>
      </c>
      <c r="C102" t="inlineStr">
        <is>
          <t>LevelType_GuilidBoss</t>
        </is>
      </c>
      <c r="D102" t="inlineStr">
        <is>
          <t>莫尔拉 难度5</t>
        </is>
      </c>
      <c r="E102" t="inlineStr">
        <is>
          <t>610105</t>
        </is>
      </c>
      <c r="F102" t="inlineStr">
        <is>
          <t>Boss</t>
        </is>
      </c>
      <c r="G102" t="n">
        <v>111</v>
      </c>
      <c r="I102">
        <f>IF($H102="",$G102,$H102)</f>
        <v/>
      </c>
      <c r="J102" t="n">
        <v>179</v>
      </c>
      <c r="K102" s="83" t="n">
        <v>1.02996991022019</v>
      </c>
      <c r="L102" s="83" t="n">
        <v>0.914922386614851</v>
      </c>
      <c r="M102" s="83" t="n">
        <v>1</v>
      </c>
      <c r="N102" t="n">
        <v>1</v>
      </c>
      <c r="O102" t="n">
        <v>1</v>
      </c>
      <c r="P102" s="17" t="n">
        <v>37.8109349293775</v>
      </c>
      <c r="Q102" s="21">
        <f>IF($I102="","",IFERROR(INDEX(_玩家曲线!$H$2:$H$286,MATCH($I102,_玩家曲线!$A$2:$A$286,0)),""))</f>
        <v/>
      </c>
      <c r="R102" s="21">
        <f>IF($I102="","",IFERROR(INDEX(_玩家曲线!$I$2:$I$286,MATCH($I102,_玩家曲线!$A$2:$A$286,0)),""))</f>
        <v/>
      </c>
      <c r="S102" s="21">
        <f>IF(OR($J102="",$F102="不适用"),"",IFERROR(INDEX(_怪物模型!$D$2:$D$4501,(INT($J102)-1)*ROWS(_怪物类型!$A$2:$A$10)+MATCH($F102,_怪物类型!$A$2:$A$10,0))*IF($K102="",1,$K102),""))</f>
        <v/>
      </c>
      <c r="T102" s="21">
        <f>IF(OR($J102="",$F102="不适用"),"",IFERROR(INDEX(_怪物模型!$E$2:$E$4501,(INT($J102)-1)*ROWS(_怪物类型!$A$2:$A$10)+MATCH($F102,_怪物类型!$A$2:$A$10,0))*IF($L102="",1,$L102),""))</f>
        <v/>
      </c>
      <c r="U102" s="21">
        <f>IF(OR($J102="",$F102="不适用"),"",IFERROR(INDEX(_怪物模型!$F$2:$F$4501,(INT($J102)-1)*ROWS(_怪物类型!$A$2:$A$10)+MATCH($F102,_怪物类型!$A$2:$A$10,0))*IF($M102="",1,$M102),""))</f>
        <v/>
      </c>
      <c r="V102" s="84">
        <f>IF($U102="","",MIN(0.75,$U102/($U102+24000)))</f>
        <v/>
      </c>
      <c r="W102" s="21">
        <f>IF($S102="","",$S102/(1-$V102)*IF($N102="",1,$N102))</f>
        <v/>
      </c>
      <c r="X102" s="17">
        <f>IF(OR($W102="",$Q102="",$Q102=0),"",$W102/$Q102)</f>
        <v/>
      </c>
      <c r="Y102" s="17">
        <f>IF(OR($R102="",$T102="",$T102=0),"",$R102/($T102*IF($O102="",1,$O102)))</f>
        <v/>
      </c>
      <c r="Z102" s="17">
        <f>IF(OR($X102="",$P102="",$P102=0),"",$X102/$P102)</f>
        <v/>
      </c>
      <c r="AA102">
        <f>IF($J102="","待填怪物等级",IF(OR($I102="",$Q102=""),"待填对照关卡",IF($P102="","已计算",IF(AND($Y102&lt;&gt;"",$Y102&lt;$X102),"生存不成立",IF($Z102&lt;0.5,"碾压",IF($Z102&lt;0.8,"偏简单",IF($Z102&lt;=1.2,"适中",IF($Z102&lt;=1.5,"偏难","过难"))))))))</f>
        <v/>
      </c>
      <c r="AB102">
        <f>IF($J102="","待填",IF(AND(ISNUMBER($J102),$J102&gt;=1,$J102&lt;=500,MOD($J102,1)=0),"有效","超范围"))</f>
        <v/>
      </c>
      <c r="AC102">
        <f>IF(C102&lt;&gt;C101,"新玩法组",IF(J102&gt;=J101,"不降","回退"))</f>
        <v/>
      </c>
      <c r="AD102" t="inlineStr">
        <is>
          <t>等效进度估算S111，非解锁/首通节点；旧Lv214→179</t>
        </is>
      </c>
      <c r="AE102" s="4" t="n">
        <v>225000</v>
      </c>
      <c r="AF102" s="4">
        <f>INDEX(_统一战力!$B$2:$B$501,J102)</f>
        <v/>
      </c>
    </row>
    <row r="103">
      <c r="A103" t="inlineStr">
        <is>
          <t>当前源表</t>
        </is>
      </c>
      <c r="B103" t="inlineStr">
        <is>
          <t>其他战斗玩法</t>
        </is>
      </c>
      <c r="C103" t="inlineStr">
        <is>
          <t>LevelType_GuilidBoss</t>
        </is>
      </c>
      <c r="D103" t="inlineStr">
        <is>
          <t>异变林猿 难度5</t>
        </is>
      </c>
      <c r="E103" t="inlineStr">
        <is>
          <t>610205</t>
        </is>
      </c>
      <c r="F103" t="inlineStr">
        <is>
          <t>Boss</t>
        </is>
      </c>
      <c r="G103" t="n">
        <v>111</v>
      </c>
      <c r="I103">
        <f>IF($H103="",$G103,$H103)</f>
        <v/>
      </c>
      <c r="J103" t="n">
        <v>179</v>
      </c>
      <c r="K103" s="83" t="n">
        <v>1.02996991022019</v>
      </c>
      <c r="L103" s="83" t="n">
        <v>0.914922386614851</v>
      </c>
      <c r="M103" s="83" t="n">
        <v>1</v>
      </c>
      <c r="N103" t="n">
        <v>1</v>
      </c>
      <c r="O103" t="n">
        <v>1</v>
      </c>
      <c r="P103" s="17" t="n">
        <v>37.8109349293775</v>
      </c>
      <c r="Q103" s="21">
        <f>IF($I103="","",IFERROR(INDEX(_玩家曲线!$H$2:$H$286,MATCH($I103,_玩家曲线!$A$2:$A$286,0)),""))</f>
        <v/>
      </c>
      <c r="R103" s="21">
        <f>IF($I103="","",IFERROR(INDEX(_玩家曲线!$I$2:$I$286,MATCH($I103,_玩家曲线!$A$2:$A$286,0)),""))</f>
        <v/>
      </c>
      <c r="S103" s="21">
        <f>IF(OR($J103="",$F103="不适用"),"",IFERROR(INDEX(_怪物模型!$D$2:$D$4501,(INT($J103)-1)*ROWS(_怪物类型!$A$2:$A$10)+MATCH($F103,_怪物类型!$A$2:$A$10,0))*IF($K103="",1,$K103),""))</f>
        <v/>
      </c>
      <c r="T103" s="21">
        <f>IF(OR($J103="",$F103="不适用"),"",IFERROR(INDEX(_怪物模型!$E$2:$E$4501,(INT($J103)-1)*ROWS(_怪物类型!$A$2:$A$10)+MATCH($F103,_怪物类型!$A$2:$A$10,0))*IF($L103="",1,$L103),""))</f>
        <v/>
      </c>
      <c r="U103" s="21">
        <f>IF(OR($J103="",$F103="不适用"),"",IFERROR(INDEX(_怪物模型!$F$2:$F$4501,(INT($J103)-1)*ROWS(_怪物类型!$A$2:$A$10)+MATCH($F103,_怪物类型!$A$2:$A$10,0))*IF($M103="",1,$M103),""))</f>
        <v/>
      </c>
      <c r="V103" s="84">
        <f>IF($U103="","",MIN(0.75,$U103/($U103+24000)))</f>
        <v/>
      </c>
      <c r="W103" s="21">
        <f>IF($S103="","",$S103/(1-$V103)*IF($N103="",1,$N103))</f>
        <v/>
      </c>
      <c r="X103" s="17">
        <f>IF(OR($W103="",$Q103="",$Q103=0),"",$W103/$Q103)</f>
        <v/>
      </c>
      <c r="Y103" s="17">
        <f>IF(OR($R103="",$T103="",$T103=0),"",$R103/($T103*IF($O103="",1,$O103)))</f>
        <v/>
      </c>
      <c r="Z103" s="17">
        <f>IF(OR($X103="",$P103="",$P103=0),"",$X103/$P103)</f>
        <v/>
      </c>
      <c r="AA103">
        <f>IF($J103="","待填怪物等级",IF(OR($I103="",$Q103=""),"待填对照关卡",IF($P103="","已计算",IF(AND($Y103&lt;&gt;"",$Y103&lt;$X103),"生存不成立",IF($Z103&lt;0.5,"碾压",IF($Z103&lt;0.8,"偏简单",IF($Z103&lt;=1.2,"适中",IF($Z103&lt;=1.5,"偏难","过难"))))))))</f>
        <v/>
      </c>
      <c r="AB103">
        <f>IF($J103="","待填",IF(AND(ISNUMBER($J103),$J103&gt;=1,$J103&lt;=500,MOD($J103,1)=0),"有效","超范围"))</f>
        <v/>
      </c>
      <c r="AC103">
        <f>IF(C103&lt;&gt;C102,"新玩法组",IF(J103&gt;=J102,"不降","回退"))</f>
        <v/>
      </c>
      <c r="AD103" t="inlineStr">
        <is>
          <t>等效进度估算S111，非解锁/首通节点；旧Lv214→179</t>
        </is>
      </c>
      <c r="AE103" s="4" t="n">
        <v>225000</v>
      </c>
      <c r="AF103" s="4">
        <f>INDEX(_统一战力!$B$2:$B$501,J103)</f>
        <v/>
      </c>
    </row>
    <row r="104">
      <c r="A104" t="inlineStr">
        <is>
          <t>当前源表</t>
        </is>
      </c>
      <c r="B104" t="inlineStr">
        <is>
          <t>其他战斗玩法</t>
        </is>
      </c>
      <c r="C104" t="inlineStr">
        <is>
          <t>LevelType_GuilidBoss</t>
        </is>
      </c>
      <c r="D104" t="inlineStr">
        <is>
          <t>雪怪王 难度6</t>
        </is>
      </c>
      <c r="E104" t="inlineStr">
        <is>
          <t>610006</t>
        </is>
      </c>
      <c r="F104" t="inlineStr">
        <is>
          <t>Boss</t>
        </is>
      </c>
      <c r="G104" t="n">
        <v>136</v>
      </c>
      <c r="I104">
        <f>IF($H104="",$G104,$H104)</f>
        <v/>
      </c>
      <c r="J104" t="n">
        <v>211</v>
      </c>
      <c r="K104" s="83" t="n">
        <v>1.00582304377939</v>
      </c>
      <c r="L104" s="83" t="n">
        <v>0.96648770744415</v>
      </c>
      <c r="M104" s="83" t="n">
        <v>1</v>
      </c>
      <c r="N104" t="n">
        <v>1</v>
      </c>
      <c r="O104" t="n">
        <v>1</v>
      </c>
      <c r="P104" s="17" t="n">
        <v>38.9177754768656</v>
      </c>
      <c r="Q104" s="21">
        <f>IF($I104="","",IFERROR(INDEX(_玩家曲线!$H$2:$H$286,MATCH($I104,_玩家曲线!$A$2:$A$286,0)),""))</f>
        <v/>
      </c>
      <c r="R104" s="21">
        <f>IF($I104="","",IFERROR(INDEX(_玩家曲线!$I$2:$I$286,MATCH($I104,_玩家曲线!$A$2:$A$286,0)),""))</f>
        <v/>
      </c>
      <c r="S104" s="21">
        <f>IF(OR($J104="",$F104="不适用"),"",IFERROR(INDEX(_怪物模型!$D$2:$D$4501,(INT($J104)-1)*ROWS(_怪物类型!$A$2:$A$10)+MATCH($F104,_怪物类型!$A$2:$A$10,0))*IF($K104="",1,$K104),""))</f>
        <v/>
      </c>
      <c r="T104" s="21">
        <f>IF(OR($J104="",$F104="不适用"),"",IFERROR(INDEX(_怪物模型!$E$2:$E$4501,(INT($J104)-1)*ROWS(_怪物类型!$A$2:$A$10)+MATCH($F104,_怪物类型!$A$2:$A$10,0))*IF($L104="",1,$L104),""))</f>
        <v/>
      </c>
      <c r="U104" s="21">
        <f>IF(OR($J104="",$F104="不适用"),"",IFERROR(INDEX(_怪物模型!$F$2:$F$4501,(INT($J104)-1)*ROWS(_怪物类型!$A$2:$A$10)+MATCH($F104,_怪物类型!$A$2:$A$10,0))*IF($M104="",1,$M104),""))</f>
        <v/>
      </c>
      <c r="V104" s="84">
        <f>IF($U104="","",MIN(0.75,$U104/($U104+24000)))</f>
        <v/>
      </c>
      <c r="W104" s="21">
        <f>IF($S104="","",$S104/(1-$V104)*IF($N104="",1,$N104))</f>
        <v/>
      </c>
      <c r="X104" s="17">
        <f>IF(OR($W104="",$Q104="",$Q104=0),"",$W104/$Q104)</f>
        <v/>
      </c>
      <c r="Y104" s="17">
        <f>IF(OR($R104="",$T104="",$T104=0),"",$R104/($T104*IF($O104="",1,$O104)))</f>
        <v/>
      </c>
      <c r="Z104" s="17">
        <f>IF(OR($X104="",$P104="",$P104=0),"",$X104/$P104)</f>
        <v/>
      </c>
      <c r="AA104">
        <f>IF($J104="","待填怪物等级",IF(OR($I104="",$Q104=""),"待填对照关卡",IF($P104="","已计算",IF(AND($Y104&lt;&gt;"",$Y104&lt;$X104),"生存不成立",IF($Z104&lt;0.5,"碾压",IF($Z104&lt;0.8,"偏简单",IF($Z104&lt;=1.2,"适中",IF($Z104&lt;=1.5,"偏难","过难"))))))))</f>
        <v/>
      </c>
      <c r="AB104">
        <f>IF($J104="","待填",IF(AND(ISNUMBER($J104),$J104&gt;=1,$J104&lt;=500,MOD($J104,1)=0),"有效","超范围"))</f>
        <v/>
      </c>
      <c r="AC104">
        <f>IF(C104&lt;&gt;C103,"新玩法组",IF(J104&gt;=J103,"不降","回退"))</f>
        <v/>
      </c>
      <c r="AD104" t="inlineStr">
        <is>
          <t>等效进度估算S136，非解锁/首通节点；旧Lv244→211</t>
        </is>
      </c>
      <c r="AE104" s="4" t="n">
        <v>314000</v>
      </c>
      <c r="AF104" s="4">
        <f>INDEX(_统一战力!$B$2:$B$501,J104)</f>
        <v/>
      </c>
    </row>
    <row r="105">
      <c r="A105" t="inlineStr">
        <is>
          <t>当前源表</t>
        </is>
      </c>
      <c r="B105" t="inlineStr">
        <is>
          <t>其他战斗玩法</t>
        </is>
      </c>
      <c r="C105" t="inlineStr">
        <is>
          <t>LevelType_GuilidBoss</t>
        </is>
      </c>
      <c r="D105" t="inlineStr">
        <is>
          <t>莫尔拉 难度6</t>
        </is>
      </c>
      <c r="E105" t="inlineStr">
        <is>
          <t>610106</t>
        </is>
      </c>
      <c r="F105" t="inlineStr">
        <is>
          <t>Boss</t>
        </is>
      </c>
      <c r="G105" t="n">
        <v>136</v>
      </c>
      <c r="I105">
        <f>IF($H105="",$G105,$H105)</f>
        <v/>
      </c>
      <c r="J105" t="n">
        <v>211</v>
      </c>
      <c r="K105" s="83" t="n">
        <v>1.00582304377939</v>
      </c>
      <c r="L105" s="83" t="n">
        <v>0.96648770744415</v>
      </c>
      <c r="M105" s="83" t="n">
        <v>1</v>
      </c>
      <c r="N105" t="n">
        <v>1</v>
      </c>
      <c r="O105" t="n">
        <v>1</v>
      </c>
      <c r="P105" s="17" t="n">
        <v>38.9177754768656</v>
      </c>
      <c r="Q105" s="21">
        <f>IF($I105="","",IFERROR(INDEX(_玩家曲线!$H$2:$H$286,MATCH($I105,_玩家曲线!$A$2:$A$286,0)),""))</f>
        <v/>
      </c>
      <c r="R105" s="21">
        <f>IF($I105="","",IFERROR(INDEX(_玩家曲线!$I$2:$I$286,MATCH($I105,_玩家曲线!$A$2:$A$286,0)),""))</f>
        <v/>
      </c>
      <c r="S105" s="21">
        <f>IF(OR($J105="",$F105="不适用"),"",IFERROR(INDEX(_怪物模型!$D$2:$D$4501,(INT($J105)-1)*ROWS(_怪物类型!$A$2:$A$10)+MATCH($F105,_怪物类型!$A$2:$A$10,0))*IF($K105="",1,$K105),""))</f>
        <v/>
      </c>
      <c r="T105" s="21">
        <f>IF(OR($J105="",$F105="不适用"),"",IFERROR(INDEX(_怪物模型!$E$2:$E$4501,(INT($J105)-1)*ROWS(_怪物类型!$A$2:$A$10)+MATCH($F105,_怪物类型!$A$2:$A$10,0))*IF($L105="",1,$L105),""))</f>
        <v/>
      </c>
      <c r="U105" s="21">
        <f>IF(OR($J105="",$F105="不适用"),"",IFERROR(INDEX(_怪物模型!$F$2:$F$4501,(INT($J105)-1)*ROWS(_怪物类型!$A$2:$A$10)+MATCH($F105,_怪物类型!$A$2:$A$10,0))*IF($M105="",1,$M105),""))</f>
        <v/>
      </c>
      <c r="V105" s="84">
        <f>IF($U105="","",MIN(0.75,$U105/($U105+24000)))</f>
        <v/>
      </c>
      <c r="W105" s="21">
        <f>IF($S105="","",$S105/(1-$V105)*IF($N105="",1,$N105))</f>
        <v/>
      </c>
      <c r="X105" s="17">
        <f>IF(OR($W105="",$Q105="",$Q105=0),"",$W105/$Q105)</f>
        <v/>
      </c>
      <c r="Y105" s="17">
        <f>IF(OR($R105="",$T105="",$T105=0),"",$R105/($T105*IF($O105="",1,$O105)))</f>
        <v/>
      </c>
      <c r="Z105" s="17">
        <f>IF(OR($X105="",$P105="",$P105=0),"",$X105/$P105)</f>
        <v/>
      </c>
      <c r="AA105">
        <f>IF($J105="","待填怪物等级",IF(OR($I105="",$Q105=""),"待填对照关卡",IF($P105="","已计算",IF(AND($Y105&lt;&gt;"",$Y105&lt;$X105),"生存不成立",IF($Z105&lt;0.5,"碾压",IF($Z105&lt;0.8,"偏简单",IF($Z105&lt;=1.2,"适中",IF($Z105&lt;=1.5,"偏难","过难"))))))))</f>
        <v/>
      </c>
      <c r="AB105">
        <f>IF($J105="","待填",IF(AND(ISNUMBER($J105),$J105&gt;=1,$J105&lt;=500,MOD($J105,1)=0),"有效","超范围"))</f>
        <v/>
      </c>
      <c r="AC105">
        <f>IF(C105&lt;&gt;C104,"新玩法组",IF(J105&gt;=J104,"不降","回退"))</f>
        <v/>
      </c>
      <c r="AD105" t="inlineStr">
        <is>
          <t>等效进度估算S136，非解锁/首通节点；旧Lv244→211</t>
        </is>
      </c>
      <c r="AE105" s="4" t="n">
        <v>314000</v>
      </c>
      <c r="AF105" s="4">
        <f>INDEX(_统一战力!$B$2:$B$501,J105)</f>
        <v/>
      </c>
    </row>
    <row r="106">
      <c r="A106" t="inlineStr">
        <is>
          <t>当前源表</t>
        </is>
      </c>
      <c r="B106" t="inlineStr">
        <is>
          <t>其他战斗玩法</t>
        </is>
      </c>
      <c r="C106" t="inlineStr">
        <is>
          <t>LevelType_GuilidBoss</t>
        </is>
      </c>
      <c r="D106" t="inlineStr">
        <is>
          <t>异变林猿 难度6</t>
        </is>
      </c>
      <c r="E106" t="inlineStr">
        <is>
          <t>610206</t>
        </is>
      </c>
      <c r="F106" t="inlineStr">
        <is>
          <t>Boss</t>
        </is>
      </c>
      <c r="G106" t="n">
        <v>136</v>
      </c>
      <c r="I106">
        <f>IF($H106="",$G106,$H106)</f>
        <v/>
      </c>
      <c r="J106" t="n">
        <v>211</v>
      </c>
      <c r="K106" s="83" t="n">
        <v>1.00582304377939</v>
      </c>
      <c r="L106" s="83" t="n">
        <v>0.96648770744415</v>
      </c>
      <c r="M106" s="83" t="n">
        <v>1</v>
      </c>
      <c r="N106" t="n">
        <v>1</v>
      </c>
      <c r="O106" t="n">
        <v>1</v>
      </c>
      <c r="P106" s="17" t="n">
        <v>38.9177754768656</v>
      </c>
      <c r="Q106" s="21">
        <f>IF($I106="","",IFERROR(INDEX(_玩家曲线!$H$2:$H$286,MATCH($I106,_玩家曲线!$A$2:$A$286,0)),""))</f>
        <v/>
      </c>
      <c r="R106" s="21">
        <f>IF($I106="","",IFERROR(INDEX(_玩家曲线!$I$2:$I$286,MATCH($I106,_玩家曲线!$A$2:$A$286,0)),""))</f>
        <v/>
      </c>
      <c r="S106" s="21">
        <f>IF(OR($J106="",$F106="不适用"),"",IFERROR(INDEX(_怪物模型!$D$2:$D$4501,(INT($J106)-1)*ROWS(_怪物类型!$A$2:$A$10)+MATCH($F106,_怪物类型!$A$2:$A$10,0))*IF($K106="",1,$K106),""))</f>
        <v/>
      </c>
      <c r="T106" s="21">
        <f>IF(OR($J106="",$F106="不适用"),"",IFERROR(INDEX(_怪物模型!$E$2:$E$4501,(INT($J106)-1)*ROWS(_怪物类型!$A$2:$A$10)+MATCH($F106,_怪物类型!$A$2:$A$10,0))*IF($L106="",1,$L106),""))</f>
        <v/>
      </c>
      <c r="U106" s="21">
        <f>IF(OR($J106="",$F106="不适用"),"",IFERROR(INDEX(_怪物模型!$F$2:$F$4501,(INT($J106)-1)*ROWS(_怪物类型!$A$2:$A$10)+MATCH($F106,_怪物类型!$A$2:$A$10,0))*IF($M106="",1,$M106),""))</f>
        <v/>
      </c>
      <c r="V106" s="84">
        <f>IF($U106="","",MIN(0.75,$U106/($U106+24000)))</f>
        <v/>
      </c>
      <c r="W106" s="21">
        <f>IF($S106="","",$S106/(1-$V106)*IF($N106="",1,$N106))</f>
        <v/>
      </c>
      <c r="X106" s="17">
        <f>IF(OR($W106="",$Q106="",$Q106=0),"",$W106/$Q106)</f>
        <v/>
      </c>
      <c r="Y106" s="17">
        <f>IF(OR($R106="",$T106="",$T106=0),"",$R106/($T106*IF($O106="",1,$O106)))</f>
        <v/>
      </c>
      <c r="Z106" s="17">
        <f>IF(OR($X106="",$P106="",$P106=0),"",$X106/$P106)</f>
        <v/>
      </c>
      <c r="AA106">
        <f>IF($J106="","待填怪物等级",IF(OR($I106="",$Q106=""),"待填对照关卡",IF($P106="","已计算",IF(AND($Y106&lt;&gt;"",$Y106&lt;$X106),"生存不成立",IF($Z106&lt;0.5,"碾压",IF($Z106&lt;0.8,"偏简单",IF($Z106&lt;=1.2,"适中",IF($Z106&lt;=1.5,"偏难","过难"))))))))</f>
        <v/>
      </c>
      <c r="AB106">
        <f>IF($J106="","待填",IF(AND(ISNUMBER($J106),$J106&gt;=1,$J106&lt;=500,MOD($J106,1)=0),"有效","超范围"))</f>
        <v/>
      </c>
      <c r="AC106">
        <f>IF(C106&lt;&gt;C105,"新玩法组",IF(J106&gt;=J105,"不降","回退"))</f>
        <v/>
      </c>
      <c r="AD106" t="inlineStr">
        <is>
          <t>等效进度估算S136，非解锁/首通节点；旧Lv244→211</t>
        </is>
      </c>
      <c r="AE106" s="4" t="n">
        <v>314000</v>
      </c>
      <c r="AF106" s="4">
        <f>INDEX(_统一战力!$B$2:$B$501,J106)</f>
        <v/>
      </c>
    </row>
    <row r="107">
      <c r="A107" t="inlineStr">
        <is>
          <t>当前源表</t>
        </is>
      </c>
      <c r="B107" t="inlineStr">
        <is>
          <t>其他战斗玩法</t>
        </is>
      </c>
      <c r="C107" t="inlineStr">
        <is>
          <t>LevelType_GuilidBoss</t>
        </is>
      </c>
      <c r="D107" t="inlineStr">
        <is>
          <t>雪怪王 难度7</t>
        </is>
      </c>
      <c r="E107" t="inlineStr">
        <is>
          <t>610007</t>
        </is>
      </c>
      <c r="F107" t="inlineStr">
        <is>
          <t>Boss</t>
        </is>
      </c>
      <c r="G107" t="n">
        <v>164</v>
      </c>
      <c r="I107">
        <f>IF($H107="",$G107,$H107)</f>
        <v/>
      </c>
      <c r="J107" t="n">
        <v>238</v>
      </c>
      <c r="K107" s="83" t="n">
        <v>1.00120134320404</v>
      </c>
      <c r="L107" s="83" t="n">
        <v>1.01662924400369</v>
      </c>
      <c r="M107" s="83" t="n">
        <v>1</v>
      </c>
      <c r="N107" t="n">
        <v>1</v>
      </c>
      <c r="O107" t="n">
        <v>1</v>
      </c>
      <c r="P107" s="17" t="n">
        <v>40.7971797866134</v>
      </c>
      <c r="Q107" s="21">
        <f>IF($I107="","",IFERROR(INDEX(_玩家曲线!$H$2:$H$286,MATCH($I107,_玩家曲线!$A$2:$A$286,0)),""))</f>
        <v/>
      </c>
      <c r="R107" s="21">
        <f>IF($I107="","",IFERROR(INDEX(_玩家曲线!$I$2:$I$286,MATCH($I107,_玩家曲线!$A$2:$A$286,0)),""))</f>
        <v/>
      </c>
      <c r="S107" s="21">
        <f>IF(OR($J107="",$F107="不适用"),"",IFERROR(INDEX(_怪物模型!$D$2:$D$4501,(INT($J107)-1)*ROWS(_怪物类型!$A$2:$A$10)+MATCH($F107,_怪物类型!$A$2:$A$10,0))*IF($K107="",1,$K107),""))</f>
        <v/>
      </c>
      <c r="T107" s="21">
        <f>IF(OR($J107="",$F107="不适用"),"",IFERROR(INDEX(_怪物模型!$E$2:$E$4501,(INT($J107)-1)*ROWS(_怪物类型!$A$2:$A$10)+MATCH($F107,_怪物类型!$A$2:$A$10,0))*IF($L107="",1,$L107),""))</f>
        <v/>
      </c>
      <c r="U107" s="21">
        <f>IF(OR($J107="",$F107="不适用"),"",IFERROR(INDEX(_怪物模型!$F$2:$F$4501,(INT($J107)-1)*ROWS(_怪物类型!$A$2:$A$10)+MATCH($F107,_怪物类型!$A$2:$A$10,0))*IF($M107="",1,$M107),""))</f>
        <v/>
      </c>
      <c r="V107" s="84">
        <f>IF($U107="","",MIN(0.75,$U107/($U107+24000)))</f>
        <v/>
      </c>
      <c r="W107" s="21">
        <f>IF($S107="","",$S107/(1-$V107)*IF($N107="",1,$N107))</f>
        <v/>
      </c>
      <c r="X107" s="17">
        <f>IF(OR($W107="",$Q107="",$Q107=0),"",$W107/$Q107)</f>
        <v/>
      </c>
      <c r="Y107" s="17">
        <f>IF(OR($R107="",$T107="",$T107=0),"",$R107/($T107*IF($O107="",1,$O107)))</f>
        <v/>
      </c>
      <c r="Z107" s="17">
        <f>IF(OR($X107="",$P107="",$P107=0),"",$X107/$P107)</f>
        <v/>
      </c>
      <c r="AA107">
        <f>IF($J107="","待填怪物等级",IF(OR($I107="",$Q107=""),"待填对照关卡",IF($P107="","已计算",IF(AND($Y107&lt;&gt;"",$Y107&lt;$X107),"生存不成立",IF($Z107&lt;0.5,"碾压",IF($Z107&lt;0.8,"偏简单",IF($Z107&lt;=1.2,"适中",IF($Z107&lt;=1.5,"偏难","过难"))))))))</f>
        <v/>
      </c>
      <c r="AB107">
        <f>IF($J107="","待填",IF(AND(ISNUMBER($J107),$J107&gt;=1,$J107&lt;=500,MOD($J107,1)=0),"有效","超范围"))</f>
        <v/>
      </c>
      <c r="AC107">
        <f>IF(C107&lt;&gt;C106,"新玩法组",IF(J107&gt;=J106,"不降","回退"))</f>
        <v/>
      </c>
      <c r="AD107" t="inlineStr">
        <is>
          <t>等效进度估算S164，非解锁/首通节点；旧Lv266→238</t>
        </is>
      </c>
      <c r="AE107" s="4" t="n">
        <v>417000</v>
      </c>
      <c r="AF107" s="4">
        <f>INDEX(_统一战力!$B$2:$B$501,J107)</f>
        <v/>
      </c>
    </row>
    <row r="108">
      <c r="A108" t="inlineStr">
        <is>
          <t>当前源表</t>
        </is>
      </c>
      <c r="B108" t="inlineStr">
        <is>
          <t>其他战斗玩法</t>
        </is>
      </c>
      <c r="C108" t="inlineStr">
        <is>
          <t>LevelType_GuilidBoss</t>
        </is>
      </c>
      <c r="D108" t="inlineStr">
        <is>
          <t>莫尔拉 难度7</t>
        </is>
      </c>
      <c r="E108" t="inlineStr">
        <is>
          <t>610107</t>
        </is>
      </c>
      <c r="F108" t="inlineStr">
        <is>
          <t>Boss</t>
        </is>
      </c>
      <c r="G108" t="n">
        <v>164</v>
      </c>
      <c r="I108">
        <f>IF($H108="",$G108,$H108)</f>
        <v/>
      </c>
      <c r="J108" t="n">
        <v>238</v>
      </c>
      <c r="K108" s="83" t="n">
        <v>1.00120134320404</v>
      </c>
      <c r="L108" s="83" t="n">
        <v>1.01662924400369</v>
      </c>
      <c r="M108" s="83" t="n">
        <v>1</v>
      </c>
      <c r="N108" t="n">
        <v>1</v>
      </c>
      <c r="O108" t="n">
        <v>1</v>
      </c>
      <c r="P108" s="17" t="n">
        <v>40.7971797866134</v>
      </c>
      <c r="Q108" s="21">
        <f>IF($I108="","",IFERROR(INDEX(_玩家曲线!$H$2:$H$286,MATCH($I108,_玩家曲线!$A$2:$A$286,0)),""))</f>
        <v/>
      </c>
      <c r="R108" s="21">
        <f>IF($I108="","",IFERROR(INDEX(_玩家曲线!$I$2:$I$286,MATCH($I108,_玩家曲线!$A$2:$A$286,0)),""))</f>
        <v/>
      </c>
      <c r="S108" s="21">
        <f>IF(OR($J108="",$F108="不适用"),"",IFERROR(INDEX(_怪物模型!$D$2:$D$4501,(INT($J108)-1)*ROWS(_怪物类型!$A$2:$A$10)+MATCH($F108,_怪物类型!$A$2:$A$10,0))*IF($K108="",1,$K108),""))</f>
        <v/>
      </c>
      <c r="T108" s="21">
        <f>IF(OR($J108="",$F108="不适用"),"",IFERROR(INDEX(_怪物模型!$E$2:$E$4501,(INT($J108)-1)*ROWS(_怪物类型!$A$2:$A$10)+MATCH($F108,_怪物类型!$A$2:$A$10,0))*IF($L108="",1,$L108),""))</f>
        <v/>
      </c>
      <c r="U108" s="21">
        <f>IF(OR($J108="",$F108="不适用"),"",IFERROR(INDEX(_怪物模型!$F$2:$F$4501,(INT($J108)-1)*ROWS(_怪物类型!$A$2:$A$10)+MATCH($F108,_怪物类型!$A$2:$A$10,0))*IF($M108="",1,$M108),""))</f>
        <v/>
      </c>
      <c r="V108" s="84">
        <f>IF($U108="","",MIN(0.75,$U108/($U108+24000)))</f>
        <v/>
      </c>
      <c r="W108" s="21">
        <f>IF($S108="","",$S108/(1-$V108)*IF($N108="",1,$N108))</f>
        <v/>
      </c>
      <c r="X108" s="17">
        <f>IF(OR($W108="",$Q108="",$Q108=0),"",$W108/$Q108)</f>
        <v/>
      </c>
      <c r="Y108" s="17">
        <f>IF(OR($R108="",$T108="",$T108=0),"",$R108/($T108*IF($O108="",1,$O108)))</f>
        <v/>
      </c>
      <c r="Z108" s="17">
        <f>IF(OR($X108="",$P108="",$P108=0),"",$X108/$P108)</f>
        <v/>
      </c>
      <c r="AA108">
        <f>IF($J108="","待填怪物等级",IF(OR($I108="",$Q108=""),"待填对照关卡",IF($P108="","已计算",IF(AND($Y108&lt;&gt;"",$Y108&lt;$X108),"生存不成立",IF($Z108&lt;0.5,"碾压",IF($Z108&lt;0.8,"偏简单",IF($Z108&lt;=1.2,"适中",IF($Z108&lt;=1.5,"偏难","过难"))))))))</f>
        <v/>
      </c>
      <c r="AB108">
        <f>IF($J108="","待填",IF(AND(ISNUMBER($J108),$J108&gt;=1,$J108&lt;=500,MOD($J108,1)=0),"有效","超范围"))</f>
        <v/>
      </c>
      <c r="AC108">
        <f>IF(C108&lt;&gt;C107,"新玩法组",IF(J108&gt;=J107,"不降","回退"))</f>
        <v/>
      </c>
      <c r="AD108" t="inlineStr">
        <is>
          <t>等效进度估算S164，非解锁/首通节点；旧Lv266→238</t>
        </is>
      </c>
      <c r="AE108" s="4" t="n">
        <v>417000</v>
      </c>
      <c r="AF108" s="4">
        <f>INDEX(_统一战力!$B$2:$B$501,J108)</f>
        <v/>
      </c>
    </row>
    <row r="109">
      <c r="A109" t="inlineStr">
        <is>
          <t>当前源表</t>
        </is>
      </c>
      <c r="B109" t="inlineStr">
        <is>
          <t>其他战斗玩法</t>
        </is>
      </c>
      <c r="C109" t="inlineStr">
        <is>
          <t>LevelType_GuilidBoss</t>
        </is>
      </c>
      <c r="D109" t="inlineStr">
        <is>
          <t>异变林猿 难度7</t>
        </is>
      </c>
      <c r="E109" t="inlineStr">
        <is>
          <t>610207</t>
        </is>
      </c>
      <c r="F109" t="inlineStr">
        <is>
          <t>Boss</t>
        </is>
      </c>
      <c r="G109" t="n">
        <v>164</v>
      </c>
      <c r="I109">
        <f>IF($H109="",$G109,$H109)</f>
        <v/>
      </c>
      <c r="J109" t="n">
        <v>238</v>
      </c>
      <c r="K109" s="83" t="n">
        <v>1.00120134320404</v>
      </c>
      <c r="L109" s="83" t="n">
        <v>1.01662924400369</v>
      </c>
      <c r="M109" s="83" t="n">
        <v>1</v>
      </c>
      <c r="N109" t="n">
        <v>1</v>
      </c>
      <c r="O109" t="n">
        <v>1</v>
      </c>
      <c r="P109" s="17" t="n">
        <v>40.7971797866134</v>
      </c>
      <c r="Q109" s="21">
        <f>IF($I109="","",IFERROR(INDEX(_玩家曲线!$H$2:$H$286,MATCH($I109,_玩家曲线!$A$2:$A$286,0)),""))</f>
        <v/>
      </c>
      <c r="R109" s="21">
        <f>IF($I109="","",IFERROR(INDEX(_玩家曲线!$I$2:$I$286,MATCH($I109,_玩家曲线!$A$2:$A$286,0)),""))</f>
        <v/>
      </c>
      <c r="S109" s="21">
        <f>IF(OR($J109="",$F109="不适用"),"",IFERROR(INDEX(_怪物模型!$D$2:$D$4501,(INT($J109)-1)*ROWS(_怪物类型!$A$2:$A$10)+MATCH($F109,_怪物类型!$A$2:$A$10,0))*IF($K109="",1,$K109),""))</f>
        <v/>
      </c>
      <c r="T109" s="21">
        <f>IF(OR($J109="",$F109="不适用"),"",IFERROR(INDEX(_怪物模型!$E$2:$E$4501,(INT($J109)-1)*ROWS(_怪物类型!$A$2:$A$10)+MATCH($F109,_怪物类型!$A$2:$A$10,0))*IF($L109="",1,$L109),""))</f>
        <v/>
      </c>
      <c r="U109" s="21">
        <f>IF(OR($J109="",$F109="不适用"),"",IFERROR(INDEX(_怪物模型!$F$2:$F$4501,(INT($J109)-1)*ROWS(_怪物类型!$A$2:$A$10)+MATCH($F109,_怪物类型!$A$2:$A$10,0))*IF($M109="",1,$M109),""))</f>
        <v/>
      </c>
      <c r="V109" s="84">
        <f>IF($U109="","",MIN(0.75,$U109/($U109+24000)))</f>
        <v/>
      </c>
      <c r="W109" s="21">
        <f>IF($S109="","",$S109/(1-$V109)*IF($N109="",1,$N109))</f>
        <v/>
      </c>
      <c r="X109" s="17">
        <f>IF(OR($W109="",$Q109="",$Q109=0),"",$W109/$Q109)</f>
        <v/>
      </c>
      <c r="Y109" s="17">
        <f>IF(OR($R109="",$T109="",$T109=0),"",$R109/($T109*IF($O109="",1,$O109)))</f>
        <v/>
      </c>
      <c r="Z109" s="17">
        <f>IF(OR($X109="",$P109="",$P109=0),"",$X109/$P109)</f>
        <v/>
      </c>
      <c r="AA109">
        <f>IF($J109="","待填怪物等级",IF(OR($I109="",$Q109=""),"待填对照关卡",IF($P109="","已计算",IF(AND($Y109&lt;&gt;"",$Y109&lt;$X109),"生存不成立",IF($Z109&lt;0.5,"碾压",IF($Z109&lt;0.8,"偏简单",IF($Z109&lt;=1.2,"适中",IF($Z109&lt;=1.5,"偏难","过难"))))))))</f>
        <v/>
      </c>
      <c r="AB109">
        <f>IF($J109="","待填",IF(AND(ISNUMBER($J109),$J109&gt;=1,$J109&lt;=500,MOD($J109,1)=0),"有效","超范围"))</f>
        <v/>
      </c>
      <c r="AC109">
        <f>IF(C109&lt;&gt;C108,"新玩法组",IF(J109&gt;=J108,"不降","回退"))</f>
        <v/>
      </c>
      <c r="AD109" t="inlineStr">
        <is>
          <t>等效进度估算S164，非解锁/首通节点；旧Lv266→238</t>
        </is>
      </c>
      <c r="AE109" s="4" t="n">
        <v>417000</v>
      </c>
      <c r="AF109" s="4">
        <f>INDEX(_统一战力!$B$2:$B$501,J109)</f>
        <v/>
      </c>
    </row>
    <row r="110">
      <c r="A110" t="inlineStr">
        <is>
          <t>当前源表</t>
        </is>
      </c>
      <c r="B110" t="inlineStr">
        <is>
          <t>其他战斗玩法</t>
        </is>
      </c>
      <c r="C110" t="inlineStr">
        <is>
          <t>LevelType_GuilidBoss</t>
        </is>
      </c>
      <c r="D110" t="inlineStr">
        <is>
          <t>雪怪王 难度8</t>
        </is>
      </c>
      <c r="E110" t="inlineStr">
        <is>
          <t>610008</t>
        </is>
      </c>
      <c r="F110" t="inlineStr">
        <is>
          <t>Boss</t>
        </is>
      </c>
      <c r="G110" t="n">
        <v>202</v>
      </c>
      <c r="I110">
        <f>IF($H110="",$G110,$H110)</f>
        <v/>
      </c>
      <c r="J110" t="n">
        <v>268</v>
      </c>
      <c r="K110" s="83" t="n">
        <v>0.983050773692478</v>
      </c>
      <c r="L110" s="83" t="n">
        <v>1.06053240089147</v>
      </c>
      <c r="M110" s="83" t="n">
        <v>1</v>
      </c>
      <c r="N110" t="n">
        <v>1</v>
      </c>
      <c r="O110" t="n">
        <v>1</v>
      </c>
      <c r="P110" s="17" t="n">
        <v>43.9448192974819</v>
      </c>
      <c r="Q110" s="21">
        <f>IF($I110="","",IFERROR(INDEX(_玩家曲线!$H$2:$H$286,MATCH($I110,_玩家曲线!$A$2:$A$286,0)),""))</f>
        <v/>
      </c>
      <c r="R110" s="21">
        <f>IF($I110="","",IFERROR(INDEX(_玩家曲线!$I$2:$I$286,MATCH($I110,_玩家曲线!$A$2:$A$286,0)),""))</f>
        <v/>
      </c>
      <c r="S110" s="21">
        <f>IF(OR($J110="",$F110="不适用"),"",IFERROR(INDEX(_怪物模型!$D$2:$D$4501,(INT($J110)-1)*ROWS(_怪物类型!$A$2:$A$10)+MATCH($F110,_怪物类型!$A$2:$A$10,0))*IF($K110="",1,$K110),""))</f>
        <v/>
      </c>
      <c r="T110" s="21">
        <f>IF(OR($J110="",$F110="不适用"),"",IFERROR(INDEX(_怪物模型!$E$2:$E$4501,(INT($J110)-1)*ROWS(_怪物类型!$A$2:$A$10)+MATCH($F110,_怪物类型!$A$2:$A$10,0))*IF($L110="",1,$L110),""))</f>
        <v/>
      </c>
      <c r="U110" s="21">
        <f>IF(OR($J110="",$F110="不适用"),"",IFERROR(INDEX(_怪物模型!$F$2:$F$4501,(INT($J110)-1)*ROWS(_怪物类型!$A$2:$A$10)+MATCH($F110,_怪物类型!$A$2:$A$10,0))*IF($M110="",1,$M110),""))</f>
        <v/>
      </c>
      <c r="V110" s="84">
        <f>IF($U110="","",MIN(0.75,$U110/($U110+24000)))</f>
        <v/>
      </c>
      <c r="W110" s="21">
        <f>IF($S110="","",$S110/(1-$V110)*IF($N110="",1,$N110))</f>
        <v/>
      </c>
      <c r="X110" s="17">
        <f>IF(OR($W110="",$Q110="",$Q110=0),"",$W110/$Q110)</f>
        <v/>
      </c>
      <c r="Y110" s="17">
        <f>IF(OR($R110="",$T110="",$T110=0),"",$R110/($T110*IF($O110="",1,$O110)))</f>
        <v/>
      </c>
      <c r="Z110" s="17">
        <f>IF(OR($X110="",$P110="",$P110=0),"",$X110/$P110)</f>
        <v/>
      </c>
      <c r="AA110">
        <f>IF($J110="","待填怪物等级",IF(OR($I110="",$Q110=""),"待填对照关卡",IF($P110="","已计算",IF(AND($Y110&lt;&gt;"",$Y110&lt;$X110),"生存不成立",IF($Z110&lt;0.5,"碾压",IF($Z110&lt;0.8,"偏简单",IF($Z110&lt;=1.2,"适中",IF($Z110&lt;=1.5,"偏难","过难"))))))))</f>
        <v/>
      </c>
      <c r="AB110">
        <f>IF($J110="","待填",IF(AND(ISNUMBER($J110),$J110&gt;=1,$J110&lt;=500,MOD($J110,1)=0),"有效","超范围"))</f>
        <v/>
      </c>
      <c r="AC110">
        <f>IF(C110&lt;&gt;C109,"新玩法组",IF(J110&gt;=J109,"不降","回退"))</f>
        <v/>
      </c>
      <c r="AD110" t="inlineStr">
        <is>
          <t>等效进度估算S202，非解锁/首通节点；旧Lv285→268</t>
        </is>
      </c>
      <c r="AE110" s="4" t="n">
        <v>542000</v>
      </c>
      <c r="AF110" s="4">
        <f>INDEX(_统一战力!$B$2:$B$501,J110)</f>
        <v/>
      </c>
    </row>
    <row r="111">
      <c r="A111" t="inlineStr">
        <is>
          <t>当前源表</t>
        </is>
      </c>
      <c r="B111" t="inlineStr">
        <is>
          <t>其他战斗玩法</t>
        </is>
      </c>
      <c r="C111" t="inlineStr">
        <is>
          <t>LevelType_GuilidBoss</t>
        </is>
      </c>
      <c r="D111" t="inlineStr">
        <is>
          <t>莫尔拉 难度8</t>
        </is>
      </c>
      <c r="E111" t="inlineStr">
        <is>
          <t>610108</t>
        </is>
      </c>
      <c r="F111" t="inlineStr">
        <is>
          <t>Boss</t>
        </is>
      </c>
      <c r="G111" t="n">
        <v>202</v>
      </c>
      <c r="I111">
        <f>IF($H111="",$G111,$H111)</f>
        <v/>
      </c>
      <c r="J111" t="n">
        <v>268</v>
      </c>
      <c r="K111" s="83" t="n">
        <v>0.983050773692478</v>
      </c>
      <c r="L111" s="83" t="n">
        <v>1.06053240089147</v>
      </c>
      <c r="M111" s="83" t="n">
        <v>1</v>
      </c>
      <c r="N111" t="n">
        <v>1</v>
      </c>
      <c r="O111" t="n">
        <v>1</v>
      </c>
      <c r="P111" s="17" t="n">
        <v>43.9448192974819</v>
      </c>
      <c r="Q111" s="21">
        <f>IF($I111="","",IFERROR(INDEX(_玩家曲线!$H$2:$H$286,MATCH($I111,_玩家曲线!$A$2:$A$286,0)),""))</f>
        <v/>
      </c>
      <c r="R111" s="21">
        <f>IF($I111="","",IFERROR(INDEX(_玩家曲线!$I$2:$I$286,MATCH($I111,_玩家曲线!$A$2:$A$286,0)),""))</f>
        <v/>
      </c>
      <c r="S111" s="21">
        <f>IF(OR($J111="",$F111="不适用"),"",IFERROR(INDEX(_怪物模型!$D$2:$D$4501,(INT($J111)-1)*ROWS(_怪物类型!$A$2:$A$10)+MATCH($F111,_怪物类型!$A$2:$A$10,0))*IF($K111="",1,$K111),""))</f>
        <v/>
      </c>
      <c r="T111" s="21">
        <f>IF(OR($J111="",$F111="不适用"),"",IFERROR(INDEX(_怪物模型!$E$2:$E$4501,(INT($J111)-1)*ROWS(_怪物类型!$A$2:$A$10)+MATCH($F111,_怪物类型!$A$2:$A$10,0))*IF($L111="",1,$L111),""))</f>
        <v/>
      </c>
      <c r="U111" s="21">
        <f>IF(OR($J111="",$F111="不适用"),"",IFERROR(INDEX(_怪物模型!$F$2:$F$4501,(INT($J111)-1)*ROWS(_怪物类型!$A$2:$A$10)+MATCH($F111,_怪物类型!$A$2:$A$10,0))*IF($M111="",1,$M111),""))</f>
        <v/>
      </c>
      <c r="V111" s="84">
        <f>IF($U111="","",MIN(0.75,$U111/($U111+24000)))</f>
        <v/>
      </c>
      <c r="W111" s="21">
        <f>IF($S111="","",$S111/(1-$V111)*IF($N111="",1,$N111))</f>
        <v/>
      </c>
      <c r="X111" s="17">
        <f>IF(OR($W111="",$Q111="",$Q111=0),"",$W111/$Q111)</f>
        <v/>
      </c>
      <c r="Y111" s="17">
        <f>IF(OR($R111="",$T111="",$T111=0),"",$R111/($T111*IF($O111="",1,$O111)))</f>
        <v/>
      </c>
      <c r="Z111" s="17">
        <f>IF(OR($X111="",$P111="",$P111=0),"",$X111/$P111)</f>
        <v/>
      </c>
      <c r="AA111">
        <f>IF($J111="","待填怪物等级",IF(OR($I111="",$Q111=""),"待填对照关卡",IF($P111="","已计算",IF(AND($Y111&lt;&gt;"",$Y111&lt;$X111),"生存不成立",IF($Z111&lt;0.5,"碾压",IF($Z111&lt;0.8,"偏简单",IF($Z111&lt;=1.2,"适中",IF($Z111&lt;=1.5,"偏难","过难"))))))))</f>
        <v/>
      </c>
      <c r="AB111">
        <f>IF($J111="","待填",IF(AND(ISNUMBER($J111),$J111&gt;=1,$J111&lt;=500,MOD($J111,1)=0),"有效","超范围"))</f>
        <v/>
      </c>
      <c r="AC111">
        <f>IF(C111&lt;&gt;C110,"新玩法组",IF(J111&gt;=J110,"不降","回退"))</f>
        <v/>
      </c>
      <c r="AD111" t="inlineStr">
        <is>
          <t>等效进度估算S202，非解锁/首通节点；旧Lv285→268</t>
        </is>
      </c>
      <c r="AE111" s="4" t="n">
        <v>542000</v>
      </c>
      <c r="AF111" s="4">
        <f>INDEX(_统一战力!$B$2:$B$501,J111)</f>
        <v/>
      </c>
    </row>
    <row r="112">
      <c r="A112" t="inlineStr">
        <is>
          <t>当前源表</t>
        </is>
      </c>
      <c r="B112" t="inlineStr">
        <is>
          <t>其他战斗玩法</t>
        </is>
      </c>
      <c r="C112" t="inlineStr">
        <is>
          <t>LevelType_GuilidBoss</t>
        </is>
      </c>
      <c r="D112" t="inlineStr">
        <is>
          <t>异变林猿 难度8</t>
        </is>
      </c>
      <c r="E112" t="inlineStr">
        <is>
          <t>610208</t>
        </is>
      </c>
      <c r="F112" t="inlineStr">
        <is>
          <t>Boss</t>
        </is>
      </c>
      <c r="G112" t="n">
        <v>202</v>
      </c>
      <c r="I112">
        <f>IF($H112="",$G112,$H112)</f>
        <v/>
      </c>
      <c r="J112" t="n">
        <v>268</v>
      </c>
      <c r="K112" s="83" t="n">
        <v>0.983050773692478</v>
      </c>
      <c r="L112" s="83" t="n">
        <v>1.06053240089147</v>
      </c>
      <c r="M112" s="83" t="n">
        <v>1</v>
      </c>
      <c r="N112" t="n">
        <v>1</v>
      </c>
      <c r="O112" t="n">
        <v>1</v>
      </c>
      <c r="P112" s="17" t="n">
        <v>43.9448192974819</v>
      </c>
      <c r="Q112" s="21">
        <f>IF($I112="","",IFERROR(INDEX(_玩家曲线!$H$2:$H$286,MATCH($I112,_玩家曲线!$A$2:$A$286,0)),""))</f>
        <v/>
      </c>
      <c r="R112" s="21">
        <f>IF($I112="","",IFERROR(INDEX(_玩家曲线!$I$2:$I$286,MATCH($I112,_玩家曲线!$A$2:$A$286,0)),""))</f>
        <v/>
      </c>
      <c r="S112" s="21">
        <f>IF(OR($J112="",$F112="不适用"),"",IFERROR(INDEX(_怪物模型!$D$2:$D$4501,(INT($J112)-1)*ROWS(_怪物类型!$A$2:$A$10)+MATCH($F112,_怪物类型!$A$2:$A$10,0))*IF($K112="",1,$K112),""))</f>
        <v/>
      </c>
      <c r="T112" s="21">
        <f>IF(OR($J112="",$F112="不适用"),"",IFERROR(INDEX(_怪物模型!$E$2:$E$4501,(INT($J112)-1)*ROWS(_怪物类型!$A$2:$A$10)+MATCH($F112,_怪物类型!$A$2:$A$10,0))*IF($L112="",1,$L112),""))</f>
        <v/>
      </c>
      <c r="U112" s="21">
        <f>IF(OR($J112="",$F112="不适用"),"",IFERROR(INDEX(_怪物模型!$F$2:$F$4501,(INT($J112)-1)*ROWS(_怪物类型!$A$2:$A$10)+MATCH($F112,_怪物类型!$A$2:$A$10,0))*IF($M112="",1,$M112),""))</f>
        <v/>
      </c>
      <c r="V112" s="84">
        <f>IF($U112="","",MIN(0.75,$U112/($U112+24000)))</f>
        <v/>
      </c>
      <c r="W112" s="21">
        <f>IF($S112="","",$S112/(1-$V112)*IF($N112="",1,$N112))</f>
        <v/>
      </c>
      <c r="X112" s="17">
        <f>IF(OR($W112="",$Q112="",$Q112=0),"",$W112/$Q112)</f>
        <v/>
      </c>
      <c r="Y112" s="17">
        <f>IF(OR($R112="",$T112="",$T112=0),"",$R112/($T112*IF($O112="",1,$O112)))</f>
        <v/>
      </c>
      <c r="Z112" s="17">
        <f>IF(OR($X112="",$P112="",$P112=0),"",$X112/$P112)</f>
        <v/>
      </c>
      <c r="AA112">
        <f>IF($J112="","待填怪物等级",IF(OR($I112="",$Q112=""),"待填对照关卡",IF($P112="","已计算",IF(AND($Y112&lt;&gt;"",$Y112&lt;$X112),"生存不成立",IF($Z112&lt;0.5,"碾压",IF($Z112&lt;0.8,"偏简单",IF($Z112&lt;=1.2,"适中",IF($Z112&lt;=1.5,"偏难","过难"))))))))</f>
        <v/>
      </c>
      <c r="AB112">
        <f>IF($J112="","待填",IF(AND(ISNUMBER($J112),$J112&gt;=1,$J112&lt;=500,MOD($J112,1)=0),"有效","超范围"))</f>
        <v/>
      </c>
      <c r="AC112">
        <f>IF(C112&lt;&gt;C111,"新玩法组",IF(J112&gt;=J111,"不降","回退"))</f>
        <v/>
      </c>
      <c r="AD112" t="inlineStr">
        <is>
          <t>等效进度估算S202，非解锁/首通节点；旧Lv285→268</t>
        </is>
      </c>
      <c r="AE112" s="4" t="n">
        <v>542000</v>
      </c>
      <c r="AF112" s="4">
        <f>INDEX(_统一战力!$B$2:$B$501,J112)</f>
        <v/>
      </c>
    </row>
    <row r="113">
      <c r="A113" t="inlineStr">
        <is>
          <t>当前源表</t>
        </is>
      </c>
      <c r="B113" t="inlineStr">
        <is>
          <t>其他战斗玩法</t>
        </is>
      </c>
      <c r="C113" t="inlineStr">
        <is>
          <t>LevelType_GuilidBoss</t>
        </is>
      </c>
      <c r="D113" t="inlineStr">
        <is>
          <t>雪怪王 难度9</t>
        </is>
      </c>
      <c r="E113" t="inlineStr">
        <is>
          <t>610009</t>
        </is>
      </c>
      <c r="F113" t="inlineStr">
        <is>
          <t>Boss</t>
        </is>
      </c>
      <c r="G113" t="n">
        <v>247</v>
      </c>
      <c r="I113">
        <f>IF($H113="",$G113,$H113)</f>
        <v/>
      </c>
      <c r="J113" t="n">
        <v>300</v>
      </c>
      <c r="K113" s="83" t="n">
        <v>0.96623695725778</v>
      </c>
      <c r="L113" s="83" t="n">
        <v>1.10386827731758</v>
      </c>
      <c r="M113" s="83" t="n">
        <v>1</v>
      </c>
      <c r="N113" t="n">
        <v>1</v>
      </c>
      <c r="O113" t="n">
        <v>1</v>
      </c>
      <c r="P113" s="17" t="n">
        <v>49.7664468024278</v>
      </c>
      <c r="Q113" s="21">
        <f>IF($I113="","",IFERROR(INDEX(_玩家曲线!$H$2:$H$286,MATCH($I113,_玩家曲线!$A$2:$A$286,0)),""))</f>
        <v/>
      </c>
      <c r="R113" s="21">
        <f>IF($I113="","",IFERROR(INDEX(_玩家曲线!$I$2:$I$286,MATCH($I113,_玩家曲线!$A$2:$A$286,0)),""))</f>
        <v/>
      </c>
      <c r="S113" s="21">
        <f>IF(OR($J113="",$F113="不适用"),"",IFERROR(INDEX(_怪物模型!$D$2:$D$4501,(INT($J113)-1)*ROWS(_怪物类型!$A$2:$A$10)+MATCH($F113,_怪物类型!$A$2:$A$10,0))*IF($K113="",1,$K113),""))</f>
        <v/>
      </c>
      <c r="T113" s="21">
        <f>IF(OR($J113="",$F113="不适用"),"",IFERROR(INDEX(_怪物模型!$E$2:$E$4501,(INT($J113)-1)*ROWS(_怪物类型!$A$2:$A$10)+MATCH($F113,_怪物类型!$A$2:$A$10,0))*IF($L113="",1,$L113),""))</f>
        <v/>
      </c>
      <c r="U113" s="21">
        <f>IF(OR($J113="",$F113="不适用"),"",IFERROR(INDEX(_怪物模型!$F$2:$F$4501,(INT($J113)-1)*ROWS(_怪物类型!$A$2:$A$10)+MATCH($F113,_怪物类型!$A$2:$A$10,0))*IF($M113="",1,$M113),""))</f>
        <v/>
      </c>
      <c r="V113" s="84">
        <f>IF($U113="","",MIN(0.75,$U113/($U113+24000)))</f>
        <v/>
      </c>
      <c r="W113" s="21">
        <f>IF($S113="","",$S113/(1-$V113)*IF($N113="",1,$N113))</f>
        <v/>
      </c>
      <c r="X113" s="17">
        <f>IF(OR($W113="",$Q113="",$Q113=0),"",$W113/$Q113)</f>
        <v/>
      </c>
      <c r="Y113" s="17">
        <f>IF(OR($R113="",$T113="",$T113=0),"",$R113/($T113*IF($O113="",1,$O113)))</f>
        <v/>
      </c>
      <c r="Z113" s="17">
        <f>IF(OR($X113="",$P113="",$P113=0),"",$X113/$P113)</f>
        <v/>
      </c>
      <c r="AA113">
        <f>IF($J113="","待填怪物等级",IF(OR($I113="",$Q113=""),"待填对照关卡",IF($P113="","已计算",IF(AND($Y113&lt;&gt;"",$Y113&lt;$X113),"生存不成立",IF($Z113&lt;0.5,"碾压",IF($Z113&lt;0.8,"偏简单",IF($Z113&lt;=1.2,"适中",IF($Z113&lt;=1.5,"偏难","过难"))))))))</f>
        <v/>
      </c>
      <c r="AB113">
        <f>IF($J113="","待填",IF(AND(ISNUMBER($J113),$J113&gt;=1,$J113&lt;=500,MOD($J113,1)=0),"有效","超范围"))</f>
        <v/>
      </c>
      <c r="AC113">
        <f>IF(C113&lt;&gt;C112,"新玩法组",IF(J113&gt;=J112,"不降","回退"))</f>
        <v/>
      </c>
      <c r="AD113" t="inlineStr">
        <is>
          <t>等效进度估算S247，非解锁/首通节点；旧Lv302→300</t>
        </is>
      </c>
      <c r="AE113" s="4" t="n">
        <v>686000</v>
      </c>
      <c r="AF113" s="4">
        <f>INDEX(_统一战力!$B$2:$B$501,J113)</f>
        <v/>
      </c>
    </row>
    <row r="114">
      <c r="A114" t="inlineStr">
        <is>
          <t>当前源表</t>
        </is>
      </c>
      <c r="B114" t="inlineStr">
        <is>
          <t>其他战斗玩法</t>
        </is>
      </c>
      <c r="C114" t="inlineStr">
        <is>
          <t>LevelType_GuilidBoss</t>
        </is>
      </c>
      <c r="D114" t="inlineStr">
        <is>
          <t>莫尔拉 难度9</t>
        </is>
      </c>
      <c r="E114" t="inlineStr">
        <is>
          <t>610109</t>
        </is>
      </c>
      <c r="F114" t="inlineStr">
        <is>
          <t>Boss</t>
        </is>
      </c>
      <c r="G114" t="n">
        <v>247</v>
      </c>
      <c r="I114">
        <f>IF($H114="",$G114,$H114)</f>
        <v/>
      </c>
      <c r="J114" t="n">
        <v>300</v>
      </c>
      <c r="K114" s="83" t="n">
        <v>0.96623695725778</v>
      </c>
      <c r="L114" s="83" t="n">
        <v>1.10386827731758</v>
      </c>
      <c r="M114" s="83" t="n">
        <v>1</v>
      </c>
      <c r="N114" t="n">
        <v>1</v>
      </c>
      <c r="O114" t="n">
        <v>1</v>
      </c>
      <c r="P114" s="17" t="n">
        <v>49.7664468024278</v>
      </c>
      <c r="Q114" s="21">
        <f>IF($I114="","",IFERROR(INDEX(_玩家曲线!$H$2:$H$286,MATCH($I114,_玩家曲线!$A$2:$A$286,0)),""))</f>
        <v/>
      </c>
      <c r="R114" s="21">
        <f>IF($I114="","",IFERROR(INDEX(_玩家曲线!$I$2:$I$286,MATCH($I114,_玩家曲线!$A$2:$A$286,0)),""))</f>
        <v/>
      </c>
      <c r="S114" s="21">
        <f>IF(OR($J114="",$F114="不适用"),"",IFERROR(INDEX(_怪物模型!$D$2:$D$4501,(INT($J114)-1)*ROWS(_怪物类型!$A$2:$A$10)+MATCH($F114,_怪物类型!$A$2:$A$10,0))*IF($K114="",1,$K114),""))</f>
        <v/>
      </c>
      <c r="T114" s="21">
        <f>IF(OR($J114="",$F114="不适用"),"",IFERROR(INDEX(_怪物模型!$E$2:$E$4501,(INT($J114)-1)*ROWS(_怪物类型!$A$2:$A$10)+MATCH($F114,_怪物类型!$A$2:$A$10,0))*IF($L114="",1,$L114),""))</f>
        <v/>
      </c>
      <c r="U114" s="21">
        <f>IF(OR($J114="",$F114="不适用"),"",IFERROR(INDEX(_怪物模型!$F$2:$F$4501,(INT($J114)-1)*ROWS(_怪物类型!$A$2:$A$10)+MATCH($F114,_怪物类型!$A$2:$A$10,0))*IF($M114="",1,$M114),""))</f>
        <v/>
      </c>
      <c r="V114" s="84">
        <f>IF($U114="","",MIN(0.75,$U114/($U114+24000)))</f>
        <v/>
      </c>
      <c r="W114" s="21">
        <f>IF($S114="","",$S114/(1-$V114)*IF($N114="",1,$N114))</f>
        <v/>
      </c>
      <c r="X114" s="17">
        <f>IF(OR($W114="",$Q114="",$Q114=0),"",$W114/$Q114)</f>
        <v/>
      </c>
      <c r="Y114" s="17">
        <f>IF(OR($R114="",$T114="",$T114=0),"",$R114/($T114*IF($O114="",1,$O114)))</f>
        <v/>
      </c>
      <c r="Z114" s="17">
        <f>IF(OR($X114="",$P114="",$P114=0),"",$X114/$P114)</f>
        <v/>
      </c>
      <c r="AA114">
        <f>IF($J114="","待填怪物等级",IF(OR($I114="",$Q114=""),"待填对照关卡",IF($P114="","已计算",IF(AND($Y114&lt;&gt;"",$Y114&lt;$X114),"生存不成立",IF($Z114&lt;0.5,"碾压",IF($Z114&lt;0.8,"偏简单",IF($Z114&lt;=1.2,"适中",IF($Z114&lt;=1.5,"偏难","过难"))))))))</f>
        <v/>
      </c>
      <c r="AB114">
        <f>IF($J114="","待填",IF(AND(ISNUMBER($J114),$J114&gt;=1,$J114&lt;=500,MOD($J114,1)=0),"有效","超范围"))</f>
        <v/>
      </c>
      <c r="AC114">
        <f>IF(C114&lt;&gt;C113,"新玩法组",IF(J114&gt;=J113,"不降","回退"))</f>
        <v/>
      </c>
      <c r="AD114" t="inlineStr">
        <is>
          <t>等效进度估算S247，非解锁/首通节点；旧Lv302→300</t>
        </is>
      </c>
      <c r="AE114" s="4" t="n">
        <v>686000</v>
      </c>
      <c r="AF114" s="4">
        <f>INDEX(_统一战力!$B$2:$B$501,J114)</f>
        <v/>
      </c>
    </row>
    <row r="115">
      <c r="A115" t="inlineStr">
        <is>
          <t>当前源表</t>
        </is>
      </c>
      <c r="B115" t="inlineStr">
        <is>
          <t>其他战斗玩法</t>
        </is>
      </c>
      <c r="C115" t="inlineStr">
        <is>
          <t>LevelType_GuilidBoss</t>
        </is>
      </c>
      <c r="D115" t="inlineStr">
        <is>
          <t>异变林猿 难度9</t>
        </is>
      </c>
      <c r="E115" t="inlineStr">
        <is>
          <t>610209</t>
        </is>
      </c>
      <c r="F115" t="inlineStr">
        <is>
          <t>Boss</t>
        </is>
      </c>
      <c r="G115" t="n">
        <v>247</v>
      </c>
      <c r="I115">
        <f>IF($H115="",$G115,$H115)</f>
        <v/>
      </c>
      <c r="J115" t="n">
        <v>300</v>
      </c>
      <c r="K115" s="83" t="n">
        <v>0.96623695725778</v>
      </c>
      <c r="L115" s="83" t="n">
        <v>1.10386827731758</v>
      </c>
      <c r="M115" s="83" t="n">
        <v>1</v>
      </c>
      <c r="N115" t="n">
        <v>1</v>
      </c>
      <c r="O115" t="n">
        <v>1</v>
      </c>
      <c r="P115" s="17" t="n">
        <v>49.7664468024278</v>
      </c>
      <c r="Q115" s="21">
        <f>IF($I115="","",IFERROR(INDEX(_玩家曲线!$H$2:$H$286,MATCH($I115,_玩家曲线!$A$2:$A$286,0)),""))</f>
        <v/>
      </c>
      <c r="R115" s="21">
        <f>IF($I115="","",IFERROR(INDEX(_玩家曲线!$I$2:$I$286,MATCH($I115,_玩家曲线!$A$2:$A$286,0)),""))</f>
        <v/>
      </c>
      <c r="S115" s="21">
        <f>IF(OR($J115="",$F115="不适用"),"",IFERROR(INDEX(_怪物模型!$D$2:$D$4501,(INT($J115)-1)*ROWS(_怪物类型!$A$2:$A$10)+MATCH($F115,_怪物类型!$A$2:$A$10,0))*IF($K115="",1,$K115),""))</f>
        <v/>
      </c>
      <c r="T115" s="21">
        <f>IF(OR($J115="",$F115="不适用"),"",IFERROR(INDEX(_怪物模型!$E$2:$E$4501,(INT($J115)-1)*ROWS(_怪物类型!$A$2:$A$10)+MATCH($F115,_怪物类型!$A$2:$A$10,0))*IF($L115="",1,$L115),""))</f>
        <v/>
      </c>
      <c r="U115" s="21">
        <f>IF(OR($J115="",$F115="不适用"),"",IFERROR(INDEX(_怪物模型!$F$2:$F$4501,(INT($J115)-1)*ROWS(_怪物类型!$A$2:$A$10)+MATCH($F115,_怪物类型!$A$2:$A$10,0))*IF($M115="",1,$M115),""))</f>
        <v/>
      </c>
      <c r="V115" s="84">
        <f>IF($U115="","",MIN(0.75,$U115/($U115+24000)))</f>
        <v/>
      </c>
      <c r="W115" s="21">
        <f>IF($S115="","",$S115/(1-$V115)*IF($N115="",1,$N115))</f>
        <v/>
      </c>
      <c r="X115" s="17">
        <f>IF(OR($W115="",$Q115="",$Q115=0),"",$W115/$Q115)</f>
        <v/>
      </c>
      <c r="Y115" s="17">
        <f>IF(OR($R115="",$T115="",$T115=0),"",$R115/($T115*IF($O115="",1,$O115)))</f>
        <v/>
      </c>
      <c r="Z115" s="17">
        <f>IF(OR($X115="",$P115="",$P115=0),"",$X115/$P115)</f>
        <v/>
      </c>
      <c r="AA115">
        <f>IF($J115="","待填怪物等级",IF(OR($I115="",$Q115=""),"待填对照关卡",IF($P115="","已计算",IF(AND($Y115&lt;&gt;"",$Y115&lt;$X115),"生存不成立",IF($Z115&lt;0.5,"碾压",IF($Z115&lt;0.8,"偏简单",IF($Z115&lt;=1.2,"适中",IF($Z115&lt;=1.5,"偏难","过难"))))))))</f>
        <v/>
      </c>
      <c r="AB115">
        <f>IF($J115="","待填",IF(AND(ISNUMBER($J115),$J115&gt;=1,$J115&lt;=500,MOD($J115,1)=0),"有效","超范围"))</f>
        <v/>
      </c>
      <c r="AC115">
        <f>IF(C115&lt;&gt;C114,"新玩法组",IF(J115&gt;=J114,"不降","回退"))</f>
        <v/>
      </c>
      <c r="AD115" t="inlineStr">
        <is>
          <t>等效进度估算S247，非解锁/首通节点；旧Lv302→300</t>
        </is>
      </c>
      <c r="AE115" s="4" t="n">
        <v>686000</v>
      </c>
      <c r="AF115" s="4">
        <f>INDEX(_统一战力!$B$2:$B$501,J115)</f>
        <v/>
      </c>
    </row>
    <row r="116">
      <c r="A116" t="inlineStr">
        <is>
          <t>当前源表</t>
        </is>
      </c>
      <c r="B116" t="inlineStr">
        <is>
          <t>其他战斗玩法</t>
        </is>
      </c>
      <c r="C116" t="inlineStr">
        <is>
          <t>LevelType_GuilidBoss</t>
        </is>
      </c>
      <c r="D116" t="inlineStr">
        <is>
          <t>雪怪王 难度10</t>
        </is>
      </c>
      <c r="E116" t="inlineStr">
        <is>
          <t>610010</t>
        </is>
      </c>
      <c r="F116" t="inlineStr">
        <is>
          <t>Boss</t>
        </is>
      </c>
      <c r="G116" t="n">
        <v>278</v>
      </c>
      <c r="I116">
        <f>IF($H116="",$G116,$H116)</f>
        <v/>
      </c>
      <c r="J116" t="n">
        <v>327</v>
      </c>
      <c r="K116" s="83" t="n">
        <v>0.957089165688218</v>
      </c>
      <c r="L116" s="83" t="n">
        <v>1.13626378920316</v>
      </c>
      <c r="M116" s="83" t="n">
        <v>1</v>
      </c>
      <c r="N116" t="n">
        <v>1</v>
      </c>
      <c r="O116" t="n">
        <v>1</v>
      </c>
      <c r="P116" s="17" t="n">
        <v>58.7862851553518</v>
      </c>
      <c r="Q116" s="21">
        <f>IF($I116="","",IFERROR(INDEX(_玩家曲线!$H$2:$H$286,MATCH($I116,_玩家曲线!$A$2:$A$286,0)),""))</f>
        <v/>
      </c>
      <c r="R116" s="21">
        <f>IF($I116="","",IFERROR(INDEX(_玩家曲线!$I$2:$I$286,MATCH($I116,_玩家曲线!$A$2:$A$286,0)),""))</f>
        <v/>
      </c>
      <c r="S116" s="21">
        <f>IF(OR($J116="",$F116="不适用"),"",IFERROR(INDEX(_怪物模型!$D$2:$D$4501,(INT($J116)-1)*ROWS(_怪物类型!$A$2:$A$10)+MATCH($F116,_怪物类型!$A$2:$A$10,0))*IF($K116="",1,$K116),""))</f>
        <v/>
      </c>
      <c r="T116" s="21">
        <f>IF(OR($J116="",$F116="不适用"),"",IFERROR(INDEX(_怪物模型!$E$2:$E$4501,(INT($J116)-1)*ROWS(_怪物类型!$A$2:$A$10)+MATCH($F116,_怪物类型!$A$2:$A$10,0))*IF($L116="",1,$L116),""))</f>
        <v/>
      </c>
      <c r="U116" s="21">
        <f>IF(OR($J116="",$F116="不适用"),"",IFERROR(INDEX(_怪物模型!$F$2:$F$4501,(INT($J116)-1)*ROWS(_怪物类型!$A$2:$A$10)+MATCH($F116,_怪物类型!$A$2:$A$10,0))*IF($M116="",1,$M116),""))</f>
        <v/>
      </c>
      <c r="V116" s="84">
        <f>IF($U116="","",MIN(0.75,$U116/($U116+24000)))</f>
        <v/>
      </c>
      <c r="W116" s="21">
        <f>IF($S116="","",$S116/(1-$V116)*IF($N116="",1,$N116))</f>
        <v/>
      </c>
      <c r="X116" s="17">
        <f>IF(OR($W116="",$Q116="",$Q116=0),"",$W116/$Q116)</f>
        <v/>
      </c>
      <c r="Y116" s="17">
        <f>IF(OR($R116="",$T116="",$T116=0),"",$R116/($T116*IF($O116="",1,$O116)))</f>
        <v/>
      </c>
      <c r="Z116" s="17">
        <f>IF(OR($X116="",$P116="",$P116=0),"",$X116/$P116)</f>
        <v/>
      </c>
      <c r="AA116">
        <f>IF($J116="","待填怪物等级",IF(OR($I116="",$Q116=""),"待填对照关卡",IF($P116="","已计算",IF(AND($Y116&lt;&gt;"",$Y116&lt;$X116),"生存不成立",IF($Z116&lt;0.5,"碾压",IF($Z116&lt;0.8,"偏简单",IF($Z116&lt;=1.2,"适中",IF($Z116&lt;=1.5,"偏难","过难"))))))))</f>
        <v/>
      </c>
      <c r="AB116">
        <f>IF($J116="","待填",IF(AND(ISNUMBER($J116),$J116&gt;=1,$J116&lt;=500,MOD($J116,1)=0),"有效","超范围"))</f>
        <v/>
      </c>
      <c r="AC116">
        <f>IF(C116&lt;&gt;C115,"新玩法组",IF(J116&gt;=J115,"不降","回退"))</f>
        <v/>
      </c>
      <c r="AD116" t="inlineStr">
        <is>
          <t>等效进度估算S278，非解锁/首通节点；旧Lv318→327</t>
        </is>
      </c>
      <c r="AE116" s="4" t="n">
        <v>832000</v>
      </c>
      <c r="AF116" s="4">
        <f>INDEX(_统一战力!$B$2:$B$501,J116)</f>
        <v/>
      </c>
    </row>
    <row r="117">
      <c r="A117" t="inlineStr">
        <is>
          <t>当前源表</t>
        </is>
      </c>
      <c r="B117" t="inlineStr">
        <is>
          <t>其他战斗玩法</t>
        </is>
      </c>
      <c r="C117" t="inlineStr">
        <is>
          <t>LevelType_GuilidBoss</t>
        </is>
      </c>
      <c r="D117" t="inlineStr">
        <is>
          <t>雪怪王 难度11</t>
        </is>
      </c>
      <c r="E117" t="inlineStr">
        <is>
          <t>610011</t>
        </is>
      </c>
      <c r="F117" t="inlineStr">
        <is>
          <t>Boss</t>
        </is>
      </c>
      <c r="G117" t="n">
        <v>278</v>
      </c>
      <c r="I117">
        <f>IF($H117="",$G117,$H117)</f>
        <v/>
      </c>
      <c r="J117" t="n">
        <v>327</v>
      </c>
      <c r="K117" s="83" t="n">
        <v>0.9571</v>
      </c>
      <c r="L117" s="83" t="n">
        <v>1.1363</v>
      </c>
      <c r="M117" s="83" t="n">
        <v>1</v>
      </c>
      <c r="N117" t="n">
        <v>1</v>
      </c>
      <c r="O117" t="n">
        <v>1</v>
      </c>
      <c r="P117" s="17" t="n">
        <v>58.7862851553518</v>
      </c>
      <c r="Q117" s="21">
        <f>IF($I117="","",IFERROR(INDEX(_玩家曲线!$H$2:$H$286,MATCH($I117,_玩家曲线!$A$2:$A$286,0)),""))</f>
        <v/>
      </c>
      <c r="R117" s="21">
        <f>IF($I117="","",IFERROR(INDEX(_玩家曲线!$I$2:$I$286,MATCH($I117,_玩家曲线!$A$2:$A$286,0)),""))</f>
        <v/>
      </c>
      <c r="S117" s="21">
        <f>IF(OR($J117="",$F117="不适用"),"",IFERROR(INDEX(_怪物模型!$D$2:$D$4501,(INT($J117)-1)*ROWS(_怪物类型!$A$2:$A$10)+MATCH($F117,_怪物类型!$A$2:$A$10,0))*IF($K117="",1,$K117),""))</f>
        <v/>
      </c>
      <c r="T117" s="21">
        <f>IF(OR($J117="",$F117="不适用"),"",IFERROR(INDEX(_怪物模型!$E$2:$E$4501,(INT($J117)-1)*ROWS(_怪物类型!$A$2:$A$10)+MATCH($F117,_怪物类型!$A$2:$A$10,0))*IF($L117="",1,$L117),""))</f>
        <v/>
      </c>
      <c r="U117" s="21">
        <f>IF(OR($J117="",$F117="不适用"),"",IFERROR(INDEX(_怪物模型!$F$2:$F$4501,(INT($J117)-1)*ROWS(_怪物类型!$A$2:$A$10)+MATCH($F117,_怪物类型!$A$2:$A$10,0))*IF($M117="",1,$M117),""))</f>
        <v/>
      </c>
      <c r="V117" s="84">
        <f>IF($U117="","",MIN(0.75,$U117/($U117+24000)))</f>
        <v/>
      </c>
      <c r="W117" s="21">
        <f>IF($S117="","",$S117/(1-$V117)*IF($N117="",1,$N117))</f>
        <v/>
      </c>
      <c r="X117" s="17">
        <f>IF(OR($W117="",$Q117="",$Q117=0),"",$W117/$Q117)</f>
        <v/>
      </c>
      <c r="Y117" s="17">
        <f>IF(OR($R117="",$T117="",$T117=0),"",$R117/($T117*IF($O117="",1,$O117)))</f>
        <v/>
      </c>
      <c r="Z117" s="17">
        <f>IF(OR($X117="",$P117="",$P117=0),"",$X117/$P117)</f>
        <v/>
      </c>
      <c r="AA117">
        <f>IF($J117="","待填怪物等级",IF(OR($I117="",$Q117=""),"待填对照关卡",IF($P117="","已计算",IF(AND($Y117&lt;&gt;"",$Y117&lt;$X117),"生存不成立",IF($Z117&lt;0.5,"碾压",IF($Z117&lt;0.8,"偏简单",IF($Z117&lt;=1.2,"适中",IF($Z117&lt;=1.5,"偏难","过难"))))))))</f>
        <v/>
      </c>
      <c r="AB117">
        <f>IF($J117="","待填",IF(AND(ISNUMBER($J117),$J117&gt;=1,$J117&lt;=500,MOD($J117,1)=0),"有效","超范围"))</f>
        <v/>
      </c>
      <c r="AC117">
        <f>IF(C117&lt;&gt;C116,"新玩法组",IF(J117&gt;=J116,"不降","回退"))</f>
        <v/>
      </c>
      <c r="AD117" t="inlineStr">
        <is>
          <t>等效进度估算S278，非解锁/首通节点；旧Lv318→327｜2026-09-14 前20档定稿：等级327封平，K/L梯度 0.9571/1.1363（11档=难度10持平，20档EHP+45.6%）；难度10旧AE=832k为旧曲线残留（现反查已到满配边缘）。</t>
        </is>
      </c>
      <c r="AE117" s="4" t="n">
        <v>1580000</v>
      </c>
      <c r="AF117" s="4">
        <f>INDEX(_统一战力!$B$2:$B$501,J117)</f>
        <v/>
      </c>
    </row>
    <row r="118">
      <c r="A118" t="inlineStr">
        <is>
          <t>当前源表</t>
        </is>
      </c>
      <c r="B118" t="inlineStr">
        <is>
          <t>其他战斗玩法</t>
        </is>
      </c>
      <c r="C118" t="inlineStr">
        <is>
          <t>LevelType_GuilidBoss</t>
        </is>
      </c>
      <c r="D118" t="inlineStr">
        <is>
          <t>雪怪王 难度12</t>
        </is>
      </c>
      <c r="E118" t="inlineStr">
        <is>
          <t>610012</t>
        </is>
      </c>
      <c r="F118" t="inlineStr">
        <is>
          <t>Boss</t>
        </is>
      </c>
      <c r="G118" t="n">
        <v>278</v>
      </c>
      <c r="I118">
        <f>IF($H118="",$G118,$H118)</f>
        <v/>
      </c>
      <c r="J118" t="n">
        <v>327</v>
      </c>
      <c r="K118" s="83" t="n">
        <v>1.0057</v>
      </c>
      <c r="L118" s="83" t="n">
        <v>1.1433</v>
      </c>
      <c r="M118" s="83" t="n">
        <v>1</v>
      </c>
      <c r="N118" t="n">
        <v>1</v>
      </c>
      <c r="O118" t="n">
        <v>1</v>
      </c>
      <c r="P118" s="17" t="n">
        <v>58.7862851553518</v>
      </c>
      <c r="Q118" s="21">
        <f>IF($I118="","",IFERROR(INDEX(_玩家曲线!$H$2:$H$286,MATCH($I118,_玩家曲线!$A$2:$A$286,0)),""))</f>
        <v/>
      </c>
      <c r="R118" s="21">
        <f>IF($I118="","",IFERROR(INDEX(_玩家曲线!$I$2:$I$286,MATCH($I118,_玩家曲线!$A$2:$A$286,0)),""))</f>
        <v/>
      </c>
      <c r="S118" s="21">
        <f>IF(OR($J118="",$F118="不适用"),"",IFERROR(INDEX(_怪物模型!$D$2:$D$4501,(INT($J118)-1)*ROWS(_怪物类型!$A$2:$A$10)+MATCH($F118,_怪物类型!$A$2:$A$10,0))*IF($K118="",1,$K118),""))</f>
        <v/>
      </c>
      <c r="T118" s="21">
        <f>IF(OR($J118="",$F118="不适用"),"",IFERROR(INDEX(_怪物模型!$E$2:$E$4501,(INT($J118)-1)*ROWS(_怪物类型!$A$2:$A$10)+MATCH($F118,_怪物类型!$A$2:$A$10,0))*IF($L118="",1,$L118),""))</f>
        <v/>
      </c>
      <c r="U118" s="21">
        <f>IF(OR($J118="",$F118="不适用"),"",IFERROR(INDEX(_怪物模型!$F$2:$F$4501,(INT($J118)-1)*ROWS(_怪物类型!$A$2:$A$10)+MATCH($F118,_怪物类型!$A$2:$A$10,0))*IF($M118="",1,$M118),""))</f>
        <v/>
      </c>
      <c r="V118" s="84">
        <f>IF($U118="","",MIN(0.75,$U118/($U118+24000)))</f>
        <v/>
      </c>
      <c r="W118" s="21">
        <f>IF($S118="","",$S118/(1-$V118)*IF($N118="",1,$N118))</f>
        <v/>
      </c>
      <c r="X118" s="17">
        <f>IF(OR($W118="",$Q118="",$Q118=0),"",$W118/$Q118)</f>
        <v/>
      </c>
      <c r="Y118" s="17">
        <f>IF(OR($R118="",$T118="",$T118=0),"",$R118/($T118*IF($O118="",1,$O118)))</f>
        <v/>
      </c>
      <c r="Z118" s="17">
        <f>IF(OR($X118="",$P118="",$P118=0),"",$X118/$P118)</f>
        <v/>
      </c>
      <c r="AA118">
        <f>IF($J118="","待填怪物等级",IF(OR($I118="",$Q118=""),"待填对照关卡",IF($P118="","已计算",IF(AND($Y118&lt;&gt;"",$Y118&lt;$X118),"生存不成立",IF($Z118&lt;0.5,"碾压",IF($Z118&lt;0.8,"偏简单",IF($Z118&lt;=1.2,"适中",IF($Z118&lt;=1.5,"偏难","过难"))))))))</f>
        <v/>
      </c>
      <c r="AB118">
        <f>IF($J118="","待填",IF(AND(ISNUMBER($J118),$J118&gt;=1,$J118&lt;=500,MOD($J118,1)=0),"有效","超范围"))</f>
        <v/>
      </c>
      <c r="AC118">
        <f>IF(C118&lt;&gt;C117,"新玩法组",IF(J118&gt;=J117,"不降","回退"))</f>
        <v/>
      </c>
      <c r="AD118" t="inlineStr">
        <is>
          <t>等效进度估算S278，非解锁/首通节点；旧Lv318→327｜2026-09-14 前20档定稿：等级327封平，K/L梯度 1.0057/1.1433（11档=难度10持平，20档EHP+45.6%）；难度10旧AE=832k为旧曲线残留（现反查已到满配边缘）。</t>
        </is>
      </c>
      <c r="AE118" s="4" t="n">
        <v>1600000</v>
      </c>
      <c r="AF118" s="4">
        <f>INDEX(_统一战力!$B$2:$B$501,J118)</f>
        <v/>
      </c>
    </row>
    <row r="119">
      <c r="A119" t="inlineStr">
        <is>
          <t>当前源表</t>
        </is>
      </c>
      <c r="B119" t="inlineStr">
        <is>
          <t>其他战斗玩法</t>
        </is>
      </c>
      <c r="C119" t="inlineStr">
        <is>
          <t>LevelType_GuilidBoss</t>
        </is>
      </c>
      <c r="D119" t="inlineStr">
        <is>
          <t>雪怪王 难度13</t>
        </is>
      </c>
      <c r="E119" t="inlineStr">
        <is>
          <t>610013</t>
        </is>
      </c>
      <c r="F119" t="inlineStr">
        <is>
          <t>Boss</t>
        </is>
      </c>
      <c r="G119" t="n">
        <v>278</v>
      </c>
      <c r="I119">
        <f>IF($H119="",$G119,$H119)</f>
        <v/>
      </c>
      <c r="J119" t="n">
        <v>327</v>
      </c>
      <c r="K119" s="83" t="n">
        <v>1.0543</v>
      </c>
      <c r="L119" s="83" t="n">
        <v>1.1503</v>
      </c>
      <c r="M119" s="83" t="n">
        <v>1</v>
      </c>
      <c r="N119" t="n">
        <v>1</v>
      </c>
      <c r="O119" t="n">
        <v>1</v>
      </c>
      <c r="P119" s="17" t="n">
        <v>58.7862851553518</v>
      </c>
      <c r="Q119" s="21">
        <f>IF($I119="","",IFERROR(INDEX(_玩家曲线!$H$2:$H$286,MATCH($I119,_玩家曲线!$A$2:$A$286,0)),""))</f>
        <v/>
      </c>
      <c r="R119" s="21">
        <f>IF($I119="","",IFERROR(INDEX(_玩家曲线!$I$2:$I$286,MATCH($I119,_玩家曲线!$A$2:$A$286,0)),""))</f>
        <v/>
      </c>
      <c r="S119" s="21">
        <f>IF(OR($J119="",$F119="不适用"),"",IFERROR(INDEX(_怪物模型!$D$2:$D$4501,(INT($J119)-1)*ROWS(_怪物类型!$A$2:$A$10)+MATCH($F119,_怪物类型!$A$2:$A$10,0))*IF($K119="",1,$K119),""))</f>
        <v/>
      </c>
      <c r="T119" s="21">
        <f>IF(OR($J119="",$F119="不适用"),"",IFERROR(INDEX(_怪物模型!$E$2:$E$4501,(INT($J119)-1)*ROWS(_怪物类型!$A$2:$A$10)+MATCH($F119,_怪物类型!$A$2:$A$10,0))*IF($L119="",1,$L119),""))</f>
        <v/>
      </c>
      <c r="U119" s="21">
        <f>IF(OR($J119="",$F119="不适用"),"",IFERROR(INDEX(_怪物模型!$F$2:$F$4501,(INT($J119)-1)*ROWS(_怪物类型!$A$2:$A$10)+MATCH($F119,_怪物类型!$A$2:$A$10,0))*IF($M119="",1,$M119),""))</f>
        <v/>
      </c>
      <c r="V119" s="84">
        <f>IF($U119="","",MIN(0.75,$U119/($U119+24000)))</f>
        <v/>
      </c>
      <c r="W119" s="21">
        <f>IF($S119="","",$S119/(1-$V119)*IF($N119="",1,$N119))</f>
        <v/>
      </c>
      <c r="X119" s="17">
        <f>IF(OR($W119="",$Q119="",$Q119=0),"",$W119/$Q119)</f>
        <v/>
      </c>
      <c r="Y119" s="17">
        <f>IF(OR($R119="",$T119="",$T119=0),"",$R119/($T119*IF($O119="",1,$O119)))</f>
        <v/>
      </c>
      <c r="Z119" s="17">
        <f>IF(OR($X119="",$P119="",$P119=0),"",$X119/$P119)</f>
        <v/>
      </c>
      <c r="AA119">
        <f>IF($J119="","待填怪物等级",IF(OR($I119="",$Q119=""),"待填对照关卡",IF($P119="","已计算",IF(AND($Y119&lt;&gt;"",$Y119&lt;$X119),"生存不成立",IF($Z119&lt;0.5,"碾压",IF($Z119&lt;0.8,"偏简单",IF($Z119&lt;=1.2,"适中",IF($Z119&lt;=1.5,"偏难","过难"))))))))</f>
        <v/>
      </c>
      <c r="AB119">
        <f>IF($J119="","待填",IF(AND(ISNUMBER($J119),$J119&gt;=1,$J119&lt;=500,MOD($J119,1)=0),"有效","超范围"))</f>
        <v/>
      </c>
      <c r="AC119">
        <f>IF(C119&lt;&gt;C118,"新玩法组",IF(J119&gt;=J118,"不降","回退"))</f>
        <v/>
      </c>
      <c r="AD119" t="inlineStr">
        <is>
          <t>等效进度估算S278，非解锁/首通节点；旧Lv318→327｜2026-09-14 前20档定稿：等级327封平，K/L梯度 1.0543/1.1503（11档=难度10持平，20档EHP+45.6%）；难度10旧AE=832k为旧曲线残留（现反查已到满配边缘）。</t>
        </is>
      </c>
      <c r="AE119" s="4" t="n">
        <v>1600000</v>
      </c>
      <c r="AF119" s="4">
        <f>INDEX(_统一战力!$B$2:$B$501,J119)</f>
        <v/>
      </c>
    </row>
    <row r="120">
      <c r="A120" t="inlineStr">
        <is>
          <t>当前源表</t>
        </is>
      </c>
      <c r="B120" t="inlineStr">
        <is>
          <t>其他战斗玩法</t>
        </is>
      </c>
      <c r="C120" t="inlineStr">
        <is>
          <t>LevelType_GuilidBoss</t>
        </is>
      </c>
      <c r="D120" t="inlineStr">
        <is>
          <t>雪怪王 难度14</t>
        </is>
      </c>
      <c r="E120" t="inlineStr">
        <is>
          <t>610014</t>
        </is>
      </c>
      <c r="F120" t="inlineStr">
        <is>
          <t>Boss</t>
        </is>
      </c>
      <c r="G120" t="n">
        <v>278</v>
      </c>
      <c r="I120">
        <f>IF($H120="",$G120,$H120)</f>
        <v/>
      </c>
      <c r="J120" t="n">
        <v>327</v>
      </c>
      <c r="K120" s="83" t="n">
        <v>1.1029</v>
      </c>
      <c r="L120" s="83" t="n">
        <v>1.1573</v>
      </c>
      <c r="M120" s="83" t="n">
        <v>1</v>
      </c>
      <c r="N120" t="n">
        <v>1</v>
      </c>
      <c r="O120" t="n">
        <v>1</v>
      </c>
      <c r="P120" s="17" t="n">
        <v>58.7862851553518</v>
      </c>
      <c r="Q120" s="21">
        <f>IF($I120="","",IFERROR(INDEX(_玩家曲线!$H$2:$H$286,MATCH($I120,_玩家曲线!$A$2:$A$286,0)),""))</f>
        <v/>
      </c>
      <c r="R120" s="21">
        <f>IF($I120="","",IFERROR(INDEX(_玩家曲线!$I$2:$I$286,MATCH($I120,_玩家曲线!$A$2:$A$286,0)),""))</f>
        <v/>
      </c>
      <c r="S120" s="21">
        <f>IF(OR($J120="",$F120="不适用"),"",IFERROR(INDEX(_怪物模型!$D$2:$D$4501,(INT($J120)-1)*ROWS(_怪物类型!$A$2:$A$10)+MATCH($F120,_怪物类型!$A$2:$A$10,0))*IF($K120="",1,$K120),""))</f>
        <v/>
      </c>
      <c r="T120" s="21">
        <f>IF(OR($J120="",$F120="不适用"),"",IFERROR(INDEX(_怪物模型!$E$2:$E$4501,(INT($J120)-1)*ROWS(_怪物类型!$A$2:$A$10)+MATCH($F120,_怪物类型!$A$2:$A$10,0))*IF($L120="",1,$L120),""))</f>
        <v/>
      </c>
      <c r="U120" s="21">
        <f>IF(OR($J120="",$F120="不适用"),"",IFERROR(INDEX(_怪物模型!$F$2:$F$4501,(INT($J120)-1)*ROWS(_怪物类型!$A$2:$A$10)+MATCH($F120,_怪物类型!$A$2:$A$10,0))*IF($M120="",1,$M120),""))</f>
        <v/>
      </c>
      <c r="V120" s="84">
        <f>IF($U120="","",MIN(0.75,$U120/($U120+24000)))</f>
        <v/>
      </c>
      <c r="W120" s="21">
        <f>IF($S120="","",$S120/(1-$V120)*IF($N120="",1,$N120))</f>
        <v/>
      </c>
      <c r="X120" s="17">
        <f>IF(OR($W120="",$Q120="",$Q120=0),"",$W120/$Q120)</f>
        <v/>
      </c>
      <c r="Y120" s="17">
        <f>IF(OR($R120="",$T120="",$T120=0),"",$R120/($T120*IF($O120="",1,$O120)))</f>
        <v/>
      </c>
      <c r="Z120" s="17">
        <f>IF(OR($X120="",$P120="",$P120=0),"",$X120/$P120)</f>
        <v/>
      </c>
      <c r="AA120">
        <f>IF($J120="","待填怪物等级",IF(OR($I120="",$Q120=""),"待填对照关卡",IF($P120="","已计算",IF(AND($Y120&lt;&gt;"",$Y120&lt;$X120),"生存不成立",IF($Z120&lt;0.5,"碾压",IF($Z120&lt;0.8,"偏简单",IF($Z120&lt;=1.2,"适中",IF($Z120&lt;=1.5,"偏难","过难"))))))))</f>
        <v/>
      </c>
      <c r="AB120">
        <f>IF($J120="","待填",IF(AND(ISNUMBER($J120),$J120&gt;=1,$J120&lt;=500,MOD($J120,1)=0),"有效","超范围"))</f>
        <v/>
      </c>
      <c r="AC120">
        <f>IF(C120&lt;&gt;C119,"新玩法组",IF(J120&gt;=J119,"不降","回退"))</f>
        <v/>
      </c>
      <c r="AD120" t="inlineStr">
        <is>
          <t>等效进度估算S278，非解锁/首通节点；旧Lv318→327｜2026-09-14 前20档定稿：等级327封平，K/L梯度 1.1029/1.1573（11档=难度10持平，20档EHP+45.6%）；难度10旧AE=832k为旧曲线残留（现反查已到满配边缘）。</t>
        </is>
      </c>
      <c r="AE120" s="4" t="n">
        <v>1600000</v>
      </c>
      <c r="AF120" s="4">
        <f>INDEX(_统一战力!$B$2:$B$501,J120)</f>
        <v/>
      </c>
    </row>
    <row r="121">
      <c r="A121" t="inlineStr">
        <is>
          <t>当前源表</t>
        </is>
      </c>
      <c r="B121" t="inlineStr">
        <is>
          <t>其他战斗玩法</t>
        </is>
      </c>
      <c r="C121" t="inlineStr">
        <is>
          <t>LevelType_GuilidBoss</t>
        </is>
      </c>
      <c r="D121" t="inlineStr">
        <is>
          <t>雪怪王 难度15</t>
        </is>
      </c>
      <c r="E121" t="inlineStr">
        <is>
          <t>610015</t>
        </is>
      </c>
      <c r="F121" t="inlineStr">
        <is>
          <t>Boss</t>
        </is>
      </c>
      <c r="G121" t="n">
        <v>278</v>
      </c>
      <c r="I121">
        <f>IF($H121="",$G121,$H121)</f>
        <v/>
      </c>
      <c r="J121" t="n">
        <v>327</v>
      </c>
      <c r="K121" s="83" t="n">
        <v>1.1515</v>
      </c>
      <c r="L121" s="83" t="n">
        <v>1.1643</v>
      </c>
      <c r="M121" s="83" t="n">
        <v>1</v>
      </c>
      <c r="N121" t="n">
        <v>1</v>
      </c>
      <c r="O121" t="n">
        <v>1</v>
      </c>
      <c r="P121" s="17" t="n">
        <v>58.7862851553518</v>
      </c>
      <c r="Q121" s="21">
        <f>IF($I121="","",IFERROR(INDEX(_玩家曲线!$H$2:$H$286,MATCH($I121,_玩家曲线!$A$2:$A$286,0)),""))</f>
        <v/>
      </c>
      <c r="R121" s="21">
        <f>IF($I121="","",IFERROR(INDEX(_玩家曲线!$I$2:$I$286,MATCH($I121,_玩家曲线!$A$2:$A$286,0)),""))</f>
        <v/>
      </c>
      <c r="S121" s="21">
        <f>IF(OR($J121="",$F121="不适用"),"",IFERROR(INDEX(_怪物模型!$D$2:$D$4501,(INT($J121)-1)*ROWS(_怪物类型!$A$2:$A$10)+MATCH($F121,_怪物类型!$A$2:$A$10,0))*IF($K121="",1,$K121),""))</f>
        <v/>
      </c>
      <c r="T121" s="21">
        <f>IF(OR($J121="",$F121="不适用"),"",IFERROR(INDEX(_怪物模型!$E$2:$E$4501,(INT($J121)-1)*ROWS(_怪物类型!$A$2:$A$10)+MATCH($F121,_怪物类型!$A$2:$A$10,0))*IF($L121="",1,$L121),""))</f>
        <v/>
      </c>
      <c r="U121" s="21">
        <f>IF(OR($J121="",$F121="不适用"),"",IFERROR(INDEX(_怪物模型!$F$2:$F$4501,(INT($J121)-1)*ROWS(_怪物类型!$A$2:$A$10)+MATCH($F121,_怪物类型!$A$2:$A$10,0))*IF($M121="",1,$M121),""))</f>
        <v/>
      </c>
      <c r="V121" s="84">
        <f>IF($U121="","",MIN(0.75,$U121/($U121+24000)))</f>
        <v/>
      </c>
      <c r="W121" s="21">
        <f>IF($S121="","",$S121/(1-$V121)*IF($N121="",1,$N121))</f>
        <v/>
      </c>
      <c r="X121" s="17">
        <f>IF(OR($W121="",$Q121="",$Q121=0),"",$W121/$Q121)</f>
        <v/>
      </c>
      <c r="Y121" s="17">
        <f>IF(OR($R121="",$T121="",$T121=0),"",$R121/($T121*IF($O121="",1,$O121)))</f>
        <v/>
      </c>
      <c r="Z121" s="17">
        <f>IF(OR($X121="",$P121="",$P121=0),"",$X121/$P121)</f>
        <v/>
      </c>
      <c r="AA121">
        <f>IF($J121="","待填怪物等级",IF(OR($I121="",$Q121=""),"待填对照关卡",IF($P121="","已计算",IF(AND($Y121&lt;&gt;"",$Y121&lt;$X121),"生存不成立",IF($Z121&lt;0.5,"碾压",IF($Z121&lt;0.8,"偏简单",IF($Z121&lt;=1.2,"适中",IF($Z121&lt;=1.5,"偏难","过难"))))))))</f>
        <v/>
      </c>
      <c r="AB121">
        <f>IF($J121="","待填",IF(AND(ISNUMBER($J121),$J121&gt;=1,$J121&lt;=500,MOD($J121,1)=0),"有效","超范围"))</f>
        <v/>
      </c>
      <c r="AC121">
        <f>IF(C121&lt;&gt;C120,"新玩法组",IF(J121&gt;=J120,"不降","回退"))</f>
        <v/>
      </c>
      <c r="AD121" t="inlineStr">
        <is>
          <t>等效进度估算S278，非解锁/首通节点；旧Lv318→327｜2026-09-14 前20档定稿：等级327封平，K/L梯度 1.1515/1.1643（11档=难度10持平，20档EHP+45.6%）；难度10旧AE=832k为旧曲线残留（现反查已到满配边缘）。</t>
        </is>
      </c>
      <c r="AE121" s="4" t="n">
        <v>1600000</v>
      </c>
      <c r="AF121" s="4">
        <f>INDEX(_统一战力!$B$2:$B$501,J121)</f>
        <v/>
      </c>
    </row>
    <row r="122">
      <c r="A122" t="inlineStr">
        <is>
          <t>当前源表</t>
        </is>
      </c>
      <c r="B122" t="inlineStr">
        <is>
          <t>其他战斗玩法</t>
        </is>
      </c>
      <c r="C122" t="inlineStr">
        <is>
          <t>LevelType_GuilidBoss</t>
        </is>
      </c>
      <c r="D122" t="inlineStr">
        <is>
          <t>雪怪王 难度16</t>
        </is>
      </c>
      <c r="E122" t="inlineStr">
        <is>
          <t>610016</t>
        </is>
      </c>
      <c r="F122" t="inlineStr">
        <is>
          <t>Boss</t>
        </is>
      </c>
      <c r="G122" t="n">
        <v>278</v>
      </c>
      <c r="I122">
        <f>IF($H122="",$G122,$H122)</f>
        <v/>
      </c>
      <c r="J122" t="n">
        <v>327</v>
      </c>
      <c r="K122" s="83" t="n">
        <v>1.2001</v>
      </c>
      <c r="L122" s="83" t="n">
        <v>1.1713</v>
      </c>
      <c r="M122" s="83" t="n">
        <v>1</v>
      </c>
      <c r="N122" t="n">
        <v>1</v>
      </c>
      <c r="O122" t="n">
        <v>1</v>
      </c>
      <c r="P122" s="17" t="n">
        <v>58.7862851553518</v>
      </c>
      <c r="Q122" s="21">
        <f>IF($I122="","",IFERROR(INDEX(_玩家曲线!$H$2:$H$286,MATCH($I122,_玩家曲线!$A$2:$A$286,0)),""))</f>
        <v/>
      </c>
      <c r="R122" s="21">
        <f>IF($I122="","",IFERROR(INDEX(_玩家曲线!$I$2:$I$286,MATCH($I122,_玩家曲线!$A$2:$A$286,0)),""))</f>
        <v/>
      </c>
      <c r="S122" s="21">
        <f>IF(OR($J122="",$F122="不适用"),"",IFERROR(INDEX(_怪物模型!$D$2:$D$4501,(INT($J122)-1)*ROWS(_怪物类型!$A$2:$A$10)+MATCH($F122,_怪物类型!$A$2:$A$10,0))*IF($K122="",1,$K122),""))</f>
        <v/>
      </c>
      <c r="T122" s="21">
        <f>IF(OR($J122="",$F122="不适用"),"",IFERROR(INDEX(_怪物模型!$E$2:$E$4501,(INT($J122)-1)*ROWS(_怪物类型!$A$2:$A$10)+MATCH($F122,_怪物类型!$A$2:$A$10,0))*IF($L122="",1,$L122),""))</f>
        <v/>
      </c>
      <c r="U122" s="21">
        <f>IF(OR($J122="",$F122="不适用"),"",IFERROR(INDEX(_怪物模型!$F$2:$F$4501,(INT($J122)-1)*ROWS(_怪物类型!$A$2:$A$10)+MATCH($F122,_怪物类型!$A$2:$A$10,0))*IF($M122="",1,$M122),""))</f>
        <v/>
      </c>
      <c r="V122" s="84">
        <f>IF($U122="","",MIN(0.75,$U122/($U122+24000)))</f>
        <v/>
      </c>
      <c r="W122" s="21">
        <f>IF($S122="","",$S122/(1-$V122)*IF($N122="",1,$N122))</f>
        <v/>
      </c>
      <c r="X122" s="17">
        <f>IF(OR($W122="",$Q122="",$Q122=0),"",$W122/$Q122)</f>
        <v/>
      </c>
      <c r="Y122" s="17">
        <f>IF(OR($R122="",$T122="",$T122=0),"",$R122/($T122*IF($O122="",1,$O122)))</f>
        <v/>
      </c>
      <c r="Z122" s="17">
        <f>IF(OR($X122="",$P122="",$P122=0),"",$X122/$P122)</f>
        <v/>
      </c>
      <c r="AA122">
        <f>IF($J122="","待填怪物等级",IF(OR($I122="",$Q122=""),"待填对照关卡",IF($P122="","已计算",IF(AND($Y122&lt;&gt;"",$Y122&lt;$X122),"生存不成立",IF($Z122&lt;0.5,"碾压",IF($Z122&lt;0.8,"偏简单",IF($Z122&lt;=1.2,"适中",IF($Z122&lt;=1.5,"偏难","过难"))))))))</f>
        <v/>
      </c>
      <c r="AB122">
        <f>IF($J122="","待填",IF(AND(ISNUMBER($J122),$J122&gt;=1,$J122&lt;=500,MOD($J122,1)=0),"有效","超范围"))</f>
        <v/>
      </c>
      <c r="AC122">
        <f>IF(C122&lt;&gt;C121,"新玩法组",IF(J122&gt;=J121,"不降","回退"))</f>
        <v/>
      </c>
      <c r="AD122" t="inlineStr">
        <is>
          <t>等效进度估算S278，非解锁/首通节点；旧Lv318→327｜2026-09-14 前20档定稿：等级327封平，K/L梯度 1.2001/1.1713（11档=难度10持平，20档EHP+45.6%）；难度10旧AE=832k为旧曲线残留（现反查已到满配边缘）。</t>
        </is>
      </c>
      <c r="AE122" s="4" t="n">
        <v>1600000</v>
      </c>
      <c r="AF122" s="4">
        <f>INDEX(_统一战力!$B$2:$B$501,J122)</f>
        <v/>
      </c>
    </row>
    <row r="123">
      <c r="A123" t="inlineStr">
        <is>
          <t>当前源表</t>
        </is>
      </c>
      <c r="B123" t="inlineStr">
        <is>
          <t>其他战斗玩法</t>
        </is>
      </c>
      <c r="C123" t="inlineStr">
        <is>
          <t>LevelType_GuilidBoss</t>
        </is>
      </c>
      <c r="D123" t="inlineStr">
        <is>
          <t>雪怪王 难度17</t>
        </is>
      </c>
      <c r="E123" t="inlineStr">
        <is>
          <t>610017</t>
        </is>
      </c>
      <c r="F123" t="inlineStr">
        <is>
          <t>Boss</t>
        </is>
      </c>
      <c r="G123" t="n">
        <v>278</v>
      </c>
      <c r="I123">
        <f>IF($H123="",$G123,$H123)</f>
        <v/>
      </c>
      <c r="J123" t="n">
        <v>327</v>
      </c>
      <c r="K123" s="83" t="n">
        <v>1.2487</v>
      </c>
      <c r="L123" s="83" t="n">
        <v>1.1783</v>
      </c>
      <c r="M123" s="83" t="n">
        <v>1</v>
      </c>
      <c r="N123" t="n">
        <v>1</v>
      </c>
      <c r="O123" t="n">
        <v>1</v>
      </c>
      <c r="P123" s="17" t="n">
        <v>58.7862851553518</v>
      </c>
      <c r="Q123" s="21">
        <f>IF($I123="","",IFERROR(INDEX(_玩家曲线!$H$2:$H$286,MATCH($I123,_玩家曲线!$A$2:$A$286,0)),""))</f>
        <v/>
      </c>
      <c r="R123" s="21">
        <f>IF($I123="","",IFERROR(INDEX(_玩家曲线!$I$2:$I$286,MATCH($I123,_玩家曲线!$A$2:$A$286,0)),""))</f>
        <v/>
      </c>
      <c r="S123" s="21">
        <f>IF(OR($J123="",$F123="不适用"),"",IFERROR(INDEX(_怪物模型!$D$2:$D$4501,(INT($J123)-1)*ROWS(_怪物类型!$A$2:$A$10)+MATCH($F123,_怪物类型!$A$2:$A$10,0))*IF($K123="",1,$K123),""))</f>
        <v/>
      </c>
      <c r="T123" s="21">
        <f>IF(OR($J123="",$F123="不适用"),"",IFERROR(INDEX(_怪物模型!$E$2:$E$4501,(INT($J123)-1)*ROWS(_怪物类型!$A$2:$A$10)+MATCH($F123,_怪物类型!$A$2:$A$10,0))*IF($L123="",1,$L123),""))</f>
        <v/>
      </c>
      <c r="U123" s="21">
        <f>IF(OR($J123="",$F123="不适用"),"",IFERROR(INDEX(_怪物模型!$F$2:$F$4501,(INT($J123)-1)*ROWS(_怪物类型!$A$2:$A$10)+MATCH($F123,_怪物类型!$A$2:$A$10,0))*IF($M123="",1,$M123),""))</f>
        <v/>
      </c>
      <c r="V123" s="84">
        <f>IF($U123="","",MIN(0.75,$U123/($U123+24000)))</f>
        <v/>
      </c>
      <c r="W123" s="21">
        <f>IF($S123="","",$S123/(1-$V123)*IF($N123="",1,$N123))</f>
        <v/>
      </c>
      <c r="X123" s="17">
        <f>IF(OR($W123="",$Q123="",$Q123=0),"",$W123/$Q123)</f>
        <v/>
      </c>
      <c r="Y123" s="17">
        <f>IF(OR($R123="",$T123="",$T123=0),"",$R123/($T123*IF($O123="",1,$O123)))</f>
        <v/>
      </c>
      <c r="Z123" s="17">
        <f>IF(OR($X123="",$P123="",$P123=0),"",$X123/$P123)</f>
        <v/>
      </c>
      <c r="AA123">
        <f>IF($J123="","待填怪物等级",IF(OR($I123="",$Q123=""),"待填对照关卡",IF($P123="","已计算",IF(AND($Y123&lt;&gt;"",$Y123&lt;$X123),"生存不成立",IF($Z123&lt;0.5,"碾压",IF($Z123&lt;0.8,"偏简单",IF($Z123&lt;=1.2,"适中",IF($Z123&lt;=1.5,"偏难","过难"))))))))</f>
        <v/>
      </c>
      <c r="AB123">
        <f>IF($J123="","待填",IF(AND(ISNUMBER($J123),$J123&gt;=1,$J123&lt;=500,MOD($J123,1)=0),"有效","超范围"))</f>
        <v/>
      </c>
      <c r="AC123">
        <f>IF(C123&lt;&gt;C122,"新玩法组",IF(J123&gt;=J122,"不降","回退"))</f>
        <v/>
      </c>
      <c r="AD123" t="inlineStr">
        <is>
          <t>等效进度估算S278，非解锁/首通节点；旧Lv318→327｜2026-09-14 前20档定稿：等级327封平，K/L梯度 1.2487/1.1783（11档=难度10持平，20档EHP+45.6%）；难度10旧AE=832k为旧曲线残留（现反查已到满配边缘）。</t>
        </is>
      </c>
      <c r="AE123" s="4" t="n">
        <v>1600000</v>
      </c>
      <c r="AF123" s="4">
        <f>INDEX(_统一战力!$B$2:$B$501,J123)</f>
        <v/>
      </c>
    </row>
    <row r="124">
      <c r="A124" t="inlineStr">
        <is>
          <t>当前源表</t>
        </is>
      </c>
      <c r="B124" t="inlineStr">
        <is>
          <t>其他战斗玩法</t>
        </is>
      </c>
      <c r="C124" t="inlineStr">
        <is>
          <t>LevelType_GuilidBoss</t>
        </is>
      </c>
      <c r="D124" t="inlineStr">
        <is>
          <t>雪怪王 难度18</t>
        </is>
      </c>
      <c r="E124" t="inlineStr">
        <is>
          <t>610018</t>
        </is>
      </c>
      <c r="F124" t="inlineStr">
        <is>
          <t>Boss</t>
        </is>
      </c>
      <c r="G124" t="n">
        <v>278</v>
      </c>
      <c r="I124">
        <f>IF($H124="",$G124,$H124)</f>
        <v/>
      </c>
      <c r="J124" t="n">
        <v>327</v>
      </c>
      <c r="K124" s="83" t="n">
        <v>1.2973</v>
      </c>
      <c r="L124" s="83" t="n">
        <v>1.1853</v>
      </c>
      <c r="M124" s="83" t="n">
        <v>1</v>
      </c>
      <c r="N124" t="n">
        <v>1</v>
      </c>
      <c r="O124" t="n">
        <v>1</v>
      </c>
      <c r="P124" s="17" t="n">
        <v>58.7862851553518</v>
      </c>
      <c r="Q124" s="21">
        <f>IF($I124="","",IFERROR(INDEX(_玩家曲线!$H$2:$H$286,MATCH($I124,_玩家曲线!$A$2:$A$286,0)),""))</f>
        <v/>
      </c>
      <c r="R124" s="21">
        <f>IF($I124="","",IFERROR(INDEX(_玩家曲线!$I$2:$I$286,MATCH($I124,_玩家曲线!$A$2:$A$286,0)),""))</f>
        <v/>
      </c>
      <c r="S124" s="21">
        <f>IF(OR($J124="",$F124="不适用"),"",IFERROR(INDEX(_怪物模型!$D$2:$D$4501,(INT($J124)-1)*ROWS(_怪物类型!$A$2:$A$10)+MATCH($F124,_怪物类型!$A$2:$A$10,0))*IF($K124="",1,$K124),""))</f>
        <v/>
      </c>
      <c r="T124" s="21">
        <f>IF(OR($J124="",$F124="不适用"),"",IFERROR(INDEX(_怪物模型!$E$2:$E$4501,(INT($J124)-1)*ROWS(_怪物类型!$A$2:$A$10)+MATCH($F124,_怪物类型!$A$2:$A$10,0))*IF($L124="",1,$L124),""))</f>
        <v/>
      </c>
      <c r="U124" s="21">
        <f>IF(OR($J124="",$F124="不适用"),"",IFERROR(INDEX(_怪物模型!$F$2:$F$4501,(INT($J124)-1)*ROWS(_怪物类型!$A$2:$A$10)+MATCH($F124,_怪物类型!$A$2:$A$10,0))*IF($M124="",1,$M124),""))</f>
        <v/>
      </c>
      <c r="V124" s="84">
        <f>IF($U124="","",MIN(0.75,$U124/($U124+24000)))</f>
        <v/>
      </c>
      <c r="W124" s="21">
        <f>IF($S124="","",$S124/(1-$V124)*IF($N124="",1,$N124))</f>
        <v/>
      </c>
      <c r="X124" s="17">
        <f>IF(OR($W124="",$Q124="",$Q124=0),"",$W124/$Q124)</f>
        <v/>
      </c>
      <c r="Y124" s="17">
        <f>IF(OR($R124="",$T124="",$T124=0),"",$R124/($T124*IF($O124="",1,$O124)))</f>
        <v/>
      </c>
      <c r="Z124" s="17">
        <f>IF(OR($X124="",$P124="",$P124=0),"",$X124/$P124)</f>
        <v/>
      </c>
      <c r="AA124">
        <f>IF($J124="","待填怪物等级",IF(OR($I124="",$Q124=""),"待填对照关卡",IF($P124="","已计算",IF(AND($Y124&lt;&gt;"",$Y124&lt;$X124),"生存不成立",IF($Z124&lt;0.5,"碾压",IF($Z124&lt;0.8,"偏简单",IF($Z124&lt;=1.2,"适中",IF($Z124&lt;=1.5,"偏难","过难"))))))))</f>
        <v/>
      </c>
      <c r="AB124">
        <f>IF($J124="","待填",IF(AND(ISNUMBER($J124),$J124&gt;=1,$J124&lt;=500,MOD($J124,1)=0),"有效","超范围"))</f>
        <v/>
      </c>
      <c r="AC124">
        <f>IF(C124&lt;&gt;C123,"新玩法组",IF(J124&gt;=J123,"不降","回退"))</f>
        <v/>
      </c>
      <c r="AD124" t="inlineStr">
        <is>
          <t>等效进度估算S278，非解锁/首通节点；旧Lv318→327｜2026-09-14 前20档定稿：等级327封平，K/L梯度 1.2973/1.1853（11档=难度10持平，20档EHP+45.6%）；难度10旧AE=832k为旧曲线残留（现反查已到满配边缘）。</t>
        </is>
      </c>
      <c r="AE124" s="4" t="n">
        <v>1600000</v>
      </c>
      <c r="AF124" s="4">
        <f>INDEX(_统一战力!$B$2:$B$501,J124)</f>
        <v/>
      </c>
    </row>
    <row r="125">
      <c r="A125" t="inlineStr">
        <is>
          <t>当前源表</t>
        </is>
      </c>
      <c r="B125" t="inlineStr">
        <is>
          <t>其他战斗玩法</t>
        </is>
      </c>
      <c r="C125" t="inlineStr">
        <is>
          <t>LevelType_GuilidBoss</t>
        </is>
      </c>
      <c r="D125" t="inlineStr">
        <is>
          <t>雪怪王 难度19</t>
        </is>
      </c>
      <c r="E125" t="inlineStr">
        <is>
          <t>610019</t>
        </is>
      </c>
      <c r="F125" t="inlineStr">
        <is>
          <t>Boss</t>
        </is>
      </c>
      <c r="G125" t="n">
        <v>278</v>
      </c>
      <c r="I125">
        <f>IF($H125="",$G125,$H125)</f>
        <v/>
      </c>
      <c r="J125" t="n">
        <v>327</v>
      </c>
      <c r="K125" s="83" t="n">
        <v>1.3459</v>
      </c>
      <c r="L125" s="83" t="n">
        <v>1.1923</v>
      </c>
      <c r="M125" s="83" t="n">
        <v>1</v>
      </c>
      <c r="N125" t="n">
        <v>1</v>
      </c>
      <c r="O125" t="n">
        <v>1</v>
      </c>
      <c r="P125" s="17" t="n">
        <v>58.7862851553518</v>
      </c>
      <c r="Q125" s="21">
        <f>IF($I125="","",IFERROR(INDEX(_玩家曲线!$H$2:$H$286,MATCH($I125,_玩家曲线!$A$2:$A$286,0)),""))</f>
        <v/>
      </c>
      <c r="R125" s="21">
        <f>IF($I125="","",IFERROR(INDEX(_玩家曲线!$I$2:$I$286,MATCH($I125,_玩家曲线!$A$2:$A$286,0)),""))</f>
        <v/>
      </c>
      <c r="S125" s="21">
        <f>IF(OR($J125="",$F125="不适用"),"",IFERROR(INDEX(_怪物模型!$D$2:$D$4501,(INT($J125)-1)*ROWS(_怪物类型!$A$2:$A$10)+MATCH($F125,_怪物类型!$A$2:$A$10,0))*IF($K125="",1,$K125),""))</f>
        <v/>
      </c>
      <c r="T125" s="21">
        <f>IF(OR($J125="",$F125="不适用"),"",IFERROR(INDEX(_怪物模型!$E$2:$E$4501,(INT($J125)-1)*ROWS(_怪物类型!$A$2:$A$10)+MATCH($F125,_怪物类型!$A$2:$A$10,0))*IF($L125="",1,$L125),""))</f>
        <v/>
      </c>
      <c r="U125" s="21">
        <f>IF(OR($J125="",$F125="不适用"),"",IFERROR(INDEX(_怪物模型!$F$2:$F$4501,(INT($J125)-1)*ROWS(_怪物类型!$A$2:$A$10)+MATCH($F125,_怪物类型!$A$2:$A$10,0))*IF($M125="",1,$M125),""))</f>
        <v/>
      </c>
      <c r="V125" s="84">
        <f>IF($U125="","",MIN(0.75,$U125/($U125+24000)))</f>
        <v/>
      </c>
      <c r="W125" s="21">
        <f>IF($S125="","",$S125/(1-$V125)*IF($N125="",1,$N125))</f>
        <v/>
      </c>
      <c r="X125" s="17">
        <f>IF(OR($W125="",$Q125="",$Q125=0),"",$W125/$Q125)</f>
        <v/>
      </c>
      <c r="Y125" s="17">
        <f>IF(OR($R125="",$T125="",$T125=0),"",$R125/($T125*IF($O125="",1,$O125)))</f>
        <v/>
      </c>
      <c r="Z125" s="17">
        <f>IF(OR($X125="",$P125="",$P125=0),"",$X125/$P125)</f>
        <v/>
      </c>
      <c r="AA125">
        <f>IF($J125="","待填怪物等级",IF(OR($I125="",$Q125=""),"待填对照关卡",IF($P125="","已计算",IF(AND($Y125&lt;&gt;"",$Y125&lt;$X125),"生存不成立",IF($Z125&lt;0.5,"碾压",IF($Z125&lt;0.8,"偏简单",IF($Z125&lt;=1.2,"适中",IF($Z125&lt;=1.5,"偏难","过难"))))))))</f>
        <v/>
      </c>
      <c r="AB125">
        <f>IF($J125="","待填",IF(AND(ISNUMBER($J125),$J125&gt;=1,$J125&lt;=500,MOD($J125,1)=0),"有效","超范围"))</f>
        <v/>
      </c>
      <c r="AC125">
        <f>IF(C125&lt;&gt;C124,"新玩法组",IF(J125&gt;=J124,"不降","回退"))</f>
        <v/>
      </c>
      <c r="AD125" t="inlineStr">
        <is>
          <t>等效进度估算S278，非解锁/首通节点；旧Lv318→327｜2026-09-14 前20档定稿：等级327封平，K/L梯度 1.3459/1.1923（11档=难度10持平，20档EHP+45.6%）；难度10旧AE=832k为旧曲线残留（现反查已到满配边缘）。</t>
        </is>
      </c>
      <c r="AE125" s="4" t="n">
        <v>1600000</v>
      </c>
      <c r="AF125" s="4">
        <f>INDEX(_统一战力!$B$2:$B$501,J125)</f>
        <v/>
      </c>
    </row>
    <row r="126">
      <c r="A126" t="inlineStr">
        <is>
          <t>当前源表</t>
        </is>
      </c>
      <c r="B126" t="inlineStr">
        <is>
          <t>其他战斗玩法</t>
        </is>
      </c>
      <c r="C126" t="inlineStr">
        <is>
          <t>LevelType_GuilidBoss</t>
        </is>
      </c>
      <c r="D126" t="inlineStr">
        <is>
          <t>雪怪王 难度20</t>
        </is>
      </c>
      <c r="E126" t="inlineStr">
        <is>
          <t>610020</t>
        </is>
      </c>
      <c r="F126" t="inlineStr">
        <is>
          <t>Boss</t>
        </is>
      </c>
      <c r="G126" t="n">
        <v>278</v>
      </c>
      <c r="I126">
        <f>IF($H126="",$G126,$H126)</f>
        <v/>
      </c>
      <c r="J126" t="n">
        <v>327</v>
      </c>
      <c r="K126" s="83" t="n">
        <v>1.3945</v>
      </c>
      <c r="L126" s="83" t="n">
        <v>1.1993</v>
      </c>
      <c r="M126" s="83" t="n">
        <v>1</v>
      </c>
      <c r="N126" t="n">
        <v>1</v>
      </c>
      <c r="O126" t="n">
        <v>1</v>
      </c>
      <c r="P126" s="17" t="n">
        <v>58.7862851553518</v>
      </c>
      <c r="Q126" s="21">
        <f>IF($I126="","",IFERROR(INDEX(_玩家曲线!$H$2:$H$286,MATCH($I126,_玩家曲线!$A$2:$A$286,0)),""))</f>
        <v/>
      </c>
      <c r="R126" s="21">
        <f>IF($I126="","",IFERROR(INDEX(_玩家曲线!$I$2:$I$286,MATCH($I126,_玩家曲线!$A$2:$A$286,0)),""))</f>
        <v/>
      </c>
      <c r="S126" s="21">
        <f>IF(OR($J126="",$F126="不适用"),"",IFERROR(INDEX(_怪物模型!$D$2:$D$4501,(INT($J126)-1)*ROWS(_怪物类型!$A$2:$A$10)+MATCH($F126,_怪物类型!$A$2:$A$10,0))*IF($K126="",1,$K126),""))</f>
        <v/>
      </c>
      <c r="T126" s="21">
        <f>IF(OR($J126="",$F126="不适用"),"",IFERROR(INDEX(_怪物模型!$E$2:$E$4501,(INT($J126)-1)*ROWS(_怪物类型!$A$2:$A$10)+MATCH($F126,_怪物类型!$A$2:$A$10,0))*IF($L126="",1,$L126),""))</f>
        <v/>
      </c>
      <c r="U126" s="21">
        <f>IF(OR($J126="",$F126="不适用"),"",IFERROR(INDEX(_怪物模型!$F$2:$F$4501,(INT($J126)-1)*ROWS(_怪物类型!$A$2:$A$10)+MATCH($F126,_怪物类型!$A$2:$A$10,0))*IF($M126="",1,$M126),""))</f>
        <v/>
      </c>
      <c r="V126" s="84">
        <f>IF($U126="","",MIN(0.75,$U126/($U126+24000)))</f>
        <v/>
      </c>
      <c r="W126" s="21">
        <f>IF($S126="","",$S126/(1-$V126)*IF($N126="",1,$N126))</f>
        <v/>
      </c>
      <c r="X126" s="17">
        <f>IF(OR($W126="",$Q126="",$Q126=0),"",$W126/$Q126)</f>
        <v/>
      </c>
      <c r="Y126" s="17">
        <f>IF(OR($R126="",$T126="",$T126=0),"",$R126/($T126*IF($O126="",1,$O126)))</f>
        <v/>
      </c>
      <c r="Z126" s="17">
        <f>IF(OR($X126="",$P126="",$P126=0),"",$X126/$P126)</f>
        <v/>
      </c>
      <c r="AA126">
        <f>IF($J126="","待填怪物等级",IF(OR($I126="",$Q126=""),"待填对照关卡",IF($P126="","已计算",IF(AND($Y126&lt;&gt;"",$Y126&lt;$X126),"生存不成立",IF($Z126&lt;0.5,"碾压",IF($Z126&lt;0.8,"偏简单",IF($Z126&lt;=1.2,"适中",IF($Z126&lt;=1.5,"偏难","过难"))))))))</f>
        <v/>
      </c>
      <c r="AB126">
        <f>IF($J126="","待填",IF(AND(ISNUMBER($J126),$J126&gt;=1,$J126&lt;=500,MOD($J126,1)=0),"有效","超范围"))</f>
        <v/>
      </c>
      <c r="AC126">
        <f>IF(C126&lt;&gt;C125,"新玩法组",IF(J126&gt;=J125,"不降","回退"))</f>
        <v/>
      </c>
      <c r="AD126" t="inlineStr">
        <is>
          <t>等效进度估算S278，非解锁/首通节点；旧Lv318→327｜2026-09-14 前20档定稿：等级327封平，K/L梯度 1.3945/1.1993（11档=难度10持平，20档EHP+45.6%）；难度10旧AE=832k为旧曲线残留（现反查已到满配边缘）。</t>
        </is>
      </c>
      <c r="AE126" s="4" t="n">
        <v>1600000</v>
      </c>
      <c r="AF126" s="4">
        <f>INDEX(_统一战力!$B$2:$B$501,J126)</f>
        <v/>
      </c>
    </row>
    <row r="127">
      <c r="A127" t="inlineStr">
        <is>
          <t>当前源表</t>
        </is>
      </c>
      <c r="B127" t="inlineStr">
        <is>
          <t>其他战斗玩法</t>
        </is>
      </c>
      <c r="C127" t="inlineStr">
        <is>
          <t>LevelType_GuilidBoss</t>
        </is>
      </c>
      <c r="D127" t="inlineStr">
        <is>
          <t>莫尔拉 难度10</t>
        </is>
      </c>
      <c r="E127" t="inlineStr">
        <is>
          <t>610110</t>
        </is>
      </c>
      <c r="F127" t="inlineStr">
        <is>
          <t>Boss</t>
        </is>
      </c>
      <c r="G127" t="n">
        <v>278</v>
      </c>
      <c r="I127">
        <f>IF($H127="",$G127,$H127)</f>
        <v/>
      </c>
      <c r="J127" t="n">
        <v>327</v>
      </c>
      <c r="K127" s="83" t="n">
        <v>0.957089165688218</v>
      </c>
      <c r="L127" s="83" t="n">
        <v>1.13626378920316</v>
      </c>
      <c r="M127" s="83" t="n">
        <v>1</v>
      </c>
      <c r="N127" t="n">
        <v>1</v>
      </c>
      <c r="O127" t="n">
        <v>1</v>
      </c>
      <c r="P127" s="17" t="n">
        <v>58.7862851553518</v>
      </c>
      <c r="Q127" s="21">
        <f>IF($I127="","",IFERROR(INDEX(_玩家曲线!$H$2:$H$286,MATCH($I127,_玩家曲线!$A$2:$A$286,0)),""))</f>
        <v/>
      </c>
      <c r="R127" s="21">
        <f>IF($I127="","",IFERROR(INDEX(_玩家曲线!$I$2:$I$286,MATCH($I127,_玩家曲线!$A$2:$A$286,0)),""))</f>
        <v/>
      </c>
      <c r="S127" s="21">
        <f>IF(OR($J127="",$F127="不适用"),"",IFERROR(INDEX(_怪物模型!$D$2:$D$4501,(INT($J127)-1)*ROWS(_怪物类型!$A$2:$A$10)+MATCH($F127,_怪物类型!$A$2:$A$10,0))*IF($K127="",1,$K127),""))</f>
        <v/>
      </c>
      <c r="T127" s="21">
        <f>IF(OR($J127="",$F127="不适用"),"",IFERROR(INDEX(_怪物模型!$E$2:$E$4501,(INT($J127)-1)*ROWS(_怪物类型!$A$2:$A$10)+MATCH($F127,_怪物类型!$A$2:$A$10,0))*IF($L127="",1,$L127),""))</f>
        <v/>
      </c>
      <c r="U127" s="21">
        <f>IF(OR($J127="",$F127="不适用"),"",IFERROR(INDEX(_怪物模型!$F$2:$F$4501,(INT($J127)-1)*ROWS(_怪物类型!$A$2:$A$10)+MATCH($F127,_怪物类型!$A$2:$A$10,0))*IF($M127="",1,$M127),""))</f>
        <v/>
      </c>
      <c r="V127" s="84">
        <f>IF($U127="","",MIN(0.75,$U127/($U127+24000)))</f>
        <v/>
      </c>
      <c r="W127" s="21">
        <f>IF($S127="","",$S127/(1-$V127)*IF($N127="",1,$N127))</f>
        <v/>
      </c>
      <c r="X127" s="17">
        <f>IF(OR($W127="",$Q127="",$Q127=0),"",$W127/$Q127)</f>
        <v/>
      </c>
      <c r="Y127" s="17">
        <f>IF(OR($R127="",$T127="",$T127=0),"",$R127/($T127*IF($O127="",1,$O127)))</f>
        <v/>
      </c>
      <c r="Z127" s="17">
        <f>IF(OR($X127="",$P127="",$P127=0),"",$X127/$P127)</f>
        <v/>
      </c>
      <c r="AA127">
        <f>IF($J127="","待填怪物等级",IF(OR($I127="",$Q127=""),"待填对照关卡",IF($P127="","已计算",IF(AND($Y127&lt;&gt;"",$Y127&lt;$X127),"生存不成立",IF($Z127&lt;0.5,"碾压",IF($Z127&lt;0.8,"偏简单",IF($Z127&lt;=1.2,"适中",IF($Z127&lt;=1.5,"偏难","过难"))))))))</f>
        <v/>
      </c>
      <c r="AB127">
        <f>IF($J127="","待填",IF(AND(ISNUMBER($J127),$J127&gt;=1,$J127&lt;=500,MOD($J127,1)=0),"有效","超范围"))</f>
        <v/>
      </c>
      <c r="AC127">
        <f>IF(C127&lt;&gt;C126,"新玩法组",IF(J127&gt;=J126,"不降","回退"))</f>
        <v/>
      </c>
      <c r="AD127" t="inlineStr">
        <is>
          <t>等效进度估算S278，非解锁/首通节点；旧Lv318→327</t>
        </is>
      </c>
      <c r="AE127" s="4" t="n">
        <v>832000</v>
      </c>
      <c r="AF127" s="4">
        <f>INDEX(_统一战力!$B$2:$B$501,J127)</f>
        <v/>
      </c>
    </row>
    <row r="128">
      <c r="A128" t="inlineStr">
        <is>
          <t>当前源表</t>
        </is>
      </c>
      <c r="B128" t="inlineStr">
        <is>
          <t>其他战斗玩法</t>
        </is>
      </c>
      <c r="C128" t="inlineStr">
        <is>
          <t>LevelType_GuilidBoss</t>
        </is>
      </c>
      <c r="D128" t="inlineStr">
        <is>
          <t>莫尔拉 难度11</t>
        </is>
      </c>
      <c r="E128" t="inlineStr">
        <is>
          <t>610111</t>
        </is>
      </c>
      <c r="F128" t="inlineStr">
        <is>
          <t>Boss</t>
        </is>
      </c>
      <c r="G128" t="n">
        <v>278</v>
      </c>
      <c r="I128">
        <f>IF($H128="",$G128,$H128)</f>
        <v/>
      </c>
      <c r="J128" t="n">
        <v>327</v>
      </c>
      <c r="K128" s="83" t="n">
        <v>0.9571</v>
      </c>
      <c r="L128" s="83" t="n">
        <v>1.1363</v>
      </c>
      <c r="M128" s="83" t="n">
        <v>1</v>
      </c>
      <c r="N128" t="n">
        <v>1</v>
      </c>
      <c r="O128" t="n">
        <v>1</v>
      </c>
      <c r="P128" s="17" t="n">
        <v>58.7862851553518</v>
      </c>
      <c r="Q128" s="21">
        <f>IF($I128="","",IFERROR(INDEX(_玩家曲线!$H$2:$H$286,MATCH($I128,_玩家曲线!$A$2:$A$286,0)),""))</f>
        <v/>
      </c>
      <c r="R128" s="21">
        <f>IF($I128="","",IFERROR(INDEX(_玩家曲线!$I$2:$I$286,MATCH($I128,_玩家曲线!$A$2:$A$286,0)),""))</f>
        <v/>
      </c>
      <c r="S128" s="21">
        <f>IF(OR($J128="",$F128="不适用"),"",IFERROR(INDEX(_怪物模型!$D$2:$D$4501,(INT($J128)-1)*ROWS(_怪物类型!$A$2:$A$10)+MATCH($F128,_怪物类型!$A$2:$A$10,0))*IF($K128="",1,$K128),""))</f>
        <v/>
      </c>
      <c r="T128" s="21">
        <f>IF(OR($J128="",$F128="不适用"),"",IFERROR(INDEX(_怪物模型!$E$2:$E$4501,(INT($J128)-1)*ROWS(_怪物类型!$A$2:$A$10)+MATCH($F128,_怪物类型!$A$2:$A$10,0))*IF($L128="",1,$L128),""))</f>
        <v/>
      </c>
      <c r="U128" s="21">
        <f>IF(OR($J128="",$F128="不适用"),"",IFERROR(INDEX(_怪物模型!$F$2:$F$4501,(INT($J128)-1)*ROWS(_怪物类型!$A$2:$A$10)+MATCH($F128,_怪物类型!$A$2:$A$10,0))*IF($M128="",1,$M128),""))</f>
        <v/>
      </c>
      <c r="V128" s="84">
        <f>IF($U128="","",MIN(0.75,$U128/($U128+24000)))</f>
        <v/>
      </c>
      <c r="W128" s="21">
        <f>IF($S128="","",$S128/(1-$V128)*IF($N128="",1,$N128))</f>
        <v/>
      </c>
      <c r="X128" s="17">
        <f>IF(OR($W128="",$Q128="",$Q128=0),"",$W128/$Q128)</f>
        <v/>
      </c>
      <c r="Y128" s="17">
        <f>IF(OR($R128="",$T128="",$T128=0),"",$R128/($T128*IF($O128="",1,$O128)))</f>
        <v/>
      </c>
      <c r="Z128" s="17">
        <f>IF(OR($X128="",$P128="",$P128=0),"",$X128/$P128)</f>
        <v/>
      </c>
      <c r="AA128">
        <f>IF($J128="","待填怪物等级",IF(OR($I128="",$Q128=""),"待填对照关卡",IF($P128="","已计算",IF(AND($Y128&lt;&gt;"",$Y128&lt;$X128),"生存不成立",IF($Z128&lt;0.5,"碾压",IF($Z128&lt;0.8,"偏简单",IF($Z128&lt;=1.2,"适中",IF($Z128&lt;=1.5,"偏难","过难"))))))))</f>
        <v/>
      </c>
      <c r="AB128">
        <f>IF($J128="","待填",IF(AND(ISNUMBER($J128),$J128&gt;=1,$J128&lt;=500,MOD($J128,1)=0),"有效","超范围"))</f>
        <v/>
      </c>
      <c r="AC128">
        <f>IF(C128&lt;&gt;C127,"新玩法组",IF(J128&gt;=J127,"不降","回退"))</f>
        <v/>
      </c>
      <c r="AD128" t="inlineStr">
        <is>
          <t>等效进度估算S278，非解锁/首通节点；旧Lv318→327｜2026-09-14 前20档定稿：等级327封平，K/L梯度 0.9571/1.1363（11档=难度10持平，20档EHP+45.6%）；难度10旧AE=832k为旧曲线残留（现反查已到满配边缘）。</t>
        </is>
      </c>
      <c r="AE128" s="4" t="n">
        <v>1580000</v>
      </c>
      <c r="AF128" s="4">
        <f>INDEX(_统一战力!$B$2:$B$501,J128)</f>
        <v/>
      </c>
    </row>
    <row r="129">
      <c r="A129" t="inlineStr">
        <is>
          <t>当前源表</t>
        </is>
      </c>
      <c r="B129" t="inlineStr">
        <is>
          <t>其他战斗玩法</t>
        </is>
      </c>
      <c r="C129" t="inlineStr">
        <is>
          <t>LevelType_GuilidBoss</t>
        </is>
      </c>
      <c r="D129" t="inlineStr">
        <is>
          <t>莫尔拉 难度12</t>
        </is>
      </c>
      <c r="E129" t="inlineStr">
        <is>
          <t>610112</t>
        </is>
      </c>
      <c r="F129" t="inlineStr">
        <is>
          <t>Boss</t>
        </is>
      </c>
      <c r="G129" t="n">
        <v>278</v>
      </c>
      <c r="I129">
        <f>IF($H129="",$G129,$H129)</f>
        <v/>
      </c>
      <c r="J129" t="n">
        <v>327</v>
      </c>
      <c r="K129" s="83" t="n">
        <v>1.0057</v>
      </c>
      <c r="L129" s="83" t="n">
        <v>1.1433</v>
      </c>
      <c r="M129" s="83" t="n">
        <v>1</v>
      </c>
      <c r="N129" t="n">
        <v>1</v>
      </c>
      <c r="O129" t="n">
        <v>1</v>
      </c>
      <c r="P129" s="17" t="n">
        <v>58.7862851553518</v>
      </c>
      <c r="Q129" s="21">
        <f>IF($I129="","",IFERROR(INDEX(_玩家曲线!$H$2:$H$286,MATCH($I129,_玩家曲线!$A$2:$A$286,0)),""))</f>
        <v/>
      </c>
      <c r="R129" s="21">
        <f>IF($I129="","",IFERROR(INDEX(_玩家曲线!$I$2:$I$286,MATCH($I129,_玩家曲线!$A$2:$A$286,0)),""))</f>
        <v/>
      </c>
      <c r="S129" s="21">
        <f>IF(OR($J129="",$F129="不适用"),"",IFERROR(INDEX(_怪物模型!$D$2:$D$4501,(INT($J129)-1)*ROWS(_怪物类型!$A$2:$A$10)+MATCH($F129,_怪物类型!$A$2:$A$10,0))*IF($K129="",1,$K129),""))</f>
        <v/>
      </c>
      <c r="T129" s="21">
        <f>IF(OR($J129="",$F129="不适用"),"",IFERROR(INDEX(_怪物模型!$E$2:$E$4501,(INT($J129)-1)*ROWS(_怪物类型!$A$2:$A$10)+MATCH($F129,_怪物类型!$A$2:$A$10,0))*IF($L129="",1,$L129),""))</f>
        <v/>
      </c>
      <c r="U129" s="21">
        <f>IF(OR($J129="",$F129="不适用"),"",IFERROR(INDEX(_怪物模型!$F$2:$F$4501,(INT($J129)-1)*ROWS(_怪物类型!$A$2:$A$10)+MATCH($F129,_怪物类型!$A$2:$A$10,0))*IF($M129="",1,$M129),""))</f>
        <v/>
      </c>
      <c r="V129" s="84">
        <f>IF($U129="","",MIN(0.75,$U129/($U129+24000)))</f>
        <v/>
      </c>
      <c r="W129" s="21">
        <f>IF($S129="","",$S129/(1-$V129)*IF($N129="",1,$N129))</f>
        <v/>
      </c>
      <c r="X129" s="17">
        <f>IF(OR($W129="",$Q129="",$Q129=0),"",$W129/$Q129)</f>
        <v/>
      </c>
      <c r="Y129" s="17">
        <f>IF(OR($R129="",$T129="",$T129=0),"",$R129/($T129*IF($O129="",1,$O129)))</f>
        <v/>
      </c>
      <c r="Z129" s="17">
        <f>IF(OR($X129="",$P129="",$P129=0),"",$X129/$P129)</f>
        <v/>
      </c>
      <c r="AA129">
        <f>IF($J129="","待填怪物等级",IF(OR($I129="",$Q129=""),"待填对照关卡",IF($P129="","已计算",IF(AND($Y129&lt;&gt;"",$Y129&lt;$X129),"生存不成立",IF($Z129&lt;0.5,"碾压",IF($Z129&lt;0.8,"偏简单",IF($Z129&lt;=1.2,"适中",IF($Z129&lt;=1.5,"偏难","过难"))))))))</f>
        <v/>
      </c>
      <c r="AB129">
        <f>IF($J129="","待填",IF(AND(ISNUMBER($J129),$J129&gt;=1,$J129&lt;=500,MOD($J129,1)=0),"有效","超范围"))</f>
        <v/>
      </c>
      <c r="AC129">
        <f>IF(C129&lt;&gt;C128,"新玩法组",IF(J129&gt;=J128,"不降","回退"))</f>
        <v/>
      </c>
      <c r="AD129" t="inlineStr">
        <is>
          <t>等效进度估算S278，非解锁/首通节点；旧Lv318→327｜2026-09-14 前20档定稿：等级327封平，K/L梯度 1.0057/1.1433（11档=难度10持平，20档EHP+45.6%）；难度10旧AE=832k为旧曲线残留（现反查已到满配边缘）。</t>
        </is>
      </c>
      <c r="AE129" s="4" t="n">
        <v>1600000</v>
      </c>
      <c r="AF129" s="4">
        <f>INDEX(_统一战力!$B$2:$B$501,J129)</f>
        <v/>
      </c>
    </row>
    <row r="130">
      <c r="A130" t="inlineStr">
        <is>
          <t>当前源表</t>
        </is>
      </c>
      <c r="B130" t="inlineStr">
        <is>
          <t>其他战斗玩法</t>
        </is>
      </c>
      <c r="C130" t="inlineStr">
        <is>
          <t>LevelType_GuilidBoss</t>
        </is>
      </c>
      <c r="D130" t="inlineStr">
        <is>
          <t>莫尔拉 难度13</t>
        </is>
      </c>
      <c r="E130" t="inlineStr">
        <is>
          <t>610113</t>
        </is>
      </c>
      <c r="F130" t="inlineStr">
        <is>
          <t>Boss</t>
        </is>
      </c>
      <c r="G130" t="n">
        <v>278</v>
      </c>
      <c r="I130">
        <f>IF($H130="",$G130,$H130)</f>
        <v/>
      </c>
      <c r="J130" t="n">
        <v>327</v>
      </c>
      <c r="K130" s="83" t="n">
        <v>1.0543</v>
      </c>
      <c r="L130" s="83" t="n">
        <v>1.1503</v>
      </c>
      <c r="M130" s="83" t="n">
        <v>1</v>
      </c>
      <c r="N130" t="n">
        <v>1</v>
      </c>
      <c r="O130" t="n">
        <v>1</v>
      </c>
      <c r="P130" s="17" t="n">
        <v>58.7862851553518</v>
      </c>
      <c r="Q130" s="21">
        <f>IF($I130="","",IFERROR(INDEX(_玩家曲线!$H$2:$H$286,MATCH($I130,_玩家曲线!$A$2:$A$286,0)),""))</f>
        <v/>
      </c>
      <c r="R130" s="21">
        <f>IF($I130="","",IFERROR(INDEX(_玩家曲线!$I$2:$I$286,MATCH($I130,_玩家曲线!$A$2:$A$286,0)),""))</f>
        <v/>
      </c>
      <c r="S130" s="21">
        <f>IF(OR($J130="",$F130="不适用"),"",IFERROR(INDEX(_怪物模型!$D$2:$D$4501,(INT($J130)-1)*ROWS(_怪物类型!$A$2:$A$10)+MATCH($F130,_怪物类型!$A$2:$A$10,0))*IF($K130="",1,$K130),""))</f>
        <v/>
      </c>
      <c r="T130" s="21">
        <f>IF(OR($J130="",$F130="不适用"),"",IFERROR(INDEX(_怪物模型!$E$2:$E$4501,(INT($J130)-1)*ROWS(_怪物类型!$A$2:$A$10)+MATCH($F130,_怪物类型!$A$2:$A$10,0))*IF($L130="",1,$L130),""))</f>
        <v/>
      </c>
      <c r="U130" s="21">
        <f>IF(OR($J130="",$F130="不适用"),"",IFERROR(INDEX(_怪物模型!$F$2:$F$4501,(INT($J130)-1)*ROWS(_怪物类型!$A$2:$A$10)+MATCH($F130,_怪物类型!$A$2:$A$10,0))*IF($M130="",1,$M130),""))</f>
        <v/>
      </c>
      <c r="V130" s="84">
        <f>IF($U130="","",MIN(0.75,$U130/($U130+24000)))</f>
        <v/>
      </c>
      <c r="W130" s="21">
        <f>IF($S130="","",$S130/(1-$V130)*IF($N130="",1,$N130))</f>
        <v/>
      </c>
      <c r="X130" s="17">
        <f>IF(OR($W130="",$Q130="",$Q130=0),"",$W130/$Q130)</f>
        <v/>
      </c>
      <c r="Y130" s="17">
        <f>IF(OR($R130="",$T130="",$T130=0),"",$R130/($T130*IF($O130="",1,$O130)))</f>
        <v/>
      </c>
      <c r="Z130" s="17">
        <f>IF(OR($X130="",$P130="",$P130=0),"",$X130/$P130)</f>
        <v/>
      </c>
      <c r="AA130">
        <f>IF($J130="","待填怪物等级",IF(OR($I130="",$Q130=""),"待填对照关卡",IF($P130="","已计算",IF(AND($Y130&lt;&gt;"",$Y130&lt;$X130),"生存不成立",IF($Z130&lt;0.5,"碾压",IF($Z130&lt;0.8,"偏简单",IF($Z130&lt;=1.2,"适中",IF($Z130&lt;=1.5,"偏难","过难"))))))))</f>
        <v/>
      </c>
      <c r="AB130">
        <f>IF($J130="","待填",IF(AND(ISNUMBER($J130),$J130&gt;=1,$J130&lt;=500,MOD($J130,1)=0),"有效","超范围"))</f>
        <v/>
      </c>
      <c r="AC130">
        <f>IF(C130&lt;&gt;C129,"新玩法组",IF(J130&gt;=J129,"不降","回退"))</f>
        <v/>
      </c>
      <c r="AD130" t="inlineStr">
        <is>
          <t>等效进度估算S278，非解锁/首通节点；旧Lv318→327｜2026-09-14 前20档定稿：等级327封平，K/L梯度 1.0543/1.1503（11档=难度10持平，20档EHP+45.6%）；难度10旧AE=832k为旧曲线残留（现反查已到满配边缘）。</t>
        </is>
      </c>
      <c r="AE130" s="4" t="n">
        <v>1600000</v>
      </c>
      <c r="AF130" s="4">
        <f>INDEX(_统一战力!$B$2:$B$501,J130)</f>
        <v/>
      </c>
    </row>
    <row r="131">
      <c r="A131" t="inlineStr">
        <is>
          <t>当前源表</t>
        </is>
      </c>
      <c r="B131" t="inlineStr">
        <is>
          <t>其他战斗玩法</t>
        </is>
      </c>
      <c r="C131" t="inlineStr">
        <is>
          <t>LevelType_GuilidBoss</t>
        </is>
      </c>
      <c r="D131" t="inlineStr">
        <is>
          <t>莫尔拉 难度14</t>
        </is>
      </c>
      <c r="E131" t="inlineStr">
        <is>
          <t>610114</t>
        </is>
      </c>
      <c r="F131" t="inlineStr">
        <is>
          <t>Boss</t>
        </is>
      </c>
      <c r="G131" t="n">
        <v>278</v>
      </c>
      <c r="I131">
        <f>IF($H131="",$G131,$H131)</f>
        <v/>
      </c>
      <c r="J131" t="n">
        <v>327</v>
      </c>
      <c r="K131" s="83" t="n">
        <v>1.1029</v>
      </c>
      <c r="L131" s="83" t="n">
        <v>1.1573</v>
      </c>
      <c r="M131" s="83" t="n">
        <v>1</v>
      </c>
      <c r="N131" t="n">
        <v>1</v>
      </c>
      <c r="O131" t="n">
        <v>1</v>
      </c>
      <c r="P131" s="17" t="n">
        <v>58.7862851553518</v>
      </c>
      <c r="Q131" s="21">
        <f>IF($I131="","",IFERROR(INDEX(_玩家曲线!$H$2:$H$286,MATCH($I131,_玩家曲线!$A$2:$A$286,0)),""))</f>
        <v/>
      </c>
      <c r="R131" s="21">
        <f>IF($I131="","",IFERROR(INDEX(_玩家曲线!$I$2:$I$286,MATCH($I131,_玩家曲线!$A$2:$A$286,0)),""))</f>
        <v/>
      </c>
      <c r="S131" s="21">
        <f>IF(OR($J131="",$F131="不适用"),"",IFERROR(INDEX(_怪物模型!$D$2:$D$4501,(INT($J131)-1)*ROWS(_怪物类型!$A$2:$A$10)+MATCH($F131,_怪物类型!$A$2:$A$10,0))*IF($K131="",1,$K131),""))</f>
        <v/>
      </c>
      <c r="T131" s="21">
        <f>IF(OR($J131="",$F131="不适用"),"",IFERROR(INDEX(_怪物模型!$E$2:$E$4501,(INT($J131)-1)*ROWS(_怪物类型!$A$2:$A$10)+MATCH($F131,_怪物类型!$A$2:$A$10,0))*IF($L131="",1,$L131),""))</f>
        <v/>
      </c>
      <c r="U131" s="21">
        <f>IF(OR($J131="",$F131="不适用"),"",IFERROR(INDEX(_怪物模型!$F$2:$F$4501,(INT($J131)-1)*ROWS(_怪物类型!$A$2:$A$10)+MATCH($F131,_怪物类型!$A$2:$A$10,0))*IF($M131="",1,$M131),""))</f>
        <v/>
      </c>
      <c r="V131" s="84">
        <f>IF($U131="","",MIN(0.75,$U131/($U131+24000)))</f>
        <v/>
      </c>
      <c r="W131" s="21">
        <f>IF($S131="","",$S131/(1-$V131)*IF($N131="",1,$N131))</f>
        <v/>
      </c>
      <c r="X131" s="17">
        <f>IF(OR($W131="",$Q131="",$Q131=0),"",$W131/$Q131)</f>
        <v/>
      </c>
      <c r="Y131" s="17">
        <f>IF(OR($R131="",$T131="",$T131=0),"",$R131/($T131*IF($O131="",1,$O131)))</f>
        <v/>
      </c>
      <c r="Z131" s="17">
        <f>IF(OR($X131="",$P131="",$P131=0),"",$X131/$P131)</f>
        <v/>
      </c>
      <c r="AA131">
        <f>IF($J131="","待填怪物等级",IF(OR($I131="",$Q131=""),"待填对照关卡",IF($P131="","已计算",IF(AND($Y131&lt;&gt;"",$Y131&lt;$X131),"生存不成立",IF($Z131&lt;0.5,"碾压",IF($Z131&lt;0.8,"偏简单",IF($Z131&lt;=1.2,"适中",IF($Z131&lt;=1.5,"偏难","过难"))))))))</f>
        <v/>
      </c>
      <c r="AB131">
        <f>IF($J131="","待填",IF(AND(ISNUMBER($J131),$J131&gt;=1,$J131&lt;=500,MOD($J131,1)=0),"有效","超范围"))</f>
        <v/>
      </c>
      <c r="AC131">
        <f>IF(C131&lt;&gt;C130,"新玩法组",IF(J131&gt;=J130,"不降","回退"))</f>
        <v/>
      </c>
      <c r="AD131" t="inlineStr">
        <is>
          <t>等效进度估算S278，非解锁/首通节点；旧Lv318→327｜2026-09-14 前20档定稿：等级327封平，K/L梯度 1.1029/1.1573（11档=难度10持平，20档EHP+45.6%）；难度10旧AE=832k为旧曲线残留（现反查已到满配边缘）。</t>
        </is>
      </c>
      <c r="AE131" s="4" t="n">
        <v>1600000</v>
      </c>
      <c r="AF131" s="4">
        <f>INDEX(_统一战力!$B$2:$B$501,J131)</f>
        <v/>
      </c>
    </row>
    <row r="132">
      <c r="A132" t="inlineStr">
        <is>
          <t>当前源表</t>
        </is>
      </c>
      <c r="B132" t="inlineStr">
        <is>
          <t>其他战斗玩法</t>
        </is>
      </c>
      <c r="C132" t="inlineStr">
        <is>
          <t>LevelType_GuilidBoss</t>
        </is>
      </c>
      <c r="D132" t="inlineStr">
        <is>
          <t>莫尔拉 难度15</t>
        </is>
      </c>
      <c r="E132" t="inlineStr">
        <is>
          <t>610115</t>
        </is>
      </c>
      <c r="F132" t="inlineStr">
        <is>
          <t>Boss</t>
        </is>
      </c>
      <c r="G132" t="n">
        <v>278</v>
      </c>
      <c r="I132">
        <f>IF($H132="",$G132,$H132)</f>
        <v/>
      </c>
      <c r="J132" t="n">
        <v>327</v>
      </c>
      <c r="K132" s="83" t="n">
        <v>1.1515</v>
      </c>
      <c r="L132" s="83" t="n">
        <v>1.1643</v>
      </c>
      <c r="M132" s="83" t="n">
        <v>1</v>
      </c>
      <c r="N132" t="n">
        <v>1</v>
      </c>
      <c r="O132" t="n">
        <v>1</v>
      </c>
      <c r="P132" s="17" t="n">
        <v>58.7862851553518</v>
      </c>
      <c r="Q132" s="21">
        <f>IF($I132="","",IFERROR(INDEX(_玩家曲线!$H$2:$H$286,MATCH($I132,_玩家曲线!$A$2:$A$286,0)),""))</f>
        <v/>
      </c>
      <c r="R132" s="21">
        <f>IF($I132="","",IFERROR(INDEX(_玩家曲线!$I$2:$I$286,MATCH($I132,_玩家曲线!$A$2:$A$286,0)),""))</f>
        <v/>
      </c>
      <c r="S132" s="21">
        <f>IF(OR($J132="",$F132="不适用"),"",IFERROR(INDEX(_怪物模型!$D$2:$D$4501,(INT($J132)-1)*ROWS(_怪物类型!$A$2:$A$10)+MATCH($F132,_怪物类型!$A$2:$A$10,0))*IF($K132="",1,$K132),""))</f>
        <v/>
      </c>
      <c r="T132" s="21">
        <f>IF(OR($J132="",$F132="不适用"),"",IFERROR(INDEX(_怪物模型!$E$2:$E$4501,(INT($J132)-1)*ROWS(_怪物类型!$A$2:$A$10)+MATCH($F132,_怪物类型!$A$2:$A$10,0))*IF($L132="",1,$L132),""))</f>
        <v/>
      </c>
      <c r="U132" s="21">
        <f>IF(OR($J132="",$F132="不适用"),"",IFERROR(INDEX(_怪物模型!$F$2:$F$4501,(INT($J132)-1)*ROWS(_怪物类型!$A$2:$A$10)+MATCH($F132,_怪物类型!$A$2:$A$10,0))*IF($M132="",1,$M132),""))</f>
        <v/>
      </c>
      <c r="V132" s="84">
        <f>IF($U132="","",MIN(0.75,$U132/($U132+24000)))</f>
        <v/>
      </c>
      <c r="W132" s="21">
        <f>IF($S132="","",$S132/(1-$V132)*IF($N132="",1,$N132))</f>
        <v/>
      </c>
      <c r="X132" s="17">
        <f>IF(OR($W132="",$Q132="",$Q132=0),"",$W132/$Q132)</f>
        <v/>
      </c>
      <c r="Y132" s="17">
        <f>IF(OR($R132="",$T132="",$T132=0),"",$R132/($T132*IF($O132="",1,$O132)))</f>
        <v/>
      </c>
      <c r="Z132" s="17">
        <f>IF(OR($X132="",$P132="",$P132=0),"",$X132/$P132)</f>
        <v/>
      </c>
      <c r="AA132">
        <f>IF($J132="","待填怪物等级",IF(OR($I132="",$Q132=""),"待填对照关卡",IF($P132="","已计算",IF(AND($Y132&lt;&gt;"",$Y132&lt;$X132),"生存不成立",IF($Z132&lt;0.5,"碾压",IF($Z132&lt;0.8,"偏简单",IF($Z132&lt;=1.2,"适中",IF($Z132&lt;=1.5,"偏难","过难"))))))))</f>
        <v/>
      </c>
      <c r="AB132">
        <f>IF($J132="","待填",IF(AND(ISNUMBER($J132),$J132&gt;=1,$J132&lt;=500,MOD($J132,1)=0),"有效","超范围"))</f>
        <v/>
      </c>
      <c r="AC132">
        <f>IF(C132&lt;&gt;C131,"新玩法组",IF(J132&gt;=J131,"不降","回退"))</f>
        <v/>
      </c>
      <c r="AD132" t="inlineStr">
        <is>
          <t>等效进度估算S278，非解锁/首通节点；旧Lv318→327｜2026-09-14 前20档定稿：等级327封平，K/L梯度 1.1515/1.1643（11档=难度10持平，20档EHP+45.6%）；难度10旧AE=832k为旧曲线残留（现反查已到满配边缘）。</t>
        </is>
      </c>
      <c r="AE132" s="4" t="n">
        <v>1600000</v>
      </c>
      <c r="AF132" s="4">
        <f>INDEX(_统一战力!$B$2:$B$501,J132)</f>
        <v/>
      </c>
    </row>
    <row r="133">
      <c r="A133" t="inlineStr">
        <is>
          <t>当前源表</t>
        </is>
      </c>
      <c r="B133" t="inlineStr">
        <is>
          <t>其他战斗玩法</t>
        </is>
      </c>
      <c r="C133" t="inlineStr">
        <is>
          <t>LevelType_GuilidBoss</t>
        </is>
      </c>
      <c r="D133" t="inlineStr">
        <is>
          <t>莫尔拉 难度16</t>
        </is>
      </c>
      <c r="E133" t="inlineStr">
        <is>
          <t>610116</t>
        </is>
      </c>
      <c r="F133" t="inlineStr">
        <is>
          <t>Boss</t>
        </is>
      </c>
      <c r="G133" t="n">
        <v>278</v>
      </c>
      <c r="I133">
        <f>IF($H133="",$G133,$H133)</f>
        <v/>
      </c>
      <c r="J133" t="n">
        <v>327</v>
      </c>
      <c r="K133" s="83" t="n">
        <v>1.2001</v>
      </c>
      <c r="L133" s="83" t="n">
        <v>1.1713</v>
      </c>
      <c r="M133" s="83" t="n">
        <v>1</v>
      </c>
      <c r="N133" t="n">
        <v>1</v>
      </c>
      <c r="O133" t="n">
        <v>1</v>
      </c>
      <c r="P133" s="17" t="n">
        <v>58.7862851553518</v>
      </c>
      <c r="Q133" s="21">
        <f>IF($I133="","",IFERROR(INDEX(_玩家曲线!$H$2:$H$286,MATCH($I133,_玩家曲线!$A$2:$A$286,0)),""))</f>
        <v/>
      </c>
      <c r="R133" s="21">
        <f>IF($I133="","",IFERROR(INDEX(_玩家曲线!$I$2:$I$286,MATCH($I133,_玩家曲线!$A$2:$A$286,0)),""))</f>
        <v/>
      </c>
      <c r="S133" s="21">
        <f>IF(OR($J133="",$F133="不适用"),"",IFERROR(INDEX(_怪物模型!$D$2:$D$4501,(INT($J133)-1)*ROWS(_怪物类型!$A$2:$A$10)+MATCH($F133,_怪物类型!$A$2:$A$10,0))*IF($K133="",1,$K133),""))</f>
        <v/>
      </c>
      <c r="T133" s="21">
        <f>IF(OR($J133="",$F133="不适用"),"",IFERROR(INDEX(_怪物模型!$E$2:$E$4501,(INT($J133)-1)*ROWS(_怪物类型!$A$2:$A$10)+MATCH($F133,_怪物类型!$A$2:$A$10,0))*IF($L133="",1,$L133),""))</f>
        <v/>
      </c>
      <c r="U133" s="21">
        <f>IF(OR($J133="",$F133="不适用"),"",IFERROR(INDEX(_怪物模型!$F$2:$F$4501,(INT($J133)-1)*ROWS(_怪物类型!$A$2:$A$10)+MATCH($F133,_怪物类型!$A$2:$A$10,0))*IF($M133="",1,$M133),""))</f>
        <v/>
      </c>
      <c r="V133" s="84">
        <f>IF($U133="","",MIN(0.75,$U133/($U133+24000)))</f>
        <v/>
      </c>
      <c r="W133" s="21">
        <f>IF($S133="","",$S133/(1-$V133)*IF($N133="",1,$N133))</f>
        <v/>
      </c>
      <c r="X133" s="17">
        <f>IF(OR($W133="",$Q133="",$Q133=0),"",$W133/$Q133)</f>
        <v/>
      </c>
      <c r="Y133" s="17">
        <f>IF(OR($R133="",$T133="",$T133=0),"",$R133/($T133*IF($O133="",1,$O133)))</f>
        <v/>
      </c>
      <c r="Z133" s="17">
        <f>IF(OR($X133="",$P133="",$P133=0),"",$X133/$P133)</f>
        <v/>
      </c>
      <c r="AA133">
        <f>IF($J133="","待填怪物等级",IF(OR($I133="",$Q133=""),"待填对照关卡",IF($P133="","已计算",IF(AND($Y133&lt;&gt;"",$Y133&lt;$X133),"生存不成立",IF($Z133&lt;0.5,"碾压",IF($Z133&lt;0.8,"偏简单",IF($Z133&lt;=1.2,"适中",IF($Z133&lt;=1.5,"偏难","过难"))))))))</f>
        <v/>
      </c>
      <c r="AB133">
        <f>IF($J133="","待填",IF(AND(ISNUMBER($J133),$J133&gt;=1,$J133&lt;=500,MOD($J133,1)=0),"有效","超范围"))</f>
        <v/>
      </c>
      <c r="AC133">
        <f>IF(C133&lt;&gt;C132,"新玩法组",IF(J133&gt;=J132,"不降","回退"))</f>
        <v/>
      </c>
      <c r="AD133" t="inlineStr">
        <is>
          <t>等效进度估算S278，非解锁/首通节点；旧Lv318→327｜2026-09-14 前20档定稿：等级327封平，K/L梯度 1.2001/1.1713（11档=难度10持平，20档EHP+45.6%）；难度10旧AE=832k为旧曲线残留（现反查已到满配边缘）。</t>
        </is>
      </c>
      <c r="AE133" s="4" t="n">
        <v>1600000</v>
      </c>
      <c r="AF133" s="4">
        <f>INDEX(_统一战力!$B$2:$B$501,J133)</f>
        <v/>
      </c>
    </row>
    <row r="134">
      <c r="A134" t="inlineStr">
        <is>
          <t>当前源表</t>
        </is>
      </c>
      <c r="B134" t="inlineStr">
        <is>
          <t>其他战斗玩法</t>
        </is>
      </c>
      <c r="C134" t="inlineStr">
        <is>
          <t>LevelType_GuilidBoss</t>
        </is>
      </c>
      <c r="D134" t="inlineStr">
        <is>
          <t>莫尔拉 难度17</t>
        </is>
      </c>
      <c r="E134" t="inlineStr">
        <is>
          <t>610117</t>
        </is>
      </c>
      <c r="F134" t="inlineStr">
        <is>
          <t>Boss</t>
        </is>
      </c>
      <c r="G134" t="n">
        <v>278</v>
      </c>
      <c r="I134">
        <f>IF($H134="",$G134,$H134)</f>
        <v/>
      </c>
      <c r="J134" t="n">
        <v>327</v>
      </c>
      <c r="K134" s="83" t="n">
        <v>1.2487</v>
      </c>
      <c r="L134" s="83" t="n">
        <v>1.1783</v>
      </c>
      <c r="M134" s="83" t="n">
        <v>1</v>
      </c>
      <c r="N134" t="n">
        <v>1</v>
      </c>
      <c r="O134" t="n">
        <v>1</v>
      </c>
      <c r="P134" s="17" t="n">
        <v>58.7862851553518</v>
      </c>
      <c r="Q134" s="21">
        <f>IF($I134="","",IFERROR(INDEX(_玩家曲线!$H$2:$H$286,MATCH($I134,_玩家曲线!$A$2:$A$286,0)),""))</f>
        <v/>
      </c>
      <c r="R134" s="21">
        <f>IF($I134="","",IFERROR(INDEX(_玩家曲线!$I$2:$I$286,MATCH($I134,_玩家曲线!$A$2:$A$286,0)),""))</f>
        <v/>
      </c>
      <c r="S134" s="21">
        <f>IF(OR($J134="",$F134="不适用"),"",IFERROR(INDEX(_怪物模型!$D$2:$D$4501,(INT($J134)-1)*ROWS(_怪物类型!$A$2:$A$10)+MATCH($F134,_怪物类型!$A$2:$A$10,0))*IF($K134="",1,$K134),""))</f>
        <v/>
      </c>
      <c r="T134" s="21">
        <f>IF(OR($J134="",$F134="不适用"),"",IFERROR(INDEX(_怪物模型!$E$2:$E$4501,(INT($J134)-1)*ROWS(_怪物类型!$A$2:$A$10)+MATCH($F134,_怪物类型!$A$2:$A$10,0))*IF($L134="",1,$L134),""))</f>
        <v/>
      </c>
      <c r="U134" s="21">
        <f>IF(OR($J134="",$F134="不适用"),"",IFERROR(INDEX(_怪物模型!$F$2:$F$4501,(INT($J134)-1)*ROWS(_怪物类型!$A$2:$A$10)+MATCH($F134,_怪物类型!$A$2:$A$10,0))*IF($M134="",1,$M134),""))</f>
        <v/>
      </c>
      <c r="V134" s="84">
        <f>IF($U134="","",MIN(0.75,$U134/($U134+24000)))</f>
        <v/>
      </c>
      <c r="W134" s="21">
        <f>IF($S134="","",$S134/(1-$V134)*IF($N134="",1,$N134))</f>
        <v/>
      </c>
      <c r="X134" s="17">
        <f>IF(OR($W134="",$Q134="",$Q134=0),"",$W134/$Q134)</f>
        <v/>
      </c>
      <c r="Y134" s="17">
        <f>IF(OR($R134="",$T134="",$T134=0),"",$R134/($T134*IF($O134="",1,$O134)))</f>
        <v/>
      </c>
      <c r="Z134" s="17">
        <f>IF(OR($X134="",$P134="",$P134=0),"",$X134/$P134)</f>
        <v/>
      </c>
      <c r="AA134">
        <f>IF($J134="","待填怪物等级",IF(OR($I134="",$Q134=""),"待填对照关卡",IF($P134="","已计算",IF(AND($Y134&lt;&gt;"",$Y134&lt;$X134),"生存不成立",IF($Z134&lt;0.5,"碾压",IF($Z134&lt;0.8,"偏简单",IF($Z134&lt;=1.2,"适中",IF($Z134&lt;=1.5,"偏难","过难"))))))))</f>
        <v/>
      </c>
      <c r="AB134">
        <f>IF($J134="","待填",IF(AND(ISNUMBER($J134),$J134&gt;=1,$J134&lt;=500,MOD($J134,1)=0),"有效","超范围"))</f>
        <v/>
      </c>
      <c r="AC134">
        <f>IF(C134&lt;&gt;C133,"新玩法组",IF(J134&gt;=J133,"不降","回退"))</f>
        <v/>
      </c>
      <c r="AD134" t="inlineStr">
        <is>
          <t>等效进度估算S278，非解锁/首通节点；旧Lv318→327｜2026-09-14 前20档定稿：等级327封平，K/L梯度 1.2487/1.1783（11档=难度10持平，20档EHP+45.6%）；难度10旧AE=832k为旧曲线残留（现反查已到满配边缘）。</t>
        </is>
      </c>
      <c r="AE134" s="4" t="n">
        <v>1600000</v>
      </c>
      <c r="AF134" s="4">
        <f>INDEX(_统一战力!$B$2:$B$501,J134)</f>
        <v/>
      </c>
    </row>
    <row r="135">
      <c r="A135" t="inlineStr">
        <is>
          <t>当前源表</t>
        </is>
      </c>
      <c r="B135" t="inlineStr">
        <is>
          <t>其他战斗玩法</t>
        </is>
      </c>
      <c r="C135" t="inlineStr">
        <is>
          <t>LevelType_GuilidBoss</t>
        </is>
      </c>
      <c r="D135" t="inlineStr">
        <is>
          <t>莫尔拉 难度18</t>
        </is>
      </c>
      <c r="E135" t="inlineStr">
        <is>
          <t>610118</t>
        </is>
      </c>
      <c r="F135" t="inlineStr">
        <is>
          <t>Boss</t>
        </is>
      </c>
      <c r="G135" t="n">
        <v>278</v>
      </c>
      <c r="I135">
        <f>IF($H135="",$G135,$H135)</f>
        <v/>
      </c>
      <c r="J135" t="n">
        <v>327</v>
      </c>
      <c r="K135" s="83" t="n">
        <v>1.2973</v>
      </c>
      <c r="L135" s="83" t="n">
        <v>1.1853</v>
      </c>
      <c r="M135" s="83" t="n">
        <v>1</v>
      </c>
      <c r="N135" t="n">
        <v>1</v>
      </c>
      <c r="O135" t="n">
        <v>1</v>
      </c>
      <c r="P135" s="17" t="n">
        <v>58.7862851553518</v>
      </c>
      <c r="Q135" s="21">
        <f>IF($I135="","",IFERROR(INDEX(_玩家曲线!$H$2:$H$286,MATCH($I135,_玩家曲线!$A$2:$A$286,0)),""))</f>
        <v/>
      </c>
      <c r="R135" s="21">
        <f>IF($I135="","",IFERROR(INDEX(_玩家曲线!$I$2:$I$286,MATCH($I135,_玩家曲线!$A$2:$A$286,0)),""))</f>
        <v/>
      </c>
      <c r="S135" s="21">
        <f>IF(OR($J135="",$F135="不适用"),"",IFERROR(INDEX(_怪物模型!$D$2:$D$4501,(INT($J135)-1)*ROWS(_怪物类型!$A$2:$A$10)+MATCH($F135,_怪物类型!$A$2:$A$10,0))*IF($K135="",1,$K135),""))</f>
        <v/>
      </c>
      <c r="T135" s="21">
        <f>IF(OR($J135="",$F135="不适用"),"",IFERROR(INDEX(_怪物模型!$E$2:$E$4501,(INT($J135)-1)*ROWS(_怪物类型!$A$2:$A$10)+MATCH($F135,_怪物类型!$A$2:$A$10,0))*IF($L135="",1,$L135),""))</f>
        <v/>
      </c>
      <c r="U135" s="21">
        <f>IF(OR($J135="",$F135="不适用"),"",IFERROR(INDEX(_怪物模型!$F$2:$F$4501,(INT($J135)-1)*ROWS(_怪物类型!$A$2:$A$10)+MATCH($F135,_怪物类型!$A$2:$A$10,0))*IF($M135="",1,$M135),""))</f>
        <v/>
      </c>
      <c r="V135" s="84">
        <f>IF($U135="","",MIN(0.75,$U135/($U135+24000)))</f>
        <v/>
      </c>
      <c r="W135" s="21">
        <f>IF($S135="","",$S135/(1-$V135)*IF($N135="",1,$N135))</f>
        <v/>
      </c>
      <c r="X135" s="17">
        <f>IF(OR($W135="",$Q135="",$Q135=0),"",$W135/$Q135)</f>
        <v/>
      </c>
      <c r="Y135" s="17">
        <f>IF(OR($R135="",$T135="",$T135=0),"",$R135/($T135*IF($O135="",1,$O135)))</f>
        <v/>
      </c>
      <c r="Z135" s="17">
        <f>IF(OR($X135="",$P135="",$P135=0),"",$X135/$P135)</f>
        <v/>
      </c>
      <c r="AA135">
        <f>IF($J135="","待填怪物等级",IF(OR($I135="",$Q135=""),"待填对照关卡",IF($P135="","已计算",IF(AND($Y135&lt;&gt;"",$Y135&lt;$X135),"生存不成立",IF($Z135&lt;0.5,"碾压",IF($Z135&lt;0.8,"偏简单",IF($Z135&lt;=1.2,"适中",IF($Z135&lt;=1.5,"偏难","过难"))))))))</f>
        <v/>
      </c>
      <c r="AB135">
        <f>IF($J135="","待填",IF(AND(ISNUMBER($J135),$J135&gt;=1,$J135&lt;=500,MOD($J135,1)=0),"有效","超范围"))</f>
        <v/>
      </c>
      <c r="AC135">
        <f>IF(C135&lt;&gt;C134,"新玩法组",IF(J135&gt;=J134,"不降","回退"))</f>
        <v/>
      </c>
      <c r="AD135" t="inlineStr">
        <is>
          <t>等效进度估算S278，非解锁/首通节点；旧Lv318→327｜2026-09-14 前20档定稿：等级327封平，K/L梯度 1.2973/1.1853（11档=难度10持平，20档EHP+45.6%）；难度10旧AE=832k为旧曲线残留（现反查已到满配边缘）。</t>
        </is>
      </c>
      <c r="AE135" s="4" t="n">
        <v>1600000</v>
      </c>
      <c r="AF135" s="4">
        <f>INDEX(_统一战力!$B$2:$B$501,J135)</f>
        <v/>
      </c>
    </row>
    <row r="136">
      <c r="A136" t="inlineStr">
        <is>
          <t>当前源表</t>
        </is>
      </c>
      <c r="B136" t="inlineStr">
        <is>
          <t>其他战斗玩法</t>
        </is>
      </c>
      <c r="C136" t="inlineStr">
        <is>
          <t>LevelType_GuilidBoss</t>
        </is>
      </c>
      <c r="D136" t="inlineStr">
        <is>
          <t>莫尔拉 难度19</t>
        </is>
      </c>
      <c r="E136" t="inlineStr">
        <is>
          <t>610119</t>
        </is>
      </c>
      <c r="F136" t="inlineStr">
        <is>
          <t>Boss</t>
        </is>
      </c>
      <c r="G136" t="n">
        <v>278</v>
      </c>
      <c r="I136">
        <f>IF($H136="",$G136,$H136)</f>
        <v/>
      </c>
      <c r="J136" t="n">
        <v>327</v>
      </c>
      <c r="K136" s="83" t="n">
        <v>1.3459</v>
      </c>
      <c r="L136" s="83" t="n">
        <v>1.1923</v>
      </c>
      <c r="M136" s="83" t="n">
        <v>1</v>
      </c>
      <c r="N136" t="n">
        <v>1</v>
      </c>
      <c r="O136" t="n">
        <v>1</v>
      </c>
      <c r="P136" s="17" t="n">
        <v>58.7862851553518</v>
      </c>
      <c r="Q136" s="21">
        <f>IF($I136="","",IFERROR(INDEX(_玩家曲线!$H$2:$H$286,MATCH($I136,_玩家曲线!$A$2:$A$286,0)),""))</f>
        <v/>
      </c>
      <c r="R136" s="21">
        <f>IF($I136="","",IFERROR(INDEX(_玩家曲线!$I$2:$I$286,MATCH($I136,_玩家曲线!$A$2:$A$286,0)),""))</f>
        <v/>
      </c>
      <c r="S136" s="21">
        <f>IF(OR($J136="",$F136="不适用"),"",IFERROR(INDEX(_怪物模型!$D$2:$D$4501,(INT($J136)-1)*ROWS(_怪物类型!$A$2:$A$10)+MATCH($F136,_怪物类型!$A$2:$A$10,0))*IF($K136="",1,$K136),""))</f>
        <v/>
      </c>
      <c r="T136" s="21">
        <f>IF(OR($J136="",$F136="不适用"),"",IFERROR(INDEX(_怪物模型!$E$2:$E$4501,(INT($J136)-1)*ROWS(_怪物类型!$A$2:$A$10)+MATCH($F136,_怪物类型!$A$2:$A$10,0))*IF($L136="",1,$L136),""))</f>
        <v/>
      </c>
      <c r="U136" s="21">
        <f>IF(OR($J136="",$F136="不适用"),"",IFERROR(INDEX(_怪物模型!$F$2:$F$4501,(INT($J136)-1)*ROWS(_怪物类型!$A$2:$A$10)+MATCH($F136,_怪物类型!$A$2:$A$10,0))*IF($M136="",1,$M136),""))</f>
        <v/>
      </c>
      <c r="V136" s="84">
        <f>IF($U136="","",MIN(0.75,$U136/($U136+24000)))</f>
        <v/>
      </c>
      <c r="W136" s="21">
        <f>IF($S136="","",$S136/(1-$V136)*IF($N136="",1,$N136))</f>
        <v/>
      </c>
      <c r="X136" s="17">
        <f>IF(OR($W136="",$Q136="",$Q136=0),"",$W136/$Q136)</f>
        <v/>
      </c>
      <c r="Y136" s="17">
        <f>IF(OR($R136="",$T136="",$T136=0),"",$R136/($T136*IF($O136="",1,$O136)))</f>
        <v/>
      </c>
      <c r="Z136" s="17">
        <f>IF(OR($X136="",$P136="",$P136=0),"",$X136/$P136)</f>
        <v/>
      </c>
      <c r="AA136">
        <f>IF($J136="","待填怪物等级",IF(OR($I136="",$Q136=""),"待填对照关卡",IF($P136="","已计算",IF(AND($Y136&lt;&gt;"",$Y136&lt;$X136),"生存不成立",IF($Z136&lt;0.5,"碾压",IF($Z136&lt;0.8,"偏简单",IF($Z136&lt;=1.2,"适中",IF($Z136&lt;=1.5,"偏难","过难"))))))))</f>
        <v/>
      </c>
      <c r="AB136">
        <f>IF($J136="","待填",IF(AND(ISNUMBER($J136),$J136&gt;=1,$J136&lt;=500,MOD($J136,1)=0),"有效","超范围"))</f>
        <v/>
      </c>
      <c r="AC136">
        <f>IF(C136&lt;&gt;C135,"新玩法组",IF(J136&gt;=J135,"不降","回退"))</f>
        <v/>
      </c>
      <c r="AD136" t="inlineStr">
        <is>
          <t>等效进度估算S278，非解锁/首通节点；旧Lv318→327｜2026-09-14 前20档定稿：等级327封平，K/L梯度 1.3459/1.1923（11档=难度10持平，20档EHP+45.6%）；难度10旧AE=832k为旧曲线残留（现反查已到满配边缘）。</t>
        </is>
      </c>
      <c r="AE136" s="4" t="n">
        <v>1600000</v>
      </c>
      <c r="AF136" s="4">
        <f>INDEX(_统一战力!$B$2:$B$501,J136)</f>
        <v/>
      </c>
    </row>
    <row r="137">
      <c r="A137" t="inlineStr">
        <is>
          <t>当前源表</t>
        </is>
      </c>
      <c r="B137" t="inlineStr">
        <is>
          <t>其他战斗玩法</t>
        </is>
      </c>
      <c r="C137" t="inlineStr">
        <is>
          <t>LevelType_GuilidBoss</t>
        </is>
      </c>
      <c r="D137" t="inlineStr">
        <is>
          <t>莫尔拉 难度20</t>
        </is>
      </c>
      <c r="E137" t="inlineStr">
        <is>
          <t>610120</t>
        </is>
      </c>
      <c r="F137" t="inlineStr">
        <is>
          <t>Boss</t>
        </is>
      </c>
      <c r="G137" t="n">
        <v>278</v>
      </c>
      <c r="I137">
        <f>IF($H137="",$G137,$H137)</f>
        <v/>
      </c>
      <c r="J137" t="n">
        <v>327</v>
      </c>
      <c r="K137" s="83" t="n">
        <v>1.3945</v>
      </c>
      <c r="L137" s="83" t="n">
        <v>1.1993</v>
      </c>
      <c r="M137" s="83" t="n">
        <v>1</v>
      </c>
      <c r="N137" t="n">
        <v>1</v>
      </c>
      <c r="O137" t="n">
        <v>1</v>
      </c>
      <c r="P137" s="17" t="n">
        <v>58.7862851553518</v>
      </c>
      <c r="Q137" s="21">
        <f>IF($I137="","",IFERROR(INDEX(_玩家曲线!$H$2:$H$286,MATCH($I137,_玩家曲线!$A$2:$A$286,0)),""))</f>
        <v/>
      </c>
      <c r="R137" s="21">
        <f>IF($I137="","",IFERROR(INDEX(_玩家曲线!$I$2:$I$286,MATCH($I137,_玩家曲线!$A$2:$A$286,0)),""))</f>
        <v/>
      </c>
      <c r="S137" s="21">
        <f>IF(OR($J137="",$F137="不适用"),"",IFERROR(INDEX(_怪物模型!$D$2:$D$4501,(INT($J137)-1)*ROWS(_怪物类型!$A$2:$A$10)+MATCH($F137,_怪物类型!$A$2:$A$10,0))*IF($K137="",1,$K137),""))</f>
        <v/>
      </c>
      <c r="T137" s="21">
        <f>IF(OR($J137="",$F137="不适用"),"",IFERROR(INDEX(_怪物模型!$E$2:$E$4501,(INT($J137)-1)*ROWS(_怪物类型!$A$2:$A$10)+MATCH($F137,_怪物类型!$A$2:$A$10,0))*IF($L137="",1,$L137),""))</f>
        <v/>
      </c>
      <c r="U137" s="21">
        <f>IF(OR($J137="",$F137="不适用"),"",IFERROR(INDEX(_怪物模型!$F$2:$F$4501,(INT($J137)-1)*ROWS(_怪物类型!$A$2:$A$10)+MATCH($F137,_怪物类型!$A$2:$A$10,0))*IF($M137="",1,$M137),""))</f>
        <v/>
      </c>
      <c r="V137" s="84">
        <f>IF($U137="","",MIN(0.75,$U137/($U137+24000)))</f>
        <v/>
      </c>
      <c r="W137" s="21">
        <f>IF($S137="","",$S137/(1-$V137)*IF($N137="",1,$N137))</f>
        <v/>
      </c>
      <c r="X137" s="17">
        <f>IF(OR($W137="",$Q137="",$Q137=0),"",$W137/$Q137)</f>
        <v/>
      </c>
      <c r="Y137" s="17">
        <f>IF(OR($R137="",$T137="",$T137=0),"",$R137/($T137*IF($O137="",1,$O137)))</f>
        <v/>
      </c>
      <c r="Z137" s="17">
        <f>IF(OR($X137="",$P137="",$P137=0),"",$X137/$P137)</f>
        <v/>
      </c>
      <c r="AA137">
        <f>IF($J137="","待填怪物等级",IF(OR($I137="",$Q137=""),"待填对照关卡",IF($P137="","已计算",IF(AND($Y137&lt;&gt;"",$Y137&lt;$X137),"生存不成立",IF($Z137&lt;0.5,"碾压",IF($Z137&lt;0.8,"偏简单",IF($Z137&lt;=1.2,"适中",IF($Z137&lt;=1.5,"偏难","过难"))))))))</f>
        <v/>
      </c>
      <c r="AB137">
        <f>IF($J137="","待填",IF(AND(ISNUMBER($J137),$J137&gt;=1,$J137&lt;=500,MOD($J137,1)=0),"有效","超范围"))</f>
        <v/>
      </c>
      <c r="AC137">
        <f>IF(C137&lt;&gt;C136,"新玩法组",IF(J137&gt;=J136,"不降","回退"))</f>
        <v/>
      </c>
      <c r="AD137" t="inlineStr">
        <is>
          <t>等效进度估算S278，非解锁/首通节点；旧Lv318→327｜2026-09-14 前20档定稿：等级327封平，K/L梯度 1.3945/1.1993（11档=难度10持平，20档EHP+45.6%）；难度10旧AE=832k为旧曲线残留（现反查已到满配边缘）。</t>
        </is>
      </c>
      <c r="AE137" s="4" t="n">
        <v>1600000</v>
      </c>
      <c r="AF137" s="4">
        <f>INDEX(_统一战力!$B$2:$B$501,J137)</f>
        <v/>
      </c>
    </row>
    <row r="138">
      <c r="A138" t="inlineStr">
        <is>
          <t>当前源表</t>
        </is>
      </c>
      <c r="B138" t="inlineStr">
        <is>
          <t>其他战斗玩法</t>
        </is>
      </c>
      <c r="C138" t="inlineStr">
        <is>
          <t>LevelType_GuilidBoss</t>
        </is>
      </c>
      <c r="D138" t="inlineStr">
        <is>
          <t>异变林猿 难度10</t>
        </is>
      </c>
      <c r="E138" t="inlineStr">
        <is>
          <t>610210</t>
        </is>
      </c>
      <c r="F138" t="inlineStr">
        <is>
          <t>Boss</t>
        </is>
      </c>
      <c r="G138" t="n">
        <v>278</v>
      </c>
      <c r="I138">
        <f>IF($H138="",$G138,$H138)</f>
        <v/>
      </c>
      <c r="J138" t="n">
        <v>327</v>
      </c>
      <c r="K138" s="83" t="n">
        <v>0.957089165688218</v>
      </c>
      <c r="L138" s="83" t="n">
        <v>1.13626378920316</v>
      </c>
      <c r="M138" s="83" t="n">
        <v>1</v>
      </c>
      <c r="N138" t="n">
        <v>1</v>
      </c>
      <c r="O138" t="n">
        <v>1</v>
      </c>
      <c r="P138" s="17" t="n">
        <v>58.7862851553518</v>
      </c>
      <c r="Q138" s="21">
        <f>IF($I138="","",IFERROR(INDEX(_玩家曲线!$H$2:$H$286,MATCH($I138,_玩家曲线!$A$2:$A$286,0)),""))</f>
        <v/>
      </c>
      <c r="R138" s="21">
        <f>IF($I138="","",IFERROR(INDEX(_玩家曲线!$I$2:$I$286,MATCH($I138,_玩家曲线!$A$2:$A$286,0)),""))</f>
        <v/>
      </c>
      <c r="S138" s="21">
        <f>IF(OR($J138="",$F138="不适用"),"",IFERROR(INDEX(_怪物模型!$D$2:$D$4501,(INT($J138)-1)*ROWS(_怪物类型!$A$2:$A$10)+MATCH($F138,_怪物类型!$A$2:$A$10,0))*IF($K138="",1,$K138),""))</f>
        <v/>
      </c>
      <c r="T138" s="21">
        <f>IF(OR($J138="",$F138="不适用"),"",IFERROR(INDEX(_怪物模型!$E$2:$E$4501,(INT($J138)-1)*ROWS(_怪物类型!$A$2:$A$10)+MATCH($F138,_怪物类型!$A$2:$A$10,0))*IF($L138="",1,$L138),""))</f>
        <v/>
      </c>
      <c r="U138" s="21">
        <f>IF(OR($J138="",$F138="不适用"),"",IFERROR(INDEX(_怪物模型!$F$2:$F$4501,(INT($J138)-1)*ROWS(_怪物类型!$A$2:$A$10)+MATCH($F138,_怪物类型!$A$2:$A$10,0))*IF($M138="",1,$M138),""))</f>
        <v/>
      </c>
      <c r="V138" s="84">
        <f>IF($U138="","",MIN(0.75,$U138/($U138+24000)))</f>
        <v/>
      </c>
      <c r="W138" s="21">
        <f>IF($S138="","",$S138/(1-$V138)*IF($N138="",1,$N138))</f>
        <v/>
      </c>
      <c r="X138" s="17">
        <f>IF(OR($W138="",$Q138="",$Q138=0),"",$W138/$Q138)</f>
        <v/>
      </c>
      <c r="Y138" s="17">
        <f>IF(OR($R138="",$T138="",$T138=0),"",$R138/($T138*IF($O138="",1,$O138)))</f>
        <v/>
      </c>
      <c r="Z138" s="17">
        <f>IF(OR($X138="",$P138="",$P138=0),"",$X138/$P138)</f>
        <v/>
      </c>
      <c r="AA138">
        <f>IF($J138="","待填怪物等级",IF(OR($I138="",$Q138=""),"待填对照关卡",IF($P138="","已计算",IF(AND($Y138&lt;&gt;"",$Y138&lt;$X138),"生存不成立",IF($Z138&lt;0.5,"碾压",IF($Z138&lt;0.8,"偏简单",IF($Z138&lt;=1.2,"适中",IF($Z138&lt;=1.5,"偏难","过难"))))))))</f>
        <v/>
      </c>
      <c r="AB138">
        <f>IF($J138="","待填",IF(AND(ISNUMBER($J138),$J138&gt;=1,$J138&lt;=500,MOD($J138,1)=0),"有效","超范围"))</f>
        <v/>
      </c>
      <c r="AC138">
        <f>IF(C138&lt;&gt;C137,"新玩法组",IF(J138&gt;=J137,"不降","回退"))</f>
        <v/>
      </c>
      <c r="AD138" t="inlineStr">
        <is>
          <t>等效进度估算S278，非解锁/首通节点；旧Lv318→327</t>
        </is>
      </c>
      <c r="AE138" s="4" t="n">
        <v>832000</v>
      </c>
      <c r="AF138" s="4">
        <f>INDEX(_统一战力!$B$2:$B$501,J138)</f>
        <v/>
      </c>
    </row>
    <row r="139">
      <c r="A139" t="inlineStr">
        <is>
          <t>当前源表</t>
        </is>
      </c>
      <c r="B139" t="inlineStr">
        <is>
          <t>其他战斗玩法</t>
        </is>
      </c>
      <c r="C139" t="inlineStr">
        <is>
          <t>LevelType_GuilidBoss</t>
        </is>
      </c>
      <c r="D139" t="inlineStr">
        <is>
          <t>异变林猿 难度11</t>
        </is>
      </c>
      <c r="E139" t="inlineStr">
        <is>
          <t>610211</t>
        </is>
      </c>
      <c r="F139" t="inlineStr">
        <is>
          <t>Boss</t>
        </is>
      </c>
      <c r="G139" t="n">
        <v>278</v>
      </c>
      <c r="I139">
        <f>IF($H139="",$G139,$H139)</f>
        <v/>
      </c>
      <c r="J139" t="n">
        <v>327</v>
      </c>
      <c r="K139" s="83" t="n">
        <v>0.9571</v>
      </c>
      <c r="L139" s="83" t="n">
        <v>1.1363</v>
      </c>
      <c r="M139" s="83" t="n">
        <v>1</v>
      </c>
      <c r="N139" t="n">
        <v>1</v>
      </c>
      <c r="O139" t="n">
        <v>1</v>
      </c>
      <c r="P139" s="17" t="n">
        <v>58.7862851553518</v>
      </c>
      <c r="Q139" s="21">
        <f>IF($I139="","",IFERROR(INDEX(_玩家曲线!$H$2:$H$286,MATCH($I139,_玩家曲线!$A$2:$A$286,0)),""))</f>
        <v/>
      </c>
      <c r="R139" s="21">
        <f>IF($I139="","",IFERROR(INDEX(_玩家曲线!$I$2:$I$286,MATCH($I139,_玩家曲线!$A$2:$A$286,0)),""))</f>
        <v/>
      </c>
      <c r="S139" s="21">
        <f>IF(OR($J139="",$F139="不适用"),"",IFERROR(INDEX(_怪物模型!$D$2:$D$4501,(INT($J139)-1)*ROWS(_怪物类型!$A$2:$A$10)+MATCH($F139,_怪物类型!$A$2:$A$10,0))*IF($K139="",1,$K139),""))</f>
        <v/>
      </c>
      <c r="T139" s="21">
        <f>IF(OR($J139="",$F139="不适用"),"",IFERROR(INDEX(_怪物模型!$E$2:$E$4501,(INT($J139)-1)*ROWS(_怪物类型!$A$2:$A$10)+MATCH($F139,_怪物类型!$A$2:$A$10,0))*IF($L139="",1,$L139),""))</f>
        <v/>
      </c>
      <c r="U139" s="21">
        <f>IF(OR($J139="",$F139="不适用"),"",IFERROR(INDEX(_怪物模型!$F$2:$F$4501,(INT($J139)-1)*ROWS(_怪物类型!$A$2:$A$10)+MATCH($F139,_怪物类型!$A$2:$A$10,0))*IF($M139="",1,$M139),""))</f>
        <v/>
      </c>
      <c r="V139" s="84">
        <f>IF($U139="","",MIN(0.75,$U139/($U139+24000)))</f>
        <v/>
      </c>
      <c r="W139" s="21">
        <f>IF($S139="","",$S139/(1-$V139)*IF($N139="",1,$N139))</f>
        <v/>
      </c>
      <c r="X139" s="17">
        <f>IF(OR($W139="",$Q139="",$Q139=0),"",$W139/$Q139)</f>
        <v/>
      </c>
      <c r="Y139" s="17">
        <f>IF(OR($R139="",$T139="",$T139=0),"",$R139/($T139*IF($O139="",1,$O139)))</f>
        <v/>
      </c>
      <c r="Z139" s="17">
        <f>IF(OR($X139="",$P139="",$P139=0),"",$X139/$P139)</f>
        <v/>
      </c>
      <c r="AA139">
        <f>IF($J139="","待填怪物等级",IF(OR($I139="",$Q139=""),"待填对照关卡",IF($P139="","已计算",IF(AND($Y139&lt;&gt;"",$Y139&lt;$X139),"生存不成立",IF($Z139&lt;0.5,"碾压",IF($Z139&lt;0.8,"偏简单",IF($Z139&lt;=1.2,"适中",IF($Z139&lt;=1.5,"偏难","过难"))))))))</f>
        <v/>
      </c>
      <c r="AB139">
        <f>IF($J139="","待填",IF(AND(ISNUMBER($J139),$J139&gt;=1,$J139&lt;=500,MOD($J139,1)=0),"有效","超范围"))</f>
        <v/>
      </c>
      <c r="AC139">
        <f>IF(C139&lt;&gt;C138,"新玩法组",IF(J139&gt;=J138,"不降","回退"))</f>
        <v/>
      </c>
      <c r="AD139" t="inlineStr">
        <is>
          <t>等效进度估算S278，非解锁/首通节点；旧Lv318→327｜2026-09-14 前20档定稿：等级327封平，K/L梯度 0.9571/1.1363（11档=难度10持平，20档EHP+45.6%）；难度10旧AE=832k为旧曲线残留（现反查已到满配边缘）。</t>
        </is>
      </c>
      <c r="AE139" s="4" t="n">
        <v>1580000</v>
      </c>
      <c r="AF139" s="4">
        <f>INDEX(_统一战力!$B$2:$B$501,J139)</f>
        <v/>
      </c>
    </row>
    <row r="140">
      <c r="A140" t="inlineStr">
        <is>
          <t>当前源表</t>
        </is>
      </c>
      <c r="B140" t="inlineStr">
        <is>
          <t>其他战斗玩法</t>
        </is>
      </c>
      <c r="C140" t="inlineStr">
        <is>
          <t>LevelType_GuilidBoss</t>
        </is>
      </c>
      <c r="D140" t="inlineStr">
        <is>
          <t>异变林猿 难度12</t>
        </is>
      </c>
      <c r="E140" t="inlineStr">
        <is>
          <t>610212</t>
        </is>
      </c>
      <c r="F140" t="inlineStr">
        <is>
          <t>Boss</t>
        </is>
      </c>
      <c r="G140" t="n">
        <v>278</v>
      </c>
      <c r="I140">
        <f>IF($H140="",$G140,$H140)</f>
        <v/>
      </c>
      <c r="J140" t="n">
        <v>327</v>
      </c>
      <c r="K140" s="83" t="n">
        <v>1.0057</v>
      </c>
      <c r="L140" s="83" t="n">
        <v>1.1433</v>
      </c>
      <c r="M140" s="83" t="n">
        <v>1</v>
      </c>
      <c r="N140" t="n">
        <v>1</v>
      </c>
      <c r="O140" t="n">
        <v>1</v>
      </c>
      <c r="P140" s="17" t="n">
        <v>58.7862851553518</v>
      </c>
      <c r="Q140" s="21">
        <f>IF($I140="","",IFERROR(INDEX(_玩家曲线!$H$2:$H$286,MATCH($I140,_玩家曲线!$A$2:$A$286,0)),""))</f>
        <v/>
      </c>
      <c r="R140" s="21">
        <f>IF($I140="","",IFERROR(INDEX(_玩家曲线!$I$2:$I$286,MATCH($I140,_玩家曲线!$A$2:$A$286,0)),""))</f>
        <v/>
      </c>
      <c r="S140" s="21">
        <f>IF(OR($J140="",$F140="不适用"),"",IFERROR(INDEX(_怪物模型!$D$2:$D$4501,(INT($J140)-1)*ROWS(_怪物类型!$A$2:$A$10)+MATCH($F140,_怪物类型!$A$2:$A$10,0))*IF($K140="",1,$K140),""))</f>
        <v/>
      </c>
      <c r="T140" s="21">
        <f>IF(OR($J140="",$F140="不适用"),"",IFERROR(INDEX(_怪物模型!$E$2:$E$4501,(INT($J140)-1)*ROWS(_怪物类型!$A$2:$A$10)+MATCH($F140,_怪物类型!$A$2:$A$10,0))*IF($L140="",1,$L140),""))</f>
        <v/>
      </c>
      <c r="U140" s="21">
        <f>IF(OR($J140="",$F140="不适用"),"",IFERROR(INDEX(_怪物模型!$F$2:$F$4501,(INT($J140)-1)*ROWS(_怪物类型!$A$2:$A$10)+MATCH($F140,_怪物类型!$A$2:$A$10,0))*IF($M140="",1,$M140),""))</f>
        <v/>
      </c>
      <c r="V140" s="84">
        <f>IF($U140="","",MIN(0.75,$U140/($U140+24000)))</f>
        <v/>
      </c>
      <c r="W140" s="21">
        <f>IF($S140="","",$S140/(1-$V140)*IF($N140="",1,$N140))</f>
        <v/>
      </c>
      <c r="X140" s="17">
        <f>IF(OR($W140="",$Q140="",$Q140=0),"",$W140/$Q140)</f>
        <v/>
      </c>
      <c r="Y140" s="17">
        <f>IF(OR($R140="",$T140="",$T140=0),"",$R140/($T140*IF($O140="",1,$O140)))</f>
        <v/>
      </c>
      <c r="Z140" s="17">
        <f>IF(OR($X140="",$P140="",$P140=0),"",$X140/$P140)</f>
        <v/>
      </c>
      <c r="AA140">
        <f>IF($J140="","待填怪物等级",IF(OR($I140="",$Q140=""),"待填对照关卡",IF($P140="","已计算",IF(AND($Y140&lt;&gt;"",$Y140&lt;$X140),"生存不成立",IF($Z140&lt;0.5,"碾压",IF($Z140&lt;0.8,"偏简单",IF($Z140&lt;=1.2,"适中",IF($Z140&lt;=1.5,"偏难","过难"))))))))</f>
        <v/>
      </c>
      <c r="AB140">
        <f>IF($J140="","待填",IF(AND(ISNUMBER($J140),$J140&gt;=1,$J140&lt;=500,MOD($J140,1)=0),"有效","超范围"))</f>
        <v/>
      </c>
      <c r="AC140">
        <f>IF(C140&lt;&gt;C139,"新玩法组",IF(J140&gt;=J139,"不降","回退"))</f>
        <v/>
      </c>
      <c r="AD140" t="inlineStr">
        <is>
          <t>等效进度估算S278，非解锁/首通节点；旧Lv318→327｜2026-09-14 前20档定稿：等级327封平，K/L梯度 1.0057/1.1433（11档=难度10持平，20档EHP+45.6%）；难度10旧AE=832k为旧曲线残留（现反查已到满配边缘）。</t>
        </is>
      </c>
      <c r="AE140" s="4" t="n">
        <v>1600000</v>
      </c>
      <c r="AF140" s="4">
        <f>INDEX(_统一战力!$B$2:$B$501,J140)</f>
        <v/>
      </c>
    </row>
    <row r="141">
      <c r="A141" t="inlineStr">
        <is>
          <t>当前源表</t>
        </is>
      </c>
      <c r="B141" t="inlineStr">
        <is>
          <t>其他战斗玩法</t>
        </is>
      </c>
      <c r="C141" t="inlineStr">
        <is>
          <t>LevelType_GuilidBoss</t>
        </is>
      </c>
      <c r="D141" t="inlineStr">
        <is>
          <t>异变林猿 难度13</t>
        </is>
      </c>
      <c r="E141" t="inlineStr">
        <is>
          <t>610213</t>
        </is>
      </c>
      <c r="F141" t="inlineStr">
        <is>
          <t>Boss</t>
        </is>
      </c>
      <c r="G141" t="n">
        <v>278</v>
      </c>
      <c r="I141">
        <f>IF($H141="",$G141,$H141)</f>
        <v/>
      </c>
      <c r="J141" t="n">
        <v>327</v>
      </c>
      <c r="K141" s="83" t="n">
        <v>1.0543</v>
      </c>
      <c r="L141" s="83" t="n">
        <v>1.1503</v>
      </c>
      <c r="M141" s="83" t="n">
        <v>1</v>
      </c>
      <c r="N141" t="n">
        <v>1</v>
      </c>
      <c r="O141" t="n">
        <v>1</v>
      </c>
      <c r="P141" s="17" t="n">
        <v>58.7862851553518</v>
      </c>
      <c r="Q141" s="21">
        <f>IF($I141="","",IFERROR(INDEX(_玩家曲线!$H$2:$H$286,MATCH($I141,_玩家曲线!$A$2:$A$286,0)),""))</f>
        <v/>
      </c>
      <c r="R141" s="21">
        <f>IF($I141="","",IFERROR(INDEX(_玩家曲线!$I$2:$I$286,MATCH($I141,_玩家曲线!$A$2:$A$286,0)),""))</f>
        <v/>
      </c>
      <c r="S141" s="21">
        <f>IF(OR($J141="",$F141="不适用"),"",IFERROR(INDEX(_怪物模型!$D$2:$D$4501,(INT($J141)-1)*ROWS(_怪物类型!$A$2:$A$10)+MATCH($F141,_怪物类型!$A$2:$A$10,0))*IF($K141="",1,$K141),""))</f>
        <v/>
      </c>
      <c r="T141" s="21">
        <f>IF(OR($J141="",$F141="不适用"),"",IFERROR(INDEX(_怪物模型!$E$2:$E$4501,(INT($J141)-1)*ROWS(_怪物类型!$A$2:$A$10)+MATCH($F141,_怪物类型!$A$2:$A$10,0))*IF($L141="",1,$L141),""))</f>
        <v/>
      </c>
      <c r="U141" s="21">
        <f>IF(OR($J141="",$F141="不适用"),"",IFERROR(INDEX(_怪物模型!$F$2:$F$4501,(INT($J141)-1)*ROWS(_怪物类型!$A$2:$A$10)+MATCH($F141,_怪物类型!$A$2:$A$10,0))*IF($M141="",1,$M141),""))</f>
        <v/>
      </c>
      <c r="V141" s="84">
        <f>IF($U141="","",MIN(0.75,$U141/($U141+24000)))</f>
        <v/>
      </c>
      <c r="W141" s="21">
        <f>IF($S141="","",$S141/(1-$V141)*IF($N141="",1,$N141))</f>
        <v/>
      </c>
      <c r="X141" s="17">
        <f>IF(OR($W141="",$Q141="",$Q141=0),"",$W141/$Q141)</f>
        <v/>
      </c>
      <c r="Y141" s="17">
        <f>IF(OR($R141="",$T141="",$T141=0),"",$R141/($T141*IF($O141="",1,$O141)))</f>
        <v/>
      </c>
      <c r="Z141" s="17">
        <f>IF(OR($X141="",$P141="",$P141=0),"",$X141/$P141)</f>
        <v/>
      </c>
      <c r="AA141">
        <f>IF($J141="","待填怪物等级",IF(OR($I141="",$Q141=""),"待填对照关卡",IF($P141="","已计算",IF(AND($Y141&lt;&gt;"",$Y141&lt;$X141),"生存不成立",IF($Z141&lt;0.5,"碾压",IF($Z141&lt;0.8,"偏简单",IF($Z141&lt;=1.2,"适中",IF($Z141&lt;=1.5,"偏难","过难"))))))))</f>
        <v/>
      </c>
      <c r="AB141">
        <f>IF($J141="","待填",IF(AND(ISNUMBER($J141),$J141&gt;=1,$J141&lt;=500,MOD($J141,1)=0),"有效","超范围"))</f>
        <v/>
      </c>
      <c r="AC141">
        <f>IF(C141&lt;&gt;C140,"新玩法组",IF(J141&gt;=J140,"不降","回退"))</f>
        <v/>
      </c>
      <c r="AD141" t="inlineStr">
        <is>
          <t>等效进度估算S278，非解锁/首通节点；旧Lv318→327｜2026-09-14 前20档定稿：等级327封平，K/L梯度 1.0543/1.1503（11档=难度10持平，20档EHP+45.6%）；难度10旧AE=832k为旧曲线残留（现反查已到满配边缘）。</t>
        </is>
      </c>
      <c r="AE141" s="4" t="n">
        <v>1600000</v>
      </c>
      <c r="AF141" s="4">
        <f>INDEX(_统一战力!$B$2:$B$501,J141)</f>
        <v/>
      </c>
    </row>
    <row r="142">
      <c r="A142" t="inlineStr">
        <is>
          <t>当前源表</t>
        </is>
      </c>
      <c r="B142" t="inlineStr">
        <is>
          <t>其他战斗玩法</t>
        </is>
      </c>
      <c r="C142" t="inlineStr">
        <is>
          <t>LevelType_GuilidBoss</t>
        </is>
      </c>
      <c r="D142" t="inlineStr">
        <is>
          <t>异变林猿 难度14</t>
        </is>
      </c>
      <c r="E142" t="inlineStr">
        <is>
          <t>610214</t>
        </is>
      </c>
      <c r="F142" t="inlineStr">
        <is>
          <t>Boss</t>
        </is>
      </c>
      <c r="G142" t="n">
        <v>278</v>
      </c>
      <c r="I142">
        <f>IF($H142="",$G142,$H142)</f>
        <v/>
      </c>
      <c r="J142" t="n">
        <v>327</v>
      </c>
      <c r="K142" s="83" t="n">
        <v>1.1029</v>
      </c>
      <c r="L142" s="83" t="n">
        <v>1.1573</v>
      </c>
      <c r="M142" s="83" t="n">
        <v>1</v>
      </c>
      <c r="N142" t="n">
        <v>1</v>
      </c>
      <c r="O142" t="n">
        <v>1</v>
      </c>
      <c r="P142" s="17" t="n">
        <v>58.7862851553518</v>
      </c>
      <c r="Q142" s="21">
        <f>IF($I142="","",IFERROR(INDEX(_玩家曲线!$H$2:$H$286,MATCH($I142,_玩家曲线!$A$2:$A$286,0)),""))</f>
        <v/>
      </c>
      <c r="R142" s="21">
        <f>IF($I142="","",IFERROR(INDEX(_玩家曲线!$I$2:$I$286,MATCH($I142,_玩家曲线!$A$2:$A$286,0)),""))</f>
        <v/>
      </c>
      <c r="S142" s="21">
        <f>IF(OR($J142="",$F142="不适用"),"",IFERROR(INDEX(_怪物模型!$D$2:$D$4501,(INT($J142)-1)*ROWS(_怪物类型!$A$2:$A$10)+MATCH($F142,_怪物类型!$A$2:$A$10,0))*IF($K142="",1,$K142),""))</f>
        <v/>
      </c>
      <c r="T142" s="21">
        <f>IF(OR($J142="",$F142="不适用"),"",IFERROR(INDEX(_怪物模型!$E$2:$E$4501,(INT($J142)-1)*ROWS(_怪物类型!$A$2:$A$10)+MATCH($F142,_怪物类型!$A$2:$A$10,0))*IF($L142="",1,$L142),""))</f>
        <v/>
      </c>
      <c r="U142" s="21">
        <f>IF(OR($J142="",$F142="不适用"),"",IFERROR(INDEX(_怪物模型!$F$2:$F$4501,(INT($J142)-1)*ROWS(_怪物类型!$A$2:$A$10)+MATCH($F142,_怪物类型!$A$2:$A$10,0))*IF($M142="",1,$M142),""))</f>
        <v/>
      </c>
      <c r="V142" s="84">
        <f>IF($U142="","",MIN(0.75,$U142/($U142+24000)))</f>
        <v/>
      </c>
      <c r="W142" s="21">
        <f>IF($S142="","",$S142/(1-$V142)*IF($N142="",1,$N142))</f>
        <v/>
      </c>
      <c r="X142" s="17">
        <f>IF(OR($W142="",$Q142="",$Q142=0),"",$W142/$Q142)</f>
        <v/>
      </c>
      <c r="Y142" s="17">
        <f>IF(OR($R142="",$T142="",$T142=0),"",$R142/($T142*IF($O142="",1,$O142)))</f>
        <v/>
      </c>
      <c r="Z142" s="17">
        <f>IF(OR($X142="",$P142="",$P142=0),"",$X142/$P142)</f>
        <v/>
      </c>
      <c r="AA142">
        <f>IF($J142="","待填怪物等级",IF(OR($I142="",$Q142=""),"待填对照关卡",IF($P142="","已计算",IF(AND($Y142&lt;&gt;"",$Y142&lt;$X142),"生存不成立",IF($Z142&lt;0.5,"碾压",IF($Z142&lt;0.8,"偏简单",IF($Z142&lt;=1.2,"适中",IF($Z142&lt;=1.5,"偏难","过难"))))))))</f>
        <v/>
      </c>
      <c r="AB142">
        <f>IF($J142="","待填",IF(AND(ISNUMBER($J142),$J142&gt;=1,$J142&lt;=500,MOD($J142,1)=0),"有效","超范围"))</f>
        <v/>
      </c>
      <c r="AC142">
        <f>IF(C142&lt;&gt;C141,"新玩法组",IF(J142&gt;=J141,"不降","回退"))</f>
        <v/>
      </c>
      <c r="AD142" t="inlineStr">
        <is>
          <t>等效进度估算S278，非解锁/首通节点；旧Lv318→327｜2026-09-14 前20档定稿：等级327封平，K/L梯度 1.1029/1.1573（11档=难度10持平，20档EHP+45.6%）；难度10旧AE=832k为旧曲线残留（现反查已到满配边缘）。</t>
        </is>
      </c>
      <c r="AE142" s="4" t="n">
        <v>1600000</v>
      </c>
      <c r="AF142" s="4">
        <f>INDEX(_统一战力!$B$2:$B$501,J142)</f>
        <v/>
      </c>
    </row>
    <row r="143">
      <c r="A143" t="inlineStr">
        <is>
          <t>当前源表</t>
        </is>
      </c>
      <c r="B143" t="inlineStr">
        <is>
          <t>其他战斗玩法</t>
        </is>
      </c>
      <c r="C143" t="inlineStr">
        <is>
          <t>LevelType_GuilidBoss</t>
        </is>
      </c>
      <c r="D143" t="inlineStr">
        <is>
          <t>异变林猿 难度15</t>
        </is>
      </c>
      <c r="E143" t="inlineStr">
        <is>
          <t>610215</t>
        </is>
      </c>
      <c r="F143" t="inlineStr">
        <is>
          <t>Boss</t>
        </is>
      </c>
      <c r="G143" t="n">
        <v>278</v>
      </c>
      <c r="I143">
        <f>IF($H143="",$G143,$H143)</f>
        <v/>
      </c>
      <c r="J143" t="n">
        <v>327</v>
      </c>
      <c r="K143" s="83" t="n">
        <v>1.1515</v>
      </c>
      <c r="L143" s="83" t="n">
        <v>1.1643</v>
      </c>
      <c r="M143" s="83" t="n">
        <v>1</v>
      </c>
      <c r="N143" t="n">
        <v>1</v>
      </c>
      <c r="O143" t="n">
        <v>1</v>
      </c>
      <c r="P143" s="17" t="n">
        <v>58.7862851553518</v>
      </c>
      <c r="Q143" s="21">
        <f>IF($I143="","",IFERROR(INDEX(_玩家曲线!$H$2:$H$286,MATCH($I143,_玩家曲线!$A$2:$A$286,0)),""))</f>
        <v/>
      </c>
      <c r="R143" s="21">
        <f>IF($I143="","",IFERROR(INDEX(_玩家曲线!$I$2:$I$286,MATCH($I143,_玩家曲线!$A$2:$A$286,0)),""))</f>
        <v/>
      </c>
      <c r="S143" s="21">
        <f>IF(OR($J143="",$F143="不适用"),"",IFERROR(INDEX(_怪物模型!$D$2:$D$4501,(INT($J143)-1)*ROWS(_怪物类型!$A$2:$A$10)+MATCH($F143,_怪物类型!$A$2:$A$10,0))*IF($K143="",1,$K143),""))</f>
        <v/>
      </c>
      <c r="T143" s="21">
        <f>IF(OR($J143="",$F143="不适用"),"",IFERROR(INDEX(_怪物模型!$E$2:$E$4501,(INT($J143)-1)*ROWS(_怪物类型!$A$2:$A$10)+MATCH($F143,_怪物类型!$A$2:$A$10,0))*IF($L143="",1,$L143),""))</f>
        <v/>
      </c>
      <c r="U143" s="21">
        <f>IF(OR($J143="",$F143="不适用"),"",IFERROR(INDEX(_怪物模型!$F$2:$F$4501,(INT($J143)-1)*ROWS(_怪物类型!$A$2:$A$10)+MATCH($F143,_怪物类型!$A$2:$A$10,0))*IF($M143="",1,$M143),""))</f>
        <v/>
      </c>
      <c r="V143" s="84">
        <f>IF($U143="","",MIN(0.75,$U143/($U143+24000)))</f>
        <v/>
      </c>
      <c r="W143" s="21">
        <f>IF($S143="","",$S143/(1-$V143)*IF($N143="",1,$N143))</f>
        <v/>
      </c>
      <c r="X143" s="17">
        <f>IF(OR($W143="",$Q143="",$Q143=0),"",$W143/$Q143)</f>
        <v/>
      </c>
      <c r="Y143" s="17">
        <f>IF(OR($R143="",$T143="",$T143=0),"",$R143/($T143*IF($O143="",1,$O143)))</f>
        <v/>
      </c>
      <c r="Z143" s="17">
        <f>IF(OR($X143="",$P143="",$P143=0),"",$X143/$P143)</f>
        <v/>
      </c>
      <c r="AA143">
        <f>IF($J143="","待填怪物等级",IF(OR($I143="",$Q143=""),"待填对照关卡",IF($P143="","已计算",IF(AND($Y143&lt;&gt;"",$Y143&lt;$X143),"生存不成立",IF($Z143&lt;0.5,"碾压",IF($Z143&lt;0.8,"偏简单",IF($Z143&lt;=1.2,"适中",IF($Z143&lt;=1.5,"偏难","过难"))))))))</f>
        <v/>
      </c>
      <c r="AB143">
        <f>IF($J143="","待填",IF(AND(ISNUMBER($J143),$J143&gt;=1,$J143&lt;=500,MOD($J143,1)=0),"有效","超范围"))</f>
        <v/>
      </c>
      <c r="AC143">
        <f>IF(C143&lt;&gt;C142,"新玩法组",IF(J143&gt;=J142,"不降","回退"))</f>
        <v/>
      </c>
      <c r="AD143" t="inlineStr">
        <is>
          <t>等效进度估算S278，非解锁/首通节点；旧Lv318→327｜2026-09-14 前20档定稿：等级327封平，K/L梯度 1.1515/1.1643（11档=难度10持平，20档EHP+45.6%）；难度10旧AE=832k为旧曲线残留（现反查已到满配边缘）。</t>
        </is>
      </c>
      <c r="AE143" s="4" t="n">
        <v>1600000</v>
      </c>
      <c r="AF143" s="4">
        <f>INDEX(_统一战力!$B$2:$B$501,J143)</f>
        <v/>
      </c>
    </row>
    <row r="144">
      <c r="A144" t="inlineStr">
        <is>
          <t>当前源表</t>
        </is>
      </c>
      <c r="B144" t="inlineStr">
        <is>
          <t>其他战斗玩法</t>
        </is>
      </c>
      <c r="C144" t="inlineStr">
        <is>
          <t>LevelType_GuilidBoss</t>
        </is>
      </c>
      <c r="D144" t="inlineStr">
        <is>
          <t>异变林猿 难度16</t>
        </is>
      </c>
      <c r="E144" t="inlineStr">
        <is>
          <t>610216</t>
        </is>
      </c>
      <c r="F144" t="inlineStr">
        <is>
          <t>Boss</t>
        </is>
      </c>
      <c r="G144" t="n">
        <v>278</v>
      </c>
      <c r="I144">
        <f>IF($H144="",$G144,$H144)</f>
        <v/>
      </c>
      <c r="J144" t="n">
        <v>327</v>
      </c>
      <c r="K144" s="83" t="n">
        <v>1.2001</v>
      </c>
      <c r="L144" s="83" t="n">
        <v>1.1713</v>
      </c>
      <c r="M144" s="83" t="n">
        <v>1</v>
      </c>
      <c r="N144" t="n">
        <v>1</v>
      </c>
      <c r="O144" t="n">
        <v>1</v>
      </c>
      <c r="P144" s="17" t="n">
        <v>58.7862851553518</v>
      </c>
      <c r="Q144" s="21">
        <f>IF($I144="","",IFERROR(INDEX(_玩家曲线!$H$2:$H$286,MATCH($I144,_玩家曲线!$A$2:$A$286,0)),""))</f>
        <v/>
      </c>
      <c r="R144" s="21">
        <f>IF($I144="","",IFERROR(INDEX(_玩家曲线!$I$2:$I$286,MATCH($I144,_玩家曲线!$A$2:$A$286,0)),""))</f>
        <v/>
      </c>
      <c r="S144" s="21">
        <f>IF(OR($J144="",$F144="不适用"),"",IFERROR(INDEX(_怪物模型!$D$2:$D$4501,(INT($J144)-1)*ROWS(_怪物类型!$A$2:$A$10)+MATCH($F144,_怪物类型!$A$2:$A$10,0))*IF($K144="",1,$K144),""))</f>
        <v/>
      </c>
      <c r="T144" s="21">
        <f>IF(OR($J144="",$F144="不适用"),"",IFERROR(INDEX(_怪物模型!$E$2:$E$4501,(INT($J144)-1)*ROWS(_怪物类型!$A$2:$A$10)+MATCH($F144,_怪物类型!$A$2:$A$10,0))*IF($L144="",1,$L144),""))</f>
        <v/>
      </c>
      <c r="U144" s="21">
        <f>IF(OR($J144="",$F144="不适用"),"",IFERROR(INDEX(_怪物模型!$F$2:$F$4501,(INT($J144)-1)*ROWS(_怪物类型!$A$2:$A$10)+MATCH($F144,_怪物类型!$A$2:$A$10,0))*IF($M144="",1,$M144),""))</f>
        <v/>
      </c>
      <c r="V144" s="84">
        <f>IF($U144="","",MIN(0.75,$U144/($U144+24000)))</f>
        <v/>
      </c>
      <c r="W144" s="21">
        <f>IF($S144="","",$S144/(1-$V144)*IF($N144="",1,$N144))</f>
        <v/>
      </c>
      <c r="X144" s="17">
        <f>IF(OR($W144="",$Q144="",$Q144=0),"",$W144/$Q144)</f>
        <v/>
      </c>
      <c r="Y144" s="17">
        <f>IF(OR($R144="",$T144="",$T144=0),"",$R144/($T144*IF($O144="",1,$O144)))</f>
        <v/>
      </c>
      <c r="Z144" s="17">
        <f>IF(OR($X144="",$P144="",$P144=0),"",$X144/$P144)</f>
        <v/>
      </c>
      <c r="AA144">
        <f>IF($J144="","待填怪物等级",IF(OR($I144="",$Q144=""),"待填对照关卡",IF($P144="","已计算",IF(AND($Y144&lt;&gt;"",$Y144&lt;$X144),"生存不成立",IF($Z144&lt;0.5,"碾压",IF($Z144&lt;0.8,"偏简单",IF($Z144&lt;=1.2,"适中",IF($Z144&lt;=1.5,"偏难","过难"))))))))</f>
        <v/>
      </c>
      <c r="AB144">
        <f>IF($J144="","待填",IF(AND(ISNUMBER($J144),$J144&gt;=1,$J144&lt;=500,MOD($J144,1)=0),"有效","超范围"))</f>
        <v/>
      </c>
      <c r="AC144">
        <f>IF(C144&lt;&gt;C143,"新玩法组",IF(J144&gt;=J143,"不降","回退"))</f>
        <v/>
      </c>
      <c r="AD144" t="inlineStr">
        <is>
          <t>等效进度估算S278，非解锁/首通节点；旧Lv318→327｜2026-09-14 前20档定稿：等级327封平，K/L梯度 1.2001/1.1713（11档=难度10持平，20档EHP+45.6%）；难度10旧AE=832k为旧曲线残留（现反查已到满配边缘）。</t>
        </is>
      </c>
      <c r="AE144" s="4" t="n">
        <v>1600000</v>
      </c>
      <c r="AF144" s="4">
        <f>INDEX(_统一战力!$B$2:$B$501,J144)</f>
        <v/>
      </c>
    </row>
    <row r="145">
      <c r="A145" t="inlineStr">
        <is>
          <t>当前源表</t>
        </is>
      </c>
      <c r="B145" t="inlineStr">
        <is>
          <t>其他战斗玩法</t>
        </is>
      </c>
      <c r="C145" t="inlineStr">
        <is>
          <t>LevelType_GuilidBoss</t>
        </is>
      </c>
      <c r="D145" t="inlineStr">
        <is>
          <t>异变林猿 难度17</t>
        </is>
      </c>
      <c r="E145" t="inlineStr">
        <is>
          <t>610217</t>
        </is>
      </c>
      <c r="F145" t="inlineStr">
        <is>
          <t>Boss</t>
        </is>
      </c>
      <c r="G145" t="n">
        <v>278</v>
      </c>
      <c r="I145">
        <f>IF($H145="",$G145,$H145)</f>
        <v/>
      </c>
      <c r="J145" t="n">
        <v>327</v>
      </c>
      <c r="K145" s="83" t="n">
        <v>1.2487</v>
      </c>
      <c r="L145" s="83" t="n">
        <v>1.1783</v>
      </c>
      <c r="M145" s="83" t="n">
        <v>1</v>
      </c>
      <c r="N145" t="n">
        <v>1</v>
      </c>
      <c r="O145" t="n">
        <v>1</v>
      </c>
      <c r="P145" s="17" t="n">
        <v>58.7862851553518</v>
      </c>
      <c r="Q145" s="21">
        <f>IF($I145="","",IFERROR(INDEX(_玩家曲线!$H$2:$H$286,MATCH($I145,_玩家曲线!$A$2:$A$286,0)),""))</f>
        <v/>
      </c>
      <c r="R145" s="21">
        <f>IF($I145="","",IFERROR(INDEX(_玩家曲线!$I$2:$I$286,MATCH($I145,_玩家曲线!$A$2:$A$286,0)),""))</f>
        <v/>
      </c>
      <c r="S145" s="21">
        <f>IF(OR($J145="",$F145="不适用"),"",IFERROR(INDEX(_怪物模型!$D$2:$D$4501,(INT($J145)-1)*ROWS(_怪物类型!$A$2:$A$10)+MATCH($F145,_怪物类型!$A$2:$A$10,0))*IF($K145="",1,$K145),""))</f>
        <v/>
      </c>
      <c r="T145" s="21">
        <f>IF(OR($J145="",$F145="不适用"),"",IFERROR(INDEX(_怪物模型!$E$2:$E$4501,(INT($J145)-1)*ROWS(_怪物类型!$A$2:$A$10)+MATCH($F145,_怪物类型!$A$2:$A$10,0))*IF($L145="",1,$L145),""))</f>
        <v/>
      </c>
      <c r="U145" s="21">
        <f>IF(OR($J145="",$F145="不适用"),"",IFERROR(INDEX(_怪物模型!$F$2:$F$4501,(INT($J145)-1)*ROWS(_怪物类型!$A$2:$A$10)+MATCH($F145,_怪物类型!$A$2:$A$10,0))*IF($M145="",1,$M145),""))</f>
        <v/>
      </c>
      <c r="V145" s="84">
        <f>IF($U145="","",MIN(0.75,$U145/($U145+24000)))</f>
        <v/>
      </c>
      <c r="W145" s="21">
        <f>IF($S145="","",$S145/(1-$V145)*IF($N145="",1,$N145))</f>
        <v/>
      </c>
      <c r="X145" s="17">
        <f>IF(OR($W145="",$Q145="",$Q145=0),"",$W145/$Q145)</f>
        <v/>
      </c>
      <c r="Y145" s="17">
        <f>IF(OR($R145="",$T145="",$T145=0),"",$R145/($T145*IF($O145="",1,$O145)))</f>
        <v/>
      </c>
      <c r="Z145" s="17">
        <f>IF(OR($X145="",$P145="",$P145=0),"",$X145/$P145)</f>
        <v/>
      </c>
      <c r="AA145">
        <f>IF($J145="","待填怪物等级",IF(OR($I145="",$Q145=""),"待填对照关卡",IF($P145="","已计算",IF(AND($Y145&lt;&gt;"",$Y145&lt;$X145),"生存不成立",IF($Z145&lt;0.5,"碾压",IF($Z145&lt;0.8,"偏简单",IF($Z145&lt;=1.2,"适中",IF($Z145&lt;=1.5,"偏难","过难"))))))))</f>
        <v/>
      </c>
      <c r="AB145">
        <f>IF($J145="","待填",IF(AND(ISNUMBER($J145),$J145&gt;=1,$J145&lt;=500,MOD($J145,1)=0),"有效","超范围"))</f>
        <v/>
      </c>
      <c r="AC145">
        <f>IF(C145&lt;&gt;C144,"新玩法组",IF(J145&gt;=J144,"不降","回退"))</f>
        <v/>
      </c>
      <c r="AD145" t="inlineStr">
        <is>
          <t>等效进度估算S278，非解锁/首通节点；旧Lv318→327｜2026-09-14 前20档定稿：等级327封平，K/L梯度 1.2487/1.1783（11档=难度10持平，20档EHP+45.6%）；难度10旧AE=832k为旧曲线残留（现反查已到满配边缘）。</t>
        </is>
      </c>
      <c r="AE145" s="4" t="n">
        <v>1600000</v>
      </c>
      <c r="AF145" s="4">
        <f>INDEX(_统一战力!$B$2:$B$501,J145)</f>
        <v/>
      </c>
    </row>
    <row r="146">
      <c r="A146" t="inlineStr">
        <is>
          <t>当前源表</t>
        </is>
      </c>
      <c r="B146" t="inlineStr">
        <is>
          <t>其他战斗玩法</t>
        </is>
      </c>
      <c r="C146" t="inlineStr">
        <is>
          <t>LevelType_GuilidBoss</t>
        </is>
      </c>
      <c r="D146" t="inlineStr">
        <is>
          <t>异变林猿 难度18</t>
        </is>
      </c>
      <c r="E146" t="inlineStr">
        <is>
          <t>610218</t>
        </is>
      </c>
      <c r="F146" t="inlineStr">
        <is>
          <t>Boss</t>
        </is>
      </c>
      <c r="G146" t="n">
        <v>278</v>
      </c>
      <c r="I146">
        <f>IF($H146="",$G146,$H146)</f>
        <v/>
      </c>
      <c r="J146" t="n">
        <v>327</v>
      </c>
      <c r="K146" s="83" t="n">
        <v>1.2973</v>
      </c>
      <c r="L146" s="83" t="n">
        <v>1.1853</v>
      </c>
      <c r="M146" s="83" t="n">
        <v>1</v>
      </c>
      <c r="N146" t="n">
        <v>1</v>
      </c>
      <c r="O146" t="n">
        <v>1</v>
      </c>
      <c r="P146" s="17" t="n">
        <v>58.7862851553518</v>
      </c>
      <c r="Q146" s="21">
        <f>IF($I146="","",IFERROR(INDEX(_玩家曲线!$H$2:$H$286,MATCH($I146,_玩家曲线!$A$2:$A$286,0)),""))</f>
        <v/>
      </c>
      <c r="R146" s="21">
        <f>IF($I146="","",IFERROR(INDEX(_玩家曲线!$I$2:$I$286,MATCH($I146,_玩家曲线!$A$2:$A$286,0)),""))</f>
        <v/>
      </c>
      <c r="S146" s="21">
        <f>IF(OR($J146="",$F146="不适用"),"",IFERROR(INDEX(_怪物模型!$D$2:$D$4501,(INT($J146)-1)*ROWS(_怪物类型!$A$2:$A$10)+MATCH($F146,_怪物类型!$A$2:$A$10,0))*IF($K146="",1,$K146),""))</f>
        <v/>
      </c>
      <c r="T146" s="21">
        <f>IF(OR($J146="",$F146="不适用"),"",IFERROR(INDEX(_怪物模型!$E$2:$E$4501,(INT($J146)-1)*ROWS(_怪物类型!$A$2:$A$10)+MATCH($F146,_怪物类型!$A$2:$A$10,0))*IF($L146="",1,$L146),""))</f>
        <v/>
      </c>
      <c r="U146" s="21">
        <f>IF(OR($J146="",$F146="不适用"),"",IFERROR(INDEX(_怪物模型!$F$2:$F$4501,(INT($J146)-1)*ROWS(_怪物类型!$A$2:$A$10)+MATCH($F146,_怪物类型!$A$2:$A$10,0))*IF($M146="",1,$M146),""))</f>
        <v/>
      </c>
      <c r="V146" s="84">
        <f>IF($U146="","",MIN(0.75,$U146/($U146+24000)))</f>
        <v/>
      </c>
      <c r="W146" s="21">
        <f>IF($S146="","",$S146/(1-$V146)*IF($N146="",1,$N146))</f>
        <v/>
      </c>
      <c r="X146" s="17">
        <f>IF(OR($W146="",$Q146="",$Q146=0),"",$W146/$Q146)</f>
        <v/>
      </c>
      <c r="Y146" s="17">
        <f>IF(OR($R146="",$T146="",$T146=0),"",$R146/($T146*IF($O146="",1,$O146)))</f>
        <v/>
      </c>
      <c r="Z146" s="17">
        <f>IF(OR($X146="",$P146="",$P146=0),"",$X146/$P146)</f>
        <v/>
      </c>
      <c r="AA146">
        <f>IF($J146="","待填怪物等级",IF(OR($I146="",$Q146=""),"待填对照关卡",IF($P146="","已计算",IF(AND($Y146&lt;&gt;"",$Y146&lt;$X146),"生存不成立",IF($Z146&lt;0.5,"碾压",IF($Z146&lt;0.8,"偏简单",IF($Z146&lt;=1.2,"适中",IF($Z146&lt;=1.5,"偏难","过难"))))))))</f>
        <v/>
      </c>
      <c r="AB146">
        <f>IF($J146="","待填",IF(AND(ISNUMBER($J146),$J146&gt;=1,$J146&lt;=500,MOD($J146,1)=0),"有效","超范围"))</f>
        <v/>
      </c>
      <c r="AC146">
        <f>IF(C146&lt;&gt;C145,"新玩法组",IF(J146&gt;=J145,"不降","回退"))</f>
        <v/>
      </c>
      <c r="AD146" t="inlineStr">
        <is>
          <t>等效进度估算S278，非解锁/首通节点；旧Lv318→327｜2026-09-14 前20档定稿：等级327封平，K/L梯度 1.2973/1.1853（11档=难度10持平，20档EHP+45.6%）；难度10旧AE=832k为旧曲线残留（现反查已到满配边缘）。</t>
        </is>
      </c>
      <c r="AE146" s="4" t="n">
        <v>1600000</v>
      </c>
      <c r="AF146" s="4">
        <f>INDEX(_统一战力!$B$2:$B$501,J146)</f>
        <v/>
      </c>
    </row>
    <row r="147">
      <c r="A147" t="inlineStr">
        <is>
          <t>当前源表</t>
        </is>
      </c>
      <c r="B147" t="inlineStr">
        <is>
          <t>其他战斗玩法</t>
        </is>
      </c>
      <c r="C147" t="inlineStr">
        <is>
          <t>LevelType_GuilidBoss</t>
        </is>
      </c>
      <c r="D147" t="inlineStr">
        <is>
          <t>异变林猿 难度19</t>
        </is>
      </c>
      <c r="E147" t="inlineStr">
        <is>
          <t>610219</t>
        </is>
      </c>
      <c r="F147" t="inlineStr">
        <is>
          <t>Boss</t>
        </is>
      </c>
      <c r="G147" t="n">
        <v>278</v>
      </c>
      <c r="I147">
        <f>IF($H147="",$G147,$H147)</f>
        <v/>
      </c>
      <c r="J147" t="n">
        <v>327</v>
      </c>
      <c r="K147" s="83" t="n">
        <v>1.3459</v>
      </c>
      <c r="L147" s="83" t="n">
        <v>1.1923</v>
      </c>
      <c r="M147" s="83" t="n">
        <v>1</v>
      </c>
      <c r="N147" t="n">
        <v>1</v>
      </c>
      <c r="O147" t="n">
        <v>1</v>
      </c>
      <c r="P147" s="17" t="n">
        <v>58.7862851553518</v>
      </c>
      <c r="Q147" s="21">
        <f>IF($I147="","",IFERROR(INDEX(_玩家曲线!$H$2:$H$286,MATCH($I147,_玩家曲线!$A$2:$A$286,0)),""))</f>
        <v/>
      </c>
      <c r="R147" s="21">
        <f>IF($I147="","",IFERROR(INDEX(_玩家曲线!$I$2:$I$286,MATCH($I147,_玩家曲线!$A$2:$A$286,0)),""))</f>
        <v/>
      </c>
      <c r="S147" s="21">
        <f>IF(OR($J147="",$F147="不适用"),"",IFERROR(INDEX(_怪物模型!$D$2:$D$4501,(INT($J147)-1)*ROWS(_怪物类型!$A$2:$A$10)+MATCH($F147,_怪物类型!$A$2:$A$10,0))*IF($K147="",1,$K147),""))</f>
        <v/>
      </c>
      <c r="T147" s="21">
        <f>IF(OR($J147="",$F147="不适用"),"",IFERROR(INDEX(_怪物模型!$E$2:$E$4501,(INT($J147)-1)*ROWS(_怪物类型!$A$2:$A$10)+MATCH($F147,_怪物类型!$A$2:$A$10,0))*IF($L147="",1,$L147),""))</f>
        <v/>
      </c>
      <c r="U147" s="21">
        <f>IF(OR($J147="",$F147="不适用"),"",IFERROR(INDEX(_怪物模型!$F$2:$F$4501,(INT($J147)-1)*ROWS(_怪物类型!$A$2:$A$10)+MATCH($F147,_怪物类型!$A$2:$A$10,0))*IF($M147="",1,$M147),""))</f>
        <v/>
      </c>
      <c r="V147" s="84">
        <f>IF($U147="","",MIN(0.75,$U147/($U147+24000)))</f>
        <v/>
      </c>
      <c r="W147" s="21">
        <f>IF($S147="","",$S147/(1-$V147)*IF($N147="",1,$N147))</f>
        <v/>
      </c>
      <c r="X147" s="17">
        <f>IF(OR($W147="",$Q147="",$Q147=0),"",$W147/$Q147)</f>
        <v/>
      </c>
      <c r="Y147" s="17">
        <f>IF(OR($R147="",$T147="",$T147=0),"",$R147/($T147*IF($O147="",1,$O147)))</f>
        <v/>
      </c>
      <c r="Z147" s="17">
        <f>IF(OR($X147="",$P147="",$P147=0),"",$X147/$P147)</f>
        <v/>
      </c>
      <c r="AA147">
        <f>IF($J147="","待填怪物等级",IF(OR($I147="",$Q147=""),"待填对照关卡",IF($P147="","已计算",IF(AND($Y147&lt;&gt;"",$Y147&lt;$X147),"生存不成立",IF($Z147&lt;0.5,"碾压",IF($Z147&lt;0.8,"偏简单",IF($Z147&lt;=1.2,"适中",IF($Z147&lt;=1.5,"偏难","过难"))))))))</f>
        <v/>
      </c>
      <c r="AB147">
        <f>IF($J147="","待填",IF(AND(ISNUMBER($J147),$J147&gt;=1,$J147&lt;=500,MOD($J147,1)=0),"有效","超范围"))</f>
        <v/>
      </c>
      <c r="AC147">
        <f>IF(C147&lt;&gt;C146,"新玩法组",IF(J147&gt;=J146,"不降","回退"))</f>
        <v/>
      </c>
      <c r="AD147" t="inlineStr">
        <is>
          <t>等效进度估算S278，非解锁/首通节点；旧Lv318→327｜2026-09-14 前20档定稿：等级327封平，K/L梯度 1.3459/1.1923（11档=难度10持平，20档EHP+45.6%）；难度10旧AE=832k为旧曲线残留（现反查已到满配边缘）。</t>
        </is>
      </c>
      <c r="AE147" s="4" t="n">
        <v>1600000</v>
      </c>
      <c r="AF147" s="4">
        <f>INDEX(_统一战力!$B$2:$B$501,J147)</f>
        <v/>
      </c>
    </row>
    <row r="148">
      <c r="A148" t="inlineStr">
        <is>
          <t>当前源表</t>
        </is>
      </c>
      <c r="B148" t="inlineStr">
        <is>
          <t>其他战斗玩法</t>
        </is>
      </c>
      <c r="C148" t="inlineStr">
        <is>
          <t>LevelType_GuilidBoss</t>
        </is>
      </c>
      <c r="D148" t="inlineStr">
        <is>
          <t>异变林猿 难度20</t>
        </is>
      </c>
      <c r="E148" t="inlineStr">
        <is>
          <t>610220</t>
        </is>
      </c>
      <c r="F148" t="inlineStr">
        <is>
          <t>Boss</t>
        </is>
      </c>
      <c r="G148" t="n">
        <v>278</v>
      </c>
      <c r="I148">
        <f>IF($H148="",$G148,$H148)</f>
        <v/>
      </c>
      <c r="J148" t="n">
        <v>327</v>
      </c>
      <c r="K148" s="83" t="n">
        <v>1.3945</v>
      </c>
      <c r="L148" s="83" t="n">
        <v>1.1993</v>
      </c>
      <c r="M148" s="83" t="n">
        <v>1</v>
      </c>
      <c r="N148" t="n">
        <v>1</v>
      </c>
      <c r="O148" t="n">
        <v>1</v>
      </c>
      <c r="P148" s="17" t="n">
        <v>58.7862851553518</v>
      </c>
      <c r="Q148" s="21">
        <f>IF($I148="","",IFERROR(INDEX(_玩家曲线!$H$2:$H$286,MATCH($I148,_玩家曲线!$A$2:$A$286,0)),""))</f>
        <v/>
      </c>
      <c r="R148" s="21">
        <f>IF($I148="","",IFERROR(INDEX(_玩家曲线!$I$2:$I$286,MATCH($I148,_玩家曲线!$A$2:$A$286,0)),""))</f>
        <v/>
      </c>
      <c r="S148" s="21">
        <f>IF(OR($J148="",$F148="不适用"),"",IFERROR(INDEX(_怪物模型!$D$2:$D$4501,(INT($J148)-1)*ROWS(_怪物类型!$A$2:$A$10)+MATCH($F148,_怪物类型!$A$2:$A$10,0))*IF($K148="",1,$K148),""))</f>
        <v/>
      </c>
      <c r="T148" s="21">
        <f>IF(OR($J148="",$F148="不适用"),"",IFERROR(INDEX(_怪物模型!$E$2:$E$4501,(INT($J148)-1)*ROWS(_怪物类型!$A$2:$A$10)+MATCH($F148,_怪物类型!$A$2:$A$10,0))*IF($L148="",1,$L148),""))</f>
        <v/>
      </c>
      <c r="U148" s="21">
        <f>IF(OR($J148="",$F148="不适用"),"",IFERROR(INDEX(_怪物模型!$F$2:$F$4501,(INT($J148)-1)*ROWS(_怪物类型!$A$2:$A$10)+MATCH($F148,_怪物类型!$A$2:$A$10,0))*IF($M148="",1,$M148),""))</f>
        <v/>
      </c>
      <c r="V148" s="84">
        <f>IF($U148="","",MIN(0.75,$U148/($U148+24000)))</f>
        <v/>
      </c>
      <c r="W148" s="21">
        <f>IF($S148="","",$S148/(1-$V148)*IF($N148="",1,$N148))</f>
        <v/>
      </c>
      <c r="X148" s="17">
        <f>IF(OR($W148="",$Q148="",$Q148=0),"",$W148/$Q148)</f>
        <v/>
      </c>
      <c r="Y148" s="17">
        <f>IF(OR($R148="",$T148="",$T148=0),"",$R148/($T148*IF($O148="",1,$O148)))</f>
        <v/>
      </c>
      <c r="Z148" s="17">
        <f>IF(OR($X148="",$P148="",$P148=0),"",$X148/$P148)</f>
        <v/>
      </c>
      <c r="AA148">
        <f>IF($J148="","待填怪物等级",IF(OR($I148="",$Q148=""),"待填对照关卡",IF($P148="","已计算",IF(AND($Y148&lt;&gt;"",$Y148&lt;$X148),"生存不成立",IF($Z148&lt;0.5,"碾压",IF($Z148&lt;0.8,"偏简单",IF($Z148&lt;=1.2,"适中",IF($Z148&lt;=1.5,"偏难","过难"))))))))</f>
        <v/>
      </c>
      <c r="AB148">
        <f>IF($J148="","待填",IF(AND(ISNUMBER($J148),$J148&gt;=1,$J148&lt;=500,MOD($J148,1)=0),"有效","超范围"))</f>
        <v/>
      </c>
      <c r="AC148">
        <f>IF(C148&lt;&gt;C147,"新玩法组",IF(J148&gt;=J147,"不降","回退"))</f>
        <v/>
      </c>
      <c r="AD148" t="inlineStr">
        <is>
          <t>等效进度估算S278，非解锁/首通节点；旧Lv318→327｜2026-09-14 前20档定稿：等级327封平，K/L梯度 1.3945/1.1993（11档=难度10持平，20档EHP+45.6%）；难度10旧AE=832k为旧曲线残留（现反查已到满配边缘）。</t>
        </is>
      </c>
      <c r="AE148" s="4" t="n">
        <v>1600000</v>
      </c>
      <c r="AF148" s="4">
        <f>INDEX(_统一战力!$B$2:$B$501,J148)</f>
        <v/>
      </c>
    </row>
    <row r="149">
      <c r="A149" t="inlineStr">
        <is>
          <t>当前源表</t>
        </is>
      </c>
      <c r="B149" t="inlineStr">
        <is>
          <t>其他战斗玩法</t>
        </is>
      </c>
      <c r="C149" t="inlineStr">
        <is>
          <t>LevelType_SubLevel</t>
        </is>
      </c>
      <c r="D149" t="inlineStr">
        <is>
          <t>战斗</t>
        </is>
      </c>
      <c r="E149" t="inlineStr">
        <is>
          <t>120101</t>
        </is>
      </c>
      <c r="F149" t="inlineStr">
        <is>
          <t>普通怪</t>
        </is>
      </c>
      <c r="G149" t="n">
        <v>14</v>
      </c>
      <c r="I149">
        <f>IF($H149="",$G149,$H149)</f>
        <v/>
      </c>
      <c r="J149" t="n">
        <v>15</v>
      </c>
      <c r="K149" s="83" t="n">
        <v>1.1</v>
      </c>
      <c r="L149" s="83" t="n">
        <v>1.1</v>
      </c>
      <c r="M149" s="83" t="n">
        <v>1</v>
      </c>
      <c r="N149" t="n">
        <v>1</v>
      </c>
      <c r="O149" t="n">
        <v>1</v>
      </c>
      <c r="P149" s="17" t="n">
        <v>0.43158465215541</v>
      </c>
      <c r="Q149" s="21">
        <f>IF($I149="","",IFERROR(INDEX(_玩家曲线!$H$2:$H$286,MATCH($I149,_玩家曲线!$A$2:$A$286,0)),""))</f>
        <v/>
      </c>
      <c r="R149" s="21">
        <f>IF($I149="","",IFERROR(INDEX(_玩家曲线!$I$2:$I$286,MATCH($I149,_玩家曲线!$A$2:$A$286,0)),""))</f>
        <v/>
      </c>
      <c r="S149" s="21">
        <f>IF(OR($J149="",$F149="不适用"),"",IFERROR(INDEX(_怪物模型!$D$2:$D$4501,(INT($J149)-1)*ROWS(_怪物类型!$A$2:$A$10)+MATCH($F149,_怪物类型!$A$2:$A$10,0))*IF($K149="",1,$K149),""))</f>
        <v/>
      </c>
      <c r="T149" s="21">
        <f>IF(OR($J149="",$F149="不适用"),"",IFERROR(INDEX(_怪物模型!$E$2:$E$4501,(INT($J149)-1)*ROWS(_怪物类型!$A$2:$A$10)+MATCH($F149,_怪物类型!$A$2:$A$10,0))*IF($L149="",1,$L149),""))</f>
        <v/>
      </c>
      <c r="U149" s="21">
        <f>IF(OR($J149="",$F149="不适用"),"",IFERROR(INDEX(_怪物模型!$F$2:$F$4501,(INT($J149)-1)*ROWS(_怪物类型!$A$2:$A$10)+MATCH($F149,_怪物类型!$A$2:$A$10,0))*IF($M149="",1,$M149),""))</f>
        <v/>
      </c>
      <c r="V149" s="84">
        <f>IF($U149="","",MIN(0.75,$U149/($U149+24000)))</f>
        <v/>
      </c>
      <c r="W149" s="21">
        <f>IF($S149="","",$S149/(1-$V149)*IF($N149="",1,$N149))</f>
        <v/>
      </c>
      <c r="X149" s="17">
        <f>IF(OR($W149="",$Q149="",$Q149=0),"",$W149/$Q149)</f>
        <v/>
      </c>
      <c r="Y149" s="17">
        <f>IF(OR($R149="",$T149="",$T149=0),"",$R149/($T149*IF($O149="",1,$O149)))</f>
        <v/>
      </c>
      <c r="Z149" s="17">
        <f>IF(OR($X149="",$P149="",$P149=0),"",$X149/$P149)</f>
        <v/>
      </c>
      <c r="AA149">
        <f>IF($J149="","待填怪物等级",IF(OR($I149="",$Q149=""),"待填对照关卡",IF($P149="","已计算",IF(AND($Y149&lt;&gt;"",$Y149&lt;$X149),"生存不成立",IF($Z149&lt;0.5,"碾压",IF($Z149&lt;0.8,"偏简单",IF($Z149&lt;=1.2,"适中",IF($Z149&lt;=1.5,"偏难","过难"))))))))</f>
        <v/>
      </c>
      <c r="AB149">
        <f>IF($J149="","待填",IF(AND(ISNUMBER($J149),$J149&gt;=1,$J149&lt;=500,MOD($J149,1)=0),"有效","超范围"))</f>
        <v/>
      </c>
      <c r="AC149">
        <f>IF(C149&lt;&gt;C148,"新玩法组",IF(J149&gt;=J148,"不降","回退"))</f>
        <v/>
      </c>
      <c r="AD149" t="inlineStr">
        <is>
          <t>等效进度估算S14，非解锁/首通节点；旧Lv27→25</t>
        </is>
      </c>
      <c r="AE149" s="4" t="n">
        <v>7220</v>
      </c>
      <c r="AF149" s="4">
        <f>INDEX(_统一战力!$B$2:$B$501,J149)</f>
        <v/>
      </c>
    </row>
    <row r="150">
      <c r="A150" t="inlineStr">
        <is>
          <t>当前源表</t>
        </is>
      </c>
      <c r="B150" t="inlineStr">
        <is>
          <t>其他战斗玩法</t>
        </is>
      </c>
      <c r="C150" t="inlineStr">
        <is>
          <t>LevelType_SubLevel</t>
        </is>
      </c>
      <c r="D150" t="inlineStr">
        <is>
          <t>战斗</t>
        </is>
      </c>
      <c r="E150" t="inlineStr">
        <is>
          <t>120102</t>
        </is>
      </c>
      <c r="F150" t="inlineStr">
        <is>
          <t>普通怪</t>
        </is>
      </c>
      <c r="G150" t="n">
        <v>14</v>
      </c>
      <c r="I150">
        <f>IF($H150="",$G150,$H150)</f>
        <v/>
      </c>
      <c r="J150" t="n">
        <v>22</v>
      </c>
      <c r="K150" s="83" t="n">
        <v>1.1</v>
      </c>
      <c r="L150" s="83" t="n">
        <v>1.1</v>
      </c>
      <c r="M150" s="83" t="n">
        <v>1</v>
      </c>
      <c r="N150" t="n">
        <v>1</v>
      </c>
      <c r="O150" t="n">
        <v>1</v>
      </c>
      <c r="P150" s="17" t="n">
        <v>0.43158465215541</v>
      </c>
      <c r="Q150" s="21">
        <f>IF($I150="","",IFERROR(INDEX(_玩家曲线!$H$2:$H$286,MATCH($I150,_玩家曲线!$A$2:$A$286,0)),""))</f>
        <v/>
      </c>
      <c r="R150" s="21">
        <f>IF($I150="","",IFERROR(INDEX(_玩家曲线!$I$2:$I$286,MATCH($I150,_玩家曲线!$A$2:$A$286,0)),""))</f>
        <v/>
      </c>
      <c r="S150" s="21">
        <f>IF(OR($J150="",$F150="不适用"),"",IFERROR(INDEX(_怪物模型!$D$2:$D$4501,(INT($J150)-1)*ROWS(_怪物类型!$A$2:$A$10)+MATCH($F150,_怪物类型!$A$2:$A$10,0))*IF($K150="",1,$K150),""))</f>
        <v/>
      </c>
      <c r="T150" s="21">
        <f>IF(OR($J150="",$F150="不适用"),"",IFERROR(INDEX(_怪物模型!$E$2:$E$4501,(INT($J150)-1)*ROWS(_怪物类型!$A$2:$A$10)+MATCH($F150,_怪物类型!$A$2:$A$10,0))*IF($L150="",1,$L150),""))</f>
        <v/>
      </c>
      <c r="U150" s="21">
        <f>IF(OR($J150="",$F150="不适用"),"",IFERROR(INDEX(_怪物模型!$F$2:$F$4501,(INT($J150)-1)*ROWS(_怪物类型!$A$2:$A$10)+MATCH($F150,_怪物类型!$A$2:$A$10,0))*IF($M150="",1,$M150),""))</f>
        <v/>
      </c>
      <c r="V150" s="84">
        <f>IF($U150="","",MIN(0.75,$U150/($U150+24000)))</f>
        <v/>
      </c>
      <c r="W150" s="21">
        <f>IF($S150="","",$S150/(1-$V150)*IF($N150="",1,$N150))</f>
        <v/>
      </c>
      <c r="X150" s="17">
        <f>IF(OR($W150="",$Q150="",$Q150=0),"",$W150/$Q150)</f>
        <v/>
      </c>
      <c r="Y150" s="17">
        <f>IF(OR($R150="",$T150="",$T150=0),"",$R150/($T150*IF($O150="",1,$O150)))</f>
        <v/>
      </c>
      <c r="Z150" s="17">
        <f>IF(OR($X150="",$P150="",$P150=0),"",$X150/$P150)</f>
        <v/>
      </c>
      <c r="AA150">
        <f>IF($J150="","待填怪物等级",IF(OR($I150="",$Q150=""),"待填对照关卡",IF($P150="","已计算",IF(AND($Y150&lt;&gt;"",$Y150&lt;$X150),"生存不成立",IF($Z150&lt;0.5,"碾压",IF($Z150&lt;0.8,"偏简单",IF($Z150&lt;=1.2,"适中",IF($Z150&lt;=1.5,"偏难","过难"))))))))</f>
        <v/>
      </c>
      <c r="AB150">
        <f>IF($J150="","待填",IF(AND(ISNUMBER($J150),$J150&gt;=1,$J150&lt;=500,MOD($J150,1)=0),"有效","超范围"))</f>
        <v/>
      </c>
      <c r="AC150">
        <f>IF(C150&lt;&gt;C149,"新玩法组",IF(J150&gt;=J149,"不降","回退"))</f>
        <v/>
      </c>
      <c r="AD150" t="inlineStr">
        <is>
          <t>等效进度估算S14，非解锁/首通节点；旧Lv27→25</t>
        </is>
      </c>
      <c r="AE150" s="4" t="n">
        <v>10100</v>
      </c>
      <c r="AF150" s="4">
        <f>INDEX(_统一战力!$B$2:$B$501,J150)</f>
        <v/>
      </c>
    </row>
    <row r="151">
      <c r="A151" t="inlineStr">
        <is>
          <t>当前源表</t>
        </is>
      </c>
      <c r="B151" t="inlineStr">
        <is>
          <t>其他战斗玩法</t>
        </is>
      </c>
      <c r="C151" t="inlineStr">
        <is>
          <t>LevelType_SubLevel</t>
        </is>
      </c>
      <c r="D151" t="inlineStr">
        <is>
          <t>战斗</t>
        </is>
      </c>
      <c r="E151" t="inlineStr">
        <is>
          <t>120203</t>
        </is>
      </c>
      <c r="F151" t="inlineStr">
        <is>
          <t>普通怪</t>
        </is>
      </c>
      <c r="G151" t="n">
        <v>14</v>
      </c>
      <c r="I151">
        <f>IF($H151="",$G151,$H151)</f>
        <v/>
      </c>
      <c r="J151" t="n">
        <v>30</v>
      </c>
      <c r="K151" s="83" t="n">
        <v>1.1</v>
      </c>
      <c r="L151" s="83" t="n">
        <v>1.1</v>
      </c>
      <c r="M151" s="83" t="n">
        <v>1</v>
      </c>
      <c r="N151" t="n">
        <v>1</v>
      </c>
      <c r="O151" t="n">
        <v>1</v>
      </c>
      <c r="P151" s="17" t="n">
        <v>0.43158465215541</v>
      </c>
      <c r="Q151" s="21">
        <f>IF($I151="","",IFERROR(INDEX(_玩家曲线!$H$2:$H$286,MATCH($I151,_玩家曲线!$A$2:$A$286,0)),""))</f>
        <v/>
      </c>
      <c r="R151" s="21">
        <f>IF($I151="","",IFERROR(INDEX(_玩家曲线!$I$2:$I$286,MATCH($I151,_玩家曲线!$A$2:$A$286,0)),""))</f>
        <v/>
      </c>
      <c r="S151" s="21">
        <f>IF(OR($J151="",$F151="不适用"),"",IFERROR(INDEX(_怪物模型!$D$2:$D$4501,(INT($J151)-1)*ROWS(_怪物类型!$A$2:$A$10)+MATCH($F151,_怪物类型!$A$2:$A$10,0))*IF($K151="",1,$K151),""))</f>
        <v/>
      </c>
      <c r="T151" s="21">
        <f>IF(OR($J151="",$F151="不适用"),"",IFERROR(INDEX(_怪物模型!$E$2:$E$4501,(INT($J151)-1)*ROWS(_怪物类型!$A$2:$A$10)+MATCH($F151,_怪物类型!$A$2:$A$10,0))*IF($L151="",1,$L151),""))</f>
        <v/>
      </c>
      <c r="U151" s="21">
        <f>IF(OR($J151="",$F151="不适用"),"",IFERROR(INDEX(_怪物模型!$F$2:$F$4501,(INT($J151)-1)*ROWS(_怪物类型!$A$2:$A$10)+MATCH($F151,_怪物类型!$A$2:$A$10,0))*IF($M151="",1,$M151),""))</f>
        <v/>
      </c>
      <c r="V151" s="84">
        <f>IF($U151="","",MIN(0.75,$U151/($U151+24000)))</f>
        <v/>
      </c>
      <c r="W151" s="21">
        <f>IF($S151="","",$S151/(1-$V151)*IF($N151="",1,$N151))</f>
        <v/>
      </c>
      <c r="X151" s="17">
        <f>IF(OR($W151="",$Q151="",$Q151=0),"",$W151/$Q151)</f>
        <v/>
      </c>
      <c r="Y151" s="17">
        <f>IF(OR($R151="",$T151="",$T151=0),"",$R151/($T151*IF($O151="",1,$O151)))</f>
        <v/>
      </c>
      <c r="Z151" s="17">
        <f>IF(OR($X151="",$P151="",$P151=0),"",$X151/$P151)</f>
        <v/>
      </c>
      <c r="AA151">
        <f>IF($J151="","待填怪物等级",IF(OR($I151="",$Q151=""),"待填对照关卡",IF($P151="","已计算",IF(AND($Y151&lt;&gt;"",$Y151&lt;$X151),"生存不成立",IF($Z151&lt;0.5,"碾压",IF($Z151&lt;0.8,"偏简单",IF($Z151&lt;=1.2,"适中",IF($Z151&lt;=1.5,"偏难","过难"))))))))</f>
        <v/>
      </c>
      <c r="AB151">
        <f>IF($J151="","待填",IF(AND(ISNUMBER($J151),$J151&gt;=1,$J151&lt;=500,MOD($J151,1)=0),"有效","超范围"))</f>
        <v/>
      </c>
      <c r="AC151">
        <f>IF(C151&lt;&gt;C150,"新玩法组",IF(J151&gt;=J150,"不降","回退"))</f>
        <v/>
      </c>
      <c r="AD151" t="inlineStr">
        <is>
          <t>等效进度估算S14，非解锁/首通节点；旧Lv27→25</t>
        </is>
      </c>
      <c r="AE151" s="4" t="n">
        <v>14700</v>
      </c>
      <c r="AF151" s="4">
        <f>INDEX(_统一战力!$B$2:$B$501,J151)</f>
        <v/>
      </c>
    </row>
    <row r="152">
      <c r="A152" t="inlineStr">
        <is>
          <t>当前源表</t>
        </is>
      </c>
      <c r="B152" t="inlineStr">
        <is>
          <t>其他战斗玩法</t>
        </is>
      </c>
      <c r="C152" t="inlineStr">
        <is>
          <t>LevelType_SubLevel</t>
        </is>
      </c>
      <c r="D152" t="inlineStr">
        <is>
          <t>战斗</t>
        </is>
      </c>
      <c r="E152" t="inlineStr">
        <is>
          <t>120303</t>
        </is>
      </c>
      <c r="F152" t="inlineStr">
        <is>
          <t>普通怪</t>
        </is>
      </c>
      <c r="G152" t="n">
        <v>14</v>
      </c>
      <c r="I152">
        <f>IF($H152="",$G152,$H152)</f>
        <v/>
      </c>
      <c r="J152" t="n">
        <v>49</v>
      </c>
      <c r="K152" s="83" t="n">
        <v>1.1</v>
      </c>
      <c r="L152" s="83" t="n">
        <v>1.1</v>
      </c>
      <c r="M152" s="83" t="n">
        <v>1</v>
      </c>
      <c r="N152" t="n">
        <v>1</v>
      </c>
      <c r="O152" t="n">
        <v>1</v>
      </c>
      <c r="P152" s="17" t="n">
        <v>0.43158465215541</v>
      </c>
      <c r="Q152" s="21">
        <f>IF($I152="","",IFERROR(INDEX(_玩家曲线!$H$2:$H$286,MATCH($I152,_玩家曲线!$A$2:$A$286,0)),""))</f>
        <v/>
      </c>
      <c r="R152" s="21">
        <f>IF($I152="","",IFERROR(INDEX(_玩家曲线!$I$2:$I$286,MATCH($I152,_玩家曲线!$A$2:$A$286,0)),""))</f>
        <v/>
      </c>
      <c r="S152" s="21">
        <f>IF(OR($J152="",$F152="不适用"),"",IFERROR(INDEX(_怪物模型!$D$2:$D$4501,(INT($J152)-1)*ROWS(_怪物类型!$A$2:$A$10)+MATCH($F152,_怪物类型!$A$2:$A$10,0))*IF($K152="",1,$K152),""))</f>
        <v/>
      </c>
      <c r="T152" s="21">
        <f>IF(OR($J152="",$F152="不适用"),"",IFERROR(INDEX(_怪物模型!$E$2:$E$4501,(INT($J152)-1)*ROWS(_怪物类型!$A$2:$A$10)+MATCH($F152,_怪物类型!$A$2:$A$10,0))*IF($L152="",1,$L152),""))</f>
        <v/>
      </c>
      <c r="U152" s="21">
        <f>IF(OR($J152="",$F152="不适用"),"",IFERROR(INDEX(_怪物模型!$F$2:$F$4501,(INT($J152)-1)*ROWS(_怪物类型!$A$2:$A$10)+MATCH($F152,_怪物类型!$A$2:$A$10,0))*IF($M152="",1,$M152),""))</f>
        <v/>
      </c>
      <c r="V152" s="84">
        <f>IF($U152="","",MIN(0.75,$U152/($U152+24000)))</f>
        <v/>
      </c>
      <c r="W152" s="21">
        <f>IF($S152="","",$S152/(1-$V152)*IF($N152="",1,$N152))</f>
        <v/>
      </c>
      <c r="X152" s="17">
        <f>IF(OR($W152="",$Q152="",$Q152=0),"",$W152/$Q152)</f>
        <v/>
      </c>
      <c r="Y152" s="17">
        <f>IF(OR($R152="",$T152="",$T152=0),"",$R152/($T152*IF($O152="",1,$O152)))</f>
        <v/>
      </c>
      <c r="Z152" s="17">
        <f>IF(OR($X152="",$P152="",$P152=0),"",$X152/$P152)</f>
        <v/>
      </c>
      <c r="AA152">
        <f>IF($J152="","待填怪物等级",IF(OR($I152="",$Q152=""),"待填对照关卡",IF($P152="","已计算",IF(AND($Y152&lt;&gt;"",$Y152&lt;$X152),"生存不成立",IF($Z152&lt;0.5,"碾压",IF($Z152&lt;0.8,"偏简单",IF($Z152&lt;=1.2,"适中",IF($Z152&lt;=1.5,"偏难","过难"))))))))</f>
        <v/>
      </c>
      <c r="AB152">
        <f>IF($J152="","待填",IF(AND(ISNUMBER($J152),$J152&gt;=1,$J152&lt;=500,MOD($J152,1)=0),"有效","超范围"))</f>
        <v/>
      </c>
      <c r="AC152">
        <f>IF(C152&lt;&gt;C151,"新玩法组",IF(J152&gt;=J151,"不降","回退"))</f>
        <v/>
      </c>
      <c r="AD152" t="inlineStr">
        <is>
          <t>等效进度估算S14，非解锁/首通节点；旧Lv27→25</t>
        </is>
      </c>
      <c r="AE152" s="4" t="n">
        <v>25400</v>
      </c>
      <c r="AF152" s="4">
        <f>INDEX(_统一战力!$B$2:$B$501,J152)</f>
        <v/>
      </c>
    </row>
    <row r="153">
      <c r="A153" t="inlineStr">
        <is>
          <t>当前源表</t>
        </is>
      </c>
      <c r="B153" t="inlineStr">
        <is>
          <t>其他战斗玩法</t>
        </is>
      </c>
      <c r="C153" t="inlineStr">
        <is>
          <t>LevelType_SubLevel</t>
        </is>
      </c>
      <c r="D153" t="inlineStr">
        <is>
          <t>战斗</t>
        </is>
      </c>
      <c r="E153" t="inlineStr">
        <is>
          <t>120306</t>
        </is>
      </c>
      <c r="F153" t="inlineStr">
        <is>
          <t>普通怪</t>
        </is>
      </c>
      <c r="G153" t="n">
        <v>14</v>
      </c>
      <c r="I153">
        <f>IF($H153="",$G153,$H153)</f>
        <v/>
      </c>
      <c r="J153" t="n">
        <v>59</v>
      </c>
      <c r="K153" s="83" t="n">
        <v>1.1</v>
      </c>
      <c r="L153" s="83" t="n">
        <v>1.1</v>
      </c>
      <c r="M153" s="83" t="n">
        <v>1</v>
      </c>
      <c r="N153" t="n">
        <v>1</v>
      </c>
      <c r="O153" t="n">
        <v>1</v>
      </c>
      <c r="P153" s="17" t="n">
        <v>0.43158465215541</v>
      </c>
      <c r="Q153" s="21">
        <f>IF($I153="","",IFERROR(INDEX(_玩家曲线!$H$2:$H$286,MATCH($I153,_玩家曲线!$A$2:$A$286,0)),""))</f>
        <v/>
      </c>
      <c r="R153" s="21">
        <f>IF($I153="","",IFERROR(INDEX(_玩家曲线!$I$2:$I$286,MATCH($I153,_玩家曲线!$A$2:$A$286,0)),""))</f>
        <v/>
      </c>
      <c r="S153" s="21">
        <f>IF(OR($J153="",$F153="不适用"),"",IFERROR(INDEX(_怪物模型!$D$2:$D$4501,(INT($J153)-1)*ROWS(_怪物类型!$A$2:$A$10)+MATCH($F153,_怪物类型!$A$2:$A$10,0))*IF($K153="",1,$K153),""))</f>
        <v/>
      </c>
      <c r="T153" s="21">
        <f>IF(OR($J153="",$F153="不适用"),"",IFERROR(INDEX(_怪物模型!$E$2:$E$4501,(INT($J153)-1)*ROWS(_怪物类型!$A$2:$A$10)+MATCH($F153,_怪物类型!$A$2:$A$10,0))*IF($L153="",1,$L153),""))</f>
        <v/>
      </c>
      <c r="U153" s="21">
        <f>IF(OR($J153="",$F153="不适用"),"",IFERROR(INDEX(_怪物模型!$F$2:$F$4501,(INT($J153)-1)*ROWS(_怪物类型!$A$2:$A$10)+MATCH($F153,_怪物类型!$A$2:$A$10,0))*IF($M153="",1,$M153),""))</f>
        <v/>
      </c>
      <c r="V153" s="84">
        <f>IF($U153="","",MIN(0.75,$U153/($U153+24000)))</f>
        <v/>
      </c>
      <c r="W153" s="21">
        <f>IF($S153="","",$S153/(1-$V153)*IF($N153="",1,$N153))</f>
        <v/>
      </c>
      <c r="X153" s="17">
        <f>IF(OR($W153="",$Q153="",$Q153=0),"",$W153/$Q153)</f>
        <v/>
      </c>
      <c r="Y153" s="17">
        <f>IF(OR($R153="",$T153="",$T153=0),"",$R153/($T153*IF($O153="",1,$O153)))</f>
        <v/>
      </c>
      <c r="Z153" s="17">
        <f>IF(OR($X153="",$P153="",$P153=0),"",$X153/$P153)</f>
        <v/>
      </c>
      <c r="AA153">
        <f>IF($J153="","待填怪物等级",IF(OR($I153="",$Q153=""),"待填对照关卡",IF($P153="","已计算",IF(AND($Y153&lt;&gt;"",$Y153&lt;$X153),"生存不成立",IF($Z153&lt;0.5,"碾压",IF($Z153&lt;0.8,"偏简单",IF($Z153&lt;=1.2,"适中",IF($Z153&lt;=1.5,"偏难","过难"))))))))</f>
        <v/>
      </c>
      <c r="AB153">
        <f>IF($J153="","待填",IF(AND(ISNUMBER($J153),$J153&gt;=1,$J153&lt;=500,MOD($J153,1)=0),"有效","超范围"))</f>
        <v/>
      </c>
      <c r="AC153">
        <f>IF(C153&lt;&gt;C152,"新玩法组",IF(J153&gt;=J152,"不降","回退"))</f>
        <v/>
      </c>
      <c r="AD153" t="inlineStr">
        <is>
          <t>等效进度估算S14，非解锁/首通节点；旧Lv27→25</t>
        </is>
      </c>
      <c r="AE153" s="4" t="n">
        <v>32800</v>
      </c>
      <c r="AF153" s="4">
        <f>INDEX(_统一战力!$B$2:$B$501,J153)</f>
        <v/>
      </c>
    </row>
    <row r="154">
      <c r="A154" t="inlineStr">
        <is>
          <t>当前源表</t>
        </is>
      </c>
      <c r="B154" t="inlineStr">
        <is>
          <t>其他战斗玩法</t>
        </is>
      </c>
      <c r="C154" t="inlineStr">
        <is>
          <t>LevelType_SubLevel</t>
        </is>
      </c>
      <c r="D154" t="inlineStr">
        <is>
          <t>战斗</t>
        </is>
      </c>
      <c r="E154" t="inlineStr">
        <is>
          <t>120403</t>
        </is>
      </c>
      <c r="F154" t="inlineStr">
        <is>
          <t>普通怪</t>
        </is>
      </c>
      <c r="G154" t="n">
        <v>14</v>
      </c>
      <c r="I154">
        <f>IF($H154="",$G154,$H154)</f>
        <v/>
      </c>
      <c r="J154" t="n">
        <v>70</v>
      </c>
      <c r="K154" s="83" t="n">
        <v>1.1</v>
      </c>
      <c r="L154" s="83" t="n">
        <v>1.1</v>
      </c>
      <c r="M154" s="83" t="n">
        <v>1</v>
      </c>
      <c r="N154" t="n">
        <v>1</v>
      </c>
      <c r="O154" t="n">
        <v>1</v>
      </c>
      <c r="P154" s="17" t="n">
        <v>0.43158465215541</v>
      </c>
      <c r="Q154" s="21">
        <f>IF($I154="","",IFERROR(INDEX(_玩家曲线!$H$2:$H$286,MATCH($I154,_玩家曲线!$A$2:$A$286,0)),""))</f>
        <v/>
      </c>
      <c r="R154" s="21">
        <f>IF($I154="","",IFERROR(INDEX(_玩家曲线!$I$2:$I$286,MATCH($I154,_玩家曲线!$A$2:$A$286,0)),""))</f>
        <v/>
      </c>
      <c r="S154" s="21">
        <f>IF(OR($J154="",$F154="不适用"),"",IFERROR(INDEX(_怪物模型!$D$2:$D$4501,(INT($J154)-1)*ROWS(_怪物类型!$A$2:$A$10)+MATCH($F154,_怪物类型!$A$2:$A$10,0))*IF($K154="",1,$K154),""))</f>
        <v/>
      </c>
      <c r="T154" s="21">
        <f>IF(OR($J154="",$F154="不适用"),"",IFERROR(INDEX(_怪物模型!$E$2:$E$4501,(INT($J154)-1)*ROWS(_怪物类型!$A$2:$A$10)+MATCH($F154,_怪物类型!$A$2:$A$10,0))*IF($L154="",1,$L154),""))</f>
        <v/>
      </c>
      <c r="U154" s="21">
        <f>IF(OR($J154="",$F154="不适用"),"",IFERROR(INDEX(_怪物模型!$F$2:$F$4501,(INT($J154)-1)*ROWS(_怪物类型!$A$2:$A$10)+MATCH($F154,_怪物类型!$A$2:$A$10,0))*IF($M154="",1,$M154),""))</f>
        <v/>
      </c>
      <c r="V154" s="84">
        <f>IF($U154="","",MIN(0.75,$U154/($U154+24000)))</f>
        <v/>
      </c>
      <c r="W154" s="21">
        <f>IF($S154="","",$S154/(1-$V154)*IF($N154="",1,$N154))</f>
        <v/>
      </c>
      <c r="X154" s="17">
        <f>IF(OR($W154="",$Q154="",$Q154=0),"",$W154/$Q154)</f>
        <v/>
      </c>
      <c r="Y154" s="17">
        <f>IF(OR($R154="",$T154="",$T154=0),"",$R154/($T154*IF($O154="",1,$O154)))</f>
        <v/>
      </c>
      <c r="Z154" s="17">
        <f>IF(OR($X154="",$P154="",$P154=0),"",$X154/$P154)</f>
        <v/>
      </c>
      <c r="AA154">
        <f>IF($J154="","待填怪物等级",IF(OR($I154="",$Q154=""),"待填对照关卡",IF($P154="","已计算",IF(AND($Y154&lt;&gt;"",$Y154&lt;$X154),"生存不成立",IF($Z154&lt;0.5,"碾压",IF($Z154&lt;0.8,"偏简单",IF($Z154&lt;=1.2,"适中",IF($Z154&lt;=1.5,"偏难","过难"))))))))</f>
        <v/>
      </c>
      <c r="AB154">
        <f>IF($J154="","待填",IF(AND(ISNUMBER($J154),$J154&gt;=1,$J154&lt;=500,MOD($J154,1)=0),"有效","超范围"))</f>
        <v/>
      </c>
      <c r="AC154">
        <f>IF(C154&lt;&gt;C153,"新玩法组",IF(J154&gt;=J153,"不降","回退"))</f>
        <v/>
      </c>
      <c r="AD154" t="inlineStr">
        <is>
          <t>等效进度估算S14，非解锁/首通节点；旧Lv27→25</t>
        </is>
      </c>
      <c r="AE154" s="4" t="n">
        <v>41300</v>
      </c>
      <c r="AF154" s="4">
        <f>INDEX(_统一战力!$B$2:$B$501,J154)</f>
        <v/>
      </c>
    </row>
    <row r="155">
      <c r="A155" t="inlineStr">
        <is>
          <t>当前源表</t>
        </is>
      </c>
      <c r="B155" t="inlineStr">
        <is>
          <t>其他战斗玩法</t>
        </is>
      </c>
      <c r="C155" t="inlineStr">
        <is>
          <t>LevelType_SubLevel</t>
        </is>
      </c>
      <c r="D155" t="inlineStr">
        <is>
          <t>战斗</t>
        </is>
      </c>
      <c r="E155" t="inlineStr">
        <is>
          <t>120406</t>
        </is>
      </c>
      <c r="F155" t="inlineStr">
        <is>
          <t>普通怪</t>
        </is>
      </c>
      <c r="G155" t="n">
        <v>14</v>
      </c>
      <c r="I155">
        <f>IF($H155="",$G155,$H155)</f>
        <v/>
      </c>
      <c r="J155" t="n">
        <v>83</v>
      </c>
      <c r="K155" s="83" t="n">
        <v>1.1</v>
      </c>
      <c r="L155" s="83" t="n">
        <v>1.1</v>
      </c>
      <c r="M155" s="83" t="n">
        <v>1</v>
      </c>
      <c r="N155" t="n">
        <v>1</v>
      </c>
      <c r="O155" t="n">
        <v>1</v>
      </c>
      <c r="P155" s="17" t="n">
        <v>0.43158465215541</v>
      </c>
      <c r="Q155" s="21">
        <f>IF($I155="","",IFERROR(INDEX(_玩家曲线!$H$2:$H$286,MATCH($I155,_玩家曲线!$A$2:$A$286,0)),""))</f>
        <v/>
      </c>
      <c r="R155" s="21">
        <f>IF($I155="","",IFERROR(INDEX(_玩家曲线!$I$2:$I$286,MATCH($I155,_玩家曲线!$A$2:$A$286,0)),""))</f>
        <v/>
      </c>
      <c r="S155" s="21">
        <f>IF(OR($J155="",$F155="不适用"),"",IFERROR(INDEX(_怪物模型!$D$2:$D$4501,(INT($J155)-1)*ROWS(_怪物类型!$A$2:$A$10)+MATCH($F155,_怪物类型!$A$2:$A$10,0))*IF($K155="",1,$K155),""))</f>
        <v/>
      </c>
      <c r="T155" s="21">
        <f>IF(OR($J155="",$F155="不适用"),"",IFERROR(INDEX(_怪物模型!$E$2:$E$4501,(INT($J155)-1)*ROWS(_怪物类型!$A$2:$A$10)+MATCH($F155,_怪物类型!$A$2:$A$10,0))*IF($L155="",1,$L155),""))</f>
        <v/>
      </c>
      <c r="U155" s="21">
        <f>IF(OR($J155="",$F155="不适用"),"",IFERROR(INDEX(_怪物模型!$F$2:$F$4501,(INT($J155)-1)*ROWS(_怪物类型!$A$2:$A$10)+MATCH($F155,_怪物类型!$A$2:$A$10,0))*IF($M155="",1,$M155),""))</f>
        <v/>
      </c>
      <c r="V155" s="84">
        <f>IF($U155="","",MIN(0.75,$U155/($U155+24000)))</f>
        <v/>
      </c>
      <c r="W155" s="21">
        <f>IF($S155="","",$S155/(1-$V155)*IF($N155="",1,$N155))</f>
        <v/>
      </c>
      <c r="X155" s="17">
        <f>IF(OR($W155="",$Q155="",$Q155=0),"",$W155/$Q155)</f>
        <v/>
      </c>
      <c r="Y155" s="17">
        <f>IF(OR($R155="",$T155="",$T155=0),"",$R155/($T155*IF($O155="",1,$O155)))</f>
        <v/>
      </c>
      <c r="Z155" s="17">
        <f>IF(OR($X155="",$P155="",$P155=0),"",$X155/$P155)</f>
        <v/>
      </c>
      <c r="AA155">
        <f>IF($J155="","待填怪物等级",IF(OR($I155="",$Q155=""),"待填对照关卡",IF($P155="","已计算",IF(AND($Y155&lt;&gt;"",$Y155&lt;$X155),"生存不成立",IF($Z155&lt;0.5,"碾压",IF($Z155&lt;0.8,"偏简单",IF($Z155&lt;=1.2,"适中",IF($Z155&lt;=1.5,"偏难","过难"))))))))</f>
        <v/>
      </c>
      <c r="AB155">
        <f>IF($J155="","待填",IF(AND(ISNUMBER($J155),$J155&gt;=1,$J155&lt;=500,MOD($J155,1)=0),"有效","超范围"))</f>
        <v/>
      </c>
      <c r="AC155">
        <f>IF(C155&lt;&gt;C154,"新玩法组",IF(J155&gt;=J154,"不降","回退"))</f>
        <v/>
      </c>
      <c r="AD155" t="inlineStr">
        <is>
          <t>等效进度估算S14，非解锁/首通节点；旧Lv27→25</t>
        </is>
      </c>
      <c r="AE155" s="4" t="n">
        <v>54100</v>
      </c>
      <c r="AF155" s="4">
        <f>INDEX(_统一战力!$B$2:$B$501,J155)</f>
        <v/>
      </c>
    </row>
    <row r="156">
      <c r="A156" t="inlineStr">
        <is>
          <t>当前源表</t>
        </is>
      </c>
      <c r="B156" t="inlineStr">
        <is>
          <t>其他战斗玩法</t>
        </is>
      </c>
      <c r="C156" t="inlineStr">
        <is>
          <t>LevelType_SubLevel</t>
        </is>
      </c>
      <c r="D156" t="inlineStr">
        <is>
          <t>战斗</t>
        </is>
      </c>
      <c r="E156" t="inlineStr">
        <is>
          <t>120503</t>
        </is>
      </c>
      <c r="F156" t="inlineStr">
        <is>
          <t>普通怪</t>
        </is>
      </c>
      <c r="G156" t="n">
        <v>14</v>
      </c>
      <c r="I156">
        <f>IF($H156="",$G156,$H156)</f>
        <v/>
      </c>
      <c r="J156" t="n">
        <v>94</v>
      </c>
      <c r="K156" s="83" t="n">
        <v>1.1</v>
      </c>
      <c r="L156" s="83" t="n">
        <v>1.1</v>
      </c>
      <c r="M156" s="83" t="n">
        <v>1</v>
      </c>
      <c r="N156" t="n">
        <v>1</v>
      </c>
      <c r="O156" t="n">
        <v>1</v>
      </c>
      <c r="P156" s="17" t="n">
        <v>0.43158465215541</v>
      </c>
      <c r="Q156" s="21">
        <f>IF($I156="","",IFERROR(INDEX(_玩家曲线!$H$2:$H$286,MATCH($I156,_玩家曲线!$A$2:$A$286,0)),""))</f>
        <v/>
      </c>
      <c r="R156" s="21">
        <f>IF($I156="","",IFERROR(INDEX(_玩家曲线!$I$2:$I$286,MATCH($I156,_玩家曲线!$A$2:$A$286,0)),""))</f>
        <v/>
      </c>
      <c r="S156" s="21">
        <f>IF(OR($J156="",$F156="不适用"),"",IFERROR(INDEX(_怪物模型!$D$2:$D$4501,(INT($J156)-1)*ROWS(_怪物类型!$A$2:$A$10)+MATCH($F156,_怪物类型!$A$2:$A$10,0))*IF($K156="",1,$K156),""))</f>
        <v/>
      </c>
      <c r="T156" s="21">
        <f>IF(OR($J156="",$F156="不适用"),"",IFERROR(INDEX(_怪物模型!$E$2:$E$4501,(INT($J156)-1)*ROWS(_怪物类型!$A$2:$A$10)+MATCH($F156,_怪物类型!$A$2:$A$10,0))*IF($L156="",1,$L156),""))</f>
        <v/>
      </c>
      <c r="U156" s="21">
        <f>IF(OR($J156="",$F156="不适用"),"",IFERROR(INDEX(_怪物模型!$F$2:$F$4501,(INT($J156)-1)*ROWS(_怪物类型!$A$2:$A$10)+MATCH($F156,_怪物类型!$A$2:$A$10,0))*IF($M156="",1,$M156),""))</f>
        <v/>
      </c>
      <c r="V156" s="84">
        <f>IF($U156="","",MIN(0.75,$U156/($U156+24000)))</f>
        <v/>
      </c>
      <c r="W156" s="21">
        <f>IF($S156="","",$S156/(1-$V156)*IF($N156="",1,$N156))</f>
        <v/>
      </c>
      <c r="X156" s="17">
        <f>IF(OR($W156="",$Q156="",$Q156=0),"",$W156/$Q156)</f>
        <v/>
      </c>
      <c r="Y156" s="17">
        <f>IF(OR($R156="",$T156="",$T156=0),"",$R156/($T156*IF($O156="",1,$O156)))</f>
        <v/>
      </c>
      <c r="Z156" s="17">
        <f>IF(OR($X156="",$P156="",$P156=0),"",$X156/$P156)</f>
        <v/>
      </c>
      <c r="AA156">
        <f>IF($J156="","待填怪物等级",IF(OR($I156="",$Q156=""),"待填对照关卡",IF($P156="","已计算",IF(AND($Y156&lt;&gt;"",$Y156&lt;$X156),"生存不成立",IF($Z156&lt;0.5,"碾压",IF($Z156&lt;0.8,"偏简单",IF($Z156&lt;=1.2,"适中",IF($Z156&lt;=1.5,"偏难","过难"))))))))</f>
        <v/>
      </c>
      <c r="AB156">
        <f>IF($J156="","待填",IF(AND(ISNUMBER($J156),$J156&gt;=1,$J156&lt;=500,MOD($J156,1)=0),"有效","超范围"))</f>
        <v/>
      </c>
      <c r="AC156">
        <f>IF(C156&lt;&gt;C155,"新玩法组",IF(J156&gt;=J155,"不降","回退"))</f>
        <v/>
      </c>
      <c r="AD156" t="inlineStr">
        <is>
          <t>等效进度估算S14，非解锁/首通节点；旧Lv27→25</t>
        </is>
      </c>
      <c r="AE156" s="4" t="n">
        <v>65300</v>
      </c>
      <c r="AF156" s="4">
        <f>INDEX(_统一战力!$B$2:$B$501,J156)</f>
        <v/>
      </c>
    </row>
    <row r="157">
      <c r="A157" t="inlineStr">
        <is>
          <t>当前源表</t>
        </is>
      </c>
      <c r="B157" t="inlineStr">
        <is>
          <t>其他战斗玩法</t>
        </is>
      </c>
      <c r="C157" t="inlineStr">
        <is>
          <t>LevelType_SubLevel</t>
        </is>
      </c>
      <c r="D157" t="inlineStr">
        <is>
          <t>战斗</t>
        </is>
      </c>
      <c r="E157" t="inlineStr">
        <is>
          <t>120506</t>
        </is>
      </c>
      <c r="F157" t="inlineStr">
        <is>
          <t>普通怪</t>
        </is>
      </c>
      <c r="G157" t="n">
        <v>14</v>
      </c>
      <c r="I157">
        <f>IF($H157="",$G157,$H157)</f>
        <v/>
      </c>
      <c r="J157" t="n">
        <v>105</v>
      </c>
      <c r="K157" s="83" t="n">
        <v>1.1</v>
      </c>
      <c r="L157" s="83" t="n">
        <v>1.1</v>
      </c>
      <c r="M157" s="83" t="n">
        <v>1</v>
      </c>
      <c r="N157" t="n">
        <v>1</v>
      </c>
      <c r="O157" t="n">
        <v>1</v>
      </c>
      <c r="P157" s="17" t="n">
        <v>0.43158465215541</v>
      </c>
      <c r="Q157" s="21">
        <f>IF($I157="","",IFERROR(INDEX(_玩家曲线!$H$2:$H$286,MATCH($I157,_玩家曲线!$A$2:$A$286,0)),""))</f>
        <v/>
      </c>
      <c r="R157" s="21">
        <f>IF($I157="","",IFERROR(INDEX(_玩家曲线!$I$2:$I$286,MATCH($I157,_玩家曲线!$A$2:$A$286,0)),""))</f>
        <v/>
      </c>
      <c r="S157" s="21">
        <f>IF(OR($J157="",$F157="不适用"),"",IFERROR(INDEX(_怪物模型!$D$2:$D$4501,(INT($J157)-1)*ROWS(_怪物类型!$A$2:$A$10)+MATCH($F157,_怪物类型!$A$2:$A$10,0))*IF($K157="",1,$K157),""))</f>
        <v/>
      </c>
      <c r="T157" s="21">
        <f>IF(OR($J157="",$F157="不适用"),"",IFERROR(INDEX(_怪物模型!$E$2:$E$4501,(INT($J157)-1)*ROWS(_怪物类型!$A$2:$A$10)+MATCH($F157,_怪物类型!$A$2:$A$10,0))*IF($L157="",1,$L157),""))</f>
        <v/>
      </c>
      <c r="U157" s="21">
        <f>IF(OR($J157="",$F157="不适用"),"",IFERROR(INDEX(_怪物模型!$F$2:$F$4501,(INT($J157)-1)*ROWS(_怪物类型!$A$2:$A$10)+MATCH($F157,_怪物类型!$A$2:$A$10,0))*IF($M157="",1,$M157),""))</f>
        <v/>
      </c>
      <c r="V157" s="84">
        <f>IF($U157="","",MIN(0.75,$U157/($U157+24000)))</f>
        <v/>
      </c>
      <c r="W157" s="21">
        <f>IF($S157="","",$S157/(1-$V157)*IF($N157="",1,$N157))</f>
        <v/>
      </c>
      <c r="X157" s="17">
        <f>IF(OR($W157="",$Q157="",$Q157=0),"",$W157/$Q157)</f>
        <v/>
      </c>
      <c r="Y157" s="17">
        <f>IF(OR($R157="",$T157="",$T157=0),"",$R157/($T157*IF($O157="",1,$O157)))</f>
        <v/>
      </c>
      <c r="Z157" s="17">
        <f>IF(OR($X157="",$P157="",$P157=0),"",$X157/$P157)</f>
        <v/>
      </c>
      <c r="AA157">
        <f>IF($J157="","待填怪物等级",IF(OR($I157="",$Q157=""),"待填对照关卡",IF($P157="","已计算",IF(AND($Y157&lt;&gt;"",$Y157&lt;$X157),"生存不成立",IF($Z157&lt;0.5,"碾压",IF($Z157&lt;0.8,"偏简单",IF($Z157&lt;=1.2,"适中",IF($Z157&lt;=1.5,"偏难","过难"))))))))</f>
        <v/>
      </c>
      <c r="AB157">
        <f>IF($J157="","待填",IF(AND(ISNUMBER($J157),$J157&gt;=1,$J157&lt;=500,MOD($J157,1)=0),"有效","超范围"))</f>
        <v/>
      </c>
      <c r="AC157">
        <f>IF(C157&lt;&gt;C156,"新玩法组",IF(J157&gt;=J156,"不降","回退"))</f>
        <v/>
      </c>
      <c r="AD157" t="inlineStr">
        <is>
          <t>等效进度估算S14，非解锁/首通节点；旧Lv27→25</t>
        </is>
      </c>
      <c r="AE157" s="4" t="n">
        <v>78600</v>
      </c>
      <c r="AF157" s="4">
        <f>INDEX(_统一战力!$B$2:$B$501,J157)</f>
        <v/>
      </c>
    </row>
    <row r="158">
      <c r="A158" t="inlineStr">
        <is>
          <t>当前源表</t>
        </is>
      </c>
      <c r="B158" t="inlineStr">
        <is>
          <t>其他战斗玩法</t>
        </is>
      </c>
      <c r="C158" t="inlineStr">
        <is>
          <t>LevelType_SubLevel</t>
        </is>
      </c>
      <c r="D158" t="inlineStr">
        <is>
          <t>战斗</t>
        </is>
      </c>
      <c r="E158" t="inlineStr">
        <is>
          <t>120603</t>
        </is>
      </c>
      <c r="F158" t="inlineStr">
        <is>
          <t>普通怪</t>
        </is>
      </c>
      <c r="G158" t="n">
        <v>14</v>
      </c>
      <c r="I158">
        <f>IF($H158="",$G158,$H158)</f>
        <v/>
      </c>
      <c r="J158" t="n">
        <v>115</v>
      </c>
      <c r="K158" s="83" t="n">
        <v>1.1</v>
      </c>
      <c r="L158" s="83" t="n">
        <v>1.1</v>
      </c>
      <c r="M158" s="83" t="n">
        <v>1</v>
      </c>
      <c r="N158" t="n">
        <v>1</v>
      </c>
      <c r="O158" t="n">
        <v>1</v>
      </c>
      <c r="P158" s="17" t="n">
        <v>0.43158465215541</v>
      </c>
      <c r="Q158" s="21">
        <f>IF($I158="","",IFERROR(INDEX(_玩家曲线!$H$2:$H$286,MATCH($I158,_玩家曲线!$A$2:$A$286,0)),""))</f>
        <v/>
      </c>
      <c r="R158" s="21">
        <f>IF($I158="","",IFERROR(INDEX(_玩家曲线!$I$2:$I$286,MATCH($I158,_玩家曲线!$A$2:$A$286,0)),""))</f>
        <v/>
      </c>
      <c r="S158" s="21">
        <f>IF(OR($J158="",$F158="不适用"),"",IFERROR(INDEX(_怪物模型!$D$2:$D$4501,(INT($J158)-1)*ROWS(_怪物类型!$A$2:$A$10)+MATCH($F158,_怪物类型!$A$2:$A$10,0))*IF($K158="",1,$K158),""))</f>
        <v/>
      </c>
      <c r="T158" s="21">
        <f>IF(OR($J158="",$F158="不适用"),"",IFERROR(INDEX(_怪物模型!$E$2:$E$4501,(INT($J158)-1)*ROWS(_怪物类型!$A$2:$A$10)+MATCH($F158,_怪物类型!$A$2:$A$10,0))*IF($L158="",1,$L158),""))</f>
        <v/>
      </c>
      <c r="U158" s="21">
        <f>IF(OR($J158="",$F158="不适用"),"",IFERROR(INDEX(_怪物模型!$F$2:$F$4501,(INT($J158)-1)*ROWS(_怪物类型!$A$2:$A$10)+MATCH($F158,_怪物类型!$A$2:$A$10,0))*IF($M158="",1,$M158),""))</f>
        <v/>
      </c>
      <c r="V158" s="84">
        <f>IF($U158="","",MIN(0.75,$U158/($U158+24000)))</f>
        <v/>
      </c>
      <c r="W158" s="21">
        <f>IF($S158="","",$S158/(1-$V158)*IF($N158="",1,$N158))</f>
        <v/>
      </c>
      <c r="X158" s="17">
        <f>IF(OR($W158="",$Q158="",$Q158=0),"",$W158/$Q158)</f>
        <v/>
      </c>
      <c r="Y158" s="17">
        <f>IF(OR($R158="",$T158="",$T158=0),"",$R158/($T158*IF($O158="",1,$O158)))</f>
        <v/>
      </c>
      <c r="Z158" s="17">
        <f>IF(OR($X158="",$P158="",$P158=0),"",$X158/$P158)</f>
        <v/>
      </c>
      <c r="AA158">
        <f>IF($J158="","待填怪物等级",IF(OR($I158="",$Q158=""),"待填对照关卡",IF($P158="","已计算",IF(AND($Y158&lt;&gt;"",$Y158&lt;$X158),"生存不成立",IF($Z158&lt;0.5,"碾压",IF($Z158&lt;0.8,"偏简单",IF($Z158&lt;=1.2,"适中",IF($Z158&lt;=1.5,"偏难","过难"))))))))</f>
        <v/>
      </c>
      <c r="AB158">
        <f>IF($J158="","待填",IF(AND(ISNUMBER($J158),$J158&gt;=1,$J158&lt;=500,MOD($J158,1)=0),"有效","超范围"))</f>
        <v/>
      </c>
      <c r="AC158">
        <f>IF(C158&lt;&gt;C157,"新玩法组",IF(J158&gt;=J157,"不降","回退"))</f>
        <v/>
      </c>
      <c r="AD158" t="inlineStr">
        <is>
          <t>等效进度估算S14，非解锁/首通节点；旧Lv27→25</t>
        </is>
      </c>
      <c r="AE158" s="4" t="n">
        <v>91400</v>
      </c>
      <c r="AF158" s="4">
        <f>INDEX(_统一战力!$B$2:$B$501,J158)</f>
        <v/>
      </c>
    </row>
    <row r="159">
      <c r="A159" t="inlineStr">
        <is>
          <t>当前源表</t>
        </is>
      </c>
      <c r="B159" t="inlineStr">
        <is>
          <t>其他战斗玩法</t>
        </is>
      </c>
      <c r="C159" t="inlineStr">
        <is>
          <t>LevelType_SubLevel</t>
        </is>
      </c>
      <c r="D159" t="inlineStr">
        <is>
          <t>战斗</t>
        </is>
      </c>
      <c r="E159" t="inlineStr">
        <is>
          <t>120606</t>
        </is>
      </c>
      <c r="F159" t="inlineStr">
        <is>
          <t>普通怪</t>
        </is>
      </c>
      <c r="G159" t="n">
        <v>14</v>
      </c>
      <c r="I159">
        <f>IF($H159="",$G159,$H159)</f>
        <v/>
      </c>
      <c r="J159" t="n">
        <v>125</v>
      </c>
      <c r="K159" s="83" t="n">
        <v>1.1</v>
      </c>
      <c r="L159" s="83" t="n">
        <v>1.1</v>
      </c>
      <c r="M159" s="83" t="n">
        <v>1</v>
      </c>
      <c r="N159" t="n">
        <v>1</v>
      </c>
      <c r="O159" t="n">
        <v>1</v>
      </c>
      <c r="P159" s="17" t="n">
        <v>0.43158465215541</v>
      </c>
      <c r="Q159" s="21">
        <f>IF($I159="","",IFERROR(INDEX(_玩家曲线!$H$2:$H$286,MATCH($I159,_玩家曲线!$A$2:$A$286,0)),""))</f>
        <v/>
      </c>
      <c r="R159" s="21">
        <f>IF($I159="","",IFERROR(INDEX(_玩家曲线!$I$2:$I$286,MATCH($I159,_玩家曲线!$A$2:$A$286,0)),""))</f>
        <v/>
      </c>
      <c r="S159" s="21">
        <f>IF(OR($J159="",$F159="不适用"),"",IFERROR(INDEX(_怪物模型!$D$2:$D$4501,(INT($J159)-1)*ROWS(_怪物类型!$A$2:$A$10)+MATCH($F159,_怪物类型!$A$2:$A$10,0))*IF($K159="",1,$K159),""))</f>
        <v/>
      </c>
      <c r="T159" s="21">
        <f>IF(OR($J159="",$F159="不适用"),"",IFERROR(INDEX(_怪物模型!$E$2:$E$4501,(INT($J159)-1)*ROWS(_怪物类型!$A$2:$A$10)+MATCH($F159,_怪物类型!$A$2:$A$10,0))*IF($L159="",1,$L159),""))</f>
        <v/>
      </c>
      <c r="U159" s="21">
        <f>IF(OR($J159="",$F159="不适用"),"",IFERROR(INDEX(_怪物模型!$F$2:$F$4501,(INT($J159)-1)*ROWS(_怪物类型!$A$2:$A$10)+MATCH($F159,_怪物类型!$A$2:$A$10,0))*IF($M159="",1,$M159),""))</f>
        <v/>
      </c>
      <c r="V159" s="84">
        <f>IF($U159="","",MIN(0.75,$U159/($U159+24000)))</f>
        <v/>
      </c>
      <c r="W159" s="21">
        <f>IF($S159="","",$S159/(1-$V159)*IF($N159="",1,$N159))</f>
        <v/>
      </c>
      <c r="X159" s="17">
        <f>IF(OR($W159="",$Q159="",$Q159=0),"",$W159/$Q159)</f>
        <v/>
      </c>
      <c r="Y159" s="17">
        <f>IF(OR($R159="",$T159="",$T159=0),"",$R159/($T159*IF($O159="",1,$O159)))</f>
        <v/>
      </c>
      <c r="Z159" s="17">
        <f>IF(OR($X159="",$P159="",$P159=0),"",$X159/$P159)</f>
        <v/>
      </c>
      <c r="AA159">
        <f>IF($J159="","待填怪物等级",IF(OR($I159="",$Q159=""),"待填对照关卡",IF($P159="","已计算",IF(AND($Y159&lt;&gt;"",$Y159&lt;$X159),"生存不成立",IF($Z159&lt;0.5,"碾压",IF($Z159&lt;0.8,"偏简单",IF($Z159&lt;=1.2,"适中",IF($Z159&lt;=1.5,"偏难","过难"))))))))</f>
        <v/>
      </c>
      <c r="AB159">
        <f>IF($J159="","待填",IF(AND(ISNUMBER($J159),$J159&gt;=1,$J159&lt;=500,MOD($J159,1)=0),"有效","超范围"))</f>
        <v/>
      </c>
      <c r="AC159">
        <f>IF(C159&lt;&gt;C158,"新玩法组",IF(J159&gt;=J158,"不降","回退"))</f>
        <v/>
      </c>
      <c r="AD159" t="inlineStr">
        <is>
          <t>等效进度估算S14，非解锁/首通节点；旧Lv27→25</t>
        </is>
      </c>
      <c r="AE159" s="4" t="n">
        <v>105000</v>
      </c>
      <c r="AF159" s="4">
        <f>INDEX(_统一战力!$B$2:$B$501,J159)</f>
        <v/>
      </c>
    </row>
    <row r="160">
      <c r="A160" t="inlineStr">
        <is>
          <t>当前源表</t>
        </is>
      </c>
      <c r="B160" t="inlineStr">
        <is>
          <t>其他战斗玩法</t>
        </is>
      </c>
      <c r="C160" t="inlineStr">
        <is>
          <t>LevelType_SubLevel</t>
        </is>
      </c>
      <c r="D160" t="inlineStr">
        <is>
          <t>战斗</t>
        </is>
      </c>
      <c r="E160" t="inlineStr">
        <is>
          <t>120703</t>
        </is>
      </c>
      <c r="F160" t="inlineStr">
        <is>
          <t>普通怪</t>
        </is>
      </c>
      <c r="G160" t="n">
        <v>14</v>
      </c>
      <c r="I160">
        <f>IF($H160="",$G160,$H160)</f>
        <v/>
      </c>
      <c r="J160" t="n">
        <v>133</v>
      </c>
      <c r="K160" s="83" t="n">
        <v>1.1</v>
      </c>
      <c r="L160" s="83" t="n">
        <v>1.1</v>
      </c>
      <c r="M160" s="83" t="n">
        <v>1</v>
      </c>
      <c r="N160" t="n">
        <v>1</v>
      </c>
      <c r="O160" t="n">
        <v>1</v>
      </c>
      <c r="P160" s="17" t="n">
        <v>0.43158465215541</v>
      </c>
      <c r="Q160" s="21">
        <f>IF($I160="","",IFERROR(INDEX(_玩家曲线!$H$2:$H$286,MATCH($I160,_玩家曲线!$A$2:$A$286,0)),""))</f>
        <v/>
      </c>
      <c r="R160" s="21">
        <f>IF($I160="","",IFERROR(INDEX(_玩家曲线!$I$2:$I$286,MATCH($I160,_玩家曲线!$A$2:$A$286,0)),""))</f>
        <v/>
      </c>
      <c r="S160" s="21">
        <f>IF(OR($J160="",$F160="不适用"),"",IFERROR(INDEX(_怪物模型!$D$2:$D$4501,(INT($J160)-1)*ROWS(_怪物类型!$A$2:$A$10)+MATCH($F160,_怪物类型!$A$2:$A$10,0))*IF($K160="",1,$K160),""))</f>
        <v/>
      </c>
      <c r="T160" s="21">
        <f>IF(OR($J160="",$F160="不适用"),"",IFERROR(INDEX(_怪物模型!$E$2:$E$4501,(INT($J160)-1)*ROWS(_怪物类型!$A$2:$A$10)+MATCH($F160,_怪物类型!$A$2:$A$10,0))*IF($L160="",1,$L160),""))</f>
        <v/>
      </c>
      <c r="U160" s="21">
        <f>IF(OR($J160="",$F160="不适用"),"",IFERROR(INDEX(_怪物模型!$F$2:$F$4501,(INT($J160)-1)*ROWS(_怪物类型!$A$2:$A$10)+MATCH($F160,_怪物类型!$A$2:$A$10,0))*IF($M160="",1,$M160),""))</f>
        <v/>
      </c>
      <c r="V160" s="84">
        <f>IF($U160="","",MIN(0.75,$U160/($U160+24000)))</f>
        <v/>
      </c>
      <c r="W160" s="21">
        <f>IF($S160="","",$S160/(1-$V160)*IF($N160="",1,$N160))</f>
        <v/>
      </c>
      <c r="X160" s="17">
        <f>IF(OR($W160="",$Q160="",$Q160=0),"",$W160/$Q160)</f>
        <v/>
      </c>
      <c r="Y160" s="17">
        <f>IF(OR($R160="",$T160="",$T160=0),"",$R160/($T160*IF($O160="",1,$O160)))</f>
        <v/>
      </c>
      <c r="Z160" s="17">
        <f>IF(OR($X160="",$P160="",$P160=0),"",$X160/$P160)</f>
        <v/>
      </c>
      <c r="AA160">
        <f>IF($J160="","待填怪物等级",IF(OR($I160="",$Q160=""),"待填对照关卡",IF($P160="","已计算",IF(AND($Y160&lt;&gt;"",$Y160&lt;$X160),"生存不成立",IF($Z160&lt;0.5,"碾压",IF($Z160&lt;0.8,"偏简单",IF($Z160&lt;=1.2,"适中",IF($Z160&lt;=1.5,"偏难","过难"))))))))</f>
        <v/>
      </c>
      <c r="AB160">
        <f>IF($J160="","待填",IF(AND(ISNUMBER($J160),$J160&gt;=1,$J160&lt;=500,MOD($J160,1)=0),"有效","超范围"))</f>
        <v/>
      </c>
      <c r="AC160">
        <f>IF(C160&lt;&gt;C159,"新玩法组",IF(J160&gt;=J159,"不降","回退"))</f>
        <v/>
      </c>
      <c r="AD160" t="inlineStr">
        <is>
          <t>等效进度估算S14，非解锁/首通节点；旧Lv27→25</t>
        </is>
      </c>
      <c r="AE160" s="4" t="n">
        <v>115000</v>
      </c>
      <c r="AF160" s="4">
        <f>INDEX(_统一战力!$B$2:$B$501,J160)</f>
        <v/>
      </c>
    </row>
    <row r="161">
      <c r="A161" t="inlineStr">
        <is>
          <t>当前源表</t>
        </is>
      </c>
      <c r="B161" t="inlineStr">
        <is>
          <t>其他战斗玩法</t>
        </is>
      </c>
      <c r="C161" t="inlineStr">
        <is>
          <t>LevelType_SubLevel</t>
        </is>
      </c>
      <c r="D161" t="inlineStr">
        <is>
          <t>战斗</t>
        </is>
      </c>
      <c r="E161" t="inlineStr">
        <is>
          <t>120706</t>
        </is>
      </c>
      <c r="F161" t="inlineStr">
        <is>
          <t>普通怪</t>
        </is>
      </c>
      <c r="G161" t="n">
        <v>14</v>
      </c>
      <c r="I161">
        <f>IF($H161="",$G161,$H161)</f>
        <v/>
      </c>
      <c r="J161" t="n">
        <v>141</v>
      </c>
      <c r="K161" s="83" t="n">
        <v>1.1</v>
      </c>
      <c r="L161" s="83" t="n">
        <v>1.1</v>
      </c>
      <c r="M161" s="83" t="n">
        <v>1</v>
      </c>
      <c r="N161" t="n">
        <v>1</v>
      </c>
      <c r="O161" t="n">
        <v>1</v>
      </c>
      <c r="P161" s="17" t="n">
        <v>0.43158465215541</v>
      </c>
      <c r="Q161" s="21">
        <f>IF($I161="","",IFERROR(INDEX(_玩家曲线!$H$2:$H$286,MATCH($I161,_玩家曲线!$A$2:$A$286,0)),""))</f>
        <v/>
      </c>
      <c r="R161" s="21">
        <f>IF($I161="","",IFERROR(INDEX(_玩家曲线!$I$2:$I$286,MATCH($I161,_玩家曲线!$A$2:$A$286,0)),""))</f>
        <v/>
      </c>
      <c r="S161" s="21">
        <f>IF(OR($J161="",$F161="不适用"),"",IFERROR(INDEX(_怪物模型!$D$2:$D$4501,(INT($J161)-1)*ROWS(_怪物类型!$A$2:$A$10)+MATCH($F161,_怪物类型!$A$2:$A$10,0))*IF($K161="",1,$K161),""))</f>
        <v/>
      </c>
      <c r="T161" s="21">
        <f>IF(OR($J161="",$F161="不适用"),"",IFERROR(INDEX(_怪物模型!$E$2:$E$4501,(INT($J161)-1)*ROWS(_怪物类型!$A$2:$A$10)+MATCH($F161,_怪物类型!$A$2:$A$10,0))*IF($L161="",1,$L161),""))</f>
        <v/>
      </c>
      <c r="U161" s="21">
        <f>IF(OR($J161="",$F161="不适用"),"",IFERROR(INDEX(_怪物模型!$F$2:$F$4501,(INT($J161)-1)*ROWS(_怪物类型!$A$2:$A$10)+MATCH($F161,_怪物类型!$A$2:$A$10,0))*IF($M161="",1,$M161),""))</f>
        <v/>
      </c>
      <c r="V161" s="84">
        <f>IF($U161="","",MIN(0.75,$U161/($U161+24000)))</f>
        <v/>
      </c>
      <c r="W161" s="21">
        <f>IF($S161="","",$S161/(1-$V161)*IF($N161="",1,$N161))</f>
        <v/>
      </c>
      <c r="X161" s="17">
        <f>IF(OR($W161="",$Q161="",$Q161=0),"",$W161/$Q161)</f>
        <v/>
      </c>
      <c r="Y161" s="17">
        <f>IF(OR($R161="",$T161="",$T161=0),"",$R161/($T161*IF($O161="",1,$O161)))</f>
        <v/>
      </c>
      <c r="Z161" s="17">
        <f>IF(OR($X161="",$P161="",$P161=0),"",$X161/$P161)</f>
        <v/>
      </c>
      <c r="AA161">
        <f>IF($J161="","待填怪物等级",IF(OR($I161="",$Q161=""),"待填对照关卡",IF($P161="","已计算",IF(AND($Y161&lt;&gt;"",$Y161&lt;$X161),"生存不成立",IF($Z161&lt;0.5,"碾压",IF($Z161&lt;0.8,"偏简单",IF($Z161&lt;=1.2,"适中",IF($Z161&lt;=1.5,"偏难","过难"))))))))</f>
        <v/>
      </c>
      <c r="AB161">
        <f>IF($J161="","待填",IF(AND(ISNUMBER($J161),$J161&gt;=1,$J161&lt;=500,MOD($J161,1)=0),"有效","超范围"))</f>
        <v/>
      </c>
      <c r="AC161">
        <f>IF(C161&lt;&gt;C160,"新玩法组",IF(J161&gt;=J160,"不降","回退"))</f>
        <v/>
      </c>
      <c r="AD161" t="inlineStr">
        <is>
          <t>等效进度估算S14，非解锁/首通节点；旧Lv27→25</t>
        </is>
      </c>
      <c r="AE161" s="4" t="n">
        <v>125000</v>
      </c>
      <c r="AF161" s="4">
        <f>INDEX(_统一战力!$B$2:$B$501,J161)</f>
        <v/>
      </c>
    </row>
    <row r="162">
      <c r="A162" t="inlineStr">
        <is>
          <t>当前源表</t>
        </is>
      </c>
      <c r="B162" t="inlineStr">
        <is>
          <t>其他战斗玩法</t>
        </is>
      </c>
      <c r="C162" t="inlineStr">
        <is>
          <t>LevelType_Wild</t>
        </is>
      </c>
      <c r="D162" t="inlineStr">
        <is>
          <t>冰原野怪</t>
        </is>
      </c>
      <c r="E162" t="inlineStr">
        <is>
          <t>600101</t>
        </is>
      </c>
      <c r="F162" t="inlineStr">
        <is>
          <t>普通怪</t>
        </is>
      </c>
      <c r="G162" t="n">
        <v>7</v>
      </c>
      <c r="I162">
        <f>IF($H162="",$G162,$H162)</f>
        <v/>
      </c>
      <c r="J162" t="n">
        <v>14</v>
      </c>
      <c r="K162" s="83" t="n">
        <v>1.04759016676984</v>
      </c>
      <c r="L162" s="83" t="n">
        <v>0.82469512195122</v>
      </c>
      <c r="M162" s="83" t="n">
        <v>1</v>
      </c>
      <c r="N162" t="n">
        <v>1</v>
      </c>
      <c r="O162" t="n">
        <v>1</v>
      </c>
      <c r="P162" s="17" t="n">
        <v>0.418858868567819</v>
      </c>
      <c r="Q162" s="21">
        <f>IF($I162="","",IFERROR(INDEX(_玩家曲线!$H$2:$H$286,MATCH($I162,_玩家曲线!$A$2:$A$286,0)),""))</f>
        <v/>
      </c>
      <c r="R162" s="21">
        <f>IF($I162="","",IFERROR(INDEX(_玩家曲线!$I$2:$I$286,MATCH($I162,_玩家曲线!$A$2:$A$286,0)),""))</f>
        <v/>
      </c>
      <c r="S162" s="21">
        <f>IF(OR($J162="",$F162="不适用"),"",IFERROR(INDEX(_怪物模型!$D$2:$D$4501,(INT($J162)-1)*ROWS(_怪物类型!$A$2:$A$10)+MATCH($F162,_怪物类型!$A$2:$A$10,0))*IF($K162="",1,$K162),""))</f>
        <v/>
      </c>
      <c r="T162" s="21">
        <f>IF(OR($J162="",$F162="不适用"),"",IFERROR(INDEX(_怪物模型!$E$2:$E$4501,(INT($J162)-1)*ROWS(_怪物类型!$A$2:$A$10)+MATCH($F162,_怪物类型!$A$2:$A$10,0))*IF($L162="",1,$L162),""))</f>
        <v/>
      </c>
      <c r="U162" s="21">
        <f>IF(OR($J162="",$F162="不适用"),"",IFERROR(INDEX(_怪物模型!$F$2:$F$4501,(INT($J162)-1)*ROWS(_怪物类型!$A$2:$A$10)+MATCH($F162,_怪物类型!$A$2:$A$10,0))*IF($M162="",1,$M162),""))</f>
        <v/>
      </c>
      <c r="V162" s="84">
        <f>IF($U162="","",MIN(0.75,$U162/($U162+24000)))</f>
        <v/>
      </c>
      <c r="W162" s="21">
        <f>IF($S162="","",$S162/(1-$V162)*IF($N162="",1,$N162))</f>
        <v/>
      </c>
      <c r="X162" s="17">
        <f>IF(OR($W162="",$Q162="",$Q162=0),"",$W162/$Q162)</f>
        <v/>
      </c>
      <c r="Y162" s="17">
        <f>IF(OR($R162="",$T162="",$T162=0),"",$R162/($T162*IF($O162="",1,$O162)))</f>
        <v/>
      </c>
      <c r="Z162" s="17">
        <f>IF(OR($X162="",$P162="",$P162=0),"",$X162/$P162)</f>
        <v/>
      </c>
      <c r="AA162">
        <f>IF($J162="","待填怪物等级",IF(OR($I162="",$Q162=""),"待填对照关卡",IF($P162="","已计算",IF(AND($Y162&lt;&gt;"",$Y162&lt;$X162),"生存不成立",IF($Z162&lt;0.5,"碾压",IF($Z162&lt;0.8,"偏简单",IF($Z162&lt;=1.2,"适中",IF($Z162&lt;=1.5,"偏难","过难"))))))))</f>
        <v/>
      </c>
      <c r="AB162">
        <f>IF($J162="","待填",IF(AND(ISNUMBER($J162),$J162&gt;=1,$J162&lt;=500,MOD($J162,1)=0),"有效","超范围"))</f>
        <v/>
      </c>
      <c r="AC162">
        <f>IF(C162&lt;&gt;C161,"新玩法组",IF(J162&gt;=J161,"不降","回退"))</f>
        <v/>
      </c>
      <c r="AD162" t="inlineStr">
        <is>
          <t>等效进度估算S7，非解锁/首通节点；旧Lv15→14</t>
        </is>
      </c>
      <c r="AE162" s="4" t="n">
        <v>4930</v>
      </c>
      <c r="AF162" s="4">
        <f>INDEX(_统一战力!$B$2:$B$501,J162)</f>
        <v/>
      </c>
    </row>
    <row r="163">
      <c r="A163" t="inlineStr">
        <is>
          <t>当前源表</t>
        </is>
      </c>
      <c r="B163" t="inlineStr">
        <is>
          <t>其他战斗玩法</t>
        </is>
      </c>
      <c r="C163" t="inlineStr">
        <is>
          <t>LevelType_Wild</t>
        </is>
      </c>
      <c r="D163" t="inlineStr">
        <is>
          <t>冰原野怪</t>
        </is>
      </c>
      <c r="E163" t="inlineStr">
        <is>
          <t>600102</t>
        </is>
      </c>
      <c r="F163" t="inlineStr">
        <is>
          <t>普通怪</t>
        </is>
      </c>
      <c r="G163" t="n">
        <v>7</v>
      </c>
      <c r="I163">
        <f>IF($H163="",$G163,$H163)</f>
        <v/>
      </c>
      <c r="J163" t="n">
        <v>14</v>
      </c>
      <c r="K163" s="83" t="n">
        <v>1.04759016676984</v>
      </c>
      <c r="L163" s="83" t="n">
        <v>0.82469512195122</v>
      </c>
      <c r="M163" s="83" t="n">
        <v>1</v>
      </c>
      <c r="N163" t="n">
        <v>1</v>
      </c>
      <c r="O163" t="n">
        <v>1</v>
      </c>
      <c r="P163" s="17" t="n">
        <v>0.418858868567819</v>
      </c>
      <c r="Q163" s="21">
        <f>IF($I163="","",IFERROR(INDEX(_玩家曲线!$H$2:$H$286,MATCH($I163,_玩家曲线!$A$2:$A$286,0)),""))</f>
        <v/>
      </c>
      <c r="R163" s="21">
        <f>IF($I163="","",IFERROR(INDEX(_玩家曲线!$I$2:$I$286,MATCH($I163,_玩家曲线!$A$2:$A$286,0)),""))</f>
        <v/>
      </c>
      <c r="S163" s="21">
        <f>IF(OR($J163="",$F163="不适用"),"",IFERROR(INDEX(_怪物模型!$D$2:$D$4501,(INT($J163)-1)*ROWS(_怪物类型!$A$2:$A$10)+MATCH($F163,_怪物类型!$A$2:$A$10,0))*IF($K163="",1,$K163),""))</f>
        <v/>
      </c>
      <c r="T163" s="21">
        <f>IF(OR($J163="",$F163="不适用"),"",IFERROR(INDEX(_怪物模型!$E$2:$E$4501,(INT($J163)-1)*ROWS(_怪物类型!$A$2:$A$10)+MATCH($F163,_怪物类型!$A$2:$A$10,0))*IF($L163="",1,$L163),""))</f>
        <v/>
      </c>
      <c r="U163" s="21">
        <f>IF(OR($J163="",$F163="不适用"),"",IFERROR(INDEX(_怪物模型!$F$2:$F$4501,(INT($J163)-1)*ROWS(_怪物类型!$A$2:$A$10)+MATCH($F163,_怪物类型!$A$2:$A$10,0))*IF($M163="",1,$M163),""))</f>
        <v/>
      </c>
      <c r="V163" s="84">
        <f>IF($U163="","",MIN(0.75,$U163/($U163+24000)))</f>
        <v/>
      </c>
      <c r="W163" s="21">
        <f>IF($S163="","",$S163/(1-$V163)*IF($N163="",1,$N163))</f>
        <v/>
      </c>
      <c r="X163" s="17">
        <f>IF(OR($W163="",$Q163="",$Q163=0),"",$W163/$Q163)</f>
        <v/>
      </c>
      <c r="Y163" s="17">
        <f>IF(OR($R163="",$T163="",$T163=0),"",$R163/($T163*IF($O163="",1,$O163)))</f>
        <v/>
      </c>
      <c r="Z163" s="17">
        <f>IF(OR($X163="",$P163="",$P163=0),"",$X163/$P163)</f>
        <v/>
      </c>
      <c r="AA163">
        <f>IF($J163="","待填怪物等级",IF(OR($I163="",$Q163=""),"待填对照关卡",IF($P163="","已计算",IF(AND($Y163&lt;&gt;"",$Y163&lt;$X163),"生存不成立",IF($Z163&lt;0.5,"碾压",IF($Z163&lt;0.8,"偏简单",IF($Z163&lt;=1.2,"适中",IF($Z163&lt;=1.5,"偏难","过难"))))))))</f>
        <v/>
      </c>
      <c r="AB163">
        <f>IF($J163="","待填",IF(AND(ISNUMBER($J163),$J163&gt;=1,$J163&lt;=500,MOD($J163,1)=0),"有效","超范围"))</f>
        <v/>
      </c>
      <c r="AC163">
        <f>IF(C163&lt;&gt;C162,"新玩法组",IF(J163&gt;=J162,"不降","回退"))</f>
        <v/>
      </c>
      <c r="AD163" t="inlineStr">
        <is>
          <t>等效进度估算S7，非解锁/首通节点；旧Lv15→14</t>
        </is>
      </c>
      <c r="AE163" s="4" t="n">
        <v>4930</v>
      </c>
      <c r="AF163" s="4">
        <f>INDEX(_统一战力!$B$2:$B$501,J163)</f>
        <v/>
      </c>
    </row>
    <row r="164">
      <c r="A164" t="inlineStr">
        <is>
          <t>当前源表</t>
        </is>
      </c>
      <c r="B164" t="inlineStr">
        <is>
          <t>其他战斗玩法</t>
        </is>
      </c>
      <c r="C164" t="inlineStr">
        <is>
          <t>LevelType_Wild</t>
        </is>
      </c>
      <c r="D164" t="inlineStr">
        <is>
          <t>冰原野怪</t>
        </is>
      </c>
      <c r="E164" t="inlineStr">
        <is>
          <t>600103</t>
        </is>
      </c>
      <c r="F164" t="inlineStr">
        <is>
          <t>普通怪</t>
        </is>
      </c>
      <c r="G164" t="n">
        <v>7</v>
      </c>
      <c r="I164">
        <f>IF($H164="",$G164,$H164)</f>
        <v/>
      </c>
      <c r="J164" t="n">
        <v>14</v>
      </c>
      <c r="K164" s="83" t="n">
        <v>1.04759016676984</v>
      </c>
      <c r="L164" s="83" t="n">
        <v>0.82469512195122</v>
      </c>
      <c r="M164" s="83" t="n">
        <v>1</v>
      </c>
      <c r="N164" t="n">
        <v>1</v>
      </c>
      <c r="O164" t="n">
        <v>1</v>
      </c>
      <c r="P164" s="17" t="n">
        <v>0.418858868567819</v>
      </c>
      <c r="Q164" s="21">
        <f>IF($I164="","",IFERROR(INDEX(_玩家曲线!$H$2:$H$286,MATCH($I164,_玩家曲线!$A$2:$A$286,0)),""))</f>
        <v/>
      </c>
      <c r="R164" s="21">
        <f>IF($I164="","",IFERROR(INDEX(_玩家曲线!$I$2:$I$286,MATCH($I164,_玩家曲线!$A$2:$A$286,0)),""))</f>
        <v/>
      </c>
      <c r="S164" s="21">
        <f>IF(OR($J164="",$F164="不适用"),"",IFERROR(INDEX(_怪物模型!$D$2:$D$4501,(INT($J164)-1)*ROWS(_怪物类型!$A$2:$A$10)+MATCH($F164,_怪物类型!$A$2:$A$10,0))*IF($K164="",1,$K164),""))</f>
        <v/>
      </c>
      <c r="T164" s="21">
        <f>IF(OR($J164="",$F164="不适用"),"",IFERROR(INDEX(_怪物模型!$E$2:$E$4501,(INT($J164)-1)*ROWS(_怪物类型!$A$2:$A$10)+MATCH($F164,_怪物类型!$A$2:$A$10,0))*IF($L164="",1,$L164),""))</f>
        <v/>
      </c>
      <c r="U164" s="21">
        <f>IF(OR($J164="",$F164="不适用"),"",IFERROR(INDEX(_怪物模型!$F$2:$F$4501,(INT($J164)-1)*ROWS(_怪物类型!$A$2:$A$10)+MATCH($F164,_怪物类型!$A$2:$A$10,0))*IF($M164="",1,$M164),""))</f>
        <v/>
      </c>
      <c r="V164" s="84">
        <f>IF($U164="","",MIN(0.75,$U164/($U164+24000)))</f>
        <v/>
      </c>
      <c r="W164" s="21">
        <f>IF($S164="","",$S164/(1-$V164)*IF($N164="",1,$N164))</f>
        <v/>
      </c>
      <c r="X164" s="17">
        <f>IF(OR($W164="",$Q164="",$Q164=0),"",$W164/$Q164)</f>
        <v/>
      </c>
      <c r="Y164" s="17">
        <f>IF(OR($R164="",$T164="",$T164=0),"",$R164/($T164*IF($O164="",1,$O164)))</f>
        <v/>
      </c>
      <c r="Z164" s="17">
        <f>IF(OR($X164="",$P164="",$P164=0),"",$X164/$P164)</f>
        <v/>
      </c>
      <c r="AA164">
        <f>IF($J164="","待填怪物等级",IF(OR($I164="",$Q164=""),"待填对照关卡",IF($P164="","已计算",IF(AND($Y164&lt;&gt;"",$Y164&lt;$X164),"生存不成立",IF($Z164&lt;0.5,"碾压",IF($Z164&lt;0.8,"偏简单",IF($Z164&lt;=1.2,"适中",IF($Z164&lt;=1.5,"偏难","过难"))))))))</f>
        <v/>
      </c>
      <c r="AB164">
        <f>IF($J164="","待填",IF(AND(ISNUMBER($J164),$J164&gt;=1,$J164&lt;=500,MOD($J164,1)=0),"有效","超范围"))</f>
        <v/>
      </c>
      <c r="AC164">
        <f>IF(C164&lt;&gt;C163,"新玩法组",IF(J164&gt;=J163,"不降","回退"))</f>
        <v/>
      </c>
      <c r="AD164" t="inlineStr">
        <is>
          <t>等效进度估算S7，非解锁/首通节点；旧Lv15→14</t>
        </is>
      </c>
      <c r="AE164" s="4" t="n">
        <v>4930</v>
      </c>
      <c r="AF164" s="4">
        <f>INDEX(_统一战力!$B$2:$B$501,J164)</f>
        <v/>
      </c>
    </row>
    <row r="165">
      <c r="A165" t="inlineStr">
        <is>
          <t>当前源表</t>
        </is>
      </c>
      <c r="B165" t="inlineStr">
        <is>
          <t>其他战斗玩法</t>
        </is>
      </c>
      <c r="C165" t="inlineStr">
        <is>
          <t>LevelType_Wild</t>
        </is>
      </c>
      <c r="D165" t="inlineStr">
        <is>
          <t>冰原野怪</t>
        </is>
      </c>
      <c r="E165" t="inlineStr">
        <is>
          <t>600104</t>
        </is>
      </c>
      <c r="F165" t="inlineStr">
        <is>
          <t>普通怪</t>
        </is>
      </c>
      <c r="G165" t="n">
        <v>7</v>
      </c>
      <c r="I165">
        <f>IF($H165="",$G165,$H165)</f>
        <v/>
      </c>
      <c r="J165" t="n">
        <v>14</v>
      </c>
      <c r="K165" s="83" t="n">
        <v>1.04759016676984</v>
      </c>
      <c r="L165" s="83" t="n">
        <v>0.82469512195122</v>
      </c>
      <c r="M165" s="83" t="n">
        <v>1</v>
      </c>
      <c r="N165" t="n">
        <v>1</v>
      </c>
      <c r="O165" t="n">
        <v>1</v>
      </c>
      <c r="P165" s="17" t="n">
        <v>0.418858868567819</v>
      </c>
      <c r="Q165" s="21">
        <f>IF($I165="","",IFERROR(INDEX(_玩家曲线!$H$2:$H$286,MATCH($I165,_玩家曲线!$A$2:$A$286,0)),""))</f>
        <v/>
      </c>
      <c r="R165" s="21">
        <f>IF($I165="","",IFERROR(INDEX(_玩家曲线!$I$2:$I$286,MATCH($I165,_玩家曲线!$A$2:$A$286,0)),""))</f>
        <v/>
      </c>
      <c r="S165" s="21">
        <f>IF(OR($J165="",$F165="不适用"),"",IFERROR(INDEX(_怪物模型!$D$2:$D$4501,(INT($J165)-1)*ROWS(_怪物类型!$A$2:$A$10)+MATCH($F165,_怪物类型!$A$2:$A$10,0))*IF($K165="",1,$K165),""))</f>
        <v/>
      </c>
      <c r="T165" s="21">
        <f>IF(OR($J165="",$F165="不适用"),"",IFERROR(INDEX(_怪物模型!$E$2:$E$4501,(INT($J165)-1)*ROWS(_怪物类型!$A$2:$A$10)+MATCH($F165,_怪物类型!$A$2:$A$10,0))*IF($L165="",1,$L165),""))</f>
        <v/>
      </c>
      <c r="U165" s="21">
        <f>IF(OR($J165="",$F165="不适用"),"",IFERROR(INDEX(_怪物模型!$F$2:$F$4501,(INT($J165)-1)*ROWS(_怪物类型!$A$2:$A$10)+MATCH($F165,_怪物类型!$A$2:$A$10,0))*IF($M165="",1,$M165),""))</f>
        <v/>
      </c>
      <c r="V165" s="84">
        <f>IF($U165="","",MIN(0.75,$U165/($U165+24000)))</f>
        <v/>
      </c>
      <c r="W165" s="21">
        <f>IF($S165="","",$S165/(1-$V165)*IF($N165="",1,$N165))</f>
        <v/>
      </c>
      <c r="X165" s="17">
        <f>IF(OR($W165="",$Q165="",$Q165=0),"",$W165/$Q165)</f>
        <v/>
      </c>
      <c r="Y165" s="17">
        <f>IF(OR($R165="",$T165="",$T165=0),"",$R165/($T165*IF($O165="",1,$O165)))</f>
        <v/>
      </c>
      <c r="Z165" s="17">
        <f>IF(OR($X165="",$P165="",$P165=0),"",$X165/$P165)</f>
        <v/>
      </c>
      <c r="AA165">
        <f>IF($J165="","待填怪物等级",IF(OR($I165="",$Q165=""),"待填对照关卡",IF($P165="","已计算",IF(AND($Y165&lt;&gt;"",$Y165&lt;$X165),"生存不成立",IF($Z165&lt;0.5,"碾压",IF($Z165&lt;0.8,"偏简单",IF($Z165&lt;=1.2,"适中",IF($Z165&lt;=1.5,"偏难","过难"))))))))</f>
        <v/>
      </c>
      <c r="AB165">
        <f>IF($J165="","待填",IF(AND(ISNUMBER($J165),$J165&gt;=1,$J165&lt;=500,MOD($J165,1)=0),"有效","超范围"))</f>
        <v/>
      </c>
      <c r="AC165">
        <f>IF(C165&lt;&gt;C164,"新玩法组",IF(J165&gt;=J164,"不降","回退"))</f>
        <v/>
      </c>
      <c r="AD165" t="inlineStr">
        <is>
          <t>等效进度估算S7，非解锁/首通节点；旧Lv15→14</t>
        </is>
      </c>
      <c r="AE165" s="4" t="n">
        <v>4930</v>
      </c>
      <c r="AF165" s="4">
        <f>INDEX(_统一战力!$B$2:$B$501,J165)</f>
        <v/>
      </c>
    </row>
    <row r="166">
      <c r="A166" t="inlineStr">
        <is>
          <t>当前源表</t>
        </is>
      </c>
      <c r="B166" t="inlineStr">
        <is>
          <t>其他战斗玩法</t>
        </is>
      </c>
      <c r="C166" t="inlineStr">
        <is>
          <t>LevelType_Wild</t>
        </is>
      </c>
      <c r="D166" t="inlineStr">
        <is>
          <t>冰原野怪</t>
        </is>
      </c>
      <c r="E166" t="inlineStr">
        <is>
          <t>600105</t>
        </is>
      </c>
      <c r="F166" t="inlineStr">
        <is>
          <t>普通怪</t>
        </is>
      </c>
      <c r="G166" t="n">
        <v>7</v>
      </c>
      <c r="I166">
        <f>IF($H166="",$G166,$H166)</f>
        <v/>
      </c>
      <c r="J166" t="n">
        <v>14</v>
      </c>
      <c r="K166" s="83" t="n">
        <v>1.04759016676984</v>
      </c>
      <c r="L166" s="83" t="n">
        <v>0.82469512195122</v>
      </c>
      <c r="M166" s="83" t="n">
        <v>1</v>
      </c>
      <c r="N166" t="n">
        <v>1</v>
      </c>
      <c r="O166" t="n">
        <v>1</v>
      </c>
      <c r="P166" s="17" t="n">
        <v>0.418858868567819</v>
      </c>
      <c r="Q166" s="21">
        <f>IF($I166="","",IFERROR(INDEX(_玩家曲线!$H$2:$H$286,MATCH($I166,_玩家曲线!$A$2:$A$286,0)),""))</f>
        <v/>
      </c>
      <c r="R166" s="21">
        <f>IF($I166="","",IFERROR(INDEX(_玩家曲线!$I$2:$I$286,MATCH($I166,_玩家曲线!$A$2:$A$286,0)),""))</f>
        <v/>
      </c>
      <c r="S166" s="21">
        <f>IF(OR($J166="",$F166="不适用"),"",IFERROR(INDEX(_怪物模型!$D$2:$D$4501,(INT($J166)-1)*ROWS(_怪物类型!$A$2:$A$10)+MATCH($F166,_怪物类型!$A$2:$A$10,0))*IF($K166="",1,$K166),""))</f>
        <v/>
      </c>
      <c r="T166" s="21">
        <f>IF(OR($J166="",$F166="不适用"),"",IFERROR(INDEX(_怪物模型!$E$2:$E$4501,(INT($J166)-1)*ROWS(_怪物类型!$A$2:$A$10)+MATCH($F166,_怪物类型!$A$2:$A$10,0))*IF($L166="",1,$L166),""))</f>
        <v/>
      </c>
      <c r="U166" s="21">
        <f>IF(OR($J166="",$F166="不适用"),"",IFERROR(INDEX(_怪物模型!$F$2:$F$4501,(INT($J166)-1)*ROWS(_怪物类型!$A$2:$A$10)+MATCH($F166,_怪物类型!$A$2:$A$10,0))*IF($M166="",1,$M166),""))</f>
        <v/>
      </c>
      <c r="V166" s="84">
        <f>IF($U166="","",MIN(0.75,$U166/($U166+24000)))</f>
        <v/>
      </c>
      <c r="W166" s="21">
        <f>IF($S166="","",$S166/(1-$V166)*IF($N166="",1,$N166))</f>
        <v/>
      </c>
      <c r="X166" s="17">
        <f>IF(OR($W166="",$Q166="",$Q166=0),"",$W166/$Q166)</f>
        <v/>
      </c>
      <c r="Y166" s="17">
        <f>IF(OR($R166="",$T166="",$T166=0),"",$R166/($T166*IF($O166="",1,$O166)))</f>
        <v/>
      </c>
      <c r="Z166" s="17">
        <f>IF(OR($X166="",$P166="",$P166=0),"",$X166/$P166)</f>
        <v/>
      </c>
      <c r="AA166">
        <f>IF($J166="","待填怪物等级",IF(OR($I166="",$Q166=""),"待填对照关卡",IF($P166="","已计算",IF(AND($Y166&lt;&gt;"",$Y166&lt;$X166),"生存不成立",IF($Z166&lt;0.5,"碾压",IF($Z166&lt;0.8,"偏简单",IF($Z166&lt;=1.2,"适中",IF($Z166&lt;=1.5,"偏难","过难"))))))))</f>
        <v/>
      </c>
      <c r="AB166">
        <f>IF($J166="","待填",IF(AND(ISNUMBER($J166),$J166&gt;=1,$J166&lt;=500,MOD($J166,1)=0),"有效","超范围"))</f>
        <v/>
      </c>
      <c r="AC166">
        <f>IF(C166&lt;&gt;C165,"新玩法组",IF(J166&gt;=J165,"不降","回退"))</f>
        <v/>
      </c>
      <c r="AD166" t="inlineStr">
        <is>
          <t>等效进度估算S7，非解锁/首通节点；旧Lv15→14</t>
        </is>
      </c>
      <c r="AE166" s="4" t="n">
        <v>4930</v>
      </c>
      <c r="AF166" s="4">
        <f>INDEX(_统一战力!$B$2:$B$501,J166)</f>
        <v/>
      </c>
    </row>
    <row r="167">
      <c r="A167" t="inlineStr">
        <is>
          <t>当前源表</t>
        </is>
      </c>
      <c r="B167" t="inlineStr">
        <is>
          <t>其他战斗玩法</t>
        </is>
      </c>
      <c r="C167" t="inlineStr">
        <is>
          <t>LevelType_Wild</t>
        </is>
      </c>
      <c r="D167" t="inlineStr">
        <is>
          <t>冰原野怪</t>
        </is>
      </c>
      <c r="E167" t="inlineStr">
        <is>
          <t>600106</t>
        </is>
      </c>
      <c r="F167" t="inlineStr">
        <is>
          <t>普通怪</t>
        </is>
      </c>
      <c r="G167" t="n">
        <v>7</v>
      </c>
      <c r="I167">
        <f>IF($H167="",$G167,$H167)</f>
        <v/>
      </c>
      <c r="J167" t="n">
        <v>14</v>
      </c>
      <c r="K167" s="83" t="n">
        <v>1.04759016676984</v>
      </c>
      <c r="L167" s="83" t="n">
        <v>0.82469512195122</v>
      </c>
      <c r="M167" s="83" t="n">
        <v>1</v>
      </c>
      <c r="N167" t="n">
        <v>1</v>
      </c>
      <c r="O167" t="n">
        <v>1</v>
      </c>
      <c r="P167" s="17" t="n">
        <v>0.418858868567819</v>
      </c>
      <c r="Q167" s="21">
        <f>IF($I167="","",IFERROR(INDEX(_玩家曲线!$H$2:$H$286,MATCH($I167,_玩家曲线!$A$2:$A$286,0)),""))</f>
        <v/>
      </c>
      <c r="R167" s="21">
        <f>IF($I167="","",IFERROR(INDEX(_玩家曲线!$I$2:$I$286,MATCH($I167,_玩家曲线!$A$2:$A$286,0)),""))</f>
        <v/>
      </c>
      <c r="S167" s="21">
        <f>IF(OR($J167="",$F167="不适用"),"",IFERROR(INDEX(_怪物模型!$D$2:$D$4501,(INT($J167)-1)*ROWS(_怪物类型!$A$2:$A$10)+MATCH($F167,_怪物类型!$A$2:$A$10,0))*IF($K167="",1,$K167),""))</f>
        <v/>
      </c>
      <c r="T167" s="21">
        <f>IF(OR($J167="",$F167="不适用"),"",IFERROR(INDEX(_怪物模型!$E$2:$E$4501,(INT($J167)-1)*ROWS(_怪物类型!$A$2:$A$10)+MATCH($F167,_怪物类型!$A$2:$A$10,0))*IF($L167="",1,$L167),""))</f>
        <v/>
      </c>
      <c r="U167" s="21">
        <f>IF(OR($J167="",$F167="不适用"),"",IFERROR(INDEX(_怪物模型!$F$2:$F$4501,(INT($J167)-1)*ROWS(_怪物类型!$A$2:$A$10)+MATCH($F167,_怪物类型!$A$2:$A$10,0))*IF($M167="",1,$M167),""))</f>
        <v/>
      </c>
      <c r="V167" s="84">
        <f>IF($U167="","",MIN(0.75,$U167/($U167+24000)))</f>
        <v/>
      </c>
      <c r="W167" s="21">
        <f>IF($S167="","",$S167/(1-$V167)*IF($N167="",1,$N167))</f>
        <v/>
      </c>
      <c r="X167" s="17">
        <f>IF(OR($W167="",$Q167="",$Q167=0),"",$W167/$Q167)</f>
        <v/>
      </c>
      <c r="Y167" s="17">
        <f>IF(OR($R167="",$T167="",$T167=0),"",$R167/($T167*IF($O167="",1,$O167)))</f>
        <v/>
      </c>
      <c r="Z167" s="17">
        <f>IF(OR($X167="",$P167="",$P167=0),"",$X167/$P167)</f>
        <v/>
      </c>
      <c r="AA167">
        <f>IF($J167="","待填怪物等级",IF(OR($I167="",$Q167=""),"待填对照关卡",IF($P167="","已计算",IF(AND($Y167&lt;&gt;"",$Y167&lt;$X167),"生存不成立",IF($Z167&lt;0.5,"碾压",IF($Z167&lt;0.8,"偏简单",IF($Z167&lt;=1.2,"适中",IF($Z167&lt;=1.5,"偏难","过难"))))))))</f>
        <v/>
      </c>
      <c r="AB167">
        <f>IF($J167="","待填",IF(AND(ISNUMBER($J167),$J167&gt;=1,$J167&lt;=500,MOD($J167,1)=0),"有效","超范围"))</f>
        <v/>
      </c>
      <c r="AC167">
        <f>IF(C167&lt;&gt;C166,"新玩法组",IF(J167&gt;=J166,"不降","回退"))</f>
        <v/>
      </c>
      <c r="AD167" t="inlineStr">
        <is>
          <t>等效进度估算S7，非解锁/首通节点；旧Lv15→14</t>
        </is>
      </c>
      <c r="AE167" s="4" t="n">
        <v>4930</v>
      </c>
      <c r="AF167" s="4">
        <f>INDEX(_统一战力!$B$2:$B$501,J167)</f>
        <v/>
      </c>
    </row>
    <row r="168">
      <c r="A168" t="inlineStr">
        <is>
          <t>当前源表</t>
        </is>
      </c>
      <c r="B168" t="inlineStr">
        <is>
          <t>其他战斗玩法</t>
        </is>
      </c>
      <c r="C168" t="inlineStr">
        <is>
          <t>LevelType_Wild</t>
        </is>
      </c>
      <c r="D168" t="inlineStr">
        <is>
          <t>任务野怪1</t>
        </is>
      </c>
      <c r="E168" t="inlineStr">
        <is>
          <t>600107</t>
        </is>
      </c>
      <c r="F168" t="inlineStr">
        <is>
          <t>普通怪</t>
        </is>
      </c>
      <c r="G168" t="n">
        <v>7</v>
      </c>
      <c r="I168">
        <f>IF($H168="",$G168,$H168)</f>
        <v/>
      </c>
      <c r="J168" t="n">
        <v>14</v>
      </c>
      <c r="K168" s="83" t="n">
        <v>1.04759016676984</v>
      </c>
      <c r="L168" s="83" t="n">
        <v>0.82469512195122</v>
      </c>
      <c r="M168" s="83" t="n">
        <v>1</v>
      </c>
      <c r="N168" t="n">
        <v>1</v>
      </c>
      <c r="O168" t="n">
        <v>1</v>
      </c>
      <c r="P168" s="17" t="n">
        <v>0.418858868567819</v>
      </c>
      <c r="Q168" s="21">
        <f>IF($I168="","",IFERROR(INDEX(_玩家曲线!$H$2:$H$286,MATCH($I168,_玩家曲线!$A$2:$A$286,0)),""))</f>
        <v/>
      </c>
      <c r="R168" s="21">
        <f>IF($I168="","",IFERROR(INDEX(_玩家曲线!$I$2:$I$286,MATCH($I168,_玩家曲线!$A$2:$A$286,0)),""))</f>
        <v/>
      </c>
      <c r="S168" s="21">
        <f>IF(OR($J168="",$F168="不适用"),"",IFERROR(INDEX(_怪物模型!$D$2:$D$4501,(INT($J168)-1)*ROWS(_怪物类型!$A$2:$A$10)+MATCH($F168,_怪物类型!$A$2:$A$10,0))*IF($K168="",1,$K168),""))</f>
        <v/>
      </c>
      <c r="T168" s="21">
        <f>IF(OR($J168="",$F168="不适用"),"",IFERROR(INDEX(_怪物模型!$E$2:$E$4501,(INT($J168)-1)*ROWS(_怪物类型!$A$2:$A$10)+MATCH($F168,_怪物类型!$A$2:$A$10,0))*IF($L168="",1,$L168),""))</f>
        <v/>
      </c>
      <c r="U168" s="21">
        <f>IF(OR($J168="",$F168="不适用"),"",IFERROR(INDEX(_怪物模型!$F$2:$F$4501,(INT($J168)-1)*ROWS(_怪物类型!$A$2:$A$10)+MATCH($F168,_怪物类型!$A$2:$A$10,0))*IF($M168="",1,$M168),""))</f>
        <v/>
      </c>
      <c r="V168" s="84">
        <f>IF($U168="","",MIN(0.75,$U168/($U168+24000)))</f>
        <v/>
      </c>
      <c r="W168" s="21">
        <f>IF($S168="","",$S168/(1-$V168)*IF($N168="",1,$N168))</f>
        <v/>
      </c>
      <c r="X168" s="17">
        <f>IF(OR($W168="",$Q168="",$Q168=0),"",$W168/$Q168)</f>
        <v/>
      </c>
      <c r="Y168" s="17">
        <f>IF(OR($R168="",$T168="",$T168=0),"",$R168/($T168*IF($O168="",1,$O168)))</f>
        <v/>
      </c>
      <c r="Z168" s="17">
        <f>IF(OR($X168="",$P168="",$P168=0),"",$X168/$P168)</f>
        <v/>
      </c>
      <c r="AA168">
        <f>IF($J168="","待填怪物等级",IF(OR($I168="",$Q168=""),"待填对照关卡",IF($P168="","已计算",IF(AND($Y168&lt;&gt;"",$Y168&lt;$X168),"生存不成立",IF($Z168&lt;0.5,"碾压",IF($Z168&lt;0.8,"偏简单",IF($Z168&lt;=1.2,"适中",IF($Z168&lt;=1.5,"偏难","过难"))))))))</f>
        <v/>
      </c>
      <c r="AB168">
        <f>IF($J168="","待填",IF(AND(ISNUMBER($J168),$J168&gt;=1,$J168&lt;=500,MOD($J168,1)=0),"有效","超范围"))</f>
        <v/>
      </c>
      <c r="AC168">
        <f>IF(C168&lt;&gt;C167,"新玩法组",IF(J168&gt;=J167,"不降","回退"))</f>
        <v/>
      </c>
      <c r="AD168" t="inlineStr">
        <is>
          <t>等效进度估算S7，非解锁/首通节点；旧Lv15→14</t>
        </is>
      </c>
      <c r="AE168" s="4" t="n">
        <v>4930</v>
      </c>
      <c r="AF168" s="4">
        <f>INDEX(_统一战力!$B$2:$B$501,J168)</f>
        <v/>
      </c>
    </row>
    <row r="169">
      <c r="A169" t="inlineStr">
        <is>
          <t>当前源表</t>
        </is>
      </c>
      <c r="B169" t="inlineStr">
        <is>
          <t>其他战斗玩法</t>
        </is>
      </c>
      <c r="C169" t="inlineStr">
        <is>
          <t>LevelType_Wild</t>
        </is>
      </c>
      <c r="D169" t="inlineStr">
        <is>
          <t>任务野怪1</t>
        </is>
      </c>
      <c r="E169" t="inlineStr">
        <is>
          <t>600108</t>
        </is>
      </c>
      <c r="F169" t="inlineStr">
        <is>
          <t>普通怪</t>
        </is>
      </c>
      <c r="G169" t="n">
        <v>7</v>
      </c>
      <c r="I169">
        <f>IF($H169="",$G169,$H169)</f>
        <v/>
      </c>
      <c r="J169" t="n">
        <v>14</v>
      </c>
      <c r="K169" s="83" t="n">
        <v>1.04759016676984</v>
      </c>
      <c r="L169" s="83" t="n">
        <v>0.82469512195122</v>
      </c>
      <c r="M169" s="83" t="n">
        <v>1</v>
      </c>
      <c r="N169" t="n">
        <v>1</v>
      </c>
      <c r="O169" t="n">
        <v>1</v>
      </c>
      <c r="P169" s="17" t="n">
        <v>0.418858868567819</v>
      </c>
      <c r="Q169" s="21">
        <f>IF($I169="","",IFERROR(INDEX(_玩家曲线!$H$2:$H$286,MATCH($I169,_玩家曲线!$A$2:$A$286,0)),""))</f>
        <v/>
      </c>
      <c r="R169" s="21">
        <f>IF($I169="","",IFERROR(INDEX(_玩家曲线!$I$2:$I$286,MATCH($I169,_玩家曲线!$A$2:$A$286,0)),""))</f>
        <v/>
      </c>
      <c r="S169" s="21">
        <f>IF(OR($J169="",$F169="不适用"),"",IFERROR(INDEX(_怪物模型!$D$2:$D$4501,(INT($J169)-1)*ROWS(_怪物类型!$A$2:$A$10)+MATCH($F169,_怪物类型!$A$2:$A$10,0))*IF($K169="",1,$K169),""))</f>
        <v/>
      </c>
      <c r="T169" s="21">
        <f>IF(OR($J169="",$F169="不适用"),"",IFERROR(INDEX(_怪物模型!$E$2:$E$4501,(INT($J169)-1)*ROWS(_怪物类型!$A$2:$A$10)+MATCH($F169,_怪物类型!$A$2:$A$10,0))*IF($L169="",1,$L169),""))</f>
        <v/>
      </c>
      <c r="U169" s="21">
        <f>IF(OR($J169="",$F169="不适用"),"",IFERROR(INDEX(_怪物模型!$F$2:$F$4501,(INT($J169)-1)*ROWS(_怪物类型!$A$2:$A$10)+MATCH($F169,_怪物类型!$A$2:$A$10,0))*IF($M169="",1,$M169),""))</f>
        <v/>
      </c>
      <c r="V169" s="84">
        <f>IF($U169="","",MIN(0.75,$U169/($U169+24000)))</f>
        <v/>
      </c>
      <c r="W169" s="21">
        <f>IF($S169="","",$S169/(1-$V169)*IF($N169="",1,$N169))</f>
        <v/>
      </c>
      <c r="X169" s="17">
        <f>IF(OR($W169="",$Q169="",$Q169=0),"",$W169/$Q169)</f>
        <v/>
      </c>
      <c r="Y169" s="17">
        <f>IF(OR($R169="",$T169="",$T169=0),"",$R169/($T169*IF($O169="",1,$O169)))</f>
        <v/>
      </c>
      <c r="Z169" s="17">
        <f>IF(OR($X169="",$P169="",$P169=0),"",$X169/$P169)</f>
        <v/>
      </c>
      <c r="AA169">
        <f>IF($J169="","待填怪物等级",IF(OR($I169="",$Q169=""),"待填对照关卡",IF($P169="","已计算",IF(AND($Y169&lt;&gt;"",$Y169&lt;$X169),"生存不成立",IF($Z169&lt;0.5,"碾压",IF($Z169&lt;0.8,"偏简单",IF($Z169&lt;=1.2,"适中",IF($Z169&lt;=1.5,"偏难","过难"))))))))</f>
        <v/>
      </c>
      <c r="AB169">
        <f>IF($J169="","待填",IF(AND(ISNUMBER($J169),$J169&gt;=1,$J169&lt;=500,MOD($J169,1)=0),"有效","超范围"))</f>
        <v/>
      </c>
      <c r="AC169">
        <f>IF(C169&lt;&gt;C168,"新玩法组",IF(J169&gt;=J168,"不降","回退"))</f>
        <v/>
      </c>
      <c r="AD169" t="inlineStr">
        <is>
          <t>等效进度估算S7，非解锁/首通节点；旧Lv15→14</t>
        </is>
      </c>
      <c r="AE169" s="4" t="n">
        <v>4930</v>
      </c>
      <c r="AF169" s="4">
        <f>INDEX(_统一战力!$B$2:$B$501,J169)</f>
        <v/>
      </c>
    </row>
    <row r="170">
      <c r="A170" t="inlineStr">
        <is>
          <t>当前源表</t>
        </is>
      </c>
      <c r="B170" t="inlineStr">
        <is>
          <t>其他战斗玩法</t>
        </is>
      </c>
      <c r="C170" t="inlineStr">
        <is>
          <t>LevelType_Wild</t>
        </is>
      </c>
      <c r="D170" t="inlineStr">
        <is>
          <t>冰原野怪</t>
        </is>
      </c>
      <c r="E170" t="inlineStr">
        <is>
          <t>600109</t>
        </is>
      </c>
      <c r="F170" t="inlineStr">
        <is>
          <t>普通怪</t>
        </is>
      </c>
      <c r="G170" t="n">
        <v>7</v>
      </c>
      <c r="I170">
        <f>IF($H170="",$G170,$H170)</f>
        <v/>
      </c>
      <c r="J170" t="n">
        <v>14</v>
      </c>
      <c r="K170" s="83" t="n">
        <v>1.04759016676984</v>
      </c>
      <c r="L170" s="83" t="n">
        <v>0.82469512195122</v>
      </c>
      <c r="M170" s="83" t="n">
        <v>1</v>
      </c>
      <c r="N170" t="n">
        <v>1</v>
      </c>
      <c r="O170" t="n">
        <v>1</v>
      </c>
      <c r="P170" s="17" t="n">
        <v>0.418858868567819</v>
      </c>
      <c r="Q170" s="21">
        <f>IF($I170="","",IFERROR(INDEX(_玩家曲线!$H$2:$H$286,MATCH($I170,_玩家曲线!$A$2:$A$286,0)),""))</f>
        <v/>
      </c>
      <c r="R170" s="21">
        <f>IF($I170="","",IFERROR(INDEX(_玩家曲线!$I$2:$I$286,MATCH($I170,_玩家曲线!$A$2:$A$286,0)),""))</f>
        <v/>
      </c>
      <c r="S170" s="21">
        <f>IF(OR($J170="",$F170="不适用"),"",IFERROR(INDEX(_怪物模型!$D$2:$D$4501,(INT($J170)-1)*ROWS(_怪物类型!$A$2:$A$10)+MATCH($F170,_怪物类型!$A$2:$A$10,0))*IF($K170="",1,$K170),""))</f>
        <v/>
      </c>
      <c r="T170" s="21">
        <f>IF(OR($J170="",$F170="不适用"),"",IFERROR(INDEX(_怪物模型!$E$2:$E$4501,(INT($J170)-1)*ROWS(_怪物类型!$A$2:$A$10)+MATCH($F170,_怪物类型!$A$2:$A$10,0))*IF($L170="",1,$L170),""))</f>
        <v/>
      </c>
      <c r="U170" s="21">
        <f>IF(OR($J170="",$F170="不适用"),"",IFERROR(INDEX(_怪物模型!$F$2:$F$4501,(INT($J170)-1)*ROWS(_怪物类型!$A$2:$A$10)+MATCH($F170,_怪物类型!$A$2:$A$10,0))*IF($M170="",1,$M170),""))</f>
        <v/>
      </c>
      <c r="V170" s="84">
        <f>IF($U170="","",MIN(0.75,$U170/($U170+24000)))</f>
        <v/>
      </c>
      <c r="W170" s="21">
        <f>IF($S170="","",$S170/(1-$V170)*IF($N170="",1,$N170))</f>
        <v/>
      </c>
      <c r="X170" s="17">
        <f>IF(OR($W170="",$Q170="",$Q170=0),"",$W170/$Q170)</f>
        <v/>
      </c>
      <c r="Y170" s="17">
        <f>IF(OR($R170="",$T170="",$T170=0),"",$R170/($T170*IF($O170="",1,$O170)))</f>
        <v/>
      </c>
      <c r="Z170" s="17">
        <f>IF(OR($X170="",$P170="",$P170=0),"",$X170/$P170)</f>
        <v/>
      </c>
      <c r="AA170">
        <f>IF($J170="","待填怪物等级",IF(OR($I170="",$Q170=""),"待填对照关卡",IF($P170="","已计算",IF(AND($Y170&lt;&gt;"",$Y170&lt;$X170),"生存不成立",IF($Z170&lt;0.5,"碾压",IF($Z170&lt;0.8,"偏简单",IF($Z170&lt;=1.2,"适中",IF($Z170&lt;=1.5,"偏难","过难"))))))))</f>
        <v/>
      </c>
      <c r="AB170">
        <f>IF($J170="","待填",IF(AND(ISNUMBER($J170),$J170&gt;=1,$J170&lt;=500,MOD($J170,1)=0),"有效","超范围"))</f>
        <v/>
      </c>
      <c r="AC170">
        <f>IF(C170&lt;&gt;C169,"新玩法组",IF(J170&gt;=J169,"不降","回退"))</f>
        <v/>
      </c>
      <c r="AD170" t="inlineStr">
        <is>
          <t>等效进度估算S7，非解锁/首通节点；旧Lv15→14</t>
        </is>
      </c>
      <c r="AE170" s="4" t="n">
        <v>4930</v>
      </c>
      <c r="AF170" s="4">
        <f>INDEX(_统一战力!$B$2:$B$501,J170)</f>
        <v/>
      </c>
    </row>
    <row r="171">
      <c r="A171" t="inlineStr">
        <is>
          <t>当前源表</t>
        </is>
      </c>
      <c r="B171" t="inlineStr">
        <is>
          <t>其他战斗玩法</t>
        </is>
      </c>
      <c r="C171" t="inlineStr">
        <is>
          <t>LevelType_Wild</t>
        </is>
      </c>
      <c r="D171" t="inlineStr">
        <is>
          <t>冰原野怪</t>
        </is>
      </c>
      <c r="E171" t="inlineStr">
        <is>
          <t>600110</t>
        </is>
      </c>
      <c r="F171" t="inlineStr">
        <is>
          <t>普通怪</t>
        </is>
      </c>
      <c r="G171" t="n">
        <v>7</v>
      </c>
      <c r="I171">
        <f>IF($H171="",$G171,$H171)</f>
        <v/>
      </c>
      <c r="J171" t="n">
        <v>14</v>
      </c>
      <c r="K171" s="83" t="n">
        <v>1.04759016676984</v>
      </c>
      <c r="L171" s="83" t="n">
        <v>0.82469512195122</v>
      </c>
      <c r="M171" s="83" t="n">
        <v>1</v>
      </c>
      <c r="N171" t="n">
        <v>1</v>
      </c>
      <c r="O171" t="n">
        <v>1</v>
      </c>
      <c r="P171" s="17" t="n">
        <v>0.418858868567819</v>
      </c>
      <c r="Q171" s="21">
        <f>IF($I171="","",IFERROR(INDEX(_玩家曲线!$H$2:$H$286,MATCH($I171,_玩家曲线!$A$2:$A$286,0)),""))</f>
        <v/>
      </c>
      <c r="R171" s="21">
        <f>IF($I171="","",IFERROR(INDEX(_玩家曲线!$I$2:$I$286,MATCH($I171,_玩家曲线!$A$2:$A$286,0)),""))</f>
        <v/>
      </c>
      <c r="S171" s="21">
        <f>IF(OR($J171="",$F171="不适用"),"",IFERROR(INDEX(_怪物模型!$D$2:$D$4501,(INT($J171)-1)*ROWS(_怪物类型!$A$2:$A$10)+MATCH($F171,_怪物类型!$A$2:$A$10,0))*IF($K171="",1,$K171),""))</f>
        <v/>
      </c>
      <c r="T171" s="21">
        <f>IF(OR($J171="",$F171="不适用"),"",IFERROR(INDEX(_怪物模型!$E$2:$E$4501,(INT($J171)-1)*ROWS(_怪物类型!$A$2:$A$10)+MATCH($F171,_怪物类型!$A$2:$A$10,0))*IF($L171="",1,$L171),""))</f>
        <v/>
      </c>
      <c r="U171" s="21">
        <f>IF(OR($J171="",$F171="不适用"),"",IFERROR(INDEX(_怪物模型!$F$2:$F$4501,(INT($J171)-1)*ROWS(_怪物类型!$A$2:$A$10)+MATCH($F171,_怪物类型!$A$2:$A$10,0))*IF($M171="",1,$M171),""))</f>
        <v/>
      </c>
      <c r="V171" s="84">
        <f>IF($U171="","",MIN(0.75,$U171/($U171+24000)))</f>
        <v/>
      </c>
      <c r="W171" s="21">
        <f>IF($S171="","",$S171/(1-$V171)*IF($N171="",1,$N171))</f>
        <v/>
      </c>
      <c r="X171" s="17">
        <f>IF(OR($W171="",$Q171="",$Q171=0),"",$W171/$Q171)</f>
        <v/>
      </c>
      <c r="Y171" s="17">
        <f>IF(OR($R171="",$T171="",$T171=0),"",$R171/($T171*IF($O171="",1,$O171)))</f>
        <v/>
      </c>
      <c r="Z171" s="17">
        <f>IF(OR($X171="",$P171="",$P171=0),"",$X171/$P171)</f>
        <v/>
      </c>
      <c r="AA171">
        <f>IF($J171="","待填怪物等级",IF(OR($I171="",$Q171=""),"待填对照关卡",IF($P171="","已计算",IF(AND($Y171&lt;&gt;"",$Y171&lt;$X171),"生存不成立",IF($Z171&lt;0.5,"碾压",IF($Z171&lt;0.8,"偏简单",IF($Z171&lt;=1.2,"适中",IF($Z171&lt;=1.5,"偏难","过难"))))))))</f>
        <v/>
      </c>
      <c r="AB171">
        <f>IF($J171="","待填",IF(AND(ISNUMBER($J171),$J171&gt;=1,$J171&lt;=500,MOD($J171,1)=0),"有效","超范围"))</f>
        <v/>
      </c>
      <c r="AC171">
        <f>IF(C171&lt;&gt;C170,"新玩法组",IF(J171&gt;=J170,"不降","回退"))</f>
        <v/>
      </c>
      <c r="AD171" t="inlineStr">
        <is>
          <t>等效进度估算S7，非解锁/首通节点；旧Lv15→14</t>
        </is>
      </c>
      <c r="AE171" s="4" t="n">
        <v>4930</v>
      </c>
      <c r="AF171" s="4">
        <f>INDEX(_统一战力!$B$2:$B$501,J171)</f>
        <v/>
      </c>
    </row>
    <row r="172">
      <c r="A172" t="inlineStr">
        <is>
          <t>当前源表</t>
        </is>
      </c>
      <c r="B172" t="inlineStr">
        <is>
          <t>其他战斗玩法</t>
        </is>
      </c>
      <c r="C172" t="inlineStr">
        <is>
          <t>LevelType_Wild</t>
        </is>
      </c>
      <c r="D172" t="inlineStr">
        <is>
          <t>冰原野怪</t>
        </is>
      </c>
      <c r="E172" t="inlineStr">
        <is>
          <t>600111</t>
        </is>
      </c>
      <c r="F172" t="inlineStr">
        <is>
          <t>普通怪</t>
        </is>
      </c>
      <c r="G172" t="n">
        <v>7</v>
      </c>
      <c r="I172">
        <f>IF($H172="",$G172,$H172)</f>
        <v/>
      </c>
      <c r="J172" t="n">
        <v>14</v>
      </c>
      <c r="K172" s="83" t="n">
        <v>1.04759016676984</v>
      </c>
      <c r="L172" s="83" t="n">
        <v>0.82469512195122</v>
      </c>
      <c r="M172" s="83" t="n">
        <v>1</v>
      </c>
      <c r="N172" t="n">
        <v>1</v>
      </c>
      <c r="O172" t="n">
        <v>1</v>
      </c>
      <c r="P172" s="17" t="n">
        <v>0.418858868567819</v>
      </c>
      <c r="Q172" s="21">
        <f>IF($I172="","",IFERROR(INDEX(_玩家曲线!$H$2:$H$286,MATCH($I172,_玩家曲线!$A$2:$A$286,0)),""))</f>
        <v/>
      </c>
      <c r="R172" s="21">
        <f>IF($I172="","",IFERROR(INDEX(_玩家曲线!$I$2:$I$286,MATCH($I172,_玩家曲线!$A$2:$A$286,0)),""))</f>
        <v/>
      </c>
      <c r="S172" s="21">
        <f>IF(OR($J172="",$F172="不适用"),"",IFERROR(INDEX(_怪物模型!$D$2:$D$4501,(INT($J172)-1)*ROWS(_怪物类型!$A$2:$A$10)+MATCH($F172,_怪物类型!$A$2:$A$10,0))*IF($K172="",1,$K172),""))</f>
        <v/>
      </c>
      <c r="T172" s="21">
        <f>IF(OR($J172="",$F172="不适用"),"",IFERROR(INDEX(_怪物模型!$E$2:$E$4501,(INT($J172)-1)*ROWS(_怪物类型!$A$2:$A$10)+MATCH($F172,_怪物类型!$A$2:$A$10,0))*IF($L172="",1,$L172),""))</f>
        <v/>
      </c>
      <c r="U172" s="21">
        <f>IF(OR($J172="",$F172="不适用"),"",IFERROR(INDEX(_怪物模型!$F$2:$F$4501,(INT($J172)-1)*ROWS(_怪物类型!$A$2:$A$10)+MATCH($F172,_怪物类型!$A$2:$A$10,0))*IF($M172="",1,$M172),""))</f>
        <v/>
      </c>
      <c r="V172" s="84">
        <f>IF($U172="","",MIN(0.75,$U172/($U172+24000)))</f>
        <v/>
      </c>
      <c r="W172" s="21">
        <f>IF($S172="","",$S172/(1-$V172)*IF($N172="",1,$N172))</f>
        <v/>
      </c>
      <c r="X172" s="17">
        <f>IF(OR($W172="",$Q172="",$Q172=0),"",$W172/$Q172)</f>
        <v/>
      </c>
      <c r="Y172" s="17">
        <f>IF(OR($R172="",$T172="",$T172=0),"",$R172/($T172*IF($O172="",1,$O172)))</f>
        <v/>
      </c>
      <c r="Z172" s="17">
        <f>IF(OR($X172="",$P172="",$P172=0),"",$X172/$P172)</f>
        <v/>
      </c>
      <c r="AA172">
        <f>IF($J172="","待填怪物等级",IF(OR($I172="",$Q172=""),"待填对照关卡",IF($P172="","已计算",IF(AND($Y172&lt;&gt;"",$Y172&lt;$X172),"生存不成立",IF($Z172&lt;0.5,"碾压",IF($Z172&lt;0.8,"偏简单",IF($Z172&lt;=1.2,"适中",IF($Z172&lt;=1.5,"偏难","过难"))))))))</f>
        <v/>
      </c>
      <c r="AB172">
        <f>IF($J172="","待填",IF(AND(ISNUMBER($J172),$J172&gt;=1,$J172&lt;=500,MOD($J172,1)=0),"有效","超范围"))</f>
        <v/>
      </c>
      <c r="AC172">
        <f>IF(C172&lt;&gt;C171,"新玩法组",IF(J172&gt;=J171,"不降","回退"))</f>
        <v/>
      </c>
      <c r="AD172" t="inlineStr">
        <is>
          <t>等效进度估算S7，非解锁/首通节点；旧Lv15→14</t>
        </is>
      </c>
      <c r="AE172" s="4" t="n">
        <v>4930</v>
      </c>
      <c r="AF172" s="4">
        <f>INDEX(_统一战力!$B$2:$B$501,J172)</f>
        <v/>
      </c>
    </row>
    <row r="173">
      <c r="A173" t="inlineStr">
        <is>
          <t>当前源表</t>
        </is>
      </c>
      <c r="B173" t="inlineStr">
        <is>
          <t>其他战斗玩法</t>
        </is>
      </c>
      <c r="C173" t="inlineStr">
        <is>
          <t>LevelType_Wild</t>
        </is>
      </c>
      <c r="D173" t="inlineStr">
        <is>
          <t>冰原野怪</t>
        </is>
      </c>
      <c r="E173" t="inlineStr">
        <is>
          <t>600112</t>
        </is>
      </c>
      <c r="F173" t="inlineStr">
        <is>
          <t>普通怪</t>
        </is>
      </c>
      <c r="G173" t="n">
        <v>7</v>
      </c>
      <c r="I173">
        <f>IF($H173="",$G173,$H173)</f>
        <v/>
      </c>
      <c r="J173" t="n">
        <v>14</v>
      </c>
      <c r="K173" s="83" t="n">
        <v>1.04759016676984</v>
      </c>
      <c r="L173" s="83" t="n">
        <v>0.82469512195122</v>
      </c>
      <c r="M173" s="83" t="n">
        <v>1</v>
      </c>
      <c r="N173" t="n">
        <v>1</v>
      </c>
      <c r="O173" t="n">
        <v>1</v>
      </c>
      <c r="P173" s="17" t="n">
        <v>0.418858868567819</v>
      </c>
      <c r="Q173" s="21">
        <f>IF($I173="","",IFERROR(INDEX(_玩家曲线!$H$2:$H$286,MATCH($I173,_玩家曲线!$A$2:$A$286,0)),""))</f>
        <v/>
      </c>
      <c r="R173" s="21">
        <f>IF($I173="","",IFERROR(INDEX(_玩家曲线!$I$2:$I$286,MATCH($I173,_玩家曲线!$A$2:$A$286,0)),""))</f>
        <v/>
      </c>
      <c r="S173" s="21">
        <f>IF(OR($J173="",$F173="不适用"),"",IFERROR(INDEX(_怪物模型!$D$2:$D$4501,(INT($J173)-1)*ROWS(_怪物类型!$A$2:$A$10)+MATCH($F173,_怪物类型!$A$2:$A$10,0))*IF($K173="",1,$K173),""))</f>
        <v/>
      </c>
      <c r="T173" s="21">
        <f>IF(OR($J173="",$F173="不适用"),"",IFERROR(INDEX(_怪物模型!$E$2:$E$4501,(INT($J173)-1)*ROWS(_怪物类型!$A$2:$A$10)+MATCH($F173,_怪物类型!$A$2:$A$10,0))*IF($L173="",1,$L173),""))</f>
        <v/>
      </c>
      <c r="U173" s="21">
        <f>IF(OR($J173="",$F173="不适用"),"",IFERROR(INDEX(_怪物模型!$F$2:$F$4501,(INT($J173)-1)*ROWS(_怪物类型!$A$2:$A$10)+MATCH($F173,_怪物类型!$A$2:$A$10,0))*IF($M173="",1,$M173),""))</f>
        <v/>
      </c>
      <c r="V173" s="84">
        <f>IF($U173="","",MIN(0.75,$U173/($U173+24000)))</f>
        <v/>
      </c>
      <c r="W173" s="21">
        <f>IF($S173="","",$S173/(1-$V173)*IF($N173="",1,$N173))</f>
        <v/>
      </c>
      <c r="X173" s="17">
        <f>IF(OR($W173="",$Q173="",$Q173=0),"",$W173/$Q173)</f>
        <v/>
      </c>
      <c r="Y173" s="17">
        <f>IF(OR($R173="",$T173="",$T173=0),"",$R173/($T173*IF($O173="",1,$O173)))</f>
        <v/>
      </c>
      <c r="Z173" s="17">
        <f>IF(OR($X173="",$P173="",$P173=0),"",$X173/$P173)</f>
        <v/>
      </c>
      <c r="AA173">
        <f>IF($J173="","待填怪物等级",IF(OR($I173="",$Q173=""),"待填对照关卡",IF($P173="","已计算",IF(AND($Y173&lt;&gt;"",$Y173&lt;$X173),"生存不成立",IF($Z173&lt;0.5,"碾压",IF($Z173&lt;0.8,"偏简单",IF($Z173&lt;=1.2,"适中",IF($Z173&lt;=1.5,"偏难","过难"))))))))</f>
        <v/>
      </c>
      <c r="AB173">
        <f>IF($J173="","待填",IF(AND(ISNUMBER($J173),$J173&gt;=1,$J173&lt;=500,MOD($J173,1)=0),"有效","超范围"))</f>
        <v/>
      </c>
      <c r="AC173">
        <f>IF(C173&lt;&gt;C172,"新玩法组",IF(J173&gt;=J172,"不降","回退"))</f>
        <v/>
      </c>
      <c r="AD173" t="inlineStr">
        <is>
          <t>等效进度估算S7，非解锁/首通节点；旧Lv15→14</t>
        </is>
      </c>
      <c r="AE173" s="4" t="n">
        <v>4930</v>
      </c>
      <c r="AF173" s="4">
        <f>INDEX(_统一战力!$B$2:$B$501,J173)</f>
        <v/>
      </c>
    </row>
    <row r="174">
      <c r="A174" t="inlineStr">
        <is>
          <t>当前源表</t>
        </is>
      </c>
      <c r="B174" t="inlineStr">
        <is>
          <t>其他战斗玩法</t>
        </is>
      </c>
      <c r="C174" t="inlineStr">
        <is>
          <t>LevelType_Wild</t>
        </is>
      </c>
      <c r="D174" t="inlineStr">
        <is>
          <t>冰原野怪</t>
        </is>
      </c>
      <c r="E174" t="inlineStr">
        <is>
          <t>600113</t>
        </is>
      </c>
      <c r="F174" t="inlineStr">
        <is>
          <t>普通怪</t>
        </is>
      </c>
      <c r="G174" t="n">
        <v>7</v>
      </c>
      <c r="I174">
        <f>IF($H174="",$G174,$H174)</f>
        <v/>
      </c>
      <c r="J174" t="n">
        <v>14</v>
      </c>
      <c r="K174" s="83" t="n">
        <v>1.04759016676984</v>
      </c>
      <c r="L174" s="83" t="n">
        <v>0.82469512195122</v>
      </c>
      <c r="M174" s="83" t="n">
        <v>1</v>
      </c>
      <c r="N174" t="n">
        <v>1</v>
      </c>
      <c r="O174" t="n">
        <v>1</v>
      </c>
      <c r="P174" s="17" t="n">
        <v>0.418858868567819</v>
      </c>
      <c r="Q174" s="21">
        <f>IF($I174="","",IFERROR(INDEX(_玩家曲线!$H$2:$H$286,MATCH($I174,_玩家曲线!$A$2:$A$286,0)),""))</f>
        <v/>
      </c>
      <c r="R174" s="21">
        <f>IF($I174="","",IFERROR(INDEX(_玩家曲线!$I$2:$I$286,MATCH($I174,_玩家曲线!$A$2:$A$286,0)),""))</f>
        <v/>
      </c>
      <c r="S174" s="21">
        <f>IF(OR($J174="",$F174="不适用"),"",IFERROR(INDEX(_怪物模型!$D$2:$D$4501,(INT($J174)-1)*ROWS(_怪物类型!$A$2:$A$10)+MATCH($F174,_怪物类型!$A$2:$A$10,0))*IF($K174="",1,$K174),""))</f>
        <v/>
      </c>
      <c r="T174" s="21">
        <f>IF(OR($J174="",$F174="不适用"),"",IFERROR(INDEX(_怪物模型!$E$2:$E$4501,(INT($J174)-1)*ROWS(_怪物类型!$A$2:$A$10)+MATCH($F174,_怪物类型!$A$2:$A$10,0))*IF($L174="",1,$L174),""))</f>
        <v/>
      </c>
      <c r="U174" s="21">
        <f>IF(OR($J174="",$F174="不适用"),"",IFERROR(INDEX(_怪物模型!$F$2:$F$4501,(INT($J174)-1)*ROWS(_怪物类型!$A$2:$A$10)+MATCH($F174,_怪物类型!$A$2:$A$10,0))*IF($M174="",1,$M174),""))</f>
        <v/>
      </c>
      <c r="V174" s="84">
        <f>IF($U174="","",MIN(0.75,$U174/($U174+24000)))</f>
        <v/>
      </c>
      <c r="W174" s="21">
        <f>IF($S174="","",$S174/(1-$V174)*IF($N174="",1,$N174))</f>
        <v/>
      </c>
      <c r="X174" s="17">
        <f>IF(OR($W174="",$Q174="",$Q174=0),"",$W174/$Q174)</f>
        <v/>
      </c>
      <c r="Y174" s="17">
        <f>IF(OR($R174="",$T174="",$T174=0),"",$R174/($T174*IF($O174="",1,$O174)))</f>
        <v/>
      </c>
      <c r="Z174" s="17">
        <f>IF(OR($X174="",$P174="",$P174=0),"",$X174/$P174)</f>
        <v/>
      </c>
      <c r="AA174">
        <f>IF($J174="","待填怪物等级",IF(OR($I174="",$Q174=""),"待填对照关卡",IF($P174="","已计算",IF(AND($Y174&lt;&gt;"",$Y174&lt;$X174),"生存不成立",IF($Z174&lt;0.5,"碾压",IF($Z174&lt;0.8,"偏简单",IF($Z174&lt;=1.2,"适中",IF($Z174&lt;=1.5,"偏难","过难"))))))))</f>
        <v/>
      </c>
      <c r="AB174">
        <f>IF($J174="","待填",IF(AND(ISNUMBER($J174),$J174&gt;=1,$J174&lt;=500,MOD($J174,1)=0),"有效","超范围"))</f>
        <v/>
      </c>
      <c r="AC174">
        <f>IF(C174&lt;&gt;C173,"新玩法组",IF(J174&gt;=J173,"不降","回退"))</f>
        <v/>
      </c>
      <c r="AD174" t="inlineStr">
        <is>
          <t>等效进度估算S7，非解锁/首通节点；旧Lv15→14</t>
        </is>
      </c>
      <c r="AE174" s="4" t="n">
        <v>4930</v>
      </c>
      <c r="AF174" s="4">
        <f>INDEX(_统一战力!$B$2:$B$501,J174)</f>
        <v/>
      </c>
    </row>
    <row r="175">
      <c r="A175" t="inlineStr">
        <is>
          <t>当前源表</t>
        </is>
      </c>
      <c r="B175" t="inlineStr">
        <is>
          <t>其他战斗玩法</t>
        </is>
      </c>
      <c r="C175" t="inlineStr">
        <is>
          <t>LevelType_Wild</t>
        </is>
      </c>
      <c r="D175" t="inlineStr">
        <is>
          <t>冰原野怪</t>
        </is>
      </c>
      <c r="E175" t="inlineStr">
        <is>
          <t>600114</t>
        </is>
      </c>
      <c r="F175" t="inlineStr">
        <is>
          <t>普通怪</t>
        </is>
      </c>
      <c r="G175" t="n">
        <v>7</v>
      </c>
      <c r="I175">
        <f>IF($H175="",$G175,$H175)</f>
        <v/>
      </c>
      <c r="J175" t="n">
        <v>14</v>
      </c>
      <c r="K175" s="83" t="n">
        <v>1.04759016676984</v>
      </c>
      <c r="L175" s="83" t="n">
        <v>0.82469512195122</v>
      </c>
      <c r="M175" s="83" t="n">
        <v>1</v>
      </c>
      <c r="N175" t="n">
        <v>1</v>
      </c>
      <c r="O175" t="n">
        <v>1</v>
      </c>
      <c r="P175" s="17" t="n">
        <v>0.418858868567819</v>
      </c>
      <c r="Q175" s="21">
        <f>IF($I175="","",IFERROR(INDEX(_玩家曲线!$H$2:$H$286,MATCH($I175,_玩家曲线!$A$2:$A$286,0)),""))</f>
        <v/>
      </c>
      <c r="R175" s="21">
        <f>IF($I175="","",IFERROR(INDEX(_玩家曲线!$I$2:$I$286,MATCH($I175,_玩家曲线!$A$2:$A$286,0)),""))</f>
        <v/>
      </c>
      <c r="S175" s="21">
        <f>IF(OR($J175="",$F175="不适用"),"",IFERROR(INDEX(_怪物模型!$D$2:$D$4501,(INT($J175)-1)*ROWS(_怪物类型!$A$2:$A$10)+MATCH($F175,_怪物类型!$A$2:$A$10,0))*IF($K175="",1,$K175),""))</f>
        <v/>
      </c>
      <c r="T175" s="21">
        <f>IF(OR($J175="",$F175="不适用"),"",IFERROR(INDEX(_怪物模型!$E$2:$E$4501,(INT($J175)-1)*ROWS(_怪物类型!$A$2:$A$10)+MATCH($F175,_怪物类型!$A$2:$A$10,0))*IF($L175="",1,$L175),""))</f>
        <v/>
      </c>
      <c r="U175" s="21">
        <f>IF(OR($J175="",$F175="不适用"),"",IFERROR(INDEX(_怪物模型!$F$2:$F$4501,(INT($J175)-1)*ROWS(_怪物类型!$A$2:$A$10)+MATCH($F175,_怪物类型!$A$2:$A$10,0))*IF($M175="",1,$M175),""))</f>
        <v/>
      </c>
      <c r="V175" s="84">
        <f>IF($U175="","",MIN(0.75,$U175/($U175+24000)))</f>
        <v/>
      </c>
      <c r="W175" s="21">
        <f>IF($S175="","",$S175/(1-$V175)*IF($N175="",1,$N175))</f>
        <v/>
      </c>
      <c r="X175" s="17">
        <f>IF(OR($W175="",$Q175="",$Q175=0),"",$W175/$Q175)</f>
        <v/>
      </c>
      <c r="Y175" s="17">
        <f>IF(OR($R175="",$T175="",$T175=0),"",$R175/($T175*IF($O175="",1,$O175)))</f>
        <v/>
      </c>
      <c r="Z175" s="17">
        <f>IF(OR($X175="",$P175="",$P175=0),"",$X175/$P175)</f>
        <v/>
      </c>
      <c r="AA175">
        <f>IF($J175="","待填怪物等级",IF(OR($I175="",$Q175=""),"待填对照关卡",IF($P175="","已计算",IF(AND($Y175&lt;&gt;"",$Y175&lt;$X175),"生存不成立",IF($Z175&lt;0.5,"碾压",IF($Z175&lt;0.8,"偏简单",IF($Z175&lt;=1.2,"适中",IF($Z175&lt;=1.5,"偏难","过难"))))))))</f>
        <v/>
      </c>
      <c r="AB175">
        <f>IF($J175="","待填",IF(AND(ISNUMBER($J175),$J175&gt;=1,$J175&lt;=500,MOD($J175,1)=0),"有效","超范围"))</f>
        <v/>
      </c>
      <c r="AC175">
        <f>IF(C175&lt;&gt;C174,"新玩法组",IF(J175&gt;=J174,"不降","回退"))</f>
        <v/>
      </c>
      <c r="AD175" t="inlineStr">
        <is>
          <t>等效进度估算S7，非解锁/首通节点；旧Lv15→14</t>
        </is>
      </c>
      <c r="AE175" s="4" t="n">
        <v>4930</v>
      </c>
      <c r="AF175" s="4">
        <f>INDEX(_统一战力!$B$2:$B$501,J175)</f>
        <v/>
      </c>
    </row>
    <row r="176">
      <c r="A176" t="inlineStr">
        <is>
          <t>当前源表</t>
        </is>
      </c>
      <c r="B176" t="inlineStr">
        <is>
          <t>其他战斗玩法</t>
        </is>
      </c>
      <c r="C176" t="inlineStr">
        <is>
          <t>LevelType_Wild</t>
        </is>
      </c>
      <c r="D176" t="inlineStr">
        <is>
          <t>冰原野怪</t>
        </is>
      </c>
      <c r="E176" t="inlineStr">
        <is>
          <t>600115</t>
        </is>
      </c>
      <c r="F176" t="inlineStr">
        <is>
          <t>普通怪</t>
        </is>
      </c>
      <c r="G176" t="n">
        <v>7</v>
      </c>
      <c r="I176">
        <f>IF($H176="",$G176,$H176)</f>
        <v/>
      </c>
      <c r="J176" t="n">
        <v>14</v>
      </c>
      <c r="K176" s="83" t="n">
        <v>1.04759016676984</v>
      </c>
      <c r="L176" s="83" t="n">
        <v>0.82469512195122</v>
      </c>
      <c r="M176" s="83" t="n">
        <v>1</v>
      </c>
      <c r="N176" t="n">
        <v>1</v>
      </c>
      <c r="O176" t="n">
        <v>1</v>
      </c>
      <c r="P176" s="17" t="n">
        <v>0.418858868567819</v>
      </c>
      <c r="Q176" s="21">
        <f>IF($I176="","",IFERROR(INDEX(_玩家曲线!$H$2:$H$286,MATCH($I176,_玩家曲线!$A$2:$A$286,0)),""))</f>
        <v/>
      </c>
      <c r="R176" s="21">
        <f>IF($I176="","",IFERROR(INDEX(_玩家曲线!$I$2:$I$286,MATCH($I176,_玩家曲线!$A$2:$A$286,0)),""))</f>
        <v/>
      </c>
      <c r="S176" s="21">
        <f>IF(OR($J176="",$F176="不适用"),"",IFERROR(INDEX(_怪物模型!$D$2:$D$4501,(INT($J176)-1)*ROWS(_怪物类型!$A$2:$A$10)+MATCH($F176,_怪物类型!$A$2:$A$10,0))*IF($K176="",1,$K176),""))</f>
        <v/>
      </c>
      <c r="T176" s="21">
        <f>IF(OR($J176="",$F176="不适用"),"",IFERROR(INDEX(_怪物模型!$E$2:$E$4501,(INT($J176)-1)*ROWS(_怪物类型!$A$2:$A$10)+MATCH($F176,_怪物类型!$A$2:$A$10,0))*IF($L176="",1,$L176),""))</f>
        <v/>
      </c>
      <c r="U176" s="21">
        <f>IF(OR($J176="",$F176="不适用"),"",IFERROR(INDEX(_怪物模型!$F$2:$F$4501,(INT($J176)-1)*ROWS(_怪物类型!$A$2:$A$10)+MATCH($F176,_怪物类型!$A$2:$A$10,0))*IF($M176="",1,$M176),""))</f>
        <v/>
      </c>
      <c r="V176" s="84">
        <f>IF($U176="","",MIN(0.75,$U176/($U176+24000)))</f>
        <v/>
      </c>
      <c r="W176" s="21">
        <f>IF($S176="","",$S176/(1-$V176)*IF($N176="",1,$N176))</f>
        <v/>
      </c>
      <c r="X176" s="17">
        <f>IF(OR($W176="",$Q176="",$Q176=0),"",$W176/$Q176)</f>
        <v/>
      </c>
      <c r="Y176" s="17">
        <f>IF(OR($R176="",$T176="",$T176=0),"",$R176/($T176*IF($O176="",1,$O176)))</f>
        <v/>
      </c>
      <c r="Z176" s="17">
        <f>IF(OR($X176="",$P176="",$P176=0),"",$X176/$P176)</f>
        <v/>
      </c>
      <c r="AA176">
        <f>IF($J176="","待填怪物等级",IF(OR($I176="",$Q176=""),"待填对照关卡",IF($P176="","已计算",IF(AND($Y176&lt;&gt;"",$Y176&lt;$X176),"生存不成立",IF($Z176&lt;0.5,"碾压",IF($Z176&lt;0.8,"偏简单",IF($Z176&lt;=1.2,"适中",IF($Z176&lt;=1.5,"偏难","过难"))))))))</f>
        <v/>
      </c>
      <c r="AB176">
        <f>IF($J176="","待填",IF(AND(ISNUMBER($J176),$J176&gt;=1,$J176&lt;=500,MOD($J176,1)=0),"有效","超范围"))</f>
        <v/>
      </c>
      <c r="AC176">
        <f>IF(C176&lt;&gt;C175,"新玩法组",IF(J176&gt;=J175,"不降","回退"))</f>
        <v/>
      </c>
      <c r="AD176" t="inlineStr">
        <is>
          <t>等效进度估算S7，非解锁/首通节点；旧Lv15→14</t>
        </is>
      </c>
      <c r="AE176" s="4" t="n">
        <v>4930</v>
      </c>
      <c r="AF176" s="4">
        <f>INDEX(_统一战力!$B$2:$B$501,J176)</f>
        <v/>
      </c>
    </row>
    <row r="177">
      <c r="A177" t="inlineStr">
        <is>
          <t>当前源表</t>
        </is>
      </c>
      <c r="B177" t="inlineStr">
        <is>
          <t>其他战斗玩法</t>
        </is>
      </c>
      <c r="C177" t="inlineStr">
        <is>
          <t>LevelType_Wild</t>
        </is>
      </c>
      <c r="D177" t="inlineStr">
        <is>
          <t>冰原野怪</t>
        </is>
      </c>
      <c r="E177" t="inlineStr">
        <is>
          <t>600116</t>
        </is>
      </c>
      <c r="F177" t="inlineStr">
        <is>
          <t>普通怪</t>
        </is>
      </c>
      <c r="G177" t="n">
        <v>7</v>
      </c>
      <c r="I177">
        <f>IF($H177="",$G177,$H177)</f>
        <v/>
      </c>
      <c r="J177" t="n">
        <v>14</v>
      </c>
      <c r="K177" s="83" t="n">
        <v>1.04759016676984</v>
      </c>
      <c r="L177" s="83" t="n">
        <v>0.82469512195122</v>
      </c>
      <c r="M177" s="83" t="n">
        <v>1</v>
      </c>
      <c r="N177" t="n">
        <v>1</v>
      </c>
      <c r="O177" t="n">
        <v>1</v>
      </c>
      <c r="P177" s="17" t="n">
        <v>0.418858868567819</v>
      </c>
      <c r="Q177" s="21">
        <f>IF($I177="","",IFERROR(INDEX(_玩家曲线!$H$2:$H$286,MATCH($I177,_玩家曲线!$A$2:$A$286,0)),""))</f>
        <v/>
      </c>
      <c r="R177" s="21">
        <f>IF($I177="","",IFERROR(INDEX(_玩家曲线!$I$2:$I$286,MATCH($I177,_玩家曲线!$A$2:$A$286,0)),""))</f>
        <v/>
      </c>
      <c r="S177" s="21">
        <f>IF(OR($J177="",$F177="不适用"),"",IFERROR(INDEX(_怪物模型!$D$2:$D$4501,(INT($J177)-1)*ROWS(_怪物类型!$A$2:$A$10)+MATCH($F177,_怪物类型!$A$2:$A$10,0))*IF($K177="",1,$K177),""))</f>
        <v/>
      </c>
      <c r="T177" s="21">
        <f>IF(OR($J177="",$F177="不适用"),"",IFERROR(INDEX(_怪物模型!$E$2:$E$4501,(INT($J177)-1)*ROWS(_怪物类型!$A$2:$A$10)+MATCH($F177,_怪物类型!$A$2:$A$10,0))*IF($L177="",1,$L177),""))</f>
        <v/>
      </c>
      <c r="U177" s="21">
        <f>IF(OR($J177="",$F177="不适用"),"",IFERROR(INDEX(_怪物模型!$F$2:$F$4501,(INT($J177)-1)*ROWS(_怪物类型!$A$2:$A$10)+MATCH($F177,_怪物类型!$A$2:$A$10,0))*IF($M177="",1,$M177),""))</f>
        <v/>
      </c>
      <c r="V177" s="84">
        <f>IF($U177="","",MIN(0.75,$U177/($U177+24000)))</f>
        <v/>
      </c>
      <c r="W177" s="21">
        <f>IF($S177="","",$S177/(1-$V177)*IF($N177="",1,$N177))</f>
        <v/>
      </c>
      <c r="X177" s="17">
        <f>IF(OR($W177="",$Q177="",$Q177=0),"",$W177/$Q177)</f>
        <v/>
      </c>
      <c r="Y177" s="17">
        <f>IF(OR($R177="",$T177="",$T177=0),"",$R177/($T177*IF($O177="",1,$O177)))</f>
        <v/>
      </c>
      <c r="Z177" s="17">
        <f>IF(OR($X177="",$P177="",$P177=0),"",$X177/$P177)</f>
        <v/>
      </c>
      <c r="AA177">
        <f>IF($J177="","待填怪物等级",IF(OR($I177="",$Q177=""),"待填对照关卡",IF($P177="","已计算",IF(AND($Y177&lt;&gt;"",$Y177&lt;$X177),"生存不成立",IF($Z177&lt;0.5,"碾压",IF($Z177&lt;0.8,"偏简单",IF($Z177&lt;=1.2,"适中",IF($Z177&lt;=1.5,"偏难","过难"))))))))</f>
        <v/>
      </c>
      <c r="AB177">
        <f>IF($J177="","待填",IF(AND(ISNUMBER($J177),$J177&gt;=1,$J177&lt;=500,MOD($J177,1)=0),"有效","超范围"))</f>
        <v/>
      </c>
      <c r="AC177">
        <f>IF(C177&lt;&gt;C176,"新玩法组",IF(J177&gt;=J176,"不降","回退"))</f>
        <v/>
      </c>
      <c r="AD177" t="inlineStr">
        <is>
          <t>等效进度估算S7，非解锁/首通节点；旧Lv15→14</t>
        </is>
      </c>
      <c r="AE177" s="4" t="n">
        <v>4930</v>
      </c>
      <c r="AF177" s="4">
        <f>INDEX(_统一战力!$B$2:$B$501,J177)</f>
        <v/>
      </c>
    </row>
    <row r="178">
      <c r="A178" t="inlineStr">
        <is>
          <t>当前源表</t>
        </is>
      </c>
      <c r="B178" t="inlineStr">
        <is>
          <t>其他战斗玩法</t>
        </is>
      </c>
      <c r="C178" t="inlineStr">
        <is>
          <t>LevelType_Wild</t>
        </is>
      </c>
      <c r="D178" t="inlineStr">
        <is>
          <t>森林野怪</t>
        </is>
      </c>
      <c r="E178" t="inlineStr">
        <is>
          <t>600117</t>
        </is>
      </c>
      <c r="F178" t="inlineStr">
        <is>
          <t>普通怪</t>
        </is>
      </c>
      <c r="G178" t="n">
        <v>7</v>
      </c>
      <c r="I178">
        <f>IF($H178="",$G178,$H178)</f>
        <v/>
      </c>
      <c r="J178" t="n">
        <v>14</v>
      </c>
      <c r="K178" s="83" t="n">
        <v>1.04759016676984</v>
      </c>
      <c r="L178" s="83" t="n">
        <v>0.82469512195122</v>
      </c>
      <c r="M178" s="83" t="n">
        <v>1</v>
      </c>
      <c r="N178" t="n">
        <v>1</v>
      </c>
      <c r="O178" t="n">
        <v>1</v>
      </c>
      <c r="P178" s="17" t="n">
        <v>0.418858868567819</v>
      </c>
      <c r="Q178" s="21">
        <f>IF($I178="","",IFERROR(INDEX(_玩家曲线!$H$2:$H$286,MATCH($I178,_玩家曲线!$A$2:$A$286,0)),""))</f>
        <v/>
      </c>
      <c r="R178" s="21">
        <f>IF($I178="","",IFERROR(INDEX(_玩家曲线!$I$2:$I$286,MATCH($I178,_玩家曲线!$A$2:$A$286,0)),""))</f>
        <v/>
      </c>
      <c r="S178" s="21">
        <f>IF(OR($J178="",$F178="不适用"),"",IFERROR(INDEX(_怪物模型!$D$2:$D$4501,(INT($J178)-1)*ROWS(_怪物类型!$A$2:$A$10)+MATCH($F178,_怪物类型!$A$2:$A$10,0))*IF($K178="",1,$K178),""))</f>
        <v/>
      </c>
      <c r="T178" s="21">
        <f>IF(OR($J178="",$F178="不适用"),"",IFERROR(INDEX(_怪物模型!$E$2:$E$4501,(INT($J178)-1)*ROWS(_怪物类型!$A$2:$A$10)+MATCH($F178,_怪物类型!$A$2:$A$10,0))*IF($L178="",1,$L178),""))</f>
        <v/>
      </c>
      <c r="U178" s="21">
        <f>IF(OR($J178="",$F178="不适用"),"",IFERROR(INDEX(_怪物模型!$F$2:$F$4501,(INT($J178)-1)*ROWS(_怪物类型!$A$2:$A$10)+MATCH($F178,_怪物类型!$A$2:$A$10,0))*IF($M178="",1,$M178),""))</f>
        <v/>
      </c>
      <c r="V178" s="84">
        <f>IF($U178="","",MIN(0.75,$U178/($U178+24000)))</f>
        <v/>
      </c>
      <c r="W178" s="21">
        <f>IF($S178="","",$S178/(1-$V178)*IF($N178="",1,$N178))</f>
        <v/>
      </c>
      <c r="X178" s="17">
        <f>IF(OR($W178="",$Q178="",$Q178=0),"",$W178/$Q178)</f>
        <v/>
      </c>
      <c r="Y178" s="17">
        <f>IF(OR($R178="",$T178="",$T178=0),"",$R178/($T178*IF($O178="",1,$O178)))</f>
        <v/>
      </c>
      <c r="Z178" s="17">
        <f>IF(OR($X178="",$P178="",$P178=0),"",$X178/$P178)</f>
        <v/>
      </c>
      <c r="AA178">
        <f>IF($J178="","待填怪物等级",IF(OR($I178="",$Q178=""),"待填对照关卡",IF($P178="","已计算",IF(AND($Y178&lt;&gt;"",$Y178&lt;$X178),"生存不成立",IF($Z178&lt;0.5,"碾压",IF($Z178&lt;0.8,"偏简单",IF($Z178&lt;=1.2,"适中",IF($Z178&lt;=1.5,"偏难","过难"))))))))</f>
        <v/>
      </c>
      <c r="AB178">
        <f>IF($J178="","待填",IF(AND(ISNUMBER($J178),$J178&gt;=1,$J178&lt;=500,MOD($J178,1)=0),"有效","超范围"))</f>
        <v/>
      </c>
      <c r="AC178">
        <f>IF(C178&lt;&gt;C177,"新玩法组",IF(J178&gt;=J177,"不降","回退"))</f>
        <v/>
      </c>
      <c r="AD178" t="inlineStr">
        <is>
          <t>等效进度估算S7，非解锁/首通节点；旧Lv15→14</t>
        </is>
      </c>
      <c r="AE178" s="4" t="n">
        <v>4930</v>
      </c>
      <c r="AF178" s="4">
        <f>INDEX(_统一战力!$B$2:$B$501,J178)</f>
        <v/>
      </c>
    </row>
    <row r="179">
      <c r="A179" t="inlineStr">
        <is>
          <t>当前源表</t>
        </is>
      </c>
      <c r="B179" t="inlineStr">
        <is>
          <t>其他战斗玩法</t>
        </is>
      </c>
      <c r="C179" t="inlineStr">
        <is>
          <t>LevelType_Wild</t>
        </is>
      </c>
      <c r="D179" t="inlineStr">
        <is>
          <t>森林野怪</t>
        </is>
      </c>
      <c r="E179" t="inlineStr">
        <is>
          <t>600118</t>
        </is>
      </c>
      <c r="F179" t="inlineStr">
        <is>
          <t>普通怪</t>
        </is>
      </c>
      <c r="G179" t="n">
        <v>7</v>
      </c>
      <c r="I179">
        <f>IF($H179="",$G179,$H179)</f>
        <v/>
      </c>
      <c r="J179" t="n">
        <v>14</v>
      </c>
      <c r="K179" s="83" t="n">
        <v>1.04759016676984</v>
      </c>
      <c r="L179" s="83" t="n">
        <v>0.82469512195122</v>
      </c>
      <c r="M179" s="83" t="n">
        <v>1</v>
      </c>
      <c r="N179" t="n">
        <v>1</v>
      </c>
      <c r="O179" t="n">
        <v>1</v>
      </c>
      <c r="P179" s="17" t="n">
        <v>0.418858868567819</v>
      </c>
      <c r="Q179" s="21">
        <f>IF($I179="","",IFERROR(INDEX(_玩家曲线!$H$2:$H$286,MATCH($I179,_玩家曲线!$A$2:$A$286,0)),""))</f>
        <v/>
      </c>
      <c r="R179" s="21">
        <f>IF($I179="","",IFERROR(INDEX(_玩家曲线!$I$2:$I$286,MATCH($I179,_玩家曲线!$A$2:$A$286,0)),""))</f>
        <v/>
      </c>
      <c r="S179" s="21">
        <f>IF(OR($J179="",$F179="不适用"),"",IFERROR(INDEX(_怪物模型!$D$2:$D$4501,(INT($J179)-1)*ROWS(_怪物类型!$A$2:$A$10)+MATCH($F179,_怪物类型!$A$2:$A$10,0))*IF($K179="",1,$K179),""))</f>
        <v/>
      </c>
      <c r="T179" s="21">
        <f>IF(OR($J179="",$F179="不适用"),"",IFERROR(INDEX(_怪物模型!$E$2:$E$4501,(INT($J179)-1)*ROWS(_怪物类型!$A$2:$A$10)+MATCH($F179,_怪物类型!$A$2:$A$10,0))*IF($L179="",1,$L179),""))</f>
        <v/>
      </c>
      <c r="U179" s="21">
        <f>IF(OR($J179="",$F179="不适用"),"",IFERROR(INDEX(_怪物模型!$F$2:$F$4501,(INT($J179)-1)*ROWS(_怪物类型!$A$2:$A$10)+MATCH($F179,_怪物类型!$A$2:$A$10,0))*IF($M179="",1,$M179),""))</f>
        <v/>
      </c>
      <c r="V179" s="84">
        <f>IF($U179="","",MIN(0.75,$U179/($U179+24000)))</f>
        <v/>
      </c>
      <c r="W179" s="21">
        <f>IF($S179="","",$S179/(1-$V179)*IF($N179="",1,$N179))</f>
        <v/>
      </c>
      <c r="X179" s="17">
        <f>IF(OR($W179="",$Q179="",$Q179=0),"",$W179/$Q179)</f>
        <v/>
      </c>
      <c r="Y179" s="17">
        <f>IF(OR($R179="",$T179="",$T179=0),"",$R179/($T179*IF($O179="",1,$O179)))</f>
        <v/>
      </c>
      <c r="Z179" s="17">
        <f>IF(OR($X179="",$P179="",$P179=0),"",$X179/$P179)</f>
        <v/>
      </c>
      <c r="AA179">
        <f>IF($J179="","待填怪物等级",IF(OR($I179="",$Q179=""),"待填对照关卡",IF($P179="","已计算",IF(AND($Y179&lt;&gt;"",$Y179&lt;$X179),"生存不成立",IF($Z179&lt;0.5,"碾压",IF($Z179&lt;0.8,"偏简单",IF($Z179&lt;=1.2,"适中",IF($Z179&lt;=1.5,"偏难","过难"))))))))</f>
        <v/>
      </c>
      <c r="AB179">
        <f>IF($J179="","待填",IF(AND(ISNUMBER($J179),$J179&gt;=1,$J179&lt;=500,MOD($J179,1)=0),"有效","超范围"))</f>
        <v/>
      </c>
      <c r="AC179">
        <f>IF(C179&lt;&gt;C178,"新玩法组",IF(J179&gt;=J178,"不降","回退"))</f>
        <v/>
      </c>
      <c r="AD179" t="inlineStr">
        <is>
          <t>等效进度估算S7，非解锁/首通节点；旧Lv15→14</t>
        </is>
      </c>
      <c r="AE179" s="4" t="n">
        <v>4930</v>
      </c>
      <c r="AF179" s="4">
        <f>INDEX(_统一战力!$B$2:$B$501,J179)</f>
        <v/>
      </c>
    </row>
    <row r="180">
      <c r="A180" t="inlineStr">
        <is>
          <t>当前源表</t>
        </is>
      </c>
      <c r="B180" t="inlineStr">
        <is>
          <t>其他战斗玩法</t>
        </is>
      </c>
      <c r="C180" t="inlineStr">
        <is>
          <t>LevelType_Wild</t>
        </is>
      </c>
      <c r="D180" t="inlineStr">
        <is>
          <t>森林野怪</t>
        </is>
      </c>
      <c r="E180" t="inlineStr">
        <is>
          <t>600119</t>
        </is>
      </c>
      <c r="F180" t="inlineStr">
        <is>
          <t>普通怪</t>
        </is>
      </c>
      <c r="G180" t="n">
        <v>7</v>
      </c>
      <c r="I180">
        <f>IF($H180="",$G180,$H180)</f>
        <v/>
      </c>
      <c r="J180" t="n">
        <v>14</v>
      </c>
      <c r="K180" s="83" t="n">
        <v>1.04759016676984</v>
      </c>
      <c r="L180" s="83" t="n">
        <v>0.82469512195122</v>
      </c>
      <c r="M180" s="83" t="n">
        <v>1</v>
      </c>
      <c r="N180" t="n">
        <v>1</v>
      </c>
      <c r="O180" t="n">
        <v>1</v>
      </c>
      <c r="P180" s="17" t="n">
        <v>0.418858868567819</v>
      </c>
      <c r="Q180" s="21">
        <f>IF($I180="","",IFERROR(INDEX(_玩家曲线!$H$2:$H$286,MATCH($I180,_玩家曲线!$A$2:$A$286,0)),""))</f>
        <v/>
      </c>
      <c r="R180" s="21">
        <f>IF($I180="","",IFERROR(INDEX(_玩家曲线!$I$2:$I$286,MATCH($I180,_玩家曲线!$A$2:$A$286,0)),""))</f>
        <v/>
      </c>
      <c r="S180" s="21">
        <f>IF(OR($J180="",$F180="不适用"),"",IFERROR(INDEX(_怪物模型!$D$2:$D$4501,(INT($J180)-1)*ROWS(_怪物类型!$A$2:$A$10)+MATCH($F180,_怪物类型!$A$2:$A$10,0))*IF($K180="",1,$K180),""))</f>
        <v/>
      </c>
      <c r="T180" s="21">
        <f>IF(OR($J180="",$F180="不适用"),"",IFERROR(INDEX(_怪物模型!$E$2:$E$4501,(INT($J180)-1)*ROWS(_怪物类型!$A$2:$A$10)+MATCH($F180,_怪物类型!$A$2:$A$10,0))*IF($L180="",1,$L180),""))</f>
        <v/>
      </c>
      <c r="U180" s="21">
        <f>IF(OR($J180="",$F180="不适用"),"",IFERROR(INDEX(_怪物模型!$F$2:$F$4501,(INT($J180)-1)*ROWS(_怪物类型!$A$2:$A$10)+MATCH($F180,_怪物类型!$A$2:$A$10,0))*IF($M180="",1,$M180),""))</f>
        <v/>
      </c>
      <c r="V180" s="84">
        <f>IF($U180="","",MIN(0.75,$U180/($U180+24000)))</f>
        <v/>
      </c>
      <c r="W180" s="21">
        <f>IF($S180="","",$S180/(1-$V180)*IF($N180="",1,$N180))</f>
        <v/>
      </c>
      <c r="X180" s="17">
        <f>IF(OR($W180="",$Q180="",$Q180=0),"",$W180/$Q180)</f>
        <v/>
      </c>
      <c r="Y180" s="17">
        <f>IF(OR($R180="",$T180="",$T180=0),"",$R180/($T180*IF($O180="",1,$O180)))</f>
        <v/>
      </c>
      <c r="Z180" s="17">
        <f>IF(OR($X180="",$P180="",$P180=0),"",$X180/$P180)</f>
        <v/>
      </c>
      <c r="AA180">
        <f>IF($J180="","待填怪物等级",IF(OR($I180="",$Q180=""),"待填对照关卡",IF($P180="","已计算",IF(AND($Y180&lt;&gt;"",$Y180&lt;$X180),"生存不成立",IF($Z180&lt;0.5,"碾压",IF($Z180&lt;0.8,"偏简单",IF($Z180&lt;=1.2,"适中",IF($Z180&lt;=1.5,"偏难","过难"))))))))</f>
        <v/>
      </c>
      <c r="AB180">
        <f>IF($J180="","待填",IF(AND(ISNUMBER($J180),$J180&gt;=1,$J180&lt;=500,MOD($J180,1)=0),"有效","超范围"))</f>
        <v/>
      </c>
      <c r="AC180">
        <f>IF(C180&lt;&gt;C179,"新玩法组",IF(J180&gt;=J179,"不降","回退"))</f>
        <v/>
      </c>
      <c r="AD180" t="inlineStr">
        <is>
          <t>等效进度估算S7，非解锁/首通节点；旧Lv15→14</t>
        </is>
      </c>
      <c r="AE180" s="4" t="n">
        <v>4930</v>
      </c>
      <c r="AF180" s="4">
        <f>INDEX(_统一战力!$B$2:$B$501,J180)</f>
        <v/>
      </c>
    </row>
    <row r="181">
      <c r="A181" t="inlineStr">
        <is>
          <t>当前源表</t>
        </is>
      </c>
      <c r="B181" t="inlineStr">
        <is>
          <t>其他战斗玩法</t>
        </is>
      </c>
      <c r="C181" t="inlineStr">
        <is>
          <t>LevelType_Wild</t>
        </is>
      </c>
      <c r="D181" t="inlineStr">
        <is>
          <t>森林野怪</t>
        </is>
      </c>
      <c r="E181" t="inlineStr">
        <is>
          <t>600120</t>
        </is>
      </c>
      <c r="F181" t="inlineStr">
        <is>
          <t>普通怪</t>
        </is>
      </c>
      <c r="G181" t="n">
        <v>7</v>
      </c>
      <c r="I181">
        <f>IF($H181="",$G181,$H181)</f>
        <v/>
      </c>
      <c r="J181" t="n">
        <v>14</v>
      </c>
      <c r="K181" s="83" t="n">
        <v>1.04759016676984</v>
      </c>
      <c r="L181" s="83" t="n">
        <v>0.82469512195122</v>
      </c>
      <c r="M181" s="83" t="n">
        <v>1</v>
      </c>
      <c r="N181" t="n">
        <v>1</v>
      </c>
      <c r="O181" t="n">
        <v>1</v>
      </c>
      <c r="P181" s="17" t="n">
        <v>0.418858868567819</v>
      </c>
      <c r="Q181" s="21">
        <f>IF($I181="","",IFERROR(INDEX(_玩家曲线!$H$2:$H$286,MATCH($I181,_玩家曲线!$A$2:$A$286,0)),""))</f>
        <v/>
      </c>
      <c r="R181" s="21">
        <f>IF($I181="","",IFERROR(INDEX(_玩家曲线!$I$2:$I$286,MATCH($I181,_玩家曲线!$A$2:$A$286,0)),""))</f>
        <v/>
      </c>
      <c r="S181" s="21">
        <f>IF(OR($J181="",$F181="不适用"),"",IFERROR(INDEX(_怪物模型!$D$2:$D$4501,(INT($J181)-1)*ROWS(_怪物类型!$A$2:$A$10)+MATCH($F181,_怪物类型!$A$2:$A$10,0))*IF($K181="",1,$K181),""))</f>
        <v/>
      </c>
      <c r="T181" s="21">
        <f>IF(OR($J181="",$F181="不适用"),"",IFERROR(INDEX(_怪物模型!$E$2:$E$4501,(INT($J181)-1)*ROWS(_怪物类型!$A$2:$A$10)+MATCH($F181,_怪物类型!$A$2:$A$10,0))*IF($L181="",1,$L181),""))</f>
        <v/>
      </c>
      <c r="U181" s="21">
        <f>IF(OR($J181="",$F181="不适用"),"",IFERROR(INDEX(_怪物模型!$F$2:$F$4501,(INT($J181)-1)*ROWS(_怪物类型!$A$2:$A$10)+MATCH($F181,_怪物类型!$A$2:$A$10,0))*IF($M181="",1,$M181),""))</f>
        <v/>
      </c>
      <c r="V181" s="84">
        <f>IF($U181="","",MIN(0.75,$U181/($U181+24000)))</f>
        <v/>
      </c>
      <c r="W181" s="21">
        <f>IF($S181="","",$S181/(1-$V181)*IF($N181="",1,$N181))</f>
        <v/>
      </c>
      <c r="X181" s="17">
        <f>IF(OR($W181="",$Q181="",$Q181=0),"",$W181/$Q181)</f>
        <v/>
      </c>
      <c r="Y181" s="17">
        <f>IF(OR($R181="",$T181="",$T181=0),"",$R181/($T181*IF($O181="",1,$O181)))</f>
        <v/>
      </c>
      <c r="Z181" s="17">
        <f>IF(OR($X181="",$P181="",$P181=0),"",$X181/$P181)</f>
        <v/>
      </c>
      <c r="AA181">
        <f>IF($J181="","待填怪物等级",IF(OR($I181="",$Q181=""),"待填对照关卡",IF($P181="","已计算",IF(AND($Y181&lt;&gt;"",$Y181&lt;$X181),"生存不成立",IF($Z181&lt;0.5,"碾压",IF($Z181&lt;0.8,"偏简单",IF($Z181&lt;=1.2,"适中",IF($Z181&lt;=1.5,"偏难","过难"))))))))</f>
        <v/>
      </c>
      <c r="AB181">
        <f>IF($J181="","待填",IF(AND(ISNUMBER($J181),$J181&gt;=1,$J181&lt;=500,MOD($J181,1)=0),"有效","超范围"))</f>
        <v/>
      </c>
      <c r="AC181">
        <f>IF(C181&lt;&gt;C180,"新玩法组",IF(J181&gt;=J180,"不降","回退"))</f>
        <v/>
      </c>
      <c r="AD181" t="inlineStr">
        <is>
          <t>等效进度估算S7，非解锁/首通节点；旧Lv15→14</t>
        </is>
      </c>
      <c r="AE181" s="4" t="n">
        <v>4930</v>
      </c>
      <c r="AF181" s="4">
        <f>INDEX(_统一战力!$B$2:$B$501,J181)</f>
        <v/>
      </c>
    </row>
    <row r="182">
      <c r="A182" t="inlineStr">
        <is>
          <t>当前源表</t>
        </is>
      </c>
      <c r="B182" t="inlineStr">
        <is>
          <t>其他战斗玩法</t>
        </is>
      </c>
      <c r="C182" t="inlineStr">
        <is>
          <t>LevelType_Wild</t>
        </is>
      </c>
      <c r="D182" t="inlineStr">
        <is>
          <t>森林野怪</t>
        </is>
      </c>
      <c r="E182" t="inlineStr">
        <is>
          <t>600121</t>
        </is>
      </c>
      <c r="F182" t="inlineStr">
        <is>
          <t>普通怪</t>
        </is>
      </c>
      <c r="G182" t="n">
        <v>7</v>
      </c>
      <c r="I182">
        <f>IF($H182="",$G182,$H182)</f>
        <v/>
      </c>
      <c r="J182" t="n">
        <v>14</v>
      </c>
      <c r="K182" s="83" t="n">
        <v>1.04759016676984</v>
      </c>
      <c r="L182" s="83" t="n">
        <v>0.82469512195122</v>
      </c>
      <c r="M182" s="83" t="n">
        <v>1</v>
      </c>
      <c r="N182" t="n">
        <v>1</v>
      </c>
      <c r="O182" t="n">
        <v>1</v>
      </c>
      <c r="P182" s="17" t="n">
        <v>0.418858868567819</v>
      </c>
      <c r="Q182" s="21">
        <f>IF($I182="","",IFERROR(INDEX(_玩家曲线!$H$2:$H$286,MATCH($I182,_玩家曲线!$A$2:$A$286,0)),""))</f>
        <v/>
      </c>
      <c r="R182" s="21">
        <f>IF($I182="","",IFERROR(INDEX(_玩家曲线!$I$2:$I$286,MATCH($I182,_玩家曲线!$A$2:$A$286,0)),""))</f>
        <v/>
      </c>
      <c r="S182" s="21">
        <f>IF(OR($J182="",$F182="不适用"),"",IFERROR(INDEX(_怪物模型!$D$2:$D$4501,(INT($J182)-1)*ROWS(_怪物类型!$A$2:$A$10)+MATCH($F182,_怪物类型!$A$2:$A$10,0))*IF($K182="",1,$K182),""))</f>
        <v/>
      </c>
      <c r="T182" s="21">
        <f>IF(OR($J182="",$F182="不适用"),"",IFERROR(INDEX(_怪物模型!$E$2:$E$4501,(INT($J182)-1)*ROWS(_怪物类型!$A$2:$A$10)+MATCH($F182,_怪物类型!$A$2:$A$10,0))*IF($L182="",1,$L182),""))</f>
        <v/>
      </c>
      <c r="U182" s="21">
        <f>IF(OR($J182="",$F182="不适用"),"",IFERROR(INDEX(_怪物模型!$F$2:$F$4501,(INT($J182)-1)*ROWS(_怪物类型!$A$2:$A$10)+MATCH($F182,_怪物类型!$A$2:$A$10,0))*IF($M182="",1,$M182),""))</f>
        <v/>
      </c>
      <c r="V182" s="84">
        <f>IF($U182="","",MIN(0.75,$U182/($U182+24000)))</f>
        <v/>
      </c>
      <c r="W182" s="21">
        <f>IF($S182="","",$S182/(1-$V182)*IF($N182="",1,$N182))</f>
        <v/>
      </c>
      <c r="X182" s="17">
        <f>IF(OR($W182="",$Q182="",$Q182=0),"",$W182/$Q182)</f>
        <v/>
      </c>
      <c r="Y182" s="17">
        <f>IF(OR($R182="",$T182="",$T182=0),"",$R182/($T182*IF($O182="",1,$O182)))</f>
        <v/>
      </c>
      <c r="Z182" s="17">
        <f>IF(OR($X182="",$P182="",$P182=0),"",$X182/$P182)</f>
        <v/>
      </c>
      <c r="AA182">
        <f>IF($J182="","待填怪物等级",IF(OR($I182="",$Q182=""),"待填对照关卡",IF($P182="","已计算",IF(AND($Y182&lt;&gt;"",$Y182&lt;$X182),"生存不成立",IF($Z182&lt;0.5,"碾压",IF($Z182&lt;0.8,"偏简单",IF($Z182&lt;=1.2,"适中",IF($Z182&lt;=1.5,"偏难","过难"))))))))</f>
        <v/>
      </c>
      <c r="AB182">
        <f>IF($J182="","待填",IF(AND(ISNUMBER($J182),$J182&gt;=1,$J182&lt;=500,MOD($J182,1)=0),"有效","超范围"))</f>
        <v/>
      </c>
      <c r="AC182">
        <f>IF(C182&lt;&gt;C181,"新玩法组",IF(J182&gt;=J181,"不降","回退"))</f>
        <v/>
      </c>
      <c r="AD182" t="inlineStr">
        <is>
          <t>等效进度估算S7，非解锁/首通节点；旧Lv15→14</t>
        </is>
      </c>
      <c r="AE182" s="4" t="n">
        <v>4930</v>
      </c>
      <c r="AF182" s="4">
        <f>INDEX(_统一战力!$B$2:$B$501,J182)</f>
        <v/>
      </c>
    </row>
    <row r="183">
      <c r="A183" t="inlineStr">
        <is>
          <t>当前源表</t>
        </is>
      </c>
      <c r="B183" t="inlineStr">
        <is>
          <t>其他战斗玩法</t>
        </is>
      </c>
      <c r="C183" t="inlineStr">
        <is>
          <t>LevelType_Wild</t>
        </is>
      </c>
      <c r="D183" t="inlineStr">
        <is>
          <t>森林野怪</t>
        </is>
      </c>
      <c r="E183" t="inlineStr">
        <is>
          <t>600122</t>
        </is>
      </c>
      <c r="F183" t="inlineStr">
        <is>
          <t>普通怪</t>
        </is>
      </c>
      <c r="G183" t="n">
        <v>7</v>
      </c>
      <c r="I183">
        <f>IF($H183="",$G183,$H183)</f>
        <v/>
      </c>
      <c r="J183" t="n">
        <v>14</v>
      </c>
      <c r="K183" s="83" t="n">
        <v>1.04759016676984</v>
      </c>
      <c r="L183" s="83" t="n">
        <v>0.82469512195122</v>
      </c>
      <c r="M183" s="83" t="n">
        <v>1</v>
      </c>
      <c r="N183" t="n">
        <v>1</v>
      </c>
      <c r="O183" t="n">
        <v>1</v>
      </c>
      <c r="P183" s="17" t="n">
        <v>0.418858868567819</v>
      </c>
      <c r="Q183" s="21">
        <f>IF($I183="","",IFERROR(INDEX(_玩家曲线!$H$2:$H$286,MATCH($I183,_玩家曲线!$A$2:$A$286,0)),""))</f>
        <v/>
      </c>
      <c r="R183" s="21">
        <f>IF($I183="","",IFERROR(INDEX(_玩家曲线!$I$2:$I$286,MATCH($I183,_玩家曲线!$A$2:$A$286,0)),""))</f>
        <v/>
      </c>
      <c r="S183" s="21">
        <f>IF(OR($J183="",$F183="不适用"),"",IFERROR(INDEX(_怪物模型!$D$2:$D$4501,(INT($J183)-1)*ROWS(_怪物类型!$A$2:$A$10)+MATCH($F183,_怪物类型!$A$2:$A$10,0))*IF($K183="",1,$K183),""))</f>
        <v/>
      </c>
      <c r="T183" s="21">
        <f>IF(OR($J183="",$F183="不适用"),"",IFERROR(INDEX(_怪物模型!$E$2:$E$4501,(INT($J183)-1)*ROWS(_怪物类型!$A$2:$A$10)+MATCH($F183,_怪物类型!$A$2:$A$10,0))*IF($L183="",1,$L183),""))</f>
        <v/>
      </c>
      <c r="U183" s="21">
        <f>IF(OR($J183="",$F183="不适用"),"",IFERROR(INDEX(_怪物模型!$F$2:$F$4501,(INT($J183)-1)*ROWS(_怪物类型!$A$2:$A$10)+MATCH($F183,_怪物类型!$A$2:$A$10,0))*IF($M183="",1,$M183),""))</f>
        <v/>
      </c>
      <c r="V183" s="84">
        <f>IF($U183="","",MIN(0.75,$U183/($U183+24000)))</f>
        <v/>
      </c>
      <c r="W183" s="21">
        <f>IF($S183="","",$S183/(1-$V183)*IF($N183="",1,$N183))</f>
        <v/>
      </c>
      <c r="X183" s="17">
        <f>IF(OR($W183="",$Q183="",$Q183=0),"",$W183/$Q183)</f>
        <v/>
      </c>
      <c r="Y183" s="17">
        <f>IF(OR($R183="",$T183="",$T183=0),"",$R183/($T183*IF($O183="",1,$O183)))</f>
        <v/>
      </c>
      <c r="Z183" s="17">
        <f>IF(OR($X183="",$P183="",$P183=0),"",$X183/$P183)</f>
        <v/>
      </c>
      <c r="AA183">
        <f>IF($J183="","待填怪物等级",IF(OR($I183="",$Q183=""),"待填对照关卡",IF($P183="","已计算",IF(AND($Y183&lt;&gt;"",$Y183&lt;$X183),"生存不成立",IF($Z183&lt;0.5,"碾压",IF($Z183&lt;0.8,"偏简单",IF($Z183&lt;=1.2,"适中",IF($Z183&lt;=1.5,"偏难","过难"))))))))</f>
        <v/>
      </c>
      <c r="AB183">
        <f>IF($J183="","待填",IF(AND(ISNUMBER($J183),$J183&gt;=1,$J183&lt;=500,MOD($J183,1)=0),"有效","超范围"))</f>
        <v/>
      </c>
      <c r="AC183">
        <f>IF(C183&lt;&gt;C182,"新玩法组",IF(J183&gt;=J182,"不降","回退"))</f>
        <v/>
      </c>
      <c r="AD183" t="inlineStr">
        <is>
          <t>等效进度估算S7，非解锁/首通节点；旧Lv15→14</t>
        </is>
      </c>
      <c r="AE183" s="4" t="n">
        <v>4930</v>
      </c>
      <c r="AF183" s="4">
        <f>INDEX(_统一战力!$B$2:$B$501,J183)</f>
        <v/>
      </c>
    </row>
    <row r="184">
      <c r="A184" t="inlineStr">
        <is>
          <t>当前源表</t>
        </is>
      </c>
      <c r="B184" t="inlineStr">
        <is>
          <t>其他战斗玩法</t>
        </is>
      </c>
      <c r="C184" t="inlineStr">
        <is>
          <t>LevelType_Wild</t>
        </is>
      </c>
      <c r="D184" t="inlineStr">
        <is>
          <t>森林野怪</t>
        </is>
      </c>
      <c r="E184" t="inlineStr">
        <is>
          <t>600123</t>
        </is>
      </c>
      <c r="F184" t="inlineStr">
        <is>
          <t>普通怪</t>
        </is>
      </c>
      <c r="G184" t="n">
        <v>7</v>
      </c>
      <c r="I184">
        <f>IF($H184="",$G184,$H184)</f>
        <v/>
      </c>
      <c r="J184" t="n">
        <v>14</v>
      </c>
      <c r="K184" s="83" t="n">
        <v>1.04759016676984</v>
      </c>
      <c r="L184" s="83" t="n">
        <v>0.82469512195122</v>
      </c>
      <c r="M184" s="83" t="n">
        <v>1</v>
      </c>
      <c r="N184" t="n">
        <v>1</v>
      </c>
      <c r="O184" t="n">
        <v>1</v>
      </c>
      <c r="P184" s="17" t="n">
        <v>0.418858868567819</v>
      </c>
      <c r="Q184" s="21">
        <f>IF($I184="","",IFERROR(INDEX(_玩家曲线!$H$2:$H$286,MATCH($I184,_玩家曲线!$A$2:$A$286,0)),""))</f>
        <v/>
      </c>
      <c r="R184" s="21">
        <f>IF($I184="","",IFERROR(INDEX(_玩家曲线!$I$2:$I$286,MATCH($I184,_玩家曲线!$A$2:$A$286,0)),""))</f>
        <v/>
      </c>
      <c r="S184" s="21">
        <f>IF(OR($J184="",$F184="不适用"),"",IFERROR(INDEX(_怪物模型!$D$2:$D$4501,(INT($J184)-1)*ROWS(_怪物类型!$A$2:$A$10)+MATCH($F184,_怪物类型!$A$2:$A$10,0))*IF($K184="",1,$K184),""))</f>
        <v/>
      </c>
      <c r="T184" s="21">
        <f>IF(OR($J184="",$F184="不适用"),"",IFERROR(INDEX(_怪物模型!$E$2:$E$4501,(INT($J184)-1)*ROWS(_怪物类型!$A$2:$A$10)+MATCH($F184,_怪物类型!$A$2:$A$10,0))*IF($L184="",1,$L184),""))</f>
        <v/>
      </c>
      <c r="U184" s="21">
        <f>IF(OR($J184="",$F184="不适用"),"",IFERROR(INDEX(_怪物模型!$F$2:$F$4501,(INT($J184)-1)*ROWS(_怪物类型!$A$2:$A$10)+MATCH($F184,_怪物类型!$A$2:$A$10,0))*IF($M184="",1,$M184),""))</f>
        <v/>
      </c>
      <c r="V184" s="84">
        <f>IF($U184="","",MIN(0.75,$U184/($U184+24000)))</f>
        <v/>
      </c>
      <c r="W184" s="21">
        <f>IF($S184="","",$S184/(1-$V184)*IF($N184="",1,$N184))</f>
        <v/>
      </c>
      <c r="X184" s="17">
        <f>IF(OR($W184="",$Q184="",$Q184=0),"",$W184/$Q184)</f>
        <v/>
      </c>
      <c r="Y184" s="17">
        <f>IF(OR($R184="",$T184="",$T184=0),"",$R184/($T184*IF($O184="",1,$O184)))</f>
        <v/>
      </c>
      <c r="Z184" s="17">
        <f>IF(OR($X184="",$P184="",$P184=0),"",$X184/$P184)</f>
        <v/>
      </c>
      <c r="AA184">
        <f>IF($J184="","待填怪物等级",IF(OR($I184="",$Q184=""),"待填对照关卡",IF($P184="","已计算",IF(AND($Y184&lt;&gt;"",$Y184&lt;$X184),"生存不成立",IF($Z184&lt;0.5,"碾压",IF($Z184&lt;0.8,"偏简单",IF($Z184&lt;=1.2,"适中",IF($Z184&lt;=1.5,"偏难","过难"))))))))</f>
        <v/>
      </c>
      <c r="AB184">
        <f>IF($J184="","待填",IF(AND(ISNUMBER($J184),$J184&gt;=1,$J184&lt;=500,MOD($J184,1)=0),"有效","超范围"))</f>
        <v/>
      </c>
      <c r="AC184">
        <f>IF(C184&lt;&gt;C183,"新玩法组",IF(J184&gt;=J183,"不降","回退"))</f>
        <v/>
      </c>
      <c r="AD184" t="inlineStr">
        <is>
          <t>等效进度估算S7，非解锁/首通节点；旧Lv15→14</t>
        </is>
      </c>
      <c r="AE184" s="4" t="n">
        <v>4930</v>
      </c>
      <c r="AF184" s="4">
        <f>INDEX(_统一战力!$B$2:$B$501,J184)</f>
        <v/>
      </c>
    </row>
    <row r="185">
      <c r="A185" t="inlineStr">
        <is>
          <t>当前源表</t>
        </is>
      </c>
      <c r="B185" t="inlineStr">
        <is>
          <t>其他战斗玩法</t>
        </is>
      </c>
      <c r="C185" t="inlineStr">
        <is>
          <t>LevelType_Wild</t>
        </is>
      </c>
      <c r="D185" t="inlineStr">
        <is>
          <t>森林野怪</t>
        </is>
      </c>
      <c r="E185" t="inlineStr">
        <is>
          <t>600124</t>
        </is>
      </c>
      <c r="F185" t="inlineStr">
        <is>
          <t>普通怪</t>
        </is>
      </c>
      <c r="G185" t="n">
        <v>7</v>
      </c>
      <c r="I185">
        <f>IF($H185="",$G185,$H185)</f>
        <v/>
      </c>
      <c r="J185" t="n">
        <v>14</v>
      </c>
      <c r="K185" s="83" t="n">
        <v>1.04759016676984</v>
      </c>
      <c r="L185" s="83" t="n">
        <v>0.82469512195122</v>
      </c>
      <c r="M185" s="83" t="n">
        <v>1</v>
      </c>
      <c r="N185" t="n">
        <v>1</v>
      </c>
      <c r="O185" t="n">
        <v>1</v>
      </c>
      <c r="P185" s="17" t="n">
        <v>0.418858868567819</v>
      </c>
      <c r="Q185" s="21">
        <f>IF($I185="","",IFERROR(INDEX(_玩家曲线!$H$2:$H$286,MATCH($I185,_玩家曲线!$A$2:$A$286,0)),""))</f>
        <v/>
      </c>
      <c r="R185" s="21">
        <f>IF($I185="","",IFERROR(INDEX(_玩家曲线!$I$2:$I$286,MATCH($I185,_玩家曲线!$A$2:$A$286,0)),""))</f>
        <v/>
      </c>
      <c r="S185" s="21">
        <f>IF(OR($J185="",$F185="不适用"),"",IFERROR(INDEX(_怪物模型!$D$2:$D$4501,(INT($J185)-1)*ROWS(_怪物类型!$A$2:$A$10)+MATCH($F185,_怪物类型!$A$2:$A$10,0))*IF($K185="",1,$K185),""))</f>
        <v/>
      </c>
      <c r="T185" s="21">
        <f>IF(OR($J185="",$F185="不适用"),"",IFERROR(INDEX(_怪物模型!$E$2:$E$4501,(INT($J185)-1)*ROWS(_怪物类型!$A$2:$A$10)+MATCH($F185,_怪物类型!$A$2:$A$10,0))*IF($L185="",1,$L185),""))</f>
        <v/>
      </c>
      <c r="U185" s="21">
        <f>IF(OR($J185="",$F185="不适用"),"",IFERROR(INDEX(_怪物模型!$F$2:$F$4501,(INT($J185)-1)*ROWS(_怪物类型!$A$2:$A$10)+MATCH($F185,_怪物类型!$A$2:$A$10,0))*IF($M185="",1,$M185),""))</f>
        <v/>
      </c>
      <c r="V185" s="84">
        <f>IF($U185="","",MIN(0.75,$U185/($U185+24000)))</f>
        <v/>
      </c>
      <c r="W185" s="21">
        <f>IF($S185="","",$S185/(1-$V185)*IF($N185="",1,$N185))</f>
        <v/>
      </c>
      <c r="X185" s="17">
        <f>IF(OR($W185="",$Q185="",$Q185=0),"",$W185/$Q185)</f>
        <v/>
      </c>
      <c r="Y185" s="17">
        <f>IF(OR($R185="",$T185="",$T185=0),"",$R185/($T185*IF($O185="",1,$O185)))</f>
        <v/>
      </c>
      <c r="Z185" s="17">
        <f>IF(OR($X185="",$P185="",$P185=0),"",$X185/$P185)</f>
        <v/>
      </c>
      <c r="AA185">
        <f>IF($J185="","待填怪物等级",IF(OR($I185="",$Q185=""),"待填对照关卡",IF($P185="","已计算",IF(AND($Y185&lt;&gt;"",$Y185&lt;$X185),"生存不成立",IF($Z185&lt;0.5,"碾压",IF($Z185&lt;0.8,"偏简单",IF($Z185&lt;=1.2,"适中",IF($Z185&lt;=1.5,"偏难","过难"))))))))</f>
        <v/>
      </c>
      <c r="AB185">
        <f>IF($J185="","待填",IF(AND(ISNUMBER($J185),$J185&gt;=1,$J185&lt;=500,MOD($J185,1)=0),"有效","超范围"))</f>
        <v/>
      </c>
      <c r="AC185">
        <f>IF(C185&lt;&gt;C184,"新玩法组",IF(J185&gt;=J184,"不降","回退"))</f>
        <v/>
      </c>
      <c r="AD185" t="inlineStr">
        <is>
          <t>等效进度估算S7，非解锁/首通节点；旧Lv15→14</t>
        </is>
      </c>
      <c r="AE185" s="4" t="n">
        <v>4930</v>
      </c>
      <c r="AF185" s="4">
        <f>INDEX(_统一战力!$B$2:$B$501,J185)</f>
        <v/>
      </c>
    </row>
    <row r="186">
      <c r="A186" t="inlineStr">
        <is>
          <t>当前源表</t>
        </is>
      </c>
      <c r="B186" t="inlineStr">
        <is>
          <t>其他战斗玩法</t>
        </is>
      </c>
      <c r="C186" t="inlineStr">
        <is>
          <t>LevelType_Wild</t>
        </is>
      </c>
      <c r="D186" t="inlineStr">
        <is>
          <t>森林野怪</t>
        </is>
      </c>
      <c r="E186" t="inlineStr">
        <is>
          <t>600125</t>
        </is>
      </c>
      <c r="F186" t="inlineStr">
        <is>
          <t>普通怪</t>
        </is>
      </c>
      <c r="G186" t="n">
        <v>7</v>
      </c>
      <c r="I186">
        <f>IF($H186="",$G186,$H186)</f>
        <v/>
      </c>
      <c r="J186" t="n">
        <v>14</v>
      </c>
      <c r="K186" s="83" t="n">
        <v>1.04759016676984</v>
      </c>
      <c r="L186" s="83" t="n">
        <v>0.82469512195122</v>
      </c>
      <c r="M186" s="83" t="n">
        <v>1</v>
      </c>
      <c r="N186" t="n">
        <v>1</v>
      </c>
      <c r="O186" t="n">
        <v>1</v>
      </c>
      <c r="P186" s="17" t="n">
        <v>0.418858868567819</v>
      </c>
      <c r="Q186" s="21">
        <f>IF($I186="","",IFERROR(INDEX(_玩家曲线!$H$2:$H$286,MATCH($I186,_玩家曲线!$A$2:$A$286,0)),""))</f>
        <v/>
      </c>
      <c r="R186" s="21">
        <f>IF($I186="","",IFERROR(INDEX(_玩家曲线!$I$2:$I$286,MATCH($I186,_玩家曲线!$A$2:$A$286,0)),""))</f>
        <v/>
      </c>
      <c r="S186" s="21">
        <f>IF(OR($J186="",$F186="不适用"),"",IFERROR(INDEX(_怪物模型!$D$2:$D$4501,(INT($J186)-1)*ROWS(_怪物类型!$A$2:$A$10)+MATCH($F186,_怪物类型!$A$2:$A$10,0))*IF($K186="",1,$K186),""))</f>
        <v/>
      </c>
      <c r="T186" s="21">
        <f>IF(OR($J186="",$F186="不适用"),"",IFERROR(INDEX(_怪物模型!$E$2:$E$4501,(INT($J186)-1)*ROWS(_怪物类型!$A$2:$A$10)+MATCH($F186,_怪物类型!$A$2:$A$10,0))*IF($L186="",1,$L186),""))</f>
        <v/>
      </c>
      <c r="U186" s="21">
        <f>IF(OR($J186="",$F186="不适用"),"",IFERROR(INDEX(_怪物模型!$F$2:$F$4501,(INT($J186)-1)*ROWS(_怪物类型!$A$2:$A$10)+MATCH($F186,_怪物类型!$A$2:$A$10,0))*IF($M186="",1,$M186),""))</f>
        <v/>
      </c>
      <c r="V186" s="84">
        <f>IF($U186="","",MIN(0.75,$U186/($U186+24000)))</f>
        <v/>
      </c>
      <c r="W186" s="21">
        <f>IF($S186="","",$S186/(1-$V186)*IF($N186="",1,$N186))</f>
        <v/>
      </c>
      <c r="X186" s="17">
        <f>IF(OR($W186="",$Q186="",$Q186=0),"",$W186/$Q186)</f>
        <v/>
      </c>
      <c r="Y186" s="17">
        <f>IF(OR($R186="",$T186="",$T186=0),"",$R186/($T186*IF($O186="",1,$O186)))</f>
        <v/>
      </c>
      <c r="Z186" s="17">
        <f>IF(OR($X186="",$P186="",$P186=0),"",$X186/$P186)</f>
        <v/>
      </c>
      <c r="AA186">
        <f>IF($J186="","待填怪物等级",IF(OR($I186="",$Q186=""),"待填对照关卡",IF($P186="","已计算",IF(AND($Y186&lt;&gt;"",$Y186&lt;$X186),"生存不成立",IF($Z186&lt;0.5,"碾压",IF($Z186&lt;0.8,"偏简单",IF($Z186&lt;=1.2,"适中",IF($Z186&lt;=1.5,"偏难","过难"))))))))</f>
        <v/>
      </c>
      <c r="AB186">
        <f>IF($J186="","待填",IF(AND(ISNUMBER($J186),$J186&gt;=1,$J186&lt;=500,MOD($J186,1)=0),"有效","超范围"))</f>
        <v/>
      </c>
      <c r="AC186">
        <f>IF(C186&lt;&gt;C185,"新玩法组",IF(J186&gt;=J185,"不降","回退"))</f>
        <v/>
      </c>
      <c r="AD186" t="inlineStr">
        <is>
          <t>等效进度估算S7，非解锁/首通节点；旧Lv15→14</t>
        </is>
      </c>
      <c r="AE186" s="4" t="n">
        <v>4930</v>
      </c>
      <c r="AF186" s="4">
        <f>INDEX(_统一战力!$B$2:$B$501,J186)</f>
        <v/>
      </c>
    </row>
    <row r="187">
      <c r="A187" t="inlineStr">
        <is>
          <t>当前源表</t>
        </is>
      </c>
      <c r="B187" t="inlineStr">
        <is>
          <t>其他战斗玩法</t>
        </is>
      </c>
      <c r="C187" t="inlineStr">
        <is>
          <t>LevelType_Wild</t>
        </is>
      </c>
      <c r="D187" t="inlineStr">
        <is>
          <t>冰原野怪</t>
        </is>
      </c>
      <c r="E187" t="inlineStr">
        <is>
          <t>600201</t>
        </is>
      </c>
      <c r="F187" t="inlineStr">
        <is>
          <t>普通怪</t>
        </is>
      </c>
      <c r="G187" t="n">
        <v>7</v>
      </c>
      <c r="I187">
        <f>IF($H187="",$G187,$H187)</f>
        <v/>
      </c>
      <c r="J187" t="n">
        <v>14</v>
      </c>
      <c r="K187" s="83" t="n">
        <v>1.04759016676984</v>
      </c>
      <c r="L187" s="83" t="n">
        <v>0.82469512195122</v>
      </c>
      <c r="M187" s="83" t="n">
        <v>1</v>
      </c>
      <c r="N187" t="n">
        <v>1</v>
      </c>
      <c r="O187" t="n">
        <v>1</v>
      </c>
      <c r="P187" s="17" t="n">
        <v>0.418858868567819</v>
      </c>
      <c r="Q187" s="21">
        <f>IF($I187="","",IFERROR(INDEX(_玩家曲线!$H$2:$H$286,MATCH($I187,_玩家曲线!$A$2:$A$286,0)),""))</f>
        <v/>
      </c>
      <c r="R187" s="21">
        <f>IF($I187="","",IFERROR(INDEX(_玩家曲线!$I$2:$I$286,MATCH($I187,_玩家曲线!$A$2:$A$286,0)),""))</f>
        <v/>
      </c>
      <c r="S187" s="21">
        <f>IF(OR($J187="",$F187="不适用"),"",IFERROR(INDEX(_怪物模型!$D$2:$D$4501,(INT($J187)-1)*ROWS(_怪物类型!$A$2:$A$10)+MATCH($F187,_怪物类型!$A$2:$A$10,0))*IF($K187="",1,$K187),""))</f>
        <v/>
      </c>
      <c r="T187" s="21">
        <f>IF(OR($J187="",$F187="不适用"),"",IFERROR(INDEX(_怪物模型!$E$2:$E$4501,(INT($J187)-1)*ROWS(_怪物类型!$A$2:$A$10)+MATCH($F187,_怪物类型!$A$2:$A$10,0))*IF($L187="",1,$L187),""))</f>
        <v/>
      </c>
      <c r="U187" s="21">
        <f>IF(OR($J187="",$F187="不适用"),"",IFERROR(INDEX(_怪物模型!$F$2:$F$4501,(INT($J187)-1)*ROWS(_怪物类型!$A$2:$A$10)+MATCH($F187,_怪物类型!$A$2:$A$10,0))*IF($M187="",1,$M187),""))</f>
        <v/>
      </c>
      <c r="V187" s="84">
        <f>IF($U187="","",MIN(0.75,$U187/($U187+24000)))</f>
        <v/>
      </c>
      <c r="W187" s="21">
        <f>IF($S187="","",$S187/(1-$V187)*IF($N187="",1,$N187))</f>
        <v/>
      </c>
      <c r="X187" s="17">
        <f>IF(OR($W187="",$Q187="",$Q187=0),"",$W187/$Q187)</f>
        <v/>
      </c>
      <c r="Y187" s="17">
        <f>IF(OR($R187="",$T187="",$T187=0),"",$R187/($T187*IF($O187="",1,$O187)))</f>
        <v/>
      </c>
      <c r="Z187" s="17">
        <f>IF(OR($X187="",$P187="",$P187=0),"",$X187/$P187)</f>
        <v/>
      </c>
      <c r="AA187">
        <f>IF($J187="","待填怪物等级",IF(OR($I187="",$Q187=""),"待填对照关卡",IF($P187="","已计算",IF(AND($Y187&lt;&gt;"",$Y187&lt;$X187),"生存不成立",IF($Z187&lt;0.5,"碾压",IF($Z187&lt;0.8,"偏简单",IF($Z187&lt;=1.2,"适中",IF($Z187&lt;=1.5,"偏难","过难"))))))))</f>
        <v/>
      </c>
      <c r="AB187">
        <f>IF($J187="","待填",IF(AND(ISNUMBER($J187),$J187&gt;=1,$J187&lt;=500,MOD($J187,1)=0),"有效","超范围"))</f>
        <v/>
      </c>
      <c r="AC187">
        <f>IF(C187&lt;&gt;C186,"新玩法组",IF(J187&gt;=J186,"不降","回退"))</f>
        <v/>
      </c>
      <c r="AD187" t="inlineStr">
        <is>
          <t>等效进度估算S7，非解锁/首通节点；旧Lv15→14</t>
        </is>
      </c>
      <c r="AE187" s="4" t="n">
        <v>4930</v>
      </c>
      <c r="AF187" s="4">
        <f>INDEX(_统一战力!$B$2:$B$501,J187)</f>
        <v/>
      </c>
    </row>
    <row r="188">
      <c r="A188" t="inlineStr">
        <is>
          <t>当前源表</t>
        </is>
      </c>
      <c r="B188" t="inlineStr">
        <is>
          <t>其他战斗玩法</t>
        </is>
      </c>
      <c r="C188" t="inlineStr">
        <is>
          <t>LevelType_Wild</t>
        </is>
      </c>
      <c r="D188" t="inlineStr">
        <is>
          <t>冰原野怪</t>
        </is>
      </c>
      <c r="E188" t="inlineStr">
        <is>
          <t>600202</t>
        </is>
      </c>
      <c r="F188" t="inlineStr">
        <is>
          <t>普通怪</t>
        </is>
      </c>
      <c r="G188" t="n">
        <v>7</v>
      </c>
      <c r="I188">
        <f>IF($H188="",$G188,$H188)</f>
        <v/>
      </c>
      <c r="J188" t="n">
        <v>14</v>
      </c>
      <c r="K188" s="83" t="n">
        <v>1.04759016676984</v>
      </c>
      <c r="L188" s="83" t="n">
        <v>0.82469512195122</v>
      </c>
      <c r="M188" s="83" t="n">
        <v>1</v>
      </c>
      <c r="N188" t="n">
        <v>1</v>
      </c>
      <c r="O188" t="n">
        <v>1</v>
      </c>
      <c r="P188" s="17" t="n">
        <v>0.418858868567819</v>
      </c>
      <c r="Q188" s="21">
        <f>IF($I188="","",IFERROR(INDEX(_玩家曲线!$H$2:$H$286,MATCH($I188,_玩家曲线!$A$2:$A$286,0)),""))</f>
        <v/>
      </c>
      <c r="R188" s="21">
        <f>IF($I188="","",IFERROR(INDEX(_玩家曲线!$I$2:$I$286,MATCH($I188,_玩家曲线!$A$2:$A$286,0)),""))</f>
        <v/>
      </c>
      <c r="S188" s="21">
        <f>IF(OR($J188="",$F188="不适用"),"",IFERROR(INDEX(_怪物模型!$D$2:$D$4501,(INT($J188)-1)*ROWS(_怪物类型!$A$2:$A$10)+MATCH($F188,_怪物类型!$A$2:$A$10,0))*IF($K188="",1,$K188),""))</f>
        <v/>
      </c>
      <c r="T188" s="21">
        <f>IF(OR($J188="",$F188="不适用"),"",IFERROR(INDEX(_怪物模型!$E$2:$E$4501,(INT($J188)-1)*ROWS(_怪物类型!$A$2:$A$10)+MATCH($F188,_怪物类型!$A$2:$A$10,0))*IF($L188="",1,$L188),""))</f>
        <v/>
      </c>
      <c r="U188" s="21">
        <f>IF(OR($J188="",$F188="不适用"),"",IFERROR(INDEX(_怪物模型!$F$2:$F$4501,(INT($J188)-1)*ROWS(_怪物类型!$A$2:$A$10)+MATCH($F188,_怪物类型!$A$2:$A$10,0))*IF($M188="",1,$M188),""))</f>
        <v/>
      </c>
      <c r="V188" s="84">
        <f>IF($U188="","",MIN(0.75,$U188/($U188+24000)))</f>
        <v/>
      </c>
      <c r="W188" s="21">
        <f>IF($S188="","",$S188/(1-$V188)*IF($N188="",1,$N188))</f>
        <v/>
      </c>
      <c r="X188" s="17">
        <f>IF(OR($W188="",$Q188="",$Q188=0),"",$W188/$Q188)</f>
        <v/>
      </c>
      <c r="Y188" s="17">
        <f>IF(OR($R188="",$T188="",$T188=0),"",$R188/($T188*IF($O188="",1,$O188)))</f>
        <v/>
      </c>
      <c r="Z188" s="17">
        <f>IF(OR($X188="",$P188="",$P188=0),"",$X188/$P188)</f>
        <v/>
      </c>
      <c r="AA188">
        <f>IF($J188="","待填怪物等级",IF(OR($I188="",$Q188=""),"待填对照关卡",IF($P188="","已计算",IF(AND($Y188&lt;&gt;"",$Y188&lt;$X188),"生存不成立",IF($Z188&lt;0.5,"碾压",IF($Z188&lt;0.8,"偏简单",IF($Z188&lt;=1.2,"适中",IF($Z188&lt;=1.5,"偏难","过难"))))))))</f>
        <v/>
      </c>
      <c r="AB188">
        <f>IF($J188="","待填",IF(AND(ISNUMBER($J188),$J188&gt;=1,$J188&lt;=500,MOD($J188,1)=0),"有效","超范围"))</f>
        <v/>
      </c>
      <c r="AC188">
        <f>IF(C188&lt;&gt;C187,"新玩法组",IF(J188&gt;=J187,"不降","回退"))</f>
        <v/>
      </c>
      <c r="AD188" t="inlineStr">
        <is>
          <t>等效进度估算S7，非解锁/首通节点；旧Lv15→14</t>
        </is>
      </c>
      <c r="AE188" s="4" t="n">
        <v>4930</v>
      </c>
      <c r="AF188" s="4">
        <f>INDEX(_统一战力!$B$2:$B$501,J188)</f>
        <v/>
      </c>
    </row>
    <row r="189">
      <c r="A189" t="inlineStr">
        <is>
          <t>当前源表</t>
        </is>
      </c>
      <c r="B189" t="inlineStr">
        <is>
          <t>其他战斗玩法</t>
        </is>
      </c>
      <c r="C189" t="inlineStr">
        <is>
          <t>LevelType_Wild</t>
        </is>
      </c>
      <c r="D189" t="inlineStr">
        <is>
          <t>冰原野怪</t>
        </is>
      </c>
      <c r="E189" t="inlineStr">
        <is>
          <t>600203</t>
        </is>
      </c>
      <c r="F189" t="inlineStr">
        <is>
          <t>普通怪</t>
        </is>
      </c>
      <c r="G189" t="n">
        <v>7</v>
      </c>
      <c r="I189">
        <f>IF($H189="",$G189,$H189)</f>
        <v/>
      </c>
      <c r="J189" t="n">
        <v>14</v>
      </c>
      <c r="K189" s="83" t="n">
        <v>1.04759016676984</v>
      </c>
      <c r="L189" s="83" t="n">
        <v>0.82469512195122</v>
      </c>
      <c r="M189" s="83" t="n">
        <v>1</v>
      </c>
      <c r="N189" t="n">
        <v>1</v>
      </c>
      <c r="O189" t="n">
        <v>1</v>
      </c>
      <c r="P189" s="17" t="n">
        <v>0.418858868567819</v>
      </c>
      <c r="Q189" s="21">
        <f>IF($I189="","",IFERROR(INDEX(_玩家曲线!$H$2:$H$286,MATCH($I189,_玩家曲线!$A$2:$A$286,0)),""))</f>
        <v/>
      </c>
      <c r="R189" s="21">
        <f>IF($I189="","",IFERROR(INDEX(_玩家曲线!$I$2:$I$286,MATCH($I189,_玩家曲线!$A$2:$A$286,0)),""))</f>
        <v/>
      </c>
      <c r="S189" s="21">
        <f>IF(OR($J189="",$F189="不适用"),"",IFERROR(INDEX(_怪物模型!$D$2:$D$4501,(INT($J189)-1)*ROWS(_怪物类型!$A$2:$A$10)+MATCH($F189,_怪物类型!$A$2:$A$10,0))*IF($K189="",1,$K189),""))</f>
        <v/>
      </c>
      <c r="T189" s="21">
        <f>IF(OR($J189="",$F189="不适用"),"",IFERROR(INDEX(_怪物模型!$E$2:$E$4501,(INT($J189)-1)*ROWS(_怪物类型!$A$2:$A$10)+MATCH($F189,_怪物类型!$A$2:$A$10,0))*IF($L189="",1,$L189),""))</f>
        <v/>
      </c>
      <c r="U189" s="21">
        <f>IF(OR($J189="",$F189="不适用"),"",IFERROR(INDEX(_怪物模型!$F$2:$F$4501,(INT($J189)-1)*ROWS(_怪物类型!$A$2:$A$10)+MATCH($F189,_怪物类型!$A$2:$A$10,0))*IF($M189="",1,$M189),""))</f>
        <v/>
      </c>
      <c r="V189" s="84">
        <f>IF($U189="","",MIN(0.75,$U189/($U189+24000)))</f>
        <v/>
      </c>
      <c r="W189" s="21">
        <f>IF($S189="","",$S189/(1-$V189)*IF($N189="",1,$N189))</f>
        <v/>
      </c>
      <c r="X189" s="17">
        <f>IF(OR($W189="",$Q189="",$Q189=0),"",$W189/$Q189)</f>
        <v/>
      </c>
      <c r="Y189" s="17">
        <f>IF(OR($R189="",$T189="",$T189=0),"",$R189/($T189*IF($O189="",1,$O189)))</f>
        <v/>
      </c>
      <c r="Z189" s="17">
        <f>IF(OR($X189="",$P189="",$P189=0),"",$X189/$P189)</f>
        <v/>
      </c>
      <c r="AA189">
        <f>IF($J189="","待填怪物等级",IF(OR($I189="",$Q189=""),"待填对照关卡",IF($P189="","已计算",IF(AND($Y189&lt;&gt;"",$Y189&lt;$X189),"生存不成立",IF($Z189&lt;0.5,"碾压",IF($Z189&lt;0.8,"偏简单",IF($Z189&lt;=1.2,"适中",IF($Z189&lt;=1.5,"偏难","过难"))))))))</f>
        <v/>
      </c>
      <c r="AB189">
        <f>IF($J189="","待填",IF(AND(ISNUMBER($J189),$J189&gt;=1,$J189&lt;=500,MOD($J189,1)=0),"有效","超范围"))</f>
        <v/>
      </c>
      <c r="AC189">
        <f>IF(C189&lt;&gt;C188,"新玩法组",IF(J189&gt;=J188,"不降","回退"))</f>
        <v/>
      </c>
      <c r="AD189" t="inlineStr">
        <is>
          <t>等效进度估算S7，非解锁/首通节点；旧Lv15→14</t>
        </is>
      </c>
      <c r="AE189" s="4" t="n">
        <v>4930</v>
      </c>
      <c r="AF189" s="4">
        <f>INDEX(_统一战力!$B$2:$B$501,J189)</f>
        <v/>
      </c>
    </row>
    <row r="190">
      <c r="A190" t="inlineStr">
        <is>
          <t>当前源表</t>
        </is>
      </c>
      <c r="B190" t="inlineStr">
        <is>
          <t>其他战斗玩法</t>
        </is>
      </c>
      <c r="C190" t="inlineStr">
        <is>
          <t>LevelType_Wild</t>
        </is>
      </c>
      <c r="D190" t="inlineStr">
        <is>
          <t>冰原野怪</t>
        </is>
      </c>
      <c r="E190" t="inlineStr">
        <is>
          <t>600204</t>
        </is>
      </c>
      <c r="F190" t="inlineStr">
        <is>
          <t>普通怪</t>
        </is>
      </c>
      <c r="G190" t="n">
        <v>7</v>
      </c>
      <c r="I190">
        <f>IF($H190="",$G190,$H190)</f>
        <v/>
      </c>
      <c r="J190" t="n">
        <v>14</v>
      </c>
      <c r="K190" s="83" t="n">
        <v>1.04759016676984</v>
      </c>
      <c r="L190" s="83" t="n">
        <v>0.82469512195122</v>
      </c>
      <c r="M190" s="83" t="n">
        <v>1</v>
      </c>
      <c r="N190" t="n">
        <v>1</v>
      </c>
      <c r="O190" t="n">
        <v>1</v>
      </c>
      <c r="P190" s="17" t="n">
        <v>0.418858868567819</v>
      </c>
      <c r="Q190" s="21">
        <f>IF($I190="","",IFERROR(INDEX(_玩家曲线!$H$2:$H$286,MATCH($I190,_玩家曲线!$A$2:$A$286,0)),""))</f>
        <v/>
      </c>
      <c r="R190" s="21">
        <f>IF($I190="","",IFERROR(INDEX(_玩家曲线!$I$2:$I$286,MATCH($I190,_玩家曲线!$A$2:$A$286,0)),""))</f>
        <v/>
      </c>
      <c r="S190" s="21">
        <f>IF(OR($J190="",$F190="不适用"),"",IFERROR(INDEX(_怪物模型!$D$2:$D$4501,(INT($J190)-1)*ROWS(_怪物类型!$A$2:$A$10)+MATCH($F190,_怪物类型!$A$2:$A$10,0))*IF($K190="",1,$K190),""))</f>
        <v/>
      </c>
      <c r="T190" s="21">
        <f>IF(OR($J190="",$F190="不适用"),"",IFERROR(INDEX(_怪物模型!$E$2:$E$4501,(INT($J190)-1)*ROWS(_怪物类型!$A$2:$A$10)+MATCH($F190,_怪物类型!$A$2:$A$10,0))*IF($L190="",1,$L190),""))</f>
        <v/>
      </c>
      <c r="U190" s="21">
        <f>IF(OR($J190="",$F190="不适用"),"",IFERROR(INDEX(_怪物模型!$F$2:$F$4501,(INT($J190)-1)*ROWS(_怪物类型!$A$2:$A$10)+MATCH($F190,_怪物类型!$A$2:$A$10,0))*IF($M190="",1,$M190),""))</f>
        <v/>
      </c>
      <c r="V190" s="84">
        <f>IF($U190="","",MIN(0.75,$U190/($U190+24000)))</f>
        <v/>
      </c>
      <c r="W190" s="21">
        <f>IF($S190="","",$S190/(1-$V190)*IF($N190="",1,$N190))</f>
        <v/>
      </c>
      <c r="X190" s="17">
        <f>IF(OR($W190="",$Q190="",$Q190=0),"",$W190/$Q190)</f>
        <v/>
      </c>
      <c r="Y190" s="17">
        <f>IF(OR($R190="",$T190="",$T190=0),"",$R190/($T190*IF($O190="",1,$O190)))</f>
        <v/>
      </c>
      <c r="Z190" s="17">
        <f>IF(OR($X190="",$P190="",$P190=0),"",$X190/$P190)</f>
        <v/>
      </c>
      <c r="AA190">
        <f>IF($J190="","待填怪物等级",IF(OR($I190="",$Q190=""),"待填对照关卡",IF($P190="","已计算",IF(AND($Y190&lt;&gt;"",$Y190&lt;$X190),"生存不成立",IF($Z190&lt;0.5,"碾压",IF($Z190&lt;0.8,"偏简单",IF($Z190&lt;=1.2,"适中",IF($Z190&lt;=1.5,"偏难","过难"))))))))</f>
        <v/>
      </c>
      <c r="AB190">
        <f>IF($J190="","待填",IF(AND(ISNUMBER($J190),$J190&gt;=1,$J190&lt;=500,MOD($J190,1)=0),"有效","超范围"))</f>
        <v/>
      </c>
      <c r="AC190">
        <f>IF(C190&lt;&gt;C189,"新玩法组",IF(J190&gt;=J189,"不降","回退"))</f>
        <v/>
      </c>
      <c r="AD190" t="inlineStr">
        <is>
          <t>等效进度估算S7，非解锁/首通节点；旧Lv15→14</t>
        </is>
      </c>
      <c r="AE190" s="4" t="n">
        <v>4930</v>
      </c>
      <c r="AF190" s="4">
        <f>INDEX(_统一战力!$B$2:$B$501,J190)</f>
        <v/>
      </c>
    </row>
    <row r="191">
      <c r="A191" t="inlineStr">
        <is>
          <t>当前源表</t>
        </is>
      </c>
      <c r="B191" t="inlineStr">
        <is>
          <t>其他战斗玩法</t>
        </is>
      </c>
      <c r="C191" t="inlineStr">
        <is>
          <t>LevelType_Wild</t>
        </is>
      </c>
      <c r="D191" t="inlineStr">
        <is>
          <t>冰原野怪</t>
        </is>
      </c>
      <c r="E191" t="inlineStr">
        <is>
          <t>600205</t>
        </is>
      </c>
      <c r="F191" t="inlineStr">
        <is>
          <t>普通怪</t>
        </is>
      </c>
      <c r="G191" t="n">
        <v>7</v>
      </c>
      <c r="I191">
        <f>IF($H191="",$G191,$H191)</f>
        <v/>
      </c>
      <c r="J191" t="n">
        <v>14</v>
      </c>
      <c r="K191" s="83" t="n">
        <v>1.04759016676984</v>
      </c>
      <c r="L191" s="83" t="n">
        <v>0.82469512195122</v>
      </c>
      <c r="M191" s="83" t="n">
        <v>1</v>
      </c>
      <c r="N191" t="n">
        <v>1</v>
      </c>
      <c r="O191" t="n">
        <v>1</v>
      </c>
      <c r="P191" s="17" t="n">
        <v>0.418858868567819</v>
      </c>
      <c r="Q191" s="21">
        <f>IF($I191="","",IFERROR(INDEX(_玩家曲线!$H$2:$H$286,MATCH($I191,_玩家曲线!$A$2:$A$286,0)),""))</f>
        <v/>
      </c>
      <c r="R191" s="21">
        <f>IF($I191="","",IFERROR(INDEX(_玩家曲线!$I$2:$I$286,MATCH($I191,_玩家曲线!$A$2:$A$286,0)),""))</f>
        <v/>
      </c>
      <c r="S191" s="21">
        <f>IF(OR($J191="",$F191="不适用"),"",IFERROR(INDEX(_怪物模型!$D$2:$D$4501,(INT($J191)-1)*ROWS(_怪物类型!$A$2:$A$10)+MATCH($F191,_怪物类型!$A$2:$A$10,0))*IF($K191="",1,$K191),""))</f>
        <v/>
      </c>
      <c r="T191" s="21">
        <f>IF(OR($J191="",$F191="不适用"),"",IFERROR(INDEX(_怪物模型!$E$2:$E$4501,(INT($J191)-1)*ROWS(_怪物类型!$A$2:$A$10)+MATCH($F191,_怪物类型!$A$2:$A$10,0))*IF($L191="",1,$L191),""))</f>
        <v/>
      </c>
      <c r="U191" s="21">
        <f>IF(OR($J191="",$F191="不适用"),"",IFERROR(INDEX(_怪物模型!$F$2:$F$4501,(INT($J191)-1)*ROWS(_怪物类型!$A$2:$A$10)+MATCH($F191,_怪物类型!$A$2:$A$10,0))*IF($M191="",1,$M191),""))</f>
        <v/>
      </c>
      <c r="V191" s="84">
        <f>IF($U191="","",MIN(0.75,$U191/($U191+24000)))</f>
        <v/>
      </c>
      <c r="W191" s="21">
        <f>IF($S191="","",$S191/(1-$V191)*IF($N191="",1,$N191))</f>
        <v/>
      </c>
      <c r="X191" s="17">
        <f>IF(OR($W191="",$Q191="",$Q191=0),"",$W191/$Q191)</f>
        <v/>
      </c>
      <c r="Y191" s="17">
        <f>IF(OR($R191="",$T191="",$T191=0),"",$R191/($T191*IF($O191="",1,$O191)))</f>
        <v/>
      </c>
      <c r="Z191" s="17">
        <f>IF(OR($X191="",$P191="",$P191=0),"",$X191/$P191)</f>
        <v/>
      </c>
      <c r="AA191">
        <f>IF($J191="","待填怪物等级",IF(OR($I191="",$Q191=""),"待填对照关卡",IF($P191="","已计算",IF(AND($Y191&lt;&gt;"",$Y191&lt;$X191),"生存不成立",IF($Z191&lt;0.5,"碾压",IF($Z191&lt;0.8,"偏简单",IF($Z191&lt;=1.2,"适中",IF($Z191&lt;=1.5,"偏难","过难"))))))))</f>
        <v/>
      </c>
      <c r="AB191">
        <f>IF($J191="","待填",IF(AND(ISNUMBER($J191),$J191&gt;=1,$J191&lt;=500,MOD($J191,1)=0),"有效","超范围"))</f>
        <v/>
      </c>
      <c r="AC191">
        <f>IF(C191&lt;&gt;C190,"新玩法组",IF(J191&gt;=J190,"不降","回退"))</f>
        <v/>
      </c>
      <c r="AD191" t="inlineStr">
        <is>
          <t>等效进度估算S7，非解锁/首通节点；旧Lv15→14</t>
        </is>
      </c>
      <c r="AE191" s="4" t="n">
        <v>4930</v>
      </c>
      <c r="AF191" s="4">
        <f>INDEX(_统一战力!$B$2:$B$501,J191)</f>
        <v/>
      </c>
    </row>
    <row r="192">
      <c r="A192" t="inlineStr">
        <is>
          <t>当前源表</t>
        </is>
      </c>
      <c r="B192" t="inlineStr">
        <is>
          <t>其他战斗玩法</t>
        </is>
      </c>
      <c r="C192" t="inlineStr">
        <is>
          <t>LevelType_Wild</t>
        </is>
      </c>
      <c r="D192" t="inlineStr">
        <is>
          <t>冰原野怪</t>
        </is>
      </c>
      <c r="E192" t="inlineStr">
        <is>
          <t>600206</t>
        </is>
      </c>
      <c r="F192" t="inlineStr">
        <is>
          <t>普通怪</t>
        </is>
      </c>
      <c r="G192" t="n">
        <v>7</v>
      </c>
      <c r="I192">
        <f>IF($H192="",$G192,$H192)</f>
        <v/>
      </c>
      <c r="J192" t="n">
        <v>14</v>
      </c>
      <c r="K192" s="83" t="n">
        <v>1.04759016676984</v>
      </c>
      <c r="L192" s="83" t="n">
        <v>0.82469512195122</v>
      </c>
      <c r="M192" s="83" t="n">
        <v>1</v>
      </c>
      <c r="N192" t="n">
        <v>1</v>
      </c>
      <c r="O192" t="n">
        <v>1</v>
      </c>
      <c r="P192" s="17" t="n">
        <v>0.418858868567819</v>
      </c>
      <c r="Q192" s="21">
        <f>IF($I192="","",IFERROR(INDEX(_玩家曲线!$H$2:$H$286,MATCH($I192,_玩家曲线!$A$2:$A$286,0)),""))</f>
        <v/>
      </c>
      <c r="R192" s="21">
        <f>IF($I192="","",IFERROR(INDEX(_玩家曲线!$I$2:$I$286,MATCH($I192,_玩家曲线!$A$2:$A$286,0)),""))</f>
        <v/>
      </c>
      <c r="S192" s="21">
        <f>IF(OR($J192="",$F192="不适用"),"",IFERROR(INDEX(_怪物模型!$D$2:$D$4501,(INT($J192)-1)*ROWS(_怪物类型!$A$2:$A$10)+MATCH($F192,_怪物类型!$A$2:$A$10,0))*IF($K192="",1,$K192),""))</f>
        <v/>
      </c>
      <c r="T192" s="21">
        <f>IF(OR($J192="",$F192="不适用"),"",IFERROR(INDEX(_怪物模型!$E$2:$E$4501,(INT($J192)-1)*ROWS(_怪物类型!$A$2:$A$10)+MATCH($F192,_怪物类型!$A$2:$A$10,0))*IF($L192="",1,$L192),""))</f>
        <v/>
      </c>
      <c r="U192" s="21">
        <f>IF(OR($J192="",$F192="不适用"),"",IFERROR(INDEX(_怪物模型!$F$2:$F$4501,(INT($J192)-1)*ROWS(_怪物类型!$A$2:$A$10)+MATCH($F192,_怪物类型!$A$2:$A$10,0))*IF($M192="",1,$M192),""))</f>
        <v/>
      </c>
      <c r="V192" s="84">
        <f>IF($U192="","",MIN(0.75,$U192/($U192+24000)))</f>
        <v/>
      </c>
      <c r="W192" s="21">
        <f>IF($S192="","",$S192/(1-$V192)*IF($N192="",1,$N192))</f>
        <v/>
      </c>
      <c r="X192" s="17">
        <f>IF(OR($W192="",$Q192="",$Q192=0),"",$W192/$Q192)</f>
        <v/>
      </c>
      <c r="Y192" s="17">
        <f>IF(OR($R192="",$T192="",$T192=0),"",$R192/($T192*IF($O192="",1,$O192)))</f>
        <v/>
      </c>
      <c r="Z192" s="17">
        <f>IF(OR($X192="",$P192="",$P192=0),"",$X192/$P192)</f>
        <v/>
      </c>
      <c r="AA192">
        <f>IF($J192="","待填怪物等级",IF(OR($I192="",$Q192=""),"待填对照关卡",IF($P192="","已计算",IF(AND($Y192&lt;&gt;"",$Y192&lt;$X192),"生存不成立",IF($Z192&lt;0.5,"碾压",IF($Z192&lt;0.8,"偏简单",IF($Z192&lt;=1.2,"适中",IF($Z192&lt;=1.5,"偏难","过难"))))))))</f>
        <v/>
      </c>
      <c r="AB192">
        <f>IF($J192="","待填",IF(AND(ISNUMBER($J192),$J192&gt;=1,$J192&lt;=500,MOD($J192,1)=0),"有效","超范围"))</f>
        <v/>
      </c>
      <c r="AC192">
        <f>IF(C192&lt;&gt;C191,"新玩法组",IF(J192&gt;=J191,"不降","回退"))</f>
        <v/>
      </c>
      <c r="AD192" t="inlineStr">
        <is>
          <t>等效进度估算S7，非解锁/首通节点；旧Lv15→14</t>
        </is>
      </c>
      <c r="AE192" s="4" t="n">
        <v>4930</v>
      </c>
      <c r="AF192" s="4">
        <f>INDEX(_统一战力!$B$2:$B$501,J192)</f>
        <v/>
      </c>
    </row>
    <row r="193">
      <c r="A193" t="inlineStr">
        <is>
          <t>当前源表</t>
        </is>
      </c>
      <c r="B193" t="inlineStr">
        <is>
          <t>其他战斗玩法</t>
        </is>
      </c>
      <c r="C193" t="inlineStr">
        <is>
          <t>LevelType_Wild</t>
        </is>
      </c>
      <c r="D193" t="inlineStr">
        <is>
          <t>冰原野怪</t>
        </is>
      </c>
      <c r="E193" t="inlineStr">
        <is>
          <t>600207</t>
        </is>
      </c>
      <c r="F193" t="inlineStr">
        <is>
          <t>普通怪</t>
        </is>
      </c>
      <c r="G193" t="n">
        <v>7</v>
      </c>
      <c r="I193">
        <f>IF($H193="",$G193,$H193)</f>
        <v/>
      </c>
      <c r="J193" t="n">
        <v>14</v>
      </c>
      <c r="K193" s="83" t="n">
        <v>1.04759016676984</v>
      </c>
      <c r="L193" s="83" t="n">
        <v>0.82469512195122</v>
      </c>
      <c r="M193" s="83" t="n">
        <v>1</v>
      </c>
      <c r="N193" t="n">
        <v>1</v>
      </c>
      <c r="O193" t="n">
        <v>1</v>
      </c>
      <c r="P193" s="17" t="n">
        <v>0.418858868567819</v>
      </c>
      <c r="Q193" s="21">
        <f>IF($I193="","",IFERROR(INDEX(_玩家曲线!$H$2:$H$286,MATCH($I193,_玩家曲线!$A$2:$A$286,0)),""))</f>
        <v/>
      </c>
      <c r="R193" s="21">
        <f>IF($I193="","",IFERROR(INDEX(_玩家曲线!$I$2:$I$286,MATCH($I193,_玩家曲线!$A$2:$A$286,0)),""))</f>
        <v/>
      </c>
      <c r="S193" s="21">
        <f>IF(OR($J193="",$F193="不适用"),"",IFERROR(INDEX(_怪物模型!$D$2:$D$4501,(INT($J193)-1)*ROWS(_怪物类型!$A$2:$A$10)+MATCH($F193,_怪物类型!$A$2:$A$10,0))*IF($K193="",1,$K193),""))</f>
        <v/>
      </c>
      <c r="T193" s="21">
        <f>IF(OR($J193="",$F193="不适用"),"",IFERROR(INDEX(_怪物模型!$E$2:$E$4501,(INT($J193)-1)*ROWS(_怪物类型!$A$2:$A$10)+MATCH($F193,_怪物类型!$A$2:$A$10,0))*IF($L193="",1,$L193),""))</f>
        <v/>
      </c>
      <c r="U193" s="21">
        <f>IF(OR($J193="",$F193="不适用"),"",IFERROR(INDEX(_怪物模型!$F$2:$F$4501,(INT($J193)-1)*ROWS(_怪物类型!$A$2:$A$10)+MATCH($F193,_怪物类型!$A$2:$A$10,0))*IF($M193="",1,$M193),""))</f>
        <v/>
      </c>
      <c r="V193" s="84">
        <f>IF($U193="","",MIN(0.75,$U193/($U193+24000)))</f>
        <v/>
      </c>
      <c r="W193" s="21">
        <f>IF($S193="","",$S193/(1-$V193)*IF($N193="",1,$N193))</f>
        <v/>
      </c>
      <c r="X193" s="17">
        <f>IF(OR($W193="",$Q193="",$Q193=0),"",$W193/$Q193)</f>
        <v/>
      </c>
      <c r="Y193" s="17">
        <f>IF(OR($R193="",$T193="",$T193=0),"",$R193/($T193*IF($O193="",1,$O193)))</f>
        <v/>
      </c>
      <c r="Z193" s="17">
        <f>IF(OR($X193="",$P193="",$P193=0),"",$X193/$P193)</f>
        <v/>
      </c>
      <c r="AA193">
        <f>IF($J193="","待填怪物等级",IF(OR($I193="",$Q193=""),"待填对照关卡",IF($P193="","已计算",IF(AND($Y193&lt;&gt;"",$Y193&lt;$X193),"生存不成立",IF($Z193&lt;0.5,"碾压",IF($Z193&lt;0.8,"偏简单",IF($Z193&lt;=1.2,"适中",IF($Z193&lt;=1.5,"偏难","过难"))))))))</f>
        <v/>
      </c>
      <c r="AB193">
        <f>IF($J193="","待填",IF(AND(ISNUMBER($J193),$J193&gt;=1,$J193&lt;=500,MOD($J193,1)=0),"有效","超范围"))</f>
        <v/>
      </c>
      <c r="AC193">
        <f>IF(C193&lt;&gt;C192,"新玩法组",IF(J193&gt;=J192,"不降","回退"))</f>
        <v/>
      </c>
      <c r="AD193" t="inlineStr">
        <is>
          <t>等效进度估算S7，非解锁/首通节点；旧Lv15→14</t>
        </is>
      </c>
      <c r="AE193" s="4" t="n">
        <v>4930</v>
      </c>
      <c r="AF193" s="4">
        <f>INDEX(_统一战力!$B$2:$B$501,J193)</f>
        <v/>
      </c>
    </row>
    <row r="194">
      <c r="A194" t="inlineStr">
        <is>
          <t>当前源表</t>
        </is>
      </c>
      <c r="B194" t="inlineStr">
        <is>
          <t>其他战斗玩法</t>
        </is>
      </c>
      <c r="C194" t="inlineStr">
        <is>
          <t>LevelType_Wild</t>
        </is>
      </c>
      <c r="D194" t="inlineStr">
        <is>
          <t>冰原野怪</t>
        </is>
      </c>
      <c r="E194" t="inlineStr">
        <is>
          <t>600208</t>
        </is>
      </c>
      <c r="F194" t="inlineStr">
        <is>
          <t>普通怪</t>
        </is>
      </c>
      <c r="G194" t="n">
        <v>7</v>
      </c>
      <c r="I194">
        <f>IF($H194="",$G194,$H194)</f>
        <v/>
      </c>
      <c r="J194" t="n">
        <v>14</v>
      </c>
      <c r="K194" s="83" t="n">
        <v>1.04759016676984</v>
      </c>
      <c r="L194" s="83" t="n">
        <v>0.82469512195122</v>
      </c>
      <c r="M194" s="83" t="n">
        <v>1</v>
      </c>
      <c r="N194" t="n">
        <v>1</v>
      </c>
      <c r="O194" t="n">
        <v>1</v>
      </c>
      <c r="P194" s="17" t="n">
        <v>0.418858868567819</v>
      </c>
      <c r="Q194" s="21">
        <f>IF($I194="","",IFERROR(INDEX(_玩家曲线!$H$2:$H$286,MATCH($I194,_玩家曲线!$A$2:$A$286,0)),""))</f>
        <v/>
      </c>
      <c r="R194" s="21">
        <f>IF($I194="","",IFERROR(INDEX(_玩家曲线!$I$2:$I$286,MATCH($I194,_玩家曲线!$A$2:$A$286,0)),""))</f>
        <v/>
      </c>
      <c r="S194" s="21">
        <f>IF(OR($J194="",$F194="不适用"),"",IFERROR(INDEX(_怪物模型!$D$2:$D$4501,(INT($J194)-1)*ROWS(_怪物类型!$A$2:$A$10)+MATCH($F194,_怪物类型!$A$2:$A$10,0))*IF($K194="",1,$K194),""))</f>
        <v/>
      </c>
      <c r="T194" s="21">
        <f>IF(OR($J194="",$F194="不适用"),"",IFERROR(INDEX(_怪物模型!$E$2:$E$4501,(INT($J194)-1)*ROWS(_怪物类型!$A$2:$A$10)+MATCH($F194,_怪物类型!$A$2:$A$10,0))*IF($L194="",1,$L194),""))</f>
        <v/>
      </c>
      <c r="U194" s="21">
        <f>IF(OR($J194="",$F194="不适用"),"",IFERROR(INDEX(_怪物模型!$F$2:$F$4501,(INT($J194)-1)*ROWS(_怪物类型!$A$2:$A$10)+MATCH($F194,_怪物类型!$A$2:$A$10,0))*IF($M194="",1,$M194),""))</f>
        <v/>
      </c>
      <c r="V194" s="84">
        <f>IF($U194="","",MIN(0.75,$U194/($U194+24000)))</f>
        <v/>
      </c>
      <c r="W194" s="21">
        <f>IF($S194="","",$S194/(1-$V194)*IF($N194="",1,$N194))</f>
        <v/>
      </c>
      <c r="X194" s="17">
        <f>IF(OR($W194="",$Q194="",$Q194=0),"",$W194/$Q194)</f>
        <v/>
      </c>
      <c r="Y194" s="17">
        <f>IF(OR($R194="",$T194="",$T194=0),"",$R194/($T194*IF($O194="",1,$O194)))</f>
        <v/>
      </c>
      <c r="Z194" s="17">
        <f>IF(OR($X194="",$P194="",$P194=0),"",$X194/$P194)</f>
        <v/>
      </c>
      <c r="AA194">
        <f>IF($J194="","待填怪物等级",IF(OR($I194="",$Q194=""),"待填对照关卡",IF($P194="","已计算",IF(AND($Y194&lt;&gt;"",$Y194&lt;$X194),"生存不成立",IF($Z194&lt;0.5,"碾压",IF($Z194&lt;0.8,"偏简单",IF($Z194&lt;=1.2,"适中",IF($Z194&lt;=1.5,"偏难","过难"))))))))</f>
        <v/>
      </c>
      <c r="AB194">
        <f>IF($J194="","待填",IF(AND(ISNUMBER($J194),$J194&gt;=1,$J194&lt;=500,MOD($J194,1)=0),"有效","超范围"))</f>
        <v/>
      </c>
      <c r="AC194">
        <f>IF(C194&lt;&gt;C193,"新玩法组",IF(J194&gt;=J193,"不降","回退"))</f>
        <v/>
      </c>
      <c r="AD194" t="inlineStr">
        <is>
          <t>等效进度估算S7，非解锁/首通节点；旧Lv15→14</t>
        </is>
      </c>
      <c r="AE194" s="4" t="n">
        <v>4930</v>
      </c>
      <c r="AF194" s="4">
        <f>INDEX(_统一战力!$B$2:$B$501,J194)</f>
        <v/>
      </c>
    </row>
    <row r="195">
      <c r="A195" t="inlineStr">
        <is>
          <t>当前源表</t>
        </is>
      </c>
      <c r="B195" t="inlineStr">
        <is>
          <t>其他战斗玩法</t>
        </is>
      </c>
      <c r="C195" t="inlineStr">
        <is>
          <t>LevelType_Wild</t>
        </is>
      </c>
      <c r="D195" t="inlineStr">
        <is>
          <t>冰原野怪</t>
        </is>
      </c>
      <c r="E195" t="inlineStr">
        <is>
          <t>600209</t>
        </is>
      </c>
      <c r="F195" t="inlineStr">
        <is>
          <t>普通怪</t>
        </is>
      </c>
      <c r="G195" t="n">
        <v>7</v>
      </c>
      <c r="I195">
        <f>IF($H195="",$G195,$H195)</f>
        <v/>
      </c>
      <c r="J195" t="n">
        <v>14</v>
      </c>
      <c r="K195" s="83" t="n">
        <v>1.04759016676984</v>
      </c>
      <c r="L195" s="83" t="n">
        <v>0.82469512195122</v>
      </c>
      <c r="M195" s="83" t="n">
        <v>1</v>
      </c>
      <c r="N195" t="n">
        <v>1</v>
      </c>
      <c r="O195" t="n">
        <v>1</v>
      </c>
      <c r="P195" s="17" t="n">
        <v>0.418858868567819</v>
      </c>
      <c r="Q195" s="21">
        <f>IF($I195="","",IFERROR(INDEX(_玩家曲线!$H$2:$H$286,MATCH($I195,_玩家曲线!$A$2:$A$286,0)),""))</f>
        <v/>
      </c>
      <c r="R195" s="21">
        <f>IF($I195="","",IFERROR(INDEX(_玩家曲线!$I$2:$I$286,MATCH($I195,_玩家曲线!$A$2:$A$286,0)),""))</f>
        <v/>
      </c>
      <c r="S195" s="21">
        <f>IF(OR($J195="",$F195="不适用"),"",IFERROR(INDEX(_怪物模型!$D$2:$D$4501,(INT($J195)-1)*ROWS(_怪物类型!$A$2:$A$10)+MATCH($F195,_怪物类型!$A$2:$A$10,0))*IF($K195="",1,$K195),""))</f>
        <v/>
      </c>
      <c r="T195" s="21">
        <f>IF(OR($J195="",$F195="不适用"),"",IFERROR(INDEX(_怪物模型!$E$2:$E$4501,(INT($J195)-1)*ROWS(_怪物类型!$A$2:$A$10)+MATCH($F195,_怪物类型!$A$2:$A$10,0))*IF($L195="",1,$L195),""))</f>
        <v/>
      </c>
      <c r="U195" s="21">
        <f>IF(OR($J195="",$F195="不适用"),"",IFERROR(INDEX(_怪物模型!$F$2:$F$4501,(INT($J195)-1)*ROWS(_怪物类型!$A$2:$A$10)+MATCH($F195,_怪物类型!$A$2:$A$10,0))*IF($M195="",1,$M195),""))</f>
        <v/>
      </c>
      <c r="V195" s="84">
        <f>IF($U195="","",MIN(0.75,$U195/($U195+24000)))</f>
        <v/>
      </c>
      <c r="W195" s="21">
        <f>IF($S195="","",$S195/(1-$V195)*IF($N195="",1,$N195))</f>
        <v/>
      </c>
      <c r="X195" s="17">
        <f>IF(OR($W195="",$Q195="",$Q195=0),"",$W195/$Q195)</f>
        <v/>
      </c>
      <c r="Y195" s="17">
        <f>IF(OR($R195="",$T195="",$T195=0),"",$R195/($T195*IF($O195="",1,$O195)))</f>
        <v/>
      </c>
      <c r="Z195" s="17">
        <f>IF(OR($X195="",$P195="",$P195=0),"",$X195/$P195)</f>
        <v/>
      </c>
      <c r="AA195">
        <f>IF($J195="","待填怪物等级",IF(OR($I195="",$Q195=""),"待填对照关卡",IF($P195="","已计算",IF(AND($Y195&lt;&gt;"",$Y195&lt;$X195),"生存不成立",IF($Z195&lt;0.5,"碾压",IF($Z195&lt;0.8,"偏简单",IF($Z195&lt;=1.2,"适中",IF($Z195&lt;=1.5,"偏难","过难"))))))))</f>
        <v/>
      </c>
      <c r="AB195">
        <f>IF($J195="","待填",IF(AND(ISNUMBER($J195),$J195&gt;=1,$J195&lt;=500,MOD($J195,1)=0),"有效","超范围"))</f>
        <v/>
      </c>
      <c r="AC195">
        <f>IF(C195&lt;&gt;C194,"新玩法组",IF(J195&gt;=J194,"不降","回退"))</f>
        <v/>
      </c>
      <c r="AD195" t="inlineStr">
        <is>
          <t>等效进度估算S7，非解锁/首通节点；旧Lv15→14</t>
        </is>
      </c>
      <c r="AE195" s="4" t="n">
        <v>4930</v>
      </c>
      <c r="AF195" s="4">
        <f>INDEX(_统一战力!$B$2:$B$501,J195)</f>
        <v/>
      </c>
    </row>
    <row r="196">
      <c r="A196" t="inlineStr">
        <is>
          <t>当前源表</t>
        </is>
      </c>
      <c r="B196" t="inlineStr">
        <is>
          <t>其他战斗玩法</t>
        </is>
      </c>
      <c r="C196" t="inlineStr">
        <is>
          <t>LevelType_Wild</t>
        </is>
      </c>
      <c r="D196" t="inlineStr">
        <is>
          <t>冰原野怪</t>
        </is>
      </c>
      <c r="E196" t="inlineStr">
        <is>
          <t>600210</t>
        </is>
      </c>
      <c r="F196" t="inlineStr">
        <is>
          <t>普通怪</t>
        </is>
      </c>
      <c r="G196" t="n">
        <v>7</v>
      </c>
      <c r="I196">
        <f>IF($H196="",$G196,$H196)</f>
        <v/>
      </c>
      <c r="J196" t="n">
        <v>14</v>
      </c>
      <c r="K196" s="83" t="n">
        <v>1.04759016676984</v>
      </c>
      <c r="L196" s="83" t="n">
        <v>0.82469512195122</v>
      </c>
      <c r="M196" s="83" t="n">
        <v>1</v>
      </c>
      <c r="N196" t="n">
        <v>1</v>
      </c>
      <c r="O196" t="n">
        <v>1</v>
      </c>
      <c r="P196" s="17" t="n">
        <v>0.418858868567819</v>
      </c>
      <c r="Q196" s="21">
        <f>IF($I196="","",IFERROR(INDEX(_玩家曲线!$H$2:$H$286,MATCH($I196,_玩家曲线!$A$2:$A$286,0)),""))</f>
        <v/>
      </c>
      <c r="R196" s="21">
        <f>IF($I196="","",IFERROR(INDEX(_玩家曲线!$I$2:$I$286,MATCH($I196,_玩家曲线!$A$2:$A$286,0)),""))</f>
        <v/>
      </c>
      <c r="S196" s="21">
        <f>IF(OR($J196="",$F196="不适用"),"",IFERROR(INDEX(_怪物模型!$D$2:$D$4501,(INT($J196)-1)*ROWS(_怪物类型!$A$2:$A$10)+MATCH($F196,_怪物类型!$A$2:$A$10,0))*IF($K196="",1,$K196),""))</f>
        <v/>
      </c>
      <c r="T196" s="21">
        <f>IF(OR($J196="",$F196="不适用"),"",IFERROR(INDEX(_怪物模型!$E$2:$E$4501,(INT($J196)-1)*ROWS(_怪物类型!$A$2:$A$10)+MATCH($F196,_怪物类型!$A$2:$A$10,0))*IF($L196="",1,$L196),""))</f>
        <v/>
      </c>
      <c r="U196" s="21">
        <f>IF(OR($J196="",$F196="不适用"),"",IFERROR(INDEX(_怪物模型!$F$2:$F$4501,(INT($J196)-1)*ROWS(_怪物类型!$A$2:$A$10)+MATCH($F196,_怪物类型!$A$2:$A$10,0))*IF($M196="",1,$M196),""))</f>
        <v/>
      </c>
      <c r="V196" s="84">
        <f>IF($U196="","",MIN(0.75,$U196/($U196+24000)))</f>
        <v/>
      </c>
      <c r="W196" s="21">
        <f>IF($S196="","",$S196/(1-$V196)*IF($N196="",1,$N196))</f>
        <v/>
      </c>
      <c r="X196" s="17">
        <f>IF(OR($W196="",$Q196="",$Q196=0),"",$W196/$Q196)</f>
        <v/>
      </c>
      <c r="Y196" s="17">
        <f>IF(OR($R196="",$T196="",$T196=0),"",$R196/($T196*IF($O196="",1,$O196)))</f>
        <v/>
      </c>
      <c r="Z196" s="17">
        <f>IF(OR($X196="",$P196="",$P196=0),"",$X196/$P196)</f>
        <v/>
      </c>
      <c r="AA196">
        <f>IF($J196="","待填怪物等级",IF(OR($I196="",$Q196=""),"待填对照关卡",IF($P196="","已计算",IF(AND($Y196&lt;&gt;"",$Y196&lt;$X196),"生存不成立",IF($Z196&lt;0.5,"碾压",IF($Z196&lt;0.8,"偏简单",IF($Z196&lt;=1.2,"适中",IF($Z196&lt;=1.5,"偏难","过难"))))))))</f>
        <v/>
      </c>
      <c r="AB196">
        <f>IF($J196="","待填",IF(AND(ISNUMBER($J196),$J196&gt;=1,$J196&lt;=500,MOD($J196,1)=0),"有效","超范围"))</f>
        <v/>
      </c>
      <c r="AC196">
        <f>IF(C196&lt;&gt;C195,"新玩法组",IF(J196&gt;=J195,"不降","回退"))</f>
        <v/>
      </c>
      <c r="AD196" t="inlineStr">
        <is>
          <t>等效进度估算S7，非解锁/首通节点；旧Lv15→14</t>
        </is>
      </c>
      <c r="AE196" s="4" t="n">
        <v>4930</v>
      </c>
      <c r="AF196" s="4">
        <f>INDEX(_统一战力!$B$2:$B$501,J196)</f>
        <v/>
      </c>
    </row>
    <row r="197">
      <c r="A197" t="inlineStr">
        <is>
          <t>当前源表</t>
        </is>
      </c>
      <c r="B197" t="inlineStr">
        <is>
          <t>其他战斗玩法</t>
        </is>
      </c>
      <c r="C197" t="inlineStr">
        <is>
          <t>LevelType_Wild</t>
        </is>
      </c>
      <c r="D197" t="inlineStr">
        <is>
          <t>冰原野怪</t>
        </is>
      </c>
      <c r="E197" t="inlineStr">
        <is>
          <t>600211</t>
        </is>
      </c>
      <c r="F197" t="inlineStr">
        <is>
          <t>普通怪</t>
        </is>
      </c>
      <c r="G197" t="n">
        <v>7</v>
      </c>
      <c r="I197">
        <f>IF($H197="",$G197,$H197)</f>
        <v/>
      </c>
      <c r="J197" t="n">
        <v>14</v>
      </c>
      <c r="K197" s="83" t="n">
        <v>1.04759016676984</v>
      </c>
      <c r="L197" s="83" t="n">
        <v>0.82469512195122</v>
      </c>
      <c r="M197" s="83" t="n">
        <v>1</v>
      </c>
      <c r="N197" t="n">
        <v>1</v>
      </c>
      <c r="O197" t="n">
        <v>1</v>
      </c>
      <c r="P197" s="17" t="n">
        <v>0.418858868567819</v>
      </c>
      <c r="Q197" s="21">
        <f>IF($I197="","",IFERROR(INDEX(_玩家曲线!$H$2:$H$286,MATCH($I197,_玩家曲线!$A$2:$A$286,0)),""))</f>
        <v/>
      </c>
      <c r="R197" s="21">
        <f>IF($I197="","",IFERROR(INDEX(_玩家曲线!$I$2:$I$286,MATCH($I197,_玩家曲线!$A$2:$A$286,0)),""))</f>
        <v/>
      </c>
      <c r="S197" s="21">
        <f>IF(OR($J197="",$F197="不适用"),"",IFERROR(INDEX(_怪物模型!$D$2:$D$4501,(INT($J197)-1)*ROWS(_怪物类型!$A$2:$A$10)+MATCH($F197,_怪物类型!$A$2:$A$10,0))*IF($K197="",1,$K197),""))</f>
        <v/>
      </c>
      <c r="T197" s="21">
        <f>IF(OR($J197="",$F197="不适用"),"",IFERROR(INDEX(_怪物模型!$E$2:$E$4501,(INT($J197)-1)*ROWS(_怪物类型!$A$2:$A$10)+MATCH($F197,_怪物类型!$A$2:$A$10,0))*IF($L197="",1,$L197),""))</f>
        <v/>
      </c>
      <c r="U197" s="21">
        <f>IF(OR($J197="",$F197="不适用"),"",IFERROR(INDEX(_怪物模型!$F$2:$F$4501,(INT($J197)-1)*ROWS(_怪物类型!$A$2:$A$10)+MATCH($F197,_怪物类型!$A$2:$A$10,0))*IF($M197="",1,$M197),""))</f>
        <v/>
      </c>
      <c r="V197" s="84">
        <f>IF($U197="","",MIN(0.75,$U197/($U197+24000)))</f>
        <v/>
      </c>
      <c r="W197" s="21">
        <f>IF($S197="","",$S197/(1-$V197)*IF($N197="",1,$N197))</f>
        <v/>
      </c>
      <c r="X197" s="17">
        <f>IF(OR($W197="",$Q197="",$Q197=0),"",$W197/$Q197)</f>
        <v/>
      </c>
      <c r="Y197" s="17">
        <f>IF(OR($R197="",$T197="",$T197=0),"",$R197/($T197*IF($O197="",1,$O197)))</f>
        <v/>
      </c>
      <c r="Z197" s="17">
        <f>IF(OR($X197="",$P197="",$P197=0),"",$X197/$P197)</f>
        <v/>
      </c>
      <c r="AA197">
        <f>IF($J197="","待填怪物等级",IF(OR($I197="",$Q197=""),"待填对照关卡",IF($P197="","已计算",IF(AND($Y197&lt;&gt;"",$Y197&lt;$X197),"生存不成立",IF($Z197&lt;0.5,"碾压",IF($Z197&lt;0.8,"偏简单",IF($Z197&lt;=1.2,"适中",IF($Z197&lt;=1.5,"偏难","过难"))))))))</f>
        <v/>
      </c>
      <c r="AB197">
        <f>IF($J197="","待填",IF(AND(ISNUMBER($J197),$J197&gt;=1,$J197&lt;=500,MOD($J197,1)=0),"有效","超范围"))</f>
        <v/>
      </c>
      <c r="AC197">
        <f>IF(C197&lt;&gt;C196,"新玩法组",IF(J197&gt;=J196,"不降","回退"))</f>
        <v/>
      </c>
      <c r="AD197" t="inlineStr">
        <is>
          <t>等效进度估算S7，非解锁/首通节点；旧Lv15→14</t>
        </is>
      </c>
      <c r="AE197" s="4" t="n">
        <v>4930</v>
      </c>
      <c r="AF197" s="4">
        <f>INDEX(_统一战力!$B$2:$B$501,J197)</f>
        <v/>
      </c>
    </row>
    <row r="198">
      <c r="A198" t="inlineStr">
        <is>
          <t>当前源表</t>
        </is>
      </c>
      <c r="B198" t="inlineStr">
        <is>
          <t>其他战斗玩法</t>
        </is>
      </c>
      <c r="C198" t="inlineStr">
        <is>
          <t>LevelType_Wild</t>
        </is>
      </c>
      <c r="D198" t="inlineStr">
        <is>
          <t>冰原野怪</t>
        </is>
      </c>
      <c r="E198" t="inlineStr">
        <is>
          <t>600212</t>
        </is>
      </c>
      <c r="F198" t="inlineStr">
        <is>
          <t>普通怪</t>
        </is>
      </c>
      <c r="G198" t="n">
        <v>7</v>
      </c>
      <c r="I198">
        <f>IF($H198="",$G198,$H198)</f>
        <v/>
      </c>
      <c r="J198" t="n">
        <v>14</v>
      </c>
      <c r="K198" s="83" t="n">
        <v>1.04759016676984</v>
      </c>
      <c r="L198" s="83" t="n">
        <v>0.82469512195122</v>
      </c>
      <c r="M198" s="83" t="n">
        <v>1</v>
      </c>
      <c r="N198" t="n">
        <v>1</v>
      </c>
      <c r="O198" t="n">
        <v>1</v>
      </c>
      <c r="P198" s="17" t="n">
        <v>0.418858868567819</v>
      </c>
      <c r="Q198" s="21">
        <f>IF($I198="","",IFERROR(INDEX(_玩家曲线!$H$2:$H$286,MATCH($I198,_玩家曲线!$A$2:$A$286,0)),""))</f>
        <v/>
      </c>
      <c r="R198" s="21">
        <f>IF($I198="","",IFERROR(INDEX(_玩家曲线!$I$2:$I$286,MATCH($I198,_玩家曲线!$A$2:$A$286,0)),""))</f>
        <v/>
      </c>
      <c r="S198" s="21">
        <f>IF(OR($J198="",$F198="不适用"),"",IFERROR(INDEX(_怪物模型!$D$2:$D$4501,(INT($J198)-1)*ROWS(_怪物类型!$A$2:$A$10)+MATCH($F198,_怪物类型!$A$2:$A$10,0))*IF($K198="",1,$K198),""))</f>
        <v/>
      </c>
      <c r="T198" s="21">
        <f>IF(OR($J198="",$F198="不适用"),"",IFERROR(INDEX(_怪物模型!$E$2:$E$4501,(INT($J198)-1)*ROWS(_怪物类型!$A$2:$A$10)+MATCH($F198,_怪物类型!$A$2:$A$10,0))*IF($L198="",1,$L198),""))</f>
        <v/>
      </c>
      <c r="U198" s="21">
        <f>IF(OR($J198="",$F198="不适用"),"",IFERROR(INDEX(_怪物模型!$F$2:$F$4501,(INT($J198)-1)*ROWS(_怪物类型!$A$2:$A$10)+MATCH($F198,_怪物类型!$A$2:$A$10,0))*IF($M198="",1,$M198),""))</f>
        <v/>
      </c>
      <c r="V198" s="84">
        <f>IF($U198="","",MIN(0.75,$U198/($U198+24000)))</f>
        <v/>
      </c>
      <c r="W198" s="21">
        <f>IF($S198="","",$S198/(1-$V198)*IF($N198="",1,$N198))</f>
        <v/>
      </c>
      <c r="X198" s="17">
        <f>IF(OR($W198="",$Q198="",$Q198=0),"",$W198/$Q198)</f>
        <v/>
      </c>
      <c r="Y198" s="17">
        <f>IF(OR($R198="",$T198="",$T198=0),"",$R198/($T198*IF($O198="",1,$O198)))</f>
        <v/>
      </c>
      <c r="Z198" s="17">
        <f>IF(OR($X198="",$P198="",$P198=0),"",$X198/$P198)</f>
        <v/>
      </c>
      <c r="AA198">
        <f>IF($J198="","待填怪物等级",IF(OR($I198="",$Q198=""),"待填对照关卡",IF($P198="","已计算",IF(AND($Y198&lt;&gt;"",$Y198&lt;$X198),"生存不成立",IF($Z198&lt;0.5,"碾压",IF($Z198&lt;0.8,"偏简单",IF($Z198&lt;=1.2,"适中",IF($Z198&lt;=1.5,"偏难","过难"))))))))</f>
        <v/>
      </c>
      <c r="AB198">
        <f>IF($J198="","待填",IF(AND(ISNUMBER($J198),$J198&gt;=1,$J198&lt;=500,MOD($J198,1)=0),"有效","超范围"))</f>
        <v/>
      </c>
      <c r="AC198">
        <f>IF(C198&lt;&gt;C197,"新玩法组",IF(J198&gt;=J197,"不降","回退"))</f>
        <v/>
      </c>
      <c r="AD198" t="inlineStr">
        <is>
          <t>等效进度估算S7，非解锁/首通节点；旧Lv15→14</t>
        </is>
      </c>
      <c r="AE198" s="4" t="n">
        <v>4930</v>
      </c>
      <c r="AF198" s="4">
        <f>INDEX(_统一战力!$B$2:$B$501,J198)</f>
        <v/>
      </c>
    </row>
    <row r="199">
      <c r="A199" t="inlineStr">
        <is>
          <t>当前源表</t>
        </is>
      </c>
      <c r="B199" t="inlineStr">
        <is>
          <t>其他战斗玩法</t>
        </is>
      </c>
      <c r="C199" t="inlineStr">
        <is>
          <t>LevelType_Wild</t>
        </is>
      </c>
      <c r="D199" t="inlineStr">
        <is>
          <t>冰原野怪</t>
        </is>
      </c>
      <c r="E199" t="inlineStr">
        <is>
          <t>600213</t>
        </is>
      </c>
      <c r="F199" t="inlineStr">
        <is>
          <t>普通怪</t>
        </is>
      </c>
      <c r="G199" t="n">
        <v>7</v>
      </c>
      <c r="I199">
        <f>IF($H199="",$G199,$H199)</f>
        <v/>
      </c>
      <c r="J199" t="n">
        <v>14</v>
      </c>
      <c r="K199" s="83" t="n">
        <v>1.04759016676984</v>
      </c>
      <c r="L199" s="83" t="n">
        <v>0.82469512195122</v>
      </c>
      <c r="M199" s="83" t="n">
        <v>1</v>
      </c>
      <c r="N199" t="n">
        <v>1</v>
      </c>
      <c r="O199" t="n">
        <v>1</v>
      </c>
      <c r="P199" s="17" t="n">
        <v>0.418858868567819</v>
      </c>
      <c r="Q199" s="21">
        <f>IF($I199="","",IFERROR(INDEX(_玩家曲线!$H$2:$H$286,MATCH($I199,_玩家曲线!$A$2:$A$286,0)),""))</f>
        <v/>
      </c>
      <c r="R199" s="21">
        <f>IF($I199="","",IFERROR(INDEX(_玩家曲线!$I$2:$I$286,MATCH($I199,_玩家曲线!$A$2:$A$286,0)),""))</f>
        <v/>
      </c>
      <c r="S199" s="21">
        <f>IF(OR($J199="",$F199="不适用"),"",IFERROR(INDEX(_怪物模型!$D$2:$D$4501,(INT($J199)-1)*ROWS(_怪物类型!$A$2:$A$10)+MATCH($F199,_怪物类型!$A$2:$A$10,0))*IF($K199="",1,$K199),""))</f>
        <v/>
      </c>
      <c r="T199" s="21">
        <f>IF(OR($J199="",$F199="不适用"),"",IFERROR(INDEX(_怪物模型!$E$2:$E$4501,(INT($J199)-1)*ROWS(_怪物类型!$A$2:$A$10)+MATCH($F199,_怪物类型!$A$2:$A$10,0))*IF($L199="",1,$L199),""))</f>
        <v/>
      </c>
      <c r="U199" s="21">
        <f>IF(OR($J199="",$F199="不适用"),"",IFERROR(INDEX(_怪物模型!$F$2:$F$4501,(INT($J199)-1)*ROWS(_怪物类型!$A$2:$A$10)+MATCH($F199,_怪物类型!$A$2:$A$10,0))*IF($M199="",1,$M199),""))</f>
        <v/>
      </c>
      <c r="V199" s="84">
        <f>IF($U199="","",MIN(0.75,$U199/($U199+24000)))</f>
        <v/>
      </c>
      <c r="W199" s="21">
        <f>IF($S199="","",$S199/(1-$V199)*IF($N199="",1,$N199))</f>
        <v/>
      </c>
      <c r="X199" s="17">
        <f>IF(OR($W199="",$Q199="",$Q199=0),"",$W199/$Q199)</f>
        <v/>
      </c>
      <c r="Y199" s="17">
        <f>IF(OR($R199="",$T199="",$T199=0),"",$R199/($T199*IF($O199="",1,$O199)))</f>
        <v/>
      </c>
      <c r="Z199" s="17">
        <f>IF(OR($X199="",$P199="",$P199=0),"",$X199/$P199)</f>
        <v/>
      </c>
      <c r="AA199">
        <f>IF($J199="","待填怪物等级",IF(OR($I199="",$Q199=""),"待填对照关卡",IF($P199="","已计算",IF(AND($Y199&lt;&gt;"",$Y199&lt;$X199),"生存不成立",IF($Z199&lt;0.5,"碾压",IF($Z199&lt;0.8,"偏简单",IF($Z199&lt;=1.2,"适中",IF($Z199&lt;=1.5,"偏难","过难"))))))))</f>
        <v/>
      </c>
      <c r="AB199">
        <f>IF($J199="","待填",IF(AND(ISNUMBER($J199),$J199&gt;=1,$J199&lt;=500,MOD($J199,1)=0),"有效","超范围"))</f>
        <v/>
      </c>
      <c r="AC199">
        <f>IF(C199&lt;&gt;C198,"新玩法组",IF(J199&gt;=J198,"不降","回退"))</f>
        <v/>
      </c>
      <c r="AD199" t="inlineStr">
        <is>
          <t>等效进度估算S7，非解锁/首通节点；旧Lv15→14</t>
        </is>
      </c>
      <c r="AE199" s="4" t="n">
        <v>4930</v>
      </c>
      <c r="AF199" s="4">
        <f>INDEX(_统一战力!$B$2:$B$501,J199)</f>
        <v/>
      </c>
    </row>
    <row r="200">
      <c r="A200" t="inlineStr">
        <is>
          <t>当前源表</t>
        </is>
      </c>
      <c r="B200" t="inlineStr">
        <is>
          <t>其他战斗玩法</t>
        </is>
      </c>
      <c r="C200" t="inlineStr">
        <is>
          <t>LevelType_Wild</t>
        </is>
      </c>
      <c r="D200" t="inlineStr">
        <is>
          <t>冰原野怪</t>
        </is>
      </c>
      <c r="E200" t="inlineStr">
        <is>
          <t>600214</t>
        </is>
      </c>
      <c r="F200" t="inlineStr">
        <is>
          <t>普通怪</t>
        </is>
      </c>
      <c r="G200" t="n">
        <v>7</v>
      </c>
      <c r="I200">
        <f>IF($H200="",$G200,$H200)</f>
        <v/>
      </c>
      <c r="J200" t="n">
        <v>14</v>
      </c>
      <c r="K200" s="83" t="n">
        <v>1.04759016676984</v>
      </c>
      <c r="L200" s="83" t="n">
        <v>0.82469512195122</v>
      </c>
      <c r="M200" s="83" t="n">
        <v>1</v>
      </c>
      <c r="N200" t="n">
        <v>1</v>
      </c>
      <c r="O200" t="n">
        <v>1</v>
      </c>
      <c r="P200" s="17" t="n">
        <v>0.418858868567819</v>
      </c>
      <c r="Q200" s="21">
        <f>IF($I200="","",IFERROR(INDEX(_玩家曲线!$H$2:$H$286,MATCH($I200,_玩家曲线!$A$2:$A$286,0)),""))</f>
        <v/>
      </c>
      <c r="R200" s="21">
        <f>IF($I200="","",IFERROR(INDEX(_玩家曲线!$I$2:$I$286,MATCH($I200,_玩家曲线!$A$2:$A$286,0)),""))</f>
        <v/>
      </c>
      <c r="S200" s="21">
        <f>IF(OR($J200="",$F200="不适用"),"",IFERROR(INDEX(_怪物模型!$D$2:$D$4501,(INT($J200)-1)*ROWS(_怪物类型!$A$2:$A$10)+MATCH($F200,_怪物类型!$A$2:$A$10,0))*IF($K200="",1,$K200),""))</f>
        <v/>
      </c>
      <c r="T200" s="21">
        <f>IF(OR($J200="",$F200="不适用"),"",IFERROR(INDEX(_怪物模型!$E$2:$E$4501,(INT($J200)-1)*ROWS(_怪物类型!$A$2:$A$10)+MATCH($F200,_怪物类型!$A$2:$A$10,0))*IF($L200="",1,$L200),""))</f>
        <v/>
      </c>
      <c r="U200" s="21">
        <f>IF(OR($J200="",$F200="不适用"),"",IFERROR(INDEX(_怪物模型!$F$2:$F$4501,(INT($J200)-1)*ROWS(_怪物类型!$A$2:$A$10)+MATCH($F200,_怪物类型!$A$2:$A$10,0))*IF($M200="",1,$M200),""))</f>
        <v/>
      </c>
      <c r="V200" s="84">
        <f>IF($U200="","",MIN(0.75,$U200/($U200+24000)))</f>
        <v/>
      </c>
      <c r="W200" s="21">
        <f>IF($S200="","",$S200/(1-$V200)*IF($N200="",1,$N200))</f>
        <v/>
      </c>
      <c r="X200" s="17">
        <f>IF(OR($W200="",$Q200="",$Q200=0),"",$W200/$Q200)</f>
        <v/>
      </c>
      <c r="Y200" s="17">
        <f>IF(OR($R200="",$T200="",$T200=0),"",$R200/($T200*IF($O200="",1,$O200)))</f>
        <v/>
      </c>
      <c r="Z200" s="17">
        <f>IF(OR($X200="",$P200="",$P200=0),"",$X200/$P200)</f>
        <v/>
      </c>
      <c r="AA200">
        <f>IF($J200="","待填怪物等级",IF(OR($I200="",$Q200=""),"待填对照关卡",IF($P200="","已计算",IF(AND($Y200&lt;&gt;"",$Y200&lt;$X200),"生存不成立",IF($Z200&lt;0.5,"碾压",IF($Z200&lt;0.8,"偏简单",IF($Z200&lt;=1.2,"适中",IF($Z200&lt;=1.5,"偏难","过难"))))))))</f>
        <v/>
      </c>
      <c r="AB200">
        <f>IF($J200="","待填",IF(AND(ISNUMBER($J200),$J200&gt;=1,$J200&lt;=500,MOD($J200,1)=0),"有效","超范围"))</f>
        <v/>
      </c>
      <c r="AC200">
        <f>IF(C200&lt;&gt;C199,"新玩法组",IF(J200&gt;=J199,"不降","回退"))</f>
        <v/>
      </c>
      <c r="AD200" t="inlineStr">
        <is>
          <t>等效进度估算S7，非解锁/首通节点；旧Lv15→14</t>
        </is>
      </c>
      <c r="AE200" s="4" t="n">
        <v>4930</v>
      </c>
      <c r="AF200" s="4">
        <f>INDEX(_统一战力!$B$2:$B$501,J200)</f>
        <v/>
      </c>
    </row>
    <row r="201">
      <c r="A201" t="inlineStr">
        <is>
          <t>当前源表</t>
        </is>
      </c>
      <c r="B201" t="inlineStr">
        <is>
          <t>其他战斗玩法</t>
        </is>
      </c>
      <c r="C201" t="inlineStr">
        <is>
          <t>LevelType_Wild</t>
        </is>
      </c>
      <c r="D201" t="inlineStr">
        <is>
          <t>冰原野怪</t>
        </is>
      </c>
      <c r="E201" t="inlineStr">
        <is>
          <t>600215</t>
        </is>
      </c>
      <c r="F201" t="inlineStr">
        <is>
          <t>普通怪</t>
        </is>
      </c>
      <c r="G201" t="n">
        <v>7</v>
      </c>
      <c r="I201">
        <f>IF($H201="",$G201,$H201)</f>
        <v/>
      </c>
      <c r="J201" t="n">
        <v>14</v>
      </c>
      <c r="K201" s="83" t="n">
        <v>1.04759016676984</v>
      </c>
      <c r="L201" s="83" t="n">
        <v>0.82469512195122</v>
      </c>
      <c r="M201" s="83" t="n">
        <v>1</v>
      </c>
      <c r="N201" t="n">
        <v>1</v>
      </c>
      <c r="O201" t="n">
        <v>1</v>
      </c>
      <c r="P201" s="17" t="n">
        <v>0.418858868567819</v>
      </c>
      <c r="Q201" s="21">
        <f>IF($I201="","",IFERROR(INDEX(_玩家曲线!$H$2:$H$286,MATCH($I201,_玩家曲线!$A$2:$A$286,0)),""))</f>
        <v/>
      </c>
      <c r="R201" s="21">
        <f>IF($I201="","",IFERROR(INDEX(_玩家曲线!$I$2:$I$286,MATCH($I201,_玩家曲线!$A$2:$A$286,0)),""))</f>
        <v/>
      </c>
      <c r="S201" s="21">
        <f>IF(OR($J201="",$F201="不适用"),"",IFERROR(INDEX(_怪物模型!$D$2:$D$4501,(INT($J201)-1)*ROWS(_怪物类型!$A$2:$A$10)+MATCH($F201,_怪物类型!$A$2:$A$10,0))*IF($K201="",1,$K201),""))</f>
        <v/>
      </c>
      <c r="T201" s="21">
        <f>IF(OR($J201="",$F201="不适用"),"",IFERROR(INDEX(_怪物模型!$E$2:$E$4501,(INT($J201)-1)*ROWS(_怪物类型!$A$2:$A$10)+MATCH($F201,_怪物类型!$A$2:$A$10,0))*IF($L201="",1,$L201),""))</f>
        <v/>
      </c>
      <c r="U201" s="21">
        <f>IF(OR($J201="",$F201="不适用"),"",IFERROR(INDEX(_怪物模型!$F$2:$F$4501,(INT($J201)-1)*ROWS(_怪物类型!$A$2:$A$10)+MATCH($F201,_怪物类型!$A$2:$A$10,0))*IF($M201="",1,$M201),""))</f>
        <v/>
      </c>
      <c r="V201" s="84">
        <f>IF($U201="","",MIN(0.75,$U201/($U201+24000)))</f>
        <v/>
      </c>
      <c r="W201" s="21">
        <f>IF($S201="","",$S201/(1-$V201)*IF($N201="",1,$N201))</f>
        <v/>
      </c>
      <c r="X201" s="17">
        <f>IF(OR($W201="",$Q201="",$Q201=0),"",$W201/$Q201)</f>
        <v/>
      </c>
      <c r="Y201" s="17">
        <f>IF(OR($R201="",$T201="",$T201=0),"",$R201/($T201*IF($O201="",1,$O201)))</f>
        <v/>
      </c>
      <c r="Z201" s="17">
        <f>IF(OR($X201="",$P201="",$P201=0),"",$X201/$P201)</f>
        <v/>
      </c>
      <c r="AA201">
        <f>IF($J201="","待填怪物等级",IF(OR($I201="",$Q201=""),"待填对照关卡",IF($P201="","已计算",IF(AND($Y201&lt;&gt;"",$Y201&lt;$X201),"生存不成立",IF($Z201&lt;0.5,"碾压",IF($Z201&lt;0.8,"偏简单",IF($Z201&lt;=1.2,"适中",IF($Z201&lt;=1.5,"偏难","过难"))))))))</f>
        <v/>
      </c>
      <c r="AB201">
        <f>IF($J201="","待填",IF(AND(ISNUMBER($J201),$J201&gt;=1,$J201&lt;=500,MOD($J201,1)=0),"有效","超范围"))</f>
        <v/>
      </c>
      <c r="AC201">
        <f>IF(C201&lt;&gt;C200,"新玩法组",IF(J201&gt;=J200,"不降","回退"))</f>
        <v/>
      </c>
      <c r="AD201" t="inlineStr">
        <is>
          <t>等效进度估算S7，非解锁/首通节点；旧Lv15→14</t>
        </is>
      </c>
      <c r="AE201" s="4" t="n">
        <v>4930</v>
      </c>
      <c r="AF201" s="4">
        <f>INDEX(_统一战力!$B$2:$B$501,J201)</f>
        <v/>
      </c>
    </row>
    <row r="202">
      <c r="A202" t="inlineStr">
        <is>
          <t>当前源表</t>
        </is>
      </c>
      <c r="B202" t="inlineStr">
        <is>
          <t>其他战斗玩法</t>
        </is>
      </c>
      <c r="C202" t="inlineStr">
        <is>
          <t>LevelType_Wild</t>
        </is>
      </c>
      <c r="D202" t="inlineStr">
        <is>
          <t>冰原野怪</t>
        </is>
      </c>
      <c r="E202" t="inlineStr">
        <is>
          <t>600216</t>
        </is>
      </c>
      <c r="F202" t="inlineStr">
        <is>
          <t>普通怪</t>
        </is>
      </c>
      <c r="G202" t="n">
        <v>7</v>
      </c>
      <c r="I202">
        <f>IF($H202="",$G202,$H202)</f>
        <v/>
      </c>
      <c r="J202" t="n">
        <v>14</v>
      </c>
      <c r="K202" s="83" t="n">
        <v>1.04759016676984</v>
      </c>
      <c r="L202" s="83" t="n">
        <v>0.82469512195122</v>
      </c>
      <c r="M202" s="83" t="n">
        <v>1</v>
      </c>
      <c r="N202" t="n">
        <v>1</v>
      </c>
      <c r="O202" t="n">
        <v>1</v>
      </c>
      <c r="P202" s="17" t="n">
        <v>0.418858868567819</v>
      </c>
      <c r="Q202" s="21">
        <f>IF($I202="","",IFERROR(INDEX(_玩家曲线!$H$2:$H$286,MATCH($I202,_玩家曲线!$A$2:$A$286,0)),""))</f>
        <v/>
      </c>
      <c r="R202" s="21">
        <f>IF($I202="","",IFERROR(INDEX(_玩家曲线!$I$2:$I$286,MATCH($I202,_玩家曲线!$A$2:$A$286,0)),""))</f>
        <v/>
      </c>
      <c r="S202" s="21">
        <f>IF(OR($J202="",$F202="不适用"),"",IFERROR(INDEX(_怪物模型!$D$2:$D$4501,(INT($J202)-1)*ROWS(_怪物类型!$A$2:$A$10)+MATCH($F202,_怪物类型!$A$2:$A$10,0))*IF($K202="",1,$K202),""))</f>
        <v/>
      </c>
      <c r="T202" s="21">
        <f>IF(OR($J202="",$F202="不适用"),"",IFERROR(INDEX(_怪物模型!$E$2:$E$4501,(INT($J202)-1)*ROWS(_怪物类型!$A$2:$A$10)+MATCH($F202,_怪物类型!$A$2:$A$10,0))*IF($L202="",1,$L202),""))</f>
        <v/>
      </c>
      <c r="U202" s="21">
        <f>IF(OR($J202="",$F202="不适用"),"",IFERROR(INDEX(_怪物模型!$F$2:$F$4501,(INT($J202)-1)*ROWS(_怪物类型!$A$2:$A$10)+MATCH($F202,_怪物类型!$A$2:$A$10,0))*IF($M202="",1,$M202),""))</f>
        <v/>
      </c>
      <c r="V202" s="84">
        <f>IF($U202="","",MIN(0.75,$U202/($U202+24000)))</f>
        <v/>
      </c>
      <c r="W202" s="21">
        <f>IF($S202="","",$S202/(1-$V202)*IF($N202="",1,$N202))</f>
        <v/>
      </c>
      <c r="X202" s="17">
        <f>IF(OR($W202="",$Q202="",$Q202=0),"",$W202/$Q202)</f>
        <v/>
      </c>
      <c r="Y202" s="17">
        <f>IF(OR($R202="",$T202="",$T202=0),"",$R202/($T202*IF($O202="",1,$O202)))</f>
        <v/>
      </c>
      <c r="Z202" s="17">
        <f>IF(OR($X202="",$P202="",$P202=0),"",$X202/$P202)</f>
        <v/>
      </c>
      <c r="AA202">
        <f>IF($J202="","待填怪物等级",IF(OR($I202="",$Q202=""),"待填对照关卡",IF($P202="","已计算",IF(AND($Y202&lt;&gt;"",$Y202&lt;$X202),"生存不成立",IF($Z202&lt;0.5,"碾压",IF($Z202&lt;0.8,"偏简单",IF($Z202&lt;=1.2,"适中",IF($Z202&lt;=1.5,"偏难","过难"))))))))</f>
        <v/>
      </c>
      <c r="AB202">
        <f>IF($J202="","待填",IF(AND(ISNUMBER($J202),$J202&gt;=1,$J202&lt;=500,MOD($J202,1)=0),"有效","超范围"))</f>
        <v/>
      </c>
      <c r="AC202">
        <f>IF(C202&lt;&gt;C201,"新玩法组",IF(J202&gt;=J201,"不降","回退"))</f>
        <v/>
      </c>
      <c r="AD202" t="inlineStr">
        <is>
          <t>等效进度估算S7，非解锁/首通节点；旧Lv15→14</t>
        </is>
      </c>
      <c r="AE202" s="4" t="n">
        <v>4930</v>
      </c>
      <c r="AF202" s="4">
        <f>INDEX(_统一战力!$B$2:$B$501,J202)</f>
        <v/>
      </c>
    </row>
    <row r="203">
      <c r="A203" t="inlineStr">
        <is>
          <t>当前源表</t>
        </is>
      </c>
      <c r="B203" t="inlineStr">
        <is>
          <t>其他战斗玩法</t>
        </is>
      </c>
      <c r="C203" t="inlineStr">
        <is>
          <t>LevelType_Wild</t>
        </is>
      </c>
      <c r="D203" t="inlineStr">
        <is>
          <t>冰原野怪</t>
        </is>
      </c>
      <c r="E203" t="inlineStr">
        <is>
          <t>600217</t>
        </is>
      </c>
      <c r="F203" t="inlineStr">
        <is>
          <t>普通怪</t>
        </is>
      </c>
      <c r="G203" t="n">
        <v>7</v>
      </c>
      <c r="I203">
        <f>IF($H203="",$G203,$H203)</f>
        <v/>
      </c>
      <c r="J203" t="n">
        <v>14</v>
      </c>
      <c r="K203" s="83" t="n">
        <v>1.04759016676984</v>
      </c>
      <c r="L203" s="83" t="n">
        <v>0.82469512195122</v>
      </c>
      <c r="M203" s="83" t="n">
        <v>1</v>
      </c>
      <c r="N203" t="n">
        <v>1</v>
      </c>
      <c r="O203" t="n">
        <v>1</v>
      </c>
      <c r="P203" s="17" t="n">
        <v>0.418858868567819</v>
      </c>
      <c r="Q203" s="21">
        <f>IF($I203="","",IFERROR(INDEX(_玩家曲线!$H$2:$H$286,MATCH($I203,_玩家曲线!$A$2:$A$286,0)),""))</f>
        <v/>
      </c>
      <c r="R203" s="21">
        <f>IF($I203="","",IFERROR(INDEX(_玩家曲线!$I$2:$I$286,MATCH($I203,_玩家曲线!$A$2:$A$286,0)),""))</f>
        <v/>
      </c>
      <c r="S203" s="21">
        <f>IF(OR($J203="",$F203="不适用"),"",IFERROR(INDEX(_怪物模型!$D$2:$D$4501,(INT($J203)-1)*ROWS(_怪物类型!$A$2:$A$10)+MATCH($F203,_怪物类型!$A$2:$A$10,0))*IF($K203="",1,$K203),""))</f>
        <v/>
      </c>
      <c r="T203" s="21">
        <f>IF(OR($J203="",$F203="不适用"),"",IFERROR(INDEX(_怪物模型!$E$2:$E$4501,(INT($J203)-1)*ROWS(_怪物类型!$A$2:$A$10)+MATCH($F203,_怪物类型!$A$2:$A$10,0))*IF($L203="",1,$L203),""))</f>
        <v/>
      </c>
      <c r="U203" s="21">
        <f>IF(OR($J203="",$F203="不适用"),"",IFERROR(INDEX(_怪物模型!$F$2:$F$4501,(INT($J203)-1)*ROWS(_怪物类型!$A$2:$A$10)+MATCH($F203,_怪物类型!$A$2:$A$10,0))*IF($M203="",1,$M203),""))</f>
        <v/>
      </c>
      <c r="V203" s="84">
        <f>IF($U203="","",MIN(0.75,$U203/($U203+24000)))</f>
        <v/>
      </c>
      <c r="W203" s="21">
        <f>IF($S203="","",$S203/(1-$V203)*IF($N203="",1,$N203))</f>
        <v/>
      </c>
      <c r="X203" s="17">
        <f>IF(OR($W203="",$Q203="",$Q203=0),"",$W203/$Q203)</f>
        <v/>
      </c>
      <c r="Y203" s="17">
        <f>IF(OR($R203="",$T203="",$T203=0),"",$R203/($T203*IF($O203="",1,$O203)))</f>
        <v/>
      </c>
      <c r="Z203" s="17">
        <f>IF(OR($X203="",$P203="",$P203=0),"",$X203/$P203)</f>
        <v/>
      </c>
      <c r="AA203">
        <f>IF($J203="","待填怪物等级",IF(OR($I203="",$Q203=""),"待填对照关卡",IF($P203="","已计算",IF(AND($Y203&lt;&gt;"",$Y203&lt;$X203),"生存不成立",IF($Z203&lt;0.5,"碾压",IF($Z203&lt;0.8,"偏简单",IF($Z203&lt;=1.2,"适中",IF($Z203&lt;=1.5,"偏难","过难"))))))))</f>
        <v/>
      </c>
      <c r="AB203">
        <f>IF($J203="","待填",IF(AND(ISNUMBER($J203),$J203&gt;=1,$J203&lt;=500,MOD($J203,1)=0),"有效","超范围"))</f>
        <v/>
      </c>
      <c r="AC203">
        <f>IF(C203&lt;&gt;C202,"新玩法组",IF(J203&gt;=J202,"不降","回退"))</f>
        <v/>
      </c>
      <c r="AD203" t="inlineStr">
        <is>
          <t>等效进度估算S7，非解锁/首通节点；旧Lv15→14</t>
        </is>
      </c>
      <c r="AE203" s="4" t="n">
        <v>4930</v>
      </c>
      <c r="AF203" s="4">
        <f>INDEX(_统一战力!$B$2:$B$501,J203)</f>
        <v/>
      </c>
    </row>
    <row r="204">
      <c r="A204" t="inlineStr">
        <is>
          <t>当前源表</t>
        </is>
      </c>
      <c r="B204" t="inlineStr">
        <is>
          <t>其他战斗玩法</t>
        </is>
      </c>
      <c r="C204" t="inlineStr">
        <is>
          <t>LevelType_Wild</t>
        </is>
      </c>
      <c r="D204" t="inlineStr">
        <is>
          <t>冰原野怪</t>
        </is>
      </c>
      <c r="E204" t="inlineStr">
        <is>
          <t>600218</t>
        </is>
      </c>
      <c r="F204" t="inlineStr">
        <is>
          <t>普通怪</t>
        </is>
      </c>
      <c r="G204" t="n">
        <v>7</v>
      </c>
      <c r="I204">
        <f>IF($H204="",$G204,$H204)</f>
        <v/>
      </c>
      <c r="J204" t="n">
        <v>14</v>
      </c>
      <c r="K204" s="83" t="n">
        <v>1.04759016676984</v>
      </c>
      <c r="L204" s="83" t="n">
        <v>0.82469512195122</v>
      </c>
      <c r="M204" s="83" t="n">
        <v>1</v>
      </c>
      <c r="N204" t="n">
        <v>1</v>
      </c>
      <c r="O204" t="n">
        <v>1</v>
      </c>
      <c r="P204" s="17" t="n">
        <v>0.418858868567819</v>
      </c>
      <c r="Q204" s="21">
        <f>IF($I204="","",IFERROR(INDEX(_玩家曲线!$H$2:$H$286,MATCH($I204,_玩家曲线!$A$2:$A$286,0)),""))</f>
        <v/>
      </c>
      <c r="R204" s="21">
        <f>IF($I204="","",IFERROR(INDEX(_玩家曲线!$I$2:$I$286,MATCH($I204,_玩家曲线!$A$2:$A$286,0)),""))</f>
        <v/>
      </c>
      <c r="S204" s="21">
        <f>IF(OR($J204="",$F204="不适用"),"",IFERROR(INDEX(_怪物模型!$D$2:$D$4501,(INT($J204)-1)*ROWS(_怪物类型!$A$2:$A$10)+MATCH($F204,_怪物类型!$A$2:$A$10,0))*IF($K204="",1,$K204),""))</f>
        <v/>
      </c>
      <c r="T204" s="21">
        <f>IF(OR($J204="",$F204="不适用"),"",IFERROR(INDEX(_怪物模型!$E$2:$E$4501,(INT($J204)-1)*ROWS(_怪物类型!$A$2:$A$10)+MATCH($F204,_怪物类型!$A$2:$A$10,0))*IF($L204="",1,$L204),""))</f>
        <v/>
      </c>
      <c r="U204" s="21">
        <f>IF(OR($J204="",$F204="不适用"),"",IFERROR(INDEX(_怪物模型!$F$2:$F$4501,(INT($J204)-1)*ROWS(_怪物类型!$A$2:$A$10)+MATCH($F204,_怪物类型!$A$2:$A$10,0))*IF($M204="",1,$M204),""))</f>
        <v/>
      </c>
      <c r="V204" s="84">
        <f>IF($U204="","",MIN(0.75,$U204/($U204+24000)))</f>
        <v/>
      </c>
      <c r="W204" s="21">
        <f>IF($S204="","",$S204/(1-$V204)*IF($N204="",1,$N204))</f>
        <v/>
      </c>
      <c r="X204" s="17">
        <f>IF(OR($W204="",$Q204="",$Q204=0),"",$W204/$Q204)</f>
        <v/>
      </c>
      <c r="Y204" s="17">
        <f>IF(OR($R204="",$T204="",$T204=0),"",$R204/($T204*IF($O204="",1,$O204)))</f>
        <v/>
      </c>
      <c r="Z204" s="17">
        <f>IF(OR($X204="",$P204="",$P204=0),"",$X204/$P204)</f>
        <v/>
      </c>
      <c r="AA204">
        <f>IF($J204="","待填怪物等级",IF(OR($I204="",$Q204=""),"待填对照关卡",IF($P204="","已计算",IF(AND($Y204&lt;&gt;"",$Y204&lt;$X204),"生存不成立",IF($Z204&lt;0.5,"碾压",IF($Z204&lt;0.8,"偏简单",IF($Z204&lt;=1.2,"适中",IF($Z204&lt;=1.5,"偏难","过难"))))))))</f>
        <v/>
      </c>
      <c r="AB204">
        <f>IF($J204="","待填",IF(AND(ISNUMBER($J204),$J204&gt;=1,$J204&lt;=500,MOD($J204,1)=0),"有效","超范围"))</f>
        <v/>
      </c>
      <c r="AC204">
        <f>IF(C204&lt;&gt;C203,"新玩法组",IF(J204&gt;=J203,"不降","回退"))</f>
        <v/>
      </c>
      <c r="AD204" t="inlineStr">
        <is>
          <t>等效进度估算S7，非解锁/首通节点；旧Lv15→14</t>
        </is>
      </c>
      <c r="AE204" s="4" t="n">
        <v>4930</v>
      </c>
      <c r="AF204" s="4">
        <f>INDEX(_统一战力!$B$2:$B$501,J204)</f>
        <v/>
      </c>
    </row>
    <row r="205">
      <c r="A205" t="inlineStr">
        <is>
          <t>当前源表</t>
        </is>
      </c>
      <c r="B205" t="inlineStr">
        <is>
          <t>其他战斗玩法</t>
        </is>
      </c>
      <c r="C205" t="inlineStr">
        <is>
          <t>LevelType_Wild</t>
        </is>
      </c>
      <c r="D205" t="inlineStr">
        <is>
          <t>冰原野怪</t>
        </is>
      </c>
      <c r="E205" t="inlineStr">
        <is>
          <t>600219</t>
        </is>
      </c>
      <c r="F205" t="inlineStr">
        <is>
          <t>普通怪</t>
        </is>
      </c>
      <c r="G205" t="n">
        <v>7</v>
      </c>
      <c r="I205">
        <f>IF($H205="",$G205,$H205)</f>
        <v/>
      </c>
      <c r="J205" t="n">
        <v>14</v>
      </c>
      <c r="K205" s="83" t="n">
        <v>1.04759016676984</v>
      </c>
      <c r="L205" s="83" t="n">
        <v>0.82469512195122</v>
      </c>
      <c r="M205" s="83" t="n">
        <v>1</v>
      </c>
      <c r="N205" t="n">
        <v>1</v>
      </c>
      <c r="O205" t="n">
        <v>1</v>
      </c>
      <c r="P205" s="17" t="n">
        <v>0.418858868567819</v>
      </c>
      <c r="Q205" s="21">
        <f>IF($I205="","",IFERROR(INDEX(_玩家曲线!$H$2:$H$286,MATCH($I205,_玩家曲线!$A$2:$A$286,0)),""))</f>
        <v/>
      </c>
      <c r="R205" s="21">
        <f>IF($I205="","",IFERROR(INDEX(_玩家曲线!$I$2:$I$286,MATCH($I205,_玩家曲线!$A$2:$A$286,0)),""))</f>
        <v/>
      </c>
      <c r="S205" s="21">
        <f>IF(OR($J205="",$F205="不适用"),"",IFERROR(INDEX(_怪物模型!$D$2:$D$4501,(INT($J205)-1)*ROWS(_怪物类型!$A$2:$A$10)+MATCH($F205,_怪物类型!$A$2:$A$10,0))*IF($K205="",1,$K205),""))</f>
        <v/>
      </c>
      <c r="T205" s="21">
        <f>IF(OR($J205="",$F205="不适用"),"",IFERROR(INDEX(_怪物模型!$E$2:$E$4501,(INT($J205)-1)*ROWS(_怪物类型!$A$2:$A$10)+MATCH($F205,_怪物类型!$A$2:$A$10,0))*IF($L205="",1,$L205),""))</f>
        <v/>
      </c>
      <c r="U205" s="21">
        <f>IF(OR($J205="",$F205="不适用"),"",IFERROR(INDEX(_怪物模型!$F$2:$F$4501,(INT($J205)-1)*ROWS(_怪物类型!$A$2:$A$10)+MATCH($F205,_怪物类型!$A$2:$A$10,0))*IF($M205="",1,$M205),""))</f>
        <v/>
      </c>
      <c r="V205" s="84">
        <f>IF($U205="","",MIN(0.75,$U205/($U205+24000)))</f>
        <v/>
      </c>
      <c r="W205" s="21">
        <f>IF($S205="","",$S205/(1-$V205)*IF($N205="",1,$N205))</f>
        <v/>
      </c>
      <c r="X205" s="17">
        <f>IF(OR($W205="",$Q205="",$Q205=0),"",$W205/$Q205)</f>
        <v/>
      </c>
      <c r="Y205" s="17">
        <f>IF(OR($R205="",$T205="",$T205=0),"",$R205/($T205*IF($O205="",1,$O205)))</f>
        <v/>
      </c>
      <c r="Z205" s="17">
        <f>IF(OR($X205="",$P205="",$P205=0),"",$X205/$P205)</f>
        <v/>
      </c>
      <c r="AA205">
        <f>IF($J205="","待填怪物等级",IF(OR($I205="",$Q205=""),"待填对照关卡",IF($P205="","已计算",IF(AND($Y205&lt;&gt;"",$Y205&lt;$X205),"生存不成立",IF($Z205&lt;0.5,"碾压",IF($Z205&lt;0.8,"偏简单",IF($Z205&lt;=1.2,"适中",IF($Z205&lt;=1.5,"偏难","过难"))))))))</f>
        <v/>
      </c>
      <c r="AB205">
        <f>IF($J205="","待填",IF(AND(ISNUMBER($J205),$J205&gt;=1,$J205&lt;=500,MOD($J205,1)=0),"有效","超范围"))</f>
        <v/>
      </c>
      <c r="AC205">
        <f>IF(C205&lt;&gt;C204,"新玩法组",IF(J205&gt;=J204,"不降","回退"))</f>
        <v/>
      </c>
      <c r="AD205" t="inlineStr">
        <is>
          <t>等效进度估算S7，非解锁/首通节点；旧Lv15→14</t>
        </is>
      </c>
      <c r="AE205" s="4" t="n">
        <v>4930</v>
      </c>
      <c r="AF205" s="4">
        <f>INDEX(_统一战力!$B$2:$B$501,J205)</f>
        <v/>
      </c>
    </row>
    <row r="206">
      <c r="A206" t="inlineStr">
        <is>
          <t>当前源表</t>
        </is>
      </c>
      <c r="B206" t="inlineStr">
        <is>
          <t>其他战斗玩法</t>
        </is>
      </c>
      <c r="C206" t="inlineStr">
        <is>
          <t>LevelType_Wild</t>
        </is>
      </c>
      <c r="D206" t="inlineStr">
        <is>
          <t>冰原野怪</t>
        </is>
      </c>
      <c r="E206" t="inlineStr">
        <is>
          <t>600220</t>
        </is>
      </c>
      <c r="F206" t="inlineStr">
        <is>
          <t>普通怪</t>
        </is>
      </c>
      <c r="G206" t="n">
        <v>7</v>
      </c>
      <c r="I206">
        <f>IF($H206="",$G206,$H206)</f>
        <v/>
      </c>
      <c r="J206" t="n">
        <v>14</v>
      </c>
      <c r="K206" s="83" t="n">
        <v>1.04759016676984</v>
      </c>
      <c r="L206" s="83" t="n">
        <v>0.82469512195122</v>
      </c>
      <c r="M206" s="83" t="n">
        <v>1</v>
      </c>
      <c r="N206" t="n">
        <v>1</v>
      </c>
      <c r="O206" t="n">
        <v>1</v>
      </c>
      <c r="P206" s="17" t="n">
        <v>0.418858868567819</v>
      </c>
      <c r="Q206" s="21">
        <f>IF($I206="","",IFERROR(INDEX(_玩家曲线!$H$2:$H$286,MATCH($I206,_玩家曲线!$A$2:$A$286,0)),""))</f>
        <v/>
      </c>
      <c r="R206" s="21">
        <f>IF($I206="","",IFERROR(INDEX(_玩家曲线!$I$2:$I$286,MATCH($I206,_玩家曲线!$A$2:$A$286,0)),""))</f>
        <v/>
      </c>
      <c r="S206" s="21">
        <f>IF(OR($J206="",$F206="不适用"),"",IFERROR(INDEX(_怪物模型!$D$2:$D$4501,(INT($J206)-1)*ROWS(_怪物类型!$A$2:$A$10)+MATCH($F206,_怪物类型!$A$2:$A$10,0))*IF($K206="",1,$K206),""))</f>
        <v/>
      </c>
      <c r="T206" s="21">
        <f>IF(OR($J206="",$F206="不适用"),"",IFERROR(INDEX(_怪物模型!$E$2:$E$4501,(INT($J206)-1)*ROWS(_怪物类型!$A$2:$A$10)+MATCH($F206,_怪物类型!$A$2:$A$10,0))*IF($L206="",1,$L206),""))</f>
        <v/>
      </c>
      <c r="U206" s="21">
        <f>IF(OR($J206="",$F206="不适用"),"",IFERROR(INDEX(_怪物模型!$F$2:$F$4501,(INT($J206)-1)*ROWS(_怪物类型!$A$2:$A$10)+MATCH($F206,_怪物类型!$A$2:$A$10,0))*IF($M206="",1,$M206),""))</f>
        <v/>
      </c>
      <c r="V206" s="84">
        <f>IF($U206="","",MIN(0.75,$U206/($U206+24000)))</f>
        <v/>
      </c>
      <c r="W206" s="21">
        <f>IF($S206="","",$S206/(1-$V206)*IF($N206="",1,$N206))</f>
        <v/>
      </c>
      <c r="X206" s="17">
        <f>IF(OR($W206="",$Q206="",$Q206=0),"",$W206/$Q206)</f>
        <v/>
      </c>
      <c r="Y206" s="17">
        <f>IF(OR($R206="",$T206="",$T206=0),"",$R206/($T206*IF($O206="",1,$O206)))</f>
        <v/>
      </c>
      <c r="Z206" s="17">
        <f>IF(OR($X206="",$P206="",$P206=0),"",$X206/$P206)</f>
        <v/>
      </c>
      <c r="AA206">
        <f>IF($J206="","待填怪物等级",IF(OR($I206="",$Q206=""),"待填对照关卡",IF($P206="","已计算",IF(AND($Y206&lt;&gt;"",$Y206&lt;$X206),"生存不成立",IF($Z206&lt;0.5,"碾压",IF($Z206&lt;0.8,"偏简单",IF($Z206&lt;=1.2,"适中",IF($Z206&lt;=1.5,"偏难","过难"))))))))</f>
        <v/>
      </c>
      <c r="AB206">
        <f>IF($J206="","待填",IF(AND(ISNUMBER($J206),$J206&gt;=1,$J206&lt;=500,MOD($J206,1)=0),"有效","超范围"))</f>
        <v/>
      </c>
      <c r="AC206">
        <f>IF(C206&lt;&gt;C205,"新玩法组",IF(J206&gt;=J205,"不降","回退"))</f>
        <v/>
      </c>
      <c r="AD206" t="inlineStr">
        <is>
          <t>等效进度估算S7，非解锁/首通节点；旧Lv15→14</t>
        </is>
      </c>
      <c r="AE206" s="4" t="n">
        <v>4930</v>
      </c>
      <c r="AF206" s="4">
        <f>INDEX(_统一战力!$B$2:$B$501,J206)</f>
        <v/>
      </c>
    </row>
    <row r="207">
      <c r="A207" t="inlineStr">
        <is>
          <t>当前源表</t>
        </is>
      </c>
      <c r="B207" t="inlineStr">
        <is>
          <t>其他战斗玩法</t>
        </is>
      </c>
      <c r="C207" t="inlineStr">
        <is>
          <t>LevelType_Wild</t>
        </is>
      </c>
      <c r="D207" t="inlineStr">
        <is>
          <t>冰原野怪</t>
        </is>
      </c>
      <c r="E207" t="inlineStr">
        <is>
          <t>600221</t>
        </is>
      </c>
      <c r="F207" t="inlineStr">
        <is>
          <t>普通怪</t>
        </is>
      </c>
      <c r="G207" t="n">
        <v>7</v>
      </c>
      <c r="I207">
        <f>IF($H207="",$G207,$H207)</f>
        <v/>
      </c>
      <c r="J207" t="n">
        <v>14</v>
      </c>
      <c r="K207" s="83" t="n">
        <v>1.04759016676984</v>
      </c>
      <c r="L207" s="83" t="n">
        <v>0.82469512195122</v>
      </c>
      <c r="M207" s="83" t="n">
        <v>1</v>
      </c>
      <c r="N207" t="n">
        <v>1</v>
      </c>
      <c r="O207" t="n">
        <v>1</v>
      </c>
      <c r="P207" s="17" t="n">
        <v>0.418858868567819</v>
      </c>
      <c r="Q207" s="21">
        <f>IF($I207="","",IFERROR(INDEX(_玩家曲线!$H$2:$H$286,MATCH($I207,_玩家曲线!$A$2:$A$286,0)),""))</f>
        <v/>
      </c>
      <c r="R207" s="21">
        <f>IF($I207="","",IFERROR(INDEX(_玩家曲线!$I$2:$I$286,MATCH($I207,_玩家曲线!$A$2:$A$286,0)),""))</f>
        <v/>
      </c>
      <c r="S207" s="21">
        <f>IF(OR($J207="",$F207="不适用"),"",IFERROR(INDEX(_怪物模型!$D$2:$D$4501,(INT($J207)-1)*ROWS(_怪物类型!$A$2:$A$10)+MATCH($F207,_怪物类型!$A$2:$A$10,0))*IF($K207="",1,$K207),""))</f>
        <v/>
      </c>
      <c r="T207" s="21">
        <f>IF(OR($J207="",$F207="不适用"),"",IFERROR(INDEX(_怪物模型!$E$2:$E$4501,(INT($J207)-1)*ROWS(_怪物类型!$A$2:$A$10)+MATCH($F207,_怪物类型!$A$2:$A$10,0))*IF($L207="",1,$L207),""))</f>
        <v/>
      </c>
      <c r="U207" s="21">
        <f>IF(OR($J207="",$F207="不适用"),"",IFERROR(INDEX(_怪物模型!$F$2:$F$4501,(INT($J207)-1)*ROWS(_怪物类型!$A$2:$A$10)+MATCH($F207,_怪物类型!$A$2:$A$10,0))*IF($M207="",1,$M207),""))</f>
        <v/>
      </c>
      <c r="V207" s="84">
        <f>IF($U207="","",MIN(0.75,$U207/($U207+24000)))</f>
        <v/>
      </c>
      <c r="W207" s="21">
        <f>IF($S207="","",$S207/(1-$V207)*IF($N207="",1,$N207))</f>
        <v/>
      </c>
      <c r="X207" s="17">
        <f>IF(OR($W207="",$Q207="",$Q207=0),"",$W207/$Q207)</f>
        <v/>
      </c>
      <c r="Y207" s="17">
        <f>IF(OR($R207="",$T207="",$T207=0),"",$R207/($T207*IF($O207="",1,$O207)))</f>
        <v/>
      </c>
      <c r="Z207" s="17">
        <f>IF(OR($X207="",$P207="",$P207=0),"",$X207/$P207)</f>
        <v/>
      </c>
      <c r="AA207">
        <f>IF($J207="","待填怪物等级",IF(OR($I207="",$Q207=""),"待填对照关卡",IF($P207="","已计算",IF(AND($Y207&lt;&gt;"",$Y207&lt;$X207),"生存不成立",IF($Z207&lt;0.5,"碾压",IF($Z207&lt;0.8,"偏简单",IF($Z207&lt;=1.2,"适中",IF($Z207&lt;=1.5,"偏难","过难"))))))))</f>
        <v/>
      </c>
      <c r="AB207">
        <f>IF($J207="","待填",IF(AND(ISNUMBER($J207),$J207&gt;=1,$J207&lt;=500,MOD($J207,1)=0),"有效","超范围"))</f>
        <v/>
      </c>
      <c r="AC207">
        <f>IF(C207&lt;&gt;C206,"新玩法组",IF(J207&gt;=J206,"不降","回退"))</f>
        <v/>
      </c>
      <c r="AD207" t="inlineStr">
        <is>
          <t>等效进度估算S7，非解锁/首通节点；旧Lv15→14</t>
        </is>
      </c>
      <c r="AE207" s="4" t="n">
        <v>4930</v>
      </c>
      <c r="AF207" s="4">
        <f>INDEX(_统一战力!$B$2:$B$501,J207)</f>
        <v/>
      </c>
    </row>
    <row r="208">
      <c r="A208" t="inlineStr">
        <is>
          <t>当前源表</t>
        </is>
      </c>
      <c r="B208" t="inlineStr">
        <is>
          <t>其他战斗玩法</t>
        </is>
      </c>
      <c r="C208" t="inlineStr">
        <is>
          <t>LevelType_Wild</t>
        </is>
      </c>
      <c r="D208" t="inlineStr">
        <is>
          <t>冰原野怪</t>
        </is>
      </c>
      <c r="E208" t="inlineStr">
        <is>
          <t>600222</t>
        </is>
      </c>
      <c r="F208" t="inlineStr">
        <is>
          <t>普通怪</t>
        </is>
      </c>
      <c r="G208" t="n">
        <v>7</v>
      </c>
      <c r="I208">
        <f>IF($H208="",$G208,$H208)</f>
        <v/>
      </c>
      <c r="J208" t="n">
        <v>14</v>
      </c>
      <c r="K208" s="83" t="n">
        <v>1.04759016676984</v>
      </c>
      <c r="L208" s="83" t="n">
        <v>0.82469512195122</v>
      </c>
      <c r="M208" s="83" t="n">
        <v>1</v>
      </c>
      <c r="N208" t="n">
        <v>1</v>
      </c>
      <c r="O208" t="n">
        <v>1</v>
      </c>
      <c r="P208" s="17" t="n">
        <v>0.418858868567819</v>
      </c>
      <c r="Q208" s="21">
        <f>IF($I208="","",IFERROR(INDEX(_玩家曲线!$H$2:$H$286,MATCH($I208,_玩家曲线!$A$2:$A$286,0)),""))</f>
        <v/>
      </c>
      <c r="R208" s="21">
        <f>IF($I208="","",IFERROR(INDEX(_玩家曲线!$I$2:$I$286,MATCH($I208,_玩家曲线!$A$2:$A$286,0)),""))</f>
        <v/>
      </c>
      <c r="S208" s="21">
        <f>IF(OR($J208="",$F208="不适用"),"",IFERROR(INDEX(_怪物模型!$D$2:$D$4501,(INT($J208)-1)*ROWS(_怪物类型!$A$2:$A$10)+MATCH($F208,_怪物类型!$A$2:$A$10,0))*IF($K208="",1,$K208),""))</f>
        <v/>
      </c>
      <c r="T208" s="21">
        <f>IF(OR($J208="",$F208="不适用"),"",IFERROR(INDEX(_怪物模型!$E$2:$E$4501,(INT($J208)-1)*ROWS(_怪物类型!$A$2:$A$10)+MATCH($F208,_怪物类型!$A$2:$A$10,0))*IF($L208="",1,$L208),""))</f>
        <v/>
      </c>
      <c r="U208" s="21">
        <f>IF(OR($J208="",$F208="不适用"),"",IFERROR(INDEX(_怪物模型!$F$2:$F$4501,(INT($J208)-1)*ROWS(_怪物类型!$A$2:$A$10)+MATCH($F208,_怪物类型!$A$2:$A$10,0))*IF($M208="",1,$M208),""))</f>
        <v/>
      </c>
      <c r="V208" s="84">
        <f>IF($U208="","",MIN(0.75,$U208/($U208+24000)))</f>
        <v/>
      </c>
      <c r="W208" s="21">
        <f>IF($S208="","",$S208/(1-$V208)*IF($N208="",1,$N208))</f>
        <v/>
      </c>
      <c r="X208" s="17">
        <f>IF(OR($W208="",$Q208="",$Q208=0),"",$W208/$Q208)</f>
        <v/>
      </c>
      <c r="Y208" s="17">
        <f>IF(OR($R208="",$T208="",$T208=0),"",$R208/($T208*IF($O208="",1,$O208)))</f>
        <v/>
      </c>
      <c r="Z208" s="17">
        <f>IF(OR($X208="",$P208="",$P208=0),"",$X208/$P208)</f>
        <v/>
      </c>
      <c r="AA208">
        <f>IF($J208="","待填怪物等级",IF(OR($I208="",$Q208=""),"待填对照关卡",IF($P208="","已计算",IF(AND($Y208&lt;&gt;"",$Y208&lt;$X208),"生存不成立",IF($Z208&lt;0.5,"碾压",IF($Z208&lt;0.8,"偏简单",IF($Z208&lt;=1.2,"适中",IF($Z208&lt;=1.5,"偏难","过难"))))))))</f>
        <v/>
      </c>
      <c r="AB208">
        <f>IF($J208="","待填",IF(AND(ISNUMBER($J208),$J208&gt;=1,$J208&lt;=500,MOD($J208,1)=0),"有效","超范围"))</f>
        <v/>
      </c>
      <c r="AC208">
        <f>IF(C208&lt;&gt;C207,"新玩法组",IF(J208&gt;=J207,"不降","回退"))</f>
        <v/>
      </c>
      <c r="AD208" t="inlineStr">
        <is>
          <t>等效进度估算S7，非解锁/首通节点；旧Lv15→14</t>
        </is>
      </c>
      <c r="AE208" s="4" t="n">
        <v>4930</v>
      </c>
      <c r="AF208" s="4">
        <f>INDEX(_统一战力!$B$2:$B$501,J208)</f>
        <v/>
      </c>
    </row>
    <row r="209">
      <c r="A209" t="inlineStr">
        <is>
          <t>当前源表</t>
        </is>
      </c>
      <c r="B209" t="inlineStr">
        <is>
          <t>其他战斗玩法</t>
        </is>
      </c>
      <c r="C209" t="inlineStr">
        <is>
          <t>LevelType_Wild</t>
        </is>
      </c>
      <c r="D209" t="inlineStr">
        <is>
          <t>冰原野怪</t>
        </is>
      </c>
      <c r="E209" t="inlineStr">
        <is>
          <t>600223</t>
        </is>
      </c>
      <c r="F209" t="inlineStr">
        <is>
          <t>普通怪</t>
        </is>
      </c>
      <c r="G209" t="n">
        <v>7</v>
      </c>
      <c r="I209">
        <f>IF($H209="",$G209,$H209)</f>
        <v/>
      </c>
      <c r="J209" t="n">
        <v>14</v>
      </c>
      <c r="K209" s="83" t="n">
        <v>1.04759016676984</v>
      </c>
      <c r="L209" s="83" t="n">
        <v>0.82469512195122</v>
      </c>
      <c r="M209" s="83" t="n">
        <v>1</v>
      </c>
      <c r="N209" t="n">
        <v>1</v>
      </c>
      <c r="O209" t="n">
        <v>1</v>
      </c>
      <c r="P209" s="17" t="n">
        <v>0.418858868567819</v>
      </c>
      <c r="Q209" s="21">
        <f>IF($I209="","",IFERROR(INDEX(_玩家曲线!$H$2:$H$286,MATCH($I209,_玩家曲线!$A$2:$A$286,0)),""))</f>
        <v/>
      </c>
      <c r="R209" s="21">
        <f>IF($I209="","",IFERROR(INDEX(_玩家曲线!$I$2:$I$286,MATCH($I209,_玩家曲线!$A$2:$A$286,0)),""))</f>
        <v/>
      </c>
      <c r="S209" s="21">
        <f>IF(OR($J209="",$F209="不适用"),"",IFERROR(INDEX(_怪物模型!$D$2:$D$4501,(INT($J209)-1)*ROWS(_怪物类型!$A$2:$A$10)+MATCH($F209,_怪物类型!$A$2:$A$10,0))*IF($K209="",1,$K209),""))</f>
        <v/>
      </c>
      <c r="T209" s="21">
        <f>IF(OR($J209="",$F209="不适用"),"",IFERROR(INDEX(_怪物模型!$E$2:$E$4501,(INT($J209)-1)*ROWS(_怪物类型!$A$2:$A$10)+MATCH($F209,_怪物类型!$A$2:$A$10,0))*IF($L209="",1,$L209),""))</f>
        <v/>
      </c>
      <c r="U209" s="21">
        <f>IF(OR($J209="",$F209="不适用"),"",IFERROR(INDEX(_怪物模型!$F$2:$F$4501,(INT($J209)-1)*ROWS(_怪物类型!$A$2:$A$10)+MATCH($F209,_怪物类型!$A$2:$A$10,0))*IF($M209="",1,$M209),""))</f>
        <v/>
      </c>
      <c r="V209" s="84">
        <f>IF($U209="","",MIN(0.75,$U209/($U209+24000)))</f>
        <v/>
      </c>
      <c r="W209" s="21">
        <f>IF($S209="","",$S209/(1-$V209)*IF($N209="",1,$N209))</f>
        <v/>
      </c>
      <c r="X209" s="17">
        <f>IF(OR($W209="",$Q209="",$Q209=0),"",$W209/$Q209)</f>
        <v/>
      </c>
      <c r="Y209" s="17">
        <f>IF(OR($R209="",$T209="",$T209=0),"",$R209/($T209*IF($O209="",1,$O209)))</f>
        <v/>
      </c>
      <c r="Z209" s="17">
        <f>IF(OR($X209="",$P209="",$P209=0),"",$X209/$P209)</f>
        <v/>
      </c>
      <c r="AA209">
        <f>IF($J209="","待填怪物等级",IF(OR($I209="",$Q209=""),"待填对照关卡",IF($P209="","已计算",IF(AND($Y209&lt;&gt;"",$Y209&lt;$X209),"生存不成立",IF($Z209&lt;0.5,"碾压",IF($Z209&lt;0.8,"偏简单",IF($Z209&lt;=1.2,"适中",IF($Z209&lt;=1.5,"偏难","过难"))))))))</f>
        <v/>
      </c>
      <c r="AB209">
        <f>IF($J209="","待填",IF(AND(ISNUMBER($J209),$J209&gt;=1,$J209&lt;=500,MOD($J209,1)=0),"有效","超范围"))</f>
        <v/>
      </c>
      <c r="AC209">
        <f>IF(C209&lt;&gt;C208,"新玩法组",IF(J209&gt;=J208,"不降","回退"))</f>
        <v/>
      </c>
      <c r="AD209" t="inlineStr">
        <is>
          <t>等效进度估算S7，非解锁/首通节点；旧Lv15→14</t>
        </is>
      </c>
      <c r="AE209" s="4" t="n">
        <v>4930</v>
      </c>
      <c r="AF209" s="4">
        <f>INDEX(_统一战力!$B$2:$B$501,J209)</f>
        <v/>
      </c>
    </row>
    <row r="211">
      <c r="A211" t="inlineStr">
        <is>
          <t>当前源表（2026-09-14补）</t>
        </is>
      </c>
      <c r="B211" t="inlineStr">
        <is>
          <t>其他战斗玩法</t>
        </is>
      </c>
      <c r="C211" t="inlineStr">
        <is>
          <t>LevelType_ExtraLevel</t>
        </is>
      </c>
      <c r="D211" t="inlineStr">
        <is>
          <t>风暴前夜</t>
        </is>
      </c>
      <c r="E211" t="n">
        <v>150601</v>
      </c>
      <c r="F211" t="inlineStr">
        <is>
          <t>普通怪</t>
        </is>
      </c>
      <c r="G211" t="n">
        <v>64</v>
      </c>
      <c r="I211" t="n">
        <v>64</v>
      </c>
      <c r="J211" t="n">
        <v>160</v>
      </c>
      <c r="K211" t="n">
        <v>1.3</v>
      </c>
      <c r="L211" t="n">
        <v>1.3</v>
      </c>
      <c r="M211" t="n">
        <v>1</v>
      </c>
      <c r="Q211">
        <f>IF($I211="","",IFERROR(INDEX(_玩家曲线!$H$2:$H$286,MATCH($I211,_玩家曲线!$A$2:$A$286,0)),""))</f>
        <v/>
      </c>
      <c r="R211">
        <f>IF($I211="","",IFERROR(INDEX(_玩家曲线!$I$2:$I$286,MATCH($I211,_玩家曲线!$A$2:$A$286,0)),""))</f>
        <v/>
      </c>
      <c r="S211">
        <f>IF(OR($J211="",$F211="不适用"),"",IFERROR(INDEX(_怪物模型!$D$2:$D$4501,(INT($J211)-1)*ROWS(_怪物类型!$A$2:$A$10)+MATCH($F211,_怪物类型!$A$2:$A$10,0))*IF($K211="",1,$K211),""))</f>
        <v/>
      </c>
      <c r="T211">
        <f>IF(OR($J211="",$F211="不适用"),"",IFERROR(INDEX(_怪物模型!$E$2:$E$4501,(INT($J211)-1)*ROWS(_怪物类型!$A$2:$A$10)+MATCH($F211,_怪物类型!$A$2:$A$10,0))*IF($L211="",1,$L211),""))</f>
        <v/>
      </c>
      <c r="U211">
        <f>IF(OR($J211="",$F211="不适用"),"",IFERROR(INDEX(_怪物模型!$F$2:$F$4501,(INT($J211)-1)*ROWS(_怪物类型!$A$2:$A$10)+MATCH($F211,_怪物类型!$A$2:$A$10,0))*IF($M211="",1,$M211),""))</f>
        <v/>
      </c>
      <c r="V211">
        <f>IF($U211="","",MIN(0.75,$U211/($U211+24000)))</f>
        <v/>
      </c>
      <c r="W211">
        <f>IF($S211="","",$S211/(1-$V211)*IF($N211="",1,$N211))</f>
        <v/>
      </c>
      <c r="X211">
        <f>IF(OR($W211="",$Q211="",$Q211=0),"",$W211/$Q211)</f>
        <v/>
      </c>
      <c r="Y211">
        <f>IF(OR($R211="",$T211="",$T211=0),"",$R211/($T211*IF($O211="",1,$O211)))</f>
        <v/>
      </c>
      <c r="Z211">
        <f>IF(OR($X211="",$P211="",$P211=0),"",$X211/$P211)</f>
        <v/>
      </c>
      <c r="AB211">
        <f>IF($J211="","待填",IF(AND(ISNUMBER($J211),$J211&gt;=1,$J211&lt;=500,MOD($J211,1)=0),"有效","超范围"))</f>
        <v/>
      </c>
      <c r="AD211" t="inlineStr">
        <is>
          <t>2026-09-14 定稿：等级参考番外4→5提升幅度顺延（起点125+35=160，末141+31=172），K/L=1.3；AE按60s/20s反查。</t>
        </is>
      </c>
      <c r="AE211" t="n">
        <v>191000</v>
      </c>
      <c r="AF211">
        <f>INDEX(_统一战力!$B$2:$B$501,J211)</f>
        <v/>
      </c>
    </row>
    <row r="212">
      <c r="A212" t="inlineStr">
        <is>
          <t>当前源表（2026-09-14补）</t>
        </is>
      </c>
      <c r="B212" t="inlineStr">
        <is>
          <t>其他战斗玩法</t>
        </is>
      </c>
      <c r="C212" t="inlineStr">
        <is>
          <t>LevelType_ExtraLevel</t>
        </is>
      </c>
      <c r="D212" t="inlineStr">
        <is>
          <t>裂隙回响</t>
        </is>
      </c>
      <c r="E212" t="n">
        <v>150602</v>
      </c>
      <c r="F212" t="inlineStr">
        <is>
          <t>普通怪</t>
        </is>
      </c>
      <c r="G212" t="n">
        <v>65</v>
      </c>
      <c r="I212" t="n">
        <v>65</v>
      </c>
      <c r="J212" t="n">
        <v>162</v>
      </c>
      <c r="K212" t="n">
        <v>1.3</v>
      </c>
      <c r="L212" t="n">
        <v>1.3</v>
      </c>
      <c r="M212" t="n">
        <v>1</v>
      </c>
      <c r="Q212">
        <f>IF($I212="","",IFERROR(INDEX(_玩家曲线!$H$2:$H$286,MATCH($I212,_玩家曲线!$A$2:$A$286,0)),""))</f>
        <v/>
      </c>
      <c r="R212">
        <f>IF($I212="","",IFERROR(INDEX(_玩家曲线!$I$2:$I$286,MATCH($I212,_玩家曲线!$A$2:$A$286,0)),""))</f>
        <v/>
      </c>
      <c r="S212">
        <f>IF(OR($J212="",$F212="不适用"),"",IFERROR(INDEX(_怪物模型!$D$2:$D$4501,(INT($J212)-1)*ROWS(_怪物类型!$A$2:$A$10)+MATCH($F212,_怪物类型!$A$2:$A$10,0))*IF($K212="",1,$K212),""))</f>
        <v/>
      </c>
      <c r="T212">
        <f>IF(OR($J212="",$F212="不适用"),"",IFERROR(INDEX(_怪物模型!$E$2:$E$4501,(INT($J212)-1)*ROWS(_怪物类型!$A$2:$A$10)+MATCH($F212,_怪物类型!$A$2:$A$10,0))*IF($L212="",1,$L212),""))</f>
        <v/>
      </c>
      <c r="U212">
        <f>IF(OR($J212="",$F212="不适用"),"",IFERROR(INDEX(_怪物模型!$F$2:$F$4501,(INT($J212)-1)*ROWS(_怪物类型!$A$2:$A$10)+MATCH($F212,_怪物类型!$A$2:$A$10,0))*IF($M212="",1,$M212),""))</f>
        <v/>
      </c>
      <c r="V212">
        <f>IF($U212="","",MIN(0.75,$U212/($U212+24000)))</f>
        <v/>
      </c>
      <c r="W212">
        <f>IF($S212="","",$S212/(1-$V212)*IF($N212="",1,$N212))</f>
        <v/>
      </c>
      <c r="X212">
        <f>IF(OR($W212="",$Q212="",$Q212=0),"",$W212/$Q212)</f>
        <v/>
      </c>
      <c r="Y212">
        <f>IF(OR($R212="",$T212="",$T212=0),"",$R212/($T212*IF($O212="",1,$O212)))</f>
        <v/>
      </c>
      <c r="Z212">
        <f>IF(OR($X212="",$P212="",$P212=0),"",$X212/$P212)</f>
        <v/>
      </c>
      <c r="AB212">
        <f>IF($J212="","待填",IF(AND(ISNUMBER($J212),$J212&gt;=1,$J212&lt;=500,MOD($J212,1)=0),"有效","超范围"))</f>
        <v/>
      </c>
      <c r="AD212" t="inlineStr">
        <is>
          <t>2026-09-14 定稿：等级参考番外4→5提升幅度顺延（起点125+35=160，末141+31=172），K/L=1.3；AE按60s/20s反查。</t>
        </is>
      </c>
      <c r="AE212" t="n">
        <v>197000</v>
      </c>
      <c r="AF212">
        <f>INDEX(_统一战力!$B$2:$B$501,J212)</f>
        <v/>
      </c>
    </row>
    <row r="213">
      <c r="A213" t="inlineStr">
        <is>
          <t>当前源表（2026-09-14补）</t>
        </is>
      </c>
      <c r="B213" t="inlineStr">
        <is>
          <t>其他战斗玩法</t>
        </is>
      </c>
      <c r="C213" t="inlineStr">
        <is>
          <t>LevelType_ExtraLevel</t>
        </is>
      </c>
      <c r="D213" t="inlineStr">
        <is>
          <t>深谷追猎</t>
        </is>
      </c>
      <c r="E213" t="n">
        <v>150603</v>
      </c>
      <c r="F213" t="inlineStr">
        <is>
          <t>普通怪</t>
        </is>
      </c>
      <c r="G213" t="n">
        <v>65</v>
      </c>
      <c r="I213" t="n">
        <v>65</v>
      </c>
      <c r="J213" t="n">
        <v>163</v>
      </c>
      <c r="K213" t="n">
        <v>1.3</v>
      </c>
      <c r="L213" t="n">
        <v>1.3</v>
      </c>
      <c r="M213" t="n">
        <v>1</v>
      </c>
      <c r="Q213">
        <f>IF($I213="","",IFERROR(INDEX(_玩家曲线!$H$2:$H$286,MATCH($I213,_玩家曲线!$A$2:$A$286,0)),""))</f>
        <v/>
      </c>
      <c r="R213">
        <f>IF($I213="","",IFERROR(INDEX(_玩家曲线!$I$2:$I$286,MATCH($I213,_玩家曲线!$A$2:$A$286,0)),""))</f>
        <v/>
      </c>
      <c r="S213">
        <f>IF(OR($J213="",$F213="不适用"),"",IFERROR(INDEX(_怪物模型!$D$2:$D$4501,(INT($J213)-1)*ROWS(_怪物类型!$A$2:$A$10)+MATCH($F213,_怪物类型!$A$2:$A$10,0))*IF($K213="",1,$K213),""))</f>
        <v/>
      </c>
      <c r="T213">
        <f>IF(OR($J213="",$F213="不适用"),"",IFERROR(INDEX(_怪物模型!$E$2:$E$4501,(INT($J213)-1)*ROWS(_怪物类型!$A$2:$A$10)+MATCH($F213,_怪物类型!$A$2:$A$10,0))*IF($L213="",1,$L213),""))</f>
        <v/>
      </c>
      <c r="U213">
        <f>IF(OR($J213="",$F213="不适用"),"",IFERROR(INDEX(_怪物模型!$F$2:$F$4501,(INT($J213)-1)*ROWS(_怪物类型!$A$2:$A$10)+MATCH($F213,_怪物类型!$A$2:$A$10,0))*IF($M213="",1,$M213),""))</f>
        <v/>
      </c>
      <c r="V213">
        <f>IF($U213="","",MIN(0.75,$U213/($U213+24000)))</f>
        <v/>
      </c>
      <c r="W213">
        <f>IF($S213="","",$S213/(1-$V213)*IF($N213="",1,$N213))</f>
        <v/>
      </c>
      <c r="X213">
        <f>IF(OR($W213="",$Q213="",$Q213=0),"",$W213/$Q213)</f>
        <v/>
      </c>
      <c r="Y213">
        <f>IF(OR($R213="",$T213="",$T213=0),"",$R213/($T213*IF($O213="",1,$O213)))</f>
        <v/>
      </c>
      <c r="Z213">
        <f>IF(OR($X213="",$P213="",$P213=0),"",$X213/$P213)</f>
        <v/>
      </c>
      <c r="AB213">
        <f>IF($J213="","待填",IF(AND(ISNUMBER($J213),$J213&gt;=1,$J213&lt;=500,MOD($J213,1)=0),"有效","超范围"))</f>
        <v/>
      </c>
      <c r="AD213" t="inlineStr">
        <is>
          <t>2026-09-14 定稿：等级参考番外4→5提升幅度顺延（起点125+35=160，末141+31=172），K/L=1.3；AE按60s/20s反查。</t>
        </is>
      </c>
      <c r="AE213" t="n">
        <v>197000</v>
      </c>
      <c r="AF213">
        <f>INDEX(_统一战力!$B$2:$B$501,J213)</f>
        <v/>
      </c>
    </row>
    <row r="214">
      <c r="A214" t="inlineStr">
        <is>
          <t>当前源表（2026-09-14补）</t>
        </is>
      </c>
      <c r="B214" t="inlineStr">
        <is>
          <t>其他战斗玩法</t>
        </is>
      </c>
      <c r="C214" t="inlineStr">
        <is>
          <t>LevelType_ExtraLevel</t>
        </is>
      </c>
      <c r="D214" t="inlineStr">
        <is>
          <t>残响回廊</t>
        </is>
      </c>
      <c r="E214" t="n">
        <v>150604</v>
      </c>
      <c r="F214" t="inlineStr">
        <is>
          <t>普通怪</t>
        </is>
      </c>
      <c r="G214" t="n">
        <v>65</v>
      </c>
      <c r="I214" t="n">
        <v>65</v>
      </c>
      <c r="J214" t="n">
        <v>164</v>
      </c>
      <c r="K214" t="n">
        <v>1.3</v>
      </c>
      <c r="L214" t="n">
        <v>1.3</v>
      </c>
      <c r="M214" t="n">
        <v>1</v>
      </c>
      <c r="Q214">
        <f>IF($I214="","",IFERROR(INDEX(_玩家曲线!$H$2:$H$286,MATCH($I214,_玩家曲线!$A$2:$A$286,0)),""))</f>
        <v/>
      </c>
      <c r="R214">
        <f>IF($I214="","",IFERROR(INDEX(_玩家曲线!$I$2:$I$286,MATCH($I214,_玩家曲线!$A$2:$A$286,0)),""))</f>
        <v/>
      </c>
      <c r="S214">
        <f>IF(OR($J214="",$F214="不适用"),"",IFERROR(INDEX(_怪物模型!$D$2:$D$4501,(INT($J214)-1)*ROWS(_怪物类型!$A$2:$A$10)+MATCH($F214,_怪物类型!$A$2:$A$10,0))*IF($K214="",1,$K214),""))</f>
        <v/>
      </c>
      <c r="T214">
        <f>IF(OR($J214="",$F214="不适用"),"",IFERROR(INDEX(_怪物模型!$E$2:$E$4501,(INT($J214)-1)*ROWS(_怪物类型!$A$2:$A$10)+MATCH($F214,_怪物类型!$A$2:$A$10,0))*IF($L214="",1,$L214),""))</f>
        <v/>
      </c>
      <c r="U214">
        <f>IF(OR($J214="",$F214="不适用"),"",IFERROR(INDEX(_怪物模型!$F$2:$F$4501,(INT($J214)-1)*ROWS(_怪物类型!$A$2:$A$10)+MATCH($F214,_怪物类型!$A$2:$A$10,0))*IF($M214="",1,$M214),""))</f>
        <v/>
      </c>
      <c r="V214">
        <f>IF($U214="","",MIN(0.75,$U214/($U214+24000)))</f>
        <v/>
      </c>
      <c r="W214">
        <f>IF($S214="","",$S214/(1-$V214)*IF($N214="",1,$N214))</f>
        <v/>
      </c>
      <c r="X214">
        <f>IF(OR($W214="",$Q214="",$Q214=0),"",$W214/$Q214)</f>
        <v/>
      </c>
      <c r="Y214">
        <f>IF(OR($R214="",$T214="",$T214=0),"",$R214/($T214*IF($O214="",1,$O214)))</f>
        <v/>
      </c>
      <c r="Z214">
        <f>IF(OR($X214="",$P214="",$P214=0),"",$X214/$P214)</f>
        <v/>
      </c>
      <c r="AB214">
        <f>IF($J214="","待填",IF(AND(ISNUMBER($J214),$J214&gt;=1,$J214&lt;=500,MOD($J214,1)=0),"有效","超范围"))</f>
        <v/>
      </c>
      <c r="AD214" t="inlineStr">
        <is>
          <t>2026-09-14 定稿：等级参考番外4→5提升幅度顺延（起点125+35=160，末141+31=172），K/L=1.3；AE按60s/20s反查。</t>
        </is>
      </c>
      <c r="AE214" t="n">
        <v>197000</v>
      </c>
      <c r="AF214">
        <f>INDEX(_统一战力!$B$2:$B$501,J214)</f>
        <v/>
      </c>
    </row>
    <row r="215">
      <c r="A215" t="inlineStr">
        <is>
          <t>当前源表（2026-09-14补）</t>
        </is>
      </c>
      <c r="B215" t="inlineStr">
        <is>
          <t>其他战斗玩法</t>
        </is>
      </c>
      <c r="C215" t="inlineStr">
        <is>
          <t>LevelType_ExtraLevel</t>
        </is>
      </c>
      <c r="D215" t="inlineStr">
        <is>
          <t>灰烬营地</t>
        </is>
      </c>
      <c r="E215" t="n">
        <v>150605</v>
      </c>
      <c r="F215" t="inlineStr">
        <is>
          <t>普通怪</t>
        </is>
      </c>
      <c r="G215" t="n">
        <v>66</v>
      </c>
      <c r="I215" t="n">
        <v>66</v>
      </c>
      <c r="J215" t="n">
        <v>166</v>
      </c>
      <c r="K215" t="n">
        <v>1.3</v>
      </c>
      <c r="L215" t="n">
        <v>1.3</v>
      </c>
      <c r="M215" t="n">
        <v>1</v>
      </c>
      <c r="Q215">
        <f>IF($I215="","",IFERROR(INDEX(_玩家曲线!$H$2:$H$286,MATCH($I215,_玩家曲线!$A$2:$A$286,0)),""))</f>
        <v/>
      </c>
      <c r="R215">
        <f>IF($I215="","",IFERROR(INDEX(_玩家曲线!$I$2:$I$286,MATCH($I215,_玩家曲线!$A$2:$A$286,0)),""))</f>
        <v/>
      </c>
      <c r="S215">
        <f>IF(OR($J215="",$F215="不适用"),"",IFERROR(INDEX(_怪物模型!$D$2:$D$4501,(INT($J215)-1)*ROWS(_怪物类型!$A$2:$A$10)+MATCH($F215,_怪物类型!$A$2:$A$10,0))*IF($K215="",1,$K215),""))</f>
        <v/>
      </c>
      <c r="T215">
        <f>IF(OR($J215="",$F215="不适用"),"",IFERROR(INDEX(_怪物模型!$E$2:$E$4501,(INT($J215)-1)*ROWS(_怪物类型!$A$2:$A$10)+MATCH($F215,_怪物类型!$A$2:$A$10,0))*IF($L215="",1,$L215),""))</f>
        <v/>
      </c>
      <c r="U215">
        <f>IF(OR($J215="",$F215="不适用"),"",IFERROR(INDEX(_怪物模型!$F$2:$F$4501,(INT($J215)-1)*ROWS(_怪物类型!$A$2:$A$10)+MATCH($F215,_怪物类型!$A$2:$A$10,0))*IF($M215="",1,$M215),""))</f>
        <v/>
      </c>
      <c r="V215">
        <f>IF($U215="","",MIN(0.75,$U215/($U215+24000)))</f>
        <v/>
      </c>
      <c r="W215">
        <f>IF($S215="","",$S215/(1-$V215)*IF($N215="",1,$N215))</f>
        <v/>
      </c>
      <c r="X215">
        <f>IF(OR($W215="",$Q215="",$Q215=0),"",$W215/$Q215)</f>
        <v/>
      </c>
      <c r="Y215">
        <f>IF(OR($R215="",$T215="",$T215=0),"",$R215/($T215*IF($O215="",1,$O215)))</f>
        <v/>
      </c>
      <c r="Z215">
        <f>IF(OR($X215="",$P215="",$P215=0),"",$X215/$P215)</f>
        <v/>
      </c>
      <c r="AB215">
        <f>IF($J215="","待填",IF(AND(ISNUMBER($J215),$J215&gt;=1,$J215&lt;=500,MOD($J215,1)=0),"有效","超范围"))</f>
        <v/>
      </c>
      <c r="AD215" t="inlineStr">
        <is>
          <t>2026-09-14 定稿：等级参考番外4→5提升幅度顺延（起点125+35=160，末141+31=172），K/L=1.3；AE按60s/20s反查。</t>
        </is>
      </c>
      <c r="AE215" t="n">
        <v>204000</v>
      </c>
      <c r="AF215">
        <f>INDEX(_统一战力!$B$2:$B$501,J215)</f>
        <v/>
      </c>
    </row>
    <row r="216">
      <c r="A216" t="inlineStr">
        <is>
          <t>当前源表（2026-09-14补）</t>
        </is>
      </c>
      <c r="B216" t="inlineStr">
        <is>
          <t>其他战斗玩法</t>
        </is>
      </c>
      <c r="C216" t="inlineStr">
        <is>
          <t>LevelType_ExtraLevel</t>
        </is>
      </c>
      <c r="D216" t="inlineStr">
        <is>
          <t>终局共鸣</t>
        </is>
      </c>
      <c r="E216" t="n">
        <v>150606</v>
      </c>
      <c r="F216" t="inlineStr">
        <is>
          <t>普通怪</t>
        </is>
      </c>
      <c r="G216" t="n">
        <v>66</v>
      </c>
      <c r="I216" t="n">
        <v>66</v>
      </c>
      <c r="J216" t="n">
        <v>168</v>
      </c>
      <c r="K216" t="n">
        <v>1.3</v>
      </c>
      <c r="L216" t="n">
        <v>1.3</v>
      </c>
      <c r="M216" t="n">
        <v>1</v>
      </c>
      <c r="Q216">
        <f>IF($I216="","",IFERROR(INDEX(_玩家曲线!$H$2:$H$286,MATCH($I216,_玩家曲线!$A$2:$A$286,0)),""))</f>
        <v/>
      </c>
      <c r="R216">
        <f>IF($I216="","",IFERROR(INDEX(_玩家曲线!$I$2:$I$286,MATCH($I216,_玩家曲线!$A$2:$A$286,0)),""))</f>
        <v/>
      </c>
      <c r="S216">
        <f>IF(OR($J216="",$F216="不适用"),"",IFERROR(INDEX(_怪物模型!$D$2:$D$4501,(INT($J216)-1)*ROWS(_怪物类型!$A$2:$A$10)+MATCH($F216,_怪物类型!$A$2:$A$10,0))*IF($K216="",1,$K216),""))</f>
        <v/>
      </c>
      <c r="T216">
        <f>IF(OR($J216="",$F216="不适用"),"",IFERROR(INDEX(_怪物模型!$E$2:$E$4501,(INT($J216)-1)*ROWS(_怪物类型!$A$2:$A$10)+MATCH($F216,_怪物类型!$A$2:$A$10,0))*IF($L216="",1,$L216),""))</f>
        <v/>
      </c>
      <c r="U216">
        <f>IF(OR($J216="",$F216="不适用"),"",IFERROR(INDEX(_怪物模型!$F$2:$F$4501,(INT($J216)-1)*ROWS(_怪物类型!$A$2:$A$10)+MATCH($F216,_怪物类型!$A$2:$A$10,0))*IF($M216="",1,$M216),""))</f>
        <v/>
      </c>
      <c r="V216">
        <f>IF($U216="","",MIN(0.75,$U216/($U216+24000)))</f>
        <v/>
      </c>
      <c r="W216">
        <f>IF($S216="","",$S216/(1-$V216)*IF($N216="",1,$N216))</f>
        <v/>
      </c>
      <c r="X216">
        <f>IF(OR($W216="",$Q216="",$Q216=0),"",$W216/$Q216)</f>
        <v/>
      </c>
      <c r="Y216">
        <f>IF(OR($R216="",$T216="",$T216=0),"",$R216/($T216*IF($O216="",1,$O216)))</f>
        <v/>
      </c>
      <c r="Z216">
        <f>IF(OR($X216="",$P216="",$P216=0),"",$X216/$P216)</f>
        <v/>
      </c>
      <c r="AB216">
        <f>IF($J216="","待填",IF(AND(ISNUMBER($J216),$J216&gt;=1,$J216&lt;=500,MOD($J216,1)=0),"有效","超范围"))</f>
        <v/>
      </c>
      <c r="AD216" t="inlineStr">
        <is>
          <t>2026-09-14 定稿：等级参考番外4→5提升幅度顺延（起点125+35=160，末141+31=172），K/L=1.3；AE按60s/20s反查。</t>
        </is>
      </c>
      <c r="AE216" t="n">
        <v>204000</v>
      </c>
      <c r="AF216">
        <f>INDEX(_统一战力!$B$2:$B$501,J216)</f>
        <v/>
      </c>
    </row>
    <row r="217">
      <c r="A217" t="inlineStr">
        <is>
          <t>当前源表（2026-09-14补）</t>
        </is>
      </c>
      <c r="B217" t="inlineStr">
        <is>
          <t>其他战斗玩法</t>
        </is>
      </c>
      <c r="C217" t="inlineStr">
        <is>
          <t>LevelType_ExtraLevel</t>
        </is>
      </c>
      <c r="D217" t="inlineStr">
        <is>
          <t>未知笔记·上</t>
        </is>
      </c>
      <c r="E217" t="n">
        <v>150607</v>
      </c>
      <c r="F217" t="inlineStr">
        <is>
          <t>普通怪</t>
        </is>
      </c>
      <c r="G217" t="n">
        <v>67</v>
      </c>
      <c r="I217" t="n">
        <v>67</v>
      </c>
      <c r="J217" t="n">
        <v>169</v>
      </c>
      <c r="K217" t="n">
        <v>1.3</v>
      </c>
      <c r="L217" t="n">
        <v>1.3</v>
      </c>
      <c r="M217" t="n">
        <v>1</v>
      </c>
      <c r="Q217">
        <f>IF($I217="","",IFERROR(INDEX(_玩家曲线!$H$2:$H$286,MATCH($I217,_玩家曲线!$A$2:$A$286,0)),""))</f>
        <v/>
      </c>
      <c r="R217">
        <f>IF($I217="","",IFERROR(INDEX(_玩家曲线!$I$2:$I$286,MATCH($I217,_玩家曲线!$A$2:$A$286,0)),""))</f>
        <v/>
      </c>
      <c r="S217">
        <f>IF(OR($J217="",$F217="不适用"),"",IFERROR(INDEX(_怪物模型!$D$2:$D$4501,(INT($J217)-1)*ROWS(_怪物类型!$A$2:$A$10)+MATCH($F217,_怪物类型!$A$2:$A$10,0))*IF($K217="",1,$K217),""))</f>
        <v/>
      </c>
      <c r="T217">
        <f>IF(OR($J217="",$F217="不适用"),"",IFERROR(INDEX(_怪物模型!$E$2:$E$4501,(INT($J217)-1)*ROWS(_怪物类型!$A$2:$A$10)+MATCH($F217,_怪物类型!$A$2:$A$10,0))*IF($L217="",1,$L217),""))</f>
        <v/>
      </c>
      <c r="U217">
        <f>IF(OR($J217="",$F217="不适用"),"",IFERROR(INDEX(_怪物模型!$F$2:$F$4501,(INT($J217)-1)*ROWS(_怪物类型!$A$2:$A$10)+MATCH($F217,_怪物类型!$A$2:$A$10,0))*IF($M217="",1,$M217),""))</f>
        <v/>
      </c>
      <c r="V217">
        <f>IF($U217="","",MIN(0.75,$U217/($U217+24000)))</f>
        <v/>
      </c>
      <c r="W217">
        <f>IF($S217="","",$S217/(1-$V217)*IF($N217="",1,$N217))</f>
        <v/>
      </c>
      <c r="X217">
        <f>IF(OR($W217="",$Q217="",$Q217=0),"",$W217/$Q217)</f>
        <v/>
      </c>
      <c r="Y217">
        <f>IF(OR($R217="",$T217="",$T217=0),"",$R217/($T217*IF($O217="",1,$O217)))</f>
        <v/>
      </c>
      <c r="Z217">
        <f>IF(OR($X217="",$P217="",$P217=0),"",$X217/$P217)</f>
        <v/>
      </c>
      <c r="AB217">
        <f>IF($J217="","待填",IF(AND(ISNUMBER($J217),$J217&gt;=1,$J217&lt;=500,MOD($J217,1)=0),"有效","超范围"))</f>
        <v/>
      </c>
      <c r="AD217" t="inlineStr">
        <is>
          <t>2026-09-14 定稿：等级参考番外4→5提升幅度顺延（起点125+35=160，末141+31=172），K/L=1.3；AE按60s/20s反查。</t>
        </is>
      </c>
      <c r="AE217" t="n">
        <v>211000</v>
      </c>
      <c r="AF217">
        <f>INDEX(_统一战力!$B$2:$B$501,J217)</f>
        <v/>
      </c>
    </row>
    <row r="218">
      <c r="A218" t="inlineStr">
        <is>
          <t>当前源表（2026-09-14补）</t>
        </is>
      </c>
      <c r="B218" t="inlineStr">
        <is>
          <t>其他战斗玩法</t>
        </is>
      </c>
      <c r="C218" t="inlineStr">
        <is>
          <t>LevelType_ExtraLevel</t>
        </is>
      </c>
      <c r="D218" t="inlineStr">
        <is>
          <t>未知笔记·下</t>
        </is>
      </c>
      <c r="E218" t="n">
        <v>150608</v>
      </c>
      <c r="F218" t="inlineStr">
        <is>
          <t>普通怪</t>
        </is>
      </c>
      <c r="G218" t="n">
        <v>67</v>
      </c>
      <c r="I218" t="n">
        <v>67</v>
      </c>
      <c r="J218" t="n">
        <v>170</v>
      </c>
      <c r="K218" t="n">
        <v>1.3</v>
      </c>
      <c r="L218" t="n">
        <v>1.3</v>
      </c>
      <c r="M218" t="n">
        <v>1</v>
      </c>
      <c r="Q218">
        <f>IF($I218="","",IFERROR(INDEX(_玩家曲线!$H$2:$H$286,MATCH($I218,_玩家曲线!$A$2:$A$286,0)),""))</f>
        <v/>
      </c>
      <c r="R218">
        <f>IF($I218="","",IFERROR(INDEX(_玩家曲线!$I$2:$I$286,MATCH($I218,_玩家曲线!$A$2:$A$286,0)),""))</f>
        <v/>
      </c>
      <c r="S218">
        <f>IF(OR($J218="",$F218="不适用"),"",IFERROR(INDEX(_怪物模型!$D$2:$D$4501,(INT($J218)-1)*ROWS(_怪物类型!$A$2:$A$10)+MATCH($F218,_怪物类型!$A$2:$A$10,0))*IF($K218="",1,$K218),""))</f>
        <v/>
      </c>
      <c r="T218">
        <f>IF(OR($J218="",$F218="不适用"),"",IFERROR(INDEX(_怪物模型!$E$2:$E$4501,(INT($J218)-1)*ROWS(_怪物类型!$A$2:$A$10)+MATCH($F218,_怪物类型!$A$2:$A$10,0))*IF($L218="",1,$L218),""))</f>
        <v/>
      </c>
      <c r="U218">
        <f>IF(OR($J218="",$F218="不适用"),"",IFERROR(INDEX(_怪物模型!$F$2:$F$4501,(INT($J218)-1)*ROWS(_怪物类型!$A$2:$A$10)+MATCH($F218,_怪物类型!$A$2:$A$10,0))*IF($M218="",1,$M218),""))</f>
        <v/>
      </c>
      <c r="V218">
        <f>IF($U218="","",MIN(0.75,$U218/($U218+24000)))</f>
        <v/>
      </c>
      <c r="W218">
        <f>IF($S218="","",$S218/(1-$V218)*IF($N218="",1,$N218))</f>
        <v/>
      </c>
      <c r="X218">
        <f>IF(OR($W218="",$Q218="",$Q218=0),"",$W218/$Q218)</f>
        <v/>
      </c>
      <c r="Y218">
        <f>IF(OR($R218="",$T218="",$T218=0),"",$R218/($T218*IF($O218="",1,$O218)))</f>
        <v/>
      </c>
      <c r="Z218">
        <f>IF(OR($X218="",$P218="",$P218=0),"",$X218/$P218)</f>
        <v/>
      </c>
      <c r="AB218">
        <f>IF($J218="","待填",IF(AND(ISNUMBER($J218),$J218&gt;=1,$J218&lt;=500,MOD($J218,1)=0),"有效","超范围"))</f>
        <v/>
      </c>
      <c r="AD218" t="inlineStr">
        <is>
          <t>2026-09-14 定稿：等级参考番外4→5提升幅度顺延（起点125+35=160，末141+31=172），K/L=1.3；AE按60s/20s反查。</t>
        </is>
      </c>
      <c r="AE218" t="n">
        <v>211000</v>
      </c>
      <c r="AF218">
        <f>INDEX(_统一战力!$B$2:$B$501,J218)</f>
        <v/>
      </c>
    </row>
    <row r="219">
      <c r="A219" t="inlineStr">
        <is>
          <t>当前源表（2026-09-14补）</t>
        </is>
      </c>
      <c r="B219" t="inlineStr">
        <is>
          <t>其他战斗玩法</t>
        </is>
      </c>
      <c r="C219" t="inlineStr">
        <is>
          <t>LevelType_ExtraLevel</t>
        </is>
      </c>
      <c r="D219" t="inlineStr">
        <is>
          <t>章末宝箱</t>
        </is>
      </c>
      <c r="E219" t="n">
        <v>150609</v>
      </c>
      <c r="F219" t="inlineStr">
        <is>
          <t>普通怪</t>
        </is>
      </c>
      <c r="G219" t="n">
        <v>68</v>
      </c>
      <c r="I219" t="n">
        <v>68</v>
      </c>
      <c r="J219" t="n">
        <v>172</v>
      </c>
      <c r="K219" t="n">
        <v>1.3</v>
      </c>
      <c r="L219" t="n">
        <v>1.3</v>
      </c>
      <c r="M219" t="n">
        <v>1</v>
      </c>
      <c r="Q219">
        <f>IF($I219="","",IFERROR(INDEX(_玩家曲线!$H$2:$H$286,MATCH($I219,_玩家曲线!$A$2:$A$286,0)),""))</f>
        <v/>
      </c>
      <c r="R219">
        <f>IF($I219="","",IFERROR(INDEX(_玩家曲线!$I$2:$I$286,MATCH($I219,_玩家曲线!$A$2:$A$286,0)),""))</f>
        <v/>
      </c>
      <c r="S219">
        <f>IF(OR($J219="",$F219="不适用"),"",IFERROR(INDEX(_怪物模型!$D$2:$D$4501,(INT($J219)-1)*ROWS(_怪物类型!$A$2:$A$10)+MATCH($F219,_怪物类型!$A$2:$A$10,0))*IF($K219="",1,$K219),""))</f>
        <v/>
      </c>
      <c r="T219">
        <f>IF(OR($J219="",$F219="不适用"),"",IFERROR(INDEX(_怪物模型!$E$2:$E$4501,(INT($J219)-1)*ROWS(_怪物类型!$A$2:$A$10)+MATCH($F219,_怪物类型!$A$2:$A$10,0))*IF($L219="",1,$L219),""))</f>
        <v/>
      </c>
      <c r="U219">
        <f>IF(OR($J219="",$F219="不适用"),"",IFERROR(INDEX(_怪物模型!$F$2:$F$4501,(INT($J219)-1)*ROWS(_怪物类型!$A$2:$A$10)+MATCH($F219,_怪物类型!$A$2:$A$10,0))*IF($M219="",1,$M219),""))</f>
        <v/>
      </c>
      <c r="V219">
        <f>IF($U219="","",MIN(0.75,$U219/($U219+24000)))</f>
        <v/>
      </c>
      <c r="W219">
        <f>IF($S219="","",$S219/(1-$V219)*IF($N219="",1,$N219))</f>
        <v/>
      </c>
      <c r="X219">
        <f>IF(OR($W219="",$Q219="",$Q219=0),"",$W219/$Q219)</f>
        <v/>
      </c>
      <c r="Y219">
        <f>IF(OR($R219="",$T219="",$T219=0),"",$R219/($T219*IF($O219="",1,$O219)))</f>
        <v/>
      </c>
      <c r="Z219">
        <f>IF(OR($X219="",$P219="",$P219=0),"",$X219/$P219)</f>
        <v/>
      </c>
      <c r="AB219">
        <f>IF($J219="","待填",IF(AND(ISNUMBER($J219),$J219&gt;=1,$J219&lt;=500,MOD($J219,1)=0),"有效","超范围"))</f>
        <v/>
      </c>
      <c r="AD219" t="inlineStr">
        <is>
          <t>2026-09-14 定稿：等级参考番外4→5提升幅度顺延（起点125+35=160，末141+31=172），K/L=1.3；AE按60s/20s反查。</t>
        </is>
      </c>
      <c r="AE219" t="n">
        <v>218000</v>
      </c>
      <c r="AF219">
        <f>INDEX(_统一战力!$B$2:$B$501,J219)</f>
        <v/>
      </c>
    </row>
    <row r="220">
      <c r="A220" t="inlineStr">
        <is>
          <t>——以下为 2026-09-14 补齐公会Boss难度21~40：正式 GuildBossHard 全部复用难度20关卡（610020/610120/610220，Grade 327），仅推荐等级/期数区分；等级与系数维持现状（不实质上调），落表待批——</t>
        </is>
      </c>
    </row>
    <row r="221">
      <c r="A221" t="inlineStr">
        <is>
          <t>当前源表（2026-09-14补）</t>
        </is>
      </c>
      <c r="B221" t="inlineStr">
        <is>
          <t>其他战斗玩法</t>
        </is>
      </c>
      <c r="C221" t="inlineStr">
        <is>
          <t>LevelType_GuilidBoss</t>
        </is>
      </c>
      <c r="D221" t="inlineStr">
        <is>
          <t>公会Boss 难度21</t>
        </is>
      </c>
      <c r="E221" t="inlineStr">
        <is>
          <t>610020;610120;610220</t>
        </is>
      </c>
      <c r="F221" t="inlineStr">
        <is>
          <t>Boss</t>
        </is>
      </c>
      <c r="G221" t="n">
        <v>278</v>
      </c>
      <c r="I221" t="n">
        <v>278</v>
      </c>
      <c r="J221" t="n">
        <v>327</v>
      </c>
      <c r="K221" t="n">
        <v>1.3945</v>
      </c>
      <c r="L221" t="n">
        <v>1.1993</v>
      </c>
      <c r="M221" t="n">
        <v>1</v>
      </c>
      <c r="Q221">
        <f>IF($I221="","",IFERROR(INDEX(_玩家曲线!$H$2:$H$286,MATCH($I221,_玩家曲线!$A$2:$A$286,0)),""))</f>
        <v/>
      </c>
      <c r="R221">
        <f>IF($I221="","",IFERROR(INDEX(_玩家曲线!$I$2:$I$286,MATCH($I221,_玩家曲线!$A$2:$A$286,0)),""))</f>
        <v/>
      </c>
      <c r="S221">
        <f>IF(OR($J221="",$F221="不适用"),"",IFERROR(INDEX(_怪物模型!$D$2:$D$4501,(INT($J221)-1)*ROWS(_怪物类型!$A$2:$A$10)+MATCH($F221,_怪物类型!$A$2:$A$10,0))*IF($K221="",1,$K221),""))</f>
        <v/>
      </c>
      <c r="T221">
        <f>IF(OR($J221="",$F221="不适用"),"",IFERROR(INDEX(_怪物模型!$E$2:$E$4501,(INT($J221)-1)*ROWS(_怪物类型!$A$2:$A$10)+MATCH($F221,_怪物类型!$A$2:$A$10,0))*IF($L221="",1,$L221),""))</f>
        <v/>
      </c>
      <c r="U221">
        <f>IF(OR($J221="",$F221="不适用"),"",IFERROR(INDEX(_怪物模型!$F$2:$F$4501,(INT($J221)-1)*ROWS(_怪物类型!$A$2:$A$10)+MATCH($F221,_怪物类型!$A$2:$A$10,0))*IF($M221="",1,$M221),""))</f>
        <v/>
      </c>
      <c r="V221">
        <f>IF($U221="","",MIN(0.75,$U221/($U221+24000)))</f>
        <v/>
      </c>
      <c r="W221">
        <f>IF($S221="","",$S221/(1-$V221)*IF($N221="",1,$N221))</f>
        <v/>
      </c>
      <c r="X221">
        <f>IF(OR($W221="",$Q221="",$Q221=0),"",$W221/$Q221)</f>
        <v/>
      </c>
      <c r="Y221">
        <f>IF(OR($R221="",$T221="",$T221=0),"",$R221/($T221*IF($O221="",1,$O221)))</f>
        <v/>
      </c>
      <c r="Z221">
        <f>IF(OR($X221="",$P221="",$P221=0),"",$X221/$P221)</f>
        <v/>
      </c>
      <c r="AB221">
        <f>IF($J221="","待填",IF(AND(ISNUMBER($J221),$J221&gt;=1,$J221&lt;=500,MOD($J221,1)=0),"有效","超范围"))</f>
        <v/>
      </c>
      <c r="AD221" t="inlineStr">
        <is>
          <t>2026-09-14 补档：正式GuildBossHard难度21~40实测全部复用难度20关卡（断言通过）；K/L沿用难度20校准值；AE与难度20一致；RecommendedLv展示40/45/50/55/60循环。</t>
        </is>
      </c>
      <c r="AE221" t="n">
        <v>832000</v>
      </c>
      <c r="AF221">
        <f>INDEX(_统一战力!$B$2:$B$501,J221)</f>
        <v/>
      </c>
    </row>
    <row r="222">
      <c r="A222" t="inlineStr">
        <is>
          <t>当前源表（2026-09-14补）</t>
        </is>
      </c>
      <c r="B222" t="inlineStr">
        <is>
          <t>其他战斗玩法</t>
        </is>
      </c>
      <c r="C222" t="inlineStr">
        <is>
          <t>LevelType_GuilidBoss</t>
        </is>
      </c>
      <c r="D222" t="inlineStr">
        <is>
          <t>公会Boss 难度22</t>
        </is>
      </c>
      <c r="E222" t="inlineStr">
        <is>
          <t>610020;610120;610220</t>
        </is>
      </c>
      <c r="F222" t="inlineStr">
        <is>
          <t>Boss</t>
        </is>
      </c>
      <c r="G222" t="n">
        <v>278</v>
      </c>
      <c r="I222" t="n">
        <v>278</v>
      </c>
      <c r="J222" t="n">
        <v>327</v>
      </c>
      <c r="K222" t="n">
        <v>1.3945</v>
      </c>
      <c r="L222" t="n">
        <v>1.1993</v>
      </c>
      <c r="M222" t="n">
        <v>1</v>
      </c>
      <c r="Q222">
        <f>IF($I222="","",IFERROR(INDEX(_玩家曲线!$H$2:$H$286,MATCH($I222,_玩家曲线!$A$2:$A$286,0)),""))</f>
        <v/>
      </c>
      <c r="R222">
        <f>IF($I222="","",IFERROR(INDEX(_玩家曲线!$I$2:$I$286,MATCH($I222,_玩家曲线!$A$2:$A$286,0)),""))</f>
        <v/>
      </c>
      <c r="S222">
        <f>IF(OR($J222="",$F222="不适用"),"",IFERROR(INDEX(_怪物模型!$D$2:$D$4501,(INT($J222)-1)*ROWS(_怪物类型!$A$2:$A$10)+MATCH($F222,_怪物类型!$A$2:$A$10,0))*IF($K222="",1,$K222),""))</f>
        <v/>
      </c>
      <c r="T222">
        <f>IF(OR($J222="",$F222="不适用"),"",IFERROR(INDEX(_怪物模型!$E$2:$E$4501,(INT($J222)-1)*ROWS(_怪物类型!$A$2:$A$10)+MATCH($F222,_怪物类型!$A$2:$A$10,0))*IF($L222="",1,$L222),""))</f>
        <v/>
      </c>
      <c r="U222">
        <f>IF(OR($J222="",$F222="不适用"),"",IFERROR(INDEX(_怪物模型!$F$2:$F$4501,(INT($J222)-1)*ROWS(_怪物类型!$A$2:$A$10)+MATCH($F222,_怪物类型!$A$2:$A$10,0))*IF($M222="",1,$M222),""))</f>
        <v/>
      </c>
      <c r="V222">
        <f>IF($U222="","",MIN(0.75,$U222/($U222+24000)))</f>
        <v/>
      </c>
      <c r="W222">
        <f>IF($S222="","",$S222/(1-$V222)*IF($N222="",1,$N222))</f>
        <v/>
      </c>
      <c r="X222">
        <f>IF(OR($W222="",$Q222="",$Q222=0),"",$W222/$Q222)</f>
        <v/>
      </c>
      <c r="Y222">
        <f>IF(OR($R222="",$T222="",$T222=0),"",$R222/($T222*IF($O222="",1,$O222)))</f>
        <v/>
      </c>
      <c r="Z222">
        <f>IF(OR($X222="",$P222="",$P222=0),"",$X222/$P222)</f>
        <v/>
      </c>
      <c r="AB222">
        <f>IF($J222="","待填",IF(AND(ISNUMBER($J222),$J222&gt;=1,$J222&lt;=500,MOD($J222,1)=0),"有效","超范围"))</f>
        <v/>
      </c>
      <c r="AD222" t="inlineStr">
        <is>
          <t>2026-09-14 补档：正式GuildBossHard难度21~40实测全部复用难度20关卡（断言通过）；K/L沿用难度20校准值；AE与难度20一致；RecommendedLv展示40/45/50/55/60循环。</t>
        </is>
      </c>
      <c r="AE222" t="n">
        <v>832000</v>
      </c>
      <c r="AF222">
        <f>INDEX(_统一战力!$B$2:$B$501,J222)</f>
        <v/>
      </c>
    </row>
    <row r="223">
      <c r="A223" t="inlineStr">
        <is>
          <t>当前源表（2026-09-14补）</t>
        </is>
      </c>
      <c r="B223" t="inlineStr">
        <is>
          <t>其他战斗玩法</t>
        </is>
      </c>
      <c r="C223" t="inlineStr">
        <is>
          <t>LevelType_GuilidBoss</t>
        </is>
      </c>
      <c r="D223" t="inlineStr">
        <is>
          <t>公会Boss 难度23</t>
        </is>
      </c>
      <c r="E223" t="inlineStr">
        <is>
          <t>610020;610120;610220</t>
        </is>
      </c>
      <c r="F223" t="inlineStr">
        <is>
          <t>Boss</t>
        </is>
      </c>
      <c r="G223" t="n">
        <v>278</v>
      </c>
      <c r="I223" t="n">
        <v>278</v>
      </c>
      <c r="J223" t="n">
        <v>327</v>
      </c>
      <c r="K223" t="n">
        <v>1.3945</v>
      </c>
      <c r="L223" t="n">
        <v>1.1993</v>
      </c>
      <c r="M223" t="n">
        <v>1</v>
      </c>
      <c r="Q223">
        <f>IF($I223="","",IFERROR(INDEX(_玩家曲线!$H$2:$H$286,MATCH($I223,_玩家曲线!$A$2:$A$286,0)),""))</f>
        <v/>
      </c>
      <c r="R223">
        <f>IF($I223="","",IFERROR(INDEX(_玩家曲线!$I$2:$I$286,MATCH($I223,_玩家曲线!$A$2:$A$286,0)),""))</f>
        <v/>
      </c>
      <c r="S223">
        <f>IF(OR($J223="",$F223="不适用"),"",IFERROR(INDEX(_怪物模型!$D$2:$D$4501,(INT($J223)-1)*ROWS(_怪物类型!$A$2:$A$10)+MATCH($F223,_怪物类型!$A$2:$A$10,0))*IF($K223="",1,$K223),""))</f>
        <v/>
      </c>
      <c r="T223">
        <f>IF(OR($J223="",$F223="不适用"),"",IFERROR(INDEX(_怪物模型!$E$2:$E$4501,(INT($J223)-1)*ROWS(_怪物类型!$A$2:$A$10)+MATCH($F223,_怪物类型!$A$2:$A$10,0))*IF($L223="",1,$L223),""))</f>
        <v/>
      </c>
      <c r="U223">
        <f>IF(OR($J223="",$F223="不适用"),"",IFERROR(INDEX(_怪物模型!$F$2:$F$4501,(INT($J223)-1)*ROWS(_怪物类型!$A$2:$A$10)+MATCH($F223,_怪物类型!$A$2:$A$10,0))*IF($M223="",1,$M223),""))</f>
        <v/>
      </c>
      <c r="V223">
        <f>IF($U223="","",MIN(0.75,$U223/($U223+24000)))</f>
        <v/>
      </c>
      <c r="W223">
        <f>IF($S223="","",$S223/(1-$V223)*IF($N223="",1,$N223))</f>
        <v/>
      </c>
      <c r="X223">
        <f>IF(OR($W223="",$Q223="",$Q223=0),"",$W223/$Q223)</f>
        <v/>
      </c>
      <c r="Y223">
        <f>IF(OR($R223="",$T223="",$T223=0),"",$R223/($T223*IF($O223="",1,$O223)))</f>
        <v/>
      </c>
      <c r="Z223">
        <f>IF(OR($X223="",$P223="",$P223=0),"",$X223/$P223)</f>
        <v/>
      </c>
      <c r="AB223">
        <f>IF($J223="","待填",IF(AND(ISNUMBER($J223),$J223&gt;=1,$J223&lt;=500,MOD($J223,1)=0),"有效","超范围"))</f>
        <v/>
      </c>
      <c r="AD223" t="inlineStr">
        <is>
          <t>2026-09-14 补档：正式GuildBossHard难度21~40实测全部复用难度20关卡（断言通过）；K/L沿用难度20校准值；AE与难度20一致；RecommendedLv展示40/45/50/55/60循环。</t>
        </is>
      </c>
      <c r="AE223" t="n">
        <v>832000</v>
      </c>
      <c r="AF223">
        <f>INDEX(_统一战力!$B$2:$B$501,J223)</f>
        <v/>
      </c>
    </row>
    <row r="224">
      <c r="A224" t="inlineStr">
        <is>
          <t>当前源表（2026-09-14补）</t>
        </is>
      </c>
      <c r="B224" t="inlineStr">
        <is>
          <t>其他战斗玩法</t>
        </is>
      </c>
      <c r="C224" t="inlineStr">
        <is>
          <t>LevelType_GuilidBoss</t>
        </is>
      </c>
      <c r="D224" t="inlineStr">
        <is>
          <t>公会Boss 难度24</t>
        </is>
      </c>
      <c r="E224" t="inlineStr">
        <is>
          <t>610020;610120;610220</t>
        </is>
      </c>
      <c r="F224" t="inlineStr">
        <is>
          <t>Boss</t>
        </is>
      </c>
      <c r="G224" t="n">
        <v>278</v>
      </c>
      <c r="I224" t="n">
        <v>278</v>
      </c>
      <c r="J224" t="n">
        <v>327</v>
      </c>
      <c r="K224" t="n">
        <v>1.3945</v>
      </c>
      <c r="L224" t="n">
        <v>1.1993</v>
      </c>
      <c r="M224" t="n">
        <v>1</v>
      </c>
      <c r="Q224">
        <f>IF($I224="","",IFERROR(INDEX(_玩家曲线!$H$2:$H$286,MATCH($I224,_玩家曲线!$A$2:$A$286,0)),""))</f>
        <v/>
      </c>
      <c r="R224">
        <f>IF($I224="","",IFERROR(INDEX(_玩家曲线!$I$2:$I$286,MATCH($I224,_玩家曲线!$A$2:$A$286,0)),""))</f>
        <v/>
      </c>
      <c r="S224">
        <f>IF(OR($J224="",$F224="不适用"),"",IFERROR(INDEX(_怪物模型!$D$2:$D$4501,(INT($J224)-1)*ROWS(_怪物类型!$A$2:$A$10)+MATCH($F224,_怪物类型!$A$2:$A$10,0))*IF($K224="",1,$K224),""))</f>
        <v/>
      </c>
      <c r="T224">
        <f>IF(OR($J224="",$F224="不适用"),"",IFERROR(INDEX(_怪物模型!$E$2:$E$4501,(INT($J224)-1)*ROWS(_怪物类型!$A$2:$A$10)+MATCH($F224,_怪物类型!$A$2:$A$10,0))*IF($L224="",1,$L224),""))</f>
        <v/>
      </c>
      <c r="U224">
        <f>IF(OR($J224="",$F224="不适用"),"",IFERROR(INDEX(_怪物模型!$F$2:$F$4501,(INT($J224)-1)*ROWS(_怪物类型!$A$2:$A$10)+MATCH($F224,_怪物类型!$A$2:$A$10,0))*IF($M224="",1,$M224),""))</f>
        <v/>
      </c>
      <c r="V224">
        <f>IF($U224="","",MIN(0.75,$U224/($U224+24000)))</f>
        <v/>
      </c>
      <c r="W224">
        <f>IF($S224="","",$S224/(1-$V224)*IF($N224="",1,$N224))</f>
        <v/>
      </c>
      <c r="X224">
        <f>IF(OR($W224="",$Q224="",$Q224=0),"",$W224/$Q224)</f>
        <v/>
      </c>
      <c r="Y224">
        <f>IF(OR($R224="",$T224="",$T224=0),"",$R224/($T224*IF($O224="",1,$O224)))</f>
        <v/>
      </c>
      <c r="Z224">
        <f>IF(OR($X224="",$P224="",$P224=0),"",$X224/$P224)</f>
        <v/>
      </c>
      <c r="AB224">
        <f>IF($J224="","待填",IF(AND(ISNUMBER($J224),$J224&gt;=1,$J224&lt;=500,MOD($J224,1)=0),"有效","超范围"))</f>
        <v/>
      </c>
      <c r="AD224" t="inlineStr">
        <is>
          <t>2026-09-14 补档：正式GuildBossHard难度21~40实测全部复用难度20关卡（断言通过）；K/L沿用难度20校准值；AE与难度20一致；RecommendedLv展示40/45/50/55/60循环。</t>
        </is>
      </c>
      <c r="AE224" t="n">
        <v>832000</v>
      </c>
      <c r="AF224">
        <f>INDEX(_统一战力!$B$2:$B$501,J224)</f>
        <v/>
      </c>
    </row>
    <row r="225">
      <c r="A225" t="inlineStr">
        <is>
          <t>当前源表（2026-09-14补）</t>
        </is>
      </c>
      <c r="B225" t="inlineStr">
        <is>
          <t>其他战斗玩法</t>
        </is>
      </c>
      <c r="C225" t="inlineStr">
        <is>
          <t>LevelType_GuilidBoss</t>
        </is>
      </c>
      <c r="D225" t="inlineStr">
        <is>
          <t>公会Boss 难度25</t>
        </is>
      </c>
      <c r="E225" t="inlineStr">
        <is>
          <t>610020;610120;610220</t>
        </is>
      </c>
      <c r="F225" t="inlineStr">
        <is>
          <t>Boss</t>
        </is>
      </c>
      <c r="G225" t="n">
        <v>278</v>
      </c>
      <c r="I225" t="n">
        <v>278</v>
      </c>
      <c r="J225" t="n">
        <v>327</v>
      </c>
      <c r="K225" t="n">
        <v>1.3945</v>
      </c>
      <c r="L225" t="n">
        <v>1.1993</v>
      </c>
      <c r="M225" t="n">
        <v>1</v>
      </c>
      <c r="Q225">
        <f>IF($I225="","",IFERROR(INDEX(_玩家曲线!$H$2:$H$286,MATCH($I225,_玩家曲线!$A$2:$A$286,0)),""))</f>
        <v/>
      </c>
      <c r="R225">
        <f>IF($I225="","",IFERROR(INDEX(_玩家曲线!$I$2:$I$286,MATCH($I225,_玩家曲线!$A$2:$A$286,0)),""))</f>
        <v/>
      </c>
      <c r="S225">
        <f>IF(OR($J225="",$F225="不适用"),"",IFERROR(INDEX(_怪物模型!$D$2:$D$4501,(INT($J225)-1)*ROWS(_怪物类型!$A$2:$A$10)+MATCH($F225,_怪物类型!$A$2:$A$10,0))*IF($K225="",1,$K225),""))</f>
        <v/>
      </c>
      <c r="T225">
        <f>IF(OR($J225="",$F225="不适用"),"",IFERROR(INDEX(_怪物模型!$E$2:$E$4501,(INT($J225)-1)*ROWS(_怪物类型!$A$2:$A$10)+MATCH($F225,_怪物类型!$A$2:$A$10,0))*IF($L225="",1,$L225),""))</f>
        <v/>
      </c>
      <c r="U225">
        <f>IF(OR($J225="",$F225="不适用"),"",IFERROR(INDEX(_怪物模型!$F$2:$F$4501,(INT($J225)-1)*ROWS(_怪物类型!$A$2:$A$10)+MATCH($F225,_怪物类型!$A$2:$A$10,0))*IF($M225="",1,$M225),""))</f>
        <v/>
      </c>
      <c r="V225">
        <f>IF($U225="","",MIN(0.75,$U225/($U225+24000)))</f>
        <v/>
      </c>
      <c r="W225">
        <f>IF($S225="","",$S225/(1-$V225)*IF($N225="",1,$N225))</f>
        <v/>
      </c>
      <c r="X225">
        <f>IF(OR($W225="",$Q225="",$Q225=0),"",$W225/$Q225)</f>
        <v/>
      </c>
      <c r="Y225">
        <f>IF(OR($R225="",$T225="",$T225=0),"",$R225/($T225*IF($O225="",1,$O225)))</f>
        <v/>
      </c>
      <c r="Z225">
        <f>IF(OR($X225="",$P225="",$P225=0),"",$X225/$P225)</f>
        <v/>
      </c>
      <c r="AB225">
        <f>IF($J225="","待填",IF(AND(ISNUMBER($J225),$J225&gt;=1,$J225&lt;=500,MOD($J225,1)=0),"有效","超范围"))</f>
        <v/>
      </c>
      <c r="AD225" t="inlineStr">
        <is>
          <t>2026-09-14 补档：正式GuildBossHard难度21~40实测全部复用难度20关卡（断言通过）；K/L沿用难度20校准值；AE与难度20一致；RecommendedLv展示40/45/50/55/60循环。</t>
        </is>
      </c>
      <c r="AE225" t="n">
        <v>832000</v>
      </c>
      <c r="AF225">
        <f>INDEX(_统一战力!$B$2:$B$501,J225)</f>
        <v/>
      </c>
    </row>
    <row r="226">
      <c r="A226" t="inlineStr">
        <is>
          <t>当前源表（2026-09-14补）</t>
        </is>
      </c>
      <c r="B226" t="inlineStr">
        <is>
          <t>其他战斗玩法</t>
        </is>
      </c>
      <c r="C226" t="inlineStr">
        <is>
          <t>LevelType_GuilidBoss</t>
        </is>
      </c>
      <c r="D226" t="inlineStr">
        <is>
          <t>公会Boss 难度26</t>
        </is>
      </c>
      <c r="E226" t="inlineStr">
        <is>
          <t>610020;610120;610220</t>
        </is>
      </c>
      <c r="F226" t="inlineStr">
        <is>
          <t>Boss</t>
        </is>
      </c>
      <c r="G226" t="n">
        <v>278</v>
      </c>
      <c r="I226" t="n">
        <v>278</v>
      </c>
      <c r="J226" t="n">
        <v>327</v>
      </c>
      <c r="K226" t="n">
        <v>1.3945</v>
      </c>
      <c r="L226" t="n">
        <v>1.1993</v>
      </c>
      <c r="M226" t="n">
        <v>1</v>
      </c>
      <c r="Q226">
        <f>IF($I226="","",IFERROR(INDEX(_玩家曲线!$H$2:$H$286,MATCH($I226,_玩家曲线!$A$2:$A$286,0)),""))</f>
        <v/>
      </c>
      <c r="R226">
        <f>IF($I226="","",IFERROR(INDEX(_玩家曲线!$I$2:$I$286,MATCH($I226,_玩家曲线!$A$2:$A$286,0)),""))</f>
        <v/>
      </c>
      <c r="S226">
        <f>IF(OR($J226="",$F226="不适用"),"",IFERROR(INDEX(_怪物模型!$D$2:$D$4501,(INT($J226)-1)*ROWS(_怪物类型!$A$2:$A$10)+MATCH($F226,_怪物类型!$A$2:$A$10,0))*IF($K226="",1,$K226),""))</f>
        <v/>
      </c>
      <c r="T226">
        <f>IF(OR($J226="",$F226="不适用"),"",IFERROR(INDEX(_怪物模型!$E$2:$E$4501,(INT($J226)-1)*ROWS(_怪物类型!$A$2:$A$10)+MATCH($F226,_怪物类型!$A$2:$A$10,0))*IF($L226="",1,$L226),""))</f>
        <v/>
      </c>
      <c r="U226">
        <f>IF(OR($J226="",$F226="不适用"),"",IFERROR(INDEX(_怪物模型!$F$2:$F$4501,(INT($J226)-1)*ROWS(_怪物类型!$A$2:$A$10)+MATCH($F226,_怪物类型!$A$2:$A$10,0))*IF($M226="",1,$M226),""))</f>
        <v/>
      </c>
      <c r="V226">
        <f>IF($U226="","",MIN(0.75,$U226/($U226+24000)))</f>
        <v/>
      </c>
      <c r="W226">
        <f>IF($S226="","",$S226/(1-$V226)*IF($N226="",1,$N226))</f>
        <v/>
      </c>
      <c r="X226">
        <f>IF(OR($W226="",$Q226="",$Q226=0),"",$W226/$Q226)</f>
        <v/>
      </c>
      <c r="Y226">
        <f>IF(OR($R226="",$T226="",$T226=0),"",$R226/($T226*IF($O226="",1,$O226)))</f>
        <v/>
      </c>
      <c r="Z226">
        <f>IF(OR($X226="",$P226="",$P226=0),"",$X226/$P226)</f>
        <v/>
      </c>
      <c r="AB226">
        <f>IF($J226="","待填",IF(AND(ISNUMBER($J226),$J226&gt;=1,$J226&lt;=500,MOD($J226,1)=0),"有效","超范围"))</f>
        <v/>
      </c>
      <c r="AD226" t="inlineStr">
        <is>
          <t>2026-09-14 补档：正式GuildBossHard难度21~40实测全部复用难度20关卡（断言通过）；K/L沿用难度20校准值；AE与难度20一致；RecommendedLv展示40/45/50/55/60循环。</t>
        </is>
      </c>
      <c r="AE226" t="n">
        <v>832000</v>
      </c>
      <c r="AF226">
        <f>INDEX(_统一战力!$B$2:$B$501,J226)</f>
        <v/>
      </c>
    </row>
    <row r="227">
      <c r="A227" t="inlineStr">
        <is>
          <t>当前源表（2026-09-14补）</t>
        </is>
      </c>
      <c r="B227" t="inlineStr">
        <is>
          <t>其他战斗玩法</t>
        </is>
      </c>
      <c r="C227" t="inlineStr">
        <is>
          <t>LevelType_GuilidBoss</t>
        </is>
      </c>
      <c r="D227" t="inlineStr">
        <is>
          <t>公会Boss 难度27</t>
        </is>
      </c>
      <c r="E227" t="inlineStr">
        <is>
          <t>610020;610120;610220</t>
        </is>
      </c>
      <c r="F227" t="inlineStr">
        <is>
          <t>Boss</t>
        </is>
      </c>
      <c r="G227" t="n">
        <v>278</v>
      </c>
      <c r="I227" t="n">
        <v>278</v>
      </c>
      <c r="J227" t="n">
        <v>327</v>
      </c>
      <c r="K227" t="n">
        <v>1.3945</v>
      </c>
      <c r="L227" t="n">
        <v>1.1993</v>
      </c>
      <c r="M227" t="n">
        <v>1</v>
      </c>
      <c r="Q227">
        <f>IF($I227="","",IFERROR(INDEX(_玩家曲线!$H$2:$H$286,MATCH($I227,_玩家曲线!$A$2:$A$286,0)),""))</f>
        <v/>
      </c>
      <c r="R227">
        <f>IF($I227="","",IFERROR(INDEX(_玩家曲线!$I$2:$I$286,MATCH($I227,_玩家曲线!$A$2:$A$286,0)),""))</f>
        <v/>
      </c>
      <c r="S227">
        <f>IF(OR($J227="",$F227="不适用"),"",IFERROR(INDEX(_怪物模型!$D$2:$D$4501,(INT($J227)-1)*ROWS(_怪物类型!$A$2:$A$10)+MATCH($F227,_怪物类型!$A$2:$A$10,0))*IF($K227="",1,$K227),""))</f>
        <v/>
      </c>
      <c r="T227">
        <f>IF(OR($J227="",$F227="不适用"),"",IFERROR(INDEX(_怪物模型!$E$2:$E$4501,(INT($J227)-1)*ROWS(_怪物类型!$A$2:$A$10)+MATCH($F227,_怪物类型!$A$2:$A$10,0))*IF($L227="",1,$L227),""))</f>
        <v/>
      </c>
      <c r="U227">
        <f>IF(OR($J227="",$F227="不适用"),"",IFERROR(INDEX(_怪物模型!$F$2:$F$4501,(INT($J227)-1)*ROWS(_怪物类型!$A$2:$A$10)+MATCH($F227,_怪物类型!$A$2:$A$10,0))*IF($M227="",1,$M227),""))</f>
        <v/>
      </c>
      <c r="V227">
        <f>IF($U227="","",MIN(0.75,$U227/($U227+24000)))</f>
        <v/>
      </c>
      <c r="W227">
        <f>IF($S227="","",$S227/(1-$V227)*IF($N227="",1,$N227))</f>
        <v/>
      </c>
      <c r="X227">
        <f>IF(OR($W227="",$Q227="",$Q227=0),"",$W227/$Q227)</f>
        <v/>
      </c>
      <c r="Y227">
        <f>IF(OR($R227="",$T227="",$T227=0),"",$R227/($T227*IF($O227="",1,$O227)))</f>
        <v/>
      </c>
      <c r="Z227">
        <f>IF(OR($X227="",$P227="",$P227=0),"",$X227/$P227)</f>
        <v/>
      </c>
      <c r="AB227">
        <f>IF($J227="","待填",IF(AND(ISNUMBER($J227),$J227&gt;=1,$J227&lt;=500,MOD($J227,1)=0),"有效","超范围"))</f>
        <v/>
      </c>
      <c r="AD227" t="inlineStr">
        <is>
          <t>2026-09-14 补档：正式GuildBossHard难度21~40实测全部复用难度20关卡（断言通过）；K/L沿用难度20校准值；AE与难度20一致；RecommendedLv展示40/45/50/55/60循环。</t>
        </is>
      </c>
      <c r="AE227" t="n">
        <v>832000</v>
      </c>
      <c r="AF227">
        <f>INDEX(_统一战力!$B$2:$B$501,J227)</f>
        <v/>
      </c>
    </row>
    <row r="228">
      <c r="A228" t="inlineStr">
        <is>
          <t>当前源表（2026-09-14补）</t>
        </is>
      </c>
      <c r="B228" t="inlineStr">
        <is>
          <t>其他战斗玩法</t>
        </is>
      </c>
      <c r="C228" t="inlineStr">
        <is>
          <t>LevelType_GuilidBoss</t>
        </is>
      </c>
      <c r="D228" t="inlineStr">
        <is>
          <t>公会Boss 难度28</t>
        </is>
      </c>
      <c r="E228" t="inlineStr">
        <is>
          <t>610020;610120;610220</t>
        </is>
      </c>
      <c r="F228" t="inlineStr">
        <is>
          <t>Boss</t>
        </is>
      </c>
      <c r="G228" t="n">
        <v>278</v>
      </c>
      <c r="I228" t="n">
        <v>278</v>
      </c>
      <c r="J228" t="n">
        <v>327</v>
      </c>
      <c r="K228" t="n">
        <v>1.3945</v>
      </c>
      <c r="L228" t="n">
        <v>1.1993</v>
      </c>
      <c r="M228" t="n">
        <v>1</v>
      </c>
      <c r="Q228">
        <f>IF($I228="","",IFERROR(INDEX(_玩家曲线!$H$2:$H$286,MATCH($I228,_玩家曲线!$A$2:$A$286,0)),""))</f>
        <v/>
      </c>
      <c r="R228">
        <f>IF($I228="","",IFERROR(INDEX(_玩家曲线!$I$2:$I$286,MATCH($I228,_玩家曲线!$A$2:$A$286,0)),""))</f>
        <v/>
      </c>
      <c r="S228">
        <f>IF(OR($J228="",$F228="不适用"),"",IFERROR(INDEX(_怪物模型!$D$2:$D$4501,(INT($J228)-1)*ROWS(_怪物类型!$A$2:$A$10)+MATCH($F228,_怪物类型!$A$2:$A$10,0))*IF($K228="",1,$K228),""))</f>
        <v/>
      </c>
      <c r="T228">
        <f>IF(OR($J228="",$F228="不适用"),"",IFERROR(INDEX(_怪物模型!$E$2:$E$4501,(INT($J228)-1)*ROWS(_怪物类型!$A$2:$A$10)+MATCH($F228,_怪物类型!$A$2:$A$10,0))*IF($L228="",1,$L228),""))</f>
        <v/>
      </c>
      <c r="U228">
        <f>IF(OR($J228="",$F228="不适用"),"",IFERROR(INDEX(_怪物模型!$F$2:$F$4501,(INT($J228)-1)*ROWS(_怪物类型!$A$2:$A$10)+MATCH($F228,_怪物类型!$A$2:$A$10,0))*IF($M228="",1,$M228),""))</f>
        <v/>
      </c>
      <c r="V228">
        <f>IF($U228="","",MIN(0.75,$U228/($U228+24000)))</f>
        <v/>
      </c>
      <c r="W228">
        <f>IF($S228="","",$S228/(1-$V228)*IF($N228="",1,$N228))</f>
        <v/>
      </c>
      <c r="X228">
        <f>IF(OR($W228="",$Q228="",$Q228=0),"",$W228/$Q228)</f>
        <v/>
      </c>
      <c r="Y228">
        <f>IF(OR($R228="",$T228="",$T228=0),"",$R228/($T228*IF($O228="",1,$O228)))</f>
        <v/>
      </c>
      <c r="Z228">
        <f>IF(OR($X228="",$P228="",$P228=0),"",$X228/$P228)</f>
        <v/>
      </c>
      <c r="AB228">
        <f>IF($J228="","待填",IF(AND(ISNUMBER($J228),$J228&gt;=1,$J228&lt;=500,MOD($J228,1)=0),"有效","超范围"))</f>
        <v/>
      </c>
      <c r="AD228" t="inlineStr">
        <is>
          <t>2026-09-14 补档：正式GuildBossHard难度21~40实测全部复用难度20关卡（断言通过）；K/L沿用难度20校准值；AE与难度20一致；RecommendedLv展示40/45/50/55/60循环。</t>
        </is>
      </c>
      <c r="AE228" t="n">
        <v>832000</v>
      </c>
      <c r="AF228">
        <f>INDEX(_统一战力!$B$2:$B$501,J228)</f>
        <v/>
      </c>
    </row>
    <row r="229">
      <c r="A229" t="inlineStr">
        <is>
          <t>当前源表（2026-09-14补）</t>
        </is>
      </c>
      <c r="B229" t="inlineStr">
        <is>
          <t>其他战斗玩法</t>
        </is>
      </c>
      <c r="C229" t="inlineStr">
        <is>
          <t>LevelType_GuilidBoss</t>
        </is>
      </c>
      <c r="D229" t="inlineStr">
        <is>
          <t>公会Boss 难度29</t>
        </is>
      </c>
      <c r="E229" t="inlineStr">
        <is>
          <t>610020;610120;610220</t>
        </is>
      </c>
      <c r="F229" t="inlineStr">
        <is>
          <t>Boss</t>
        </is>
      </c>
      <c r="G229" t="n">
        <v>278</v>
      </c>
      <c r="I229" t="n">
        <v>278</v>
      </c>
      <c r="J229" t="n">
        <v>327</v>
      </c>
      <c r="K229" t="n">
        <v>1.3945</v>
      </c>
      <c r="L229" t="n">
        <v>1.1993</v>
      </c>
      <c r="M229" t="n">
        <v>1</v>
      </c>
      <c r="Q229">
        <f>IF($I229="","",IFERROR(INDEX(_玩家曲线!$H$2:$H$286,MATCH($I229,_玩家曲线!$A$2:$A$286,0)),""))</f>
        <v/>
      </c>
      <c r="R229">
        <f>IF($I229="","",IFERROR(INDEX(_玩家曲线!$I$2:$I$286,MATCH($I229,_玩家曲线!$A$2:$A$286,0)),""))</f>
        <v/>
      </c>
      <c r="S229">
        <f>IF(OR($J229="",$F229="不适用"),"",IFERROR(INDEX(_怪物模型!$D$2:$D$4501,(INT($J229)-1)*ROWS(_怪物类型!$A$2:$A$10)+MATCH($F229,_怪物类型!$A$2:$A$10,0))*IF($K229="",1,$K229),""))</f>
        <v/>
      </c>
      <c r="T229">
        <f>IF(OR($J229="",$F229="不适用"),"",IFERROR(INDEX(_怪物模型!$E$2:$E$4501,(INT($J229)-1)*ROWS(_怪物类型!$A$2:$A$10)+MATCH($F229,_怪物类型!$A$2:$A$10,0))*IF($L229="",1,$L229),""))</f>
        <v/>
      </c>
      <c r="U229">
        <f>IF(OR($J229="",$F229="不适用"),"",IFERROR(INDEX(_怪物模型!$F$2:$F$4501,(INT($J229)-1)*ROWS(_怪物类型!$A$2:$A$10)+MATCH($F229,_怪物类型!$A$2:$A$10,0))*IF($M229="",1,$M229),""))</f>
        <v/>
      </c>
      <c r="V229">
        <f>IF($U229="","",MIN(0.75,$U229/($U229+24000)))</f>
        <v/>
      </c>
      <c r="W229">
        <f>IF($S229="","",$S229/(1-$V229)*IF($N229="",1,$N229))</f>
        <v/>
      </c>
      <c r="X229">
        <f>IF(OR($W229="",$Q229="",$Q229=0),"",$W229/$Q229)</f>
        <v/>
      </c>
      <c r="Y229">
        <f>IF(OR($R229="",$T229="",$T229=0),"",$R229/($T229*IF($O229="",1,$O229)))</f>
        <v/>
      </c>
      <c r="Z229">
        <f>IF(OR($X229="",$P229="",$P229=0),"",$X229/$P229)</f>
        <v/>
      </c>
      <c r="AB229">
        <f>IF($J229="","待填",IF(AND(ISNUMBER($J229),$J229&gt;=1,$J229&lt;=500,MOD($J229,1)=0),"有效","超范围"))</f>
        <v/>
      </c>
      <c r="AD229" t="inlineStr">
        <is>
          <t>2026-09-14 补档：正式GuildBossHard难度21~40实测全部复用难度20关卡（断言通过）；K/L沿用难度20校准值；AE与难度20一致；RecommendedLv展示40/45/50/55/60循环。</t>
        </is>
      </c>
      <c r="AE229" t="n">
        <v>832000</v>
      </c>
      <c r="AF229">
        <f>INDEX(_统一战力!$B$2:$B$501,J229)</f>
        <v/>
      </c>
    </row>
    <row r="230">
      <c r="A230" t="inlineStr">
        <is>
          <t>当前源表（2026-09-14补）</t>
        </is>
      </c>
      <c r="B230" t="inlineStr">
        <is>
          <t>其他战斗玩法</t>
        </is>
      </c>
      <c r="C230" t="inlineStr">
        <is>
          <t>LevelType_GuilidBoss</t>
        </is>
      </c>
      <c r="D230" t="inlineStr">
        <is>
          <t>公会Boss 难度30</t>
        </is>
      </c>
      <c r="E230" t="inlineStr">
        <is>
          <t>610020;610120;610220</t>
        </is>
      </c>
      <c r="F230" t="inlineStr">
        <is>
          <t>Boss</t>
        </is>
      </c>
      <c r="G230" t="n">
        <v>278</v>
      </c>
      <c r="I230" t="n">
        <v>278</v>
      </c>
      <c r="J230" t="n">
        <v>327</v>
      </c>
      <c r="K230" t="n">
        <v>1.3945</v>
      </c>
      <c r="L230" t="n">
        <v>1.1993</v>
      </c>
      <c r="M230" t="n">
        <v>1</v>
      </c>
      <c r="Q230">
        <f>IF($I230="","",IFERROR(INDEX(_玩家曲线!$H$2:$H$286,MATCH($I230,_玩家曲线!$A$2:$A$286,0)),""))</f>
        <v/>
      </c>
      <c r="R230">
        <f>IF($I230="","",IFERROR(INDEX(_玩家曲线!$I$2:$I$286,MATCH($I230,_玩家曲线!$A$2:$A$286,0)),""))</f>
        <v/>
      </c>
      <c r="S230">
        <f>IF(OR($J230="",$F230="不适用"),"",IFERROR(INDEX(_怪物模型!$D$2:$D$4501,(INT($J230)-1)*ROWS(_怪物类型!$A$2:$A$10)+MATCH($F230,_怪物类型!$A$2:$A$10,0))*IF($K230="",1,$K230),""))</f>
        <v/>
      </c>
      <c r="T230">
        <f>IF(OR($J230="",$F230="不适用"),"",IFERROR(INDEX(_怪物模型!$E$2:$E$4501,(INT($J230)-1)*ROWS(_怪物类型!$A$2:$A$10)+MATCH($F230,_怪物类型!$A$2:$A$10,0))*IF($L230="",1,$L230),""))</f>
        <v/>
      </c>
      <c r="U230">
        <f>IF(OR($J230="",$F230="不适用"),"",IFERROR(INDEX(_怪物模型!$F$2:$F$4501,(INT($J230)-1)*ROWS(_怪物类型!$A$2:$A$10)+MATCH($F230,_怪物类型!$A$2:$A$10,0))*IF($M230="",1,$M230),""))</f>
        <v/>
      </c>
      <c r="V230">
        <f>IF($U230="","",MIN(0.75,$U230/($U230+24000)))</f>
        <v/>
      </c>
      <c r="W230">
        <f>IF($S230="","",$S230/(1-$V230)*IF($N230="",1,$N230))</f>
        <v/>
      </c>
      <c r="X230">
        <f>IF(OR($W230="",$Q230="",$Q230=0),"",$W230/$Q230)</f>
        <v/>
      </c>
      <c r="Y230">
        <f>IF(OR($R230="",$T230="",$T230=0),"",$R230/($T230*IF($O230="",1,$O230)))</f>
        <v/>
      </c>
      <c r="Z230">
        <f>IF(OR($X230="",$P230="",$P230=0),"",$X230/$P230)</f>
        <v/>
      </c>
      <c r="AB230">
        <f>IF($J230="","待填",IF(AND(ISNUMBER($J230),$J230&gt;=1,$J230&lt;=500,MOD($J230,1)=0),"有效","超范围"))</f>
        <v/>
      </c>
      <c r="AD230" t="inlineStr">
        <is>
          <t>2026-09-14 补档：正式GuildBossHard难度21~40实测全部复用难度20关卡（断言通过）；K/L沿用难度20校准值；AE与难度20一致；RecommendedLv展示40/45/50/55/60循环。</t>
        </is>
      </c>
      <c r="AE230" t="n">
        <v>832000</v>
      </c>
      <c r="AF230">
        <f>INDEX(_统一战力!$B$2:$B$501,J230)</f>
        <v/>
      </c>
    </row>
    <row r="231">
      <c r="A231" t="inlineStr">
        <is>
          <t>当前源表（2026-09-14补）</t>
        </is>
      </c>
      <c r="B231" t="inlineStr">
        <is>
          <t>其他战斗玩法</t>
        </is>
      </c>
      <c r="C231" t="inlineStr">
        <is>
          <t>LevelType_GuilidBoss</t>
        </is>
      </c>
      <c r="D231" t="inlineStr">
        <is>
          <t>公会Boss 难度31</t>
        </is>
      </c>
      <c r="E231" t="inlineStr">
        <is>
          <t>610020;610120;610220</t>
        </is>
      </c>
      <c r="F231" t="inlineStr">
        <is>
          <t>Boss</t>
        </is>
      </c>
      <c r="G231" t="n">
        <v>278</v>
      </c>
      <c r="I231" t="n">
        <v>278</v>
      </c>
      <c r="J231" t="n">
        <v>327</v>
      </c>
      <c r="K231" t="n">
        <v>1.3945</v>
      </c>
      <c r="L231" t="n">
        <v>1.1993</v>
      </c>
      <c r="M231" t="n">
        <v>1</v>
      </c>
      <c r="Q231">
        <f>IF($I231="","",IFERROR(INDEX(_玩家曲线!$H$2:$H$286,MATCH($I231,_玩家曲线!$A$2:$A$286,0)),""))</f>
        <v/>
      </c>
      <c r="R231">
        <f>IF($I231="","",IFERROR(INDEX(_玩家曲线!$I$2:$I$286,MATCH($I231,_玩家曲线!$A$2:$A$286,0)),""))</f>
        <v/>
      </c>
      <c r="S231">
        <f>IF(OR($J231="",$F231="不适用"),"",IFERROR(INDEX(_怪物模型!$D$2:$D$4501,(INT($J231)-1)*ROWS(_怪物类型!$A$2:$A$10)+MATCH($F231,_怪物类型!$A$2:$A$10,0))*IF($K231="",1,$K231),""))</f>
        <v/>
      </c>
      <c r="T231">
        <f>IF(OR($J231="",$F231="不适用"),"",IFERROR(INDEX(_怪物模型!$E$2:$E$4501,(INT($J231)-1)*ROWS(_怪物类型!$A$2:$A$10)+MATCH($F231,_怪物类型!$A$2:$A$10,0))*IF($L231="",1,$L231),""))</f>
        <v/>
      </c>
      <c r="U231">
        <f>IF(OR($J231="",$F231="不适用"),"",IFERROR(INDEX(_怪物模型!$F$2:$F$4501,(INT($J231)-1)*ROWS(_怪物类型!$A$2:$A$10)+MATCH($F231,_怪物类型!$A$2:$A$10,0))*IF($M231="",1,$M231),""))</f>
        <v/>
      </c>
      <c r="V231">
        <f>IF($U231="","",MIN(0.75,$U231/($U231+24000)))</f>
        <v/>
      </c>
      <c r="W231">
        <f>IF($S231="","",$S231/(1-$V231)*IF($N231="",1,$N231))</f>
        <v/>
      </c>
      <c r="X231">
        <f>IF(OR($W231="",$Q231="",$Q231=0),"",$W231/$Q231)</f>
        <v/>
      </c>
      <c r="Y231">
        <f>IF(OR($R231="",$T231="",$T231=0),"",$R231/($T231*IF($O231="",1,$O231)))</f>
        <v/>
      </c>
      <c r="Z231">
        <f>IF(OR($X231="",$P231="",$P231=0),"",$X231/$P231)</f>
        <v/>
      </c>
      <c r="AB231">
        <f>IF($J231="","待填",IF(AND(ISNUMBER($J231),$J231&gt;=1,$J231&lt;=500,MOD($J231,1)=0),"有效","超范围"))</f>
        <v/>
      </c>
      <c r="AD231" t="inlineStr">
        <is>
          <t>2026-09-14 补档：正式GuildBossHard难度21~40实测全部复用难度20关卡（断言通过）；K/L沿用难度20校准值；AE与难度20一致；RecommendedLv展示40/45/50/55/60循环。</t>
        </is>
      </c>
      <c r="AE231" t="n">
        <v>832000</v>
      </c>
      <c r="AF231">
        <f>INDEX(_统一战力!$B$2:$B$501,J231)</f>
        <v/>
      </c>
    </row>
    <row r="232">
      <c r="A232" t="inlineStr">
        <is>
          <t>当前源表（2026-09-14补）</t>
        </is>
      </c>
      <c r="B232" t="inlineStr">
        <is>
          <t>其他战斗玩法</t>
        </is>
      </c>
      <c r="C232" t="inlineStr">
        <is>
          <t>LevelType_GuilidBoss</t>
        </is>
      </c>
      <c r="D232" t="inlineStr">
        <is>
          <t>公会Boss 难度32</t>
        </is>
      </c>
      <c r="E232" t="inlineStr">
        <is>
          <t>610020;610120;610220</t>
        </is>
      </c>
      <c r="F232" t="inlineStr">
        <is>
          <t>Boss</t>
        </is>
      </c>
      <c r="G232" t="n">
        <v>278</v>
      </c>
      <c r="I232" t="n">
        <v>278</v>
      </c>
      <c r="J232" t="n">
        <v>327</v>
      </c>
      <c r="K232" t="n">
        <v>1.3945</v>
      </c>
      <c r="L232" t="n">
        <v>1.1993</v>
      </c>
      <c r="M232" t="n">
        <v>1</v>
      </c>
      <c r="Q232">
        <f>IF($I232="","",IFERROR(INDEX(_玩家曲线!$H$2:$H$286,MATCH($I232,_玩家曲线!$A$2:$A$286,0)),""))</f>
        <v/>
      </c>
      <c r="R232">
        <f>IF($I232="","",IFERROR(INDEX(_玩家曲线!$I$2:$I$286,MATCH($I232,_玩家曲线!$A$2:$A$286,0)),""))</f>
        <v/>
      </c>
      <c r="S232">
        <f>IF(OR($J232="",$F232="不适用"),"",IFERROR(INDEX(_怪物模型!$D$2:$D$4501,(INT($J232)-1)*ROWS(_怪物类型!$A$2:$A$10)+MATCH($F232,_怪物类型!$A$2:$A$10,0))*IF($K232="",1,$K232),""))</f>
        <v/>
      </c>
      <c r="T232">
        <f>IF(OR($J232="",$F232="不适用"),"",IFERROR(INDEX(_怪物模型!$E$2:$E$4501,(INT($J232)-1)*ROWS(_怪物类型!$A$2:$A$10)+MATCH($F232,_怪物类型!$A$2:$A$10,0))*IF($L232="",1,$L232),""))</f>
        <v/>
      </c>
      <c r="U232">
        <f>IF(OR($J232="",$F232="不适用"),"",IFERROR(INDEX(_怪物模型!$F$2:$F$4501,(INT($J232)-1)*ROWS(_怪物类型!$A$2:$A$10)+MATCH($F232,_怪物类型!$A$2:$A$10,0))*IF($M232="",1,$M232),""))</f>
        <v/>
      </c>
      <c r="V232">
        <f>IF($U232="","",MIN(0.75,$U232/($U232+24000)))</f>
        <v/>
      </c>
      <c r="W232">
        <f>IF($S232="","",$S232/(1-$V232)*IF($N232="",1,$N232))</f>
        <v/>
      </c>
      <c r="X232">
        <f>IF(OR($W232="",$Q232="",$Q232=0),"",$W232/$Q232)</f>
        <v/>
      </c>
      <c r="Y232">
        <f>IF(OR($R232="",$T232="",$T232=0),"",$R232/($T232*IF($O232="",1,$O232)))</f>
        <v/>
      </c>
      <c r="Z232">
        <f>IF(OR($X232="",$P232="",$P232=0),"",$X232/$P232)</f>
        <v/>
      </c>
      <c r="AB232">
        <f>IF($J232="","待填",IF(AND(ISNUMBER($J232),$J232&gt;=1,$J232&lt;=500,MOD($J232,1)=0),"有效","超范围"))</f>
        <v/>
      </c>
      <c r="AD232" t="inlineStr">
        <is>
          <t>2026-09-14 补档：正式GuildBossHard难度21~40实测全部复用难度20关卡（断言通过）；K/L沿用难度20校准值；AE与难度20一致；RecommendedLv展示40/45/50/55/60循环。</t>
        </is>
      </c>
      <c r="AE232" t="n">
        <v>832000</v>
      </c>
      <c r="AF232">
        <f>INDEX(_统一战力!$B$2:$B$501,J232)</f>
        <v/>
      </c>
    </row>
    <row r="233">
      <c r="A233" t="inlineStr">
        <is>
          <t>当前源表（2026-09-14补）</t>
        </is>
      </c>
      <c r="B233" t="inlineStr">
        <is>
          <t>其他战斗玩法</t>
        </is>
      </c>
      <c r="C233" t="inlineStr">
        <is>
          <t>LevelType_GuilidBoss</t>
        </is>
      </c>
      <c r="D233" t="inlineStr">
        <is>
          <t>公会Boss 难度33</t>
        </is>
      </c>
      <c r="E233" t="inlineStr">
        <is>
          <t>610020;610120;610220</t>
        </is>
      </c>
      <c r="F233" t="inlineStr">
        <is>
          <t>Boss</t>
        </is>
      </c>
      <c r="G233" t="n">
        <v>278</v>
      </c>
      <c r="I233" t="n">
        <v>278</v>
      </c>
      <c r="J233" t="n">
        <v>327</v>
      </c>
      <c r="K233" t="n">
        <v>1.3945</v>
      </c>
      <c r="L233" t="n">
        <v>1.1993</v>
      </c>
      <c r="M233" t="n">
        <v>1</v>
      </c>
      <c r="Q233">
        <f>IF($I233="","",IFERROR(INDEX(_玩家曲线!$H$2:$H$286,MATCH($I233,_玩家曲线!$A$2:$A$286,0)),""))</f>
        <v/>
      </c>
      <c r="R233">
        <f>IF($I233="","",IFERROR(INDEX(_玩家曲线!$I$2:$I$286,MATCH($I233,_玩家曲线!$A$2:$A$286,0)),""))</f>
        <v/>
      </c>
      <c r="S233">
        <f>IF(OR($J233="",$F233="不适用"),"",IFERROR(INDEX(_怪物模型!$D$2:$D$4501,(INT($J233)-1)*ROWS(_怪物类型!$A$2:$A$10)+MATCH($F233,_怪物类型!$A$2:$A$10,0))*IF($K233="",1,$K233),""))</f>
        <v/>
      </c>
      <c r="T233">
        <f>IF(OR($J233="",$F233="不适用"),"",IFERROR(INDEX(_怪物模型!$E$2:$E$4501,(INT($J233)-1)*ROWS(_怪物类型!$A$2:$A$10)+MATCH($F233,_怪物类型!$A$2:$A$10,0))*IF($L233="",1,$L233),""))</f>
        <v/>
      </c>
      <c r="U233">
        <f>IF(OR($J233="",$F233="不适用"),"",IFERROR(INDEX(_怪物模型!$F$2:$F$4501,(INT($J233)-1)*ROWS(_怪物类型!$A$2:$A$10)+MATCH($F233,_怪物类型!$A$2:$A$10,0))*IF($M233="",1,$M233),""))</f>
        <v/>
      </c>
      <c r="V233">
        <f>IF($U233="","",MIN(0.75,$U233/($U233+24000)))</f>
        <v/>
      </c>
      <c r="W233">
        <f>IF($S233="","",$S233/(1-$V233)*IF($N233="",1,$N233))</f>
        <v/>
      </c>
      <c r="X233">
        <f>IF(OR($W233="",$Q233="",$Q233=0),"",$W233/$Q233)</f>
        <v/>
      </c>
      <c r="Y233">
        <f>IF(OR($R233="",$T233="",$T233=0),"",$R233/($T233*IF($O233="",1,$O233)))</f>
        <v/>
      </c>
      <c r="Z233">
        <f>IF(OR($X233="",$P233="",$P233=0),"",$X233/$P233)</f>
        <v/>
      </c>
      <c r="AB233">
        <f>IF($J233="","待填",IF(AND(ISNUMBER($J233),$J233&gt;=1,$J233&lt;=500,MOD($J233,1)=0),"有效","超范围"))</f>
        <v/>
      </c>
      <c r="AD233" t="inlineStr">
        <is>
          <t>2026-09-14 补档：正式GuildBossHard难度21~40实测全部复用难度20关卡（断言通过）；K/L沿用难度20校准值；AE与难度20一致；RecommendedLv展示40/45/50/55/60循环。</t>
        </is>
      </c>
      <c r="AE233" t="n">
        <v>832000</v>
      </c>
      <c r="AF233">
        <f>INDEX(_统一战力!$B$2:$B$501,J233)</f>
        <v/>
      </c>
    </row>
    <row r="234">
      <c r="A234" t="inlineStr">
        <is>
          <t>当前源表（2026-09-14补）</t>
        </is>
      </c>
      <c r="B234" t="inlineStr">
        <is>
          <t>其他战斗玩法</t>
        </is>
      </c>
      <c r="C234" t="inlineStr">
        <is>
          <t>LevelType_GuilidBoss</t>
        </is>
      </c>
      <c r="D234" t="inlineStr">
        <is>
          <t>公会Boss 难度34</t>
        </is>
      </c>
      <c r="E234" t="inlineStr">
        <is>
          <t>610020;610120;610220</t>
        </is>
      </c>
      <c r="F234" t="inlineStr">
        <is>
          <t>Boss</t>
        </is>
      </c>
      <c r="G234" t="n">
        <v>278</v>
      </c>
      <c r="I234" t="n">
        <v>278</v>
      </c>
      <c r="J234" t="n">
        <v>327</v>
      </c>
      <c r="K234" t="n">
        <v>1.3945</v>
      </c>
      <c r="L234" t="n">
        <v>1.1993</v>
      </c>
      <c r="M234" t="n">
        <v>1</v>
      </c>
      <c r="Q234">
        <f>IF($I234="","",IFERROR(INDEX(_玩家曲线!$H$2:$H$286,MATCH($I234,_玩家曲线!$A$2:$A$286,0)),""))</f>
        <v/>
      </c>
      <c r="R234">
        <f>IF($I234="","",IFERROR(INDEX(_玩家曲线!$I$2:$I$286,MATCH($I234,_玩家曲线!$A$2:$A$286,0)),""))</f>
        <v/>
      </c>
      <c r="S234">
        <f>IF(OR($J234="",$F234="不适用"),"",IFERROR(INDEX(_怪物模型!$D$2:$D$4501,(INT($J234)-1)*ROWS(_怪物类型!$A$2:$A$10)+MATCH($F234,_怪物类型!$A$2:$A$10,0))*IF($K234="",1,$K234),""))</f>
        <v/>
      </c>
      <c r="T234">
        <f>IF(OR($J234="",$F234="不适用"),"",IFERROR(INDEX(_怪物模型!$E$2:$E$4501,(INT($J234)-1)*ROWS(_怪物类型!$A$2:$A$10)+MATCH($F234,_怪物类型!$A$2:$A$10,0))*IF($L234="",1,$L234),""))</f>
        <v/>
      </c>
      <c r="U234">
        <f>IF(OR($J234="",$F234="不适用"),"",IFERROR(INDEX(_怪物模型!$F$2:$F$4501,(INT($J234)-1)*ROWS(_怪物类型!$A$2:$A$10)+MATCH($F234,_怪物类型!$A$2:$A$10,0))*IF($M234="",1,$M234),""))</f>
        <v/>
      </c>
      <c r="V234">
        <f>IF($U234="","",MIN(0.75,$U234/($U234+24000)))</f>
        <v/>
      </c>
      <c r="W234">
        <f>IF($S234="","",$S234/(1-$V234)*IF($N234="",1,$N234))</f>
        <v/>
      </c>
      <c r="X234">
        <f>IF(OR($W234="",$Q234="",$Q234=0),"",$W234/$Q234)</f>
        <v/>
      </c>
      <c r="Y234">
        <f>IF(OR($R234="",$T234="",$T234=0),"",$R234/($T234*IF($O234="",1,$O234)))</f>
        <v/>
      </c>
      <c r="Z234">
        <f>IF(OR($X234="",$P234="",$P234=0),"",$X234/$P234)</f>
        <v/>
      </c>
      <c r="AB234">
        <f>IF($J234="","待填",IF(AND(ISNUMBER($J234),$J234&gt;=1,$J234&lt;=500,MOD($J234,1)=0),"有效","超范围"))</f>
        <v/>
      </c>
      <c r="AD234" t="inlineStr">
        <is>
          <t>2026-09-14 补档：正式GuildBossHard难度21~40实测全部复用难度20关卡（断言通过）；K/L沿用难度20校准值；AE与难度20一致；RecommendedLv展示40/45/50/55/60循环。</t>
        </is>
      </c>
      <c r="AE234" t="n">
        <v>832000</v>
      </c>
      <c r="AF234">
        <f>INDEX(_统一战力!$B$2:$B$501,J234)</f>
        <v/>
      </c>
    </row>
    <row r="235">
      <c r="A235" t="inlineStr">
        <is>
          <t>当前源表（2026-09-14补）</t>
        </is>
      </c>
      <c r="B235" t="inlineStr">
        <is>
          <t>其他战斗玩法</t>
        </is>
      </c>
      <c r="C235" t="inlineStr">
        <is>
          <t>LevelType_GuilidBoss</t>
        </is>
      </c>
      <c r="D235" t="inlineStr">
        <is>
          <t>公会Boss 难度35</t>
        </is>
      </c>
      <c r="E235" t="inlineStr">
        <is>
          <t>610020;610120;610220</t>
        </is>
      </c>
      <c r="F235" t="inlineStr">
        <is>
          <t>Boss</t>
        </is>
      </c>
      <c r="G235" t="n">
        <v>278</v>
      </c>
      <c r="I235" t="n">
        <v>278</v>
      </c>
      <c r="J235" t="n">
        <v>327</v>
      </c>
      <c r="K235" t="n">
        <v>1.3945</v>
      </c>
      <c r="L235" t="n">
        <v>1.1993</v>
      </c>
      <c r="M235" t="n">
        <v>1</v>
      </c>
      <c r="Q235">
        <f>IF($I235="","",IFERROR(INDEX(_玩家曲线!$H$2:$H$286,MATCH($I235,_玩家曲线!$A$2:$A$286,0)),""))</f>
        <v/>
      </c>
      <c r="R235">
        <f>IF($I235="","",IFERROR(INDEX(_玩家曲线!$I$2:$I$286,MATCH($I235,_玩家曲线!$A$2:$A$286,0)),""))</f>
        <v/>
      </c>
      <c r="S235">
        <f>IF(OR($J235="",$F235="不适用"),"",IFERROR(INDEX(_怪物模型!$D$2:$D$4501,(INT($J235)-1)*ROWS(_怪物类型!$A$2:$A$10)+MATCH($F235,_怪物类型!$A$2:$A$10,0))*IF($K235="",1,$K235),""))</f>
        <v/>
      </c>
      <c r="T235">
        <f>IF(OR($J235="",$F235="不适用"),"",IFERROR(INDEX(_怪物模型!$E$2:$E$4501,(INT($J235)-1)*ROWS(_怪物类型!$A$2:$A$10)+MATCH($F235,_怪物类型!$A$2:$A$10,0))*IF($L235="",1,$L235),""))</f>
        <v/>
      </c>
      <c r="U235">
        <f>IF(OR($J235="",$F235="不适用"),"",IFERROR(INDEX(_怪物模型!$F$2:$F$4501,(INT($J235)-1)*ROWS(_怪物类型!$A$2:$A$10)+MATCH($F235,_怪物类型!$A$2:$A$10,0))*IF($M235="",1,$M235),""))</f>
        <v/>
      </c>
      <c r="V235">
        <f>IF($U235="","",MIN(0.75,$U235/($U235+24000)))</f>
        <v/>
      </c>
      <c r="W235">
        <f>IF($S235="","",$S235/(1-$V235)*IF($N235="",1,$N235))</f>
        <v/>
      </c>
      <c r="X235">
        <f>IF(OR($W235="",$Q235="",$Q235=0),"",$W235/$Q235)</f>
        <v/>
      </c>
      <c r="Y235">
        <f>IF(OR($R235="",$T235="",$T235=0),"",$R235/($T235*IF($O235="",1,$O235)))</f>
        <v/>
      </c>
      <c r="Z235">
        <f>IF(OR($X235="",$P235="",$P235=0),"",$X235/$P235)</f>
        <v/>
      </c>
      <c r="AB235">
        <f>IF($J235="","待填",IF(AND(ISNUMBER($J235),$J235&gt;=1,$J235&lt;=500,MOD($J235,1)=0),"有效","超范围"))</f>
        <v/>
      </c>
      <c r="AD235" t="inlineStr">
        <is>
          <t>2026-09-14 补档：正式GuildBossHard难度21~40实测全部复用难度20关卡（断言通过）；K/L沿用难度20校准值；AE与难度20一致；RecommendedLv展示40/45/50/55/60循环。</t>
        </is>
      </c>
      <c r="AE235" t="n">
        <v>832000</v>
      </c>
      <c r="AF235">
        <f>INDEX(_统一战力!$B$2:$B$501,J235)</f>
        <v/>
      </c>
    </row>
    <row r="236">
      <c r="A236" t="inlineStr">
        <is>
          <t>当前源表（2026-09-14补）</t>
        </is>
      </c>
      <c r="B236" t="inlineStr">
        <is>
          <t>其他战斗玩法</t>
        </is>
      </c>
      <c r="C236" t="inlineStr">
        <is>
          <t>LevelType_GuilidBoss</t>
        </is>
      </c>
      <c r="D236" t="inlineStr">
        <is>
          <t>公会Boss 难度36</t>
        </is>
      </c>
      <c r="E236" t="inlineStr">
        <is>
          <t>610020;610120;610220</t>
        </is>
      </c>
      <c r="F236" t="inlineStr">
        <is>
          <t>Boss</t>
        </is>
      </c>
      <c r="G236" t="n">
        <v>278</v>
      </c>
      <c r="I236" t="n">
        <v>278</v>
      </c>
      <c r="J236" t="n">
        <v>327</v>
      </c>
      <c r="K236" t="n">
        <v>1.3945</v>
      </c>
      <c r="L236" t="n">
        <v>1.1993</v>
      </c>
      <c r="M236" t="n">
        <v>1</v>
      </c>
      <c r="Q236">
        <f>IF($I236="","",IFERROR(INDEX(_玩家曲线!$H$2:$H$286,MATCH($I236,_玩家曲线!$A$2:$A$286,0)),""))</f>
        <v/>
      </c>
      <c r="R236">
        <f>IF($I236="","",IFERROR(INDEX(_玩家曲线!$I$2:$I$286,MATCH($I236,_玩家曲线!$A$2:$A$286,0)),""))</f>
        <v/>
      </c>
      <c r="S236">
        <f>IF(OR($J236="",$F236="不适用"),"",IFERROR(INDEX(_怪物模型!$D$2:$D$4501,(INT($J236)-1)*ROWS(_怪物类型!$A$2:$A$10)+MATCH($F236,_怪物类型!$A$2:$A$10,0))*IF($K236="",1,$K236),""))</f>
        <v/>
      </c>
      <c r="T236">
        <f>IF(OR($J236="",$F236="不适用"),"",IFERROR(INDEX(_怪物模型!$E$2:$E$4501,(INT($J236)-1)*ROWS(_怪物类型!$A$2:$A$10)+MATCH($F236,_怪物类型!$A$2:$A$10,0))*IF($L236="",1,$L236),""))</f>
        <v/>
      </c>
      <c r="U236">
        <f>IF(OR($J236="",$F236="不适用"),"",IFERROR(INDEX(_怪物模型!$F$2:$F$4501,(INT($J236)-1)*ROWS(_怪物类型!$A$2:$A$10)+MATCH($F236,_怪物类型!$A$2:$A$10,0))*IF($M236="",1,$M236),""))</f>
        <v/>
      </c>
      <c r="V236">
        <f>IF($U236="","",MIN(0.75,$U236/($U236+24000)))</f>
        <v/>
      </c>
      <c r="W236">
        <f>IF($S236="","",$S236/(1-$V236)*IF($N236="",1,$N236))</f>
        <v/>
      </c>
      <c r="X236">
        <f>IF(OR($W236="",$Q236="",$Q236=0),"",$W236/$Q236)</f>
        <v/>
      </c>
      <c r="Y236">
        <f>IF(OR($R236="",$T236="",$T236=0),"",$R236/($T236*IF($O236="",1,$O236)))</f>
        <v/>
      </c>
      <c r="Z236">
        <f>IF(OR($X236="",$P236="",$P236=0),"",$X236/$P236)</f>
        <v/>
      </c>
      <c r="AB236">
        <f>IF($J236="","待填",IF(AND(ISNUMBER($J236),$J236&gt;=1,$J236&lt;=500,MOD($J236,1)=0),"有效","超范围"))</f>
        <v/>
      </c>
      <c r="AD236" t="inlineStr">
        <is>
          <t>2026-09-14 补档：正式GuildBossHard难度21~40实测全部复用难度20关卡（断言通过）；K/L沿用难度20校准值；AE与难度20一致；RecommendedLv展示40/45/50/55/60循环。</t>
        </is>
      </c>
      <c r="AE236" t="n">
        <v>832000</v>
      </c>
      <c r="AF236">
        <f>INDEX(_统一战力!$B$2:$B$501,J236)</f>
        <v/>
      </c>
    </row>
    <row r="237">
      <c r="A237" t="inlineStr">
        <is>
          <t>当前源表（2026-09-14补）</t>
        </is>
      </c>
      <c r="B237" t="inlineStr">
        <is>
          <t>其他战斗玩法</t>
        </is>
      </c>
      <c r="C237" t="inlineStr">
        <is>
          <t>LevelType_GuilidBoss</t>
        </is>
      </c>
      <c r="D237" t="inlineStr">
        <is>
          <t>公会Boss 难度37</t>
        </is>
      </c>
      <c r="E237" t="inlineStr">
        <is>
          <t>610020;610120;610220</t>
        </is>
      </c>
      <c r="F237" t="inlineStr">
        <is>
          <t>Boss</t>
        </is>
      </c>
      <c r="G237" t="n">
        <v>278</v>
      </c>
      <c r="I237" t="n">
        <v>278</v>
      </c>
      <c r="J237" t="n">
        <v>327</v>
      </c>
      <c r="K237" t="n">
        <v>1.3945</v>
      </c>
      <c r="L237" t="n">
        <v>1.1993</v>
      </c>
      <c r="M237" t="n">
        <v>1</v>
      </c>
      <c r="Q237">
        <f>IF($I237="","",IFERROR(INDEX(_玩家曲线!$H$2:$H$286,MATCH($I237,_玩家曲线!$A$2:$A$286,0)),""))</f>
        <v/>
      </c>
      <c r="R237">
        <f>IF($I237="","",IFERROR(INDEX(_玩家曲线!$I$2:$I$286,MATCH($I237,_玩家曲线!$A$2:$A$286,0)),""))</f>
        <v/>
      </c>
      <c r="S237">
        <f>IF(OR($J237="",$F237="不适用"),"",IFERROR(INDEX(_怪物模型!$D$2:$D$4501,(INT($J237)-1)*ROWS(_怪物类型!$A$2:$A$10)+MATCH($F237,_怪物类型!$A$2:$A$10,0))*IF($K237="",1,$K237),""))</f>
        <v/>
      </c>
      <c r="T237">
        <f>IF(OR($J237="",$F237="不适用"),"",IFERROR(INDEX(_怪物模型!$E$2:$E$4501,(INT($J237)-1)*ROWS(_怪物类型!$A$2:$A$10)+MATCH($F237,_怪物类型!$A$2:$A$10,0))*IF($L237="",1,$L237),""))</f>
        <v/>
      </c>
      <c r="U237">
        <f>IF(OR($J237="",$F237="不适用"),"",IFERROR(INDEX(_怪物模型!$F$2:$F$4501,(INT($J237)-1)*ROWS(_怪物类型!$A$2:$A$10)+MATCH($F237,_怪物类型!$A$2:$A$10,0))*IF($M237="",1,$M237),""))</f>
        <v/>
      </c>
      <c r="V237">
        <f>IF($U237="","",MIN(0.75,$U237/($U237+24000)))</f>
        <v/>
      </c>
      <c r="W237">
        <f>IF($S237="","",$S237/(1-$V237)*IF($N237="",1,$N237))</f>
        <v/>
      </c>
      <c r="X237">
        <f>IF(OR($W237="",$Q237="",$Q237=0),"",$W237/$Q237)</f>
        <v/>
      </c>
      <c r="Y237">
        <f>IF(OR($R237="",$T237="",$T237=0),"",$R237/($T237*IF($O237="",1,$O237)))</f>
        <v/>
      </c>
      <c r="Z237">
        <f>IF(OR($X237="",$P237="",$P237=0),"",$X237/$P237)</f>
        <v/>
      </c>
      <c r="AB237">
        <f>IF($J237="","待填",IF(AND(ISNUMBER($J237),$J237&gt;=1,$J237&lt;=500,MOD($J237,1)=0),"有效","超范围"))</f>
        <v/>
      </c>
      <c r="AD237" t="inlineStr">
        <is>
          <t>2026-09-14 补档：正式GuildBossHard难度21~40实测全部复用难度20关卡（断言通过）；K/L沿用难度20校准值；AE与难度20一致；RecommendedLv展示40/45/50/55/60循环。</t>
        </is>
      </c>
      <c r="AE237" t="n">
        <v>832000</v>
      </c>
      <c r="AF237">
        <f>INDEX(_统一战力!$B$2:$B$501,J237)</f>
        <v/>
      </c>
    </row>
    <row r="238">
      <c r="A238" t="inlineStr">
        <is>
          <t>当前源表（2026-09-14补）</t>
        </is>
      </c>
      <c r="B238" t="inlineStr">
        <is>
          <t>其他战斗玩法</t>
        </is>
      </c>
      <c r="C238" t="inlineStr">
        <is>
          <t>LevelType_GuilidBoss</t>
        </is>
      </c>
      <c r="D238" t="inlineStr">
        <is>
          <t>公会Boss 难度38</t>
        </is>
      </c>
      <c r="E238" t="inlineStr">
        <is>
          <t>610020;610120;610220</t>
        </is>
      </c>
      <c r="F238" t="inlineStr">
        <is>
          <t>Boss</t>
        </is>
      </c>
      <c r="G238" t="n">
        <v>278</v>
      </c>
      <c r="I238" t="n">
        <v>278</v>
      </c>
      <c r="J238" t="n">
        <v>327</v>
      </c>
      <c r="K238" t="n">
        <v>1.3945</v>
      </c>
      <c r="L238" t="n">
        <v>1.1993</v>
      </c>
      <c r="M238" t="n">
        <v>1</v>
      </c>
      <c r="Q238">
        <f>IF($I238="","",IFERROR(INDEX(_玩家曲线!$H$2:$H$286,MATCH($I238,_玩家曲线!$A$2:$A$286,0)),""))</f>
        <v/>
      </c>
      <c r="R238">
        <f>IF($I238="","",IFERROR(INDEX(_玩家曲线!$I$2:$I$286,MATCH($I238,_玩家曲线!$A$2:$A$286,0)),""))</f>
        <v/>
      </c>
      <c r="S238">
        <f>IF(OR($J238="",$F238="不适用"),"",IFERROR(INDEX(_怪物模型!$D$2:$D$4501,(INT($J238)-1)*ROWS(_怪物类型!$A$2:$A$10)+MATCH($F238,_怪物类型!$A$2:$A$10,0))*IF($K238="",1,$K238),""))</f>
        <v/>
      </c>
      <c r="T238">
        <f>IF(OR($J238="",$F238="不适用"),"",IFERROR(INDEX(_怪物模型!$E$2:$E$4501,(INT($J238)-1)*ROWS(_怪物类型!$A$2:$A$10)+MATCH($F238,_怪物类型!$A$2:$A$10,0))*IF($L238="",1,$L238),""))</f>
        <v/>
      </c>
      <c r="U238">
        <f>IF(OR($J238="",$F238="不适用"),"",IFERROR(INDEX(_怪物模型!$F$2:$F$4501,(INT($J238)-1)*ROWS(_怪物类型!$A$2:$A$10)+MATCH($F238,_怪物类型!$A$2:$A$10,0))*IF($M238="",1,$M238),""))</f>
        <v/>
      </c>
      <c r="V238">
        <f>IF($U238="","",MIN(0.75,$U238/($U238+24000)))</f>
        <v/>
      </c>
      <c r="W238">
        <f>IF($S238="","",$S238/(1-$V238)*IF($N238="",1,$N238))</f>
        <v/>
      </c>
      <c r="X238">
        <f>IF(OR($W238="",$Q238="",$Q238=0),"",$W238/$Q238)</f>
        <v/>
      </c>
      <c r="Y238">
        <f>IF(OR($R238="",$T238="",$T238=0),"",$R238/($T238*IF($O238="",1,$O238)))</f>
        <v/>
      </c>
      <c r="Z238">
        <f>IF(OR($X238="",$P238="",$P238=0),"",$X238/$P238)</f>
        <v/>
      </c>
      <c r="AB238">
        <f>IF($J238="","待填",IF(AND(ISNUMBER($J238),$J238&gt;=1,$J238&lt;=500,MOD($J238,1)=0),"有效","超范围"))</f>
        <v/>
      </c>
      <c r="AD238" t="inlineStr">
        <is>
          <t>2026-09-14 补档：正式GuildBossHard难度21~40实测全部复用难度20关卡（断言通过）；K/L沿用难度20校准值；AE与难度20一致；RecommendedLv展示40/45/50/55/60循环。</t>
        </is>
      </c>
      <c r="AE238" t="n">
        <v>832000</v>
      </c>
      <c r="AF238">
        <f>INDEX(_统一战力!$B$2:$B$501,J238)</f>
        <v/>
      </c>
    </row>
    <row r="239">
      <c r="A239" t="inlineStr">
        <is>
          <t>当前源表（2026-09-14补）</t>
        </is>
      </c>
      <c r="B239" t="inlineStr">
        <is>
          <t>其他战斗玩法</t>
        </is>
      </c>
      <c r="C239" t="inlineStr">
        <is>
          <t>LevelType_GuilidBoss</t>
        </is>
      </c>
      <c r="D239" t="inlineStr">
        <is>
          <t>公会Boss 难度39</t>
        </is>
      </c>
      <c r="E239" t="inlineStr">
        <is>
          <t>610020;610120;610220</t>
        </is>
      </c>
      <c r="F239" t="inlineStr">
        <is>
          <t>Boss</t>
        </is>
      </c>
      <c r="G239" t="n">
        <v>278</v>
      </c>
      <c r="I239" t="n">
        <v>278</v>
      </c>
      <c r="J239" t="n">
        <v>327</v>
      </c>
      <c r="K239" t="n">
        <v>1.3945</v>
      </c>
      <c r="L239" t="n">
        <v>1.1993</v>
      </c>
      <c r="M239" t="n">
        <v>1</v>
      </c>
      <c r="Q239">
        <f>IF($I239="","",IFERROR(INDEX(_玩家曲线!$H$2:$H$286,MATCH($I239,_玩家曲线!$A$2:$A$286,0)),""))</f>
        <v/>
      </c>
      <c r="R239">
        <f>IF($I239="","",IFERROR(INDEX(_玩家曲线!$I$2:$I$286,MATCH($I239,_玩家曲线!$A$2:$A$286,0)),""))</f>
        <v/>
      </c>
      <c r="S239">
        <f>IF(OR($J239="",$F239="不适用"),"",IFERROR(INDEX(_怪物模型!$D$2:$D$4501,(INT($J239)-1)*ROWS(_怪物类型!$A$2:$A$10)+MATCH($F239,_怪物类型!$A$2:$A$10,0))*IF($K239="",1,$K239),""))</f>
        <v/>
      </c>
      <c r="T239">
        <f>IF(OR($J239="",$F239="不适用"),"",IFERROR(INDEX(_怪物模型!$E$2:$E$4501,(INT($J239)-1)*ROWS(_怪物类型!$A$2:$A$10)+MATCH($F239,_怪物类型!$A$2:$A$10,0))*IF($L239="",1,$L239),""))</f>
        <v/>
      </c>
      <c r="U239">
        <f>IF(OR($J239="",$F239="不适用"),"",IFERROR(INDEX(_怪物模型!$F$2:$F$4501,(INT($J239)-1)*ROWS(_怪物类型!$A$2:$A$10)+MATCH($F239,_怪物类型!$A$2:$A$10,0))*IF($M239="",1,$M239),""))</f>
        <v/>
      </c>
      <c r="V239">
        <f>IF($U239="","",MIN(0.75,$U239/($U239+24000)))</f>
        <v/>
      </c>
      <c r="W239">
        <f>IF($S239="","",$S239/(1-$V239)*IF($N239="",1,$N239))</f>
        <v/>
      </c>
      <c r="X239">
        <f>IF(OR($W239="",$Q239="",$Q239=0),"",$W239/$Q239)</f>
        <v/>
      </c>
      <c r="Y239">
        <f>IF(OR($R239="",$T239="",$T239=0),"",$R239/($T239*IF($O239="",1,$O239)))</f>
        <v/>
      </c>
      <c r="Z239">
        <f>IF(OR($X239="",$P239="",$P239=0),"",$X239/$P239)</f>
        <v/>
      </c>
      <c r="AB239">
        <f>IF($J239="","待填",IF(AND(ISNUMBER($J239),$J239&gt;=1,$J239&lt;=500,MOD($J239,1)=0),"有效","超范围"))</f>
        <v/>
      </c>
      <c r="AD239" t="inlineStr">
        <is>
          <t>2026-09-14 补档：正式GuildBossHard难度21~40实测全部复用难度20关卡（断言通过）；K/L沿用难度20校准值；AE与难度20一致；RecommendedLv展示40/45/50/55/60循环。</t>
        </is>
      </c>
      <c r="AE239" t="n">
        <v>832000</v>
      </c>
      <c r="AF239">
        <f>INDEX(_统一战力!$B$2:$B$501,J239)</f>
        <v/>
      </c>
    </row>
    <row r="240">
      <c r="A240" t="inlineStr">
        <is>
          <t>当前源表（2026-09-14补）</t>
        </is>
      </c>
      <c r="B240" t="inlineStr">
        <is>
          <t>其他战斗玩法</t>
        </is>
      </c>
      <c r="C240" t="inlineStr">
        <is>
          <t>LevelType_GuilidBoss</t>
        </is>
      </c>
      <c r="D240" t="inlineStr">
        <is>
          <t>公会Boss 难度40</t>
        </is>
      </c>
      <c r="E240" t="inlineStr">
        <is>
          <t>610020;610120;610220</t>
        </is>
      </c>
      <c r="F240" t="inlineStr">
        <is>
          <t>Boss</t>
        </is>
      </c>
      <c r="G240" t="n">
        <v>278</v>
      </c>
      <c r="I240" t="n">
        <v>278</v>
      </c>
      <c r="J240" t="n">
        <v>327</v>
      </c>
      <c r="K240" t="n">
        <v>1.3945</v>
      </c>
      <c r="L240" t="n">
        <v>1.1993</v>
      </c>
      <c r="M240" t="n">
        <v>1</v>
      </c>
      <c r="Q240">
        <f>IF($I240="","",IFERROR(INDEX(_玩家曲线!$H$2:$H$286,MATCH($I240,_玩家曲线!$A$2:$A$286,0)),""))</f>
        <v/>
      </c>
      <c r="R240">
        <f>IF($I240="","",IFERROR(INDEX(_玩家曲线!$I$2:$I$286,MATCH($I240,_玩家曲线!$A$2:$A$286,0)),""))</f>
        <v/>
      </c>
      <c r="S240">
        <f>IF(OR($J240="",$F240="不适用"),"",IFERROR(INDEX(_怪物模型!$D$2:$D$4501,(INT($J240)-1)*ROWS(_怪物类型!$A$2:$A$10)+MATCH($F240,_怪物类型!$A$2:$A$10,0))*IF($K240="",1,$K240),""))</f>
        <v/>
      </c>
      <c r="T240">
        <f>IF(OR($J240="",$F240="不适用"),"",IFERROR(INDEX(_怪物模型!$E$2:$E$4501,(INT($J240)-1)*ROWS(_怪物类型!$A$2:$A$10)+MATCH($F240,_怪物类型!$A$2:$A$10,0))*IF($L240="",1,$L240),""))</f>
        <v/>
      </c>
      <c r="U240">
        <f>IF(OR($J240="",$F240="不适用"),"",IFERROR(INDEX(_怪物模型!$F$2:$F$4501,(INT($J240)-1)*ROWS(_怪物类型!$A$2:$A$10)+MATCH($F240,_怪物类型!$A$2:$A$10,0))*IF($M240="",1,$M240),""))</f>
        <v/>
      </c>
      <c r="V240">
        <f>IF($U240="","",MIN(0.75,$U240/($U240+24000)))</f>
        <v/>
      </c>
      <c r="W240">
        <f>IF($S240="","",$S240/(1-$V240)*IF($N240="",1,$N240))</f>
        <v/>
      </c>
      <c r="X240">
        <f>IF(OR($W240="",$Q240="",$Q240=0),"",$W240/$Q240)</f>
        <v/>
      </c>
      <c r="Y240">
        <f>IF(OR($R240="",$T240="",$T240=0),"",$R240/($T240*IF($O240="",1,$O240)))</f>
        <v/>
      </c>
      <c r="Z240">
        <f>IF(OR($X240="",$P240="",$P240=0),"",$X240/$P240)</f>
        <v/>
      </c>
      <c r="AB240">
        <f>IF($J240="","待填",IF(AND(ISNUMBER($J240),$J240&gt;=1,$J240&lt;=500,MOD($J240,1)=0),"有效","超范围"))</f>
        <v/>
      </c>
      <c r="AD240" t="inlineStr">
        <is>
          <t>2026-09-14 补档：正式GuildBossHard难度21~40实测全部复用难度20关卡（断言通过）；K/L沿用难度20校准值；AE与难度20一致；RecommendedLv展示40/45/50/55/60循环。</t>
        </is>
      </c>
      <c r="AE240" t="n">
        <v>832000</v>
      </c>
      <c r="AF240">
        <f>INDEX(_统一战力!$B$2:$B$501,J240)</f>
        <v/>
      </c>
    </row>
  </sheetData>
  <mergeCells count="2">
    <mergeCell ref="A1:AF1"/>
    <mergeCell ref="A2:AF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501"/>
  <sheetViews>
    <sheetView workbookViewId="0">
      <selection activeCell="A1" sqref="A1"/>
    </sheetView>
  </sheetViews>
  <sheetFormatPr baseColWidth="8" defaultColWidth="9" defaultRowHeight="13.5"/>
  <cols>
    <col width="16" customWidth="1" min="1" max="4"/>
  </cols>
  <sheetData>
    <row r="1" ht="32" customHeight="1">
      <c r="A1" s="3" t="inlineStr">
        <is>
          <t>怪物等级</t>
        </is>
      </c>
      <c r="B1" s="3" t="inlineStr">
        <is>
          <t>标准等级战力</t>
        </is>
      </c>
      <c r="C1" s="3" t="inlineStr">
        <is>
          <t>玩家进度</t>
        </is>
      </c>
      <c r="D1" s="3" t="inlineStr">
        <is>
          <t>队伍精确战力</t>
        </is>
      </c>
    </row>
    <row r="2">
      <c r="A2" t="n">
        <v>1</v>
      </c>
      <c r="B2" t="n">
        <v>2240</v>
      </c>
      <c r="C2" t="n">
        <v>1</v>
      </c>
      <c r="D2" t="n">
        <v>2242</v>
      </c>
    </row>
    <row r="3">
      <c r="A3" t="n">
        <v>2</v>
      </c>
      <c r="B3" t="n">
        <v>2240</v>
      </c>
      <c r="C3" t="n">
        <v>2</v>
      </c>
      <c r="D3" t="n">
        <v>2388</v>
      </c>
    </row>
    <row r="4">
      <c r="A4" t="n">
        <v>3</v>
      </c>
      <c r="B4" t="n">
        <v>2240</v>
      </c>
      <c r="C4" t="n">
        <v>3</v>
      </c>
      <c r="D4" t="n">
        <v>3168</v>
      </c>
    </row>
    <row r="5">
      <c r="A5" t="n">
        <v>4</v>
      </c>
      <c r="B5" t="n">
        <v>2240</v>
      </c>
      <c r="C5" t="n">
        <v>4</v>
      </c>
      <c r="D5" t="n">
        <v>4017</v>
      </c>
    </row>
    <row r="6">
      <c r="A6" t="n">
        <v>5</v>
      </c>
      <c r="B6" t="n">
        <v>2240</v>
      </c>
      <c r="C6" t="n">
        <v>5</v>
      </c>
      <c r="D6" t="n">
        <v>4932</v>
      </c>
    </row>
    <row r="7">
      <c r="A7" t="n">
        <v>6</v>
      </c>
      <c r="B7" t="n">
        <v>2390</v>
      </c>
      <c r="C7" t="n">
        <v>6</v>
      </c>
      <c r="D7" t="n">
        <v>5914</v>
      </c>
    </row>
    <row r="8">
      <c r="A8" t="n">
        <v>7</v>
      </c>
      <c r="B8" t="n">
        <v>3170</v>
      </c>
      <c r="C8" t="n">
        <v>7</v>
      </c>
      <c r="D8" t="n">
        <v>7219</v>
      </c>
    </row>
    <row r="9">
      <c r="A9" t="n">
        <v>8</v>
      </c>
      <c r="B9" t="n">
        <v>3170</v>
      </c>
      <c r="C9" t="n">
        <v>8</v>
      </c>
      <c r="D9" t="n">
        <v>8608</v>
      </c>
    </row>
    <row r="10">
      <c r="A10" t="n">
        <v>9</v>
      </c>
      <c r="B10" t="n">
        <v>4930</v>
      </c>
      <c r="C10" t="n">
        <v>9</v>
      </c>
      <c r="D10" t="n">
        <v>10083</v>
      </c>
    </row>
    <row r="11">
      <c r="A11" t="n">
        <v>10</v>
      </c>
      <c r="B11" t="n">
        <v>4930</v>
      </c>
      <c r="C11" t="n">
        <v>10</v>
      </c>
      <c r="D11" t="n">
        <v>11174</v>
      </c>
    </row>
    <row r="12">
      <c r="A12" t="n">
        <v>11</v>
      </c>
      <c r="B12" t="n">
        <v>4930</v>
      </c>
      <c r="C12" t="n">
        <v>11</v>
      </c>
      <c r="D12" t="n">
        <v>12308</v>
      </c>
    </row>
    <row r="13">
      <c r="A13" t="n">
        <v>12</v>
      </c>
      <c r="B13" t="n">
        <v>5910</v>
      </c>
      <c r="C13" t="n">
        <v>12</v>
      </c>
      <c r="D13" t="n">
        <v>13493</v>
      </c>
    </row>
    <row r="14">
      <c r="A14" t="n">
        <v>13</v>
      </c>
      <c r="B14" t="n">
        <v>5910</v>
      </c>
      <c r="C14" t="n">
        <v>13</v>
      </c>
      <c r="D14" t="n">
        <v>14714</v>
      </c>
    </row>
    <row r="15">
      <c r="A15" t="n">
        <v>14</v>
      </c>
      <c r="B15" t="n">
        <v>7220</v>
      </c>
      <c r="C15" t="n">
        <v>14</v>
      </c>
      <c r="D15" t="n">
        <v>15980</v>
      </c>
    </row>
    <row r="16">
      <c r="A16" t="n">
        <v>15</v>
      </c>
      <c r="B16" t="n">
        <v>7220</v>
      </c>
      <c r="C16" t="n">
        <v>15</v>
      </c>
      <c r="D16" t="n">
        <v>16704</v>
      </c>
    </row>
    <row r="17">
      <c r="A17" t="n">
        <v>16</v>
      </c>
      <c r="B17" t="n">
        <v>8610</v>
      </c>
      <c r="C17" t="n">
        <v>16</v>
      </c>
      <c r="D17" t="n">
        <v>18232</v>
      </c>
    </row>
    <row r="18">
      <c r="A18" t="n">
        <v>17</v>
      </c>
      <c r="B18" t="n">
        <v>10100</v>
      </c>
      <c r="C18" t="n">
        <v>17</v>
      </c>
      <c r="D18" t="n">
        <v>19808</v>
      </c>
    </row>
    <row r="19">
      <c r="A19" t="n">
        <v>18</v>
      </c>
      <c r="B19" t="n">
        <v>10100</v>
      </c>
      <c r="C19" t="n">
        <v>18</v>
      </c>
      <c r="D19" t="n">
        <v>21432</v>
      </c>
    </row>
    <row r="20">
      <c r="A20" t="n">
        <v>19</v>
      </c>
      <c r="B20" t="n">
        <v>10100</v>
      </c>
      <c r="C20" t="n">
        <v>19</v>
      </c>
      <c r="D20" t="n">
        <v>23100</v>
      </c>
    </row>
    <row r="21">
      <c r="A21" t="n">
        <v>20</v>
      </c>
      <c r="B21" t="n">
        <v>11200</v>
      </c>
      <c r="C21" t="n">
        <v>20</v>
      </c>
      <c r="D21" t="n">
        <v>25436</v>
      </c>
    </row>
    <row r="22">
      <c r="A22" t="n">
        <v>21</v>
      </c>
      <c r="B22" t="n">
        <v>11200</v>
      </c>
      <c r="C22" t="n">
        <v>21</v>
      </c>
      <c r="D22" t="n">
        <v>27758</v>
      </c>
    </row>
    <row r="23">
      <c r="A23" t="n">
        <v>22</v>
      </c>
      <c r="B23" t="n">
        <v>12300</v>
      </c>
      <c r="C23" t="n">
        <v>22</v>
      </c>
      <c r="D23" t="n">
        <v>30203</v>
      </c>
    </row>
    <row r="24">
      <c r="A24" t="n">
        <v>23</v>
      </c>
      <c r="B24" t="n">
        <v>13500</v>
      </c>
      <c r="C24" t="n">
        <v>23</v>
      </c>
      <c r="D24" t="n">
        <v>32780</v>
      </c>
    </row>
    <row r="25">
      <c r="A25" t="n">
        <v>24</v>
      </c>
      <c r="B25" t="n">
        <v>14700</v>
      </c>
      <c r="C25" t="n">
        <v>24</v>
      </c>
      <c r="D25" t="n">
        <v>35487</v>
      </c>
    </row>
    <row r="26">
      <c r="A26" t="n">
        <v>25</v>
      </c>
      <c r="B26" t="n">
        <v>14700</v>
      </c>
      <c r="C26" t="n">
        <v>25</v>
      </c>
      <c r="D26" t="n">
        <v>37375</v>
      </c>
    </row>
    <row r="27">
      <c r="A27" t="n">
        <v>26</v>
      </c>
      <c r="B27" t="n">
        <v>16000</v>
      </c>
      <c r="C27" t="n">
        <v>26</v>
      </c>
      <c r="D27" t="n">
        <v>39292</v>
      </c>
    </row>
    <row r="28">
      <c r="A28" t="n">
        <v>27</v>
      </c>
      <c r="B28" t="n">
        <v>16000</v>
      </c>
      <c r="C28" t="n">
        <v>27</v>
      </c>
      <c r="D28" t="n">
        <v>41270</v>
      </c>
    </row>
    <row r="29">
      <c r="A29" t="n">
        <v>28</v>
      </c>
      <c r="B29" t="n">
        <v>16700</v>
      </c>
      <c r="C29" t="n">
        <v>28</v>
      </c>
      <c r="D29" t="n">
        <v>43311</v>
      </c>
    </row>
    <row r="30">
      <c r="A30" t="n">
        <v>29</v>
      </c>
      <c r="B30" t="n">
        <v>18200</v>
      </c>
      <c r="C30" t="n">
        <v>29</v>
      </c>
      <c r="D30" t="n">
        <v>45415</v>
      </c>
    </row>
    <row r="31">
      <c r="A31" t="n">
        <v>30</v>
      </c>
      <c r="B31" t="n">
        <v>18200</v>
      </c>
      <c r="C31" t="n">
        <v>30</v>
      </c>
      <c r="D31" t="n">
        <v>46620</v>
      </c>
    </row>
    <row r="32">
      <c r="A32" t="n">
        <v>31</v>
      </c>
      <c r="B32" t="n">
        <v>19800</v>
      </c>
      <c r="C32" t="n">
        <v>31</v>
      </c>
      <c r="D32" t="n">
        <v>49050</v>
      </c>
    </row>
    <row r="33">
      <c r="A33" t="n">
        <v>32</v>
      </c>
      <c r="B33" t="n">
        <v>19800</v>
      </c>
      <c r="C33" t="n">
        <v>32</v>
      </c>
      <c r="D33" t="n">
        <v>51540</v>
      </c>
    </row>
    <row r="34">
      <c r="A34" t="n">
        <v>33</v>
      </c>
      <c r="B34" t="n">
        <v>21400</v>
      </c>
      <c r="C34" t="n">
        <v>33</v>
      </c>
      <c r="D34" t="n">
        <v>54095</v>
      </c>
    </row>
    <row r="35">
      <c r="A35" t="n">
        <v>34</v>
      </c>
      <c r="B35" t="n">
        <v>23100</v>
      </c>
      <c r="C35" t="n">
        <v>34</v>
      </c>
      <c r="D35" t="n">
        <v>56710</v>
      </c>
    </row>
    <row r="36">
      <c r="A36" t="n">
        <v>35</v>
      </c>
      <c r="B36" t="n">
        <v>23100</v>
      </c>
      <c r="C36" t="n">
        <v>35</v>
      </c>
      <c r="D36" t="n">
        <v>59500</v>
      </c>
    </row>
    <row r="37">
      <c r="A37" t="n">
        <v>36</v>
      </c>
      <c r="B37" t="n">
        <v>23100</v>
      </c>
      <c r="C37" t="n">
        <v>36</v>
      </c>
      <c r="D37" t="n">
        <v>62355</v>
      </c>
    </row>
    <row r="38">
      <c r="A38" t="n">
        <v>37</v>
      </c>
      <c r="B38" t="n">
        <v>25400</v>
      </c>
      <c r="C38" t="n">
        <v>37</v>
      </c>
      <c r="D38" t="n">
        <v>65285</v>
      </c>
    </row>
    <row r="39">
      <c r="A39" t="n">
        <v>38</v>
      </c>
      <c r="B39" t="n">
        <v>27800</v>
      </c>
      <c r="C39" t="n">
        <v>38</v>
      </c>
      <c r="D39" t="n">
        <v>68280</v>
      </c>
    </row>
    <row r="40">
      <c r="A40" t="n">
        <v>39</v>
      </c>
      <c r="B40" t="n">
        <v>27800</v>
      </c>
      <c r="C40" t="n">
        <v>39</v>
      </c>
      <c r="D40" t="n">
        <v>71350</v>
      </c>
    </row>
    <row r="41">
      <c r="A41" t="n">
        <v>40</v>
      </c>
      <c r="B41" t="n">
        <v>30200</v>
      </c>
      <c r="C41" t="n">
        <v>40</v>
      </c>
      <c r="D41" t="n">
        <v>74525</v>
      </c>
    </row>
    <row r="42">
      <c r="A42" t="n">
        <v>41</v>
      </c>
      <c r="B42" t="n">
        <v>30200</v>
      </c>
      <c r="C42" t="n">
        <v>41</v>
      </c>
      <c r="D42" t="n">
        <v>78575</v>
      </c>
    </row>
    <row r="43">
      <c r="A43" t="n">
        <v>42</v>
      </c>
      <c r="B43" t="n">
        <v>32800</v>
      </c>
      <c r="C43" t="n">
        <v>42</v>
      </c>
      <c r="D43" t="n">
        <v>82740</v>
      </c>
    </row>
    <row r="44">
      <c r="A44" t="n">
        <v>43</v>
      </c>
      <c r="B44" t="n">
        <v>32800</v>
      </c>
      <c r="C44" t="n">
        <v>43</v>
      </c>
      <c r="D44" t="n">
        <v>87015</v>
      </c>
    </row>
    <row r="45">
      <c r="A45" t="n">
        <v>44</v>
      </c>
      <c r="B45" t="n">
        <v>32800</v>
      </c>
      <c r="C45" t="n">
        <v>44</v>
      </c>
      <c r="D45" t="n">
        <v>91410</v>
      </c>
    </row>
    <row r="46">
      <c r="A46" t="n">
        <v>45</v>
      </c>
      <c r="B46" t="n">
        <v>35500</v>
      </c>
      <c r="C46" t="n">
        <v>45</v>
      </c>
      <c r="D46" t="n">
        <v>95915</v>
      </c>
    </row>
    <row r="47">
      <c r="A47" t="n">
        <v>46</v>
      </c>
      <c r="B47" t="n">
        <v>35500</v>
      </c>
      <c r="C47" t="n">
        <v>46</v>
      </c>
      <c r="D47" t="n">
        <v>100540</v>
      </c>
    </row>
    <row r="48">
      <c r="A48" t="n">
        <v>47</v>
      </c>
      <c r="B48" t="n">
        <v>41300</v>
      </c>
      <c r="C48" t="n">
        <v>47</v>
      </c>
      <c r="D48" t="n">
        <v>105285</v>
      </c>
    </row>
    <row r="49">
      <c r="A49" t="n">
        <v>48</v>
      </c>
      <c r="B49" t="n">
        <v>41300</v>
      </c>
      <c r="C49" t="n">
        <v>48</v>
      </c>
      <c r="D49" t="n">
        <v>110150</v>
      </c>
    </row>
    <row r="50">
      <c r="A50" t="n">
        <v>49</v>
      </c>
      <c r="B50" t="n">
        <v>43300</v>
      </c>
      <c r="C50" t="n">
        <v>49</v>
      </c>
      <c r="D50" t="n">
        <v>115130</v>
      </c>
    </row>
    <row r="51">
      <c r="A51" t="n">
        <v>50</v>
      </c>
      <c r="B51" t="n">
        <v>45400</v>
      </c>
      <c r="C51" t="n">
        <v>50</v>
      </c>
      <c r="D51" t="n">
        <v>120235</v>
      </c>
    </row>
    <row r="52">
      <c r="A52" t="n">
        <v>51</v>
      </c>
      <c r="B52" t="n">
        <v>45400</v>
      </c>
      <c r="C52" t="n">
        <v>51</v>
      </c>
      <c r="D52" t="n">
        <v>125460</v>
      </c>
    </row>
    <row r="53">
      <c r="A53" t="n">
        <v>52</v>
      </c>
      <c r="B53" t="n">
        <v>45400</v>
      </c>
      <c r="C53" t="n">
        <v>52</v>
      </c>
      <c r="D53" t="n">
        <v>130810</v>
      </c>
    </row>
    <row r="54">
      <c r="A54" t="n">
        <v>53</v>
      </c>
      <c r="B54" t="n">
        <v>49100</v>
      </c>
      <c r="C54" t="n">
        <v>53</v>
      </c>
      <c r="D54" t="n">
        <v>136285</v>
      </c>
    </row>
    <row r="55">
      <c r="A55" t="n">
        <v>54</v>
      </c>
      <c r="B55" t="n">
        <v>49100</v>
      </c>
      <c r="C55" t="n">
        <v>54</v>
      </c>
      <c r="D55" t="n">
        <v>141890</v>
      </c>
    </row>
    <row r="56">
      <c r="A56" t="n">
        <v>55</v>
      </c>
      <c r="B56" t="n">
        <v>54100</v>
      </c>
      <c r="C56" t="n">
        <v>55</v>
      </c>
      <c r="D56" t="n">
        <v>146810</v>
      </c>
    </row>
    <row r="57">
      <c r="A57" t="n">
        <v>56</v>
      </c>
      <c r="B57" t="n">
        <v>56700</v>
      </c>
      <c r="C57" t="n">
        <v>56</v>
      </c>
      <c r="D57" t="n">
        <v>151365</v>
      </c>
    </row>
    <row r="58">
      <c r="A58" t="n">
        <v>57</v>
      </c>
      <c r="B58" t="n">
        <v>56700</v>
      </c>
      <c r="C58" t="n">
        <v>57</v>
      </c>
      <c r="D58" t="n">
        <v>155995</v>
      </c>
    </row>
    <row r="59">
      <c r="A59" t="n">
        <v>58</v>
      </c>
      <c r="B59" t="n">
        <v>56700</v>
      </c>
      <c r="C59" t="n">
        <v>58</v>
      </c>
      <c r="D59" t="n">
        <v>160710</v>
      </c>
    </row>
    <row r="60">
      <c r="A60" t="n">
        <v>59</v>
      </c>
      <c r="B60" t="n">
        <v>62400</v>
      </c>
      <c r="C60" t="n">
        <v>59</v>
      </c>
      <c r="D60" t="n">
        <v>165500</v>
      </c>
    </row>
    <row r="61">
      <c r="A61" t="n">
        <v>60</v>
      </c>
      <c r="B61" t="n">
        <v>65300</v>
      </c>
      <c r="C61" t="n">
        <v>60</v>
      </c>
      <c r="D61" t="n">
        <v>170370</v>
      </c>
    </row>
    <row r="62">
      <c r="A62" t="n">
        <v>61</v>
      </c>
      <c r="B62" t="n">
        <v>65300</v>
      </c>
      <c r="C62" t="n">
        <v>61</v>
      </c>
      <c r="D62" t="n">
        <v>175325</v>
      </c>
    </row>
    <row r="63">
      <c r="A63" t="n">
        <v>62</v>
      </c>
      <c r="B63" t="n">
        <v>71400</v>
      </c>
      <c r="C63" t="n">
        <v>62</v>
      </c>
      <c r="D63" t="n">
        <v>180360</v>
      </c>
    </row>
    <row r="64">
      <c r="A64" t="n">
        <v>63</v>
      </c>
      <c r="B64" t="n">
        <v>71400</v>
      </c>
      <c r="C64" t="n">
        <v>63</v>
      </c>
      <c r="D64" t="n">
        <v>185475</v>
      </c>
    </row>
    <row r="65">
      <c r="A65" t="n">
        <v>64</v>
      </c>
      <c r="B65" t="n">
        <v>71400</v>
      </c>
      <c r="C65" t="n">
        <v>64</v>
      </c>
      <c r="D65" t="n">
        <v>190675</v>
      </c>
    </row>
    <row r="66">
      <c r="A66" t="n">
        <v>65</v>
      </c>
      <c r="B66" t="n">
        <v>71400</v>
      </c>
      <c r="C66" t="n">
        <v>65</v>
      </c>
      <c r="D66" t="n">
        <v>197235</v>
      </c>
    </row>
    <row r="67">
      <c r="A67" t="n">
        <v>66</v>
      </c>
      <c r="B67" t="n">
        <v>71400</v>
      </c>
      <c r="C67" t="n">
        <v>66</v>
      </c>
      <c r="D67" t="n">
        <v>203900</v>
      </c>
    </row>
    <row r="68">
      <c r="A68" t="n">
        <v>67</v>
      </c>
      <c r="B68" t="n">
        <v>82700</v>
      </c>
      <c r="C68" t="n">
        <v>67</v>
      </c>
      <c r="D68" t="n">
        <v>210675</v>
      </c>
    </row>
    <row r="69">
      <c r="A69" t="n">
        <v>68</v>
      </c>
      <c r="B69" t="n">
        <v>82700</v>
      </c>
      <c r="C69" t="n">
        <v>68</v>
      </c>
      <c r="D69" t="n">
        <v>217560</v>
      </c>
    </row>
    <row r="70">
      <c r="A70" t="n">
        <v>69</v>
      </c>
      <c r="B70" t="n">
        <v>87000</v>
      </c>
      <c r="C70" t="n">
        <v>69</v>
      </c>
      <c r="D70" t="n">
        <v>224560</v>
      </c>
    </row>
    <row r="71">
      <c r="A71" t="n">
        <v>70</v>
      </c>
      <c r="B71" t="n">
        <v>87000</v>
      </c>
      <c r="C71" t="n">
        <v>70</v>
      </c>
      <c r="D71" t="n">
        <v>231250</v>
      </c>
    </row>
    <row r="72">
      <c r="A72" t="n">
        <v>71</v>
      </c>
      <c r="B72" t="n">
        <v>91400</v>
      </c>
      <c r="C72" t="n">
        <v>71</v>
      </c>
      <c r="D72" t="n">
        <v>237125</v>
      </c>
    </row>
    <row r="73">
      <c r="A73" t="n">
        <v>72</v>
      </c>
      <c r="B73" t="n">
        <v>91400</v>
      </c>
      <c r="C73" t="n">
        <v>72</v>
      </c>
      <c r="D73" t="n">
        <v>243070</v>
      </c>
    </row>
    <row r="74">
      <c r="A74" t="n">
        <v>73</v>
      </c>
      <c r="B74" t="n">
        <v>95900</v>
      </c>
      <c r="C74" t="n">
        <v>73</v>
      </c>
      <c r="D74" t="n">
        <v>249095</v>
      </c>
    </row>
    <row r="75">
      <c r="A75" t="n">
        <v>74</v>
      </c>
      <c r="B75" t="n">
        <v>101000</v>
      </c>
      <c r="C75" t="n">
        <v>74</v>
      </c>
      <c r="D75" t="n">
        <v>255195</v>
      </c>
    </row>
    <row r="76">
      <c r="A76" t="n">
        <v>75</v>
      </c>
      <c r="B76" t="n">
        <v>101000</v>
      </c>
      <c r="C76" t="n">
        <v>75</v>
      </c>
      <c r="D76" t="n">
        <v>261365</v>
      </c>
    </row>
    <row r="77">
      <c r="A77" t="n">
        <v>76</v>
      </c>
      <c r="B77" t="n">
        <v>105000</v>
      </c>
      <c r="C77" t="n">
        <v>76</v>
      </c>
      <c r="D77" t="n">
        <v>267615</v>
      </c>
    </row>
    <row r="78">
      <c r="A78" t="n">
        <v>77</v>
      </c>
      <c r="B78" t="n">
        <v>110000</v>
      </c>
      <c r="C78" t="n">
        <v>77</v>
      </c>
      <c r="D78" t="n">
        <v>273940</v>
      </c>
    </row>
    <row r="79">
      <c r="A79" t="n">
        <v>78</v>
      </c>
      <c r="B79" t="n">
        <v>110000</v>
      </c>
      <c r="C79" t="n">
        <v>78</v>
      </c>
      <c r="D79" t="n">
        <v>280345</v>
      </c>
    </row>
    <row r="80">
      <c r="A80" t="n">
        <v>79</v>
      </c>
      <c r="B80" t="n">
        <v>115000</v>
      </c>
      <c r="C80" t="n">
        <v>79</v>
      </c>
      <c r="D80" t="n">
        <v>286825</v>
      </c>
    </row>
    <row r="81">
      <c r="A81" t="n">
        <v>80</v>
      </c>
      <c r="B81" t="n">
        <v>115000</v>
      </c>
      <c r="C81" t="n">
        <v>80</v>
      </c>
      <c r="D81" t="n">
        <v>293380</v>
      </c>
    </row>
    <row r="82">
      <c r="A82" t="n">
        <v>81</v>
      </c>
      <c r="B82" t="n">
        <v>120000</v>
      </c>
      <c r="C82" t="n">
        <v>81</v>
      </c>
      <c r="D82" t="n">
        <v>300015</v>
      </c>
    </row>
    <row r="83">
      <c r="A83" t="n">
        <v>82</v>
      </c>
      <c r="B83" t="n">
        <v>125000</v>
      </c>
      <c r="C83" t="n">
        <v>82</v>
      </c>
      <c r="D83" t="n">
        <v>306730</v>
      </c>
    </row>
    <row r="84">
      <c r="A84" t="n">
        <v>83</v>
      </c>
      <c r="B84" t="n">
        <v>125000</v>
      </c>
      <c r="C84" t="n">
        <v>83</v>
      </c>
      <c r="D84" t="n">
        <v>313520</v>
      </c>
    </row>
    <row r="85">
      <c r="A85" t="n">
        <v>84</v>
      </c>
      <c r="B85" t="n">
        <v>131000</v>
      </c>
      <c r="C85" t="n">
        <v>84</v>
      </c>
      <c r="D85" t="n">
        <v>320390</v>
      </c>
    </row>
    <row r="86">
      <c r="A86" t="n">
        <v>85</v>
      </c>
      <c r="B86" t="n">
        <v>131000</v>
      </c>
      <c r="C86" t="n">
        <v>85</v>
      </c>
      <c r="D86" t="n">
        <v>326365</v>
      </c>
    </row>
    <row r="87">
      <c r="A87" t="n">
        <v>86</v>
      </c>
      <c r="B87" t="n">
        <v>136000</v>
      </c>
      <c r="C87" t="n">
        <v>86</v>
      </c>
      <c r="D87" t="n">
        <v>331580</v>
      </c>
    </row>
    <row r="88">
      <c r="A88" t="n">
        <v>87</v>
      </c>
      <c r="B88" t="n">
        <v>136000</v>
      </c>
      <c r="C88" t="n">
        <v>87</v>
      </c>
      <c r="D88" t="n">
        <v>336840</v>
      </c>
    </row>
    <row r="89">
      <c r="A89" t="n">
        <v>88</v>
      </c>
      <c r="B89" t="n">
        <v>142000</v>
      </c>
      <c r="C89" t="n">
        <v>88</v>
      </c>
      <c r="D89" t="n">
        <v>342145</v>
      </c>
    </row>
    <row r="90">
      <c r="A90" t="n">
        <v>89</v>
      </c>
      <c r="B90" t="n">
        <v>142000</v>
      </c>
      <c r="C90" t="n">
        <v>89</v>
      </c>
      <c r="D90" t="n">
        <v>347495</v>
      </c>
    </row>
    <row r="91">
      <c r="A91" t="n">
        <v>90</v>
      </c>
      <c r="B91" t="n">
        <v>142000</v>
      </c>
      <c r="C91" t="n">
        <v>90</v>
      </c>
      <c r="D91" t="n">
        <v>352890</v>
      </c>
    </row>
    <row r="92">
      <c r="A92" t="n">
        <v>91</v>
      </c>
      <c r="B92" t="n">
        <v>142000</v>
      </c>
      <c r="C92" t="n">
        <v>91</v>
      </c>
      <c r="D92" t="n">
        <v>358330</v>
      </c>
    </row>
    <row r="93">
      <c r="A93" t="n">
        <v>92</v>
      </c>
      <c r="B93" t="n">
        <v>142000</v>
      </c>
      <c r="C93" t="n">
        <v>92</v>
      </c>
      <c r="D93" t="n">
        <v>363815</v>
      </c>
    </row>
    <row r="94">
      <c r="A94" t="n">
        <v>93</v>
      </c>
      <c r="B94" t="n">
        <v>142000</v>
      </c>
      <c r="C94" t="n">
        <v>93</v>
      </c>
      <c r="D94" t="n">
        <v>369345</v>
      </c>
    </row>
    <row r="95">
      <c r="A95" t="n">
        <v>94</v>
      </c>
      <c r="B95" t="n">
        <v>161000</v>
      </c>
      <c r="C95" t="n">
        <v>94</v>
      </c>
      <c r="D95" t="n">
        <v>374920</v>
      </c>
    </row>
    <row r="96">
      <c r="A96" t="n">
        <v>95</v>
      </c>
      <c r="B96" t="n">
        <v>166000</v>
      </c>
      <c r="C96" t="n">
        <v>95</v>
      </c>
      <c r="D96" t="n">
        <v>380540</v>
      </c>
    </row>
    <row r="97">
      <c r="A97" t="n">
        <v>96</v>
      </c>
      <c r="B97" t="n">
        <v>166000</v>
      </c>
      <c r="C97" t="n">
        <v>96</v>
      </c>
      <c r="D97" t="n">
        <v>386205</v>
      </c>
    </row>
    <row r="98">
      <c r="A98" t="n">
        <v>97</v>
      </c>
      <c r="B98" t="n">
        <v>170000</v>
      </c>
      <c r="C98" t="n">
        <v>97</v>
      </c>
      <c r="D98" t="n">
        <v>391915</v>
      </c>
    </row>
    <row r="99">
      <c r="A99" t="n">
        <v>98</v>
      </c>
      <c r="B99" t="n">
        <v>175000</v>
      </c>
      <c r="C99" t="n">
        <v>98</v>
      </c>
      <c r="D99" t="n">
        <v>397670</v>
      </c>
    </row>
    <row r="100">
      <c r="A100" t="n">
        <v>99</v>
      </c>
      <c r="B100" t="n">
        <v>175000</v>
      </c>
      <c r="C100" t="n">
        <v>99</v>
      </c>
      <c r="D100" t="n">
        <v>403470</v>
      </c>
    </row>
    <row r="101">
      <c r="A101" t="n">
        <v>100</v>
      </c>
      <c r="B101" t="n">
        <v>180000</v>
      </c>
      <c r="C101" t="n">
        <v>100</v>
      </c>
      <c r="D101" t="n">
        <v>408500</v>
      </c>
    </row>
    <row r="102">
      <c r="A102" t="n">
        <v>101</v>
      </c>
      <c r="B102" t="n">
        <v>185000</v>
      </c>
      <c r="C102" t="n">
        <v>101</v>
      </c>
      <c r="D102" t="n">
        <v>417380</v>
      </c>
    </row>
    <row r="103">
      <c r="A103" t="n">
        <v>102</v>
      </c>
      <c r="B103" t="n">
        <v>191000</v>
      </c>
      <c r="C103" t="n">
        <v>102</v>
      </c>
      <c r="D103" t="n">
        <v>426360</v>
      </c>
    </row>
    <row r="104">
      <c r="A104" t="n">
        <v>103</v>
      </c>
      <c r="B104" t="n">
        <v>197000</v>
      </c>
      <c r="C104" t="n">
        <v>103</v>
      </c>
      <c r="D104" t="n">
        <v>435440</v>
      </c>
    </row>
    <row r="105">
      <c r="A105" t="n">
        <v>104</v>
      </c>
      <c r="B105" t="n">
        <v>197000</v>
      </c>
      <c r="C105" t="n">
        <v>104</v>
      </c>
      <c r="D105" t="n">
        <v>444630</v>
      </c>
    </row>
    <row r="106">
      <c r="A106" t="n">
        <v>105</v>
      </c>
      <c r="B106" t="n">
        <v>204000</v>
      </c>
      <c r="C106" t="n">
        <v>105</v>
      </c>
      <c r="D106" t="n">
        <v>453920</v>
      </c>
    </row>
    <row r="107">
      <c r="A107" t="n">
        <v>106</v>
      </c>
      <c r="B107" t="n">
        <v>211000</v>
      </c>
      <c r="C107" t="n">
        <v>106</v>
      </c>
      <c r="D107" t="n">
        <v>463310</v>
      </c>
    </row>
    <row r="108">
      <c r="A108" t="n">
        <v>107</v>
      </c>
      <c r="B108" t="n">
        <v>211000</v>
      </c>
      <c r="C108" t="n">
        <v>107</v>
      </c>
      <c r="D108" t="n">
        <v>472810</v>
      </c>
    </row>
    <row r="109">
      <c r="A109" t="n">
        <v>108</v>
      </c>
      <c r="B109" t="n">
        <v>218000</v>
      </c>
      <c r="C109" t="n">
        <v>108</v>
      </c>
      <c r="D109" t="n">
        <v>482410</v>
      </c>
    </row>
    <row r="110">
      <c r="A110" t="n">
        <v>109</v>
      </c>
      <c r="B110" t="n">
        <v>225000</v>
      </c>
      <c r="C110" t="n">
        <v>109</v>
      </c>
      <c r="D110" t="n">
        <v>492115</v>
      </c>
    </row>
    <row r="111">
      <c r="A111" t="n">
        <v>110</v>
      </c>
      <c r="B111" t="n">
        <v>225000</v>
      </c>
      <c r="C111" t="n">
        <v>110</v>
      </c>
      <c r="D111" t="n">
        <v>501930</v>
      </c>
    </row>
    <row r="112">
      <c r="A112" t="n">
        <v>111</v>
      </c>
      <c r="B112" t="n">
        <v>225000</v>
      </c>
      <c r="C112" t="n">
        <v>111</v>
      </c>
      <c r="D112" t="n">
        <v>511845</v>
      </c>
    </row>
    <row r="113">
      <c r="A113" t="n">
        <v>112</v>
      </c>
      <c r="B113" t="n">
        <v>225000</v>
      </c>
      <c r="C113" t="n">
        <v>112</v>
      </c>
      <c r="D113" t="n">
        <v>521870</v>
      </c>
    </row>
    <row r="114">
      <c r="A114" t="n">
        <v>113</v>
      </c>
      <c r="B114" t="n">
        <v>225000</v>
      </c>
      <c r="C114" t="n">
        <v>113</v>
      </c>
      <c r="D114" t="n">
        <v>532000</v>
      </c>
    </row>
    <row r="115">
      <c r="A115" t="n">
        <v>114</v>
      </c>
      <c r="B115" t="n">
        <v>225000</v>
      </c>
      <c r="C115" t="n">
        <v>114</v>
      </c>
      <c r="D115" t="n">
        <v>542235</v>
      </c>
    </row>
    <row r="116">
      <c r="A116" t="n">
        <v>115</v>
      </c>
      <c r="B116" t="n">
        <v>249000</v>
      </c>
      <c r="C116" t="n">
        <v>115</v>
      </c>
      <c r="D116" t="n">
        <v>551545</v>
      </c>
    </row>
    <row r="117">
      <c r="A117" t="n">
        <v>116</v>
      </c>
      <c r="B117" t="n">
        <v>255000</v>
      </c>
      <c r="C117" t="n">
        <v>116</v>
      </c>
      <c r="D117" t="n">
        <v>560060</v>
      </c>
    </row>
    <row r="118">
      <c r="A118" t="n">
        <v>117</v>
      </c>
      <c r="B118" t="n">
        <v>261000</v>
      </c>
      <c r="C118" t="n">
        <v>117</v>
      </c>
      <c r="D118" t="n">
        <v>568650</v>
      </c>
    </row>
    <row r="119">
      <c r="A119" t="n">
        <v>118</v>
      </c>
      <c r="B119" t="n">
        <v>261000</v>
      </c>
      <c r="C119" t="n">
        <v>118</v>
      </c>
      <c r="D119" t="n">
        <v>577310</v>
      </c>
    </row>
    <row r="120">
      <c r="A120" t="n">
        <v>119</v>
      </c>
      <c r="B120" t="n">
        <v>261000</v>
      </c>
      <c r="C120" t="n">
        <v>119</v>
      </c>
      <c r="D120" t="n">
        <v>586045</v>
      </c>
    </row>
    <row r="121">
      <c r="A121" t="n">
        <v>120</v>
      </c>
      <c r="B121" t="n">
        <v>274000</v>
      </c>
      <c r="C121" t="n">
        <v>120</v>
      </c>
      <c r="D121" t="n">
        <v>594850</v>
      </c>
    </row>
    <row r="122">
      <c r="A122" t="n">
        <v>121</v>
      </c>
      <c r="B122" t="n">
        <v>280000</v>
      </c>
      <c r="C122" t="n">
        <v>121</v>
      </c>
      <c r="D122" t="n">
        <v>603730</v>
      </c>
    </row>
    <row r="123">
      <c r="A123" t="n">
        <v>122</v>
      </c>
      <c r="B123" t="n">
        <v>280000</v>
      </c>
      <c r="C123" t="n">
        <v>122</v>
      </c>
      <c r="D123" t="n">
        <v>612680</v>
      </c>
    </row>
    <row r="124">
      <c r="A124" t="n">
        <v>123</v>
      </c>
      <c r="B124" t="n">
        <v>293000</v>
      </c>
      <c r="C124" t="n">
        <v>123</v>
      </c>
      <c r="D124" t="n">
        <v>621705</v>
      </c>
    </row>
    <row r="125">
      <c r="A125" t="n">
        <v>124</v>
      </c>
      <c r="B125" t="n">
        <v>300000</v>
      </c>
      <c r="C125" t="n">
        <v>124</v>
      </c>
      <c r="D125" t="n">
        <v>630805</v>
      </c>
    </row>
    <row r="126">
      <c r="A126" t="n">
        <v>125</v>
      </c>
      <c r="B126" t="n">
        <v>300000</v>
      </c>
      <c r="C126" t="n">
        <v>125</v>
      </c>
      <c r="D126" t="n">
        <v>639980</v>
      </c>
    </row>
    <row r="127">
      <c r="A127" t="n">
        <v>126</v>
      </c>
      <c r="B127" t="n">
        <v>307000</v>
      </c>
      <c r="C127" t="n">
        <v>126</v>
      </c>
      <c r="D127" t="n">
        <v>649225</v>
      </c>
    </row>
    <row r="128">
      <c r="A128" t="n">
        <v>127</v>
      </c>
      <c r="B128" t="n">
        <v>307000</v>
      </c>
      <c r="C128" t="n">
        <v>127</v>
      </c>
      <c r="D128" t="n">
        <v>658545</v>
      </c>
    </row>
    <row r="129">
      <c r="A129" t="n">
        <v>128</v>
      </c>
      <c r="B129" t="n">
        <v>314000</v>
      </c>
      <c r="C129" t="n">
        <v>128</v>
      </c>
      <c r="D129" t="n">
        <v>667940</v>
      </c>
    </row>
    <row r="130">
      <c r="A130" t="n">
        <v>129</v>
      </c>
      <c r="B130" t="n">
        <v>320000</v>
      </c>
      <c r="C130" t="n">
        <v>129</v>
      </c>
      <c r="D130" t="n">
        <v>677410</v>
      </c>
    </row>
    <row r="131">
      <c r="A131" t="n">
        <v>130</v>
      </c>
      <c r="B131" t="n">
        <v>320000</v>
      </c>
      <c r="C131" t="n">
        <v>130</v>
      </c>
      <c r="D131" t="n">
        <v>686065</v>
      </c>
    </row>
    <row r="132">
      <c r="A132" t="n">
        <v>131</v>
      </c>
      <c r="B132" t="n">
        <v>320000</v>
      </c>
      <c r="C132" t="n">
        <v>131</v>
      </c>
      <c r="D132" t="n">
        <v>694020</v>
      </c>
    </row>
    <row r="133">
      <c r="A133" t="n">
        <v>132</v>
      </c>
      <c r="B133" t="n">
        <v>320000</v>
      </c>
      <c r="C133" t="n">
        <v>132</v>
      </c>
      <c r="D133" t="n">
        <v>702025</v>
      </c>
    </row>
    <row r="134">
      <c r="A134" t="n">
        <v>133</v>
      </c>
      <c r="B134" t="n">
        <v>320000</v>
      </c>
      <c r="C134" t="n">
        <v>133</v>
      </c>
      <c r="D134" t="n">
        <v>710085</v>
      </c>
    </row>
    <row r="135">
      <c r="A135" t="n">
        <v>134</v>
      </c>
      <c r="B135" t="n">
        <v>347000</v>
      </c>
      <c r="C135" t="n">
        <v>134</v>
      </c>
      <c r="D135" t="n">
        <v>718195</v>
      </c>
    </row>
    <row r="136">
      <c r="A136" t="n">
        <v>135</v>
      </c>
      <c r="B136" t="n">
        <v>353000</v>
      </c>
      <c r="C136" t="n">
        <v>135</v>
      </c>
      <c r="D136" t="n">
        <v>726360</v>
      </c>
    </row>
    <row r="137">
      <c r="A137" t="n">
        <v>136</v>
      </c>
      <c r="B137" t="n">
        <v>358000</v>
      </c>
      <c r="C137" t="n">
        <v>136</v>
      </c>
      <c r="D137" t="n">
        <v>734575</v>
      </c>
    </row>
    <row r="138">
      <c r="A138" t="n">
        <v>137</v>
      </c>
      <c r="B138" t="n">
        <v>369000</v>
      </c>
      <c r="C138" t="n">
        <v>137</v>
      </c>
      <c r="D138" t="n">
        <v>742845</v>
      </c>
    </row>
    <row r="139">
      <c r="A139" t="n">
        <v>138</v>
      </c>
      <c r="B139" t="n">
        <v>369000</v>
      </c>
      <c r="C139" t="n">
        <v>138</v>
      </c>
      <c r="D139" t="n">
        <v>751165</v>
      </c>
    </row>
    <row r="140">
      <c r="A140" t="n">
        <v>139</v>
      </c>
      <c r="B140" t="n">
        <v>375000</v>
      </c>
      <c r="C140" t="n">
        <v>139</v>
      </c>
      <c r="D140" t="n">
        <v>759540</v>
      </c>
    </row>
    <row r="141">
      <c r="A141" t="n">
        <v>140</v>
      </c>
      <c r="B141" t="n">
        <v>381000</v>
      </c>
      <c r="C141" t="n">
        <v>140</v>
      </c>
      <c r="D141" t="n">
        <v>767965</v>
      </c>
    </row>
    <row r="142">
      <c r="A142" t="n">
        <v>141</v>
      </c>
      <c r="B142" t="n">
        <v>381000</v>
      </c>
      <c r="C142" t="n">
        <v>141</v>
      </c>
      <c r="D142" t="n">
        <v>776445</v>
      </c>
    </row>
    <row r="143">
      <c r="A143" t="n">
        <v>142</v>
      </c>
      <c r="B143" t="n">
        <v>392000</v>
      </c>
      <c r="C143" t="n">
        <v>142</v>
      </c>
      <c r="D143" t="n">
        <v>784975</v>
      </c>
    </row>
    <row r="144">
      <c r="A144" t="n">
        <v>143</v>
      </c>
      <c r="B144" t="n">
        <v>398000</v>
      </c>
      <c r="C144" t="n">
        <v>143</v>
      </c>
      <c r="D144" t="n">
        <v>793560</v>
      </c>
    </row>
    <row r="145">
      <c r="A145" t="n">
        <v>144</v>
      </c>
      <c r="B145" t="n">
        <v>403000</v>
      </c>
      <c r="C145" t="n">
        <v>144</v>
      </c>
      <c r="D145" t="n">
        <v>802200</v>
      </c>
    </row>
    <row r="146">
      <c r="A146" t="n">
        <v>145</v>
      </c>
      <c r="B146" t="n">
        <v>403000</v>
      </c>
      <c r="C146" t="n">
        <v>145</v>
      </c>
      <c r="D146" t="n">
        <v>810140</v>
      </c>
    </row>
    <row r="147">
      <c r="A147" t="n">
        <v>146</v>
      </c>
      <c r="B147" t="n">
        <v>403000</v>
      </c>
      <c r="C147" t="n">
        <v>146</v>
      </c>
      <c r="D147" t="n">
        <v>817490</v>
      </c>
    </row>
    <row r="148">
      <c r="A148" t="n">
        <v>147</v>
      </c>
      <c r="B148" t="n">
        <v>403000</v>
      </c>
      <c r="C148" t="n">
        <v>147</v>
      </c>
      <c r="D148" t="n">
        <v>824880</v>
      </c>
    </row>
    <row r="149">
      <c r="A149" t="n">
        <v>148</v>
      </c>
      <c r="B149" t="n">
        <v>403000</v>
      </c>
      <c r="C149" t="n">
        <v>148</v>
      </c>
      <c r="D149" t="n">
        <v>832305</v>
      </c>
    </row>
    <row r="150">
      <c r="A150" t="n">
        <v>149</v>
      </c>
      <c r="B150" t="n">
        <v>403000</v>
      </c>
      <c r="C150" t="n">
        <v>149</v>
      </c>
      <c r="D150" t="n">
        <v>839770</v>
      </c>
    </row>
    <row r="151">
      <c r="A151" t="n">
        <v>150</v>
      </c>
      <c r="B151" t="n">
        <v>403000</v>
      </c>
      <c r="C151" t="n">
        <v>150</v>
      </c>
      <c r="D151" t="n">
        <v>847275</v>
      </c>
    </row>
    <row r="152">
      <c r="A152" t="n">
        <v>151</v>
      </c>
      <c r="B152" t="n">
        <v>403000</v>
      </c>
      <c r="C152" t="n">
        <v>151</v>
      </c>
      <c r="D152" t="n">
        <v>854815</v>
      </c>
    </row>
    <row r="153">
      <c r="A153" t="n">
        <v>152</v>
      </c>
      <c r="B153" t="n">
        <v>403000</v>
      </c>
      <c r="C153" t="n">
        <v>152</v>
      </c>
      <c r="D153" t="n">
        <v>862400</v>
      </c>
    </row>
    <row r="154">
      <c r="A154" t="n">
        <v>153</v>
      </c>
      <c r="B154" t="n">
        <v>403000</v>
      </c>
      <c r="C154" t="n">
        <v>153</v>
      </c>
      <c r="D154" t="n">
        <v>870015</v>
      </c>
    </row>
    <row r="155">
      <c r="A155" t="n">
        <v>154</v>
      </c>
      <c r="B155" t="n">
        <v>403000</v>
      </c>
      <c r="C155" t="n">
        <v>154</v>
      </c>
      <c r="D155" t="n">
        <v>877675</v>
      </c>
    </row>
    <row r="156">
      <c r="A156" t="n">
        <v>155</v>
      </c>
      <c r="B156" t="n">
        <v>409000</v>
      </c>
      <c r="C156" t="n">
        <v>155</v>
      </c>
      <c r="D156" t="n">
        <v>885370</v>
      </c>
    </row>
    <row r="157">
      <c r="A157" t="n">
        <v>156</v>
      </c>
      <c r="B157" t="n">
        <v>409000</v>
      </c>
      <c r="C157" t="n">
        <v>156</v>
      </c>
      <c r="D157" t="n">
        <v>893110</v>
      </c>
    </row>
    <row r="158">
      <c r="A158" t="n">
        <v>157</v>
      </c>
      <c r="B158" t="n">
        <v>409000</v>
      </c>
      <c r="C158" t="n">
        <v>157</v>
      </c>
      <c r="D158" t="n">
        <v>900885</v>
      </c>
    </row>
    <row r="159">
      <c r="A159" t="n">
        <v>158</v>
      </c>
      <c r="B159" t="n">
        <v>409000</v>
      </c>
      <c r="C159" t="n">
        <v>158</v>
      </c>
      <c r="D159" t="n">
        <v>908695</v>
      </c>
    </row>
    <row r="160">
      <c r="A160" t="n">
        <v>159</v>
      </c>
      <c r="B160" t="n">
        <v>409000</v>
      </c>
      <c r="C160" t="n">
        <v>159</v>
      </c>
      <c r="D160" t="n">
        <v>916550</v>
      </c>
    </row>
    <row r="161">
      <c r="A161" t="n">
        <v>160</v>
      </c>
      <c r="B161" t="n">
        <v>409000</v>
      </c>
      <c r="C161" t="n">
        <v>160</v>
      </c>
      <c r="D161" t="n">
        <v>923825</v>
      </c>
    </row>
    <row r="162">
      <c r="A162" t="n">
        <v>161</v>
      </c>
      <c r="B162" t="n">
        <v>409000</v>
      </c>
      <c r="C162" t="n">
        <v>161</v>
      </c>
      <c r="D162" t="n">
        <v>930605</v>
      </c>
    </row>
    <row r="163">
      <c r="A163" t="n">
        <v>162</v>
      </c>
      <c r="B163" t="n">
        <v>409000</v>
      </c>
      <c r="C163" t="n">
        <v>162</v>
      </c>
      <c r="D163" t="n">
        <v>937415</v>
      </c>
    </row>
    <row r="164">
      <c r="A164" t="n">
        <v>163</v>
      </c>
      <c r="B164" t="n">
        <v>409000</v>
      </c>
      <c r="C164" t="n">
        <v>163</v>
      </c>
      <c r="D164" t="n">
        <v>944255</v>
      </c>
    </row>
    <row r="165">
      <c r="A165" t="n">
        <v>164</v>
      </c>
      <c r="B165" t="n">
        <v>409000</v>
      </c>
      <c r="C165" t="n">
        <v>164</v>
      </c>
      <c r="D165" t="n">
        <v>951125</v>
      </c>
    </row>
    <row r="166">
      <c r="A166" t="n">
        <v>165</v>
      </c>
      <c r="B166" t="n">
        <v>417000</v>
      </c>
      <c r="C166" t="n">
        <v>165</v>
      </c>
      <c r="D166" t="n">
        <v>958025</v>
      </c>
    </row>
    <row r="167">
      <c r="A167" t="n">
        <v>166</v>
      </c>
      <c r="B167" t="n">
        <v>417000</v>
      </c>
      <c r="C167" t="n">
        <v>166</v>
      </c>
      <c r="D167" t="n">
        <v>964955</v>
      </c>
    </row>
    <row r="168">
      <c r="A168" t="n">
        <v>167</v>
      </c>
      <c r="B168" t="n">
        <v>426000</v>
      </c>
      <c r="C168" t="n">
        <v>167</v>
      </c>
      <c r="D168" t="n">
        <v>971910</v>
      </c>
    </row>
    <row r="169">
      <c r="A169" t="n">
        <v>168</v>
      </c>
      <c r="B169" t="n">
        <v>435000</v>
      </c>
      <c r="C169" t="n">
        <v>168</v>
      </c>
      <c r="D169" t="n">
        <v>978895</v>
      </c>
    </row>
    <row r="170">
      <c r="A170" t="n">
        <v>169</v>
      </c>
      <c r="B170" t="n">
        <v>435000</v>
      </c>
      <c r="C170" t="n">
        <v>169</v>
      </c>
      <c r="D170" t="n">
        <v>985910</v>
      </c>
    </row>
    <row r="171">
      <c r="A171" t="n">
        <v>170</v>
      </c>
      <c r="B171" t="n">
        <v>445000</v>
      </c>
      <c r="C171" t="n">
        <v>170</v>
      </c>
      <c r="D171" t="n">
        <v>992960</v>
      </c>
    </row>
    <row r="172">
      <c r="A172" t="n">
        <v>171</v>
      </c>
      <c r="B172" t="n">
        <v>454000</v>
      </c>
      <c r="C172" t="n">
        <v>171</v>
      </c>
      <c r="D172" t="n">
        <v>1000030</v>
      </c>
    </row>
    <row r="173">
      <c r="A173" t="n">
        <v>172</v>
      </c>
      <c r="B173" t="n">
        <v>454000</v>
      </c>
      <c r="C173" t="n">
        <v>172</v>
      </c>
      <c r="D173" t="n">
        <v>1007135</v>
      </c>
    </row>
    <row r="174">
      <c r="A174" t="n">
        <v>173</v>
      </c>
      <c r="B174" t="n">
        <v>463000</v>
      </c>
      <c r="C174" t="n">
        <v>173</v>
      </c>
      <c r="D174" t="n">
        <v>1014270</v>
      </c>
    </row>
    <row r="175">
      <c r="A175" t="n">
        <v>174</v>
      </c>
      <c r="B175" t="n">
        <v>463000</v>
      </c>
      <c r="C175" t="n">
        <v>174</v>
      </c>
      <c r="D175" t="n">
        <v>1021435</v>
      </c>
    </row>
    <row r="176">
      <c r="A176" t="n">
        <v>175</v>
      </c>
      <c r="B176" t="n">
        <v>473000</v>
      </c>
      <c r="C176" t="n">
        <v>175</v>
      </c>
      <c r="D176" t="n">
        <v>1028120</v>
      </c>
    </row>
    <row r="177">
      <c r="A177" t="n">
        <v>176</v>
      </c>
      <c r="B177" t="n">
        <v>482000</v>
      </c>
      <c r="C177" t="n">
        <v>176</v>
      </c>
      <c r="D177" t="n">
        <v>1034410</v>
      </c>
    </row>
    <row r="178">
      <c r="A178" t="n">
        <v>177</v>
      </c>
      <c r="B178" t="n">
        <v>482000</v>
      </c>
      <c r="C178" t="n">
        <v>177</v>
      </c>
      <c r="D178" t="n">
        <v>1040720</v>
      </c>
    </row>
    <row r="179">
      <c r="A179" t="n">
        <v>178</v>
      </c>
      <c r="B179" t="n">
        <v>492000</v>
      </c>
      <c r="C179" t="n">
        <v>178</v>
      </c>
      <c r="D179" t="n">
        <v>1047055</v>
      </c>
    </row>
    <row r="180">
      <c r="A180" t="n">
        <v>179</v>
      </c>
      <c r="B180" t="n">
        <v>502000</v>
      </c>
      <c r="C180" t="n">
        <v>179</v>
      </c>
      <c r="D180" t="n">
        <v>1053415</v>
      </c>
    </row>
    <row r="181">
      <c r="A181" t="n">
        <v>180</v>
      </c>
      <c r="B181" t="n">
        <v>502000</v>
      </c>
      <c r="C181" t="n">
        <v>180</v>
      </c>
      <c r="D181" t="n">
        <v>1059795</v>
      </c>
    </row>
    <row r="182">
      <c r="A182" t="n">
        <v>181</v>
      </c>
      <c r="B182" t="n">
        <v>512000</v>
      </c>
      <c r="C182" t="n">
        <v>181</v>
      </c>
      <c r="D182" t="n">
        <v>1066195</v>
      </c>
    </row>
    <row r="183">
      <c r="A183" t="n">
        <v>182</v>
      </c>
      <c r="B183" t="n">
        <v>522000</v>
      </c>
      <c r="C183" t="n">
        <v>182</v>
      </c>
      <c r="D183" t="n">
        <v>1072620</v>
      </c>
    </row>
    <row r="184">
      <c r="A184" t="n">
        <v>183</v>
      </c>
      <c r="B184" t="n">
        <v>522000</v>
      </c>
      <c r="C184" t="n">
        <v>183</v>
      </c>
      <c r="D184" t="n">
        <v>1079070</v>
      </c>
    </row>
    <row r="185">
      <c r="A185" t="n">
        <v>184</v>
      </c>
      <c r="B185" t="n">
        <v>532000</v>
      </c>
      <c r="C185" t="n">
        <v>184</v>
      </c>
      <c r="D185" t="n">
        <v>1085540</v>
      </c>
    </row>
    <row r="186">
      <c r="A186" t="n">
        <v>185</v>
      </c>
      <c r="B186" t="n">
        <v>542000</v>
      </c>
      <c r="C186" t="n">
        <v>185</v>
      </c>
      <c r="D186" t="n">
        <v>1092035</v>
      </c>
    </row>
    <row r="187">
      <c r="A187" t="n">
        <v>186</v>
      </c>
      <c r="B187" t="n">
        <v>542000</v>
      </c>
      <c r="C187" t="n">
        <v>186</v>
      </c>
      <c r="D187" t="n">
        <v>1098555</v>
      </c>
    </row>
    <row r="188">
      <c r="A188" t="n">
        <v>187</v>
      </c>
      <c r="B188" t="n">
        <v>552000</v>
      </c>
      <c r="C188" t="n">
        <v>187</v>
      </c>
      <c r="D188" t="n">
        <v>1105095</v>
      </c>
    </row>
    <row r="189">
      <c r="A189" t="n">
        <v>188</v>
      </c>
      <c r="B189" t="n">
        <v>560000</v>
      </c>
      <c r="C189" t="n">
        <v>188</v>
      </c>
      <c r="D189" t="n">
        <v>1111660</v>
      </c>
    </row>
    <row r="190">
      <c r="A190" t="n">
        <v>189</v>
      </c>
      <c r="B190" t="n">
        <v>569000</v>
      </c>
      <c r="C190" t="n">
        <v>189</v>
      </c>
      <c r="D190" t="n">
        <v>1118245</v>
      </c>
    </row>
    <row r="191">
      <c r="A191" t="n">
        <v>190</v>
      </c>
      <c r="B191" t="n">
        <v>577000</v>
      </c>
      <c r="C191" t="n">
        <v>190</v>
      </c>
      <c r="D191" t="n">
        <v>1124450</v>
      </c>
    </row>
    <row r="192">
      <c r="A192" t="n">
        <v>191</v>
      </c>
      <c r="B192" t="n">
        <v>577000</v>
      </c>
      <c r="C192" t="n">
        <v>191</v>
      </c>
      <c r="D192" t="n">
        <v>1130330</v>
      </c>
    </row>
    <row r="193">
      <c r="A193" t="n">
        <v>192</v>
      </c>
      <c r="B193" t="n">
        <v>586000</v>
      </c>
      <c r="C193" t="n">
        <v>192</v>
      </c>
      <c r="D193" t="n">
        <v>1136230</v>
      </c>
    </row>
    <row r="194">
      <c r="A194" t="n">
        <v>193</v>
      </c>
      <c r="B194" t="n">
        <v>595000</v>
      </c>
      <c r="C194" t="n">
        <v>193</v>
      </c>
      <c r="D194" t="n">
        <v>1142150</v>
      </c>
    </row>
    <row r="195">
      <c r="A195" t="n">
        <v>194</v>
      </c>
      <c r="B195" t="n">
        <v>604000</v>
      </c>
      <c r="C195" t="n">
        <v>194</v>
      </c>
      <c r="D195" t="n">
        <v>1148085</v>
      </c>
    </row>
    <row r="196">
      <c r="A196" t="n">
        <v>195</v>
      </c>
      <c r="B196" t="n">
        <v>613000</v>
      </c>
      <c r="C196" t="n">
        <v>195</v>
      </c>
      <c r="D196" t="n">
        <v>1154040</v>
      </c>
    </row>
    <row r="197">
      <c r="A197" t="n">
        <v>196</v>
      </c>
      <c r="B197" t="n">
        <v>613000</v>
      </c>
      <c r="C197" t="n">
        <v>196</v>
      </c>
      <c r="D197" t="n">
        <v>1160015</v>
      </c>
    </row>
    <row r="198">
      <c r="A198" t="n">
        <v>197</v>
      </c>
      <c r="B198" t="n">
        <v>622000</v>
      </c>
      <c r="C198" t="n">
        <v>197</v>
      </c>
      <c r="D198" t="n">
        <v>1166005</v>
      </c>
    </row>
    <row r="199">
      <c r="A199" t="n">
        <v>198</v>
      </c>
      <c r="B199" t="n">
        <v>631000</v>
      </c>
      <c r="C199" t="n">
        <v>198</v>
      </c>
      <c r="D199" t="n">
        <v>1172015</v>
      </c>
    </row>
    <row r="200">
      <c r="A200" t="n">
        <v>199</v>
      </c>
      <c r="B200" t="n">
        <v>640000</v>
      </c>
      <c r="C200" t="n">
        <v>199</v>
      </c>
      <c r="D200" t="n">
        <v>1178045</v>
      </c>
    </row>
    <row r="201">
      <c r="A201" t="n">
        <v>200</v>
      </c>
      <c r="B201" t="n">
        <v>649000</v>
      </c>
      <c r="C201" t="n">
        <v>200</v>
      </c>
      <c r="D201" t="n">
        <v>1184095</v>
      </c>
    </row>
    <row r="202">
      <c r="A202" t="n">
        <v>201</v>
      </c>
      <c r="B202" t="n">
        <v>649000</v>
      </c>
      <c r="C202" t="n">
        <v>201</v>
      </c>
      <c r="D202" t="n">
        <v>1190160</v>
      </c>
    </row>
    <row r="203">
      <c r="A203" t="n">
        <v>202</v>
      </c>
      <c r="B203" t="n">
        <v>659000</v>
      </c>
      <c r="C203" t="n">
        <v>202</v>
      </c>
      <c r="D203" t="n">
        <v>1196245</v>
      </c>
    </row>
    <row r="204">
      <c r="A204" t="n">
        <v>203</v>
      </c>
      <c r="B204" t="n">
        <v>668000</v>
      </c>
      <c r="C204" t="n">
        <v>203</v>
      </c>
      <c r="D204" t="n">
        <v>1202350</v>
      </c>
    </row>
    <row r="205">
      <c r="A205" t="n">
        <v>204</v>
      </c>
      <c r="B205" t="n">
        <v>677000</v>
      </c>
      <c r="C205" t="n">
        <v>204</v>
      </c>
      <c r="D205" t="n">
        <v>1208470</v>
      </c>
    </row>
    <row r="206">
      <c r="A206" t="n">
        <v>205</v>
      </c>
      <c r="B206" t="n">
        <v>686000</v>
      </c>
      <c r="C206" t="n">
        <v>205</v>
      </c>
      <c r="D206" t="n">
        <v>1214285</v>
      </c>
    </row>
    <row r="207">
      <c r="A207" t="n">
        <v>206</v>
      </c>
      <c r="B207" t="n">
        <v>694000</v>
      </c>
      <c r="C207" t="n">
        <v>206</v>
      </c>
      <c r="D207" t="n">
        <v>1219845</v>
      </c>
    </row>
    <row r="208">
      <c r="A208" t="n">
        <v>207</v>
      </c>
      <c r="B208" t="n">
        <v>702000</v>
      </c>
      <c r="C208" t="n">
        <v>207</v>
      </c>
      <c r="D208" t="n">
        <v>1225420</v>
      </c>
    </row>
    <row r="209">
      <c r="A209" t="n">
        <v>208</v>
      </c>
      <c r="B209" t="n">
        <v>710000</v>
      </c>
      <c r="C209" t="n">
        <v>208</v>
      </c>
      <c r="D209" t="n">
        <v>1231010</v>
      </c>
    </row>
    <row r="210">
      <c r="A210" t="n">
        <v>209</v>
      </c>
      <c r="B210" t="n">
        <v>710000</v>
      </c>
      <c r="C210" t="n">
        <v>209</v>
      </c>
      <c r="D210" t="n">
        <v>1236615</v>
      </c>
    </row>
    <row r="211">
      <c r="A211" t="n">
        <v>210</v>
      </c>
      <c r="B211" t="n">
        <v>718000</v>
      </c>
      <c r="C211" t="n">
        <v>210</v>
      </c>
      <c r="D211" t="n">
        <v>1242235</v>
      </c>
    </row>
    <row r="212">
      <c r="A212" t="n">
        <v>211</v>
      </c>
      <c r="B212" t="n">
        <v>726000</v>
      </c>
      <c r="C212" t="n">
        <v>211</v>
      </c>
      <c r="D212" t="n">
        <v>1247870</v>
      </c>
    </row>
    <row r="213">
      <c r="A213" t="n">
        <v>212</v>
      </c>
      <c r="B213" t="n">
        <v>735000</v>
      </c>
      <c r="C213" t="n">
        <v>212</v>
      </c>
      <c r="D213" t="n">
        <v>1253520</v>
      </c>
    </row>
    <row r="214">
      <c r="A214" t="n">
        <v>213</v>
      </c>
      <c r="B214" t="n">
        <v>743000</v>
      </c>
      <c r="C214" t="n">
        <v>213</v>
      </c>
      <c r="D214" t="n">
        <v>1259190</v>
      </c>
    </row>
    <row r="215">
      <c r="A215" t="n">
        <v>214</v>
      </c>
      <c r="B215" t="n">
        <v>751000</v>
      </c>
      <c r="C215" t="n">
        <v>214</v>
      </c>
      <c r="D215" t="n">
        <v>1264870</v>
      </c>
    </row>
    <row r="216">
      <c r="A216" t="n">
        <v>215</v>
      </c>
      <c r="B216" t="n">
        <v>760000</v>
      </c>
      <c r="C216" t="n">
        <v>215</v>
      </c>
      <c r="D216" t="n">
        <v>1270570</v>
      </c>
    </row>
    <row r="217">
      <c r="A217" t="n">
        <v>216</v>
      </c>
      <c r="B217" t="n">
        <v>768000</v>
      </c>
      <c r="C217" t="n">
        <v>216</v>
      </c>
      <c r="D217" t="n">
        <v>1276280</v>
      </c>
    </row>
    <row r="218">
      <c r="A218" t="n">
        <v>217</v>
      </c>
      <c r="B218" t="n">
        <v>776000</v>
      </c>
      <c r="C218" t="n">
        <v>217</v>
      </c>
      <c r="D218" t="n">
        <v>1282010</v>
      </c>
    </row>
    <row r="219">
      <c r="A219" t="n">
        <v>218</v>
      </c>
      <c r="B219" t="n">
        <v>785000</v>
      </c>
      <c r="C219" t="n">
        <v>218</v>
      </c>
      <c r="D219" t="n">
        <v>1287755</v>
      </c>
    </row>
    <row r="220">
      <c r="A220" t="n">
        <v>219</v>
      </c>
      <c r="B220" t="n">
        <v>794000</v>
      </c>
      <c r="C220" t="n">
        <v>219</v>
      </c>
      <c r="D220" t="n">
        <v>1293515</v>
      </c>
    </row>
    <row r="221">
      <c r="A221" t="n">
        <v>220</v>
      </c>
      <c r="B221" t="n">
        <v>802000</v>
      </c>
      <c r="C221" t="n">
        <v>220</v>
      </c>
      <c r="D221" t="n">
        <v>1299030</v>
      </c>
    </row>
    <row r="222">
      <c r="A222" t="n">
        <v>221</v>
      </c>
      <c r="B222" t="n">
        <v>810000</v>
      </c>
      <c r="C222" t="n">
        <v>221</v>
      </c>
      <c r="D222" t="n">
        <v>1304345</v>
      </c>
    </row>
    <row r="223">
      <c r="A223" t="n">
        <v>222</v>
      </c>
      <c r="B223" t="n">
        <v>817000</v>
      </c>
      <c r="C223" t="n">
        <v>222</v>
      </c>
      <c r="D223" t="n">
        <v>1309675</v>
      </c>
    </row>
    <row r="224">
      <c r="A224" t="n">
        <v>223</v>
      </c>
      <c r="B224" t="n">
        <v>825000</v>
      </c>
      <c r="C224" t="n">
        <v>223</v>
      </c>
      <c r="D224" t="n">
        <v>1315015</v>
      </c>
    </row>
    <row r="225">
      <c r="A225" t="n">
        <v>224</v>
      </c>
      <c r="B225" t="n">
        <v>832000</v>
      </c>
      <c r="C225" t="n">
        <v>224</v>
      </c>
      <c r="D225" t="n">
        <v>1320365</v>
      </c>
    </row>
    <row r="226">
      <c r="A226" t="n">
        <v>225</v>
      </c>
      <c r="B226" t="n">
        <v>840000</v>
      </c>
      <c r="C226" t="n">
        <v>225</v>
      </c>
      <c r="D226" t="n">
        <v>1325730</v>
      </c>
    </row>
    <row r="227">
      <c r="A227" t="n">
        <v>226</v>
      </c>
      <c r="B227" t="n">
        <v>847000</v>
      </c>
      <c r="C227" t="n">
        <v>226</v>
      </c>
      <c r="D227" t="n">
        <v>1331110</v>
      </c>
    </row>
    <row r="228">
      <c r="A228" t="n">
        <v>227</v>
      </c>
      <c r="B228" t="n">
        <v>862000</v>
      </c>
      <c r="C228" t="n">
        <v>227</v>
      </c>
      <c r="D228" t="n">
        <v>1336505</v>
      </c>
    </row>
    <row r="229">
      <c r="A229" t="n">
        <v>228</v>
      </c>
      <c r="B229" t="n">
        <v>870000</v>
      </c>
      <c r="C229" t="n">
        <v>228</v>
      </c>
      <c r="D229" t="n">
        <v>1341910</v>
      </c>
    </row>
    <row r="230">
      <c r="A230" t="n">
        <v>229</v>
      </c>
      <c r="B230" t="n">
        <v>878000</v>
      </c>
      <c r="C230" t="n">
        <v>229</v>
      </c>
      <c r="D230" t="n">
        <v>1347330</v>
      </c>
    </row>
    <row r="231">
      <c r="A231" t="n">
        <v>230</v>
      </c>
      <c r="B231" t="n">
        <v>885000</v>
      </c>
      <c r="C231" t="n">
        <v>230</v>
      </c>
      <c r="D231" t="n">
        <v>1352765</v>
      </c>
    </row>
    <row r="232">
      <c r="A232" t="n">
        <v>231</v>
      </c>
      <c r="B232" t="n">
        <v>893000</v>
      </c>
      <c r="C232" t="n">
        <v>231</v>
      </c>
      <c r="D232" t="n">
        <v>1358210</v>
      </c>
    </row>
    <row r="233">
      <c r="A233" t="n">
        <v>232</v>
      </c>
      <c r="B233" t="n">
        <v>901000</v>
      </c>
      <c r="C233" t="n">
        <v>232</v>
      </c>
      <c r="D233" t="n">
        <v>1363670</v>
      </c>
    </row>
    <row r="234">
      <c r="A234" t="n">
        <v>233</v>
      </c>
      <c r="B234" t="n">
        <v>909000</v>
      </c>
      <c r="C234" t="n">
        <v>233</v>
      </c>
      <c r="D234" t="n">
        <v>1369145</v>
      </c>
    </row>
    <row r="235">
      <c r="A235" t="n">
        <v>234</v>
      </c>
      <c r="B235" t="n">
        <v>917000</v>
      </c>
      <c r="C235" t="n">
        <v>234</v>
      </c>
      <c r="D235" t="n">
        <v>1374630</v>
      </c>
    </row>
    <row r="236">
      <c r="A236" t="n">
        <v>235</v>
      </c>
      <c r="B236" t="n">
        <v>924000</v>
      </c>
      <c r="C236" t="n">
        <v>235</v>
      </c>
      <c r="D236" t="n">
        <v>1379925</v>
      </c>
    </row>
    <row r="237">
      <c r="A237" t="n">
        <v>236</v>
      </c>
      <c r="B237" t="n">
        <v>937000</v>
      </c>
      <c r="C237" t="n">
        <v>236</v>
      </c>
      <c r="D237" t="n">
        <v>1385060</v>
      </c>
    </row>
    <row r="238">
      <c r="A238" t="n">
        <v>237</v>
      </c>
      <c r="B238" t="n">
        <v>944000</v>
      </c>
      <c r="C238" t="n">
        <v>237</v>
      </c>
      <c r="D238" t="n">
        <v>1390210</v>
      </c>
    </row>
    <row r="239">
      <c r="A239" t="n">
        <v>238</v>
      </c>
      <c r="B239" t="n">
        <v>951000</v>
      </c>
      <c r="C239" t="n">
        <v>238</v>
      </c>
      <c r="D239" t="n">
        <v>1395365</v>
      </c>
    </row>
    <row r="240">
      <c r="A240" t="n">
        <v>239</v>
      </c>
      <c r="B240" t="n">
        <v>958000</v>
      </c>
      <c r="C240" t="n">
        <v>239</v>
      </c>
      <c r="D240" t="n">
        <v>1400535</v>
      </c>
    </row>
    <row r="241">
      <c r="A241" t="n">
        <v>240</v>
      </c>
      <c r="B241" t="n">
        <v>972000</v>
      </c>
      <c r="C241" t="n">
        <v>240</v>
      </c>
      <c r="D241" t="n">
        <v>1405720</v>
      </c>
    </row>
    <row r="242">
      <c r="A242" t="n">
        <v>241</v>
      </c>
      <c r="B242" t="n">
        <v>979000</v>
      </c>
      <c r="C242" t="n">
        <v>241</v>
      </c>
      <c r="D242" t="n">
        <v>1410915</v>
      </c>
    </row>
    <row r="243">
      <c r="A243" t="n">
        <v>242</v>
      </c>
      <c r="B243" t="n">
        <v>986000</v>
      </c>
      <c r="C243" t="n">
        <v>242</v>
      </c>
      <c r="D243" t="n">
        <v>1416120</v>
      </c>
    </row>
    <row r="244">
      <c r="A244" t="n">
        <v>243</v>
      </c>
      <c r="B244" t="n">
        <v>993000</v>
      </c>
      <c r="C244" t="n">
        <v>243</v>
      </c>
      <c r="D244" t="n">
        <v>1421335</v>
      </c>
    </row>
    <row r="245">
      <c r="A245" t="n">
        <v>244</v>
      </c>
      <c r="B245" t="n">
        <v>1000000</v>
      </c>
      <c r="C245" t="n">
        <v>244</v>
      </c>
      <c r="D245" t="n">
        <v>1426565</v>
      </c>
    </row>
    <row r="246">
      <c r="A246" t="n">
        <v>245</v>
      </c>
      <c r="B246" t="n">
        <v>1010000</v>
      </c>
      <c r="C246" t="n">
        <v>245</v>
      </c>
      <c r="D246" t="n">
        <v>1431805</v>
      </c>
    </row>
    <row r="247">
      <c r="A247" t="n">
        <v>246</v>
      </c>
      <c r="B247" t="n">
        <v>1020000</v>
      </c>
      <c r="C247" t="n">
        <v>246</v>
      </c>
      <c r="D247" t="n">
        <v>1437060</v>
      </c>
    </row>
    <row r="248">
      <c r="A248" t="n">
        <v>247</v>
      </c>
      <c r="B248" t="n">
        <v>1030000</v>
      </c>
      <c r="C248" t="n">
        <v>247</v>
      </c>
      <c r="D248" t="n">
        <v>1442325</v>
      </c>
    </row>
    <row r="249">
      <c r="A249" t="n">
        <v>248</v>
      </c>
      <c r="B249" t="n">
        <v>1040000</v>
      </c>
      <c r="C249" t="n">
        <v>248</v>
      </c>
      <c r="D249" t="n">
        <v>1447600</v>
      </c>
    </row>
    <row r="250">
      <c r="A250" t="n">
        <v>249</v>
      </c>
      <c r="B250" t="n">
        <v>1050000</v>
      </c>
      <c r="C250" t="n">
        <v>249</v>
      </c>
      <c r="D250" t="n">
        <v>1452890</v>
      </c>
    </row>
    <row r="251">
      <c r="A251" t="n">
        <v>250</v>
      </c>
      <c r="B251" t="n">
        <v>1050000</v>
      </c>
      <c r="C251" t="n">
        <v>250</v>
      </c>
      <c r="D251" t="n">
        <v>1458030</v>
      </c>
    </row>
    <row r="252">
      <c r="A252" t="n">
        <v>251</v>
      </c>
      <c r="B252" t="n">
        <v>1070000</v>
      </c>
      <c r="C252" t="n">
        <v>251</v>
      </c>
      <c r="D252" t="n">
        <v>1463040</v>
      </c>
    </row>
    <row r="253">
      <c r="A253" t="n">
        <v>252</v>
      </c>
      <c r="B253" t="n">
        <v>1070000</v>
      </c>
      <c r="C253" t="n">
        <v>252</v>
      </c>
      <c r="D253" t="n">
        <v>1468065</v>
      </c>
    </row>
    <row r="254">
      <c r="A254" t="n">
        <v>253</v>
      </c>
      <c r="B254" t="n">
        <v>1080000</v>
      </c>
      <c r="C254" t="n">
        <v>253</v>
      </c>
      <c r="D254" t="n">
        <v>1473100</v>
      </c>
    </row>
    <row r="255">
      <c r="A255" t="n">
        <v>254</v>
      </c>
      <c r="B255" t="n">
        <v>1090000</v>
      </c>
      <c r="C255" t="n">
        <v>254</v>
      </c>
      <c r="D255" t="n">
        <v>1478145</v>
      </c>
    </row>
    <row r="256">
      <c r="A256" t="n">
        <v>255</v>
      </c>
      <c r="B256" t="n">
        <v>1100000</v>
      </c>
      <c r="C256" t="n">
        <v>255</v>
      </c>
      <c r="D256" t="n">
        <v>1483200</v>
      </c>
    </row>
    <row r="257">
      <c r="A257" t="n">
        <v>256</v>
      </c>
      <c r="B257" t="n">
        <v>1110000</v>
      </c>
      <c r="C257" t="n">
        <v>256</v>
      </c>
      <c r="D257" t="n">
        <v>1488270</v>
      </c>
    </row>
    <row r="258">
      <c r="A258" t="n">
        <v>257</v>
      </c>
      <c r="B258" t="n">
        <v>1120000</v>
      </c>
      <c r="C258" t="n">
        <v>257</v>
      </c>
      <c r="D258" t="n">
        <v>1493345</v>
      </c>
    </row>
    <row r="259">
      <c r="A259" t="n">
        <v>258</v>
      </c>
      <c r="B259" t="n">
        <v>1120000</v>
      </c>
      <c r="C259" t="n">
        <v>258</v>
      </c>
      <c r="D259" t="n">
        <v>1498435</v>
      </c>
    </row>
    <row r="260">
      <c r="A260" t="n">
        <v>259</v>
      </c>
      <c r="B260" t="n">
        <v>1130000</v>
      </c>
      <c r="C260" t="n">
        <v>259</v>
      </c>
      <c r="D260" t="n">
        <v>1503535</v>
      </c>
    </row>
    <row r="261">
      <c r="A261" t="n">
        <v>260</v>
      </c>
      <c r="B261" t="n">
        <v>1140000</v>
      </c>
      <c r="C261" t="n">
        <v>260</v>
      </c>
      <c r="D261" t="n">
        <v>1508640</v>
      </c>
    </row>
    <row r="262">
      <c r="A262" t="n">
        <v>261</v>
      </c>
      <c r="B262" t="n">
        <v>1150000</v>
      </c>
      <c r="C262" t="n">
        <v>261</v>
      </c>
      <c r="D262" t="n">
        <v>1513765</v>
      </c>
    </row>
    <row r="263">
      <c r="A263" t="n">
        <v>262</v>
      </c>
      <c r="B263" t="n">
        <v>1160000</v>
      </c>
      <c r="C263" t="n">
        <v>262</v>
      </c>
      <c r="D263" t="n">
        <v>1518895</v>
      </c>
    </row>
    <row r="264">
      <c r="A264" t="n">
        <v>263</v>
      </c>
      <c r="B264" t="n">
        <v>1170000</v>
      </c>
      <c r="C264" t="n">
        <v>263</v>
      </c>
      <c r="D264" t="n">
        <v>1524035</v>
      </c>
    </row>
    <row r="265">
      <c r="A265" t="n">
        <v>264</v>
      </c>
      <c r="B265" t="n">
        <v>1180000</v>
      </c>
      <c r="C265" t="n">
        <v>264</v>
      </c>
      <c r="D265" t="n">
        <v>1529190</v>
      </c>
    </row>
    <row r="266">
      <c r="A266" t="n">
        <v>265</v>
      </c>
      <c r="B266" t="n">
        <v>1180000</v>
      </c>
      <c r="C266" t="n">
        <v>265</v>
      </c>
      <c r="D266" t="n">
        <v>1534225</v>
      </c>
    </row>
    <row r="267">
      <c r="A267" t="n">
        <v>266</v>
      </c>
      <c r="B267" t="n">
        <v>1190000</v>
      </c>
      <c r="C267" t="n">
        <v>266</v>
      </c>
      <c r="D267" t="n">
        <v>1539160</v>
      </c>
    </row>
    <row r="268">
      <c r="A268" t="n">
        <v>267</v>
      </c>
      <c r="B268" t="n">
        <v>1200000</v>
      </c>
      <c r="C268" t="n">
        <v>267</v>
      </c>
      <c r="D268" t="n">
        <v>1544110</v>
      </c>
    </row>
    <row r="269">
      <c r="A269" t="n">
        <v>268</v>
      </c>
      <c r="B269" t="n">
        <v>1210000</v>
      </c>
      <c r="C269" t="n">
        <v>268</v>
      </c>
      <c r="D269" t="n">
        <v>1549070</v>
      </c>
    </row>
    <row r="270">
      <c r="A270" t="n">
        <v>269</v>
      </c>
      <c r="B270" t="n">
        <v>1220000</v>
      </c>
      <c r="C270" t="n">
        <v>269</v>
      </c>
      <c r="D270" t="n">
        <v>1554040</v>
      </c>
    </row>
    <row r="271">
      <c r="A271" t="n">
        <v>270</v>
      </c>
      <c r="B271" t="n">
        <v>1230000</v>
      </c>
      <c r="C271" t="n">
        <v>270</v>
      </c>
      <c r="D271" t="n">
        <v>1559015</v>
      </c>
    </row>
    <row r="272">
      <c r="A272" t="n">
        <v>271</v>
      </c>
      <c r="B272" t="n">
        <v>1240000</v>
      </c>
      <c r="C272" t="n">
        <v>271</v>
      </c>
      <c r="D272" t="n">
        <v>1564005</v>
      </c>
    </row>
    <row r="273">
      <c r="A273" t="n">
        <v>272</v>
      </c>
      <c r="B273" t="n">
        <v>1240000</v>
      </c>
      <c r="C273" t="n">
        <v>272</v>
      </c>
      <c r="D273" t="n">
        <v>1569000</v>
      </c>
    </row>
    <row r="274">
      <c r="A274" t="n">
        <v>273</v>
      </c>
      <c r="B274" t="n">
        <v>1250000</v>
      </c>
      <c r="C274" t="n">
        <v>273</v>
      </c>
      <c r="D274" t="n">
        <v>1574010</v>
      </c>
    </row>
    <row r="275">
      <c r="A275" t="n">
        <v>274</v>
      </c>
      <c r="B275" t="n">
        <v>1260000</v>
      </c>
      <c r="C275" t="n">
        <v>274</v>
      </c>
      <c r="D275" t="n">
        <v>1579030</v>
      </c>
    </row>
    <row r="276">
      <c r="A276" t="n">
        <v>275</v>
      </c>
      <c r="B276" t="n">
        <v>1270000</v>
      </c>
      <c r="C276" t="n">
        <v>275</v>
      </c>
      <c r="D276" t="n">
        <v>1584055</v>
      </c>
    </row>
    <row r="277">
      <c r="A277" t="n">
        <v>276</v>
      </c>
      <c r="B277" t="n">
        <v>1280000</v>
      </c>
      <c r="C277" t="n">
        <v>276</v>
      </c>
      <c r="D277" t="n">
        <v>1589095</v>
      </c>
    </row>
    <row r="278">
      <c r="A278" t="n">
        <v>277</v>
      </c>
      <c r="B278" t="n">
        <v>1280000</v>
      </c>
      <c r="C278" t="n">
        <v>277</v>
      </c>
      <c r="D278" t="n">
        <v>1594140</v>
      </c>
    </row>
    <row r="279">
      <c r="A279" t="n">
        <v>278</v>
      </c>
      <c r="B279" t="n">
        <v>1290000</v>
      </c>
      <c r="C279" t="n">
        <v>278</v>
      </c>
      <c r="D279" t="n">
        <v>1599200</v>
      </c>
    </row>
    <row r="280">
      <c r="A280" t="n">
        <v>279</v>
      </c>
      <c r="B280" t="n">
        <v>1300000</v>
      </c>
      <c r="C280" t="n">
        <v>279</v>
      </c>
      <c r="D280" t="n">
        <v>1604265</v>
      </c>
    </row>
    <row r="281">
      <c r="A281" t="n">
        <v>280</v>
      </c>
      <c r="B281" t="n">
        <v>1310000</v>
      </c>
    </row>
    <row r="282">
      <c r="A282" t="n">
        <v>281</v>
      </c>
      <c r="B282" t="n">
        <v>1320000</v>
      </c>
    </row>
    <row r="283">
      <c r="A283" t="n">
        <v>282</v>
      </c>
      <c r="B283" t="n">
        <v>1330000</v>
      </c>
    </row>
    <row r="284">
      <c r="A284" t="n">
        <v>283</v>
      </c>
      <c r="B284" t="n">
        <v>1340000</v>
      </c>
    </row>
    <row r="285">
      <c r="A285" t="n">
        <v>284</v>
      </c>
      <c r="B285" t="n">
        <v>1340000</v>
      </c>
    </row>
    <row r="286">
      <c r="A286" t="n">
        <v>285</v>
      </c>
      <c r="B286" t="n">
        <v>1350000</v>
      </c>
    </row>
    <row r="287">
      <c r="A287" t="n">
        <v>286</v>
      </c>
      <c r="B287" t="n">
        <v>1360000</v>
      </c>
    </row>
    <row r="288">
      <c r="A288" t="n">
        <v>287</v>
      </c>
      <c r="B288" t="n">
        <v>1360000</v>
      </c>
    </row>
    <row r="289">
      <c r="A289" t="n">
        <v>288</v>
      </c>
      <c r="B289" t="n">
        <v>1370000</v>
      </c>
    </row>
    <row r="290">
      <c r="A290" t="n">
        <v>289</v>
      </c>
      <c r="B290" t="n">
        <v>1380000</v>
      </c>
    </row>
    <row r="291">
      <c r="A291" t="n">
        <v>290</v>
      </c>
      <c r="B291" t="n">
        <v>1390000</v>
      </c>
    </row>
    <row r="292">
      <c r="A292" t="n">
        <v>291</v>
      </c>
      <c r="B292" t="n">
        <v>1400000</v>
      </c>
    </row>
    <row r="293">
      <c r="A293" t="n">
        <v>292</v>
      </c>
      <c r="B293" t="n">
        <v>1410000</v>
      </c>
    </row>
    <row r="294">
      <c r="A294" t="n">
        <v>293</v>
      </c>
      <c r="B294" t="n">
        <v>1420000</v>
      </c>
    </row>
    <row r="295">
      <c r="A295" t="n">
        <v>294</v>
      </c>
      <c r="B295" t="n">
        <v>1420000</v>
      </c>
    </row>
    <row r="296">
      <c r="A296" t="n">
        <v>295</v>
      </c>
      <c r="B296" t="n">
        <v>1430000</v>
      </c>
    </row>
    <row r="297">
      <c r="A297" t="n">
        <v>296</v>
      </c>
      <c r="B297" t="n">
        <v>1440000</v>
      </c>
    </row>
    <row r="298">
      <c r="A298" t="n">
        <v>297</v>
      </c>
      <c r="B298" t="n">
        <v>1440000</v>
      </c>
    </row>
    <row r="299">
      <c r="A299" t="n">
        <v>298</v>
      </c>
      <c r="B299" t="n">
        <v>1450000</v>
      </c>
    </row>
    <row r="300">
      <c r="A300" t="n">
        <v>299</v>
      </c>
      <c r="B300" t="n">
        <v>1460000</v>
      </c>
    </row>
    <row r="301">
      <c r="A301" t="n">
        <v>300</v>
      </c>
      <c r="B301" t="n">
        <v>1470000</v>
      </c>
    </row>
    <row r="302">
      <c r="A302" t="n">
        <v>301</v>
      </c>
      <c r="B302" t="n">
        <v>1470000</v>
      </c>
    </row>
    <row r="303">
      <c r="A303" t="n">
        <v>302</v>
      </c>
      <c r="B303" t="n">
        <v>1480000</v>
      </c>
    </row>
    <row r="304">
      <c r="A304" t="n">
        <v>303</v>
      </c>
      <c r="B304" t="n">
        <v>1490000</v>
      </c>
    </row>
    <row r="305">
      <c r="A305" t="n">
        <v>304</v>
      </c>
      <c r="B305" t="n">
        <v>1500000</v>
      </c>
    </row>
    <row r="306">
      <c r="A306" t="n">
        <v>305</v>
      </c>
      <c r="B306" t="n">
        <v>1500000</v>
      </c>
    </row>
    <row r="307">
      <c r="A307" t="n">
        <v>306</v>
      </c>
      <c r="B307" t="n">
        <v>1510000</v>
      </c>
    </row>
    <row r="308">
      <c r="A308" t="n">
        <v>307</v>
      </c>
      <c r="B308" t="n">
        <v>1520000</v>
      </c>
    </row>
    <row r="309">
      <c r="A309" t="n">
        <v>308</v>
      </c>
      <c r="B309" t="n">
        <v>1530000</v>
      </c>
    </row>
    <row r="310">
      <c r="A310" t="n">
        <v>309</v>
      </c>
      <c r="B310" t="n">
        <v>1530000</v>
      </c>
    </row>
    <row r="311">
      <c r="A311" t="n">
        <v>310</v>
      </c>
      <c r="B311" t="n">
        <v>1540000</v>
      </c>
    </row>
    <row r="312">
      <c r="A312" t="n">
        <v>311</v>
      </c>
      <c r="B312" t="n">
        <v>1550000</v>
      </c>
    </row>
    <row r="313">
      <c r="A313" t="n">
        <v>312</v>
      </c>
      <c r="B313" t="n">
        <v>1560000</v>
      </c>
    </row>
    <row r="314">
      <c r="A314" t="n">
        <v>313</v>
      </c>
      <c r="B314" t="n">
        <v>1560000</v>
      </c>
    </row>
    <row r="315">
      <c r="A315" t="n">
        <v>314</v>
      </c>
      <c r="B315" t="n">
        <v>1570000</v>
      </c>
    </row>
    <row r="316">
      <c r="A316" t="n">
        <v>315</v>
      </c>
      <c r="B316" t="n">
        <v>1580000</v>
      </c>
    </row>
    <row r="317">
      <c r="A317" t="n">
        <v>316</v>
      </c>
      <c r="B317" t="n">
        <v>1590000</v>
      </c>
    </row>
    <row r="318">
      <c r="A318" t="n">
        <v>317</v>
      </c>
      <c r="B318" t="n">
        <v>1590000</v>
      </c>
    </row>
    <row r="319">
      <c r="A319" t="n">
        <v>318</v>
      </c>
      <c r="B319" t="n">
        <v>1600000</v>
      </c>
    </row>
    <row r="320">
      <c r="A320" t="n">
        <v>319</v>
      </c>
      <c r="B320" t="n">
        <v>1600000</v>
      </c>
    </row>
    <row r="321">
      <c r="A321" t="n">
        <v>320</v>
      </c>
      <c r="B321" t="n">
        <v>1610000</v>
      </c>
    </row>
    <row r="322">
      <c r="A322" t="n">
        <v>321</v>
      </c>
      <c r="B322" t="n">
        <v>1620000</v>
      </c>
    </row>
    <row r="323">
      <c r="A323" t="n">
        <v>322</v>
      </c>
      <c r="B323" t="n">
        <v>1630000</v>
      </c>
    </row>
    <row r="324">
      <c r="A324" t="n">
        <v>323</v>
      </c>
      <c r="B324" t="n">
        <v>1640000</v>
      </c>
    </row>
    <row r="325">
      <c r="A325" t="n">
        <v>324</v>
      </c>
      <c r="B325" t="n">
        <v>1650000</v>
      </c>
    </row>
    <row r="326">
      <c r="A326" t="n">
        <v>325</v>
      </c>
      <c r="B326" t="n">
        <v>1660000</v>
      </c>
    </row>
    <row r="327">
      <c r="A327" t="n">
        <v>326</v>
      </c>
      <c r="B327" t="n">
        <v>1670000</v>
      </c>
    </row>
    <row r="328">
      <c r="A328" t="n">
        <v>327</v>
      </c>
      <c r="B328" t="n">
        <v>1680000</v>
      </c>
    </row>
    <row r="329">
      <c r="A329" t="n">
        <v>328</v>
      </c>
      <c r="B329" t="n">
        <v>1690000</v>
      </c>
    </row>
    <row r="330">
      <c r="A330" t="n">
        <v>329</v>
      </c>
      <c r="B330" t="n">
        <v>1700000</v>
      </c>
    </row>
    <row r="331">
      <c r="A331" t="n">
        <v>330</v>
      </c>
      <c r="B331" t="n">
        <v>1710000</v>
      </c>
    </row>
    <row r="332">
      <c r="A332" t="n">
        <v>331</v>
      </c>
      <c r="B332" t="n">
        <v>1710000</v>
      </c>
    </row>
    <row r="333">
      <c r="A333" t="n">
        <v>332</v>
      </c>
      <c r="B333" t="n">
        <v>1720000</v>
      </c>
    </row>
    <row r="334">
      <c r="A334" t="n">
        <v>333</v>
      </c>
      <c r="B334" t="n">
        <v>1730000</v>
      </c>
    </row>
    <row r="335">
      <c r="A335" t="n">
        <v>334</v>
      </c>
      <c r="B335" t="n">
        <v>1740000</v>
      </c>
    </row>
    <row r="336">
      <c r="A336" t="n">
        <v>335</v>
      </c>
      <c r="B336" t="n">
        <v>1750000</v>
      </c>
    </row>
    <row r="337">
      <c r="A337" t="n">
        <v>336</v>
      </c>
      <c r="B337" t="n">
        <v>1760000</v>
      </c>
    </row>
    <row r="338">
      <c r="A338" t="n">
        <v>337</v>
      </c>
      <c r="B338" t="n">
        <v>1770000</v>
      </c>
    </row>
    <row r="339">
      <c r="A339" t="n">
        <v>338</v>
      </c>
      <c r="B339" t="n">
        <v>1780000</v>
      </c>
    </row>
    <row r="340">
      <c r="A340" t="n">
        <v>339</v>
      </c>
      <c r="B340" t="n">
        <v>1790000</v>
      </c>
    </row>
    <row r="341">
      <c r="A341" t="n">
        <v>340</v>
      </c>
      <c r="B341" t="n">
        <v>1800000</v>
      </c>
    </row>
    <row r="342">
      <c r="A342" t="n">
        <v>341</v>
      </c>
      <c r="B342" t="n">
        <v>1810000</v>
      </c>
    </row>
    <row r="343">
      <c r="A343" t="n">
        <v>342</v>
      </c>
      <c r="B343" t="n">
        <v>1820000</v>
      </c>
    </row>
    <row r="344">
      <c r="A344" t="n">
        <v>343</v>
      </c>
      <c r="B344" t="n">
        <v>1830000</v>
      </c>
    </row>
    <row r="345">
      <c r="A345" t="n">
        <v>344</v>
      </c>
      <c r="B345" t="n">
        <v>1840000</v>
      </c>
    </row>
    <row r="346">
      <c r="A346" t="n">
        <v>345</v>
      </c>
      <c r="B346" t="n">
        <v>1850000</v>
      </c>
    </row>
    <row r="347">
      <c r="A347" t="n">
        <v>346</v>
      </c>
      <c r="B347" t="n">
        <v>1860000</v>
      </c>
    </row>
    <row r="348">
      <c r="A348" t="n">
        <v>347</v>
      </c>
      <c r="B348" t="n">
        <v>1870000</v>
      </c>
    </row>
    <row r="349">
      <c r="A349" t="n">
        <v>348</v>
      </c>
      <c r="B349" t="n">
        <v>1880000</v>
      </c>
    </row>
    <row r="350">
      <c r="A350" t="n">
        <v>349</v>
      </c>
      <c r="B350" t="n">
        <v>1890000</v>
      </c>
    </row>
    <row r="351">
      <c r="A351" t="n">
        <v>350</v>
      </c>
      <c r="B351" t="n">
        <v>1900000</v>
      </c>
    </row>
    <row r="352">
      <c r="A352" t="n">
        <v>351</v>
      </c>
      <c r="B352" t="n">
        <v>1910000</v>
      </c>
    </row>
    <row r="353">
      <c r="A353" t="n">
        <v>352</v>
      </c>
      <c r="B353" t="n">
        <v>1920000</v>
      </c>
    </row>
    <row r="354">
      <c r="A354" t="n">
        <v>353</v>
      </c>
      <c r="B354" t="n">
        <v>1930000</v>
      </c>
    </row>
    <row r="355">
      <c r="A355" t="n">
        <v>354</v>
      </c>
      <c r="B355" t="n">
        <v>1940000</v>
      </c>
    </row>
    <row r="356">
      <c r="A356" t="n">
        <v>355</v>
      </c>
      <c r="B356" t="n">
        <v>1950000</v>
      </c>
    </row>
    <row r="357">
      <c r="A357" t="n">
        <v>356</v>
      </c>
      <c r="B357" t="n">
        <v>1960000</v>
      </c>
    </row>
    <row r="358">
      <c r="A358" t="n">
        <v>357</v>
      </c>
      <c r="B358" t="n">
        <v>1970000</v>
      </c>
    </row>
    <row r="359">
      <c r="A359" t="n">
        <v>358</v>
      </c>
      <c r="B359" t="n">
        <v>1980000</v>
      </c>
    </row>
    <row r="360">
      <c r="A360" t="n">
        <v>359</v>
      </c>
      <c r="B360" t="n">
        <v>1990000</v>
      </c>
    </row>
    <row r="361">
      <c r="A361" t="n">
        <v>360</v>
      </c>
      <c r="B361" t="n">
        <v>2000000</v>
      </c>
    </row>
    <row r="362">
      <c r="A362" t="n">
        <v>361</v>
      </c>
      <c r="B362" t="n">
        <v>2010000</v>
      </c>
    </row>
    <row r="363">
      <c r="A363" t="n">
        <v>362</v>
      </c>
      <c r="B363" t="n">
        <v>2020000</v>
      </c>
    </row>
    <row r="364">
      <c r="A364" t="n">
        <v>363</v>
      </c>
      <c r="B364" t="n">
        <v>2030000</v>
      </c>
    </row>
    <row r="365">
      <c r="A365" t="n">
        <v>364</v>
      </c>
      <c r="B365" t="n">
        <v>2040000</v>
      </c>
    </row>
    <row r="366">
      <c r="A366" t="n">
        <v>365</v>
      </c>
      <c r="B366" t="n">
        <v>2050000</v>
      </c>
    </row>
    <row r="367">
      <c r="A367" t="n">
        <v>366</v>
      </c>
      <c r="B367" t="n">
        <v>2060000</v>
      </c>
    </row>
    <row r="368">
      <c r="A368" t="n">
        <v>367</v>
      </c>
      <c r="B368" t="n">
        <v>2070000</v>
      </c>
    </row>
    <row r="369">
      <c r="A369" t="n">
        <v>368</v>
      </c>
      <c r="B369" t="n">
        <v>2080000</v>
      </c>
    </row>
    <row r="370">
      <c r="A370" t="n">
        <v>369</v>
      </c>
      <c r="B370" t="n">
        <v>2100000</v>
      </c>
    </row>
    <row r="371">
      <c r="A371" t="n">
        <v>370</v>
      </c>
      <c r="B371" t="n">
        <v>2110000</v>
      </c>
    </row>
    <row r="372">
      <c r="A372" t="n">
        <v>371</v>
      </c>
      <c r="B372" t="n">
        <v>2120000</v>
      </c>
    </row>
    <row r="373">
      <c r="A373" t="n">
        <v>372</v>
      </c>
      <c r="B373" t="n">
        <v>2130000</v>
      </c>
    </row>
    <row r="374">
      <c r="A374" t="n">
        <v>373</v>
      </c>
      <c r="B374" t="n">
        <v>2140000</v>
      </c>
    </row>
    <row r="375">
      <c r="A375" t="n">
        <v>374</v>
      </c>
      <c r="B375" t="n">
        <v>2150000</v>
      </c>
    </row>
    <row r="376">
      <c r="A376" t="n">
        <v>375</v>
      </c>
      <c r="B376" t="n">
        <v>2160000</v>
      </c>
    </row>
    <row r="377">
      <c r="A377" t="n">
        <v>376</v>
      </c>
      <c r="B377" t="n">
        <v>2170000</v>
      </c>
    </row>
    <row r="378">
      <c r="A378" t="n">
        <v>377</v>
      </c>
      <c r="B378" t="n">
        <v>2180000</v>
      </c>
    </row>
    <row r="379">
      <c r="A379" t="n">
        <v>378</v>
      </c>
      <c r="B379" t="n">
        <v>2190000</v>
      </c>
    </row>
    <row r="380">
      <c r="A380" t="n">
        <v>379</v>
      </c>
      <c r="B380" t="n">
        <v>2200000</v>
      </c>
    </row>
    <row r="381">
      <c r="A381" t="n">
        <v>380</v>
      </c>
      <c r="B381" t="n">
        <v>2210000</v>
      </c>
    </row>
    <row r="382">
      <c r="A382" t="n">
        <v>381</v>
      </c>
      <c r="B382" t="n">
        <v>2230000</v>
      </c>
    </row>
    <row r="383">
      <c r="A383" t="n">
        <v>382</v>
      </c>
      <c r="B383" t="n">
        <v>2240000</v>
      </c>
    </row>
    <row r="384">
      <c r="A384" t="n">
        <v>383</v>
      </c>
      <c r="B384" t="n">
        <v>2250000</v>
      </c>
    </row>
    <row r="385">
      <c r="A385" t="n">
        <v>384</v>
      </c>
      <c r="B385" t="n">
        <v>2260000</v>
      </c>
    </row>
    <row r="386">
      <c r="A386" t="n">
        <v>385</v>
      </c>
      <c r="B386" t="n">
        <v>2270000</v>
      </c>
    </row>
    <row r="387">
      <c r="A387" t="n">
        <v>386</v>
      </c>
      <c r="B387" t="n">
        <v>2280000</v>
      </c>
    </row>
    <row r="388">
      <c r="A388" t="n">
        <v>387</v>
      </c>
      <c r="B388" t="n">
        <v>2290000</v>
      </c>
    </row>
    <row r="389">
      <c r="A389" t="n">
        <v>388</v>
      </c>
      <c r="B389" t="n">
        <v>2300000</v>
      </c>
    </row>
    <row r="390">
      <c r="A390" t="n">
        <v>389</v>
      </c>
      <c r="B390" t="n">
        <v>2310000</v>
      </c>
    </row>
    <row r="391">
      <c r="A391" t="n">
        <v>390</v>
      </c>
      <c r="B391" t="n">
        <v>2330000</v>
      </c>
    </row>
    <row r="392">
      <c r="A392" t="n">
        <v>391</v>
      </c>
      <c r="B392" t="n">
        <v>2340000</v>
      </c>
    </row>
    <row r="393">
      <c r="A393" t="n">
        <v>392</v>
      </c>
      <c r="B393" t="n">
        <v>2350000</v>
      </c>
    </row>
    <row r="394">
      <c r="A394" t="n">
        <v>393</v>
      </c>
      <c r="B394" t="n">
        <v>2360000</v>
      </c>
    </row>
    <row r="395">
      <c r="A395" t="n">
        <v>394</v>
      </c>
      <c r="B395" t="n">
        <v>2370000</v>
      </c>
    </row>
    <row r="396">
      <c r="A396" t="n">
        <v>395</v>
      </c>
      <c r="B396" t="n">
        <v>2380000</v>
      </c>
    </row>
    <row r="397">
      <c r="A397" t="n">
        <v>396</v>
      </c>
      <c r="B397" t="n">
        <v>2390000</v>
      </c>
    </row>
    <row r="398">
      <c r="A398" t="n">
        <v>397</v>
      </c>
      <c r="B398" t="n">
        <v>2410000</v>
      </c>
    </row>
    <row r="399">
      <c r="A399" t="n">
        <v>398</v>
      </c>
      <c r="B399" t="n">
        <v>2420000</v>
      </c>
    </row>
    <row r="400">
      <c r="A400" t="n">
        <v>399</v>
      </c>
      <c r="B400" t="n">
        <v>2430000</v>
      </c>
    </row>
    <row r="401">
      <c r="A401" t="n">
        <v>400</v>
      </c>
      <c r="B401" t="n">
        <v>2440000</v>
      </c>
    </row>
    <row r="402">
      <c r="A402" t="n">
        <v>401</v>
      </c>
      <c r="B402" t="n">
        <v>2450000</v>
      </c>
    </row>
    <row r="403">
      <c r="A403" t="n">
        <v>402</v>
      </c>
      <c r="B403" t="n">
        <v>2460000</v>
      </c>
    </row>
    <row r="404">
      <c r="A404" t="n">
        <v>403</v>
      </c>
      <c r="B404" t="n">
        <v>2480000</v>
      </c>
    </row>
    <row r="405">
      <c r="A405" t="n">
        <v>404</v>
      </c>
      <c r="B405" t="n">
        <v>2490000</v>
      </c>
    </row>
    <row r="406">
      <c r="A406" t="n">
        <v>405</v>
      </c>
      <c r="B406" t="n">
        <v>2500000</v>
      </c>
    </row>
    <row r="407">
      <c r="A407" t="n">
        <v>406</v>
      </c>
      <c r="B407" t="n">
        <v>2510000</v>
      </c>
    </row>
    <row r="408">
      <c r="A408" t="n">
        <v>407</v>
      </c>
      <c r="B408" t="n">
        <v>2520000</v>
      </c>
    </row>
    <row r="409">
      <c r="A409" t="n">
        <v>408</v>
      </c>
      <c r="B409" t="n">
        <v>2540000</v>
      </c>
    </row>
    <row r="410">
      <c r="A410" t="n">
        <v>409</v>
      </c>
      <c r="B410" t="n">
        <v>2550000</v>
      </c>
    </row>
    <row r="411">
      <c r="A411" t="n">
        <v>410</v>
      </c>
      <c r="B411" t="n">
        <v>2560000</v>
      </c>
    </row>
    <row r="412">
      <c r="A412" t="n">
        <v>411</v>
      </c>
      <c r="B412" t="n">
        <v>2570000</v>
      </c>
    </row>
    <row r="413">
      <c r="A413" t="n">
        <v>412</v>
      </c>
      <c r="B413" t="n">
        <v>2580000</v>
      </c>
    </row>
    <row r="414">
      <c r="A414" t="n">
        <v>413</v>
      </c>
      <c r="B414" t="n">
        <v>2600000</v>
      </c>
    </row>
    <row r="415">
      <c r="A415" t="n">
        <v>414</v>
      </c>
      <c r="B415" t="n">
        <v>2610000</v>
      </c>
    </row>
    <row r="416">
      <c r="A416" t="n">
        <v>415</v>
      </c>
      <c r="B416" t="n">
        <v>2620000</v>
      </c>
    </row>
    <row r="417">
      <c r="A417" t="n">
        <v>416</v>
      </c>
      <c r="B417" t="n">
        <v>2630000</v>
      </c>
    </row>
    <row r="418">
      <c r="A418" t="n">
        <v>417</v>
      </c>
      <c r="B418" t="n">
        <v>2640000</v>
      </c>
    </row>
    <row r="419">
      <c r="A419" t="n">
        <v>418</v>
      </c>
      <c r="B419" t="n">
        <v>2660000</v>
      </c>
    </row>
    <row r="420">
      <c r="A420" t="n">
        <v>419</v>
      </c>
      <c r="B420" t="n">
        <v>2670000</v>
      </c>
    </row>
    <row r="421">
      <c r="A421" t="n">
        <v>420</v>
      </c>
      <c r="B421" t="n">
        <v>2680000</v>
      </c>
    </row>
    <row r="422">
      <c r="A422" t="n">
        <v>421</v>
      </c>
      <c r="B422" t="n">
        <v>2690000</v>
      </c>
    </row>
    <row r="423">
      <c r="A423" t="n">
        <v>422</v>
      </c>
      <c r="B423" t="n">
        <v>2710000</v>
      </c>
    </row>
    <row r="424">
      <c r="A424" t="n">
        <v>423</v>
      </c>
      <c r="B424" t="n">
        <v>2720000</v>
      </c>
    </row>
    <row r="425">
      <c r="A425" t="n">
        <v>424</v>
      </c>
      <c r="B425" t="n">
        <v>2730000</v>
      </c>
    </row>
    <row r="426">
      <c r="A426" t="n">
        <v>425</v>
      </c>
      <c r="B426" t="n">
        <v>2740000</v>
      </c>
    </row>
    <row r="427">
      <c r="A427" t="n">
        <v>426</v>
      </c>
      <c r="B427" t="n">
        <v>2760000</v>
      </c>
    </row>
    <row r="428">
      <c r="A428" t="n">
        <v>427</v>
      </c>
      <c r="B428" t="n">
        <v>2770000</v>
      </c>
    </row>
    <row r="429">
      <c r="A429" t="n">
        <v>428</v>
      </c>
      <c r="B429" t="n">
        <v>2780000</v>
      </c>
    </row>
    <row r="430">
      <c r="A430" t="n">
        <v>429</v>
      </c>
      <c r="B430" t="n">
        <v>2790000</v>
      </c>
    </row>
    <row r="431">
      <c r="A431" t="n">
        <v>430</v>
      </c>
      <c r="B431" t="n">
        <v>2810000</v>
      </c>
    </row>
    <row r="432">
      <c r="A432" t="n">
        <v>431</v>
      </c>
      <c r="B432" t="n">
        <v>2820000</v>
      </c>
    </row>
    <row r="433">
      <c r="A433" t="n">
        <v>432</v>
      </c>
      <c r="B433" t="n">
        <v>2830000</v>
      </c>
    </row>
    <row r="434">
      <c r="A434" t="n">
        <v>433</v>
      </c>
      <c r="B434" t="n">
        <v>2840000</v>
      </c>
    </row>
    <row r="435">
      <c r="A435" t="n">
        <v>434</v>
      </c>
      <c r="B435" t="n">
        <v>2860000</v>
      </c>
    </row>
    <row r="436">
      <c r="A436" t="n">
        <v>435</v>
      </c>
      <c r="B436" t="n">
        <v>2870000</v>
      </c>
    </row>
    <row r="437">
      <c r="A437" t="n">
        <v>436</v>
      </c>
      <c r="B437" t="n">
        <v>2880000</v>
      </c>
    </row>
    <row r="438">
      <c r="A438" t="n">
        <v>437</v>
      </c>
      <c r="B438" t="n">
        <v>2900000</v>
      </c>
    </row>
    <row r="439">
      <c r="A439" t="n">
        <v>438</v>
      </c>
      <c r="B439" t="n">
        <v>2910000</v>
      </c>
    </row>
    <row r="440">
      <c r="A440" t="n">
        <v>439</v>
      </c>
      <c r="B440" t="n">
        <v>2920000</v>
      </c>
    </row>
    <row r="441">
      <c r="A441" t="n">
        <v>440</v>
      </c>
      <c r="B441" t="n">
        <v>2940000</v>
      </c>
    </row>
    <row r="442">
      <c r="A442" t="n">
        <v>441</v>
      </c>
      <c r="B442" t="n">
        <v>2950000</v>
      </c>
    </row>
    <row r="443">
      <c r="A443" t="n">
        <v>442</v>
      </c>
      <c r="B443" t="n">
        <v>2960000</v>
      </c>
    </row>
    <row r="444">
      <c r="A444" t="n">
        <v>443</v>
      </c>
      <c r="B444" t="n">
        <v>2970000</v>
      </c>
    </row>
    <row r="445">
      <c r="A445" t="n">
        <v>444</v>
      </c>
      <c r="B445" t="n">
        <v>2990000</v>
      </c>
    </row>
    <row r="446">
      <c r="A446" t="n">
        <v>445</v>
      </c>
      <c r="B446" t="n">
        <v>3000000</v>
      </c>
    </row>
    <row r="447">
      <c r="A447" t="n">
        <v>446</v>
      </c>
      <c r="B447" t="n">
        <v>3010000</v>
      </c>
    </row>
    <row r="448">
      <c r="A448" t="n">
        <v>447</v>
      </c>
      <c r="B448" t="n">
        <v>3030000</v>
      </c>
    </row>
    <row r="449">
      <c r="A449" t="n">
        <v>448</v>
      </c>
      <c r="B449" t="n">
        <v>3040000</v>
      </c>
    </row>
    <row r="450">
      <c r="A450" t="n">
        <v>449</v>
      </c>
      <c r="B450" t="n">
        <v>3050000</v>
      </c>
    </row>
    <row r="451">
      <c r="A451" t="n">
        <v>450</v>
      </c>
      <c r="B451" t="n">
        <v>3070000</v>
      </c>
    </row>
    <row r="452">
      <c r="A452" t="n">
        <v>451</v>
      </c>
      <c r="B452" t="n">
        <v>3080000</v>
      </c>
    </row>
    <row r="453">
      <c r="A453" t="n">
        <v>452</v>
      </c>
      <c r="B453" t="n">
        <v>3090000</v>
      </c>
    </row>
    <row r="454">
      <c r="A454" t="n">
        <v>453</v>
      </c>
      <c r="B454" t="n">
        <v>3110000</v>
      </c>
    </row>
    <row r="455">
      <c r="A455" t="n">
        <v>454</v>
      </c>
      <c r="B455" t="n">
        <v>3120000</v>
      </c>
    </row>
    <row r="456">
      <c r="A456" t="n">
        <v>455</v>
      </c>
      <c r="B456" t="n">
        <v>3140000</v>
      </c>
    </row>
    <row r="457">
      <c r="A457" t="n">
        <v>456</v>
      </c>
      <c r="B457" t="n">
        <v>3150000</v>
      </c>
    </row>
    <row r="458">
      <c r="A458" t="n">
        <v>457</v>
      </c>
      <c r="B458" t="n">
        <v>3160000</v>
      </c>
    </row>
    <row r="459">
      <c r="A459" t="n">
        <v>458</v>
      </c>
      <c r="B459" t="n">
        <v>3180000</v>
      </c>
    </row>
    <row r="460">
      <c r="A460" t="n">
        <v>459</v>
      </c>
      <c r="B460" t="n">
        <v>3190000</v>
      </c>
    </row>
    <row r="461">
      <c r="A461" t="n">
        <v>460</v>
      </c>
      <c r="B461" t="n">
        <v>3200000</v>
      </c>
    </row>
    <row r="462">
      <c r="A462" t="n">
        <v>461</v>
      </c>
      <c r="B462" t="n">
        <v>3220000</v>
      </c>
    </row>
    <row r="463">
      <c r="A463" t="n">
        <v>462</v>
      </c>
      <c r="B463" t="n">
        <v>3230000</v>
      </c>
    </row>
    <row r="464">
      <c r="A464" t="n">
        <v>463</v>
      </c>
      <c r="B464" t="n">
        <v>3250000</v>
      </c>
    </row>
    <row r="465">
      <c r="A465" t="n">
        <v>464</v>
      </c>
      <c r="B465" t="n">
        <v>3260000</v>
      </c>
    </row>
    <row r="466">
      <c r="A466" t="n">
        <v>465</v>
      </c>
      <c r="B466" t="n">
        <v>3270000</v>
      </c>
    </row>
    <row r="467">
      <c r="A467" t="n">
        <v>466</v>
      </c>
      <c r="B467" t="n">
        <v>3290000</v>
      </c>
    </row>
    <row r="468">
      <c r="A468" t="n">
        <v>467</v>
      </c>
      <c r="B468" t="n">
        <v>3300000</v>
      </c>
    </row>
    <row r="469">
      <c r="A469" t="n">
        <v>468</v>
      </c>
      <c r="B469" t="n">
        <v>3320000</v>
      </c>
    </row>
    <row r="470">
      <c r="A470" t="n">
        <v>469</v>
      </c>
      <c r="B470" t="n">
        <v>3330000</v>
      </c>
    </row>
    <row r="471">
      <c r="A471" t="n">
        <v>470</v>
      </c>
      <c r="B471" t="n">
        <v>3340000</v>
      </c>
    </row>
    <row r="472">
      <c r="A472" t="n">
        <v>471</v>
      </c>
      <c r="B472" t="n">
        <v>3360000</v>
      </c>
    </row>
    <row r="473">
      <c r="A473" t="n">
        <v>472</v>
      </c>
      <c r="B473" t="n">
        <v>3370000</v>
      </c>
    </row>
    <row r="474">
      <c r="A474" t="n">
        <v>473</v>
      </c>
      <c r="B474" t="n">
        <v>3390000</v>
      </c>
    </row>
    <row r="475">
      <c r="A475" t="n">
        <v>474</v>
      </c>
      <c r="B475" t="n">
        <v>3400000</v>
      </c>
    </row>
    <row r="476">
      <c r="A476" t="n">
        <v>475</v>
      </c>
      <c r="B476" t="n">
        <v>3410000</v>
      </c>
    </row>
    <row r="477">
      <c r="A477" t="n">
        <v>476</v>
      </c>
      <c r="B477" t="n">
        <v>3430000</v>
      </c>
    </row>
    <row r="478">
      <c r="A478" t="n">
        <v>477</v>
      </c>
      <c r="B478" t="n">
        <v>3440000</v>
      </c>
    </row>
    <row r="479">
      <c r="A479" t="n">
        <v>478</v>
      </c>
      <c r="B479" t="n">
        <v>3460000</v>
      </c>
    </row>
    <row r="480">
      <c r="A480" t="n">
        <v>479</v>
      </c>
      <c r="B480" t="n">
        <v>3470000</v>
      </c>
    </row>
    <row r="481">
      <c r="A481" t="n">
        <v>480</v>
      </c>
      <c r="B481" t="n">
        <v>3490000</v>
      </c>
    </row>
    <row r="482">
      <c r="A482" t="n">
        <v>481</v>
      </c>
      <c r="B482" t="n">
        <v>3500000</v>
      </c>
    </row>
    <row r="483">
      <c r="A483" t="n">
        <v>482</v>
      </c>
      <c r="B483" t="n">
        <v>3520000</v>
      </c>
    </row>
    <row r="484">
      <c r="A484" t="n">
        <v>483</v>
      </c>
      <c r="B484" t="n">
        <v>3530000</v>
      </c>
    </row>
    <row r="485">
      <c r="A485" t="n">
        <v>484</v>
      </c>
      <c r="B485" t="n">
        <v>3550000</v>
      </c>
    </row>
    <row r="486">
      <c r="A486" t="n">
        <v>485</v>
      </c>
      <c r="B486" t="n">
        <v>3560000</v>
      </c>
    </row>
    <row r="487">
      <c r="A487" t="n">
        <v>486</v>
      </c>
      <c r="B487" t="n">
        <v>3580000</v>
      </c>
    </row>
    <row r="488">
      <c r="A488" t="n">
        <v>487</v>
      </c>
      <c r="B488" t="n">
        <v>3590000</v>
      </c>
    </row>
    <row r="489">
      <c r="A489" t="n">
        <v>488</v>
      </c>
      <c r="B489" t="n">
        <v>3600000</v>
      </c>
    </row>
    <row r="490">
      <c r="A490" t="n">
        <v>489</v>
      </c>
      <c r="B490" t="n">
        <v>3620000</v>
      </c>
    </row>
    <row r="491">
      <c r="A491" t="n">
        <v>490</v>
      </c>
      <c r="B491" t="n">
        <v>3630000</v>
      </c>
    </row>
    <row r="492">
      <c r="A492" t="n">
        <v>491</v>
      </c>
      <c r="B492" t="n">
        <v>3650000</v>
      </c>
    </row>
    <row r="493">
      <c r="A493" t="n">
        <v>492</v>
      </c>
      <c r="B493" t="n">
        <v>3660000</v>
      </c>
    </row>
    <row r="494">
      <c r="A494" t="n">
        <v>493</v>
      </c>
      <c r="B494" t="n">
        <v>3680000</v>
      </c>
    </row>
    <row r="495">
      <c r="A495" t="n">
        <v>494</v>
      </c>
      <c r="B495" t="n">
        <v>3690000</v>
      </c>
    </row>
    <row r="496">
      <c r="A496" t="n">
        <v>495</v>
      </c>
      <c r="B496" t="n">
        <v>3710000</v>
      </c>
    </row>
    <row r="497">
      <c r="A497" t="n">
        <v>496</v>
      </c>
      <c r="B497" t="n">
        <v>3720000</v>
      </c>
    </row>
    <row r="498">
      <c r="A498" t="n">
        <v>497</v>
      </c>
      <c r="B498" t="n">
        <v>3740000</v>
      </c>
    </row>
    <row r="499">
      <c r="A499" t="n">
        <v>498</v>
      </c>
      <c r="B499" t="n">
        <v>3760000</v>
      </c>
    </row>
    <row r="500">
      <c r="A500" t="n">
        <v>499</v>
      </c>
      <c r="B500" t="n">
        <v>3770000</v>
      </c>
    </row>
    <row r="501">
      <c r="A501" t="n">
        <v>500</v>
      </c>
      <c r="B501" t="n">
        <v>3790000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001"/>
  <sheetViews>
    <sheetView workbookViewId="0">
      <selection activeCell="A1" sqref="A1"/>
    </sheetView>
  </sheetViews>
  <sheetFormatPr baseColWidth="8" defaultColWidth="9" defaultRowHeight="13.5"/>
  <cols>
    <col width="16" customWidth="1" min="1" max="6"/>
  </cols>
  <sheetData>
    <row r="1" ht="32" customHeight="1">
      <c r="A1" s="3" t="inlineStr">
        <is>
          <t>楼层</t>
        </is>
      </c>
      <c r="B1" s="3" t="inlineStr">
        <is>
          <t>角色ID</t>
        </is>
      </c>
      <c r="C1" s="3" t="inlineStr">
        <is>
          <t>生命</t>
        </is>
      </c>
      <c r="D1" s="3" t="inlineStr">
        <is>
          <t>攻击</t>
        </is>
      </c>
      <c r="E1" s="3" t="inlineStr">
        <is>
          <t>防御</t>
        </is>
      </c>
      <c r="F1" s="3" t="inlineStr">
        <is>
          <t>有效生命</t>
        </is>
      </c>
    </row>
    <row r="2">
      <c r="A2" t="n">
        <v>1</v>
      </c>
      <c r="B2" t="n">
        <v>1</v>
      </c>
      <c r="C2" t="n">
        <v>12925</v>
      </c>
      <c r="D2" t="n">
        <v>743</v>
      </c>
      <c r="E2" t="n">
        <v>1700</v>
      </c>
      <c r="F2">
        <f>C2/(1-MIN(0.75,E2/(24000+E2)))</f>
        <v/>
      </c>
    </row>
    <row r="3">
      <c r="A3" t="n">
        <v>1</v>
      </c>
      <c r="B3" t="n">
        <v>2</v>
      </c>
      <c r="C3" t="n">
        <v>8617</v>
      </c>
      <c r="D3" t="n">
        <v>892</v>
      </c>
      <c r="E3" t="n">
        <v>1133</v>
      </c>
      <c r="F3">
        <f>C3/(1-MIN(0.75,E3/(24000+E3)))</f>
        <v/>
      </c>
    </row>
    <row r="4">
      <c r="A4" t="n">
        <v>1</v>
      </c>
      <c r="B4" t="n">
        <v>3</v>
      </c>
      <c r="C4" t="n">
        <v>8617</v>
      </c>
      <c r="D4" t="n">
        <v>892</v>
      </c>
      <c r="E4" t="n">
        <v>1133</v>
      </c>
      <c r="F4">
        <f>C4/(1-MIN(0.75,E4/(24000+E4)))</f>
        <v/>
      </c>
    </row>
    <row r="5">
      <c r="A5" t="n">
        <v>1</v>
      </c>
      <c r="B5" t="n">
        <v>4</v>
      </c>
      <c r="C5" t="n">
        <v>8617</v>
      </c>
      <c r="D5" t="n">
        <v>892</v>
      </c>
      <c r="E5" t="n">
        <v>1133</v>
      </c>
      <c r="F5">
        <f>C5/(1-MIN(0.75,E5/(24000+E5)))</f>
        <v/>
      </c>
    </row>
    <row r="6">
      <c r="A6" t="n">
        <v>1</v>
      </c>
      <c r="B6" t="n">
        <v>5</v>
      </c>
      <c r="C6" t="n">
        <v>10771</v>
      </c>
      <c r="D6" t="n">
        <v>743</v>
      </c>
      <c r="E6" t="n">
        <v>1416</v>
      </c>
      <c r="F6">
        <f>C6/(1-MIN(0.75,E6/(24000+E6)))</f>
        <v/>
      </c>
    </row>
    <row r="7">
      <c r="A7" t="n">
        <v>2</v>
      </c>
      <c r="B7" t="n">
        <v>6</v>
      </c>
      <c r="C7" t="n">
        <v>16789</v>
      </c>
      <c r="D7" t="n">
        <v>907</v>
      </c>
      <c r="E7" t="n">
        <v>2049</v>
      </c>
      <c r="F7">
        <f>C7/(1-MIN(0.75,E7/(24000+E7)))</f>
        <v/>
      </c>
    </row>
    <row r="8">
      <c r="A8" t="n">
        <v>2</v>
      </c>
      <c r="B8" t="n">
        <v>7</v>
      </c>
      <c r="C8" t="n">
        <v>11193</v>
      </c>
      <c r="D8" t="n">
        <v>1088</v>
      </c>
      <c r="E8" t="n">
        <v>1366</v>
      </c>
      <c r="F8">
        <f>C8/(1-MIN(0.75,E8/(24000+E8)))</f>
        <v/>
      </c>
    </row>
    <row r="9">
      <c r="A9" t="n">
        <v>2</v>
      </c>
      <c r="B9" t="n">
        <v>8</v>
      </c>
      <c r="C9" t="n">
        <v>11193</v>
      </c>
      <c r="D9" t="n">
        <v>1088</v>
      </c>
      <c r="E9" t="n">
        <v>1366</v>
      </c>
      <c r="F9">
        <f>C9/(1-MIN(0.75,E9/(24000+E9)))</f>
        <v/>
      </c>
    </row>
    <row r="10">
      <c r="A10" t="n">
        <v>2</v>
      </c>
      <c r="B10" t="n">
        <v>9</v>
      </c>
      <c r="C10" t="n">
        <v>11193</v>
      </c>
      <c r="D10" t="n">
        <v>1088</v>
      </c>
      <c r="E10" t="n">
        <v>1366</v>
      </c>
      <c r="F10">
        <f>C10/(1-MIN(0.75,E10/(24000+E10)))</f>
        <v/>
      </c>
    </row>
    <row r="11">
      <c r="A11" t="n">
        <v>2</v>
      </c>
      <c r="B11" t="n">
        <v>10</v>
      </c>
      <c r="C11" t="n">
        <v>11193</v>
      </c>
      <c r="D11" t="n">
        <v>1088</v>
      </c>
      <c r="E11" t="n">
        <v>1366</v>
      </c>
      <c r="F11">
        <f>C11/(1-MIN(0.75,E11/(24000+E11)))</f>
        <v/>
      </c>
    </row>
    <row r="12">
      <c r="A12" t="n">
        <v>3</v>
      </c>
      <c r="B12" t="n">
        <v>11</v>
      </c>
      <c r="C12" t="n">
        <v>21843</v>
      </c>
      <c r="D12" t="n">
        <v>1105</v>
      </c>
      <c r="E12" t="n">
        <v>2519</v>
      </c>
      <c r="F12">
        <f>C12/(1-MIN(0.75,E12/(24000+E12)))</f>
        <v/>
      </c>
    </row>
    <row r="13">
      <c r="A13" t="n">
        <v>3</v>
      </c>
      <c r="B13" t="n">
        <v>12</v>
      </c>
      <c r="C13" t="n">
        <v>21843</v>
      </c>
      <c r="D13" t="n">
        <v>1105</v>
      </c>
      <c r="E13" t="n">
        <v>2519</v>
      </c>
      <c r="F13">
        <f>C13/(1-MIN(0.75,E13/(24000+E13)))</f>
        <v/>
      </c>
    </row>
    <row r="14">
      <c r="A14" t="n">
        <v>3</v>
      </c>
      <c r="B14" t="n">
        <v>13</v>
      </c>
      <c r="C14" t="n">
        <v>21843</v>
      </c>
      <c r="D14" t="n">
        <v>1105</v>
      </c>
      <c r="E14" t="n">
        <v>2519</v>
      </c>
      <c r="F14">
        <f>C14/(1-MIN(0.75,E14/(24000+E14)))</f>
        <v/>
      </c>
    </row>
    <row r="15">
      <c r="A15" t="n">
        <v>3</v>
      </c>
      <c r="B15" t="n">
        <v>14</v>
      </c>
      <c r="C15" t="n">
        <v>18203</v>
      </c>
      <c r="D15" t="n">
        <v>1105</v>
      </c>
      <c r="E15" t="n">
        <v>2099</v>
      </c>
      <c r="F15">
        <f>C15/(1-MIN(0.75,E15/(24000+E15)))</f>
        <v/>
      </c>
    </row>
    <row r="16">
      <c r="A16" t="n">
        <v>3</v>
      </c>
      <c r="B16" t="n">
        <v>15</v>
      </c>
      <c r="C16" t="n">
        <v>18203</v>
      </c>
      <c r="D16" t="n">
        <v>1105</v>
      </c>
      <c r="E16" t="n">
        <v>2099</v>
      </c>
      <c r="F16">
        <f>C16/(1-MIN(0.75,E16/(24000+E16)))</f>
        <v/>
      </c>
    </row>
    <row r="17">
      <c r="A17" t="n">
        <v>4</v>
      </c>
      <c r="B17" t="n">
        <v>16</v>
      </c>
      <c r="C17" t="n">
        <v>17861</v>
      </c>
      <c r="D17" t="n">
        <v>1530</v>
      </c>
      <c r="E17" t="n">
        <v>1917</v>
      </c>
      <c r="F17">
        <f>C17/(1-MIN(0.75,E17/(24000+E17)))</f>
        <v/>
      </c>
    </row>
    <row r="18">
      <c r="A18" t="n">
        <v>4</v>
      </c>
      <c r="B18" t="n">
        <v>17</v>
      </c>
      <c r="C18" t="n">
        <v>17861</v>
      </c>
      <c r="D18" t="n">
        <v>1530</v>
      </c>
      <c r="E18" t="n">
        <v>1917</v>
      </c>
      <c r="F18">
        <f>C18/(1-MIN(0.75,E18/(24000+E18)))</f>
        <v/>
      </c>
    </row>
    <row r="19">
      <c r="A19" t="n">
        <v>4</v>
      </c>
      <c r="B19" t="n">
        <v>18</v>
      </c>
      <c r="C19" t="n">
        <v>17861</v>
      </c>
      <c r="D19" t="n">
        <v>1530</v>
      </c>
      <c r="E19" t="n">
        <v>1917</v>
      </c>
      <c r="F19">
        <f>C19/(1-MIN(0.75,E19/(24000+E19)))</f>
        <v/>
      </c>
    </row>
    <row r="20">
      <c r="A20" t="n">
        <v>4</v>
      </c>
      <c r="B20" t="n">
        <v>19</v>
      </c>
      <c r="C20" t="n">
        <v>17861</v>
      </c>
      <c r="D20" t="n">
        <v>1530</v>
      </c>
      <c r="E20" t="n">
        <v>1917</v>
      </c>
      <c r="F20">
        <f>C20/(1-MIN(0.75,E20/(24000+E20)))</f>
        <v/>
      </c>
    </row>
    <row r="21">
      <c r="A21" t="n">
        <v>4</v>
      </c>
      <c r="B21" t="n">
        <v>20</v>
      </c>
      <c r="C21" t="n">
        <v>22326</v>
      </c>
      <c r="D21" t="n">
        <v>1275</v>
      </c>
      <c r="E21" t="n">
        <v>2396</v>
      </c>
      <c r="F21">
        <f>C21/(1-MIN(0.75,E21/(24000+E21)))</f>
        <v/>
      </c>
    </row>
    <row r="22">
      <c r="A22" t="n">
        <v>5</v>
      </c>
      <c r="B22" t="n">
        <v>21</v>
      </c>
      <c r="C22" t="n">
        <v>30866</v>
      </c>
      <c r="D22" t="n">
        <v>1412</v>
      </c>
      <c r="E22" t="n">
        <v>3234</v>
      </c>
      <c r="F22">
        <f>C22/(1-MIN(0.75,E22/(24000+E22)))</f>
        <v/>
      </c>
    </row>
    <row r="23">
      <c r="A23" t="n">
        <v>5</v>
      </c>
      <c r="B23" t="n">
        <v>22</v>
      </c>
      <c r="C23" t="n">
        <v>20577</v>
      </c>
      <c r="D23" t="n">
        <v>1695</v>
      </c>
      <c r="E23" t="n">
        <v>2156</v>
      </c>
      <c r="F23">
        <f>C23/(1-MIN(0.75,E23/(24000+E23)))</f>
        <v/>
      </c>
    </row>
    <row r="24">
      <c r="A24" t="n">
        <v>5</v>
      </c>
      <c r="B24" t="n">
        <v>23</v>
      </c>
      <c r="C24" t="n">
        <v>25722</v>
      </c>
      <c r="D24" t="n">
        <v>1412</v>
      </c>
      <c r="E24" t="n">
        <v>2695</v>
      </c>
      <c r="F24">
        <f>C24/(1-MIN(0.75,E24/(24000+E24)))</f>
        <v/>
      </c>
    </row>
    <row r="25">
      <c r="A25" t="n">
        <v>5</v>
      </c>
      <c r="B25" t="n">
        <v>24</v>
      </c>
      <c r="C25" t="n">
        <v>25722</v>
      </c>
      <c r="D25" t="n">
        <v>1412</v>
      </c>
      <c r="E25" t="n">
        <v>2695</v>
      </c>
      <c r="F25">
        <f>C25/(1-MIN(0.75,E25/(24000+E25)))</f>
        <v/>
      </c>
    </row>
    <row r="26">
      <c r="A26" t="n">
        <v>5</v>
      </c>
      <c r="B26" t="n">
        <v>25</v>
      </c>
      <c r="C26" t="n">
        <v>25722</v>
      </c>
      <c r="D26" t="n">
        <v>1412</v>
      </c>
      <c r="E26" t="n">
        <v>2695</v>
      </c>
      <c r="F26">
        <f>C26/(1-MIN(0.75,E26/(24000+E26)))</f>
        <v/>
      </c>
    </row>
    <row r="27">
      <c r="A27" t="n">
        <v>6</v>
      </c>
      <c r="B27" t="n">
        <v>26</v>
      </c>
      <c r="C27" t="n">
        <v>38108</v>
      </c>
      <c r="D27" t="n">
        <v>1617</v>
      </c>
      <c r="E27" t="n">
        <v>3719</v>
      </c>
      <c r="F27">
        <f>C27/(1-MIN(0.75,E27/(24000+E27)))</f>
        <v/>
      </c>
    </row>
    <row r="28">
      <c r="A28" t="n">
        <v>6</v>
      </c>
      <c r="B28" t="n">
        <v>27</v>
      </c>
      <c r="C28" t="n">
        <v>25406</v>
      </c>
      <c r="D28" t="n">
        <v>1941</v>
      </c>
      <c r="E28" t="n">
        <v>2479</v>
      </c>
      <c r="F28">
        <f>C28/(1-MIN(0.75,E28/(24000+E28)))</f>
        <v/>
      </c>
    </row>
    <row r="29">
      <c r="A29" t="n">
        <v>6</v>
      </c>
      <c r="B29" t="n">
        <v>28</v>
      </c>
      <c r="C29" t="n">
        <v>25406</v>
      </c>
      <c r="D29" t="n">
        <v>1941</v>
      </c>
      <c r="E29" t="n">
        <v>2479</v>
      </c>
      <c r="F29">
        <f>C29/(1-MIN(0.75,E29/(24000+E29)))</f>
        <v/>
      </c>
    </row>
    <row r="30">
      <c r="A30" t="n">
        <v>6</v>
      </c>
      <c r="B30" t="n">
        <v>29</v>
      </c>
      <c r="C30" t="n">
        <v>25406</v>
      </c>
      <c r="D30" t="n">
        <v>1941</v>
      </c>
      <c r="E30" t="n">
        <v>2479</v>
      </c>
      <c r="F30">
        <f>C30/(1-MIN(0.75,E30/(24000+E30)))</f>
        <v/>
      </c>
    </row>
    <row r="31">
      <c r="A31" t="n">
        <v>6</v>
      </c>
      <c r="B31" t="n">
        <v>30</v>
      </c>
      <c r="C31" t="n">
        <v>31757</v>
      </c>
      <c r="D31" t="n">
        <v>1617</v>
      </c>
      <c r="E31" t="n">
        <v>3099</v>
      </c>
      <c r="F31">
        <f>C31/(1-MIN(0.75,E31/(24000+E31)))</f>
        <v/>
      </c>
    </row>
    <row r="32">
      <c r="A32" t="n">
        <v>7</v>
      </c>
      <c r="B32" t="n">
        <v>31</v>
      </c>
      <c r="C32" t="n">
        <v>43864</v>
      </c>
      <c r="D32" t="n">
        <v>1763</v>
      </c>
      <c r="E32" t="n">
        <v>4085</v>
      </c>
      <c r="F32">
        <f>C32/(1-MIN(0.75,E32/(24000+E32)))</f>
        <v/>
      </c>
    </row>
    <row r="33">
      <c r="A33" t="n">
        <v>7</v>
      </c>
      <c r="B33" t="n">
        <v>32</v>
      </c>
      <c r="C33" t="n">
        <v>29243</v>
      </c>
      <c r="D33" t="n">
        <v>2115</v>
      </c>
      <c r="E33" t="n">
        <v>2723</v>
      </c>
      <c r="F33">
        <f>C33/(1-MIN(0.75,E33/(24000+E33)))</f>
        <v/>
      </c>
    </row>
    <row r="34">
      <c r="A34" t="n">
        <v>7</v>
      </c>
      <c r="B34" t="n">
        <v>33</v>
      </c>
      <c r="C34" t="n">
        <v>36554</v>
      </c>
      <c r="D34" t="n">
        <v>1763</v>
      </c>
      <c r="E34" t="n">
        <v>3404</v>
      </c>
      <c r="F34">
        <f>C34/(1-MIN(0.75,E34/(24000+E34)))</f>
        <v/>
      </c>
    </row>
    <row r="35">
      <c r="A35" t="n">
        <v>7</v>
      </c>
      <c r="B35" t="n">
        <v>34</v>
      </c>
      <c r="C35" t="n">
        <v>36554</v>
      </c>
      <c r="D35" t="n">
        <v>1763</v>
      </c>
      <c r="E35" t="n">
        <v>3404</v>
      </c>
      <c r="F35">
        <f>C35/(1-MIN(0.75,E35/(24000+E35)))</f>
        <v/>
      </c>
    </row>
    <row r="36">
      <c r="A36" t="n">
        <v>7</v>
      </c>
      <c r="B36" t="n">
        <v>35</v>
      </c>
      <c r="C36" t="n">
        <v>29243</v>
      </c>
      <c r="D36" t="n">
        <v>2115</v>
      </c>
      <c r="E36" t="n">
        <v>2723</v>
      </c>
      <c r="F36">
        <f>C36/(1-MIN(0.75,E36/(24000+E36)))</f>
        <v/>
      </c>
    </row>
    <row r="37">
      <c r="A37" t="n">
        <v>8</v>
      </c>
      <c r="B37" t="n">
        <v>36</v>
      </c>
      <c r="C37" t="n">
        <v>48763</v>
      </c>
      <c r="D37" t="n">
        <v>1870</v>
      </c>
      <c r="E37" t="n">
        <v>4454</v>
      </c>
      <c r="F37">
        <f>C37/(1-MIN(0.75,E37/(24000+E37)))</f>
        <v/>
      </c>
    </row>
    <row r="38">
      <c r="A38" t="n">
        <v>8</v>
      </c>
      <c r="B38" t="n">
        <v>37</v>
      </c>
      <c r="C38" t="n">
        <v>40636</v>
      </c>
      <c r="D38" t="n">
        <v>1870</v>
      </c>
      <c r="E38" t="n">
        <v>3711</v>
      </c>
      <c r="F38">
        <f>C38/(1-MIN(0.75,E38/(24000+E38)))</f>
        <v/>
      </c>
    </row>
    <row r="39">
      <c r="A39" t="n">
        <v>8</v>
      </c>
      <c r="B39" t="n">
        <v>38</v>
      </c>
      <c r="C39" t="n">
        <v>40636</v>
      </c>
      <c r="D39" t="n">
        <v>1870</v>
      </c>
      <c r="E39" t="n">
        <v>3711</v>
      </c>
      <c r="F39">
        <f>C39/(1-MIN(0.75,E39/(24000+E39)))</f>
        <v/>
      </c>
    </row>
    <row r="40">
      <c r="A40" t="n">
        <v>8</v>
      </c>
      <c r="B40" t="n">
        <v>39</v>
      </c>
      <c r="C40" t="n">
        <v>40636</v>
      </c>
      <c r="D40" t="n">
        <v>1870</v>
      </c>
      <c r="E40" t="n">
        <v>3711</v>
      </c>
      <c r="F40">
        <f>C40/(1-MIN(0.75,E40/(24000+E40)))</f>
        <v/>
      </c>
    </row>
    <row r="41">
      <c r="A41" t="n">
        <v>8</v>
      </c>
      <c r="B41" t="n">
        <v>40</v>
      </c>
      <c r="C41" t="n">
        <v>40636</v>
      </c>
      <c r="D41" t="n">
        <v>1870</v>
      </c>
      <c r="E41" t="n">
        <v>3711</v>
      </c>
      <c r="F41">
        <f>C41/(1-MIN(0.75,E41/(24000+E41)))</f>
        <v/>
      </c>
    </row>
    <row r="42">
      <c r="A42" t="n">
        <v>9</v>
      </c>
      <c r="B42" t="n">
        <v>41</v>
      </c>
      <c r="C42" t="n">
        <v>57801</v>
      </c>
      <c r="D42" t="n">
        <v>2086</v>
      </c>
      <c r="E42" t="n">
        <v>4952</v>
      </c>
      <c r="F42">
        <f>C42/(1-MIN(0.75,E42/(24000+E42)))</f>
        <v/>
      </c>
    </row>
    <row r="43">
      <c r="A43" t="n">
        <v>9</v>
      </c>
      <c r="B43" t="n">
        <v>42</v>
      </c>
      <c r="C43" t="n">
        <v>38534</v>
      </c>
      <c r="D43" t="n">
        <v>2503</v>
      </c>
      <c r="E43" t="n">
        <v>3301</v>
      </c>
      <c r="F43">
        <f>C43/(1-MIN(0.75,E43/(24000+E43)))</f>
        <v/>
      </c>
    </row>
    <row r="44">
      <c r="A44" t="n">
        <v>9</v>
      </c>
      <c r="B44" t="n">
        <v>43</v>
      </c>
      <c r="C44" t="n">
        <v>48167</v>
      </c>
      <c r="D44" t="n">
        <v>2086</v>
      </c>
      <c r="E44" t="n">
        <v>4126</v>
      </c>
      <c r="F44">
        <f>C44/(1-MIN(0.75,E44/(24000+E44)))</f>
        <v/>
      </c>
    </row>
    <row r="45">
      <c r="A45" t="n">
        <v>9</v>
      </c>
      <c r="B45" t="n">
        <v>44</v>
      </c>
      <c r="C45" t="n">
        <v>48167</v>
      </c>
      <c r="D45" t="n">
        <v>2086</v>
      </c>
      <c r="E45" t="n">
        <v>4126</v>
      </c>
      <c r="F45">
        <f>C45/(1-MIN(0.75,E45/(24000+E45)))</f>
        <v/>
      </c>
    </row>
    <row r="46">
      <c r="A46" t="n">
        <v>9</v>
      </c>
      <c r="B46" t="n">
        <v>45</v>
      </c>
      <c r="C46" t="n">
        <v>38534</v>
      </c>
      <c r="D46" t="n">
        <v>2503</v>
      </c>
      <c r="E46" t="n">
        <v>3301</v>
      </c>
      <c r="F46">
        <f>C46/(1-MIN(0.75,E46/(24000+E46)))</f>
        <v/>
      </c>
    </row>
    <row r="47">
      <c r="A47" t="n">
        <v>10</v>
      </c>
      <c r="B47" t="n">
        <v>46</v>
      </c>
      <c r="C47" t="n">
        <v>54706</v>
      </c>
      <c r="D47" t="n">
        <v>2253</v>
      </c>
      <c r="E47" t="n">
        <v>4440</v>
      </c>
      <c r="F47">
        <f>C47/(1-MIN(0.75,E47/(24000+E47)))</f>
        <v/>
      </c>
    </row>
    <row r="48">
      <c r="A48" t="n">
        <v>10</v>
      </c>
      <c r="B48" t="n">
        <v>47</v>
      </c>
      <c r="C48" t="n">
        <v>43765</v>
      </c>
      <c r="D48" t="n">
        <v>2704</v>
      </c>
      <c r="E48" t="n">
        <v>3552</v>
      </c>
      <c r="F48">
        <f>C48/(1-MIN(0.75,E48/(24000+E48)))</f>
        <v/>
      </c>
    </row>
    <row r="49">
      <c r="A49" t="n">
        <v>10</v>
      </c>
      <c r="B49" t="n">
        <v>48</v>
      </c>
      <c r="C49" t="n">
        <v>43765</v>
      </c>
      <c r="D49" t="n">
        <v>2704</v>
      </c>
      <c r="E49" t="n">
        <v>3552</v>
      </c>
      <c r="F49">
        <f>C49/(1-MIN(0.75,E49/(24000+E49)))</f>
        <v/>
      </c>
    </row>
    <row r="50">
      <c r="A50" t="n">
        <v>10</v>
      </c>
      <c r="B50" t="n">
        <v>49</v>
      </c>
      <c r="C50" t="n">
        <v>43765</v>
      </c>
      <c r="D50" t="n">
        <v>2704</v>
      </c>
      <c r="E50" t="n">
        <v>3552</v>
      </c>
      <c r="F50">
        <f>C50/(1-MIN(0.75,E50/(24000+E50)))</f>
        <v/>
      </c>
    </row>
    <row r="51">
      <c r="A51" t="n">
        <v>10</v>
      </c>
      <c r="B51" t="n">
        <v>50</v>
      </c>
      <c r="C51" t="n">
        <v>54706</v>
      </c>
      <c r="D51" t="n">
        <v>2253</v>
      </c>
      <c r="E51" t="n">
        <v>4440</v>
      </c>
      <c r="F51">
        <f>C51/(1-MIN(0.75,E51/(24000+E51)))</f>
        <v/>
      </c>
    </row>
    <row r="52">
      <c r="A52" t="n">
        <v>11</v>
      </c>
      <c r="B52" t="n">
        <v>51</v>
      </c>
      <c r="C52" t="n">
        <v>62351</v>
      </c>
      <c r="D52" t="n">
        <v>2457</v>
      </c>
      <c r="E52" t="n">
        <v>4863</v>
      </c>
      <c r="F52">
        <f>C52/(1-MIN(0.75,E52/(24000+E52)))</f>
        <v/>
      </c>
    </row>
    <row r="53">
      <c r="A53" t="n">
        <v>11</v>
      </c>
      <c r="B53" t="n">
        <v>52</v>
      </c>
      <c r="C53" t="n">
        <v>49881</v>
      </c>
      <c r="D53" t="n">
        <v>2949</v>
      </c>
      <c r="E53" t="n">
        <v>3890</v>
      </c>
      <c r="F53">
        <f>C53/(1-MIN(0.75,E53/(24000+E53)))</f>
        <v/>
      </c>
    </row>
    <row r="54">
      <c r="A54" t="n">
        <v>11</v>
      </c>
      <c r="B54" t="n">
        <v>53</v>
      </c>
      <c r="C54" t="n">
        <v>49881</v>
      </c>
      <c r="D54" t="n">
        <v>2949</v>
      </c>
      <c r="E54" t="n">
        <v>3890</v>
      </c>
      <c r="F54">
        <f>C54/(1-MIN(0.75,E54/(24000+E54)))</f>
        <v/>
      </c>
    </row>
    <row r="55">
      <c r="A55" t="n">
        <v>11</v>
      </c>
      <c r="B55" t="n">
        <v>54</v>
      </c>
      <c r="C55" t="n">
        <v>62351</v>
      </c>
      <c r="D55" t="n">
        <v>2457</v>
      </c>
      <c r="E55" t="n">
        <v>4863</v>
      </c>
      <c r="F55">
        <f>C55/(1-MIN(0.75,E55/(24000+E55)))</f>
        <v/>
      </c>
    </row>
    <row r="56">
      <c r="A56" t="n">
        <v>11</v>
      </c>
      <c r="B56" t="n">
        <v>55</v>
      </c>
      <c r="C56" t="n">
        <v>49881</v>
      </c>
      <c r="D56" t="n">
        <v>2949</v>
      </c>
      <c r="E56" t="n">
        <v>3890</v>
      </c>
      <c r="F56">
        <f>C56/(1-MIN(0.75,E56/(24000+E56)))</f>
        <v/>
      </c>
    </row>
    <row r="57">
      <c r="A57" t="n">
        <v>12</v>
      </c>
      <c r="B57" t="n">
        <v>56</v>
      </c>
      <c r="C57" t="n">
        <v>82296</v>
      </c>
      <c r="D57" t="n">
        <v>2599</v>
      </c>
      <c r="E57" t="n">
        <v>6219</v>
      </c>
      <c r="F57">
        <f>C57/(1-MIN(0.75,E57/(24000+E57)))</f>
        <v/>
      </c>
    </row>
    <row r="58">
      <c r="A58" t="n">
        <v>12</v>
      </c>
      <c r="B58" t="n">
        <v>57</v>
      </c>
      <c r="C58" t="n">
        <v>54864</v>
      </c>
      <c r="D58" t="n">
        <v>3118</v>
      </c>
      <c r="E58" t="n">
        <v>4146</v>
      </c>
      <c r="F58">
        <f>C58/(1-MIN(0.75,E58/(24000+E58)))</f>
        <v/>
      </c>
    </row>
    <row r="59">
      <c r="A59" t="n">
        <v>12</v>
      </c>
      <c r="B59" t="n">
        <v>58</v>
      </c>
      <c r="C59" t="n">
        <v>68580</v>
      </c>
      <c r="D59" t="n">
        <v>2599</v>
      </c>
      <c r="E59" t="n">
        <v>5183</v>
      </c>
      <c r="F59">
        <f>C59/(1-MIN(0.75,E59/(24000+E59)))</f>
        <v/>
      </c>
    </row>
    <row r="60">
      <c r="A60" t="n">
        <v>12</v>
      </c>
      <c r="B60" t="n">
        <v>59</v>
      </c>
      <c r="C60" t="n">
        <v>68580</v>
      </c>
      <c r="D60" t="n">
        <v>2599</v>
      </c>
      <c r="E60" t="n">
        <v>5183</v>
      </c>
      <c r="F60">
        <f>C60/(1-MIN(0.75,E60/(24000+E60)))</f>
        <v/>
      </c>
    </row>
    <row r="61">
      <c r="A61" t="n">
        <v>12</v>
      </c>
      <c r="B61" t="n">
        <v>60</v>
      </c>
      <c r="C61" t="n">
        <v>54864</v>
      </c>
      <c r="D61" t="n">
        <v>3118</v>
      </c>
      <c r="E61" t="n">
        <v>4146</v>
      </c>
      <c r="F61">
        <f>C61/(1-MIN(0.75,E61/(24000+E61)))</f>
        <v/>
      </c>
    </row>
    <row r="62">
      <c r="A62" t="n">
        <v>13</v>
      </c>
      <c r="B62" t="n">
        <v>61</v>
      </c>
      <c r="C62" t="n">
        <v>61327</v>
      </c>
      <c r="D62" t="n">
        <v>3368</v>
      </c>
      <c r="E62" t="n">
        <v>4491</v>
      </c>
      <c r="F62">
        <f>C62/(1-MIN(0.75,E62/(24000+E62)))</f>
        <v/>
      </c>
    </row>
    <row r="63">
      <c r="A63" t="n">
        <v>13</v>
      </c>
      <c r="B63" t="n">
        <v>62</v>
      </c>
      <c r="C63" t="n">
        <v>76659</v>
      </c>
      <c r="D63" t="n">
        <v>2807</v>
      </c>
      <c r="E63" t="n">
        <v>5614</v>
      </c>
      <c r="F63">
        <f>C63/(1-MIN(0.75,E63/(24000+E63)))</f>
        <v/>
      </c>
    </row>
    <row r="64">
      <c r="A64" t="n">
        <v>13</v>
      </c>
      <c r="B64" t="n">
        <v>63</v>
      </c>
      <c r="C64" t="n">
        <v>61327</v>
      </c>
      <c r="D64" t="n">
        <v>3368</v>
      </c>
      <c r="E64" t="n">
        <v>4491</v>
      </c>
      <c r="F64">
        <f>C64/(1-MIN(0.75,E64/(24000+E64)))</f>
        <v/>
      </c>
    </row>
    <row r="65">
      <c r="A65" t="n">
        <v>13</v>
      </c>
      <c r="B65" t="n">
        <v>64</v>
      </c>
      <c r="C65" t="n">
        <v>61327</v>
      </c>
      <c r="D65" t="n">
        <v>3368</v>
      </c>
      <c r="E65" t="n">
        <v>4491</v>
      </c>
      <c r="F65">
        <f>C65/(1-MIN(0.75,E65/(24000+E65)))</f>
        <v/>
      </c>
    </row>
    <row r="66">
      <c r="A66" t="n">
        <v>13</v>
      </c>
      <c r="B66" t="n">
        <v>65</v>
      </c>
      <c r="C66" t="n">
        <v>61327</v>
      </c>
      <c r="D66" t="n">
        <v>3368</v>
      </c>
      <c r="E66" t="n">
        <v>4491</v>
      </c>
      <c r="F66">
        <f>C66/(1-MIN(0.75,E66/(24000+E66)))</f>
        <v/>
      </c>
    </row>
    <row r="67">
      <c r="A67" t="n">
        <v>14</v>
      </c>
      <c r="B67" t="n">
        <v>66</v>
      </c>
      <c r="C67" t="n">
        <v>99795</v>
      </c>
      <c r="D67" t="n">
        <v>2943</v>
      </c>
      <c r="E67" t="n">
        <v>7127</v>
      </c>
      <c r="F67">
        <f>C67/(1-MIN(0.75,E67/(24000+E67)))</f>
        <v/>
      </c>
    </row>
    <row r="68">
      <c r="A68" t="n">
        <v>14</v>
      </c>
      <c r="B68" t="n">
        <v>67</v>
      </c>
      <c r="C68" t="n">
        <v>83162</v>
      </c>
      <c r="D68" t="n">
        <v>2943</v>
      </c>
      <c r="E68" t="n">
        <v>5939</v>
      </c>
      <c r="F68">
        <f>C68/(1-MIN(0.75,E68/(24000+E68)))</f>
        <v/>
      </c>
    </row>
    <row r="69">
      <c r="A69" t="n">
        <v>14</v>
      </c>
      <c r="B69" t="n">
        <v>68</v>
      </c>
      <c r="C69" t="n">
        <v>66530</v>
      </c>
      <c r="D69" t="n">
        <v>3532</v>
      </c>
      <c r="E69" t="n">
        <v>4751</v>
      </c>
      <c r="F69">
        <f>C69/(1-MIN(0.75,E69/(24000+E69)))</f>
        <v/>
      </c>
    </row>
    <row r="70">
      <c r="A70" t="n">
        <v>14</v>
      </c>
      <c r="B70" t="n">
        <v>69</v>
      </c>
      <c r="C70" t="n">
        <v>83162</v>
      </c>
      <c r="D70" t="n">
        <v>2943</v>
      </c>
      <c r="E70" t="n">
        <v>5939</v>
      </c>
      <c r="F70">
        <f>C70/(1-MIN(0.75,E70/(24000+E70)))</f>
        <v/>
      </c>
    </row>
    <row r="71">
      <c r="A71" t="n">
        <v>14</v>
      </c>
      <c r="B71" t="n">
        <v>70</v>
      </c>
      <c r="C71" t="n">
        <v>83162</v>
      </c>
      <c r="D71" t="n">
        <v>2943</v>
      </c>
      <c r="E71" t="n">
        <v>5939</v>
      </c>
      <c r="F71">
        <f>C71/(1-MIN(0.75,E71/(24000+E71)))</f>
        <v/>
      </c>
    </row>
    <row r="72">
      <c r="A72" t="n">
        <v>15</v>
      </c>
      <c r="B72" t="n">
        <v>71</v>
      </c>
      <c r="C72" t="n">
        <v>112335</v>
      </c>
      <c r="D72" t="n">
        <v>3185</v>
      </c>
      <c r="E72" t="n">
        <v>7653</v>
      </c>
      <c r="F72">
        <f>C72/(1-MIN(0.75,E72/(24000+E72)))</f>
        <v/>
      </c>
    </row>
    <row r="73">
      <c r="A73" t="n">
        <v>15</v>
      </c>
      <c r="B73" t="n">
        <v>72</v>
      </c>
      <c r="C73" t="n">
        <v>74890</v>
      </c>
      <c r="D73" t="n">
        <v>3822</v>
      </c>
      <c r="E73" t="n">
        <v>5102</v>
      </c>
      <c r="F73">
        <f>C73/(1-MIN(0.75,E73/(24000+E73)))</f>
        <v/>
      </c>
    </row>
    <row r="74">
      <c r="A74" t="n">
        <v>15</v>
      </c>
      <c r="B74" t="n">
        <v>73</v>
      </c>
      <c r="C74" t="n">
        <v>93613</v>
      </c>
      <c r="D74" t="n">
        <v>3185</v>
      </c>
      <c r="E74" t="n">
        <v>6378</v>
      </c>
      <c r="F74">
        <f>C74/(1-MIN(0.75,E74/(24000+E74)))</f>
        <v/>
      </c>
    </row>
    <row r="75">
      <c r="A75" t="n">
        <v>15</v>
      </c>
      <c r="B75" t="n">
        <v>74</v>
      </c>
      <c r="C75" t="n">
        <v>74890</v>
      </c>
      <c r="D75" t="n">
        <v>3822</v>
      </c>
      <c r="E75" t="n">
        <v>5102</v>
      </c>
      <c r="F75">
        <f>C75/(1-MIN(0.75,E75/(24000+E75)))</f>
        <v/>
      </c>
    </row>
    <row r="76">
      <c r="A76" t="n">
        <v>15</v>
      </c>
      <c r="B76" t="n">
        <v>75</v>
      </c>
      <c r="C76" t="n">
        <v>93613</v>
      </c>
      <c r="D76" t="n">
        <v>3185</v>
      </c>
      <c r="E76" t="n">
        <v>6378</v>
      </c>
      <c r="F76">
        <f>C76/(1-MIN(0.75,E76/(24000+E76)))</f>
        <v/>
      </c>
    </row>
    <row r="77">
      <c r="A77" t="n">
        <v>16</v>
      </c>
      <c r="B77" t="n">
        <v>76</v>
      </c>
      <c r="C77" t="n">
        <v>122916</v>
      </c>
      <c r="D77" t="n">
        <v>3364</v>
      </c>
      <c r="E77" t="n">
        <v>8051</v>
      </c>
      <c r="F77">
        <f>C77/(1-MIN(0.75,E77/(24000+E77)))</f>
        <v/>
      </c>
    </row>
    <row r="78">
      <c r="A78" t="n">
        <v>16</v>
      </c>
      <c r="B78" t="n">
        <v>77</v>
      </c>
      <c r="C78" t="n">
        <v>122916</v>
      </c>
      <c r="D78" t="n">
        <v>3364</v>
      </c>
      <c r="E78" t="n">
        <v>8051</v>
      </c>
      <c r="F78">
        <f>C78/(1-MIN(0.75,E78/(24000+E78)))</f>
        <v/>
      </c>
    </row>
    <row r="79">
      <c r="A79" t="n">
        <v>16</v>
      </c>
      <c r="B79" t="n">
        <v>78</v>
      </c>
      <c r="C79" t="n">
        <v>102430</v>
      </c>
      <c r="D79" t="n">
        <v>3364</v>
      </c>
      <c r="E79" t="n">
        <v>6709</v>
      </c>
      <c r="F79">
        <f>C79/(1-MIN(0.75,E79/(24000+E79)))</f>
        <v/>
      </c>
    </row>
    <row r="80">
      <c r="A80" t="n">
        <v>16</v>
      </c>
      <c r="B80" t="n">
        <v>79</v>
      </c>
      <c r="C80" t="n">
        <v>81944</v>
      </c>
      <c r="D80" t="n">
        <v>4037</v>
      </c>
      <c r="E80" t="n">
        <v>5367</v>
      </c>
      <c r="F80">
        <f>C80/(1-MIN(0.75,E80/(24000+E80)))</f>
        <v/>
      </c>
    </row>
    <row r="81">
      <c r="A81" t="n">
        <v>16</v>
      </c>
      <c r="B81" t="n">
        <v>80</v>
      </c>
      <c r="C81" t="n">
        <v>81944</v>
      </c>
      <c r="D81" t="n">
        <v>4037</v>
      </c>
      <c r="E81" t="n">
        <v>5367</v>
      </c>
      <c r="F81">
        <f>C81/(1-MIN(0.75,E81/(24000+E81)))</f>
        <v/>
      </c>
    </row>
    <row r="82">
      <c r="A82" t="n">
        <v>17</v>
      </c>
      <c r="B82" t="n">
        <v>81</v>
      </c>
      <c r="C82" t="n">
        <v>134342</v>
      </c>
      <c r="D82" t="n">
        <v>3570</v>
      </c>
      <c r="E82" t="n">
        <v>8588</v>
      </c>
      <c r="F82">
        <f>C82/(1-MIN(0.75,E82/(24000+E82)))</f>
        <v/>
      </c>
    </row>
    <row r="83">
      <c r="A83" t="n">
        <v>17</v>
      </c>
      <c r="B83" t="n">
        <v>82</v>
      </c>
      <c r="C83" t="n">
        <v>134342</v>
      </c>
      <c r="D83" t="n">
        <v>3570</v>
      </c>
      <c r="E83" t="n">
        <v>8588</v>
      </c>
      <c r="F83">
        <f>C83/(1-MIN(0.75,E83/(24000+E83)))</f>
        <v/>
      </c>
    </row>
    <row r="84">
      <c r="A84" t="n">
        <v>17</v>
      </c>
      <c r="B84" t="n">
        <v>83</v>
      </c>
      <c r="C84" t="n">
        <v>89561</v>
      </c>
      <c r="D84" t="n">
        <v>4284</v>
      </c>
      <c r="E84" t="n">
        <v>5725</v>
      </c>
      <c r="F84">
        <f>C84/(1-MIN(0.75,E84/(24000+E84)))</f>
        <v/>
      </c>
    </row>
    <row r="85">
      <c r="A85" t="n">
        <v>17</v>
      </c>
      <c r="B85" t="n">
        <v>84</v>
      </c>
      <c r="C85" t="n">
        <v>89561</v>
      </c>
      <c r="D85" t="n">
        <v>4284</v>
      </c>
      <c r="E85" t="n">
        <v>5725</v>
      </c>
      <c r="F85">
        <f>C85/(1-MIN(0.75,E85/(24000+E85)))</f>
        <v/>
      </c>
    </row>
    <row r="86">
      <c r="A86" t="n">
        <v>17</v>
      </c>
      <c r="B86" t="n">
        <v>85</v>
      </c>
      <c r="C86" t="n">
        <v>111951</v>
      </c>
      <c r="D86" t="n">
        <v>3570</v>
      </c>
      <c r="E86" t="n">
        <v>7156</v>
      </c>
      <c r="F86">
        <f>C86/(1-MIN(0.75,E86/(24000+E86)))</f>
        <v/>
      </c>
    </row>
    <row r="87">
      <c r="A87" t="n">
        <v>18</v>
      </c>
      <c r="B87" t="n">
        <v>86</v>
      </c>
      <c r="C87" t="n">
        <v>97666</v>
      </c>
      <c r="D87" t="n">
        <v>4530</v>
      </c>
      <c r="E87" t="n">
        <v>5995</v>
      </c>
      <c r="F87">
        <f>C87/(1-MIN(0.75,E87/(24000+E87)))</f>
        <v/>
      </c>
    </row>
    <row r="88">
      <c r="A88" t="n">
        <v>18</v>
      </c>
      <c r="B88" t="n">
        <v>87</v>
      </c>
      <c r="C88" t="n">
        <v>122083</v>
      </c>
      <c r="D88" t="n">
        <v>3775</v>
      </c>
      <c r="E88" t="n">
        <v>7494</v>
      </c>
      <c r="F88">
        <f>C88/(1-MIN(0.75,E88/(24000+E88)))</f>
        <v/>
      </c>
    </row>
    <row r="89">
      <c r="A89" t="n">
        <v>18</v>
      </c>
      <c r="B89" t="n">
        <v>88</v>
      </c>
      <c r="C89" t="n">
        <v>97666</v>
      </c>
      <c r="D89" t="n">
        <v>4530</v>
      </c>
      <c r="E89" t="n">
        <v>5995</v>
      </c>
      <c r="F89">
        <f>C89/(1-MIN(0.75,E89/(24000+E89)))</f>
        <v/>
      </c>
    </row>
    <row r="90">
      <c r="A90" t="n">
        <v>18</v>
      </c>
      <c r="B90" t="n">
        <v>89</v>
      </c>
      <c r="C90" t="n">
        <v>122083</v>
      </c>
      <c r="D90" t="n">
        <v>3775</v>
      </c>
      <c r="E90" t="n">
        <v>7494</v>
      </c>
      <c r="F90">
        <f>C90/(1-MIN(0.75,E90/(24000+E90)))</f>
        <v/>
      </c>
    </row>
    <row r="91">
      <c r="A91" t="n">
        <v>18</v>
      </c>
      <c r="B91" t="n">
        <v>90</v>
      </c>
      <c r="C91" t="n">
        <v>122083</v>
      </c>
      <c r="D91" t="n">
        <v>3775</v>
      </c>
      <c r="E91" t="n">
        <v>7494</v>
      </c>
      <c r="F91">
        <f>C91/(1-MIN(0.75,E91/(24000+E91)))</f>
        <v/>
      </c>
    </row>
    <row r="92">
      <c r="A92" t="n">
        <v>19</v>
      </c>
      <c r="B92" t="n">
        <v>91</v>
      </c>
      <c r="C92" t="n">
        <v>158986</v>
      </c>
      <c r="D92" t="n">
        <v>3972</v>
      </c>
      <c r="E92" t="n">
        <v>9537</v>
      </c>
      <c r="F92">
        <f>C92/(1-MIN(0.75,E92/(24000+E92)))</f>
        <v/>
      </c>
    </row>
    <row r="93">
      <c r="A93" t="n">
        <v>19</v>
      </c>
      <c r="B93" t="n">
        <v>92</v>
      </c>
      <c r="C93" t="n">
        <v>132488</v>
      </c>
      <c r="D93" t="n">
        <v>3972</v>
      </c>
      <c r="E93" t="n">
        <v>7948</v>
      </c>
      <c r="F93">
        <f>C93/(1-MIN(0.75,E93/(24000+E93)))</f>
        <v/>
      </c>
    </row>
    <row r="94">
      <c r="A94" t="n">
        <v>19</v>
      </c>
      <c r="B94" t="n">
        <v>93</v>
      </c>
      <c r="C94" t="n">
        <v>132488</v>
      </c>
      <c r="D94" t="n">
        <v>3972</v>
      </c>
      <c r="E94" t="n">
        <v>7948</v>
      </c>
      <c r="F94">
        <f>C94/(1-MIN(0.75,E94/(24000+E94)))</f>
        <v/>
      </c>
    </row>
    <row r="95">
      <c r="A95" t="n">
        <v>19</v>
      </c>
      <c r="B95" t="n">
        <v>94</v>
      </c>
      <c r="C95" t="n">
        <v>132488</v>
      </c>
      <c r="D95" t="n">
        <v>3972</v>
      </c>
      <c r="E95" t="n">
        <v>7948</v>
      </c>
      <c r="F95">
        <f>C95/(1-MIN(0.75,E95/(24000+E95)))</f>
        <v/>
      </c>
    </row>
    <row r="96">
      <c r="A96" t="n">
        <v>19</v>
      </c>
      <c r="B96" t="n">
        <v>95</v>
      </c>
      <c r="C96" t="n">
        <v>105990</v>
      </c>
      <c r="D96" t="n">
        <v>4766</v>
      </c>
      <c r="E96" t="n">
        <v>6358</v>
      </c>
      <c r="F96">
        <f>C96/(1-MIN(0.75,E96/(24000+E96)))</f>
        <v/>
      </c>
    </row>
    <row r="97">
      <c r="A97" t="n">
        <v>20</v>
      </c>
      <c r="B97" t="n">
        <v>96</v>
      </c>
      <c r="C97" t="n">
        <v>113609</v>
      </c>
      <c r="D97" t="n">
        <v>4998</v>
      </c>
      <c r="E97" t="n">
        <v>6633</v>
      </c>
      <c r="F97">
        <f>C97/(1-MIN(0.75,E97/(24000+E97)))</f>
        <v/>
      </c>
    </row>
    <row r="98">
      <c r="A98" t="n">
        <v>20</v>
      </c>
      <c r="B98" t="n">
        <v>97</v>
      </c>
      <c r="C98" t="n">
        <v>113609</v>
      </c>
      <c r="D98" t="n">
        <v>4998</v>
      </c>
      <c r="E98" t="n">
        <v>6633</v>
      </c>
      <c r="F98">
        <f>C98/(1-MIN(0.75,E98/(24000+E98)))</f>
        <v/>
      </c>
    </row>
    <row r="99">
      <c r="A99" t="n">
        <v>20</v>
      </c>
      <c r="B99" t="n">
        <v>98</v>
      </c>
      <c r="C99" t="n">
        <v>113609</v>
      </c>
      <c r="D99" t="n">
        <v>4998</v>
      </c>
      <c r="E99" t="n">
        <v>6633</v>
      </c>
      <c r="F99">
        <f>C99/(1-MIN(0.75,E99/(24000+E99)))</f>
        <v/>
      </c>
    </row>
    <row r="100">
      <c r="A100" t="n">
        <v>20</v>
      </c>
      <c r="B100" t="n">
        <v>99</v>
      </c>
      <c r="C100" t="n">
        <v>142011</v>
      </c>
      <c r="D100" t="n">
        <v>4165</v>
      </c>
      <c r="E100" t="n">
        <v>8291</v>
      </c>
      <c r="F100">
        <f>C100/(1-MIN(0.75,E100/(24000+E100)))</f>
        <v/>
      </c>
    </row>
    <row r="101">
      <c r="A101" t="n">
        <v>20</v>
      </c>
      <c r="B101" t="n">
        <v>100</v>
      </c>
      <c r="C101" t="n">
        <v>142011</v>
      </c>
      <c r="D101" t="n">
        <v>4165</v>
      </c>
      <c r="E101" t="n">
        <v>8291</v>
      </c>
      <c r="F101">
        <f>C101/(1-MIN(0.75,E101/(24000+E101)))</f>
        <v/>
      </c>
    </row>
    <row r="102">
      <c r="A102" t="n">
        <v>21</v>
      </c>
      <c r="B102" t="n">
        <v>101</v>
      </c>
      <c r="C102" t="n">
        <v>188492</v>
      </c>
      <c r="D102" t="n">
        <v>4425</v>
      </c>
      <c r="E102" t="n">
        <v>10505</v>
      </c>
      <c r="F102">
        <f>C102/(1-MIN(0.75,E102/(24000+E102)))</f>
        <v/>
      </c>
    </row>
    <row r="103">
      <c r="A103" t="n">
        <v>21</v>
      </c>
      <c r="B103" t="n">
        <v>102</v>
      </c>
      <c r="C103" t="n">
        <v>188492</v>
      </c>
      <c r="D103" t="n">
        <v>4425</v>
      </c>
      <c r="E103" t="n">
        <v>10505</v>
      </c>
      <c r="F103">
        <f>C103/(1-MIN(0.75,E103/(24000+E103)))</f>
        <v/>
      </c>
    </row>
    <row r="104">
      <c r="A104" t="n">
        <v>21</v>
      </c>
      <c r="B104" t="n">
        <v>103</v>
      </c>
      <c r="C104" t="n">
        <v>157077</v>
      </c>
      <c r="D104" t="n">
        <v>4425</v>
      </c>
      <c r="E104" t="n">
        <v>8754</v>
      </c>
      <c r="F104">
        <f>C104/(1-MIN(0.75,E104/(24000+E104)))</f>
        <v/>
      </c>
    </row>
    <row r="105">
      <c r="A105" t="n">
        <v>21</v>
      </c>
      <c r="B105" t="n">
        <v>104</v>
      </c>
      <c r="C105" t="n">
        <v>125661</v>
      </c>
      <c r="D105" t="n">
        <v>5310</v>
      </c>
      <c r="E105" t="n">
        <v>7003</v>
      </c>
      <c r="F105">
        <f>C105/(1-MIN(0.75,E105/(24000+E105)))</f>
        <v/>
      </c>
    </row>
    <row r="106">
      <c r="A106" t="n">
        <v>21</v>
      </c>
      <c r="B106" t="n">
        <v>105</v>
      </c>
      <c r="C106" t="n">
        <v>125661</v>
      </c>
      <c r="D106" t="n">
        <v>5310</v>
      </c>
      <c r="E106" t="n">
        <v>7003</v>
      </c>
      <c r="F106">
        <f>C106/(1-MIN(0.75,E106/(24000+E106)))</f>
        <v/>
      </c>
    </row>
    <row r="107">
      <c r="A107" t="n">
        <v>22</v>
      </c>
      <c r="B107" t="n">
        <v>106</v>
      </c>
      <c r="C107" t="n">
        <v>206539</v>
      </c>
      <c r="D107" t="n">
        <v>4698</v>
      </c>
      <c r="E107" t="n">
        <v>11066</v>
      </c>
      <c r="F107">
        <f>C107/(1-MIN(0.75,E107/(24000+E107)))</f>
        <v/>
      </c>
    </row>
    <row r="108">
      <c r="A108" t="n">
        <v>22</v>
      </c>
      <c r="B108" t="n">
        <v>107</v>
      </c>
      <c r="C108" t="n">
        <v>206539</v>
      </c>
      <c r="D108" t="n">
        <v>4698</v>
      </c>
      <c r="E108" t="n">
        <v>11066</v>
      </c>
      <c r="F108">
        <f>C108/(1-MIN(0.75,E108/(24000+E108)))</f>
        <v/>
      </c>
    </row>
    <row r="109">
      <c r="A109" t="n">
        <v>22</v>
      </c>
      <c r="B109" t="n">
        <v>108</v>
      </c>
      <c r="C109" t="n">
        <v>137692</v>
      </c>
      <c r="D109" t="n">
        <v>5637</v>
      </c>
      <c r="E109" t="n">
        <v>7377</v>
      </c>
      <c r="F109">
        <f>C109/(1-MIN(0.75,E109/(24000+E109)))</f>
        <v/>
      </c>
    </row>
    <row r="110">
      <c r="A110" t="n">
        <v>22</v>
      </c>
      <c r="B110" t="n">
        <v>109</v>
      </c>
      <c r="C110" t="n">
        <v>137692</v>
      </c>
      <c r="D110" t="n">
        <v>5637</v>
      </c>
      <c r="E110" t="n">
        <v>7377</v>
      </c>
      <c r="F110">
        <f>C110/(1-MIN(0.75,E110/(24000+E110)))</f>
        <v/>
      </c>
    </row>
    <row r="111">
      <c r="A111" t="n">
        <v>22</v>
      </c>
      <c r="B111" t="n">
        <v>110</v>
      </c>
      <c r="C111" t="n">
        <v>137692</v>
      </c>
      <c r="D111" t="n">
        <v>5637</v>
      </c>
      <c r="E111" t="n">
        <v>7377</v>
      </c>
      <c r="F111">
        <f>C111/(1-MIN(0.75,E111/(24000+E111)))</f>
        <v/>
      </c>
    </row>
    <row r="112">
      <c r="A112" t="n">
        <v>23</v>
      </c>
      <c r="B112" t="n">
        <v>111</v>
      </c>
      <c r="C112" t="n">
        <v>220482</v>
      </c>
      <c r="D112" t="n">
        <v>4910</v>
      </c>
      <c r="E112" t="n">
        <v>11631</v>
      </c>
      <c r="F112">
        <f>C112/(1-MIN(0.75,E112/(24000+E112)))</f>
        <v/>
      </c>
    </row>
    <row r="113">
      <c r="A113" t="n">
        <v>23</v>
      </c>
      <c r="B113" t="n">
        <v>112</v>
      </c>
      <c r="C113" t="n">
        <v>220482</v>
      </c>
      <c r="D113" t="n">
        <v>4910</v>
      </c>
      <c r="E113" t="n">
        <v>11631</v>
      </c>
      <c r="F113">
        <f>C113/(1-MIN(0.75,E113/(24000+E113)))</f>
        <v/>
      </c>
    </row>
    <row r="114">
      <c r="A114" t="n">
        <v>23</v>
      </c>
      <c r="B114" t="n">
        <v>113</v>
      </c>
      <c r="C114" t="n">
        <v>183735</v>
      </c>
      <c r="D114" t="n">
        <v>4910</v>
      </c>
      <c r="E114" t="n">
        <v>9693</v>
      </c>
      <c r="F114">
        <f>C114/(1-MIN(0.75,E114/(24000+E114)))</f>
        <v/>
      </c>
    </row>
    <row r="115">
      <c r="A115" t="n">
        <v>23</v>
      </c>
      <c r="B115" t="n">
        <v>114</v>
      </c>
      <c r="C115" t="n">
        <v>146988</v>
      </c>
      <c r="D115" t="n">
        <v>5892</v>
      </c>
      <c r="E115" t="n">
        <v>7754</v>
      </c>
      <c r="F115">
        <f>C115/(1-MIN(0.75,E115/(24000+E115)))</f>
        <v/>
      </c>
    </row>
    <row r="116">
      <c r="A116" t="n">
        <v>23</v>
      </c>
      <c r="B116" t="n">
        <v>115</v>
      </c>
      <c r="C116" t="n">
        <v>183735</v>
      </c>
      <c r="D116" t="n">
        <v>4910</v>
      </c>
      <c r="E116" t="n">
        <v>9693</v>
      </c>
      <c r="F116">
        <f>C116/(1-MIN(0.75,E116/(24000+E116)))</f>
        <v/>
      </c>
    </row>
    <row r="117">
      <c r="A117" t="n">
        <v>24</v>
      </c>
      <c r="B117" t="n">
        <v>116</v>
      </c>
      <c r="C117" t="n">
        <v>242233</v>
      </c>
      <c r="D117" t="n">
        <v>5202</v>
      </c>
      <c r="E117" t="n">
        <v>12203</v>
      </c>
      <c r="F117">
        <f>C117/(1-MIN(0.75,E117/(24000+E117)))</f>
        <v/>
      </c>
    </row>
    <row r="118">
      <c r="A118" t="n">
        <v>24</v>
      </c>
      <c r="B118" t="n">
        <v>117</v>
      </c>
      <c r="C118" t="n">
        <v>201861</v>
      </c>
      <c r="D118" t="n">
        <v>5202</v>
      </c>
      <c r="E118" t="n">
        <v>10169</v>
      </c>
      <c r="F118">
        <f>C118/(1-MIN(0.75,E118/(24000+E118)))</f>
        <v/>
      </c>
    </row>
    <row r="119">
      <c r="A119" t="n">
        <v>24</v>
      </c>
      <c r="B119" t="n">
        <v>118</v>
      </c>
      <c r="C119" t="n">
        <v>201861</v>
      </c>
      <c r="D119" t="n">
        <v>5202</v>
      </c>
      <c r="E119" t="n">
        <v>10169</v>
      </c>
      <c r="F119">
        <f>C119/(1-MIN(0.75,E119/(24000+E119)))</f>
        <v/>
      </c>
    </row>
    <row r="120">
      <c r="A120" t="n">
        <v>24</v>
      </c>
      <c r="B120" t="n">
        <v>119</v>
      </c>
      <c r="C120" t="n">
        <v>201861</v>
      </c>
      <c r="D120" t="n">
        <v>5202</v>
      </c>
      <c r="E120" t="n">
        <v>10169</v>
      </c>
      <c r="F120">
        <f>C120/(1-MIN(0.75,E120/(24000+E120)))</f>
        <v/>
      </c>
    </row>
    <row r="121">
      <c r="A121" t="n">
        <v>24</v>
      </c>
      <c r="B121" t="n">
        <v>120</v>
      </c>
      <c r="C121" t="n">
        <v>201861</v>
      </c>
      <c r="D121" t="n">
        <v>5202</v>
      </c>
      <c r="E121" t="n">
        <v>10169</v>
      </c>
      <c r="F121">
        <f>C121/(1-MIN(0.75,E121/(24000+E121)))</f>
        <v/>
      </c>
    </row>
    <row r="122">
      <c r="A122" t="n">
        <v>25</v>
      </c>
      <c r="B122" t="n">
        <v>121</v>
      </c>
      <c r="C122" t="n">
        <v>258695</v>
      </c>
      <c r="D122" t="n">
        <v>5437</v>
      </c>
      <c r="E122" t="n">
        <v>12779</v>
      </c>
      <c r="F122">
        <f>C122/(1-MIN(0.75,E122/(24000+E122)))</f>
        <v/>
      </c>
    </row>
    <row r="123">
      <c r="A123" t="n">
        <v>25</v>
      </c>
      <c r="B123" t="n">
        <v>122</v>
      </c>
      <c r="C123" t="n">
        <v>172463</v>
      </c>
      <c r="D123" t="n">
        <v>6525</v>
      </c>
      <c r="E123" t="n">
        <v>8519</v>
      </c>
      <c r="F123">
        <f>C123/(1-MIN(0.75,E123/(24000+E123)))</f>
        <v/>
      </c>
    </row>
    <row r="124">
      <c r="A124" t="n">
        <v>25</v>
      </c>
      <c r="B124" t="n">
        <v>123</v>
      </c>
      <c r="C124" t="n">
        <v>215579</v>
      </c>
      <c r="D124" t="n">
        <v>5437</v>
      </c>
      <c r="E124" t="n">
        <v>10649</v>
      </c>
      <c r="F124">
        <f>C124/(1-MIN(0.75,E124/(24000+E124)))</f>
        <v/>
      </c>
    </row>
    <row r="125">
      <c r="A125" t="n">
        <v>25</v>
      </c>
      <c r="B125" t="n">
        <v>124</v>
      </c>
      <c r="C125" t="n">
        <v>215579</v>
      </c>
      <c r="D125" t="n">
        <v>5437</v>
      </c>
      <c r="E125" t="n">
        <v>10649</v>
      </c>
      <c r="F125">
        <f>C125/(1-MIN(0.75,E125/(24000+E125)))</f>
        <v/>
      </c>
    </row>
    <row r="126">
      <c r="A126" t="n">
        <v>25</v>
      </c>
      <c r="B126" t="n">
        <v>125</v>
      </c>
      <c r="C126" t="n">
        <v>215579</v>
      </c>
      <c r="D126" t="n">
        <v>5437</v>
      </c>
      <c r="E126" t="n">
        <v>10649</v>
      </c>
      <c r="F126">
        <f>C126/(1-MIN(0.75,E126/(24000+E126)))</f>
        <v/>
      </c>
    </row>
    <row r="127">
      <c r="A127" t="n">
        <v>26</v>
      </c>
      <c r="B127" t="n">
        <v>126</v>
      </c>
      <c r="C127" t="n">
        <v>283107</v>
      </c>
      <c r="D127" t="n">
        <v>5788</v>
      </c>
      <c r="E127" t="n">
        <v>13361</v>
      </c>
      <c r="F127">
        <f>C127/(1-MIN(0.75,E127/(24000+E127)))</f>
        <v/>
      </c>
    </row>
    <row r="128">
      <c r="A128" t="n">
        <v>26</v>
      </c>
      <c r="B128" t="n">
        <v>127</v>
      </c>
      <c r="C128" t="n">
        <v>188738</v>
      </c>
      <c r="D128" t="n">
        <v>6945</v>
      </c>
      <c r="E128" t="n">
        <v>8907</v>
      </c>
      <c r="F128">
        <f>C128/(1-MIN(0.75,E128/(24000+E128)))</f>
        <v/>
      </c>
    </row>
    <row r="129">
      <c r="A129" t="n">
        <v>26</v>
      </c>
      <c r="B129" t="n">
        <v>128</v>
      </c>
      <c r="C129" t="n">
        <v>188738</v>
      </c>
      <c r="D129" t="n">
        <v>6945</v>
      </c>
      <c r="E129" t="n">
        <v>8907</v>
      </c>
      <c r="F129">
        <f>C129/(1-MIN(0.75,E129/(24000+E129)))</f>
        <v/>
      </c>
    </row>
    <row r="130">
      <c r="A130" t="n">
        <v>26</v>
      </c>
      <c r="B130" t="n">
        <v>129</v>
      </c>
      <c r="C130" t="n">
        <v>188738</v>
      </c>
      <c r="D130" t="n">
        <v>6945</v>
      </c>
      <c r="E130" t="n">
        <v>8907</v>
      </c>
      <c r="F130">
        <f>C130/(1-MIN(0.75,E130/(24000+E130)))</f>
        <v/>
      </c>
    </row>
    <row r="131">
      <c r="A131" t="n">
        <v>26</v>
      </c>
      <c r="B131" t="n">
        <v>130</v>
      </c>
      <c r="C131" t="n">
        <v>235923</v>
      </c>
      <c r="D131" t="n">
        <v>5788</v>
      </c>
      <c r="E131" t="n">
        <v>11134</v>
      </c>
      <c r="F131">
        <f>C131/(1-MIN(0.75,E131/(24000+E131)))</f>
        <v/>
      </c>
    </row>
    <row r="132">
      <c r="A132" t="n">
        <v>27</v>
      </c>
      <c r="B132" t="n">
        <v>131</v>
      </c>
      <c r="C132" t="n">
        <v>303481</v>
      </c>
      <c r="D132" t="n">
        <v>6035</v>
      </c>
      <c r="E132" t="n">
        <v>13949</v>
      </c>
      <c r="F132">
        <f>C132/(1-MIN(0.75,E132/(24000+E132)))</f>
        <v/>
      </c>
    </row>
    <row r="133">
      <c r="A133" t="n">
        <v>27</v>
      </c>
      <c r="B133" t="n">
        <v>132</v>
      </c>
      <c r="C133" t="n">
        <v>303481</v>
      </c>
      <c r="D133" t="n">
        <v>6035</v>
      </c>
      <c r="E133" t="n">
        <v>13949</v>
      </c>
      <c r="F133">
        <f>C133/(1-MIN(0.75,E133/(24000+E133)))</f>
        <v/>
      </c>
    </row>
    <row r="134">
      <c r="A134" t="n">
        <v>27</v>
      </c>
      <c r="B134" t="n">
        <v>133</v>
      </c>
      <c r="C134" t="n">
        <v>252901</v>
      </c>
      <c r="D134" t="n">
        <v>6035</v>
      </c>
      <c r="E134" t="n">
        <v>11624</v>
      </c>
      <c r="F134">
        <f>C134/(1-MIN(0.75,E134/(24000+E134)))</f>
        <v/>
      </c>
    </row>
    <row r="135">
      <c r="A135" t="n">
        <v>27</v>
      </c>
      <c r="B135" t="n">
        <v>134</v>
      </c>
      <c r="C135" t="n">
        <v>202321</v>
      </c>
      <c r="D135" t="n">
        <v>7242</v>
      </c>
      <c r="E135" t="n">
        <v>9299</v>
      </c>
      <c r="F135">
        <f>C135/(1-MIN(0.75,E135/(24000+E135)))</f>
        <v/>
      </c>
    </row>
    <row r="136">
      <c r="A136" t="n">
        <v>27</v>
      </c>
      <c r="B136" t="n">
        <v>135</v>
      </c>
      <c r="C136" t="n">
        <v>252901</v>
      </c>
      <c r="D136" t="n">
        <v>6035</v>
      </c>
      <c r="E136" t="n">
        <v>11624</v>
      </c>
      <c r="F136">
        <f>C136/(1-MIN(0.75,E136/(24000+E136)))</f>
        <v/>
      </c>
    </row>
    <row r="137">
      <c r="A137" t="n">
        <v>28</v>
      </c>
      <c r="B137" t="n">
        <v>136</v>
      </c>
      <c r="C137" t="n">
        <v>326882</v>
      </c>
      <c r="D137" t="n">
        <v>6348</v>
      </c>
      <c r="E137" t="n">
        <v>14541</v>
      </c>
      <c r="F137">
        <f>C137/(1-MIN(0.75,E137/(24000+E137)))</f>
        <v/>
      </c>
    </row>
    <row r="138">
      <c r="A138" t="n">
        <v>28</v>
      </c>
      <c r="B138" t="n">
        <v>137</v>
      </c>
      <c r="C138" t="n">
        <v>326882</v>
      </c>
      <c r="D138" t="n">
        <v>6348</v>
      </c>
      <c r="E138" t="n">
        <v>14541</v>
      </c>
      <c r="F138">
        <f>C138/(1-MIN(0.75,E138/(24000+E138)))</f>
        <v/>
      </c>
    </row>
    <row r="139">
      <c r="A139" t="n">
        <v>28</v>
      </c>
      <c r="B139" t="n">
        <v>138</v>
      </c>
      <c r="C139" t="n">
        <v>326882</v>
      </c>
      <c r="D139" t="n">
        <v>6348</v>
      </c>
      <c r="E139" t="n">
        <v>14541</v>
      </c>
      <c r="F139">
        <f>C139/(1-MIN(0.75,E139/(24000+E139)))</f>
        <v/>
      </c>
    </row>
    <row r="140">
      <c r="A140" t="n">
        <v>28</v>
      </c>
      <c r="B140" t="n">
        <v>139</v>
      </c>
      <c r="C140" t="n">
        <v>217921</v>
      </c>
      <c r="D140" t="n">
        <v>7618</v>
      </c>
      <c r="E140" t="n">
        <v>9694</v>
      </c>
      <c r="F140">
        <f>C140/(1-MIN(0.75,E140/(24000+E140)))</f>
        <v/>
      </c>
    </row>
    <row r="141">
      <c r="A141" t="n">
        <v>28</v>
      </c>
      <c r="B141" t="n">
        <v>140</v>
      </c>
      <c r="C141" t="n">
        <v>217921</v>
      </c>
      <c r="D141" t="n">
        <v>7618</v>
      </c>
      <c r="E141" t="n">
        <v>9694</v>
      </c>
      <c r="F141">
        <f>C141/(1-MIN(0.75,E141/(24000+E141)))</f>
        <v/>
      </c>
    </row>
    <row r="142">
      <c r="A142" t="n">
        <v>29</v>
      </c>
      <c r="B142" t="n">
        <v>141</v>
      </c>
      <c r="C142" t="n">
        <v>349410</v>
      </c>
      <c r="D142" t="n">
        <v>6669</v>
      </c>
      <c r="E142" t="n">
        <v>15140</v>
      </c>
      <c r="F142">
        <f>C142/(1-MIN(0.75,E142/(24000+E142)))</f>
        <v/>
      </c>
    </row>
    <row r="143">
      <c r="A143" t="n">
        <v>29</v>
      </c>
      <c r="B143" t="n">
        <v>142</v>
      </c>
      <c r="C143" t="n">
        <v>349410</v>
      </c>
      <c r="D143" t="n">
        <v>6669</v>
      </c>
      <c r="E143" t="n">
        <v>15140</v>
      </c>
      <c r="F143">
        <f>C143/(1-MIN(0.75,E143/(24000+E143)))</f>
        <v/>
      </c>
    </row>
    <row r="144">
      <c r="A144" t="n">
        <v>29</v>
      </c>
      <c r="B144" t="n">
        <v>143</v>
      </c>
      <c r="C144" t="n">
        <v>232940</v>
      </c>
      <c r="D144" t="n">
        <v>8003</v>
      </c>
      <c r="E144" t="n">
        <v>10093</v>
      </c>
      <c r="F144">
        <f>C144/(1-MIN(0.75,E144/(24000+E144)))</f>
        <v/>
      </c>
    </row>
    <row r="145">
      <c r="A145" t="n">
        <v>29</v>
      </c>
      <c r="B145" t="n">
        <v>144</v>
      </c>
      <c r="C145" t="n">
        <v>232940</v>
      </c>
      <c r="D145" t="n">
        <v>8003</v>
      </c>
      <c r="E145" t="n">
        <v>10093</v>
      </c>
      <c r="F145">
        <f>C145/(1-MIN(0.75,E145/(24000+E145)))</f>
        <v/>
      </c>
    </row>
    <row r="146">
      <c r="A146" t="n">
        <v>29</v>
      </c>
      <c r="B146" t="n">
        <v>145</v>
      </c>
      <c r="C146" t="n">
        <v>232940</v>
      </c>
      <c r="D146" t="n">
        <v>8003</v>
      </c>
      <c r="E146" t="n">
        <v>10093</v>
      </c>
      <c r="F146">
        <f>C146/(1-MIN(0.75,E146/(24000+E146)))</f>
        <v/>
      </c>
    </row>
    <row r="147">
      <c r="A147" t="n">
        <v>30</v>
      </c>
      <c r="B147" t="n">
        <v>146</v>
      </c>
      <c r="C147" t="n">
        <v>372479</v>
      </c>
      <c r="D147" t="n">
        <v>6967</v>
      </c>
      <c r="E147" t="n">
        <v>15744</v>
      </c>
      <c r="F147">
        <f>C147/(1-MIN(0.75,E147/(24000+E147)))</f>
        <v/>
      </c>
    </row>
    <row r="148">
      <c r="A148" t="n">
        <v>30</v>
      </c>
      <c r="B148" t="n">
        <v>147</v>
      </c>
      <c r="C148" t="n">
        <v>248319</v>
      </c>
      <c r="D148" t="n">
        <v>8360</v>
      </c>
      <c r="E148" t="n">
        <v>10496</v>
      </c>
      <c r="F148">
        <f>C148/(1-MIN(0.75,E148/(24000+E148)))</f>
        <v/>
      </c>
    </row>
    <row r="149">
      <c r="A149" t="n">
        <v>30</v>
      </c>
      <c r="B149" t="n">
        <v>148</v>
      </c>
      <c r="C149" t="n">
        <v>248319</v>
      </c>
      <c r="D149" t="n">
        <v>8360</v>
      </c>
      <c r="E149" t="n">
        <v>10496</v>
      </c>
      <c r="F149">
        <f>C149/(1-MIN(0.75,E149/(24000+E149)))</f>
        <v/>
      </c>
    </row>
    <row r="150">
      <c r="A150" t="n">
        <v>30</v>
      </c>
      <c r="B150" t="n">
        <v>149</v>
      </c>
      <c r="C150" t="n">
        <v>310399</v>
      </c>
      <c r="D150" t="n">
        <v>6967</v>
      </c>
      <c r="E150" t="n">
        <v>13120</v>
      </c>
      <c r="F150">
        <f>C150/(1-MIN(0.75,E150/(24000+E150)))</f>
        <v/>
      </c>
    </row>
    <row r="151">
      <c r="A151" t="n">
        <v>30</v>
      </c>
      <c r="B151" t="n">
        <v>150</v>
      </c>
      <c r="C151" t="n">
        <v>310399</v>
      </c>
      <c r="D151" t="n">
        <v>6967</v>
      </c>
      <c r="E151" t="n">
        <v>13120</v>
      </c>
      <c r="F151">
        <f>C151/(1-MIN(0.75,E151/(24000+E151)))</f>
        <v/>
      </c>
    </row>
    <row r="152">
      <c r="A152" t="n">
        <v>31</v>
      </c>
      <c r="B152" t="n">
        <v>151</v>
      </c>
      <c r="C152" t="n">
        <v>402226</v>
      </c>
      <c r="D152" t="n">
        <v>7322</v>
      </c>
      <c r="E152" t="n">
        <v>16353</v>
      </c>
      <c r="F152">
        <f>C152/(1-MIN(0.75,E152/(24000+E152)))</f>
        <v/>
      </c>
    </row>
    <row r="153">
      <c r="A153" t="n">
        <v>31</v>
      </c>
      <c r="B153" t="n">
        <v>152</v>
      </c>
      <c r="C153" t="n">
        <v>268151</v>
      </c>
      <c r="D153" t="n">
        <v>8786</v>
      </c>
      <c r="E153" t="n">
        <v>10902</v>
      </c>
      <c r="F153">
        <f>C153/(1-MIN(0.75,E153/(24000+E153)))</f>
        <v/>
      </c>
    </row>
    <row r="154">
      <c r="A154" t="n">
        <v>31</v>
      </c>
      <c r="B154" t="n">
        <v>153</v>
      </c>
      <c r="C154" t="n">
        <v>268151</v>
      </c>
      <c r="D154" t="n">
        <v>8786</v>
      </c>
      <c r="E154" t="n">
        <v>10902</v>
      </c>
      <c r="F154">
        <f>C154/(1-MIN(0.75,E154/(24000+E154)))</f>
        <v/>
      </c>
    </row>
    <row r="155">
      <c r="A155" t="n">
        <v>31</v>
      </c>
      <c r="B155" t="n">
        <v>154</v>
      </c>
      <c r="C155" t="n">
        <v>335189</v>
      </c>
      <c r="D155" t="n">
        <v>7322</v>
      </c>
      <c r="E155" t="n">
        <v>13628</v>
      </c>
      <c r="F155">
        <f>C155/(1-MIN(0.75,E155/(24000+E155)))</f>
        <v/>
      </c>
    </row>
    <row r="156">
      <c r="A156" t="n">
        <v>31</v>
      </c>
      <c r="B156" t="n">
        <v>155</v>
      </c>
      <c r="C156" t="n">
        <v>335189</v>
      </c>
      <c r="D156" t="n">
        <v>7322</v>
      </c>
      <c r="E156" t="n">
        <v>13628</v>
      </c>
      <c r="F156">
        <f>C156/(1-MIN(0.75,E156/(24000+E156)))</f>
        <v/>
      </c>
    </row>
    <row r="157">
      <c r="A157" t="n">
        <v>32</v>
      </c>
      <c r="B157" t="n">
        <v>156</v>
      </c>
      <c r="C157" t="n">
        <v>430969</v>
      </c>
      <c r="D157" t="n">
        <v>7665</v>
      </c>
      <c r="E157" t="n">
        <v>16968</v>
      </c>
      <c r="F157">
        <f>C157/(1-MIN(0.75,E157/(24000+E157)))</f>
        <v/>
      </c>
    </row>
    <row r="158">
      <c r="A158" t="n">
        <v>32</v>
      </c>
      <c r="B158" t="n">
        <v>157</v>
      </c>
      <c r="C158" t="n">
        <v>359141</v>
      </c>
      <c r="D158" t="n">
        <v>7665</v>
      </c>
      <c r="E158" t="n">
        <v>14140</v>
      </c>
      <c r="F158">
        <f>C158/(1-MIN(0.75,E158/(24000+E158)))</f>
        <v/>
      </c>
    </row>
    <row r="159">
      <c r="A159" t="n">
        <v>32</v>
      </c>
      <c r="B159" t="n">
        <v>158</v>
      </c>
      <c r="C159" t="n">
        <v>287313</v>
      </c>
      <c r="D159" t="n">
        <v>9198</v>
      </c>
      <c r="E159" t="n">
        <v>11312</v>
      </c>
      <c r="F159">
        <f>C159/(1-MIN(0.75,E159/(24000+E159)))</f>
        <v/>
      </c>
    </row>
    <row r="160">
      <c r="A160" t="n">
        <v>32</v>
      </c>
      <c r="B160" t="n">
        <v>159</v>
      </c>
      <c r="C160" t="n">
        <v>359141</v>
      </c>
      <c r="D160" t="n">
        <v>7665</v>
      </c>
      <c r="E160" t="n">
        <v>14140</v>
      </c>
      <c r="F160">
        <f>C160/(1-MIN(0.75,E160/(24000+E160)))</f>
        <v/>
      </c>
    </row>
    <row r="161">
      <c r="A161" t="n">
        <v>32</v>
      </c>
      <c r="B161" t="n">
        <v>160</v>
      </c>
      <c r="C161" t="n">
        <v>359141</v>
      </c>
      <c r="D161" t="n">
        <v>7665</v>
      </c>
      <c r="E161" t="n">
        <v>14140</v>
      </c>
      <c r="F161">
        <f>C161/(1-MIN(0.75,E161/(24000+E161)))</f>
        <v/>
      </c>
    </row>
    <row r="162">
      <c r="A162" t="n">
        <v>33</v>
      </c>
      <c r="B162" t="n">
        <v>161</v>
      </c>
      <c r="C162" t="n">
        <v>457900</v>
      </c>
      <c r="D162" t="n">
        <v>8000</v>
      </c>
      <c r="E162" t="n">
        <v>17589</v>
      </c>
      <c r="F162">
        <f>C162/(1-MIN(0.75,E162/(24000+E162)))</f>
        <v/>
      </c>
    </row>
    <row r="163">
      <c r="A163" t="n">
        <v>33</v>
      </c>
      <c r="B163" t="n">
        <v>162</v>
      </c>
      <c r="C163" t="n">
        <v>305267</v>
      </c>
      <c r="D163" t="n">
        <v>9600</v>
      </c>
      <c r="E163" t="n">
        <v>11726</v>
      </c>
      <c r="F163">
        <f>C163/(1-MIN(0.75,E163/(24000+E163)))</f>
        <v/>
      </c>
    </row>
    <row r="164">
      <c r="A164" t="n">
        <v>33</v>
      </c>
      <c r="B164" t="n">
        <v>163</v>
      </c>
      <c r="C164" t="n">
        <v>305267</v>
      </c>
      <c r="D164" t="n">
        <v>9600</v>
      </c>
      <c r="E164" t="n">
        <v>11726</v>
      </c>
      <c r="F164">
        <f>C164/(1-MIN(0.75,E164/(24000+E164)))</f>
        <v/>
      </c>
    </row>
    <row r="165">
      <c r="A165" t="n">
        <v>33</v>
      </c>
      <c r="B165" t="n">
        <v>164</v>
      </c>
      <c r="C165" t="n">
        <v>381583</v>
      </c>
      <c r="D165" t="n">
        <v>8000</v>
      </c>
      <c r="E165" t="n">
        <v>14658</v>
      </c>
      <c r="F165">
        <f>C165/(1-MIN(0.75,E165/(24000+E165)))</f>
        <v/>
      </c>
    </row>
    <row r="166">
      <c r="A166" t="n">
        <v>33</v>
      </c>
      <c r="B166" t="n">
        <v>165</v>
      </c>
      <c r="C166" t="n">
        <v>381583</v>
      </c>
      <c r="D166" t="n">
        <v>8000</v>
      </c>
      <c r="E166" t="n">
        <v>14658</v>
      </c>
      <c r="F166">
        <f>C166/(1-MIN(0.75,E166/(24000+E166)))</f>
        <v/>
      </c>
    </row>
    <row r="167">
      <c r="A167" t="n">
        <v>34</v>
      </c>
      <c r="B167" t="n">
        <v>166</v>
      </c>
      <c r="C167" t="n">
        <v>490200</v>
      </c>
      <c r="D167" t="n">
        <v>8385</v>
      </c>
      <c r="E167" t="n">
        <v>18215</v>
      </c>
      <c r="F167">
        <f>C167/(1-MIN(0.75,E167/(24000+E167)))</f>
        <v/>
      </c>
    </row>
    <row r="168">
      <c r="A168" t="n">
        <v>34</v>
      </c>
      <c r="B168" t="n">
        <v>167</v>
      </c>
      <c r="C168" t="n">
        <v>326800</v>
      </c>
      <c r="D168" t="n">
        <v>10062</v>
      </c>
      <c r="E168" t="n">
        <v>12143</v>
      </c>
      <c r="F168">
        <f>C168/(1-MIN(0.75,E168/(24000+E168)))</f>
        <v/>
      </c>
    </row>
    <row r="169">
      <c r="A169" t="n">
        <v>34</v>
      </c>
      <c r="B169" t="n">
        <v>168</v>
      </c>
      <c r="C169" t="n">
        <v>408500</v>
      </c>
      <c r="D169" t="n">
        <v>8385</v>
      </c>
      <c r="E169" t="n">
        <v>15179</v>
      </c>
      <c r="F169">
        <f>C169/(1-MIN(0.75,E169/(24000+E169)))</f>
        <v/>
      </c>
    </row>
    <row r="170">
      <c r="A170" t="n">
        <v>34</v>
      </c>
      <c r="B170" t="n">
        <v>169</v>
      </c>
      <c r="C170" t="n">
        <v>408500</v>
      </c>
      <c r="D170" t="n">
        <v>8385</v>
      </c>
      <c r="E170" t="n">
        <v>15179</v>
      </c>
      <c r="F170">
        <f>C170/(1-MIN(0.75,E170/(24000+E170)))</f>
        <v/>
      </c>
    </row>
    <row r="171">
      <c r="A171" t="n">
        <v>34</v>
      </c>
      <c r="B171" t="n">
        <v>170</v>
      </c>
      <c r="C171" t="n">
        <v>326800</v>
      </c>
      <c r="D171" t="n">
        <v>10062</v>
      </c>
      <c r="E171" t="n">
        <v>12143</v>
      </c>
      <c r="F171">
        <f>C171/(1-MIN(0.75,E171/(24000+E171)))</f>
        <v/>
      </c>
    </row>
    <row r="172">
      <c r="A172" t="n">
        <v>35</v>
      </c>
      <c r="B172" t="n">
        <v>171</v>
      </c>
      <c r="C172" t="n">
        <v>515540</v>
      </c>
      <c r="D172" t="n">
        <v>8690</v>
      </c>
      <c r="E172" t="n">
        <v>18846</v>
      </c>
      <c r="F172">
        <f>C172/(1-MIN(0.75,E172/(24000+E172)))</f>
        <v/>
      </c>
    </row>
    <row r="173">
      <c r="A173" t="n">
        <v>35</v>
      </c>
      <c r="B173" t="n">
        <v>172</v>
      </c>
      <c r="C173" t="n">
        <v>343693</v>
      </c>
      <c r="D173" t="n">
        <v>10428</v>
      </c>
      <c r="E173" t="n">
        <v>12564</v>
      </c>
      <c r="F173">
        <f>C173/(1-MIN(0.75,E173/(24000+E173)))</f>
        <v/>
      </c>
    </row>
    <row r="174">
      <c r="A174" t="n">
        <v>35</v>
      </c>
      <c r="B174" t="n">
        <v>173</v>
      </c>
      <c r="C174" t="n">
        <v>429617</v>
      </c>
      <c r="D174" t="n">
        <v>8690</v>
      </c>
      <c r="E174" t="n">
        <v>15705</v>
      </c>
      <c r="F174">
        <f>C174/(1-MIN(0.75,E174/(24000+E174)))</f>
        <v/>
      </c>
    </row>
    <row r="175">
      <c r="A175" t="n">
        <v>35</v>
      </c>
      <c r="B175" t="n">
        <v>174</v>
      </c>
      <c r="C175" t="n">
        <v>429617</v>
      </c>
      <c r="D175" t="n">
        <v>8690</v>
      </c>
      <c r="E175" t="n">
        <v>15705</v>
      </c>
      <c r="F175">
        <f>C175/(1-MIN(0.75,E175/(24000+E175)))</f>
        <v/>
      </c>
    </row>
    <row r="176">
      <c r="A176" t="n">
        <v>35</v>
      </c>
      <c r="B176" t="n">
        <v>175</v>
      </c>
      <c r="C176" t="n">
        <v>429617</v>
      </c>
      <c r="D176" t="n">
        <v>8690</v>
      </c>
      <c r="E176" t="n">
        <v>15705</v>
      </c>
      <c r="F176">
        <f>C176/(1-MIN(0.75,E176/(24000+E176)))</f>
        <v/>
      </c>
    </row>
    <row r="177">
      <c r="A177" t="n">
        <v>36</v>
      </c>
      <c r="B177" t="n">
        <v>176</v>
      </c>
      <c r="C177" t="n">
        <v>553548</v>
      </c>
      <c r="D177" t="n">
        <v>9124</v>
      </c>
      <c r="E177" t="n">
        <v>19482</v>
      </c>
      <c r="F177">
        <f>C177/(1-MIN(0.75,E177/(24000+E177)))</f>
        <v/>
      </c>
    </row>
    <row r="178">
      <c r="A178" t="n">
        <v>36</v>
      </c>
      <c r="B178" t="n">
        <v>177</v>
      </c>
      <c r="C178" t="n">
        <v>369032</v>
      </c>
      <c r="D178" t="n">
        <v>10949</v>
      </c>
      <c r="E178" t="n">
        <v>12988</v>
      </c>
      <c r="F178">
        <f>C178/(1-MIN(0.75,E178/(24000+E178)))</f>
        <v/>
      </c>
    </row>
    <row r="179">
      <c r="A179" t="n">
        <v>36</v>
      </c>
      <c r="B179" t="n">
        <v>178</v>
      </c>
      <c r="C179" t="n">
        <v>461290</v>
      </c>
      <c r="D179" t="n">
        <v>9124</v>
      </c>
      <c r="E179" t="n">
        <v>16235</v>
      </c>
      <c r="F179">
        <f>C179/(1-MIN(0.75,E179/(24000+E179)))</f>
        <v/>
      </c>
    </row>
    <row r="180">
      <c r="A180" t="n">
        <v>36</v>
      </c>
      <c r="B180" t="n">
        <v>179</v>
      </c>
      <c r="C180" t="n">
        <v>461290</v>
      </c>
      <c r="D180" t="n">
        <v>9124</v>
      </c>
      <c r="E180" t="n">
        <v>16235</v>
      </c>
      <c r="F180">
        <f>C180/(1-MIN(0.75,E180/(24000+E180)))</f>
        <v/>
      </c>
    </row>
    <row r="181">
      <c r="A181" t="n">
        <v>36</v>
      </c>
      <c r="B181" t="n">
        <v>180</v>
      </c>
      <c r="C181" t="n">
        <v>369032</v>
      </c>
      <c r="D181" t="n">
        <v>10949</v>
      </c>
      <c r="E181" t="n">
        <v>12988</v>
      </c>
      <c r="F181">
        <f>C181/(1-MIN(0.75,E181/(24000+E181)))</f>
        <v/>
      </c>
    </row>
    <row r="182">
      <c r="A182" t="n">
        <v>37</v>
      </c>
      <c r="B182" t="n">
        <v>181</v>
      </c>
      <c r="C182" t="n">
        <v>585948</v>
      </c>
      <c r="D182" t="n">
        <v>9475</v>
      </c>
      <c r="E182" t="n">
        <v>20126</v>
      </c>
      <c r="F182">
        <f>C182/(1-MIN(0.75,E182/(24000+E182)))</f>
        <v/>
      </c>
    </row>
    <row r="183">
      <c r="A183" t="n">
        <v>37</v>
      </c>
      <c r="B183" t="n">
        <v>182</v>
      </c>
      <c r="C183" t="n">
        <v>585948</v>
      </c>
      <c r="D183" t="n">
        <v>9475</v>
      </c>
      <c r="E183" t="n">
        <v>20126</v>
      </c>
      <c r="F183">
        <f>C183/(1-MIN(0.75,E183/(24000+E183)))</f>
        <v/>
      </c>
    </row>
    <row r="184">
      <c r="A184" t="n">
        <v>37</v>
      </c>
      <c r="B184" t="n">
        <v>183</v>
      </c>
      <c r="C184" t="n">
        <v>390632</v>
      </c>
      <c r="D184" t="n">
        <v>11370</v>
      </c>
      <c r="E184" t="n">
        <v>13417</v>
      </c>
      <c r="F184">
        <f>C184/(1-MIN(0.75,E184/(24000+E184)))</f>
        <v/>
      </c>
    </row>
    <row r="185">
      <c r="A185" t="n">
        <v>37</v>
      </c>
      <c r="B185" t="n">
        <v>184</v>
      </c>
      <c r="C185" t="n">
        <v>488290</v>
      </c>
      <c r="D185" t="n">
        <v>9475</v>
      </c>
      <c r="E185" t="n">
        <v>16771</v>
      </c>
      <c r="F185">
        <f>C185/(1-MIN(0.75,E185/(24000+E185)))</f>
        <v/>
      </c>
    </row>
    <row r="186">
      <c r="A186" t="n">
        <v>37</v>
      </c>
      <c r="B186" t="n">
        <v>185</v>
      </c>
      <c r="C186" t="n">
        <v>488290</v>
      </c>
      <c r="D186" t="n">
        <v>9475</v>
      </c>
      <c r="E186" t="n">
        <v>16771</v>
      </c>
      <c r="F186">
        <f>C186/(1-MIN(0.75,E186/(24000+E186)))</f>
        <v/>
      </c>
    </row>
    <row r="187">
      <c r="A187" t="n">
        <v>38</v>
      </c>
      <c r="B187" t="n">
        <v>186</v>
      </c>
      <c r="C187" t="n">
        <v>618932</v>
      </c>
      <c r="D187" t="n">
        <v>9899</v>
      </c>
      <c r="E187" t="n">
        <v>20772</v>
      </c>
      <c r="F187">
        <f>C187/(1-MIN(0.75,E187/(24000+E187)))</f>
        <v/>
      </c>
    </row>
    <row r="188">
      <c r="A188" t="n">
        <v>38</v>
      </c>
      <c r="B188" t="n">
        <v>187</v>
      </c>
      <c r="C188" t="n">
        <v>412621</v>
      </c>
      <c r="D188" t="n">
        <v>11879</v>
      </c>
      <c r="E188" t="n">
        <v>13848</v>
      </c>
      <c r="F188">
        <f>C188/(1-MIN(0.75,E188/(24000+E188)))</f>
        <v/>
      </c>
    </row>
    <row r="189">
      <c r="A189" t="n">
        <v>38</v>
      </c>
      <c r="B189" t="n">
        <v>188</v>
      </c>
      <c r="C189" t="n">
        <v>412621</v>
      </c>
      <c r="D189" t="n">
        <v>11879</v>
      </c>
      <c r="E189" t="n">
        <v>13848</v>
      </c>
      <c r="F189">
        <f>C189/(1-MIN(0.75,E189/(24000+E189)))</f>
        <v/>
      </c>
    </row>
    <row r="190">
      <c r="A190" t="n">
        <v>38</v>
      </c>
      <c r="B190" t="n">
        <v>189</v>
      </c>
      <c r="C190" t="n">
        <v>412621</v>
      </c>
      <c r="D190" t="n">
        <v>11879</v>
      </c>
      <c r="E190" t="n">
        <v>13848</v>
      </c>
      <c r="F190">
        <f>C190/(1-MIN(0.75,E190/(24000+E190)))</f>
        <v/>
      </c>
    </row>
    <row r="191">
      <c r="A191" t="n">
        <v>38</v>
      </c>
      <c r="B191" t="n">
        <v>190</v>
      </c>
      <c r="C191" t="n">
        <v>515777</v>
      </c>
      <c r="D191" t="n">
        <v>9899</v>
      </c>
      <c r="E191" t="n">
        <v>17310</v>
      </c>
      <c r="F191">
        <f>C191/(1-MIN(0.75,E191/(24000+E191)))</f>
        <v/>
      </c>
    </row>
    <row r="192">
      <c r="A192" t="n">
        <v>39</v>
      </c>
      <c r="B192" t="n">
        <v>191</v>
      </c>
      <c r="C192" t="n">
        <v>659945</v>
      </c>
      <c r="D192" t="n">
        <v>10349</v>
      </c>
      <c r="E192" t="n">
        <v>21426</v>
      </c>
      <c r="F192">
        <f>C192/(1-MIN(0.75,E192/(24000+E192)))</f>
        <v/>
      </c>
    </row>
    <row r="193">
      <c r="A193" t="n">
        <v>39</v>
      </c>
      <c r="B193" t="n">
        <v>192</v>
      </c>
      <c r="C193" t="n">
        <v>659945</v>
      </c>
      <c r="D193" t="n">
        <v>10349</v>
      </c>
      <c r="E193" t="n">
        <v>21426</v>
      </c>
      <c r="F193">
        <f>C193/(1-MIN(0.75,E193/(24000+E193)))</f>
        <v/>
      </c>
    </row>
    <row r="194">
      <c r="A194" t="n">
        <v>39</v>
      </c>
      <c r="B194" t="n">
        <v>193</v>
      </c>
      <c r="C194" t="n">
        <v>439963</v>
      </c>
      <c r="D194" t="n">
        <v>12418</v>
      </c>
      <c r="E194" t="n">
        <v>14284</v>
      </c>
      <c r="F194">
        <f>C194/(1-MIN(0.75,E194/(24000+E194)))</f>
        <v/>
      </c>
    </row>
    <row r="195">
      <c r="A195" t="n">
        <v>39</v>
      </c>
      <c r="B195" t="n">
        <v>194</v>
      </c>
      <c r="C195" t="n">
        <v>439963</v>
      </c>
      <c r="D195" t="n">
        <v>12418</v>
      </c>
      <c r="E195" t="n">
        <v>14284</v>
      </c>
      <c r="F195">
        <f>C195/(1-MIN(0.75,E195/(24000+E195)))</f>
        <v/>
      </c>
    </row>
    <row r="196">
      <c r="A196" t="n">
        <v>39</v>
      </c>
      <c r="B196" t="n">
        <v>195</v>
      </c>
      <c r="C196" t="n">
        <v>439963</v>
      </c>
      <c r="D196" t="n">
        <v>12418</v>
      </c>
      <c r="E196" t="n">
        <v>14284</v>
      </c>
      <c r="F196">
        <f>C196/(1-MIN(0.75,E196/(24000+E196)))</f>
        <v/>
      </c>
    </row>
    <row r="197">
      <c r="A197" t="n">
        <v>40</v>
      </c>
      <c r="B197" t="n">
        <v>196</v>
      </c>
      <c r="C197" t="n">
        <v>690988</v>
      </c>
      <c r="D197" t="n">
        <v>10710</v>
      </c>
      <c r="E197" t="n">
        <v>22085</v>
      </c>
      <c r="F197">
        <f>C197/(1-MIN(0.75,E197/(24000+E197)))</f>
        <v/>
      </c>
    </row>
    <row r="198">
      <c r="A198" t="n">
        <v>40</v>
      </c>
      <c r="B198" t="n">
        <v>197</v>
      </c>
      <c r="C198" t="n">
        <v>460658</v>
      </c>
      <c r="D198" t="n">
        <v>12852</v>
      </c>
      <c r="E198" t="n">
        <v>14723</v>
      </c>
      <c r="F198">
        <f>C198/(1-MIN(0.75,E198/(24000+E198)))</f>
        <v/>
      </c>
    </row>
    <row r="199">
      <c r="A199" t="n">
        <v>40</v>
      </c>
      <c r="B199" t="n">
        <v>198</v>
      </c>
      <c r="C199" t="n">
        <v>575823</v>
      </c>
      <c r="D199" t="n">
        <v>10710</v>
      </c>
      <c r="E199" t="n">
        <v>18404</v>
      </c>
      <c r="F199">
        <f>C199/(1-MIN(0.75,E199/(24000+E199)))</f>
        <v/>
      </c>
    </row>
    <row r="200">
      <c r="A200" t="n">
        <v>40</v>
      </c>
      <c r="B200" t="n">
        <v>199</v>
      </c>
      <c r="C200" t="n">
        <v>575823</v>
      </c>
      <c r="D200" t="n">
        <v>10710</v>
      </c>
      <c r="E200" t="n">
        <v>18404</v>
      </c>
      <c r="F200">
        <f>C200/(1-MIN(0.75,E200/(24000+E200)))</f>
        <v/>
      </c>
    </row>
    <row r="201">
      <c r="A201" t="n">
        <v>40</v>
      </c>
      <c r="B201" t="n">
        <v>200</v>
      </c>
      <c r="C201" t="n">
        <v>575823</v>
      </c>
      <c r="D201" t="n">
        <v>10710</v>
      </c>
      <c r="E201" t="n">
        <v>18404</v>
      </c>
      <c r="F201">
        <f>C201/(1-MIN(0.75,E201/(24000+E201)))</f>
        <v/>
      </c>
    </row>
    <row r="202">
      <c r="A202" t="n">
        <v>41</v>
      </c>
      <c r="B202" t="n">
        <v>201</v>
      </c>
      <c r="C202" t="n">
        <v>732638</v>
      </c>
      <c r="D202" t="n">
        <v>11180</v>
      </c>
      <c r="E202" t="n">
        <v>22748</v>
      </c>
      <c r="F202">
        <f>C202/(1-MIN(0.75,E202/(24000+E202)))</f>
        <v/>
      </c>
    </row>
    <row r="203">
      <c r="A203" t="n">
        <v>41</v>
      </c>
      <c r="B203" t="n">
        <v>202</v>
      </c>
      <c r="C203" t="n">
        <v>732638</v>
      </c>
      <c r="D203" t="n">
        <v>11180</v>
      </c>
      <c r="E203" t="n">
        <v>22748</v>
      </c>
      <c r="F203">
        <f>C203/(1-MIN(0.75,E203/(24000+E203)))</f>
        <v/>
      </c>
    </row>
    <row r="204">
      <c r="A204" t="n">
        <v>41</v>
      </c>
      <c r="B204" t="n">
        <v>203</v>
      </c>
      <c r="C204" t="n">
        <v>610532</v>
      </c>
      <c r="D204" t="n">
        <v>11180</v>
      </c>
      <c r="E204" t="n">
        <v>18956</v>
      </c>
      <c r="F204">
        <f>C204/(1-MIN(0.75,E204/(24000+E204)))</f>
        <v/>
      </c>
    </row>
    <row r="205">
      <c r="A205" t="n">
        <v>41</v>
      </c>
      <c r="B205" t="n">
        <v>204</v>
      </c>
      <c r="C205" t="n">
        <v>488426</v>
      </c>
      <c r="D205" t="n">
        <v>13416</v>
      </c>
      <c r="E205" t="n">
        <v>15165</v>
      </c>
      <c r="F205">
        <f>C205/(1-MIN(0.75,E205/(24000+E205)))</f>
        <v/>
      </c>
    </row>
    <row r="206">
      <c r="A206" t="n">
        <v>41</v>
      </c>
      <c r="B206" t="n">
        <v>205</v>
      </c>
      <c r="C206" t="n">
        <v>610532</v>
      </c>
      <c r="D206" t="n">
        <v>11180</v>
      </c>
      <c r="E206" t="n">
        <v>18956</v>
      </c>
      <c r="F206">
        <f>C206/(1-MIN(0.75,E206/(24000+E206)))</f>
        <v/>
      </c>
    </row>
    <row r="207">
      <c r="A207" t="n">
        <v>42</v>
      </c>
      <c r="B207" t="n">
        <v>206</v>
      </c>
      <c r="C207" t="n">
        <v>760695</v>
      </c>
      <c r="D207" t="n">
        <v>11515</v>
      </c>
      <c r="E207" t="n">
        <v>23250</v>
      </c>
      <c r="F207">
        <f>C207/(1-MIN(0.75,E207/(24000+E207)))</f>
        <v/>
      </c>
    </row>
    <row r="208">
      <c r="A208" t="n">
        <v>42</v>
      </c>
      <c r="B208" t="n">
        <v>207</v>
      </c>
      <c r="C208" t="n">
        <v>633912</v>
      </c>
      <c r="D208" t="n">
        <v>11515</v>
      </c>
      <c r="E208" t="n">
        <v>19375</v>
      </c>
      <c r="F208">
        <f>C208/(1-MIN(0.75,E208/(24000+E208)))</f>
        <v/>
      </c>
    </row>
    <row r="209">
      <c r="A209" t="n">
        <v>42</v>
      </c>
      <c r="B209" t="n">
        <v>208</v>
      </c>
      <c r="C209" t="n">
        <v>507130</v>
      </c>
      <c r="D209" t="n">
        <v>13817</v>
      </c>
      <c r="E209" t="n">
        <v>15500</v>
      </c>
      <c r="F209">
        <f>C209/(1-MIN(0.75,E209/(24000+E209)))</f>
        <v/>
      </c>
    </row>
    <row r="210">
      <c r="A210" t="n">
        <v>42</v>
      </c>
      <c r="B210" t="n">
        <v>209</v>
      </c>
      <c r="C210" t="n">
        <v>633912</v>
      </c>
      <c r="D210" t="n">
        <v>11515</v>
      </c>
      <c r="E210" t="n">
        <v>19375</v>
      </c>
      <c r="F210">
        <f>C210/(1-MIN(0.75,E210/(24000+E210)))</f>
        <v/>
      </c>
    </row>
    <row r="211">
      <c r="A211" t="n">
        <v>42</v>
      </c>
      <c r="B211" t="n">
        <v>210</v>
      </c>
      <c r="C211" t="n">
        <v>633912</v>
      </c>
      <c r="D211" t="n">
        <v>11515</v>
      </c>
      <c r="E211" t="n">
        <v>19375</v>
      </c>
      <c r="F211">
        <f>C211/(1-MIN(0.75,E211/(24000+E211)))</f>
        <v/>
      </c>
    </row>
    <row r="212">
      <c r="A212" t="n">
        <v>43</v>
      </c>
      <c r="B212" t="n">
        <v>211</v>
      </c>
      <c r="C212" t="n">
        <v>799177</v>
      </c>
      <c r="D212" t="n">
        <v>11930</v>
      </c>
      <c r="E212" t="n">
        <v>23924</v>
      </c>
      <c r="F212">
        <f>C212/(1-MIN(0.75,E212/(24000+E212)))</f>
        <v/>
      </c>
    </row>
    <row r="213">
      <c r="A213" t="n">
        <v>43</v>
      </c>
      <c r="B213" t="n">
        <v>212</v>
      </c>
      <c r="C213" t="n">
        <v>799177</v>
      </c>
      <c r="D213" t="n">
        <v>11930</v>
      </c>
      <c r="E213" t="n">
        <v>23924</v>
      </c>
      <c r="F213">
        <f>C213/(1-MIN(0.75,E213/(24000+E213)))</f>
        <v/>
      </c>
    </row>
    <row r="214">
      <c r="A214" t="n">
        <v>43</v>
      </c>
      <c r="B214" t="n">
        <v>213</v>
      </c>
      <c r="C214" t="n">
        <v>665981</v>
      </c>
      <c r="D214" t="n">
        <v>11930</v>
      </c>
      <c r="E214" t="n">
        <v>19936</v>
      </c>
      <c r="F214">
        <f>C214/(1-MIN(0.75,E214/(24000+E214)))</f>
        <v/>
      </c>
    </row>
    <row r="215">
      <c r="A215" t="n">
        <v>43</v>
      </c>
      <c r="B215" t="n">
        <v>214</v>
      </c>
      <c r="C215" t="n">
        <v>532785</v>
      </c>
      <c r="D215" t="n">
        <v>14316</v>
      </c>
      <c r="E215" t="n">
        <v>15949</v>
      </c>
      <c r="F215">
        <f>C215/(1-MIN(0.75,E215/(24000+E215)))</f>
        <v/>
      </c>
    </row>
    <row r="216">
      <c r="A216" t="n">
        <v>43</v>
      </c>
      <c r="B216" t="n">
        <v>215</v>
      </c>
      <c r="C216" t="n">
        <v>665981</v>
      </c>
      <c r="D216" t="n">
        <v>11930</v>
      </c>
      <c r="E216" t="n">
        <v>19936</v>
      </c>
      <c r="F216">
        <f>C216/(1-MIN(0.75,E216/(24000+E216)))</f>
        <v/>
      </c>
    </row>
    <row r="217">
      <c r="A217" t="n">
        <v>44</v>
      </c>
      <c r="B217" t="n">
        <v>216</v>
      </c>
      <c r="C217" t="n">
        <v>838962</v>
      </c>
      <c r="D217" t="n">
        <v>12360</v>
      </c>
      <c r="E217" t="n">
        <v>24432</v>
      </c>
      <c r="F217">
        <f>C217/(1-MIN(0.75,E217/(24000+E217)))</f>
        <v/>
      </c>
    </row>
    <row r="218">
      <c r="A218" t="n">
        <v>44</v>
      </c>
      <c r="B218" t="n">
        <v>217</v>
      </c>
      <c r="C218" t="n">
        <v>838962</v>
      </c>
      <c r="D218" t="n">
        <v>12360</v>
      </c>
      <c r="E218" t="n">
        <v>24432</v>
      </c>
      <c r="F218">
        <f>C218/(1-MIN(0.75,E218/(24000+E218)))</f>
        <v/>
      </c>
    </row>
    <row r="219">
      <c r="A219" t="n">
        <v>44</v>
      </c>
      <c r="B219" t="n">
        <v>218</v>
      </c>
      <c r="C219" t="n">
        <v>559308</v>
      </c>
      <c r="D219" t="n">
        <v>14832</v>
      </c>
      <c r="E219" t="n">
        <v>16288</v>
      </c>
      <c r="F219">
        <f>C219/(1-MIN(0.75,E219/(24000+E219)))</f>
        <v/>
      </c>
    </row>
    <row r="220">
      <c r="A220" t="n">
        <v>44</v>
      </c>
      <c r="B220" t="n">
        <v>219</v>
      </c>
      <c r="C220" t="n">
        <v>699135</v>
      </c>
      <c r="D220" t="n">
        <v>12360</v>
      </c>
      <c r="E220" t="n">
        <v>20360</v>
      </c>
      <c r="F220">
        <f>C220/(1-MIN(0.75,E220/(24000+E220)))</f>
        <v/>
      </c>
    </row>
    <row r="221">
      <c r="A221" t="n">
        <v>44</v>
      </c>
      <c r="B221" t="n">
        <v>220</v>
      </c>
      <c r="C221" t="n">
        <v>699135</v>
      </c>
      <c r="D221" t="n">
        <v>12360</v>
      </c>
      <c r="E221" t="n">
        <v>20360</v>
      </c>
      <c r="F221">
        <f>C221/(1-MIN(0.75,E221/(24000+E221)))</f>
        <v/>
      </c>
    </row>
    <row r="222">
      <c r="A222" t="n">
        <v>45</v>
      </c>
      <c r="B222" t="n">
        <v>221</v>
      </c>
      <c r="C222" t="n">
        <v>877226</v>
      </c>
      <c r="D222" t="n">
        <v>12826</v>
      </c>
      <c r="E222" t="n">
        <v>25115</v>
      </c>
      <c r="F222">
        <f>C222/(1-MIN(0.75,E222/(24000+E222)))</f>
        <v/>
      </c>
    </row>
    <row r="223">
      <c r="A223" t="n">
        <v>45</v>
      </c>
      <c r="B223" t="n">
        <v>222</v>
      </c>
      <c r="C223" t="n">
        <v>584817</v>
      </c>
      <c r="D223" t="n">
        <v>15391</v>
      </c>
      <c r="E223" t="n">
        <v>16743</v>
      </c>
      <c r="F223">
        <f>C223/(1-MIN(0.75,E223/(24000+E223)))</f>
        <v/>
      </c>
    </row>
    <row r="224">
      <c r="A224" t="n">
        <v>45</v>
      </c>
      <c r="B224" t="n">
        <v>223</v>
      </c>
      <c r="C224" t="n">
        <v>584817</v>
      </c>
      <c r="D224" t="n">
        <v>15391</v>
      </c>
      <c r="E224" t="n">
        <v>16743</v>
      </c>
      <c r="F224">
        <f>C224/(1-MIN(0.75,E224/(24000+E224)))</f>
        <v/>
      </c>
    </row>
    <row r="225">
      <c r="A225" t="n">
        <v>45</v>
      </c>
      <c r="B225" t="n">
        <v>224</v>
      </c>
      <c r="C225" t="n">
        <v>731022</v>
      </c>
      <c r="D225" t="n">
        <v>12826</v>
      </c>
      <c r="E225" t="n">
        <v>20929</v>
      </c>
      <c r="F225">
        <f>C225/(1-MIN(0.75,E225/(24000+E225)))</f>
        <v/>
      </c>
    </row>
    <row r="226">
      <c r="A226" t="n">
        <v>45</v>
      </c>
      <c r="B226" t="n">
        <v>225</v>
      </c>
      <c r="C226" t="n">
        <v>731022</v>
      </c>
      <c r="D226" t="n">
        <v>12826</v>
      </c>
      <c r="E226" t="n">
        <v>20929</v>
      </c>
      <c r="F226">
        <f>C226/(1-MIN(0.75,E226/(24000+E226)))</f>
        <v/>
      </c>
    </row>
    <row r="227">
      <c r="A227" t="n">
        <v>46</v>
      </c>
      <c r="B227" t="n">
        <v>226</v>
      </c>
      <c r="C227" t="n">
        <v>925415</v>
      </c>
      <c r="D227" t="n">
        <v>13332</v>
      </c>
      <c r="E227" t="n">
        <v>25805</v>
      </c>
      <c r="F227">
        <f>C227/(1-MIN(0.75,E227/(24000+E227)))</f>
        <v/>
      </c>
    </row>
    <row r="228">
      <c r="A228" t="n">
        <v>46</v>
      </c>
      <c r="B228" t="n">
        <v>227</v>
      </c>
      <c r="C228" t="n">
        <v>771179</v>
      </c>
      <c r="D228" t="n">
        <v>13332</v>
      </c>
      <c r="E228" t="n">
        <v>21504</v>
      </c>
      <c r="F228">
        <f>C228/(1-MIN(0.75,E228/(24000+E228)))</f>
        <v/>
      </c>
    </row>
    <row r="229">
      <c r="A229" t="n">
        <v>46</v>
      </c>
      <c r="B229" t="n">
        <v>228</v>
      </c>
      <c r="C229" t="n">
        <v>771179</v>
      </c>
      <c r="D229" t="n">
        <v>13332</v>
      </c>
      <c r="E229" t="n">
        <v>21504</v>
      </c>
      <c r="F229">
        <f>C229/(1-MIN(0.75,E229/(24000+E229)))</f>
        <v/>
      </c>
    </row>
    <row r="230">
      <c r="A230" t="n">
        <v>46</v>
      </c>
      <c r="B230" t="n">
        <v>229</v>
      </c>
      <c r="C230" t="n">
        <v>771179</v>
      </c>
      <c r="D230" t="n">
        <v>13332</v>
      </c>
      <c r="E230" t="n">
        <v>21504</v>
      </c>
      <c r="F230">
        <f>C230/(1-MIN(0.75,E230/(24000+E230)))</f>
        <v/>
      </c>
    </row>
    <row r="231">
      <c r="A231" t="n">
        <v>46</v>
      </c>
      <c r="B231" t="n">
        <v>230</v>
      </c>
      <c r="C231" t="n">
        <v>771179</v>
      </c>
      <c r="D231" t="n">
        <v>13332</v>
      </c>
      <c r="E231" t="n">
        <v>21504</v>
      </c>
      <c r="F231">
        <f>C231/(1-MIN(0.75,E231/(24000+E231)))</f>
        <v/>
      </c>
    </row>
    <row r="232">
      <c r="A232" t="n">
        <v>47</v>
      </c>
      <c r="B232" t="n">
        <v>231</v>
      </c>
      <c r="C232" t="n">
        <v>960300</v>
      </c>
      <c r="D232" t="n">
        <v>13757</v>
      </c>
      <c r="E232" t="n">
        <v>26324</v>
      </c>
      <c r="F232">
        <f>C232/(1-MIN(0.75,E232/(24000+E232)))</f>
        <v/>
      </c>
    </row>
    <row r="233">
      <c r="A233" t="n">
        <v>47</v>
      </c>
      <c r="B233" t="n">
        <v>232</v>
      </c>
      <c r="C233" t="n">
        <v>800250</v>
      </c>
      <c r="D233" t="n">
        <v>13757</v>
      </c>
      <c r="E233" t="n">
        <v>21936</v>
      </c>
      <c r="F233">
        <f>C233/(1-MIN(0.75,E233/(24000+E233)))</f>
        <v/>
      </c>
    </row>
    <row r="234">
      <c r="A234" t="n">
        <v>47</v>
      </c>
      <c r="B234" t="n">
        <v>233</v>
      </c>
      <c r="C234" t="n">
        <v>800250</v>
      </c>
      <c r="D234" t="n">
        <v>13757</v>
      </c>
      <c r="E234" t="n">
        <v>21936</v>
      </c>
      <c r="F234">
        <f>C234/(1-MIN(0.75,E234/(24000+E234)))</f>
        <v/>
      </c>
    </row>
    <row r="235">
      <c r="A235" t="n">
        <v>47</v>
      </c>
      <c r="B235" t="n">
        <v>234</v>
      </c>
      <c r="C235" t="n">
        <v>640200</v>
      </c>
      <c r="D235" t="n">
        <v>16508</v>
      </c>
      <c r="E235" t="n">
        <v>17549</v>
      </c>
      <c r="F235">
        <f>C235/(1-MIN(0.75,E235/(24000+E235)))</f>
        <v/>
      </c>
    </row>
    <row r="236">
      <c r="A236" t="n">
        <v>47</v>
      </c>
      <c r="B236" t="n">
        <v>235</v>
      </c>
      <c r="C236" t="n">
        <v>640200</v>
      </c>
      <c r="D236" t="n">
        <v>16508</v>
      </c>
      <c r="E236" t="n">
        <v>17549</v>
      </c>
      <c r="F236">
        <f>C236/(1-MIN(0.75,E236/(24000+E236)))</f>
        <v/>
      </c>
    </row>
    <row r="237">
      <c r="A237" t="n">
        <v>48</v>
      </c>
      <c r="B237" t="n">
        <v>236</v>
      </c>
      <c r="C237" t="n">
        <v>1009493</v>
      </c>
      <c r="D237" t="n">
        <v>14265</v>
      </c>
      <c r="E237" t="n">
        <v>27023</v>
      </c>
      <c r="F237">
        <f>C237/(1-MIN(0.75,E237/(24000+E237)))</f>
        <v/>
      </c>
    </row>
    <row r="238">
      <c r="A238" t="n">
        <v>48</v>
      </c>
      <c r="B238" t="n">
        <v>237</v>
      </c>
      <c r="C238" t="n">
        <v>841244</v>
      </c>
      <c r="D238" t="n">
        <v>14265</v>
      </c>
      <c r="E238" t="n">
        <v>22519</v>
      </c>
      <c r="F238">
        <f>C238/(1-MIN(0.75,E238/(24000+E238)))</f>
        <v/>
      </c>
    </row>
    <row r="239">
      <c r="A239" t="n">
        <v>48</v>
      </c>
      <c r="B239" t="n">
        <v>238</v>
      </c>
      <c r="C239" t="n">
        <v>841244</v>
      </c>
      <c r="D239" t="n">
        <v>14265</v>
      </c>
      <c r="E239" t="n">
        <v>22519</v>
      </c>
      <c r="F239">
        <f>C239/(1-MIN(0.75,E239/(24000+E239)))</f>
        <v/>
      </c>
    </row>
    <row r="240">
      <c r="A240" t="n">
        <v>48</v>
      </c>
      <c r="B240" t="n">
        <v>239</v>
      </c>
      <c r="C240" t="n">
        <v>672995</v>
      </c>
      <c r="D240" t="n">
        <v>17118</v>
      </c>
      <c r="E240" t="n">
        <v>18015</v>
      </c>
      <c r="F240">
        <f>C240/(1-MIN(0.75,E240/(24000+E240)))</f>
        <v/>
      </c>
    </row>
    <row r="241">
      <c r="A241" t="n">
        <v>48</v>
      </c>
      <c r="B241" t="n">
        <v>240</v>
      </c>
      <c r="C241" t="n">
        <v>841244</v>
      </c>
      <c r="D241" t="n">
        <v>14265</v>
      </c>
      <c r="E241" t="n">
        <v>22519</v>
      </c>
      <c r="F241">
        <f>C241/(1-MIN(0.75,E241/(24000+E241)))</f>
        <v/>
      </c>
    </row>
    <row r="242">
      <c r="A242" t="n">
        <v>49</v>
      </c>
      <c r="B242" t="n">
        <v>241</v>
      </c>
      <c r="C242" t="n">
        <v>1047790</v>
      </c>
      <c r="D242" t="n">
        <v>14643</v>
      </c>
      <c r="E242" t="n">
        <v>27549</v>
      </c>
      <c r="F242">
        <f>C242/(1-MIN(0.75,E242/(24000+E242)))</f>
        <v/>
      </c>
    </row>
    <row r="243">
      <c r="A243" t="n">
        <v>49</v>
      </c>
      <c r="B243" t="n">
        <v>242</v>
      </c>
      <c r="C243" t="n">
        <v>1047790</v>
      </c>
      <c r="D243" t="n">
        <v>14643</v>
      </c>
      <c r="E243" t="n">
        <v>27549</v>
      </c>
      <c r="F243">
        <f>C243/(1-MIN(0.75,E243/(24000+E243)))</f>
        <v/>
      </c>
    </row>
    <row r="244">
      <c r="A244" t="n">
        <v>49</v>
      </c>
      <c r="B244" t="n">
        <v>243</v>
      </c>
      <c r="C244" t="n">
        <v>1047790</v>
      </c>
      <c r="D244" t="n">
        <v>14643</v>
      </c>
      <c r="E244" t="n">
        <v>27549</v>
      </c>
      <c r="F244">
        <f>C244/(1-MIN(0.75,E244/(24000+E244)))</f>
        <v/>
      </c>
    </row>
    <row r="245">
      <c r="A245" t="n">
        <v>49</v>
      </c>
      <c r="B245" t="n">
        <v>244</v>
      </c>
      <c r="C245" t="n">
        <v>873159</v>
      </c>
      <c r="D245" t="n">
        <v>14643</v>
      </c>
      <c r="E245" t="n">
        <v>22958</v>
      </c>
      <c r="F245">
        <f>C245/(1-MIN(0.75,E245/(24000+E245)))</f>
        <v/>
      </c>
    </row>
    <row r="246">
      <c r="A246" t="n">
        <v>49</v>
      </c>
      <c r="B246" t="n">
        <v>245</v>
      </c>
      <c r="C246" t="n">
        <v>698527</v>
      </c>
      <c r="D246" t="n">
        <v>17572</v>
      </c>
      <c r="E246" t="n">
        <v>18366</v>
      </c>
      <c r="F246">
        <f>C246/(1-MIN(0.75,E246/(24000+E246)))</f>
        <v/>
      </c>
    </row>
    <row r="247">
      <c r="A247" t="n">
        <v>50</v>
      </c>
      <c r="B247" t="n">
        <v>246</v>
      </c>
      <c r="C247" t="n">
        <v>1109663</v>
      </c>
      <c r="D247" t="n">
        <v>15315</v>
      </c>
      <c r="E247" t="n">
        <v>28257</v>
      </c>
      <c r="F247">
        <f>C247/(1-MIN(0.75,E247/(24000+E247)))</f>
        <v/>
      </c>
    </row>
    <row r="248">
      <c r="A248" t="n">
        <v>50</v>
      </c>
      <c r="B248" t="n">
        <v>247</v>
      </c>
      <c r="C248" t="n">
        <v>739775</v>
      </c>
      <c r="D248" t="n">
        <v>18378</v>
      </c>
      <c r="E248" t="n">
        <v>18838</v>
      </c>
      <c r="F248">
        <f>C248/(1-MIN(0.75,E248/(24000+E248)))</f>
        <v/>
      </c>
    </row>
    <row r="249">
      <c r="A249" t="n">
        <v>50</v>
      </c>
      <c r="B249" t="n">
        <v>248</v>
      </c>
      <c r="C249" t="n">
        <v>924719</v>
      </c>
      <c r="D249" t="n">
        <v>15315</v>
      </c>
      <c r="E249" t="n">
        <v>23548</v>
      </c>
      <c r="F249">
        <f>C249/(1-MIN(0.75,E249/(24000+E249)))</f>
        <v/>
      </c>
    </row>
    <row r="250">
      <c r="A250" t="n">
        <v>50</v>
      </c>
      <c r="B250" t="n">
        <v>249</v>
      </c>
      <c r="C250" t="n">
        <v>924719</v>
      </c>
      <c r="D250" t="n">
        <v>15315</v>
      </c>
      <c r="E250" t="n">
        <v>23548</v>
      </c>
      <c r="F250">
        <f>C250/(1-MIN(0.75,E250/(24000+E250)))</f>
        <v/>
      </c>
    </row>
    <row r="251">
      <c r="A251" t="n">
        <v>50</v>
      </c>
      <c r="B251" t="n">
        <v>250</v>
      </c>
      <c r="C251" t="n">
        <v>924719</v>
      </c>
      <c r="D251" t="n">
        <v>15315</v>
      </c>
      <c r="E251" t="n">
        <v>23548</v>
      </c>
      <c r="F251">
        <f>C251/(1-MIN(0.75,E251/(24000+E251)))</f>
        <v/>
      </c>
    </row>
    <row r="252">
      <c r="A252" t="n">
        <v>51</v>
      </c>
      <c r="B252" t="n">
        <v>251</v>
      </c>
      <c r="C252" t="n">
        <v>1134668</v>
      </c>
      <c r="D252" t="n">
        <v>15626</v>
      </c>
      <c r="E252" t="n">
        <v>28613</v>
      </c>
      <c r="F252">
        <f>C252/(1-MIN(0.75,E252/(24000+E252)))</f>
        <v/>
      </c>
    </row>
    <row r="253">
      <c r="A253" t="n">
        <v>51</v>
      </c>
      <c r="B253" t="n">
        <v>252</v>
      </c>
      <c r="C253" t="n">
        <v>945556</v>
      </c>
      <c r="D253" t="n">
        <v>15626</v>
      </c>
      <c r="E253" t="n">
        <v>23844</v>
      </c>
      <c r="F253">
        <f>C253/(1-MIN(0.75,E253/(24000+E253)))</f>
        <v/>
      </c>
    </row>
    <row r="254">
      <c r="A254" t="n">
        <v>51</v>
      </c>
      <c r="B254" t="n">
        <v>253</v>
      </c>
      <c r="C254" t="n">
        <v>756445</v>
      </c>
      <c r="D254" t="n">
        <v>18751</v>
      </c>
      <c r="E254" t="n">
        <v>19075</v>
      </c>
      <c r="F254">
        <f>C254/(1-MIN(0.75,E254/(24000+E254)))</f>
        <v/>
      </c>
    </row>
    <row r="255">
      <c r="A255" t="n">
        <v>51</v>
      </c>
      <c r="B255" t="n">
        <v>254</v>
      </c>
      <c r="C255" t="n">
        <v>756445</v>
      </c>
      <c r="D255" t="n">
        <v>18751</v>
      </c>
      <c r="E255" t="n">
        <v>19075</v>
      </c>
      <c r="F255">
        <f>C255/(1-MIN(0.75,E255/(24000+E255)))</f>
        <v/>
      </c>
    </row>
    <row r="256">
      <c r="A256" t="n">
        <v>51</v>
      </c>
      <c r="B256" t="n">
        <v>255</v>
      </c>
      <c r="C256" t="n">
        <v>756445</v>
      </c>
      <c r="D256" t="n">
        <v>18751</v>
      </c>
      <c r="E256" t="n">
        <v>19075</v>
      </c>
      <c r="F256">
        <f>C256/(1-MIN(0.75,E256/(24000+E256)))</f>
        <v/>
      </c>
    </row>
    <row r="257">
      <c r="A257" t="n">
        <v>52</v>
      </c>
      <c r="B257" t="n">
        <v>256</v>
      </c>
      <c r="C257" t="n">
        <v>1169721</v>
      </c>
      <c r="D257" t="n">
        <v>16013</v>
      </c>
      <c r="E257" t="n">
        <v>29150</v>
      </c>
      <c r="F257">
        <f>C257/(1-MIN(0.75,E257/(24000+E257)))</f>
        <v/>
      </c>
    </row>
    <row r="258">
      <c r="A258" t="n">
        <v>52</v>
      </c>
      <c r="B258" t="n">
        <v>257</v>
      </c>
      <c r="C258" t="n">
        <v>779814</v>
      </c>
      <c r="D258" t="n">
        <v>19216</v>
      </c>
      <c r="E258" t="n">
        <v>19433</v>
      </c>
      <c r="F258">
        <f>C258/(1-MIN(0.75,E258/(24000+E258)))</f>
        <v/>
      </c>
    </row>
    <row r="259">
      <c r="A259" t="n">
        <v>52</v>
      </c>
      <c r="B259" t="n">
        <v>258</v>
      </c>
      <c r="C259" t="n">
        <v>974767</v>
      </c>
      <c r="D259" t="n">
        <v>16013</v>
      </c>
      <c r="E259" t="n">
        <v>24291</v>
      </c>
      <c r="F259">
        <f>C259/(1-MIN(0.75,E259/(24000+E259)))</f>
        <v/>
      </c>
    </row>
    <row r="260">
      <c r="A260" t="n">
        <v>52</v>
      </c>
      <c r="B260" t="n">
        <v>259</v>
      </c>
      <c r="C260" t="n">
        <v>779814</v>
      </c>
      <c r="D260" t="n">
        <v>19216</v>
      </c>
      <c r="E260" t="n">
        <v>19433</v>
      </c>
      <c r="F260">
        <f>C260/(1-MIN(0.75,E260/(24000+E260)))</f>
        <v/>
      </c>
    </row>
    <row r="261">
      <c r="A261" t="n">
        <v>52</v>
      </c>
      <c r="B261" t="n">
        <v>260</v>
      </c>
      <c r="C261" t="n">
        <v>974767</v>
      </c>
      <c r="D261" t="n">
        <v>16013</v>
      </c>
      <c r="E261" t="n">
        <v>24291</v>
      </c>
      <c r="F261">
        <f>C261/(1-MIN(0.75,E261/(24000+E261)))</f>
        <v/>
      </c>
    </row>
    <row r="262">
      <c r="A262" t="n">
        <v>53</v>
      </c>
      <c r="B262" t="n">
        <v>261</v>
      </c>
      <c r="C262" t="n">
        <v>1200620</v>
      </c>
      <c r="D262" t="n">
        <v>16349</v>
      </c>
      <c r="E262" t="n">
        <v>29508</v>
      </c>
      <c r="F262">
        <f>C262/(1-MIN(0.75,E262/(24000+E262)))</f>
        <v/>
      </c>
    </row>
    <row r="263">
      <c r="A263" t="n">
        <v>53</v>
      </c>
      <c r="B263" t="n">
        <v>262</v>
      </c>
      <c r="C263" t="n">
        <v>1000516</v>
      </c>
      <c r="D263" t="n">
        <v>16349</v>
      </c>
      <c r="E263" t="n">
        <v>24590</v>
      </c>
      <c r="F263">
        <f>C263/(1-MIN(0.75,E263/(24000+E263)))</f>
        <v/>
      </c>
    </row>
    <row r="264">
      <c r="A264" t="n">
        <v>53</v>
      </c>
      <c r="B264" t="n">
        <v>263</v>
      </c>
      <c r="C264" t="n">
        <v>1000516</v>
      </c>
      <c r="D264" t="n">
        <v>16349</v>
      </c>
      <c r="E264" t="n">
        <v>24590</v>
      </c>
      <c r="F264">
        <f>C264/(1-MIN(0.75,E264/(24000+E264)))</f>
        <v/>
      </c>
    </row>
    <row r="265">
      <c r="A265" t="n">
        <v>53</v>
      </c>
      <c r="B265" t="n">
        <v>264</v>
      </c>
      <c r="C265" t="n">
        <v>800413</v>
      </c>
      <c r="D265" t="n">
        <v>19619</v>
      </c>
      <c r="E265" t="n">
        <v>19672</v>
      </c>
      <c r="F265">
        <f>C265/(1-MIN(0.75,E265/(24000+E265)))</f>
        <v/>
      </c>
    </row>
    <row r="266">
      <c r="A266" t="n">
        <v>53</v>
      </c>
      <c r="B266" t="n">
        <v>265</v>
      </c>
      <c r="C266" t="n">
        <v>800413</v>
      </c>
      <c r="D266" t="n">
        <v>19619</v>
      </c>
      <c r="E266" t="n">
        <v>19672</v>
      </c>
      <c r="F266">
        <f>C266/(1-MIN(0.75,E266/(24000+E266)))</f>
        <v/>
      </c>
    </row>
    <row r="267">
      <c r="A267" t="n">
        <v>54</v>
      </c>
      <c r="B267" t="n">
        <v>266</v>
      </c>
      <c r="C267" t="n">
        <v>1229785</v>
      </c>
      <c r="D267" t="n">
        <v>16658</v>
      </c>
      <c r="E267" t="n">
        <v>29870</v>
      </c>
      <c r="F267">
        <f>C267/(1-MIN(0.75,E267/(24000+E267)))</f>
        <v/>
      </c>
    </row>
    <row r="268">
      <c r="A268" t="n">
        <v>54</v>
      </c>
      <c r="B268" t="n">
        <v>267</v>
      </c>
      <c r="C268" t="n">
        <v>819856</v>
      </c>
      <c r="D268" t="n">
        <v>19989</v>
      </c>
      <c r="E268" t="n">
        <v>19913</v>
      </c>
      <c r="F268">
        <f>C268/(1-MIN(0.75,E268/(24000+E268)))</f>
        <v/>
      </c>
    </row>
    <row r="269">
      <c r="A269" t="n">
        <v>54</v>
      </c>
      <c r="B269" t="n">
        <v>268</v>
      </c>
      <c r="C269" t="n">
        <v>819856</v>
      </c>
      <c r="D269" t="n">
        <v>19989</v>
      </c>
      <c r="E269" t="n">
        <v>19913</v>
      </c>
      <c r="F269">
        <f>C269/(1-MIN(0.75,E269/(24000+E269)))</f>
        <v/>
      </c>
    </row>
    <row r="270">
      <c r="A270" t="n">
        <v>54</v>
      </c>
      <c r="B270" t="n">
        <v>269</v>
      </c>
      <c r="C270" t="n">
        <v>1024821</v>
      </c>
      <c r="D270" t="n">
        <v>16658</v>
      </c>
      <c r="E270" t="n">
        <v>24891</v>
      </c>
      <c r="F270">
        <f>C270/(1-MIN(0.75,E270/(24000+E270)))</f>
        <v/>
      </c>
    </row>
    <row r="271">
      <c r="A271" t="n">
        <v>54</v>
      </c>
      <c r="B271" t="n">
        <v>270</v>
      </c>
      <c r="C271" t="n">
        <v>1024821</v>
      </c>
      <c r="D271" t="n">
        <v>16658</v>
      </c>
      <c r="E271" t="n">
        <v>24891</v>
      </c>
      <c r="F271">
        <f>C271/(1-MIN(0.75,E271/(24000+E271)))</f>
        <v/>
      </c>
    </row>
    <row r="272">
      <c r="A272" t="n">
        <v>55</v>
      </c>
      <c r="B272" t="n">
        <v>271</v>
      </c>
      <c r="C272" t="n">
        <v>1281554</v>
      </c>
      <c r="D272" t="n">
        <v>17172</v>
      </c>
      <c r="E272" t="n">
        <v>30413</v>
      </c>
      <c r="F272">
        <f>C272/(1-MIN(0.75,E272/(24000+E272)))</f>
        <v/>
      </c>
    </row>
    <row r="273">
      <c r="A273" t="n">
        <v>55</v>
      </c>
      <c r="B273" t="n">
        <v>272</v>
      </c>
      <c r="C273" t="n">
        <v>854369</v>
      </c>
      <c r="D273" t="n">
        <v>20607</v>
      </c>
      <c r="E273" t="n">
        <v>20275</v>
      </c>
      <c r="F273">
        <f>C273/(1-MIN(0.75,E273/(24000+E273)))</f>
        <v/>
      </c>
    </row>
    <row r="274">
      <c r="A274" t="n">
        <v>55</v>
      </c>
      <c r="B274" t="n">
        <v>273</v>
      </c>
      <c r="C274" t="n">
        <v>1067962</v>
      </c>
      <c r="D274" t="n">
        <v>17172</v>
      </c>
      <c r="E274" t="n">
        <v>25344</v>
      </c>
      <c r="F274">
        <f>C274/(1-MIN(0.75,E274/(24000+E274)))</f>
        <v/>
      </c>
    </row>
    <row r="275">
      <c r="A275" t="n">
        <v>55</v>
      </c>
      <c r="B275" t="n">
        <v>274</v>
      </c>
      <c r="C275" t="n">
        <v>1067962</v>
      </c>
      <c r="D275" t="n">
        <v>17172</v>
      </c>
      <c r="E275" t="n">
        <v>25344</v>
      </c>
      <c r="F275">
        <f>C275/(1-MIN(0.75,E275/(24000+E275)))</f>
        <v/>
      </c>
    </row>
    <row r="276">
      <c r="A276" t="n">
        <v>55</v>
      </c>
      <c r="B276" t="n">
        <v>275</v>
      </c>
      <c r="C276" t="n">
        <v>1067962</v>
      </c>
      <c r="D276" t="n">
        <v>17172</v>
      </c>
      <c r="E276" t="n">
        <v>25344</v>
      </c>
      <c r="F276">
        <f>C276/(1-MIN(0.75,E276/(24000+E276)))</f>
        <v/>
      </c>
    </row>
    <row r="277">
      <c r="A277" t="n">
        <v>56</v>
      </c>
      <c r="B277" t="n">
        <v>276</v>
      </c>
      <c r="C277" t="n">
        <v>1299095</v>
      </c>
      <c r="D277" t="n">
        <v>17424</v>
      </c>
      <c r="E277" t="n">
        <v>30777</v>
      </c>
      <c r="F277">
        <f>C277/(1-MIN(0.75,E277/(24000+E277)))</f>
        <v/>
      </c>
    </row>
    <row r="278">
      <c r="A278" t="n">
        <v>56</v>
      </c>
      <c r="B278" t="n">
        <v>277</v>
      </c>
      <c r="C278" t="n">
        <v>1082579</v>
      </c>
      <c r="D278" t="n">
        <v>17424</v>
      </c>
      <c r="E278" t="n">
        <v>25648</v>
      </c>
      <c r="F278">
        <f>C278/(1-MIN(0.75,E278/(24000+E278)))</f>
        <v/>
      </c>
    </row>
    <row r="279">
      <c r="A279" t="n">
        <v>56</v>
      </c>
      <c r="B279" t="n">
        <v>278</v>
      </c>
      <c r="C279" t="n">
        <v>1082579</v>
      </c>
      <c r="D279" t="n">
        <v>17424</v>
      </c>
      <c r="E279" t="n">
        <v>25648</v>
      </c>
      <c r="F279">
        <f>C279/(1-MIN(0.75,E279/(24000+E279)))</f>
        <v/>
      </c>
    </row>
    <row r="280">
      <c r="A280" t="n">
        <v>56</v>
      </c>
      <c r="B280" t="n">
        <v>279</v>
      </c>
      <c r="C280" t="n">
        <v>866064</v>
      </c>
      <c r="D280" t="n">
        <v>20908</v>
      </c>
      <c r="E280" t="n">
        <v>20518</v>
      </c>
      <c r="F280">
        <f>C280/(1-MIN(0.75,E280/(24000+E280)))</f>
        <v/>
      </c>
    </row>
    <row r="281">
      <c r="A281" t="n">
        <v>56</v>
      </c>
      <c r="B281" t="n">
        <v>280</v>
      </c>
      <c r="C281" t="n">
        <v>866064</v>
      </c>
      <c r="D281" t="n">
        <v>20908</v>
      </c>
      <c r="E281" t="n">
        <v>20518</v>
      </c>
      <c r="F281">
        <f>C281/(1-MIN(0.75,E281/(24000+E281)))</f>
        <v/>
      </c>
    </row>
    <row r="282">
      <c r="A282" t="n">
        <v>57</v>
      </c>
      <c r="B282" t="n">
        <v>281</v>
      </c>
      <c r="C282" t="n">
        <v>1331424</v>
      </c>
      <c r="D282" t="n">
        <v>17781</v>
      </c>
      <c r="E282" t="n">
        <v>31142</v>
      </c>
      <c r="F282">
        <f>C282/(1-MIN(0.75,E282/(24000+E282)))</f>
        <v/>
      </c>
    </row>
    <row r="283">
      <c r="A283" t="n">
        <v>57</v>
      </c>
      <c r="B283" t="n">
        <v>282</v>
      </c>
      <c r="C283" t="n">
        <v>887616</v>
      </c>
      <c r="D283" t="n">
        <v>21337</v>
      </c>
      <c r="E283" t="n">
        <v>20761</v>
      </c>
      <c r="F283">
        <f>C283/(1-MIN(0.75,E283/(24000+E283)))</f>
        <v/>
      </c>
    </row>
    <row r="284">
      <c r="A284" t="n">
        <v>57</v>
      </c>
      <c r="B284" t="n">
        <v>283</v>
      </c>
      <c r="C284" t="n">
        <v>887616</v>
      </c>
      <c r="D284" t="n">
        <v>21337</v>
      </c>
      <c r="E284" t="n">
        <v>20761</v>
      </c>
      <c r="F284">
        <f>C284/(1-MIN(0.75,E284/(24000+E284)))</f>
        <v/>
      </c>
    </row>
    <row r="285">
      <c r="A285" t="n">
        <v>57</v>
      </c>
      <c r="B285" t="n">
        <v>284</v>
      </c>
      <c r="C285" t="n">
        <v>1109520</v>
      </c>
      <c r="D285" t="n">
        <v>17781</v>
      </c>
      <c r="E285" t="n">
        <v>25951</v>
      </c>
      <c r="F285">
        <f>C285/(1-MIN(0.75,E285/(24000+E285)))</f>
        <v/>
      </c>
    </row>
    <row r="286">
      <c r="A286" t="n">
        <v>57</v>
      </c>
      <c r="B286" t="n">
        <v>285</v>
      </c>
      <c r="C286" t="n">
        <v>887616</v>
      </c>
      <c r="D286" t="n">
        <v>21337</v>
      </c>
      <c r="E286" t="n">
        <v>20761</v>
      </c>
      <c r="F286">
        <f>C286/(1-MIN(0.75,E286/(24000+E286)))</f>
        <v/>
      </c>
    </row>
    <row r="287">
      <c r="A287" t="n">
        <v>58</v>
      </c>
      <c r="B287" t="n">
        <v>286</v>
      </c>
      <c r="C287" t="n">
        <v>1373510</v>
      </c>
      <c r="D287" t="n">
        <v>18212</v>
      </c>
      <c r="E287" t="n">
        <v>31509</v>
      </c>
      <c r="F287">
        <f>C287/(1-MIN(0.75,E287/(24000+E287)))</f>
        <v/>
      </c>
    </row>
    <row r="288">
      <c r="A288" t="n">
        <v>58</v>
      </c>
      <c r="B288" t="n">
        <v>287</v>
      </c>
      <c r="C288" t="n">
        <v>1144592</v>
      </c>
      <c r="D288" t="n">
        <v>18212</v>
      </c>
      <c r="E288" t="n">
        <v>26258</v>
      </c>
      <c r="F288">
        <f>C288/(1-MIN(0.75,E288/(24000+E288)))</f>
        <v/>
      </c>
    </row>
    <row r="289">
      <c r="A289" t="n">
        <v>58</v>
      </c>
      <c r="B289" t="n">
        <v>288</v>
      </c>
      <c r="C289" t="n">
        <v>915673</v>
      </c>
      <c r="D289" t="n">
        <v>21854</v>
      </c>
      <c r="E289" t="n">
        <v>21006</v>
      </c>
      <c r="F289">
        <f>C289/(1-MIN(0.75,E289/(24000+E289)))</f>
        <v/>
      </c>
    </row>
    <row r="290">
      <c r="A290" t="n">
        <v>58</v>
      </c>
      <c r="B290" t="n">
        <v>289</v>
      </c>
      <c r="C290" t="n">
        <v>915673</v>
      </c>
      <c r="D290" t="n">
        <v>21854</v>
      </c>
      <c r="E290" t="n">
        <v>21006</v>
      </c>
      <c r="F290">
        <f>C290/(1-MIN(0.75,E290/(24000+E290)))</f>
        <v/>
      </c>
    </row>
    <row r="291">
      <c r="A291" t="n">
        <v>58</v>
      </c>
      <c r="B291" t="n">
        <v>290</v>
      </c>
      <c r="C291" t="n">
        <v>915673</v>
      </c>
      <c r="D291" t="n">
        <v>21854</v>
      </c>
      <c r="E291" t="n">
        <v>21006</v>
      </c>
      <c r="F291">
        <f>C291/(1-MIN(0.75,E291/(24000+E291)))</f>
        <v/>
      </c>
    </row>
    <row r="292">
      <c r="A292" t="n">
        <v>59</v>
      </c>
      <c r="B292" t="n">
        <v>291</v>
      </c>
      <c r="C292" t="n">
        <v>1411674</v>
      </c>
      <c r="D292" t="n">
        <v>18620</v>
      </c>
      <c r="E292" t="n">
        <v>32061</v>
      </c>
      <c r="F292">
        <f>C292/(1-MIN(0.75,E292/(24000+E292)))</f>
        <v/>
      </c>
    </row>
    <row r="293">
      <c r="A293" t="n">
        <v>59</v>
      </c>
      <c r="B293" t="n">
        <v>292</v>
      </c>
      <c r="C293" t="n">
        <v>941116</v>
      </c>
      <c r="D293" t="n">
        <v>22344</v>
      </c>
      <c r="E293" t="n">
        <v>21374</v>
      </c>
      <c r="F293">
        <f>C293/(1-MIN(0.75,E293/(24000+E293)))</f>
        <v/>
      </c>
    </row>
    <row r="294">
      <c r="A294" t="n">
        <v>59</v>
      </c>
      <c r="B294" t="n">
        <v>293</v>
      </c>
      <c r="C294" t="n">
        <v>941116</v>
      </c>
      <c r="D294" t="n">
        <v>22344</v>
      </c>
      <c r="E294" t="n">
        <v>21374</v>
      </c>
      <c r="F294">
        <f>C294/(1-MIN(0.75,E294/(24000+E294)))</f>
        <v/>
      </c>
    </row>
    <row r="295">
      <c r="A295" t="n">
        <v>59</v>
      </c>
      <c r="B295" t="n">
        <v>294</v>
      </c>
      <c r="C295" t="n">
        <v>1176395</v>
      </c>
      <c r="D295" t="n">
        <v>18620</v>
      </c>
      <c r="E295" t="n">
        <v>26718</v>
      </c>
      <c r="F295">
        <f>C295/(1-MIN(0.75,E295/(24000+E295)))</f>
        <v/>
      </c>
    </row>
    <row r="296">
      <c r="A296" t="n">
        <v>59</v>
      </c>
      <c r="B296" t="n">
        <v>295</v>
      </c>
      <c r="C296" t="n">
        <v>1176395</v>
      </c>
      <c r="D296" t="n">
        <v>18620</v>
      </c>
      <c r="E296" t="n">
        <v>26718</v>
      </c>
      <c r="F296">
        <f>C296/(1-MIN(0.75,E296/(24000+E296)))</f>
        <v/>
      </c>
    </row>
    <row r="297">
      <c r="A297" t="n">
        <v>60</v>
      </c>
      <c r="B297" t="n">
        <v>296</v>
      </c>
      <c r="C297" t="n">
        <v>1450473</v>
      </c>
      <c r="D297" t="n">
        <v>19005</v>
      </c>
      <c r="E297" t="n">
        <v>32432</v>
      </c>
      <c r="F297">
        <f>C297/(1-MIN(0.75,E297/(24000+E297)))</f>
        <v/>
      </c>
    </row>
    <row r="298">
      <c r="A298" t="n">
        <v>60</v>
      </c>
      <c r="B298" t="n">
        <v>297</v>
      </c>
      <c r="C298" t="n">
        <v>966982</v>
      </c>
      <c r="D298" t="n">
        <v>22806</v>
      </c>
      <c r="E298" t="n">
        <v>21621</v>
      </c>
      <c r="F298">
        <f>C298/(1-MIN(0.75,E298/(24000+E298)))</f>
        <v/>
      </c>
    </row>
    <row r="299">
      <c r="A299" t="n">
        <v>60</v>
      </c>
      <c r="B299" t="n">
        <v>298</v>
      </c>
      <c r="C299" t="n">
        <v>1208727</v>
      </c>
      <c r="D299" t="n">
        <v>19005</v>
      </c>
      <c r="E299" t="n">
        <v>27026</v>
      </c>
      <c r="F299">
        <f>C299/(1-MIN(0.75,E299/(24000+E299)))</f>
        <v/>
      </c>
    </row>
    <row r="300">
      <c r="A300" t="n">
        <v>60</v>
      </c>
      <c r="B300" t="n">
        <v>299</v>
      </c>
      <c r="C300" t="n">
        <v>1208727</v>
      </c>
      <c r="D300" t="n">
        <v>19005</v>
      </c>
      <c r="E300" t="n">
        <v>27026</v>
      </c>
      <c r="F300">
        <f>C300/(1-MIN(0.75,E300/(24000+E300)))</f>
        <v/>
      </c>
    </row>
    <row r="301">
      <c r="A301" t="n">
        <v>60</v>
      </c>
      <c r="B301" t="n">
        <v>300</v>
      </c>
      <c r="C301" t="n">
        <v>1208727</v>
      </c>
      <c r="D301" t="n">
        <v>19005</v>
      </c>
      <c r="E301" t="n">
        <v>27026</v>
      </c>
      <c r="F301">
        <f>C301/(1-MIN(0.75,E301/(24000+E301)))</f>
        <v/>
      </c>
    </row>
    <row r="302">
      <c r="A302" t="n">
        <v>61</v>
      </c>
      <c r="B302" t="n">
        <v>301</v>
      </c>
      <c r="C302" t="n">
        <v>1486904</v>
      </c>
      <c r="D302" t="n">
        <v>19407</v>
      </c>
      <c r="E302" t="n">
        <v>32804</v>
      </c>
      <c r="F302">
        <f>C302/(1-MIN(0.75,E302/(24000+E302)))</f>
        <v/>
      </c>
    </row>
    <row r="303">
      <c r="A303" t="n">
        <v>61</v>
      </c>
      <c r="B303" t="n">
        <v>302</v>
      </c>
      <c r="C303" t="n">
        <v>991269</v>
      </c>
      <c r="D303" t="n">
        <v>23289</v>
      </c>
      <c r="E303" t="n">
        <v>21869</v>
      </c>
      <c r="F303">
        <f>C303/(1-MIN(0.75,E303/(24000+E303)))</f>
        <v/>
      </c>
    </row>
    <row r="304">
      <c r="A304" t="n">
        <v>61</v>
      </c>
      <c r="B304" t="n">
        <v>303</v>
      </c>
      <c r="C304" t="n">
        <v>1239087</v>
      </c>
      <c r="D304" t="n">
        <v>19407</v>
      </c>
      <c r="E304" t="n">
        <v>27336</v>
      </c>
      <c r="F304">
        <f>C304/(1-MIN(0.75,E304/(24000+E304)))</f>
        <v/>
      </c>
    </row>
    <row r="305">
      <c r="A305" t="n">
        <v>61</v>
      </c>
      <c r="B305" t="n">
        <v>304</v>
      </c>
      <c r="C305" t="n">
        <v>991269</v>
      </c>
      <c r="D305" t="n">
        <v>23289</v>
      </c>
      <c r="E305" t="n">
        <v>21869</v>
      </c>
      <c r="F305">
        <f>C305/(1-MIN(0.75,E305/(24000+E305)))</f>
        <v/>
      </c>
    </row>
    <row r="306">
      <c r="A306" t="n">
        <v>61</v>
      </c>
      <c r="B306" t="n">
        <v>305</v>
      </c>
      <c r="C306" t="n">
        <v>991269</v>
      </c>
      <c r="D306" t="n">
        <v>23289</v>
      </c>
      <c r="E306" t="n">
        <v>21869</v>
      </c>
      <c r="F306">
        <f>C306/(1-MIN(0.75,E306/(24000+E306)))</f>
        <v/>
      </c>
    </row>
    <row r="307">
      <c r="A307" t="n">
        <v>62</v>
      </c>
      <c r="B307" t="n">
        <v>306</v>
      </c>
      <c r="C307" t="n">
        <v>1511309</v>
      </c>
      <c r="D307" t="n">
        <v>19701</v>
      </c>
      <c r="E307" t="n">
        <v>33177</v>
      </c>
      <c r="F307">
        <f>C307/(1-MIN(0.75,E307/(24000+E307)))</f>
        <v/>
      </c>
    </row>
    <row r="308">
      <c r="A308" t="n">
        <v>62</v>
      </c>
      <c r="B308" t="n">
        <v>307</v>
      </c>
      <c r="C308" t="n">
        <v>1259424</v>
      </c>
      <c r="D308" t="n">
        <v>19701</v>
      </c>
      <c r="E308" t="n">
        <v>27648</v>
      </c>
      <c r="F308">
        <f>C308/(1-MIN(0.75,E308/(24000+E308)))</f>
        <v/>
      </c>
    </row>
    <row r="309">
      <c r="A309" t="n">
        <v>62</v>
      </c>
      <c r="B309" t="n">
        <v>308</v>
      </c>
      <c r="C309" t="n">
        <v>1007539</v>
      </c>
      <c r="D309" t="n">
        <v>23642</v>
      </c>
      <c r="E309" t="n">
        <v>22118</v>
      </c>
      <c r="F309">
        <f>C309/(1-MIN(0.75,E309/(24000+E309)))</f>
        <v/>
      </c>
    </row>
    <row r="310">
      <c r="A310" t="n">
        <v>62</v>
      </c>
      <c r="B310" t="n">
        <v>309</v>
      </c>
      <c r="C310" t="n">
        <v>1007539</v>
      </c>
      <c r="D310" t="n">
        <v>23642</v>
      </c>
      <c r="E310" t="n">
        <v>22118</v>
      </c>
      <c r="F310">
        <f>C310/(1-MIN(0.75,E310/(24000+E310)))</f>
        <v/>
      </c>
    </row>
    <row r="311">
      <c r="A311" t="n">
        <v>62</v>
      </c>
      <c r="B311" t="n">
        <v>310</v>
      </c>
      <c r="C311" t="n">
        <v>1007539</v>
      </c>
      <c r="D311" t="n">
        <v>23642</v>
      </c>
      <c r="E311" t="n">
        <v>22118</v>
      </c>
      <c r="F311">
        <f>C311/(1-MIN(0.75,E311/(24000+E311)))</f>
        <v/>
      </c>
    </row>
    <row r="312">
      <c r="A312" t="n">
        <v>63</v>
      </c>
      <c r="B312" t="n">
        <v>311</v>
      </c>
      <c r="C312" t="n">
        <v>1539843</v>
      </c>
      <c r="D312" t="n">
        <v>20015</v>
      </c>
      <c r="E312" t="n">
        <v>33551</v>
      </c>
      <c r="F312">
        <f>C312/(1-MIN(0.75,E312/(24000+E312)))</f>
        <v/>
      </c>
    </row>
    <row r="313">
      <c r="A313" t="n">
        <v>63</v>
      </c>
      <c r="B313" t="n">
        <v>312</v>
      </c>
      <c r="C313" t="n">
        <v>1026562</v>
      </c>
      <c r="D313" t="n">
        <v>24017</v>
      </c>
      <c r="E313" t="n">
        <v>22367</v>
      </c>
      <c r="F313">
        <f>C313/(1-MIN(0.75,E313/(24000+E313)))</f>
        <v/>
      </c>
    </row>
    <row r="314">
      <c r="A314" t="n">
        <v>63</v>
      </c>
      <c r="B314" t="n">
        <v>313</v>
      </c>
      <c r="C314" t="n">
        <v>1026562</v>
      </c>
      <c r="D314" t="n">
        <v>24017</v>
      </c>
      <c r="E314" t="n">
        <v>22367</v>
      </c>
      <c r="F314">
        <f>C314/(1-MIN(0.75,E314/(24000+E314)))</f>
        <v/>
      </c>
    </row>
    <row r="315">
      <c r="A315" t="n">
        <v>63</v>
      </c>
      <c r="B315" t="n">
        <v>314</v>
      </c>
      <c r="C315" t="n">
        <v>1283203</v>
      </c>
      <c r="D315" t="n">
        <v>20015</v>
      </c>
      <c r="E315" t="n">
        <v>27959</v>
      </c>
      <c r="F315">
        <f>C315/(1-MIN(0.75,E315/(24000+E315)))</f>
        <v/>
      </c>
    </row>
    <row r="316">
      <c r="A316" t="n">
        <v>63</v>
      </c>
      <c r="B316" t="n">
        <v>315</v>
      </c>
      <c r="C316" t="n">
        <v>1283203</v>
      </c>
      <c r="D316" t="n">
        <v>20015</v>
      </c>
      <c r="E316" t="n">
        <v>27959</v>
      </c>
      <c r="F316">
        <f>C316/(1-MIN(0.75,E316/(24000+E316)))</f>
        <v/>
      </c>
    </row>
    <row r="317">
      <c r="A317" t="n">
        <v>64</v>
      </c>
      <c r="B317" t="n">
        <v>316</v>
      </c>
      <c r="C317" t="n">
        <v>1583702</v>
      </c>
      <c r="D317" t="n">
        <v>20473</v>
      </c>
      <c r="E317" t="n">
        <v>33927</v>
      </c>
      <c r="F317">
        <f>C317/(1-MIN(0.75,E317/(24000+E317)))</f>
        <v/>
      </c>
    </row>
    <row r="318">
      <c r="A318" t="n">
        <v>64</v>
      </c>
      <c r="B318" t="n">
        <v>317</v>
      </c>
      <c r="C318" t="n">
        <v>1055801</v>
      </c>
      <c r="D318" t="n">
        <v>24568</v>
      </c>
      <c r="E318" t="n">
        <v>22618</v>
      </c>
      <c r="F318">
        <f>C318/(1-MIN(0.75,E318/(24000+E318)))</f>
        <v/>
      </c>
    </row>
    <row r="319">
      <c r="A319" t="n">
        <v>64</v>
      </c>
      <c r="B319" t="n">
        <v>318</v>
      </c>
      <c r="C319" t="n">
        <v>1055801</v>
      </c>
      <c r="D319" t="n">
        <v>24568</v>
      </c>
      <c r="E319" t="n">
        <v>22618</v>
      </c>
      <c r="F319">
        <f>C319/(1-MIN(0.75,E319/(24000+E319)))</f>
        <v/>
      </c>
    </row>
    <row r="320">
      <c r="A320" t="n">
        <v>64</v>
      </c>
      <c r="B320" t="n">
        <v>319</v>
      </c>
      <c r="C320" t="n">
        <v>1319751</v>
      </c>
      <c r="D320" t="n">
        <v>20473</v>
      </c>
      <c r="E320" t="n">
        <v>28273</v>
      </c>
      <c r="F320">
        <f>C320/(1-MIN(0.75,E320/(24000+E320)))</f>
        <v/>
      </c>
    </row>
    <row r="321">
      <c r="A321" t="n">
        <v>64</v>
      </c>
      <c r="B321" t="n">
        <v>320</v>
      </c>
      <c r="C321" t="n">
        <v>1055801</v>
      </c>
      <c r="D321" t="n">
        <v>24568</v>
      </c>
      <c r="E321" t="n">
        <v>22618</v>
      </c>
      <c r="F321">
        <f>C321/(1-MIN(0.75,E321/(24000+E321)))</f>
        <v/>
      </c>
    </row>
    <row r="322">
      <c r="A322" t="n">
        <v>65</v>
      </c>
      <c r="B322" t="n">
        <v>321</v>
      </c>
      <c r="C322" t="n">
        <v>1609892</v>
      </c>
      <c r="D322" t="n">
        <v>20736</v>
      </c>
      <c r="E322" t="n">
        <v>34304</v>
      </c>
      <c r="F322">
        <f>C322/(1-MIN(0.75,E322/(24000+E322)))</f>
        <v/>
      </c>
    </row>
    <row r="323">
      <c r="A323" t="n">
        <v>65</v>
      </c>
      <c r="B323" t="n">
        <v>322</v>
      </c>
      <c r="C323" t="n">
        <v>1073261</v>
      </c>
      <c r="D323" t="n">
        <v>24883</v>
      </c>
      <c r="E323" t="n">
        <v>22869</v>
      </c>
      <c r="F323">
        <f>C323/(1-MIN(0.75,E323/(24000+E323)))</f>
        <v/>
      </c>
    </row>
    <row r="324">
      <c r="A324" t="n">
        <v>65</v>
      </c>
      <c r="B324" t="n">
        <v>323</v>
      </c>
      <c r="C324" t="n">
        <v>1341577</v>
      </c>
      <c r="D324" t="n">
        <v>20736</v>
      </c>
      <c r="E324" t="n">
        <v>28586</v>
      </c>
      <c r="F324">
        <f>C324/(1-MIN(0.75,E324/(24000+E324)))</f>
        <v/>
      </c>
    </row>
    <row r="325">
      <c r="A325" t="n">
        <v>65</v>
      </c>
      <c r="B325" t="n">
        <v>324</v>
      </c>
      <c r="C325" t="n">
        <v>1341577</v>
      </c>
      <c r="D325" t="n">
        <v>20736</v>
      </c>
      <c r="E325" t="n">
        <v>28586</v>
      </c>
      <c r="F325">
        <f>C325/(1-MIN(0.75,E325/(24000+E325)))</f>
        <v/>
      </c>
    </row>
    <row r="326">
      <c r="A326" t="n">
        <v>65</v>
      </c>
      <c r="B326" t="n">
        <v>325</v>
      </c>
      <c r="C326" t="n">
        <v>1341577</v>
      </c>
      <c r="D326" t="n">
        <v>20736</v>
      </c>
      <c r="E326" t="n">
        <v>28586</v>
      </c>
      <c r="F326">
        <f>C326/(1-MIN(0.75,E326/(24000+E326)))</f>
        <v/>
      </c>
    </row>
    <row r="327">
      <c r="A327" t="n">
        <v>66</v>
      </c>
      <c r="B327" t="n">
        <v>326</v>
      </c>
      <c r="C327" t="n">
        <v>1638242</v>
      </c>
      <c r="D327" t="n">
        <v>21057</v>
      </c>
      <c r="E327" t="n">
        <v>34493</v>
      </c>
      <c r="F327">
        <f>C327/(1-MIN(0.75,E327/(24000+E327)))</f>
        <v/>
      </c>
    </row>
    <row r="328">
      <c r="A328" t="n">
        <v>66</v>
      </c>
      <c r="B328" t="n">
        <v>327</v>
      </c>
      <c r="C328" t="n">
        <v>1092162</v>
      </c>
      <c r="D328" t="n">
        <v>25268</v>
      </c>
      <c r="E328" t="n">
        <v>22995</v>
      </c>
      <c r="F328">
        <f>C328/(1-MIN(0.75,E328/(24000+E328)))</f>
        <v/>
      </c>
    </row>
    <row r="329">
      <c r="A329" t="n">
        <v>66</v>
      </c>
      <c r="B329" t="n">
        <v>328</v>
      </c>
      <c r="C329" t="n">
        <v>1092162</v>
      </c>
      <c r="D329" t="n">
        <v>25268</v>
      </c>
      <c r="E329" t="n">
        <v>22995</v>
      </c>
      <c r="F329">
        <f>C329/(1-MIN(0.75,E329/(24000+E329)))</f>
        <v/>
      </c>
    </row>
    <row r="330">
      <c r="A330" t="n">
        <v>66</v>
      </c>
      <c r="B330" t="n">
        <v>329</v>
      </c>
      <c r="C330" t="n">
        <v>1092162</v>
      </c>
      <c r="D330" t="n">
        <v>25268</v>
      </c>
      <c r="E330" t="n">
        <v>22995</v>
      </c>
      <c r="F330">
        <f>C330/(1-MIN(0.75,E330/(24000+E330)))</f>
        <v/>
      </c>
    </row>
    <row r="331">
      <c r="A331" t="n">
        <v>66</v>
      </c>
      <c r="B331" t="n">
        <v>330</v>
      </c>
      <c r="C331" t="n">
        <v>1365202</v>
      </c>
      <c r="D331" t="n">
        <v>21057</v>
      </c>
      <c r="E331" t="n">
        <v>28744</v>
      </c>
      <c r="F331">
        <f>C331/(1-MIN(0.75,E331/(24000+E331)))</f>
        <v/>
      </c>
    </row>
    <row r="332">
      <c r="A332" t="n">
        <v>67</v>
      </c>
      <c r="B332" t="n">
        <v>331</v>
      </c>
      <c r="C332" t="n">
        <v>1665556</v>
      </c>
      <c r="D332" t="n">
        <v>21376</v>
      </c>
      <c r="E332" t="n">
        <v>34872</v>
      </c>
      <c r="F332">
        <f>C332/(1-MIN(0.75,E332/(24000+E332)))</f>
        <v/>
      </c>
    </row>
    <row r="333">
      <c r="A333" t="n">
        <v>67</v>
      </c>
      <c r="B333" t="n">
        <v>332</v>
      </c>
      <c r="C333" t="n">
        <v>1387963</v>
      </c>
      <c r="D333" t="n">
        <v>21376</v>
      </c>
      <c r="E333" t="n">
        <v>29060</v>
      </c>
      <c r="F333">
        <f>C333/(1-MIN(0.75,E333/(24000+E333)))</f>
        <v/>
      </c>
    </row>
    <row r="334">
      <c r="A334" t="n">
        <v>67</v>
      </c>
      <c r="B334" t="n">
        <v>333</v>
      </c>
      <c r="C334" t="n">
        <v>1110371</v>
      </c>
      <c r="D334" t="n">
        <v>25651</v>
      </c>
      <c r="E334" t="n">
        <v>23248</v>
      </c>
      <c r="F334">
        <f>C334/(1-MIN(0.75,E334/(24000+E334)))</f>
        <v/>
      </c>
    </row>
    <row r="335">
      <c r="A335" t="n">
        <v>67</v>
      </c>
      <c r="B335" t="n">
        <v>334</v>
      </c>
      <c r="C335" t="n">
        <v>1110371</v>
      </c>
      <c r="D335" t="n">
        <v>25651</v>
      </c>
      <c r="E335" t="n">
        <v>23248</v>
      </c>
      <c r="F335">
        <f>C335/(1-MIN(0.75,E335/(24000+E335)))</f>
        <v/>
      </c>
    </row>
    <row r="336">
      <c r="A336" t="n">
        <v>67</v>
      </c>
      <c r="B336" t="n">
        <v>335</v>
      </c>
      <c r="C336" t="n">
        <v>1110371</v>
      </c>
      <c r="D336" t="n">
        <v>25651</v>
      </c>
      <c r="E336" t="n">
        <v>23248</v>
      </c>
      <c r="F336">
        <f>C336/(1-MIN(0.75,E336/(24000+E336)))</f>
        <v/>
      </c>
    </row>
    <row r="337">
      <c r="A337" t="n">
        <v>68</v>
      </c>
      <c r="B337" t="n">
        <v>336</v>
      </c>
      <c r="C337" t="n">
        <v>1700239</v>
      </c>
      <c r="D337" t="n">
        <v>21738</v>
      </c>
      <c r="E337" t="n">
        <v>35252</v>
      </c>
      <c r="F337">
        <f>C337/(1-MIN(0.75,E337/(24000+E337)))</f>
        <v/>
      </c>
    </row>
    <row r="338">
      <c r="A338" t="n">
        <v>68</v>
      </c>
      <c r="B338" t="n">
        <v>337</v>
      </c>
      <c r="C338" t="n">
        <v>1133493</v>
      </c>
      <c r="D338" t="n">
        <v>26085</v>
      </c>
      <c r="E338" t="n">
        <v>23501</v>
      </c>
      <c r="F338">
        <f>C338/(1-MIN(0.75,E338/(24000+E338)))</f>
        <v/>
      </c>
    </row>
    <row r="339">
      <c r="A339" t="n">
        <v>68</v>
      </c>
      <c r="B339" t="n">
        <v>338</v>
      </c>
      <c r="C339" t="n">
        <v>1133493</v>
      </c>
      <c r="D339" t="n">
        <v>26085</v>
      </c>
      <c r="E339" t="n">
        <v>23501</v>
      </c>
      <c r="F339">
        <f>C339/(1-MIN(0.75,E339/(24000+E339)))</f>
        <v/>
      </c>
    </row>
    <row r="340">
      <c r="A340" t="n">
        <v>68</v>
      </c>
      <c r="B340" t="n">
        <v>339</v>
      </c>
      <c r="C340" t="n">
        <v>1416866</v>
      </c>
      <c r="D340" t="n">
        <v>21738</v>
      </c>
      <c r="E340" t="n">
        <v>29376</v>
      </c>
      <c r="F340">
        <f>C340/(1-MIN(0.75,E340/(24000+E340)))</f>
        <v/>
      </c>
    </row>
    <row r="341">
      <c r="A341" t="n">
        <v>68</v>
      </c>
      <c r="B341" t="n">
        <v>340</v>
      </c>
      <c r="C341" t="n">
        <v>1416866</v>
      </c>
      <c r="D341" t="n">
        <v>21738</v>
      </c>
      <c r="E341" t="n">
        <v>29376</v>
      </c>
      <c r="F341">
        <f>C341/(1-MIN(0.75,E341/(24000+E341)))</f>
        <v/>
      </c>
    </row>
    <row r="342">
      <c r="A342" t="n">
        <v>69</v>
      </c>
      <c r="B342" t="n">
        <v>341</v>
      </c>
      <c r="C342" t="n">
        <v>1729993</v>
      </c>
      <c r="D342" t="n">
        <v>22081</v>
      </c>
      <c r="E342" t="n">
        <v>35634</v>
      </c>
      <c r="F342">
        <f>C342/(1-MIN(0.75,E342/(24000+E342)))</f>
        <v/>
      </c>
    </row>
    <row r="343">
      <c r="A343" t="n">
        <v>69</v>
      </c>
      <c r="B343" t="n">
        <v>342</v>
      </c>
      <c r="C343" t="n">
        <v>1441661</v>
      </c>
      <c r="D343" t="n">
        <v>22081</v>
      </c>
      <c r="E343" t="n">
        <v>29695</v>
      </c>
      <c r="F343">
        <f>C343/(1-MIN(0.75,E343/(24000+E343)))</f>
        <v/>
      </c>
    </row>
    <row r="344">
      <c r="A344" t="n">
        <v>69</v>
      </c>
      <c r="B344" t="n">
        <v>343</v>
      </c>
      <c r="C344" t="n">
        <v>1441661</v>
      </c>
      <c r="D344" t="n">
        <v>22081</v>
      </c>
      <c r="E344" t="n">
        <v>29695</v>
      </c>
      <c r="F344">
        <f>C344/(1-MIN(0.75,E344/(24000+E344)))</f>
        <v/>
      </c>
    </row>
    <row r="345">
      <c r="A345" t="n">
        <v>69</v>
      </c>
      <c r="B345" t="n">
        <v>344</v>
      </c>
      <c r="C345" t="n">
        <v>1153329</v>
      </c>
      <c r="D345" t="n">
        <v>26497</v>
      </c>
      <c r="E345" t="n">
        <v>23756</v>
      </c>
      <c r="F345">
        <f>C345/(1-MIN(0.75,E345/(24000+E345)))</f>
        <v/>
      </c>
    </row>
    <row r="346">
      <c r="A346" t="n">
        <v>69</v>
      </c>
      <c r="B346" t="n">
        <v>345</v>
      </c>
      <c r="C346" t="n">
        <v>1153329</v>
      </c>
      <c r="D346" t="n">
        <v>26497</v>
      </c>
      <c r="E346" t="n">
        <v>23756</v>
      </c>
      <c r="F346">
        <f>C346/(1-MIN(0.75,E346/(24000+E346)))</f>
        <v/>
      </c>
    </row>
    <row r="347">
      <c r="A347" t="n">
        <v>70</v>
      </c>
      <c r="B347" t="n">
        <v>346</v>
      </c>
      <c r="C347" t="n">
        <v>1773614</v>
      </c>
      <c r="D347" t="n">
        <v>22512</v>
      </c>
      <c r="E347" t="n">
        <v>36017</v>
      </c>
      <c r="F347">
        <f>C347/(1-MIN(0.75,E347/(24000+E347)))</f>
        <v/>
      </c>
    </row>
    <row r="348">
      <c r="A348" t="n">
        <v>70</v>
      </c>
      <c r="B348" t="n">
        <v>347</v>
      </c>
      <c r="C348" t="n">
        <v>1182409</v>
      </c>
      <c r="D348" t="n">
        <v>27014</v>
      </c>
      <c r="E348" t="n">
        <v>24011</v>
      </c>
      <c r="F348">
        <f>C348/(1-MIN(0.75,E348/(24000+E348)))</f>
        <v/>
      </c>
    </row>
    <row r="349">
      <c r="A349" t="n">
        <v>70</v>
      </c>
      <c r="B349" t="n">
        <v>348</v>
      </c>
      <c r="C349" t="n">
        <v>1478012</v>
      </c>
      <c r="D349" t="n">
        <v>22512</v>
      </c>
      <c r="E349" t="n">
        <v>30014</v>
      </c>
      <c r="F349">
        <f>C349/(1-MIN(0.75,E349/(24000+E349)))</f>
        <v/>
      </c>
    </row>
    <row r="350">
      <c r="A350" t="n">
        <v>70</v>
      </c>
      <c r="B350" t="n">
        <v>349</v>
      </c>
      <c r="C350" t="n">
        <v>1182409</v>
      </c>
      <c r="D350" t="n">
        <v>27014</v>
      </c>
      <c r="E350" t="n">
        <v>24011</v>
      </c>
      <c r="F350">
        <f>C350/(1-MIN(0.75,E350/(24000+E350)))</f>
        <v/>
      </c>
    </row>
    <row r="351">
      <c r="A351" t="n">
        <v>70</v>
      </c>
      <c r="B351" t="n">
        <v>350</v>
      </c>
      <c r="C351" t="n">
        <v>1478012</v>
      </c>
      <c r="D351" t="n">
        <v>22512</v>
      </c>
      <c r="E351" t="n">
        <v>30014</v>
      </c>
      <c r="F351">
        <f>C351/(1-MIN(0.75,E351/(24000+E351)))</f>
        <v/>
      </c>
    </row>
    <row r="352">
      <c r="A352" t="n">
        <v>71</v>
      </c>
      <c r="B352" t="n">
        <v>351</v>
      </c>
      <c r="C352" t="n">
        <v>1807700</v>
      </c>
      <c r="D352" t="n">
        <v>22894</v>
      </c>
      <c r="E352" t="n">
        <v>36402</v>
      </c>
      <c r="F352">
        <f>C352/(1-MIN(0.75,E352/(24000+E352)))</f>
        <v/>
      </c>
    </row>
    <row r="353">
      <c r="A353" t="n">
        <v>71</v>
      </c>
      <c r="B353" t="n">
        <v>352</v>
      </c>
      <c r="C353" t="n">
        <v>1205134</v>
      </c>
      <c r="D353" t="n">
        <v>27473</v>
      </c>
      <c r="E353" t="n">
        <v>24268</v>
      </c>
      <c r="F353">
        <f>C353/(1-MIN(0.75,E353/(24000+E353)))</f>
        <v/>
      </c>
    </row>
    <row r="354">
      <c r="A354" t="n">
        <v>71</v>
      </c>
      <c r="B354" t="n">
        <v>353</v>
      </c>
      <c r="C354" t="n">
        <v>1506417</v>
      </c>
      <c r="D354" t="n">
        <v>22894</v>
      </c>
      <c r="E354" t="n">
        <v>30335</v>
      </c>
      <c r="F354">
        <f>C354/(1-MIN(0.75,E354/(24000+E354)))</f>
        <v/>
      </c>
    </row>
    <row r="355">
      <c r="A355" t="n">
        <v>71</v>
      </c>
      <c r="B355" t="n">
        <v>354</v>
      </c>
      <c r="C355" t="n">
        <v>1205134</v>
      </c>
      <c r="D355" t="n">
        <v>27473</v>
      </c>
      <c r="E355" t="n">
        <v>24268</v>
      </c>
      <c r="F355">
        <f>C355/(1-MIN(0.75,E355/(24000+E355)))</f>
        <v/>
      </c>
    </row>
    <row r="356">
      <c r="A356" t="n">
        <v>71</v>
      </c>
      <c r="B356" t="n">
        <v>355</v>
      </c>
      <c r="C356" t="n">
        <v>1205134</v>
      </c>
      <c r="D356" t="n">
        <v>27473</v>
      </c>
      <c r="E356" t="n">
        <v>24268</v>
      </c>
      <c r="F356">
        <f>C356/(1-MIN(0.75,E356/(24000+E356)))</f>
        <v/>
      </c>
    </row>
    <row r="357">
      <c r="A357" t="n">
        <v>72</v>
      </c>
      <c r="B357" t="n">
        <v>356</v>
      </c>
      <c r="C357" t="n">
        <v>1822008</v>
      </c>
      <c r="D357" t="n">
        <v>23082</v>
      </c>
      <c r="E357" t="n">
        <v>36594</v>
      </c>
      <c r="F357">
        <f>C357/(1-MIN(0.75,E357/(24000+E357)))</f>
        <v/>
      </c>
    </row>
    <row r="358">
      <c r="A358" t="n">
        <v>72</v>
      </c>
      <c r="B358" t="n">
        <v>357</v>
      </c>
      <c r="C358" t="n">
        <v>1214672</v>
      </c>
      <c r="D358" t="n">
        <v>27699</v>
      </c>
      <c r="E358" t="n">
        <v>24396</v>
      </c>
      <c r="F358">
        <f>C358/(1-MIN(0.75,E358/(24000+E358)))</f>
        <v/>
      </c>
    </row>
    <row r="359">
      <c r="A359" t="n">
        <v>72</v>
      </c>
      <c r="B359" t="n">
        <v>358</v>
      </c>
      <c r="C359" t="n">
        <v>1214672</v>
      </c>
      <c r="D359" t="n">
        <v>27699</v>
      </c>
      <c r="E359" t="n">
        <v>24396</v>
      </c>
      <c r="F359">
        <f>C359/(1-MIN(0.75,E359/(24000+E359)))</f>
        <v/>
      </c>
    </row>
    <row r="360">
      <c r="A360" t="n">
        <v>72</v>
      </c>
      <c r="B360" t="n">
        <v>359</v>
      </c>
      <c r="C360" t="n">
        <v>1214672</v>
      </c>
      <c r="D360" t="n">
        <v>27699</v>
      </c>
      <c r="E360" t="n">
        <v>24396</v>
      </c>
      <c r="F360">
        <f>C360/(1-MIN(0.75,E360/(24000+E360)))</f>
        <v/>
      </c>
    </row>
    <row r="361">
      <c r="A361" t="n">
        <v>72</v>
      </c>
      <c r="B361" t="n">
        <v>360</v>
      </c>
      <c r="C361" t="n">
        <v>1518340</v>
      </c>
      <c r="D361" t="n">
        <v>23082</v>
      </c>
      <c r="E361" t="n">
        <v>30495</v>
      </c>
      <c r="F361">
        <f>C361/(1-MIN(0.75,E361/(24000+E361)))</f>
        <v/>
      </c>
    </row>
    <row r="362">
      <c r="A362" t="n">
        <v>73</v>
      </c>
      <c r="B362" t="n">
        <v>361</v>
      </c>
      <c r="C362" t="n">
        <v>1877422</v>
      </c>
      <c r="D362" t="n">
        <v>23617</v>
      </c>
      <c r="E362" t="n">
        <v>36981</v>
      </c>
      <c r="F362">
        <f>C362/(1-MIN(0.75,E362/(24000+E362)))</f>
        <v/>
      </c>
    </row>
    <row r="363">
      <c r="A363" t="n">
        <v>73</v>
      </c>
      <c r="B363" t="n">
        <v>362</v>
      </c>
      <c r="C363" t="n">
        <v>1251614</v>
      </c>
      <c r="D363" t="n">
        <v>28341</v>
      </c>
      <c r="E363" t="n">
        <v>24654</v>
      </c>
      <c r="F363">
        <f>C363/(1-MIN(0.75,E363/(24000+E363)))</f>
        <v/>
      </c>
    </row>
    <row r="364">
      <c r="A364" t="n">
        <v>73</v>
      </c>
      <c r="B364" t="n">
        <v>363</v>
      </c>
      <c r="C364" t="n">
        <v>1251614</v>
      </c>
      <c r="D364" t="n">
        <v>28341</v>
      </c>
      <c r="E364" t="n">
        <v>24654</v>
      </c>
      <c r="F364">
        <f>C364/(1-MIN(0.75,E364/(24000+E364)))</f>
        <v/>
      </c>
    </row>
    <row r="365">
      <c r="A365" t="n">
        <v>73</v>
      </c>
      <c r="B365" t="n">
        <v>364</v>
      </c>
      <c r="C365" t="n">
        <v>1251614</v>
      </c>
      <c r="D365" t="n">
        <v>28341</v>
      </c>
      <c r="E365" t="n">
        <v>24654</v>
      </c>
      <c r="F365">
        <f>C365/(1-MIN(0.75,E365/(24000+E365)))</f>
        <v/>
      </c>
    </row>
    <row r="366">
      <c r="A366" t="n">
        <v>73</v>
      </c>
      <c r="B366" t="n">
        <v>365</v>
      </c>
      <c r="C366" t="n">
        <v>1564518</v>
      </c>
      <c r="D366" t="n">
        <v>23617</v>
      </c>
      <c r="E366" t="n">
        <v>30818</v>
      </c>
      <c r="F366">
        <f>C366/(1-MIN(0.75,E366/(24000+E366)))</f>
        <v/>
      </c>
    </row>
    <row r="367">
      <c r="A367" t="n">
        <v>74</v>
      </c>
      <c r="B367" t="n">
        <v>366</v>
      </c>
      <c r="C367" t="n">
        <v>1914617</v>
      </c>
      <c r="D367" t="n">
        <v>24017</v>
      </c>
      <c r="E367" t="n">
        <v>37370</v>
      </c>
      <c r="F367">
        <f>C367/(1-MIN(0.75,E367/(24000+E367)))</f>
        <v/>
      </c>
    </row>
    <row r="368">
      <c r="A368" t="n">
        <v>74</v>
      </c>
      <c r="B368" t="n">
        <v>367</v>
      </c>
      <c r="C368" t="n">
        <v>1276411</v>
      </c>
      <c r="D368" t="n">
        <v>28820</v>
      </c>
      <c r="E368" t="n">
        <v>24913</v>
      </c>
      <c r="F368">
        <f>C368/(1-MIN(0.75,E368/(24000+E368)))</f>
        <v/>
      </c>
    </row>
    <row r="369">
      <c r="A369" t="n">
        <v>74</v>
      </c>
      <c r="B369" t="n">
        <v>368</v>
      </c>
      <c r="C369" t="n">
        <v>1276411</v>
      </c>
      <c r="D369" t="n">
        <v>28820</v>
      </c>
      <c r="E369" t="n">
        <v>24913</v>
      </c>
      <c r="F369">
        <f>C369/(1-MIN(0.75,E369/(24000+E369)))</f>
        <v/>
      </c>
    </row>
    <row r="370">
      <c r="A370" t="n">
        <v>74</v>
      </c>
      <c r="B370" t="n">
        <v>369</v>
      </c>
      <c r="C370" t="n">
        <v>1595514</v>
      </c>
      <c r="D370" t="n">
        <v>24017</v>
      </c>
      <c r="E370" t="n">
        <v>31141</v>
      </c>
      <c r="F370">
        <f>C370/(1-MIN(0.75,E370/(24000+E370)))</f>
        <v/>
      </c>
    </row>
    <row r="371">
      <c r="A371" t="n">
        <v>74</v>
      </c>
      <c r="B371" t="n">
        <v>370</v>
      </c>
      <c r="C371" t="n">
        <v>1276411</v>
      </c>
      <c r="D371" t="n">
        <v>28820</v>
      </c>
      <c r="E371" t="n">
        <v>24913</v>
      </c>
      <c r="F371">
        <f>C371/(1-MIN(0.75,E371/(24000+E371)))</f>
        <v/>
      </c>
    </row>
    <row r="372">
      <c r="A372" t="n">
        <v>75</v>
      </c>
      <c r="B372" t="n">
        <v>371</v>
      </c>
      <c r="C372" t="n">
        <v>1944388</v>
      </c>
      <c r="D372" t="n">
        <v>24331</v>
      </c>
      <c r="E372" t="n">
        <v>37758</v>
      </c>
      <c r="F372">
        <f>C372/(1-MIN(0.75,E372/(24000+E372)))</f>
        <v/>
      </c>
    </row>
    <row r="373">
      <c r="A373" t="n">
        <v>75</v>
      </c>
      <c r="B373" t="n">
        <v>372</v>
      </c>
      <c r="C373" t="n">
        <v>1296258</v>
      </c>
      <c r="D373" t="n">
        <v>29197</v>
      </c>
      <c r="E373" t="n">
        <v>25172</v>
      </c>
      <c r="F373">
        <f>C373/(1-MIN(0.75,E373/(24000+E373)))</f>
        <v/>
      </c>
    </row>
    <row r="374">
      <c r="A374" t="n">
        <v>75</v>
      </c>
      <c r="B374" t="n">
        <v>373</v>
      </c>
      <c r="C374" t="n">
        <v>1296258</v>
      </c>
      <c r="D374" t="n">
        <v>29197</v>
      </c>
      <c r="E374" t="n">
        <v>25172</v>
      </c>
      <c r="F374">
        <f>C374/(1-MIN(0.75,E374/(24000+E374)))</f>
        <v/>
      </c>
    </row>
    <row r="375">
      <c r="A375" t="n">
        <v>75</v>
      </c>
      <c r="B375" t="n">
        <v>374</v>
      </c>
      <c r="C375" t="n">
        <v>1620323</v>
      </c>
      <c r="D375" t="n">
        <v>24331</v>
      </c>
      <c r="E375" t="n">
        <v>31465</v>
      </c>
      <c r="F375">
        <f>C375/(1-MIN(0.75,E375/(24000+E375)))</f>
        <v/>
      </c>
    </row>
    <row r="376">
      <c r="A376" t="n">
        <v>75</v>
      </c>
      <c r="B376" t="n">
        <v>375</v>
      </c>
      <c r="C376" t="n">
        <v>1620323</v>
      </c>
      <c r="D376" t="n">
        <v>24331</v>
      </c>
      <c r="E376" t="n">
        <v>31465</v>
      </c>
      <c r="F376">
        <f>C376/(1-MIN(0.75,E376/(24000+E376)))</f>
        <v/>
      </c>
    </row>
    <row r="377">
      <c r="A377" t="n">
        <v>76</v>
      </c>
      <c r="B377" t="n">
        <v>376</v>
      </c>
      <c r="C377" t="n">
        <v>1982263</v>
      </c>
      <c r="D377" t="n">
        <v>24707</v>
      </c>
      <c r="E377" t="n">
        <v>37953</v>
      </c>
      <c r="F377">
        <f>C377/(1-MIN(0.75,E377/(24000+E377)))</f>
        <v/>
      </c>
    </row>
    <row r="378">
      <c r="A378" t="n">
        <v>76</v>
      </c>
      <c r="B378" t="n">
        <v>377</v>
      </c>
      <c r="C378" t="n">
        <v>1651886</v>
      </c>
      <c r="D378" t="n">
        <v>24707</v>
      </c>
      <c r="E378" t="n">
        <v>31628</v>
      </c>
      <c r="F378">
        <f>C378/(1-MIN(0.75,E378/(24000+E378)))</f>
        <v/>
      </c>
    </row>
    <row r="379">
      <c r="A379" t="n">
        <v>76</v>
      </c>
      <c r="B379" t="n">
        <v>378</v>
      </c>
      <c r="C379" t="n">
        <v>1321509</v>
      </c>
      <c r="D379" t="n">
        <v>29648</v>
      </c>
      <c r="E379" t="n">
        <v>25302</v>
      </c>
      <c r="F379">
        <f>C379/(1-MIN(0.75,E379/(24000+E379)))</f>
        <v/>
      </c>
    </row>
    <row r="380">
      <c r="A380" t="n">
        <v>76</v>
      </c>
      <c r="B380" t="n">
        <v>379</v>
      </c>
      <c r="C380" t="n">
        <v>1321509</v>
      </c>
      <c r="D380" t="n">
        <v>29648</v>
      </c>
      <c r="E380" t="n">
        <v>25302</v>
      </c>
      <c r="F380">
        <f>C380/(1-MIN(0.75,E380/(24000+E380)))</f>
        <v/>
      </c>
    </row>
    <row r="381">
      <c r="A381" t="n">
        <v>76</v>
      </c>
      <c r="B381" t="n">
        <v>380</v>
      </c>
      <c r="C381" t="n">
        <v>1321509</v>
      </c>
      <c r="D381" t="n">
        <v>29648</v>
      </c>
      <c r="E381" t="n">
        <v>25302</v>
      </c>
      <c r="F381">
        <f>C381/(1-MIN(0.75,E381/(24000+E381)))</f>
        <v/>
      </c>
    </row>
    <row r="382">
      <c r="A382" t="n">
        <v>77</v>
      </c>
      <c r="B382" t="n">
        <v>381</v>
      </c>
      <c r="C382" t="n">
        <v>2015757</v>
      </c>
      <c r="D382" t="n">
        <v>25083</v>
      </c>
      <c r="E382" t="n">
        <v>38345</v>
      </c>
      <c r="F382">
        <f>C382/(1-MIN(0.75,E382/(24000+E382)))</f>
        <v/>
      </c>
    </row>
    <row r="383">
      <c r="A383" t="n">
        <v>77</v>
      </c>
      <c r="B383" t="n">
        <v>382</v>
      </c>
      <c r="C383" t="n">
        <v>1679797</v>
      </c>
      <c r="D383" t="n">
        <v>25083</v>
      </c>
      <c r="E383" t="n">
        <v>31954</v>
      </c>
      <c r="F383">
        <f>C383/(1-MIN(0.75,E383/(24000+E383)))</f>
        <v/>
      </c>
    </row>
    <row r="384">
      <c r="A384" t="n">
        <v>77</v>
      </c>
      <c r="B384" t="n">
        <v>383</v>
      </c>
      <c r="C384" t="n">
        <v>1343838</v>
      </c>
      <c r="D384" t="n">
        <v>30099</v>
      </c>
      <c r="E384" t="n">
        <v>25563</v>
      </c>
      <c r="F384">
        <f>C384/(1-MIN(0.75,E384/(24000+E384)))</f>
        <v/>
      </c>
    </row>
    <row r="385">
      <c r="A385" t="n">
        <v>77</v>
      </c>
      <c r="B385" t="n">
        <v>384</v>
      </c>
      <c r="C385" t="n">
        <v>1343838</v>
      </c>
      <c r="D385" t="n">
        <v>30099</v>
      </c>
      <c r="E385" t="n">
        <v>25563</v>
      </c>
      <c r="F385">
        <f>C385/(1-MIN(0.75,E385/(24000+E385)))</f>
        <v/>
      </c>
    </row>
    <row r="386">
      <c r="A386" t="n">
        <v>77</v>
      </c>
      <c r="B386" t="n">
        <v>385</v>
      </c>
      <c r="C386" t="n">
        <v>1343838</v>
      </c>
      <c r="D386" t="n">
        <v>30099</v>
      </c>
      <c r="E386" t="n">
        <v>25563</v>
      </c>
      <c r="F386">
        <f>C386/(1-MIN(0.75,E386/(24000+E386)))</f>
        <v/>
      </c>
    </row>
    <row r="387">
      <c r="A387" t="n">
        <v>78</v>
      </c>
      <c r="B387" t="n">
        <v>386</v>
      </c>
      <c r="C387" t="n">
        <v>2054410</v>
      </c>
      <c r="D387" t="n">
        <v>25495</v>
      </c>
      <c r="E387" t="n">
        <v>38738</v>
      </c>
      <c r="F387">
        <f>C387/(1-MIN(0.75,E387/(24000+E387)))</f>
        <v/>
      </c>
    </row>
    <row r="388">
      <c r="A388" t="n">
        <v>78</v>
      </c>
      <c r="B388" t="n">
        <v>387</v>
      </c>
      <c r="C388" t="n">
        <v>1369607</v>
      </c>
      <c r="D388" t="n">
        <v>30594</v>
      </c>
      <c r="E388" t="n">
        <v>25825</v>
      </c>
      <c r="F388">
        <f>C388/(1-MIN(0.75,E388/(24000+E388)))</f>
        <v/>
      </c>
    </row>
    <row r="389">
      <c r="A389" t="n">
        <v>78</v>
      </c>
      <c r="B389" t="n">
        <v>388</v>
      </c>
      <c r="C389" t="n">
        <v>1369607</v>
      </c>
      <c r="D389" t="n">
        <v>30594</v>
      </c>
      <c r="E389" t="n">
        <v>25825</v>
      </c>
      <c r="F389">
        <f>C389/(1-MIN(0.75,E389/(24000+E389)))</f>
        <v/>
      </c>
    </row>
    <row r="390">
      <c r="A390" t="n">
        <v>78</v>
      </c>
      <c r="B390" t="n">
        <v>389</v>
      </c>
      <c r="C390" t="n">
        <v>1369607</v>
      </c>
      <c r="D390" t="n">
        <v>30594</v>
      </c>
      <c r="E390" t="n">
        <v>25825</v>
      </c>
      <c r="F390">
        <f>C390/(1-MIN(0.75,E390/(24000+E390)))</f>
        <v/>
      </c>
    </row>
    <row r="391">
      <c r="A391" t="n">
        <v>78</v>
      </c>
      <c r="B391" t="n">
        <v>390</v>
      </c>
      <c r="C391" t="n">
        <v>1712008</v>
      </c>
      <c r="D391" t="n">
        <v>25495</v>
      </c>
      <c r="E391" t="n">
        <v>32281</v>
      </c>
      <c r="F391">
        <f>C391/(1-MIN(0.75,E391/(24000+E391)))</f>
        <v/>
      </c>
    </row>
    <row r="392">
      <c r="A392" t="n">
        <v>79</v>
      </c>
      <c r="B392" t="n">
        <v>391</v>
      </c>
      <c r="C392" t="n">
        <v>2072787</v>
      </c>
      <c r="D392" t="n">
        <v>25720</v>
      </c>
      <c r="E392" t="n">
        <v>38934</v>
      </c>
      <c r="F392">
        <f>C392/(1-MIN(0.75,E392/(24000+E392)))</f>
        <v/>
      </c>
    </row>
    <row r="393">
      <c r="A393" t="n">
        <v>79</v>
      </c>
      <c r="B393" t="n">
        <v>392</v>
      </c>
      <c r="C393" t="n">
        <v>1727323</v>
      </c>
      <c r="D393" t="n">
        <v>25720</v>
      </c>
      <c r="E393" t="n">
        <v>32445</v>
      </c>
      <c r="F393">
        <f>C393/(1-MIN(0.75,E393/(24000+E393)))</f>
        <v/>
      </c>
    </row>
    <row r="394">
      <c r="A394" t="n">
        <v>79</v>
      </c>
      <c r="B394" t="n">
        <v>393</v>
      </c>
      <c r="C394" t="n">
        <v>1381858</v>
      </c>
      <c r="D394" t="n">
        <v>30864</v>
      </c>
      <c r="E394" t="n">
        <v>25956</v>
      </c>
      <c r="F394">
        <f>C394/(1-MIN(0.75,E394/(24000+E394)))</f>
        <v/>
      </c>
    </row>
    <row r="395">
      <c r="A395" t="n">
        <v>79</v>
      </c>
      <c r="B395" t="n">
        <v>394</v>
      </c>
      <c r="C395" t="n">
        <v>1381858</v>
      </c>
      <c r="D395" t="n">
        <v>30864</v>
      </c>
      <c r="E395" t="n">
        <v>25956</v>
      </c>
      <c r="F395">
        <f>C395/(1-MIN(0.75,E395/(24000+E395)))</f>
        <v/>
      </c>
    </row>
    <row r="396">
      <c r="A396" t="n">
        <v>79</v>
      </c>
      <c r="B396" t="n">
        <v>395</v>
      </c>
      <c r="C396" t="n">
        <v>1381858</v>
      </c>
      <c r="D396" t="n">
        <v>30864</v>
      </c>
      <c r="E396" t="n">
        <v>25956</v>
      </c>
      <c r="F396">
        <f>C396/(1-MIN(0.75,E396/(24000+E396)))</f>
        <v/>
      </c>
    </row>
    <row r="397">
      <c r="A397" t="n">
        <v>80</v>
      </c>
      <c r="B397" t="n">
        <v>396</v>
      </c>
      <c r="C397" t="n">
        <v>2111589</v>
      </c>
      <c r="D397" t="n">
        <v>26117</v>
      </c>
      <c r="E397" t="n">
        <v>39329</v>
      </c>
      <c r="F397">
        <f>C397/(1-MIN(0.75,E397/(24000+E397)))</f>
        <v/>
      </c>
    </row>
    <row r="398">
      <c r="A398" t="n">
        <v>80</v>
      </c>
      <c r="B398" t="n">
        <v>397</v>
      </c>
      <c r="C398" t="n">
        <v>1407726</v>
      </c>
      <c r="D398" t="n">
        <v>31340</v>
      </c>
      <c r="E398" t="n">
        <v>26219</v>
      </c>
      <c r="F398">
        <f>C398/(1-MIN(0.75,E398/(24000+E398)))</f>
        <v/>
      </c>
    </row>
    <row r="399">
      <c r="A399" t="n">
        <v>80</v>
      </c>
      <c r="B399" t="n">
        <v>398</v>
      </c>
      <c r="C399" t="n">
        <v>1759658</v>
      </c>
      <c r="D399" t="n">
        <v>26117</v>
      </c>
      <c r="E399" t="n">
        <v>32774</v>
      </c>
      <c r="F399">
        <f>C399/(1-MIN(0.75,E399/(24000+E399)))</f>
        <v/>
      </c>
    </row>
    <row r="400">
      <c r="A400" t="n">
        <v>80</v>
      </c>
      <c r="B400" t="n">
        <v>399</v>
      </c>
      <c r="C400" t="n">
        <v>1759658</v>
      </c>
      <c r="D400" t="n">
        <v>26117</v>
      </c>
      <c r="E400" t="n">
        <v>32774</v>
      </c>
      <c r="F400">
        <f>C400/(1-MIN(0.75,E400/(24000+E400)))</f>
        <v/>
      </c>
    </row>
    <row r="401">
      <c r="A401" t="n">
        <v>80</v>
      </c>
      <c r="B401" t="n">
        <v>400</v>
      </c>
      <c r="C401" t="n">
        <v>1759658</v>
      </c>
      <c r="D401" t="n">
        <v>26117</v>
      </c>
      <c r="E401" t="n">
        <v>32774</v>
      </c>
      <c r="F401">
        <f>C401/(1-MIN(0.75,E401/(24000+E401)))</f>
        <v/>
      </c>
    </row>
    <row r="402">
      <c r="A402" t="n">
        <v>81</v>
      </c>
      <c r="B402" t="n">
        <v>401</v>
      </c>
      <c r="C402" t="n">
        <v>2125711</v>
      </c>
      <c r="D402" t="n">
        <v>26332</v>
      </c>
      <c r="E402" t="n">
        <v>39527</v>
      </c>
      <c r="F402">
        <f>C402/(1-MIN(0.75,E402/(24000+E402)))</f>
        <v/>
      </c>
    </row>
    <row r="403">
      <c r="A403" t="n">
        <v>81</v>
      </c>
      <c r="B403" t="n">
        <v>402</v>
      </c>
      <c r="C403" t="n">
        <v>1417140</v>
      </c>
      <c r="D403" t="n">
        <v>31598</v>
      </c>
      <c r="E403" t="n">
        <v>26351</v>
      </c>
      <c r="F403">
        <f>C403/(1-MIN(0.75,E403/(24000+E403)))</f>
        <v/>
      </c>
    </row>
    <row r="404">
      <c r="A404" t="n">
        <v>81</v>
      </c>
      <c r="B404" t="n">
        <v>403</v>
      </c>
      <c r="C404" t="n">
        <v>1417140</v>
      </c>
      <c r="D404" t="n">
        <v>31598</v>
      </c>
      <c r="E404" t="n">
        <v>26351</v>
      </c>
      <c r="F404">
        <f>C404/(1-MIN(0.75,E404/(24000+E404)))</f>
        <v/>
      </c>
    </row>
    <row r="405">
      <c r="A405" t="n">
        <v>81</v>
      </c>
      <c r="B405" t="n">
        <v>404</v>
      </c>
      <c r="C405" t="n">
        <v>1771426</v>
      </c>
      <c r="D405" t="n">
        <v>26332</v>
      </c>
      <c r="E405" t="n">
        <v>32939</v>
      </c>
      <c r="F405">
        <f>C405/(1-MIN(0.75,E405/(24000+E405)))</f>
        <v/>
      </c>
    </row>
    <row r="406">
      <c r="A406" t="n">
        <v>81</v>
      </c>
      <c r="B406" t="n">
        <v>405</v>
      </c>
      <c r="C406" t="n">
        <v>1417140</v>
      </c>
      <c r="D406" t="n">
        <v>31598</v>
      </c>
      <c r="E406" t="n">
        <v>26351</v>
      </c>
      <c r="F406">
        <f>C406/(1-MIN(0.75,E406/(24000+E406)))</f>
        <v/>
      </c>
    </row>
    <row r="407">
      <c r="A407" t="n">
        <v>82</v>
      </c>
      <c r="B407" t="n">
        <v>406</v>
      </c>
      <c r="C407" t="n">
        <v>2183850</v>
      </c>
      <c r="D407" t="n">
        <v>26873</v>
      </c>
      <c r="E407" t="n">
        <v>39924</v>
      </c>
      <c r="F407">
        <f>C407/(1-MIN(0.75,E407/(24000+E407)))</f>
        <v/>
      </c>
    </row>
    <row r="408">
      <c r="A408" t="n">
        <v>82</v>
      </c>
      <c r="B408" t="n">
        <v>407</v>
      </c>
      <c r="C408" t="n">
        <v>1819875</v>
      </c>
      <c r="D408" t="n">
        <v>26873</v>
      </c>
      <c r="E408" t="n">
        <v>33270</v>
      </c>
      <c r="F408">
        <f>C408/(1-MIN(0.75,E408/(24000+E408)))</f>
        <v/>
      </c>
    </row>
    <row r="409">
      <c r="A409" t="n">
        <v>82</v>
      </c>
      <c r="B409" t="n">
        <v>408</v>
      </c>
      <c r="C409" t="n">
        <v>1455900</v>
      </c>
      <c r="D409" t="n">
        <v>32248</v>
      </c>
      <c r="E409" t="n">
        <v>26616</v>
      </c>
      <c r="F409">
        <f>C409/(1-MIN(0.75,E409/(24000+E409)))</f>
        <v/>
      </c>
    </row>
    <row r="410">
      <c r="A410" t="n">
        <v>82</v>
      </c>
      <c r="B410" t="n">
        <v>409</v>
      </c>
      <c r="C410" t="n">
        <v>1455900</v>
      </c>
      <c r="D410" t="n">
        <v>32248</v>
      </c>
      <c r="E410" t="n">
        <v>26616</v>
      </c>
      <c r="F410">
        <f>C410/(1-MIN(0.75,E410/(24000+E410)))</f>
        <v/>
      </c>
    </row>
    <row r="411">
      <c r="A411" t="n">
        <v>82</v>
      </c>
      <c r="B411" t="n">
        <v>410</v>
      </c>
      <c r="C411" t="n">
        <v>1455900</v>
      </c>
      <c r="D411" t="n">
        <v>32248</v>
      </c>
      <c r="E411" t="n">
        <v>26616</v>
      </c>
      <c r="F411">
        <f>C411/(1-MIN(0.75,E411/(24000+E411)))</f>
        <v/>
      </c>
    </row>
    <row r="412">
      <c r="A412" t="n">
        <v>83</v>
      </c>
      <c r="B412" t="n">
        <v>411</v>
      </c>
      <c r="C412" t="n">
        <v>2202717</v>
      </c>
      <c r="D412" t="n">
        <v>27101</v>
      </c>
      <c r="E412" t="n">
        <v>40124</v>
      </c>
      <c r="F412">
        <f>C412/(1-MIN(0.75,E412/(24000+E412)))</f>
        <v/>
      </c>
    </row>
    <row r="413">
      <c r="A413" t="n">
        <v>83</v>
      </c>
      <c r="B413" t="n">
        <v>412</v>
      </c>
      <c r="C413" t="n">
        <v>1468478</v>
      </c>
      <c r="D413" t="n">
        <v>32521</v>
      </c>
      <c r="E413" t="n">
        <v>26749</v>
      </c>
      <c r="F413">
        <f>C413/(1-MIN(0.75,E413/(24000+E413)))</f>
        <v/>
      </c>
    </row>
    <row r="414">
      <c r="A414" t="n">
        <v>83</v>
      </c>
      <c r="B414" t="n">
        <v>413</v>
      </c>
      <c r="C414" t="n">
        <v>1468478</v>
      </c>
      <c r="D414" t="n">
        <v>32521</v>
      </c>
      <c r="E414" t="n">
        <v>26749</v>
      </c>
      <c r="F414">
        <f>C414/(1-MIN(0.75,E414/(24000+E414)))</f>
        <v/>
      </c>
    </row>
    <row r="415">
      <c r="A415" t="n">
        <v>83</v>
      </c>
      <c r="B415" t="n">
        <v>414</v>
      </c>
      <c r="C415" t="n">
        <v>1835597</v>
      </c>
      <c r="D415" t="n">
        <v>27101</v>
      </c>
      <c r="E415" t="n">
        <v>33436</v>
      </c>
      <c r="F415">
        <f>C415/(1-MIN(0.75,E415/(24000+E415)))</f>
        <v/>
      </c>
    </row>
    <row r="416">
      <c r="A416" t="n">
        <v>83</v>
      </c>
      <c r="B416" t="n">
        <v>415</v>
      </c>
      <c r="C416" t="n">
        <v>1468478</v>
      </c>
      <c r="D416" t="n">
        <v>32521</v>
      </c>
      <c r="E416" t="n">
        <v>26749</v>
      </c>
      <c r="F416">
        <f>C416/(1-MIN(0.75,E416/(24000+E416)))</f>
        <v/>
      </c>
    </row>
    <row r="417">
      <c r="A417" t="n">
        <v>84</v>
      </c>
      <c r="B417" t="n">
        <v>416</v>
      </c>
      <c r="C417" t="n">
        <v>2222466</v>
      </c>
      <c r="D417" t="n">
        <v>27339</v>
      </c>
      <c r="E417" t="n">
        <v>40322</v>
      </c>
      <c r="F417">
        <f>C417/(1-MIN(0.75,E417/(24000+E417)))</f>
        <v/>
      </c>
    </row>
    <row r="418">
      <c r="A418" t="n">
        <v>84</v>
      </c>
      <c r="B418" t="n">
        <v>417</v>
      </c>
      <c r="C418" t="n">
        <v>1481644</v>
      </c>
      <c r="D418" t="n">
        <v>32806</v>
      </c>
      <c r="E418" t="n">
        <v>26881</v>
      </c>
      <c r="F418">
        <f>C418/(1-MIN(0.75,E418/(24000+E418)))</f>
        <v/>
      </c>
    </row>
    <row r="419">
      <c r="A419" t="n">
        <v>84</v>
      </c>
      <c r="B419" t="n">
        <v>418</v>
      </c>
      <c r="C419" t="n">
        <v>1481644</v>
      </c>
      <c r="D419" t="n">
        <v>32806</v>
      </c>
      <c r="E419" t="n">
        <v>26881</v>
      </c>
      <c r="F419">
        <f>C419/(1-MIN(0.75,E419/(24000+E419)))</f>
        <v/>
      </c>
    </row>
    <row r="420">
      <c r="A420" t="n">
        <v>84</v>
      </c>
      <c r="B420" t="n">
        <v>419</v>
      </c>
      <c r="C420" t="n">
        <v>1852055</v>
      </c>
      <c r="D420" t="n">
        <v>27339</v>
      </c>
      <c r="E420" t="n">
        <v>33601</v>
      </c>
      <c r="F420">
        <f>C420/(1-MIN(0.75,E420/(24000+E420)))</f>
        <v/>
      </c>
    </row>
    <row r="421">
      <c r="A421" t="n">
        <v>84</v>
      </c>
      <c r="B421" t="n">
        <v>420</v>
      </c>
      <c r="C421" t="n">
        <v>1481644</v>
      </c>
      <c r="D421" t="n">
        <v>32806</v>
      </c>
      <c r="E421" t="n">
        <v>26881</v>
      </c>
      <c r="F421">
        <f>C421/(1-MIN(0.75,E421/(24000+E421)))</f>
        <v/>
      </c>
    </row>
    <row r="422">
      <c r="A422" t="n">
        <v>85</v>
      </c>
      <c r="B422" t="n">
        <v>421</v>
      </c>
      <c r="C422" t="n">
        <v>2266920</v>
      </c>
      <c r="D422" t="n">
        <v>27789</v>
      </c>
      <c r="E422" t="n">
        <v>40722</v>
      </c>
      <c r="F422">
        <f>C422/(1-MIN(0.75,E422/(24000+E422)))</f>
        <v/>
      </c>
    </row>
    <row r="423">
      <c r="A423" t="n">
        <v>85</v>
      </c>
      <c r="B423" t="n">
        <v>422</v>
      </c>
      <c r="C423" t="n">
        <v>1511280</v>
      </c>
      <c r="D423" t="n">
        <v>33347</v>
      </c>
      <c r="E423" t="n">
        <v>27148</v>
      </c>
      <c r="F423">
        <f>C423/(1-MIN(0.75,E423/(24000+E423)))</f>
        <v/>
      </c>
    </row>
    <row r="424">
      <c r="A424" t="n">
        <v>85</v>
      </c>
      <c r="B424" t="n">
        <v>423</v>
      </c>
      <c r="C424" t="n">
        <v>1511280</v>
      </c>
      <c r="D424" t="n">
        <v>33347</v>
      </c>
      <c r="E424" t="n">
        <v>27148</v>
      </c>
      <c r="F424">
        <f>C424/(1-MIN(0.75,E424/(24000+E424)))</f>
        <v/>
      </c>
    </row>
    <row r="425">
      <c r="A425" t="n">
        <v>85</v>
      </c>
      <c r="B425" t="n">
        <v>424</v>
      </c>
      <c r="C425" t="n">
        <v>1889100</v>
      </c>
      <c r="D425" t="n">
        <v>27789</v>
      </c>
      <c r="E425" t="n">
        <v>33935</v>
      </c>
      <c r="F425">
        <f>C425/(1-MIN(0.75,E425/(24000+E425)))</f>
        <v/>
      </c>
    </row>
    <row r="426">
      <c r="A426" t="n">
        <v>85</v>
      </c>
      <c r="B426" t="n">
        <v>425</v>
      </c>
      <c r="C426" t="n">
        <v>1889100</v>
      </c>
      <c r="D426" t="n">
        <v>27789</v>
      </c>
      <c r="E426" t="n">
        <v>33935</v>
      </c>
      <c r="F426">
        <f>C426/(1-MIN(0.75,E426/(24000+E426)))</f>
        <v/>
      </c>
    </row>
    <row r="427">
      <c r="A427" t="n">
        <v>86</v>
      </c>
      <c r="B427" t="n">
        <v>426</v>
      </c>
      <c r="C427" t="n">
        <v>2284482</v>
      </c>
      <c r="D427" t="n">
        <v>28019</v>
      </c>
      <c r="E427" t="n">
        <v>40922</v>
      </c>
      <c r="F427">
        <f>C427/(1-MIN(0.75,E427/(24000+E427)))</f>
        <v/>
      </c>
    </row>
    <row r="428">
      <c r="A428" t="n">
        <v>86</v>
      </c>
      <c r="B428" t="n">
        <v>427</v>
      </c>
      <c r="C428" t="n">
        <v>1522988</v>
      </c>
      <c r="D428" t="n">
        <v>33622</v>
      </c>
      <c r="E428" t="n">
        <v>27281</v>
      </c>
      <c r="F428">
        <f>C428/(1-MIN(0.75,E428/(24000+E428)))</f>
        <v/>
      </c>
    </row>
    <row r="429">
      <c r="A429" t="n">
        <v>86</v>
      </c>
      <c r="B429" t="n">
        <v>428</v>
      </c>
      <c r="C429" t="n">
        <v>1903735</v>
      </c>
      <c r="D429" t="n">
        <v>28019</v>
      </c>
      <c r="E429" t="n">
        <v>34101</v>
      </c>
      <c r="F429">
        <f>C429/(1-MIN(0.75,E429/(24000+E429)))</f>
        <v/>
      </c>
    </row>
    <row r="430">
      <c r="A430" t="n">
        <v>86</v>
      </c>
      <c r="B430" t="n">
        <v>429</v>
      </c>
      <c r="C430" t="n">
        <v>1522988</v>
      </c>
      <c r="D430" t="n">
        <v>33622</v>
      </c>
      <c r="E430" t="n">
        <v>27281</v>
      </c>
      <c r="F430">
        <f>C430/(1-MIN(0.75,E430/(24000+E430)))</f>
        <v/>
      </c>
    </row>
    <row r="431">
      <c r="A431" t="n">
        <v>86</v>
      </c>
      <c r="B431" t="n">
        <v>430</v>
      </c>
      <c r="C431" t="n">
        <v>1522988</v>
      </c>
      <c r="D431" t="n">
        <v>33622</v>
      </c>
      <c r="E431" t="n">
        <v>27281</v>
      </c>
      <c r="F431">
        <f>C431/(1-MIN(0.75,E431/(24000+E431)))</f>
        <v/>
      </c>
    </row>
    <row r="432">
      <c r="A432" t="n">
        <v>87</v>
      </c>
      <c r="B432" t="n">
        <v>431</v>
      </c>
      <c r="C432" t="n">
        <v>2304153</v>
      </c>
      <c r="D432" t="n">
        <v>28256</v>
      </c>
      <c r="E432" t="n">
        <v>41123</v>
      </c>
      <c r="F432">
        <f>C432/(1-MIN(0.75,E432/(24000+E432)))</f>
        <v/>
      </c>
    </row>
    <row r="433">
      <c r="A433" t="n">
        <v>87</v>
      </c>
      <c r="B433" t="n">
        <v>432</v>
      </c>
      <c r="C433" t="n">
        <v>1920127</v>
      </c>
      <c r="D433" t="n">
        <v>28256</v>
      </c>
      <c r="E433" t="n">
        <v>34269</v>
      </c>
      <c r="F433">
        <f>C433/(1-MIN(0.75,E433/(24000+E433)))</f>
        <v/>
      </c>
    </row>
    <row r="434">
      <c r="A434" t="n">
        <v>87</v>
      </c>
      <c r="B434" t="n">
        <v>433</v>
      </c>
      <c r="C434" t="n">
        <v>1536102</v>
      </c>
      <c r="D434" t="n">
        <v>33907</v>
      </c>
      <c r="E434" t="n">
        <v>27415</v>
      </c>
      <c r="F434">
        <f>C434/(1-MIN(0.75,E434/(24000+E434)))</f>
        <v/>
      </c>
    </row>
    <row r="435">
      <c r="A435" t="n">
        <v>87</v>
      </c>
      <c r="B435" t="n">
        <v>434</v>
      </c>
      <c r="C435" t="n">
        <v>1536102</v>
      </c>
      <c r="D435" t="n">
        <v>33907</v>
      </c>
      <c r="E435" t="n">
        <v>27415</v>
      </c>
      <c r="F435">
        <f>C435/(1-MIN(0.75,E435/(24000+E435)))</f>
        <v/>
      </c>
    </row>
    <row r="436">
      <c r="A436" t="n">
        <v>87</v>
      </c>
      <c r="B436" t="n">
        <v>435</v>
      </c>
      <c r="C436" t="n">
        <v>1536102</v>
      </c>
      <c r="D436" t="n">
        <v>33907</v>
      </c>
      <c r="E436" t="n">
        <v>27415</v>
      </c>
      <c r="F436">
        <f>C436/(1-MIN(0.75,E436/(24000+E436)))</f>
        <v/>
      </c>
    </row>
    <row r="437">
      <c r="A437" t="n">
        <v>88</v>
      </c>
      <c r="B437" t="n">
        <v>436</v>
      </c>
      <c r="C437" t="n">
        <v>2324608</v>
      </c>
      <c r="D437" t="n">
        <v>28499</v>
      </c>
      <c r="E437" t="n">
        <v>41324</v>
      </c>
      <c r="F437">
        <f>C437/(1-MIN(0.75,E437/(24000+E437)))</f>
        <v/>
      </c>
    </row>
    <row r="438">
      <c r="A438" t="n">
        <v>88</v>
      </c>
      <c r="B438" t="n">
        <v>437</v>
      </c>
      <c r="C438" t="n">
        <v>1549739</v>
      </c>
      <c r="D438" t="n">
        <v>34199</v>
      </c>
      <c r="E438" t="n">
        <v>27549</v>
      </c>
      <c r="F438">
        <f>C438/(1-MIN(0.75,E438/(24000+E438)))</f>
        <v/>
      </c>
    </row>
    <row r="439">
      <c r="A439" t="n">
        <v>88</v>
      </c>
      <c r="B439" t="n">
        <v>438</v>
      </c>
      <c r="C439" t="n">
        <v>1549739</v>
      </c>
      <c r="D439" t="n">
        <v>34199</v>
      </c>
      <c r="E439" t="n">
        <v>27549</v>
      </c>
      <c r="F439">
        <f>C439/(1-MIN(0.75,E439/(24000+E439)))</f>
        <v/>
      </c>
    </row>
    <row r="440">
      <c r="A440" t="n">
        <v>88</v>
      </c>
      <c r="B440" t="n">
        <v>439</v>
      </c>
      <c r="C440" t="n">
        <v>1549739</v>
      </c>
      <c r="D440" t="n">
        <v>34199</v>
      </c>
      <c r="E440" t="n">
        <v>27549</v>
      </c>
      <c r="F440">
        <f>C440/(1-MIN(0.75,E440/(24000+E440)))</f>
        <v/>
      </c>
    </row>
    <row r="441">
      <c r="A441" t="n">
        <v>88</v>
      </c>
      <c r="B441" t="n">
        <v>440</v>
      </c>
      <c r="C441" t="n">
        <v>1937174</v>
      </c>
      <c r="D441" t="n">
        <v>28499</v>
      </c>
      <c r="E441" t="n">
        <v>34436</v>
      </c>
      <c r="F441">
        <f>C441/(1-MIN(0.75,E441/(24000+E441)))</f>
        <v/>
      </c>
    </row>
    <row r="442">
      <c r="A442" t="n">
        <v>89</v>
      </c>
      <c r="B442" t="n">
        <v>441</v>
      </c>
      <c r="C442" t="n">
        <v>2369523</v>
      </c>
      <c r="D442" t="n">
        <v>28966</v>
      </c>
      <c r="E442" t="n">
        <v>41727</v>
      </c>
      <c r="F442">
        <f>C442/(1-MIN(0.75,E442/(24000+E442)))</f>
        <v/>
      </c>
    </row>
    <row r="443">
      <c r="A443" t="n">
        <v>89</v>
      </c>
      <c r="B443" t="n">
        <v>442</v>
      </c>
      <c r="C443" t="n">
        <v>1579682</v>
      </c>
      <c r="D443" t="n">
        <v>34759</v>
      </c>
      <c r="E443" t="n">
        <v>27818</v>
      </c>
      <c r="F443">
        <f>C443/(1-MIN(0.75,E443/(24000+E443)))</f>
        <v/>
      </c>
    </row>
    <row r="444">
      <c r="A444" t="n">
        <v>89</v>
      </c>
      <c r="B444" t="n">
        <v>443</v>
      </c>
      <c r="C444" t="n">
        <v>1579682</v>
      </c>
      <c r="D444" t="n">
        <v>34759</v>
      </c>
      <c r="E444" t="n">
        <v>27818</v>
      </c>
      <c r="F444">
        <f>C444/(1-MIN(0.75,E444/(24000+E444)))</f>
        <v/>
      </c>
    </row>
    <row r="445">
      <c r="A445" t="n">
        <v>89</v>
      </c>
      <c r="B445" t="n">
        <v>444</v>
      </c>
      <c r="C445" t="n">
        <v>1579682</v>
      </c>
      <c r="D445" t="n">
        <v>34759</v>
      </c>
      <c r="E445" t="n">
        <v>27818</v>
      </c>
      <c r="F445">
        <f>C445/(1-MIN(0.75,E445/(24000+E445)))</f>
        <v/>
      </c>
    </row>
    <row r="446">
      <c r="A446" t="n">
        <v>89</v>
      </c>
      <c r="B446" t="n">
        <v>445</v>
      </c>
      <c r="C446" t="n">
        <v>1974602</v>
      </c>
      <c r="D446" t="n">
        <v>28966</v>
      </c>
      <c r="E446" t="n">
        <v>34773</v>
      </c>
      <c r="F446">
        <f>C446/(1-MIN(0.75,E446/(24000+E446)))</f>
        <v/>
      </c>
    </row>
    <row r="447">
      <c r="A447" t="n">
        <v>90</v>
      </c>
      <c r="B447" t="n">
        <v>446</v>
      </c>
      <c r="C447" t="n">
        <v>2417174</v>
      </c>
      <c r="D447" t="n">
        <v>29407</v>
      </c>
      <c r="E447" t="n">
        <v>41928</v>
      </c>
      <c r="F447">
        <f>C447/(1-MIN(0.75,E447/(24000+E447)))</f>
        <v/>
      </c>
    </row>
    <row r="448">
      <c r="A448" t="n">
        <v>90</v>
      </c>
      <c r="B448" t="n">
        <v>447</v>
      </c>
      <c r="C448" t="n">
        <v>1611449</v>
      </c>
      <c r="D448" t="n">
        <v>35288</v>
      </c>
      <c r="E448" t="n">
        <v>27952</v>
      </c>
      <c r="F448">
        <f>C448/(1-MIN(0.75,E448/(24000+E448)))</f>
        <v/>
      </c>
    </row>
    <row r="449">
      <c r="A449" t="n">
        <v>90</v>
      </c>
      <c r="B449" t="n">
        <v>448</v>
      </c>
      <c r="C449" t="n">
        <v>1611449</v>
      </c>
      <c r="D449" t="n">
        <v>35288</v>
      </c>
      <c r="E449" t="n">
        <v>27952</v>
      </c>
      <c r="F449">
        <f>C449/(1-MIN(0.75,E449/(24000+E449)))</f>
        <v/>
      </c>
    </row>
    <row r="450">
      <c r="A450" t="n">
        <v>90</v>
      </c>
      <c r="B450" t="n">
        <v>449</v>
      </c>
      <c r="C450" t="n">
        <v>2014312</v>
      </c>
      <c r="D450" t="n">
        <v>29407</v>
      </c>
      <c r="E450" t="n">
        <v>34940</v>
      </c>
      <c r="F450">
        <f>C450/(1-MIN(0.75,E450/(24000+E450)))</f>
        <v/>
      </c>
    </row>
    <row r="451">
      <c r="A451" t="n">
        <v>90</v>
      </c>
      <c r="B451" t="n">
        <v>450</v>
      </c>
      <c r="C451" t="n">
        <v>2014312</v>
      </c>
      <c r="D451" t="n">
        <v>29407</v>
      </c>
      <c r="E451" t="n">
        <v>34940</v>
      </c>
      <c r="F451">
        <f>C451/(1-MIN(0.75,E451/(24000+E451)))</f>
        <v/>
      </c>
    </row>
    <row r="452">
      <c r="A452" t="n">
        <v>91</v>
      </c>
      <c r="B452" t="n">
        <v>451</v>
      </c>
      <c r="C452" t="n">
        <v>2437024</v>
      </c>
      <c r="D452" t="n">
        <v>29653</v>
      </c>
      <c r="E452" t="n">
        <v>42131</v>
      </c>
      <c r="F452">
        <f>C452/(1-MIN(0.75,E452/(24000+E452)))</f>
        <v/>
      </c>
    </row>
    <row r="453">
      <c r="A453" t="n">
        <v>91</v>
      </c>
      <c r="B453" t="n">
        <v>452</v>
      </c>
      <c r="C453" t="n">
        <v>2030853</v>
      </c>
      <c r="D453" t="n">
        <v>29653</v>
      </c>
      <c r="E453" t="n">
        <v>35109</v>
      </c>
      <c r="F453">
        <f>C453/(1-MIN(0.75,E453/(24000+E453)))</f>
        <v/>
      </c>
    </row>
    <row r="454">
      <c r="A454" t="n">
        <v>91</v>
      </c>
      <c r="B454" t="n">
        <v>453</v>
      </c>
      <c r="C454" t="n">
        <v>1624682</v>
      </c>
      <c r="D454" t="n">
        <v>35583</v>
      </c>
      <c r="E454" t="n">
        <v>28087</v>
      </c>
      <c r="F454">
        <f>C454/(1-MIN(0.75,E454/(24000+E454)))</f>
        <v/>
      </c>
    </row>
    <row r="455">
      <c r="A455" t="n">
        <v>91</v>
      </c>
      <c r="B455" t="n">
        <v>454</v>
      </c>
      <c r="C455" t="n">
        <v>1624682</v>
      </c>
      <c r="D455" t="n">
        <v>35583</v>
      </c>
      <c r="E455" t="n">
        <v>28087</v>
      </c>
      <c r="F455">
        <f>C455/(1-MIN(0.75,E455/(24000+E455)))</f>
        <v/>
      </c>
    </row>
    <row r="456">
      <c r="A456" t="n">
        <v>91</v>
      </c>
      <c r="B456" t="n">
        <v>455</v>
      </c>
      <c r="C456" t="n">
        <v>1624682</v>
      </c>
      <c r="D456" t="n">
        <v>35583</v>
      </c>
      <c r="E456" t="n">
        <v>28087</v>
      </c>
      <c r="F456">
        <f>C456/(1-MIN(0.75,E456/(24000+E456)))</f>
        <v/>
      </c>
    </row>
    <row r="457">
      <c r="A457" t="n">
        <v>92</v>
      </c>
      <c r="B457" t="n">
        <v>456</v>
      </c>
      <c r="C457" t="n">
        <v>2452155</v>
      </c>
      <c r="D457" t="n">
        <v>29838</v>
      </c>
      <c r="E457" t="n">
        <v>42333</v>
      </c>
      <c r="F457">
        <f>C457/(1-MIN(0.75,E457/(24000+E457)))</f>
        <v/>
      </c>
    </row>
    <row r="458">
      <c r="A458" t="n">
        <v>92</v>
      </c>
      <c r="B458" t="n">
        <v>457</v>
      </c>
      <c r="C458" t="n">
        <v>1634770</v>
      </c>
      <c r="D458" t="n">
        <v>35806</v>
      </c>
      <c r="E458" t="n">
        <v>28222</v>
      </c>
      <c r="F458">
        <f>C458/(1-MIN(0.75,E458/(24000+E458)))</f>
        <v/>
      </c>
    </row>
    <row r="459">
      <c r="A459" t="n">
        <v>92</v>
      </c>
      <c r="B459" t="n">
        <v>458</v>
      </c>
      <c r="C459" t="n">
        <v>2043462</v>
      </c>
      <c r="D459" t="n">
        <v>29838</v>
      </c>
      <c r="E459" t="n">
        <v>35278</v>
      </c>
      <c r="F459">
        <f>C459/(1-MIN(0.75,E459/(24000+E459)))</f>
        <v/>
      </c>
    </row>
    <row r="460">
      <c r="A460" t="n">
        <v>92</v>
      </c>
      <c r="B460" t="n">
        <v>459</v>
      </c>
      <c r="C460" t="n">
        <v>1634770</v>
      </c>
      <c r="D460" t="n">
        <v>35806</v>
      </c>
      <c r="E460" t="n">
        <v>28222</v>
      </c>
      <c r="F460">
        <f>C460/(1-MIN(0.75,E460/(24000+E460)))</f>
        <v/>
      </c>
    </row>
    <row r="461">
      <c r="A461" t="n">
        <v>92</v>
      </c>
      <c r="B461" t="n">
        <v>460</v>
      </c>
      <c r="C461" t="n">
        <v>1634770</v>
      </c>
      <c r="D461" t="n">
        <v>35806</v>
      </c>
      <c r="E461" t="n">
        <v>28222</v>
      </c>
      <c r="F461">
        <f>C461/(1-MIN(0.75,E461/(24000+E461)))</f>
        <v/>
      </c>
    </row>
    <row r="462">
      <c r="A462" t="n">
        <v>93</v>
      </c>
      <c r="B462" t="n">
        <v>461</v>
      </c>
      <c r="C462" t="n">
        <v>2495233</v>
      </c>
      <c r="D462" t="n">
        <v>30303</v>
      </c>
      <c r="E462" t="n">
        <v>42740</v>
      </c>
      <c r="F462">
        <f>C462/(1-MIN(0.75,E462/(24000+E462)))</f>
        <v/>
      </c>
    </row>
    <row r="463">
      <c r="A463" t="n">
        <v>93</v>
      </c>
      <c r="B463" t="n">
        <v>462</v>
      </c>
      <c r="C463" t="n">
        <v>1663489</v>
      </c>
      <c r="D463" t="n">
        <v>36363</v>
      </c>
      <c r="E463" t="n">
        <v>28493</v>
      </c>
      <c r="F463">
        <f>C463/(1-MIN(0.75,E463/(24000+E463)))</f>
        <v/>
      </c>
    </row>
    <row r="464">
      <c r="A464" t="n">
        <v>93</v>
      </c>
      <c r="B464" t="n">
        <v>463</v>
      </c>
      <c r="C464" t="n">
        <v>1663489</v>
      </c>
      <c r="D464" t="n">
        <v>36363</v>
      </c>
      <c r="E464" t="n">
        <v>28493</v>
      </c>
      <c r="F464">
        <f>C464/(1-MIN(0.75,E464/(24000+E464)))</f>
        <v/>
      </c>
    </row>
    <row r="465">
      <c r="A465" t="n">
        <v>93</v>
      </c>
      <c r="B465" t="n">
        <v>464</v>
      </c>
      <c r="C465" t="n">
        <v>2079361</v>
      </c>
      <c r="D465" t="n">
        <v>30303</v>
      </c>
      <c r="E465" t="n">
        <v>35616</v>
      </c>
      <c r="F465">
        <f>C465/(1-MIN(0.75,E465/(24000+E465)))</f>
        <v/>
      </c>
    </row>
    <row r="466">
      <c r="A466" t="n">
        <v>93</v>
      </c>
      <c r="B466" t="n">
        <v>465</v>
      </c>
      <c r="C466" t="n">
        <v>1663489</v>
      </c>
      <c r="D466" t="n">
        <v>36363</v>
      </c>
      <c r="E466" t="n">
        <v>28493</v>
      </c>
      <c r="F466">
        <f>C466/(1-MIN(0.75,E466/(24000+E466)))</f>
        <v/>
      </c>
    </row>
    <row r="467">
      <c r="A467" t="n">
        <v>94</v>
      </c>
      <c r="B467" t="n">
        <v>466</v>
      </c>
      <c r="C467" t="n">
        <v>2517976</v>
      </c>
      <c r="D467" t="n">
        <v>30567</v>
      </c>
      <c r="E467" t="n">
        <v>42944</v>
      </c>
      <c r="F467">
        <f>C467/(1-MIN(0.75,E467/(24000+E467)))</f>
        <v/>
      </c>
    </row>
    <row r="468">
      <c r="A468" t="n">
        <v>94</v>
      </c>
      <c r="B468" t="n">
        <v>467</v>
      </c>
      <c r="C468" t="n">
        <v>1678651</v>
      </c>
      <c r="D468" t="n">
        <v>36681</v>
      </c>
      <c r="E468" t="n">
        <v>28629</v>
      </c>
      <c r="F468">
        <f>C468/(1-MIN(0.75,E468/(24000+E468)))</f>
        <v/>
      </c>
    </row>
    <row r="469">
      <c r="A469" t="n">
        <v>94</v>
      </c>
      <c r="B469" t="n">
        <v>468</v>
      </c>
      <c r="C469" t="n">
        <v>1678651</v>
      </c>
      <c r="D469" t="n">
        <v>36681</v>
      </c>
      <c r="E469" t="n">
        <v>28629</v>
      </c>
      <c r="F469">
        <f>C469/(1-MIN(0.75,E469/(24000+E469)))</f>
        <v/>
      </c>
    </row>
    <row r="470">
      <c r="A470" t="n">
        <v>94</v>
      </c>
      <c r="B470" t="n">
        <v>469</v>
      </c>
      <c r="C470" t="n">
        <v>1678651</v>
      </c>
      <c r="D470" t="n">
        <v>36681</v>
      </c>
      <c r="E470" t="n">
        <v>28629</v>
      </c>
      <c r="F470">
        <f>C470/(1-MIN(0.75,E470/(24000+E470)))</f>
        <v/>
      </c>
    </row>
    <row r="471">
      <c r="A471" t="n">
        <v>94</v>
      </c>
      <c r="B471" t="n">
        <v>470</v>
      </c>
      <c r="C471" t="n">
        <v>2098314</v>
      </c>
      <c r="D471" t="n">
        <v>30567</v>
      </c>
      <c r="E471" t="n">
        <v>35786</v>
      </c>
      <c r="F471">
        <f>C471/(1-MIN(0.75,E471/(24000+E471)))</f>
        <v/>
      </c>
    </row>
    <row r="472">
      <c r="A472" t="n">
        <v>95</v>
      </c>
      <c r="B472" t="n">
        <v>471</v>
      </c>
      <c r="C472" t="n">
        <v>2541395</v>
      </c>
      <c r="D472" t="n">
        <v>30836</v>
      </c>
      <c r="E472" t="n">
        <v>43148</v>
      </c>
      <c r="F472">
        <f>C472/(1-MIN(0.75,E472/(24000+E472)))</f>
        <v/>
      </c>
    </row>
    <row r="473">
      <c r="A473" t="n">
        <v>95</v>
      </c>
      <c r="B473" t="n">
        <v>472</v>
      </c>
      <c r="C473" t="n">
        <v>1694263</v>
      </c>
      <c r="D473" t="n">
        <v>37003</v>
      </c>
      <c r="E473" t="n">
        <v>28765</v>
      </c>
      <c r="F473">
        <f>C473/(1-MIN(0.75,E473/(24000+E473)))</f>
        <v/>
      </c>
    </row>
    <row r="474">
      <c r="A474" t="n">
        <v>95</v>
      </c>
      <c r="B474" t="n">
        <v>473</v>
      </c>
      <c r="C474" t="n">
        <v>1694263</v>
      </c>
      <c r="D474" t="n">
        <v>37003</v>
      </c>
      <c r="E474" t="n">
        <v>28765</v>
      </c>
      <c r="F474">
        <f>C474/(1-MIN(0.75,E474/(24000+E474)))</f>
        <v/>
      </c>
    </row>
    <row r="475">
      <c r="A475" t="n">
        <v>95</v>
      </c>
      <c r="B475" t="n">
        <v>474</v>
      </c>
      <c r="C475" t="n">
        <v>1694263</v>
      </c>
      <c r="D475" t="n">
        <v>37003</v>
      </c>
      <c r="E475" t="n">
        <v>28765</v>
      </c>
      <c r="F475">
        <f>C475/(1-MIN(0.75,E475/(24000+E475)))</f>
        <v/>
      </c>
    </row>
    <row r="476">
      <c r="A476" t="n">
        <v>95</v>
      </c>
      <c r="B476" t="n">
        <v>475</v>
      </c>
      <c r="C476" t="n">
        <v>2117829</v>
      </c>
      <c r="D476" t="n">
        <v>30836</v>
      </c>
      <c r="E476" t="n">
        <v>35956</v>
      </c>
      <c r="F476">
        <f>C476/(1-MIN(0.75,E476/(24000+E476)))</f>
        <v/>
      </c>
    </row>
    <row r="477">
      <c r="A477" t="n">
        <v>96</v>
      </c>
      <c r="B477" t="n">
        <v>476</v>
      </c>
      <c r="C477" t="n">
        <v>2564024</v>
      </c>
      <c r="D477" t="n">
        <v>31098</v>
      </c>
      <c r="E477" t="n">
        <v>43352</v>
      </c>
      <c r="F477">
        <f>C477/(1-MIN(0.75,E477/(24000+E477)))</f>
        <v/>
      </c>
    </row>
    <row r="478">
      <c r="A478" t="n">
        <v>96</v>
      </c>
      <c r="B478" t="n">
        <v>477</v>
      </c>
      <c r="C478" t="n">
        <v>1709349</v>
      </c>
      <c r="D478" t="n">
        <v>37318</v>
      </c>
      <c r="E478" t="n">
        <v>28901</v>
      </c>
      <c r="F478">
        <f>C478/(1-MIN(0.75,E478/(24000+E478)))</f>
        <v/>
      </c>
    </row>
    <row r="479">
      <c r="A479" t="n">
        <v>96</v>
      </c>
      <c r="B479" t="n">
        <v>478</v>
      </c>
      <c r="C479" t="n">
        <v>1709349</v>
      </c>
      <c r="D479" t="n">
        <v>37318</v>
      </c>
      <c r="E479" t="n">
        <v>28901</v>
      </c>
      <c r="F479">
        <f>C479/(1-MIN(0.75,E479/(24000+E479)))</f>
        <v/>
      </c>
    </row>
    <row r="480">
      <c r="A480" t="n">
        <v>96</v>
      </c>
      <c r="B480" t="n">
        <v>479</v>
      </c>
      <c r="C480" t="n">
        <v>2136687</v>
      </c>
      <c r="D480" t="n">
        <v>31098</v>
      </c>
      <c r="E480" t="n">
        <v>36126</v>
      </c>
      <c r="F480">
        <f>C480/(1-MIN(0.75,E480/(24000+E480)))</f>
        <v/>
      </c>
    </row>
    <row r="481">
      <c r="A481" t="n">
        <v>96</v>
      </c>
      <c r="B481" t="n">
        <v>480</v>
      </c>
      <c r="C481" t="n">
        <v>1709349</v>
      </c>
      <c r="D481" t="n">
        <v>37318</v>
      </c>
      <c r="E481" t="n">
        <v>28901</v>
      </c>
      <c r="F481">
        <f>C481/(1-MIN(0.75,E481/(24000+E481)))</f>
        <v/>
      </c>
    </row>
    <row r="482">
      <c r="A482" t="n">
        <v>97</v>
      </c>
      <c r="B482" t="n">
        <v>481</v>
      </c>
      <c r="C482" t="n">
        <v>2586965</v>
      </c>
      <c r="D482" t="n">
        <v>31365</v>
      </c>
      <c r="E482" t="n">
        <v>43557</v>
      </c>
      <c r="F482">
        <f>C482/(1-MIN(0.75,E482/(24000+E482)))</f>
        <v/>
      </c>
    </row>
    <row r="483">
      <c r="A483" t="n">
        <v>97</v>
      </c>
      <c r="B483" t="n">
        <v>482</v>
      </c>
      <c r="C483" t="n">
        <v>1724643</v>
      </c>
      <c r="D483" t="n">
        <v>37638</v>
      </c>
      <c r="E483" t="n">
        <v>29038</v>
      </c>
      <c r="F483">
        <f>C483/(1-MIN(0.75,E483/(24000+E483)))</f>
        <v/>
      </c>
    </row>
    <row r="484">
      <c r="A484" t="n">
        <v>97</v>
      </c>
      <c r="B484" t="n">
        <v>483</v>
      </c>
      <c r="C484" t="n">
        <v>2155804</v>
      </c>
      <c r="D484" t="n">
        <v>31365</v>
      </c>
      <c r="E484" t="n">
        <v>36298</v>
      </c>
      <c r="F484">
        <f>C484/(1-MIN(0.75,E484/(24000+E484)))</f>
        <v/>
      </c>
    </row>
    <row r="485">
      <c r="A485" t="n">
        <v>97</v>
      </c>
      <c r="B485" t="n">
        <v>484</v>
      </c>
      <c r="C485" t="n">
        <v>1724643</v>
      </c>
      <c r="D485" t="n">
        <v>37638</v>
      </c>
      <c r="E485" t="n">
        <v>29038</v>
      </c>
      <c r="F485">
        <f>C485/(1-MIN(0.75,E485/(24000+E485)))</f>
        <v/>
      </c>
    </row>
    <row r="486">
      <c r="A486" t="n">
        <v>97</v>
      </c>
      <c r="B486" t="n">
        <v>485</v>
      </c>
      <c r="C486" t="n">
        <v>1724643</v>
      </c>
      <c r="D486" t="n">
        <v>37638</v>
      </c>
      <c r="E486" t="n">
        <v>29038</v>
      </c>
      <c r="F486">
        <f>C486/(1-MIN(0.75,E486/(24000+E486)))</f>
        <v/>
      </c>
    </row>
    <row r="487">
      <c r="A487" t="n">
        <v>98</v>
      </c>
      <c r="B487" t="n">
        <v>486</v>
      </c>
      <c r="C487" t="n">
        <v>2636273</v>
      </c>
      <c r="D487" t="n">
        <v>31871</v>
      </c>
      <c r="E487" t="n">
        <v>43967</v>
      </c>
      <c r="F487">
        <f>C487/(1-MIN(0.75,E487/(24000+E487)))</f>
        <v/>
      </c>
    </row>
    <row r="488">
      <c r="A488" t="n">
        <v>98</v>
      </c>
      <c r="B488" t="n">
        <v>487</v>
      </c>
      <c r="C488" t="n">
        <v>1757515</v>
      </c>
      <c r="D488" t="n">
        <v>38245</v>
      </c>
      <c r="E488" t="n">
        <v>29311</v>
      </c>
      <c r="F488">
        <f>C488/(1-MIN(0.75,E488/(24000+E488)))</f>
        <v/>
      </c>
    </row>
    <row r="489">
      <c r="A489" t="n">
        <v>98</v>
      </c>
      <c r="B489" t="n">
        <v>488</v>
      </c>
      <c r="C489" t="n">
        <v>1757515</v>
      </c>
      <c r="D489" t="n">
        <v>38245</v>
      </c>
      <c r="E489" t="n">
        <v>29311</v>
      </c>
      <c r="F489">
        <f>C489/(1-MIN(0.75,E489/(24000+E489)))</f>
        <v/>
      </c>
    </row>
    <row r="490">
      <c r="A490" t="n">
        <v>98</v>
      </c>
      <c r="B490" t="n">
        <v>489</v>
      </c>
      <c r="C490" t="n">
        <v>1757515</v>
      </c>
      <c r="D490" t="n">
        <v>38245</v>
      </c>
      <c r="E490" t="n">
        <v>29311</v>
      </c>
      <c r="F490">
        <f>C490/(1-MIN(0.75,E490/(24000+E490)))</f>
        <v/>
      </c>
    </row>
    <row r="491">
      <c r="A491" t="n">
        <v>98</v>
      </c>
      <c r="B491" t="n">
        <v>490</v>
      </c>
      <c r="C491" t="n">
        <v>2196894</v>
      </c>
      <c r="D491" t="n">
        <v>31871</v>
      </c>
      <c r="E491" t="n">
        <v>36639</v>
      </c>
      <c r="F491">
        <f>C491/(1-MIN(0.75,E491/(24000+E491)))</f>
        <v/>
      </c>
    </row>
    <row r="492">
      <c r="A492" t="n">
        <v>99</v>
      </c>
      <c r="B492" t="n">
        <v>491</v>
      </c>
      <c r="C492" t="n">
        <v>2657191</v>
      </c>
      <c r="D492" t="n">
        <v>32133</v>
      </c>
      <c r="E492" t="n">
        <v>44174</v>
      </c>
      <c r="F492">
        <f>C492/(1-MIN(0.75,E492/(24000+E492)))</f>
        <v/>
      </c>
    </row>
    <row r="493">
      <c r="A493" t="n">
        <v>99</v>
      </c>
      <c r="B493" t="n">
        <v>492</v>
      </c>
      <c r="C493" t="n">
        <v>1771461</v>
      </c>
      <c r="D493" t="n">
        <v>38560</v>
      </c>
      <c r="E493" t="n">
        <v>29449</v>
      </c>
      <c r="F493">
        <f>C493/(1-MIN(0.75,E493/(24000+E493)))</f>
        <v/>
      </c>
    </row>
    <row r="494">
      <c r="A494" t="n">
        <v>99</v>
      </c>
      <c r="B494" t="n">
        <v>493</v>
      </c>
      <c r="C494" t="n">
        <v>1771461</v>
      </c>
      <c r="D494" t="n">
        <v>38560</v>
      </c>
      <c r="E494" t="n">
        <v>29449</v>
      </c>
      <c r="F494">
        <f>C494/(1-MIN(0.75,E494/(24000+E494)))</f>
        <v/>
      </c>
    </row>
    <row r="495">
      <c r="A495" t="n">
        <v>99</v>
      </c>
      <c r="B495" t="n">
        <v>494</v>
      </c>
      <c r="C495" t="n">
        <v>1771461</v>
      </c>
      <c r="D495" t="n">
        <v>38560</v>
      </c>
      <c r="E495" t="n">
        <v>29449</v>
      </c>
      <c r="F495">
        <f>C495/(1-MIN(0.75,E495/(24000+E495)))</f>
        <v/>
      </c>
    </row>
    <row r="496">
      <c r="A496" t="n">
        <v>99</v>
      </c>
      <c r="B496" t="n">
        <v>495</v>
      </c>
      <c r="C496" t="n">
        <v>2214326</v>
      </c>
      <c r="D496" t="n">
        <v>32133</v>
      </c>
      <c r="E496" t="n">
        <v>36811</v>
      </c>
      <c r="F496">
        <f>C496/(1-MIN(0.75,E496/(24000+E496)))</f>
        <v/>
      </c>
    </row>
    <row r="497">
      <c r="A497" t="n">
        <v>100</v>
      </c>
      <c r="B497" t="n">
        <v>496</v>
      </c>
      <c r="C497" t="n">
        <v>2685426</v>
      </c>
      <c r="D497" t="n">
        <v>32431</v>
      </c>
      <c r="E497" t="n">
        <v>44379</v>
      </c>
      <c r="F497">
        <f>C497/(1-MIN(0.75,E497/(24000+E497)))</f>
        <v/>
      </c>
    </row>
    <row r="498">
      <c r="A498" t="n">
        <v>100</v>
      </c>
      <c r="B498" t="n">
        <v>497</v>
      </c>
      <c r="C498" t="n">
        <v>1790284</v>
      </c>
      <c r="D498" t="n">
        <v>38918</v>
      </c>
      <c r="E498" t="n">
        <v>29586</v>
      </c>
      <c r="F498">
        <f>C498/(1-MIN(0.75,E498/(24000+E498)))</f>
        <v/>
      </c>
    </row>
    <row r="499">
      <c r="A499" t="n">
        <v>100</v>
      </c>
      <c r="B499" t="n">
        <v>498</v>
      </c>
      <c r="C499" t="n">
        <v>1790284</v>
      </c>
      <c r="D499" t="n">
        <v>38918</v>
      </c>
      <c r="E499" t="n">
        <v>29586</v>
      </c>
      <c r="F499">
        <f>C499/(1-MIN(0.75,E499/(24000+E499)))</f>
        <v/>
      </c>
    </row>
    <row r="500">
      <c r="A500" t="n">
        <v>100</v>
      </c>
      <c r="B500" t="n">
        <v>499</v>
      </c>
      <c r="C500" t="n">
        <v>1790284</v>
      </c>
      <c r="D500" t="n">
        <v>38918</v>
      </c>
      <c r="E500" t="n">
        <v>29586</v>
      </c>
      <c r="F500">
        <f>C500/(1-MIN(0.75,E500/(24000+E500)))</f>
        <v/>
      </c>
    </row>
    <row r="501">
      <c r="A501" t="n">
        <v>100</v>
      </c>
      <c r="B501" t="n">
        <v>500</v>
      </c>
      <c r="C501" t="n">
        <v>2237855</v>
      </c>
      <c r="D501" t="n">
        <v>32431</v>
      </c>
      <c r="E501" t="n">
        <v>36983</v>
      </c>
      <c r="F501">
        <f>C501/(1-MIN(0.75,E501/(24000+E501)))</f>
        <v/>
      </c>
    </row>
    <row r="502">
      <c r="A502" t="n">
        <v>101</v>
      </c>
      <c r="B502" t="n">
        <v>501</v>
      </c>
      <c r="C502" t="n">
        <v>2709589</v>
      </c>
      <c r="D502" t="n">
        <v>32607</v>
      </c>
      <c r="E502" t="n">
        <v>44586</v>
      </c>
      <c r="F502">
        <f>C502/(1-MIN(0.75,E502/(24000+E502)))</f>
        <v/>
      </c>
    </row>
    <row r="503">
      <c r="A503" t="n">
        <v>101</v>
      </c>
      <c r="B503" t="n">
        <v>502</v>
      </c>
      <c r="C503" t="n">
        <v>1806393</v>
      </c>
      <c r="D503" t="n">
        <v>39128</v>
      </c>
      <c r="E503" t="n">
        <v>29724</v>
      </c>
      <c r="F503">
        <f>C503/(1-MIN(0.75,E503/(24000+E503)))</f>
        <v/>
      </c>
    </row>
    <row r="504">
      <c r="A504" t="n">
        <v>101</v>
      </c>
      <c r="B504" t="n">
        <v>503</v>
      </c>
      <c r="C504" t="n">
        <v>1806393</v>
      </c>
      <c r="D504" t="n">
        <v>39128</v>
      </c>
      <c r="E504" t="n">
        <v>29724</v>
      </c>
      <c r="F504">
        <f>C504/(1-MIN(0.75,E504/(24000+E504)))</f>
        <v/>
      </c>
    </row>
    <row r="505">
      <c r="A505" t="n">
        <v>101</v>
      </c>
      <c r="B505" t="n">
        <v>504</v>
      </c>
      <c r="C505" t="n">
        <v>1806393</v>
      </c>
      <c r="D505" t="n">
        <v>39128</v>
      </c>
      <c r="E505" t="n">
        <v>29724</v>
      </c>
      <c r="F505">
        <f>C505/(1-MIN(0.75,E505/(24000+E505)))</f>
        <v/>
      </c>
    </row>
    <row r="506">
      <c r="A506" t="n">
        <v>101</v>
      </c>
      <c r="B506" t="n">
        <v>505</v>
      </c>
      <c r="C506" t="n">
        <v>2257991</v>
      </c>
      <c r="D506" t="n">
        <v>32607</v>
      </c>
      <c r="E506" t="n">
        <v>37155</v>
      </c>
      <c r="F506">
        <f>C506/(1-MIN(0.75,E506/(24000+E506)))</f>
        <v/>
      </c>
    </row>
    <row r="507">
      <c r="A507" t="n">
        <v>102</v>
      </c>
      <c r="B507" t="n">
        <v>506</v>
      </c>
      <c r="C507" t="n">
        <v>2736075</v>
      </c>
      <c r="D507" t="n">
        <v>32846</v>
      </c>
      <c r="E507" t="n">
        <v>44792</v>
      </c>
      <c r="F507">
        <f>C507/(1-MIN(0.75,E507/(24000+E507)))</f>
        <v/>
      </c>
    </row>
    <row r="508">
      <c r="A508" t="n">
        <v>102</v>
      </c>
      <c r="B508" t="n">
        <v>507</v>
      </c>
      <c r="C508" t="n">
        <v>1824050</v>
      </c>
      <c r="D508" t="n">
        <v>39415</v>
      </c>
      <c r="E508" t="n">
        <v>29861</v>
      </c>
      <c r="F508">
        <f>C508/(1-MIN(0.75,E508/(24000+E508)))</f>
        <v/>
      </c>
    </row>
    <row r="509">
      <c r="A509" t="n">
        <v>102</v>
      </c>
      <c r="B509" t="n">
        <v>508</v>
      </c>
      <c r="C509" t="n">
        <v>1824050</v>
      </c>
      <c r="D509" t="n">
        <v>39415</v>
      </c>
      <c r="E509" t="n">
        <v>29861</v>
      </c>
      <c r="F509">
        <f>C509/(1-MIN(0.75,E509/(24000+E509)))</f>
        <v/>
      </c>
    </row>
    <row r="510">
      <c r="A510" t="n">
        <v>102</v>
      </c>
      <c r="B510" t="n">
        <v>509</v>
      </c>
      <c r="C510" t="n">
        <v>1824050</v>
      </c>
      <c r="D510" t="n">
        <v>39415</v>
      </c>
      <c r="E510" t="n">
        <v>29861</v>
      </c>
      <c r="F510">
        <f>C510/(1-MIN(0.75,E510/(24000+E510)))</f>
        <v/>
      </c>
    </row>
    <row r="511">
      <c r="A511" t="n">
        <v>102</v>
      </c>
      <c r="B511" t="n">
        <v>510</v>
      </c>
      <c r="C511" t="n">
        <v>2280063</v>
      </c>
      <c r="D511" t="n">
        <v>32846</v>
      </c>
      <c r="E511" t="n">
        <v>37326</v>
      </c>
      <c r="F511">
        <f>C511/(1-MIN(0.75,E511/(24000+E511)))</f>
        <v/>
      </c>
    </row>
    <row r="512">
      <c r="A512" t="n">
        <v>103</v>
      </c>
      <c r="B512" t="n">
        <v>511</v>
      </c>
      <c r="C512" t="n">
        <v>2789642</v>
      </c>
      <c r="D512" t="n">
        <v>33328</v>
      </c>
      <c r="E512" t="n">
        <v>45207</v>
      </c>
      <c r="F512">
        <f>C512/(1-MIN(0.75,E512/(24000+E512)))</f>
        <v/>
      </c>
    </row>
    <row r="513">
      <c r="A513" t="n">
        <v>103</v>
      </c>
      <c r="B513" t="n">
        <v>512</v>
      </c>
      <c r="C513" t="n">
        <v>1859761</v>
      </c>
      <c r="D513" t="n">
        <v>39993</v>
      </c>
      <c r="E513" t="n">
        <v>30138</v>
      </c>
      <c r="F513">
        <f>C513/(1-MIN(0.75,E513/(24000+E513)))</f>
        <v/>
      </c>
    </row>
    <row r="514">
      <c r="A514" t="n">
        <v>103</v>
      </c>
      <c r="B514" t="n">
        <v>513</v>
      </c>
      <c r="C514" t="n">
        <v>1859761</v>
      </c>
      <c r="D514" t="n">
        <v>39993</v>
      </c>
      <c r="E514" t="n">
        <v>30138</v>
      </c>
      <c r="F514">
        <f>C514/(1-MIN(0.75,E514/(24000+E514)))</f>
        <v/>
      </c>
    </row>
    <row r="515">
      <c r="A515" t="n">
        <v>103</v>
      </c>
      <c r="B515" t="n">
        <v>514</v>
      </c>
      <c r="C515" t="n">
        <v>1859761</v>
      </c>
      <c r="D515" t="n">
        <v>39993</v>
      </c>
      <c r="E515" t="n">
        <v>30138</v>
      </c>
      <c r="F515">
        <f>C515/(1-MIN(0.75,E515/(24000+E515)))</f>
        <v/>
      </c>
    </row>
    <row r="516">
      <c r="A516" t="n">
        <v>103</v>
      </c>
      <c r="B516" t="n">
        <v>515</v>
      </c>
      <c r="C516" t="n">
        <v>2324701</v>
      </c>
      <c r="D516" t="n">
        <v>33328</v>
      </c>
      <c r="E516" t="n">
        <v>37673</v>
      </c>
      <c r="F516">
        <f>C516/(1-MIN(0.75,E516/(24000+E516)))</f>
        <v/>
      </c>
    </row>
    <row r="517">
      <c r="A517" t="n">
        <v>104</v>
      </c>
      <c r="B517" t="n">
        <v>516</v>
      </c>
      <c r="C517" t="n">
        <v>2816729</v>
      </c>
      <c r="D517" t="n">
        <v>33571</v>
      </c>
      <c r="E517" t="n">
        <v>45414</v>
      </c>
      <c r="F517">
        <f>C517/(1-MIN(0.75,E517/(24000+E517)))</f>
        <v/>
      </c>
    </row>
    <row r="518">
      <c r="A518" t="n">
        <v>104</v>
      </c>
      <c r="B518" t="n">
        <v>517</v>
      </c>
      <c r="C518" t="n">
        <v>1877819</v>
      </c>
      <c r="D518" t="n">
        <v>40285</v>
      </c>
      <c r="E518" t="n">
        <v>30276</v>
      </c>
      <c r="F518">
        <f>C518/(1-MIN(0.75,E518/(24000+E518)))</f>
        <v/>
      </c>
    </row>
    <row r="519">
      <c r="A519" t="n">
        <v>104</v>
      </c>
      <c r="B519" t="n">
        <v>518</v>
      </c>
      <c r="C519" t="n">
        <v>1877819</v>
      </c>
      <c r="D519" t="n">
        <v>40285</v>
      </c>
      <c r="E519" t="n">
        <v>30276</v>
      </c>
      <c r="F519">
        <f>C519/(1-MIN(0.75,E519/(24000+E519)))</f>
        <v/>
      </c>
    </row>
    <row r="520">
      <c r="A520" t="n">
        <v>104</v>
      </c>
      <c r="B520" t="n">
        <v>519</v>
      </c>
      <c r="C520" t="n">
        <v>1877819</v>
      </c>
      <c r="D520" t="n">
        <v>40285</v>
      </c>
      <c r="E520" t="n">
        <v>30276</v>
      </c>
      <c r="F520">
        <f>C520/(1-MIN(0.75,E520/(24000+E520)))</f>
        <v/>
      </c>
    </row>
    <row r="521">
      <c r="A521" t="n">
        <v>104</v>
      </c>
      <c r="B521" t="n">
        <v>520</v>
      </c>
      <c r="C521" t="n">
        <v>2347274</v>
      </c>
      <c r="D521" t="n">
        <v>33571</v>
      </c>
      <c r="E521" t="n">
        <v>37845</v>
      </c>
      <c r="F521">
        <f>C521/(1-MIN(0.75,E521/(24000+E521)))</f>
        <v/>
      </c>
    </row>
    <row r="522">
      <c r="A522" t="n">
        <v>105</v>
      </c>
      <c r="B522" t="n">
        <v>521</v>
      </c>
      <c r="C522" t="n">
        <v>2857292</v>
      </c>
      <c r="D522" t="n">
        <v>33669</v>
      </c>
      <c r="E522" t="n">
        <v>45623</v>
      </c>
      <c r="F522">
        <f>C522/(1-MIN(0.75,E522/(24000+E522)))</f>
        <v/>
      </c>
    </row>
    <row r="523">
      <c r="A523" t="n">
        <v>105</v>
      </c>
      <c r="B523" t="n">
        <v>522</v>
      </c>
      <c r="C523" t="n">
        <v>1904861</v>
      </c>
      <c r="D523" t="n">
        <v>40402</v>
      </c>
      <c r="E523" t="n">
        <v>30415</v>
      </c>
      <c r="F523">
        <f>C523/(1-MIN(0.75,E523/(24000+E523)))</f>
        <v/>
      </c>
    </row>
    <row r="524">
      <c r="A524" t="n">
        <v>105</v>
      </c>
      <c r="B524" t="n">
        <v>523</v>
      </c>
      <c r="C524" t="n">
        <v>1904861</v>
      </c>
      <c r="D524" t="n">
        <v>40402</v>
      </c>
      <c r="E524" t="n">
        <v>30415</v>
      </c>
      <c r="F524">
        <f>C524/(1-MIN(0.75,E524/(24000+E524)))</f>
        <v/>
      </c>
    </row>
    <row r="525">
      <c r="A525" t="n">
        <v>105</v>
      </c>
      <c r="B525" t="n">
        <v>524</v>
      </c>
      <c r="C525" t="n">
        <v>1904861</v>
      </c>
      <c r="D525" t="n">
        <v>40402</v>
      </c>
      <c r="E525" t="n">
        <v>30415</v>
      </c>
      <c r="F525">
        <f>C525/(1-MIN(0.75,E525/(24000+E525)))</f>
        <v/>
      </c>
    </row>
    <row r="526">
      <c r="A526" t="n">
        <v>105</v>
      </c>
      <c r="B526" t="n">
        <v>525</v>
      </c>
      <c r="C526" t="n">
        <v>2381076</v>
      </c>
      <c r="D526" t="n">
        <v>33669</v>
      </c>
      <c r="E526" t="n">
        <v>38019</v>
      </c>
      <c r="F526">
        <f>C526/(1-MIN(0.75,E526/(24000+E526)))</f>
        <v/>
      </c>
    </row>
    <row r="527">
      <c r="A527" t="n">
        <v>106</v>
      </c>
      <c r="B527" t="n">
        <v>526</v>
      </c>
      <c r="C527" t="n">
        <v>2871491</v>
      </c>
      <c r="D527" t="n">
        <v>34062</v>
      </c>
      <c r="E527" t="n">
        <v>45831</v>
      </c>
      <c r="F527">
        <f>C527/(1-MIN(0.75,E527/(24000+E527)))</f>
        <v/>
      </c>
    </row>
    <row r="528">
      <c r="A528" t="n">
        <v>106</v>
      </c>
      <c r="B528" t="n">
        <v>527</v>
      </c>
      <c r="C528" t="n">
        <v>1914327</v>
      </c>
      <c r="D528" t="n">
        <v>40874</v>
      </c>
      <c r="E528" t="n">
        <v>30554</v>
      </c>
      <c r="F528">
        <f>C528/(1-MIN(0.75,E528/(24000+E528)))</f>
        <v/>
      </c>
    </row>
    <row r="529">
      <c r="A529" t="n">
        <v>106</v>
      </c>
      <c r="B529" t="n">
        <v>528</v>
      </c>
      <c r="C529" t="n">
        <v>1914327</v>
      </c>
      <c r="D529" t="n">
        <v>40874</v>
      </c>
      <c r="E529" t="n">
        <v>30554</v>
      </c>
      <c r="F529">
        <f>C529/(1-MIN(0.75,E529/(24000+E529)))</f>
        <v/>
      </c>
    </row>
    <row r="530">
      <c r="A530" t="n">
        <v>106</v>
      </c>
      <c r="B530" t="n">
        <v>529</v>
      </c>
      <c r="C530" t="n">
        <v>1914327</v>
      </c>
      <c r="D530" t="n">
        <v>40874</v>
      </c>
      <c r="E530" t="n">
        <v>30554</v>
      </c>
      <c r="F530">
        <f>C530/(1-MIN(0.75,E530/(24000+E530)))</f>
        <v/>
      </c>
    </row>
    <row r="531">
      <c r="A531" t="n">
        <v>106</v>
      </c>
      <c r="B531" t="n">
        <v>530</v>
      </c>
      <c r="C531" t="n">
        <v>2392909</v>
      </c>
      <c r="D531" t="n">
        <v>34062</v>
      </c>
      <c r="E531" t="n">
        <v>38193</v>
      </c>
      <c r="F531">
        <f>C531/(1-MIN(0.75,E531/(24000+E531)))</f>
        <v/>
      </c>
    </row>
    <row r="532">
      <c r="A532" t="n">
        <v>107</v>
      </c>
      <c r="B532" t="n">
        <v>531</v>
      </c>
      <c r="C532" t="n">
        <v>2899180</v>
      </c>
      <c r="D532" t="n">
        <v>34309</v>
      </c>
      <c r="E532" t="n">
        <v>46040</v>
      </c>
      <c r="F532">
        <f>C532/(1-MIN(0.75,E532/(24000+E532)))</f>
        <v/>
      </c>
    </row>
    <row r="533">
      <c r="A533" t="n">
        <v>107</v>
      </c>
      <c r="B533" t="n">
        <v>532</v>
      </c>
      <c r="C533" t="n">
        <v>1932786</v>
      </c>
      <c r="D533" t="n">
        <v>41170</v>
      </c>
      <c r="E533" t="n">
        <v>30693</v>
      </c>
      <c r="F533">
        <f>C533/(1-MIN(0.75,E533/(24000+E533)))</f>
        <v/>
      </c>
    </row>
    <row r="534">
      <c r="A534" t="n">
        <v>107</v>
      </c>
      <c r="B534" t="n">
        <v>533</v>
      </c>
      <c r="C534" t="n">
        <v>1932786</v>
      </c>
      <c r="D534" t="n">
        <v>41170</v>
      </c>
      <c r="E534" t="n">
        <v>30693</v>
      </c>
      <c r="F534">
        <f>C534/(1-MIN(0.75,E534/(24000+E534)))</f>
        <v/>
      </c>
    </row>
    <row r="535">
      <c r="A535" t="n">
        <v>107</v>
      </c>
      <c r="B535" t="n">
        <v>534</v>
      </c>
      <c r="C535" t="n">
        <v>1932786</v>
      </c>
      <c r="D535" t="n">
        <v>41170</v>
      </c>
      <c r="E535" t="n">
        <v>30693</v>
      </c>
      <c r="F535">
        <f>C535/(1-MIN(0.75,E535/(24000+E535)))</f>
        <v/>
      </c>
    </row>
    <row r="536">
      <c r="A536" t="n">
        <v>107</v>
      </c>
      <c r="B536" t="n">
        <v>535</v>
      </c>
      <c r="C536" t="n">
        <v>2415983</v>
      </c>
      <c r="D536" t="n">
        <v>34309</v>
      </c>
      <c r="E536" t="n">
        <v>38366</v>
      </c>
      <c r="F536">
        <f>C536/(1-MIN(0.75,E536/(24000+E536)))</f>
        <v/>
      </c>
    </row>
    <row r="537">
      <c r="A537" t="n">
        <v>108</v>
      </c>
      <c r="B537" t="n">
        <v>536</v>
      </c>
      <c r="C537" t="n">
        <v>2955158</v>
      </c>
      <c r="D537" t="n">
        <v>34806</v>
      </c>
      <c r="E537" t="n">
        <v>46458</v>
      </c>
      <c r="F537">
        <f>C537/(1-MIN(0.75,E537/(24000+E537)))</f>
        <v/>
      </c>
    </row>
    <row r="538">
      <c r="A538" t="n">
        <v>108</v>
      </c>
      <c r="B538" t="n">
        <v>537</v>
      </c>
      <c r="C538" t="n">
        <v>1970105</v>
      </c>
      <c r="D538" t="n">
        <v>41767</v>
      </c>
      <c r="E538" t="n">
        <v>30972</v>
      </c>
      <c r="F538">
        <f>C538/(1-MIN(0.75,E538/(24000+E538)))</f>
        <v/>
      </c>
    </row>
    <row r="539">
      <c r="A539" t="n">
        <v>108</v>
      </c>
      <c r="B539" t="n">
        <v>538</v>
      </c>
      <c r="C539" t="n">
        <v>1970105</v>
      </c>
      <c r="D539" t="n">
        <v>41767</v>
      </c>
      <c r="E539" t="n">
        <v>30972</v>
      </c>
      <c r="F539">
        <f>C539/(1-MIN(0.75,E539/(24000+E539)))</f>
        <v/>
      </c>
    </row>
    <row r="540">
      <c r="A540" t="n">
        <v>108</v>
      </c>
      <c r="B540" t="n">
        <v>539</v>
      </c>
      <c r="C540" t="n">
        <v>1970105</v>
      </c>
      <c r="D540" t="n">
        <v>41767</v>
      </c>
      <c r="E540" t="n">
        <v>30972</v>
      </c>
      <c r="F540">
        <f>C540/(1-MIN(0.75,E540/(24000+E540)))</f>
        <v/>
      </c>
    </row>
    <row r="541">
      <c r="A541" t="n">
        <v>108</v>
      </c>
      <c r="B541" t="n">
        <v>540</v>
      </c>
      <c r="C541" t="n">
        <v>2462631</v>
      </c>
      <c r="D541" t="n">
        <v>34806</v>
      </c>
      <c r="E541" t="n">
        <v>38715</v>
      </c>
      <c r="F541">
        <f>C541/(1-MIN(0.75,E541/(24000+E541)))</f>
        <v/>
      </c>
    </row>
    <row r="542">
      <c r="A542" t="n">
        <v>109</v>
      </c>
      <c r="B542" t="n">
        <v>541</v>
      </c>
      <c r="C542" t="n">
        <v>2983454</v>
      </c>
      <c r="D542" t="n">
        <v>35057</v>
      </c>
      <c r="E542" t="n">
        <v>46668</v>
      </c>
      <c r="F542">
        <f>C542/(1-MIN(0.75,E542/(24000+E542)))</f>
        <v/>
      </c>
    </row>
    <row r="543">
      <c r="A543" t="n">
        <v>109</v>
      </c>
      <c r="B543" t="n">
        <v>542</v>
      </c>
      <c r="C543" t="n">
        <v>1988969</v>
      </c>
      <c r="D543" t="n">
        <v>42069</v>
      </c>
      <c r="E543" t="n">
        <v>31112</v>
      </c>
      <c r="F543">
        <f>C543/(1-MIN(0.75,E543/(24000+E543)))</f>
        <v/>
      </c>
    </row>
    <row r="544">
      <c r="A544" t="n">
        <v>109</v>
      </c>
      <c r="B544" t="n">
        <v>543</v>
      </c>
      <c r="C544" t="n">
        <v>1988969</v>
      </c>
      <c r="D544" t="n">
        <v>42069</v>
      </c>
      <c r="E544" t="n">
        <v>31112</v>
      </c>
      <c r="F544">
        <f>C544/(1-MIN(0.75,E544/(24000+E544)))</f>
        <v/>
      </c>
    </row>
    <row r="545">
      <c r="A545" t="n">
        <v>109</v>
      </c>
      <c r="B545" t="n">
        <v>544</v>
      </c>
      <c r="C545" t="n">
        <v>1988969</v>
      </c>
      <c r="D545" t="n">
        <v>42069</v>
      </c>
      <c r="E545" t="n">
        <v>31112</v>
      </c>
      <c r="F545">
        <f>C545/(1-MIN(0.75,E545/(24000+E545)))</f>
        <v/>
      </c>
    </row>
    <row r="546">
      <c r="A546" t="n">
        <v>109</v>
      </c>
      <c r="B546" t="n">
        <v>545</v>
      </c>
      <c r="C546" t="n">
        <v>2486212</v>
      </c>
      <c r="D546" t="n">
        <v>35057</v>
      </c>
      <c r="E546" t="n">
        <v>38890</v>
      </c>
      <c r="F546">
        <f>C546/(1-MIN(0.75,E546/(24000+E546)))</f>
        <v/>
      </c>
    </row>
    <row r="547">
      <c r="A547" t="n">
        <v>110</v>
      </c>
      <c r="B547" t="n">
        <v>546</v>
      </c>
      <c r="C547" t="n">
        <v>3014355</v>
      </c>
      <c r="D547" t="n">
        <v>35377</v>
      </c>
      <c r="E547" t="n">
        <v>46878</v>
      </c>
      <c r="F547">
        <f>C547/(1-MIN(0.75,E547/(24000+E547)))</f>
        <v/>
      </c>
    </row>
    <row r="548">
      <c r="A548" t="n">
        <v>110</v>
      </c>
      <c r="B548" t="n">
        <v>547</v>
      </c>
      <c r="C548" t="n">
        <v>2009570</v>
      </c>
      <c r="D548" t="n">
        <v>42453</v>
      </c>
      <c r="E548" t="n">
        <v>31252</v>
      </c>
      <c r="F548">
        <f>C548/(1-MIN(0.75,E548/(24000+E548)))</f>
        <v/>
      </c>
    </row>
    <row r="549">
      <c r="A549" t="n">
        <v>110</v>
      </c>
      <c r="B549" t="n">
        <v>548</v>
      </c>
      <c r="C549" t="n">
        <v>2009570</v>
      </c>
      <c r="D549" t="n">
        <v>42453</v>
      </c>
      <c r="E549" t="n">
        <v>31252</v>
      </c>
      <c r="F549">
        <f>C549/(1-MIN(0.75,E549/(24000+E549)))</f>
        <v/>
      </c>
    </row>
    <row r="550">
      <c r="A550" t="n">
        <v>110</v>
      </c>
      <c r="B550" t="n">
        <v>549</v>
      </c>
      <c r="C550" t="n">
        <v>2009570</v>
      </c>
      <c r="D550" t="n">
        <v>42453</v>
      </c>
      <c r="E550" t="n">
        <v>31252</v>
      </c>
      <c r="F550">
        <f>C550/(1-MIN(0.75,E550/(24000+E550)))</f>
        <v/>
      </c>
    </row>
    <row r="551">
      <c r="A551" t="n">
        <v>110</v>
      </c>
      <c r="B551" t="n">
        <v>550</v>
      </c>
      <c r="C551" t="n">
        <v>2511962</v>
      </c>
      <c r="D551" t="n">
        <v>35377</v>
      </c>
      <c r="E551" t="n">
        <v>39065</v>
      </c>
      <c r="F551">
        <f>C551/(1-MIN(0.75,E551/(24000+E551)))</f>
        <v/>
      </c>
    </row>
    <row r="552">
      <c r="A552" t="n">
        <v>111</v>
      </c>
      <c r="B552" t="n">
        <v>551</v>
      </c>
      <c r="C552" t="n">
        <v>3040675</v>
      </c>
      <c r="D552" t="n">
        <v>35564</v>
      </c>
      <c r="E552" t="n">
        <v>47090</v>
      </c>
      <c r="F552">
        <f>C552/(1-MIN(0.75,E552/(24000+E552)))</f>
        <v/>
      </c>
    </row>
    <row r="553">
      <c r="A553" t="n">
        <v>111</v>
      </c>
      <c r="B553" t="n">
        <v>552</v>
      </c>
      <c r="C553" t="n">
        <v>2027117</v>
      </c>
      <c r="D553" t="n">
        <v>42676</v>
      </c>
      <c r="E553" t="n">
        <v>31393</v>
      </c>
      <c r="F553">
        <f>C553/(1-MIN(0.75,E553/(24000+E553)))</f>
        <v/>
      </c>
    </row>
    <row r="554">
      <c r="A554" t="n">
        <v>111</v>
      </c>
      <c r="B554" t="n">
        <v>553</v>
      </c>
      <c r="C554" t="n">
        <v>2027117</v>
      </c>
      <c r="D554" t="n">
        <v>42676</v>
      </c>
      <c r="E554" t="n">
        <v>31393</v>
      </c>
      <c r="F554">
        <f>C554/(1-MIN(0.75,E554/(24000+E554)))</f>
        <v/>
      </c>
    </row>
    <row r="555">
      <c r="A555" t="n">
        <v>111</v>
      </c>
      <c r="B555" t="n">
        <v>554</v>
      </c>
      <c r="C555" t="n">
        <v>2027117</v>
      </c>
      <c r="D555" t="n">
        <v>42676</v>
      </c>
      <c r="E555" t="n">
        <v>31393</v>
      </c>
      <c r="F555">
        <f>C555/(1-MIN(0.75,E555/(24000+E555)))</f>
        <v/>
      </c>
    </row>
    <row r="556">
      <c r="A556" t="n">
        <v>111</v>
      </c>
      <c r="B556" t="n">
        <v>555</v>
      </c>
      <c r="C556" t="n">
        <v>2533896</v>
      </c>
      <c r="D556" t="n">
        <v>35564</v>
      </c>
      <c r="E556" t="n">
        <v>39241</v>
      </c>
      <c r="F556">
        <f>C556/(1-MIN(0.75,E556/(24000+E556)))</f>
        <v/>
      </c>
    </row>
    <row r="557">
      <c r="A557" t="n">
        <v>112</v>
      </c>
      <c r="B557" t="n">
        <v>556</v>
      </c>
      <c r="C557" t="n">
        <v>3098727</v>
      </c>
      <c r="D557" t="n">
        <v>36075</v>
      </c>
      <c r="E557" t="n">
        <v>47511</v>
      </c>
      <c r="F557">
        <f>C557/(1-MIN(0.75,E557/(24000+E557)))</f>
        <v/>
      </c>
    </row>
    <row r="558">
      <c r="A558" t="n">
        <v>112</v>
      </c>
      <c r="B558" t="n">
        <v>557</v>
      </c>
      <c r="C558" t="n">
        <v>2065818</v>
      </c>
      <c r="D558" t="n">
        <v>43290</v>
      </c>
      <c r="E558" t="n">
        <v>31674</v>
      </c>
      <c r="F558">
        <f>C558/(1-MIN(0.75,E558/(24000+E558)))</f>
        <v/>
      </c>
    </row>
    <row r="559">
      <c r="A559" t="n">
        <v>112</v>
      </c>
      <c r="B559" t="n">
        <v>558</v>
      </c>
      <c r="C559" t="n">
        <v>2065818</v>
      </c>
      <c r="D559" t="n">
        <v>43290</v>
      </c>
      <c r="E559" t="n">
        <v>31674</v>
      </c>
      <c r="F559">
        <f>C559/(1-MIN(0.75,E559/(24000+E559)))</f>
        <v/>
      </c>
    </row>
    <row r="560">
      <c r="A560" t="n">
        <v>112</v>
      </c>
      <c r="B560" t="n">
        <v>559</v>
      </c>
      <c r="C560" t="n">
        <v>2065818</v>
      </c>
      <c r="D560" t="n">
        <v>43290</v>
      </c>
      <c r="E560" t="n">
        <v>31674</v>
      </c>
      <c r="F560">
        <f>C560/(1-MIN(0.75,E560/(24000+E560)))</f>
        <v/>
      </c>
    </row>
    <row r="561">
      <c r="A561" t="n">
        <v>112</v>
      </c>
      <c r="B561" t="n">
        <v>560</v>
      </c>
      <c r="C561" t="n">
        <v>2582272</v>
      </c>
      <c r="D561" t="n">
        <v>36075</v>
      </c>
      <c r="E561" t="n">
        <v>39593</v>
      </c>
      <c r="F561">
        <f>C561/(1-MIN(0.75,E561/(24000+E561)))</f>
        <v/>
      </c>
    </row>
    <row r="562">
      <c r="A562" t="n">
        <v>113</v>
      </c>
      <c r="B562" t="n">
        <v>561</v>
      </c>
      <c r="C562" t="n">
        <v>3128063</v>
      </c>
      <c r="D562" t="n">
        <v>36334</v>
      </c>
      <c r="E562" t="n">
        <v>47723</v>
      </c>
      <c r="F562">
        <f>C562/(1-MIN(0.75,E562/(24000+E562)))</f>
        <v/>
      </c>
    </row>
    <row r="563">
      <c r="A563" t="n">
        <v>113</v>
      </c>
      <c r="B563" t="n">
        <v>562</v>
      </c>
      <c r="C563" t="n">
        <v>2085376</v>
      </c>
      <c r="D563" t="n">
        <v>43600</v>
      </c>
      <c r="E563" t="n">
        <v>31815</v>
      </c>
      <c r="F563">
        <f>C563/(1-MIN(0.75,E563/(24000+E563)))</f>
        <v/>
      </c>
    </row>
    <row r="564">
      <c r="A564" t="n">
        <v>113</v>
      </c>
      <c r="B564" t="n">
        <v>563</v>
      </c>
      <c r="C564" t="n">
        <v>2085376</v>
      </c>
      <c r="D564" t="n">
        <v>43600</v>
      </c>
      <c r="E564" t="n">
        <v>31815</v>
      </c>
      <c r="F564">
        <f>C564/(1-MIN(0.75,E564/(24000+E564)))</f>
        <v/>
      </c>
    </row>
    <row r="565">
      <c r="A565" t="n">
        <v>113</v>
      </c>
      <c r="B565" t="n">
        <v>564</v>
      </c>
      <c r="C565" t="n">
        <v>2085376</v>
      </c>
      <c r="D565" t="n">
        <v>43600</v>
      </c>
      <c r="E565" t="n">
        <v>31815</v>
      </c>
      <c r="F565">
        <f>C565/(1-MIN(0.75,E565/(24000+E565)))</f>
        <v/>
      </c>
    </row>
    <row r="566">
      <c r="A566" t="n">
        <v>113</v>
      </c>
      <c r="B566" t="n">
        <v>565</v>
      </c>
      <c r="C566" t="n">
        <v>2606720</v>
      </c>
      <c r="D566" t="n">
        <v>36334</v>
      </c>
      <c r="E566" t="n">
        <v>39769</v>
      </c>
      <c r="F566">
        <f>C566/(1-MIN(0.75,E566/(24000+E566)))</f>
        <v/>
      </c>
    </row>
    <row r="567">
      <c r="A567" t="n">
        <v>114</v>
      </c>
      <c r="B567" t="n">
        <v>566</v>
      </c>
      <c r="C567" t="n">
        <v>3187385</v>
      </c>
      <c r="D567" t="n">
        <v>36854</v>
      </c>
      <c r="E567" t="n">
        <v>48147</v>
      </c>
      <c r="F567">
        <f>C567/(1-MIN(0.75,E567/(24000+E567)))</f>
        <v/>
      </c>
    </row>
    <row r="568">
      <c r="A568" t="n">
        <v>114</v>
      </c>
      <c r="B568" t="n">
        <v>567</v>
      </c>
      <c r="C568" t="n">
        <v>2124923</v>
      </c>
      <c r="D568" t="n">
        <v>44224</v>
      </c>
      <c r="E568" t="n">
        <v>32098</v>
      </c>
      <c r="F568">
        <f>C568/(1-MIN(0.75,E568/(24000+E568)))</f>
        <v/>
      </c>
    </row>
    <row r="569">
      <c r="A569" t="n">
        <v>114</v>
      </c>
      <c r="B569" t="n">
        <v>568</v>
      </c>
      <c r="C569" t="n">
        <v>2124923</v>
      </c>
      <c r="D569" t="n">
        <v>44224</v>
      </c>
      <c r="E569" t="n">
        <v>32098</v>
      </c>
      <c r="F569">
        <f>C569/(1-MIN(0.75,E569/(24000+E569)))</f>
        <v/>
      </c>
    </row>
    <row r="570">
      <c r="A570" t="n">
        <v>114</v>
      </c>
      <c r="B570" t="n">
        <v>569</v>
      </c>
      <c r="C570" t="n">
        <v>2124923</v>
      </c>
      <c r="D570" t="n">
        <v>44224</v>
      </c>
      <c r="E570" t="n">
        <v>32098</v>
      </c>
      <c r="F570">
        <f>C570/(1-MIN(0.75,E570/(24000+E570)))</f>
        <v/>
      </c>
    </row>
    <row r="571">
      <c r="A571" t="n">
        <v>114</v>
      </c>
      <c r="B571" t="n">
        <v>570</v>
      </c>
      <c r="C571" t="n">
        <v>2656154</v>
      </c>
      <c r="D571" t="n">
        <v>36854</v>
      </c>
      <c r="E571" t="n">
        <v>40123</v>
      </c>
      <c r="F571">
        <f>C571/(1-MIN(0.75,E571/(24000+E571)))</f>
        <v/>
      </c>
    </row>
    <row r="572">
      <c r="A572" t="n">
        <v>115</v>
      </c>
      <c r="B572" t="n">
        <v>571</v>
      </c>
      <c r="C572" t="n">
        <v>3232401</v>
      </c>
      <c r="D572" t="n">
        <v>36956</v>
      </c>
      <c r="E572" t="n">
        <v>48360</v>
      </c>
      <c r="F572">
        <f>C572/(1-MIN(0.75,E572/(24000+E572)))</f>
        <v/>
      </c>
    </row>
    <row r="573">
      <c r="A573" t="n">
        <v>115</v>
      </c>
      <c r="B573" t="n">
        <v>572</v>
      </c>
      <c r="C573" t="n">
        <v>2154934</v>
      </c>
      <c r="D573" t="n">
        <v>44347</v>
      </c>
      <c r="E573" t="n">
        <v>32240</v>
      </c>
      <c r="F573">
        <f>C573/(1-MIN(0.75,E573/(24000+E573)))</f>
        <v/>
      </c>
    </row>
    <row r="574">
      <c r="A574" t="n">
        <v>115</v>
      </c>
      <c r="B574" t="n">
        <v>573</v>
      </c>
      <c r="C574" t="n">
        <v>2154934</v>
      </c>
      <c r="D574" t="n">
        <v>44347</v>
      </c>
      <c r="E574" t="n">
        <v>32240</v>
      </c>
      <c r="F574">
        <f>C574/(1-MIN(0.75,E574/(24000+E574)))</f>
        <v/>
      </c>
    </row>
    <row r="575">
      <c r="A575" t="n">
        <v>115</v>
      </c>
      <c r="B575" t="n">
        <v>574</v>
      </c>
      <c r="C575" t="n">
        <v>2154934</v>
      </c>
      <c r="D575" t="n">
        <v>44347</v>
      </c>
      <c r="E575" t="n">
        <v>32240</v>
      </c>
      <c r="F575">
        <f>C575/(1-MIN(0.75,E575/(24000+E575)))</f>
        <v/>
      </c>
    </row>
    <row r="576">
      <c r="A576" t="n">
        <v>115</v>
      </c>
      <c r="B576" t="n">
        <v>575</v>
      </c>
      <c r="C576" t="n">
        <v>2693667</v>
      </c>
      <c r="D576" t="n">
        <v>36956</v>
      </c>
      <c r="E576" t="n">
        <v>40300</v>
      </c>
      <c r="F576">
        <f>C576/(1-MIN(0.75,E576/(24000+E576)))</f>
        <v/>
      </c>
    </row>
    <row r="577">
      <c r="A577" t="n">
        <v>116</v>
      </c>
      <c r="B577" t="n">
        <v>576</v>
      </c>
      <c r="C577" t="n">
        <v>3247565</v>
      </c>
      <c r="D577" t="n">
        <v>37379</v>
      </c>
      <c r="E577" t="n">
        <v>48573</v>
      </c>
      <c r="F577">
        <f>C577/(1-MIN(0.75,E577/(24000+E577)))</f>
        <v/>
      </c>
    </row>
    <row r="578">
      <c r="A578" t="n">
        <v>116</v>
      </c>
      <c r="B578" t="n">
        <v>577</v>
      </c>
      <c r="C578" t="n">
        <v>2165043</v>
      </c>
      <c r="D578" t="n">
        <v>44855</v>
      </c>
      <c r="E578" t="n">
        <v>32382</v>
      </c>
      <c r="F578">
        <f>C578/(1-MIN(0.75,E578/(24000+E578)))</f>
        <v/>
      </c>
    </row>
    <row r="579">
      <c r="A579" t="n">
        <v>116</v>
      </c>
      <c r="B579" t="n">
        <v>578</v>
      </c>
      <c r="C579" t="n">
        <v>2165043</v>
      </c>
      <c r="D579" t="n">
        <v>44855</v>
      </c>
      <c r="E579" t="n">
        <v>32382</v>
      </c>
      <c r="F579">
        <f>C579/(1-MIN(0.75,E579/(24000+E579)))</f>
        <v/>
      </c>
    </row>
    <row r="580">
      <c r="A580" t="n">
        <v>116</v>
      </c>
      <c r="B580" t="n">
        <v>579</v>
      </c>
      <c r="C580" t="n">
        <v>2165043</v>
      </c>
      <c r="D580" t="n">
        <v>44855</v>
      </c>
      <c r="E580" t="n">
        <v>32382</v>
      </c>
      <c r="F580">
        <f>C580/(1-MIN(0.75,E580/(24000+E580)))</f>
        <v/>
      </c>
    </row>
    <row r="581">
      <c r="A581" t="n">
        <v>116</v>
      </c>
      <c r="B581" t="n">
        <v>580</v>
      </c>
      <c r="C581" t="n">
        <v>2706304</v>
      </c>
      <c r="D581" t="n">
        <v>37379</v>
      </c>
      <c r="E581" t="n">
        <v>40478</v>
      </c>
      <c r="F581">
        <f>C581/(1-MIN(0.75,E581/(24000+E581)))</f>
        <v/>
      </c>
    </row>
    <row r="582">
      <c r="A582" t="n">
        <v>117</v>
      </c>
      <c r="B582" t="n">
        <v>581</v>
      </c>
      <c r="C582" t="n">
        <v>3308609</v>
      </c>
      <c r="D582" t="n">
        <v>37912</v>
      </c>
      <c r="E582" t="n">
        <v>48999</v>
      </c>
      <c r="F582">
        <f>C582/(1-MIN(0.75,E582/(24000+E582)))</f>
        <v/>
      </c>
    </row>
    <row r="583">
      <c r="A583" t="n">
        <v>117</v>
      </c>
      <c r="B583" t="n">
        <v>582</v>
      </c>
      <c r="C583" t="n">
        <v>2205739</v>
      </c>
      <c r="D583" t="n">
        <v>45494</v>
      </c>
      <c r="E583" t="n">
        <v>32666</v>
      </c>
      <c r="F583">
        <f>C583/(1-MIN(0.75,E583/(24000+E583)))</f>
        <v/>
      </c>
    </row>
    <row r="584">
      <c r="A584" t="n">
        <v>117</v>
      </c>
      <c r="B584" t="n">
        <v>583</v>
      </c>
      <c r="C584" t="n">
        <v>2205739</v>
      </c>
      <c r="D584" t="n">
        <v>45494</v>
      </c>
      <c r="E584" t="n">
        <v>32666</v>
      </c>
      <c r="F584">
        <f>C584/(1-MIN(0.75,E584/(24000+E584)))</f>
        <v/>
      </c>
    </row>
    <row r="585">
      <c r="A585" t="n">
        <v>117</v>
      </c>
      <c r="B585" t="n">
        <v>584</v>
      </c>
      <c r="C585" t="n">
        <v>2205739</v>
      </c>
      <c r="D585" t="n">
        <v>45494</v>
      </c>
      <c r="E585" t="n">
        <v>32666</v>
      </c>
      <c r="F585">
        <f>C585/(1-MIN(0.75,E585/(24000+E585)))</f>
        <v/>
      </c>
    </row>
    <row r="586">
      <c r="A586" t="n">
        <v>117</v>
      </c>
      <c r="B586" t="n">
        <v>585</v>
      </c>
      <c r="C586" t="n">
        <v>2757174</v>
      </c>
      <c r="D586" t="n">
        <v>37912</v>
      </c>
      <c r="E586" t="n">
        <v>40833</v>
      </c>
      <c r="F586">
        <f>C586/(1-MIN(0.75,E586/(24000+E586)))</f>
        <v/>
      </c>
    </row>
    <row r="587">
      <c r="A587" t="n">
        <v>118</v>
      </c>
      <c r="B587" t="n">
        <v>586</v>
      </c>
      <c r="C587" t="n">
        <v>3339466</v>
      </c>
      <c r="D587" t="n">
        <v>38180</v>
      </c>
      <c r="E587" t="n">
        <v>49214</v>
      </c>
      <c r="F587">
        <f>C587/(1-MIN(0.75,E587/(24000+E587)))</f>
        <v/>
      </c>
    </row>
    <row r="588">
      <c r="A588" t="n">
        <v>118</v>
      </c>
      <c r="B588" t="n">
        <v>587</v>
      </c>
      <c r="C588" t="n">
        <v>2226310</v>
      </c>
      <c r="D588" t="n">
        <v>45816</v>
      </c>
      <c r="E588" t="n">
        <v>32809</v>
      </c>
      <c r="F588">
        <f>C588/(1-MIN(0.75,E588/(24000+E588)))</f>
        <v/>
      </c>
    </row>
    <row r="589">
      <c r="A589" t="n">
        <v>118</v>
      </c>
      <c r="B589" t="n">
        <v>588</v>
      </c>
      <c r="C589" t="n">
        <v>2226310</v>
      </c>
      <c r="D589" t="n">
        <v>45816</v>
      </c>
      <c r="E589" t="n">
        <v>32809</v>
      </c>
      <c r="F589">
        <f>C589/(1-MIN(0.75,E589/(24000+E589)))</f>
        <v/>
      </c>
    </row>
    <row r="590">
      <c r="A590" t="n">
        <v>118</v>
      </c>
      <c r="B590" t="n">
        <v>589</v>
      </c>
      <c r="C590" t="n">
        <v>2226310</v>
      </c>
      <c r="D590" t="n">
        <v>45816</v>
      </c>
      <c r="E590" t="n">
        <v>32809</v>
      </c>
      <c r="F590">
        <f>C590/(1-MIN(0.75,E590/(24000+E590)))</f>
        <v/>
      </c>
    </row>
    <row r="591">
      <c r="A591" t="n">
        <v>118</v>
      </c>
      <c r="B591" t="n">
        <v>590</v>
      </c>
      <c r="C591" t="n">
        <v>2782888</v>
      </c>
      <c r="D591" t="n">
        <v>38180</v>
      </c>
      <c r="E591" t="n">
        <v>41011</v>
      </c>
      <c r="F591">
        <f>C591/(1-MIN(0.75,E591/(24000+E591)))</f>
        <v/>
      </c>
    </row>
    <row r="592">
      <c r="A592" t="n">
        <v>119</v>
      </c>
      <c r="B592" t="n">
        <v>591</v>
      </c>
      <c r="C592" t="n">
        <v>3401827</v>
      </c>
      <c r="D592" t="n">
        <v>38720</v>
      </c>
      <c r="E592" t="n">
        <v>49643</v>
      </c>
      <c r="F592">
        <f>C592/(1-MIN(0.75,E592/(24000+E592)))</f>
        <v/>
      </c>
    </row>
    <row r="593">
      <c r="A593" t="n">
        <v>119</v>
      </c>
      <c r="B593" t="n">
        <v>592</v>
      </c>
      <c r="C593" t="n">
        <v>2267885</v>
      </c>
      <c r="D593" t="n">
        <v>46464</v>
      </c>
      <c r="E593" t="n">
        <v>33095</v>
      </c>
      <c r="F593">
        <f>C593/(1-MIN(0.75,E593/(24000+E593)))</f>
        <v/>
      </c>
    </row>
    <row r="594">
      <c r="A594" t="n">
        <v>119</v>
      </c>
      <c r="B594" t="n">
        <v>593</v>
      </c>
      <c r="C594" t="n">
        <v>2267885</v>
      </c>
      <c r="D594" t="n">
        <v>46464</v>
      </c>
      <c r="E594" t="n">
        <v>33095</v>
      </c>
      <c r="F594">
        <f>C594/(1-MIN(0.75,E594/(24000+E594)))</f>
        <v/>
      </c>
    </row>
    <row r="595">
      <c r="A595" t="n">
        <v>119</v>
      </c>
      <c r="B595" t="n">
        <v>594</v>
      </c>
      <c r="C595" t="n">
        <v>2267885</v>
      </c>
      <c r="D595" t="n">
        <v>46464</v>
      </c>
      <c r="E595" t="n">
        <v>33095</v>
      </c>
      <c r="F595">
        <f>C595/(1-MIN(0.75,E595/(24000+E595)))</f>
        <v/>
      </c>
    </row>
    <row r="596">
      <c r="A596" t="n">
        <v>119</v>
      </c>
      <c r="B596" t="n">
        <v>595</v>
      </c>
      <c r="C596" t="n">
        <v>2834856</v>
      </c>
      <c r="D596" t="n">
        <v>38720</v>
      </c>
      <c r="E596" t="n">
        <v>41369</v>
      </c>
      <c r="F596">
        <f>C596/(1-MIN(0.75,E596/(24000+E596)))</f>
        <v/>
      </c>
    </row>
    <row r="597">
      <c r="A597" t="n">
        <v>120</v>
      </c>
      <c r="B597" t="n">
        <v>596</v>
      </c>
      <c r="C597" t="n">
        <v>3436069</v>
      </c>
      <c r="D597" t="n">
        <v>39067</v>
      </c>
      <c r="E597" t="n">
        <v>49857</v>
      </c>
      <c r="F597">
        <f>C597/(1-MIN(0.75,E597/(24000+E597)))</f>
        <v/>
      </c>
    </row>
    <row r="598">
      <c r="A598" t="n">
        <v>120</v>
      </c>
      <c r="B598" t="n">
        <v>597</v>
      </c>
      <c r="C598" t="n">
        <v>2290713</v>
      </c>
      <c r="D598" t="n">
        <v>46880</v>
      </c>
      <c r="E598" t="n">
        <v>33238</v>
      </c>
      <c r="F598">
        <f>C598/(1-MIN(0.75,E598/(24000+E598)))</f>
        <v/>
      </c>
    </row>
    <row r="599">
      <c r="A599" t="n">
        <v>120</v>
      </c>
      <c r="B599" t="n">
        <v>598</v>
      </c>
      <c r="C599" t="n">
        <v>2290713</v>
      </c>
      <c r="D599" t="n">
        <v>46880</v>
      </c>
      <c r="E599" t="n">
        <v>33238</v>
      </c>
      <c r="F599">
        <f>C599/(1-MIN(0.75,E599/(24000+E599)))</f>
        <v/>
      </c>
    </row>
    <row r="600">
      <c r="A600" t="n">
        <v>120</v>
      </c>
      <c r="B600" t="n">
        <v>599</v>
      </c>
      <c r="C600" t="n">
        <v>2290713</v>
      </c>
      <c r="D600" t="n">
        <v>46880</v>
      </c>
      <c r="E600" t="n">
        <v>33238</v>
      </c>
      <c r="F600">
        <f>C600/(1-MIN(0.75,E600/(24000+E600)))</f>
        <v/>
      </c>
    </row>
    <row r="601">
      <c r="A601" t="n">
        <v>120</v>
      </c>
      <c r="B601" t="n">
        <v>600</v>
      </c>
      <c r="C601" t="n">
        <v>2863391</v>
      </c>
      <c r="D601" t="n">
        <v>39067</v>
      </c>
      <c r="E601" t="n">
        <v>41548</v>
      </c>
      <c r="F601">
        <f>C601/(1-MIN(0.75,E601/(24000+E601)))</f>
        <v/>
      </c>
    </row>
    <row r="602">
      <c r="A602" t="n">
        <v>121</v>
      </c>
      <c r="B602" t="n">
        <v>601</v>
      </c>
      <c r="C602" t="n">
        <v>3497044</v>
      </c>
      <c r="D602" t="n">
        <v>39542</v>
      </c>
      <c r="E602" t="n">
        <v>50288</v>
      </c>
      <c r="F602">
        <f>C602/(1-MIN(0.75,E602/(24000+E602)))</f>
        <v/>
      </c>
    </row>
    <row r="603">
      <c r="A603" t="n">
        <v>121</v>
      </c>
      <c r="B603" t="n">
        <v>602</v>
      </c>
      <c r="C603" t="n">
        <v>2331363</v>
      </c>
      <c r="D603" t="n">
        <v>47450</v>
      </c>
      <c r="E603" t="n">
        <v>33525</v>
      </c>
      <c r="F603">
        <f>C603/(1-MIN(0.75,E603/(24000+E603)))</f>
        <v/>
      </c>
    </row>
    <row r="604">
      <c r="A604" t="n">
        <v>121</v>
      </c>
      <c r="B604" t="n">
        <v>603</v>
      </c>
      <c r="C604" t="n">
        <v>2331363</v>
      </c>
      <c r="D604" t="n">
        <v>47450</v>
      </c>
      <c r="E604" t="n">
        <v>33525</v>
      </c>
      <c r="F604">
        <f>C604/(1-MIN(0.75,E604/(24000+E604)))</f>
        <v/>
      </c>
    </row>
    <row r="605">
      <c r="A605" t="n">
        <v>121</v>
      </c>
      <c r="B605" t="n">
        <v>604</v>
      </c>
      <c r="C605" t="n">
        <v>2331363</v>
      </c>
      <c r="D605" t="n">
        <v>47450</v>
      </c>
      <c r="E605" t="n">
        <v>33525</v>
      </c>
      <c r="F605">
        <f>C605/(1-MIN(0.75,E605/(24000+E605)))</f>
        <v/>
      </c>
    </row>
    <row r="606">
      <c r="A606" t="n">
        <v>121</v>
      </c>
      <c r="B606" t="n">
        <v>605</v>
      </c>
      <c r="C606" t="n">
        <v>2914204</v>
      </c>
      <c r="D606" t="n">
        <v>39542</v>
      </c>
      <c r="E606" t="n">
        <v>41906</v>
      </c>
      <c r="F606">
        <f>C606/(1-MIN(0.75,E606/(24000+E606)))</f>
        <v/>
      </c>
    </row>
    <row r="607">
      <c r="A607" t="n">
        <v>122</v>
      </c>
      <c r="B607" t="n">
        <v>606</v>
      </c>
      <c r="C607" t="n">
        <v>3529238</v>
      </c>
      <c r="D607" t="n">
        <v>39818</v>
      </c>
      <c r="E607" t="n">
        <v>50504</v>
      </c>
      <c r="F607">
        <f>C607/(1-MIN(0.75,E607/(24000+E607)))</f>
        <v/>
      </c>
    </row>
    <row r="608">
      <c r="A608" t="n">
        <v>122</v>
      </c>
      <c r="B608" t="n">
        <v>607</v>
      </c>
      <c r="C608" t="n">
        <v>2352826</v>
      </c>
      <c r="D608" t="n">
        <v>47782</v>
      </c>
      <c r="E608" t="n">
        <v>33669</v>
      </c>
      <c r="F608">
        <f>C608/(1-MIN(0.75,E608/(24000+E608)))</f>
        <v/>
      </c>
    </row>
    <row r="609">
      <c r="A609" t="n">
        <v>122</v>
      </c>
      <c r="B609" t="n">
        <v>608</v>
      </c>
      <c r="C609" t="n">
        <v>2352826</v>
      </c>
      <c r="D609" t="n">
        <v>47782</v>
      </c>
      <c r="E609" t="n">
        <v>33669</v>
      </c>
      <c r="F609">
        <f>C609/(1-MIN(0.75,E609/(24000+E609)))</f>
        <v/>
      </c>
    </row>
    <row r="610">
      <c r="A610" t="n">
        <v>122</v>
      </c>
      <c r="B610" t="n">
        <v>609</v>
      </c>
      <c r="C610" t="n">
        <v>2352826</v>
      </c>
      <c r="D610" t="n">
        <v>47782</v>
      </c>
      <c r="E610" t="n">
        <v>33669</v>
      </c>
      <c r="F610">
        <f>C610/(1-MIN(0.75,E610/(24000+E610)))</f>
        <v/>
      </c>
    </row>
    <row r="611">
      <c r="A611" t="n">
        <v>122</v>
      </c>
      <c r="B611" t="n">
        <v>610</v>
      </c>
      <c r="C611" t="n">
        <v>2941032</v>
      </c>
      <c r="D611" t="n">
        <v>39818</v>
      </c>
      <c r="E611" t="n">
        <v>42086</v>
      </c>
      <c r="F611">
        <f>C611/(1-MIN(0.75,E611/(24000+E611)))</f>
        <v/>
      </c>
    </row>
    <row r="612">
      <c r="A612" t="n">
        <v>123</v>
      </c>
      <c r="B612" t="n">
        <v>611</v>
      </c>
      <c r="C612" t="n">
        <v>3594302</v>
      </c>
      <c r="D612" t="n">
        <v>40376</v>
      </c>
      <c r="E612" t="n">
        <v>50937</v>
      </c>
      <c r="F612">
        <f>C612/(1-MIN(0.75,E612/(24000+E612)))</f>
        <v/>
      </c>
    </row>
    <row r="613">
      <c r="A613" t="n">
        <v>123</v>
      </c>
      <c r="B613" t="n">
        <v>612</v>
      </c>
      <c r="C613" t="n">
        <v>2396201</v>
      </c>
      <c r="D613" t="n">
        <v>48451</v>
      </c>
      <c r="E613" t="n">
        <v>33958</v>
      </c>
      <c r="F613">
        <f>C613/(1-MIN(0.75,E613/(24000+E613)))</f>
        <v/>
      </c>
    </row>
    <row r="614">
      <c r="A614" t="n">
        <v>123</v>
      </c>
      <c r="B614" t="n">
        <v>613</v>
      </c>
      <c r="C614" t="n">
        <v>2396201</v>
      </c>
      <c r="D614" t="n">
        <v>48451</v>
      </c>
      <c r="E614" t="n">
        <v>33958</v>
      </c>
      <c r="F614">
        <f>C614/(1-MIN(0.75,E614/(24000+E614)))</f>
        <v/>
      </c>
    </row>
    <row r="615">
      <c r="A615" t="n">
        <v>123</v>
      </c>
      <c r="B615" t="n">
        <v>614</v>
      </c>
      <c r="C615" t="n">
        <v>2396201</v>
      </c>
      <c r="D615" t="n">
        <v>48451</v>
      </c>
      <c r="E615" t="n">
        <v>33958</v>
      </c>
      <c r="F615">
        <f>C615/(1-MIN(0.75,E615/(24000+E615)))</f>
        <v/>
      </c>
    </row>
    <row r="616">
      <c r="A616" t="n">
        <v>123</v>
      </c>
      <c r="B616" t="n">
        <v>615</v>
      </c>
      <c r="C616" t="n">
        <v>2995252</v>
      </c>
      <c r="D616" t="n">
        <v>40376</v>
      </c>
      <c r="E616" t="n">
        <v>42448</v>
      </c>
      <c r="F616">
        <f>C616/(1-MIN(0.75,E616/(24000+E616)))</f>
        <v/>
      </c>
    </row>
    <row r="617">
      <c r="A617" t="n">
        <v>124</v>
      </c>
      <c r="B617" t="n">
        <v>616</v>
      </c>
      <c r="C617" t="n">
        <v>3627178</v>
      </c>
      <c r="D617" t="n">
        <v>40657</v>
      </c>
      <c r="E617" t="n">
        <v>51155</v>
      </c>
      <c r="F617">
        <f>C617/(1-MIN(0.75,E617/(24000+E617)))</f>
        <v/>
      </c>
    </row>
    <row r="618">
      <c r="A618" t="n">
        <v>124</v>
      </c>
      <c r="B618" t="n">
        <v>617</v>
      </c>
      <c r="C618" t="n">
        <v>2418119</v>
      </c>
      <c r="D618" t="n">
        <v>48789</v>
      </c>
      <c r="E618" t="n">
        <v>34103</v>
      </c>
      <c r="F618">
        <f>C618/(1-MIN(0.75,E618/(24000+E618)))</f>
        <v/>
      </c>
    </row>
    <row r="619">
      <c r="A619" t="n">
        <v>124</v>
      </c>
      <c r="B619" t="n">
        <v>618</v>
      </c>
      <c r="C619" t="n">
        <v>2418119</v>
      </c>
      <c r="D619" t="n">
        <v>48789</v>
      </c>
      <c r="E619" t="n">
        <v>34103</v>
      </c>
      <c r="F619">
        <f>C619/(1-MIN(0.75,E619/(24000+E619)))</f>
        <v/>
      </c>
    </row>
    <row r="620">
      <c r="A620" t="n">
        <v>124</v>
      </c>
      <c r="B620" t="n">
        <v>619</v>
      </c>
      <c r="C620" t="n">
        <v>2418119</v>
      </c>
      <c r="D620" t="n">
        <v>48789</v>
      </c>
      <c r="E620" t="n">
        <v>34103</v>
      </c>
      <c r="F620">
        <f>C620/(1-MIN(0.75,E620/(24000+E620)))</f>
        <v/>
      </c>
    </row>
    <row r="621">
      <c r="A621" t="n">
        <v>124</v>
      </c>
      <c r="B621" t="n">
        <v>620</v>
      </c>
      <c r="C621" t="n">
        <v>3022648</v>
      </c>
      <c r="D621" t="n">
        <v>40657</v>
      </c>
      <c r="E621" t="n">
        <v>42629</v>
      </c>
      <c r="F621">
        <f>C621/(1-MIN(0.75,E621/(24000+E621)))</f>
        <v/>
      </c>
    </row>
    <row r="622">
      <c r="A622" t="n">
        <v>125</v>
      </c>
      <c r="B622" t="n">
        <v>621</v>
      </c>
      <c r="C622" t="n">
        <v>3710882</v>
      </c>
      <c r="D622" t="n">
        <v>41047</v>
      </c>
      <c r="E622" t="n">
        <v>51590</v>
      </c>
      <c r="F622">
        <f>C622/(1-MIN(0.75,E622/(24000+E622)))</f>
        <v/>
      </c>
    </row>
    <row r="623">
      <c r="A623" t="n">
        <v>125</v>
      </c>
      <c r="B623" t="n">
        <v>622</v>
      </c>
      <c r="C623" t="n">
        <v>2473921</v>
      </c>
      <c r="D623" t="n">
        <v>49256</v>
      </c>
      <c r="E623" t="n">
        <v>34393</v>
      </c>
      <c r="F623">
        <f>C623/(1-MIN(0.75,E623/(24000+E623)))</f>
        <v/>
      </c>
    </row>
    <row r="624">
      <c r="A624" t="n">
        <v>125</v>
      </c>
      <c r="B624" t="n">
        <v>623</v>
      </c>
      <c r="C624" t="n">
        <v>2473921</v>
      </c>
      <c r="D624" t="n">
        <v>49256</v>
      </c>
      <c r="E624" t="n">
        <v>34393</v>
      </c>
      <c r="F624">
        <f>C624/(1-MIN(0.75,E624/(24000+E624)))</f>
        <v/>
      </c>
    </row>
    <row r="625">
      <c r="A625" t="n">
        <v>125</v>
      </c>
      <c r="B625" t="n">
        <v>624</v>
      </c>
      <c r="C625" t="n">
        <v>2473921</v>
      </c>
      <c r="D625" t="n">
        <v>49256</v>
      </c>
      <c r="E625" t="n">
        <v>34393</v>
      </c>
      <c r="F625">
        <f>C625/(1-MIN(0.75,E625/(24000+E625)))</f>
        <v/>
      </c>
    </row>
    <row r="626">
      <c r="A626" t="n">
        <v>125</v>
      </c>
      <c r="B626" t="n">
        <v>625</v>
      </c>
      <c r="C626" t="n">
        <v>3092401</v>
      </c>
      <c r="D626" t="n">
        <v>41047</v>
      </c>
      <c r="E626" t="n">
        <v>42991</v>
      </c>
      <c r="F626">
        <f>C626/(1-MIN(0.75,E626/(24000+E626)))</f>
        <v/>
      </c>
    </row>
    <row r="627">
      <c r="A627" t="n">
        <v>126</v>
      </c>
      <c r="B627" t="n">
        <v>626</v>
      </c>
      <c r="C627" t="n">
        <v>3761007</v>
      </c>
      <c r="D627" t="n">
        <v>41799</v>
      </c>
      <c r="E627" t="n">
        <v>52026</v>
      </c>
      <c r="F627">
        <f>C627/(1-MIN(0.75,E627/(24000+E627)))</f>
        <v/>
      </c>
    </row>
    <row r="628">
      <c r="A628" t="n">
        <v>126</v>
      </c>
      <c r="B628" t="n">
        <v>627</v>
      </c>
      <c r="C628" t="n">
        <v>2507338</v>
      </c>
      <c r="D628" t="n">
        <v>50158</v>
      </c>
      <c r="E628" t="n">
        <v>34684</v>
      </c>
      <c r="F628">
        <f>C628/(1-MIN(0.75,E628/(24000+E628)))</f>
        <v/>
      </c>
    </row>
    <row r="629">
      <c r="A629" t="n">
        <v>126</v>
      </c>
      <c r="B629" t="n">
        <v>628</v>
      </c>
      <c r="C629" t="n">
        <v>2507338</v>
      </c>
      <c r="D629" t="n">
        <v>50158</v>
      </c>
      <c r="E629" t="n">
        <v>34684</v>
      </c>
      <c r="F629">
        <f>C629/(1-MIN(0.75,E629/(24000+E629)))</f>
        <v/>
      </c>
    </row>
    <row r="630">
      <c r="A630" t="n">
        <v>126</v>
      </c>
      <c r="B630" t="n">
        <v>629</v>
      </c>
      <c r="C630" t="n">
        <v>2507338</v>
      </c>
      <c r="D630" t="n">
        <v>50158</v>
      </c>
      <c r="E630" t="n">
        <v>34684</v>
      </c>
      <c r="F630">
        <f>C630/(1-MIN(0.75,E630/(24000+E630)))</f>
        <v/>
      </c>
    </row>
    <row r="631">
      <c r="A631" t="n">
        <v>126</v>
      </c>
      <c r="B631" t="n">
        <v>630</v>
      </c>
      <c r="C631" t="n">
        <v>3134172</v>
      </c>
      <c r="D631" t="n">
        <v>41799</v>
      </c>
      <c r="E631" t="n">
        <v>43355</v>
      </c>
      <c r="F631">
        <f>C631/(1-MIN(0.75,E631/(24000+E631)))</f>
        <v/>
      </c>
    </row>
    <row r="632">
      <c r="A632" t="n">
        <v>127</v>
      </c>
      <c r="B632" t="n">
        <v>631</v>
      </c>
      <c r="C632" t="n">
        <v>3795051</v>
      </c>
      <c r="D632" t="n">
        <v>42088</v>
      </c>
      <c r="E632" t="n">
        <v>52244</v>
      </c>
      <c r="F632">
        <f>C632/(1-MIN(0.75,E632/(24000+E632)))</f>
        <v/>
      </c>
    </row>
    <row r="633">
      <c r="A633" t="n">
        <v>127</v>
      </c>
      <c r="B633" t="n">
        <v>632</v>
      </c>
      <c r="C633" t="n">
        <v>2530034</v>
      </c>
      <c r="D633" t="n">
        <v>50505</v>
      </c>
      <c r="E633" t="n">
        <v>34829</v>
      </c>
      <c r="F633">
        <f>C633/(1-MIN(0.75,E633/(24000+E633)))</f>
        <v/>
      </c>
    </row>
    <row r="634">
      <c r="A634" t="n">
        <v>127</v>
      </c>
      <c r="B634" t="n">
        <v>633</v>
      </c>
      <c r="C634" t="n">
        <v>2530034</v>
      </c>
      <c r="D634" t="n">
        <v>50505</v>
      </c>
      <c r="E634" t="n">
        <v>34829</v>
      </c>
      <c r="F634">
        <f>C634/(1-MIN(0.75,E634/(24000+E634)))</f>
        <v/>
      </c>
    </row>
    <row r="635">
      <c r="A635" t="n">
        <v>127</v>
      </c>
      <c r="B635" t="n">
        <v>634</v>
      </c>
      <c r="C635" t="n">
        <v>2530034</v>
      </c>
      <c r="D635" t="n">
        <v>50505</v>
      </c>
      <c r="E635" t="n">
        <v>34829</v>
      </c>
      <c r="F635">
        <f>C635/(1-MIN(0.75,E635/(24000+E635)))</f>
        <v/>
      </c>
    </row>
    <row r="636">
      <c r="A636" t="n">
        <v>127</v>
      </c>
      <c r="B636" t="n">
        <v>635</v>
      </c>
      <c r="C636" t="n">
        <v>3162543</v>
      </c>
      <c r="D636" t="n">
        <v>42088</v>
      </c>
      <c r="E636" t="n">
        <v>43536</v>
      </c>
      <c r="F636">
        <f>C636/(1-MIN(0.75,E636/(24000+E636)))</f>
        <v/>
      </c>
    </row>
    <row r="637">
      <c r="A637" t="n">
        <v>128</v>
      </c>
      <c r="B637" t="n">
        <v>636</v>
      </c>
      <c r="C637" t="n">
        <v>3863850</v>
      </c>
      <c r="D637" t="n">
        <v>42670</v>
      </c>
      <c r="E637" t="n">
        <v>52683</v>
      </c>
      <c r="F637">
        <f>C637/(1-MIN(0.75,E637/(24000+E637)))</f>
        <v/>
      </c>
    </row>
    <row r="638">
      <c r="A638" t="n">
        <v>128</v>
      </c>
      <c r="B638" t="n">
        <v>637</v>
      </c>
      <c r="C638" t="n">
        <v>2575900</v>
      </c>
      <c r="D638" t="n">
        <v>51204</v>
      </c>
      <c r="E638" t="n">
        <v>35122</v>
      </c>
      <c r="F638">
        <f>C638/(1-MIN(0.75,E638/(24000+E638)))</f>
        <v/>
      </c>
    </row>
    <row r="639">
      <c r="A639" t="n">
        <v>128</v>
      </c>
      <c r="B639" t="n">
        <v>638</v>
      </c>
      <c r="C639" t="n">
        <v>2575900</v>
      </c>
      <c r="D639" t="n">
        <v>51204</v>
      </c>
      <c r="E639" t="n">
        <v>35122</v>
      </c>
      <c r="F639">
        <f>C639/(1-MIN(0.75,E639/(24000+E639)))</f>
        <v/>
      </c>
    </row>
    <row r="640">
      <c r="A640" t="n">
        <v>128</v>
      </c>
      <c r="B640" t="n">
        <v>639</v>
      </c>
      <c r="C640" t="n">
        <v>2575900</v>
      </c>
      <c r="D640" t="n">
        <v>51204</v>
      </c>
      <c r="E640" t="n">
        <v>35122</v>
      </c>
      <c r="F640">
        <f>C640/(1-MIN(0.75,E640/(24000+E640)))</f>
        <v/>
      </c>
    </row>
    <row r="641">
      <c r="A641" t="n">
        <v>128</v>
      </c>
      <c r="B641" t="n">
        <v>640</v>
      </c>
      <c r="C641" t="n">
        <v>3219875</v>
      </c>
      <c r="D641" t="n">
        <v>42670</v>
      </c>
      <c r="E641" t="n">
        <v>43903</v>
      </c>
      <c r="F641">
        <f>C641/(1-MIN(0.75,E641/(24000+E641)))</f>
        <v/>
      </c>
    </row>
    <row r="642">
      <c r="A642" t="n">
        <v>129</v>
      </c>
      <c r="B642" t="n">
        <v>641</v>
      </c>
      <c r="C642" t="n">
        <v>3898611</v>
      </c>
      <c r="D642" t="n">
        <v>42964</v>
      </c>
      <c r="E642" t="n">
        <v>52902</v>
      </c>
      <c r="F642">
        <f>C642/(1-MIN(0.75,E642/(24000+E642)))</f>
        <v/>
      </c>
    </row>
    <row r="643">
      <c r="A643" t="n">
        <v>129</v>
      </c>
      <c r="B643" t="n">
        <v>642</v>
      </c>
      <c r="C643" t="n">
        <v>2599074</v>
      </c>
      <c r="D643" t="n">
        <v>51557</v>
      </c>
      <c r="E643" t="n">
        <v>35268</v>
      </c>
      <c r="F643">
        <f>C643/(1-MIN(0.75,E643/(24000+E643)))</f>
        <v/>
      </c>
    </row>
    <row r="644">
      <c r="A644" t="n">
        <v>129</v>
      </c>
      <c r="B644" t="n">
        <v>643</v>
      </c>
      <c r="C644" t="n">
        <v>2599074</v>
      </c>
      <c r="D644" t="n">
        <v>51557</v>
      </c>
      <c r="E644" t="n">
        <v>35268</v>
      </c>
      <c r="F644">
        <f>C644/(1-MIN(0.75,E644/(24000+E644)))</f>
        <v/>
      </c>
    </row>
    <row r="645">
      <c r="A645" t="n">
        <v>129</v>
      </c>
      <c r="B645" t="n">
        <v>644</v>
      </c>
      <c r="C645" t="n">
        <v>2599074</v>
      </c>
      <c r="D645" t="n">
        <v>51557</v>
      </c>
      <c r="E645" t="n">
        <v>35268</v>
      </c>
      <c r="F645">
        <f>C645/(1-MIN(0.75,E645/(24000+E645)))</f>
        <v/>
      </c>
    </row>
    <row r="646">
      <c r="A646" t="n">
        <v>129</v>
      </c>
      <c r="B646" t="n">
        <v>645</v>
      </c>
      <c r="C646" t="n">
        <v>3248843</v>
      </c>
      <c r="D646" t="n">
        <v>42964</v>
      </c>
      <c r="E646" t="n">
        <v>44085</v>
      </c>
      <c r="F646">
        <f>C646/(1-MIN(0.75,E646/(24000+E646)))</f>
        <v/>
      </c>
    </row>
    <row r="647">
      <c r="A647" t="n">
        <v>130</v>
      </c>
      <c r="B647" t="n">
        <v>646</v>
      </c>
      <c r="C647" t="n">
        <v>3972005</v>
      </c>
      <c r="D647" t="n">
        <v>43639</v>
      </c>
      <c r="E647" t="n">
        <v>53343</v>
      </c>
      <c r="F647">
        <f>C647/(1-MIN(0.75,E647/(24000+E647)))</f>
        <v/>
      </c>
    </row>
    <row r="648">
      <c r="A648" t="n">
        <v>130</v>
      </c>
      <c r="B648" t="n">
        <v>647</v>
      </c>
      <c r="C648" t="n">
        <v>2648003</v>
      </c>
      <c r="D648" t="n">
        <v>52366</v>
      </c>
      <c r="E648" t="n">
        <v>35562</v>
      </c>
      <c r="F648">
        <f>C648/(1-MIN(0.75,E648/(24000+E648)))</f>
        <v/>
      </c>
    </row>
    <row r="649">
      <c r="A649" t="n">
        <v>130</v>
      </c>
      <c r="B649" t="n">
        <v>648</v>
      </c>
      <c r="C649" t="n">
        <v>2648003</v>
      </c>
      <c r="D649" t="n">
        <v>52366</v>
      </c>
      <c r="E649" t="n">
        <v>35562</v>
      </c>
      <c r="F649">
        <f>C649/(1-MIN(0.75,E649/(24000+E649)))</f>
        <v/>
      </c>
    </row>
    <row r="650">
      <c r="A650" t="n">
        <v>130</v>
      </c>
      <c r="B650" t="n">
        <v>649</v>
      </c>
      <c r="C650" t="n">
        <v>2648003</v>
      </c>
      <c r="D650" t="n">
        <v>52366</v>
      </c>
      <c r="E650" t="n">
        <v>35562</v>
      </c>
      <c r="F650">
        <f>C650/(1-MIN(0.75,E650/(24000+E650)))</f>
        <v/>
      </c>
    </row>
    <row r="651">
      <c r="A651" t="n">
        <v>130</v>
      </c>
      <c r="B651" t="n">
        <v>650</v>
      </c>
      <c r="C651" t="n">
        <v>3310004</v>
      </c>
      <c r="D651" t="n">
        <v>43639</v>
      </c>
      <c r="E651" t="n">
        <v>44453</v>
      </c>
      <c r="F651">
        <f>C651/(1-MIN(0.75,E651/(24000+E651)))</f>
        <v/>
      </c>
    </row>
    <row r="652">
      <c r="A652" t="n">
        <v>131</v>
      </c>
      <c r="B652" t="n">
        <v>651</v>
      </c>
      <c r="C652" t="n">
        <v>4040066</v>
      </c>
      <c r="D652" t="n">
        <v>44154</v>
      </c>
      <c r="E652" t="n">
        <v>53784</v>
      </c>
      <c r="F652">
        <f>C652/(1-MIN(0.75,E652/(24000+E652)))</f>
        <v/>
      </c>
    </row>
    <row r="653">
      <c r="A653" t="n">
        <v>131</v>
      </c>
      <c r="B653" t="n">
        <v>652</v>
      </c>
      <c r="C653" t="n">
        <v>2693377</v>
      </c>
      <c r="D653" t="n">
        <v>52985</v>
      </c>
      <c r="E653" t="n">
        <v>35856</v>
      </c>
      <c r="F653">
        <f>C653/(1-MIN(0.75,E653/(24000+E653)))</f>
        <v/>
      </c>
    </row>
    <row r="654">
      <c r="A654" t="n">
        <v>131</v>
      </c>
      <c r="B654" t="n">
        <v>653</v>
      </c>
      <c r="C654" t="n">
        <v>2693377</v>
      </c>
      <c r="D654" t="n">
        <v>52985</v>
      </c>
      <c r="E654" t="n">
        <v>35856</v>
      </c>
      <c r="F654">
        <f>C654/(1-MIN(0.75,E654/(24000+E654)))</f>
        <v/>
      </c>
    </row>
    <row r="655">
      <c r="A655" t="n">
        <v>131</v>
      </c>
      <c r="B655" t="n">
        <v>654</v>
      </c>
      <c r="C655" t="n">
        <v>2693377</v>
      </c>
      <c r="D655" t="n">
        <v>52985</v>
      </c>
      <c r="E655" t="n">
        <v>35856</v>
      </c>
      <c r="F655">
        <f>C655/(1-MIN(0.75,E655/(24000+E655)))</f>
        <v/>
      </c>
    </row>
    <row r="656">
      <c r="A656" t="n">
        <v>131</v>
      </c>
      <c r="B656" t="n">
        <v>655</v>
      </c>
      <c r="C656" t="n">
        <v>3366722</v>
      </c>
      <c r="D656" t="n">
        <v>44154</v>
      </c>
      <c r="E656" t="n">
        <v>44820</v>
      </c>
      <c r="F656">
        <f>C656/(1-MIN(0.75,E656/(24000+E656)))</f>
        <v/>
      </c>
    </row>
    <row r="657">
      <c r="A657" t="n">
        <v>132</v>
      </c>
      <c r="B657" t="n">
        <v>656</v>
      </c>
      <c r="C657" t="n">
        <v>4112269</v>
      </c>
      <c r="D657" t="n">
        <v>44760</v>
      </c>
      <c r="E657" t="n">
        <v>54228</v>
      </c>
      <c r="F657">
        <f>C657/(1-MIN(0.75,E657/(24000+E657)))</f>
        <v/>
      </c>
    </row>
    <row r="658">
      <c r="A658" t="n">
        <v>132</v>
      </c>
      <c r="B658" t="n">
        <v>657</v>
      </c>
      <c r="C658" t="n">
        <v>2741513</v>
      </c>
      <c r="D658" t="n">
        <v>53712</v>
      </c>
      <c r="E658" t="n">
        <v>36152</v>
      </c>
      <c r="F658">
        <f>C658/(1-MIN(0.75,E658/(24000+E658)))</f>
        <v/>
      </c>
    </row>
    <row r="659">
      <c r="A659" t="n">
        <v>132</v>
      </c>
      <c r="B659" t="n">
        <v>658</v>
      </c>
      <c r="C659" t="n">
        <v>2741513</v>
      </c>
      <c r="D659" t="n">
        <v>53712</v>
      </c>
      <c r="E659" t="n">
        <v>36152</v>
      </c>
      <c r="F659">
        <f>C659/(1-MIN(0.75,E659/(24000+E659)))</f>
        <v/>
      </c>
    </row>
    <row r="660">
      <c r="A660" t="n">
        <v>132</v>
      </c>
      <c r="B660" t="n">
        <v>659</v>
      </c>
      <c r="C660" t="n">
        <v>2741513</v>
      </c>
      <c r="D660" t="n">
        <v>53712</v>
      </c>
      <c r="E660" t="n">
        <v>36152</v>
      </c>
      <c r="F660">
        <f>C660/(1-MIN(0.75,E660/(24000+E660)))</f>
        <v/>
      </c>
    </row>
    <row r="661">
      <c r="A661" t="n">
        <v>132</v>
      </c>
      <c r="B661" t="n">
        <v>660</v>
      </c>
      <c r="C661" t="n">
        <v>3426891</v>
      </c>
      <c r="D661" t="n">
        <v>44760</v>
      </c>
      <c r="E661" t="n">
        <v>45190</v>
      </c>
      <c r="F661">
        <f>C661/(1-MIN(0.75,E661/(24000+E661)))</f>
        <v/>
      </c>
    </row>
    <row r="662">
      <c r="A662" t="n">
        <v>133</v>
      </c>
      <c r="B662" t="n">
        <v>661</v>
      </c>
      <c r="C662" t="n">
        <v>4148739</v>
      </c>
      <c r="D662" t="n">
        <v>45064</v>
      </c>
      <c r="E662" t="n">
        <v>54450</v>
      </c>
      <c r="F662">
        <f>C662/(1-MIN(0.75,E662/(24000+E662)))</f>
        <v/>
      </c>
    </row>
    <row r="663">
      <c r="A663" t="n">
        <v>133</v>
      </c>
      <c r="B663" t="n">
        <v>662</v>
      </c>
      <c r="C663" t="n">
        <v>2765826</v>
      </c>
      <c r="D663" t="n">
        <v>54077</v>
      </c>
      <c r="E663" t="n">
        <v>36300</v>
      </c>
      <c r="F663">
        <f>C663/(1-MIN(0.75,E663/(24000+E663)))</f>
        <v/>
      </c>
    </row>
    <row r="664">
      <c r="A664" t="n">
        <v>133</v>
      </c>
      <c r="B664" t="n">
        <v>663</v>
      </c>
      <c r="C664" t="n">
        <v>2765826</v>
      </c>
      <c r="D664" t="n">
        <v>54077</v>
      </c>
      <c r="E664" t="n">
        <v>36300</v>
      </c>
      <c r="F664">
        <f>C664/(1-MIN(0.75,E664/(24000+E664)))</f>
        <v/>
      </c>
    </row>
    <row r="665">
      <c r="A665" t="n">
        <v>133</v>
      </c>
      <c r="B665" t="n">
        <v>664</v>
      </c>
      <c r="C665" t="n">
        <v>2765826</v>
      </c>
      <c r="D665" t="n">
        <v>54077</v>
      </c>
      <c r="E665" t="n">
        <v>36300</v>
      </c>
      <c r="F665">
        <f>C665/(1-MIN(0.75,E665/(24000+E665)))</f>
        <v/>
      </c>
    </row>
    <row r="666">
      <c r="A666" t="n">
        <v>133</v>
      </c>
      <c r="B666" t="n">
        <v>665</v>
      </c>
      <c r="C666" t="n">
        <v>3457283</v>
      </c>
      <c r="D666" t="n">
        <v>45064</v>
      </c>
      <c r="E666" t="n">
        <v>45375</v>
      </c>
      <c r="F666">
        <f>C666/(1-MIN(0.75,E666/(24000+E666)))</f>
        <v/>
      </c>
    </row>
    <row r="667">
      <c r="A667" t="n">
        <v>134</v>
      </c>
      <c r="B667" t="n">
        <v>666</v>
      </c>
      <c r="C667" t="n">
        <v>4222442</v>
      </c>
      <c r="D667" t="n">
        <v>45679</v>
      </c>
      <c r="E667" t="n">
        <v>54896</v>
      </c>
      <c r="F667">
        <f>C667/(1-MIN(0.75,E667/(24000+E667)))</f>
        <v/>
      </c>
    </row>
    <row r="668">
      <c r="A668" t="n">
        <v>134</v>
      </c>
      <c r="B668" t="n">
        <v>667</v>
      </c>
      <c r="C668" t="n">
        <v>2814961</v>
      </c>
      <c r="D668" t="n">
        <v>54815</v>
      </c>
      <c r="E668" t="n">
        <v>36597</v>
      </c>
      <c r="F668">
        <f>C668/(1-MIN(0.75,E668/(24000+E668)))</f>
        <v/>
      </c>
    </row>
    <row r="669">
      <c r="A669" t="n">
        <v>134</v>
      </c>
      <c r="B669" t="n">
        <v>668</v>
      </c>
      <c r="C669" t="n">
        <v>2814961</v>
      </c>
      <c r="D669" t="n">
        <v>54815</v>
      </c>
      <c r="E669" t="n">
        <v>36597</v>
      </c>
      <c r="F669">
        <f>C669/(1-MIN(0.75,E669/(24000+E669)))</f>
        <v/>
      </c>
    </row>
    <row r="670">
      <c r="A670" t="n">
        <v>134</v>
      </c>
      <c r="B670" t="n">
        <v>669</v>
      </c>
      <c r="C670" t="n">
        <v>2814961</v>
      </c>
      <c r="D670" t="n">
        <v>54815</v>
      </c>
      <c r="E670" t="n">
        <v>36597</v>
      </c>
      <c r="F670">
        <f>C670/(1-MIN(0.75,E670/(24000+E670)))</f>
        <v/>
      </c>
    </row>
    <row r="671">
      <c r="A671" t="n">
        <v>134</v>
      </c>
      <c r="B671" t="n">
        <v>670</v>
      </c>
      <c r="C671" t="n">
        <v>3518702</v>
      </c>
      <c r="D671" t="n">
        <v>45679</v>
      </c>
      <c r="E671" t="n">
        <v>45746</v>
      </c>
      <c r="F671">
        <f>C671/(1-MIN(0.75,E671/(24000+E671)))</f>
        <v/>
      </c>
    </row>
    <row r="672">
      <c r="A672" t="n">
        <v>135</v>
      </c>
      <c r="B672" t="n">
        <v>671</v>
      </c>
      <c r="C672" t="n">
        <v>4317220</v>
      </c>
      <c r="D672" t="n">
        <v>46101</v>
      </c>
      <c r="E672" t="n">
        <v>55343</v>
      </c>
      <c r="F672">
        <f>C672/(1-MIN(0.75,E672/(24000+E672)))</f>
        <v/>
      </c>
    </row>
    <row r="673">
      <c r="A673" t="n">
        <v>135</v>
      </c>
      <c r="B673" t="n">
        <v>672</v>
      </c>
      <c r="C673" t="n">
        <v>2878147</v>
      </c>
      <c r="D673" t="n">
        <v>55321</v>
      </c>
      <c r="E673" t="n">
        <v>36895</v>
      </c>
      <c r="F673">
        <f>C673/(1-MIN(0.75,E673/(24000+E673)))</f>
        <v/>
      </c>
    </row>
    <row r="674">
      <c r="A674" t="n">
        <v>135</v>
      </c>
      <c r="B674" t="n">
        <v>673</v>
      </c>
      <c r="C674" t="n">
        <v>2878147</v>
      </c>
      <c r="D674" t="n">
        <v>55321</v>
      </c>
      <c r="E674" t="n">
        <v>36895</v>
      </c>
      <c r="F674">
        <f>C674/(1-MIN(0.75,E674/(24000+E674)))</f>
        <v/>
      </c>
    </row>
    <row r="675">
      <c r="A675" t="n">
        <v>135</v>
      </c>
      <c r="B675" t="n">
        <v>674</v>
      </c>
      <c r="C675" t="n">
        <v>2878147</v>
      </c>
      <c r="D675" t="n">
        <v>55321</v>
      </c>
      <c r="E675" t="n">
        <v>36895</v>
      </c>
      <c r="F675">
        <f>C675/(1-MIN(0.75,E675/(24000+E675)))</f>
        <v/>
      </c>
    </row>
    <row r="676">
      <c r="A676" t="n">
        <v>135</v>
      </c>
      <c r="B676" t="n">
        <v>675</v>
      </c>
      <c r="C676" t="n">
        <v>3597683</v>
      </c>
      <c r="D676" t="n">
        <v>46101</v>
      </c>
      <c r="E676" t="n">
        <v>46119</v>
      </c>
      <c r="F676">
        <f>C676/(1-MIN(0.75,E676/(24000+E676)))</f>
        <v/>
      </c>
    </row>
    <row r="677">
      <c r="A677" t="n">
        <v>136</v>
      </c>
      <c r="B677" t="n">
        <v>676</v>
      </c>
      <c r="C677" t="n">
        <v>4372874</v>
      </c>
      <c r="D677" t="n">
        <v>46929</v>
      </c>
      <c r="E677" t="n">
        <v>55790</v>
      </c>
      <c r="F677">
        <f>C677/(1-MIN(0.75,E677/(24000+E677)))</f>
        <v/>
      </c>
    </row>
    <row r="678">
      <c r="A678" t="n">
        <v>136</v>
      </c>
      <c r="B678" t="n">
        <v>677</v>
      </c>
      <c r="C678" t="n">
        <v>2915250</v>
      </c>
      <c r="D678" t="n">
        <v>56315</v>
      </c>
      <c r="E678" t="n">
        <v>37193</v>
      </c>
      <c r="F678">
        <f>C678/(1-MIN(0.75,E678/(24000+E678)))</f>
        <v/>
      </c>
    </row>
    <row r="679">
      <c r="A679" t="n">
        <v>136</v>
      </c>
      <c r="B679" t="n">
        <v>678</v>
      </c>
      <c r="C679" t="n">
        <v>2915250</v>
      </c>
      <c r="D679" t="n">
        <v>56315</v>
      </c>
      <c r="E679" t="n">
        <v>37193</v>
      </c>
      <c r="F679">
        <f>C679/(1-MIN(0.75,E679/(24000+E679)))</f>
        <v/>
      </c>
    </row>
    <row r="680">
      <c r="A680" t="n">
        <v>136</v>
      </c>
      <c r="B680" t="n">
        <v>679</v>
      </c>
      <c r="C680" t="n">
        <v>2915250</v>
      </c>
      <c r="D680" t="n">
        <v>56315</v>
      </c>
      <c r="E680" t="n">
        <v>37193</v>
      </c>
      <c r="F680">
        <f>C680/(1-MIN(0.75,E680/(24000+E680)))</f>
        <v/>
      </c>
    </row>
    <row r="681">
      <c r="A681" t="n">
        <v>136</v>
      </c>
      <c r="B681" t="n">
        <v>680</v>
      </c>
      <c r="C681" t="n">
        <v>3644062</v>
      </c>
      <c r="D681" t="n">
        <v>46929</v>
      </c>
      <c r="E681" t="n">
        <v>46491</v>
      </c>
      <c r="F681">
        <f>C681/(1-MIN(0.75,E681/(24000+E681)))</f>
        <v/>
      </c>
    </row>
    <row r="682">
      <c r="A682" t="n">
        <v>137</v>
      </c>
      <c r="B682" t="n">
        <v>681</v>
      </c>
      <c r="C682" t="n">
        <v>4449637</v>
      </c>
      <c r="D682" t="n">
        <v>47563</v>
      </c>
      <c r="E682" t="n">
        <v>56240</v>
      </c>
      <c r="F682">
        <f>C682/(1-MIN(0.75,E682/(24000+E682)))</f>
        <v/>
      </c>
    </row>
    <row r="683">
      <c r="A683" t="n">
        <v>137</v>
      </c>
      <c r="B683" t="n">
        <v>682</v>
      </c>
      <c r="C683" t="n">
        <v>2966425</v>
      </c>
      <c r="D683" t="n">
        <v>57076</v>
      </c>
      <c r="E683" t="n">
        <v>37493</v>
      </c>
      <c r="F683">
        <f>C683/(1-MIN(0.75,E683/(24000+E683)))</f>
        <v/>
      </c>
    </row>
    <row r="684">
      <c r="A684" t="n">
        <v>137</v>
      </c>
      <c r="B684" t="n">
        <v>683</v>
      </c>
      <c r="C684" t="n">
        <v>2966425</v>
      </c>
      <c r="D684" t="n">
        <v>57076</v>
      </c>
      <c r="E684" t="n">
        <v>37493</v>
      </c>
      <c r="F684">
        <f>C684/(1-MIN(0.75,E684/(24000+E684)))</f>
        <v/>
      </c>
    </row>
    <row r="685">
      <c r="A685" t="n">
        <v>137</v>
      </c>
      <c r="B685" t="n">
        <v>684</v>
      </c>
      <c r="C685" t="n">
        <v>2966425</v>
      </c>
      <c r="D685" t="n">
        <v>57076</v>
      </c>
      <c r="E685" t="n">
        <v>37493</v>
      </c>
      <c r="F685">
        <f>C685/(1-MIN(0.75,E685/(24000+E685)))</f>
        <v/>
      </c>
    </row>
    <row r="686">
      <c r="A686" t="n">
        <v>137</v>
      </c>
      <c r="B686" t="n">
        <v>685</v>
      </c>
      <c r="C686" t="n">
        <v>3708031</v>
      </c>
      <c r="D686" t="n">
        <v>47563</v>
      </c>
      <c r="E686" t="n">
        <v>46866</v>
      </c>
      <c r="F686">
        <f>C686/(1-MIN(0.75,E686/(24000+E686)))</f>
        <v/>
      </c>
    </row>
    <row r="687">
      <c r="A687" t="n">
        <v>138</v>
      </c>
      <c r="B687" t="n">
        <v>686</v>
      </c>
      <c r="C687" t="n">
        <v>4488404</v>
      </c>
      <c r="D687" t="n">
        <v>47883</v>
      </c>
      <c r="E687" t="n">
        <v>56465</v>
      </c>
      <c r="F687">
        <f>C687/(1-MIN(0.75,E687/(24000+E687)))</f>
        <v/>
      </c>
    </row>
    <row r="688">
      <c r="A688" t="n">
        <v>138</v>
      </c>
      <c r="B688" t="n">
        <v>687</v>
      </c>
      <c r="C688" t="n">
        <v>2992269</v>
      </c>
      <c r="D688" t="n">
        <v>57459</v>
      </c>
      <c r="E688" t="n">
        <v>37643</v>
      </c>
      <c r="F688">
        <f>C688/(1-MIN(0.75,E688/(24000+E688)))</f>
        <v/>
      </c>
    </row>
    <row r="689">
      <c r="A689" t="n">
        <v>138</v>
      </c>
      <c r="B689" t="n">
        <v>688</v>
      </c>
      <c r="C689" t="n">
        <v>2992269</v>
      </c>
      <c r="D689" t="n">
        <v>57459</v>
      </c>
      <c r="E689" t="n">
        <v>37643</v>
      </c>
      <c r="F689">
        <f>C689/(1-MIN(0.75,E689/(24000+E689)))</f>
        <v/>
      </c>
    </row>
    <row r="690">
      <c r="A690" t="n">
        <v>138</v>
      </c>
      <c r="B690" t="n">
        <v>689</v>
      </c>
      <c r="C690" t="n">
        <v>2992269</v>
      </c>
      <c r="D690" t="n">
        <v>57459</v>
      </c>
      <c r="E690" t="n">
        <v>37643</v>
      </c>
      <c r="F690">
        <f>C690/(1-MIN(0.75,E690/(24000+E690)))</f>
        <v/>
      </c>
    </row>
    <row r="691">
      <c r="A691" t="n">
        <v>138</v>
      </c>
      <c r="B691" t="n">
        <v>690</v>
      </c>
      <c r="C691" t="n">
        <v>3740337</v>
      </c>
      <c r="D691" t="n">
        <v>47883</v>
      </c>
      <c r="E691" t="n">
        <v>47054</v>
      </c>
      <c r="F691">
        <f>C691/(1-MIN(0.75,E691/(24000+E691)))</f>
        <v/>
      </c>
    </row>
    <row r="692">
      <c r="A692" t="n">
        <v>139</v>
      </c>
      <c r="B692" t="n">
        <v>691</v>
      </c>
      <c r="C692" t="n">
        <v>4566734</v>
      </c>
      <c r="D692" t="n">
        <v>48527</v>
      </c>
      <c r="E692" t="n">
        <v>56916</v>
      </c>
      <c r="F692">
        <f>C692/(1-MIN(0.75,E692/(24000+E692)))</f>
        <v/>
      </c>
    </row>
    <row r="693">
      <c r="A693" t="n">
        <v>139</v>
      </c>
      <c r="B693" t="n">
        <v>692</v>
      </c>
      <c r="C693" t="n">
        <v>3044489</v>
      </c>
      <c r="D693" t="n">
        <v>58233</v>
      </c>
      <c r="E693" t="n">
        <v>37944</v>
      </c>
      <c r="F693">
        <f>C693/(1-MIN(0.75,E693/(24000+E693)))</f>
        <v/>
      </c>
    </row>
    <row r="694">
      <c r="A694" t="n">
        <v>139</v>
      </c>
      <c r="B694" t="n">
        <v>693</v>
      </c>
      <c r="C694" t="n">
        <v>3044489</v>
      </c>
      <c r="D694" t="n">
        <v>58233</v>
      </c>
      <c r="E694" t="n">
        <v>37944</v>
      </c>
      <c r="F694">
        <f>C694/(1-MIN(0.75,E694/(24000+E694)))</f>
        <v/>
      </c>
    </row>
    <row r="695">
      <c r="A695" t="n">
        <v>139</v>
      </c>
      <c r="B695" t="n">
        <v>694</v>
      </c>
      <c r="C695" t="n">
        <v>3044489</v>
      </c>
      <c r="D695" t="n">
        <v>58233</v>
      </c>
      <c r="E695" t="n">
        <v>37944</v>
      </c>
      <c r="F695">
        <f>C695/(1-MIN(0.75,E695/(24000+E695)))</f>
        <v/>
      </c>
    </row>
    <row r="696">
      <c r="A696" t="n">
        <v>139</v>
      </c>
      <c r="B696" t="n">
        <v>695</v>
      </c>
      <c r="C696" t="n">
        <v>3805612</v>
      </c>
      <c r="D696" t="n">
        <v>48527</v>
      </c>
      <c r="E696" t="n">
        <v>47430</v>
      </c>
      <c r="F696">
        <f>C696/(1-MIN(0.75,E696/(24000+E696)))</f>
        <v/>
      </c>
    </row>
    <row r="697">
      <c r="A697" t="n">
        <v>140</v>
      </c>
      <c r="B697" t="n">
        <v>696</v>
      </c>
      <c r="C697" t="n">
        <v>4649812</v>
      </c>
      <c r="D697" t="n">
        <v>49274</v>
      </c>
      <c r="E697" t="n">
        <v>57369</v>
      </c>
      <c r="F697">
        <f>C697/(1-MIN(0.75,E697/(24000+E697)))</f>
        <v/>
      </c>
    </row>
    <row r="698">
      <c r="A698" t="n">
        <v>140</v>
      </c>
      <c r="B698" t="n">
        <v>697</v>
      </c>
      <c r="C698" t="n">
        <v>3099875</v>
      </c>
      <c r="D698" t="n">
        <v>59129</v>
      </c>
      <c r="E698" t="n">
        <v>38246</v>
      </c>
      <c r="F698">
        <f>C698/(1-MIN(0.75,E698/(24000+E698)))</f>
        <v/>
      </c>
    </row>
    <row r="699">
      <c r="A699" t="n">
        <v>140</v>
      </c>
      <c r="B699" t="n">
        <v>698</v>
      </c>
      <c r="C699" t="n">
        <v>3099875</v>
      </c>
      <c r="D699" t="n">
        <v>59129</v>
      </c>
      <c r="E699" t="n">
        <v>38246</v>
      </c>
      <c r="F699">
        <f>C699/(1-MIN(0.75,E699/(24000+E699)))</f>
        <v/>
      </c>
    </row>
    <row r="700">
      <c r="A700" t="n">
        <v>140</v>
      </c>
      <c r="B700" t="n">
        <v>699</v>
      </c>
      <c r="C700" t="n">
        <v>3099875</v>
      </c>
      <c r="D700" t="n">
        <v>59129</v>
      </c>
      <c r="E700" t="n">
        <v>38246</v>
      </c>
      <c r="F700">
        <f>C700/(1-MIN(0.75,E700/(24000+E700)))</f>
        <v/>
      </c>
    </row>
    <row r="701">
      <c r="A701" t="n">
        <v>140</v>
      </c>
      <c r="B701" t="n">
        <v>700</v>
      </c>
      <c r="C701" t="n">
        <v>3874844</v>
      </c>
      <c r="D701" t="n">
        <v>49274</v>
      </c>
      <c r="E701" t="n">
        <v>47808</v>
      </c>
      <c r="F701">
        <f>C701/(1-MIN(0.75,E701/(24000+E701)))</f>
        <v/>
      </c>
    </row>
    <row r="702">
      <c r="A702" t="n">
        <v>141</v>
      </c>
      <c r="B702" t="n">
        <v>701</v>
      </c>
      <c r="C702" t="n">
        <v>4726569</v>
      </c>
      <c r="D702" t="n">
        <v>49838</v>
      </c>
      <c r="E702" t="n">
        <v>57822</v>
      </c>
      <c r="F702">
        <f>C702/(1-MIN(0.75,E702/(24000+E702)))</f>
        <v/>
      </c>
    </row>
    <row r="703">
      <c r="A703" t="n">
        <v>141</v>
      </c>
      <c r="B703" t="n">
        <v>702</v>
      </c>
      <c r="C703" t="n">
        <v>3151046</v>
      </c>
      <c r="D703" t="n">
        <v>59805</v>
      </c>
      <c r="E703" t="n">
        <v>38548</v>
      </c>
      <c r="F703">
        <f>C703/(1-MIN(0.75,E703/(24000+E703)))</f>
        <v/>
      </c>
    </row>
    <row r="704">
      <c r="A704" t="n">
        <v>141</v>
      </c>
      <c r="B704" t="n">
        <v>703</v>
      </c>
      <c r="C704" t="n">
        <v>3151046</v>
      </c>
      <c r="D704" t="n">
        <v>59805</v>
      </c>
      <c r="E704" t="n">
        <v>38548</v>
      </c>
      <c r="F704">
        <f>C704/(1-MIN(0.75,E704/(24000+E704)))</f>
        <v/>
      </c>
    </row>
    <row r="705">
      <c r="A705" t="n">
        <v>141</v>
      </c>
      <c r="B705" t="n">
        <v>704</v>
      </c>
      <c r="C705" t="n">
        <v>3151046</v>
      </c>
      <c r="D705" t="n">
        <v>59805</v>
      </c>
      <c r="E705" t="n">
        <v>38548</v>
      </c>
      <c r="F705">
        <f>C705/(1-MIN(0.75,E705/(24000+E705)))</f>
        <v/>
      </c>
    </row>
    <row r="706">
      <c r="A706" t="n">
        <v>141</v>
      </c>
      <c r="B706" t="n">
        <v>705</v>
      </c>
      <c r="C706" t="n">
        <v>3938807</v>
      </c>
      <c r="D706" t="n">
        <v>49838</v>
      </c>
      <c r="E706" t="n">
        <v>48185</v>
      </c>
      <c r="F706">
        <f>C706/(1-MIN(0.75,E706/(24000+E706)))</f>
        <v/>
      </c>
    </row>
    <row r="707">
      <c r="A707" t="n">
        <v>142</v>
      </c>
      <c r="B707" t="n">
        <v>706</v>
      </c>
      <c r="C707" t="n">
        <v>4808108</v>
      </c>
      <c r="D707" t="n">
        <v>50503</v>
      </c>
      <c r="E707" t="n">
        <v>58278</v>
      </c>
      <c r="F707">
        <f>C707/(1-MIN(0.75,E707/(24000+E707)))</f>
        <v/>
      </c>
    </row>
    <row r="708">
      <c r="A708" t="n">
        <v>142</v>
      </c>
      <c r="B708" t="n">
        <v>707</v>
      </c>
      <c r="C708" t="n">
        <v>3205405</v>
      </c>
      <c r="D708" t="n">
        <v>60604</v>
      </c>
      <c r="E708" t="n">
        <v>38852</v>
      </c>
      <c r="F708">
        <f>C708/(1-MIN(0.75,E708/(24000+E708)))</f>
        <v/>
      </c>
    </row>
    <row r="709">
      <c r="A709" t="n">
        <v>142</v>
      </c>
      <c r="B709" t="n">
        <v>708</v>
      </c>
      <c r="C709" t="n">
        <v>3205405</v>
      </c>
      <c r="D709" t="n">
        <v>60604</v>
      </c>
      <c r="E709" t="n">
        <v>38852</v>
      </c>
      <c r="F709">
        <f>C709/(1-MIN(0.75,E709/(24000+E709)))</f>
        <v/>
      </c>
    </row>
    <row r="710">
      <c r="A710" t="n">
        <v>142</v>
      </c>
      <c r="B710" t="n">
        <v>709</v>
      </c>
      <c r="C710" t="n">
        <v>3205405</v>
      </c>
      <c r="D710" t="n">
        <v>60604</v>
      </c>
      <c r="E710" t="n">
        <v>38852</v>
      </c>
      <c r="F710">
        <f>C710/(1-MIN(0.75,E710/(24000+E710)))</f>
        <v/>
      </c>
    </row>
    <row r="711">
      <c r="A711" t="n">
        <v>142</v>
      </c>
      <c r="B711" t="n">
        <v>710</v>
      </c>
      <c r="C711" t="n">
        <v>4006756</v>
      </c>
      <c r="D711" t="n">
        <v>50503</v>
      </c>
      <c r="E711" t="n">
        <v>48565</v>
      </c>
      <c r="F711">
        <f>C711/(1-MIN(0.75,E711/(24000+E711)))</f>
        <v/>
      </c>
    </row>
    <row r="712">
      <c r="A712" t="n">
        <v>143</v>
      </c>
      <c r="B712" t="n">
        <v>711</v>
      </c>
      <c r="C712" t="n">
        <v>4890734</v>
      </c>
      <c r="D712" t="n">
        <v>51177</v>
      </c>
      <c r="E712" t="n">
        <v>58736</v>
      </c>
      <c r="F712">
        <f>C712/(1-MIN(0.75,E712/(24000+E712)))</f>
        <v/>
      </c>
    </row>
    <row r="713">
      <c r="A713" t="n">
        <v>143</v>
      </c>
      <c r="B713" t="n">
        <v>712</v>
      </c>
      <c r="C713" t="n">
        <v>3260489</v>
      </c>
      <c r="D713" t="n">
        <v>61412</v>
      </c>
      <c r="E713" t="n">
        <v>39157</v>
      </c>
      <c r="F713">
        <f>C713/(1-MIN(0.75,E713/(24000+E713)))</f>
        <v/>
      </c>
    </row>
    <row r="714">
      <c r="A714" t="n">
        <v>143</v>
      </c>
      <c r="B714" t="n">
        <v>713</v>
      </c>
      <c r="C714" t="n">
        <v>3260489</v>
      </c>
      <c r="D714" t="n">
        <v>61412</v>
      </c>
      <c r="E714" t="n">
        <v>39157</v>
      </c>
      <c r="F714">
        <f>C714/(1-MIN(0.75,E714/(24000+E714)))</f>
        <v/>
      </c>
    </row>
    <row r="715">
      <c r="A715" t="n">
        <v>143</v>
      </c>
      <c r="B715" t="n">
        <v>714</v>
      </c>
      <c r="C715" t="n">
        <v>3260489</v>
      </c>
      <c r="D715" t="n">
        <v>61412</v>
      </c>
      <c r="E715" t="n">
        <v>39157</v>
      </c>
      <c r="F715">
        <f>C715/(1-MIN(0.75,E715/(24000+E715)))</f>
        <v/>
      </c>
    </row>
    <row r="716">
      <c r="A716" t="n">
        <v>143</v>
      </c>
      <c r="B716" t="n">
        <v>715</v>
      </c>
      <c r="C716" t="n">
        <v>4075612</v>
      </c>
      <c r="D716" t="n">
        <v>51177</v>
      </c>
      <c r="E716" t="n">
        <v>48946</v>
      </c>
      <c r="F716">
        <f>C716/(1-MIN(0.75,E716/(24000+E716)))</f>
        <v/>
      </c>
    </row>
    <row r="717">
      <c r="A717" t="n">
        <v>144</v>
      </c>
      <c r="B717" t="n">
        <v>716</v>
      </c>
      <c r="C717" t="n">
        <v>4974461</v>
      </c>
      <c r="D717" t="n">
        <v>51856</v>
      </c>
      <c r="E717" t="n">
        <v>59193</v>
      </c>
      <c r="F717">
        <f>C717/(1-MIN(0.75,E717/(24000+E717)))</f>
        <v/>
      </c>
    </row>
    <row r="718">
      <c r="A718" t="n">
        <v>144</v>
      </c>
      <c r="B718" t="n">
        <v>717</v>
      </c>
      <c r="C718" t="n">
        <v>3316307</v>
      </c>
      <c r="D718" t="n">
        <v>62227</v>
      </c>
      <c r="E718" t="n">
        <v>39462</v>
      </c>
      <c r="F718">
        <f>C718/(1-MIN(0.75,E718/(24000+E718)))</f>
        <v/>
      </c>
    </row>
    <row r="719">
      <c r="A719" t="n">
        <v>144</v>
      </c>
      <c r="B719" t="n">
        <v>718</v>
      </c>
      <c r="C719" t="n">
        <v>3316307</v>
      </c>
      <c r="D719" t="n">
        <v>62227</v>
      </c>
      <c r="E719" t="n">
        <v>39462</v>
      </c>
      <c r="F719">
        <f>C719/(1-MIN(0.75,E719/(24000+E719)))</f>
        <v/>
      </c>
    </row>
    <row r="720">
      <c r="A720" t="n">
        <v>144</v>
      </c>
      <c r="B720" t="n">
        <v>719</v>
      </c>
      <c r="C720" t="n">
        <v>3316307</v>
      </c>
      <c r="D720" t="n">
        <v>62227</v>
      </c>
      <c r="E720" t="n">
        <v>39462</v>
      </c>
      <c r="F720">
        <f>C720/(1-MIN(0.75,E720/(24000+E720)))</f>
        <v/>
      </c>
    </row>
    <row r="721">
      <c r="A721" t="n">
        <v>144</v>
      </c>
      <c r="B721" t="n">
        <v>720</v>
      </c>
      <c r="C721" t="n">
        <v>4145384</v>
      </c>
      <c r="D721" t="n">
        <v>51856</v>
      </c>
      <c r="E721" t="n">
        <v>49328</v>
      </c>
      <c r="F721">
        <f>C721/(1-MIN(0.75,E721/(24000+E721)))</f>
        <v/>
      </c>
    </row>
    <row r="722">
      <c r="A722" t="n">
        <v>145</v>
      </c>
      <c r="B722" t="n">
        <v>721</v>
      </c>
      <c r="C722" t="n">
        <v>5082938</v>
      </c>
      <c r="D722" t="n">
        <v>52316</v>
      </c>
      <c r="E722" t="n">
        <v>59654</v>
      </c>
      <c r="F722">
        <f>C722/(1-MIN(0.75,E722/(24000+E722)))</f>
        <v/>
      </c>
    </row>
    <row r="723">
      <c r="A723" t="n">
        <v>145</v>
      </c>
      <c r="B723" t="n">
        <v>722</v>
      </c>
      <c r="C723" t="n">
        <v>3388626</v>
      </c>
      <c r="D723" t="n">
        <v>62779</v>
      </c>
      <c r="E723" t="n">
        <v>39769</v>
      </c>
      <c r="F723">
        <f>C723/(1-MIN(0.75,E723/(24000+E723)))</f>
        <v/>
      </c>
    </row>
    <row r="724">
      <c r="A724" t="n">
        <v>145</v>
      </c>
      <c r="B724" t="n">
        <v>723</v>
      </c>
      <c r="C724" t="n">
        <v>3388626</v>
      </c>
      <c r="D724" t="n">
        <v>62779</v>
      </c>
      <c r="E724" t="n">
        <v>39769</v>
      </c>
      <c r="F724">
        <f>C724/(1-MIN(0.75,E724/(24000+E724)))</f>
        <v/>
      </c>
    </row>
    <row r="725">
      <c r="A725" t="n">
        <v>145</v>
      </c>
      <c r="B725" t="n">
        <v>724</v>
      </c>
      <c r="C725" t="n">
        <v>3388626</v>
      </c>
      <c r="D725" t="n">
        <v>62779</v>
      </c>
      <c r="E725" t="n">
        <v>39769</v>
      </c>
      <c r="F725">
        <f>C725/(1-MIN(0.75,E725/(24000+E725)))</f>
        <v/>
      </c>
    </row>
    <row r="726">
      <c r="A726" t="n">
        <v>145</v>
      </c>
      <c r="B726" t="n">
        <v>725</v>
      </c>
      <c r="C726" t="n">
        <v>4235782</v>
      </c>
      <c r="D726" t="n">
        <v>52316</v>
      </c>
      <c r="E726" t="n">
        <v>49711</v>
      </c>
      <c r="F726">
        <f>C726/(1-MIN(0.75,E726/(24000+E726)))</f>
        <v/>
      </c>
    </row>
    <row r="727">
      <c r="A727" t="n">
        <v>146</v>
      </c>
      <c r="B727" t="n">
        <v>726</v>
      </c>
      <c r="C727" t="n">
        <v>5145273</v>
      </c>
      <c r="D727" t="n">
        <v>53237</v>
      </c>
      <c r="E727" t="n">
        <v>60114</v>
      </c>
      <c r="F727">
        <f>C727/(1-MIN(0.75,E727/(24000+E727)))</f>
        <v/>
      </c>
    </row>
    <row r="728">
      <c r="A728" t="n">
        <v>146</v>
      </c>
      <c r="B728" t="n">
        <v>727</v>
      </c>
      <c r="C728" t="n">
        <v>3430182</v>
      </c>
      <c r="D728" t="n">
        <v>63885</v>
      </c>
      <c r="E728" t="n">
        <v>40076</v>
      </c>
      <c r="F728">
        <f>C728/(1-MIN(0.75,E728/(24000+E728)))</f>
        <v/>
      </c>
    </row>
    <row r="729">
      <c r="A729" t="n">
        <v>146</v>
      </c>
      <c r="B729" t="n">
        <v>728</v>
      </c>
      <c r="C729" t="n">
        <v>3430182</v>
      </c>
      <c r="D729" t="n">
        <v>63885</v>
      </c>
      <c r="E729" t="n">
        <v>40076</v>
      </c>
      <c r="F729">
        <f>C729/(1-MIN(0.75,E729/(24000+E729)))</f>
        <v/>
      </c>
    </row>
    <row r="730">
      <c r="A730" t="n">
        <v>146</v>
      </c>
      <c r="B730" t="n">
        <v>729</v>
      </c>
      <c r="C730" t="n">
        <v>3430182</v>
      </c>
      <c r="D730" t="n">
        <v>63885</v>
      </c>
      <c r="E730" t="n">
        <v>40076</v>
      </c>
      <c r="F730">
        <f>C730/(1-MIN(0.75,E730/(24000+E730)))</f>
        <v/>
      </c>
    </row>
    <row r="731">
      <c r="A731" t="n">
        <v>146</v>
      </c>
      <c r="B731" t="n">
        <v>730</v>
      </c>
      <c r="C731" t="n">
        <v>4287727</v>
      </c>
      <c r="D731" t="n">
        <v>53237</v>
      </c>
      <c r="E731" t="n">
        <v>50095</v>
      </c>
      <c r="F731">
        <f>C731/(1-MIN(0.75,E731/(24000+E731)))</f>
        <v/>
      </c>
    </row>
    <row r="732">
      <c r="A732" t="n">
        <v>147</v>
      </c>
      <c r="B732" t="n">
        <v>731</v>
      </c>
      <c r="C732" t="n">
        <v>5232378</v>
      </c>
      <c r="D732" t="n">
        <v>53939</v>
      </c>
      <c r="E732" t="n">
        <v>60576</v>
      </c>
      <c r="F732">
        <f>C732/(1-MIN(0.75,E732/(24000+E732)))</f>
        <v/>
      </c>
    </row>
    <row r="733">
      <c r="A733" t="n">
        <v>147</v>
      </c>
      <c r="B733" t="n">
        <v>732</v>
      </c>
      <c r="C733" t="n">
        <v>3488252</v>
      </c>
      <c r="D733" t="n">
        <v>64727</v>
      </c>
      <c r="E733" t="n">
        <v>40384</v>
      </c>
      <c r="F733">
        <f>C733/(1-MIN(0.75,E733/(24000+E733)))</f>
        <v/>
      </c>
    </row>
    <row r="734">
      <c r="A734" t="n">
        <v>147</v>
      </c>
      <c r="B734" t="n">
        <v>733</v>
      </c>
      <c r="C734" t="n">
        <v>3488252</v>
      </c>
      <c r="D734" t="n">
        <v>64727</v>
      </c>
      <c r="E734" t="n">
        <v>40384</v>
      </c>
      <c r="F734">
        <f>C734/(1-MIN(0.75,E734/(24000+E734)))</f>
        <v/>
      </c>
    </row>
    <row r="735">
      <c r="A735" t="n">
        <v>147</v>
      </c>
      <c r="B735" t="n">
        <v>734</v>
      </c>
      <c r="C735" t="n">
        <v>3488252</v>
      </c>
      <c r="D735" t="n">
        <v>64727</v>
      </c>
      <c r="E735" t="n">
        <v>40384</v>
      </c>
      <c r="F735">
        <f>C735/(1-MIN(0.75,E735/(24000+E735)))</f>
        <v/>
      </c>
    </row>
    <row r="736">
      <c r="A736" t="n">
        <v>147</v>
      </c>
      <c r="B736" t="n">
        <v>735</v>
      </c>
      <c r="C736" t="n">
        <v>4360315</v>
      </c>
      <c r="D736" t="n">
        <v>53939</v>
      </c>
      <c r="E736" t="n">
        <v>50480</v>
      </c>
      <c r="F736">
        <f>C736/(1-MIN(0.75,E736/(24000+E736)))</f>
        <v/>
      </c>
    </row>
    <row r="737">
      <c r="A737" t="n">
        <v>148</v>
      </c>
      <c r="B737" t="n">
        <v>736</v>
      </c>
      <c r="C737" t="n">
        <v>5320631</v>
      </c>
      <c r="D737" t="n">
        <v>54647</v>
      </c>
      <c r="E737" t="n">
        <v>61040</v>
      </c>
      <c r="F737">
        <f>C737/(1-MIN(0.75,E737/(24000+E737)))</f>
        <v/>
      </c>
    </row>
    <row r="738">
      <c r="A738" t="n">
        <v>148</v>
      </c>
      <c r="B738" t="n">
        <v>737</v>
      </c>
      <c r="C738" t="n">
        <v>3547087</v>
      </c>
      <c r="D738" t="n">
        <v>65577</v>
      </c>
      <c r="E738" t="n">
        <v>40693</v>
      </c>
      <c r="F738">
        <f>C738/(1-MIN(0.75,E738/(24000+E738)))</f>
        <v/>
      </c>
    </row>
    <row r="739">
      <c r="A739" t="n">
        <v>148</v>
      </c>
      <c r="B739" t="n">
        <v>738</v>
      </c>
      <c r="C739" t="n">
        <v>3547087</v>
      </c>
      <c r="D739" t="n">
        <v>65577</v>
      </c>
      <c r="E739" t="n">
        <v>40693</v>
      </c>
      <c r="F739">
        <f>C739/(1-MIN(0.75,E739/(24000+E739)))</f>
        <v/>
      </c>
    </row>
    <row r="740">
      <c r="A740" t="n">
        <v>148</v>
      </c>
      <c r="B740" t="n">
        <v>739</v>
      </c>
      <c r="C740" t="n">
        <v>3547087</v>
      </c>
      <c r="D740" t="n">
        <v>65577</v>
      </c>
      <c r="E740" t="n">
        <v>40693</v>
      </c>
      <c r="F740">
        <f>C740/(1-MIN(0.75,E740/(24000+E740)))</f>
        <v/>
      </c>
    </row>
    <row r="741">
      <c r="A741" t="n">
        <v>148</v>
      </c>
      <c r="B741" t="n">
        <v>740</v>
      </c>
      <c r="C741" t="n">
        <v>4433859</v>
      </c>
      <c r="D741" t="n">
        <v>54647</v>
      </c>
      <c r="E741" t="n">
        <v>50866</v>
      </c>
      <c r="F741">
        <f>C741/(1-MIN(0.75,E741/(24000+E741)))</f>
        <v/>
      </c>
    </row>
    <row r="742">
      <c r="A742" t="n">
        <v>149</v>
      </c>
      <c r="B742" t="n">
        <v>741</v>
      </c>
      <c r="C742" t="n">
        <v>5410039</v>
      </c>
      <c r="D742" t="n">
        <v>55364</v>
      </c>
      <c r="E742" t="n">
        <v>61505</v>
      </c>
      <c r="F742">
        <f>C742/(1-MIN(0.75,E742/(24000+E742)))</f>
        <v/>
      </c>
    </row>
    <row r="743">
      <c r="A743" t="n">
        <v>149</v>
      </c>
      <c r="B743" t="n">
        <v>742</v>
      </c>
      <c r="C743" t="n">
        <v>3606693</v>
      </c>
      <c r="D743" t="n">
        <v>66437</v>
      </c>
      <c r="E743" t="n">
        <v>41003</v>
      </c>
      <c r="F743">
        <f>C743/(1-MIN(0.75,E743/(24000+E743)))</f>
        <v/>
      </c>
    </row>
    <row r="744">
      <c r="A744" t="n">
        <v>149</v>
      </c>
      <c r="B744" t="n">
        <v>743</v>
      </c>
      <c r="C744" t="n">
        <v>3606693</v>
      </c>
      <c r="D744" t="n">
        <v>66437</v>
      </c>
      <c r="E744" t="n">
        <v>41003</v>
      </c>
      <c r="F744">
        <f>C744/(1-MIN(0.75,E744/(24000+E744)))</f>
        <v/>
      </c>
    </row>
    <row r="745">
      <c r="A745" t="n">
        <v>149</v>
      </c>
      <c r="B745" t="n">
        <v>744</v>
      </c>
      <c r="C745" t="n">
        <v>3606693</v>
      </c>
      <c r="D745" t="n">
        <v>66437</v>
      </c>
      <c r="E745" t="n">
        <v>41003</v>
      </c>
      <c r="F745">
        <f>C745/(1-MIN(0.75,E745/(24000+E745)))</f>
        <v/>
      </c>
    </row>
    <row r="746">
      <c r="A746" t="n">
        <v>149</v>
      </c>
      <c r="B746" t="n">
        <v>745</v>
      </c>
      <c r="C746" t="n">
        <v>4508366</v>
      </c>
      <c r="D746" t="n">
        <v>55364</v>
      </c>
      <c r="E746" t="n">
        <v>51254</v>
      </c>
      <c r="F746">
        <f>C746/(1-MIN(0.75,E746/(24000+E746)))</f>
        <v/>
      </c>
    </row>
    <row r="747">
      <c r="A747" t="n">
        <v>150</v>
      </c>
      <c r="B747" t="n">
        <v>746</v>
      </c>
      <c r="C747" t="n">
        <v>5505003</v>
      </c>
      <c r="D747" t="n">
        <v>56195</v>
      </c>
      <c r="E747" t="n">
        <v>61971</v>
      </c>
      <c r="F747">
        <f>C747/(1-MIN(0.75,E747/(24000+E747)))</f>
        <v/>
      </c>
    </row>
    <row r="748">
      <c r="A748" t="n">
        <v>150</v>
      </c>
      <c r="B748" t="n">
        <v>747</v>
      </c>
      <c r="C748" t="n">
        <v>3670002</v>
      </c>
      <c r="D748" t="n">
        <v>67434</v>
      </c>
      <c r="E748" t="n">
        <v>41314</v>
      </c>
      <c r="F748">
        <f>C748/(1-MIN(0.75,E748/(24000+E748)))</f>
        <v/>
      </c>
    </row>
    <row r="749">
      <c r="A749" t="n">
        <v>150</v>
      </c>
      <c r="B749" t="n">
        <v>748</v>
      </c>
      <c r="C749" t="n">
        <v>3670002</v>
      </c>
      <c r="D749" t="n">
        <v>67434</v>
      </c>
      <c r="E749" t="n">
        <v>41314</v>
      </c>
      <c r="F749">
        <f>C749/(1-MIN(0.75,E749/(24000+E749)))</f>
        <v/>
      </c>
    </row>
    <row r="750">
      <c r="A750" t="n">
        <v>150</v>
      </c>
      <c r="B750" t="n">
        <v>749</v>
      </c>
      <c r="C750" t="n">
        <v>3670002</v>
      </c>
      <c r="D750" t="n">
        <v>67434</v>
      </c>
      <c r="E750" t="n">
        <v>41314</v>
      </c>
      <c r="F750">
        <f>C750/(1-MIN(0.75,E750/(24000+E750)))</f>
        <v/>
      </c>
    </row>
    <row r="751">
      <c r="A751" t="n">
        <v>150</v>
      </c>
      <c r="B751" t="n">
        <v>750</v>
      </c>
      <c r="C751" t="n">
        <v>4587503</v>
      </c>
      <c r="D751" t="n">
        <v>56195</v>
      </c>
      <c r="E751" t="n">
        <v>51643</v>
      </c>
      <c r="F751">
        <f>C751/(1-MIN(0.75,E751/(24000+E751)))</f>
        <v/>
      </c>
    </row>
    <row r="752">
      <c r="A752" t="n">
        <v>151</v>
      </c>
      <c r="B752" t="n">
        <v>751</v>
      </c>
      <c r="C752" t="n">
        <v>5592395</v>
      </c>
      <c r="D752" t="n">
        <v>56820</v>
      </c>
      <c r="E752" t="n">
        <v>62439</v>
      </c>
      <c r="F752">
        <f>C752/(1-MIN(0.75,E752/(24000+E752)))</f>
        <v/>
      </c>
    </row>
    <row r="753">
      <c r="A753" t="n">
        <v>151</v>
      </c>
      <c r="B753" t="n">
        <v>752</v>
      </c>
      <c r="C753" t="n">
        <v>3728263</v>
      </c>
      <c r="D753" t="n">
        <v>68184</v>
      </c>
      <c r="E753" t="n">
        <v>41626</v>
      </c>
      <c r="F753">
        <f>C753/(1-MIN(0.75,E753/(24000+E753)))</f>
        <v/>
      </c>
    </row>
    <row r="754">
      <c r="A754" t="n">
        <v>151</v>
      </c>
      <c r="B754" t="n">
        <v>753</v>
      </c>
      <c r="C754" t="n">
        <v>3728263</v>
      </c>
      <c r="D754" t="n">
        <v>68184</v>
      </c>
      <c r="E754" t="n">
        <v>41626</v>
      </c>
      <c r="F754">
        <f>C754/(1-MIN(0.75,E754/(24000+E754)))</f>
        <v/>
      </c>
    </row>
    <row r="755">
      <c r="A755" t="n">
        <v>151</v>
      </c>
      <c r="B755" t="n">
        <v>754</v>
      </c>
      <c r="C755" t="n">
        <v>3728263</v>
      </c>
      <c r="D755" t="n">
        <v>68184</v>
      </c>
      <c r="E755" t="n">
        <v>41626</v>
      </c>
      <c r="F755">
        <f>C755/(1-MIN(0.75,E755/(24000+E755)))</f>
        <v/>
      </c>
    </row>
    <row r="756">
      <c r="A756" t="n">
        <v>151</v>
      </c>
      <c r="B756" t="n">
        <v>755</v>
      </c>
      <c r="C756" t="n">
        <v>4660329</v>
      </c>
      <c r="D756" t="n">
        <v>56820</v>
      </c>
      <c r="E756" t="n">
        <v>52033</v>
      </c>
      <c r="F756">
        <f>C756/(1-MIN(0.75,E756/(24000+E756)))</f>
        <v/>
      </c>
    </row>
    <row r="757">
      <c r="A757" t="n">
        <v>152</v>
      </c>
      <c r="B757" t="n">
        <v>756</v>
      </c>
      <c r="C757" t="n">
        <v>5685356</v>
      </c>
      <c r="D757" t="n">
        <v>57559</v>
      </c>
      <c r="E757" t="n">
        <v>62909</v>
      </c>
      <c r="F757">
        <f>C757/(1-MIN(0.75,E757/(24000+E757)))</f>
        <v/>
      </c>
    </row>
    <row r="758">
      <c r="A758" t="n">
        <v>152</v>
      </c>
      <c r="B758" t="n">
        <v>757</v>
      </c>
      <c r="C758" t="n">
        <v>3790237</v>
      </c>
      <c r="D758" t="n">
        <v>69071</v>
      </c>
      <c r="E758" t="n">
        <v>41939</v>
      </c>
      <c r="F758">
        <f>C758/(1-MIN(0.75,E758/(24000+E758)))</f>
        <v/>
      </c>
    </row>
    <row r="759">
      <c r="A759" t="n">
        <v>152</v>
      </c>
      <c r="B759" t="n">
        <v>758</v>
      </c>
      <c r="C759" t="n">
        <v>3790237</v>
      </c>
      <c r="D759" t="n">
        <v>69071</v>
      </c>
      <c r="E759" t="n">
        <v>41939</v>
      </c>
      <c r="F759">
        <f>C759/(1-MIN(0.75,E759/(24000+E759)))</f>
        <v/>
      </c>
    </row>
    <row r="760">
      <c r="A760" t="n">
        <v>152</v>
      </c>
      <c r="B760" t="n">
        <v>759</v>
      </c>
      <c r="C760" t="n">
        <v>3790237</v>
      </c>
      <c r="D760" t="n">
        <v>69071</v>
      </c>
      <c r="E760" t="n">
        <v>41939</v>
      </c>
      <c r="F760">
        <f>C760/(1-MIN(0.75,E760/(24000+E760)))</f>
        <v/>
      </c>
    </row>
    <row r="761">
      <c r="A761" t="n">
        <v>152</v>
      </c>
      <c r="B761" t="n">
        <v>760</v>
      </c>
      <c r="C761" t="n">
        <v>4737797</v>
      </c>
      <c r="D761" t="n">
        <v>57559</v>
      </c>
      <c r="E761" t="n">
        <v>52424</v>
      </c>
      <c r="F761">
        <f>C761/(1-MIN(0.75,E761/(24000+E761)))</f>
        <v/>
      </c>
    </row>
    <row r="762">
      <c r="A762" t="n">
        <v>153</v>
      </c>
      <c r="B762" t="n">
        <v>761</v>
      </c>
      <c r="C762" t="n">
        <v>5827074</v>
      </c>
      <c r="D762" t="n">
        <v>58682</v>
      </c>
      <c r="E762" t="n">
        <v>63615</v>
      </c>
      <c r="F762">
        <f>C762/(1-MIN(0.75,E762/(24000+E762)))</f>
        <v/>
      </c>
    </row>
    <row r="763">
      <c r="A763" t="n">
        <v>153</v>
      </c>
      <c r="B763" t="n">
        <v>762</v>
      </c>
      <c r="C763" t="n">
        <v>3884716</v>
      </c>
      <c r="D763" t="n">
        <v>70419</v>
      </c>
      <c r="E763" t="n">
        <v>42410</v>
      </c>
      <c r="F763">
        <f>C763/(1-MIN(0.75,E763/(24000+E763)))</f>
        <v/>
      </c>
    </row>
    <row r="764">
      <c r="A764" t="n">
        <v>153</v>
      </c>
      <c r="B764" t="n">
        <v>763</v>
      </c>
      <c r="C764" t="n">
        <v>3884716</v>
      </c>
      <c r="D764" t="n">
        <v>70419</v>
      </c>
      <c r="E764" t="n">
        <v>42410</v>
      </c>
      <c r="F764">
        <f>C764/(1-MIN(0.75,E764/(24000+E764)))</f>
        <v/>
      </c>
    </row>
    <row r="765">
      <c r="A765" t="n">
        <v>153</v>
      </c>
      <c r="B765" t="n">
        <v>764</v>
      </c>
      <c r="C765" t="n">
        <v>3884716</v>
      </c>
      <c r="D765" t="n">
        <v>70419</v>
      </c>
      <c r="E765" t="n">
        <v>42410</v>
      </c>
      <c r="F765">
        <f>C765/(1-MIN(0.75,E765/(24000+E765)))</f>
        <v/>
      </c>
    </row>
    <row r="766">
      <c r="A766" t="n">
        <v>153</v>
      </c>
      <c r="B766" t="n">
        <v>765</v>
      </c>
      <c r="C766" t="n">
        <v>4855895</v>
      </c>
      <c r="D766" t="n">
        <v>58682</v>
      </c>
      <c r="E766" t="n">
        <v>53013</v>
      </c>
      <c r="F766">
        <f>C766/(1-MIN(0.75,E766/(24000+E766)))</f>
        <v/>
      </c>
    </row>
    <row r="767">
      <c r="A767" t="n">
        <v>154</v>
      </c>
      <c r="B767" t="n">
        <v>766</v>
      </c>
      <c r="C767" t="n">
        <v>5923075</v>
      </c>
      <c r="D767" t="n">
        <v>59442</v>
      </c>
      <c r="E767" t="n">
        <v>64088</v>
      </c>
      <c r="F767">
        <f>C767/(1-MIN(0.75,E767/(24000+E767)))</f>
        <v/>
      </c>
    </row>
    <row r="768">
      <c r="A768" t="n">
        <v>154</v>
      </c>
      <c r="B768" t="n">
        <v>767</v>
      </c>
      <c r="C768" t="n">
        <v>3948717</v>
      </c>
      <c r="D768" t="n">
        <v>71330</v>
      </c>
      <c r="E768" t="n">
        <v>42725</v>
      </c>
      <c r="F768">
        <f>C768/(1-MIN(0.75,E768/(24000+E768)))</f>
        <v/>
      </c>
    </row>
    <row r="769">
      <c r="A769" t="n">
        <v>154</v>
      </c>
      <c r="B769" t="n">
        <v>768</v>
      </c>
      <c r="C769" t="n">
        <v>3948717</v>
      </c>
      <c r="D769" t="n">
        <v>71330</v>
      </c>
      <c r="E769" t="n">
        <v>42725</v>
      </c>
      <c r="F769">
        <f>C769/(1-MIN(0.75,E769/(24000+E769)))</f>
        <v/>
      </c>
    </row>
    <row r="770">
      <c r="A770" t="n">
        <v>154</v>
      </c>
      <c r="B770" t="n">
        <v>769</v>
      </c>
      <c r="C770" t="n">
        <v>3948717</v>
      </c>
      <c r="D770" t="n">
        <v>71330</v>
      </c>
      <c r="E770" t="n">
        <v>42725</v>
      </c>
      <c r="F770">
        <f>C770/(1-MIN(0.75,E770/(24000+E770)))</f>
        <v/>
      </c>
    </row>
    <row r="771">
      <c r="A771" t="n">
        <v>154</v>
      </c>
      <c r="B771" t="n">
        <v>770</v>
      </c>
      <c r="C771" t="n">
        <v>4935896</v>
      </c>
      <c r="D771" t="n">
        <v>59442</v>
      </c>
      <c r="E771" t="n">
        <v>53406</v>
      </c>
      <c r="F771">
        <f>C771/(1-MIN(0.75,E771/(24000+E771)))</f>
        <v/>
      </c>
    </row>
    <row r="772">
      <c r="A772" t="n">
        <v>155</v>
      </c>
      <c r="B772" t="n">
        <v>771</v>
      </c>
      <c r="C772" t="n">
        <v>6048444</v>
      </c>
      <c r="D772" t="n">
        <v>59948</v>
      </c>
      <c r="E772" t="n">
        <v>64562</v>
      </c>
      <c r="F772">
        <f>C772/(1-MIN(0.75,E772/(24000+E772)))</f>
        <v/>
      </c>
    </row>
    <row r="773">
      <c r="A773" t="n">
        <v>155</v>
      </c>
      <c r="B773" t="n">
        <v>772</v>
      </c>
      <c r="C773" t="n">
        <v>4032296</v>
      </c>
      <c r="D773" t="n">
        <v>71937</v>
      </c>
      <c r="E773" t="n">
        <v>43041</v>
      </c>
      <c r="F773">
        <f>C773/(1-MIN(0.75,E773/(24000+E773)))</f>
        <v/>
      </c>
    </row>
    <row r="774">
      <c r="A774" t="n">
        <v>155</v>
      </c>
      <c r="B774" t="n">
        <v>773</v>
      </c>
      <c r="C774" t="n">
        <v>4032296</v>
      </c>
      <c r="D774" t="n">
        <v>71937</v>
      </c>
      <c r="E774" t="n">
        <v>43041</v>
      </c>
      <c r="F774">
        <f>C774/(1-MIN(0.75,E774/(24000+E774)))</f>
        <v/>
      </c>
    </row>
    <row r="775">
      <c r="A775" t="n">
        <v>155</v>
      </c>
      <c r="B775" t="n">
        <v>774</v>
      </c>
      <c r="C775" t="n">
        <v>4032296</v>
      </c>
      <c r="D775" t="n">
        <v>71937</v>
      </c>
      <c r="E775" t="n">
        <v>43041</v>
      </c>
      <c r="F775">
        <f>C775/(1-MIN(0.75,E775/(24000+E775)))</f>
        <v/>
      </c>
    </row>
    <row r="776">
      <c r="A776" t="n">
        <v>155</v>
      </c>
      <c r="B776" t="n">
        <v>775</v>
      </c>
      <c r="C776" t="n">
        <v>5040370</v>
      </c>
      <c r="D776" t="n">
        <v>59948</v>
      </c>
      <c r="E776" t="n">
        <v>53801</v>
      </c>
      <c r="F776">
        <f>C776/(1-MIN(0.75,E776/(24000+E776)))</f>
        <v/>
      </c>
    </row>
    <row r="777">
      <c r="A777" t="n">
        <v>156</v>
      </c>
      <c r="B777" t="n">
        <v>776</v>
      </c>
      <c r="C777" t="n">
        <v>6118820</v>
      </c>
      <c r="D777" t="n">
        <v>60982</v>
      </c>
      <c r="E777" t="n">
        <v>65036</v>
      </c>
      <c r="F777">
        <f>C777/(1-MIN(0.75,E777/(24000+E777)))</f>
        <v/>
      </c>
    </row>
    <row r="778">
      <c r="A778" t="n">
        <v>156</v>
      </c>
      <c r="B778" t="n">
        <v>777</v>
      </c>
      <c r="C778" t="n">
        <v>4079213</v>
      </c>
      <c r="D778" t="n">
        <v>73179</v>
      </c>
      <c r="E778" t="n">
        <v>43357</v>
      </c>
      <c r="F778">
        <f>C778/(1-MIN(0.75,E778/(24000+E778)))</f>
        <v/>
      </c>
    </row>
    <row r="779">
      <c r="A779" t="n">
        <v>156</v>
      </c>
      <c r="B779" t="n">
        <v>778</v>
      </c>
      <c r="C779" t="n">
        <v>4079213</v>
      </c>
      <c r="D779" t="n">
        <v>73179</v>
      </c>
      <c r="E779" t="n">
        <v>43357</v>
      </c>
      <c r="F779">
        <f>C779/(1-MIN(0.75,E779/(24000+E779)))</f>
        <v/>
      </c>
    </row>
    <row r="780">
      <c r="A780" t="n">
        <v>156</v>
      </c>
      <c r="B780" t="n">
        <v>779</v>
      </c>
      <c r="C780" t="n">
        <v>4079213</v>
      </c>
      <c r="D780" t="n">
        <v>73179</v>
      </c>
      <c r="E780" t="n">
        <v>43357</v>
      </c>
      <c r="F780">
        <f>C780/(1-MIN(0.75,E780/(24000+E780)))</f>
        <v/>
      </c>
    </row>
    <row r="781">
      <c r="A781" t="n">
        <v>156</v>
      </c>
      <c r="B781" t="n">
        <v>780</v>
      </c>
      <c r="C781" t="n">
        <v>5099016</v>
      </c>
      <c r="D781" t="n">
        <v>60982</v>
      </c>
      <c r="E781" t="n">
        <v>54196</v>
      </c>
      <c r="F781">
        <f>C781/(1-MIN(0.75,E781/(24000+E781)))</f>
        <v/>
      </c>
    </row>
    <row r="782">
      <c r="A782" t="n">
        <v>157</v>
      </c>
      <c r="B782" t="n">
        <v>781</v>
      </c>
      <c r="C782" t="n">
        <v>6218576</v>
      </c>
      <c r="D782" t="n">
        <v>61766</v>
      </c>
      <c r="E782" t="n">
        <v>65513</v>
      </c>
      <c r="F782">
        <f>C782/(1-MIN(0.75,E782/(24000+E782)))</f>
        <v/>
      </c>
    </row>
    <row r="783">
      <c r="A783" t="n">
        <v>157</v>
      </c>
      <c r="B783" t="n">
        <v>782</v>
      </c>
      <c r="C783" t="n">
        <v>4145718</v>
      </c>
      <c r="D783" t="n">
        <v>74119</v>
      </c>
      <c r="E783" t="n">
        <v>43675</v>
      </c>
      <c r="F783">
        <f>C783/(1-MIN(0.75,E783/(24000+E783)))</f>
        <v/>
      </c>
    </row>
    <row r="784">
      <c r="A784" t="n">
        <v>157</v>
      </c>
      <c r="B784" t="n">
        <v>783</v>
      </c>
      <c r="C784" t="n">
        <v>4145718</v>
      </c>
      <c r="D784" t="n">
        <v>74119</v>
      </c>
      <c r="E784" t="n">
        <v>43675</v>
      </c>
      <c r="F784">
        <f>C784/(1-MIN(0.75,E784/(24000+E784)))</f>
        <v/>
      </c>
    </row>
    <row r="785">
      <c r="A785" t="n">
        <v>157</v>
      </c>
      <c r="B785" t="n">
        <v>784</v>
      </c>
      <c r="C785" t="n">
        <v>4145718</v>
      </c>
      <c r="D785" t="n">
        <v>74119</v>
      </c>
      <c r="E785" t="n">
        <v>43675</v>
      </c>
      <c r="F785">
        <f>C785/(1-MIN(0.75,E785/(24000+E785)))</f>
        <v/>
      </c>
    </row>
    <row r="786">
      <c r="A786" t="n">
        <v>157</v>
      </c>
      <c r="B786" t="n">
        <v>785</v>
      </c>
      <c r="C786" t="n">
        <v>5182147</v>
      </c>
      <c r="D786" t="n">
        <v>61766</v>
      </c>
      <c r="E786" t="n">
        <v>54594</v>
      </c>
      <c r="F786">
        <f>C786/(1-MIN(0.75,E786/(24000+E786)))</f>
        <v/>
      </c>
    </row>
    <row r="787">
      <c r="A787" t="n">
        <v>158</v>
      </c>
      <c r="B787" t="n">
        <v>786</v>
      </c>
      <c r="C787" t="n">
        <v>6370603</v>
      </c>
      <c r="D787" t="n">
        <v>62955</v>
      </c>
      <c r="E787" t="n">
        <v>66231</v>
      </c>
      <c r="F787">
        <f>C787/(1-MIN(0.75,E787/(24000+E787)))</f>
        <v/>
      </c>
    </row>
    <row r="788">
      <c r="A788" t="n">
        <v>158</v>
      </c>
      <c r="B788" t="n">
        <v>787</v>
      </c>
      <c r="C788" t="n">
        <v>4247068</v>
      </c>
      <c r="D788" t="n">
        <v>75546</v>
      </c>
      <c r="E788" t="n">
        <v>44154</v>
      </c>
      <c r="F788">
        <f>C788/(1-MIN(0.75,E788/(24000+E788)))</f>
        <v/>
      </c>
    </row>
    <row r="789">
      <c r="A789" t="n">
        <v>158</v>
      </c>
      <c r="B789" t="n">
        <v>788</v>
      </c>
      <c r="C789" t="n">
        <v>4247068</v>
      </c>
      <c r="D789" t="n">
        <v>75546</v>
      </c>
      <c r="E789" t="n">
        <v>44154</v>
      </c>
      <c r="F789">
        <f>C789/(1-MIN(0.75,E789/(24000+E789)))</f>
        <v/>
      </c>
    </row>
    <row r="790">
      <c r="A790" t="n">
        <v>158</v>
      </c>
      <c r="B790" t="n">
        <v>789</v>
      </c>
      <c r="C790" t="n">
        <v>4247068</v>
      </c>
      <c r="D790" t="n">
        <v>75546</v>
      </c>
      <c r="E790" t="n">
        <v>44154</v>
      </c>
      <c r="F790">
        <f>C790/(1-MIN(0.75,E790/(24000+E790)))</f>
        <v/>
      </c>
    </row>
    <row r="791">
      <c r="A791" t="n">
        <v>158</v>
      </c>
      <c r="B791" t="n">
        <v>790</v>
      </c>
      <c r="C791" t="n">
        <v>5308836</v>
      </c>
      <c r="D791" t="n">
        <v>62955</v>
      </c>
      <c r="E791" t="n">
        <v>55193</v>
      </c>
      <c r="F791">
        <f>C791/(1-MIN(0.75,E791/(24000+E791)))</f>
        <v/>
      </c>
    </row>
    <row r="792">
      <c r="A792" t="n">
        <v>159</v>
      </c>
      <c r="B792" t="n">
        <v>791</v>
      </c>
      <c r="C792" t="n">
        <v>6473575</v>
      </c>
      <c r="D792" t="n">
        <v>63758</v>
      </c>
      <c r="E792" t="n">
        <v>66711</v>
      </c>
      <c r="F792">
        <f>C792/(1-MIN(0.75,E792/(24000+E792)))</f>
        <v/>
      </c>
    </row>
    <row r="793">
      <c r="A793" t="n">
        <v>159</v>
      </c>
      <c r="B793" t="n">
        <v>792</v>
      </c>
      <c r="C793" t="n">
        <v>4315716</v>
      </c>
      <c r="D793" t="n">
        <v>76510</v>
      </c>
      <c r="E793" t="n">
        <v>44474</v>
      </c>
      <c r="F793">
        <f>C793/(1-MIN(0.75,E793/(24000+E793)))</f>
        <v/>
      </c>
    </row>
    <row r="794">
      <c r="A794" t="n">
        <v>159</v>
      </c>
      <c r="B794" t="n">
        <v>793</v>
      </c>
      <c r="C794" t="n">
        <v>4315716</v>
      </c>
      <c r="D794" t="n">
        <v>76510</v>
      </c>
      <c r="E794" t="n">
        <v>44474</v>
      </c>
      <c r="F794">
        <f>C794/(1-MIN(0.75,E794/(24000+E794)))</f>
        <v/>
      </c>
    </row>
    <row r="795">
      <c r="A795" t="n">
        <v>159</v>
      </c>
      <c r="B795" t="n">
        <v>794</v>
      </c>
      <c r="C795" t="n">
        <v>4315716</v>
      </c>
      <c r="D795" t="n">
        <v>76510</v>
      </c>
      <c r="E795" t="n">
        <v>44474</v>
      </c>
      <c r="F795">
        <f>C795/(1-MIN(0.75,E795/(24000+E795)))</f>
        <v/>
      </c>
    </row>
    <row r="796">
      <c r="A796" t="n">
        <v>159</v>
      </c>
      <c r="B796" t="n">
        <v>795</v>
      </c>
      <c r="C796" t="n">
        <v>5394646</v>
      </c>
      <c r="D796" t="n">
        <v>63758</v>
      </c>
      <c r="E796" t="n">
        <v>55593</v>
      </c>
      <c r="F796">
        <f>C796/(1-MIN(0.75,E796/(24000+E796)))</f>
        <v/>
      </c>
    </row>
    <row r="797">
      <c r="A797" t="n">
        <v>160</v>
      </c>
      <c r="B797" t="n">
        <v>796</v>
      </c>
      <c r="C797" t="n">
        <v>6583081</v>
      </c>
      <c r="D797" t="n">
        <v>64694</v>
      </c>
      <c r="E797" t="n">
        <v>67193</v>
      </c>
      <c r="F797">
        <f>C797/(1-MIN(0.75,E797/(24000+E797)))</f>
        <v/>
      </c>
    </row>
    <row r="798">
      <c r="A798" t="n">
        <v>160</v>
      </c>
      <c r="B798" t="n">
        <v>797</v>
      </c>
      <c r="C798" t="n">
        <v>4388721</v>
      </c>
      <c r="D798" t="n">
        <v>77632</v>
      </c>
      <c r="E798" t="n">
        <v>44795</v>
      </c>
      <c r="F798">
        <f>C798/(1-MIN(0.75,E798/(24000+E798)))</f>
        <v/>
      </c>
    </row>
    <row r="799">
      <c r="A799" t="n">
        <v>160</v>
      </c>
      <c r="B799" t="n">
        <v>798</v>
      </c>
      <c r="C799" t="n">
        <v>4388721</v>
      </c>
      <c r="D799" t="n">
        <v>77632</v>
      </c>
      <c r="E799" t="n">
        <v>44795</v>
      </c>
      <c r="F799">
        <f>C799/(1-MIN(0.75,E799/(24000+E799)))</f>
        <v/>
      </c>
    </row>
    <row r="800">
      <c r="A800" t="n">
        <v>160</v>
      </c>
      <c r="B800" t="n">
        <v>799</v>
      </c>
      <c r="C800" t="n">
        <v>4388721</v>
      </c>
      <c r="D800" t="n">
        <v>77632</v>
      </c>
      <c r="E800" t="n">
        <v>44795</v>
      </c>
      <c r="F800">
        <f>C800/(1-MIN(0.75,E800/(24000+E800)))</f>
        <v/>
      </c>
    </row>
    <row r="801">
      <c r="A801" t="n">
        <v>160</v>
      </c>
      <c r="B801" t="n">
        <v>800</v>
      </c>
      <c r="C801" t="n">
        <v>5485901</v>
      </c>
      <c r="D801" t="n">
        <v>64694</v>
      </c>
      <c r="E801" t="n">
        <v>55994</v>
      </c>
      <c r="F801">
        <f>C801/(1-MIN(0.75,E801/(24000+E801)))</f>
        <v/>
      </c>
    </row>
    <row r="802">
      <c r="A802" t="n">
        <v>161</v>
      </c>
      <c r="B802" t="n">
        <v>801</v>
      </c>
      <c r="C802" t="n">
        <v>6683450</v>
      </c>
      <c r="D802" t="n">
        <v>65391</v>
      </c>
      <c r="E802" t="n">
        <v>67674</v>
      </c>
      <c r="F802">
        <f>C802/(1-MIN(0.75,E802/(24000+E802)))</f>
        <v/>
      </c>
    </row>
    <row r="803">
      <c r="A803" t="n">
        <v>161</v>
      </c>
      <c r="B803" t="n">
        <v>802</v>
      </c>
      <c r="C803" t="n">
        <v>4455633</v>
      </c>
      <c r="D803" t="n">
        <v>78469</v>
      </c>
      <c r="E803" t="n">
        <v>45116</v>
      </c>
      <c r="F803">
        <f>C803/(1-MIN(0.75,E803/(24000+E803)))</f>
        <v/>
      </c>
    </row>
    <row r="804">
      <c r="A804" t="n">
        <v>161</v>
      </c>
      <c r="B804" t="n">
        <v>803</v>
      </c>
      <c r="C804" t="n">
        <v>4455633</v>
      </c>
      <c r="D804" t="n">
        <v>78469</v>
      </c>
      <c r="E804" t="n">
        <v>45116</v>
      </c>
      <c r="F804">
        <f>C804/(1-MIN(0.75,E804/(24000+E804)))</f>
        <v/>
      </c>
    </row>
    <row r="805">
      <c r="A805" t="n">
        <v>161</v>
      </c>
      <c r="B805" t="n">
        <v>804</v>
      </c>
      <c r="C805" t="n">
        <v>4455633</v>
      </c>
      <c r="D805" t="n">
        <v>78469</v>
      </c>
      <c r="E805" t="n">
        <v>45116</v>
      </c>
      <c r="F805">
        <f>C805/(1-MIN(0.75,E805/(24000+E805)))</f>
        <v/>
      </c>
    </row>
    <row r="806">
      <c r="A806" t="n">
        <v>161</v>
      </c>
      <c r="B806" t="n">
        <v>805</v>
      </c>
      <c r="C806" t="n">
        <v>5569542</v>
      </c>
      <c r="D806" t="n">
        <v>65391</v>
      </c>
      <c r="E806" t="n">
        <v>56395</v>
      </c>
      <c r="F806">
        <f>C806/(1-MIN(0.75,E806/(24000+E806)))</f>
        <v/>
      </c>
    </row>
    <row r="807">
      <c r="A807" t="n">
        <v>162</v>
      </c>
      <c r="B807" t="n">
        <v>806</v>
      </c>
      <c r="C807" t="n">
        <v>6844352</v>
      </c>
      <c r="D807" t="n">
        <v>66636</v>
      </c>
      <c r="E807" t="n">
        <v>68402</v>
      </c>
      <c r="F807">
        <f>C807/(1-MIN(0.75,E807/(24000+E807)))</f>
        <v/>
      </c>
    </row>
    <row r="808">
      <c r="A808" t="n">
        <v>162</v>
      </c>
      <c r="B808" t="n">
        <v>807</v>
      </c>
      <c r="C808" t="n">
        <v>4562902</v>
      </c>
      <c r="D808" t="n">
        <v>79964</v>
      </c>
      <c r="E808" t="n">
        <v>45601</v>
      </c>
      <c r="F808">
        <f>C808/(1-MIN(0.75,E808/(24000+E808)))</f>
        <v/>
      </c>
    </row>
    <row r="809">
      <c r="A809" t="n">
        <v>162</v>
      </c>
      <c r="B809" t="n">
        <v>808</v>
      </c>
      <c r="C809" t="n">
        <v>4562902</v>
      </c>
      <c r="D809" t="n">
        <v>79964</v>
      </c>
      <c r="E809" t="n">
        <v>45601</v>
      </c>
      <c r="F809">
        <f>C809/(1-MIN(0.75,E809/(24000+E809)))</f>
        <v/>
      </c>
    </row>
    <row r="810">
      <c r="A810" t="n">
        <v>162</v>
      </c>
      <c r="B810" t="n">
        <v>809</v>
      </c>
      <c r="C810" t="n">
        <v>4562902</v>
      </c>
      <c r="D810" t="n">
        <v>79964</v>
      </c>
      <c r="E810" t="n">
        <v>45601</v>
      </c>
      <c r="F810">
        <f>C810/(1-MIN(0.75,E810/(24000+E810)))</f>
        <v/>
      </c>
    </row>
    <row r="811">
      <c r="A811" t="n">
        <v>162</v>
      </c>
      <c r="B811" t="n">
        <v>810</v>
      </c>
      <c r="C811" t="n">
        <v>5703627</v>
      </c>
      <c r="D811" t="n">
        <v>66636</v>
      </c>
      <c r="E811" t="n">
        <v>57001</v>
      </c>
      <c r="F811">
        <f>C811/(1-MIN(0.75,E811/(24000+E811)))</f>
        <v/>
      </c>
    </row>
    <row r="812">
      <c r="A812" t="n">
        <v>163</v>
      </c>
      <c r="B812" t="n">
        <v>811</v>
      </c>
      <c r="C812" t="n">
        <v>6953309</v>
      </c>
      <c r="D812" t="n">
        <v>67479</v>
      </c>
      <c r="E812" t="n">
        <v>68888</v>
      </c>
      <c r="F812">
        <f>C812/(1-MIN(0.75,E812/(24000+E812)))</f>
        <v/>
      </c>
    </row>
    <row r="813">
      <c r="A813" t="n">
        <v>163</v>
      </c>
      <c r="B813" t="n">
        <v>812</v>
      </c>
      <c r="C813" t="n">
        <v>4635540</v>
      </c>
      <c r="D813" t="n">
        <v>80975</v>
      </c>
      <c r="E813" t="n">
        <v>45925</v>
      </c>
      <c r="F813">
        <f>C813/(1-MIN(0.75,E813/(24000+E813)))</f>
        <v/>
      </c>
    </row>
    <row r="814">
      <c r="A814" t="n">
        <v>163</v>
      </c>
      <c r="B814" t="n">
        <v>813</v>
      </c>
      <c r="C814" t="n">
        <v>4635540</v>
      </c>
      <c r="D814" t="n">
        <v>80975</v>
      </c>
      <c r="E814" t="n">
        <v>45925</v>
      </c>
      <c r="F814">
        <f>C814/(1-MIN(0.75,E814/(24000+E814)))</f>
        <v/>
      </c>
    </row>
    <row r="815">
      <c r="A815" t="n">
        <v>163</v>
      </c>
      <c r="B815" t="n">
        <v>814</v>
      </c>
      <c r="C815" t="n">
        <v>4635540</v>
      </c>
      <c r="D815" t="n">
        <v>80975</v>
      </c>
      <c r="E815" t="n">
        <v>45925</v>
      </c>
      <c r="F815">
        <f>C815/(1-MIN(0.75,E815/(24000+E815)))</f>
        <v/>
      </c>
    </row>
    <row r="816">
      <c r="A816" t="n">
        <v>163</v>
      </c>
      <c r="B816" t="n">
        <v>815</v>
      </c>
      <c r="C816" t="n">
        <v>5794424</v>
      </c>
      <c r="D816" t="n">
        <v>67479</v>
      </c>
      <c r="E816" t="n">
        <v>57406</v>
      </c>
      <c r="F816">
        <f>C816/(1-MIN(0.75,E816/(24000+E816)))</f>
        <v/>
      </c>
    </row>
    <row r="817">
      <c r="A817" t="n">
        <v>164</v>
      </c>
      <c r="B817" t="n">
        <v>816</v>
      </c>
      <c r="C817" t="n">
        <v>7119312</v>
      </c>
      <c r="D817" t="n">
        <v>68757</v>
      </c>
      <c r="E817" t="n">
        <v>69620</v>
      </c>
      <c r="F817">
        <f>C817/(1-MIN(0.75,E817/(24000+E817)))</f>
        <v/>
      </c>
    </row>
    <row r="818">
      <c r="A818" t="n">
        <v>164</v>
      </c>
      <c r="B818" t="n">
        <v>817</v>
      </c>
      <c r="C818" t="n">
        <v>4746208</v>
      </c>
      <c r="D818" t="n">
        <v>82509</v>
      </c>
      <c r="E818" t="n">
        <v>46413</v>
      </c>
      <c r="F818">
        <f>C818/(1-MIN(0.75,E818/(24000+E818)))</f>
        <v/>
      </c>
    </row>
    <row r="819">
      <c r="A819" t="n">
        <v>164</v>
      </c>
      <c r="B819" t="n">
        <v>818</v>
      </c>
      <c r="C819" t="n">
        <v>4746208</v>
      </c>
      <c r="D819" t="n">
        <v>82509</v>
      </c>
      <c r="E819" t="n">
        <v>46413</v>
      </c>
      <c r="F819">
        <f>C819/(1-MIN(0.75,E819/(24000+E819)))</f>
        <v/>
      </c>
    </row>
    <row r="820">
      <c r="A820" t="n">
        <v>164</v>
      </c>
      <c r="B820" t="n">
        <v>819</v>
      </c>
      <c r="C820" t="n">
        <v>4746208</v>
      </c>
      <c r="D820" t="n">
        <v>82509</v>
      </c>
      <c r="E820" t="n">
        <v>46413</v>
      </c>
      <c r="F820">
        <f>C820/(1-MIN(0.75,E820/(24000+E820)))</f>
        <v/>
      </c>
    </row>
    <row r="821">
      <c r="A821" t="n">
        <v>164</v>
      </c>
      <c r="B821" t="n">
        <v>820</v>
      </c>
      <c r="C821" t="n">
        <v>5932760</v>
      </c>
      <c r="D821" t="n">
        <v>68757</v>
      </c>
      <c r="E821" t="n">
        <v>58016</v>
      </c>
      <c r="F821">
        <f>C821/(1-MIN(0.75,E821/(24000+E821)))</f>
        <v/>
      </c>
    </row>
    <row r="822">
      <c r="A822" t="n">
        <v>165</v>
      </c>
      <c r="B822" t="n">
        <v>821</v>
      </c>
      <c r="C822" t="n">
        <v>7265498</v>
      </c>
      <c r="D822" t="n">
        <v>69320</v>
      </c>
      <c r="E822" t="n">
        <v>70109</v>
      </c>
      <c r="F822">
        <f>C822/(1-MIN(0.75,E822/(24000+E822)))</f>
        <v/>
      </c>
    </row>
    <row r="823">
      <c r="A823" t="n">
        <v>165</v>
      </c>
      <c r="B823" t="n">
        <v>822</v>
      </c>
      <c r="C823" t="n">
        <v>4843665</v>
      </c>
      <c r="D823" t="n">
        <v>83184</v>
      </c>
      <c r="E823" t="n">
        <v>46739</v>
      </c>
      <c r="F823">
        <f>C823/(1-MIN(0.75,E823/(24000+E823)))</f>
        <v/>
      </c>
    </row>
    <row r="824">
      <c r="A824" t="n">
        <v>165</v>
      </c>
      <c r="B824" t="n">
        <v>823</v>
      </c>
      <c r="C824" t="n">
        <v>4843665</v>
      </c>
      <c r="D824" t="n">
        <v>83184</v>
      </c>
      <c r="E824" t="n">
        <v>46739</v>
      </c>
      <c r="F824">
        <f>C824/(1-MIN(0.75,E824/(24000+E824)))</f>
        <v/>
      </c>
    </row>
    <row r="825">
      <c r="A825" t="n">
        <v>165</v>
      </c>
      <c r="B825" t="n">
        <v>824</v>
      </c>
      <c r="C825" t="n">
        <v>4843665</v>
      </c>
      <c r="D825" t="n">
        <v>83184</v>
      </c>
      <c r="E825" t="n">
        <v>46739</v>
      </c>
      <c r="F825">
        <f>C825/(1-MIN(0.75,E825/(24000+E825)))</f>
        <v/>
      </c>
    </row>
    <row r="826">
      <c r="A826" t="n">
        <v>165</v>
      </c>
      <c r="B826" t="n">
        <v>825</v>
      </c>
      <c r="C826" t="n">
        <v>6054582</v>
      </c>
      <c r="D826" t="n">
        <v>69320</v>
      </c>
      <c r="E826" t="n">
        <v>58424</v>
      </c>
      <c r="F826">
        <f>C826/(1-MIN(0.75,E826/(24000+E826)))</f>
        <v/>
      </c>
    </row>
    <row r="827">
      <c r="A827" t="n">
        <v>166</v>
      </c>
      <c r="B827" t="n">
        <v>826</v>
      </c>
      <c r="C827" t="n">
        <v>7345507</v>
      </c>
      <c r="D827" t="n">
        <v>70493</v>
      </c>
      <c r="E827" t="n">
        <v>70601</v>
      </c>
      <c r="F827">
        <f>C827/(1-MIN(0.75,E827/(24000+E827)))</f>
        <v/>
      </c>
    </row>
    <row r="828">
      <c r="A828" t="n">
        <v>166</v>
      </c>
      <c r="B828" t="n">
        <v>827</v>
      </c>
      <c r="C828" t="n">
        <v>4897005</v>
      </c>
      <c r="D828" t="n">
        <v>84592</v>
      </c>
      <c r="E828" t="n">
        <v>47067</v>
      </c>
      <c r="F828">
        <f>C828/(1-MIN(0.75,E828/(24000+E828)))</f>
        <v/>
      </c>
    </row>
    <row r="829">
      <c r="A829" t="n">
        <v>166</v>
      </c>
      <c r="B829" t="n">
        <v>828</v>
      </c>
      <c r="C829" t="n">
        <v>4897005</v>
      </c>
      <c r="D829" t="n">
        <v>84592</v>
      </c>
      <c r="E829" t="n">
        <v>47067</v>
      </c>
      <c r="F829">
        <f>C829/(1-MIN(0.75,E829/(24000+E829)))</f>
        <v/>
      </c>
    </row>
    <row r="830">
      <c r="A830" t="n">
        <v>166</v>
      </c>
      <c r="B830" t="n">
        <v>829</v>
      </c>
      <c r="C830" t="n">
        <v>4897005</v>
      </c>
      <c r="D830" t="n">
        <v>84592</v>
      </c>
      <c r="E830" t="n">
        <v>47067</v>
      </c>
      <c r="F830">
        <f>C830/(1-MIN(0.75,E830/(24000+E830)))</f>
        <v/>
      </c>
    </row>
    <row r="831">
      <c r="A831" t="n">
        <v>166</v>
      </c>
      <c r="B831" t="n">
        <v>830</v>
      </c>
      <c r="C831" t="n">
        <v>6121256</v>
      </c>
      <c r="D831" t="n">
        <v>70493</v>
      </c>
      <c r="E831" t="n">
        <v>58834</v>
      </c>
      <c r="F831">
        <f>C831/(1-MIN(0.75,E831/(24000+E831)))</f>
        <v/>
      </c>
    </row>
    <row r="832">
      <c r="A832" t="n">
        <v>167</v>
      </c>
      <c r="B832" t="n">
        <v>831</v>
      </c>
      <c r="C832" t="n">
        <v>7518865</v>
      </c>
      <c r="D832" t="n">
        <v>71819</v>
      </c>
      <c r="E832" t="n">
        <v>71339</v>
      </c>
      <c r="F832">
        <f>C832/(1-MIN(0.75,E832/(24000+E832)))</f>
        <v/>
      </c>
    </row>
    <row r="833">
      <c r="A833" t="n">
        <v>167</v>
      </c>
      <c r="B833" t="n">
        <v>832</v>
      </c>
      <c r="C833" t="n">
        <v>5012577</v>
      </c>
      <c r="D833" t="n">
        <v>86183</v>
      </c>
      <c r="E833" t="n">
        <v>47559</v>
      </c>
      <c r="F833">
        <f>C833/(1-MIN(0.75,E833/(24000+E833)))</f>
        <v/>
      </c>
    </row>
    <row r="834">
      <c r="A834" t="n">
        <v>167</v>
      </c>
      <c r="B834" t="n">
        <v>833</v>
      </c>
      <c r="C834" t="n">
        <v>5012577</v>
      </c>
      <c r="D834" t="n">
        <v>86183</v>
      </c>
      <c r="E834" t="n">
        <v>47559</v>
      </c>
      <c r="F834">
        <f>C834/(1-MIN(0.75,E834/(24000+E834)))</f>
        <v/>
      </c>
    </row>
    <row r="835">
      <c r="A835" t="n">
        <v>167</v>
      </c>
      <c r="B835" t="n">
        <v>834</v>
      </c>
      <c r="C835" t="n">
        <v>5012577</v>
      </c>
      <c r="D835" t="n">
        <v>86183</v>
      </c>
      <c r="E835" t="n">
        <v>47559</v>
      </c>
      <c r="F835">
        <f>C835/(1-MIN(0.75,E835/(24000+E835)))</f>
        <v/>
      </c>
    </row>
    <row r="836">
      <c r="A836" t="n">
        <v>167</v>
      </c>
      <c r="B836" t="n">
        <v>835</v>
      </c>
      <c r="C836" t="n">
        <v>6265721</v>
      </c>
      <c r="D836" t="n">
        <v>71819</v>
      </c>
      <c r="E836" t="n">
        <v>59449</v>
      </c>
      <c r="F836">
        <f>C836/(1-MIN(0.75,E836/(24000+E836)))</f>
        <v/>
      </c>
    </row>
    <row r="837">
      <c r="A837" t="n">
        <v>168</v>
      </c>
      <c r="B837" t="n">
        <v>836</v>
      </c>
      <c r="C837" t="n">
        <v>7636225</v>
      </c>
      <c r="D837" t="n">
        <v>72714</v>
      </c>
      <c r="E837" t="n">
        <v>71834</v>
      </c>
      <c r="F837">
        <f>C837/(1-MIN(0.75,E837/(24000+E837)))</f>
        <v/>
      </c>
    </row>
    <row r="838">
      <c r="A838" t="n">
        <v>168</v>
      </c>
      <c r="B838" t="n">
        <v>837</v>
      </c>
      <c r="C838" t="n">
        <v>5090817</v>
      </c>
      <c r="D838" t="n">
        <v>87257</v>
      </c>
      <c r="E838" t="n">
        <v>47889</v>
      </c>
      <c r="F838">
        <f>C838/(1-MIN(0.75,E838/(24000+E838)))</f>
        <v/>
      </c>
    </row>
    <row r="839">
      <c r="A839" t="n">
        <v>168</v>
      </c>
      <c r="B839" t="n">
        <v>838</v>
      </c>
      <c r="C839" t="n">
        <v>5090817</v>
      </c>
      <c r="D839" t="n">
        <v>87257</v>
      </c>
      <c r="E839" t="n">
        <v>47889</v>
      </c>
      <c r="F839">
        <f>C839/(1-MIN(0.75,E839/(24000+E839)))</f>
        <v/>
      </c>
    </row>
    <row r="840">
      <c r="A840" t="n">
        <v>168</v>
      </c>
      <c r="B840" t="n">
        <v>839</v>
      </c>
      <c r="C840" t="n">
        <v>5090817</v>
      </c>
      <c r="D840" t="n">
        <v>87257</v>
      </c>
      <c r="E840" t="n">
        <v>47889</v>
      </c>
      <c r="F840">
        <f>C840/(1-MIN(0.75,E840/(24000+E840)))</f>
        <v/>
      </c>
    </row>
    <row r="841">
      <c r="A841" t="n">
        <v>168</v>
      </c>
      <c r="B841" t="n">
        <v>840</v>
      </c>
      <c r="C841" t="n">
        <v>6363521</v>
      </c>
      <c r="D841" t="n">
        <v>72714</v>
      </c>
      <c r="E841" t="n">
        <v>59861</v>
      </c>
      <c r="F841">
        <f>C841/(1-MIN(0.75,E841/(24000+E841)))</f>
        <v/>
      </c>
    </row>
    <row r="842">
      <c r="A842" t="n">
        <v>169</v>
      </c>
      <c r="B842" t="n">
        <v>841</v>
      </c>
      <c r="C842" t="n">
        <v>7814981</v>
      </c>
      <c r="D842" t="n">
        <v>74074</v>
      </c>
      <c r="E842" t="n">
        <v>72578</v>
      </c>
      <c r="F842">
        <f>C842/(1-MIN(0.75,E842/(24000+E842)))</f>
        <v/>
      </c>
    </row>
    <row r="843">
      <c r="A843" t="n">
        <v>169</v>
      </c>
      <c r="B843" t="n">
        <v>842</v>
      </c>
      <c r="C843" t="n">
        <v>5209987</v>
      </c>
      <c r="D843" t="n">
        <v>88889</v>
      </c>
      <c r="E843" t="n">
        <v>48385</v>
      </c>
      <c r="F843">
        <f>C843/(1-MIN(0.75,E843/(24000+E843)))</f>
        <v/>
      </c>
    </row>
    <row r="844">
      <c r="A844" t="n">
        <v>169</v>
      </c>
      <c r="B844" t="n">
        <v>843</v>
      </c>
      <c r="C844" t="n">
        <v>5209987</v>
      </c>
      <c r="D844" t="n">
        <v>88889</v>
      </c>
      <c r="E844" t="n">
        <v>48385</v>
      </c>
      <c r="F844">
        <f>C844/(1-MIN(0.75,E844/(24000+E844)))</f>
        <v/>
      </c>
    </row>
    <row r="845">
      <c r="A845" t="n">
        <v>169</v>
      </c>
      <c r="B845" t="n">
        <v>844</v>
      </c>
      <c r="C845" t="n">
        <v>5209987</v>
      </c>
      <c r="D845" t="n">
        <v>88889</v>
      </c>
      <c r="E845" t="n">
        <v>48385</v>
      </c>
      <c r="F845">
        <f>C845/(1-MIN(0.75,E845/(24000+E845)))</f>
        <v/>
      </c>
    </row>
    <row r="846">
      <c r="A846" t="n">
        <v>169</v>
      </c>
      <c r="B846" t="n">
        <v>845</v>
      </c>
      <c r="C846" t="n">
        <v>6512484</v>
      </c>
      <c r="D846" t="n">
        <v>74074</v>
      </c>
      <c r="E846" t="n">
        <v>60481</v>
      </c>
      <c r="F846">
        <f>C846/(1-MIN(0.75,E846/(24000+E846)))</f>
        <v/>
      </c>
    </row>
    <row r="847">
      <c r="A847" t="n">
        <v>170</v>
      </c>
      <c r="B847" t="n">
        <v>846</v>
      </c>
      <c r="C847" t="n">
        <v>7942306</v>
      </c>
      <c r="D847" t="n">
        <v>75136</v>
      </c>
      <c r="E847" t="n">
        <v>73076</v>
      </c>
      <c r="F847">
        <f>C847/(1-MIN(0.75,E847/(24000+E847)))</f>
        <v/>
      </c>
    </row>
    <row r="848">
      <c r="A848" t="n">
        <v>170</v>
      </c>
      <c r="B848" t="n">
        <v>847</v>
      </c>
      <c r="C848" t="n">
        <v>5294871</v>
      </c>
      <c r="D848" t="n">
        <v>90164</v>
      </c>
      <c r="E848" t="n">
        <v>48717</v>
      </c>
      <c r="F848">
        <f>C848/(1-MIN(0.75,E848/(24000+E848)))</f>
        <v/>
      </c>
    </row>
    <row r="849">
      <c r="A849" t="n">
        <v>170</v>
      </c>
      <c r="B849" t="n">
        <v>848</v>
      </c>
      <c r="C849" t="n">
        <v>5294871</v>
      </c>
      <c r="D849" t="n">
        <v>90164</v>
      </c>
      <c r="E849" t="n">
        <v>48717</v>
      </c>
      <c r="F849">
        <f>C849/(1-MIN(0.75,E849/(24000+E849)))</f>
        <v/>
      </c>
    </row>
    <row r="850">
      <c r="A850" t="n">
        <v>170</v>
      </c>
      <c r="B850" t="n">
        <v>849</v>
      </c>
      <c r="C850" t="n">
        <v>5294871</v>
      </c>
      <c r="D850" t="n">
        <v>90164</v>
      </c>
      <c r="E850" t="n">
        <v>48717</v>
      </c>
      <c r="F850">
        <f>C850/(1-MIN(0.75,E850/(24000+E850)))</f>
        <v/>
      </c>
    </row>
    <row r="851">
      <c r="A851" t="n">
        <v>170</v>
      </c>
      <c r="B851" t="n">
        <v>850</v>
      </c>
      <c r="C851" t="n">
        <v>6618588</v>
      </c>
      <c r="D851" t="n">
        <v>75136</v>
      </c>
      <c r="E851" t="n">
        <v>60896</v>
      </c>
      <c r="F851">
        <f>C851/(1-MIN(0.75,E851/(24000+E851)))</f>
        <v/>
      </c>
    </row>
    <row r="852">
      <c r="A852" t="n">
        <v>171</v>
      </c>
      <c r="B852" t="n">
        <v>851</v>
      </c>
      <c r="C852" t="n">
        <v>8120290</v>
      </c>
      <c r="D852" t="n">
        <v>76388</v>
      </c>
      <c r="E852" t="n">
        <v>73824</v>
      </c>
      <c r="F852">
        <f>C852/(1-MIN(0.75,E852/(24000+E852)))</f>
        <v/>
      </c>
    </row>
    <row r="853">
      <c r="A853" t="n">
        <v>171</v>
      </c>
      <c r="B853" t="n">
        <v>852</v>
      </c>
      <c r="C853" t="n">
        <v>5413527</v>
      </c>
      <c r="D853" t="n">
        <v>91666</v>
      </c>
      <c r="E853" t="n">
        <v>49216</v>
      </c>
      <c r="F853">
        <f>C853/(1-MIN(0.75,E853/(24000+E853)))</f>
        <v/>
      </c>
    </row>
    <row r="854">
      <c r="A854" t="n">
        <v>171</v>
      </c>
      <c r="B854" t="n">
        <v>853</v>
      </c>
      <c r="C854" t="n">
        <v>5413527</v>
      </c>
      <c r="D854" t="n">
        <v>91666</v>
      </c>
      <c r="E854" t="n">
        <v>49216</v>
      </c>
      <c r="F854">
        <f>C854/(1-MIN(0.75,E854/(24000+E854)))</f>
        <v/>
      </c>
    </row>
    <row r="855">
      <c r="A855" t="n">
        <v>171</v>
      </c>
      <c r="B855" t="n">
        <v>854</v>
      </c>
      <c r="C855" t="n">
        <v>5413527</v>
      </c>
      <c r="D855" t="n">
        <v>91666</v>
      </c>
      <c r="E855" t="n">
        <v>49216</v>
      </c>
      <c r="F855">
        <f>C855/(1-MIN(0.75,E855/(24000+E855)))</f>
        <v/>
      </c>
    </row>
    <row r="856">
      <c r="A856" t="n">
        <v>171</v>
      </c>
      <c r="B856" t="n">
        <v>855</v>
      </c>
      <c r="C856" t="n">
        <v>6766908</v>
      </c>
      <c r="D856" t="n">
        <v>76388</v>
      </c>
      <c r="E856" t="n">
        <v>61520</v>
      </c>
      <c r="F856">
        <f>C856/(1-MIN(0.75,E856/(24000+E856)))</f>
        <v/>
      </c>
    </row>
    <row r="857">
      <c r="A857" t="n">
        <v>172</v>
      </c>
      <c r="B857" t="n">
        <v>856</v>
      </c>
      <c r="C857" t="n">
        <v>8245040</v>
      </c>
      <c r="D857" t="n">
        <v>77330</v>
      </c>
      <c r="E857" t="n">
        <v>74325</v>
      </c>
      <c r="F857">
        <f>C857/(1-MIN(0.75,E857/(24000+E857)))</f>
        <v/>
      </c>
    </row>
    <row r="858">
      <c r="A858" t="n">
        <v>172</v>
      </c>
      <c r="B858" t="n">
        <v>857</v>
      </c>
      <c r="C858" t="n">
        <v>5496693</v>
      </c>
      <c r="D858" t="n">
        <v>92796</v>
      </c>
      <c r="E858" t="n">
        <v>49550</v>
      </c>
      <c r="F858">
        <f>C858/(1-MIN(0.75,E858/(24000+E858)))</f>
        <v/>
      </c>
    </row>
    <row r="859">
      <c r="A859" t="n">
        <v>172</v>
      </c>
      <c r="B859" t="n">
        <v>858</v>
      </c>
      <c r="C859" t="n">
        <v>5496693</v>
      </c>
      <c r="D859" t="n">
        <v>92796</v>
      </c>
      <c r="E859" t="n">
        <v>49550</v>
      </c>
      <c r="F859">
        <f>C859/(1-MIN(0.75,E859/(24000+E859)))</f>
        <v/>
      </c>
    </row>
    <row r="860">
      <c r="A860" t="n">
        <v>172</v>
      </c>
      <c r="B860" t="n">
        <v>859</v>
      </c>
      <c r="C860" t="n">
        <v>5496693</v>
      </c>
      <c r="D860" t="n">
        <v>92796</v>
      </c>
      <c r="E860" t="n">
        <v>49550</v>
      </c>
      <c r="F860">
        <f>C860/(1-MIN(0.75,E860/(24000+E860)))</f>
        <v/>
      </c>
    </row>
    <row r="861">
      <c r="A861" t="n">
        <v>172</v>
      </c>
      <c r="B861" t="n">
        <v>860</v>
      </c>
      <c r="C861" t="n">
        <v>6870867</v>
      </c>
      <c r="D861" t="n">
        <v>77330</v>
      </c>
      <c r="E861" t="n">
        <v>61938</v>
      </c>
      <c r="F861">
        <f>C861/(1-MIN(0.75,E861/(24000+E861)))</f>
        <v/>
      </c>
    </row>
    <row r="862">
      <c r="A862" t="n">
        <v>173</v>
      </c>
      <c r="B862" t="n">
        <v>861</v>
      </c>
      <c r="C862" t="n">
        <v>8435009</v>
      </c>
      <c r="D862" t="n">
        <v>78762</v>
      </c>
      <c r="E862" t="n">
        <v>75080</v>
      </c>
      <c r="F862">
        <f>C862/(1-MIN(0.75,E862/(24000+E862)))</f>
        <v/>
      </c>
    </row>
    <row r="863">
      <c r="A863" t="n">
        <v>173</v>
      </c>
      <c r="B863" t="n">
        <v>862</v>
      </c>
      <c r="C863" t="n">
        <v>5623339</v>
      </c>
      <c r="D863" t="n">
        <v>94514</v>
      </c>
      <c r="E863" t="n">
        <v>50053</v>
      </c>
      <c r="F863">
        <f>C863/(1-MIN(0.75,E863/(24000+E863)))</f>
        <v/>
      </c>
    </row>
    <row r="864">
      <c r="A864" t="n">
        <v>173</v>
      </c>
      <c r="B864" t="n">
        <v>863</v>
      </c>
      <c r="C864" t="n">
        <v>5623339</v>
      </c>
      <c r="D864" t="n">
        <v>94514</v>
      </c>
      <c r="E864" t="n">
        <v>50053</v>
      </c>
      <c r="F864">
        <f>C864/(1-MIN(0.75,E864/(24000+E864)))</f>
        <v/>
      </c>
    </row>
    <row r="865">
      <c r="A865" t="n">
        <v>173</v>
      </c>
      <c r="B865" t="n">
        <v>864</v>
      </c>
      <c r="C865" t="n">
        <v>5623339</v>
      </c>
      <c r="D865" t="n">
        <v>94514</v>
      </c>
      <c r="E865" t="n">
        <v>50053</v>
      </c>
      <c r="F865">
        <f>C865/(1-MIN(0.75,E865/(24000+E865)))</f>
        <v/>
      </c>
    </row>
    <row r="866">
      <c r="A866" t="n">
        <v>173</v>
      </c>
      <c r="B866" t="n">
        <v>865</v>
      </c>
      <c r="C866" t="n">
        <v>7029174</v>
      </c>
      <c r="D866" t="n">
        <v>78762</v>
      </c>
      <c r="E866" t="n">
        <v>62566</v>
      </c>
      <c r="F866">
        <f>C866/(1-MIN(0.75,E866/(24000+E866)))</f>
        <v/>
      </c>
    </row>
    <row r="867">
      <c r="A867" t="n">
        <v>174</v>
      </c>
      <c r="B867" t="n">
        <v>866</v>
      </c>
      <c r="C867" t="n">
        <v>8563582</v>
      </c>
      <c r="D867" t="n">
        <v>79728</v>
      </c>
      <c r="E867" t="n">
        <v>75585</v>
      </c>
      <c r="F867">
        <f>C867/(1-MIN(0.75,E867/(24000+E867)))</f>
        <v/>
      </c>
    </row>
    <row r="868">
      <c r="A868" t="n">
        <v>174</v>
      </c>
      <c r="B868" t="n">
        <v>867</v>
      </c>
      <c r="C868" t="n">
        <v>5709055</v>
      </c>
      <c r="D868" t="n">
        <v>95673</v>
      </c>
      <c r="E868" t="n">
        <v>50390</v>
      </c>
      <c r="F868">
        <f>C868/(1-MIN(0.75,E868/(24000+E868)))</f>
        <v/>
      </c>
    </row>
    <row r="869">
      <c r="A869" t="n">
        <v>174</v>
      </c>
      <c r="B869" t="n">
        <v>868</v>
      </c>
      <c r="C869" t="n">
        <v>5709055</v>
      </c>
      <c r="D869" t="n">
        <v>95673</v>
      </c>
      <c r="E869" t="n">
        <v>50390</v>
      </c>
      <c r="F869">
        <f>C869/(1-MIN(0.75,E869/(24000+E869)))</f>
        <v/>
      </c>
    </row>
    <row r="870">
      <c r="A870" t="n">
        <v>174</v>
      </c>
      <c r="B870" t="n">
        <v>869</v>
      </c>
      <c r="C870" t="n">
        <v>5709055</v>
      </c>
      <c r="D870" t="n">
        <v>95673</v>
      </c>
      <c r="E870" t="n">
        <v>50390</v>
      </c>
      <c r="F870">
        <f>C870/(1-MIN(0.75,E870/(24000+E870)))</f>
        <v/>
      </c>
    </row>
    <row r="871">
      <c r="A871" t="n">
        <v>174</v>
      </c>
      <c r="B871" t="n">
        <v>870</v>
      </c>
      <c r="C871" t="n">
        <v>7136318</v>
      </c>
      <c r="D871" t="n">
        <v>79728</v>
      </c>
      <c r="E871" t="n">
        <v>62988</v>
      </c>
      <c r="F871">
        <f>C871/(1-MIN(0.75,E871/(24000+E871)))</f>
        <v/>
      </c>
    </row>
    <row r="872">
      <c r="A872" t="n">
        <v>175</v>
      </c>
      <c r="B872" t="n">
        <v>871</v>
      </c>
      <c r="C872" t="n">
        <v>8800288</v>
      </c>
      <c r="D872" t="n">
        <v>80845</v>
      </c>
      <c r="E872" t="n">
        <v>76344</v>
      </c>
      <c r="F872">
        <f>C872/(1-MIN(0.75,E872/(24000+E872)))</f>
        <v/>
      </c>
    </row>
    <row r="873">
      <c r="A873" t="n">
        <v>175</v>
      </c>
      <c r="B873" t="n">
        <v>872</v>
      </c>
      <c r="C873" t="n">
        <v>5866858</v>
      </c>
      <c r="D873" t="n">
        <v>97013</v>
      </c>
      <c r="E873" t="n">
        <v>50896</v>
      </c>
      <c r="F873">
        <f>C873/(1-MIN(0.75,E873/(24000+E873)))</f>
        <v/>
      </c>
    </row>
    <row r="874">
      <c r="A874" t="n">
        <v>175</v>
      </c>
      <c r="B874" t="n">
        <v>873</v>
      </c>
      <c r="C874" t="n">
        <v>5866858</v>
      </c>
      <c r="D874" t="n">
        <v>97013</v>
      </c>
      <c r="E874" t="n">
        <v>50896</v>
      </c>
      <c r="F874">
        <f>C874/(1-MIN(0.75,E874/(24000+E874)))</f>
        <v/>
      </c>
    </row>
    <row r="875">
      <c r="A875" t="n">
        <v>175</v>
      </c>
      <c r="B875" t="n">
        <v>874</v>
      </c>
      <c r="C875" t="n">
        <v>5866858</v>
      </c>
      <c r="D875" t="n">
        <v>97013</v>
      </c>
      <c r="E875" t="n">
        <v>50896</v>
      </c>
      <c r="F875">
        <f>C875/(1-MIN(0.75,E875/(24000+E875)))</f>
        <v/>
      </c>
    </row>
    <row r="876">
      <c r="A876" t="n">
        <v>175</v>
      </c>
      <c r="B876" t="n">
        <v>875</v>
      </c>
      <c r="C876" t="n">
        <v>7333573</v>
      </c>
      <c r="D876" t="n">
        <v>80845</v>
      </c>
      <c r="E876" t="n">
        <v>63620</v>
      </c>
      <c r="F876">
        <f>C876/(1-MIN(0.75,E876/(24000+E876)))</f>
        <v/>
      </c>
    </row>
    <row r="877">
      <c r="A877" t="n">
        <v>176</v>
      </c>
      <c r="B877" t="n">
        <v>876</v>
      </c>
      <c r="C877" t="n">
        <v>8958704</v>
      </c>
      <c r="D877" t="n">
        <v>82687</v>
      </c>
      <c r="E877" t="n">
        <v>77106</v>
      </c>
      <c r="F877">
        <f>C877/(1-MIN(0.75,E877/(24000+E877)))</f>
        <v/>
      </c>
    </row>
    <row r="878">
      <c r="A878" t="n">
        <v>176</v>
      </c>
      <c r="B878" t="n">
        <v>877</v>
      </c>
      <c r="C878" t="n">
        <v>5972470</v>
      </c>
      <c r="D878" t="n">
        <v>99224</v>
      </c>
      <c r="E878" t="n">
        <v>51404</v>
      </c>
      <c r="F878">
        <f>C878/(1-MIN(0.75,E878/(24000+E878)))</f>
        <v/>
      </c>
    </row>
    <row r="879">
      <c r="A879" t="n">
        <v>176</v>
      </c>
      <c r="B879" t="n">
        <v>878</v>
      </c>
      <c r="C879" t="n">
        <v>5972470</v>
      </c>
      <c r="D879" t="n">
        <v>99224</v>
      </c>
      <c r="E879" t="n">
        <v>51404</v>
      </c>
      <c r="F879">
        <f>C879/(1-MIN(0.75,E879/(24000+E879)))</f>
        <v/>
      </c>
    </row>
    <row r="880">
      <c r="A880" t="n">
        <v>176</v>
      </c>
      <c r="B880" t="n">
        <v>879</v>
      </c>
      <c r="C880" t="n">
        <v>5972470</v>
      </c>
      <c r="D880" t="n">
        <v>99224</v>
      </c>
      <c r="E880" t="n">
        <v>51404</v>
      </c>
      <c r="F880">
        <f>C880/(1-MIN(0.75,E880/(24000+E880)))</f>
        <v/>
      </c>
    </row>
    <row r="881">
      <c r="A881" t="n">
        <v>176</v>
      </c>
      <c r="B881" t="n">
        <v>880</v>
      </c>
      <c r="C881" t="n">
        <v>7465587</v>
      </c>
      <c r="D881" t="n">
        <v>82687</v>
      </c>
      <c r="E881" t="n">
        <v>64255</v>
      </c>
      <c r="F881">
        <f>C881/(1-MIN(0.75,E881/(24000+E881)))</f>
        <v/>
      </c>
    </row>
    <row r="882">
      <c r="A882" t="n">
        <v>177</v>
      </c>
      <c r="B882" t="n">
        <v>881</v>
      </c>
      <c r="C882" t="n">
        <v>9093594</v>
      </c>
      <c r="D882" t="n">
        <v>83693</v>
      </c>
      <c r="E882" t="n">
        <v>77616</v>
      </c>
      <c r="F882">
        <f>C882/(1-MIN(0.75,E882/(24000+E882)))</f>
        <v/>
      </c>
    </row>
    <row r="883">
      <c r="A883" t="n">
        <v>177</v>
      </c>
      <c r="B883" t="n">
        <v>882</v>
      </c>
      <c r="C883" t="n">
        <v>6062396</v>
      </c>
      <c r="D883" t="n">
        <v>100432</v>
      </c>
      <c r="E883" t="n">
        <v>51744</v>
      </c>
      <c r="F883">
        <f>C883/(1-MIN(0.75,E883/(24000+E883)))</f>
        <v/>
      </c>
    </row>
    <row r="884">
      <c r="A884" t="n">
        <v>177</v>
      </c>
      <c r="B884" t="n">
        <v>883</v>
      </c>
      <c r="C884" t="n">
        <v>6062396</v>
      </c>
      <c r="D884" t="n">
        <v>100432</v>
      </c>
      <c r="E884" t="n">
        <v>51744</v>
      </c>
      <c r="F884">
        <f>C884/(1-MIN(0.75,E884/(24000+E884)))</f>
        <v/>
      </c>
    </row>
    <row r="885">
      <c r="A885" t="n">
        <v>177</v>
      </c>
      <c r="B885" t="n">
        <v>884</v>
      </c>
      <c r="C885" t="n">
        <v>6062396</v>
      </c>
      <c r="D885" t="n">
        <v>100432</v>
      </c>
      <c r="E885" t="n">
        <v>51744</v>
      </c>
      <c r="F885">
        <f>C885/(1-MIN(0.75,E885/(24000+E885)))</f>
        <v/>
      </c>
    </row>
    <row r="886">
      <c r="A886" t="n">
        <v>177</v>
      </c>
      <c r="B886" t="n">
        <v>885</v>
      </c>
      <c r="C886" t="n">
        <v>7577995</v>
      </c>
      <c r="D886" t="n">
        <v>83693</v>
      </c>
      <c r="E886" t="n">
        <v>64680</v>
      </c>
      <c r="F886">
        <f>C886/(1-MIN(0.75,E886/(24000+E886)))</f>
        <v/>
      </c>
    </row>
    <row r="887">
      <c r="A887" t="n">
        <v>178</v>
      </c>
      <c r="B887" t="n">
        <v>886</v>
      </c>
      <c r="C887" t="n">
        <v>9298964</v>
      </c>
      <c r="D887" t="n">
        <v>85222</v>
      </c>
      <c r="E887" t="n">
        <v>78384</v>
      </c>
      <c r="F887">
        <f>C887/(1-MIN(0.75,E887/(24000+E887)))</f>
        <v/>
      </c>
    </row>
    <row r="888">
      <c r="A888" t="n">
        <v>178</v>
      </c>
      <c r="B888" t="n">
        <v>887</v>
      </c>
      <c r="C888" t="n">
        <v>6199309</v>
      </c>
      <c r="D888" t="n">
        <v>102266</v>
      </c>
      <c r="E888" t="n">
        <v>52256</v>
      </c>
      <c r="F888">
        <f>C888/(1-MIN(0.75,E888/(24000+E888)))</f>
        <v/>
      </c>
    </row>
    <row r="889">
      <c r="A889" t="n">
        <v>178</v>
      </c>
      <c r="B889" t="n">
        <v>888</v>
      </c>
      <c r="C889" t="n">
        <v>6199309</v>
      </c>
      <c r="D889" t="n">
        <v>102266</v>
      </c>
      <c r="E889" t="n">
        <v>52256</v>
      </c>
      <c r="F889">
        <f>C889/(1-MIN(0.75,E889/(24000+E889)))</f>
        <v/>
      </c>
    </row>
    <row r="890">
      <c r="A890" t="n">
        <v>178</v>
      </c>
      <c r="B890" t="n">
        <v>889</v>
      </c>
      <c r="C890" t="n">
        <v>6199309</v>
      </c>
      <c r="D890" t="n">
        <v>102266</v>
      </c>
      <c r="E890" t="n">
        <v>52256</v>
      </c>
      <c r="F890">
        <f>C890/(1-MIN(0.75,E890/(24000+E890)))</f>
        <v/>
      </c>
    </row>
    <row r="891">
      <c r="A891" t="n">
        <v>178</v>
      </c>
      <c r="B891" t="n">
        <v>890</v>
      </c>
      <c r="C891" t="n">
        <v>7749136</v>
      </c>
      <c r="D891" t="n">
        <v>85222</v>
      </c>
      <c r="E891" t="n">
        <v>65320</v>
      </c>
      <c r="F891">
        <f>C891/(1-MIN(0.75,E891/(24000+E891)))</f>
        <v/>
      </c>
    </row>
    <row r="892">
      <c r="A892" t="n">
        <v>179</v>
      </c>
      <c r="B892" t="n">
        <v>891</v>
      </c>
      <c r="C892" t="n">
        <v>9437926</v>
      </c>
      <c r="D892" t="n">
        <v>86254</v>
      </c>
      <c r="E892" t="n">
        <v>78899</v>
      </c>
      <c r="F892">
        <f>C892/(1-MIN(0.75,E892/(24000+E892)))</f>
        <v/>
      </c>
    </row>
    <row r="893">
      <c r="A893" t="n">
        <v>179</v>
      </c>
      <c r="B893" t="n">
        <v>892</v>
      </c>
      <c r="C893" t="n">
        <v>6291951</v>
      </c>
      <c r="D893" t="n">
        <v>103505</v>
      </c>
      <c r="E893" t="n">
        <v>52599</v>
      </c>
      <c r="F893">
        <f>C893/(1-MIN(0.75,E893/(24000+E893)))</f>
        <v/>
      </c>
    </row>
    <row r="894">
      <c r="A894" t="n">
        <v>179</v>
      </c>
      <c r="B894" t="n">
        <v>893</v>
      </c>
      <c r="C894" t="n">
        <v>6291951</v>
      </c>
      <c r="D894" t="n">
        <v>103505</v>
      </c>
      <c r="E894" t="n">
        <v>52599</v>
      </c>
      <c r="F894">
        <f>C894/(1-MIN(0.75,E894/(24000+E894)))</f>
        <v/>
      </c>
    </row>
    <row r="895">
      <c r="A895" t="n">
        <v>179</v>
      </c>
      <c r="B895" t="n">
        <v>894</v>
      </c>
      <c r="C895" t="n">
        <v>6291951</v>
      </c>
      <c r="D895" t="n">
        <v>103505</v>
      </c>
      <c r="E895" t="n">
        <v>52599</v>
      </c>
      <c r="F895">
        <f>C895/(1-MIN(0.75,E895/(24000+E895)))</f>
        <v/>
      </c>
    </row>
    <row r="896">
      <c r="A896" t="n">
        <v>179</v>
      </c>
      <c r="B896" t="n">
        <v>895</v>
      </c>
      <c r="C896" t="n">
        <v>7864938</v>
      </c>
      <c r="D896" t="n">
        <v>86254</v>
      </c>
      <c r="E896" t="n">
        <v>65749</v>
      </c>
      <c r="F896">
        <f>C896/(1-MIN(0.75,E896/(24000+E896)))</f>
        <v/>
      </c>
    </row>
    <row r="897">
      <c r="A897" t="n">
        <v>180</v>
      </c>
      <c r="B897" t="n">
        <v>896</v>
      </c>
      <c r="C897" t="n">
        <v>9657157</v>
      </c>
      <c r="D897" t="n">
        <v>87991</v>
      </c>
      <c r="E897" t="n">
        <v>79671</v>
      </c>
      <c r="F897">
        <f>C897/(1-MIN(0.75,E897/(24000+E897)))</f>
        <v/>
      </c>
    </row>
    <row r="898">
      <c r="A898" t="n">
        <v>180</v>
      </c>
      <c r="B898" t="n">
        <v>897</v>
      </c>
      <c r="C898" t="n">
        <v>6438104</v>
      </c>
      <c r="D898" t="n">
        <v>105589</v>
      </c>
      <c r="E898" t="n">
        <v>53114</v>
      </c>
      <c r="F898">
        <f>C898/(1-MIN(0.75,E898/(24000+E898)))</f>
        <v/>
      </c>
    </row>
    <row r="899">
      <c r="A899" t="n">
        <v>180</v>
      </c>
      <c r="B899" t="n">
        <v>898</v>
      </c>
      <c r="C899" t="n">
        <v>6438104</v>
      </c>
      <c r="D899" t="n">
        <v>105589</v>
      </c>
      <c r="E899" t="n">
        <v>53114</v>
      </c>
      <c r="F899">
        <f>C899/(1-MIN(0.75,E899/(24000+E899)))</f>
        <v/>
      </c>
    </row>
    <row r="900">
      <c r="A900" t="n">
        <v>180</v>
      </c>
      <c r="B900" t="n">
        <v>899</v>
      </c>
      <c r="C900" t="n">
        <v>6438104</v>
      </c>
      <c r="D900" t="n">
        <v>105589</v>
      </c>
      <c r="E900" t="n">
        <v>53114</v>
      </c>
      <c r="F900">
        <f>C900/(1-MIN(0.75,E900/(24000+E900)))</f>
        <v/>
      </c>
    </row>
    <row r="901">
      <c r="A901" t="n">
        <v>180</v>
      </c>
      <c r="B901" t="n">
        <v>900</v>
      </c>
      <c r="C901" t="n">
        <v>8047630</v>
      </c>
      <c r="D901" t="n">
        <v>87991</v>
      </c>
      <c r="E901" t="n">
        <v>66393</v>
      </c>
      <c r="F901">
        <f>C901/(1-MIN(0.75,E901/(24000+E901)))</f>
        <v/>
      </c>
    </row>
    <row r="902">
      <c r="A902" t="n">
        <v>181</v>
      </c>
      <c r="B902" t="n">
        <v>901</v>
      </c>
      <c r="C902" t="n">
        <v>9864810</v>
      </c>
      <c r="D902" t="n">
        <v>89415</v>
      </c>
      <c r="E902" t="n">
        <v>80447</v>
      </c>
      <c r="F902">
        <f>C902/(1-MIN(0.75,E902/(24000+E902)))</f>
        <v/>
      </c>
    </row>
    <row r="903">
      <c r="A903" t="n">
        <v>181</v>
      </c>
      <c r="B903" t="n">
        <v>902</v>
      </c>
      <c r="C903" t="n">
        <v>6576540</v>
      </c>
      <c r="D903" t="n">
        <v>107298</v>
      </c>
      <c r="E903" t="n">
        <v>53631</v>
      </c>
      <c r="F903">
        <f>C903/(1-MIN(0.75,E903/(24000+E903)))</f>
        <v/>
      </c>
    </row>
    <row r="904">
      <c r="A904" t="n">
        <v>181</v>
      </c>
      <c r="B904" t="n">
        <v>903</v>
      </c>
      <c r="C904" t="n">
        <v>6576540</v>
      </c>
      <c r="D904" t="n">
        <v>107298</v>
      </c>
      <c r="E904" t="n">
        <v>53631</v>
      </c>
      <c r="F904">
        <f>C904/(1-MIN(0.75,E904/(24000+E904)))</f>
        <v/>
      </c>
    </row>
    <row r="905">
      <c r="A905" t="n">
        <v>181</v>
      </c>
      <c r="B905" t="n">
        <v>904</v>
      </c>
      <c r="C905" t="n">
        <v>6576540</v>
      </c>
      <c r="D905" t="n">
        <v>107298</v>
      </c>
      <c r="E905" t="n">
        <v>53631</v>
      </c>
      <c r="F905">
        <f>C905/(1-MIN(0.75,E905/(24000+E905)))</f>
        <v/>
      </c>
    </row>
    <row r="906">
      <c r="A906" t="n">
        <v>181</v>
      </c>
      <c r="B906" t="n">
        <v>905</v>
      </c>
      <c r="C906" t="n">
        <v>8220675</v>
      </c>
      <c r="D906" t="n">
        <v>89415</v>
      </c>
      <c r="E906" t="n">
        <v>67039</v>
      </c>
      <c r="F906">
        <f>C906/(1-MIN(0.75,E906/(24000+E906)))</f>
        <v/>
      </c>
    </row>
    <row r="907">
      <c r="A907" t="n">
        <v>182</v>
      </c>
      <c r="B907" t="n">
        <v>906</v>
      </c>
      <c r="C907" t="n">
        <v>10083980</v>
      </c>
      <c r="D907" t="n">
        <v>91031</v>
      </c>
      <c r="E907" t="n">
        <v>81225</v>
      </c>
      <c r="F907">
        <f>C907/(1-MIN(0.75,E907/(24000+E907)))</f>
        <v/>
      </c>
    </row>
    <row r="908">
      <c r="A908" t="n">
        <v>182</v>
      </c>
      <c r="B908" t="n">
        <v>907</v>
      </c>
      <c r="C908" t="n">
        <v>6722654</v>
      </c>
      <c r="D908" t="n">
        <v>109237</v>
      </c>
      <c r="E908" t="n">
        <v>54150</v>
      </c>
      <c r="F908">
        <f>C908/(1-MIN(0.75,E908/(24000+E908)))</f>
        <v/>
      </c>
    </row>
    <row r="909">
      <c r="A909" t="n">
        <v>182</v>
      </c>
      <c r="B909" t="n">
        <v>908</v>
      </c>
      <c r="C909" t="n">
        <v>6722654</v>
      </c>
      <c r="D909" t="n">
        <v>109237</v>
      </c>
      <c r="E909" t="n">
        <v>54150</v>
      </c>
      <c r="F909">
        <f>C909/(1-MIN(0.75,E909/(24000+E909)))</f>
        <v/>
      </c>
    </row>
    <row r="910">
      <c r="A910" t="n">
        <v>182</v>
      </c>
      <c r="B910" t="n">
        <v>909</v>
      </c>
      <c r="C910" t="n">
        <v>6722654</v>
      </c>
      <c r="D910" t="n">
        <v>109237</v>
      </c>
      <c r="E910" t="n">
        <v>54150</v>
      </c>
      <c r="F910">
        <f>C910/(1-MIN(0.75,E910/(24000+E910)))</f>
        <v/>
      </c>
    </row>
    <row r="911">
      <c r="A911" t="n">
        <v>182</v>
      </c>
      <c r="B911" t="n">
        <v>910</v>
      </c>
      <c r="C911" t="n">
        <v>8403317</v>
      </c>
      <c r="D911" t="n">
        <v>91031</v>
      </c>
      <c r="E911" t="n">
        <v>67688</v>
      </c>
      <c r="F911">
        <f>C911/(1-MIN(0.75,E911/(24000+E911)))</f>
        <v/>
      </c>
    </row>
    <row r="912">
      <c r="A912" t="n">
        <v>183</v>
      </c>
      <c r="B912" t="n">
        <v>911</v>
      </c>
      <c r="C912" t="n">
        <v>10307028</v>
      </c>
      <c r="D912" t="n">
        <v>92672</v>
      </c>
      <c r="E912" t="n">
        <v>82008</v>
      </c>
      <c r="F912">
        <f>C912/(1-MIN(0.75,E912/(24000+E912)))</f>
        <v/>
      </c>
    </row>
    <row r="913">
      <c r="A913" t="n">
        <v>183</v>
      </c>
      <c r="B913" t="n">
        <v>912</v>
      </c>
      <c r="C913" t="n">
        <v>6871352</v>
      </c>
      <c r="D913" t="n">
        <v>111207</v>
      </c>
      <c r="E913" t="n">
        <v>54672</v>
      </c>
      <c r="F913">
        <f>C913/(1-MIN(0.75,E913/(24000+E913)))</f>
        <v/>
      </c>
    </row>
    <row r="914">
      <c r="A914" t="n">
        <v>183</v>
      </c>
      <c r="B914" t="n">
        <v>913</v>
      </c>
      <c r="C914" t="n">
        <v>6871352</v>
      </c>
      <c r="D914" t="n">
        <v>111207</v>
      </c>
      <c r="E914" t="n">
        <v>54672</v>
      </c>
      <c r="F914">
        <f>C914/(1-MIN(0.75,E914/(24000+E914)))</f>
        <v/>
      </c>
    </row>
    <row r="915">
      <c r="A915" t="n">
        <v>183</v>
      </c>
      <c r="B915" t="n">
        <v>914</v>
      </c>
      <c r="C915" t="n">
        <v>6871352</v>
      </c>
      <c r="D915" t="n">
        <v>111207</v>
      </c>
      <c r="E915" t="n">
        <v>54672</v>
      </c>
      <c r="F915">
        <f>C915/(1-MIN(0.75,E915/(24000+E915)))</f>
        <v/>
      </c>
    </row>
    <row r="916">
      <c r="A916" t="n">
        <v>183</v>
      </c>
      <c r="B916" t="n">
        <v>915</v>
      </c>
      <c r="C916" t="n">
        <v>8589190</v>
      </c>
      <c r="D916" t="n">
        <v>92672</v>
      </c>
      <c r="E916" t="n">
        <v>68340</v>
      </c>
      <c r="F916">
        <f>C916/(1-MIN(0.75,E916/(24000+E916)))</f>
        <v/>
      </c>
    </row>
    <row r="917">
      <c r="A917" t="n">
        <v>184</v>
      </c>
      <c r="B917" t="n">
        <v>916</v>
      </c>
      <c r="C917" t="n">
        <v>10534020</v>
      </c>
      <c r="D917" t="n">
        <v>94338</v>
      </c>
      <c r="E917" t="n">
        <v>82793</v>
      </c>
      <c r="F917">
        <f>C917/(1-MIN(0.75,E917/(24000+E917)))</f>
        <v/>
      </c>
    </row>
    <row r="918">
      <c r="A918" t="n">
        <v>184</v>
      </c>
      <c r="B918" t="n">
        <v>917</v>
      </c>
      <c r="C918" t="n">
        <v>7022680</v>
      </c>
      <c r="D918" t="n">
        <v>113205</v>
      </c>
      <c r="E918" t="n">
        <v>55195</v>
      </c>
      <c r="F918">
        <f>C918/(1-MIN(0.75,E918/(24000+E918)))</f>
        <v/>
      </c>
    </row>
    <row r="919">
      <c r="A919" t="n">
        <v>184</v>
      </c>
      <c r="B919" t="n">
        <v>918</v>
      </c>
      <c r="C919" t="n">
        <v>7022680</v>
      </c>
      <c r="D919" t="n">
        <v>113205</v>
      </c>
      <c r="E919" t="n">
        <v>55195</v>
      </c>
      <c r="F919">
        <f>C919/(1-MIN(0.75,E919/(24000+E919)))</f>
        <v/>
      </c>
    </row>
    <row r="920">
      <c r="A920" t="n">
        <v>184</v>
      </c>
      <c r="B920" t="n">
        <v>919</v>
      </c>
      <c r="C920" t="n">
        <v>7022680</v>
      </c>
      <c r="D920" t="n">
        <v>113205</v>
      </c>
      <c r="E920" t="n">
        <v>55195</v>
      </c>
      <c r="F920">
        <f>C920/(1-MIN(0.75,E920/(24000+E920)))</f>
        <v/>
      </c>
    </row>
    <row r="921">
      <c r="A921" t="n">
        <v>184</v>
      </c>
      <c r="B921" t="n">
        <v>920</v>
      </c>
      <c r="C921" t="n">
        <v>8778350</v>
      </c>
      <c r="D921" t="n">
        <v>94338</v>
      </c>
      <c r="E921" t="n">
        <v>68994</v>
      </c>
      <c r="F921">
        <f>C921/(1-MIN(0.75,E921/(24000+E921)))</f>
        <v/>
      </c>
    </row>
    <row r="922">
      <c r="A922" t="n">
        <v>185</v>
      </c>
      <c r="B922" t="n">
        <v>921</v>
      </c>
      <c r="C922" t="n">
        <v>10815302</v>
      </c>
      <c r="D922" t="n">
        <v>95614</v>
      </c>
      <c r="E922" t="n">
        <v>83580</v>
      </c>
      <c r="F922">
        <f>C922/(1-MIN(0.75,E922/(24000+E922)))</f>
        <v/>
      </c>
    </row>
    <row r="923">
      <c r="A923" t="n">
        <v>185</v>
      </c>
      <c r="B923" t="n">
        <v>922</v>
      </c>
      <c r="C923" t="n">
        <v>7210202</v>
      </c>
      <c r="D923" t="n">
        <v>114737</v>
      </c>
      <c r="E923" t="n">
        <v>55720</v>
      </c>
      <c r="F923">
        <f>C923/(1-MIN(0.75,E923/(24000+E923)))</f>
        <v/>
      </c>
    </row>
    <row r="924">
      <c r="A924" t="n">
        <v>185</v>
      </c>
      <c r="B924" t="n">
        <v>923</v>
      </c>
      <c r="C924" t="n">
        <v>7210202</v>
      </c>
      <c r="D924" t="n">
        <v>114737</v>
      </c>
      <c r="E924" t="n">
        <v>55720</v>
      </c>
      <c r="F924">
        <f>C924/(1-MIN(0.75,E924/(24000+E924)))</f>
        <v/>
      </c>
    </row>
    <row r="925">
      <c r="A925" t="n">
        <v>185</v>
      </c>
      <c r="B925" t="n">
        <v>924</v>
      </c>
      <c r="C925" t="n">
        <v>7210202</v>
      </c>
      <c r="D925" t="n">
        <v>114737</v>
      </c>
      <c r="E925" t="n">
        <v>55720</v>
      </c>
      <c r="F925">
        <f>C925/(1-MIN(0.75,E925/(24000+E925)))</f>
        <v/>
      </c>
    </row>
    <row r="926">
      <c r="A926" t="n">
        <v>185</v>
      </c>
      <c r="B926" t="n">
        <v>925</v>
      </c>
      <c r="C926" t="n">
        <v>9012752</v>
      </c>
      <c r="D926" t="n">
        <v>95614</v>
      </c>
      <c r="E926" t="n">
        <v>69650</v>
      </c>
      <c r="F926">
        <f>C926/(1-MIN(0.75,E926/(24000+E926)))</f>
        <v/>
      </c>
    </row>
    <row r="927">
      <c r="A927" t="n">
        <v>186</v>
      </c>
      <c r="B927" t="n">
        <v>926</v>
      </c>
      <c r="C927" t="n">
        <v>11000049</v>
      </c>
      <c r="D927" t="n">
        <v>97746</v>
      </c>
      <c r="E927" t="n">
        <v>84372</v>
      </c>
      <c r="F927">
        <f>C927/(1-MIN(0.75,E927/(24000+E927)))</f>
        <v/>
      </c>
    </row>
    <row r="928">
      <c r="A928" t="n">
        <v>186</v>
      </c>
      <c r="B928" t="n">
        <v>927</v>
      </c>
      <c r="C928" t="n">
        <v>7333366</v>
      </c>
      <c r="D928" t="n">
        <v>117295</v>
      </c>
      <c r="E928" t="n">
        <v>56248</v>
      </c>
      <c r="F928">
        <f>C928/(1-MIN(0.75,E928/(24000+E928)))</f>
        <v/>
      </c>
    </row>
    <row r="929">
      <c r="A929" t="n">
        <v>186</v>
      </c>
      <c r="B929" t="n">
        <v>928</v>
      </c>
      <c r="C929" t="n">
        <v>7333366</v>
      </c>
      <c r="D929" t="n">
        <v>117295</v>
      </c>
      <c r="E929" t="n">
        <v>56248</v>
      </c>
      <c r="F929">
        <f>C929/(1-MIN(0.75,E929/(24000+E929)))</f>
        <v/>
      </c>
    </row>
    <row r="930">
      <c r="A930" t="n">
        <v>186</v>
      </c>
      <c r="B930" t="n">
        <v>929</v>
      </c>
      <c r="C930" t="n">
        <v>7333366</v>
      </c>
      <c r="D930" t="n">
        <v>117295</v>
      </c>
      <c r="E930" t="n">
        <v>56248</v>
      </c>
      <c r="F930">
        <f>C930/(1-MIN(0.75,E930/(24000+E930)))</f>
        <v/>
      </c>
    </row>
    <row r="931">
      <c r="A931" t="n">
        <v>186</v>
      </c>
      <c r="B931" t="n">
        <v>930</v>
      </c>
      <c r="C931" t="n">
        <v>9166708</v>
      </c>
      <c r="D931" t="n">
        <v>97746</v>
      </c>
      <c r="E931" t="n">
        <v>70310</v>
      </c>
      <c r="F931">
        <f>C931/(1-MIN(0.75,E931/(24000+E931)))</f>
        <v/>
      </c>
    </row>
    <row r="932">
      <c r="A932" t="n">
        <v>187</v>
      </c>
      <c r="B932" t="n">
        <v>931</v>
      </c>
      <c r="C932" t="n">
        <v>11239201</v>
      </c>
      <c r="D932" t="n">
        <v>99488</v>
      </c>
      <c r="E932" t="n">
        <v>85166</v>
      </c>
      <c r="F932">
        <f>C932/(1-MIN(0.75,E932/(24000+E932)))</f>
        <v/>
      </c>
    </row>
    <row r="933">
      <c r="A933" t="n">
        <v>187</v>
      </c>
      <c r="B933" t="n">
        <v>932</v>
      </c>
      <c r="C933" t="n">
        <v>7492800</v>
      </c>
      <c r="D933" t="n">
        <v>119386</v>
      </c>
      <c r="E933" t="n">
        <v>56777</v>
      </c>
      <c r="F933">
        <f>C933/(1-MIN(0.75,E933/(24000+E933)))</f>
        <v/>
      </c>
    </row>
    <row r="934">
      <c r="A934" t="n">
        <v>187</v>
      </c>
      <c r="B934" t="n">
        <v>933</v>
      </c>
      <c r="C934" t="n">
        <v>7492800</v>
      </c>
      <c r="D934" t="n">
        <v>119386</v>
      </c>
      <c r="E934" t="n">
        <v>56777</v>
      </c>
      <c r="F934">
        <f>C934/(1-MIN(0.75,E934/(24000+E934)))</f>
        <v/>
      </c>
    </row>
    <row r="935">
      <c r="A935" t="n">
        <v>187</v>
      </c>
      <c r="B935" t="n">
        <v>934</v>
      </c>
      <c r="C935" t="n">
        <v>7492800</v>
      </c>
      <c r="D935" t="n">
        <v>119386</v>
      </c>
      <c r="E935" t="n">
        <v>56777</v>
      </c>
      <c r="F935">
        <f>C935/(1-MIN(0.75,E935/(24000+E935)))</f>
        <v/>
      </c>
    </row>
    <row r="936">
      <c r="A936" t="n">
        <v>187</v>
      </c>
      <c r="B936" t="n">
        <v>935</v>
      </c>
      <c r="C936" t="n">
        <v>9366001</v>
      </c>
      <c r="D936" t="n">
        <v>99488</v>
      </c>
      <c r="E936" t="n">
        <v>70971</v>
      </c>
      <c r="F936">
        <f>C936/(1-MIN(0.75,E936/(24000+E936)))</f>
        <v/>
      </c>
    </row>
    <row r="937">
      <c r="A937" t="n">
        <v>188</v>
      </c>
      <c r="B937" t="n">
        <v>936</v>
      </c>
      <c r="C937" t="n">
        <v>11482520</v>
      </c>
      <c r="D937" t="n">
        <v>101258</v>
      </c>
      <c r="E937" t="n">
        <v>85964</v>
      </c>
      <c r="F937">
        <f>C937/(1-MIN(0.75,E937/(24000+E937)))</f>
        <v/>
      </c>
    </row>
    <row r="938">
      <c r="A938" t="n">
        <v>188</v>
      </c>
      <c r="B938" t="n">
        <v>937</v>
      </c>
      <c r="C938" t="n">
        <v>7655013</v>
      </c>
      <c r="D938" t="n">
        <v>121509</v>
      </c>
      <c r="E938" t="n">
        <v>57309</v>
      </c>
      <c r="F938">
        <f>C938/(1-MIN(0.75,E938/(24000+E938)))</f>
        <v/>
      </c>
    </row>
    <row r="939">
      <c r="A939" t="n">
        <v>188</v>
      </c>
      <c r="B939" t="n">
        <v>938</v>
      </c>
      <c r="C939" t="n">
        <v>7655013</v>
      </c>
      <c r="D939" t="n">
        <v>121509</v>
      </c>
      <c r="E939" t="n">
        <v>57309</v>
      </c>
      <c r="F939">
        <f>C939/(1-MIN(0.75,E939/(24000+E939)))</f>
        <v/>
      </c>
    </row>
    <row r="940">
      <c r="A940" t="n">
        <v>188</v>
      </c>
      <c r="B940" t="n">
        <v>939</v>
      </c>
      <c r="C940" t="n">
        <v>7655013</v>
      </c>
      <c r="D940" t="n">
        <v>121509</v>
      </c>
      <c r="E940" t="n">
        <v>57309</v>
      </c>
      <c r="F940">
        <f>C940/(1-MIN(0.75,E940/(24000+E940)))</f>
        <v/>
      </c>
    </row>
    <row r="941">
      <c r="A941" t="n">
        <v>188</v>
      </c>
      <c r="B941" t="n">
        <v>940</v>
      </c>
      <c r="C941" t="n">
        <v>9568766</v>
      </c>
      <c r="D941" t="n">
        <v>101258</v>
      </c>
      <c r="E941" t="n">
        <v>71636</v>
      </c>
      <c r="F941">
        <f>C941/(1-MIN(0.75,E941/(24000+E941)))</f>
        <v/>
      </c>
    </row>
    <row r="942">
      <c r="A942" t="n">
        <v>189</v>
      </c>
      <c r="B942" t="n">
        <v>941</v>
      </c>
      <c r="C942" t="n">
        <v>11730067</v>
      </c>
      <c r="D942" t="n">
        <v>103053</v>
      </c>
      <c r="E942" t="n">
        <v>86763</v>
      </c>
      <c r="F942">
        <f>C942/(1-MIN(0.75,E942/(24000+E942)))</f>
        <v/>
      </c>
    </row>
    <row r="943">
      <c r="A943" t="n">
        <v>189</v>
      </c>
      <c r="B943" t="n">
        <v>942</v>
      </c>
      <c r="C943" t="n">
        <v>7820045</v>
      </c>
      <c r="D943" t="n">
        <v>123664</v>
      </c>
      <c r="E943" t="n">
        <v>57842</v>
      </c>
      <c r="F943">
        <f>C943/(1-MIN(0.75,E943/(24000+E943)))</f>
        <v/>
      </c>
    </row>
    <row r="944">
      <c r="A944" t="n">
        <v>189</v>
      </c>
      <c r="B944" t="n">
        <v>943</v>
      </c>
      <c r="C944" t="n">
        <v>7820045</v>
      </c>
      <c r="D944" t="n">
        <v>123664</v>
      </c>
      <c r="E944" t="n">
        <v>57842</v>
      </c>
      <c r="F944">
        <f>C944/(1-MIN(0.75,E944/(24000+E944)))</f>
        <v/>
      </c>
    </row>
    <row r="945">
      <c r="A945" t="n">
        <v>189</v>
      </c>
      <c r="B945" t="n">
        <v>944</v>
      </c>
      <c r="C945" t="n">
        <v>7820045</v>
      </c>
      <c r="D945" t="n">
        <v>123664</v>
      </c>
      <c r="E945" t="n">
        <v>57842</v>
      </c>
      <c r="F945">
        <f>C945/(1-MIN(0.75,E945/(24000+E945)))</f>
        <v/>
      </c>
    </row>
    <row r="946">
      <c r="A946" t="n">
        <v>189</v>
      </c>
      <c r="B946" t="n">
        <v>945</v>
      </c>
      <c r="C946" t="n">
        <v>9775056</v>
      </c>
      <c r="D946" t="n">
        <v>103053</v>
      </c>
      <c r="E946" t="n">
        <v>72303</v>
      </c>
      <c r="F946">
        <f>C946/(1-MIN(0.75,E946/(24000+E946)))</f>
        <v/>
      </c>
    </row>
    <row r="947">
      <c r="A947" t="n">
        <v>190</v>
      </c>
      <c r="B947" t="n">
        <v>946</v>
      </c>
      <c r="C947" t="n">
        <v>11991419</v>
      </c>
      <c r="D947" t="n">
        <v>105077</v>
      </c>
      <c r="E947" t="n">
        <v>87567</v>
      </c>
      <c r="F947">
        <f>C947/(1-MIN(0.75,E947/(24000+E947)))</f>
        <v/>
      </c>
    </row>
    <row r="948">
      <c r="A948" t="n">
        <v>190</v>
      </c>
      <c r="B948" t="n">
        <v>947</v>
      </c>
      <c r="C948" t="n">
        <v>7994279</v>
      </c>
      <c r="D948" t="n">
        <v>126092</v>
      </c>
      <c r="E948" t="n">
        <v>58378</v>
      </c>
      <c r="F948">
        <f>C948/(1-MIN(0.75,E948/(24000+E948)))</f>
        <v/>
      </c>
    </row>
    <row r="949">
      <c r="A949" t="n">
        <v>190</v>
      </c>
      <c r="B949" t="n">
        <v>948</v>
      </c>
      <c r="C949" t="n">
        <v>7994279</v>
      </c>
      <c r="D949" t="n">
        <v>126092</v>
      </c>
      <c r="E949" t="n">
        <v>58378</v>
      </c>
      <c r="F949">
        <f>C949/(1-MIN(0.75,E949/(24000+E949)))</f>
        <v/>
      </c>
    </row>
    <row r="950">
      <c r="A950" t="n">
        <v>190</v>
      </c>
      <c r="B950" t="n">
        <v>949</v>
      </c>
      <c r="C950" t="n">
        <v>7994279</v>
      </c>
      <c r="D950" t="n">
        <v>126092</v>
      </c>
      <c r="E950" t="n">
        <v>58378</v>
      </c>
      <c r="F950">
        <f>C950/(1-MIN(0.75,E950/(24000+E950)))</f>
        <v/>
      </c>
    </row>
    <row r="951">
      <c r="A951" t="n">
        <v>190</v>
      </c>
      <c r="B951" t="n">
        <v>950</v>
      </c>
      <c r="C951" t="n">
        <v>9992849</v>
      </c>
      <c r="D951" t="n">
        <v>105077</v>
      </c>
      <c r="E951" t="n">
        <v>72973</v>
      </c>
      <c r="F951">
        <f>C951/(1-MIN(0.75,E951/(24000+E951)))</f>
        <v/>
      </c>
    </row>
    <row r="952">
      <c r="A952" t="n">
        <v>191</v>
      </c>
      <c r="B952" t="n">
        <v>951</v>
      </c>
      <c r="C952" t="n">
        <v>12324426</v>
      </c>
      <c r="D952" t="n">
        <v>107350</v>
      </c>
      <c r="E952" t="n">
        <v>88643</v>
      </c>
      <c r="F952">
        <f>C952/(1-MIN(0.75,E952/(24000+E952)))</f>
        <v/>
      </c>
    </row>
    <row r="953">
      <c r="A953" t="n">
        <v>191</v>
      </c>
      <c r="B953" t="n">
        <v>952</v>
      </c>
      <c r="C953" t="n">
        <v>8216284</v>
      </c>
      <c r="D953" t="n">
        <v>128820</v>
      </c>
      <c r="E953" t="n">
        <v>59095</v>
      </c>
      <c r="F953">
        <f>C953/(1-MIN(0.75,E953/(24000+E953)))</f>
        <v/>
      </c>
    </row>
    <row r="954">
      <c r="A954" t="n">
        <v>191</v>
      </c>
      <c r="B954" t="n">
        <v>953</v>
      </c>
      <c r="C954" t="n">
        <v>8216284</v>
      </c>
      <c r="D954" t="n">
        <v>128820</v>
      </c>
      <c r="E954" t="n">
        <v>59095</v>
      </c>
      <c r="F954">
        <f>C954/(1-MIN(0.75,E954/(24000+E954)))</f>
        <v/>
      </c>
    </row>
    <row r="955">
      <c r="A955" t="n">
        <v>191</v>
      </c>
      <c r="B955" t="n">
        <v>954</v>
      </c>
      <c r="C955" t="n">
        <v>8216284</v>
      </c>
      <c r="D955" t="n">
        <v>128820</v>
      </c>
      <c r="E955" t="n">
        <v>59095</v>
      </c>
      <c r="F955">
        <f>C955/(1-MIN(0.75,E955/(24000+E955)))</f>
        <v/>
      </c>
    </row>
    <row r="956">
      <c r="A956" t="n">
        <v>191</v>
      </c>
      <c r="B956" t="n">
        <v>955</v>
      </c>
      <c r="C956" t="n">
        <v>10270355</v>
      </c>
      <c r="D956" t="n">
        <v>107350</v>
      </c>
      <c r="E956" t="n">
        <v>73869</v>
      </c>
      <c r="F956">
        <f>C956/(1-MIN(0.75,E956/(24000+E956)))</f>
        <v/>
      </c>
    </row>
    <row r="957">
      <c r="A957" t="n">
        <v>192</v>
      </c>
      <c r="B957" t="n">
        <v>956</v>
      </c>
      <c r="C957" t="n">
        <v>12674825</v>
      </c>
      <c r="D957" t="n">
        <v>109872</v>
      </c>
      <c r="E957" t="n">
        <v>89724</v>
      </c>
      <c r="F957">
        <f>C957/(1-MIN(0.75,E957/(24000+E957)))</f>
        <v/>
      </c>
    </row>
    <row r="958">
      <c r="A958" t="n">
        <v>192</v>
      </c>
      <c r="B958" t="n">
        <v>957</v>
      </c>
      <c r="C958" t="n">
        <v>8449883</v>
      </c>
      <c r="D958" t="n">
        <v>131846</v>
      </c>
      <c r="E958" t="n">
        <v>59816</v>
      </c>
      <c r="F958">
        <f>C958/(1-MIN(0.75,E958/(24000+E958)))</f>
        <v/>
      </c>
    </row>
    <row r="959">
      <c r="A959" t="n">
        <v>192</v>
      </c>
      <c r="B959" t="n">
        <v>958</v>
      </c>
      <c r="C959" t="n">
        <v>8449883</v>
      </c>
      <c r="D959" t="n">
        <v>131846</v>
      </c>
      <c r="E959" t="n">
        <v>59816</v>
      </c>
      <c r="F959">
        <f>C959/(1-MIN(0.75,E959/(24000+E959)))</f>
        <v/>
      </c>
    </row>
    <row r="960">
      <c r="A960" t="n">
        <v>192</v>
      </c>
      <c r="B960" t="n">
        <v>959</v>
      </c>
      <c r="C960" t="n">
        <v>8449883</v>
      </c>
      <c r="D960" t="n">
        <v>131846</v>
      </c>
      <c r="E960" t="n">
        <v>59816</v>
      </c>
      <c r="F960">
        <f>C960/(1-MIN(0.75,E960/(24000+E960)))</f>
        <v/>
      </c>
    </row>
    <row r="961">
      <c r="A961" t="n">
        <v>192</v>
      </c>
      <c r="B961" t="n">
        <v>960</v>
      </c>
      <c r="C961" t="n">
        <v>10562354</v>
      </c>
      <c r="D961" t="n">
        <v>109872</v>
      </c>
      <c r="E961" t="n">
        <v>74770</v>
      </c>
      <c r="F961">
        <f>C961/(1-MIN(0.75,E961/(24000+E961)))</f>
        <v/>
      </c>
    </row>
    <row r="962">
      <c r="A962" t="n">
        <v>193</v>
      </c>
      <c r="B962" t="n">
        <v>961</v>
      </c>
      <c r="C962" t="n">
        <v>12942874</v>
      </c>
      <c r="D962" t="n">
        <v>111798</v>
      </c>
      <c r="E962" t="n">
        <v>90540</v>
      </c>
      <c r="F962">
        <f>C962/(1-MIN(0.75,E962/(24000+E962)))</f>
        <v/>
      </c>
    </row>
    <row r="963">
      <c r="A963" t="n">
        <v>193</v>
      </c>
      <c r="B963" t="n">
        <v>962</v>
      </c>
      <c r="C963" t="n">
        <v>8628582</v>
      </c>
      <c r="D963" t="n">
        <v>134157</v>
      </c>
      <c r="E963" t="n">
        <v>60360</v>
      </c>
      <c r="F963">
        <f>C963/(1-MIN(0.75,E963/(24000+E963)))</f>
        <v/>
      </c>
    </row>
    <row r="964">
      <c r="A964" t="n">
        <v>193</v>
      </c>
      <c r="B964" t="n">
        <v>963</v>
      </c>
      <c r="C964" t="n">
        <v>8628582</v>
      </c>
      <c r="D964" t="n">
        <v>134157</v>
      </c>
      <c r="E964" t="n">
        <v>60360</v>
      </c>
      <c r="F964">
        <f>C964/(1-MIN(0.75,E964/(24000+E964)))</f>
        <v/>
      </c>
    </row>
    <row r="965">
      <c r="A965" t="n">
        <v>193</v>
      </c>
      <c r="B965" t="n">
        <v>964</v>
      </c>
      <c r="C965" t="n">
        <v>8628582</v>
      </c>
      <c r="D965" t="n">
        <v>134157</v>
      </c>
      <c r="E965" t="n">
        <v>60360</v>
      </c>
      <c r="F965">
        <f>C965/(1-MIN(0.75,E965/(24000+E965)))</f>
        <v/>
      </c>
    </row>
    <row r="966">
      <c r="A966" t="n">
        <v>193</v>
      </c>
      <c r="B966" t="n">
        <v>965</v>
      </c>
      <c r="C966" t="n">
        <v>10785728</v>
      </c>
      <c r="D966" t="n">
        <v>111798</v>
      </c>
      <c r="E966" t="n">
        <v>75450</v>
      </c>
      <c r="F966">
        <f>C966/(1-MIN(0.75,E966/(24000+E966)))</f>
        <v/>
      </c>
    </row>
    <row r="967">
      <c r="A967" t="n">
        <v>194</v>
      </c>
      <c r="B967" t="n">
        <v>966</v>
      </c>
      <c r="C967" t="n">
        <v>13307383</v>
      </c>
      <c r="D967" t="n">
        <v>114410</v>
      </c>
      <c r="E967" t="n">
        <v>91631</v>
      </c>
      <c r="F967">
        <f>C967/(1-MIN(0.75,E967/(24000+E967)))</f>
        <v/>
      </c>
    </row>
    <row r="968">
      <c r="A968" t="n">
        <v>194</v>
      </c>
      <c r="B968" t="n">
        <v>967</v>
      </c>
      <c r="C968" t="n">
        <v>8871588</v>
      </c>
      <c r="D968" t="n">
        <v>137291</v>
      </c>
      <c r="E968" t="n">
        <v>61087</v>
      </c>
      <c r="F968">
        <f>C968/(1-MIN(0.75,E968/(24000+E968)))</f>
        <v/>
      </c>
    </row>
    <row r="969">
      <c r="A969" t="n">
        <v>194</v>
      </c>
      <c r="B969" t="n">
        <v>968</v>
      </c>
      <c r="C969" t="n">
        <v>8871588</v>
      </c>
      <c r="D969" t="n">
        <v>137291</v>
      </c>
      <c r="E969" t="n">
        <v>61087</v>
      </c>
      <c r="F969">
        <f>C969/(1-MIN(0.75,E969/(24000+E969)))</f>
        <v/>
      </c>
    </row>
    <row r="970">
      <c r="A970" t="n">
        <v>194</v>
      </c>
      <c r="B970" t="n">
        <v>969</v>
      </c>
      <c r="C970" t="n">
        <v>8871588</v>
      </c>
      <c r="D970" t="n">
        <v>137291</v>
      </c>
      <c r="E970" t="n">
        <v>61087</v>
      </c>
      <c r="F970">
        <f>C970/(1-MIN(0.75,E970/(24000+E970)))</f>
        <v/>
      </c>
    </row>
    <row r="971">
      <c r="A971" t="n">
        <v>194</v>
      </c>
      <c r="B971" t="n">
        <v>970</v>
      </c>
      <c r="C971" t="n">
        <v>11089486</v>
      </c>
      <c r="D971" t="n">
        <v>114410</v>
      </c>
      <c r="E971" t="n">
        <v>76359</v>
      </c>
      <c r="F971">
        <f>C971/(1-MIN(0.75,E971/(24000+E971)))</f>
        <v/>
      </c>
    </row>
    <row r="972">
      <c r="A972" t="n">
        <v>195</v>
      </c>
      <c r="B972" t="n">
        <v>971</v>
      </c>
      <c r="C972" t="n">
        <v>13744069</v>
      </c>
      <c r="D972" t="n">
        <v>116568</v>
      </c>
      <c r="E972" t="n">
        <v>92727</v>
      </c>
      <c r="F972">
        <f>C972/(1-MIN(0.75,E972/(24000+E972)))</f>
        <v/>
      </c>
    </row>
    <row r="973">
      <c r="A973" t="n">
        <v>195</v>
      </c>
      <c r="B973" t="n">
        <v>972</v>
      </c>
      <c r="C973" t="n">
        <v>9162713</v>
      </c>
      <c r="D973" t="n">
        <v>139881</v>
      </c>
      <c r="E973" t="n">
        <v>61818</v>
      </c>
      <c r="F973">
        <f>C973/(1-MIN(0.75,E973/(24000+E973)))</f>
        <v/>
      </c>
    </row>
    <row r="974">
      <c r="A974" t="n">
        <v>195</v>
      </c>
      <c r="B974" t="n">
        <v>973</v>
      </c>
      <c r="C974" t="n">
        <v>9162713</v>
      </c>
      <c r="D974" t="n">
        <v>139881</v>
      </c>
      <c r="E974" t="n">
        <v>61818</v>
      </c>
      <c r="F974">
        <f>C974/(1-MIN(0.75,E974/(24000+E974)))</f>
        <v/>
      </c>
    </row>
    <row r="975">
      <c r="A975" t="n">
        <v>195</v>
      </c>
      <c r="B975" t="n">
        <v>974</v>
      </c>
      <c r="C975" t="n">
        <v>9162713</v>
      </c>
      <c r="D975" t="n">
        <v>139881</v>
      </c>
      <c r="E975" t="n">
        <v>61818</v>
      </c>
      <c r="F975">
        <f>C975/(1-MIN(0.75,E975/(24000+E975)))</f>
        <v/>
      </c>
    </row>
    <row r="976">
      <c r="A976" t="n">
        <v>195</v>
      </c>
      <c r="B976" t="n">
        <v>975</v>
      </c>
      <c r="C976" t="n">
        <v>11453391</v>
      </c>
      <c r="D976" t="n">
        <v>116568</v>
      </c>
      <c r="E976" t="n">
        <v>77273</v>
      </c>
      <c r="F976">
        <f>C976/(1-MIN(0.75,E976/(24000+E976)))</f>
        <v/>
      </c>
    </row>
    <row r="977">
      <c r="A977" t="n">
        <v>196</v>
      </c>
      <c r="B977" t="n">
        <v>976</v>
      </c>
      <c r="C977" t="n">
        <v>14061354</v>
      </c>
      <c r="D977" t="n">
        <v>119791</v>
      </c>
      <c r="E977" t="n">
        <v>93830</v>
      </c>
      <c r="F977">
        <f>C977/(1-MIN(0.75,E977/(24000+E977)))</f>
        <v/>
      </c>
    </row>
    <row r="978">
      <c r="A978" t="n">
        <v>196</v>
      </c>
      <c r="B978" t="n">
        <v>977</v>
      </c>
      <c r="C978" t="n">
        <v>9374236</v>
      </c>
      <c r="D978" t="n">
        <v>143750</v>
      </c>
      <c r="E978" t="n">
        <v>62553</v>
      </c>
      <c r="F978">
        <f>C978/(1-MIN(0.75,E978/(24000+E978)))</f>
        <v/>
      </c>
    </row>
    <row r="979">
      <c r="A979" t="n">
        <v>196</v>
      </c>
      <c r="B979" t="n">
        <v>978</v>
      </c>
      <c r="C979" t="n">
        <v>9374236</v>
      </c>
      <c r="D979" t="n">
        <v>143750</v>
      </c>
      <c r="E979" t="n">
        <v>62553</v>
      </c>
      <c r="F979">
        <f>C979/(1-MIN(0.75,E979/(24000+E979)))</f>
        <v/>
      </c>
    </row>
    <row r="980">
      <c r="A980" t="n">
        <v>196</v>
      </c>
      <c r="B980" t="n">
        <v>979</v>
      </c>
      <c r="C980" t="n">
        <v>9374236</v>
      </c>
      <c r="D980" t="n">
        <v>143750</v>
      </c>
      <c r="E980" t="n">
        <v>62553</v>
      </c>
      <c r="F980">
        <f>C980/(1-MIN(0.75,E980/(24000+E980)))</f>
        <v/>
      </c>
    </row>
    <row r="981">
      <c r="A981" t="n">
        <v>196</v>
      </c>
      <c r="B981" t="n">
        <v>980</v>
      </c>
      <c r="C981" t="n">
        <v>11717795</v>
      </c>
      <c r="D981" t="n">
        <v>119791</v>
      </c>
      <c r="E981" t="n">
        <v>78191</v>
      </c>
      <c r="F981">
        <f>C981/(1-MIN(0.75,E981/(24000+E981)))</f>
        <v/>
      </c>
    </row>
    <row r="982">
      <c r="A982" t="n">
        <v>197</v>
      </c>
      <c r="B982" t="n">
        <v>981</v>
      </c>
      <c r="C982" t="n">
        <v>14451113</v>
      </c>
      <c r="D982" t="n">
        <v>122563</v>
      </c>
      <c r="E982" t="n">
        <v>94937</v>
      </c>
      <c r="F982">
        <f>C982/(1-MIN(0.75,E982/(24000+E982)))</f>
        <v/>
      </c>
    </row>
    <row r="983">
      <c r="A983" t="n">
        <v>197</v>
      </c>
      <c r="B983" t="n">
        <v>982</v>
      </c>
      <c r="C983" t="n">
        <v>9634075</v>
      </c>
      <c r="D983" t="n">
        <v>147076</v>
      </c>
      <c r="E983" t="n">
        <v>63291</v>
      </c>
      <c r="F983">
        <f>C983/(1-MIN(0.75,E983/(24000+E983)))</f>
        <v/>
      </c>
    </row>
    <row r="984">
      <c r="A984" t="n">
        <v>197</v>
      </c>
      <c r="B984" t="n">
        <v>983</v>
      </c>
      <c r="C984" t="n">
        <v>9634075</v>
      </c>
      <c r="D984" t="n">
        <v>147076</v>
      </c>
      <c r="E984" t="n">
        <v>63291</v>
      </c>
      <c r="F984">
        <f>C984/(1-MIN(0.75,E984/(24000+E984)))</f>
        <v/>
      </c>
    </row>
    <row r="985">
      <c r="A985" t="n">
        <v>197</v>
      </c>
      <c r="B985" t="n">
        <v>984</v>
      </c>
      <c r="C985" t="n">
        <v>9634075</v>
      </c>
      <c r="D985" t="n">
        <v>147076</v>
      </c>
      <c r="E985" t="n">
        <v>63291</v>
      </c>
      <c r="F985">
        <f>C985/(1-MIN(0.75,E985/(24000+E985)))</f>
        <v/>
      </c>
    </row>
    <row r="986">
      <c r="A986" t="n">
        <v>197</v>
      </c>
      <c r="B986" t="n">
        <v>985</v>
      </c>
      <c r="C986" t="n">
        <v>12042594</v>
      </c>
      <c r="D986" t="n">
        <v>122563</v>
      </c>
      <c r="E986" t="n">
        <v>79114</v>
      </c>
      <c r="F986">
        <f>C986/(1-MIN(0.75,E986/(24000+E986)))</f>
        <v/>
      </c>
    </row>
    <row r="987">
      <c r="A987" t="n">
        <v>198</v>
      </c>
      <c r="B987" t="n">
        <v>986</v>
      </c>
      <c r="C987" t="n">
        <v>14749154</v>
      </c>
      <c r="D987" t="n">
        <v>124678</v>
      </c>
      <c r="E987" t="n">
        <v>95771</v>
      </c>
      <c r="F987">
        <f>C987/(1-MIN(0.75,E987/(24000+E987)))</f>
        <v/>
      </c>
    </row>
    <row r="988">
      <c r="A988" t="n">
        <v>198</v>
      </c>
      <c r="B988" t="n">
        <v>987</v>
      </c>
      <c r="C988" t="n">
        <v>9832769</v>
      </c>
      <c r="D988" t="n">
        <v>149614</v>
      </c>
      <c r="E988" t="n">
        <v>63847</v>
      </c>
      <c r="F988">
        <f>C988/(1-MIN(0.75,E988/(24000+E988)))</f>
        <v/>
      </c>
    </row>
    <row r="989">
      <c r="A989" t="n">
        <v>198</v>
      </c>
      <c r="B989" t="n">
        <v>988</v>
      </c>
      <c r="C989" t="n">
        <v>9832769</v>
      </c>
      <c r="D989" t="n">
        <v>149614</v>
      </c>
      <c r="E989" t="n">
        <v>63847</v>
      </c>
      <c r="F989">
        <f>C989/(1-MIN(0.75,E989/(24000+E989)))</f>
        <v/>
      </c>
    </row>
    <row r="990">
      <c r="A990" t="n">
        <v>198</v>
      </c>
      <c r="B990" t="n">
        <v>989</v>
      </c>
      <c r="C990" t="n">
        <v>9832769</v>
      </c>
      <c r="D990" t="n">
        <v>149614</v>
      </c>
      <c r="E990" t="n">
        <v>63847</v>
      </c>
      <c r="F990">
        <f>C990/(1-MIN(0.75,E990/(24000+E990)))</f>
        <v/>
      </c>
    </row>
    <row r="991">
      <c r="A991" t="n">
        <v>198</v>
      </c>
      <c r="B991" t="n">
        <v>990</v>
      </c>
      <c r="C991" t="n">
        <v>12290961</v>
      </c>
      <c r="D991" t="n">
        <v>124678</v>
      </c>
      <c r="E991" t="n">
        <v>79809</v>
      </c>
      <c r="F991">
        <f>C991/(1-MIN(0.75,E991/(24000+E991)))</f>
        <v/>
      </c>
    </row>
    <row r="992">
      <c r="A992" t="n">
        <v>199</v>
      </c>
      <c r="B992" t="n">
        <v>991</v>
      </c>
      <c r="C992" t="n">
        <v>15154294</v>
      </c>
      <c r="D992" t="n">
        <v>127547</v>
      </c>
      <c r="E992" t="n">
        <v>96888</v>
      </c>
      <c r="F992">
        <f>C992/(1-MIN(0.75,E992/(24000+E992)))</f>
        <v/>
      </c>
    </row>
    <row r="993">
      <c r="A993" t="n">
        <v>199</v>
      </c>
      <c r="B993" t="n">
        <v>992</v>
      </c>
      <c r="C993" t="n">
        <v>10102863</v>
      </c>
      <c r="D993" t="n">
        <v>153057</v>
      </c>
      <c r="E993" t="n">
        <v>64592</v>
      </c>
      <c r="F993">
        <f>C993/(1-MIN(0.75,E993/(24000+E993)))</f>
        <v/>
      </c>
    </row>
    <row r="994">
      <c r="A994" t="n">
        <v>199</v>
      </c>
      <c r="B994" t="n">
        <v>993</v>
      </c>
      <c r="C994" t="n">
        <v>10102863</v>
      </c>
      <c r="D994" t="n">
        <v>153057</v>
      </c>
      <c r="E994" t="n">
        <v>64592</v>
      </c>
      <c r="F994">
        <f>C994/(1-MIN(0.75,E994/(24000+E994)))</f>
        <v/>
      </c>
    </row>
    <row r="995">
      <c r="A995" t="n">
        <v>199</v>
      </c>
      <c r="B995" t="n">
        <v>994</v>
      </c>
      <c r="C995" t="n">
        <v>10102863</v>
      </c>
      <c r="D995" t="n">
        <v>153057</v>
      </c>
      <c r="E995" t="n">
        <v>64592</v>
      </c>
      <c r="F995">
        <f>C995/(1-MIN(0.75,E995/(24000+E995)))</f>
        <v/>
      </c>
    </row>
    <row r="996">
      <c r="A996" t="n">
        <v>199</v>
      </c>
      <c r="B996" t="n">
        <v>995</v>
      </c>
      <c r="C996" t="n">
        <v>12628578</v>
      </c>
      <c r="D996" t="n">
        <v>127547</v>
      </c>
      <c r="E996" t="n">
        <v>80740</v>
      </c>
      <c r="F996">
        <f>C996/(1-MIN(0.75,E996/(24000+E996)))</f>
        <v/>
      </c>
    </row>
    <row r="997">
      <c r="A997" t="n">
        <v>200</v>
      </c>
      <c r="B997" t="n">
        <v>996</v>
      </c>
      <c r="C997" t="n">
        <v>15580811</v>
      </c>
      <c r="D997" t="n">
        <v>130722</v>
      </c>
      <c r="E997" t="n">
        <v>98010</v>
      </c>
      <c r="F997">
        <f>C997/(1-MIN(0.75,E997/(24000+E997)))</f>
        <v/>
      </c>
    </row>
    <row r="998">
      <c r="A998" t="n">
        <v>200</v>
      </c>
      <c r="B998" t="n">
        <v>997</v>
      </c>
      <c r="C998" t="n">
        <v>10387208</v>
      </c>
      <c r="D998" t="n">
        <v>156866</v>
      </c>
      <c r="E998" t="n">
        <v>65340</v>
      </c>
      <c r="F998">
        <f>C998/(1-MIN(0.75,E998/(24000+E998)))</f>
        <v/>
      </c>
    </row>
    <row r="999">
      <c r="A999" t="n">
        <v>200</v>
      </c>
      <c r="B999" t="n">
        <v>998</v>
      </c>
      <c r="C999" t="n">
        <v>10387208</v>
      </c>
      <c r="D999" t="n">
        <v>156866</v>
      </c>
      <c r="E999" t="n">
        <v>65340</v>
      </c>
      <c r="F999">
        <f>C999/(1-MIN(0.75,E999/(24000+E999)))</f>
        <v/>
      </c>
    </row>
    <row r="1000">
      <c r="A1000" t="n">
        <v>200</v>
      </c>
      <c r="B1000" t="n">
        <v>999</v>
      </c>
      <c r="C1000" t="n">
        <v>10387208</v>
      </c>
      <c r="D1000" t="n">
        <v>156866</v>
      </c>
      <c r="E1000" t="n">
        <v>65340</v>
      </c>
      <c r="F1000">
        <f>C1000/(1-MIN(0.75,E1000/(24000+E1000)))</f>
        <v/>
      </c>
    </row>
    <row r="1001">
      <c r="A1001" t="n">
        <v>200</v>
      </c>
      <c r="B1001" t="n">
        <v>1000</v>
      </c>
      <c r="C1001" t="n">
        <v>12984010</v>
      </c>
      <c r="D1001" t="n">
        <v>130722</v>
      </c>
      <c r="E1001" t="n">
        <v>81675</v>
      </c>
      <c r="F1001">
        <f>C1001/(1-MIN(0.75,E1001/(24000+E1001)))</f>
        <v/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621"/>
  <sheetViews>
    <sheetView workbookViewId="0">
      <selection activeCell="A1" sqref="A1"/>
    </sheetView>
  </sheetViews>
  <sheetFormatPr baseColWidth="8" defaultColWidth="9" defaultRowHeight="13.5"/>
  <cols>
    <col width="16" customWidth="1" min="1" max="1"/>
    <col width="30" customWidth="1" min="2" max="2"/>
    <col width="16" customWidth="1" min="3" max="14"/>
  </cols>
  <sheetData>
    <row r="1" ht="32" customHeight="1">
      <c r="A1" s="3" t="inlineStr">
        <is>
          <t>玩法</t>
        </is>
      </c>
      <c r="B1" s="3" t="inlineStr">
        <is>
          <t>节点</t>
        </is>
      </c>
      <c r="C1" s="3" t="inlineStr">
        <is>
          <t>对照进度</t>
        </is>
      </c>
      <c r="D1" s="3" t="inlineStr">
        <is>
          <t>旧等级</t>
        </is>
      </c>
      <c r="E1" s="3" t="inlineStr">
        <is>
          <t>新等级</t>
        </is>
      </c>
      <c r="F1" s="3" t="inlineStr">
        <is>
          <t>生命倍率</t>
        </is>
      </c>
      <c r="G1" s="3" t="inlineStr">
        <is>
          <t>攻击倍率</t>
        </is>
      </c>
      <c r="H1" s="3" t="inlineStr">
        <is>
          <t>旧击杀秒</t>
        </is>
      </c>
      <c r="I1" s="3" t="inlineStr">
        <is>
          <t>新击杀秒</t>
        </is>
      </c>
      <c r="J1" s="3" t="inlineStr">
        <is>
          <t>击杀比</t>
        </is>
      </c>
      <c r="K1" s="3" t="inlineStr">
        <is>
          <t>旧生存秒</t>
        </is>
      </c>
      <c r="L1" s="3" t="inlineStr">
        <is>
          <t>新生存秒</t>
        </is>
      </c>
      <c r="M1" s="3" t="inlineStr">
        <is>
          <t>生存比</t>
        </is>
      </c>
      <c r="N1" s="3" t="inlineStr">
        <is>
          <t>映射依据</t>
        </is>
      </c>
    </row>
    <row r="2">
      <c r="A2" t="inlineStr">
        <is>
          <t>主线</t>
        </is>
      </c>
      <c r="B2" t="inlineStr">
        <is>
          <t>0-1</t>
        </is>
      </c>
      <c r="C2" t="n">
        <v>1</v>
      </c>
      <c r="D2" t="n">
        <v>5</v>
      </c>
      <c r="E2" t="n">
        <v>5</v>
      </c>
      <c r="F2" s="85">
        <f>主线!K5</f>
        <v/>
      </c>
      <c r="G2" s="85">
        <f>主线!L5</f>
        <v/>
      </c>
      <c r="H2" s="85" t="n">
        <v>0.350916727716728</v>
      </c>
      <c r="I2" s="85">
        <f>主线!X5</f>
        <v/>
      </c>
      <c r="J2" s="85">
        <f>I2/H2</f>
        <v/>
      </c>
      <c r="K2" s="85" t="n">
        <v>31.5656565656566</v>
      </c>
      <c r="L2" s="85">
        <f>主线!Y5</f>
        <v/>
      </c>
      <c r="M2" s="85">
        <f>L2/K2</f>
        <v/>
      </c>
      <c r="N2" t="inlineStr">
        <is>
          <t>原源表节点</t>
        </is>
      </c>
    </row>
    <row r="3">
      <c r="A3" t="inlineStr">
        <is>
          <t>主线</t>
        </is>
      </c>
      <c r="B3" t="inlineStr">
        <is>
          <t>0-2</t>
        </is>
      </c>
      <c r="C3" t="n">
        <v>2</v>
      </c>
      <c r="D3" t="n">
        <v>6</v>
      </c>
      <c r="E3" t="n">
        <v>6</v>
      </c>
      <c r="F3" s="85">
        <f>主线!K6</f>
        <v/>
      </c>
      <c r="G3" s="85">
        <f>主线!L6</f>
        <v/>
      </c>
      <c r="H3" s="85" t="n">
        <v>0.406723883320351</v>
      </c>
      <c r="I3" s="85">
        <f>主线!X6</f>
        <v/>
      </c>
      <c r="J3" s="85">
        <f>I3/H3</f>
        <v/>
      </c>
      <c r="K3" s="85" t="n">
        <v>27.8278493996406</v>
      </c>
      <c r="L3" s="85">
        <f>主线!Y6</f>
        <v/>
      </c>
      <c r="M3" s="85">
        <f>L3/K3</f>
        <v/>
      </c>
      <c r="N3" t="inlineStr">
        <is>
          <t>原源表节点</t>
        </is>
      </c>
    </row>
    <row r="4">
      <c r="A4" t="inlineStr">
        <is>
          <t>主线</t>
        </is>
      </c>
      <c r="B4" t="inlineStr">
        <is>
          <t>0-3</t>
        </is>
      </c>
      <c r="C4" t="n">
        <v>3</v>
      </c>
      <c r="D4" t="n">
        <v>8</v>
      </c>
      <c r="E4" t="n">
        <v>8</v>
      </c>
      <c r="F4" s="85">
        <f>主线!K7</f>
        <v/>
      </c>
      <c r="G4" s="85">
        <f>主线!L7</f>
        <v/>
      </c>
      <c r="H4" s="85" t="n">
        <v>0.431199056529062</v>
      </c>
      <c r="I4" s="85">
        <f>主线!X7</f>
        <v/>
      </c>
      <c r="J4" s="85">
        <f>I4/H4</f>
        <v/>
      </c>
      <c r="K4" s="85" t="n">
        <v>27.2022550504301</v>
      </c>
      <c r="L4" s="85">
        <f>主线!Y7</f>
        <v/>
      </c>
      <c r="M4" s="85">
        <f>L4/K4</f>
        <v/>
      </c>
      <c r="N4" t="inlineStr">
        <is>
          <t>原源表节点</t>
        </is>
      </c>
    </row>
    <row r="5">
      <c r="A5" t="inlineStr">
        <is>
          <t>主线</t>
        </is>
      </c>
      <c r="B5" t="inlineStr">
        <is>
          <t>0-4</t>
        </is>
      </c>
      <c r="C5" t="n">
        <v>4</v>
      </c>
      <c r="D5" t="n">
        <v>8</v>
      </c>
      <c r="E5" t="n">
        <v>8</v>
      </c>
      <c r="F5" s="85">
        <f>主线!K8</f>
        <v/>
      </c>
      <c r="G5" s="85">
        <f>主线!L8</f>
        <v/>
      </c>
      <c r="H5" s="85" t="n">
        <v>33.8180752878695</v>
      </c>
      <c r="I5" s="85">
        <f>主线!X8</f>
        <v/>
      </c>
      <c r="J5" s="85">
        <f>I5/H5</f>
        <v/>
      </c>
      <c r="K5" s="85" t="n">
        <v>34.5731097705779</v>
      </c>
      <c r="L5" s="85">
        <f>主线!Y8</f>
        <v/>
      </c>
      <c r="M5" s="85">
        <f>L5/K5</f>
        <v/>
      </c>
      <c r="N5" t="inlineStr">
        <is>
          <t>原源表节点</t>
        </is>
      </c>
    </row>
    <row r="6">
      <c r="A6" t="inlineStr">
        <is>
          <t>主线</t>
        </is>
      </c>
      <c r="B6" t="inlineStr">
        <is>
          <t>1-1</t>
        </is>
      </c>
      <c r="C6" t="n">
        <v>5</v>
      </c>
      <c r="D6" t="n">
        <v>11</v>
      </c>
      <c r="E6" t="n">
        <v>11</v>
      </c>
      <c r="F6" s="85">
        <f>主线!K9</f>
        <v/>
      </c>
      <c r="G6" s="85">
        <f>主线!L9</f>
        <v/>
      </c>
      <c r="H6" s="85" t="n">
        <v>0.410263860652014</v>
      </c>
      <c r="I6" s="85">
        <f>主线!X9</f>
        <v/>
      </c>
      <c r="J6" s="85">
        <f>I6/H6</f>
        <v/>
      </c>
      <c r="K6" s="85" t="n">
        <v>30.1497313871659</v>
      </c>
      <c r="L6" s="85">
        <f>主线!Y9</f>
        <v/>
      </c>
      <c r="M6" s="85">
        <f>L6/K6</f>
        <v/>
      </c>
      <c r="N6" t="inlineStr">
        <is>
          <t>原源表节点</t>
        </is>
      </c>
    </row>
    <row r="7">
      <c r="A7" t="inlineStr">
        <is>
          <t>主线</t>
        </is>
      </c>
      <c r="B7" t="inlineStr">
        <is>
          <t>1-2</t>
        </is>
      </c>
      <c r="C7" t="n">
        <v>6</v>
      </c>
      <c r="D7" t="n">
        <v>13</v>
      </c>
      <c r="E7" t="n">
        <v>13</v>
      </c>
      <c r="F7" s="85">
        <f>主线!K10</f>
        <v/>
      </c>
      <c r="G7" s="85">
        <f>主线!L10</f>
        <v/>
      </c>
      <c r="H7" s="85" t="n">
        <v>0.423641547876801</v>
      </c>
      <c r="I7" s="85">
        <f>主线!X10</f>
        <v/>
      </c>
      <c r="J7" s="85">
        <f>I7/H7</f>
        <v/>
      </c>
      <c r="K7" s="85" t="n">
        <v>30.1890711757147</v>
      </c>
      <c r="L7" s="85">
        <f>主线!Y10</f>
        <v/>
      </c>
      <c r="M7" s="85">
        <f>L7/K7</f>
        <v/>
      </c>
      <c r="N7" t="inlineStr">
        <is>
          <t>原源表节点</t>
        </is>
      </c>
    </row>
    <row r="8">
      <c r="A8" t="inlineStr">
        <is>
          <t>主线</t>
        </is>
      </c>
      <c r="B8" t="inlineStr">
        <is>
          <t>1-3</t>
        </is>
      </c>
      <c r="C8" t="n">
        <v>7</v>
      </c>
      <c r="D8" t="n">
        <v>15</v>
      </c>
      <c r="E8" t="n">
        <v>15</v>
      </c>
      <c r="F8" s="85">
        <f>主线!K11</f>
        <v/>
      </c>
      <c r="G8" s="85">
        <f>主线!L11</f>
        <v/>
      </c>
      <c r="H8" s="85" t="n">
        <v>0.418858868567819</v>
      </c>
      <c r="I8" s="85">
        <f>主线!X11</f>
        <v/>
      </c>
      <c r="J8" s="85">
        <f>I8/H8</f>
        <v/>
      </c>
      <c r="K8" s="85" t="n">
        <v>31.4757107307228</v>
      </c>
      <c r="L8" s="85">
        <f>主线!Y11</f>
        <v/>
      </c>
      <c r="M8" s="85">
        <f>L8/K8</f>
        <v/>
      </c>
      <c r="N8" t="inlineStr">
        <is>
          <t>原源表节点</t>
        </is>
      </c>
    </row>
    <row r="9">
      <c r="A9" t="inlineStr">
        <is>
          <t>主线</t>
        </is>
      </c>
      <c r="B9" t="inlineStr">
        <is>
          <t>1-4</t>
        </is>
      </c>
      <c r="C9" t="n">
        <v>8</v>
      </c>
      <c r="D9" t="n">
        <v>16</v>
      </c>
      <c r="E9" t="n">
        <v>16</v>
      </c>
      <c r="F9" s="85">
        <f>主线!K12</f>
        <v/>
      </c>
      <c r="G9" s="85">
        <f>主线!L12</f>
        <v/>
      </c>
      <c r="H9" s="85" t="n">
        <v>0.382817440414051</v>
      </c>
      <c r="I9" s="85">
        <f>主线!X12</f>
        <v/>
      </c>
      <c r="J9" s="85">
        <f>I9/H9</f>
        <v/>
      </c>
      <c r="K9" s="85" t="n">
        <v>34.976320969621</v>
      </c>
      <c r="L9" s="85">
        <f>主线!Y12</f>
        <v/>
      </c>
      <c r="M9" s="85">
        <f>L9/K9</f>
        <v/>
      </c>
      <c r="N9" t="inlineStr">
        <is>
          <t>原源表节点</t>
        </is>
      </c>
    </row>
    <row r="10">
      <c r="A10" t="inlineStr">
        <is>
          <t>主线</t>
        </is>
      </c>
      <c r="B10" t="inlineStr">
        <is>
          <t>1-5</t>
        </is>
      </c>
      <c r="C10" t="n">
        <v>9</v>
      </c>
      <c r="D10" t="n">
        <v>19</v>
      </c>
      <c r="E10" t="n">
        <v>19</v>
      </c>
      <c r="F10" s="85">
        <f>主线!K13</f>
        <v/>
      </c>
      <c r="G10" s="85">
        <f>主线!L13</f>
        <v/>
      </c>
      <c r="H10" s="85" t="n">
        <v>0.413318450796104</v>
      </c>
      <c r="I10" s="85">
        <f>主线!X13</f>
        <v/>
      </c>
      <c r="J10" s="85">
        <f>I10/H10</f>
        <v/>
      </c>
      <c r="K10" s="85" t="n">
        <v>33.7054885620236</v>
      </c>
      <c r="L10" s="85">
        <f>主线!Y13</f>
        <v/>
      </c>
      <c r="M10" s="85">
        <f>L10/K10</f>
        <v/>
      </c>
      <c r="N10" t="inlineStr">
        <is>
          <t>原源表节点</t>
        </is>
      </c>
    </row>
    <row r="11">
      <c r="A11" t="inlineStr">
        <is>
          <t>主线</t>
        </is>
      </c>
      <c r="B11" t="inlineStr">
        <is>
          <t>1-6</t>
        </is>
      </c>
      <c r="C11" t="n">
        <v>10</v>
      </c>
      <c r="D11" t="n">
        <v>21</v>
      </c>
      <c r="E11" t="n">
        <v>21</v>
      </c>
      <c r="F11" s="85">
        <f>主线!K14</f>
        <v/>
      </c>
      <c r="G11" s="85">
        <f>主线!L14</f>
        <v/>
      </c>
      <c r="H11" s="85" t="n">
        <v>0.429089823458451</v>
      </c>
      <c r="I11" s="85">
        <f>主线!X14</f>
        <v/>
      </c>
      <c r="J11" s="85">
        <f>I11/H11</f>
        <v/>
      </c>
      <c r="K11" s="85" t="n">
        <v>33.3021763305897</v>
      </c>
      <c r="L11" s="85">
        <f>主线!Y14</f>
        <v/>
      </c>
      <c r="M11" s="85">
        <f>L11/K11</f>
        <v/>
      </c>
      <c r="N11" t="inlineStr">
        <is>
          <t>原源表节点</t>
        </is>
      </c>
    </row>
    <row r="12">
      <c r="A12" t="inlineStr">
        <is>
          <t>主线</t>
        </is>
      </c>
      <c r="B12" t="inlineStr">
        <is>
          <t>1-7</t>
        </is>
      </c>
      <c r="C12" t="n">
        <v>11</v>
      </c>
      <c r="D12" t="n">
        <v>22</v>
      </c>
      <c r="E12" t="n">
        <v>22</v>
      </c>
      <c r="F12" s="85">
        <f>主线!K15</f>
        <v/>
      </c>
      <c r="G12" s="85">
        <f>主线!L15</f>
        <v/>
      </c>
      <c r="H12" s="85" t="n">
        <v>0.415937257137191</v>
      </c>
      <c r="I12" s="85">
        <f>主线!X15</f>
        <v/>
      </c>
      <c r="J12" s="85">
        <f>I12/H12</f>
        <v/>
      </c>
      <c r="K12" s="85" t="n">
        <v>34.8050626345015</v>
      </c>
      <c r="L12" s="85">
        <f>主线!Y15</f>
        <v/>
      </c>
      <c r="M12" s="85">
        <f>L12/K12</f>
        <v/>
      </c>
      <c r="N12" t="inlineStr">
        <is>
          <t>原源表节点</t>
        </is>
      </c>
    </row>
    <row r="13">
      <c r="A13" t="inlineStr">
        <is>
          <t>主线</t>
        </is>
      </c>
      <c r="B13" t="inlineStr">
        <is>
          <t>1-8</t>
        </is>
      </c>
      <c r="C13" t="n">
        <v>12</v>
      </c>
      <c r="D13" t="n">
        <v>23</v>
      </c>
      <c r="E13" t="n">
        <v>23</v>
      </c>
      <c r="F13" s="85">
        <f>主线!K16</f>
        <v/>
      </c>
      <c r="G13" s="85">
        <f>主线!L16</f>
        <v/>
      </c>
      <c r="H13" s="85" t="n">
        <v>34.6628941498827</v>
      </c>
      <c r="I13" s="85">
        <f>主线!X16</f>
        <v/>
      </c>
      <c r="J13" s="85">
        <f>I13/H13</f>
        <v/>
      </c>
      <c r="K13" s="85" t="n">
        <v>36.2877026030398</v>
      </c>
      <c r="L13" s="85">
        <f>主线!Y16</f>
        <v/>
      </c>
      <c r="M13" s="85">
        <f>L13/K13</f>
        <v/>
      </c>
      <c r="N13" t="inlineStr">
        <is>
          <t>原源表节点</t>
        </is>
      </c>
    </row>
    <row r="14">
      <c r="A14" t="inlineStr">
        <is>
          <t>主线</t>
        </is>
      </c>
      <c r="B14" t="inlineStr">
        <is>
          <t>2-1</t>
        </is>
      </c>
      <c r="C14" t="n">
        <v>13</v>
      </c>
      <c r="D14" t="n">
        <v>25</v>
      </c>
      <c r="E14" t="n">
        <v>25</v>
      </c>
      <c r="F14" s="85">
        <f>主线!K17</f>
        <v/>
      </c>
      <c r="G14" s="85">
        <f>主线!L17</f>
        <v/>
      </c>
      <c r="H14" s="85" t="n">
        <v>0.418498226968797</v>
      </c>
      <c r="I14" s="85">
        <f>主线!X17</f>
        <v/>
      </c>
      <c r="J14" s="85">
        <f>I14/H14</f>
        <v/>
      </c>
      <c r="K14" s="85" t="n">
        <v>35.9017884744725</v>
      </c>
      <c r="L14" s="85">
        <f>主线!Y17</f>
        <v/>
      </c>
      <c r="M14" s="85">
        <f>L14/K14</f>
        <v/>
      </c>
      <c r="N14" t="inlineStr">
        <is>
          <t>原源表节点</t>
        </is>
      </c>
    </row>
    <row r="15">
      <c r="A15" t="inlineStr">
        <is>
          <t>主线</t>
        </is>
      </c>
      <c r="B15" t="inlineStr">
        <is>
          <t>2-2</t>
        </is>
      </c>
      <c r="C15" t="n">
        <v>14</v>
      </c>
      <c r="D15" t="n">
        <v>27</v>
      </c>
      <c r="E15" t="n">
        <v>27</v>
      </c>
      <c r="F15" s="85">
        <f>主线!K18</f>
        <v/>
      </c>
      <c r="G15" s="85">
        <f>主线!L18</f>
        <v/>
      </c>
      <c r="H15" s="85" t="n">
        <v>0.43158465215541</v>
      </c>
      <c r="I15" s="85">
        <f>主线!X18</f>
        <v/>
      </c>
      <c r="J15" s="85">
        <f>I15/H15</f>
        <v/>
      </c>
      <c r="K15" s="85" t="n">
        <v>35.5887438385536</v>
      </c>
      <c r="L15" s="85">
        <f>主线!Y18</f>
        <v/>
      </c>
      <c r="M15" s="85">
        <f>L15/K15</f>
        <v/>
      </c>
      <c r="N15" t="inlineStr">
        <is>
          <t>原源表节点</t>
        </is>
      </c>
    </row>
    <row r="16">
      <c r="A16" t="inlineStr">
        <is>
          <t>主线</t>
        </is>
      </c>
      <c r="B16" t="inlineStr">
        <is>
          <t>2-3</t>
        </is>
      </c>
      <c r="C16" t="n">
        <v>15</v>
      </c>
      <c r="D16" t="n">
        <v>28</v>
      </c>
      <c r="E16" t="n">
        <v>28</v>
      </c>
      <c r="F16" s="85">
        <f>主线!K19</f>
        <v/>
      </c>
      <c r="G16" s="85">
        <f>主线!L19</f>
        <v/>
      </c>
      <c r="H16" s="85" t="n">
        <v>0.431627103041875</v>
      </c>
      <c r="I16" s="85">
        <f>主线!X19</f>
        <v/>
      </c>
      <c r="J16" s="85">
        <f>I16/H16</f>
        <v/>
      </c>
      <c r="K16" s="85" t="n">
        <v>35.6042408845197</v>
      </c>
      <c r="L16" s="85">
        <f>主线!Y19</f>
        <v/>
      </c>
      <c r="M16" s="85">
        <f>L16/K16</f>
        <v/>
      </c>
      <c r="N16" t="inlineStr">
        <is>
          <t>原源表节点</t>
        </is>
      </c>
    </row>
    <row r="17">
      <c r="A17" t="inlineStr">
        <is>
          <t>主线</t>
        </is>
      </c>
      <c r="B17" t="inlineStr">
        <is>
          <t>2-4</t>
        </is>
      </c>
      <c r="C17" t="n">
        <v>16</v>
      </c>
      <c r="D17" t="n">
        <v>30</v>
      </c>
      <c r="E17" t="n">
        <v>30</v>
      </c>
      <c r="F17" s="85">
        <f>主线!K20</f>
        <v/>
      </c>
      <c r="G17" s="85">
        <f>主线!L20</f>
        <v/>
      </c>
      <c r="H17" s="85" t="n">
        <v>0.43319222585429</v>
      </c>
      <c r="I17" s="85">
        <f>主线!X20</f>
        <v/>
      </c>
      <c r="J17" s="85">
        <f>I17/H17</f>
        <v/>
      </c>
      <c r="K17" s="85" t="n">
        <v>35.5267809316892</v>
      </c>
      <c r="L17" s="85">
        <f>主线!Y20</f>
        <v/>
      </c>
      <c r="M17" s="85">
        <f>L17/K17</f>
        <v/>
      </c>
      <c r="N17" t="inlineStr">
        <is>
          <t>原源表节点</t>
        </is>
      </c>
    </row>
    <row r="18">
      <c r="A18" t="inlineStr">
        <is>
          <t>主线</t>
        </is>
      </c>
      <c r="B18" t="inlineStr">
        <is>
          <t>2-5</t>
        </is>
      </c>
      <c r="C18" t="n">
        <v>17</v>
      </c>
      <c r="D18" t="n">
        <v>32</v>
      </c>
      <c r="E18" t="n">
        <v>32</v>
      </c>
      <c r="F18" s="85">
        <f>主线!K21</f>
        <v/>
      </c>
      <c r="G18" s="85">
        <f>主线!L21</f>
        <v/>
      </c>
      <c r="H18" s="85" t="n">
        <v>0.435337674154863</v>
      </c>
      <c r="I18" s="85">
        <f>主线!X21</f>
        <v/>
      </c>
      <c r="J18" s="85">
        <f>I18/H18</f>
        <v/>
      </c>
      <c r="K18" s="85" t="n">
        <v>35.3568663902861</v>
      </c>
      <c r="L18" s="85">
        <f>主线!Y21</f>
        <v/>
      </c>
      <c r="M18" s="85">
        <f>L18/K18</f>
        <v/>
      </c>
      <c r="N18" t="inlineStr">
        <is>
          <t>原源表节点</t>
        </is>
      </c>
    </row>
    <row r="19">
      <c r="A19" t="inlineStr">
        <is>
          <t>主线</t>
        </is>
      </c>
      <c r="B19" t="inlineStr">
        <is>
          <t>2-6</t>
        </is>
      </c>
      <c r="C19" t="n">
        <v>18</v>
      </c>
      <c r="D19" t="n">
        <v>33</v>
      </c>
      <c r="E19" t="n">
        <v>33</v>
      </c>
      <c r="F19" s="85">
        <f>主线!K22</f>
        <v/>
      </c>
      <c r="G19" s="85">
        <f>主线!L22</f>
        <v/>
      </c>
      <c r="H19" s="85" t="n">
        <v>0.418234025182118</v>
      </c>
      <c r="I19" s="85">
        <f>主线!X22</f>
        <v/>
      </c>
      <c r="J19" s="85">
        <f>I19/H19</f>
        <v/>
      </c>
      <c r="K19" s="85" t="n">
        <v>36.5153631408516</v>
      </c>
      <c r="L19" s="85">
        <f>主线!Y22</f>
        <v/>
      </c>
      <c r="M19" s="85">
        <f>L19/K19</f>
        <v/>
      </c>
      <c r="N19" t="inlineStr">
        <is>
          <t>原源表节点</t>
        </is>
      </c>
    </row>
    <row r="20">
      <c r="A20" t="inlineStr">
        <is>
          <t>主线</t>
        </is>
      </c>
      <c r="B20" t="inlineStr">
        <is>
          <t>2-7</t>
        </is>
      </c>
      <c r="C20" t="n">
        <v>19</v>
      </c>
      <c r="D20" t="n">
        <v>36</v>
      </c>
      <c r="E20" t="n">
        <v>36</v>
      </c>
      <c r="F20" s="85">
        <f>主线!K23</f>
        <v/>
      </c>
      <c r="G20" s="85">
        <f>主线!L23</f>
        <v/>
      </c>
      <c r="H20" s="85" t="n">
        <v>0.441258473956419</v>
      </c>
      <c r="I20" s="85">
        <f>主线!X23</f>
        <v/>
      </c>
      <c r="J20" s="85">
        <f>I20/H20</f>
        <v/>
      </c>
      <c r="K20" s="85" t="n">
        <v>34.9297115916743</v>
      </c>
      <c r="L20" s="85">
        <f>主线!Y23</f>
        <v/>
      </c>
      <c r="M20" s="85">
        <f>L20/K20</f>
        <v/>
      </c>
      <c r="N20" t="inlineStr">
        <is>
          <t>原源表节点</t>
        </is>
      </c>
    </row>
    <row r="21">
      <c r="A21" t="inlineStr">
        <is>
          <t>主线</t>
        </is>
      </c>
      <c r="B21" t="inlineStr">
        <is>
          <t>2-8</t>
        </is>
      </c>
      <c r="C21" t="n">
        <v>20</v>
      </c>
      <c r="D21" t="n">
        <v>37</v>
      </c>
      <c r="E21" t="n">
        <v>37</v>
      </c>
      <c r="F21" s="85">
        <f>主线!K24</f>
        <v/>
      </c>
      <c r="G21" s="85">
        <f>主线!L24</f>
        <v/>
      </c>
      <c r="H21" s="85" t="n">
        <v>0.415953838187679</v>
      </c>
      <c r="I21" s="85">
        <f>主线!X24</f>
        <v/>
      </c>
      <c r="J21" s="85">
        <f>I21/H21</f>
        <v/>
      </c>
      <c r="K21" s="85" t="n">
        <v>36.7768784463857</v>
      </c>
      <c r="L21" s="85">
        <f>主线!Y24</f>
        <v/>
      </c>
      <c r="M21" s="85">
        <f>L21/K21</f>
        <v/>
      </c>
      <c r="N21" t="inlineStr">
        <is>
          <t>原源表节点</t>
        </is>
      </c>
    </row>
    <row r="22">
      <c r="A22" t="inlineStr">
        <is>
          <t>主线</t>
        </is>
      </c>
      <c r="B22" t="inlineStr">
        <is>
          <t>2-9</t>
        </is>
      </c>
      <c r="C22" t="n">
        <v>21</v>
      </c>
      <c r="D22" t="n">
        <v>39</v>
      </c>
      <c r="E22" t="n">
        <v>39</v>
      </c>
      <c r="F22" s="85">
        <f>主线!K25</f>
        <v/>
      </c>
      <c r="G22" s="85">
        <f>主线!L25</f>
        <v/>
      </c>
      <c r="H22" s="85" t="n">
        <v>0.410394859695584</v>
      </c>
      <c r="I22" s="85">
        <f>主线!X25</f>
        <v/>
      </c>
      <c r="J22" s="85">
        <f>I22/H22</f>
        <v/>
      </c>
      <c r="K22" s="85" t="n">
        <v>37.3148749818531</v>
      </c>
      <c r="L22" s="85">
        <f>主线!Y25</f>
        <v/>
      </c>
      <c r="M22" s="85">
        <f>L22/K22</f>
        <v/>
      </c>
      <c r="N22" t="inlineStr">
        <is>
          <t>原源表节点</t>
        </is>
      </c>
    </row>
    <row r="23">
      <c r="A23" t="inlineStr">
        <is>
          <t>主线</t>
        </is>
      </c>
      <c r="B23" t="inlineStr">
        <is>
          <t>2-10</t>
        </is>
      </c>
      <c r="C23" t="n">
        <v>22</v>
      </c>
      <c r="D23" t="n">
        <v>41</v>
      </c>
      <c r="E23" t="n">
        <v>41</v>
      </c>
      <c r="F23" s="85">
        <f>主线!K26</f>
        <v/>
      </c>
      <c r="G23" s="85">
        <f>主线!L26</f>
        <v/>
      </c>
      <c r="H23" s="85" t="n">
        <v>0.405294084806221</v>
      </c>
      <c r="I23" s="85">
        <f>主线!X26</f>
        <v/>
      </c>
      <c r="J23" s="85">
        <f>I23/H23</f>
        <v/>
      </c>
      <c r="K23" s="85" t="n">
        <v>37.7961331019616</v>
      </c>
      <c r="L23" s="85">
        <f>主线!Y26</f>
        <v/>
      </c>
      <c r="M23" s="85">
        <f>L23/K23</f>
        <v/>
      </c>
      <c r="N23" t="inlineStr">
        <is>
          <t>原源表节点</t>
        </is>
      </c>
    </row>
    <row r="24">
      <c r="A24" t="inlineStr">
        <is>
          <t>主线</t>
        </is>
      </c>
      <c r="B24" t="inlineStr">
        <is>
          <t>2-11</t>
        </is>
      </c>
      <c r="C24" t="n">
        <v>23</v>
      </c>
      <c r="D24" t="n">
        <v>44</v>
      </c>
      <c r="E24" t="n">
        <v>44</v>
      </c>
      <c r="F24" s="85">
        <f>主线!K27</f>
        <v/>
      </c>
      <c r="G24" s="85">
        <f>主线!L27</f>
        <v/>
      </c>
      <c r="H24" s="85" t="n">
        <v>0.416237874563545</v>
      </c>
      <c r="I24" s="85">
        <f>主线!X27</f>
        <v/>
      </c>
      <c r="J24" s="85">
        <f>I24/H24</f>
        <v/>
      </c>
      <c r="K24" s="85" t="n">
        <v>37.1189868761113</v>
      </c>
      <c r="L24" s="85">
        <f>主线!Y27</f>
        <v/>
      </c>
      <c r="M24" s="85">
        <f>L24/K24</f>
        <v/>
      </c>
      <c r="N24" t="inlineStr">
        <is>
          <t>原源表节点</t>
        </is>
      </c>
    </row>
    <row r="25">
      <c r="A25" t="inlineStr">
        <is>
          <t>主线</t>
        </is>
      </c>
      <c r="B25" t="inlineStr">
        <is>
          <t>2-12</t>
        </is>
      </c>
      <c r="C25" t="n">
        <v>24</v>
      </c>
      <c r="D25" t="n">
        <v>46</v>
      </c>
      <c r="E25" t="n">
        <v>46</v>
      </c>
      <c r="F25" s="85">
        <f>主线!K28</f>
        <v/>
      </c>
      <c r="G25" s="85">
        <f>主线!L28</f>
        <v/>
      </c>
      <c r="H25" s="85" t="n">
        <v>33.3027431855387</v>
      </c>
      <c r="I25" s="85">
        <f>主线!X28</f>
        <v/>
      </c>
      <c r="J25" s="85">
        <f>I25/H25</f>
        <v/>
      </c>
      <c r="K25" s="85" t="n">
        <v>37.5944551310877</v>
      </c>
      <c r="L25" s="85">
        <f>主线!Y28</f>
        <v/>
      </c>
      <c r="M25" s="85">
        <f>L25/K25</f>
        <v/>
      </c>
      <c r="N25" t="inlineStr">
        <is>
          <t>原源表节点</t>
        </is>
      </c>
    </row>
    <row r="26">
      <c r="A26" t="inlineStr">
        <is>
          <t>主线</t>
        </is>
      </c>
      <c r="B26" t="inlineStr">
        <is>
          <t>3-1</t>
        </is>
      </c>
      <c r="C26" t="n">
        <v>25</v>
      </c>
      <c r="D26" t="n">
        <v>48</v>
      </c>
      <c r="E26" t="n">
        <v>46</v>
      </c>
      <c r="F26" s="85">
        <f>主线!K29</f>
        <v/>
      </c>
      <c r="G26" s="85">
        <f>主线!L29</f>
        <v/>
      </c>
      <c r="H26" s="85" t="n">
        <v>0.407046229733386</v>
      </c>
      <c r="I26" s="85">
        <f>主线!X29</f>
        <v/>
      </c>
      <c r="J26" s="85">
        <f>I26/H26</f>
        <v/>
      </c>
      <c r="K26" s="85" t="n">
        <v>38.0232939897023</v>
      </c>
      <c r="L26" s="85">
        <f>主线!Y29</f>
        <v/>
      </c>
      <c r="M26" s="85">
        <f>L26/K26</f>
        <v/>
      </c>
      <c r="N26" t="inlineStr">
        <is>
          <t>原源表节点</t>
        </is>
      </c>
    </row>
    <row r="27">
      <c r="A27" t="inlineStr">
        <is>
          <t>主线</t>
        </is>
      </c>
      <c r="B27" t="inlineStr">
        <is>
          <t>3-2</t>
        </is>
      </c>
      <c r="C27" t="n">
        <v>26</v>
      </c>
      <c r="D27" t="n">
        <v>50</v>
      </c>
      <c r="E27" t="n">
        <v>46</v>
      </c>
      <c r="F27" s="85">
        <f>主线!K30</f>
        <v/>
      </c>
      <c r="G27" s="85">
        <f>主线!L30</f>
        <v/>
      </c>
      <c r="H27" s="85" t="n">
        <v>0.403068794099062</v>
      </c>
      <c r="I27" s="85">
        <f>主线!X30</f>
        <v/>
      </c>
      <c r="J27" s="85">
        <f>I27/H27</f>
        <v/>
      </c>
      <c r="K27" s="85" t="n">
        <v>38.4261265482006</v>
      </c>
      <c r="L27" s="85">
        <f>主线!Y30</f>
        <v/>
      </c>
      <c r="M27" s="85">
        <f>L27/K27</f>
        <v/>
      </c>
      <c r="N27" t="inlineStr">
        <is>
          <t>原源表节点</t>
        </is>
      </c>
    </row>
    <row r="28">
      <c r="A28" t="inlineStr">
        <is>
          <t>主线</t>
        </is>
      </c>
      <c r="B28" t="inlineStr">
        <is>
          <t>3-3</t>
        </is>
      </c>
      <c r="C28" t="n">
        <v>27</v>
      </c>
      <c r="D28" t="n">
        <v>52</v>
      </c>
      <c r="E28" t="n">
        <v>48</v>
      </c>
      <c r="F28" s="85">
        <f>主线!K31</f>
        <v/>
      </c>
      <c r="G28" s="85">
        <f>主线!L31</f>
        <v/>
      </c>
      <c r="H28" s="85" t="n">
        <v>0.399523055938436</v>
      </c>
      <c r="I28" s="85">
        <f>主线!X31</f>
        <v/>
      </c>
      <c r="J28" s="85">
        <f>I28/H28</f>
        <v/>
      </c>
      <c r="K28" s="85" t="n">
        <v>38.8202219319263</v>
      </c>
      <c r="L28" s="85">
        <f>主线!Y31</f>
        <v/>
      </c>
      <c r="M28" s="85">
        <f>L28/K28</f>
        <v/>
      </c>
      <c r="N28" t="inlineStr">
        <is>
          <t>原源表节点</t>
        </is>
      </c>
    </row>
    <row r="29">
      <c r="A29" t="inlineStr">
        <is>
          <t>主线</t>
        </is>
      </c>
      <c r="B29" t="inlineStr">
        <is>
          <t>3-4</t>
        </is>
      </c>
      <c r="C29" t="n">
        <v>28</v>
      </c>
      <c r="D29" t="n">
        <v>54</v>
      </c>
      <c r="E29" t="n">
        <v>49</v>
      </c>
      <c r="F29" s="85">
        <f>主线!K32</f>
        <v/>
      </c>
      <c r="G29" s="85">
        <f>主线!L32</f>
        <v/>
      </c>
      <c r="H29" s="85" t="n">
        <v>0.396337011932769</v>
      </c>
      <c r="I29" s="85">
        <f>主线!X32</f>
        <v/>
      </c>
      <c r="J29" s="85">
        <f>I29/H29</f>
        <v/>
      </c>
      <c r="K29" s="85" t="n">
        <v>39.1755796915123</v>
      </c>
      <c r="L29" s="85">
        <f>主线!Y32</f>
        <v/>
      </c>
      <c r="M29" s="85">
        <f>L29/K29</f>
        <v/>
      </c>
      <c r="N29" t="inlineStr">
        <is>
          <t>原源表节点</t>
        </is>
      </c>
    </row>
    <row r="30">
      <c r="A30" t="inlineStr">
        <is>
          <t>主线</t>
        </is>
      </c>
      <c r="B30" t="inlineStr">
        <is>
          <t>3-5</t>
        </is>
      </c>
      <c r="C30" t="n">
        <v>29</v>
      </c>
      <c r="D30" t="n">
        <v>58</v>
      </c>
      <c r="E30" t="n">
        <v>52</v>
      </c>
      <c r="F30" s="85">
        <f>主线!K33</f>
        <v/>
      </c>
      <c r="G30" s="85">
        <f>主线!L33</f>
        <v/>
      </c>
      <c r="H30" s="85" t="n">
        <v>0.418880986546795</v>
      </c>
      <c r="I30" s="85">
        <f>主线!X33</f>
        <v/>
      </c>
      <c r="J30" s="85">
        <f>I30/H30</f>
        <v/>
      </c>
      <c r="K30" s="85" t="n">
        <v>37.603892008498</v>
      </c>
      <c r="L30" s="85">
        <f>主线!Y33</f>
        <v/>
      </c>
      <c r="M30" s="85">
        <f>L30/K30</f>
        <v/>
      </c>
      <c r="N30" t="inlineStr">
        <is>
          <t>原源表节点</t>
        </is>
      </c>
    </row>
    <row r="31">
      <c r="A31" t="inlineStr">
        <is>
          <t>主线</t>
        </is>
      </c>
      <c r="B31" t="inlineStr">
        <is>
          <t>3-6</t>
        </is>
      </c>
      <c r="C31" t="n">
        <v>30</v>
      </c>
      <c r="D31" t="n">
        <v>58</v>
      </c>
      <c r="E31" t="n">
        <v>52</v>
      </c>
      <c r="F31" s="85">
        <f>主线!K34</f>
        <v/>
      </c>
      <c r="G31" s="85">
        <f>主线!L34</f>
        <v/>
      </c>
      <c r="H31" s="85" t="n">
        <v>0.398780897083677</v>
      </c>
      <c r="I31" s="85">
        <f>主线!X34</f>
        <v/>
      </c>
      <c r="J31" s="85">
        <f>I31/H31</f>
        <v/>
      </c>
      <c r="K31" s="85" t="n">
        <v>39.0431771044718</v>
      </c>
      <c r="L31" s="85">
        <f>主线!Y34</f>
        <v/>
      </c>
      <c r="M31" s="85">
        <f>L31/K31</f>
        <v/>
      </c>
      <c r="N31" t="inlineStr">
        <is>
          <t>原源表节点</t>
        </is>
      </c>
    </row>
    <row r="32">
      <c r="A32" t="inlineStr">
        <is>
          <t>主线</t>
        </is>
      </c>
      <c r="B32" t="inlineStr">
        <is>
          <t>3-7</t>
        </is>
      </c>
      <c r="C32" t="n">
        <v>31</v>
      </c>
      <c r="D32" t="n">
        <v>62</v>
      </c>
      <c r="E32" t="n">
        <v>54</v>
      </c>
      <c r="F32" s="85">
        <f>主线!K35</f>
        <v/>
      </c>
      <c r="G32" s="85">
        <f>主线!L35</f>
        <v/>
      </c>
      <c r="H32" s="85" t="n">
        <v>0.404015665293366</v>
      </c>
      <c r="I32" s="85">
        <f>主线!X35</f>
        <v/>
      </c>
      <c r="J32" s="85">
        <f>I32/H32</f>
        <v/>
      </c>
      <c r="K32" s="85" t="n">
        <v>38.7080210799458</v>
      </c>
      <c r="L32" s="85">
        <f>主线!Y35</f>
        <v/>
      </c>
      <c r="M32" s="85">
        <f>L32/K32</f>
        <v/>
      </c>
      <c r="N32" t="inlineStr">
        <is>
          <t>原源表节点</t>
        </is>
      </c>
    </row>
    <row r="33">
      <c r="A33" t="inlineStr">
        <is>
          <t>主线</t>
        </is>
      </c>
      <c r="B33" t="inlineStr">
        <is>
          <t>3-8</t>
        </is>
      </c>
      <c r="C33" t="n">
        <v>32</v>
      </c>
      <c r="D33" t="n">
        <v>64</v>
      </c>
      <c r="E33" t="n">
        <v>54</v>
      </c>
      <c r="F33" s="85">
        <f>主线!K36</f>
        <v/>
      </c>
      <c r="G33" s="85">
        <f>主线!L36</f>
        <v/>
      </c>
      <c r="H33" s="85" t="n">
        <v>0.387171400935511</v>
      </c>
      <c r="I33" s="85">
        <f>主线!X36</f>
        <v/>
      </c>
      <c r="J33" s="85">
        <f>I33/H33</f>
        <v/>
      </c>
      <c r="K33" s="85" t="n">
        <v>40.0975429654492</v>
      </c>
      <c r="L33" s="85">
        <f>主线!Y36</f>
        <v/>
      </c>
      <c r="M33" s="85">
        <f>L33/K33</f>
        <v/>
      </c>
      <c r="N33" t="inlineStr">
        <is>
          <t>原源表节点</t>
        </is>
      </c>
    </row>
    <row r="34">
      <c r="A34" t="inlineStr">
        <is>
          <t>主线</t>
        </is>
      </c>
      <c r="B34" t="inlineStr">
        <is>
          <t>3-9</t>
        </is>
      </c>
      <c r="C34" t="n">
        <v>33</v>
      </c>
      <c r="D34" t="n">
        <v>67</v>
      </c>
      <c r="E34" t="n">
        <v>55</v>
      </c>
      <c r="F34" s="85">
        <f>主线!K37</f>
        <v/>
      </c>
      <c r="G34" s="85">
        <f>主线!L37</f>
        <v/>
      </c>
      <c r="H34" s="85" t="n">
        <v>0.383409375666323</v>
      </c>
      <c r="I34" s="85">
        <f>主线!X37</f>
        <v/>
      </c>
      <c r="J34" s="85">
        <f>I34/H34</f>
        <v/>
      </c>
      <c r="K34" s="85" t="n">
        <v>40.4989486305438</v>
      </c>
      <c r="L34" s="85">
        <f>主线!Y37</f>
        <v/>
      </c>
      <c r="M34" s="85">
        <f>L34/K34</f>
        <v/>
      </c>
      <c r="N34" t="inlineStr">
        <is>
          <t>原源表节点</t>
        </is>
      </c>
    </row>
    <row r="35">
      <c r="A35" t="inlineStr">
        <is>
          <t>主线</t>
        </is>
      </c>
      <c r="B35" t="inlineStr">
        <is>
          <t>3-10</t>
        </is>
      </c>
      <c r="C35" t="n">
        <v>34</v>
      </c>
      <c r="D35" t="n">
        <v>71</v>
      </c>
      <c r="E35" t="n">
        <v>58</v>
      </c>
      <c r="F35" s="85">
        <f>主线!K38</f>
        <v/>
      </c>
      <c r="G35" s="85">
        <f>主线!L38</f>
        <v/>
      </c>
      <c r="H35" s="85" t="n">
        <v>0.391189996977309</v>
      </c>
      <c r="I35" s="85">
        <f>主线!X38</f>
        <v/>
      </c>
      <c r="J35" s="85">
        <f>I35/H35</f>
        <v/>
      </c>
      <c r="K35" s="85" t="n">
        <v>39.9787142395742</v>
      </c>
      <c r="L35" s="85">
        <f>主线!Y38</f>
        <v/>
      </c>
      <c r="M35" s="85">
        <f>L35/K35</f>
        <v/>
      </c>
      <c r="N35" t="inlineStr">
        <is>
          <t>原源表节点</t>
        </is>
      </c>
    </row>
    <row r="36">
      <c r="A36" t="inlineStr">
        <is>
          <t>主线</t>
        </is>
      </c>
      <c r="B36" t="inlineStr">
        <is>
          <t>3-11</t>
        </is>
      </c>
      <c r="C36" t="n">
        <v>35</v>
      </c>
      <c r="D36" t="n">
        <v>73</v>
      </c>
      <c r="E36" t="n">
        <v>58</v>
      </c>
      <c r="F36" s="85">
        <f>主线!K39</f>
        <v/>
      </c>
      <c r="G36" s="85">
        <f>主线!L39</f>
        <v/>
      </c>
      <c r="H36" s="85" t="n">
        <v>0.378958456861266</v>
      </c>
      <c r="I36" s="85">
        <f>主线!X39</f>
        <v/>
      </c>
      <c r="J36" s="85">
        <f>I36/H36</f>
        <v/>
      </c>
      <c r="K36" s="85" t="n">
        <v>41.0880212539398</v>
      </c>
      <c r="L36" s="85">
        <f>主线!Y39</f>
        <v/>
      </c>
      <c r="M36" s="85">
        <f>L36/K36</f>
        <v/>
      </c>
      <c r="N36" t="inlineStr">
        <is>
          <t>原源表节点</t>
        </is>
      </c>
    </row>
    <row r="37">
      <c r="A37" t="inlineStr">
        <is>
          <t>主线</t>
        </is>
      </c>
      <c r="B37" t="inlineStr">
        <is>
          <t>3-12</t>
        </is>
      </c>
      <c r="C37" t="n">
        <v>36</v>
      </c>
      <c r="D37" t="n">
        <v>75</v>
      </c>
      <c r="E37" t="n">
        <v>59</v>
      </c>
      <c r="F37" s="85">
        <f>主线!K40</f>
        <v/>
      </c>
      <c r="G37" s="85">
        <f>主线!L40</f>
        <v/>
      </c>
      <c r="H37" s="85" t="n">
        <v>0.368300682551958</v>
      </c>
      <c r="I37" s="85">
        <f>主线!X40</f>
        <v/>
      </c>
      <c r="J37" s="85">
        <f>I37/H37</f>
        <v/>
      </c>
      <c r="K37" s="85" t="n">
        <v>42.12673190073</v>
      </c>
      <c r="L37" s="85">
        <f>主线!Y40</f>
        <v/>
      </c>
      <c r="M37" s="85">
        <f>L37/K37</f>
        <v/>
      </c>
      <c r="N37" t="inlineStr">
        <is>
          <t>原源表节点</t>
        </is>
      </c>
    </row>
    <row r="38">
      <c r="A38" t="inlineStr">
        <is>
          <t>主线</t>
        </is>
      </c>
      <c r="B38" t="inlineStr">
        <is>
          <t>3-13</t>
        </is>
      </c>
      <c r="C38" t="n">
        <v>37</v>
      </c>
      <c r="D38" t="n">
        <v>78</v>
      </c>
      <c r="E38" t="n">
        <v>61</v>
      </c>
      <c r="F38" s="85">
        <f>主线!K41</f>
        <v/>
      </c>
      <c r="G38" s="85">
        <f>主线!L41</f>
        <v/>
      </c>
      <c r="H38" s="85" t="n">
        <v>0.368235137900447</v>
      </c>
      <c r="I38" s="85">
        <f>主线!X41</f>
        <v/>
      </c>
      <c r="J38" s="85">
        <f>I38/H38</f>
        <v/>
      </c>
      <c r="K38" s="85" t="n">
        <v>42.2581095781092</v>
      </c>
      <c r="L38" s="85">
        <f>主线!Y41</f>
        <v/>
      </c>
      <c r="M38" s="85">
        <f>L38/K38</f>
        <v/>
      </c>
      <c r="N38" t="inlineStr">
        <is>
          <t>原源表节点</t>
        </is>
      </c>
    </row>
    <row r="39">
      <c r="A39" t="inlineStr">
        <is>
          <t>主线</t>
        </is>
      </c>
      <c r="B39" t="inlineStr">
        <is>
          <t>3-14</t>
        </is>
      </c>
      <c r="C39" t="n">
        <v>38</v>
      </c>
      <c r="D39" t="n">
        <v>80</v>
      </c>
      <c r="E39" t="n">
        <v>61</v>
      </c>
      <c r="F39" s="85">
        <f>主线!K42</f>
        <v/>
      </c>
      <c r="G39" s="85">
        <f>主线!L42</f>
        <v/>
      </c>
      <c r="H39" s="85" t="n">
        <v>0.359728110675667</v>
      </c>
      <c r="I39" s="85">
        <f>主线!X42</f>
        <v/>
      </c>
      <c r="J39" s="85">
        <f>I39/H39</f>
        <v/>
      </c>
      <c r="K39" s="85" t="n">
        <v>43.1530261638491</v>
      </c>
      <c r="L39" s="85">
        <f>主线!Y42</f>
        <v/>
      </c>
      <c r="M39" s="85">
        <f>L39/K39</f>
        <v/>
      </c>
      <c r="N39" t="inlineStr">
        <is>
          <t>原源表节点</t>
        </is>
      </c>
    </row>
    <row r="40">
      <c r="A40" t="inlineStr">
        <is>
          <t>主线</t>
        </is>
      </c>
      <c r="B40" t="inlineStr">
        <is>
          <t>3-15</t>
        </is>
      </c>
      <c r="C40" t="n">
        <v>39</v>
      </c>
      <c r="D40" t="n">
        <v>85</v>
      </c>
      <c r="E40" t="n">
        <v>66</v>
      </c>
      <c r="F40" s="85">
        <f>主线!K43</f>
        <v/>
      </c>
      <c r="G40" s="85">
        <f>主线!L43</f>
        <v/>
      </c>
      <c r="H40" s="85" t="n">
        <v>33.1493847565873</v>
      </c>
      <c r="I40" s="85">
        <f>主线!X43</f>
        <v/>
      </c>
      <c r="J40" s="85">
        <f>I40/H40</f>
        <v/>
      </c>
      <c r="K40" s="85" t="n">
        <v>41.6064598893182</v>
      </c>
      <c r="L40" s="85">
        <f>主线!Y43</f>
        <v/>
      </c>
      <c r="M40" s="85">
        <f>L40/K40</f>
        <v/>
      </c>
      <c r="N40" t="inlineStr">
        <is>
          <t>原源表节点</t>
        </is>
      </c>
    </row>
    <row r="41">
      <c r="A41" t="inlineStr">
        <is>
          <t>主线</t>
        </is>
      </c>
      <c r="B41" t="inlineStr">
        <is>
          <t>4-1</t>
        </is>
      </c>
      <c r="C41" t="n">
        <v>40</v>
      </c>
      <c r="D41" t="n">
        <v>85</v>
      </c>
      <c r="E41" t="n">
        <v>66</v>
      </c>
      <c r="F41" s="85">
        <f>主线!K44</f>
        <v/>
      </c>
      <c r="G41" s="85">
        <f>主线!L44</f>
        <v/>
      </c>
      <c r="H41" s="85" t="n">
        <v>0.354098972877245</v>
      </c>
      <c r="I41" s="85">
        <f>主线!X44</f>
        <v/>
      </c>
      <c r="J41" s="85">
        <f>I41/H41</f>
        <v/>
      </c>
      <c r="K41" s="85" t="n">
        <v>43.9434947541653</v>
      </c>
      <c r="L41" s="85">
        <f>主线!Y44</f>
        <v/>
      </c>
      <c r="M41" s="85">
        <f>L41/K41</f>
        <v/>
      </c>
      <c r="N41" t="inlineStr">
        <is>
          <t>原源表节点</t>
        </is>
      </c>
    </row>
    <row r="42">
      <c r="A42" t="inlineStr">
        <is>
          <t>主线</t>
        </is>
      </c>
      <c r="B42" t="inlineStr">
        <is>
          <t>4-2</t>
        </is>
      </c>
      <c r="C42" t="n">
        <v>41</v>
      </c>
      <c r="D42" t="n">
        <v>88</v>
      </c>
      <c r="E42" t="n">
        <v>66</v>
      </c>
      <c r="F42" s="85">
        <f>主线!K45</f>
        <v/>
      </c>
      <c r="G42" s="85">
        <f>主线!L45</f>
        <v/>
      </c>
      <c r="H42" s="85" t="n">
        <v>0.356366973285144</v>
      </c>
      <c r="I42" s="85">
        <f>主线!X45</f>
        <v/>
      </c>
      <c r="J42" s="85">
        <f>I42/H42</f>
        <v/>
      </c>
      <c r="K42" s="85" t="n">
        <v>43.8564399773113</v>
      </c>
      <c r="L42" s="85">
        <f>主线!Y45</f>
        <v/>
      </c>
      <c r="M42" s="85">
        <f>L42/K42</f>
        <v/>
      </c>
      <c r="N42" t="inlineStr">
        <is>
          <t>原源表节点</t>
        </is>
      </c>
    </row>
    <row r="43">
      <c r="A43" t="inlineStr">
        <is>
          <t>主线</t>
        </is>
      </c>
      <c r="B43" t="inlineStr">
        <is>
          <t>4-3</t>
        </is>
      </c>
      <c r="C43" t="n">
        <v>42</v>
      </c>
      <c r="D43" t="n">
        <v>90</v>
      </c>
      <c r="E43" t="n">
        <v>68</v>
      </c>
      <c r="F43" s="85">
        <f>主线!K46</f>
        <v/>
      </c>
      <c r="G43" s="85">
        <f>主线!L46</f>
        <v/>
      </c>
      <c r="H43" s="85" t="n">
        <v>0.350808977425681</v>
      </c>
      <c r="I43" s="85">
        <f>主线!X46</f>
        <v/>
      </c>
      <c r="J43" s="85">
        <f>I43/H43</f>
        <v/>
      </c>
      <c r="K43" s="85" t="n">
        <v>44.5167437636894</v>
      </c>
      <c r="L43" s="85">
        <f>主线!Y46</f>
        <v/>
      </c>
      <c r="M43" s="85">
        <f>L43/K43</f>
        <v/>
      </c>
      <c r="N43" t="inlineStr">
        <is>
          <t>原源表节点</t>
        </is>
      </c>
    </row>
    <row r="44">
      <c r="A44" t="inlineStr">
        <is>
          <t>主线</t>
        </is>
      </c>
      <c r="B44" t="inlineStr">
        <is>
          <t>4-4</t>
        </is>
      </c>
      <c r="C44" t="n">
        <v>43</v>
      </c>
      <c r="D44" t="n">
        <v>93</v>
      </c>
      <c r="E44" t="n">
        <v>70</v>
      </c>
      <c r="F44" s="85">
        <f>主线!K47</f>
        <v/>
      </c>
      <c r="G44" s="85">
        <f>主线!L47</f>
        <v/>
      </c>
      <c r="H44" s="85" t="n">
        <v>0.353920060972065</v>
      </c>
      <c r="I44" s="85">
        <f>主线!X47</f>
        <v/>
      </c>
      <c r="J44" s="85">
        <f>I44/H44</f>
        <v/>
      </c>
      <c r="K44" s="85" t="n">
        <v>44.3553541373245</v>
      </c>
      <c r="L44" s="85">
        <f>主线!Y47</f>
        <v/>
      </c>
      <c r="M44" s="85">
        <f>L44/K44</f>
        <v/>
      </c>
      <c r="N44" t="inlineStr">
        <is>
          <t>原源表节点</t>
        </is>
      </c>
    </row>
    <row r="45">
      <c r="A45" t="inlineStr">
        <is>
          <t>主线</t>
        </is>
      </c>
      <c r="B45" t="inlineStr">
        <is>
          <t>4-5</t>
        </is>
      </c>
      <c r="C45" t="n">
        <v>44</v>
      </c>
      <c r="D45" t="n">
        <v>95</v>
      </c>
      <c r="E45" t="n">
        <v>72</v>
      </c>
      <c r="F45" s="85">
        <f>主线!K48</f>
        <v/>
      </c>
      <c r="G45" s="85">
        <f>主线!L48</f>
        <v/>
      </c>
      <c r="H45" s="85" t="n">
        <v>0.349451031935071</v>
      </c>
      <c r="I45" s="85">
        <f>主线!X48</f>
        <v/>
      </c>
      <c r="J45" s="85">
        <f>I45/H45</f>
        <v/>
      </c>
      <c r="K45" s="85" t="n">
        <v>44.9194508186345</v>
      </c>
      <c r="L45" s="85">
        <f>主线!Y48</f>
        <v/>
      </c>
      <c r="M45" s="85">
        <f>L45/K45</f>
        <v/>
      </c>
      <c r="N45" t="inlineStr">
        <is>
          <t>原源表节点</t>
        </is>
      </c>
    </row>
    <row r="46">
      <c r="A46" t="inlineStr">
        <is>
          <t>主线</t>
        </is>
      </c>
      <c r="B46" t="inlineStr">
        <is>
          <t>4-6</t>
        </is>
      </c>
      <c r="C46" t="n">
        <v>45</v>
      </c>
      <c r="D46" t="n">
        <v>97</v>
      </c>
      <c r="E46" t="n">
        <v>73</v>
      </c>
      <c r="F46" s="85">
        <f>主线!K49</f>
        <v/>
      </c>
      <c r="G46" s="85">
        <f>主线!L49</f>
        <v/>
      </c>
      <c r="H46" s="85" t="n">
        <v>0.345552247982335</v>
      </c>
      <c r="I46" s="85">
        <f>主线!X49</f>
        <v/>
      </c>
      <c r="J46" s="85">
        <f>I46/H46</f>
        <v/>
      </c>
      <c r="K46" s="85" t="n">
        <v>45.4280415858614</v>
      </c>
      <c r="L46" s="85">
        <f>主线!Y49</f>
        <v/>
      </c>
      <c r="M46" s="85">
        <f>L46/K46</f>
        <v/>
      </c>
      <c r="N46" t="inlineStr">
        <is>
          <t>原源表节点</t>
        </is>
      </c>
    </row>
    <row r="47">
      <c r="A47" t="inlineStr">
        <is>
          <t>主线</t>
        </is>
      </c>
      <c r="B47" t="inlineStr">
        <is>
          <t>4-7</t>
        </is>
      </c>
      <c r="C47" t="n">
        <v>46</v>
      </c>
      <c r="D47" t="n">
        <v>99</v>
      </c>
      <c r="E47" t="n">
        <v>75</v>
      </c>
      <c r="F47" s="85">
        <f>主线!K50</f>
        <v/>
      </c>
      <c r="G47" s="85">
        <f>主线!L50</f>
        <v/>
      </c>
      <c r="H47" s="85" t="n">
        <v>0.342175792033639</v>
      </c>
      <c r="I47" s="85">
        <f>主线!X50</f>
        <v/>
      </c>
      <c r="J47" s="85">
        <f>I47/H47</f>
        <v/>
      </c>
      <c r="K47" s="85" t="n">
        <v>45.8978880084753</v>
      </c>
      <c r="L47" s="85">
        <f>主线!Y50</f>
        <v/>
      </c>
      <c r="M47" s="85">
        <f>L47/K47</f>
        <v/>
      </c>
      <c r="N47" t="inlineStr">
        <is>
          <t>原源表节点</t>
        </is>
      </c>
    </row>
    <row r="48">
      <c r="A48" t="inlineStr">
        <is>
          <t>主线</t>
        </is>
      </c>
      <c r="B48" t="inlineStr">
        <is>
          <t>4-8</t>
        </is>
      </c>
      <c r="C48" t="n">
        <v>47</v>
      </c>
      <c r="D48" t="n">
        <v>101</v>
      </c>
      <c r="E48" t="n">
        <v>76</v>
      </c>
      <c r="F48" s="85">
        <f>主线!K51</f>
        <v/>
      </c>
      <c r="G48" s="85">
        <f>主线!L51</f>
        <v/>
      </c>
      <c r="H48" s="85" t="n">
        <v>0.339270922029204</v>
      </c>
      <c r="I48" s="85">
        <f>主线!X51</f>
        <v/>
      </c>
      <c r="J48" s="85">
        <f>I48/H48</f>
        <v/>
      </c>
      <c r="K48" s="85" t="n">
        <v>46.3238734020632</v>
      </c>
      <c r="L48" s="85">
        <f>主线!Y51</f>
        <v/>
      </c>
      <c r="M48" s="85">
        <f>L48/K48</f>
        <v/>
      </c>
      <c r="N48" t="inlineStr">
        <is>
          <t>原源表节点</t>
        </is>
      </c>
    </row>
    <row r="49">
      <c r="A49" t="inlineStr">
        <is>
          <t>主线</t>
        </is>
      </c>
      <c r="B49" t="inlineStr">
        <is>
          <t>4-9</t>
        </is>
      </c>
      <c r="C49" t="n">
        <v>48</v>
      </c>
      <c r="D49" t="n">
        <v>103</v>
      </c>
      <c r="E49" t="n">
        <v>78</v>
      </c>
      <c r="F49" s="85">
        <f>主线!K52</f>
        <v/>
      </c>
      <c r="G49" s="85">
        <f>主线!L52</f>
        <v/>
      </c>
      <c r="H49" s="85" t="n">
        <v>0.33679241738497</v>
      </c>
      <c r="I49" s="85">
        <f>主线!X52</f>
        <v/>
      </c>
      <c r="J49" s="85">
        <f>I49/H49</f>
        <v/>
      </c>
      <c r="K49" s="85" t="n">
        <v>46.7081021148069</v>
      </c>
      <c r="L49" s="85">
        <f>主线!Y52</f>
        <v/>
      </c>
      <c r="M49" s="85">
        <f>L49/K49</f>
        <v/>
      </c>
      <c r="N49" t="inlineStr">
        <is>
          <t>原源表节点</t>
        </is>
      </c>
    </row>
    <row r="50">
      <c r="A50" t="inlineStr">
        <is>
          <t>主线</t>
        </is>
      </c>
      <c r="B50" t="inlineStr">
        <is>
          <t>4-10</t>
        </is>
      </c>
      <c r="C50" t="n">
        <v>49</v>
      </c>
      <c r="D50" t="n">
        <v>105</v>
      </c>
      <c r="E50" t="n">
        <v>80</v>
      </c>
      <c r="F50" s="85">
        <f>主线!K53</f>
        <v/>
      </c>
      <c r="G50" s="85">
        <f>主线!L53</f>
        <v/>
      </c>
      <c r="H50" s="85" t="n">
        <v>0.334720577954478</v>
      </c>
      <c r="I50" s="85">
        <f>主线!X53</f>
        <v/>
      </c>
      <c r="J50" s="85">
        <f>I50/H50</f>
        <v/>
      </c>
      <c r="K50" s="85" t="n">
        <v>47.0460792667152</v>
      </c>
      <c r="L50" s="85">
        <f>主线!Y53</f>
        <v/>
      </c>
      <c r="M50" s="85">
        <f>L50/K50</f>
        <v/>
      </c>
      <c r="N50" t="inlineStr">
        <is>
          <t>原源表节点</t>
        </is>
      </c>
    </row>
    <row r="51">
      <c r="A51" t="inlineStr">
        <is>
          <t>主线</t>
        </is>
      </c>
      <c r="B51" t="inlineStr">
        <is>
          <t>4-11</t>
        </is>
      </c>
      <c r="C51" t="n">
        <v>50</v>
      </c>
      <c r="D51" t="n">
        <v>107</v>
      </c>
      <c r="E51" t="n">
        <v>81</v>
      </c>
      <c r="F51" s="85">
        <f>主线!K54</f>
        <v/>
      </c>
      <c r="G51" s="85">
        <f>主线!L54</f>
        <v/>
      </c>
      <c r="H51" s="85" t="n">
        <v>0.333002195639651</v>
      </c>
      <c r="I51" s="85">
        <f>主线!X54</f>
        <v/>
      </c>
      <c r="J51" s="85">
        <f>I51/H51</f>
        <v/>
      </c>
      <c r="K51" s="85" t="n">
        <v>47.3529116846549</v>
      </c>
      <c r="L51" s="85">
        <f>主线!Y54</f>
        <v/>
      </c>
      <c r="M51" s="85">
        <f>L51/K51</f>
        <v/>
      </c>
      <c r="N51" t="inlineStr">
        <is>
          <t>原源表节点</t>
        </is>
      </c>
    </row>
    <row r="52">
      <c r="A52" t="inlineStr">
        <is>
          <t>主线</t>
        </is>
      </c>
      <c r="B52" t="inlineStr">
        <is>
          <t>4-12</t>
        </is>
      </c>
      <c r="C52" t="n">
        <v>51</v>
      </c>
      <c r="D52" t="n">
        <v>109</v>
      </c>
      <c r="E52" t="n">
        <v>83</v>
      </c>
      <c r="F52" s="85">
        <f>主线!K55</f>
        <v/>
      </c>
      <c r="G52" s="85">
        <f>主线!L55</f>
        <v/>
      </c>
      <c r="H52" s="85" t="n">
        <v>0.331651951564708</v>
      </c>
      <c r="I52" s="85">
        <f>主线!X55</f>
        <v/>
      </c>
      <c r="J52" s="85">
        <f>I52/H52</f>
        <v/>
      </c>
      <c r="K52" s="85" t="n">
        <v>47.6237745206067</v>
      </c>
      <c r="L52" s="85">
        <f>主线!Y55</f>
        <v/>
      </c>
      <c r="M52" s="85">
        <f>L52/K52</f>
        <v/>
      </c>
      <c r="N52" t="inlineStr">
        <is>
          <t>原源表节点</t>
        </is>
      </c>
    </row>
    <row r="53">
      <c r="A53" t="inlineStr">
        <is>
          <t>主线</t>
        </is>
      </c>
      <c r="B53" t="inlineStr">
        <is>
          <t>4-13</t>
        </is>
      </c>
      <c r="C53" t="n">
        <v>52</v>
      </c>
      <c r="D53" t="n">
        <v>111</v>
      </c>
      <c r="E53" t="n">
        <v>85</v>
      </c>
      <c r="F53" s="85">
        <f>主线!K56</f>
        <v/>
      </c>
      <c r="G53" s="85">
        <f>主线!L56</f>
        <v/>
      </c>
      <c r="H53" s="85" t="n">
        <v>0.330606051632153</v>
      </c>
      <c r="I53" s="85">
        <f>主线!X56</f>
        <v/>
      </c>
      <c r="J53" s="85">
        <f>I53/H53</f>
        <v/>
      </c>
      <c r="K53" s="85" t="n">
        <v>47.8604326031843</v>
      </c>
      <c r="L53" s="85">
        <f>主线!Y56</f>
        <v/>
      </c>
      <c r="M53" s="85">
        <f>L53/K53</f>
        <v/>
      </c>
      <c r="N53" t="inlineStr">
        <is>
          <t>原源表节点</t>
        </is>
      </c>
    </row>
    <row r="54">
      <c r="A54" t="inlineStr">
        <is>
          <t>主线</t>
        </is>
      </c>
      <c r="B54" t="inlineStr">
        <is>
          <t>4-14</t>
        </is>
      </c>
      <c r="C54" t="n">
        <v>53</v>
      </c>
      <c r="D54" t="n">
        <v>113</v>
      </c>
      <c r="E54" t="n">
        <v>87</v>
      </c>
      <c r="F54" s="85">
        <f>主线!K57</f>
        <v/>
      </c>
      <c r="G54" s="85">
        <f>主线!L57</f>
        <v/>
      </c>
      <c r="H54" s="85" t="n">
        <v>0.32987330805735</v>
      </c>
      <c r="I54" s="85">
        <f>主线!X57</f>
        <v/>
      </c>
      <c r="J54" s="85">
        <f>I54/H54</f>
        <v/>
      </c>
      <c r="K54" s="85" t="n">
        <v>48.0586900409096</v>
      </c>
      <c r="L54" s="85">
        <f>主线!Y57</f>
        <v/>
      </c>
      <c r="M54" s="85">
        <f>L54/K54</f>
        <v/>
      </c>
      <c r="N54" t="inlineStr">
        <is>
          <t>原源表节点</t>
        </is>
      </c>
    </row>
    <row r="55">
      <c r="A55" t="inlineStr">
        <is>
          <t>主线</t>
        </is>
      </c>
      <c r="B55" t="inlineStr">
        <is>
          <t>4-15</t>
        </is>
      </c>
      <c r="C55" t="n">
        <v>54</v>
      </c>
      <c r="D55" t="n">
        <v>117</v>
      </c>
      <c r="E55" t="n">
        <v>93</v>
      </c>
      <c r="F55" s="85">
        <f>主线!K58</f>
        <v/>
      </c>
      <c r="G55" s="85">
        <f>主线!L58</f>
        <v/>
      </c>
      <c r="H55" s="85" t="n">
        <v>32.2833537266697</v>
      </c>
      <c r="I55" s="85">
        <f>主线!X58</f>
        <v/>
      </c>
      <c r="J55" s="85">
        <f>I55/H55</f>
        <v/>
      </c>
      <c r="K55" s="85" t="n">
        <v>46.8403409277363</v>
      </c>
      <c r="L55" s="85">
        <f>主线!Y58</f>
        <v/>
      </c>
      <c r="M55" s="85">
        <f>L55/K55</f>
        <v/>
      </c>
      <c r="N55" t="inlineStr">
        <is>
          <t>原源表节点</t>
        </is>
      </c>
    </row>
    <row r="56">
      <c r="A56" t="inlineStr">
        <is>
          <t>主线</t>
        </is>
      </c>
      <c r="B56" t="inlineStr">
        <is>
          <t>5-1</t>
        </is>
      </c>
      <c r="C56" t="n">
        <v>55</v>
      </c>
      <c r="D56" t="n">
        <v>117</v>
      </c>
      <c r="E56" t="n">
        <v>93</v>
      </c>
      <c r="F56" s="85">
        <f>主线!K59</f>
        <v/>
      </c>
      <c r="G56" s="85">
        <f>主线!L59</f>
        <v/>
      </c>
      <c r="H56" s="85" t="n">
        <v>0.329242496243304</v>
      </c>
      <c r="I56" s="85">
        <f>主线!X59</f>
        <v/>
      </c>
      <c r="J56" s="85">
        <f>I56/H56</f>
        <v/>
      </c>
      <c r="K56" s="85" t="n">
        <v>48.3705223538947</v>
      </c>
      <c r="L56" s="85">
        <f>主线!Y59</f>
        <v/>
      </c>
      <c r="M56" s="85">
        <f>L56/K56</f>
        <v/>
      </c>
      <c r="N56" t="inlineStr">
        <is>
          <t>原源表节点</t>
        </is>
      </c>
    </row>
    <row r="57">
      <c r="A57" t="inlineStr">
        <is>
          <t>主线</t>
        </is>
      </c>
      <c r="B57" t="inlineStr">
        <is>
          <t>5-2</t>
        </is>
      </c>
      <c r="C57" t="n">
        <v>56</v>
      </c>
      <c r="D57" t="n">
        <v>119</v>
      </c>
      <c r="E57" t="n">
        <v>93</v>
      </c>
      <c r="F57" s="85">
        <f>主线!K60</f>
        <v/>
      </c>
      <c r="G57" s="85">
        <f>主线!L60</f>
        <v/>
      </c>
      <c r="H57" s="85" t="n">
        <v>0.329313856088537</v>
      </c>
      <c r="I57" s="85">
        <f>主线!X60</f>
        <v/>
      </c>
      <c r="J57" s="85">
        <f>I57/H57</f>
        <v/>
      </c>
      <c r="K57" s="85" t="n">
        <v>48.4759346002791</v>
      </c>
      <c r="L57" s="85">
        <f>主线!Y60</f>
        <v/>
      </c>
      <c r="M57" s="85">
        <f>L57/K57</f>
        <v/>
      </c>
      <c r="N57" t="inlineStr">
        <is>
          <t>原源表节点</t>
        </is>
      </c>
    </row>
    <row r="58">
      <c r="A58" t="inlineStr">
        <is>
          <t>主线</t>
        </is>
      </c>
      <c r="B58" t="inlineStr">
        <is>
          <t>5-3</t>
        </is>
      </c>
      <c r="C58" t="n">
        <v>57</v>
      </c>
      <c r="D58" t="n">
        <v>120</v>
      </c>
      <c r="E58" t="n">
        <v>93</v>
      </c>
      <c r="F58" s="85">
        <f>主线!K61</f>
        <v/>
      </c>
      <c r="G58" s="85">
        <f>主线!L61</f>
        <v/>
      </c>
      <c r="H58" s="85" t="n">
        <v>0.323242924741287</v>
      </c>
      <c r="I58" s="85">
        <f>主线!X61</f>
        <v/>
      </c>
      <c r="J58" s="85">
        <f>I58/H58</f>
        <v/>
      </c>
      <c r="K58" s="85" t="n">
        <v>49.2585210344942</v>
      </c>
      <c r="L58" s="85">
        <f>主线!Y61</f>
        <v/>
      </c>
      <c r="M58" s="85">
        <f>L58/K58</f>
        <v/>
      </c>
      <c r="N58" t="inlineStr">
        <is>
          <t>原源表节点</t>
        </is>
      </c>
    </row>
    <row r="59">
      <c r="A59" t="inlineStr">
        <is>
          <t>主线</t>
        </is>
      </c>
      <c r="B59" t="inlineStr">
        <is>
          <t>5-4</t>
        </is>
      </c>
      <c r="C59" t="n">
        <v>58</v>
      </c>
      <c r="D59" t="n">
        <v>122</v>
      </c>
      <c r="E59" t="n">
        <v>94</v>
      </c>
      <c r="F59" s="85">
        <f>主线!K62</f>
        <v/>
      </c>
      <c r="G59" s="85">
        <f>主线!L62</f>
        <v/>
      </c>
      <c r="H59" s="85" t="n">
        <v>0.323841674715751</v>
      </c>
      <c r="I59" s="85">
        <f>主线!X62</f>
        <v/>
      </c>
      <c r="J59" s="85">
        <f>I59/H59</f>
        <v/>
      </c>
      <c r="K59" s="85" t="n">
        <v>49.3049547454355</v>
      </c>
      <c r="L59" s="85">
        <f>主线!Y62</f>
        <v/>
      </c>
      <c r="M59" s="85">
        <f>L59/K59</f>
        <v/>
      </c>
      <c r="N59" t="inlineStr">
        <is>
          <t>原源表节点</t>
        </is>
      </c>
    </row>
    <row r="60">
      <c r="A60" t="inlineStr">
        <is>
          <t>主线</t>
        </is>
      </c>
      <c r="B60" t="inlineStr">
        <is>
          <t>5-5</t>
        </is>
      </c>
      <c r="C60" t="n">
        <v>59</v>
      </c>
      <c r="D60" t="n">
        <v>124</v>
      </c>
      <c r="E60" t="n">
        <v>96</v>
      </c>
      <c r="F60" s="85">
        <f>主线!K63</f>
        <v/>
      </c>
      <c r="G60" s="85">
        <f>主线!L63</f>
        <v/>
      </c>
      <c r="H60" s="85" t="n">
        <v>0.324658096145097</v>
      </c>
      <c r="I60" s="85">
        <f>主线!X63</f>
        <v/>
      </c>
      <c r="J60" s="85">
        <f>I60/H60</f>
        <v/>
      </c>
      <c r="K60" s="85" t="n">
        <v>49.3279523595823</v>
      </c>
      <c r="L60" s="85">
        <f>主线!Y63</f>
        <v/>
      </c>
      <c r="M60" s="85">
        <f>L60/K60</f>
        <v/>
      </c>
      <c r="N60" t="inlineStr">
        <is>
          <t>原源表节点</t>
        </is>
      </c>
    </row>
    <row r="61">
      <c r="A61" t="inlineStr">
        <is>
          <t>主线</t>
        </is>
      </c>
      <c r="B61" t="inlineStr">
        <is>
          <t>5-6</t>
        </is>
      </c>
      <c r="C61" t="n">
        <v>60</v>
      </c>
      <c r="D61" t="n">
        <v>126</v>
      </c>
      <c r="E61" t="n">
        <v>97</v>
      </c>
      <c r="F61" s="85">
        <f>主线!K64</f>
        <v/>
      </c>
      <c r="G61" s="85">
        <f>主线!L64</f>
        <v/>
      </c>
      <c r="H61" s="85" t="n">
        <v>0.325686277528304</v>
      </c>
      <c r="I61" s="85">
        <f>主线!X64</f>
        <v/>
      </c>
      <c r="J61" s="85">
        <f>I61/H61</f>
        <v/>
      </c>
      <c r="K61" s="85" t="n">
        <v>49.3237378243379</v>
      </c>
      <c r="L61" s="85">
        <f>主线!Y64</f>
        <v/>
      </c>
      <c r="M61" s="85">
        <f>L61/K61</f>
        <v/>
      </c>
      <c r="N61" t="inlineStr">
        <is>
          <t>原源表节点</t>
        </is>
      </c>
    </row>
    <row r="62">
      <c r="A62" t="inlineStr">
        <is>
          <t>主线</t>
        </is>
      </c>
      <c r="B62" t="inlineStr">
        <is>
          <t>5-7</t>
        </is>
      </c>
      <c r="C62" t="n">
        <v>61</v>
      </c>
      <c r="D62" t="n">
        <v>128</v>
      </c>
      <c r="E62" t="n">
        <v>99</v>
      </c>
      <c r="F62" s="85">
        <f>主线!K65</f>
        <v/>
      </c>
      <c r="G62" s="85">
        <f>主线!L65</f>
        <v/>
      </c>
      <c r="H62" s="85" t="n">
        <v>0.326911488471052</v>
      </c>
      <c r="I62" s="85">
        <f>主线!X65</f>
        <v/>
      </c>
      <c r="J62" s="85">
        <f>I62/H62</f>
        <v/>
      </c>
      <c r="K62" s="85" t="n">
        <v>49.3036502508229</v>
      </c>
      <c r="L62" s="85">
        <f>主线!Y65</f>
        <v/>
      </c>
      <c r="M62" s="85">
        <f>L62/K62</f>
        <v/>
      </c>
      <c r="N62" t="inlineStr">
        <is>
          <t>原源表节点</t>
        </is>
      </c>
    </row>
    <row r="63">
      <c r="A63" t="inlineStr">
        <is>
          <t>主线</t>
        </is>
      </c>
      <c r="B63" t="inlineStr">
        <is>
          <t>5-8</t>
        </is>
      </c>
      <c r="C63" t="n">
        <v>62</v>
      </c>
      <c r="D63" t="n">
        <v>129</v>
      </c>
      <c r="E63" t="n">
        <v>100</v>
      </c>
      <c r="F63" s="85">
        <f>主线!K66</f>
        <v/>
      </c>
      <c r="G63" s="85">
        <f>主线!L66</f>
        <v/>
      </c>
      <c r="H63" s="85" t="n">
        <v>0.322228919125984</v>
      </c>
      <c r="I63" s="85">
        <f>主线!X66</f>
        <v/>
      </c>
      <c r="J63" s="85">
        <f>I63/H63</f>
        <v/>
      </c>
      <c r="K63" s="85" t="n">
        <v>49.9265957593931</v>
      </c>
      <c r="L63" s="85">
        <f>主线!Y66</f>
        <v/>
      </c>
      <c r="M63" s="85">
        <f>L63/K63</f>
        <v/>
      </c>
      <c r="N63" t="inlineStr">
        <is>
          <t>原源表节点</t>
        </is>
      </c>
    </row>
    <row r="64">
      <c r="A64" t="inlineStr">
        <is>
          <t>主线</t>
        </is>
      </c>
      <c r="B64" t="inlineStr">
        <is>
          <t>5-9</t>
        </is>
      </c>
      <c r="C64" t="n">
        <v>63</v>
      </c>
      <c r="D64" t="n">
        <v>131</v>
      </c>
      <c r="E64" t="n">
        <v>101</v>
      </c>
      <c r="F64" s="85">
        <f>主线!K67</f>
        <v/>
      </c>
      <c r="G64" s="85">
        <f>主线!L67</f>
        <v/>
      </c>
      <c r="H64" s="85" t="n">
        <v>0.323856896816703</v>
      </c>
      <c r="I64" s="85">
        <f>主线!X67</f>
        <v/>
      </c>
      <c r="J64" s="85">
        <f>I64/H64</f>
        <v/>
      </c>
      <c r="K64" s="85" t="n">
        <v>49.8493289248317</v>
      </c>
      <c r="L64" s="85">
        <f>主线!Y67</f>
        <v/>
      </c>
      <c r="M64" s="85">
        <f>L64/K64</f>
        <v/>
      </c>
      <c r="N64" t="inlineStr">
        <is>
          <t>原源表节点</t>
        </is>
      </c>
    </row>
    <row r="65">
      <c r="A65" t="inlineStr">
        <is>
          <t>主线</t>
        </is>
      </c>
      <c r="B65" t="inlineStr">
        <is>
          <t>5-10</t>
        </is>
      </c>
      <c r="C65" t="n">
        <v>64</v>
      </c>
      <c r="D65" t="n">
        <v>132</v>
      </c>
      <c r="E65" t="n">
        <v>102</v>
      </c>
      <c r="F65" s="85">
        <f>主线!K68</f>
        <v/>
      </c>
      <c r="G65" s="85">
        <f>主线!L68</f>
        <v/>
      </c>
      <c r="H65" s="85" t="n">
        <v>0.319686779068387</v>
      </c>
      <c r="I65" s="85">
        <f>主线!X68</f>
        <v/>
      </c>
      <c r="J65" s="85">
        <f>I65/H65</f>
        <v/>
      </c>
      <c r="K65" s="85" t="n">
        <v>50.4210751889893</v>
      </c>
      <c r="L65" s="85">
        <f>主线!Y68</f>
        <v/>
      </c>
      <c r="M65" s="85">
        <f>L65/K65</f>
        <v/>
      </c>
      <c r="N65" t="inlineStr">
        <is>
          <t>原源表节点</t>
        </is>
      </c>
    </row>
    <row r="66">
      <c r="A66" t="inlineStr">
        <is>
          <t>主线</t>
        </is>
      </c>
      <c r="B66" t="inlineStr">
        <is>
          <t>5-11</t>
        </is>
      </c>
      <c r="C66" t="n">
        <v>65</v>
      </c>
      <c r="D66" t="n">
        <v>134</v>
      </c>
      <c r="E66" t="n">
        <v>104</v>
      </c>
      <c r="F66" s="85">
        <f>主线!K69</f>
        <v/>
      </c>
      <c r="G66" s="85">
        <f>主线!L69</f>
        <v/>
      </c>
      <c r="H66" s="85" t="n">
        <v>0.318204208364364</v>
      </c>
      <c r="I66" s="85">
        <f>主线!X69</f>
        <v/>
      </c>
      <c r="J66" s="85">
        <f>I66/H66</f>
        <v/>
      </c>
      <c r="K66" s="85" t="n">
        <v>50.9633917093448</v>
      </c>
      <c r="L66" s="85">
        <f>主线!Y69</f>
        <v/>
      </c>
      <c r="M66" s="85">
        <f>L66/K66</f>
        <v/>
      </c>
      <c r="N66" t="inlineStr">
        <is>
          <t>原源表节点</t>
        </is>
      </c>
    </row>
    <row r="67">
      <c r="A67" t="inlineStr">
        <is>
          <t>主线</t>
        </is>
      </c>
      <c r="B67" t="inlineStr">
        <is>
          <t>5-12</t>
        </is>
      </c>
      <c r="C67" t="n">
        <v>66</v>
      </c>
      <c r="D67" t="n">
        <v>136</v>
      </c>
      <c r="E67" t="n">
        <v>105</v>
      </c>
      <c r="F67" s="85">
        <f>主线!K70</f>
        <v/>
      </c>
      <c r="G67" s="85">
        <f>主线!L70</f>
        <v/>
      </c>
      <c r="H67" s="85" t="n">
        <v>0.317054568676106</v>
      </c>
      <c r="I67" s="85">
        <f>主线!X70</f>
        <v/>
      </c>
      <c r="J67" s="85">
        <f>I67/H67</f>
        <v/>
      </c>
      <c r="K67" s="85" t="n">
        <v>51.453067326681</v>
      </c>
      <c r="L67" s="85">
        <f>主线!Y70</f>
        <v/>
      </c>
      <c r="M67" s="85">
        <f>L67/K67</f>
        <v/>
      </c>
      <c r="N67" t="inlineStr">
        <is>
          <t>原源表节点</t>
        </is>
      </c>
    </row>
    <row r="68">
      <c r="A68" t="inlineStr">
        <is>
          <t>主线</t>
        </is>
      </c>
      <c r="B68" t="inlineStr">
        <is>
          <t>5-13</t>
        </is>
      </c>
      <c r="C68" t="n">
        <v>67</v>
      </c>
      <c r="D68" t="n">
        <v>138</v>
      </c>
      <c r="E68" t="n">
        <v>107</v>
      </c>
      <c r="F68" s="85">
        <f>主线!K71</f>
        <v/>
      </c>
      <c r="G68" s="85">
        <f>主线!L71</f>
        <v/>
      </c>
      <c r="H68" s="85" t="n">
        <v>0.316225072939499</v>
      </c>
      <c r="I68" s="85">
        <f>主线!X71</f>
        <v/>
      </c>
      <c r="J68" s="85">
        <f>I68/H68</f>
        <v/>
      </c>
      <c r="K68" s="85" t="n">
        <v>51.9058012329765</v>
      </c>
      <c r="L68" s="85">
        <f>主线!Y71</f>
        <v/>
      </c>
      <c r="M68" s="85">
        <f>L68/K68</f>
        <v/>
      </c>
      <c r="N68" t="inlineStr">
        <is>
          <t>原源表节点</t>
        </is>
      </c>
    </row>
    <row r="69">
      <c r="A69" t="inlineStr">
        <is>
          <t>主线</t>
        </is>
      </c>
      <c r="B69" t="inlineStr">
        <is>
          <t>5-14</t>
        </is>
      </c>
      <c r="C69" t="n">
        <v>68</v>
      </c>
      <c r="D69" t="n">
        <v>139</v>
      </c>
      <c r="E69" t="n">
        <v>108</v>
      </c>
      <c r="F69" s="85">
        <f>主线!K72</f>
        <v/>
      </c>
      <c r="G69" s="85">
        <f>主线!L72</f>
        <v/>
      </c>
      <c r="H69" s="85" t="n">
        <v>0.310042893658953</v>
      </c>
      <c r="I69" s="85">
        <f>主线!X72</f>
        <v/>
      </c>
      <c r="J69" s="85">
        <f>I69/H69</f>
        <v/>
      </c>
      <c r="K69" s="85" t="n">
        <v>52.984643684798</v>
      </c>
      <c r="L69" s="85">
        <f>主线!Y72</f>
        <v/>
      </c>
      <c r="M69" s="85">
        <f>L69/K69</f>
        <v/>
      </c>
      <c r="N69" t="inlineStr">
        <is>
          <t>原源表节点</t>
        </is>
      </c>
    </row>
    <row r="70">
      <c r="A70" t="inlineStr">
        <is>
          <t>主线</t>
        </is>
      </c>
      <c r="B70" t="inlineStr">
        <is>
          <t>5-15</t>
        </is>
      </c>
      <c r="C70" t="n">
        <v>69</v>
      </c>
      <c r="D70" t="n">
        <v>144</v>
      </c>
      <c r="E70" t="n">
        <v>114</v>
      </c>
      <c r="F70" s="85">
        <f>主线!K73</f>
        <v/>
      </c>
      <c r="G70" s="85">
        <f>主线!L73</f>
        <v/>
      </c>
      <c r="H70" s="85" t="n">
        <v>32.266999176419</v>
      </c>
      <c r="I70" s="85">
        <f>主线!X73</f>
        <v/>
      </c>
      <c r="J70" s="85">
        <f>I70/H70</f>
        <v/>
      </c>
      <c r="K70" s="85" t="n">
        <v>51.3625113081091</v>
      </c>
      <c r="L70" s="85">
        <f>主线!Y73</f>
        <v/>
      </c>
      <c r="M70" s="85">
        <f>L70/K70</f>
        <v/>
      </c>
      <c r="N70" t="inlineStr">
        <is>
          <t>原源表节点</t>
        </is>
      </c>
    </row>
    <row r="71">
      <c r="A71" t="inlineStr">
        <is>
          <t>主线</t>
        </is>
      </c>
      <c r="B71" t="inlineStr">
        <is>
          <t>6-1</t>
        </is>
      </c>
      <c r="C71" t="n">
        <v>70</v>
      </c>
      <c r="D71" t="n">
        <v>144</v>
      </c>
      <c r="E71" t="n">
        <v>114</v>
      </c>
      <c r="F71" s="85">
        <f>主线!K74</f>
        <v/>
      </c>
      <c r="G71" s="85">
        <f>主线!L74</f>
        <v/>
      </c>
      <c r="H71" s="85" t="n">
        <v>0.315410175624887</v>
      </c>
      <c r="I71" s="85">
        <f>主线!X74</f>
        <v/>
      </c>
      <c r="J71" s="85">
        <f>I71/H71</f>
        <v/>
      </c>
      <c r="K71" s="85" t="n">
        <v>53.0014571336386</v>
      </c>
      <c r="L71" s="85">
        <f>主线!Y74</f>
        <v/>
      </c>
      <c r="M71" s="85">
        <f>L71/K71</f>
        <v/>
      </c>
      <c r="N71" t="inlineStr">
        <is>
          <t>原源表节点</t>
        </is>
      </c>
    </row>
    <row r="72">
      <c r="A72" t="inlineStr">
        <is>
          <t>主线</t>
        </is>
      </c>
      <c r="B72" t="inlineStr">
        <is>
          <t>6-2</t>
        </is>
      </c>
      <c r="C72" t="n">
        <v>71</v>
      </c>
      <c r="D72" t="n">
        <v>145</v>
      </c>
      <c r="E72" t="n">
        <v>114</v>
      </c>
      <c r="F72" s="85">
        <f>主线!K75</f>
        <v/>
      </c>
      <c r="G72" s="85">
        <f>主线!L75</f>
        <v/>
      </c>
      <c r="H72" s="85" t="n">
        <v>0.31014802099783</v>
      </c>
      <c r="I72" s="85">
        <f>主线!X75</f>
        <v/>
      </c>
      <c r="J72" s="85">
        <f>I72/H72</f>
        <v/>
      </c>
      <c r="K72" s="85" t="n">
        <v>53.9547836128263</v>
      </c>
      <c r="L72" s="85">
        <f>主线!Y75</f>
        <v/>
      </c>
      <c r="M72" s="85">
        <f>L72/K72</f>
        <v/>
      </c>
      <c r="N72" t="inlineStr">
        <is>
          <t>原源表节点</t>
        </is>
      </c>
    </row>
    <row r="73">
      <c r="A73" t="inlineStr">
        <is>
          <t>主线</t>
        </is>
      </c>
      <c r="B73" t="inlineStr">
        <is>
          <t>6-3</t>
        </is>
      </c>
      <c r="C73" t="n">
        <v>72</v>
      </c>
      <c r="D73" t="n">
        <v>147</v>
      </c>
      <c r="E73" t="n">
        <v>114</v>
      </c>
      <c r="F73" s="85">
        <f>主线!K76</f>
        <v/>
      </c>
      <c r="G73" s="85">
        <f>主线!L76</f>
        <v/>
      </c>
      <c r="H73" s="85" t="n">
        <v>0.310656636933683</v>
      </c>
      <c r="I73" s="85">
        <f>主线!X76</f>
        <v/>
      </c>
      <c r="J73" s="85">
        <f>I73/H73</f>
        <v/>
      </c>
      <c r="K73" s="85" t="n">
        <v>54.2035675819847</v>
      </c>
      <c r="L73" s="85">
        <f>主线!Y76</f>
        <v/>
      </c>
      <c r="M73" s="85">
        <f>L73/K73</f>
        <v/>
      </c>
      <c r="N73" t="inlineStr">
        <is>
          <t>原源表节点</t>
        </is>
      </c>
    </row>
    <row r="74">
      <c r="A74" t="inlineStr">
        <is>
          <t>主线</t>
        </is>
      </c>
      <c r="B74" t="inlineStr">
        <is>
          <t>6-4</t>
        </is>
      </c>
      <c r="C74" t="n">
        <v>73</v>
      </c>
      <c r="D74" t="n">
        <v>148</v>
      </c>
      <c r="E74" t="n">
        <v>115</v>
      </c>
      <c r="F74" s="85">
        <f>主线!K77</f>
        <v/>
      </c>
      <c r="G74" s="85">
        <f>主线!L77</f>
        <v/>
      </c>
      <c r="H74" s="85" t="n">
        <v>0.306011026773959</v>
      </c>
      <c r="I74" s="85">
        <f>主线!X77</f>
        <v/>
      </c>
      <c r="J74" s="85">
        <f>I74/H74</f>
        <v/>
      </c>
      <c r="K74" s="85" t="n">
        <v>55.0888820710865</v>
      </c>
      <c r="L74" s="85">
        <f>主线!Y77</f>
        <v/>
      </c>
      <c r="M74" s="85">
        <f>L74/K74</f>
        <v/>
      </c>
      <c r="N74" t="inlineStr">
        <is>
          <t>原源表节点</t>
        </is>
      </c>
    </row>
    <row r="75">
      <c r="A75" t="inlineStr">
        <is>
          <t>主线</t>
        </is>
      </c>
      <c r="B75" t="inlineStr">
        <is>
          <t>6-5</t>
        </is>
      </c>
      <c r="C75" t="n">
        <v>74</v>
      </c>
      <c r="D75" t="n">
        <v>150</v>
      </c>
      <c r="E75" t="n">
        <v>116</v>
      </c>
      <c r="F75" s="85">
        <f>主线!K78</f>
        <v/>
      </c>
      <c r="G75" s="85">
        <f>主线!L78</f>
        <v/>
      </c>
      <c r="H75" s="85" t="n">
        <v>0.306982170586159</v>
      </c>
      <c r="I75" s="85">
        <f>主线!X78</f>
        <v/>
      </c>
      <c r="J75" s="85">
        <f>I75/H75</f>
        <v/>
      </c>
      <c r="K75" s="85" t="n">
        <v>55.2615134573595</v>
      </c>
      <c r="L75" s="85">
        <f>主线!Y78</f>
        <v/>
      </c>
      <c r="M75" s="85">
        <f>L75/K75</f>
        <v/>
      </c>
      <c r="N75" t="inlineStr">
        <is>
          <t>原源表节点</t>
        </is>
      </c>
    </row>
    <row r="76">
      <c r="A76" t="inlineStr">
        <is>
          <t>主线</t>
        </is>
      </c>
      <c r="B76" t="inlineStr">
        <is>
          <t>6-6</t>
        </is>
      </c>
      <c r="C76" t="n">
        <v>75</v>
      </c>
      <c r="D76" t="n">
        <v>153</v>
      </c>
      <c r="E76" t="n">
        <v>119</v>
      </c>
      <c r="F76" s="85">
        <f>主线!K79</f>
        <v/>
      </c>
      <c r="G76" s="85">
        <f>主线!L79</f>
        <v/>
      </c>
      <c r="H76" s="85" t="n">
        <v>0.313477710478681</v>
      </c>
      <c r="I76" s="85">
        <f>主线!X79</f>
        <v/>
      </c>
      <c r="J76" s="85">
        <f>I76/H76</f>
        <v/>
      </c>
      <c r="K76" s="85" t="n">
        <v>54.7372477275219</v>
      </c>
      <c r="L76" s="85">
        <f>主线!Y79</f>
        <v/>
      </c>
      <c r="M76" s="85">
        <f>L76/K76</f>
        <v/>
      </c>
      <c r="N76" t="inlineStr">
        <is>
          <t>原源表节点</t>
        </is>
      </c>
    </row>
    <row r="77">
      <c r="A77" t="inlineStr">
        <is>
          <t>主线</t>
        </is>
      </c>
      <c r="B77" t="inlineStr">
        <is>
          <t>6-7</t>
        </is>
      </c>
      <c r="C77" t="n">
        <v>76</v>
      </c>
      <c r="D77" t="n">
        <v>154</v>
      </c>
      <c r="E77" t="n">
        <v>119</v>
      </c>
      <c r="F77" s="85">
        <f>主线!K80</f>
        <v/>
      </c>
      <c r="G77" s="85">
        <f>主线!L80</f>
        <v/>
      </c>
      <c r="H77" s="85" t="n">
        <v>0.30949606947827</v>
      </c>
      <c r="I77" s="85">
        <f>主线!X80</f>
        <v/>
      </c>
      <c r="J77" s="85">
        <f>I77/H77</f>
        <v/>
      </c>
      <c r="K77" s="85" t="n">
        <v>55.513574124432</v>
      </c>
      <c r="L77" s="85">
        <f>主线!Y80</f>
        <v/>
      </c>
      <c r="M77" s="85">
        <f>L77/K77</f>
        <v/>
      </c>
      <c r="N77" t="inlineStr">
        <is>
          <t>原源表节点</t>
        </is>
      </c>
    </row>
    <row r="78">
      <c r="A78" t="inlineStr">
        <is>
          <t>主线</t>
        </is>
      </c>
      <c r="B78" t="inlineStr">
        <is>
          <t>6-8</t>
        </is>
      </c>
      <c r="C78" t="n">
        <v>77</v>
      </c>
      <c r="D78" t="n">
        <v>155</v>
      </c>
      <c r="E78" t="n">
        <v>120</v>
      </c>
      <c r="F78" s="85">
        <f>主线!K81</f>
        <v/>
      </c>
      <c r="G78" s="85">
        <f>主线!L81</f>
        <v/>
      </c>
      <c r="H78" s="85" t="n">
        <v>0.30579976504819</v>
      </c>
      <c r="I78" s="85">
        <f>主线!X81</f>
        <v/>
      </c>
      <c r="J78" s="85">
        <f>I78/H78</f>
        <v/>
      </c>
      <c r="K78" s="85" t="n">
        <v>56.2581790144256</v>
      </c>
      <c r="L78" s="85">
        <f>主线!Y81</f>
        <v/>
      </c>
      <c r="M78" s="85">
        <f>L78/K78</f>
        <v/>
      </c>
      <c r="N78" t="inlineStr">
        <is>
          <t>原源表节点</t>
        </is>
      </c>
    </row>
    <row r="79">
      <c r="A79" t="inlineStr">
        <is>
          <t>主线</t>
        </is>
      </c>
      <c r="B79" t="inlineStr">
        <is>
          <t>6-9</t>
        </is>
      </c>
      <c r="C79" t="n">
        <v>78</v>
      </c>
      <c r="D79" t="n">
        <v>157</v>
      </c>
      <c r="E79" t="n">
        <v>122</v>
      </c>
      <c r="F79" s="85">
        <f>主线!K82</f>
        <v/>
      </c>
      <c r="G79" s="85">
        <f>主线!L82</f>
        <v/>
      </c>
      <c r="H79" s="85" t="n">
        <v>0.307532250624932</v>
      </c>
      <c r="I79" s="85">
        <f>主线!X82</f>
        <v/>
      </c>
      <c r="J79" s="85">
        <f>I79/H79</f>
        <v/>
      </c>
      <c r="K79" s="85" t="n">
        <v>56.3009231107313</v>
      </c>
      <c r="L79" s="85">
        <f>主线!Y82</f>
        <v/>
      </c>
      <c r="M79" s="85">
        <f>L79/K79</f>
        <v/>
      </c>
      <c r="N79" t="inlineStr">
        <is>
          <t>原源表节点</t>
        </is>
      </c>
    </row>
    <row r="80">
      <c r="A80" t="inlineStr">
        <is>
          <t>主线</t>
        </is>
      </c>
      <c r="B80" t="inlineStr">
        <is>
          <t>6-10</t>
        </is>
      </c>
      <c r="C80" t="n">
        <v>79</v>
      </c>
      <c r="D80" t="n">
        <v>157</v>
      </c>
      <c r="E80" t="n">
        <v>122</v>
      </c>
      <c r="F80" s="85">
        <f>主线!K83</f>
        <v/>
      </c>
      <c r="G80" s="85">
        <f>主线!L83</f>
        <v/>
      </c>
      <c r="H80" s="85" t="n">
        <v>0.29918923163779</v>
      </c>
      <c r="I80" s="85">
        <f>主线!X83</f>
        <v/>
      </c>
      <c r="J80" s="85">
        <f>I80/H80</f>
        <v/>
      </c>
      <c r="K80" s="85" t="n">
        <v>57.6613309360165</v>
      </c>
      <c r="L80" s="85">
        <f>主线!Y83</f>
        <v/>
      </c>
      <c r="M80" s="85">
        <f>L80/K80</f>
        <v/>
      </c>
      <c r="N80" t="inlineStr">
        <is>
          <t>原源表节点</t>
        </is>
      </c>
    </row>
    <row r="81">
      <c r="A81" t="inlineStr">
        <is>
          <t>主线</t>
        </is>
      </c>
      <c r="B81" t="inlineStr">
        <is>
          <t>6-11</t>
        </is>
      </c>
      <c r="C81" t="n">
        <v>80</v>
      </c>
      <c r="D81" t="n">
        <v>159</v>
      </c>
      <c r="E81" t="n">
        <v>123</v>
      </c>
      <c r="F81" s="85">
        <f>主线!K84</f>
        <v/>
      </c>
      <c r="G81" s="85">
        <f>主线!L84</f>
        <v/>
      </c>
      <c r="H81" s="85" t="n">
        <v>0.301252952260671</v>
      </c>
      <c r="I81" s="85">
        <f>主线!X84</f>
        <v/>
      </c>
      <c r="J81" s="85">
        <f>I81/H81</f>
        <v/>
      </c>
      <c r="K81" s="85" t="n">
        <v>57.6424179587933</v>
      </c>
      <c r="L81" s="85">
        <f>主线!Y84</f>
        <v/>
      </c>
      <c r="M81" s="85">
        <f>L81/K81</f>
        <v/>
      </c>
      <c r="N81" t="inlineStr">
        <is>
          <t>原源表节点</t>
        </is>
      </c>
    </row>
    <row r="82">
      <c r="A82" t="inlineStr">
        <is>
          <t>主线</t>
        </is>
      </c>
      <c r="B82" t="inlineStr">
        <is>
          <t>6-12</t>
        </is>
      </c>
      <c r="C82" t="n">
        <v>81</v>
      </c>
      <c r="D82" t="n">
        <v>161</v>
      </c>
      <c r="E82" t="n">
        <v>125</v>
      </c>
      <c r="F82" s="85">
        <f>主线!K85</f>
        <v/>
      </c>
      <c r="G82" s="85">
        <f>主线!L85</f>
        <v/>
      </c>
      <c r="H82" s="85" t="n">
        <v>0.303480385768075</v>
      </c>
      <c r="I82" s="85">
        <f>主线!X85</f>
        <v/>
      </c>
      <c r="J82" s="85">
        <f>I82/H82</f>
        <v/>
      </c>
      <c r="K82" s="85" t="n">
        <v>57.5948076619081</v>
      </c>
      <c r="L82" s="85">
        <f>主线!Y85</f>
        <v/>
      </c>
      <c r="M82" s="85">
        <f>L82/K82</f>
        <v/>
      </c>
      <c r="N82" t="inlineStr">
        <is>
          <t>原源表节点</t>
        </is>
      </c>
    </row>
    <row r="83">
      <c r="A83" t="inlineStr">
        <is>
          <t>主线</t>
        </is>
      </c>
      <c r="B83" t="inlineStr">
        <is>
          <t>6-13</t>
        </is>
      </c>
      <c r="C83" t="n">
        <v>82</v>
      </c>
      <c r="D83" t="n">
        <v>163</v>
      </c>
      <c r="E83" t="n">
        <v>127</v>
      </c>
      <c r="F83" s="85">
        <f>主线!K86</f>
        <v/>
      </c>
      <c r="G83" s="85">
        <f>主线!L86</f>
        <v/>
      </c>
      <c r="H83" s="85" t="n">
        <v>0.305859747950294</v>
      </c>
      <c r="I83" s="85">
        <f>主线!X86</f>
        <v/>
      </c>
      <c r="J83" s="85">
        <f>I83/H83</f>
        <v/>
      </c>
      <c r="K83" s="85" t="n">
        <v>57.5237792263925</v>
      </c>
      <c r="L83" s="85">
        <f>主线!Y86</f>
        <v/>
      </c>
      <c r="M83" s="85">
        <f>L83/K83</f>
        <v/>
      </c>
      <c r="N83" t="inlineStr">
        <is>
          <t>原源表节点</t>
        </is>
      </c>
    </row>
    <row r="84">
      <c r="A84" t="inlineStr">
        <is>
          <t>主线</t>
        </is>
      </c>
      <c r="B84" t="inlineStr">
        <is>
          <t>6-14</t>
        </is>
      </c>
      <c r="C84" t="n">
        <v>83</v>
      </c>
      <c r="D84" t="n">
        <v>164</v>
      </c>
      <c r="E84" t="n">
        <v>128</v>
      </c>
      <c r="F84" s="85">
        <f>主线!K87</f>
        <v/>
      </c>
      <c r="G84" s="85">
        <f>主线!L87</f>
        <v/>
      </c>
      <c r="H84" s="85" t="n">
        <v>0.303358040449149</v>
      </c>
      <c r="I84" s="85">
        <f>主线!X87</f>
        <v/>
      </c>
      <c r="J84" s="85">
        <f>I84/H84</f>
        <v/>
      </c>
      <c r="K84" s="85" t="n">
        <v>58.0933560067646</v>
      </c>
      <c r="L84" s="85">
        <f>主线!Y87</f>
        <v/>
      </c>
      <c r="M84" s="85">
        <f>L84/K84</f>
        <v/>
      </c>
      <c r="N84" t="inlineStr">
        <is>
          <t>原源表节点</t>
        </is>
      </c>
    </row>
    <row r="85">
      <c r="A85" t="inlineStr">
        <is>
          <t>主线</t>
        </is>
      </c>
      <c r="B85" t="inlineStr">
        <is>
          <t>6-15</t>
        </is>
      </c>
      <c r="C85" t="n">
        <v>84</v>
      </c>
      <c r="D85" t="n">
        <v>168</v>
      </c>
      <c r="E85" t="n">
        <v>133</v>
      </c>
      <c r="F85" s="85">
        <f>主线!K88</f>
        <v/>
      </c>
      <c r="G85" s="85">
        <f>主线!L88</f>
        <v/>
      </c>
      <c r="H85" s="85" t="n">
        <v>32.2577865086517</v>
      </c>
      <c r="I85" s="85">
        <f>主线!X88</f>
        <v/>
      </c>
      <c r="J85" s="85">
        <f>I85/H85</f>
        <v/>
      </c>
      <c r="K85" s="85" t="n">
        <v>56.6707392385744</v>
      </c>
      <c r="L85" s="85">
        <f>主线!Y88</f>
        <v/>
      </c>
      <c r="M85" s="85">
        <f>L85/K85</f>
        <v/>
      </c>
      <c r="N85" t="inlineStr">
        <is>
          <t>原源表节点</t>
        </is>
      </c>
    </row>
    <row r="86">
      <c r="A86" t="inlineStr">
        <is>
          <t>主线</t>
        </is>
      </c>
      <c r="B86" t="inlineStr">
        <is>
          <t>7-1</t>
        </is>
      </c>
      <c r="C86" t="n">
        <v>85</v>
      </c>
      <c r="D86" t="n">
        <v>168</v>
      </c>
      <c r="E86" t="n">
        <v>133</v>
      </c>
      <c r="F86" s="85">
        <f>主线!K89</f>
        <v/>
      </c>
      <c r="G86" s="85">
        <f>主线!L89</f>
        <v/>
      </c>
      <c r="H86" s="85" t="n">
        <v>0.308852056235431</v>
      </c>
      <c r="I86" s="85">
        <f>主线!X89</f>
        <v/>
      </c>
      <c r="J86" s="85">
        <f>I86/H86</f>
        <v/>
      </c>
      <c r="K86" s="85" t="n">
        <v>57.8269919088198</v>
      </c>
      <c r="L86" s="85">
        <f>主线!Y89</f>
        <v/>
      </c>
      <c r="M86" s="85">
        <f>L86/K86</f>
        <v/>
      </c>
      <c r="N86" t="inlineStr">
        <is>
          <t>原源表节点</t>
        </is>
      </c>
    </row>
    <row r="87">
      <c r="A87" t="inlineStr">
        <is>
          <t>主线</t>
        </is>
      </c>
      <c r="B87" t="inlineStr">
        <is>
          <t>7-2</t>
        </is>
      </c>
      <c r="C87" t="n">
        <v>86</v>
      </c>
      <c r="D87" t="n">
        <v>168</v>
      </c>
      <c r="E87" t="n">
        <v>133</v>
      </c>
      <c r="F87" s="85">
        <f>主线!K90</f>
        <v/>
      </c>
      <c r="G87" s="85">
        <f>主线!L90</f>
        <v/>
      </c>
      <c r="H87" s="85" t="n">
        <v>0.30186482099524</v>
      </c>
      <c r="I87" s="85">
        <f>主线!X90</f>
        <v/>
      </c>
      <c r="J87" s="85">
        <f>I87/H87</f>
        <v/>
      </c>
      <c r="K87" s="85" t="n">
        <v>58.9751490323662</v>
      </c>
      <c r="L87" s="85">
        <f>主线!Y90</f>
        <v/>
      </c>
      <c r="M87" s="85">
        <f>L87/K87</f>
        <v/>
      </c>
      <c r="N87" t="inlineStr">
        <is>
          <t>原源表节点</t>
        </is>
      </c>
    </row>
    <row r="88">
      <c r="A88" t="inlineStr">
        <is>
          <t>主线</t>
        </is>
      </c>
      <c r="B88" t="inlineStr">
        <is>
          <t>7-3</t>
        </is>
      </c>
      <c r="C88" t="n">
        <v>87</v>
      </c>
      <c r="D88" t="n">
        <v>170</v>
      </c>
      <c r="E88" t="n">
        <v>133</v>
      </c>
      <c r="F88" s="85">
        <f>主线!K91</f>
        <v/>
      </c>
      <c r="G88" s="85">
        <f>主线!L91</f>
        <v/>
      </c>
      <c r="H88" s="85" t="n">
        <v>0.304936915992909</v>
      </c>
      <c r="I88" s="85">
        <f>主线!X91</f>
        <v/>
      </c>
      <c r="J88" s="85">
        <f>I88/H88</f>
        <v/>
      </c>
      <c r="K88" s="85" t="n">
        <v>58.7762926443669</v>
      </c>
      <c r="L88" s="85">
        <f>主线!Y91</f>
        <v/>
      </c>
      <c r="M88" s="85">
        <f>L88/K88</f>
        <v/>
      </c>
      <c r="N88" t="inlineStr">
        <is>
          <t>原源表节点</t>
        </is>
      </c>
    </row>
    <row r="89">
      <c r="A89" t="inlineStr">
        <is>
          <t>主线</t>
        </is>
      </c>
      <c r="B89" t="inlineStr">
        <is>
          <t>7-4</t>
        </is>
      </c>
      <c r="C89" t="n">
        <v>88</v>
      </c>
      <c r="D89" t="n">
        <v>170</v>
      </c>
      <c r="E89" t="n">
        <v>133</v>
      </c>
      <c r="F89" s="85">
        <f>主线!K92</f>
        <v/>
      </c>
      <c r="G89" s="85">
        <f>主线!L92</f>
        <v/>
      </c>
      <c r="H89" s="85" t="n">
        <v>0.298375234286106</v>
      </c>
      <c r="I89" s="85">
        <f>主线!X92</f>
        <v/>
      </c>
      <c r="J89" s="85">
        <f>I89/H89</f>
        <v/>
      </c>
      <c r="K89" s="85" t="n">
        <v>59.8822583784105</v>
      </c>
      <c r="L89" s="85">
        <f>主线!Y92</f>
        <v/>
      </c>
      <c r="M89" s="85">
        <f>L89/K89</f>
        <v/>
      </c>
      <c r="N89" t="inlineStr">
        <is>
          <t>原源表节点</t>
        </is>
      </c>
    </row>
    <row r="90">
      <c r="A90" t="inlineStr">
        <is>
          <t>主线</t>
        </is>
      </c>
      <c r="B90" t="inlineStr">
        <is>
          <t>7-5</t>
        </is>
      </c>
      <c r="C90" t="n">
        <v>89</v>
      </c>
      <c r="D90" t="n">
        <v>172</v>
      </c>
      <c r="E90" t="n">
        <v>134</v>
      </c>
      <c r="F90" s="85">
        <f>主线!K93</f>
        <v/>
      </c>
      <c r="G90" s="85">
        <f>主线!L93</f>
        <v/>
      </c>
      <c r="H90" s="85" t="n">
        <v>0.3016710997486</v>
      </c>
      <c r="I90" s="85">
        <f>主线!X93</f>
        <v/>
      </c>
      <c r="J90" s="85">
        <f>I90/H90</f>
        <v/>
      </c>
      <c r="K90" s="85" t="n">
        <v>59.634048608868</v>
      </c>
      <c r="L90" s="85">
        <f>主线!Y93</f>
        <v/>
      </c>
      <c r="M90" s="85">
        <f>L90/K90</f>
        <v/>
      </c>
      <c r="N90" t="inlineStr">
        <is>
          <t>原源表节点</t>
        </is>
      </c>
    </row>
    <row r="91">
      <c r="A91" t="inlineStr">
        <is>
          <t>主线</t>
        </is>
      </c>
      <c r="B91" t="inlineStr">
        <is>
          <t>7-6</t>
        </is>
      </c>
      <c r="C91" t="n">
        <v>90</v>
      </c>
      <c r="D91" t="n">
        <v>173</v>
      </c>
      <c r="E91" t="n">
        <v>135</v>
      </c>
      <c r="F91" s="85">
        <f>主线!K94</f>
        <v/>
      </c>
      <c r="G91" s="85">
        <f>主线!L94</f>
        <v/>
      </c>
      <c r="H91" s="85" t="n">
        <v>0.300271350058489</v>
      </c>
      <c r="I91" s="85">
        <f>主线!X94</f>
        <v/>
      </c>
      <c r="J91" s="85">
        <f>I91/H91</f>
        <v/>
      </c>
      <c r="K91" s="85" t="n">
        <v>60.027531306925</v>
      </c>
      <c r="L91" s="85">
        <f>主线!Y94</f>
        <v/>
      </c>
      <c r="M91" s="85">
        <f>L91/K91</f>
        <v/>
      </c>
      <c r="N91" t="inlineStr">
        <is>
          <t>原源表节点</t>
        </is>
      </c>
    </row>
    <row r="92">
      <c r="A92" t="inlineStr">
        <is>
          <t>主线</t>
        </is>
      </c>
      <c r="B92" t="inlineStr">
        <is>
          <t>7-7</t>
        </is>
      </c>
      <c r="C92" t="n">
        <v>91</v>
      </c>
      <c r="D92" t="n">
        <v>174</v>
      </c>
      <c r="E92" t="n">
        <v>136</v>
      </c>
      <c r="F92" s="85">
        <f>主线!K95</f>
        <v/>
      </c>
      <c r="G92" s="85">
        <f>主线!L95</f>
        <v/>
      </c>
      <c r="H92" s="85" t="n">
        <v>0.299013245291613</v>
      </c>
      <c r="I92" s="85">
        <f>主线!X95</f>
        <v/>
      </c>
      <c r="J92" s="85">
        <f>I92/H92</f>
        <v/>
      </c>
      <c r="K92" s="85" t="n">
        <v>60.4002959317229</v>
      </c>
      <c r="L92" s="85">
        <f>主线!Y95</f>
        <v/>
      </c>
      <c r="M92" s="85">
        <f>L92/K92</f>
        <v/>
      </c>
      <c r="N92" t="inlineStr">
        <is>
          <t>原源表节点</t>
        </is>
      </c>
    </row>
    <row r="93">
      <c r="A93" t="inlineStr">
        <is>
          <t>主线</t>
        </is>
      </c>
      <c r="B93" t="inlineStr">
        <is>
          <t>7-8</t>
        </is>
      </c>
      <c r="C93" t="n">
        <v>92</v>
      </c>
      <c r="D93" t="n">
        <v>175</v>
      </c>
      <c r="E93" t="n">
        <v>136</v>
      </c>
      <c r="F93" s="85">
        <f>主线!K96</f>
        <v/>
      </c>
      <c r="G93" s="85">
        <f>主线!L96</f>
        <v/>
      </c>
      <c r="H93" s="85" t="n">
        <v>0.297887754853065</v>
      </c>
      <c r="I93" s="85">
        <f>主线!X96</f>
        <v/>
      </c>
      <c r="J93" s="85">
        <f>I93/H93</f>
        <v/>
      </c>
      <c r="K93" s="85" t="n">
        <v>60.7527727684546</v>
      </c>
      <c r="L93" s="85">
        <f>主线!Y96</f>
        <v/>
      </c>
      <c r="M93" s="85">
        <f>L93/K93</f>
        <v/>
      </c>
      <c r="N93" t="inlineStr">
        <is>
          <t>原源表节点</t>
        </is>
      </c>
    </row>
    <row r="94">
      <c r="A94" t="inlineStr">
        <is>
          <t>主线</t>
        </is>
      </c>
      <c r="B94" t="inlineStr">
        <is>
          <t>7-9</t>
        </is>
      </c>
      <c r="C94" t="n">
        <v>93</v>
      </c>
      <c r="D94" t="n">
        <v>177</v>
      </c>
      <c r="E94" t="n">
        <v>138</v>
      </c>
      <c r="F94" s="85">
        <f>主线!K97</f>
        <v/>
      </c>
      <c r="G94" s="85">
        <f>主线!L97</f>
        <v/>
      </c>
      <c r="H94" s="85" t="n">
        <v>0.301625485965359</v>
      </c>
      <c r="I94" s="85">
        <f>主线!X97</f>
        <v/>
      </c>
      <c r="J94" s="85">
        <f>I94/H94</f>
        <v/>
      </c>
      <c r="K94" s="85" t="n">
        <v>60.419249410428</v>
      </c>
      <c r="L94" s="85">
        <f>主线!Y97</f>
        <v/>
      </c>
      <c r="M94" s="85">
        <f>L94/K94</f>
        <v/>
      </c>
      <c r="N94" t="inlineStr">
        <is>
          <t>原源表节点</t>
        </is>
      </c>
    </row>
    <row r="95">
      <c r="A95" t="inlineStr">
        <is>
          <t>主线</t>
        </is>
      </c>
      <c r="B95" t="inlineStr">
        <is>
          <t>7-10</t>
        </is>
      </c>
      <c r="C95" t="n">
        <v>94</v>
      </c>
      <c r="D95" t="n">
        <v>178</v>
      </c>
      <c r="E95" t="n">
        <v>139</v>
      </c>
      <c r="F95" s="85">
        <f>主线!K98</f>
        <v/>
      </c>
      <c r="G95" s="85">
        <f>主线!L98</f>
        <v/>
      </c>
      <c r="H95" s="85" t="n">
        <v>0.300732696694351</v>
      </c>
      <c r="I95" s="85">
        <f>主线!X98</f>
        <v/>
      </c>
      <c r="J95" s="85">
        <f>I95/H95</f>
        <v/>
      </c>
      <c r="K95" s="85" t="n">
        <v>60.7296295857129</v>
      </c>
      <c r="L95" s="85">
        <f>主线!Y98</f>
        <v/>
      </c>
      <c r="M95" s="85">
        <f>L95/K95</f>
        <v/>
      </c>
      <c r="N95" t="inlineStr">
        <is>
          <t>原源表节点</t>
        </is>
      </c>
    </row>
    <row r="96">
      <c r="A96" t="inlineStr">
        <is>
          <t>主线</t>
        </is>
      </c>
      <c r="B96" t="inlineStr">
        <is>
          <t>7-11</t>
        </is>
      </c>
      <c r="C96" t="n">
        <v>95</v>
      </c>
      <c r="D96" t="n">
        <v>180</v>
      </c>
      <c r="E96" t="n">
        <v>141</v>
      </c>
      <c r="F96" s="85">
        <f>主线!K99</f>
        <v/>
      </c>
      <c r="G96" s="85">
        <f>主线!L99</f>
        <v/>
      </c>
      <c r="H96" s="85" t="n">
        <v>0.304692634282513</v>
      </c>
      <c r="I96" s="85">
        <f>主线!X99</f>
        <v/>
      </c>
      <c r="J96" s="85">
        <f>I96/H96</f>
        <v/>
      </c>
      <c r="K96" s="85" t="n">
        <v>60.3609891713334</v>
      </c>
      <c r="L96" s="85">
        <f>主线!Y99</f>
        <v/>
      </c>
      <c r="M96" s="85">
        <f>L96/K96</f>
        <v/>
      </c>
      <c r="N96" t="inlineStr">
        <is>
          <t>原源表节点</t>
        </is>
      </c>
    </row>
    <row r="97">
      <c r="A97" t="inlineStr">
        <is>
          <t>主线</t>
        </is>
      </c>
      <c r="B97" t="inlineStr">
        <is>
          <t>7-12</t>
        </is>
      </c>
      <c r="C97" t="n">
        <v>96</v>
      </c>
      <c r="D97" t="n">
        <v>180</v>
      </c>
      <c r="E97" t="n">
        <v>141</v>
      </c>
      <c r="F97" s="85">
        <f>主线!K100</f>
        <v/>
      </c>
      <c r="G97" s="85">
        <f>主线!L100</f>
        <v/>
      </c>
      <c r="H97" s="85" t="n">
        <v>0.299292867750062</v>
      </c>
      <c r="I97" s="85">
        <f>主线!X100</f>
        <v/>
      </c>
      <c r="J97" s="85">
        <f>I97/H97</f>
        <v/>
      </c>
      <c r="K97" s="85" t="n">
        <v>61.2848388183219</v>
      </c>
      <c r="L97" s="85">
        <f>主线!Y100</f>
        <v/>
      </c>
      <c r="M97" s="85">
        <f>L97/K97</f>
        <v/>
      </c>
      <c r="N97" t="inlineStr">
        <is>
          <t>原源表节点</t>
        </is>
      </c>
    </row>
    <row r="98">
      <c r="A98" t="inlineStr">
        <is>
          <t>主线</t>
        </is>
      </c>
      <c r="B98" t="inlineStr">
        <is>
          <t>7-13</t>
        </is>
      </c>
      <c r="C98" t="n">
        <v>97</v>
      </c>
      <c r="D98" t="n">
        <v>181</v>
      </c>
      <c r="E98" t="n">
        <v>142</v>
      </c>
      <c r="F98" s="85">
        <f>主线!K101</f>
        <v/>
      </c>
      <c r="G98" s="85">
        <f>主线!L101</f>
        <v/>
      </c>
      <c r="H98" s="85" t="n">
        <v>0.298753861643835</v>
      </c>
      <c r="I98" s="85">
        <f>主线!X101</f>
        <v/>
      </c>
      <c r="J98" s="85">
        <f>I98/H98</f>
        <v/>
      </c>
      <c r="K98" s="85" t="n">
        <v>61.5370716142601</v>
      </c>
      <c r="L98" s="85">
        <f>主线!Y101</f>
        <v/>
      </c>
      <c r="M98" s="85">
        <f>L98/K98</f>
        <v/>
      </c>
      <c r="N98" t="inlineStr">
        <is>
          <t>原源表节点</t>
        </is>
      </c>
    </row>
    <row r="99">
      <c r="A99" t="inlineStr">
        <is>
          <t>主线</t>
        </is>
      </c>
      <c r="B99" t="inlineStr">
        <is>
          <t>7-14</t>
        </is>
      </c>
      <c r="C99" t="n">
        <v>98</v>
      </c>
      <c r="D99" t="n">
        <v>183</v>
      </c>
      <c r="E99" t="n">
        <v>143</v>
      </c>
      <c r="F99" s="85">
        <f>主线!K102</f>
        <v/>
      </c>
      <c r="G99" s="85">
        <f>主线!L102</f>
        <v/>
      </c>
      <c r="H99" s="85" t="n">
        <v>0.302981727899539</v>
      </c>
      <c r="I99" s="85">
        <f>主线!X102</f>
        <v/>
      </c>
      <c r="J99" s="85">
        <f>I99/H99</f>
        <v/>
      </c>
      <c r="K99" s="85" t="n">
        <v>61.1119616225063</v>
      </c>
      <c r="L99" s="85">
        <f>主线!Y102</f>
        <v/>
      </c>
      <c r="M99" s="85">
        <f>L99/K99</f>
        <v/>
      </c>
      <c r="N99" t="inlineStr">
        <is>
          <t>原源表节点</t>
        </is>
      </c>
    </row>
    <row r="100">
      <c r="A100" t="inlineStr">
        <is>
          <t>主线</t>
        </is>
      </c>
      <c r="B100" t="inlineStr">
        <is>
          <t>7-15</t>
        </is>
      </c>
      <c r="C100" t="n">
        <v>99</v>
      </c>
      <c r="D100" t="n">
        <v>187</v>
      </c>
      <c r="E100" t="n">
        <v>154</v>
      </c>
      <c r="F100" s="85">
        <f>主线!K103</f>
        <v/>
      </c>
      <c r="G100" s="85">
        <f>主线!L103</f>
        <v/>
      </c>
      <c r="H100" s="85" t="n">
        <v>33.0407707461712</v>
      </c>
      <c r="I100" s="85">
        <f>主线!X103</f>
        <v/>
      </c>
      <c r="J100" s="85">
        <f>I100/H100</f>
        <v/>
      </c>
      <c r="K100" s="85" t="n">
        <v>59.4139475427089</v>
      </c>
      <c r="L100" s="85">
        <f>主线!Y103</f>
        <v/>
      </c>
      <c r="M100" s="85">
        <f>L100/K100</f>
        <v/>
      </c>
      <c r="N100" t="inlineStr">
        <is>
          <t>原源表节点</t>
        </is>
      </c>
    </row>
    <row r="101">
      <c r="A101" t="inlineStr">
        <is>
          <t>困难主线</t>
        </is>
      </c>
      <c r="B101" t="inlineStr">
        <is>
          <t>高难1-1</t>
        </is>
      </c>
      <c r="C101" t="n">
        <v>71</v>
      </c>
      <c r="D101" t="n">
        <v>146</v>
      </c>
      <c r="E101" t="n">
        <v>116</v>
      </c>
      <c r="F101" s="85">
        <f>困难主线!K5</f>
        <v/>
      </c>
      <c r="G101" s="85">
        <f>困难主线!L5</f>
        <v/>
      </c>
      <c r="H101" s="85" t="n">
        <v>0.315654703354278</v>
      </c>
      <c r="I101" s="85">
        <f>困难主线!X5</f>
        <v/>
      </c>
      <c r="J101" s="85">
        <f>I101/H101</f>
        <v/>
      </c>
      <c r="K101" s="85" t="n">
        <v>53.2882064128242</v>
      </c>
      <c r="L101" s="85">
        <f>困难主线!Y5</f>
        <v/>
      </c>
      <c r="M101" s="85">
        <f>L101/K101</f>
        <v/>
      </c>
      <c r="N101" t="inlineStr">
        <is>
          <t>原源表节点</t>
        </is>
      </c>
    </row>
    <row r="102">
      <c r="A102" t="inlineStr">
        <is>
          <t>困难主线</t>
        </is>
      </c>
      <c r="B102" t="inlineStr">
        <is>
          <t>高难1-2</t>
        </is>
      </c>
      <c r="C102" t="n">
        <v>72</v>
      </c>
      <c r="D102" t="n">
        <v>147</v>
      </c>
      <c r="E102" t="n">
        <v>116</v>
      </c>
      <c r="F102" s="85">
        <f>困难主线!K6</f>
        <v/>
      </c>
      <c r="G102" s="85">
        <f>困难主线!L6</f>
        <v/>
      </c>
      <c r="H102" s="85" t="n">
        <v>0.310656636933683</v>
      </c>
      <c r="I102" s="85">
        <f>困难主线!X6</f>
        <v/>
      </c>
      <c r="J102" s="85">
        <f>I102/H102</f>
        <v/>
      </c>
      <c r="K102" s="85" t="n">
        <v>54.2035675819847</v>
      </c>
      <c r="L102" s="85">
        <f>困难主线!Y6</f>
        <v/>
      </c>
      <c r="M102" s="85">
        <f>L102/K102</f>
        <v/>
      </c>
      <c r="N102" t="inlineStr">
        <is>
          <t>原源表节点</t>
        </is>
      </c>
    </row>
    <row r="103">
      <c r="A103" t="inlineStr">
        <is>
          <t>困难主线</t>
        </is>
      </c>
      <c r="B103" t="inlineStr">
        <is>
          <t>高难1-3</t>
        </is>
      </c>
      <c r="C103" t="n">
        <v>73</v>
      </c>
      <c r="D103" t="n">
        <v>148</v>
      </c>
      <c r="E103" t="n">
        <v>116</v>
      </c>
      <c r="F103" s="85">
        <f>困难主线!K7</f>
        <v/>
      </c>
      <c r="G103" s="85">
        <f>困难主线!L7</f>
        <v/>
      </c>
      <c r="H103" s="85" t="n">
        <v>0.306011026773959</v>
      </c>
      <c r="I103" s="85">
        <f>困难主线!X7</f>
        <v/>
      </c>
      <c r="J103" s="85">
        <f>I103/H103</f>
        <v/>
      </c>
      <c r="K103" s="85" t="n">
        <v>55.0888820710865</v>
      </c>
      <c r="L103" s="85">
        <f>困难主线!Y7</f>
        <v/>
      </c>
      <c r="M103" s="85">
        <f>L103/K103</f>
        <v/>
      </c>
      <c r="N103" t="inlineStr">
        <is>
          <t>原源表节点</t>
        </is>
      </c>
    </row>
    <row r="104">
      <c r="A104" t="inlineStr">
        <is>
          <t>困难主线</t>
        </is>
      </c>
      <c r="B104" t="inlineStr">
        <is>
          <t>高难1-4</t>
        </is>
      </c>
      <c r="C104" t="n">
        <v>74</v>
      </c>
      <c r="D104" t="n">
        <v>150</v>
      </c>
      <c r="E104" t="n">
        <v>116</v>
      </c>
      <c r="F104" s="85">
        <f>困难主线!K8</f>
        <v/>
      </c>
      <c r="G104" s="85">
        <f>困难主线!L8</f>
        <v/>
      </c>
      <c r="H104" s="85" t="n">
        <v>0.306982170586159</v>
      </c>
      <c r="I104" s="85">
        <f>困难主线!X8</f>
        <v/>
      </c>
      <c r="J104" s="85">
        <f>I104/H104</f>
        <v/>
      </c>
      <c r="K104" s="85" t="n">
        <v>55.2615134573595</v>
      </c>
      <c r="L104" s="85">
        <f>困难主线!Y8</f>
        <v/>
      </c>
      <c r="M104" s="85">
        <f>L104/K104</f>
        <v/>
      </c>
      <c r="N104" t="inlineStr">
        <is>
          <t>原源表节点</t>
        </is>
      </c>
    </row>
    <row r="105">
      <c r="A105" t="inlineStr">
        <is>
          <t>困难主线</t>
        </is>
      </c>
      <c r="B105" t="inlineStr">
        <is>
          <t>高难1-5</t>
        </is>
      </c>
      <c r="C105" t="n">
        <v>75</v>
      </c>
      <c r="D105" t="n">
        <v>153</v>
      </c>
      <c r="E105" t="n">
        <v>119</v>
      </c>
      <c r="F105" s="85">
        <f>困难主线!K9</f>
        <v/>
      </c>
      <c r="G105" s="85">
        <f>困难主线!L9</f>
        <v/>
      </c>
      <c r="H105" s="85" t="n">
        <v>0.313477710478681</v>
      </c>
      <c r="I105" s="85">
        <f>困难主线!X9</f>
        <v/>
      </c>
      <c r="J105" s="85">
        <f>I105/H105</f>
        <v/>
      </c>
      <c r="K105" s="85" t="n">
        <v>54.7372477275219</v>
      </c>
      <c r="L105" s="85">
        <f>困难主线!Y9</f>
        <v/>
      </c>
      <c r="M105" s="85">
        <f>L105/K105</f>
        <v/>
      </c>
      <c r="N105" t="inlineStr">
        <is>
          <t>原源表节点</t>
        </is>
      </c>
    </row>
    <row r="106">
      <c r="A106" t="inlineStr">
        <is>
          <t>困难主线</t>
        </is>
      </c>
      <c r="B106" t="inlineStr">
        <is>
          <t>高难2-1</t>
        </is>
      </c>
      <c r="C106" t="n">
        <v>76</v>
      </c>
      <c r="D106" t="n">
        <v>154</v>
      </c>
      <c r="E106" t="n">
        <v>119</v>
      </c>
      <c r="F106" s="85">
        <f>困难主线!K10</f>
        <v/>
      </c>
      <c r="G106" s="85">
        <f>困难主线!L10</f>
        <v/>
      </c>
      <c r="H106" s="85" t="n">
        <v>0.30949606947827</v>
      </c>
      <c r="I106" s="85">
        <f>困难主线!X10</f>
        <v/>
      </c>
      <c r="J106" s="85">
        <f>I106/H106</f>
        <v/>
      </c>
      <c r="K106" s="85" t="n">
        <v>55.513574124432</v>
      </c>
      <c r="L106" s="85">
        <f>困难主线!Y10</f>
        <v/>
      </c>
      <c r="M106" s="85">
        <f>L106/K106</f>
        <v/>
      </c>
      <c r="N106" t="inlineStr">
        <is>
          <t>原源表节点</t>
        </is>
      </c>
    </row>
    <row r="107">
      <c r="A107" t="inlineStr">
        <is>
          <t>困难主线</t>
        </is>
      </c>
      <c r="B107" t="inlineStr">
        <is>
          <t>高难2-2</t>
        </is>
      </c>
      <c r="C107" t="n">
        <v>77</v>
      </c>
      <c r="D107" t="n">
        <v>155</v>
      </c>
      <c r="E107" t="n">
        <v>120</v>
      </c>
      <c r="F107" s="85">
        <f>困难主线!K11</f>
        <v/>
      </c>
      <c r="G107" s="85">
        <f>困难主线!L11</f>
        <v/>
      </c>
      <c r="H107" s="85" t="n">
        <v>0.30579976504819</v>
      </c>
      <c r="I107" s="85">
        <f>困难主线!X11</f>
        <v/>
      </c>
      <c r="J107" s="85">
        <f>I107/H107</f>
        <v/>
      </c>
      <c r="K107" s="85" t="n">
        <v>56.2581790144256</v>
      </c>
      <c r="L107" s="85">
        <f>困难主线!Y11</f>
        <v/>
      </c>
      <c r="M107" s="85">
        <f>L107/K107</f>
        <v/>
      </c>
      <c r="N107" t="inlineStr">
        <is>
          <t>原源表节点</t>
        </is>
      </c>
    </row>
    <row r="108">
      <c r="A108" t="inlineStr">
        <is>
          <t>困难主线</t>
        </is>
      </c>
      <c r="B108" t="inlineStr">
        <is>
          <t>高难2-3</t>
        </is>
      </c>
      <c r="C108" t="n">
        <v>78</v>
      </c>
      <c r="D108" t="n">
        <v>157</v>
      </c>
      <c r="E108" t="n">
        <v>122</v>
      </c>
      <c r="F108" s="85">
        <f>困难主线!K12</f>
        <v/>
      </c>
      <c r="G108" s="85">
        <f>困难主线!L12</f>
        <v/>
      </c>
      <c r="H108" s="85" t="n">
        <v>0.307532250624932</v>
      </c>
      <c r="I108" s="85">
        <f>困难主线!X12</f>
        <v/>
      </c>
      <c r="J108" s="85">
        <f>I108/H108</f>
        <v/>
      </c>
      <c r="K108" s="85" t="n">
        <v>56.3009231107313</v>
      </c>
      <c r="L108" s="85">
        <f>困难主线!Y12</f>
        <v/>
      </c>
      <c r="M108" s="85">
        <f>L108/K108</f>
        <v/>
      </c>
      <c r="N108" t="inlineStr">
        <is>
          <t>原源表节点</t>
        </is>
      </c>
    </row>
    <row r="109">
      <c r="A109" t="inlineStr">
        <is>
          <t>困难主线</t>
        </is>
      </c>
      <c r="B109" t="inlineStr">
        <is>
          <t>高难2-4</t>
        </is>
      </c>
      <c r="C109" t="n">
        <v>79</v>
      </c>
      <c r="D109" t="n">
        <v>157</v>
      </c>
      <c r="E109" t="n">
        <v>122</v>
      </c>
      <c r="F109" s="85">
        <f>困难主线!K13</f>
        <v/>
      </c>
      <c r="G109" s="85">
        <f>困难主线!L13</f>
        <v/>
      </c>
      <c r="H109" s="85" t="n">
        <v>0.29918923163779</v>
      </c>
      <c r="I109" s="85">
        <f>困难主线!X13</f>
        <v/>
      </c>
      <c r="J109" s="85">
        <f>I109/H109</f>
        <v/>
      </c>
      <c r="K109" s="85" t="n">
        <v>57.6613309360165</v>
      </c>
      <c r="L109" s="85">
        <f>困难主线!Y13</f>
        <v/>
      </c>
      <c r="M109" s="85">
        <f>L109/K109</f>
        <v/>
      </c>
      <c r="N109" t="inlineStr">
        <is>
          <t>原源表节点</t>
        </is>
      </c>
    </row>
    <row r="110">
      <c r="A110" t="inlineStr">
        <is>
          <t>困难主线</t>
        </is>
      </c>
      <c r="B110" t="inlineStr">
        <is>
          <t>高难2-5</t>
        </is>
      </c>
      <c r="C110" t="n">
        <v>80</v>
      </c>
      <c r="D110" t="n">
        <v>159</v>
      </c>
      <c r="E110" t="n">
        <v>123</v>
      </c>
      <c r="F110" s="85">
        <f>困难主线!K14</f>
        <v/>
      </c>
      <c r="G110" s="85">
        <f>困难主线!L14</f>
        <v/>
      </c>
      <c r="H110" s="85" t="n">
        <v>0.301252952260671</v>
      </c>
      <c r="I110" s="85">
        <f>困难主线!X14</f>
        <v/>
      </c>
      <c r="J110" s="85">
        <f>I110/H110</f>
        <v/>
      </c>
      <c r="K110" s="85" t="n">
        <v>57.6424179587933</v>
      </c>
      <c r="L110" s="85">
        <f>困难主线!Y14</f>
        <v/>
      </c>
      <c r="M110" s="85">
        <f>L110/K110</f>
        <v/>
      </c>
      <c r="N110" t="inlineStr">
        <is>
          <t>原源表节点</t>
        </is>
      </c>
    </row>
    <row r="111">
      <c r="A111" t="inlineStr">
        <is>
          <t>困难主线</t>
        </is>
      </c>
      <c r="B111" t="inlineStr">
        <is>
          <t>高难3-1</t>
        </is>
      </c>
      <c r="C111" t="n">
        <v>81</v>
      </c>
      <c r="D111" t="n">
        <v>161</v>
      </c>
      <c r="E111" t="n">
        <v>125</v>
      </c>
      <c r="F111" s="85">
        <f>困难主线!K15</f>
        <v/>
      </c>
      <c r="G111" s="85">
        <f>困难主线!L15</f>
        <v/>
      </c>
      <c r="H111" s="85" t="n">
        <v>0.303480385768075</v>
      </c>
      <c r="I111" s="85">
        <f>困难主线!X15</f>
        <v/>
      </c>
      <c r="J111" s="85">
        <f>I111/H111</f>
        <v/>
      </c>
      <c r="K111" s="85" t="n">
        <v>57.5948076619081</v>
      </c>
      <c r="L111" s="85">
        <f>困难主线!Y15</f>
        <v/>
      </c>
      <c r="M111" s="85">
        <f>L111/K111</f>
        <v/>
      </c>
      <c r="N111" t="inlineStr">
        <is>
          <t>原源表节点</t>
        </is>
      </c>
    </row>
    <row r="112">
      <c r="A112" t="inlineStr">
        <is>
          <t>困难主线</t>
        </is>
      </c>
      <c r="B112" t="inlineStr">
        <is>
          <t>高难3-2</t>
        </is>
      </c>
      <c r="C112" t="n">
        <v>82</v>
      </c>
      <c r="D112" t="n">
        <v>163</v>
      </c>
      <c r="E112" t="n">
        <v>127</v>
      </c>
      <c r="F112" s="85">
        <f>困难主线!K16</f>
        <v/>
      </c>
      <c r="G112" s="85">
        <f>困难主线!L16</f>
        <v/>
      </c>
      <c r="H112" s="85" t="n">
        <v>0.305859747950294</v>
      </c>
      <c r="I112" s="85">
        <f>困难主线!X16</f>
        <v/>
      </c>
      <c r="J112" s="85">
        <f>I112/H112</f>
        <v/>
      </c>
      <c r="K112" s="85" t="n">
        <v>57.5237792263925</v>
      </c>
      <c r="L112" s="85">
        <f>困难主线!Y16</f>
        <v/>
      </c>
      <c r="M112" s="85">
        <f>L112/K112</f>
        <v/>
      </c>
      <c r="N112" t="inlineStr">
        <is>
          <t>原源表节点</t>
        </is>
      </c>
    </row>
    <row r="113">
      <c r="A113" t="inlineStr">
        <is>
          <t>困难主线</t>
        </is>
      </c>
      <c r="B113" t="inlineStr">
        <is>
          <t>高难3-3</t>
        </is>
      </c>
      <c r="C113" t="n">
        <v>83</v>
      </c>
      <c r="D113" t="n">
        <v>164</v>
      </c>
      <c r="E113" t="n">
        <v>128</v>
      </c>
      <c r="F113" s="85">
        <f>困难主线!K17</f>
        <v/>
      </c>
      <c r="G113" s="85">
        <f>困难主线!L17</f>
        <v/>
      </c>
      <c r="H113" s="85" t="n">
        <v>0.303358040449149</v>
      </c>
      <c r="I113" s="85">
        <f>困难主线!X17</f>
        <v/>
      </c>
      <c r="J113" s="85">
        <f>I113/H113</f>
        <v/>
      </c>
      <c r="K113" s="85" t="n">
        <v>58.0933560067646</v>
      </c>
      <c r="L113" s="85">
        <f>困难主线!Y17</f>
        <v/>
      </c>
      <c r="M113" s="85">
        <f>L113/K113</f>
        <v/>
      </c>
      <c r="N113" t="inlineStr">
        <is>
          <t>原源表节点</t>
        </is>
      </c>
    </row>
    <row r="114">
      <c r="A114" t="inlineStr">
        <is>
          <t>困难主线</t>
        </is>
      </c>
      <c r="B114" t="inlineStr">
        <is>
          <t>高难3-4</t>
        </is>
      </c>
      <c r="C114" t="n">
        <v>84</v>
      </c>
      <c r="D114" t="n">
        <v>166</v>
      </c>
      <c r="E114" t="n">
        <v>130</v>
      </c>
      <c r="F114" s="85">
        <f>困难主线!K18</f>
        <v/>
      </c>
      <c r="G114" s="85">
        <f>困难主线!L18</f>
        <v/>
      </c>
      <c r="H114" s="85" t="n">
        <v>0.306035058429199</v>
      </c>
      <c r="I114" s="85">
        <f>困难主线!X18</f>
        <v/>
      </c>
      <c r="J114" s="85">
        <f>I114/H114</f>
        <v/>
      </c>
      <c r="K114" s="85" t="n">
        <v>57.9700621967716</v>
      </c>
      <c r="L114" s="85">
        <f>困难主线!Y18</f>
        <v/>
      </c>
      <c r="M114" s="85">
        <f>L114/K114</f>
        <v/>
      </c>
      <c r="N114" t="inlineStr">
        <is>
          <t>原源表节点</t>
        </is>
      </c>
    </row>
    <row r="115">
      <c r="A115" t="inlineStr">
        <is>
          <t>困难主线</t>
        </is>
      </c>
      <c r="B115" t="inlineStr">
        <is>
          <t>高难3-5</t>
        </is>
      </c>
      <c r="C115" t="n">
        <v>85</v>
      </c>
      <c r="D115" t="n">
        <v>167</v>
      </c>
      <c r="E115" t="n">
        <v>131</v>
      </c>
      <c r="F115" s="85">
        <f>困难主线!K19</f>
        <v/>
      </c>
      <c r="G115" s="85">
        <f>困难主线!L19</f>
        <v/>
      </c>
      <c r="H115" s="85" t="n">
        <v>0.303857699649401</v>
      </c>
      <c r="I115" s="85">
        <f>困难主线!X19</f>
        <v/>
      </c>
      <c r="J115" s="85">
        <f>I115/H115</f>
        <v/>
      </c>
      <c r="K115" s="85" t="n">
        <v>58.4823950222827</v>
      </c>
      <c r="L115" s="85">
        <f>困难主线!Y19</f>
        <v/>
      </c>
      <c r="M115" s="85">
        <f>L115/K115</f>
        <v/>
      </c>
      <c r="N115" t="inlineStr">
        <is>
          <t>原源表节点</t>
        </is>
      </c>
    </row>
    <row r="116">
      <c r="A116" t="inlineStr">
        <is>
          <t>困难主线</t>
        </is>
      </c>
      <c r="B116" t="inlineStr">
        <is>
          <t>高难4-1</t>
        </is>
      </c>
      <c r="C116" t="n">
        <v>86</v>
      </c>
      <c r="D116" t="n">
        <v>168</v>
      </c>
      <c r="E116" t="n">
        <v>131</v>
      </c>
      <c r="F116" s="85">
        <f>困难主线!K20</f>
        <v/>
      </c>
      <c r="G116" s="85">
        <f>困难主线!L20</f>
        <v/>
      </c>
      <c r="H116" s="85" t="n">
        <v>0.30186482099524</v>
      </c>
      <c r="I116" s="85">
        <f>困难主线!X20</f>
        <v/>
      </c>
      <c r="J116" s="85">
        <f>I116/H116</f>
        <v/>
      </c>
      <c r="K116" s="85" t="n">
        <v>58.9751490323662</v>
      </c>
      <c r="L116" s="85">
        <f>困难主线!Y20</f>
        <v/>
      </c>
      <c r="M116" s="85">
        <f>L116/K116</f>
        <v/>
      </c>
      <c r="N116" t="inlineStr">
        <is>
          <t>原源表节点</t>
        </is>
      </c>
    </row>
    <row r="117">
      <c r="A117" t="inlineStr">
        <is>
          <t>困难主线</t>
        </is>
      </c>
      <c r="B117" t="inlineStr">
        <is>
          <t>高难4-2</t>
        </is>
      </c>
      <c r="C117" t="n">
        <v>87</v>
      </c>
      <c r="D117" t="n">
        <v>170</v>
      </c>
      <c r="E117" t="n">
        <v>133</v>
      </c>
      <c r="F117" s="85">
        <f>困难主线!K21</f>
        <v/>
      </c>
      <c r="G117" s="85">
        <f>困难主线!L21</f>
        <v/>
      </c>
      <c r="H117" s="85" t="n">
        <v>0.304936915992909</v>
      </c>
      <c r="I117" s="85">
        <f>困难主线!X21</f>
        <v/>
      </c>
      <c r="J117" s="85">
        <f>I117/H117</f>
        <v/>
      </c>
      <c r="K117" s="85" t="n">
        <v>58.7762926443669</v>
      </c>
      <c r="L117" s="85">
        <f>困难主线!Y21</f>
        <v/>
      </c>
      <c r="M117" s="85">
        <f>L117/K117</f>
        <v/>
      </c>
      <c r="N117" t="inlineStr">
        <is>
          <t>原源表节点</t>
        </is>
      </c>
    </row>
    <row r="118">
      <c r="A118" t="inlineStr">
        <is>
          <t>困难主线</t>
        </is>
      </c>
      <c r="B118" t="inlineStr">
        <is>
          <t>高难4-3</t>
        </is>
      </c>
      <c r="C118" t="n">
        <v>88</v>
      </c>
      <c r="D118" t="n">
        <v>170</v>
      </c>
      <c r="E118" t="n">
        <v>133</v>
      </c>
      <c r="F118" s="85">
        <f>困难主线!K22</f>
        <v/>
      </c>
      <c r="G118" s="85">
        <f>困难主线!L22</f>
        <v/>
      </c>
      <c r="H118" s="85" t="n">
        <v>0.298375234286106</v>
      </c>
      <c r="I118" s="85">
        <f>困难主线!X22</f>
        <v/>
      </c>
      <c r="J118" s="85">
        <f>I118/H118</f>
        <v/>
      </c>
      <c r="K118" s="85" t="n">
        <v>59.8822583784105</v>
      </c>
      <c r="L118" s="85">
        <f>困难主线!Y22</f>
        <v/>
      </c>
      <c r="M118" s="85">
        <f>L118/K118</f>
        <v/>
      </c>
      <c r="N118" t="inlineStr">
        <is>
          <t>原源表节点</t>
        </is>
      </c>
    </row>
    <row r="119">
      <c r="A119" t="inlineStr">
        <is>
          <t>困难主线</t>
        </is>
      </c>
      <c r="B119" t="inlineStr">
        <is>
          <t>高难4-4</t>
        </is>
      </c>
      <c r="C119" t="n">
        <v>89</v>
      </c>
      <c r="D119" t="n">
        <v>172</v>
      </c>
      <c r="E119" t="n">
        <v>134</v>
      </c>
      <c r="F119" s="85">
        <f>困难主线!K23</f>
        <v/>
      </c>
      <c r="G119" s="85">
        <f>困难主线!L23</f>
        <v/>
      </c>
      <c r="H119" s="85" t="n">
        <v>0.3016710997486</v>
      </c>
      <c r="I119" s="85">
        <f>困难主线!X23</f>
        <v/>
      </c>
      <c r="J119" s="85">
        <f>I119/H119</f>
        <v/>
      </c>
      <c r="K119" s="85" t="n">
        <v>59.634048608868</v>
      </c>
      <c r="L119" s="85">
        <f>困难主线!Y23</f>
        <v/>
      </c>
      <c r="M119" s="85">
        <f>L119/K119</f>
        <v/>
      </c>
      <c r="N119" t="inlineStr">
        <is>
          <t>原源表节点</t>
        </is>
      </c>
    </row>
    <row r="120">
      <c r="A120" t="inlineStr">
        <is>
          <t>困难主线</t>
        </is>
      </c>
      <c r="B120" t="inlineStr">
        <is>
          <t>高难4-5</t>
        </is>
      </c>
      <c r="C120" t="n">
        <v>90</v>
      </c>
      <c r="D120" t="n">
        <v>173</v>
      </c>
      <c r="E120" t="n">
        <v>135</v>
      </c>
      <c r="F120" s="85">
        <f>困难主线!K24</f>
        <v/>
      </c>
      <c r="G120" s="85">
        <f>困难主线!L24</f>
        <v/>
      </c>
      <c r="H120" s="85" t="n">
        <v>0.300271350058489</v>
      </c>
      <c r="I120" s="85">
        <f>困难主线!X24</f>
        <v/>
      </c>
      <c r="J120" s="85">
        <f>I120/H120</f>
        <v/>
      </c>
      <c r="K120" s="85" t="n">
        <v>60.027531306925</v>
      </c>
      <c r="L120" s="85">
        <f>困难主线!Y24</f>
        <v/>
      </c>
      <c r="M120" s="85">
        <f>L120/K120</f>
        <v/>
      </c>
      <c r="N120" t="inlineStr">
        <is>
          <t>原源表节点</t>
        </is>
      </c>
    </row>
    <row r="121">
      <c r="A121" t="inlineStr">
        <is>
          <t>困难主线</t>
        </is>
      </c>
      <c r="B121" t="inlineStr">
        <is>
          <t>高难5-1</t>
        </is>
      </c>
      <c r="C121" t="n">
        <v>91</v>
      </c>
      <c r="D121" t="n">
        <v>174</v>
      </c>
      <c r="E121" t="n">
        <v>136</v>
      </c>
      <c r="F121" s="85">
        <f>困难主线!K25</f>
        <v/>
      </c>
      <c r="G121" s="85">
        <f>困难主线!L25</f>
        <v/>
      </c>
      <c r="H121" s="85" t="n">
        <v>0.299013245291613</v>
      </c>
      <c r="I121" s="85">
        <f>困难主线!X25</f>
        <v/>
      </c>
      <c r="J121" s="85">
        <f>I121/H121</f>
        <v/>
      </c>
      <c r="K121" s="85" t="n">
        <v>60.4002959317229</v>
      </c>
      <c r="L121" s="85">
        <f>困难主线!Y25</f>
        <v/>
      </c>
      <c r="M121" s="85">
        <f>L121/K121</f>
        <v/>
      </c>
      <c r="N121" t="inlineStr">
        <is>
          <t>原源表节点</t>
        </is>
      </c>
    </row>
    <row r="122">
      <c r="A122" t="inlineStr">
        <is>
          <t>困难主线</t>
        </is>
      </c>
      <c r="B122" t="inlineStr">
        <is>
          <t>高难5-2</t>
        </is>
      </c>
      <c r="C122" t="n">
        <v>92</v>
      </c>
      <c r="D122" t="n">
        <v>175</v>
      </c>
      <c r="E122" t="n">
        <v>136</v>
      </c>
      <c r="F122" s="85">
        <f>困难主线!K26</f>
        <v/>
      </c>
      <c r="G122" s="85">
        <f>困难主线!L26</f>
        <v/>
      </c>
      <c r="H122" s="85" t="n">
        <v>0.297887754853065</v>
      </c>
      <c r="I122" s="85">
        <f>困难主线!X26</f>
        <v/>
      </c>
      <c r="J122" s="85">
        <f>I122/H122</f>
        <v/>
      </c>
      <c r="K122" s="85" t="n">
        <v>60.7527727684546</v>
      </c>
      <c r="L122" s="85">
        <f>困难主线!Y26</f>
        <v/>
      </c>
      <c r="M122" s="85">
        <f>L122/K122</f>
        <v/>
      </c>
      <c r="N122" t="inlineStr">
        <is>
          <t>原源表节点</t>
        </is>
      </c>
    </row>
    <row r="123">
      <c r="A123" t="inlineStr">
        <is>
          <t>困难主线</t>
        </is>
      </c>
      <c r="B123" t="inlineStr">
        <is>
          <t>高难5-3</t>
        </is>
      </c>
      <c r="C123" t="n">
        <v>93</v>
      </c>
      <c r="D123" t="n">
        <v>177</v>
      </c>
      <c r="E123" t="n">
        <v>138</v>
      </c>
      <c r="F123" s="85">
        <f>困难主线!K27</f>
        <v/>
      </c>
      <c r="G123" s="85">
        <f>困难主线!L27</f>
        <v/>
      </c>
      <c r="H123" s="85" t="n">
        <v>0.301625485965359</v>
      </c>
      <c r="I123" s="85">
        <f>困难主线!X27</f>
        <v/>
      </c>
      <c r="J123" s="85">
        <f>I123/H123</f>
        <v/>
      </c>
      <c r="K123" s="85" t="n">
        <v>60.419249410428</v>
      </c>
      <c r="L123" s="85">
        <f>困难主线!Y27</f>
        <v/>
      </c>
      <c r="M123" s="85">
        <f>L123/K123</f>
        <v/>
      </c>
      <c r="N123" t="inlineStr">
        <is>
          <t>原源表节点</t>
        </is>
      </c>
    </row>
    <row r="124">
      <c r="A124" t="inlineStr">
        <is>
          <t>困难主线</t>
        </is>
      </c>
      <c r="B124" t="inlineStr">
        <is>
          <t>高难5-4</t>
        </is>
      </c>
      <c r="C124" t="n">
        <v>94</v>
      </c>
      <c r="D124" t="n">
        <v>178</v>
      </c>
      <c r="E124" t="n">
        <v>139</v>
      </c>
      <c r="F124" s="85">
        <f>困难主线!K28</f>
        <v/>
      </c>
      <c r="G124" s="85">
        <f>困难主线!L28</f>
        <v/>
      </c>
      <c r="H124" s="85" t="n">
        <v>0.300732696694351</v>
      </c>
      <c r="I124" s="85">
        <f>困难主线!X28</f>
        <v/>
      </c>
      <c r="J124" s="85">
        <f>I124/H124</f>
        <v/>
      </c>
      <c r="K124" s="85" t="n">
        <v>60.7296295857129</v>
      </c>
      <c r="L124" s="85">
        <f>困难主线!Y28</f>
        <v/>
      </c>
      <c r="M124" s="85">
        <f>L124/K124</f>
        <v/>
      </c>
      <c r="N124" t="inlineStr">
        <is>
          <t>原源表节点</t>
        </is>
      </c>
    </row>
    <row r="125">
      <c r="A125" t="inlineStr">
        <is>
          <t>困难主线</t>
        </is>
      </c>
      <c r="B125" t="inlineStr">
        <is>
          <t>高难5-5</t>
        </is>
      </c>
      <c r="C125" t="n">
        <v>95</v>
      </c>
      <c r="D125" t="n">
        <v>180</v>
      </c>
      <c r="E125" t="n">
        <v>141</v>
      </c>
      <c r="F125" s="85">
        <f>困难主线!K29</f>
        <v/>
      </c>
      <c r="G125" s="85">
        <f>困难主线!L29</f>
        <v/>
      </c>
      <c r="H125" s="85" t="n">
        <v>0.304692634282513</v>
      </c>
      <c r="I125" s="85">
        <f>困难主线!X29</f>
        <v/>
      </c>
      <c r="J125" s="85">
        <f>I125/H125</f>
        <v/>
      </c>
      <c r="K125" s="85" t="n">
        <v>60.3609891713334</v>
      </c>
      <c r="L125" s="85">
        <f>困难主线!Y29</f>
        <v/>
      </c>
      <c r="M125" s="85">
        <f>L125/K125</f>
        <v/>
      </c>
      <c r="N125" t="inlineStr">
        <is>
          <t>原源表节点</t>
        </is>
      </c>
    </row>
    <row r="126">
      <c r="A126" t="inlineStr">
        <is>
          <t>困难主线</t>
        </is>
      </c>
      <c r="B126" t="inlineStr">
        <is>
          <t>高难6-1</t>
        </is>
      </c>
      <c r="C126" t="n">
        <v>96</v>
      </c>
      <c r="D126" t="n">
        <v>180</v>
      </c>
      <c r="E126" t="n">
        <v>141</v>
      </c>
      <c r="F126" s="85">
        <f>困难主线!K30</f>
        <v/>
      </c>
      <c r="G126" s="85">
        <f>困难主线!L30</f>
        <v/>
      </c>
      <c r="H126" s="85" t="n">
        <v>0.299292867750062</v>
      </c>
      <c r="I126" s="85">
        <f>困难主线!X30</f>
        <v/>
      </c>
      <c r="J126" s="85">
        <f>I126/H126</f>
        <v/>
      </c>
      <c r="K126" s="85" t="n">
        <v>61.2848388183219</v>
      </c>
      <c r="L126" s="85">
        <f>困难主线!Y30</f>
        <v/>
      </c>
      <c r="M126" s="85">
        <f>L126/K126</f>
        <v/>
      </c>
      <c r="N126" t="inlineStr">
        <is>
          <t>原源表节点</t>
        </is>
      </c>
    </row>
    <row r="127">
      <c r="A127" t="inlineStr">
        <is>
          <t>困难主线</t>
        </is>
      </c>
      <c r="B127" t="inlineStr">
        <is>
          <t>高难6-2</t>
        </is>
      </c>
      <c r="C127" t="n">
        <v>97</v>
      </c>
      <c r="D127" t="n">
        <v>181</v>
      </c>
      <c r="E127" t="n">
        <v>142</v>
      </c>
      <c r="F127" s="85">
        <f>困难主线!K31</f>
        <v/>
      </c>
      <c r="G127" s="85">
        <f>困难主线!L31</f>
        <v/>
      </c>
      <c r="H127" s="85" t="n">
        <v>0.298753861643835</v>
      </c>
      <c r="I127" s="85">
        <f>困难主线!X31</f>
        <v/>
      </c>
      <c r="J127" s="85">
        <f>I127/H127</f>
        <v/>
      </c>
      <c r="K127" s="85" t="n">
        <v>61.5370716142601</v>
      </c>
      <c r="L127" s="85">
        <f>困难主线!Y31</f>
        <v/>
      </c>
      <c r="M127" s="85">
        <f>L127/K127</f>
        <v/>
      </c>
      <c r="N127" t="inlineStr">
        <is>
          <t>原源表节点</t>
        </is>
      </c>
    </row>
    <row r="128">
      <c r="A128" t="inlineStr">
        <is>
          <t>困难主线</t>
        </is>
      </c>
      <c r="B128" t="inlineStr">
        <is>
          <t>高难6-3</t>
        </is>
      </c>
      <c r="C128" t="n">
        <v>98</v>
      </c>
      <c r="D128" t="n">
        <v>183</v>
      </c>
      <c r="E128" t="n">
        <v>143</v>
      </c>
      <c r="F128" s="85">
        <f>困难主线!K32</f>
        <v/>
      </c>
      <c r="G128" s="85">
        <f>困难主线!L32</f>
        <v/>
      </c>
      <c r="H128" s="85" t="n">
        <v>0.302981727899539</v>
      </c>
      <c r="I128" s="85">
        <f>困难主线!X32</f>
        <v/>
      </c>
      <c r="J128" s="85">
        <f>I128/H128</f>
        <v/>
      </c>
      <c r="K128" s="85" t="n">
        <v>61.1119616225063</v>
      </c>
      <c r="L128" s="85">
        <f>困难主线!Y32</f>
        <v/>
      </c>
      <c r="M128" s="85">
        <f>L128/K128</f>
        <v/>
      </c>
      <c r="N128" t="inlineStr">
        <is>
          <t>原源表节点</t>
        </is>
      </c>
    </row>
    <row r="129">
      <c r="A129" t="inlineStr">
        <is>
          <t>困难主线</t>
        </is>
      </c>
      <c r="B129" t="inlineStr">
        <is>
          <t>高难6-4</t>
        </is>
      </c>
      <c r="C129" t="n">
        <v>99</v>
      </c>
      <c r="D129" t="n">
        <v>184</v>
      </c>
      <c r="E129" t="n">
        <v>144</v>
      </c>
      <c r="F129" s="85">
        <f>困难主线!K33</f>
        <v/>
      </c>
      <c r="G129" s="85">
        <f>困难主线!L33</f>
        <v/>
      </c>
      <c r="H129" s="85" t="n">
        <v>0.302633841895569</v>
      </c>
      <c r="I129" s="85">
        <f>困难主线!X33</f>
        <v/>
      </c>
      <c r="J129" s="85">
        <f>I129/H129</f>
        <v/>
      </c>
      <c r="K129" s="85" t="n">
        <v>61.3250015374068</v>
      </c>
      <c r="L129" s="85">
        <f>困难主线!Y33</f>
        <v/>
      </c>
      <c r="M129" s="85">
        <f>L129/K129</f>
        <v/>
      </c>
      <c r="N129" t="inlineStr">
        <is>
          <t>原源表节点</t>
        </is>
      </c>
    </row>
    <row r="130">
      <c r="A130" t="inlineStr">
        <is>
          <t>困难主线</t>
        </is>
      </c>
      <c r="B130" t="inlineStr">
        <is>
          <t>高难6-5</t>
        </is>
      </c>
      <c r="C130" t="n">
        <v>100</v>
      </c>
      <c r="D130" t="n">
        <v>185</v>
      </c>
      <c r="E130" t="n">
        <v>145</v>
      </c>
      <c r="F130" s="85">
        <f>困难主线!K34</f>
        <v/>
      </c>
      <c r="G130" s="85">
        <f>困难主线!L34</f>
        <v/>
      </c>
      <c r="H130" s="85" t="n">
        <v>0.3023883303454</v>
      </c>
      <c r="I130" s="85">
        <f>困难主线!X34</f>
        <v/>
      </c>
      <c r="J130" s="85">
        <f>I130/H130</f>
        <v/>
      </c>
      <c r="K130" s="85" t="n">
        <v>61.5186064750322</v>
      </c>
      <c r="L130" s="85">
        <f>困难主线!Y34</f>
        <v/>
      </c>
      <c r="M130" s="85">
        <f>L130/K130</f>
        <v/>
      </c>
      <c r="N130" t="inlineStr">
        <is>
          <t>原源表节点</t>
        </is>
      </c>
    </row>
    <row r="131">
      <c r="A131" t="inlineStr">
        <is>
          <t>困难主线</t>
        </is>
      </c>
      <c r="B131" t="inlineStr">
        <is>
          <t>高难7-1</t>
        </is>
      </c>
      <c r="C131" t="n">
        <v>101</v>
      </c>
      <c r="D131" t="n">
        <v>186</v>
      </c>
      <c r="E131" t="n">
        <v>146</v>
      </c>
      <c r="F131" s="85">
        <f>困难主线!K35</f>
        <v/>
      </c>
      <c r="G131" s="85">
        <f>困难主线!L35</f>
        <v/>
      </c>
      <c r="H131" s="85" t="n">
        <v>0.298543734396196</v>
      </c>
      <c r="I131" s="85">
        <f>困难主线!X35</f>
        <v/>
      </c>
      <c r="J131" s="85">
        <f>I131/H131</f>
        <v/>
      </c>
      <c r="K131" s="85" t="n">
        <v>62.1558534593676</v>
      </c>
      <c r="L131" s="85">
        <f>困难主线!Y35</f>
        <v/>
      </c>
      <c r="M131" s="85">
        <f>L131/K131</f>
        <v/>
      </c>
      <c r="N131" t="inlineStr">
        <is>
          <t>原源表节点</t>
        </is>
      </c>
    </row>
    <row r="132">
      <c r="A132" t="inlineStr">
        <is>
          <t>困难主线</t>
        </is>
      </c>
      <c r="B132" t="inlineStr">
        <is>
          <t>高难7-2</t>
        </is>
      </c>
      <c r="C132" t="n">
        <v>102</v>
      </c>
      <c r="D132" t="n">
        <v>188</v>
      </c>
      <c r="E132" t="n">
        <v>148</v>
      </c>
      <c r="F132" s="85">
        <f>困难主线!K36</f>
        <v/>
      </c>
      <c r="G132" s="85">
        <f>困难主线!L36</f>
        <v/>
      </c>
      <c r="H132" s="85" t="n">
        <v>0.299497688014474</v>
      </c>
      <c r="I132" s="85">
        <f>困难主线!X36</f>
        <v/>
      </c>
      <c r="J132" s="85">
        <f>I132/H132</f>
        <v/>
      </c>
      <c r="K132" s="85" t="n">
        <v>62.1129978936476</v>
      </c>
      <c r="L132" s="85">
        <f>困难主线!Y36</f>
        <v/>
      </c>
      <c r="M132" s="85">
        <f>L132/K132</f>
        <v/>
      </c>
      <c r="N132" t="inlineStr">
        <is>
          <t>原源表节点</t>
        </is>
      </c>
    </row>
    <row r="133">
      <c r="A133" t="inlineStr">
        <is>
          <t>困难主线</t>
        </is>
      </c>
      <c r="B133" t="inlineStr">
        <is>
          <t>高难7-3</t>
        </is>
      </c>
      <c r="C133" t="n">
        <v>103</v>
      </c>
      <c r="D133" t="n">
        <v>190</v>
      </c>
      <c r="E133" t="n">
        <v>149</v>
      </c>
      <c r="F133" s="85">
        <f>困难主线!K37</f>
        <v/>
      </c>
      <c r="G133" s="85">
        <f>困难主线!L37</f>
        <v/>
      </c>
      <c r="H133" s="85" t="n">
        <v>0.300623427234892</v>
      </c>
      <c r="I133" s="85">
        <f>困难主线!X37</f>
        <v/>
      </c>
      <c r="J133" s="85">
        <f>I133/H133</f>
        <v/>
      </c>
      <c r="K133" s="85" t="n">
        <v>62.0417972484285</v>
      </c>
      <c r="L133" s="85">
        <f>困难主线!Y37</f>
        <v/>
      </c>
      <c r="M133" s="85">
        <f>L133/K133</f>
        <v/>
      </c>
      <c r="N133" t="inlineStr">
        <is>
          <t>原源表节点</t>
        </is>
      </c>
    </row>
    <row r="134">
      <c r="A134" t="inlineStr">
        <is>
          <t>困难主线</t>
        </is>
      </c>
      <c r="B134" t="inlineStr">
        <is>
          <t>高难7-4</t>
        </is>
      </c>
      <c r="C134" t="n">
        <v>104</v>
      </c>
      <c r="D134" t="n">
        <v>192</v>
      </c>
      <c r="E134" t="n">
        <v>151</v>
      </c>
      <c r="F134" s="85">
        <f>困难主线!K38</f>
        <v/>
      </c>
      <c r="G134" s="85">
        <f>困难主线!L38</f>
        <v/>
      </c>
      <c r="H134" s="85" t="n">
        <v>0.301899848982565</v>
      </c>
      <c r="I134" s="85">
        <f>困难主线!X38</f>
        <v/>
      </c>
      <c r="J134" s="85">
        <f>I134/H134</f>
        <v/>
      </c>
      <c r="K134" s="85" t="n">
        <v>61.9495352525504</v>
      </c>
      <c r="L134" s="85">
        <f>困难主线!Y38</f>
        <v/>
      </c>
      <c r="M134" s="85">
        <f>L134/K134</f>
        <v/>
      </c>
      <c r="N134" t="inlineStr">
        <is>
          <t>原源表节点</t>
        </is>
      </c>
    </row>
    <row r="135">
      <c r="A135" t="inlineStr">
        <is>
          <t>困难主线</t>
        </is>
      </c>
      <c r="B135" t="inlineStr">
        <is>
          <t>高难7-5</t>
        </is>
      </c>
      <c r="C135" t="n">
        <v>105</v>
      </c>
      <c r="D135" t="n">
        <v>193</v>
      </c>
      <c r="E135" t="n">
        <v>152</v>
      </c>
      <c r="F135" s="85">
        <f>困难主线!K39</f>
        <v/>
      </c>
      <c r="G135" s="85">
        <f>困难主线!L39</f>
        <v/>
      </c>
      <c r="H135" s="85" t="n">
        <v>0.298799172323277</v>
      </c>
      <c r="I135" s="85">
        <f>困难主线!X39</f>
        <v/>
      </c>
      <c r="J135" s="85">
        <f>I135/H135</f>
        <v/>
      </c>
      <c r="K135" s="85" t="n">
        <v>62.4721528003078</v>
      </c>
      <c r="L135" s="85">
        <f>困难主线!Y39</f>
        <v/>
      </c>
      <c r="M135" s="85">
        <f>L135/K135</f>
        <v/>
      </c>
      <c r="N135" t="inlineStr">
        <is>
          <t>原源表节点</t>
        </is>
      </c>
    </row>
    <row r="136">
      <c r="A136" t="inlineStr">
        <is>
          <t>角色经验</t>
        </is>
      </c>
      <c r="B136" t="inlineStr">
        <is>
          <t>难度1</t>
        </is>
      </c>
      <c r="C136" t="n">
        <v>16</v>
      </c>
      <c r="D136" t="n">
        <v>22</v>
      </c>
      <c r="E136" t="n">
        <v>20</v>
      </c>
      <c r="F136" s="85">
        <f>角色经验!K5</f>
        <v/>
      </c>
      <c r="G136" s="85">
        <f>角色经验!L5</f>
        <v/>
      </c>
      <c r="H136" s="85" t="n">
        <v>0.274567673786944</v>
      </c>
      <c r="I136" s="85">
        <f>角色经验!X5</f>
        <v/>
      </c>
      <c r="J136" s="85">
        <f>I136/H136</f>
        <v/>
      </c>
      <c r="K136" s="85" t="n">
        <v>51.6446316631681</v>
      </c>
      <c r="L136" s="85">
        <f>角色经验!Y5</f>
        <v/>
      </c>
      <c r="M136" s="85">
        <f>L136/K136</f>
        <v/>
      </c>
      <c r="N136" t="inlineStr">
        <is>
          <t>原源表节点</t>
        </is>
      </c>
    </row>
    <row r="137">
      <c r="A137" t="inlineStr">
        <is>
          <t>角色经验</t>
        </is>
      </c>
      <c r="B137" t="inlineStr">
        <is>
          <t>难度2</t>
        </is>
      </c>
      <c r="C137" t="n">
        <v>20</v>
      </c>
      <c r="D137" t="n">
        <v>26</v>
      </c>
      <c r="E137" t="n">
        <v>24</v>
      </c>
      <c r="F137" s="85">
        <f>角色经验!K6</f>
        <v/>
      </c>
      <c r="G137" s="85">
        <f>角色经验!L6</f>
        <v/>
      </c>
      <c r="H137" s="85" t="n">
        <v>0.242559115520248</v>
      </c>
      <c r="I137" s="85">
        <f>角色经验!X6</f>
        <v/>
      </c>
      <c r="J137" s="85">
        <f>I137/H137</f>
        <v/>
      </c>
      <c r="K137" s="85" t="n">
        <v>57.0614018696354</v>
      </c>
      <c r="L137" s="85">
        <f>角色经验!Y6</f>
        <v/>
      </c>
      <c r="M137" s="85">
        <f>L137/K137</f>
        <v/>
      </c>
      <c r="N137" t="inlineStr">
        <is>
          <t>原源表节点</t>
        </is>
      </c>
    </row>
    <row r="138">
      <c r="A138" t="inlineStr">
        <is>
          <t>角色经验</t>
        </is>
      </c>
      <c r="B138" t="inlineStr">
        <is>
          <t>难度3</t>
        </is>
      </c>
      <c r="C138" t="n">
        <v>33</v>
      </c>
      <c r="D138" t="n">
        <v>39</v>
      </c>
      <c r="E138" t="n">
        <v>31</v>
      </c>
      <c r="F138" s="85">
        <f>角色经验!K7</f>
        <v/>
      </c>
      <c r="G138" s="85">
        <f>角色经验!L7</f>
        <v/>
      </c>
      <c r="H138" s="85" t="n">
        <v>0.150228246578205</v>
      </c>
      <c r="I138" s="85">
        <f>角色经验!X7</f>
        <v/>
      </c>
      <c r="J138" s="85">
        <f>I138/H138</f>
        <v/>
      </c>
      <c r="K138" s="85" t="n">
        <v>85.3396123163832</v>
      </c>
      <c r="L138" s="85">
        <f>角色经验!Y7</f>
        <v/>
      </c>
      <c r="M138" s="85">
        <f>L138/K138</f>
        <v/>
      </c>
      <c r="N138" t="inlineStr">
        <is>
          <t>原源表节点</t>
        </is>
      </c>
    </row>
    <row r="139">
      <c r="A139" t="inlineStr">
        <is>
          <t>角色经验</t>
        </is>
      </c>
      <c r="B139" t="inlineStr">
        <is>
          <t>难度4</t>
        </is>
      </c>
      <c r="C139" t="n">
        <v>48</v>
      </c>
      <c r="D139" t="n">
        <v>49</v>
      </c>
      <c r="E139" t="n">
        <v>34</v>
      </c>
      <c r="F139" s="85">
        <f>角色经验!K8</f>
        <v/>
      </c>
      <c r="G139" s="85">
        <f>角色经验!L8</f>
        <v/>
      </c>
      <c r="H139" s="85" t="n">
        <v>0.0804460801256086</v>
      </c>
      <c r="I139" s="85">
        <f>角色经验!X8</f>
        <v/>
      </c>
      <c r="J139" s="85">
        <f>I139/H139</f>
        <v/>
      </c>
      <c r="K139" s="85" t="n">
        <v>141.396511460388</v>
      </c>
      <c r="L139" s="85">
        <f>角色经验!Y8</f>
        <v/>
      </c>
      <c r="M139" s="85">
        <f>L139/K139</f>
        <v/>
      </c>
      <c r="N139" t="inlineStr">
        <is>
          <t>原源表节点</t>
        </is>
      </c>
    </row>
    <row r="140">
      <c r="A140" t="inlineStr">
        <is>
          <t>角色经验</t>
        </is>
      </c>
      <c r="B140" t="inlineStr">
        <is>
          <t>难度5</t>
        </is>
      </c>
      <c r="C140" t="n">
        <v>64</v>
      </c>
      <c r="D140" t="n">
        <v>61</v>
      </c>
      <c r="E140" t="n">
        <v>42</v>
      </c>
      <c r="F140" s="85">
        <f>角色经验!K9</f>
        <v/>
      </c>
      <c r="G140" s="85">
        <f>角色经验!L9</f>
        <v/>
      </c>
      <c r="H140" s="85" t="n">
        <v>0.0630600139995946</v>
      </c>
      <c r="I140" s="85">
        <f>角色经验!X9</f>
        <v/>
      </c>
      <c r="J140" s="85">
        <f>I140/H140</f>
        <v/>
      </c>
      <c r="K140" s="85" t="n">
        <v>171.463770977079</v>
      </c>
      <c r="L140" s="85">
        <f>角色经验!Y9</f>
        <v/>
      </c>
      <c r="M140" s="85">
        <f>L140/K140</f>
        <v/>
      </c>
      <c r="N140" t="inlineStr">
        <is>
          <t>原源表节点</t>
        </is>
      </c>
    </row>
    <row r="141">
      <c r="A141" t="inlineStr">
        <is>
          <t>金币</t>
        </is>
      </c>
      <c r="B141" t="inlineStr">
        <is>
          <t>难度1</t>
        </is>
      </c>
      <c r="C141" t="n">
        <v>16</v>
      </c>
      <c r="D141" t="n">
        <v>22</v>
      </c>
      <c r="E141" t="n">
        <v>20</v>
      </c>
      <c r="F141" s="85">
        <f>金币!K5</f>
        <v/>
      </c>
      <c r="G141" s="85">
        <f>金币!L5</f>
        <v/>
      </c>
      <c r="H141" s="85" t="n">
        <v>0.274567673786944</v>
      </c>
      <c r="I141" s="85">
        <f>金币!X5</f>
        <v/>
      </c>
      <c r="J141" s="85">
        <f>I141/H141</f>
        <v/>
      </c>
      <c r="K141" s="85" t="n">
        <v>51.6446316631681</v>
      </c>
      <c r="L141" s="85">
        <f>金币!Y5</f>
        <v/>
      </c>
      <c r="M141" s="85">
        <f>L141/K141</f>
        <v/>
      </c>
      <c r="N141" t="inlineStr">
        <is>
          <t>原源表节点</t>
        </is>
      </c>
    </row>
    <row r="142">
      <c r="A142" t="inlineStr">
        <is>
          <t>金币</t>
        </is>
      </c>
      <c r="B142" t="inlineStr">
        <is>
          <t>难度2</t>
        </is>
      </c>
      <c r="C142" t="n">
        <v>20</v>
      </c>
      <c r="D142" t="n">
        <v>26</v>
      </c>
      <c r="E142" t="n">
        <v>24</v>
      </c>
      <c r="F142" s="85">
        <f>金币!K6</f>
        <v/>
      </c>
      <c r="G142" s="85">
        <f>金币!L6</f>
        <v/>
      </c>
      <c r="H142" s="85" t="n">
        <v>0.242559115520248</v>
      </c>
      <c r="I142" s="85">
        <f>金币!X6</f>
        <v/>
      </c>
      <c r="J142" s="85">
        <f>I142/H142</f>
        <v/>
      </c>
      <c r="K142" s="85" t="n">
        <v>57.0614018696354</v>
      </c>
      <c r="L142" s="85">
        <f>金币!Y6</f>
        <v/>
      </c>
      <c r="M142" s="85">
        <f>L142/K142</f>
        <v/>
      </c>
      <c r="N142" t="inlineStr">
        <is>
          <t>原源表节点</t>
        </is>
      </c>
    </row>
    <row r="143">
      <c r="A143" t="inlineStr">
        <is>
          <t>金币</t>
        </is>
      </c>
      <c r="B143" t="inlineStr">
        <is>
          <t>难度3</t>
        </is>
      </c>
      <c r="C143" t="n">
        <v>33</v>
      </c>
      <c r="D143" t="n">
        <v>39</v>
      </c>
      <c r="E143" t="n">
        <v>31</v>
      </c>
      <c r="F143" s="85">
        <f>金币!K7</f>
        <v/>
      </c>
      <c r="G143" s="85">
        <f>金币!L7</f>
        <v/>
      </c>
      <c r="H143" s="85" t="n">
        <v>0.150228246578205</v>
      </c>
      <c r="I143" s="85">
        <f>金币!X7</f>
        <v/>
      </c>
      <c r="J143" s="85">
        <f>I143/H143</f>
        <v/>
      </c>
      <c r="K143" s="85" t="n">
        <v>85.3396123163832</v>
      </c>
      <c r="L143" s="85">
        <f>金币!Y7</f>
        <v/>
      </c>
      <c r="M143" s="85">
        <f>L143/K143</f>
        <v/>
      </c>
      <c r="N143" t="inlineStr">
        <is>
          <t>原源表节点</t>
        </is>
      </c>
    </row>
    <row r="144">
      <c r="A144" t="inlineStr">
        <is>
          <t>金币</t>
        </is>
      </c>
      <c r="B144" t="inlineStr">
        <is>
          <t>难度4</t>
        </is>
      </c>
      <c r="C144" t="n">
        <v>48</v>
      </c>
      <c r="D144" t="n">
        <v>49</v>
      </c>
      <c r="E144" t="n">
        <v>34</v>
      </c>
      <c r="F144" s="85">
        <f>金币!K8</f>
        <v/>
      </c>
      <c r="G144" s="85">
        <f>金币!L8</f>
        <v/>
      </c>
      <c r="H144" s="85" t="n">
        <v>0.0804460801256086</v>
      </c>
      <c r="I144" s="85">
        <f>金币!X8</f>
        <v/>
      </c>
      <c r="J144" s="85">
        <f>I144/H144</f>
        <v/>
      </c>
      <c r="K144" s="85" t="n">
        <v>141.396511460388</v>
      </c>
      <c r="L144" s="85">
        <f>金币!Y8</f>
        <v/>
      </c>
      <c r="M144" s="85">
        <f>L144/K144</f>
        <v/>
      </c>
      <c r="N144" t="inlineStr">
        <is>
          <t>原源表节点</t>
        </is>
      </c>
    </row>
    <row r="145">
      <c r="A145" t="inlineStr">
        <is>
          <t>金币</t>
        </is>
      </c>
      <c r="B145" t="inlineStr">
        <is>
          <t>难度5</t>
        </is>
      </c>
      <c r="C145" t="n">
        <v>64</v>
      </c>
      <c r="D145" t="n">
        <v>61</v>
      </c>
      <c r="E145" t="n">
        <v>42</v>
      </c>
      <c r="F145" s="85">
        <f>金币!K9</f>
        <v/>
      </c>
      <c r="G145" s="85">
        <f>金币!L9</f>
        <v/>
      </c>
      <c r="H145" s="85" t="n">
        <v>0.0630600139995946</v>
      </c>
      <c r="I145" s="85">
        <f>金币!X9</f>
        <v/>
      </c>
      <c r="J145" s="85">
        <f>I145/H145</f>
        <v/>
      </c>
      <c r="K145" s="85" t="n">
        <v>171.463770977079</v>
      </c>
      <c r="L145" s="85">
        <f>金币!Y9</f>
        <v/>
      </c>
      <c r="M145" s="85">
        <f>L145/K145</f>
        <v/>
      </c>
      <c r="N145" t="inlineStr">
        <is>
          <t>原源表节点</t>
        </is>
      </c>
    </row>
    <row r="146">
      <c r="A146" t="inlineStr">
        <is>
          <t>收容经验</t>
        </is>
      </c>
      <c r="B146" t="inlineStr">
        <is>
          <t>难度1</t>
        </is>
      </c>
      <c r="C146" t="n">
        <v>16</v>
      </c>
      <c r="D146" t="n">
        <v>22</v>
      </c>
      <c r="E146" t="n">
        <v>20</v>
      </c>
      <c r="F146" s="85">
        <f>收容经验!K5</f>
        <v/>
      </c>
      <c r="G146" s="85">
        <f>收容经验!L5</f>
        <v/>
      </c>
      <c r="H146" s="85" t="n">
        <v>0.274567673786944</v>
      </c>
      <c r="I146" s="85">
        <f>收容经验!X5</f>
        <v/>
      </c>
      <c r="J146" s="85">
        <f>I146/H146</f>
        <v/>
      </c>
      <c r="K146" s="85" t="n">
        <v>51.6446316631681</v>
      </c>
      <c r="L146" s="85">
        <f>收容经验!Y5</f>
        <v/>
      </c>
      <c r="M146" s="85">
        <f>L146/K146</f>
        <v/>
      </c>
      <c r="N146" t="inlineStr">
        <is>
          <t>原源表节点</t>
        </is>
      </c>
    </row>
    <row r="147">
      <c r="A147" t="inlineStr">
        <is>
          <t>收容经验</t>
        </is>
      </c>
      <c r="B147" t="inlineStr">
        <is>
          <t>难度2</t>
        </is>
      </c>
      <c r="C147" t="n">
        <v>20</v>
      </c>
      <c r="D147" t="n">
        <v>26</v>
      </c>
      <c r="E147" t="n">
        <v>24</v>
      </c>
      <c r="F147" s="85">
        <f>收容经验!K6</f>
        <v/>
      </c>
      <c r="G147" s="85">
        <f>收容经验!L6</f>
        <v/>
      </c>
      <c r="H147" s="85" t="n">
        <v>0.242559115520248</v>
      </c>
      <c r="I147" s="85">
        <f>收容经验!X6</f>
        <v/>
      </c>
      <c r="J147" s="85">
        <f>I147/H147</f>
        <v/>
      </c>
      <c r="K147" s="85" t="n">
        <v>57.0614018696354</v>
      </c>
      <c r="L147" s="85">
        <f>收容经验!Y6</f>
        <v/>
      </c>
      <c r="M147" s="85">
        <f>L147/K147</f>
        <v/>
      </c>
      <c r="N147" t="inlineStr">
        <is>
          <t>原源表节点</t>
        </is>
      </c>
    </row>
    <row r="148">
      <c r="A148" t="inlineStr">
        <is>
          <t>收容经验</t>
        </is>
      </c>
      <c r="B148" t="inlineStr">
        <is>
          <t>难度3</t>
        </is>
      </c>
      <c r="C148" t="n">
        <v>33</v>
      </c>
      <c r="D148" t="n">
        <v>39</v>
      </c>
      <c r="E148" t="n">
        <v>31</v>
      </c>
      <c r="F148" s="85">
        <f>收容经验!K7</f>
        <v/>
      </c>
      <c r="G148" s="85">
        <f>收容经验!L7</f>
        <v/>
      </c>
      <c r="H148" s="85" t="n">
        <v>0.150228246578205</v>
      </c>
      <c r="I148" s="85">
        <f>收容经验!X7</f>
        <v/>
      </c>
      <c r="J148" s="85">
        <f>I148/H148</f>
        <v/>
      </c>
      <c r="K148" s="85" t="n">
        <v>85.3396123163832</v>
      </c>
      <c r="L148" s="85">
        <f>收容经验!Y7</f>
        <v/>
      </c>
      <c r="M148" s="85">
        <f>L148/K148</f>
        <v/>
      </c>
      <c r="N148" t="inlineStr">
        <is>
          <t>原源表节点</t>
        </is>
      </c>
    </row>
    <row r="149">
      <c r="A149" t="inlineStr">
        <is>
          <t>收容经验</t>
        </is>
      </c>
      <c r="B149" t="inlineStr">
        <is>
          <t>难度4</t>
        </is>
      </c>
      <c r="C149" t="n">
        <v>48</v>
      </c>
      <c r="D149" t="n">
        <v>49</v>
      </c>
      <c r="E149" t="n">
        <v>34</v>
      </c>
      <c r="F149" s="85">
        <f>收容经验!K8</f>
        <v/>
      </c>
      <c r="G149" s="85">
        <f>收容经验!L8</f>
        <v/>
      </c>
      <c r="H149" s="85" t="n">
        <v>0.0804460801256086</v>
      </c>
      <c r="I149" s="85">
        <f>收容经验!X8</f>
        <v/>
      </c>
      <c r="J149" s="85">
        <f>I149/H149</f>
        <v/>
      </c>
      <c r="K149" s="85" t="n">
        <v>141.396511460388</v>
      </c>
      <c r="L149" s="85">
        <f>收容经验!Y8</f>
        <v/>
      </c>
      <c r="M149" s="85">
        <f>L149/K149</f>
        <v/>
      </c>
      <c r="N149" t="inlineStr">
        <is>
          <t>原源表节点</t>
        </is>
      </c>
    </row>
    <row r="150">
      <c r="A150" t="inlineStr">
        <is>
          <t>收容经验</t>
        </is>
      </c>
      <c r="B150" t="inlineStr">
        <is>
          <t>难度5</t>
        </is>
      </c>
      <c r="C150" t="n">
        <v>64</v>
      </c>
      <c r="D150" t="n">
        <v>61</v>
      </c>
      <c r="E150" t="n">
        <v>42</v>
      </c>
      <c r="F150" s="85">
        <f>收容经验!K9</f>
        <v/>
      </c>
      <c r="G150" s="85">
        <f>收容经验!L9</f>
        <v/>
      </c>
      <c r="H150" s="85" t="n">
        <v>0.0630600139995946</v>
      </c>
      <c r="I150" s="85">
        <f>收容经验!X9</f>
        <v/>
      </c>
      <c r="J150" s="85">
        <f>I150/H150</f>
        <v/>
      </c>
      <c r="K150" s="85" t="n">
        <v>171.463770977079</v>
      </c>
      <c r="L150" s="85">
        <f>收容经验!Y9</f>
        <v/>
      </c>
      <c r="M150" s="85">
        <f>L150/K150</f>
        <v/>
      </c>
      <c r="N150" t="inlineStr">
        <is>
          <t>原源表节点</t>
        </is>
      </c>
    </row>
    <row r="151">
      <c r="A151" t="inlineStr">
        <is>
          <t>旅券</t>
        </is>
      </c>
      <c r="B151" t="inlineStr">
        <is>
          <t>难度1</t>
        </is>
      </c>
      <c r="C151" t="n">
        <v>100</v>
      </c>
      <c r="D151" t="n">
        <v>129</v>
      </c>
      <c r="E151" t="n">
        <v>102</v>
      </c>
      <c r="F151" s="85">
        <f>旅券!K5</f>
        <v/>
      </c>
      <c r="G151" s="85">
        <f>旅券!L5</f>
        <v/>
      </c>
      <c r="H151" s="85" t="n">
        <v>11.2614747333939</v>
      </c>
      <c r="I151" s="85">
        <f>旅券!X5</f>
        <v/>
      </c>
      <c r="J151" s="85">
        <f>I151/H151</f>
        <v/>
      </c>
      <c r="K151" s="85" t="n">
        <v>119.881797347347</v>
      </c>
      <c r="L151" s="85">
        <f>旅券!Y5</f>
        <v/>
      </c>
      <c r="M151" s="85">
        <f>L151/K151</f>
        <v/>
      </c>
      <c r="N151" t="inlineStr">
        <is>
          <t>原源表节点</t>
        </is>
      </c>
    </row>
    <row r="152">
      <c r="A152" t="inlineStr">
        <is>
          <t>旅券</t>
        </is>
      </c>
      <c r="B152" t="inlineStr">
        <is>
          <t>难度2</t>
        </is>
      </c>
      <c r="C152" t="n">
        <v>112</v>
      </c>
      <c r="D152" t="n">
        <v>166</v>
      </c>
      <c r="E152" t="n">
        <v>135</v>
      </c>
      <c r="F152" s="85">
        <f>旅券!K6</f>
        <v/>
      </c>
      <c r="G152" s="85">
        <f>旅券!L6</f>
        <v/>
      </c>
      <c r="H152" s="85" t="n">
        <v>16.9465096432986</v>
      </c>
      <c r="I152" s="85">
        <f>旅券!X6</f>
        <v/>
      </c>
      <c r="J152" s="85">
        <f>I152/H152</f>
        <v/>
      </c>
      <c r="K152" s="85" t="n">
        <v>94.078580035778</v>
      </c>
      <c r="L152" s="85">
        <f>旅券!Y6</f>
        <v/>
      </c>
      <c r="M152" s="85">
        <f>L152/K152</f>
        <v/>
      </c>
      <c r="N152" t="inlineStr">
        <is>
          <t>原源表节点</t>
        </is>
      </c>
    </row>
    <row r="153">
      <c r="A153" t="inlineStr">
        <is>
          <t>旅券</t>
        </is>
      </c>
      <c r="B153" t="inlineStr">
        <is>
          <t>难度3</t>
        </is>
      </c>
      <c r="C153" t="n">
        <v>126</v>
      </c>
      <c r="D153" t="n">
        <v>204</v>
      </c>
      <c r="E153" t="n">
        <v>172</v>
      </c>
      <c r="F153" s="85">
        <f>旅券!K7</f>
        <v/>
      </c>
      <c r="G153" s="85">
        <f>旅券!L7</f>
        <v/>
      </c>
      <c r="H153" s="85" t="n">
        <v>24.7183906230985</v>
      </c>
      <c r="I153" s="85">
        <f>旅券!X7</f>
        <v/>
      </c>
      <c r="J153" s="85">
        <f>I153/H153</f>
        <v/>
      </c>
      <c r="K153" s="85" t="n">
        <v>75.38771592762311</v>
      </c>
      <c r="L153" s="85">
        <f>旅券!Y7</f>
        <v/>
      </c>
      <c r="M153" s="85">
        <f>L153/K153</f>
        <v/>
      </c>
      <c r="N153" t="inlineStr">
        <is>
          <t>原源表节点</t>
        </is>
      </c>
    </row>
    <row r="154">
      <c r="A154" t="inlineStr">
        <is>
          <t>旅券</t>
        </is>
      </c>
      <c r="B154" t="inlineStr">
        <is>
          <t>难度4</t>
        </is>
      </c>
      <c r="C154" t="n">
        <v>142</v>
      </c>
      <c r="D154" t="n">
        <v>230</v>
      </c>
      <c r="E154" t="n">
        <v>199</v>
      </c>
      <c r="F154" s="85">
        <f>旅券!K8</f>
        <v/>
      </c>
      <c r="G154" s="85">
        <f>旅券!L8</f>
        <v/>
      </c>
      <c r="H154" s="85" t="n">
        <v>29.797864348546</v>
      </c>
      <c r="I154" s="85">
        <f>旅券!X8</f>
        <v/>
      </c>
      <c r="J154" s="85">
        <f>I154/H154</f>
        <v/>
      </c>
      <c r="K154" s="85" t="n">
        <v>68.10748099101581</v>
      </c>
      <c r="L154" s="85">
        <f>旅券!Y8</f>
        <v/>
      </c>
      <c r="M154" s="85">
        <f>L154/K154</f>
        <v/>
      </c>
      <c r="N154" t="inlineStr">
        <is>
          <t>原源表节点</t>
        </is>
      </c>
    </row>
    <row r="155">
      <c r="A155" t="inlineStr">
        <is>
          <t>旅券</t>
        </is>
      </c>
      <c r="B155" t="inlineStr">
        <is>
          <t>难度5</t>
        </is>
      </c>
      <c r="C155" t="n">
        <v>160</v>
      </c>
      <c r="D155" t="n">
        <v>248</v>
      </c>
      <c r="E155" t="n">
        <v>220</v>
      </c>
      <c r="F155" s="85">
        <f>旅券!K9</f>
        <v/>
      </c>
      <c r="G155" s="85">
        <f>旅券!L9</f>
        <v/>
      </c>
      <c r="H155" s="85" t="n">
        <v>32.8450520552988</v>
      </c>
      <c r="I155" s="85">
        <f>旅券!X9</f>
        <v/>
      </c>
      <c r="J155" s="85">
        <f>I155/H155</f>
        <v/>
      </c>
      <c r="K155" s="85" t="n">
        <v>64.9075357918272</v>
      </c>
      <c r="L155" s="85">
        <f>旅券!Y9</f>
        <v/>
      </c>
      <c r="M155" s="85">
        <f>L155/K155</f>
        <v/>
      </c>
      <c r="N155" t="inlineStr">
        <is>
          <t>原源表节点</t>
        </is>
      </c>
    </row>
    <row r="156">
      <c r="A156" t="inlineStr">
        <is>
          <t>旅券</t>
        </is>
      </c>
      <c r="B156" t="inlineStr">
        <is>
          <t>难度6</t>
        </is>
      </c>
      <c r="C156" t="n">
        <v>180</v>
      </c>
      <c r="D156" t="n">
        <v>264</v>
      </c>
      <c r="E156" t="n">
        <v>241</v>
      </c>
      <c r="F156" s="85">
        <f>旅券!K10</f>
        <v/>
      </c>
      <c r="G156" s="85">
        <f>旅券!L10</f>
        <v/>
      </c>
      <c r="H156" s="85" t="n">
        <v>36.3144847569017</v>
      </c>
      <c r="I156" s="85">
        <f>旅券!X10</f>
        <v/>
      </c>
      <c r="J156" s="85">
        <f>I156/H156</f>
        <v/>
      </c>
      <c r="K156" s="85" t="n">
        <v>61.5700245540108</v>
      </c>
      <c r="L156" s="85">
        <f>旅券!Y10</f>
        <v/>
      </c>
      <c r="M156" s="85">
        <f>L156/K156</f>
        <v/>
      </c>
      <c r="N156" t="inlineStr">
        <is>
          <t>原源表节点</t>
        </is>
      </c>
    </row>
    <row r="157">
      <c r="A157" t="inlineStr">
        <is>
          <t>旅券</t>
        </is>
      </c>
      <c r="B157" t="inlineStr">
        <is>
          <t>难度7</t>
        </is>
      </c>
      <c r="C157" t="n">
        <v>202</v>
      </c>
      <c r="D157" t="n">
        <v>275</v>
      </c>
      <c r="E157" t="n">
        <v>258</v>
      </c>
      <c r="F157" s="85">
        <f>旅券!K11</f>
        <v/>
      </c>
      <c r="G157" s="85">
        <f>旅券!L11</f>
        <v/>
      </c>
      <c r="H157" s="85" t="n">
        <v>38.6196901635103</v>
      </c>
      <c r="I157" s="85">
        <f>旅券!X11</f>
        <v/>
      </c>
      <c r="J157" s="85">
        <f>I157/H157</f>
        <v/>
      </c>
      <c r="K157" s="85" t="n">
        <v>59.698356053557</v>
      </c>
      <c r="L157" s="85">
        <f>旅券!Y11</f>
        <v/>
      </c>
      <c r="M157" s="85">
        <f>L157/K157</f>
        <v/>
      </c>
      <c r="N157" t="inlineStr">
        <is>
          <t>原源表节点</t>
        </is>
      </c>
    </row>
    <row r="158">
      <c r="A158" t="inlineStr">
        <is>
          <t>旅券</t>
        </is>
      </c>
      <c r="B158" t="inlineStr">
        <is>
          <t>难度8</t>
        </is>
      </c>
      <c r="C158" t="n">
        <v>226</v>
      </c>
      <c r="D158" t="n">
        <v>284</v>
      </c>
      <c r="E158" t="n">
        <v>275</v>
      </c>
      <c r="F158" s="85">
        <f>旅券!K12</f>
        <v/>
      </c>
      <c r="G158" s="85">
        <f>旅券!L12</f>
        <v/>
      </c>
      <c r="H158" s="85" t="n">
        <v>40.9650942231664</v>
      </c>
      <c r="I158" s="85">
        <f>旅券!X12</f>
        <v/>
      </c>
      <c r="J158" s="85">
        <f>I158/H158</f>
        <v/>
      </c>
      <c r="K158" s="85" t="n">
        <v>57.8662872740313</v>
      </c>
      <c r="L158" s="85">
        <f>旅券!Y12</f>
        <v/>
      </c>
      <c r="M158" s="85">
        <f>L158/K158</f>
        <v/>
      </c>
      <c r="N158" t="inlineStr">
        <is>
          <t>原源表节点</t>
        </is>
      </c>
    </row>
    <row r="159">
      <c r="A159" t="inlineStr">
        <is>
          <t>旅券</t>
        </is>
      </c>
      <c r="B159" t="inlineStr">
        <is>
          <t>难度9</t>
        </is>
      </c>
      <c r="C159" t="n">
        <v>252</v>
      </c>
      <c r="D159" t="n">
        <v>292</v>
      </c>
      <c r="E159" t="n">
        <v>292</v>
      </c>
      <c r="F159" s="85">
        <f>旅券!K13</f>
        <v/>
      </c>
      <c r="G159" s="85">
        <f>旅券!L13</f>
        <v/>
      </c>
      <c r="H159" s="85" t="n">
        <v>43.6676854515511</v>
      </c>
      <c r="I159" s="85">
        <f>旅券!X13</f>
        <v/>
      </c>
      <c r="J159" s="85">
        <f>I159/H159</f>
        <v/>
      </c>
      <c r="K159" s="85" t="n">
        <v>55.8366616506035</v>
      </c>
      <c r="L159" s="85">
        <f>旅券!Y13</f>
        <v/>
      </c>
      <c r="M159" s="85">
        <f>L159/K159</f>
        <v/>
      </c>
      <c r="N159" t="inlineStr">
        <is>
          <t>原源表节点</t>
        </is>
      </c>
    </row>
    <row r="160">
      <c r="A160" t="inlineStr">
        <is>
          <t>旅券</t>
        </is>
      </c>
      <c r="B160" t="inlineStr">
        <is>
          <t>难度10</t>
        </is>
      </c>
      <c r="C160" t="n">
        <v>279</v>
      </c>
      <c r="D160" t="n">
        <v>303</v>
      </c>
      <c r="E160" t="n">
        <v>312</v>
      </c>
      <c r="F160" s="85">
        <f>旅券!K14</f>
        <v/>
      </c>
      <c r="G160" s="85">
        <f>旅券!L14</f>
        <v/>
      </c>
      <c r="H160" s="85" t="n">
        <v>48.9399418516817</v>
      </c>
      <c r="I160" s="85">
        <f>旅券!X14</f>
        <v/>
      </c>
      <c r="J160" s="85">
        <f>I160/H160</f>
        <v/>
      </c>
      <c r="K160" s="85" t="n">
        <v>52.1810319673369</v>
      </c>
      <c r="L160" s="85">
        <f>旅券!Y14</f>
        <v/>
      </c>
      <c r="M160" s="85">
        <f>L160/K160</f>
        <v/>
      </c>
      <c r="N160" t="inlineStr">
        <is>
          <t>原源表节点</t>
        </is>
      </c>
    </row>
    <row r="161">
      <c r="A161" t="inlineStr">
        <is>
          <t>映射</t>
        </is>
      </c>
      <c r="B161" t="inlineStr">
        <is>
          <t>难度1</t>
        </is>
      </c>
      <c r="C161" t="n">
        <v>24</v>
      </c>
      <c r="D161" t="n">
        <v>26</v>
      </c>
      <c r="E161" t="n">
        <v>23</v>
      </c>
      <c r="F161" s="85">
        <f>映射!K5</f>
        <v/>
      </c>
      <c r="G161" s="85">
        <f>映射!L5</f>
        <v/>
      </c>
      <c r="H161" s="85" t="n">
        <v>7.08141933730498</v>
      </c>
      <c r="I161" s="85">
        <f>映射!X5</f>
        <v/>
      </c>
      <c r="J161" s="85">
        <f>I161/H161</f>
        <v/>
      </c>
      <c r="K161" s="85" t="n">
        <v>77.6391325323922</v>
      </c>
      <c r="L161" s="85">
        <f>映射!Y5</f>
        <v/>
      </c>
      <c r="M161" s="85">
        <f>L161/K161</f>
        <v/>
      </c>
      <c r="N161" t="inlineStr">
        <is>
          <t>原源表节点</t>
        </is>
      </c>
    </row>
    <row r="162">
      <c r="A162" t="inlineStr">
        <is>
          <t>映射</t>
        </is>
      </c>
      <c r="B162" t="inlineStr">
        <is>
          <t>难度2</t>
        </is>
      </c>
      <c r="C162" t="n">
        <v>29</v>
      </c>
      <c r="D162" t="n">
        <v>35</v>
      </c>
      <c r="E162" t="n">
        <v>30</v>
      </c>
      <c r="F162" s="85">
        <f>映射!K6</f>
        <v/>
      </c>
      <c r="G162" s="85">
        <f>映射!L6</f>
        <v/>
      </c>
      <c r="H162" s="85" t="n">
        <v>7.34408426601762</v>
      </c>
      <c r="I162" s="85">
        <f>映射!X6</f>
        <v/>
      </c>
      <c r="J162" s="85">
        <f>I162/H162</f>
        <v/>
      </c>
      <c r="K162" s="85" t="n">
        <v>73.9678171876445</v>
      </c>
      <c r="L162" s="85">
        <f>映射!Y6</f>
        <v/>
      </c>
      <c r="M162" s="85">
        <f>L162/K162</f>
        <v/>
      </c>
      <c r="N162" t="inlineStr">
        <is>
          <t>原源表节点</t>
        </is>
      </c>
    </row>
    <row r="163">
      <c r="A163" t="inlineStr">
        <is>
          <t>映射</t>
        </is>
      </c>
      <c r="B163" t="inlineStr">
        <is>
          <t>难度3</t>
        </is>
      </c>
      <c r="C163" t="n">
        <v>36</v>
      </c>
      <c r="D163" t="n">
        <v>45</v>
      </c>
      <c r="E163" t="n">
        <v>33</v>
      </c>
      <c r="F163" s="85">
        <f>映射!K7</f>
        <v/>
      </c>
      <c r="G163" s="85">
        <f>映射!L7</f>
        <v/>
      </c>
      <c r="H163" s="85" t="n">
        <v>5.94874333907198</v>
      </c>
      <c r="I163" s="85">
        <f>映射!X7</f>
        <v/>
      </c>
      <c r="J163" s="85">
        <f>I163/H163</f>
        <v/>
      </c>
      <c r="K163" s="85" t="n">
        <v>86.8889382996143</v>
      </c>
      <c r="L163" s="85">
        <f>映射!Y7</f>
        <v/>
      </c>
      <c r="M163" s="85">
        <f>L163/K163</f>
        <v/>
      </c>
      <c r="N163" t="inlineStr">
        <is>
          <t>原源表节点</t>
        </is>
      </c>
    </row>
    <row r="164">
      <c r="A164" t="inlineStr">
        <is>
          <t>映射</t>
        </is>
      </c>
      <c r="B164" t="inlineStr">
        <is>
          <t>难度4</t>
        </is>
      </c>
      <c r="C164" t="n">
        <v>43</v>
      </c>
      <c r="D164" t="n">
        <v>54</v>
      </c>
      <c r="E164" t="n">
        <v>38</v>
      </c>
      <c r="F164" s="85">
        <f>映射!K8</f>
        <v/>
      </c>
      <c r="G164" s="85">
        <f>映射!L8</f>
        <v/>
      </c>
      <c r="H164" s="85" t="n">
        <v>5.0856270243093</v>
      </c>
      <c r="I164" s="85">
        <f>映射!X8</f>
        <v/>
      </c>
      <c r="J164" s="85">
        <f>I164/H164</f>
        <v/>
      </c>
      <c r="K164" s="85" t="n">
        <v>99.581460725854</v>
      </c>
      <c r="L164" s="85">
        <f>映射!Y8</f>
        <v/>
      </c>
      <c r="M164" s="85">
        <f>L164/K164</f>
        <v/>
      </c>
      <c r="N164" t="inlineStr">
        <is>
          <t>原源表节点</t>
        </is>
      </c>
    </row>
    <row r="165">
      <c r="A165" t="inlineStr">
        <is>
          <t>映射</t>
        </is>
      </c>
      <c r="B165" t="inlineStr">
        <is>
          <t>难度5</t>
        </is>
      </c>
      <c r="C165" t="n">
        <v>50</v>
      </c>
      <c r="D165" t="n">
        <v>63</v>
      </c>
      <c r="E165" t="n">
        <v>46</v>
      </c>
      <c r="F165" s="85">
        <f>映射!K9</f>
        <v/>
      </c>
      <c r="G165" s="85">
        <f>映射!L9</f>
        <v/>
      </c>
      <c r="H165" s="85" t="n">
        <v>4.72735459267961</v>
      </c>
      <c r="I165" s="85">
        <f>映射!X9</f>
        <v/>
      </c>
      <c r="J165" s="85">
        <f>I165/H165</f>
        <v/>
      </c>
      <c r="K165" s="85" t="n">
        <v>107.36110137807</v>
      </c>
      <c r="L165" s="85">
        <f>映射!Y9</f>
        <v/>
      </c>
      <c r="M165" s="85">
        <f>L165/K165</f>
        <v/>
      </c>
      <c r="N165" t="inlineStr">
        <is>
          <t>原源表节点</t>
        </is>
      </c>
    </row>
    <row r="166">
      <c r="A166" t="inlineStr">
        <is>
          <t>映射</t>
        </is>
      </c>
      <c r="B166" t="inlineStr">
        <is>
          <t>难度6</t>
        </is>
      </c>
      <c r="C166" t="n">
        <v>58</v>
      </c>
      <c r="D166" t="n">
        <v>73</v>
      </c>
      <c r="E166" t="n">
        <v>55</v>
      </c>
      <c r="F166" s="85">
        <f>映射!K10</f>
        <v/>
      </c>
      <c r="G166" s="85">
        <f>映射!L10</f>
        <v/>
      </c>
      <c r="H166" s="85" t="n">
        <v>4.59028162845401</v>
      </c>
      <c r="I166" s="85">
        <f>映射!X10</f>
        <v/>
      </c>
      <c r="J166" s="85">
        <f>I166/H166</f>
        <v/>
      </c>
      <c r="K166" s="85" t="n">
        <v>112.372800874269</v>
      </c>
      <c r="L166" s="85">
        <f>映射!Y10</f>
        <v/>
      </c>
      <c r="M166" s="85">
        <f>L166/K166</f>
        <v/>
      </c>
      <c r="N166" t="inlineStr">
        <is>
          <t>原源表节点</t>
        </is>
      </c>
    </row>
    <row r="167">
      <c r="A167" t="inlineStr">
        <is>
          <t>映射</t>
        </is>
      </c>
      <c r="B167" t="inlineStr">
        <is>
          <t>难度7</t>
        </is>
      </c>
      <c r="C167" t="n">
        <v>66</v>
      </c>
      <c r="D167" t="n">
        <v>82</v>
      </c>
      <c r="E167" t="n">
        <v>62</v>
      </c>
      <c r="F167" s="85">
        <f>映射!K11</f>
        <v/>
      </c>
      <c r="G167" s="85">
        <f>映射!L11</f>
        <v/>
      </c>
      <c r="H167" s="85" t="n">
        <v>4.44112923777848</v>
      </c>
      <c r="I167" s="85">
        <f>映射!X11</f>
        <v/>
      </c>
      <c r="J167" s="85">
        <f>I167/H167</f>
        <v/>
      </c>
      <c r="K167" s="85" t="n">
        <v>118.895449910463</v>
      </c>
      <c r="L167" s="85">
        <f>映射!Y11</f>
        <v/>
      </c>
      <c r="M167" s="85">
        <f>L167/K167</f>
        <v/>
      </c>
      <c r="N167" t="inlineStr">
        <is>
          <t>原源表节点</t>
        </is>
      </c>
    </row>
    <row r="168">
      <c r="A168" t="inlineStr">
        <is>
          <t>映射</t>
        </is>
      </c>
      <c r="B168" t="inlineStr">
        <is>
          <t>难度8</t>
        </is>
      </c>
      <c r="C168" t="n">
        <v>74</v>
      </c>
      <c r="D168" t="n">
        <v>91</v>
      </c>
      <c r="E168" t="n">
        <v>69</v>
      </c>
      <c r="F168" s="85">
        <f>映射!K12</f>
        <v/>
      </c>
      <c r="G168" s="85">
        <f>映射!L12</f>
        <v/>
      </c>
      <c r="H168" s="85" t="n">
        <v>4.24656736743334</v>
      </c>
      <c r="I168" s="85">
        <f>映射!X12</f>
        <v/>
      </c>
      <c r="J168" s="85">
        <f>I168/H168</f>
        <v/>
      </c>
      <c r="K168" s="85" t="n">
        <v>129.489657274692</v>
      </c>
      <c r="L168" s="85">
        <f>映射!Y12</f>
        <v/>
      </c>
      <c r="M168" s="85">
        <f>L168/K168</f>
        <v/>
      </c>
      <c r="N168" t="inlineStr">
        <is>
          <t>原源表节点</t>
        </is>
      </c>
    </row>
    <row r="169">
      <c r="A169" t="inlineStr">
        <is>
          <t>映射</t>
        </is>
      </c>
      <c r="B169" t="inlineStr">
        <is>
          <t>难度9</t>
        </is>
      </c>
      <c r="C169" t="n">
        <v>82</v>
      </c>
      <c r="D169" t="n">
        <v>100</v>
      </c>
      <c r="E169" t="n">
        <v>77</v>
      </c>
      <c r="F169" s="85">
        <f>映射!K13</f>
        <v/>
      </c>
      <c r="G169" s="85">
        <f>映射!L13</f>
        <v/>
      </c>
      <c r="H169" s="85" t="n">
        <v>4.24454258290307</v>
      </c>
      <c r="I169" s="85">
        <f>映射!X13</f>
        <v/>
      </c>
      <c r="J169" s="85">
        <f>I169/H169</f>
        <v/>
      </c>
      <c r="K169" s="85" t="n">
        <v>135.161913509016</v>
      </c>
      <c r="L169" s="85">
        <f>映射!Y13</f>
        <v/>
      </c>
      <c r="M169" s="85">
        <f>L169/K169</f>
        <v/>
      </c>
      <c r="N169" t="inlineStr">
        <is>
          <t>原源表节点</t>
        </is>
      </c>
    </row>
    <row r="170">
      <c r="A170" t="inlineStr">
        <is>
          <t>映射</t>
        </is>
      </c>
      <c r="B170" t="inlineStr">
        <is>
          <t>难度10</t>
        </is>
      </c>
      <c r="C170" t="n">
        <v>90</v>
      </c>
      <c r="D170" t="n">
        <v>110</v>
      </c>
      <c r="E170" t="n">
        <v>85</v>
      </c>
      <c r="F170" s="85">
        <f>映射!K14</f>
        <v/>
      </c>
      <c r="G170" s="85">
        <f>映射!L14</f>
        <v/>
      </c>
      <c r="H170" s="85" t="n">
        <v>4.47557637349738</v>
      </c>
      <c r="I170" s="85">
        <f>映射!X14</f>
        <v/>
      </c>
      <c r="J170" s="85">
        <f>I170/H170</f>
        <v/>
      </c>
      <c r="K170" s="85" t="n">
        <v>134.938938204297</v>
      </c>
      <c r="L170" s="85">
        <f>映射!Y14</f>
        <v/>
      </c>
      <c r="M170" s="85">
        <f>L170/K170</f>
        <v/>
      </c>
      <c r="N170" t="inlineStr">
        <is>
          <t>原源表节点</t>
        </is>
      </c>
    </row>
    <row r="171">
      <c r="A171" t="inlineStr">
        <is>
          <t>映射</t>
        </is>
      </c>
      <c r="B171" t="inlineStr">
        <is>
          <t>难度11</t>
        </is>
      </c>
      <c r="C171" t="n">
        <v>99</v>
      </c>
      <c r="D171" t="n">
        <v>119</v>
      </c>
      <c r="E171" t="n">
        <v>93</v>
      </c>
      <c r="F171" s="85">
        <f>映射!K15</f>
        <v/>
      </c>
      <c r="G171" s="85">
        <f>映射!L15</f>
        <v/>
      </c>
      <c r="H171" s="85" t="n">
        <v>4.63295873502986</v>
      </c>
      <c r="I171" s="85">
        <f>映射!X15</f>
        <v/>
      </c>
      <c r="J171" s="85">
        <f>I171/H171</f>
        <v/>
      </c>
      <c r="K171" s="85" t="n">
        <v>135.954619957299</v>
      </c>
      <c r="L171" s="85">
        <f>映射!Y15</f>
        <v/>
      </c>
      <c r="M171" s="85">
        <f>L171/K171</f>
        <v/>
      </c>
      <c r="N171" t="inlineStr">
        <is>
          <t>原源表节点</t>
        </is>
      </c>
    </row>
    <row r="172">
      <c r="A172" t="inlineStr">
        <is>
          <t>映射</t>
        </is>
      </c>
      <c r="B172" t="inlineStr">
        <is>
          <t>难度12</t>
        </is>
      </c>
      <c r="C172" t="n">
        <v>108</v>
      </c>
      <c r="D172" t="n">
        <v>128</v>
      </c>
      <c r="E172" t="n">
        <v>101</v>
      </c>
      <c r="F172" s="85">
        <f>映射!K16</f>
        <v/>
      </c>
      <c r="G172" s="85">
        <f>映射!L16</f>
        <v/>
      </c>
      <c r="H172" s="85" t="n">
        <v>4.48746652958326</v>
      </c>
      <c r="I172" s="85">
        <f>映射!X16</f>
        <v/>
      </c>
      <c r="J172" s="85">
        <f>I172/H172</f>
        <v/>
      </c>
      <c r="K172" s="85" t="n">
        <v>141.455255340924</v>
      </c>
      <c r="L172" s="85">
        <f>映射!Y16</f>
        <v/>
      </c>
      <c r="M172" s="85">
        <f>L172/K172</f>
        <v/>
      </c>
      <c r="N172" t="inlineStr">
        <is>
          <t>原源表节点</t>
        </is>
      </c>
    </row>
    <row r="173">
      <c r="A173" t="inlineStr">
        <is>
          <t>映射</t>
        </is>
      </c>
      <c r="B173" t="inlineStr">
        <is>
          <t>难度13</t>
        </is>
      </c>
      <c r="C173" t="n">
        <v>116</v>
      </c>
      <c r="D173" t="n">
        <v>138</v>
      </c>
      <c r="E173" t="n">
        <v>111</v>
      </c>
      <c r="F173" s="85">
        <f>映射!K17</f>
        <v/>
      </c>
      <c r="G173" s="85">
        <f>映射!L17</f>
        <v/>
      </c>
      <c r="H173" s="85" t="n">
        <v>4.64061842909295</v>
      </c>
      <c r="I173" s="85">
        <f>映射!X17</f>
        <v/>
      </c>
      <c r="J173" s="85">
        <f>I173/H173</f>
        <v/>
      </c>
      <c r="K173" s="85" t="n">
        <v>140.04149464645</v>
      </c>
      <c r="L173" s="85">
        <f>映射!Y17</f>
        <v/>
      </c>
      <c r="M173" s="85">
        <f>L173/K173</f>
        <v/>
      </c>
      <c r="N173" t="inlineStr">
        <is>
          <t>原源表节点</t>
        </is>
      </c>
    </row>
    <row r="174">
      <c r="A174" t="inlineStr">
        <is>
          <t>映射</t>
        </is>
      </c>
      <c r="B174" t="inlineStr">
        <is>
          <t>难度14</t>
        </is>
      </c>
      <c r="C174" t="n">
        <v>125</v>
      </c>
      <c r="D174" t="n">
        <v>147</v>
      </c>
      <c r="E174" t="n">
        <v>120</v>
      </c>
      <c r="F174" s="85">
        <f>映射!K18</f>
        <v/>
      </c>
      <c r="G174" s="85">
        <f>映射!L18</f>
        <v/>
      </c>
      <c r="H174" s="85" t="n">
        <v>4.73169733144622</v>
      </c>
      <c r="I174" s="85">
        <f>映射!X18</f>
        <v/>
      </c>
      <c r="J174" s="85">
        <f>I174/H174</f>
        <v/>
      </c>
      <c r="K174" s="85" t="n">
        <v>139.741034750835</v>
      </c>
      <c r="L174" s="85">
        <f>映射!Y18</f>
        <v/>
      </c>
      <c r="M174" s="85">
        <f>L174/K174</f>
        <v/>
      </c>
      <c r="N174" t="inlineStr">
        <is>
          <t>原源表节点</t>
        </is>
      </c>
    </row>
    <row r="175">
      <c r="A175" t="inlineStr">
        <is>
          <t>映射</t>
        </is>
      </c>
      <c r="B175" t="inlineStr">
        <is>
          <t>难度15</t>
        </is>
      </c>
      <c r="C175" t="n">
        <v>134</v>
      </c>
      <c r="D175" t="n">
        <v>156</v>
      </c>
      <c r="E175" t="n">
        <v>129</v>
      </c>
      <c r="F175" s="85">
        <f>映射!K19</f>
        <v/>
      </c>
      <c r="G175" s="85">
        <f>映射!L19</f>
        <v/>
      </c>
      <c r="H175" s="85" t="n">
        <v>4.93460484306969</v>
      </c>
      <c r="I175" s="85">
        <f>映射!X19</f>
        <v/>
      </c>
      <c r="J175" s="85">
        <f>I175/H175</f>
        <v/>
      </c>
      <c r="K175" s="85" t="n">
        <v>137.119199662944</v>
      </c>
      <c r="L175" s="85">
        <f>映射!Y19</f>
        <v/>
      </c>
      <c r="M175" s="85">
        <f>L175/K175</f>
        <v/>
      </c>
      <c r="N175" t="inlineStr">
        <is>
          <t>原源表节点</t>
        </is>
      </c>
    </row>
    <row r="176">
      <c r="A176" t="inlineStr">
        <is>
          <t>映射</t>
        </is>
      </c>
      <c r="B176" t="inlineStr">
        <is>
          <t>难度16</t>
        </is>
      </c>
      <c r="C176" t="n">
        <v>143</v>
      </c>
      <c r="D176" t="n">
        <v>166</v>
      </c>
      <c r="E176" t="n">
        <v>140</v>
      </c>
      <c r="F176" s="85">
        <f>映射!K20</f>
        <v/>
      </c>
      <c r="G176" s="85">
        <f>映射!L20</f>
        <v/>
      </c>
      <c r="H176" s="85" t="n">
        <v>5.32802419236463</v>
      </c>
      <c r="I176" s="85">
        <f>映射!X20</f>
        <v/>
      </c>
      <c r="J176" s="85">
        <f>I176/H176</f>
        <v/>
      </c>
      <c r="K176" s="85" t="n">
        <v>131.358721048513</v>
      </c>
      <c r="L176" s="85">
        <f>映射!Y20</f>
        <v/>
      </c>
      <c r="M176" s="85">
        <f>L176/K176</f>
        <v/>
      </c>
      <c r="N176" t="inlineStr">
        <is>
          <t>原源表节点</t>
        </is>
      </c>
    </row>
    <row r="177">
      <c r="A177" t="inlineStr">
        <is>
          <t>映射</t>
        </is>
      </c>
      <c r="B177" t="inlineStr">
        <is>
          <t>难度17</t>
        </is>
      </c>
      <c r="C177" t="n">
        <v>153</v>
      </c>
      <c r="D177" t="n">
        <v>175</v>
      </c>
      <c r="E177" t="n">
        <v>150</v>
      </c>
      <c r="F177" s="85">
        <f>映射!K21</f>
        <v/>
      </c>
      <c r="G177" s="85">
        <f>映射!L21</f>
        <v/>
      </c>
      <c r="H177" s="85" t="n">
        <v>5.67504172531104</v>
      </c>
      <c r="I177" s="85">
        <f>映射!X21</f>
        <v/>
      </c>
      <c r="J177" s="85">
        <f>I177/H177</f>
        <v/>
      </c>
      <c r="K177" s="85" t="n">
        <v>126.896983234761</v>
      </c>
      <c r="L177" s="85">
        <f>映射!Y21</f>
        <v/>
      </c>
      <c r="M177" s="85">
        <f>L177/K177</f>
        <v/>
      </c>
      <c r="N177" t="inlineStr">
        <is>
          <t>原源表节点</t>
        </is>
      </c>
    </row>
    <row r="178">
      <c r="A178" t="inlineStr">
        <is>
          <t>映射</t>
        </is>
      </c>
      <c r="B178" t="inlineStr">
        <is>
          <t>难度18</t>
        </is>
      </c>
      <c r="C178" t="n">
        <v>162</v>
      </c>
      <c r="D178" t="n">
        <v>184</v>
      </c>
      <c r="E178" t="n">
        <v>160</v>
      </c>
      <c r="F178" s="85">
        <f>映射!K22</f>
        <v/>
      </c>
      <c r="G178" s="85">
        <f>映射!L22</f>
        <v/>
      </c>
      <c r="H178" s="85" t="n">
        <v>6.16612846529201</v>
      </c>
      <c r="I178" s="85">
        <f>映射!X22</f>
        <v/>
      </c>
      <c r="J178" s="85">
        <f>I178/H178</f>
        <v/>
      </c>
      <c r="K178" s="85" t="n">
        <v>120.863949392029</v>
      </c>
      <c r="L178" s="85">
        <f>映射!Y22</f>
        <v/>
      </c>
      <c r="M178" s="85">
        <f>L178/K178</f>
        <v/>
      </c>
      <c r="N178" t="inlineStr">
        <is>
          <t>原源表节点</t>
        </is>
      </c>
    </row>
    <row r="179">
      <c r="A179" t="inlineStr">
        <is>
          <t>映射</t>
        </is>
      </c>
      <c r="B179" t="inlineStr">
        <is>
          <t>难度19</t>
        </is>
      </c>
      <c r="C179" t="n">
        <v>171</v>
      </c>
      <c r="D179" t="n">
        <v>194</v>
      </c>
      <c r="E179" t="n">
        <v>172</v>
      </c>
      <c r="F179" s="85">
        <f>映射!K23</f>
        <v/>
      </c>
      <c r="G179" s="85">
        <f>映射!L23</f>
        <v/>
      </c>
      <c r="H179" s="85" t="n">
        <v>6.85839312304933</v>
      </c>
      <c r="I179" s="85">
        <f>映射!X23</f>
        <v/>
      </c>
      <c r="J179" s="85">
        <f>I179/H179</f>
        <v/>
      </c>
      <c r="K179" s="85" t="n">
        <v>113.345756758554</v>
      </c>
      <c r="L179" s="85">
        <f>映射!Y23</f>
        <v/>
      </c>
      <c r="M179" s="85">
        <f>L179/K179</f>
        <v/>
      </c>
      <c r="N179" t="inlineStr">
        <is>
          <t>原源表节点</t>
        </is>
      </c>
    </row>
    <row r="180">
      <c r="A180" t="inlineStr">
        <is>
          <t>映射</t>
        </is>
      </c>
      <c r="B180" t="inlineStr">
        <is>
          <t>难度20</t>
        </is>
      </c>
      <c r="C180" t="n">
        <v>181</v>
      </c>
      <c r="D180" t="n">
        <v>203</v>
      </c>
      <c r="E180" t="n">
        <v>183</v>
      </c>
      <c r="F180" s="85">
        <f>映射!K24</f>
        <v/>
      </c>
      <c r="G180" s="85">
        <f>映射!L24</f>
        <v/>
      </c>
      <c r="H180" s="85" t="n">
        <v>7.51056250738689</v>
      </c>
      <c r="I180" s="85">
        <f>映射!X24</f>
        <v/>
      </c>
      <c r="J180" s="85">
        <f>I180/H180</f>
        <v/>
      </c>
      <c r="K180" s="85" t="n">
        <v>107.365220731752</v>
      </c>
      <c r="L180" s="85">
        <f>映射!Y24</f>
        <v/>
      </c>
      <c r="M180" s="85">
        <f>L180/K180</f>
        <v/>
      </c>
      <c r="N180" t="inlineStr">
        <is>
          <t>原源表节点</t>
        </is>
      </c>
    </row>
    <row r="181">
      <c r="A181" t="inlineStr">
        <is>
          <t>映射</t>
        </is>
      </c>
      <c r="B181" t="inlineStr">
        <is>
          <t>难度21</t>
        </is>
      </c>
      <c r="C181" t="n">
        <v>190</v>
      </c>
      <c r="D181" t="n">
        <v>212</v>
      </c>
      <c r="E181" t="n">
        <v>194</v>
      </c>
      <c r="F181" s="85">
        <f>映射!K25</f>
        <v/>
      </c>
      <c r="G181" s="85">
        <f>映射!L25</f>
        <v/>
      </c>
      <c r="H181" s="85" t="n">
        <v>8.30445712240703</v>
      </c>
      <c r="I181" s="85">
        <f>映射!X25</f>
        <v/>
      </c>
      <c r="J181" s="85">
        <f>I181/H181</f>
        <v/>
      </c>
      <c r="K181" s="85" t="n">
        <v>101.008679209749</v>
      </c>
      <c r="L181" s="85">
        <f>映射!Y25</f>
        <v/>
      </c>
      <c r="M181" s="85">
        <f>L181/K181</f>
        <v/>
      </c>
      <c r="N181" t="inlineStr">
        <is>
          <t>原源表节点</t>
        </is>
      </c>
    </row>
    <row r="182">
      <c r="A182" t="inlineStr">
        <is>
          <t>映射</t>
        </is>
      </c>
      <c r="B182" t="inlineStr">
        <is>
          <t>难度22</t>
        </is>
      </c>
      <c r="C182" t="n">
        <v>200</v>
      </c>
      <c r="D182" t="n">
        <v>222</v>
      </c>
      <c r="E182" t="n">
        <v>206</v>
      </c>
      <c r="F182" s="85">
        <f>映射!K26</f>
        <v/>
      </c>
      <c r="G182" s="85">
        <f>映射!L26</f>
        <v/>
      </c>
      <c r="H182" s="85" t="n">
        <v>9.31707023639969</v>
      </c>
      <c r="I182" s="85">
        <f>映射!X26</f>
        <v/>
      </c>
      <c r="J182" s="85">
        <f>I182/H182</f>
        <v/>
      </c>
      <c r="K182" s="85" t="n">
        <v>94.1688015479281</v>
      </c>
      <c r="L182" s="85">
        <f>映射!Y26</f>
        <v/>
      </c>
      <c r="M182" s="85">
        <f>L182/K182</f>
        <v/>
      </c>
      <c r="N182" t="inlineStr">
        <is>
          <t>原源表节点</t>
        </is>
      </c>
    </row>
    <row r="183">
      <c r="A183" t="inlineStr">
        <is>
          <t>映射</t>
        </is>
      </c>
      <c r="B183" t="inlineStr">
        <is>
          <t>难度23</t>
        </is>
      </c>
      <c r="C183" t="n">
        <v>210</v>
      </c>
      <c r="D183" t="n">
        <v>231</v>
      </c>
      <c r="E183" t="n">
        <v>218</v>
      </c>
      <c r="F183" s="85">
        <f>映射!K27</f>
        <v/>
      </c>
      <c r="G183" s="85">
        <f>映射!L27</f>
        <v/>
      </c>
      <c r="H183" s="85" t="n">
        <v>10.328765740304</v>
      </c>
      <c r="I183" s="85">
        <f>映射!X27</f>
        <v/>
      </c>
      <c r="J183" s="85">
        <f>I183/H183</f>
        <v/>
      </c>
      <c r="K183" s="85" t="n">
        <v>88.4427744015268</v>
      </c>
      <c r="L183" s="85">
        <f>映射!Y27</f>
        <v/>
      </c>
      <c r="M183" s="85">
        <f>L183/K183</f>
        <v/>
      </c>
      <c r="N183" t="inlineStr">
        <is>
          <t>原源表节点</t>
        </is>
      </c>
    </row>
    <row r="184">
      <c r="A184" t="inlineStr">
        <is>
          <t>映射</t>
        </is>
      </c>
      <c r="B184" t="inlineStr">
        <is>
          <t>难度24</t>
        </is>
      </c>
      <c r="C184" t="n">
        <v>219</v>
      </c>
      <c r="D184" t="n">
        <v>240</v>
      </c>
      <c r="E184" t="n">
        <v>229</v>
      </c>
      <c r="F184" s="85">
        <f>映射!K28</f>
        <v/>
      </c>
      <c r="G184" s="85">
        <f>映射!L28</f>
        <v/>
      </c>
      <c r="H184" s="85" t="n">
        <v>11.5000062519994</v>
      </c>
      <c r="I184" s="85">
        <f>映射!X28</f>
        <v/>
      </c>
      <c r="J184" s="85">
        <f>I184/H184</f>
        <v/>
      </c>
      <c r="K184" s="85" t="n">
        <v>82.8165701238938</v>
      </c>
      <c r="L184" s="85">
        <f>映射!Y28</f>
        <v/>
      </c>
      <c r="M184" s="85">
        <f>L184/K184</f>
        <v/>
      </c>
      <c r="N184" t="inlineStr">
        <is>
          <t>原源表节点</t>
        </is>
      </c>
    </row>
    <row r="185">
      <c r="A185" t="inlineStr">
        <is>
          <t>映射</t>
        </is>
      </c>
      <c r="B185" t="inlineStr">
        <is>
          <t>难度25</t>
        </is>
      </c>
      <c r="C185" t="n">
        <v>229</v>
      </c>
      <c r="D185" t="n">
        <v>249</v>
      </c>
      <c r="E185" t="n">
        <v>241</v>
      </c>
      <c r="F185" s="85">
        <f>映射!K29</f>
        <v/>
      </c>
      <c r="G185" s="85">
        <f>映射!L29</f>
        <v/>
      </c>
      <c r="H185" s="85" t="n">
        <v>12.7903418618879</v>
      </c>
      <c r="I185" s="85">
        <f>映射!X29</f>
        <v/>
      </c>
      <c r="J185" s="85">
        <f>I185/H185</f>
        <v/>
      </c>
      <c r="K185" s="85" t="n">
        <v>77.6101088797393</v>
      </c>
      <c r="L185" s="85">
        <f>映射!Y29</f>
        <v/>
      </c>
      <c r="M185" s="85">
        <f>L185/K185</f>
        <v/>
      </c>
      <c r="N185" t="inlineStr">
        <is>
          <t>原源表节点</t>
        </is>
      </c>
    </row>
    <row r="186">
      <c r="A186" t="inlineStr">
        <is>
          <t>映射</t>
        </is>
      </c>
      <c r="B186" t="inlineStr">
        <is>
          <t>难度26</t>
        </is>
      </c>
      <c r="C186" t="n">
        <v>239</v>
      </c>
      <c r="D186" t="n">
        <v>259</v>
      </c>
      <c r="E186" t="n">
        <v>254</v>
      </c>
      <c r="F186" s="85">
        <f>映射!K30</f>
        <v/>
      </c>
      <c r="G186" s="85">
        <f>映射!L30</f>
        <v/>
      </c>
      <c r="H186" s="85" t="n">
        <v>14.4319167521579</v>
      </c>
      <c r="I186" s="85">
        <f>映射!X30</f>
        <v/>
      </c>
      <c r="J186" s="85">
        <f>I186/H186</f>
        <v/>
      </c>
      <c r="K186" s="85" t="n">
        <v>72.07759825637309</v>
      </c>
      <c r="L186" s="85">
        <f>映射!Y30</f>
        <v/>
      </c>
      <c r="M186" s="85">
        <f>L186/K186</f>
        <v/>
      </c>
      <c r="N186" t="inlineStr">
        <is>
          <t>原源表节点</t>
        </is>
      </c>
    </row>
    <row r="187">
      <c r="A187" t="inlineStr">
        <is>
          <t>映射</t>
        </is>
      </c>
      <c r="B187" t="inlineStr">
        <is>
          <t>难度27</t>
        </is>
      </c>
      <c r="C187" t="n">
        <v>249</v>
      </c>
      <c r="D187" t="n">
        <v>268</v>
      </c>
      <c r="E187" t="n">
        <v>266</v>
      </c>
      <c r="F187" s="85">
        <f>映射!K31</f>
        <v/>
      </c>
      <c r="G187" s="85">
        <f>映射!L31</f>
        <v/>
      </c>
      <c r="H187" s="85" t="n">
        <v>16.0678172439248</v>
      </c>
      <c r="I187" s="85">
        <f>映射!X31</f>
        <v/>
      </c>
      <c r="J187" s="85">
        <f>I187/H187</f>
        <v/>
      </c>
      <c r="K187" s="85" t="n">
        <v>67.5007192276165</v>
      </c>
      <c r="L187" s="85">
        <f>映射!Y31</f>
        <v/>
      </c>
      <c r="M187" s="85">
        <f>L187/K187</f>
        <v/>
      </c>
      <c r="N187" t="inlineStr">
        <is>
          <t>原源表节点</t>
        </is>
      </c>
    </row>
    <row r="188">
      <c r="A188" t="inlineStr">
        <is>
          <t>映射</t>
        </is>
      </c>
      <c r="B188" t="inlineStr">
        <is>
          <t>难度28</t>
        </is>
      </c>
      <c r="C188" t="n">
        <v>259</v>
      </c>
      <c r="D188" t="n">
        <v>277</v>
      </c>
      <c r="E188" t="n">
        <v>279</v>
      </c>
      <c r="F188" s="85">
        <f>映射!K32</f>
        <v/>
      </c>
      <c r="G188" s="85">
        <f>映射!L32</f>
        <v/>
      </c>
      <c r="H188" s="85" t="n">
        <v>17.8892953102602</v>
      </c>
      <c r="I188" s="85">
        <f>映射!X32</f>
        <v/>
      </c>
      <c r="J188" s="85">
        <f>I188/H188</f>
        <v/>
      </c>
      <c r="K188" s="85" t="n">
        <v>63.2143777807656</v>
      </c>
      <c r="L188" s="85">
        <f>映射!Y32</f>
        <v/>
      </c>
      <c r="M188" s="85">
        <f>L188/K188</f>
        <v/>
      </c>
      <c r="N188" t="inlineStr">
        <is>
          <t>原源表节点</t>
        </is>
      </c>
    </row>
    <row r="189">
      <c r="A189" t="inlineStr">
        <is>
          <t>映射</t>
        </is>
      </c>
      <c r="B189" t="inlineStr">
        <is>
          <t>难度29</t>
        </is>
      </c>
      <c r="C189" t="n">
        <v>269</v>
      </c>
      <c r="D189" t="n">
        <v>287</v>
      </c>
      <c r="E189" t="n">
        <v>292</v>
      </c>
      <c r="F189" s="85">
        <f>映射!K33</f>
        <v/>
      </c>
      <c r="G189" s="85">
        <f>映射!L33</f>
        <v/>
      </c>
      <c r="H189" s="85" t="n">
        <v>20.1675121116196</v>
      </c>
      <c r="I189" s="85">
        <f>映射!X33</f>
        <v/>
      </c>
      <c r="J189" s="85">
        <f>I189/H189</f>
        <v/>
      </c>
      <c r="K189" s="85" t="n">
        <v>58.7461564257782</v>
      </c>
      <c r="L189" s="85">
        <f>映射!Y33</f>
        <v/>
      </c>
      <c r="M189" s="85">
        <f>L189/K189</f>
        <v/>
      </c>
      <c r="N189" t="inlineStr">
        <is>
          <t>原源表节点</t>
        </is>
      </c>
    </row>
    <row r="190">
      <c r="A190" t="inlineStr">
        <is>
          <t>映射</t>
        </is>
      </c>
      <c r="B190" t="inlineStr">
        <is>
          <t>难度30</t>
        </is>
      </c>
      <c r="C190" t="n">
        <v>279</v>
      </c>
      <c r="D190" t="n">
        <v>296</v>
      </c>
      <c r="E190" t="n">
        <v>305</v>
      </c>
      <c r="F190" s="85">
        <f>映射!K34</f>
        <v/>
      </c>
      <c r="G190" s="85">
        <f>映射!L34</f>
        <v/>
      </c>
      <c r="H190" s="85" t="n">
        <v>22.4310796972095</v>
      </c>
      <c r="I190" s="85">
        <f>映射!X34</f>
        <v/>
      </c>
      <c r="J190" s="85">
        <f>I190/H190</f>
        <v/>
      </c>
      <c r="K190" s="85" t="n">
        <v>55.0549969977649</v>
      </c>
      <c r="L190" s="85">
        <f>映射!Y34</f>
        <v/>
      </c>
      <c r="M190" s="85">
        <f>L190/K190</f>
        <v/>
      </c>
      <c r="N190" t="inlineStr">
        <is>
          <t>原源表节点</t>
        </is>
      </c>
    </row>
    <row r="191">
      <c r="A191" t="inlineStr">
        <is>
          <t>Boss挑战</t>
        </is>
      </c>
      <c r="B191" t="inlineStr">
        <is>
          <t>难度1</t>
        </is>
      </c>
      <c r="C191" t="n">
        <v>54</v>
      </c>
      <c r="D191" t="n">
        <v>87</v>
      </c>
      <c r="E191" t="n">
        <v>68</v>
      </c>
      <c r="F191" s="85">
        <f>Boss挑战!K5</f>
        <v/>
      </c>
      <c r="G191" s="85">
        <f>Boss挑战!L5</f>
        <v/>
      </c>
      <c r="H191" s="85" t="n">
        <v>15.76257661625</v>
      </c>
      <c r="I191" s="85">
        <f>Boss挑战!X5</f>
        <v/>
      </c>
      <c r="J191" s="85">
        <f>I191/H191</f>
        <v/>
      </c>
      <c r="K191" s="85" t="n">
        <v>75.9686847244304</v>
      </c>
      <c r="L191" s="85">
        <f>Boss挑战!Y5</f>
        <v/>
      </c>
      <c r="M191" s="85">
        <f>L191/K191</f>
        <v/>
      </c>
      <c r="N191" t="inlineStr">
        <is>
          <t>原源表节点</t>
        </is>
      </c>
    </row>
    <row r="192">
      <c r="A192" t="inlineStr">
        <is>
          <t>Boss挑战</t>
        </is>
      </c>
      <c r="B192" t="inlineStr">
        <is>
          <t>难度2</t>
        </is>
      </c>
      <c r="C192" t="n">
        <v>64</v>
      </c>
      <c r="D192" t="n">
        <v>118</v>
      </c>
      <c r="E192" t="n">
        <v>95</v>
      </c>
      <c r="F192" s="85">
        <f>Boss挑战!K6</f>
        <v/>
      </c>
      <c r="G192" s="85">
        <f>Boss挑战!L6</f>
        <v/>
      </c>
      <c r="H192" s="85" t="n">
        <v>23.0587997141001</v>
      </c>
      <c r="I192" s="85">
        <f>Boss挑战!X6</f>
        <v/>
      </c>
      <c r="J192" s="85">
        <f>I192/H192</f>
        <v/>
      </c>
      <c r="K192" s="85" t="n">
        <v>61.2440269443781</v>
      </c>
      <c r="L192" s="85">
        <f>Boss挑战!Y6</f>
        <v/>
      </c>
      <c r="M192" s="85">
        <f>L192/K192</f>
        <v/>
      </c>
      <c r="N192" t="inlineStr">
        <is>
          <t>原源表节点</t>
        </is>
      </c>
    </row>
    <row r="193">
      <c r="A193" t="inlineStr">
        <is>
          <t>Boss挑战</t>
        </is>
      </c>
      <c r="B193" t="inlineStr">
        <is>
          <t>难度3</t>
        </is>
      </c>
      <c r="C193" t="n">
        <v>76</v>
      </c>
      <c r="D193" t="n">
        <v>148</v>
      </c>
      <c r="E193" t="n">
        <v>120</v>
      </c>
      <c r="F193" s="85">
        <f>Boss挑战!K7</f>
        <v/>
      </c>
      <c r="G193" s="85">
        <f>Boss挑战!L7</f>
        <v/>
      </c>
      <c r="H193" s="85" t="n">
        <v>27.7152179327466</v>
      </c>
      <c r="I193" s="85">
        <f>Boss挑战!X7</f>
        <v/>
      </c>
      <c r="J193" s="85">
        <f>I193/H193</f>
        <v/>
      </c>
      <c r="K193" s="85" t="n">
        <v>59.7141435776309</v>
      </c>
      <c r="L193" s="85">
        <f>Boss挑战!Y7</f>
        <v/>
      </c>
      <c r="M193" s="85">
        <f>L193/K193</f>
        <v/>
      </c>
      <c r="N193" t="inlineStr">
        <is>
          <t>原源表节点</t>
        </is>
      </c>
    </row>
    <row r="194">
      <c r="A194" t="inlineStr">
        <is>
          <t>Boss挑战</t>
        </is>
      </c>
      <c r="B194" t="inlineStr">
        <is>
          <t>难度4</t>
        </is>
      </c>
      <c r="C194" t="n">
        <v>89</v>
      </c>
      <c r="D194" t="n">
        <v>172</v>
      </c>
      <c r="E194" t="n">
        <v>141</v>
      </c>
      <c r="F194" s="85">
        <f>Boss挑战!K8</f>
        <v/>
      </c>
      <c r="G194" s="85">
        <f>Boss挑战!L8</f>
        <v/>
      </c>
      <c r="H194" s="85" t="n">
        <v>30.9253840312954</v>
      </c>
      <c r="I194" s="85">
        <f>Boss挑战!X8</f>
        <v/>
      </c>
      <c r="J194" s="85">
        <f>I194/H194</f>
        <v/>
      </c>
      <c r="K194" s="85" t="n">
        <v>59.634048608868</v>
      </c>
      <c r="L194" s="85">
        <f>Boss挑战!Y8</f>
        <v/>
      </c>
      <c r="M194" s="85">
        <f>L194/K194</f>
        <v/>
      </c>
      <c r="N194" t="inlineStr">
        <is>
          <t>原源表节点</t>
        </is>
      </c>
    </row>
    <row r="195">
      <c r="A195" t="inlineStr">
        <is>
          <t>Boss挑战</t>
        </is>
      </c>
      <c r="B195" t="inlineStr">
        <is>
          <t>难度5</t>
        </is>
      </c>
      <c r="C195" t="n">
        <v>104</v>
      </c>
      <c r="D195" t="n">
        <v>196</v>
      </c>
      <c r="E195" t="n">
        <v>162</v>
      </c>
      <c r="F195" s="85">
        <f>Boss挑战!K9</f>
        <v/>
      </c>
      <c r="G195" s="85">
        <f>Boss挑战!L9</f>
        <v/>
      </c>
      <c r="H195" s="85" t="n">
        <v>33.7308671164027</v>
      </c>
      <c r="I195" s="85">
        <f>Boss挑战!X9</f>
        <v/>
      </c>
      <c r="J195" s="85">
        <f>I195/H195</f>
        <v/>
      </c>
      <c r="K195" s="85" t="n">
        <v>59.4656899760942</v>
      </c>
      <c r="L195" s="85">
        <f>Boss挑战!Y9</f>
        <v/>
      </c>
      <c r="M195" s="85">
        <f>L195/K195</f>
        <v/>
      </c>
      <c r="N195" t="inlineStr">
        <is>
          <t>原源表节点</t>
        </is>
      </c>
    </row>
    <row r="196">
      <c r="A196" t="inlineStr">
        <is>
          <t>Boss挑战</t>
        </is>
      </c>
      <c r="B196" t="inlineStr">
        <is>
          <t>难度6</t>
        </is>
      </c>
      <c r="C196" t="n">
        <v>122</v>
      </c>
      <c r="D196" t="n">
        <v>224</v>
      </c>
      <c r="E196" t="n">
        <v>189</v>
      </c>
      <c r="F196" s="85">
        <f>Boss挑战!K10</f>
        <v/>
      </c>
      <c r="G196" s="85">
        <f>Boss挑战!L10</f>
        <v/>
      </c>
      <c r="H196" s="85" t="n">
        <v>35.6324341935519</v>
      </c>
      <c r="I196" s="85">
        <f>Boss挑战!X10</f>
        <v/>
      </c>
      <c r="J196" s="85">
        <f>I196/H196</f>
        <v/>
      </c>
      <c r="K196" s="85" t="n">
        <v>59.4689149760253</v>
      </c>
      <c r="L196" s="85">
        <f>Boss挑战!Y10</f>
        <v/>
      </c>
      <c r="M196" s="85">
        <f>L196/K196</f>
        <v/>
      </c>
      <c r="N196" t="inlineStr">
        <is>
          <t>原源表节点</t>
        </is>
      </c>
    </row>
    <row r="197">
      <c r="A197" t="inlineStr">
        <is>
          <t>大秘境</t>
        </is>
      </c>
      <c r="B197" t="inlineStr">
        <is>
          <t>第1层</t>
        </is>
      </c>
      <c r="C197" t="n">
        <v>95</v>
      </c>
      <c r="D197" t="n">
        <v>183</v>
      </c>
      <c r="E197" t="n">
        <v>143</v>
      </c>
      <c r="F197" s="85">
        <f>大秘境!K5</f>
        <v/>
      </c>
      <c r="G197" s="85">
        <f>大秘境!L5</f>
        <v/>
      </c>
      <c r="H197" s="85" t="n">
        <v>0.319277944640455</v>
      </c>
      <c r="I197" s="85">
        <f>大秘境!X5</f>
        <v/>
      </c>
      <c r="J197" s="85">
        <f>I197/H197</f>
        <v/>
      </c>
      <c r="K197" s="85" t="n">
        <v>58.4542680862851</v>
      </c>
      <c r="L197" s="85">
        <f>大秘境!Y5</f>
        <v/>
      </c>
      <c r="M197" s="85">
        <f>L197/K197</f>
        <v/>
      </c>
      <c r="N197" t="inlineStr">
        <is>
          <t>原源表节点</t>
        </is>
      </c>
    </row>
    <row r="198">
      <c r="A198" t="inlineStr">
        <is>
          <t>大秘境</t>
        </is>
      </c>
      <c r="B198" t="inlineStr">
        <is>
          <t>第2层</t>
        </is>
      </c>
      <c r="C198" t="n">
        <v>101</v>
      </c>
      <c r="D198" t="n">
        <v>192</v>
      </c>
      <c r="E198" t="n">
        <v>151</v>
      </c>
      <c r="F198" s="85">
        <f>大秘境!K6</f>
        <v/>
      </c>
      <c r="G198" s="85">
        <f>大秘境!L6</f>
        <v/>
      </c>
      <c r="H198" s="85" t="n">
        <v>0.327130026687157</v>
      </c>
      <c r="I198" s="85">
        <f>大秘境!X6</f>
        <v/>
      </c>
      <c r="J198" s="85">
        <f>I198/H198</f>
        <v/>
      </c>
      <c r="K198" s="85" t="n">
        <v>58.3887444283635</v>
      </c>
      <c r="L198" s="85">
        <f>大秘境!Y6</f>
        <v/>
      </c>
      <c r="M198" s="85">
        <f>L198/K198</f>
        <v/>
      </c>
      <c r="N198" t="inlineStr">
        <is>
          <t>原源表节点</t>
        </is>
      </c>
    </row>
    <row r="199">
      <c r="A199" t="inlineStr">
        <is>
          <t>大秘境</t>
        </is>
      </c>
      <c r="B199" t="inlineStr">
        <is>
          <t>第3层</t>
        </is>
      </c>
      <c r="C199" t="n">
        <v>107</v>
      </c>
      <c r="D199" t="n">
        <v>201</v>
      </c>
      <c r="E199" t="n">
        <v>159</v>
      </c>
      <c r="F199" s="85">
        <f>大秘境!K7</f>
        <v/>
      </c>
      <c r="G199" s="85">
        <f>大秘境!L7</f>
        <v/>
      </c>
      <c r="H199" s="85" t="n">
        <v>0.320542651239206</v>
      </c>
      <c r="I199" s="85">
        <f>大秘境!X7</f>
        <v/>
      </c>
      <c r="J199" s="85">
        <f>I199/H199</f>
        <v/>
      </c>
      <c r="K199" s="85" t="n">
        <v>59.712004146715</v>
      </c>
      <c r="L199" s="85">
        <f>大秘境!Y7</f>
        <v/>
      </c>
      <c r="M199" s="85">
        <f>L199/K199</f>
        <v/>
      </c>
      <c r="N199" t="inlineStr">
        <is>
          <t>原源表节点</t>
        </is>
      </c>
    </row>
    <row r="200">
      <c r="A200" t="inlineStr">
        <is>
          <t>大秘境</t>
        </is>
      </c>
      <c r="B200" t="inlineStr">
        <is>
          <t>第4层</t>
        </is>
      </c>
      <c r="C200" t="n">
        <v>114</v>
      </c>
      <c r="D200" t="n">
        <v>210</v>
      </c>
      <c r="E200" t="n">
        <v>168</v>
      </c>
      <c r="F200" s="85">
        <f>大秘境!K8</f>
        <v/>
      </c>
      <c r="G200" s="85">
        <f>大秘境!L8</f>
        <v/>
      </c>
      <c r="H200" s="85" t="n">
        <v>0.313500965662204</v>
      </c>
      <c r="I200" s="85">
        <f>大秘境!X8</f>
        <v/>
      </c>
      <c r="J200" s="85">
        <f>I200/H200</f>
        <v/>
      </c>
      <c r="K200" s="85" t="n">
        <v>61.1098535633697</v>
      </c>
      <c r="L200" s="85">
        <f>大秘境!Y8</f>
        <v/>
      </c>
      <c r="M200" s="85">
        <f>L200/K200</f>
        <v/>
      </c>
      <c r="N200" t="inlineStr">
        <is>
          <t>原源表节点</t>
        </is>
      </c>
    </row>
    <row r="201">
      <c r="A201" t="inlineStr">
        <is>
          <t>大秘境</t>
        </is>
      </c>
      <c r="B201" t="inlineStr">
        <is>
          <t>第5层</t>
        </is>
      </c>
      <c r="C201" t="n">
        <v>121</v>
      </c>
      <c r="D201" t="n">
        <v>220</v>
      </c>
      <c r="E201" t="n">
        <v>178</v>
      </c>
      <c r="F201" s="85">
        <f>大秘境!K9</f>
        <v/>
      </c>
      <c r="G201" s="85">
        <f>大秘境!L9</f>
        <v/>
      </c>
      <c r="H201" s="85" t="n">
        <v>0.317463129416273</v>
      </c>
      <c r="I201" s="85">
        <f>大秘境!X9</f>
        <v/>
      </c>
      <c r="J201" s="85">
        <f>I201/H201</f>
        <v/>
      </c>
      <c r="K201" s="85" t="n">
        <v>60.9905671825976</v>
      </c>
      <c r="L201" s="85">
        <f>大秘境!Y9</f>
        <v/>
      </c>
      <c r="M201" s="85">
        <f>L201/K201</f>
        <v/>
      </c>
      <c r="N201" t="inlineStr">
        <is>
          <t>原源表节点</t>
        </is>
      </c>
    </row>
    <row r="202">
      <c r="A202" t="inlineStr">
        <is>
          <t>大秘境</t>
        </is>
      </c>
      <c r="B202" t="inlineStr">
        <is>
          <t>第6层</t>
        </is>
      </c>
      <c r="C202" t="n">
        <v>128</v>
      </c>
      <c r="D202" t="n">
        <v>227</v>
      </c>
      <c r="E202" t="n">
        <v>186</v>
      </c>
      <c r="F202" s="85">
        <f>大秘境!K10</f>
        <v/>
      </c>
      <c r="G202" s="85">
        <f>大秘境!L10</f>
        <v/>
      </c>
      <c r="H202" s="85" t="n">
        <v>0.313497395310871</v>
      </c>
      <c r="I202" s="85">
        <f>大秘境!X10</f>
        <v/>
      </c>
      <c r="J202" s="85">
        <f>I202/H202</f>
        <v/>
      </c>
      <c r="K202" s="85" t="n">
        <v>61.840248360759</v>
      </c>
      <c r="L202" s="85">
        <f>大秘境!Y10</f>
        <v/>
      </c>
      <c r="M202" s="85">
        <f>L202/K202</f>
        <v/>
      </c>
      <c r="N202" t="inlineStr">
        <is>
          <t>原源表节点</t>
        </is>
      </c>
    </row>
    <row r="203">
      <c r="A203" t="inlineStr">
        <is>
          <t>大秘境</t>
        </is>
      </c>
      <c r="B203" t="inlineStr">
        <is>
          <t>第7层</t>
        </is>
      </c>
      <c r="C203" t="n">
        <v>135</v>
      </c>
      <c r="D203" t="n">
        <v>234</v>
      </c>
      <c r="E203" t="n">
        <v>193</v>
      </c>
      <c r="F203" s="85">
        <f>大秘境!K11</f>
        <v/>
      </c>
      <c r="G203" s="85">
        <f>大秘境!L11</f>
        <v/>
      </c>
      <c r="H203" s="85" t="n">
        <v>0.314106296125466</v>
      </c>
      <c r="I203" s="85">
        <f>大秘境!X11</f>
        <v/>
      </c>
      <c r="J203" s="85">
        <f>I203/H203</f>
        <v/>
      </c>
      <c r="K203" s="85" t="n">
        <v>62.0369723256494</v>
      </c>
      <c r="L203" s="85">
        <f>大秘境!Y11</f>
        <v/>
      </c>
      <c r="M203" s="85">
        <f>L203/K203</f>
        <v/>
      </c>
      <c r="N203" t="inlineStr">
        <is>
          <t>原源表节点</t>
        </is>
      </c>
    </row>
    <row r="204">
      <c r="A204" t="inlineStr">
        <is>
          <t>大秘境</t>
        </is>
      </c>
      <c r="B204" t="inlineStr">
        <is>
          <t>第8层</t>
        </is>
      </c>
      <c r="C204" t="n">
        <v>142</v>
      </c>
      <c r="D204" t="n">
        <v>240</v>
      </c>
      <c r="E204" t="n">
        <v>200</v>
      </c>
      <c r="F204" s="85">
        <f>大秘境!K12</f>
        <v/>
      </c>
      <c r="G204" s="85">
        <f>大秘境!L12</f>
        <v/>
      </c>
      <c r="H204" s="85" t="n">
        <v>0.314277897605528</v>
      </c>
      <c r="I204" s="85">
        <f>大秘境!X12</f>
        <v/>
      </c>
      <c r="J204" s="85">
        <f>I204/H204</f>
        <v/>
      </c>
      <c r="K204" s="85" t="n">
        <v>62.2494840825666</v>
      </c>
      <c r="L204" s="85">
        <f>大秘境!Y12</f>
        <v/>
      </c>
      <c r="M204" s="85">
        <f>L204/K204</f>
        <v/>
      </c>
      <c r="N204" t="inlineStr">
        <is>
          <t>原源表节点</t>
        </is>
      </c>
    </row>
    <row r="205">
      <c r="A205" t="inlineStr">
        <is>
          <t>大秘境</t>
        </is>
      </c>
      <c r="B205" t="inlineStr">
        <is>
          <t>第9层</t>
        </is>
      </c>
      <c r="C205" t="n">
        <v>150</v>
      </c>
      <c r="D205" t="n">
        <v>246</v>
      </c>
      <c r="E205" t="n">
        <v>208</v>
      </c>
      <c r="F205" s="85">
        <f>大秘境!K13</f>
        <v/>
      </c>
      <c r="G205" s="85">
        <f>大秘境!L13</f>
        <v/>
      </c>
      <c r="H205" s="85" t="n">
        <v>0.314847674079832</v>
      </c>
      <c r="I205" s="85">
        <f>大秘境!X13</f>
        <v/>
      </c>
      <c r="J205" s="85">
        <f>I205/H205</f>
        <v/>
      </c>
      <c r="K205" s="85" t="n">
        <v>62.4019147941114</v>
      </c>
      <c r="L205" s="85">
        <f>大秘境!Y13</f>
        <v/>
      </c>
      <c r="M205" s="85">
        <f>L205/K205</f>
        <v/>
      </c>
      <c r="N205" t="inlineStr">
        <is>
          <t>原源表节点</t>
        </is>
      </c>
    </row>
    <row r="206">
      <c r="A206" t="inlineStr">
        <is>
          <t>大秘境</t>
        </is>
      </c>
      <c r="B206" t="inlineStr">
        <is>
          <t>第10层</t>
        </is>
      </c>
      <c r="C206" t="n">
        <v>158</v>
      </c>
      <c r="D206" t="n">
        <v>251</v>
      </c>
      <c r="E206" t="n">
        <v>215</v>
      </c>
      <c r="F206" s="85">
        <f>大秘境!K14</f>
        <v/>
      </c>
      <c r="G206" s="85">
        <f>大秘境!L14</f>
        <v/>
      </c>
      <c r="H206" s="85" t="n">
        <v>0.314851910931278</v>
      </c>
      <c r="I206" s="85">
        <f>大秘境!X14</f>
        <v/>
      </c>
      <c r="J206" s="85">
        <f>I206/H206</f>
        <v/>
      </c>
      <c r="K206" s="85" t="n">
        <v>62.5927160151234</v>
      </c>
      <c r="L206" s="85">
        <f>大秘境!Y14</f>
        <v/>
      </c>
      <c r="M206" s="85">
        <f>L206/K206</f>
        <v/>
      </c>
      <c r="N206" t="inlineStr">
        <is>
          <t>原源表节点</t>
        </is>
      </c>
    </row>
    <row r="207">
      <c r="A207" t="inlineStr">
        <is>
          <t>大秘境</t>
        </is>
      </c>
      <c r="B207" t="inlineStr">
        <is>
          <t>第11层</t>
        </is>
      </c>
      <c r="C207" t="n">
        <v>165</v>
      </c>
      <c r="D207" t="n">
        <v>256</v>
      </c>
      <c r="E207" t="n">
        <v>221</v>
      </c>
      <c r="F207" s="85">
        <f>大秘境!K15</f>
        <v/>
      </c>
      <c r="G207" s="85">
        <f>大秘境!L15</f>
        <v/>
      </c>
      <c r="H207" s="85" t="n">
        <v>0.31989152266375</v>
      </c>
      <c r="I207" s="85">
        <f>大秘境!X15</f>
        <v/>
      </c>
      <c r="J207" s="85">
        <f>I207/H207</f>
        <v/>
      </c>
      <c r="K207" s="85" t="n">
        <v>62.0816534595318</v>
      </c>
      <c r="L207" s="85">
        <f>大秘境!Y15</f>
        <v/>
      </c>
      <c r="M207" s="85">
        <f>L207/K207</f>
        <v/>
      </c>
      <c r="N207" t="inlineStr">
        <is>
          <t>原源表节点</t>
        </is>
      </c>
    </row>
    <row r="208">
      <c r="A208" t="inlineStr">
        <is>
          <t>大秘境</t>
        </is>
      </c>
      <c r="B208" t="inlineStr">
        <is>
          <t>第12层</t>
        </is>
      </c>
      <c r="C208" t="n">
        <v>173</v>
      </c>
      <c r="D208" t="n">
        <v>260</v>
      </c>
      <c r="E208" t="n">
        <v>227</v>
      </c>
      <c r="F208" s="85">
        <f>大秘境!K16</f>
        <v/>
      </c>
      <c r="G208" s="85">
        <f>大秘境!L16</f>
        <v/>
      </c>
      <c r="H208" s="85" t="n">
        <v>0.321035281467947</v>
      </c>
      <c r="I208" s="85">
        <f>大秘境!X16</f>
        <v/>
      </c>
      <c r="J208" s="85">
        <f>I208/H208</f>
        <v/>
      </c>
      <c r="K208" s="85" t="n">
        <v>62.0776189983525</v>
      </c>
      <c r="L208" s="85">
        <f>大秘境!Y16</f>
        <v/>
      </c>
      <c r="M208" s="85">
        <f>L208/K208</f>
        <v/>
      </c>
      <c r="N208" t="inlineStr">
        <is>
          <t>原源表节点</t>
        </is>
      </c>
    </row>
    <row r="209">
      <c r="A209" t="inlineStr">
        <is>
          <t>大秘境</t>
        </is>
      </c>
      <c r="B209" t="inlineStr">
        <is>
          <t>第13层</t>
        </is>
      </c>
      <c r="C209" t="n">
        <v>181</v>
      </c>
      <c r="D209" t="n">
        <v>264</v>
      </c>
      <c r="E209" t="n">
        <v>233</v>
      </c>
      <c r="F209" s="85">
        <f>大秘境!K17</f>
        <v/>
      </c>
      <c r="G209" s="85">
        <f>大秘境!L17</f>
        <v/>
      </c>
      <c r="H209" s="85" t="n">
        <v>0.324396017149109</v>
      </c>
      <c r="I209" s="85">
        <f>大秘境!X17</f>
        <v/>
      </c>
      <c r="J209" s="85">
        <f>I209/H209</f>
        <v/>
      </c>
      <c r="K209" s="85" t="n">
        <v>61.7746587424281</v>
      </c>
      <c r="L209" s="85">
        <f>大秘境!Y17</f>
        <v/>
      </c>
      <c r="M209" s="85">
        <f>L209/K209</f>
        <v/>
      </c>
      <c r="N209" t="inlineStr">
        <is>
          <t>原源表节点</t>
        </is>
      </c>
    </row>
    <row r="210">
      <c r="A210" t="inlineStr">
        <is>
          <t>大秘境</t>
        </is>
      </c>
      <c r="B210" t="inlineStr">
        <is>
          <t>第14层</t>
        </is>
      </c>
      <c r="C210" t="n">
        <v>189</v>
      </c>
      <c r="D210" t="n">
        <v>268</v>
      </c>
      <c r="E210" t="n">
        <v>239</v>
      </c>
      <c r="F210" s="85">
        <f>大秘境!K18</f>
        <v/>
      </c>
      <c r="G210" s="85">
        <f>大秘境!L18</f>
        <v/>
      </c>
      <c r="H210" s="85" t="n">
        <v>0.329669362771688</v>
      </c>
      <c r="I210" s="85">
        <f>大秘境!X18</f>
        <v/>
      </c>
      <c r="J210" s="85">
        <f>I210/H210</f>
        <v/>
      </c>
      <c r="K210" s="85" t="n">
        <v>61.2286925893576</v>
      </c>
      <c r="L210" s="85">
        <f>大秘境!Y18</f>
        <v/>
      </c>
      <c r="M210" s="85">
        <f>L210/K210</f>
        <v/>
      </c>
      <c r="N210" t="inlineStr">
        <is>
          <t>原源表节点</t>
        </is>
      </c>
    </row>
    <row r="211">
      <c r="A211" t="inlineStr">
        <is>
          <t>大秘境</t>
        </is>
      </c>
      <c r="B211" t="inlineStr">
        <is>
          <t>第15层</t>
        </is>
      </c>
      <c r="C211" t="n">
        <v>197</v>
      </c>
      <c r="D211" t="n">
        <v>271</v>
      </c>
      <c r="E211" t="n">
        <v>245</v>
      </c>
      <c r="F211" s="85">
        <f>大秘境!K19</f>
        <v/>
      </c>
      <c r="G211" s="85">
        <f>大秘境!L19</f>
        <v/>
      </c>
      <c r="H211" s="85" t="n">
        <v>0.332454163258674</v>
      </c>
      <c r="I211" s="85">
        <f>大秘境!X19</f>
        <v/>
      </c>
      <c r="J211" s="85">
        <f>I211/H211</f>
        <v/>
      </c>
      <c r="K211" s="85" t="n">
        <v>60.9829701208239</v>
      </c>
      <c r="L211" s="85">
        <f>大秘境!Y19</f>
        <v/>
      </c>
      <c r="M211" s="85">
        <f>L211/K211</f>
        <v/>
      </c>
      <c r="N211" t="inlineStr">
        <is>
          <t>原源表节点</t>
        </is>
      </c>
    </row>
    <row r="212">
      <c r="A212" t="inlineStr">
        <is>
          <t>大秘境</t>
        </is>
      </c>
      <c r="B212" t="inlineStr">
        <is>
          <t>第16层</t>
        </is>
      </c>
      <c r="C212" t="n">
        <v>205</v>
      </c>
      <c r="D212" t="n">
        <v>274</v>
      </c>
      <c r="E212" t="n">
        <v>250</v>
      </c>
      <c r="F212" s="85">
        <f>大秘境!K20</f>
        <v/>
      </c>
      <c r="G212" s="85">
        <f>大秘境!L20</f>
        <v/>
      </c>
      <c r="H212" s="85" t="n">
        <v>0.336647493996607</v>
      </c>
      <c r="I212" s="85">
        <f>大秘境!X20</f>
        <v/>
      </c>
      <c r="J212" s="85">
        <f>I212/H212</f>
        <v/>
      </c>
      <c r="K212" s="85" t="n">
        <v>60.5627691442725</v>
      </c>
      <c r="L212" s="85">
        <f>大秘境!Y20</f>
        <v/>
      </c>
      <c r="M212" s="85">
        <f>L212/K212</f>
        <v/>
      </c>
      <c r="N212" t="inlineStr">
        <is>
          <t>原源表节点</t>
        </is>
      </c>
    </row>
    <row r="213">
      <c r="A213" t="inlineStr">
        <is>
          <t>大秘境</t>
        </is>
      </c>
      <c r="B213" t="inlineStr">
        <is>
          <t>第17层</t>
        </is>
      </c>
      <c r="C213" t="n">
        <v>213</v>
      </c>
      <c r="D213" t="n">
        <v>278</v>
      </c>
      <c r="E213" t="n">
        <v>257</v>
      </c>
      <c r="F213" s="85">
        <f>大秘境!K21</f>
        <v/>
      </c>
      <c r="G213" s="85">
        <f>大秘境!L21</f>
        <v/>
      </c>
      <c r="H213" s="85" t="n">
        <v>0.346297292294486</v>
      </c>
      <c r="I213" s="85">
        <f>大秘境!X21</f>
        <v/>
      </c>
      <c r="J213" s="85">
        <f>I213/H213</f>
        <v/>
      </c>
      <c r="K213" s="85" t="n">
        <v>59.5185480817823</v>
      </c>
      <c r="L213" s="85">
        <f>大秘境!Y21</f>
        <v/>
      </c>
      <c r="M213" s="85">
        <f>L213/K213</f>
        <v/>
      </c>
      <c r="N213" t="inlineStr">
        <is>
          <t>原源表节点</t>
        </is>
      </c>
    </row>
    <row r="214">
      <c r="A214" t="inlineStr">
        <is>
          <t>大秘境</t>
        </is>
      </c>
      <c r="B214" t="inlineStr">
        <is>
          <t>第18层</t>
        </is>
      </c>
      <c r="C214" t="n">
        <v>221</v>
      </c>
      <c r="D214" t="n">
        <v>281</v>
      </c>
      <c r="E214" t="n">
        <v>262</v>
      </c>
      <c r="F214" s="85">
        <f>大秘境!K22</f>
        <v/>
      </c>
      <c r="G214" s="85">
        <f>大秘境!L22</f>
        <v/>
      </c>
      <c r="H214" s="85" t="n">
        <v>0.352869303611149</v>
      </c>
      <c r="I214" s="85">
        <f>大秘境!X22</f>
        <v/>
      </c>
      <c r="J214" s="85">
        <f>I214/H214</f>
        <v/>
      </c>
      <c r="K214" s="85" t="n">
        <v>58.8508102256582</v>
      </c>
      <c r="L214" s="85">
        <f>大秘境!Y22</f>
        <v/>
      </c>
      <c r="M214" s="85">
        <f>L214/K214</f>
        <v/>
      </c>
      <c r="N214" t="inlineStr">
        <is>
          <t>原源表节点</t>
        </is>
      </c>
    </row>
    <row r="215">
      <c r="A215" t="inlineStr">
        <is>
          <t>大秘境</t>
        </is>
      </c>
      <c r="B215" t="inlineStr">
        <is>
          <t>第19层</t>
        </is>
      </c>
      <c r="C215" t="n">
        <v>229</v>
      </c>
      <c r="D215" t="n">
        <v>284</v>
      </c>
      <c r="E215" t="n">
        <v>268</v>
      </c>
      <c r="F215" s="85">
        <f>大秘境!K23</f>
        <v/>
      </c>
      <c r="G215" s="85">
        <f>大秘境!L23</f>
        <v/>
      </c>
      <c r="H215" s="85" t="n">
        <v>0.360432416103152</v>
      </c>
      <c r="I215" s="85">
        <f>大秘境!X23</f>
        <v/>
      </c>
      <c r="J215" s="85">
        <f>I215/H215</f>
        <v/>
      </c>
      <c r="K215" s="85" t="n">
        <v>58.0914650819707</v>
      </c>
      <c r="L215" s="85">
        <f>大秘境!Y23</f>
        <v/>
      </c>
      <c r="M215" s="85">
        <f>L215/K215</f>
        <v/>
      </c>
      <c r="N215" t="inlineStr">
        <is>
          <t>原源表节点</t>
        </is>
      </c>
    </row>
    <row r="216">
      <c r="A216" t="inlineStr">
        <is>
          <t>大秘境</t>
        </is>
      </c>
      <c r="B216" t="inlineStr">
        <is>
          <t>第20层</t>
        </is>
      </c>
      <c r="C216" t="n">
        <v>237</v>
      </c>
      <c r="D216" t="n">
        <v>287</v>
      </c>
      <c r="E216" t="n">
        <v>273</v>
      </c>
      <c r="F216" s="85">
        <f>大秘境!K24</f>
        <v/>
      </c>
      <c r="G216" s="85">
        <f>大秘境!L24</f>
        <v/>
      </c>
      <c r="H216" s="85" t="n">
        <v>0.368914640733448</v>
      </c>
      <c r="I216" s="85">
        <f>大秘境!X24</f>
        <v/>
      </c>
      <c r="J216" s="85">
        <f>I216/H216</f>
        <v/>
      </c>
      <c r="K216" s="85" t="n">
        <v>57.2604109690628</v>
      </c>
      <c r="L216" s="85">
        <f>大秘境!Y24</f>
        <v/>
      </c>
      <c r="M216" s="85">
        <f>L216/K216</f>
        <v/>
      </c>
      <c r="N216" t="inlineStr">
        <is>
          <t>原源表节点</t>
        </is>
      </c>
    </row>
    <row r="217">
      <c r="A217" t="inlineStr">
        <is>
          <t>大秘境</t>
        </is>
      </c>
      <c r="B217" t="inlineStr">
        <is>
          <t>第21层</t>
        </is>
      </c>
      <c r="C217" t="n">
        <v>246</v>
      </c>
      <c r="D217" t="n">
        <v>289</v>
      </c>
      <c r="E217" t="n">
        <v>278</v>
      </c>
      <c r="F217" s="85">
        <f>大秘境!K25</f>
        <v/>
      </c>
      <c r="G217" s="85">
        <f>大秘境!L25</f>
        <v/>
      </c>
      <c r="H217" s="85" t="n">
        <v>0.373249044646773</v>
      </c>
      <c r="I217" s="85">
        <f>大秘境!X25</f>
        <v/>
      </c>
      <c r="J217" s="85">
        <f>I217/H217</f>
        <v/>
      </c>
      <c r="K217" s="85" t="n">
        <v>56.8696749916113</v>
      </c>
      <c r="L217" s="85">
        <f>大秘境!Y25</f>
        <v/>
      </c>
      <c r="M217" s="85">
        <f>L217/K217</f>
        <v/>
      </c>
      <c r="N217" t="inlineStr">
        <is>
          <t>原源表节点</t>
        </is>
      </c>
    </row>
    <row r="218">
      <c r="A218" t="inlineStr">
        <is>
          <t>大秘境</t>
        </is>
      </c>
      <c r="B218" t="inlineStr">
        <is>
          <t>第22层</t>
        </is>
      </c>
      <c r="C218" t="n">
        <v>254</v>
      </c>
      <c r="D218" t="n">
        <v>292</v>
      </c>
      <c r="E218" t="n">
        <v>284</v>
      </c>
      <c r="F218" s="85">
        <f>大秘境!K26</f>
        <v/>
      </c>
      <c r="G218" s="85">
        <f>大秘境!L26</f>
        <v/>
      </c>
      <c r="H218" s="85" t="n">
        <v>0.383310525183807</v>
      </c>
      <c r="I218" s="85">
        <f>大秘境!X26</f>
        <v/>
      </c>
      <c r="J218" s="85">
        <f>I218/H218</f>
        <v/>
      </c>
      <c r="K218" s="85" t="n">
        <v>55.9246823581013</v>
      </c>
      <c r="L218" s="85">
        <f>大秘境!Y26</f>
        <v/>
      </c>
      <c r="M218" s="85">
        <f>L218/K218</f>
        <v/>
      </c>
      <c r="N218" t="inlineStr">
        <is>
          <t>原源表节点</t>
        </is>
      </c>
    </row>
    <row r="219">
      <c r="A219" t="inlineStr">
        <is>
          <t>大秘境</t>
        </is>
      </c>
      <c r="B219" t="inlineStr">
        <is>
          <t>第23层</t>
        </is>
      </c>
      <c r="C219" t="n">
        <v>262</v>
      </c>
      <c r="D219" t="n">
        <v>296</v>
      </c>
      <c r="E219" t="n">
        <v>291</v>
      </c>
      <c r="F219" s="85">
        <f>大秘境!K27</f>
        <v/>
      </c>
      <c r="G219" s="85">
        <f>大秘境!L27</f>
        <v/>
      </c>
      <c r="H219" s="85" t="n">
        <v>0.398786283902732</v>
      </c>
      <c r="I219" s="85">
        <f>大秘境!X27</f>
        <v/>
      </c>
      <c r="J219" s="85">
        <f>I219/H219</f>
        <v/>
      </c>
      <c r="K219" s="85" t="n">
        <v>54.5290703482252</v>
      </c>
      <c r="L219" s="85">
        <f>大秘境!Y27</f>
        <v/>
      </c>
      <c r="M219" s="85">
        <f>L219/K219</f>
        <v/>
      </c>
      <c r="N219" t="inlineStr">
        <is>
          <t>原源表节点</t>
        </is>
      </c>
    </row>
    <row r="220">
      <c r="A220" t="inlineStr">
        <is>
          <t>大秘境</t>
        </is>
      </c>
      <c r="B220" t="inlineStr">
        <is>
          <t>第24层</t>
        </is>
      </c>
      <c r="C220" t="n">
        <v>271</v>
      </c>
      <c r="D220" t="n">
        <v>299</v>
      </c>
      <c r="E220" t="n">
        <v>297</v>
      </c>
      <c r="F220" s="85">
        <f>大秘境!K28</f>
        <v/>
      </c>
      <c r="G220" s="85">
        <f>大秘境!L28</f>
        <v/>
      </c>
      <c r="H220" s="85" t="n">
        <v>0.410048650797003</v>
      </c>
      <c r="I220" s="85">
        <f>大秘境!X28</f>
        <v/>
      </c>
      <c r="J220" s="85">
        <f>I220/H220</f>
        <v/>
      </c>
      <c r="K220" s="85" t="n">
        <v>53.5771113590292</v>
      </c>
      <c r="L220" s="85">
        <f>大秘境!Y28</f>
        <v/>
      </c>
      <c r="M220" s="85">
        <f>L220/K220</f>
        <v/>
      </c>
      <c r="N220" t="inlineStr">
        <is>
          <t>原源表节点</t>
        </is>
      </c>
    </row>
    <row r="221">
      <c r="A221" t="inlineStr">
        <is>
          <t>大秘境</t>
        </is>
      </c>
      <c r="B221" t="inlineStr">
        <is>
          <t>第25层</t>
        </is>
      </c>
      <c r="C221" t="n">
        <v>279</v>
      </c>
      <c r="D221" t="n">
        <v>301</v>
      </c>
      <c r="E221" t="n">
        <v>302</v>
      </c>
      <c r="F221" s="85">
        <f>大秘境!K29</f>
        <v/>
      </c>
      <c r="G221" s="85">
        <f>大秘境!L29</f>
        <v/>
      </c>
      <c r="H221" s="85" t="n">
        <v>0.417423526107889</v>
      </c>
      <c r="I221" s="85">
        <f>大秘境!X29</f>
        <v/>
      </c>
      <c r="J221" s="85">
        <f>I221/H221</f>
        <v/>
      </c>
      <c r="K221" s="85" t="n">
        <v>52.9822851511698</v>
      </c>
      <c r="L221" s="85">
        <f>大秘境!Y29</f>
        <v/>
      </c>
      <c r="M221" s="85">
        <f>L221/K221</f>
        <v/>
      </c>
      <c r="N221" t="inlineStr">
        <is>
          <t>原源表节点</t>
        </is>
      </c>
    </row>
    <row r="222">
      <c r="A222" t="inlineStr">
        <is>
          <t>爬塔</t>
        </is>
      </c>
      <c r="B222" t="inlineStr">
        <is>
          <t>第1层</t>
        </is>
      </c>
      <c r="C222" t="n">
        <v>24</v>
      </c>
      <c r="D222" t="n">
        <v>37</v>
      </c>
      <c r="E222">
        <f>爬塔!J5</f>
        <v/>
      </c>
      <c r="F222" s="85">
        <f>爬塔!K5</f>
        <v/>
      </c>
      <c r="G222" s="85">
        <f>爬塔!L5</f>
        <v/>
      </c>
      <c r="H222" s="85" t="n">
        <v>5.5954829218417</v>
      </c>
      <c r="I222" s="85">
        <f>爬塔!X5</f>
        <v/>
      </c>
      <c r="J222" s="85">
        <f>I222/H222</f>
        <v/>
      </c>
      <c r="K222" s="85" t="n">
        <v>8.68099067253635</v>
      </c>
      <c r="L222" s="85">
        <f>爬塔!Y5</f>
        <v/>
      </c>
      <c r="M222" s="85">
        <f>L222/K222</f>
        <v/>
      </c>
      <c r="N222" t="inlineStr">
        <is>
          <t>原源表节点</t>
        </is>
      </c>
    </row>
    <row r="223">
      <c r="A223" t="inlineStr">
        <is>
          <t>爬塔</t>
        </is>
      </c>
      <c r="B223" t="inlineStr">
        <is>
          <t>第2层</t>
        </is>
      </c>
      <c r="C223" t="n">
        <v>25</v>
      </c>
      <c r="D223" t="n">
        <v>44</v>
      </c>
      <c r="E223">
        <f>爬塔!J6</f>
        <v/>
      </c>
      <c r="F223" s="85">
        <f>爬塔!K6</f>
        <v/>
      </c>
      <c r="G223" s="85">
        <f>爬塔!L6</f>
        <v/>
      </c>
      <c r="H223" s="85" t="n">
        <v>6.51765578967623</v>
      </c>
      <c r="I223" s="85">
        <f>爬塔!X6</f>
        <v/>
      </c>
      <c r="J223" s="85">
        <f>I223/H223</f>
        <v/>
      </c>
      <c r="K223" s="85" t="n">
        <v>7.40897489021318</v>
      </c>
      <c r="L223" s="85">
        <f>爬塔!Y6</f>
        <v/>
      </c>
      <c r="M223" s="85">
        <f>L223/K223</f>
        <v/>
      </c>
      <c r="N223" t="inlineStr">
        <is>
          <t>原源表节点</t>
        </is>
      </c>
    </row>
    <row r="224">
      <c r="A224" t="inlineStr">
        <is>
          <t>爬塔</t>
        </is>
      </c>
      <c r="B224" t="inlineStr">
        <is>
          <t>第3层</t>
        </is>
      </c>
      <c r="C224" t="n">
        <v>27</v>
      </c>
      <c r="D224" t="n">
        <v>51</v>
      </c>
      <c r="E224">
        <f>爬塔!J7</f>
        <v/>
      </c>
      <c r="F224" s="85">
        <f>爬塔!K7</f>
        <v/>
      </c>
      <c r="G224" s="85">
        <f>爬塔!L7</f>
        <v/>
      </c>
      <c r="H224" s="85" t="n">
        <v>9.4142173213273</v>
      </c>
      <c r="I224" s="85">
        <f>爬塔!X7</f>
        <v/>
      </c>
      <c r="J224" s="85">
        <f>I224/H224</f>
        <v/>
      </c>
      <c r="K224" s="85" t="n">
        <v>8.28935632571941</v>
      </c>
      <c r="L224" s="85">
        <f>爬塔!Y7</f>
        <v/>
      </c>
      <c r="M224" s="85">
        <f>L224/K224</f>
        <v/>
      </c>
      <c r="N224" t="inlineStr">
        <is>
          <t>原源表节点</t>
        </is>
      </c>
    </row>
    <row r="225">
      <c r="A225" t="inlineStr">
        <is>
          <t>爬塔</t>
        </is>
      </c>
      <c r="B225" t="inlineStr">
        <is>
          <t>第4层</t>
        </is>
      </c>
      <c r="C225" t="n">
        <v>29</v>
      </c>
      <c r="D225" t="n">
        <v>59</v>
      </c>
      <c r="E225">
        <f>爬塔!J8</f>
        <v/>
      </c>
      <c r="F225" s="85">
        <f>爬塔!K8</f>
        <v/>
      </c>
      <c r="G225" s="85">
        <f>爬塔!L8</f>
        <v/>
      </c>
      <c r="H225" s="85" t="n">
        <v>7.59459437601721</v>
      </c>
      <c r="I225" s="85">
        <f>爬塔!X8</f>
        <v/>
      </c>
      <c r="J225" s="85">
        <f>I225/H225</f>
        <v/>
      </c>
      <c r="K225" s="85" t="n">
        <v>6.82497214162308</v>
      </c>
      <c r="L225" s="85">
        <f>爬塔!Y8</f>
        <v/>
      </c>
      <c r="M225" s="85">
        <f>L225/K225</f>
        <v/>
      </c>
      <c r="N225" t="inlineStr">
        <is>
          <t>原源表节点</t>
        </is>
      </c>
    </row>
    <row r="226">
      <c r="A226" t="inlineStr">
        <is>
          <t>爬塔</t>
        </is>
      </c>
      <c r="B226" t="inlineStr">
        <is>
          <t>第5层</t>
        </is>
      </c>
      <c r="C226" t="n">
        <v>30</v>
      </c>
      <c r="D226" t="n">
        <v>65</v>
      </c>
      <c r="E226">
        <f>爬塔!J9</f>
        <v/>
      </c>
      <c r="F226" s="85">
        <f>爬塔!K9</f>
        <v/>
      </c>
      <c r="G226" s="85">
        <f>爬塔!L9</f>
        <v/>
      </c>
      <c r="H226" s="85" t="n">
        <v>10.5939515485235</v>
      </c>
      <c r="I226" s="85">
        <f>爬塔!X9</f>
        <v/>
      </c>
      <c r="J226" s="85">
        <f>I226/H226</f>
        <v/>
      </c>
      <c r="K226" s="85" t="n">
        <v>7.05902187643787</v>
      </c>
      <c r="L226" s="85">
        <f>爬塔!Y9</f>
        <v/>
      </c>
      <c r="M226" s="85">
        <f>L226/K226</f>
        <v/>
      </c>
      <c r="N226" t="inlineStr">
        <is>
          <t>原源表节点</t>
        </is>
      </c>
    </row>
    <row r="227">
      <c r="A227" t="inlineStr">
        <is>
          <t>爬塔</t>
        </is>
      </c>
      <c r="B227" t="inlineStr">
        <is>
          <t>第6层</t>
        </is>
      </c>
      <c r="C227" t="n">
        <v>32</v>
      </c>
      <c r="D227" t="n">
        <v>73</v>
      </c>
      <c r="E227">
        <f>爬塔!J10</f>
        <v/>
      </c>
      <c r="F227" s="85">
        <f>爬塔!K10</f>
        <v/>
      </c>
      <c r="G227" s="85">
        <f>爬塔!L10</f>
        <v/>
      </c>
      <c r="H227" s="85" t="n">
        <v>9.763544754352409</v>
      </c>
      <c r="I227" s="85">
        <f>爬塔!X10</f>
        <v/>
      </c>
      <c r="J227" s="85">
        <f>I227/H227</f>
        <v/>
      </c>
      <c r="K227" s="85" t="n">
        <v>6.75350278185777</v>
      </c>
      <c r="L227" s="85">
        <f>爬塔!Y10</f>
        <v/>
      </c>
      <c r="M227" s="85">
        <f>L227/K227</f>
        <v/>
      </c>
      <c r="N227" t="inlineStr">
        <is>
          <t>原源表节点</t>
        </is>
      </c>
    </row>
    <row r="228">
      <c r="A228" t="inlineStr">
        <is>
          <t>爬塔</t>
        </is>
      </c>
      <c r="B228" t="inlineStr">
        <is>
          <t>第7层</t>
        </is>
      </c>
      <c r="C228" t="n">
        <v>34</v>
      </c>
      <c r="D228" t="n">
        <v>79</v>
      </c>
      <c r="E228">
        <f>爬塔!J11</f>
        <v/>
      </c>
      <c r="F228" s="85">
        <f>爬塔!K11</f>
        <v/>
      </c>
      <c r="G228" s="85">
        <f>爬塔!L11</f>
        <v/>
      </c>
      <c r="H228" s="85" t="n">
        <v>9.97885189230982</v>
      </c>
      <c r="I228" s="85">
        <f>爬塔!X11</f>
        <v/>
      </c>
      <c r="J228" s="85">
        <f>I228/H228</f>
        <v/>
      </c>
      <c r="K228" s="85" t="n">
        <v>7.39200577586841</v>
      </c>
      <c r="L228" s="85">
        <f>爬塔!Y11</f>
        <v/>
      </c>
      <c r="M228" s="85">
        <f>L228/K228</f>
        <v/>
      </c>
      <c r="N228" t="inlineStr">
        <is>
          <t>原源表节点</t>
        </is>
      </c>
    </row>
    <row r="229">
      <c r="A229" t="inlineStr">
        <is>
          <t>爬塔</t>
        </is>
      </c>
      <c r="B229" t="inlineStr">
        <is>
          <t>第8层</t>
        </is>
      </c>
      <c r="C229" t="n">
        <v>36</v>
      </c>
      <c r="D229" t="n">
        <v>86</v>
      </c>
      <c r="E229">
        <f>爬塔!J12</f>
        <v/>
      </c>
      <c r="F229" s="85">
        <f>爬塔!K12</f>
        <v/>
      </c>
      <c r="G229" s="85">
        <f>爬塔!L12</f>
        <v/>
      </c>
      <c r="H229" s="85" t="n">
        <v>11.0521193878309</v>
      </c>
      <c r="I229" s="85">
        <f>爬塔!X12</f>
        <v/>
      </c>
      <c r="J229" s="85">
        <f>I229/H229</f>
        <v/>
      </c>
      <c r="K229" s="85" t="n">
        <v>8.23368523776676</v>
      </c>
      <c r="L229" s="85">
        <f>爬塔!Y12</f>
        <v/>
      </c>
      <c r="M229" s="85">
        <f>L229/K229</f>
        <v/>
      </c>
      <c r="N229" t="inlineStr">
        <is>
          <t>原源表节点</t>
        </is>
      </c>
    </row>
    <row r="230">
      <c r="A230" t="inlineStr">
        <is>
          <t>爬塔</t>
        </is>
      </c>
      <c r="B230" t="inlineStr">
        <is>
          <t>第9层</t>
        </is>
      </c>
      <c r="C230" t="n">
        <v>38</v>
      </c>
      <c r="D230" t="n">
        <v>93</v>
      </c>
      <c r="E230">
        <f>爬塔!J13</f>
        <v/>
      </c>
      <c r="F230" s="85">
        <f>爬塔!K13</f>
        <v/>
      </c>
      <c r="G230" s="85">
        <f>爬塔!L13</f>
        <v/>
      </c>
      <c r="H230" s="85" t="n">
        <v>10.2061983474411</v>
      </c>
      <c r="I230" s="85">
        <f>爬塔!X13</f>
        <v/>
      </c>
      <c r="J230" s="85">
        <f>I230/H230</f>
        <v/>
      </c>
      <c r="K230" s="85" t="n">
        <v>7.81344934902795</v>
      </c>
      <c r="L230" s="85">
        <f>爬塔!Y13</f>
        <v/>
      </c>
      <c r="M230" s="85">
        <f>L230/K230</f>
        <v/>
      </c>
      <c r="N230" t="inlineStr">
        <is>
          <t>原源表节点</t>
        </is>
      </c>
    </row>
    <row r="231">
      <c r="A231" t="inlineStr">
        <is>
          <t>爬塔</t>
        </is>
      </c>
      <c r="B231" t="inlineStr">
        <is>
          <t>第10层</t>
        </is>
      </c>
      <c r="C231" t="n">
        <v>40</v>
      </c>
      <c r="D231" t="n">
        <v>100</v>
      </c>
      <c r="E231">
        <f>爬塔!J14</f>
        <v/>
      </c>
      <c r="F231" s="85">
        <f>爬塔!K14</f>
        <v/>
      </c>
      <c r="G231" s="85">
        <f>爬塔!L14</f>
        <v/>
      </c>
      <c r="H231" s="85" t="n">
        <v>9.313883911447849</v>
      </c>
      <c r="I231" s="85">
        <f>爬塔!X14</f>
        <v/>
      </c>
      <c r="J231" s="85">
        <f>I231/H231</f>
        <v/>
      </c>
      <c r="K231" s="85" t="n">
        <v>7.68835778264004</v>
      </c>
      <c r="L231" s="85">
        <f>爬塔!Y14</f>
        <v/>
      </c>
      <c r="M231" s="85">
        <f>L231/K231</f>
        <v/>
      </c>
      <c r="N231" t="inlineStr">
        <is>
          <t>原源表节点</t>
        </is>
      </c>
    </row>
    <row r="232">
      <c r="A232" t="inlineStr">
        <is>
          <t>爬塔</t>
        </is>
      </c>
      <c r="B232" t="inlineStr">
        <is>
          <t>第11层</t>
        </is>
      </c>
      <c r="C232" t="n">
        <v>42</v>
      </c>
      <c r="D232" t="n">
        <v>106</v>
      </c>
      <c r="E232">
        <f>爬塔!J15</f>
        <v/>
      </c>
      <c r="F232" s="85">
        <f>爬塔!K15</f>
        <v/>
      </c>
      <c r="G232" s="85">
        <f>爬塔!L15</f>
        <v/>
      </c>
      <c r="H232" s="85" t="n">
        <v>9.329869020241309</v>
      </c>
      <c r="I232" s="85">
        <f>爬塔!X15</f>
        <v/>
      </c>
      <c r="J232" s="85">
        <f>I232/H232</f>
        <v/>
      </c>
      <c r="K232" s="85" t="n">
        <v>7.90856745510231</v>
      </c>
      <c r="L232" s="85">
        <f>爬塔!Y15</f>
        <v/>
      </c>
      <c r="M232" s="85">
        <f>L232/K232</f>
        <v/>
      </c>
      <c r="N232" t="inlineStr">
        <is>
          <t>原源表节点</t>
        </is>
      </c>
    </row>
    <row r="233">
      <c r="A233" t="inlineStr">
        <is>
          <t>爬塔</t>
        </is>
      </c>
      <c r="B233" t="inlineStr">
        <is>
          <t>第12层</t>
        </is>
      </c>
      <c r="C233" t="n">
        <v>44</v>
      </c>
      <c r="D233" t="n">
        <v>113</v>
      </c>
      <c r="E233">
        <f>爬塔!J16</f>
        <v/>
      </c>
      <c r="F233" s="85">
        <f>爬塔!K16</f>
        <v/>
      </c>
      <c r="G233" s="85">
        <f>爬塔!L16</f>
        <v/>
      </c>
      <c r="H233" s="85" t="n">
        <v>10.7465246829535</v>
      </c>
      <c r="I233" s="85">
        <f>爬塔!X16</f>
        <v/>
      </c>
      <c r="J233" s="85">
        <f>I233/H233</f>
        <v/>
      </c>
      <c r="K233" s="85" t="n">
        <v>8.29949596766359</v>
      </c>
      <c r="L233" s="85">
        <f>爬塔!Y16</f>
        <v/>
      </c>
      <c r="M233" s="85">
        <f>L233/K233</f>
        <v/>
      </c>
      <c r="N233" t="inlineStr">
        <is>
          <t>原源表节点</t>
        </is>
      </c>
    </row>
    <row r="234">
      <c r="A234" t="inlineStr">
        <is>
          <t>爬塔</t>
        </is>
      </c>
      <c r="B234" t="inlineStr">
        <is>
          <t>第13层</t>
        </is>
      </c>
      <c r="C234" t="n">
        <v>47</v>
      </c>
      <c r="D234" t="n">
        <v>120</v>
      </c>
      <c r="E234">
        <f>爬塔!J17</f>
        <v/>
      </c>
      <c r="F234" s="85">
        <f>爬塔!K17</f>
        <v/>
      </c>
      <c r="G234" s="85">
        <f>爬塔!L17</f>
        <v/>
      </c>
      <c r="H234" s="85" t="n">
        <v>8.833335791200451</v>
      </c>
      <c r="I234" s="85">
        <f>爬塔!X17</f>
        <v/>
      </c>
      <c r="J234" s="85">
        <f>I234/H234</f>
        <v/>
      </c>
      <c r="K234" s="85" t="n">
        <v>8.129035389974399</v>
      </c>
      <c r="L234" s="85">
        <f>爬塔!Y17</f>
        <v/>
      </c>
      <c r="M234" s="85">
        <f>L234/K234</f>
        <v/>
      </c>
      <c r="N234" t="inlineStr">
        <is>
          <t>原源表节点</t>
        </is>
      </c>
    </row>
    <row r="235">
      <c r="A235" t="inlineStr">
        <is>
          <t>爬塔</t>
        </is>
      </c>
      <c r="B235" t="inlineStr">
        <is>
          <t>第14层</t>
        </is>
      </c>
      <c r="C235" t="n">
        <v>49</v>
      </c>
      <c r="D235" t="n">
        <v>126</v>
      </c>
      <c r="E235">
        <f>爬塔!J18</f>
        <v/>
      </c>
      <c r="F235" s="85">
        <f>爬塔!K18</f>
        <v/>
      </c>
      <c r="G235" s="85">
        <f>爬塔!L18</f>
        <v/>
      </c>
      <c r="H235" s="85" t="n">
        <v>11.2881652571781</v>
      </c>
      <c r="I235" s="85">
        <f>爬塔!X18</f>
        <v/>
      </c>
      <c r="J235" s="85">
        <f>I235/H235</f>
        <v/>
      </c>
      <c r="K235" s="85" t="n">
        <v>9.19623173702079</v>
      </c>
      <c r="L235" s="85">
        <f>爬塔!Y18</f>
        <v/>
      </c>
      <c r="M235" s="85">
        <f>L235/K235</f>
        <v/>
      </c>
      <c r="N235" t="inlineStr">
        <is>
          <t>原源表节点</t>
        </is>
      </c>
    </row>
    <row r="236">
      <c r="A236" t="inlineStr">
        <is>
          <t>爬塔</t>
        </is>
      </c>
      <c r="B236" t="inlineStr">
        <is>
          <t>第15层</t>
        </is>
      </c>
      <c r="C236" t="n">
        <v>51</v>
      </c>
      <c r="D236" t="n">
        <v>133</v>
      </c>
      <c r="E236">
        <f>爬塔!J19</f>
        <v/>
      </c>
      <c r="F236" s="85">
        <f>爬塔!K19</f>
        <v/>
      </c>
      <c r="G236" s="85">
        <f>爬塔!L19</f>
        <v/>
      </c>
      <c r="H236" s="85" t="n">
        <v>11.1656721049002</v>
      </c>
      <c r="I236" s="85">
        <f>爬塔!X19</f>
        <v/>
      </c>
      <c r="J236" s="85">
        <f>I236/H236</f>
        <v/>
      </c>
      <c r="K236" s="85" t="n">
        <v>8.862756547685629</v>
      </c>
      <c r="L236" s="85">
        <f>爬塔!Y19</f>
        <v/>
      </c>
      <c r="M236" s="85">
        <f>L236/K236</f>
        <v/>
      </c>
      <c r="N236" t="inlineStr">
        <is>
          <t>原源表节点</t>
        </is>
      </c>
    </row>
    <row r="237">
      <c r="A237" t="inlineStr">
        <is>
          <t>爬塔</t>
        </is>
      </c>
      <c r="B237" t="inlineStr">
        <is>
          <t>第16层</t>
        </is>
      </c>
      <c r="C237" t="n">
        <v>53</v>
      </c>
      <c r="D237" t="n">
        <v>141</v>
      </c>
      <c r="E237">
        <f>爬塔!J20</f>
        <v/>
      </c>
      <c r="F237" s="85">
        <f>爬塔!K20</f>
        <v/>
      </c>
      <c r="G237" s="85">
        <f>爬塔!L20</f>
        <v/>
      </c>
      <c r="H237" s="85" t="n">
        <v>12.5594335542377</v>
      </c>
      <c r="I237" s="85">
        <f>爬塔!X20</f>
        <v/>
      </c>
      <c r="J237" s="85">
        <f>I237/H237</f>
        <v/>
      </c>
      <c r="K237" s="85" t="n">
        <v>8.7635929939772</v>
      </c>
      <c r="L237" s="85">
        <f>爬塔!Y20</f>
        <v/>
      </c>
      <c r="M237" s="85">
        <f>L237/K237</f>
        <v/>
      </c>
      <c r="N237" t="inlineStr">
        <is>
          <t>原源表节点</t>
        </is>
      </c>
    </row>
    <row r="238">
      <c r="A238" t="inlineStr">
        <is>
          <t>爬塔</t>
        </is>
      </c>
      <c r="B238" t="inlineStr">
        <is>
          <t>第17层</t>
        </is>
      </c>
      <c r="C238" t="n">
        <v>55</v>
      </c>
      <c r="D238" t="n">
        <v>148</v>
      </c>
      <c r="E238">
        <f>爬塔!J21</f>
        <v/>
      </c>
      <c r="F238" s="85">
        <f>爬塔!K21</f>
        <v/>
      </c>
      <c r="G238" s="85">
        <f>爬塔!L21</f>
        <v/>
      </c>
      <c r="H238" s="85" t="n">
        <v>13.1176798708932</v>
      </c>
      <c r="I238" s="85">
        <f>爬塔!X21</f>
        <v/>
      </c>
      <c r="J238" s="85">
        <f>I238/H238</f>
        <v/>
      </c>
      <c r="K238" s="85" t="n">
        <v>8.74053028706996</v>
      </c>
      <c r="L238" s="85">
        <f>爬塔!Y21</f>
        <v/>
      </c>
      <c r="M238" s="85">
        <f>L238/K238</f>
        <v/>
      </c>
      <c r="N238" t="inlineStr">
        <is>
          <t>原源表节点</t>
        </is>
      </c>
    </row>
    <row r="239">
      <c r="A239" t="inlineStr">
        <is>
          <t>爬塔</t>
        </is>
      </c>
      <c r="B239" t="inlineStr">
        <is>
          <t>第18层</t>
        </is>
      </c>
      <c r="C239" t="n">
        <v>58</v>
      </c>
      <c r="D239" t="n">
        <v>155</v>
      </c>
      <c r="E239">
        <f>爬塔!J22</f>
        <v/>
      </c>
      <c r="F239" s="85">
        <f>爬塔!K22</f>
        <v/>
      </c>
      <c r="G239" s="85">
        <f>爬塔!L22</f>
        <v/>
      </c>
      <c r="H239" s="85" t="n">
        <v>11.7061535720668</v>
      </c>
      <c r="I239" s="85">
        <f>爬塔!X22</f>
        <v/>
      </c>
      <c r="J239" s="85">
        <f>I239/H239</f>
        <v/>
      </c>
      <c r="K239" s="85" t="n">
        <v>8.962786477043069</v>
      </c>
      <c r="L239" s="85">
        <f>爬塔!Y22</f>
        <v/>
      </c>
      <c r="M239" s="85">
        <f>L239/K239</f>
        <v/>
      </c>
      <c r="N239" t="inlineStr">
        <is>
          <t>原源表节点</t>
        </is>
      </c>
    </row>
    <row r="240">
      <c r="A240" t="inlineStr">
        <is>
          <t>爬塔</t>
        </is>
      </c>
      <c r="B240" t="inlineStr">
        <is>
          <t>第19层</t>
        </is>
      </c>
      <c r="C240" t="n">
        <v>60</v>
      </c>
      <c r="D240" t="n">
        <v>162</v>
      </c>
      <c r="E240">
        <f>爬塔!J23</f>
        <v/>
      </c>
      <c r="F240" s="85">
        <f>爬塔!K23</f>
        <v/>
      </c>
      <c r="G240" s="85">
        <f>爬塔!L23</f>
        <v/>
      </c>
      <c r="H240" s="85" t="n">
        <v>13.7833581001967</v>
      </c>
      <c r="I240" s="85">
        <f>爬塔!X23</f>
        <v/>
      </c>
      <c r="J240" s="85">
        <f>I240/H240</f>
        <v/>
      </c>
      <c r="K240" s="85" t="n">
        <v>9.23570969248688</v>
      </c>
      <c r="L240" s="85">
        <f>爬塔!Y23</f>
        <v/>
      </c>
      <c r="M240" s="85">
        <f>L240/K240</f>
        <v/>
      </c>
      <c r="N240" t="inlineStr">
        <is>
          <t>原源表节点</t>
        </is>
      </c>
    </row>
    <row r="241">
      <c r="A241" t="inlineStr">
        <is>
          <t>爬塔</t>
        </is>
      </c>
      <c r="B241" t="inlineStr">
        <is>
          <t>第20层</t>
        </is>
      </c>
      <c r="C241" t="n">
        <v>62</v>
      </c>
      <c r="D241" t="n">
        <v>169</v>
      </c>
      <c r="E241">
        <f>爬塔!J24</f>
        <v/>
      </c>
      <c r="F241" s="85">
        <f>爬塔!K24</f>
        <v/>
      </c>
      <c r="G241" s="85">
        <f>爬塔!L24</f>
        <v/>
      </c>
      <c r="H241" s="85" t="n">
        <v>12.1046688879446</v>
      </c>
      <c r="I241" s="85">
        <f>爬塔!X24</f>
        <v/>
      </c>
      <c r="J241" s="85">
        <f>I241/H241</f>
        <v/>
      </c>
      <c r="K241" s="85" t="n">
        <v>8.49957235486862</v>
      </c>
      <c r="L241" s="85">
        <f>爬塔!Y24</f>
        <v/>
      </c>
      <c r="M241" s="85">
        <f>L241/K241</f>
        <v/>
      </c>
      <c r="N241" t="inlineStr">
        <is>
          <t>原源表节点</t>
        </is>
      </c>
    </row>
    <row r="242">
      <c r="A242" t="inlineStr">
        <is>
          <t>爬塔</t>
        </is>
      </c>
      <c r="B242" t="inlineStr">
        <is>
          <t>第21层</t>
        </is>
      </c>
      <c r="C242" t="n">
        <v>65</v>
      </c>
      <c r="D242" t="n">
        <v>176</v>
      </c>
      <c r="E242">
        <f>爬塔!J25</f>
        <v/>
      </c>
      <c r="F242" s="85">
        <f>爬塔!K25</f>
        <v/>
      </c>
      <c r="G242" s="85">
        <f>爬塔!L25</f>
        <v/>
      </c>
      <c r="H242" s="85" t="n">
        <v>14.679419520164</v>
      </c>
      <c r="I242" s="85">
        <f>爬塔!X25</f>
        <v/>
      </c>
      <c r="J242" s="85">
        <f>I242/H242</f>
        <v/>
      </c>
      <c r="K242" s="85" t="n">
        <v>9.05445161127348</v>
      </c>
      <c r="L242" s="85">
        <f>爬塔!Y25</f>
        <v/>
      </c>
      <c r="M242" s="85">
        <f>L242/K242</f>
        <v/>
      </c>
      <c r="N242" t="inlineStr">
        <is>
          <t>原源表节点</t>
        </is>
      </c>
    </row>
    <row r="243">
      <c r="A243" t="inlineStr">
        <is>
          <t>爬塔</t>
        </is>
      </c>
      <c r="B243" t="inlineStr">
        <is>
          <t>第22层</t>
        </is>
      </c>
      <c r="C243" t="n">
        <v>67</v>
      </c>
      <c r="D243" t="n">
        <v>182</v>
      </c>
      <c r="E243">
        <f>爬塔!J26</f>
        <v/>
      </c>
      <c r="F243" s="85">
        <f>爬塔!K26</f>
        <v/>
      </c>
      <c r="G243" s="85">
        <f>爬塔!L26</f>
        <v/>
      </c>
      <c r="H243" s="85" t="n">
        <v>14.1292340240251</v>
      </c>
      <c r="I243" s="85">
        <f>爬塔!X26</f>
        <v/>
      </c>
      <c r="J243" s="85">
        <f>I243/H243</f>
        <v/>
      </c>
      <c r="K243" s="85" t="n">
        <v>8.90756498055476</v>
      </c>
      <c r="L243" s="85">
        <f>爬塔!Y26</f>
        <v/>
      </c>
      <c r="M243" s="85">
        <f>L243/K243</f>
        <v/>
      </c>
      <c r="N243" t="inlineStr">
        <is>
          <t>原源表节点</t>
        </is>
      </c>
    </row>
    <row r="244">
      <c r="A244" t="inlineStr">
        <is>
          <t>爬塔</t>
        </is>
      </c>
      <c r="B244" t="inlineStr">
        <is>
          <t>第23层</t>
        </is>
      </c>
      <c r="C244" t="n">
        <v>69</v>
      </c>
      <c r="D244" t="n">
        <v>186</v>
      </c>
      <c r="E244">
        <f>爬塔!J27</f>
        <v/>
      </c>
      <c r="F244" s="85">
        <f>爬塔!K27</f>
        <v/>
      </c>
      <c r="G244" s="85">
        <f>爬塔!L27</f>
        <v/>
      </c>
      <c r="H244" s="85" t="n">
        <v>15.5197232813022</v>
      </c>
      <c r="I244" s="85">
        <f>爬塔!X27</f>
        <v/>
      </c>
      <c r="J244" s="85">
        <f>I244/H244</f>
        <v/>
      </c>
      <c r="K244" s="85" t="n">
        <v>9.9115756474108</v>
      </c>
      <c r="L244" s="85">
        <f>爬塔!Y27</f>
        <v/>
      </c>
      <c r="M244" s="85">
        <f>L244/K244</f>
        <v/>
      </c>
      <c r="N244" t="inlineStr">
        <is>
          <t>原源表节点</t>
        </is>
      </c>
    </row>
    <row r="245">
      <c r="A245" t="inlineStr">
        <is>
          <t>爬塔</t>
        </is>
      </c>
      <c r="B245" t="inlineStr">
        <is>
          <t>第24层</t>
        </is>
      </c>
      <c r="C245" t="n">
        <v>72</v>
      </c>
      <c r="D245" t="n">
        <v>193</v>
      </c>
      <c r="E245">
        <f>爬塔!J28</f>
        <v/>
      </c>
      <c r="F245" s="85">
        <f>爬塔!K28</f>
        <v/>
      </c>
      <c r="G245" s="85">
        <f>爬塔!L28</f>
        <v/>
      </c>
      <c r="H245" s="85" t="n">
        <v>15.4856026575642</v>
      </c>
      <c r="I245" s="85">
        <f>爬塔!X28</f>
        <v/>
      </c>
      <c r="J245" s="85">
        <f>I245/H245</f>
        <v/>
      </c>
      <c r="K245" s="85" t="n">
        <v>10.6644685348191</v>
      </c>
      <c r="L245" s="85">
        <f>爬塔!Y28</f>
        <v/>
      </c>
      <c r="M245" s="85">
        <f>L245/K245</f>
        <v/>
      </c>
      <c r="N245" t="inlineStr">
        <is>
          <t>原源表节点</t>
        </is>
      </c>
    </row>
    <row r="246">
      <c r="A246" t="inlineStr">
        <is>
          <t>爬塔</t>
        </is>
      </c>
      <c r="B246" t="inlineStr">
        <is>
          <t>第25层</t>
        </is>
      </c>
      <c r="C246" t="n">
        <v>74</v>
      </c>
      <c r="D246" t="n">
        <v>198</v>
      </c>
      <c r="E246">
        <f>爬塔!J29</f>
        <v/>
      </c>
      <c r="F246" s="85">
        <f>爬塔!K29</f>
        <v/>
      </c>
      <c r="G246" s="85">
        <f>爬塔!L29</f>
        <v/>
      </c>
      <c r="H246" s="85" t="n">
        <v>14.8636984558486</v>
      </c>
      <c r="I246" s="85">
        <f>爬塔!X29</f>
        <v/>
      </c>
      <c r="J246" s="85">
        <f>I246/H246</f>
        <v/>
      </c>
      <c r="K246" s="85" t="n">
        <v>10.4209641377275</v>
      </c>
      <c r="L246" s="85">
        <f>爬塔!Y29</f>
        <v/>
      </c>
      <c r="M246" s="85">
        <f>L246/K246</f>
        <v/>
      </c>
      <c r="N246" t="inlineStr">
        <is>
          <t>原源表节点</t>
        </is>
      </c>
    </row>
    <row r="247">
      <c r="A247" t="inlineStr">
        <is>
          <t>爬塔</t>
        </is>
      </c>
      <c r="B247" t="inlineStr">
        <is>
          <t>第26层</t>
        </is>
      </c>
      <c r="C247" t="n">
        <v>76</v>
      </c>
      <c r="D247" t="n">
        <v>201</v>
      </c>
      <c r="E247">
        <f>爬塔!J30</f>
        <v/>
      </c>
      <c r="F247" s="85">
        <f>爬塔!K30</f>
        <v/>
      </c>
      <c r="G247" s="85">
        <f>爬塔!L30</f>
        <v/>
      </c>
      <c r="H247" s="85" t="n">
        <v>13.0474570319583</v>
      </c>
      <c r="I247" s="85">
        <f>爬塔!X30</f>
        <v/>
      </c>
      <c r="J247" s="85">
        <f>I247/H247</f>
        <v/>
      </c>
      <c r="K247" s="85" t="n">
        <v>9.96210913687108</v>
      </c>
      <c r="L247" s="85">
        <f>爬塔!Y30</f>
        <v/>
      </c>
      <c r="M247" s="85">
        <f>L247/K247</f>
        <v/>
      </c>
      <c r="N247" t="inlineStr">
        <is>
          <t>原源表节点</t>
        </is>
      </c>
    </row>
    <row r="248">
      <c r="A248" t="inlineStr">
        <is>
          <t>爬塔</t>
        </is>
      </c>
      <c r="B248" t="inlineStr">
        <is>
          <t>第27层</t>
        </is>
      </c>
      <c r="C248" t="n">
        <v>79</v>
      </c>
      <c r="D248" t="n">
        <v>207</v>
      </c>
      <c r="E248">
        <f>爬塔!J31</f>
        <v/>
      </c>
      <c r="F248" s="85">
        <f>爬塔!K31</f>
        <v/>
      </c>
      <c r="G248" s="85">
        <f>爬塔!L31</f>
        <v/>
      </c>
      <c r="H248" s="85" t="n">
        <v>15.5854272437086</v>
      </c>
      <c r="I248" s="85">
        <f>爬塔!X31</f>
        <v/>
      </c>
      <c r="J248" s="85">
        <f>I248/H248</f>
        <v/>
      </c>
      <c r="K248" s="85" t="n">
        <v>11.0192988279702</v>
      </c>
      <c r="L248" s="85">
        <f>爬塔!Y31</f>
        <v/>
      </c>
      <c r="M248" s="85">
        <f>L248/K248</f>
        <v/>
      </c>
      <c r="N248" t="inlineStr">
        <is>
          <t>原源表节点</t>
        </is>
      </c>
    </row>
    <row r="249">
      <c r="A249" t="inlineStr">
        <is>
          <t>爬塔</t>
        </is>
      </c>
      <c r="B249" t="inlineStr">
        <is>
          <t>第28层</t>
        </is>
      </c>
      <c r="C249" t="n">
        <v>81</v>
      </c>
      <c r="D249" t="n">
        <v>211</v>
      </c>
      <c r="E249">
        <f>爬塔!J32</f>
        <v/>
      </c>
      <c r="F249" s="85">
        <f>爬塔!K32</f>
        <v/>
      </c>
      <c r="G249" s="85">
        <f>爬塔!L32</f>
        <v/>
      </c>
      <c r="H249" s="85" t="n">
        <v>15.7806103772959</v>
      </c>
      <c r="I249" s="85">
        <f>爬塔!X32</f>
        <v/>
      </c>
      <c r="J249" s="85">
        <f>I249/H249</f>
        <v/>
      </c>
      <c r="K249" s="85" t="n">
        <v>10.7684462426168</v>
      </c>
      <c r="L249" s="85">
        <f>爬塔!Y32</f>
        <v/>
      </c>
      <c r="M249" s="85">
        <f>L249/K249</f>
        <v/>
      </c>
      <c r="N249" t="inlineStr">
        <is>
          <t>原源表节点</t>
        </is>
      </c>
    </row>
    <row r="250">
      <c r="A250" t="inlineStr">
        <is>
          <t>爬塔</t>
        </is>
      </c>
      <c r="B250" t="inlineStr">
        <is>
          <t>第29层</t>
        </is>
      </c>
      <c r="C250" t="n">
        <v>84</v>
      </c>
      <c r="D250" t="n">
        <v>216</v>
      </c>
      <c r="E250">
        <f>爬塔!J33</f>
        <v/>
      </c>
      <c r="F250" s="85">
        <f>爬塔!K33</f>
        <v/>
      </c>
      <c r="G250" s="85">
        <f>爬塔!L33</f>
        <v/>
      </c>
      <c r="H250" s="85" t="n">
        <v>14.0236540905299</v>
      </c>
      <c r="I250" s="85">
        <f>爬塔!X33</f>
        <v/>
      </c>
      <c r="J250" s="85">
        <f>I250/H250</f>
        <v/>
      </c>
      <c r="K250" s="85" t="n">
        <v>10.6544507656704</v>
      </c>
      <c r="L250" s="85">
        <f>爬塔!Y33</f>
        <v/>
      </c>
      <c r="M250" s="85">
        <f>L250/K250</f>
        <v/>
      </c>
      <c r="N250" t="inlineStr">
        <is>
          <t>原源表节点</t>
        </is>
      </c>
    </row>
    <row r="251">
      <c r="A251" t="inlineStr">
        <is>
          <t>爬塔</t>
        </is>
      </c>
      <c r="B251" t="inlineStr">
        <is>
          <t>第30层</t>
        </is>
      </c>
      <c r="C251" t="n">
        <v>86</v>
      </c>
      <c r="D251" t="n">
        <v>220</v>
      </c>
      <c r="E251">
        <f>爬塔!J34</f>
        <v/>
      </c>
      <c r="F251" s="85">
        <f>爬塔!K34</f>
        <v/>
      </c>
      <c r="G251" s="85">
        <f>爬塔!L34</f>
        <v/>
      </c>
      <c r="H251" s="85" t="n">
        <v>14.0528972023892</v>
      </c>
      <c r="I251" s="85">
        <f>爬塔!X34</f>
        <v/>
      </c>
      <c r="J251" s="85">
        <f>I251/H251</f>
        <v/>
      </c>
      <c r="K251" s="85" t="n">
        <v>11.1551717874543</v>
      </c>
      <c r="L251" s="85">
        <f>爬塔!Y34</f>
        <v/>
      </c>
      <c r="M251" s="85">
        <f>L251/K251</f>
        <v/>
      </c>
      <c r="N251" t="inlineStr">
        <is>
          <t>原源表节点</t>
        </is>
      </c>
    </row>
    <row r="252">
      <c r="A252" t="inlineStr">
        <is>
          <t>爬塔</t>
        </is>
      </c>
      <c r="B252" t="inlineStr">
        <is>
          <t>第31层</t>
        </is>
      </c>
      <c r="C252" t="n">
        <v>89</v>
      </c>
      <c r="D252" t="n">
        <v>224</v>
      </c>
      <c r="E252">
        <f>爬塔!J35</f>
        <v/>
      </c>
      <c r="F252" s="85">
        <f>爬塔!K35</f>
        <v/>
      </c>
      <c r="G252" s="85">
        <f>爬塔!L35</f>
        <v/>
      </c>
      <c r="H252" s="85" t="n">
        <v>13.9209374859203</v>
      </c>
      <c r="I252" s="85">
        <f>爬塔!X35</f>
        <v/>
      </c>
      <c r="J252" s="85">
        <f>I252/H252</f>
        <v/>
      </c>
      <c r="K252" s="85" t="n">
        <v>11.4476163780535</v>
      </c>
      <c r="L252" s="85">
        <f>爬塔!Y35</f>
        <v/>
      </c>
      <c r="M252" s="85">
        <f>L252/K252</f>
        <v/>
      </c>
      <c r="N252" t="inlineStr">
        <is>
          <t>原源表节点</t>
        </is>
      </c>
    </row>
    <row r="253">
      <c r="A253" t="inlineStr">
        <is>
          <t>爬塔</t>
        </is>
      </c>
      <c r="B253" t="inlineStr">
        <is>
          <t>第32层</t>
        </is>
      </c>
      <c r="C253" t="n">
        <v>91</v>
      </c>
      <c r="D253" t="n">
        <v>227</v>
      </c>
      <c r="E253">
        <f>爬塔!J36</f>
        <v/>
      </c>
      <c r="F253" s="85">
        <f>爬塔!K36</f>
        <v/>
      </c>
      <c r="G253" s="85">
        <f>爬塔!L36</f>
        <v/>
      </c>
      <c r="H253" s="85" t="n">
        <v>14.7441499060816</v>
      </c>
      <c r="I253" s="85">
        <f>爬塔!X36</f>
        <v/>
      </c>
      <c r="J253" s="85">
        <f>I253/H253</f>
        <v/>
      </c>
      <c r="K253" s="85" t="n">
        <v>12.0388150349879</v>
      </c>
      <c r="L253" s="85">
        <f>爬塔!Y36</f>
        <v/>
      </c>
      <c r="M253" s="85">
        <f>L253/K253</f>
        <v/>
      </c>
      <c r="N253" t="inlineStr">
        <is>
          <t>原源表节点</t>
        </is>
      </c>
    </row>
    <row r="254">
      <c r="A254" t="inlineStr">
        <is>
          <t>爬塔</t>
        </is>
      </c>
      <c r="B254" t="inlineStr">
        <is>
          <t>第33层</t>
        </is>
      </c>
      <c r="C254" t="n">
        <v>94</v>
      </c>
      <c r="D254" t="n">
        <v>231</v>
      </c>
      <c r="E254">
        <f>爬塔!J37</f>
        <v/>
      </c>
      <c r="F254" s="85">
        <f>爬塔!K37</f>
        <v/>
      </c>
      <c r="G254" s="85">
        <f>爬塔!L37</f>
        <v/>
      </c>
      <c r="H254" s="85" t="n">
        <v>13.889039500179</v>
      </c>
      <c r="I254" s="85">
        <f>爬塔!X37</f>
        <v/>
      </c>
      <c r="J254" s="85">
        <f>I254/H254</f>
        <v/>
      </c>
      <c r="K254" s="85" t="n">
        <v>11.8215040581991</v>
      </c>
      <c r="L254" s="85">
        <f>爬塔!Y37</f>
        <v/>
      </c>
      <c r="M254" s="85">
        <f>L254/K254</f>
        <v/>
      </c>
      <c r="N254" t="inlineStr">
        <is>
          <t>原源表节点</t>
        </is>
      </c>
    </row>
    <row r="255">
      <c r="A255" t="inlineStr">
        <is>
          <t>爬塔</t>
        </is>
      </c>
      <c r="B255" t="inlineStr">
        <is>
          <t>第34层</t>
        </is>
      </c>
      <c r="C255" t="n">
        <v>96</v>
      </c>
      <c r="D255" t="n">
        <v>234</v>
      </c>
      <c r="E255">
        <f>爬塔!J38</f>
        <v/>
      </c>
      <c r="F255" s="85">
        <f>爬塔!K38</f>
        <v/>
      </c>
      <c r="G255" s="85">
        <f>爬塔!L38</f>
        <v/>
      </c>
      <c r="H255" s="85" t="n">
        <v>13.952118420699</v>
      </c>
      <c r="I255" s="85">
        <f>爬塔!X38</f>
        <v/>
      </c>
      <c r="J255" s="85">
        <f>I255/H255</f>
        <v/>
      </c>
      <c r="K255" s="85" t="n">
        <v>11.9256235107324</v>
      </c>
      <c r="L255" s="85">
        <f>爬塔!Y38</f>
        <v/>
      </c>
      <c r="M255" s="85">
        <f>L255/K255</f>
        <v/>
      </c>
      <c r="N255" t="inlineStr">
        <is>
          <t>原源表节点</t>
        </is>
      </c>
    </row>
    <row r="256">
      <c r="A256" t="inlineStr">
        <is>
          <t>爬塔</t>
        </is>
      </c>
      <c r="B256" t="inlineStr">
        <is>
          <t>第35层</t>
        </is>
      </c>
      <c r="C256" t="n">
        <v>99</v>
      </c>
      <c r="D256" t="n">
        <v>238</v>
      </c>
      <c r="E256">
        <f>爬塔!J39</f>
        <v/>
      </c>
      <c r="F256" s="85">
        <f>爬塔!K39</f>
        <v/>
      </c>
      <c r="G256" s="85">
        <f>爬塔!L39</f>
        <v/>
      </c>
      <c r="H256" s="85" t="n">
        <v>14.8156524452753</v>
      </c>
      <c r="I256" s="85">
        <f>爬塔!X39</f>
        <v/>
      </c>
      <c r="J256" s="85">
        <f>I256/H256</f>
        <v/>
      </c>
      <c r="K256" s="85" t="n">
        <v>12.5612925672997</v>
      </c>
      <c r="L256" s="85">
        <f>爬塔!Y39</f>
        <v/>
      </c>
      <c r="M256" s="85">
        <f>L256/K256</f>
        <v/>
      </c>
      <c r="N256" t="inlineStr">
        <is>
          <t>原源表节点</t>
        </is>
      </c>
    </row>
    <row r="257">
      <c r="A257" t="inlineStr">
        <is>
          <t>爬塔</t>
        </is>
      </c>
      <c r="B257" t="inlineStr">
        <is>
          <t>第36层</t>
        </is>
      </c>
      <c r="C257" t="n">
        <v>101</v>
      </c>
      <c r="D257" t="n">
        <v>243</v>
      </c>
      <c r="E257">
        <f>爬塔!J40</f>
        <v/>
      </c>
      <c r="F257" s="85">
        <f>爬塔!K40</f>
        <v/>
      </c>
      <c r="G257" s="85">
        <f>爬塔!L40</f>
        <v/>
      </c>
      <c r="H257" s="85" t="n">
        <v>14.3015158381316</v>
      </c>
      <c r="I257" s="85">
        <f>爬塔!X40</f>
        <v/>
      </c>
      <c r="J257" s="85">
        <f>I257/H257</f>
        <v/>
      </c>
      <c r="K257" s="85" t="n">
        <v>12.0779696195182</v>
      </c>
      <c r="L257" s="85">
        <f>爬塔!Y40</f>
        <v/>
      </c>
      <c r="M257" s="85">
        <f>L257/K257</f>
        <v/>
      </c>
      <c r="N257" t="inlineStr">
        <is>
          <t>原源表节点</t>
        </is>
      </c>
    </row>
    <row r="258">
      <c r="A258" t="inlineStr">
        <is>
          <t>爬塔</t>
        </is>
      </c>
      <c r="B258" t="inlineStr">
        <is>
          <t>第37层</t>
        </is>
      </c>
      <c r="C258" t="n">
        <v>104</v>
      </c>
      <c r="D258" t="n">
        <v>249</v>
      </c>
      <c r="E258">
        <f>爬塔!J41</f>
        <v/>
      </c>
      <c r="F258" s="85">
        <f>爬塔!K41</f>
        <v/>
      </c>
      <c r="G258" s="85">
        <f>爬塔!L41</f>
        <v/>
      </c>
      <c r="H258" s="85" t="n">
        <v>16.1072380387952</v>
      </c>
      <c r="I258" s="85">
        <f>爬塔!X41</f>
        <v/>
      </c>
      <c r="J258" s="85">
        <f>I258/H258</f>
        <v/>
      </c>
      <c r="K258" s="85" t="n">
        <v>12.747689067503</v>
      </c>
      <c r="L258" s="85">
        <f>爬塔!Y41</f>
        <v/>
      </c>
      <c r="M258" s="85">
        <f>L258/K258</f>
        <v/>
      </c>
      <c r="N258" t="inlineStr">
        <is>
          <t>原源表节点</t>
        </is>
      </c>
    </row>
    <row r="259">
      <c r="A259" t="inlineStr">
        <is>
          <t>爬塔</t>
        </is>
      </c>
      <c r="B259" t="inlineStr">
        <is>
          <t>第38层</t>
        </is>
      </c>
      <c r="C259" t="n">
        <v>106</v>
      </c>
      <c r="D259" t="n">
        <v>253</v>
      </c>
      <c r="E259">
        <f>爬塔!J42</f>
        <v/>
      </c>
      <c r="F259" s="85">
        <f>爬塔!K42</f>
        <v/>
      </c>
      <c r="G259" s="85">
        <f>爬塔!L42</f>
        <v/>
      </c>
      <c r="H259" s="85" t="n">
        <v>13.4503733257665</v>
      </c>
      <c r="I259" s="85">
        <f>爬塔!X42</f>
        <v/>
      </c>
      <c r="J259" s="85">
        <f>I259/H259</f>
        <v/>
      </c>
      <c r="K259" s="85" t="n">
        <v>11.9379960074523</v>
      </c>
      <c r="L259" s="85">
        <f>爬塔!Y42</f>
        <v/>
      </c>
      <c r="M259" s="85">
        <f>L259/K259</f>
        <v/>
      </c>
      <c r="N259" t="inlineStr">
        <is>
          <t>原源表节点</t>
        </is>
      </c>
    </row>
    <row r="260">
      <c r="A260" t="inlineStr">
        <is>
          <t>爬塔</t>
        </is>
      </c>
      <c r="B260" t="inlineStr">
        <is>
          <t>第39层</t>
        </is>
      </c>
      <c r="C260" t="n">
        <v>109</v>
      </c>
      <c r="D260" t="n">
        <v>258</v>
      </c>
      <c r="E260">
        <f>爬塔!J43</f>
        <v/>
      </c>
      <c r="F260" s="85">
        <f>爬塔!K43</f>
        <v/>
      </c>
      <c r="G260" s="85">
        <f>爬塔!L43</f>
        <v/>
      </c>
      <c r="H260" s="85" t="n">
        <v>14.3407579071774</v>
      </c>
      <c r="I260" s="85">
        <f>爬塔!X43</f>
        <v/>
      </c>
      <c r="J260" s="85">
        <f>I260/H260</f>
        <v/>
      </c>
      <c r="K260" s="85" t="n">
        <v>12.1359920925472</v>
      </c>
      <c r="L260" s="85">
        <f>爬塔!Y43</f>
        <v/>
      </c>
      <c r="M260" s="85">
        <f>L260/K260</f>
        <v/>
      </c>
      <c r="N260" t="inlineStr">
        <is>
          <t>原源表节点</t>
        </is>
      </c>
    </row>
    <row r="261">
      <c r="A261" t="inlineStr">
        <is>
          <t>爬塔</t>
        </is>
      </c>
      <c r="B261" t="inlineStr">
        <is>
          <t>第40层</t>
        </is>
      </c>
      <c r="C261" t="n">
        <v>111</v>
      </c>
      <c r="D261" t="n">
        <v>263</v>
      </c>
      <c r="E261">
        <f>爬塔!J44</f>
        <v/>
      </c>
      <c r="F261" s="85">
        <f>爬塔!K44</f>
        <v/>
      </c>
      <c r="G261" s="85">
        <f>爬塔!L44</f>
        <v/>
      </c>
      <c r="H261" s="85" t="n">
        <v>15.3614933264356</v>
      </c>
      <c r="I261" s="85">
        <f>爬塔!X44</f>
        <v/>
      </c>
      <c r="J261" s="85">
        <f>I261/H261</f>
        <v/>
      </c>
      <c r="K261" s="85" t="n">
        <v>13.0353722235415</v>
      </c>
      <c r="L261" s="85">
        <f>爬塔!Y44</f>
        <v/>
      </c>
      <c r="M261" s="85">
        <f>L261/K261</f>
        <v/>
      </c>
      <c r="N261" t="inlineStr">
        <is>
          <t>原源表节点</t>
        </is>
      </c>
    </row>
    <row r="262">
      <c r="A262" t="inlineStr">
        <is>
          <t>爬塔</t>
        </is>
      </c>
      <c r="B262" t="inlineStr">
        <is>
          <t>第41层</t>
        </is>
      </c>
      <c r="C262" t="n">
        <v>114</v>
      </c>
      <c r="D262" t="n">
        <v>266</v>
      </c>
      <c r="E262">
        <f>爬塔!J45</f>
        <v/>
      </c>
      <c r="F262" s="85">
        <f>爬塔!K45</f>
        <v/>
      </c>
      <c r="G262" s="85">
        <f>爬塔!L45</f>
        <v/>
      </c>
      <c r="H262" s="85" t="n">
        <v>15.9711363466944</v>
      </c>
      <c r="I262" s="85">
        <f>爬塔!X45</f>
        <v/>
      </c>
      <c r="J262" s="85">
        <f>I262/H262</f>
        <v/>
      </c>
      <c r="K262" s="85" t="n">
        <v>13.3595235536546</v>
      </c>
      <c r="L262" s="85">
        <f>爬塔!Y45</f>
        <v/>
      </c>
      <c r="M262" s="85">
        <f>L262/K262</f>
        <v/>
      </c>
      <c r="N262" t="inlineStr">
        <is>
          <t>原源表节点</t>
        </is>
      </c>
    </row>
    <row r="263">
      <c r="A263" t="inlineStr">
        <is>
          <t>爬塔</t>
        </is>
      </c>
      <c r="B263" t="inlineStr">
        <is>
          <t>第42层</t>
        </is>
      </c>
      <c r="C263" t="n">
        <v>117</v>
      </c>
      <c r="D263" t="n">
        <v>272</v>
      </c>
      <c r="E263">
        <f>爬塔!J46</f>
        <v/>
      </c>
      <c r="F263" s="85">
        <f>爬塔!K46</f>
        <v/>
      </c>
      <c r="G263" s="85">
        <f>爬塔!L46</f>
        <v/>
      </c>
      <c r="H263" s="85" t="n">
        <v>15.2438909988909</v>
      </c>
      <c r="I263" s="85">
        <f>爬塔!X46</f>
        <v/>
      </c>
      <c r="J263" s="85">
        <f>I263/H263</f>
        <v/>
      </c>
      <c r="K263" s="85" t="n">
        <v>13.3686877722155</v>
      </c>
      <c r="L263" s="85">
        <f>爬塔!Y46</f>
        <v/>
      </c>
      <c r="M263" s="85">
        <f>L263/K263</f>
        <v/>
      </c>
      <c r="N263" t="inlineStr">
        <is>
          <t>原源表节点</t>
        </is>
      </c>
    </row>
    <row r="264">
      <c r="A264" t="inlineStr">
        <is>
          <t>爬塔</t>
        </is>
      </c>
      <c r="B264" t="inlineStr">
        <is>
          <t>第43层</t>
        </is>
      </c>
      <c r="C264" t="n">
        <v>119</v>
      </c>
      <c r="D264" t="n">
        <v>275</v>
      </c>
      <c r="E264">
        <f>爬塔!J47</f>
        <v/>
      </c>
      <c r="F264" s="85">
        <f>爬塔!K47</f>
        <v/>
      </c>
      <c r="G264" s="85">
        <f>爬塔!L47</f>
        <v/>
      </c>
      <c r="H264" s="85" t="n">
        <v>16.261343632532</v>
      </c>
      <c r="I264" s="85">
        <f>爬塔!X47</f>
        <v/>
      </c>
      <c r="J264" s="85">
        <f>I264/H264</f>
        <v/>
      </c>
      <c r="K264" s="85" t="n">
        <v>13.4464573401114</v>
      </c>
      <c r="L264" s="85">
        <f>爬塔!Y47</f>
        <v/>
      </c>
      <c r="M264" s="85">
        <f>L264/K264</f>
        <v/>
      </c>
      <c r="N264" t="inlineStr">
        <is>
          <t>原源表节点</t>
        </is>
      </c>
    </row>
    <row r="265">
      <c r="A265" t="inlineStr">
        <is>
          <t>爬塔</t>
        </is>
      </c>
      <c r="B265" t="inlineStr">
        <is>
          <t>第44层</t>
        </is>
      </c>
      <c r="C265" t="n">
        <v>122</v>
      </c>
      <c r="D265" t="n">
        <v>279</v>
      </c>
      <c r="E265">
        <f>爬塔!J48</f>
        <v/>
      </c>
      <c r="F265" s="85">
        <f>爬塔!K48</f>
        <v/>
      </c>
      <c r="G265" s="85">
        <f>爬塔!L48</f>
        <v/>
      </c>
      <c r="H265" s="85" t="n">
        <v>16.2244126864652</v>
      </c>
      <c r="I265" s="85">
        <f>爬塔!X48</f>
        <v/>
      </c>
      <c r="J265" s="85">
        <f>I265/H265</f>
        <v/>
      </c>
      <c r="K265" s="85" t="n">
        <v>13.5796287903225</v>
      </c>
      <c r="L265" s="85">
        <f>爬塔!Y48</f>
        <v/>
      </c>
      <c r="M265" s="85">
        <f>L265/K265</f>
        <v/>
      </c>
      <c r="N265" t="inlineStr">
        <is>
          <t>原源表节点</t>
        </is>
      </c>
    </row>
    <row r="266">
      <c r="A266" t="inlineStr">
        <is>
          <t>爬塔</t>
        </is>
      </c>
      <c r="B266" t="inlineStr">
        <is>
          <t>第45层</t>
        </is>
      </c>
      <c r="C266" t="n">
        <v>124</v>
      </c>
      <c r="D266" t="n">
        <v>282</v>
      </c>
      <c r="E266">
        <f>爬塔!J49</f>
        <v/>
      </c>
      <c r="F266" s="85">
        <f>爬塔!K49</f>
        <v/>
      </c>
      <c r="G266" s="85">
        <f>爬塔!L49</f>
        <v/>
      </c>
      <c r="H266" s="85" t="n">
        <v>14.3998514575293</v>
      </c>
      <c r="I266" s="85">
        <f>爬塔!X49</f>
        <v/>
      </c>
      <c r="J266" s="85">
        <f>I266/H266</f>
        <v/>
      </c>
      <c r="K266" s="85" t="n">
        <v>13.1153561128979</v>
      </c>
      <c r="L266" s="85">
        <f>爬塔!Y49</f>
        <v/>
      </c>
      <c r="M266" s="85">
        <f>L266/K266</f>
        <v/>
      </c>
      <c r="N266" t="inlineStr">
        <is>
          <t>原源表节点</t>
        </is>
      </c>
    </row>
    <row r="267">
      <c r="A267" t="inlineStr">
        <is>
          <t>爬塔</t>
        </is>
      </c>
      <c r="B267" t="inlineStr">
        <is>
          <t>第46层</t>
        </is>
      </c>
      <c r="C267" t="n">
        <v>127</v>
      </c>
      <c r="D267" t="n">
        <v>286</v>
      </c>
      <c r="E267">
        <f>爬塔!J50</f>
        <v/>
      </c>
      <c r="F267" s="85">
        <f>爬塔!K50</f>
        <v/>
      </c>
      <c r="G267" s="85">
        <f>爬塔!L50</f>
        <v/>
      </c>
      <c r="H267" s="85" t="n">
        <v>16.199168382703</v>
      </c>
      <c r="I267" s="85">
        <f>爬塔!X50</f>
        <v/>
      </c>
      <c r="J267" s="85">
        <f>I267/H267</f>
        <v/>
      </c>
      <c r="K267" s="85" t="n">
        <v>14.2491669830924</v>
      </c>
      <c r="L267" s="85">
        <f>爬塔!Y50</f>
        <v/>
      </c>
      <c r="M267" s="85">
        <f>L267/K267</f>
        <v/>
      </c>
      <c r="N267" t="inlineStr">
        <is>
          <t>原源表节点</t>
        </is>
      </c>
    </row>
    <row r="268">
      <c r="A268" t="inlineStr">
        <is>
          <t>爬塔</t>
        </is>
      </c>
      <c r="B268" t="inlineStr">
        <is>
          <t>第47层</t>
        </is>
      </c>
      <c r="C268" t="n">
        <v>130</v>
      </c>
      <c r="D268" t="n">
        <v>289</v>
      </c>
      <c r="E268">
        <f>爬塔!J51</f>
        <v/>
      </c>
      <c r="F268" s="85">
        <f>爬塔!K51</f>
        <v/>
      </c>
      <c r="G268" s="85">
        <f>爬塔!L51</f>
        <v/>
      </c>
      <c r="H268" s="85" t="n">
        <v>14.3322982805761</v>
      </c>
      <c r="I268" s="85">
        <f>爬塔!X51</f>
        <v/>
      </c>
      <c r="J268" s="85">
        <f>I268/H268</f>
        <v/>
      </c>
      <c r="K268" s="85" t="n">
        <v>13.333081003615</v>
      </c>
      <c r="L268" s="85">
        <f>爬塔!Y51</f>
        <v/>
      </c>
      <c r="M268" s="85">
        <f>L268/K268</f>
        <v/>
      </c>
      <c r="N268" t="inlineStr">
        <is>
          <t>原源表节点</t>
        </is>
      </c>
    </row>
    <row r="269">
      <c r="A269" t="inlineStr">
        <is>
          <t>爬塔</t>
        </is>
      </c>
      <c r="B269" t="inlineStr">
        <is>
          <t>第48层</t>
        </is>
      </c>
      <c r="C269" t="n">
        <v>132</v>
      </c>
      <c r="D269" t="n">
        <v>291</v>
      </c>
      <c r="E269">
        <f>爬塔!J52</f>
        <v/>
      </c>
      <c r="F269" s="85">
        <f>爬塔!K52</f>
        <v/>
      </c>
      <c r="G269" s="85">
        <f>爬塔!L52</f>
        <v/>
      </c>
      <c r="H269" s="85" t="n">
        <v>15.1636414148667</v>
      </c>
      <c r="I269" s="85">
        <f>爬塔!X52</f>
        <v/>
      </c>
      <c r="J269" s="85">
        <f>I269/H269</f>
        <v/>
      </c>
      <c r="K269" s="85" t="n">
        <v>13.9274993332199</v>
      </c>
      <c r="L269" s="85">
        <f>爬塔!Y52</f>
        <v/>
      </c>
      <c r="M269" s="85">
        <f>L269/K269</f>
        <v/>
      </c>
      <c r="N269" t="inlineStr">
        <is>
          <t>原源表节点</t>
        </is>
      </c>
    </row>
    <row r="270">
      <c r="A270" t="inlineStr">
        <is>
          <t>爬塔</t>
        </is>
      </c>
      <c r="B270" t="inlineStr">
        <is>
          <t>第49层</t>
        </is>
      </c>
      <c r="C270" t="n">
        <v>135</v>
      </c>
      <c r="D270" t="n">
        <v>295</v>
      </c>
      <c r="E270">
        <f>爬塔!J53</f>
        <v/>
      </c>
      <c r="F270" s="85">
        <f>爬塔!K53</f>
        <v/>
      </c>
      <c r="G270" s="85">
        <f>爬塔!L53</f>
        <v/>
      </c>
      <c r="H270" s="85" t="n">
        <v>17.3581911043842</v>
      </c>
      <c r="I270" s="85">
        <f>爬塔!X53</f>
        <v/>
      </c>
      <c r="J270" s="85">
        <f>I270/H270</f>
        <v/>
      </c>
      <c r="K270" s="85" t="n">
        <v>13.935647224494</v>
      </c>
      <c r="L270" s="85">
        <f>爬塔!Y53</f>
        <v/>
      </c>
      <c r="M270" s="85">
        <f>L270/K270</f>
        <v/>
      </c>
      <c r="N270" t="inlineStr">
        <is>
          <t>原源表节点</t>
        </is>
      </c>
    </row>
    <row r="271">
      <c r="A271" t="inlineStr">
        <is>
          <t>爬塔</t>
        </is>
      </c>
      <c r="B271" t="inlineStr">
        <is>
          <t>第50层</t>
        </is>
      </c>
      <c r="C271" t="n">
        <v>138</v>
      </c>
      <c r="D271" t="n">
        <v>299</v>
      </c>
      <c r="E271">
        <f>爬塔!J54</f>
        <v/>
      </c>
      <c r="F271" s="85">
        <f>爬塔!K54</f>
        <v/>
      </c>
      <c r="G271" s="85">
        <f>爬塔!L54</f>
        <v/>
      </c>
      <c r="H271" s="85" t="n">
        <v>15.4757073068838</v>
      </c>
      <c r="I271" s="85">
        <f>爬塔!X54</f>
        <v/>
      </c>
      <c r="J271" s="85">
        <f>I271/H271</f>
        <v/>
      </c>
      <c r="K271" s="85" t="n">
        <v>13.9202655495899</v>
      </c>
      <c r="L271" s="85">
        <f>爬塔!Y54</f>
        <v/>
      </c>
      <c r="M271" s="85">
        <f>L271/K271</f>
        <v/>
      </c>
      <c r="N271" t="inlineStr">
        <is>
          <t>原源表节点</t>
        </is>
      </c>
    </row>
    <row r="272">
      <c r="A272" t="inlineStr">
        <is>
          <t>爬塔</t>
        </is>
      </c>
      <c r="B272" t="inlineStr">
        <is>
          <t>第51层</t>
        </is>
      </c>
      <c r="C272" t="n">
        <v>140</v>
      </c>
      <c r="D272" t="n">
        <v>301</v>
      </c>
      <c r="E272">
        <f>爬塔!J55</f>
        <v/>
      </c>
      <c r="F272" s="85">
        <f>爬塔!K55</f>
        <v/>
      </c>
      <c r="G272" s="85">
        <f>爬塔!L55</f>
        <v/>
      </c>
      <c r="H272" s="85" t="n">
        <v>13.6856294997113</v>
      </c>
      <c r="I272" s="85">
        <f>爬塔!X55</f>
        <v/>
      </c>
      <c r="J272" s="85">
        <f>I272/H272</f>
        <v/>
      </c>
      <c r="K272" s="85" t="n">
        <v>12.9622454226162</v>
      </c>
      <c r="L272" s="85">
        <f>爬塔!Y55</f>
        <v/>
      </c>
      <c r="M272" s="85">
        <f>L272/K272</f>
        <v/>
      </c>
      <c r="N272" t="inlineStr">
        <is>
          <t>原源表节点</t>
        </is>
      </c>
    </row>
    <row r="273">
      <c r="A273" t="inlineStr">
        <is>
          <t>爬塔</t>
        </is>
      </c>
      <c r="B273" t="inlineStr">
        <is>
          <t>第52层</t>
        </is>
      </c>
      <c r="C273" t="n">
        <v>143</v>
      </c>
      <c r="D273" t="n">
        <v>303</v>
      </c>
      <c r="E273">
        <f>爬塔!J56</f>
        <v/>
      </c>
      <c r="F273" s="85">
        <f>爬塔!K56</f>
        <v/>
      </c>
      <c r="G273" s="85">
        <f>爬塔!L56</f>
        <v/>
      </c>
      <c r="H273" s="85" t="n">
        <v>14.4582858875513</v>
      </c>
      <c r="I273" s="85">
        <f>爬塔!X56</f>
        <v/>
      </c>
      <c r="J273" s="85">
        <f>I273/H273</f>
        <v/>
      </c>
      <c r="K273" s="85" t="n">
        <v>13.5719304941646</v>
      </c>
      <c r="L273" s="85">
        <f>爬塔!Y56</f>
        <v/>
      </c>
      <c r="M273" s="85">
        <f>L273/K273</f>
        <v/>
      </c>
      <c r="N273" t="inlineStr">
        <is>
          <t>原源表节点</t>
        </is>
      </c>
    </row>
    <row r="274">
      <c r="A274" t="inlineStr">
        <is>
          <t>爬塔</t>
        </is>
      </c>
      <c r="B274" t="inlineStr">
        <is>
          <t>第53层</t>
        </is>
      </c>
      <c r="C274" t="n">
        <v>146</v>
      </c>
      <c r="D274" t="n">
        <v>306</v>
      </c>
      <c r="E274">
        <f>爬塔!J57</f>
        <v/>
      </c>
      <c r="F274" s="85">
        <f>爬塔!K57</f>
        <v/>
      </c>
      <c r="G274" s="85">
        <f>爬塔!L57</f>
        <v/>
      </c>
      <c r="H274" s="85" t="n">
        <v>14.525336741295</v>
      </c>
      <c r="I274" s="85">
        <f>爬塔!X57</f>
        <v/>
      </c>
      <c r="J274" s="85">
        <f>I274/H274</f>
        <v/>
      </c>
      <c r="K274" s="85" t="n">
        <v>13.592099207231</v>
      </c>
      <c r="L274" s="85">
        <f>爬塔!Y57</f>
        <v/>
      </c>
      <c r="M274" s="85">
        <f>L274/K274</f>
        <v/>
      </c>
      <c r="N274" t="inlineStr">
        <is>
          <t>原源表节点</t>
        </is>
      </c>
    </row>
    <row r="275">
      <c r="A275" t="inlineStr">
        <is>
          <t>爬塔</t>
        </is>
      </c>
      <c r="B275" t="inlineStr">
        <is>
          <t>第54层</t>
        </is>
      </c>
      <c r="C275" t="n">
        <v>148</v>
      </c>
      <c r="D275" t="n">
        <v>308</v>
      </c>
      <c r="E275">
        <f>爬塔!J58</f>
        <v/>
      </c>
      <c r="F275" s="85">
        <f>爬塔!K58</f>
        <v/>
      </c>
      <c r="G275" s="85">
        <f>爬塔!L58</f>
        <v/>
      </c>
      <c r="H275" s="85" t="n">
        <v>14.5836983352688</v>
      </c>
      <c r="I275" s="85">
        <f>爬塔!X58</f>
        <v/>
      </c>
      <c r="J275" s="85">
        <f>I275/H275</f>
        <v/>
      </c>
      <c r="K275" s="85" t="n">
        <v>13.5959773531303</v>
      </c>
      <c r="L275" s="85">
        <f>爬塔!Y58</f>
        <v/>
      </c>
      <c r="M275" s="85">
        <f>L275/K275</f>
        <v/>
      </c>
      <c r="N275" t="inlineStr">
        <is>
          <t>原源表节点</t>
        </is>
      </c>
    </row>
    <row r="276">
      <c r="A276" t="inlineStr">
        <is>
          <t>爬塔</t>
        </is>
      </c>
      <c r="B276" t="inlineStr">
        <is>
          <t>第55层</t>
        </is>
      </c>
      <c r="C276" t="n">
        <v>151</v>
      </c>
      <c r="D276" t="n">
        <v>310</v>
      </c>
      <c r="E276">
        <f>爬塔!J59</f>
        <v/>
      </c>
      <c r="F276" s="85">
        <f>爬塔!K59</f>
        <v/>
      </c>
      <c r="G276" s="85">
        <f>爬塔!L59</f>
        <v/>
      </c>
      <c r="H276" s="85" t="n">
        <v>15.4268769867601</v>
      </c>
      <c r="I276" s="85">
        <f>爬塔!X59</f>
        <v/>
      </c>
      <c r="J276" s="85">
        <f>I276/H276</f>
        <v/>
      </c>
      <c r="K276" s="85" t="n">
        <v>14.2033297843743</v>
      </c>
      <c r="L276" s="85">
        <f>爬塔!Y59</f>
        <v/>
      </c>
      <c r="M276" s="85">
        <f>L276/K276</f>
        <v/>
      </c>
      <c r="N276" t="inlineStr">
        <is>
          <t>原源表节点</t>
        </is>
      </c>
    </row>
    <row r="277">
      <c r="A277" t="inlineStr">
        <is>
          <t>爬塔</t>
        </is>
      </c>
      <c r="B277" t="inlineStr">
        <is>
          <t>第56层</t>
        </is>
      </c>
      <c r="C277" t="n">
        <v>154</v>
      </c>
      <c r="D277" t="n">
        <v>312</v>
      </c>
      <c r="E277">
        <f>爬塔!J60</f>
        <v/>
      </c>
      <c r="F277" s="85">
        <f>爬塔!K60</f>
        <v/>
      </c>
      <c r="G277" s="85">
        <f>爬塔!L60</f>
        <v/>
      </c>
      <c r="H277" s="85" t="n">
        <v>14.4888083140153</v>
      </c>
      <c r="I277" s="85">
        <f>爬塔!X60</f>
        <v/>
      </c>
      <c r="J277" s="85">
        <f>I277/H277</f>
        <v/>
      </c>
      <c r="K277" s="85" t="n">
        <v>13.7426929117042</v>
      </c>
      <c r="L277" s="85">
        <f>爬塔!Y60</f>
        <v/>
      </c>
      <c r="M277" s="85">
        <f>L277/K277</f>
        <v/>
      </c>
      <c r="N277" t="inlineStr">
        <is>
          <t>原源表节点</t>
        </is>
      </c>
    </row>
    <row r="278">
      <c r="A278" t="inlineStr">
        <is>
          <t>爬塔</t>
        </is>
      </c>
      <c r="B278" t="inlineStr">
        <is>
          <t>第57层</t>
        </is>
      </c>
      <c r="C278" t="n">
        <v>156</v>
      </c>
      <c r="D278" t="n">
        <v>314</v>
      </c>
      <c r="E278">
        <f>爬塔!J61</f>
        <v/>
      </c>
      <c r="F278" s="85">
        <f>爬塔!K61</f>
        <v/>
      </c>
      <c r="G278" s="85">
        <f>爬塔!L61</f>
        <v/>
      </c>
      <c r="H278" s="85" t="n">
        <v>13.6784409026656</v>
      </c>
      <c r="I278" s="85">
        <f>爬塔!X61</f>
        <v/>
      </c>
      <c r="J278" s="85">
        <f>I278/H278</f>
        <v/>
      </c>
      <c r="K278" s="85" t="n">
        <v>13.2279581584156</v>
      </c>
      <c r="L278" s="85">
        <f>爬塔!Y61</f>
        <v/>
      </c>
      <c r="M278" s="85">
        <f>L278/K278</f>
        <v/>
      </c>
      <c r="N278" t="inlineStr">
        <is>
          <t>原源表节点</t>
        </is>
      </c>
    </row>
    <row r="279">
      <c r="A279" t="inlineStr">
        <is>
          <t>爬塔</t>
        </is>
      </c>
      <c r="B279" t="inlineStr">
        <is>
          <t>第58层</t>
        </is>
      </c>
      <c r="C279" t="n">
        <v>159</v>
      </c>
      <c r="D279" t="n">
        <v>316</v>
      </c>
      <c r="E279">
        <f>爬塔!J62</f>
        <v/>
      </c>
      <c r="F279" s="85">
        <f>爬塔!K62</f>
        <v/>
      </c>
      <c r="G279" s="85">
        <f>爬塔!L62</f>
        <v/>
      </c>
      <c r="H279" s="85" t="n">
        <v>13.6762461539419</v>
      </c>
      <c r="I279" s="85">
        <f>爬塔!X62</f>
        <v/>
      </c>
      <c r="J279" s="85">
        <f>I279/H279</f>
        <v/>
      </c>
      <c r="K279" s="85" t="n">
        <v>13.267856410365</v>
      </c>
      <c r="L279" s="85">
        <f>爬塔!Y62</f>
        <v/>
      </c>
      <c r="M279" s="85">
        <f>L279/K279</f>
        <v/>
      </c>
      <c r="N279" t="inlineStr">
        <is>
          <t>原源表节点</t>
        </is>
      </c>
    </row>
    <row r="280">
      <c r="A280" t="inlineStr">
        <is>
          <t>爬塔</t>
        </is>
      </c>
      <c r="B280" t="inlineStr">
        <is>
          <t>第59层</t>
        </is>
      </c>
      <c r="C280" t="n">
        <v>162</v>
      </c>
      <c r="D280" t="n">
        <v>318</v>
      </c>
      <c r="E280">
        <f>爬塔!J63</f>
        <v/>
      </c>
      <c r="F280" s="85">
        <f>爬塔!K63</f>
        <v/>
      </c>
      <c r="G280" s="85">
        <f>爬塔!L63</f>
        <v/>
      </c>
      <c r="H280" s="85" t="n">
        <v>14.6035398439894</v>
      </c>
      <c r="I280" s="85">
        <f>爬塔!X63</f>
        <v/>
      </c>
      <c r="J280" s="85">
        <f>I280/H280</f>
        <v/>
      </c>
      <c r="K280" s="85" t="n">
        <v>13.7870247567128</v>
      </c>
      <c r="L280" s="85">
        <f>爬塔!Y63</f>
        <v/>
      </c>
      <c r="M280" s="85">
        <f>L280/K280</f>
        <v/>
      </c>
      <c r="N280" t="inlineStr">
        <is>
          <t>原源表节点</t>
        </is>
      </c>
    </row>
    <row r="281">
      <c r="A281" t="inlineStr">
        <is>
          <t>爬塔</t>
        </is>
      </c>
      <c r="B281" t="inlineStr">
        <is>
          <t>第60层</t>
        </is>
      </c>
      <c r="C281" t="n">
        <v>165</v>
      </c>
      <c r="D281" t="n">
        <v>321</v>
      </c>
      <c r="E281">
        <f>爬塔!J64</f>
        <v/>
      </c>
      <c r="F281" s="85">
        <f>爬塔!K64</f>
        <v/>
      </c>
      <c r="G281" s="85">
        <f>爬塔!L64</f>
        <v/>
      </c>
      <c r="H281" s="85" t="n">
        <v>15.7294721731412</v>
      </c>
      <c r="I281" s="85">
        <f>爬塔!X64</f>
        <v/>
      </c>
      <c r="J281" s="85">
        <f>I281/H281</f>
        <v/>
      </c>
      <c r="K281" s="85" t="n">
        <v>14.2400991606691</v>
      </c>
      <c r="L281" s="85">
        <f>爬塔!Y64</f>
        <v/>
      </c>
      <c r="M281" s="85">
        <f>L281/K281</f>
        <v/>
      </c>
      <c r="N281" t="inlineStr">
        <is>
          <t>原源表节点</t>
        </is>
      </c>
    </row>
    <row r="282">
      <c r="A282" t="inlineStr">
        <is>
          <t>爬塔</t>
        </is>
      </c>
      <c r="B282" t="inlineStr">
        <is>
          <t>第61层</t>
        </is>
      </c>
      <c r="C282" t="n">
        <v>167</v>
      </c>
      <c r="D282" t="n">
        <v>322</v>
      </c>
      <c r="E282">
        <f>爬塔!J65</f>
        <v/>
      </c>
      <c r="F282" s="85">
        <f>爬塔!K65</f>
        <v/>
      </c>
      <c r="G282" s="85">
        <f>爬塔!L65</f>
        <v/>
      </c>
      <c r="H282" s="85" t="n">
        <v>13.8571415189577</v>
      </c>
      <c r="I282" s="85">
        <f>爬塔!X65</f>
        <v/>
      </c>
      <c r="J282" s="85">
        <f>I282/H282</f>
        <v/>
      </c>
      <c r="K282" s="85" t="n">
        <v>13.2550194056116</v>
      </c>
      <c r="L282" s="85">
        <f>爬塔!Y65</f>
        <v/>
      </c>
      <c r="M282" s="85">
        <f>L282/K282</f>
        <v/>
      </c>
      <c r="N282" t="inlineStr">
        <is>
          <t>原源表节点</t>
        </is>
      </c>
    </row>
    <row r="283">
      <c r="A283" t="inlineStr">
        <is>
          <t>爬塔</t>
        </is>
      </c>
      <c r="B283" t="inlineStr">
        <is>
          <t>第62层</t>
        </is>
      </c>
      <c r="C283" t="n">
        <v>170</v>
      </c>
      <c r="D283" t="n">
        <v>324</v>
      </c>
      <c r="E283">
        <f>爬塔!J66</f>
        <v/>
      </c>
      <c r="F283" s="85">
        <f>爬塔!K66</f>
        <v/>
      </c>
      <c r="G283" s="85">
        <f>爬塔!L66</f>
        <v/>
      </c>
      <c r="H283" s="85" t="n">
        <v>13.9154293438768</v>
      </c>
      <c r="I283" s="85">
        <f>爬塔!X66</f>
        <v/>
      </c>
      <c r="J283" s="85">
        <f>I283/H283</f>
        <v/>
      </c>
      <c r="K283" s="85" t="n">
        <v>13.2516799940697</v>
      </c>
      <c r="L283" s="85">
        <f>爬塔!Y66</f>
        <v/>
      </c>
      <c r="M283" s="85">
        <f>L283/K283</f>
        <v/>
      </c>
      <c r="N283" t="inlineStr">
        <is>
          <t>原源表节点</t>
        </is>
      </c>
    </row>
    <row r="284">
      <c r="A284" t="inlineStr">
        <is>
          <t>爬塔</t>
        </is>
      </c>
      <c r="B284" t="inlineStr">
        <is>
          <t>第63层</t>
        </is>
      </c>
      <c r="C284" t="n">
        <v>173</v>
      </c>
      <c r="D284" t="n">
        <v>326</v>
      </c>
      <c r="E284">
        <f>爬塔!J67</f>
        <v/>
      </c>
      <c r="F284" s="85">
        <f>爬塔!K67</f>
        <v/>
      </c>
      <c r="G284" s="85">
        <f>爬塔!L67</f>
        <v/>
      </c>
      <c r="H284" s="85" t="n">
        <v>14.923689671476</v>
      </c>
      <c r="I284" s="85">
        <f>爬塔!X67</f>
        <v/>
      </c>
      <c r="J284" s="85">
        <f>I284/H284</f>
        <v/>
      </c>
      <c r="K284" s="85" t="n">
        <v>13.7288153330256</v>
      </c>
      <c r="L284" s="85">
        <f>爬塔!Y67</f>
        <v/>
      </c>
      <c r="M284" s="85">
        <f>L284/K284</f>
        <v/>
      </c>
      <c r="N284" t="inlineStr">
        <is>
          <t>原源表节点</t>
        </is>
      </c>
    </row>
    <row r="285">
      <c r="A285" t="inlineStr">
        <is>
          <t>爬塔</t>
        </is>
      </c>
      <c r="B285" t="inlineStr">
        <is>
          <t>第64层</t>
        </is>
      </c>
      <c r="C285" t="n">
        <v>176</v>
      </c>
      <c r="D285" t="n">
        <v>328</v>
      </c>
      <c r="E285">
        <f>爬塔!J68</f>
        <v/>
      </c>
      <c r="F285" s="85">
        <f>爬塔!K68</f>
        <v/>
      </c>
      <c r="G285" s="85">
        <f>爬塔!L68</f>
        <v/>
      </c>
      <c r="H285" s="85" t="n">
        <v>14.0741741259646</v>
      </c>
      <c r="I285" s="85">
        <f>爬塔!X68</f>
        <v/>
      </c>
      <c r="J285" s="85">
        <f>I285/H285</f>
        <v/>
      </c>
      <c r="K285" s="85" t="n">
        <v>13.2158384298322</v>
      </c>
      <c r="L285" s="85">
        <f>爬塔!Y68</f>
        <v/>
      </c>
      <c r="M285" s="85">
        <f>L285/K285</f>
        <v/>
      </c>
      <c r="N285" t="inlineStr">
        <is>
          <t>原源表节点</t>
        </is>
      </c>
    </row>
    <row r="286">
      <c r="A286" t="inlineStr">
        <is>
          <t>爬塔</t>
        </is>
      </c>
      <c r="B286" t="inlineStr">
        <is>
          <t>第65层</t>
        </is>
      </c>
      <c r="C286" t="n">
        <v>178</v>
      </c>
      <c r="D286" t="n">
        <v>329</v>
      </c>
      <c r="E286">
        <f>爬塔!J69</f>
        <v/>
      </c>
      <c r="F286" s="85">
        <f>爬塔!K69</f>
        <v/>
      </c>
      <c r="G286" s="85">
        <f>爬塔!L69</f>
        <v/>
      </c>
      <c r="H286" s="85" t="n">
        <v>15.9753987087138</v>
      </c>
      <c r="I286" s="85">
        <f>爬塔!X69</f>
        <v/>
      </c>
      <c r="J286" s="85">
        <f>I286/H286</f>
        <v/>
      </c>
      <c r="K286" s="85" t="n">
        <v>14.2415861626372</v>
      </c>
      <c r="L286" s="85">
        <f>爬塔!Y69</f>
        <v/>
      </c>
      <c r="M286" s="85">
        <f>L286/K286</f>
        <v/>
      </c>
      <c r="N286" t="inlineStr">
        <is>
          <t>原源表节点</t>
        </is>
      </c>
    </row>
    <row r="287">
      <c r="A287" t="inlineStr">
        <is>
          <t>爬塔</t>
        </is>
      </c>
      <c r="B287" t="inlineStr">
        <is>
          <t>第66层</t>
        </is>
      </c>
      <c r="C287" t="n">
        <v>181</v>
      </c>
      <c r="D287" t="n">
        <v>330</v>
      </c>
      <c r="E287">
        <f>爬塔!J70</f>
        <v/>
      </c>
      <c r="F287" s="85">
        <f>爬塔!K70</f>
        <v/>
      </c>
      <c r="G287" s="85">
        <f>爬塔!L70</f>
        <v/>
      </c>
      <c r="H287" s="85" t="n">
        <v>14.0398000828953</v>
      </c>
      <c r="I287" s="85">
        <f>爬塔!X70</f>
        <v/>
      </c>
      <c r="J287" s="85">
        <f>I287/H287</f>
        <v/>
      </c>
      <c r="K287" s="85" t="n">
        <v>13.272955880196</v>
      </c>
      <c r="L287" s="85">
        <f>爬塔!Y70</f>
        <v/>
      </c>
      <c r="M287" s="85">
        <f>L287/K287</f>
        <v/>
      </c>
      <c r="N287" t="inlineStr">
        <is>
          <t>原源表节点</t>
        </is>
      </c>
    </row>
    <row r="288">
      <c r="A288" t="inlineStr">
        <is>
          <t>爬塔</t>
        </is>
      </c>
      <c r="B288" t="inlineStr">
        <is>
          <t>第67层</t>
        </is>
      </c>
      <c r="C288" t="n">
        <v>184</v>
      </c>
      <c r="D288" t="n">
        <v>332</v>
      </c>
      <c r="E288">
        <f>爬塔!J71</f>
        <v/>
      </c>
      <c r="F288" s="85">
        <f>爬塔!K71</f>
        <v/>
      </c>
      <c r="G288" s="85">
        <f>爬塔!L71</f>
        <v/>
      </c>
      <c r="H288" s="85" t="n">
        <v>14.1581785821592</v>
      </c>
      <c r="I288" s="85">
        <f>爬塔!X71</f>
        <v/>
      </c>
      <c r="J288" s="85">
        <f>I288/H288</f>
        <v/>
      </c>
      <c r="K288" s="85" t="n">
        <v>13.2280032366914</v>
      </c>
      <c r="L288" s="85">
        <f>爬塔!Y71</f>
        <v/>
      </c>
      <c r="M288" s="85">
        <f>L288/K288</f>
        <v/>
      </c>
      <c r="N288" t="inlineStr">
        <is>
          <t>原源表节点</t>
        </is>
      </c>
    </row>
    <row r="289">
      <c r="A289" t="inlineStr">
        <is>
          <t>爬塔</t>
        </is>
      </c>
      <c r="B289" t="inlineStr">
        <is>
          <t>第68层</t>
        </is>
      </c>
      <c r="C289" t="n">
        <v>187</v>
      </c>
      <c r="D289" t="n">
        <v>333</v>
      </c>
      <c r="E289">
        <f>爬塔!J72</f>
        <v/>
      </c>
      <c r="F289" s="85">
        <f>爬塔!K72</f>
        <v/>
      </c>
      <c r="G289" s="85">
        <f>爬塔!L72</f>
        <v/>
      </c>
      <c r="H289" s="85" t="n">
        <v>15.0829160636756</v>
      </c>
      <c r="I289" s="85">
        <f>爬塔!X72</f>
        <v/>
      </c>
      <c r="J289" s="85">
        <f>I289/H289</f>
        <v/>
      </c>
      <c r="K289" s="85" t="n">
        <v>13.7521717543757</v>
      </c>
      <c r="L289" s="85">
        <f>爬塔!Y72</f>
        <v/>
      </c>
      <c r="M289" s="85">
        <f>L289/K289</f>
        <v/>
      </c>
      <c r="N289" t="inlineStr">
        <is>
          <t>原源表节点</t>
        </is>
      </c>
    </row>
    <row r="290">
      <c r="A290" t="inlineStr">
        <is>
          <t>爬塔</t>
        </is>
      </c>
      <c r="B290" t="inlineStr">
        <is>
          <t>第69层</t>
        </is>
      </c>
      <c r="C290" t="n">
        <v>190</v>
      </c>
      <c r="D290" t="n">
        <v>335</v>
      </c>
      <c r="E290">
        <f>爬塔!J73</f>
        <v/>
      </c>
      <c r="F290" s="85">
        <f>爬塔!K73</f>
        <v/>
      </c>
      <c r="G290" s="85">
        <f>爬塔!L73</f>
        <v/>
      </c>
      <c r="H290" s="85" t="n">
        <v>15.2330077917342</v>
      </c>
      <c r="I290" s="85">
        <f>爬塔!X73</f>
        <v/>
      </c>
      <c r="J290" s="85">
        <f>I290/H290</f>
        <v/>
      </c>
      <c r="K290" s="85" t="n">
        <v>13.6909715824294</v>
      </c>
      <c r="L290" s="85">
        <f>爬塔!Y73</f>
        <v/>
      </c>
      <c r="M290" s="85">
        <f>L290/K290</f>
        <v/>
      </c>
      <c r="N290" t="inlineStr">
        <is>
          <t>原源表节点</t>
        </is>
      </c>
    </row>
    <row r="291">
      <c r="A291" t="inlineStr">
        <is>
          <t>爬塔</t>
        </is>
      </c>
      <c r="B291" t="inlineStr">
        <is>
          <t>第70层</t>
        </is>
      </c>
      <c r="C291" t="n">
        <v>192</v>
      </c>
      <c r="D291" t="n">
        <v>337</v>
      </c>
      <c r="E291">
        <f>爬塔!J74</f>
        <v/>
      </c>
      <c r="F291" s="85">
        <f>爬塔!K74</f>
        <v/>
      </c>
      <c r="G291" s="85">
        <f>爬塔!L74</f>
        <v/>
      </c>
      <c r="H291" s="85" t="n">
        <v>15.4510336794193</v>
      </c>
      <c r="I291" s="85">
        <f>爬塔!X74</f>
        <v/>
      </c>
      <c r="J291" s="85">
        <f>I291/H291</f>
        <v/>
      </c>
      <c r="K291" s="85" t="n">
        <v>13.587563110093</v>
      </c>
      <c r="L291" s="85">
        <f>爬塔!Y74</f>
        <v/>
      </c>
      <c r="M291" s="85">
        <f>L291/K291</f>
        <v/>
      </c>
      <c r="N291" t="inlineStr">
        <is>
          <t>原源表节点</t>
        </is>
      </c>
    </row>
    <row r="292">
      <c r="A292" t="inlineStr">
        <is>
          <t>爬塔</t>
        </is>
      </c>
      <c r="B292" t="inlineStr">
        <is>
          <t>第71层</t>
        </is>
      </c>
      <c r="C292" t="n">
        <v>195</v>
      </c>
      <c r="D292" t="n">
        <v>337</v>
      </c>
      <c r="E292">
        <f>爬塔!J75</f>
        <v/>
      </c>
      <c r="F292" s="85">
        <f>爬塔!K75</f>
        <v/>
      </c>
      <c r="G292" s="85">
        <f>爬塔!L75</f>
        <v/>
      </c>
      <c r="H292" s="85" t="n">
        <v>14.3213683654299</v>
      </c>
      <c r="I292" s="85">
        <f>爬塔!X75</f>
        <v/>
      </c>
      <c r="J292" s="85">
        <f>I292/H292</f>
        <v/>
      </c>
      <c r="K292" s="85" t="n">
        <v>13.2027845010083</v>
      </c>
      <c r="L292" s="85">
        <f>爬塔!Y75</f>
        <v/>
      </c>
      <c r="M292" s="85">
        <f>L292/K292</f>
        <v/>
      </c>
      <c r="N292" t="inlineStr">
        <is>
          <t>原源表节点</t>
        </is>
      </c>
    </row>
    <row r="293">
      <c r="A293" t="inlineStr">
        <is>
          <t>爬塔</t>
        </is>
      </c>
      <c r="B293" t="inlineStr">
        <is>
          <t>第72层</t>
        </is>
      </c>
      <c r="C293" t="n">
        <v>198</v>
      </c>
      <c r="D293" t="n">
        <v>338</v>
      </c>
      <c r="E293">
        <f>爬塔!J76</f>
        <v/>
      </c>
      <c r="F293" s="85">
        <f>爬塔!K76</f>
        <v/>
      </c>
      <c r="G293" s="85">
        <f>爬塔!L76</f>
        <v/>
      </c>
      <c r="H293" s="85" t="n">
        <v>14.3310859718605</v>
      </c>
      <c r="I293" s="85">
        <f>爬塔!X76</f>
        <v/>
      </c>
      <c r="J293" s="85">
        <f>I293/H293</f>
        <v/>
      </c>
      <c r="K293" s="85" t="n">
        <v>13.21288977485</v>
      </c>
      <c r="L293" s="85">
        <f>爬塔!Y76</f>
        <v/>
      </c>
      <c r="M293" s="85">
        <f>L293/K293</f>
        <v/>
      </c>
      <c r="N293" t="inlineStr">
        <is>
          <t>原源表节点</t>
        </is>
      </c>
    </row>
    <row r="294">
      <c r="A294" t="inlineStr">
        <is>
          <t>爬塔</t>
        </is>
      </c>
      <c r="B294" t="inlineStr">
        <is>
          <t>第73层</t>
        </is>
      </c>
      <c r="C294" t="n">
        <v>201</v>
      </c>
      <c r="D294" t="n">
        <v>340</v>
      </c>
      <c r="E294">
        <f>爬塔!J77</f>
        <v/>
      </c>
      <c r="F294" s="85">
        <f>爬塔!K77</f>
        <v/>
      </c>
      <c r="G294" s="85">
        <f>爬塔!L77</f>
        <v/>
      </c>
      <c r="H294" s="85" t="n">
        <v>14.5046151971287</v>
      </c>
      <c r="I294" s="85">
        <f>爬塔!X77</f>
        <v/>
      </c>
      <c r="J294" s="85">
        <f>I294/H294</f>
        <v/>
      </c>
      <c r="K294" s="85" t="n">
        <v>13.132485305728</v>
      </c>
      <c r="L294" s="85">
        <f>爬塔!Y77</f>
        <v/>
      </c>
      <c r="M294" s="85">
        <f>L294/K294</f>
        <v/>
      </c>
      <c r="N294" t="inlineStr">
        <is>
          <t>原源表节点</t>
        </is>
      </c>
    </row>
    <row r="295">
      <c r="A295" t="inlineStr">
        <is>
          <t>爬塔</t>
        </is>
      </c>
      <c r="B295" t="inlineStr">
        <is>
          <t>第74层</t>
        </is>
      </c>
      <c r="C295" t="n">
        <v>204</v>
      </c>
      <c r="D295" t="n">
        <v>341</v>
      </c>
      <c r="E295">
        <f>爬塔!J78</f>
        <v/>
      </c>
      <c r="F295" s="85">
        <f>爬塔!K78</f>
        <v/>
      </c>
      <c r="G295" s="85">
        <f>爬塔!L78</f>
        <v/>
      </c>
      <c r="H295" s="85" t="n">
        <v>14.5305478979034</v>
      </c>
      <c r="I295" s="85">
        <f>爬塔!X78</f>
        <v/>
      </c>
      <c r="J295" s="85">
        <f>I295/H295</f>
        <v/>
      </c>
      <c r="K295" s="85" t="n">
        <v>13.1313420739</v>
      </c>
      <c r="L295" s="85">
        <f>爬塔!Y78</f>
        <v/>
      </c>
      <c r="M295" s="85">
        <f>L295/K295</f>
        <v/>
      </c>
      <c r="N295" t="inlineStr">
        <is>
          <t>原源表节点</t>
        </is>
      </c>
    </row>
    <row r="296">
      <c r="A296" t="inlineStr">
        <is>
          <t>爬塔</t>
        </is>
      </c>
      <c r="B296" t="inlineStr">
        <is>
          <t>第75层</t>
        </is>
      </c>
      <c r="C296" t="n">
        <v>206</v>
      </c>
      <c r="D296" t="n">
        <v>342</v>
      </c>
      <c r="E296">
        <f>爬塔!J79</f>
        <v/>
      </c>
      <c r="F296" s="85">
        <f>爬塔!K79</f>
        <v/>
      </c>
      <c r="G296" s="85">
        <f>爬塔!L79</f>
        <v/>
      </c>
      <c r="H296" s="85" t="n">
        <v>15.5904728499816</v>
      </c>
      <c r="I296" s="85">
        <f>爬塔!X79</f>
        <v/>
      </c>
      <c r="J296" s="85">
        <f>I296/H296</f>
        <v/>
      </c>
      <c r="K296" s="85" t="n">
        <v>13.5852955776312</v>
      </c>
      <c r="L296" s="85">
        <f>爬塔!Y79</f>
        <v/>
      </c>
      <c r="M296" s="85">
        <f>L296/K296</f>
        <v/>
      </c>
      <c r="N296" t="inlineStr">
        <is>
          <t>原源表节点</t>
        </is>
      </c>
    </row>
    <row r="297">
      <c r="A297" t="inlineStr">
        <is>
          <t>爬塔</t>
        </is>
      </c>
      <c r="B297" t="inlineStr">
        <is>
          <t>第76层</t>
        </is>
      </c>
      <c r="C297" t="n">
        <v>209</v>
      </c>
      <c r="D297" t="n">
        <v>343</v>
      </c>
      <c r="E297">
        <f>爬塔!J80</f>
        <v/>
      </c>
      <c r="F297" s="85">
        <f>爬塔!K80</f>
        <v/>
      </c>
      <c r="G297" s="85">
        <f>爬塔!L80</f>
        <v/>
      </c>
      <c r="H297" s="85" t="n">
        <v>14.6425727461625</v>
      </c>
      <c r="I297" s="85">
        <f>爬塔!X80</f>
        <v/>
      </c>
      <c r="J297" s="85">
        <f>I297/H297</f>
        <v/>
      </c>
      <c r="K297" s="85" t="n">
        <v>13.0913498928848</v>
      </c>
      <c r="L297" s="85">
        <f>爬塔!Y80</f>
        <v/>
      </c>
      <c r="M297" s="85">
        <f>L297/K297</f>
        <v/>
      </c>
      <c r="N297" t="inlineStr">
        <is>
          <t>原源表节点</t>
        </is>
      </c>
    </row>
    <row r="298">
      <c r="A298" t="inlineStr">
        <is>
          <t>爬塔</t>
        </is>
      </c>
      <c r="B298" t="inlineStr">
        <is>
          <t>第77层</t>
        </is>
      </c>
      <c r="C298" t="n">
        <v>212</v>
      </c>
      <c r="D298" t="n">
        <v>345</v>
      </c>
      <c r="E298">
        <f>爬塔!J81</f>
        <v/>
      </c>
      <c r="F298" s="85">
        <f>爬塔!K81</f>
        <v/>
      </c>
      <c r="G298" s="85">
        <f>爬塔!L81</f>
        <v/>
      </c>
      <c r="H298" s="85" t="n">
        <v>14.8451488619067</v>
      </c>
      <c r="I298" s="85">
        <f>爬塔!X81</f>
        <v/>
      </c>
      <c r="J298" s="85">
        <f>I298/H298</f>
        <v/>
      </c>
      <c r="K298" s="85" t="n">
        <v>12.9949082451808</v>
      </c>
      <c r="L298" s="85">
        <f>爬塔!Y81</f>
        <v/>
      </c>
      <c r="M298" s="85">
        <f>L298/K298</f>
        <v/>
      </c>
      <c r="N298" t="inlineStr">
        <is>
          <t>原源表节点</t>
        </is>
      </c>
    </row>
    <row r="299">
      <c r="A299" t="inlineStr">
        <is>
          <t>爬塔</t>
        </is>
      </c>
      <c r="B299" t="inlineStr">
        <is>
          <t>第78层</t>
        </is>
      </c>
      <c r="C299" t="n">
        <v>215</v>
      </c>
      <c r="D299" t="n">
        <v>346</v>
      </c>
      <c r="E299">
        <f>爬塔!J82</f>
        <v/>
      </c>
      <c r="F299" s="85">
        <f>爬塔!K82</f>
        <v/>
      </c>
      <c r="G299" s="85">
        <f>爬塔!L82</f>
        <v/>
      </c>
      <c r="H299" s="85" t="n">
        <v>14.896725382814</v>
      </c>
      <c r="I299" s="85">
        <f>爬塔!X82</f>
        <v/>
      </c>
      <c r="J299" s="85">
        <f>I299/H299</f>
        <v/>
      </c>
      <c r="K299" s="85" t="n">
        <v>12.9778383642628</v>
      </c>
      <c r="L299" s="85">
        <f>爬塔!Y82</f>
        <v/>
      </c>
      <c r="M299" s="85">
        <f>L299/K299</f>
        <v/>
      </c>
      <c r="N299" t="inlineStr">
        <is>
          <t>原源表节点</t>
        </is>
      </c>
    </row>
    <row r="300">
      <c r="A300" t="inlineStr">
        <is>
          <t>爬塔</t>
        </is>
      </c>
      <c r="B300" t="inlineStr">
        <is>
          <t>第79层</t>
        </is>
      </c>
      <c r="C300" t="n">
        <v>218</v>
      </c>
      <c r="D300" t="n">
        <v>347</v>
      </c>
      <c r="E300">
        <f>爬塔!J83</f>
        <v/>
      </c>
      <c r="F300" s="85">
        <f>爬塔!K83</f>
        <v/>
      </c>
      <c r="G300" s="85">
        <f>爬塔!L83</f>
        <v/>
      </c>
      <c r="H300" s="85" t="n">
        <v>14.9547661956361</v>
      </c>
      <c r="I300" s="85">
        <f>爬塔!X83</f>
        <v/>
      </c>
      <c r="J300" s="85">
        <f>I300/H300</f>
        <v/>
      </c>
      <c r="K300" s="85" t="n">
        <v>12.9571966672145</v>
      </c>
      <c r="L300" s="85">
        <f>爬塔!Y83</f>
        <v/>
      </c>
      <c r="M300" s="85">
        <f>L300/K300</f>
        <v/>
      </c>
      <c r="N300" t="inlineStr">
        <is>
          <t>原源表节点</t>
        </is>
      </c>
    </row>
    <row r="301">
      <c r="A301" t="inlineStr">
        <is>
          <t>爬塔</t>
        </is>
      </c>
      <c r="B301" t="inlineStr">
        <is>
          <t>第80层</t>
        </is>
      </c>
      <c r="C301" t="n">
        <v>221</v>
      </c>
      <c r="D301" t="n">
        <v>349</v>
      </c>
      <c r="E301">
        <f>爬塔!J84</f>
        <v/>
      </c>
      <c r="F301" s="85">
        <f>爬塔!K84</f>
        <v/>
      </c>
      <c r="G301" s="85">
        <f>爬塔!L84</f>
        <v/>
      </c>
      <c r="H301" s="85" t="n">
        <v>17.2365237737221</v>
      </c>
      <c r="I301" s="85">
        <f>爬塔!X84</f>
        <v/>
      </c>
      <c r="J301" s="85">
        <f>I301/H301</f>
        <v/>
      </c>
      <c r="K301" s="85" t="n">
        <v>13.8390862540158</v>
      </c>
      <c r="L301" s="85">
        <f>爬塔!Y84</f>
        <v/>
      </c>
      <c r="M301" s="85">
        <f>L301/K301</f>
        <v/>
      </c>
      <c r="N301" t="inlineStr">
        <is>
          <t>原源表节点</t>
        </is>
      </c>
    </row>
    <row r="302">
      <c r="A302" t="inlineStr">
        <is>
          <t>爬塔</t>
        </is>
      </c>
      <c r="B302" t="inlineStr">
        <is>
          <t>第81层</t>
        </is>
      </c>
      <c r="C302" t="n">
        <v>224</v>
      </c>
      <c r="D302" t="n">
        <v>350</v>
      </c>
      <c r="E302">
        <f>爬塔!J85</f>
        <v/>
      </c>
      <c r="F302" s="85">
        <f>爬塔!K85</f>
        <v/>
      </c>
      <c r="G302" s="85">
        <f>爬塔!L85</f>
        <v/>
      </c>
      <c r="H302" s="85" t="n">
        <v>15.248252155429</v>
      </c>
      <c r="I302" s="85">
        <f>爬塔!X85</f>
        <v/>
      </c>
      <c r="J302" s="85">
        <f>I302/H302</f>
        <v/>
      </c>
      <c r="K302" s="85" t="n">
        <v>12.8233257025316</v>
      </c>
      <c r="L302" s="85">
        <f>爬塔!Y85</f>
        <v/>
      </c>
      <c r="M302" s="85">
        <f>L302/K302</f>
        <v/>
      </c>
      <c r="N302" t="inlineStr">
        <is>
          <t>原源表节点</t>
        </is>
      </c>
    </row>
    <row r="303">
      <c r="A303" t="inlineStr">
        <is>
          <t>爬塔</t>
        </is>
      </c>
      <c r="B303" t="inlineStr">
        <is>
          <t>第82层</t>
        </is>
      </c>
      <c r="C303" t="n">
        <v>226</v>
      </c>
      <c r="D303" t="n">
        <v>351</v>
      </c>
      <c r="E303">
        <f>爬塔!J86</f>
        <v/>
      </c>
      <c r="F303" s="85">
        <f>爬塔!K86</f>
        <v/>
      </c>
      <c r="G303" s="85">
        <f>爬塔!L86</f>
        <v/>
      </c>
      <c r="H303" s="85" t="n">
        <v>15.3518532288982</v>
      </c>
      <c r="I303" s="85">
        <f>爬塔!X86</f>
        <v/>
      </c>
      <c r="J303" s="85">
        <f>I303/H303</f>
        <v/>
      </c>
      <c r="K303" s="85" t="n">
        <v>12.7760115620436</v>
      </c>
      <c r="L303" s="85">
        <f>爬塔!Y86</f>
        <v/>
      </c>
      <c r="M303" s="85">
        <f>L303/K303</f>
        <v/>
      </c>
      <c r="N303" t="inlineStr">
        <is>
          <t>原源表节点</t>
        </is>
      </c>
    </row>
    <row r="304">
      <c r="A304" t="inlineStr">
        <is>
          <t>爬塔</t>
        </is>
      </c>
      <c r="B304" t="inlineStr">
        <is>
          <t>第83层</t>
        </is>
      </c>
      <c r="C304" t="n">
        <v>229</v>
      </c>
      <c r="D304" t="n">
        <v>352</v>
      </c>
      <c r="E304">
        <f>爬塔!J87</f>
        <v/>
      </c>
      <c r="F304" s="85">
        <f>爬塔!K87</f>
        <v/>
      </c>
      <c r="G304" s="85">
        <f>爬塔!L87</f>
        <v/>
      </c>
      <c r="H304" s="85" t="n">
        <v>15.4305238517259</v>
      </c>
      <c r="I304" s="85">
        <f>爬塔!X87</f>
        <v/>
      </c>
      <c r="J304" s="85">
        <f>I304/H304</f>
        <v/>
      </c>
      <c r="K304" s="85" t="n">
        <v>12.7441100768402</v>
      </c>
      <c r="L304" s="85">
        <f>爬塔!Y87</f>
        <v/>
      </c>
      <c r="M304" s="85">
        <f>L304/K304</f>
        <v/>
      </c>
      <c r="N304" t="inlineStr">
        <is>
          <t>原源表节点</t>
        </is>
      </c>
    </row>
    <row r="305">
      <c r="A305" t="inlineStr">
        <is>
          <t>爬塔</t>
        </is>
      </c>
      <c r="B305" t="inlineStr">
        <is>
          <t>第84层</t>
        </is>
      </c>
      <c r="C305" t="n">
        <v>232</v>
      </c>
      <c r="D305" t="n">
        <v>353</v>
      </c>
      <c r="E305">
        <f>爬塔!J88</f>
        <v/>
      </c>
      <c r="F305" s="85">
        <f>爬塔!K88</f>
        <v/>
      </c>
      <c r="G305" s="85">
        <f>爬塔!L88</f>
        <v/>
      </c>
      <c r="H305" s="85" t="n">
        <v>15.5143608478952</v>
      </c>
      <c r="I305" s="85">
        <f>爬塔!X88</f>
        <v/>
      </c>
      <c r="J305" s="85">
        <f>I305/H305</f>
        <v/>
      </c>
      <c r="K305" s="85" t="n">
        <v>12.70936122918</v>
      </c>
      <c r="L305" s="85">
        <f>爬塔!Y88</f>
        <v/>
      </c>
      <c r="M305" s="85">
        <f>L305/K305</f>
        <v/>
      </c>
      <c r="N305" t="inlineStr">
        <is>
          <t>原源表节点</t>
        </is>
      </c>
    </row>
    <row r="306">
      <c r="A306" t="inlineStr">
        <is>
          <t>爬塔</t>
        </is>
      </c>
      <c r="B306" t="inlineStr">
        <is>
          <t>第85层</t>
        </is>
      </c>
      <c r="C306" t="n">
        <v>235</v>
      </c>
      <c r="D306" t="n">
        <v>354</v>
      </c>
      <c r="E306">
        <f>爬塔!J89</f>
        <v/>
      </c>
      <c r="F306" s="85">
        <f>爬塔!K89</f>
        <v/>
      </c>
      <c r="G306" s="85">
        <f>爬塔!L89</f>
        <v/>
      </c>
      <c r="H306" s="85" t="n">
        <v>16.6638130849247</v>
      </c>
      <c r="I306" s="85">
        <f>爬塔!X89</f>
        <v/>
      </c>
      <c r="J306" s="85">
        <f>I306/H306</f>
        <v/>
      </c>
      <c r="K306" s="85" t="n">
        <v>13.1413816609685</v>
      </c>
      <c r="L306" s="85">
        <f>爬塔!Y89</f>
        <v/>
      </c>
      <c r="M306" s="85">
        <f>L306/K306</f>
        <v/>
      </c>
      <c r="N306" t="inlineStr">
        <is>
          <t>原源表节点</t>
        </is>
      </c>
    </row>
    <row r="307">
      <c r="A307" t="inlineStr">
        <is>
          <t>爬塔</t>
        </is>
      </c>
      <c r="B307" t="inlineStr">
        <is>
          <t>第86层</t>
        </is>
      </c>
      <c r="C307" t="n">
        <v>238</v>
      </c>
      <c r="D307" t="n">
        <v>355</v>
      </c>
      <c r="E307">
        <f>爬塔!J90</f>
        <v/>
      </c>
      <c r="F307" s="85">
        <f>爬塔!K90</f>
        <v/>
      </c>
      <c r="G307" s="85">
        <f>爬塔!L90</f>
        <v/>
      </c>
      <c r="H307" s="85" t="n">
        <v>15.696256205023</v>
      </c>
      <c r="I307" s="85">
        <f>爬塔!X90</f>
        <v/>
      </c>
      <c r="J307" s="85">
        <f>I307/H307</f>
        <v/>
      </c>
      <c r="K307" s="85" t="n">
        <v>12.63242163941</v>
      </c>
      <c r="L307" s="85">
        <f>爬塔!Y90</f>
        <v/>
      </c>
      <c r="M307" s="85">
        <f>L307/K307</f>
        <v/>
      </c>
      <c r="N307" t="inlineStr">
        <is>
          <t>原源表节点</t>
        </is>
      </c>
    </row>
    <row r="308">
      <c r="A308" t="inlineStr">
        <is>
          <t>爬塔</t>
        </is>
      </c>
      <c r="B308" t="inlineStr">
        <is>
          <t>第87层</t>
        </is>
      </c>
      <c r="C308" t="n">
        <v>241</v>
      </c>
      <c r="D308" t="n">
        <v>356</v>
      </c>
      <c r="E308">
        <f>爬塔!J91</f>
        <v/>
      </c>
      <c r="F308" s="85">
        <f>爬塔!K91</f>
        <v/>
      </c>
      <c r="G308" s="85">
        <f>爬塔!L91</f>
        <v/>
      </c>
      <c r="H308" s="85" t="n">
        <v>15.7940183137118</v>
      </c>
      <c r="I308" s="85">
        <f>爬塔!X91</f>
        <v/>
      </c>
      <c r="J308" s="85">
        <f>I308/H308</f>
        <v/>
      </c>
      <c r="K308" s="85" t="n">
        <v>12.5905278622781</v>
      </c>
      <c r="L308" s="85">
        <f>爬塔!Y91</f>
        <v/>
      </c>
      <c r="M308" s="85">
        <f>L308/K308</f>
        <v/>
      </c>
      <c r="N308" t="inlineStr">
        <is>
          <t>原源表节点</t>
        </is>
      </c>
    </row>
    <row r="309">
      <c r="A309" t="inlineStr">
        <is>
          <t>爬塔</t>
        </is>
      </c>
      <c r="B309" t="inlineStr">
        <is>
          <t>第88层</t>
        </is>
      </c>
      <c r="C309" t="n">
        <v>244</v>
      </c>
      <c r="D309" t="n">
        <v>357</v>
      </c>
      <c r="E309">
        <f>爬塔!J92</f>
        <v/>
      </c>
      <c r="F309" s="85">
        <f>爬塔!K92</f>
        <v/>
      </c>
      <c r="G309" s="85">
        <f>爬塔!L92</f>
        <v/>
      </c>
      <c r="H309" s="85" t="n">
        <v>15.8959461779857</v>
      </c>
      <c r="I309" s="85">
        <f>爬塔!X92</f>
        <v/>
      </c>
      <c r="J309" s="85">
        <f>I309/H309</f>
        <v/>
      </c>
      <c r="K309" s="85" t="n">
        <v>12.5467156873839</v>
      </c>
      <c r="L309" s="85">
        <f>爬塔!Y92</f>
        <v/>
      </c>
      <c r="M309" s="85">
        <f>L309/K309</f>
        <v/>
      </c>
      <c r="N309" t="inlineStr">
        <is>
          <t>原源表节点</t>
        </is>
      </c>
    </row>
    <row r="310">
      <c r="A310" t="inlineStr">
        <is>
          <t>爬塔</t>
        </is>
      </c>
      <c r="B310" t="inlineStr">
        <is>
          <t>第89层</t>
        </is>
      </c>
      <c r="C310" t="n">
        <v>247</v>
      </c>
      <c r="D310" t="n">
        <v>358</v>
      </c>
      <c r="E310">
        <f>爬塔!J93</f>
        <v/>
      </c>
      <c r="F310" s="85">
        <f>爬塔!K93</f>
        <v/>
      </c>
      <c r="G310" s="85">
        <f>爬塔!L93</f>
        <v/>
      </c>
      <c r="H310" s="85" t="n">
        <v>16.0019001359812</v>
      </c>
      <c r="I310" s="85">
        <f>爬塔!X93</f>
        <v/>
      </c>
      <c r="J310" s="85">
        <f>I310/H310</f>
        <v/>
      </c>
      <c r="K310" s="85" t="n">
        <v>12.5010801325424</v>
      </c>
      <c r="L310" s="85">
        <f>爬塔!Y93</f>
        <v/>
      </c>
      <c r="M310" s="85">
        <f>L310/K310</f>
        <v/>
      </c>
      <c r="N310" t="inlineStr">
        <is>
          <t>原源表节点</t>
        </is>
      </c>
    </row>
    <row r="311">
      <c r="A311" t="inlineStr">
        <is>
          <t>爬塔</t>
        </is>
      </c>
      <c r="B311" t="inlineStr">
        <is>
          <t>第90层</t>
        </is>
      </c>
      <c r="C311" t="n">
        <v>250</v>
      </c>
      <c r="D311" t="n">
        <v>360</v>
      </c>
      <c r="E311">
        <f>爬塔!J94</f>
        <v/>
      </c>
      <c r="F311" s="85">
        <f>爬塔!K94</f>
        <v/>
      </c>
      <c r="G311" s="85">
        <f>爬塔!L94</f>
        <v/>
      </c>
      <c r="H311" s="85" t="n">
        <v>17.3904970127524</v>
      </c>
      <c r="I311" s="85">
        <f>爬塔!X94</f>
        <v/>
      </c>
      <c r="J311" s="85">
        <f>I311/H311</f>
        <v/>
      </c>
      <c r="K311" s="85" t="n">
        <v>12.8329979107253</v>
      </c>
      <c r="L311" s="85">
        <f>爬塔!Y94</f>
        <v/>
      </c>
      <c r="M311" s="85">
        <f>L311/K311</f>
        <v/>
      </c>
      <c r="N311" t="inlineStr">
        <is>
          <t>原源表节点</t>
        </is>
      </c>
    </row>
    <row r="312">
      <c r="A312" t="inlineStr">
        <is>
          <t>爬塔</t>
        </is>
      </c>
      <c r="B312" t="inlineStr">
        <is>
          <t>第91层</t>
        </is>
      </c>
      <c r="C312" t="n">
        <v>253</v>
      </c>
      <c r="D312" t="n">
        <v>361</v>
      </c>
      <c r="E312">
        <f>爬塔!J95</f>
        <v/>
      </c>
      <c r="F312" s="85">
        <f>爬塔!K95</f>
        <v/>
      </c>
      <c r="G312" s="85">
        <f>爬塔!L95</f>
        <v/>
      </c>
      <c r="H312" s="85" t="n">
        <v>16.394899955779</v>
      </c>
      <c r="I312" s="85">
        <f>爬塔!X95</f>
        <v/>
      </c>
      <c r="J312" s="85">
        <f>I312/H312</f>
        <v/>
      </c>
      <c r="K312" s="85" t="n">
        <v>12.3260228765528</v>
      </c>
      <c r="L312" s="85">
        <f>爬塔!Y95</f>
        <v/>
      </c>
      <c r="M312" s="85">
        <f>L312/K312</f>
        <v/>
      </c>
      <c r="N312" t="inlineStr">
        <is>
          <t>原源表节点</t>
        </is>
      </c>
    </row>
    <row r="313">
      <c r="A313" t="inlineStr">
        <is>
          <t>爬塔</t>
        </is>
      </c>
      <c r="B313" t="inlineStr">
        <is>
          <t>第92层</t>
        </is>
      </c>
      <c r="C313" t="n">
        <v>255</v>
      </c>
      <c r="D313" t="n">
        <v>361</v>
      </c>
      <c r="E313">
        <f>爬塔!J96</f>
        <v/>
      </c>
      <c r="F313" s="85">
        <f>爬塔!K96</f>
        <v/>
      </c>
      <c r="G313" s="85">
        <f>爬塔!L96</f>
        <v/>
      </c>
      <c r="H313" s="85" t="n">
        <v>16.3599227854928</v>
      </c>
      <c r="I313" s="85">
        <f>爬塔!X96</f>
        <v/>
      </c>
      <c r="J313" s="85">
        <f>I313/H313</f>
        <v/>
      </c>
      <c r="K313" s="85" t="n">
        <v>12.3450809676718</v>
      </c>
      <c r="L313" s="85">
        <f>爬塔!Y96</f>
        <v/>
      </c>
      <c r="M313" s="85">
        <f>L313/K313</f>
        <v/>
      </c>
      <c r="N313" t="inlineStr">
        <is>
          <t>原源表节点</t>
        </is>
      </c>
    </row>
    <row r="314">
      <c r="A314" t="inlineStr">
        <is>
          <t>爬塔</t>
        </is>
      </c>
      <c r="B314" t="inlineStr">
        <is>
          <t>第93层</t>
        </is>
      </c>
      <c r="C314" t="n">
        <v>258</v>
      </c>
      <c r="D314" t="n">
        <v>363</v>
      </c>
      <c r="E314">
        <f>爬塔!J97</f>
        <v/>
      </c>
      <c r="F314" s="85">
        <f>爬塔!K97</f>
        <v/>
      </c>
      <c r="G314" s="85">
        <f>爬塔!L97</f>
        <v/>
      </c>
      <c r="H314" s="85" t="n">
        <v>16.6513582107128</v>
      </c>
      <c r="I314" s="85">
        <f>爬塔!X97</f>
        <v/>
      </c>
      <c r="J314" s="85">
        <f>I314/H314</f>
        <v/>
      </c>
      <c r="K314" s="85" t="n">
        <v>12.2156913497481</v>
      </c>
      <c r="L314" s="85">
        <f>爬塔!Y97</f>
        <v/>
      </c>
      <c r="M314" s="85">
        <f>L314/K314</f>
        <v/>
      </c>
      <c r="N314" t="inlineStr">
        <is>
          <t>原源表节点</t>
        </is>
      </c>
    </row>
    <row r="315">
      <c r="A315" t="inlineStr">
        <is>
          <t>爬塔</t>
        </is>
      </c>
      <c r="B315" t="inlineStr">
        <is>
          <t>第94层</t>
        </is>
      </c>
      <c r="C315" t="n">
        <v>261</v>
      </c>
      <c r="D315" t="n">
        <v>364</v>
      </c>
      <c r="E315">
        <f>爬塔!J98</f>
        <v/>
      </c>
      <c r="F315" s="85">
        <f>爬塔!K98</f>
        <v/>
      </c>
      <c r="G315" s="85">
        <f>爬塔!L98</f>
        <v/>
      </c>
      <c r="H315" s="85" t="n">
        <v>16.7758367460593</v>
      </c>
      <c r="I315" s="85">
        <f>爬塔!X98</f>
        <v/>
      </c>
      <c r="J315" s="85">
        <f>I315/H315</f>
        <v/>
      </c>
      <c r="K315" s="85" t="n">
        <v>12.1634491566443</v>
      </c>
      <c r="L315" s="85">
        <f>爬塔!Y98</f>
        <v/>
      </c>
      <c r="M315" s="85">
        <f>L315/K315</f>
        <v/>
      </c>
      <c r="N315" t="inlineStr">
        <is>
          <t>原源表节点</t>
        </is>
      </c>
    </row>
    <row r="316">
      <c r="A316" t="inlineStr">
        <is>
          <t>爬塔</t>
        </is>
      </c>
      <c r="B316" t="inlineStr">
        <is>
          <t>第95层</t>
        </is>
      </c>
      <c r="C316" t="n">
        <v>264</v>
      </c>
      <c r="D316" t="n">
        <v>365</v>
      </c>
      <c r="E316">
        <f>爬塔!J99</f>
        <v/>
      </c>
      <c r="F316" s="85">
        <f>爬塔!K99</f>
        <v/>
      </c>
      <c r="G316" s="85">
        <f>爬塔!L99</f>
        <v/>
      </c>
      <c r="H316" s="85" t="n">
        <v>16.9039371980181</v>
      </c>
      <c r="I316" s="85">
        <f>爬塔!X99</f>
        <v/>
      </c>
      <c r="J316" s="85">
        <f>I316/H316</f>
        <v/>
      </c>
      <c r="K316" s="85" t="n">
        <v>12.1104008030566</v>
      </c>
      <c r="L316" s="85">
        <f>爬塔!Y99</f>
        <v/>
      </c>
      <c r="M316" s="85">
        <f>L316/K316</f>
        <v/>
      </c>
      <c r="N316" t="inlineStr">
        <is>
          <t>原源表节点</t>
        </is>
      </c>
    </row>
    <row r="317">
      <c r="A317" t="inlineStr">
        <is>
          <t>爬塔</t>
        </is>
      </c>
      <c r="B317" t="inlineStr">
        <is>
          <t>第96层</t>
        </is>
      </c>
      <c r="C317" t="n">
        <v>267</v>
      </c>
      <c r="D317" t="n">
        <v>366</v>
      </c>
      <c r="E317">
        <f>爬塔!J100</f>
        <v/>
      </c>
      <c r="F317" s="85">
        <f>爬塔!K100</f>
        <v/>
      </c>
      <c r="G317" s="85">
        <f>爬塔!L100</f>
        <v/>
      </c>
      <c r="H317" s="85" t="n">
        <v>17.0353070858243</v>
      </c>
      <c r="I317" s="85">
        <f>爬塔!X100</f>
        <v/>
      </c>
      <c r="J317" s="85">
        <f>I317/H317</f>
        <v/>
      </c>
      <c r="K317" s="85" t="n">
        <v>12.0559462647561</v>
      </c>
      <c r="L317" s="85">
        <f>爬塔!Y100</f>
        <v/>
      </c>
      <c r="M317" s="85">
        <f>L317/K317</f>
        <v/>
      </c>
      <c r="N317" t="inlineStr">
        <is>
          <t>原源表节点</t>
        </is>
      </c>
    </row>
    <row r="318">
      <c r="A318" t="inlineStr">
        <is>
          <t>爬塔</t>
        </is>
      </c>
      <c r="B318" t="inlineStr">
        <is>
          <t>第97层</t>
        </is>
      </c>
      <c r="C318" t="n">
        <v>270</v>
      </c>
      <c r="D318" t="n">
        <v>367</v>
      </c>
      <c r="E318">
        <f>爬塔!J101</f>
        <v/>
      </c>
      <c r="F318" s="85">
        <f>爬塔!K101</f>
        <v/>
      </c>
      <c r="G318" s="85">
        <f>爬塔!L101</f>
        <v/>
      </c>
      <c r="H318" s="85" t="n">
        <v>17.1699288016811</v>
      </c>
      <c r="I318" s="85">
        <f>爬塔!X101</f>
        <v/>
      </c>
      <c r="J318" s="85">
        <f>I318/H318</f>
        <v/>
      </c>
      <c r="K318" s="85" t="n">
        <v>12.0007271520746</v>
      </c>
      <c r="L318" s="85">
        <f>爬塔!Y101</f>
        <v/>
      </c>
      <c r="M318" s="85">
        <f>L318/K318</f>
        <v/>
      </c>
      <c r="N318" t="inlineStr">
        <is>
          <t>原源表节点</t>
        </is>
      </c>
    </row>
    <row r="319">
      <c r="A319" t="inlineStr">
        <is>
          <t>爬塔</t>
        </is>
      </c>
      <c r="B319" t="inlineStr">
        <is>
          <t>第98层</t>
        </is>
      </c>
      <c r="C319" t="n">
        <v>273</v>
      </c>
      <c r="D319" t="n">
        <v>368</v>
      </c>
      <c r="E319">
        <f>爬塔!J102</f>
        <v/>
      </c>
      <c r="F319" s="85">
        <f>爬塔!K102</f>
        <v/>
      </c>
      <c r="G319" s="85">
        <f>爬塔!L102</f>
        <v/>
      </c>
      <c r="H319" s="85" t="n">
        <v>17.3078543297165</v>
      </c>
      <c r="I319" s="85">
        <f>爬塔!X102</f>
        <v/>
      </c>
      <c r="J319" s="85">
        <f>I319/H319</f>
        <v/>
      </c>
      <c r="K319" s="85" t="n">
        <v>11.9443442067692</v>
      </c>
      <c r="L319" s="85">
        <f>爬塔!Y102</f>
        <v/>
      </c>
      <c r="M319" s="85">
        <f>L319/K319</f>
        <v/>
      </c>
      <c r="N319" t="inlineStr">
        <is>
          <t>原源表节点</t>
        </is>
      </c>
    </row>
    <row r="320">
      <c r="A320" t="inlineStr">
        <is>
          <t>爬塔</t>
        </is>
      </c>
      <c r="B320" t="inlineStr">
        <is>
          <t>第99层</t>
        </is>
      </c>
      <c r="C320" t="n">
        <v>276</v>
      </c>
      <c r="D320" t="n">
        <v>370</v>
      </c>
      <c r="E320">
        <f>爬塔!J103</f>
        <v/>
      </c>
      <c r="F320" s="85">
        <f>爬塔!K103</f>
        <v/>
      </c>
      <c r="G320" s="85">
        <f>爬塔!L103</f>
        <v/>
      </c>
      <c r="H320" s="85" t="n">
        <v>17.6278907396156</v>
      </c>
      <c r="I320" s="85">
        <f>爬塔!X103</f>
        <v/>
      </c>
      <c r="J320" s="85">
        <f>I320/H320</f>
        <v/>
      </c>
      <c r="K320" s="85" t="n">
        <v>11.8122933421313</v>
      </c>
      <c r="L320" s="85">
        <f>爬塔!Y103</f>
        <v/>
      </c>
      <c r="M320" s="85">
        <f>L320/K320</f>
        <v/>
      </c>
      <c r="N320" t="inlineStr">
        <is>
          <t>原源表节点</t>
        </is>
      </c>
    </row>
    <row r="321">
      <c r="A321" t="inlineStr">
        <is>
          <t>爬塔</t>
        </is>
      </c>
      <c r="B321" t="inlineStr">
        <is>
          <t>第100层</t>
        </is>
      </c>
      <c r="C321" t="n">
        <v>279</v>
      </c>
      <c r="D321" t="n">
        <v>370</v>
      </c>
      <c r="E321">
        <f>爬塔!J104</f>
        <v/>
      </c>
      <c r="F321" s="85">
        <f>爬塔!K104</f>
        <v/>
      </c>
      <c r="G321" s="85">
        <f>爬塔!L104</f>
        <v/>
      </c>
      <c r="H321" s="85" t="n">
        <v>17.5923625077898</v>
      </c>
      <c r="I321" s="85">
        <f>爬塔!X104</f>
        <v/>
      </c>
      <c r="J321" s="85">
        <f>I321/H321</f>
        <v/>
      </c>
      <c r="K321" s="85" t="n">
        <v>11.8297257736823</v>
      </c>
      <c r="L321" s="85">
        <f>爬塔!Y104</f>
        <v/>
      </c>
      <c r="M321" s="85">
        <f>L321/K321</f>
        <v/>
      </c>
      <c r="N321" t="inlineStr">
        <is>
          <t>原源表节点</t>
        </is>
      </c>
    </row>
    <row r="322">
      <c r="A322" t="inlineStr">
        <is>
          <t>舱室材料</t>
        </is>
      </c>
      <c r="B322" t="inlineStr">
        <is>
          <t>难度1</t>
        </is>
      </c>
      <c r="C322" t="n">
        <v>16</v>
      </c>
      <c r="D322" t="n">
        <v>22</v>
      </c>
      <c r="E322" t="n">
        <v>20</v>
      </c>
      <c r="F322" s="85">
        <f>舱室材料!K5</f>
        <v/>
      </c>
      <c r="G322" s="85">
        <f>舱室材料!L5</f>
        <v/>
      </c>
      <c r="H322" s="85" t="n">
        <v>0.274567673786944</v>
      </c>
      <c r="I322" s="85">
        <f>舱室材料!X5</f>
        <v/>
      </c>
      <c r="J322" s="85">
        <f>I322/H322</f>
        <v/>
      </c>
      <c r="K322" s="85" t="n">
        <v>51.6446316631681</v>
      </c>
      <c r="L322" s="85">
        <f>舱室材料!Y5</f>
        <v/>
      </c>
      <c r="M322" s="85">
        <f>L322/K322</f>
        <v/>
      </c>
      <c r="N322" t="inlineStr">
        <is>
          <t>原源表节点</t>
        </is>
      </c>
    </row>
    <row r="323">
      <c r="A323" t="inlineStr">
        <is>
          <t>舱室材料</t>
        </is>
      </c>
      <c r="B323" t="inlineStr">
        <is>
          <t>难度2</t>
        </is>
      </c>
      <c r="C323" t="n">
        <v>20</v>
      </c>
      <c r="D323" t="n">
        <v>26</v>
      </c>
      <c r="E323" t="n">
        <v>24</v>
      </c>
      <c r="F323" s="85">
        <f>舱室材料!K6</f>
        <v/>
      </c>
      <c r="G323" s="85">
        <f>舱室材料!L6</f>
        <v/>
      </c>
      <c r="H323" s="85" t="n">
        <v>0.242559115520248</v>
      </c>
      <c r="I323" s="85">
        <f>舱室材料!X6</f>
        <v/>
      </c>
      <c r="J323" s="85">
        <f>I323/H323</f>
        <v/>
      </c>
      <c r="K323" s="85" t="n">
        <v>57.0614018696354</v>
      </c>
      <c r="L323" s="85">
        <f>舱室材料!Y6</f>
        <v/>
      </c>
      <c r="M323" s="85">
        <f>L323/K323</f>
        <v/>
      </c>
      <c r="N323" t="inlineStr">
        <is>
          <t>原源表节点</t>
        </is>
      </c>
    </row>
    <row r="324">
      <c r="A324" t="inlineStr">
        <is>
          <t>舱室材料</t>
        </is>
      </c>
      <c r="B324" t="inlineStr">
        <is>
          <t>难度3</t>
        </is>
      </c>
      <c r="C324" t="n">
        <v>33</v>
      </c>
      <c r="D324" t="n">
        <v>39</v>
      </c>
      <c r="E324" t="n">
        <v>31</v>
      </c>
      <c r="F324" s="85">
        <f>舱室材料!K7</f>
        <v/>
      </c>
      <c r="G324" s="85">
        <f>舱室材料!L7</f>
        <v/>
      </c>
      <c r="H324" s="85" t="n">
        <v>0.150228246578205</v>
      </c>
      <c r="I324" s="85">
        <f>舱室材料!X7</f>
        <v/>
      </c>
      <c r="J324" s="85">
        <f>I324/H324</f>
        <v/>
      </c>
      <c r="K324" s="85" t="n">
        <v>85.3396123163832</v>
      </c>
      <c r="L324" s="85">
        <f>舱室材料!Y7</f>
        <v/>
      </c>
      <c r="M324" s="85">
        <f>L324/K324</f>
        <v/>
      </c>
      <c r="N324" t="inlineStr">
        <is>
          <t>原源表节点</t>
        </is>
      </c>
    </row>
    <row r="325">
      <c r="A325" t="inlineStr">
        <is>
          <t>舱室材料</t>
        </is>
      </c>
      <c r="B325" t="inlineStr">
        <is>
          <t>难度4</t>
        </is>
      </c>
      <c r="C325" t="n">
        <v>48</v>
      </c>
      <c r="D325" t="n">
        <v>49</v>
      </c>
      <c r="E325" t="n">
        <v>34</v>
      </c>
      <c r="F325" s="85">
        <f>舱室材料!K8</f>
        <v/>
      </c>
      <c r="G325" s="85">
        <f>舱室材料!L8</f>
        <v/>
      </c>
      <c r="H325" s="85" t="n">
        <v>0.0804460801256086</v>
      </c>
      <c r="I325" s="85">
        <f>舱室材料!X8</f>
        <v/>
      </c>
      <c r="J325" s="85">
        <f>I325/H325</f>
        <v/>
      </c>
      <c r="K325" s="85" t="n">
        <v>141.396511460388</v>
      </c>
      <c r="L325" s="85">
        <f>舱室材料!Y8</f>
        <v/>
      </c>
      <c r="M325" s="85">
        <f>L325/K325</f>
        <v/>
      </c>
      <c r="N325" t="inlineStr">
        <is>
          <t>原源表节点</t>
        </is>
      </c>
    </row>
    <row r="326">
      <c r="A326" t="inlineStr">
        <is>
          <t>舱室材料</t>
        </is>
      </c>
      <c r="B326" t="inlineStr">
        <is>
          <t>难度5</t>
        </is>
      </c>
      <c r="C326" t="n">
        <v>64</v>
      </c>
      <c r="D326" t="n">
        <v>61</v>
      </c>
      <c r="E326" t="n">
        <v>42</v>
      </c>
      <c r="F326" s="85">
        <f>舱室材料!K9</f>
        <v/>
      </c>
      <c r="G326" s="85">
        <f>舱室材料!L9</f>
        <v/>
      </c>
      <c r="H326" s="85" t="n">
        <v>0.0630600139995946</v>
      </c>
      <c r="I326" s="85">
        <f>舱室材料!X9</f>
        <v/>
      </c>
      <c r="J326" s="85">
        <f>I326/H326</f>
        <v/>
      </c>
      <c r="K326" s="85" t="n">
        <v>171.463770977079</v>
      </c>
      <c r="L326" s="85">
        <f>舱室材料!Y9</f>
        <v/>
      </c>
      <c r="M326" s="85">
        <f>L326/K326</f>
        <v/>
      </c>
      <c r="N326" t="inlineStr">
        <is>
          <t>原源表节点</t>
        </is>
      </c>
    </row>
    <row r="327">
      <c r="A327" t="inlineStr">
        <is>
          <t>无限之旅</t>
        </is>
      </c>
      <c r="B327" t="inlineStr">
        <is>
          <t>难度1-层1</t>
        </is>
      </c>
      <c r="C327" t="n">
        <v>14</v>
      </c>
      <c r="D327" t="n">
        <v>27</v>
      </c>
      <c r="E327" t="n">
        <v>24</v>
      </c>
      <c r="F327" s="85">
        <f>无限之旅!K5</f>
        <v/>
      </c>
      <c r="G327" s="85">
        <f>无限之旅!L5</f>
        <v/>
      </c>
      <c r="H327" s="85" t="n">
        <v>43.4038307304983</v>
      </c>
      <c r="I327" s="85">
        <f>无限之旅!X5</f>
        <v/>
      </c>
      <c r="J327" s="85">
        <f>I327/H327</f>
        <v/>
      </c>
      <c r="K327" s="85" t="n">
        <v>35.5887438385536</v>
      </c>
      <c r="L327" s="85">
        <f>无限之旅!Y5</f>
        <v/>
      </c>
      <c r="M327" s="85">
        <f>L327/K327</f>
        <v/>
      </c>
      <c r="N327" t="inlineStr">
        <is>
          <t>等效进度估算</t>
        </is>
      </c>
    </row>
    <row r="328">
      <c r="A328" t="inlineStr">
        <is>
          <t>无限之旅</t>
        </is>
      </c>
      <c r="B328" t="inlineStr">
        <is>
          <t>难度1-层2</t>
        </is>
      </c>
      <c r="C328" t="n">
        <v>19</v>
      </c>
      <c r="D328" t="n">
        <v>36</v>
      </c>
      <c r="E328" t="n">
        <v>34</v>
      </c>
      <c r="F328" s="85">
        <f>无限之旅!K6</f>
        <v/>
      </c>
      <c r="G328" s="85">
        <f>无限之旅!L6</f>
        <v/>
      </c>
      <c r="H328" s="85" t="n">
        <v>43.1279336382745</v>
      </c>
      <c r="I328" s="85">
        <f>无限之旅!X6</f>
        <v/>
      </c>
      <c r="J328" s="85">
        <f>I328/H328</f>
        <v/>
      </c>
      <c r="K328" s="85" t="n">
        <v>34.9297115916743</v>
      </c>
      <c r="L328" s="85">
        <f>无限之旅!Y6</f>
        <v/>
      </c>
      <c r="M328" s="85">
        <f>L328/K328</f>
        <v/>
      </c>
      <c r="N328" t="inlineStr">
        <is>
          <t>等效进度估算</t>
        </is>
      </c>
    </row>
    <row r="329">
      <c r="A329" t="inlineStr">
        <is>
          <t>无限之旅</t>
        </is>
      </c>
      <c r="B329" t="inlineStr">
        <is>
          <t>难度1-层3</t>
        </is>
      </c>
      <c r="C329" t="n">
        <v>22</v>
      </c>
      <c r="D329" t="n">
        <v>44</v>
      </c>
      <c r="E329" t="n">
        <v>42</v>
      </c>
      <c r="F329" s="85">
        <f>无限之旅!K7</f>
        <v/>
      </c>
      <c r="G329" s="85">
        <f>无限之旅!L7</f>
        <v/>
      </c>
      <c r="H329" s="85" t="n">
        <v>44.1986388753075</v>
      </c>
      <c r="I329" s="85">
        <f>无限之旅!X7</f>
        <v/>
      </c>
      <c r="J329" s="85">
        <f>I329/H329</f>
        <v/>
      </c>
      <c r="K329" s="85" t="n">
        <v>34.4339583432663</v>
      </c>
      <c r="L329" s="85">
        <f>无限之旅!Y7</f>
        <v/>
      </c>
      <c r="M329" s="85">
        <f>L329/K329</f>
        <v/>
      </c>
      <c r="N329" t="inlineStr">
        <is>
          <t>等效进度估算</t>
        </is>
      </c>
    </row>
    <row r="330">
      <c r="A330" t="inlineStr">
        <is>
          <t>无限之旅</t>
        </is>
      </c>
      <c r="B330" t="inlineStr">
        <is>
          <t>难度1-层4</t>
        </is>
      </c>
      <c r="C330" t="n">
        <v>26</v>
      </c>
      <c r="D330" t="n">
        <v>53</v>
      </c>
      <c r="E330" t="n">
        <v>50</v>
      </c>
      <c r="F330" s="85">
        <f>无限之旅!K8</f>
        <v/>
      </c>
      <c r="G330" s="85">
        <f>无限之旅!L8</f>
        <v/>
      </c>
      <c r="H330" s="85" t="n">
        <v>43.5802862054349</v>
      </c>
      <c r="I330" s="85">
        <f>无限之旅!X8</f>
        <v/>
      </c>
      <c r="J330" s="85">
        <f>I330/H330</f>
        <v/>
      </c>
      <c r="K330" s="85" t="n">
        <v>35.4725655790454</v>
      </c>
      <c r="L330" s="85">
        <f>无限之旅!Y8</f>
        <v/>
      </c>
      <c r="M330" s="85">
        <f>L330/K330</f>
        <v/>
      </c>
      <c r="N330" t="inlineStr">
        <is>
          <t>等效进度估算</t>
        </is>
      </c>
    </row>
    <row r="331">
      <c r="A331" t="inlineStr">
        <is>
          <t>无限之旅</t>
        </is>
      </c>
      <c r="B331" t="inlineStr">
        <is>
          <t>难度1-层5</t>
        </is>
      </c>
      <c r="C331" t="n">
        <v>30</v>
      </c>
      <c r="D331" t="n">
        <v>61</v>
      </c>
      <c r="E331" t="n">
        <v>56</v>
      </c>
      <c r="F331" s="85">
        <f>无限之旅!K9</f>
        <v/>
      </c>
      <c r="G331" s="85">
        <f>无限之旅!L9</f>
        <v/>
      </c>
      <c r="H331" s="85" t="n">
        <v>43.2847088847785</v>
      </c>
      <c r="I331" s="85">
        <f>无限之旅!X9</f>
        <v/>
      </c>
      <c r="J331" s="85">
        <f>I331/H331</f>
        <v/>
      </c>
      <c r="K331" s="85" t="n">
        <v>36.344970279099</v>
      </c>
      <c r="L331" s="85">
        <f>无限之旅!Y9</f>
        <v/>
      </c>
      <c r="M331" s="85">
        <f>L331/K331</f>
        <v/>
      </c>
      <c r="N331" t="inlineStr">
        <is>
          <t>等效进度估算</t>
        </is>
      </c>
    </row>
    <row r="332">
      <c r="A332" t="inlineStr">
        <is>
          <t>无限之旅</t>
        </is>
      </c>
      <c r="B332" t="inlineStr">
        <is>
          <t>难度1-层6</t>
        </is>
      </c>
      <c r="C332" t="n">
        <v>32</v>
      </c>
      <c r="D332" t="n">
        <v>69</v>
      </c>
      <c r="E332" t="n">
        <v>61</v>
      </c>
      <c r="F332" s="85">
        <f>无限之旅!K10</f>
        <v/>
      </c>
      <c r="G332" s="85">
        <f>无限之旅!L10</f>
        <v/>
      </c>
      <c r="H332" s="85" t="n">
        <v>44.9604065553879</v>
      </c>
      <c r="I332" s="85">
        <f>无限之旅!X10</f>
        <v/>
      </c>
      <c r="J332" s="85">
        <f>I332/H332</f>
        <v/>
      </c>
      <c r="K332" s="85" t="n">
        <v>35.923384472507</v>
      </c>
      <c r="L332" s="85">
        <f>无限之旅!Y10</f>
        <v/>
      </c>
      <c r="M332" s="85">
        <f>L332/K332</f>
        <v/>
      </c>
      <c r="N332" t="inlineStr">
        <is>
          <t>等效进度估算</t>
        </is>
      </c>
    </row>
    <row r="333">
      <c r="A333" t="inlineStr">
        <is>
          <t>无限之旅</t>
        </is>
      </c>
      <c r="B333" t="inlineStr">
        <is>
          <t>难度1-层7</t>
        </is>
      </c>
      <c r="C333" t="n">
        <v>35</v>
      </c>
      <c r="D333" t="n">
        <v>77</v>
      </c>
      <c r="E333" t="n">
        <v>65</v>
      </c>
      <c r="F333" s="85">
        <f>无限之旅!K11</f>
        <v/>
      </c>
      <c r="G333" s="85">
        <f>无限之旅!L11</f>
        <v/>
      </c>
      <c r="H333" s="85" t="n">
        <v>43.2633789670251</v>
      </c>
      <c r="I333" s="85">
        <f>无限之旅!X11</f>
        <v/>
      </c>
      <c r="J333" s="85">
        <f>I333/H333</f>
        <v/>
      </c>
      <c r="K333" s="85" t="n">
        <v>37.9216901245401</v>
      </c>
      <c r="L333" s="85">
        <f>无限之旅!Y11</f>
        <v/>
      </c>
      <c r="M333" s="85">
        <f>L333/K333</f>
        <v/>
      </c>
      <c r="N333" t="inlineStr">
        <is>
          <t>等效进度估算</t>
        </is>
      </c>
    </row>
    <row r="334">
      <c r="A334" t="inlineStr">
        <is>
          <t>无限之旅</t>
        </is>
      </c>
      <c r="B334" t="inlineStr">
        <is>
          <t>难度1-层8</t>
        </is>
      </c>
      <c r="C334" t="n">
        <v>38</v>
      </c>
      <c r="D334" t="n">
        <v>85</v>
      </c>
      <c r="E334" t="n">
        <v>69</v>
      </c>
      <c r="F334" s="85">
        <f>无限之旅!K12</f>
        <v/>
      </c>
      <c r="G334" s="85">
        <f>无限之旅!L12</f>
        <v/>
      </c>
      <c r="H334" s="85" t="n">
        <v>42.6868010640796</v>
      </c>
      <c r="I334" s="85">
        <f>无限之旅!X12</f>
        <v/>
      </c>
      <c r="J334" s="85">
        <f>I334/H334</f>
        <v/>
      </c>
      <c r="K334" s="85" t="n">
        <v>39.2993293990713</v>
      </c>
      <c r="L334" s="85">
        <f>无限之旅!Y12</f>
        <v/>
      </c>
      <c r="M334" s="85">
        <f>L334/K334</f>
        <v/>
      </c>
      <c r="N334" t="inlineStr">
        <is>
          <t>等效进度估算</t>
        </is>
      </c>
    </row>
    <row r="335">
      <c r="A335" t="inlineStr">
        <is>
          <t>无限之旅</t>
        </is>
      </c>
      <c r="B335" t="inlineStr">
        <is>
          <t>难度1-层9</t>
        </is>
      </c>
      <c r="C335" t="n">
        <v>40</v>
      </c>
      <c r="D335" t="n">
        <v>92</v>
      </c>
      <c r="E335" t="n">
        <v>74</v>
      </c>
      <c r="F335" s="85">
        <f>无限之旅!K13</f>
        <v/>
      </c>
      <c r="G335" s="85">
        <f>无限之旅!L13</f>
        <v/>
      </c>
      <c r="H335" s="85" t="n">
        <v>44.5796049607967</v>
      </c>
      <c r="I335" s="85">
        <f>无限之旅!X13</f>
        <v/>
      </c>
      <c r="J335" s="85">
        <f>I335/H335</f>
        <v/>
      </c>
      <c r="K335" s="85" t="n">
        <v>38.7922778883814</v>
      </c>
      <c r="L335" s="85">
        <f>无限之旅!Y13</f>
        <v/>
      </c>
      <c r="M335" s="85">
        <f>L335/K335</f>
        <v/>
      </c>
      <c r="N335" t="inlineStr">
        <is>
          <t>等效进度估算</t>
        </is>
      </c>
    </row>
    <row r="336">
      <c r="A336" t="inlineStr">
        <is>
          <t>无限之旅</t>
        </is>
      </c>
      <c r="B336" t="inlineStr">
        <is>
          <t>难度1-层10</t>
        </is>
      </c>
      <c r="C336" t="n">
        <v>44</v>
      </c>
      <c r="D336" t="n">
        <v>100</v>
      </c>
      <c r="E336" t="n">
        <v>80</v>
      </c>
      <c r="F336" s="85">
        <f>无限之旅!K14</f>
        <v/>
      </c>
      <c r="G336" s="85">
        <f>无限之旅!L14</f>
        <v/>
      </c>
      <c r="H336" s="85" t="n">
        <v>42.507068602468</v>
      </c>
      <c r="I336" s="85">
        <f>无限之旅!X14</f>
        <v/>
      </c>
      <c r="J336" s="85">
        <f>I336/H336</f>
        <v/>
      </c>
      <c r="K336" s="85" t="n">
        <v>41.3444765403529</v>
      </c>
      <c r="L336" s="85">
        <f>无限之旅!Y14</f>
        <v/>
      </c>
      <c r="M336" s="85">
        <f>L336/K336</f>
        <v/>
      </c>
      <c r="N336" t="inlineStr">
        <is>
          <t>等效进度估算</t>
        </is>
      </c>
    </row>
    <row r="337">
      <c r="A337" t="inlineStr">
        <is>
          <t>无限之旅</t>
        </is>
      </c>
      <c r="B337" t="inlineStr">
        <is>
          <t>难度1-层11</t>
        </is>
      </c>
      <c r="C337" t="n">
        <v>46</v>
      </c>
      <c r="D337" t="n">
        <v>107</v>
      </c>
      <c r="E337" t="n">
        <v>86</v>
      </c>
      <c r="F337" s="85">
        <f>无限之旅!K15</f>
        <v/>
      </c>
      <c r="G337" s="85">
        <f>无限之旅!L15</f>
        <v/>
      </c>
      <c r="H337" s="85" t="n">
        <v>44.9338572078284</v>
      </c>
      <c r="I337" s="85">
        <f>无限之旅!X15</f>
        <v/>
      </c>
      <c r="J337" s="85">
        <f>I337/H337</f>
        <v/>
      </c>
      <c r="K337" s="85" t="n">
        <v>40.401466660538</v>
      </c>
      <c r="L337" s="85">
        <f>无限之旅!Y15</f>
        <v/>
      </c>
      <c r="M337" s="85">
        <f>L337/K337</f>
        <v/>
      </c>
      <c r="N337" t="inlineStr">
        <is>
          <t>等效进度估算</t>
        </is>
      </c>
    </row>
    <row r="338">
      <c r="A338" t="inlineStr">
        <is>
          <t>无限之旅</t>
        </is>
      </c>
      <c r="B338" t="inlineStr">
        <is>
          <t>难度1-层12</t>
        </is>
      </c>
      <c r="C338" t="n">
        <v>50</v>
      </c>
      <c r="D338" t="n">
        <v>115</v>
      </c>
      <c r="E338" t="n">
        <v>93</v>
      </c>
      <c r="F338" s="85">
        <f>无限之旅!K16</f>
        <v/>
      </c>
      <c r="G338" s="85">
        <f>无限之旅!L16</f>
        <v/>
      </c>
      <c r="H338" s="85" t="n">
        <v>44.157441420515</v>
      </c>
      <c r="I338" s="85">
        <f>无限之旅!X16</f>
        <v/>
      </c>
      <c r="J338" s="85">
        <f>I338/H338</f>
        <v/>
      </c>
      <c r="K338" s="85" t="n">
        <v>41.9670385586489</v>
      </c>
      <c r="L338" s="85">
        <f>无限之旅!Y16</f>
        <v/>
      </c>
      <c r="M338" s="85">
        <f>L338/K338</f>
        <v/>
      </c>
      <c r="N338" t="inlineStr">
        <is>
          <t>等效进度估算</t>
        </is>
      </c>
    </row>
    <row r="339">
      <c r="A339" t="inlineStr">
        <is>
          <t>无限之旅</t>
        </is>
      </c>
      <c r="B339" t="inlineStr">
        <is>
          <t>难度1-层13</t>
        </is>
      </c>
      <c r="C339" t="n">
        <v>54</v>
      </c>
      <c r="D339" t="n">
        <v>122</v>
      </c>
      <c r="E339" t="n">
        <v>100</v>
      </c>
      <c r="F339" s="85">
        <f>无限之旅!K17</f>
        <v/>
      </c>
      <c r="G339" s="85">
        <f>无限之旅!L17</f>
        <v/>
      </c>
      <c r="H339" s="85" t="n">
        <v>43.161546435621</v>
      </c>
      <c r="I339" s="85">
        <f>无限之旅!X17</f>
        <v/>
      </c>
      <c r="J339" s="85">
        <f>I339/H339</f>
        <v/>
      </c>
      <c r="K339" s="85" t="n">
        <v>43.5995610010644</v>
      </c>
      <c r="L339" s="85">
        <f>无限之旅!Y17</f>
        <v/>
      </c>
      <c r="M339" s="85">
        <f>L339/K339</f>
        <v/>
      </c>
      <c r="N339" t="inlineStr">
        <is>
          <t>等效进度估算</t>
        </is>
      </c>
    </row>
    <row r="340">
      <c r="A340" t="inlineStr">
        <is>
          <t>无限之旅</t>
        </is>
      </c>
      <c r="B340" t="inlineStr">
        <is>
          <t>难度1-层14</t>
        </is>
      </c>
      <c r="C340" t="n">
        <v>57</v>
      </c>
      <c r="D340" t="n">
        <v>129</v>
      </c>
      <c r="E340" t="n">
        <v>106</v>
      </c>
      <c r="F340" s="85">
        <f>无限之旅!K18</f>
        <v/>
      </c>
      <c r="G340" s="85">
        <f>无限之旅!L18</f>
        <v/>
      </c>
      <c r="H340" s="85" t="n">
        <v>44.4137551611223</v>
      </c>
      <c r="I340" s="85">
        <f>无限之旅!X18</f>
        <v/>
      </c>
      <c r="J340" s="85">
        <f>I340/H340</f>
        <v/>
      </c>
      <c r="K340" s="85" t="n">
        <v>43.4560545879151</v>
      </c>
      <c r="L340" s="85">
        <f>无限之旅!Y18</f>
        <v/>
      </c>
      <c r="M340" s="85">
        <f>L340/K340</f>
        <v/>
      </c>
      <c r="N340" t="inlineStr">
        <is>
          <t>等效进度估算</t>
        </is>
      </c>
    </row>
    <row r="341">
      <c r="A341" t="inlineStr">
        <is>
          <t>无限之旅</t>
        </is>
      </c>
      <c r="B341" t="inlineStr">
        <is>
          <t>难度1-层15</t>
        </is>
      </c>
      <c r="C341" t="n">
        <v>61</v>
      </c>
      <c r="D341" t="n">
        <v>136</v>
      </c>
      <c r="E341" t="n">
        <v>112</v>
      </c>
      <c r="F341" s="85">
        <f>无限之旅!K19</f>
        <v/>
      </c>
      <c r="G341" s="85">
        <f>无限之旅!L19</f>
        <v/>
      </c>
      <c r="H341" s="85" t="n">
        <v>44.3736042345114</v>
      </c>
      <c r="I341" s="85">
        <f>无限之旅!X19</f>
        <v/>
      </c>
      <c r="J341" s="85">
        <f>I341/H341</f>
        <v/>
      </c>
      <c r="K341" s="85" t="n">
        <v>44.3023384204409</v>
      </c>
      <c r="L341" s="85">
        <f>无限之旅!Y19</f>
        <v/>
      </c>
      <c r="M341" s="85">
        <f>L341/K341</f>
        <v/>
      </c>
      <c r="N341" t="inlineStr">
        <is>
          <t>等效进度估算</t>
        </is>
      </c>
    </row>
    <row r="342">
      <c r="A342" t="inlineStr">
        <is>
          <t>无限之旅</t>
        </is>
      </c>
      <c r="B342" t="inlineStr">
        <is>
          <t>难度1-层16</t>
        </is>
      </c>
      <c r="C342" t="n">
        <v>65</v>
      </c>
      <c r="D342" t="n">
        <v>143</v>
      </c>
      <c r="E342" t="n">
        <v>118</v>
      </c>
      <c r="F342" s="85">
        <f>无限之旅!K20</f>
        <v/>
      </c>
      <c r="G342" s="85">
        <f>无限之旅!L20</f>
        <v/>
      </c>
      <c r="H342" s="85" t="n">
        <v>44.3016847289828</v>
      </c>
      <c r="I342" s="85">
        <f>无限之旅!X20</f>
        <v/>
      </c>
      <c r="J342" s="85">
        <f>I342/H342</f>
        <v/>
      </c>
      <c r="K342" s="85" t="n">
        <v>45.369293666718</v>
      </c>
      <c r="L342" s="85">
        <f>无限之旅!Y20</f>
        <v/>
      </c>
      <c r="M342" s="85">
        <f>L342/K342</f>
        <v/>
      </c>
      <c r="N342" t="inlineStr">
        <is>
          <t>等效进度估算</t>
        </is>
      </c>
    </row>
    <row r="343">
      <c r="A343" t="inlineStr">
        <is>
          <t>无限之旅</t>
        </is>
      </c>
      <c r="B343" t="inlineStr">
        <is>
          <t>难度1-层17</t>
        </is>
      </c>
      <c r="C343" t="n">
        <v>68</v>
      </c>
      <c r="D343" t="n">
        <v>150</v>
      </c>
      <c r="E343" t="n">
        <v>124</v>
      </c>
      <c r="F343" s="85">
        <f>无限之旅!K21</f>
        <v/>
      </c>
      <c r="G343" s="85">
        <f>无限之旅!L21</f>
        <v/>
      </c>
      <c r="H343" s="85" t="n">
        <v>45.0185383396059</v>
      </c>
      <c r="I343" s="85">
        <f>无限之旅!X21</f>
        <v/>
      </c>
      <c r="J343" s="85">
        <f>I343/H343</f>
        <v/>
      </c>
      <c r="K343" s="85" t="n">
        <v>46.1584738263293</v>
      </c>
      <c r="L343" s="85">
        <f>无限之旅!Y21</f>
        <v/>
      </c>
      <c r="M343" s="85">
        <f>L343/K343</f>
        <v/>
      </c>
      <c r="N343" t="inlineStr">
        <is>
          <t>等效进度估算</t>
        </is>
      </c>
    </row>
    <row r="344">
      <c r="A344" t="inlineStr">
        <is>
          <t>无限之旅</t>
        </is>
      </c>
      <c r="B344" t="inlineStr">
        <is>
          <t>难度1-层18</t>
        </is>
      </c>
      <c r="C344" t="n">
        <v>72</v>
      </c>
      <c r="D344" t="n">
        <v>156</v>
      </c>
      <c r="E344" t="n">
        <v>128</v>
      </c>
      <c r="F344" s="85">
        <f>无限之旅!K22</f>
        <v/>
      </c>
      <c r="G344" s="85">
        <f>无限之旅!L22</f>
        <v/>
      </c>
      <c r="H344" s="85" t="n">
        <v>43.7275502613812</v>
      </c>
      <c r="I344" s="85">
        <f>无限之旅!X22</f>
        <v/>
      </c>
      <c r="J344" s="85">
        <f>I344/H344</f>
        <v/>
      </c>
      <c r="K344" s="85" t="n">
        <v>48.5966902041902</v>
      </c>
      <c r="L344" s="85">
        <f>无限之旅!Y22</f>
        <v/>
      </c>
      <c r="M344" s="85">
        <f>L344/K344</f>
        <v/>
      </c>
      <c r="N344" t="inlineStr">
        <is>
          <t>等效进度估算</t>
        </is>
      </c>
    </row>
    <row r="345">
      <c r="A345" t="inlineStr">
        <is>
          <t>无限之旅</t>
        </is>
      </c>
      <c r="B345" t="inlineStr">
        <is>
          <t>难度1-层19</t>
        </is>
      </c>
      <c r="C345" t="n">
        <v>76</v>
      </c>
      <c r="D345" t="n">
        <v>163</v>
      </c>
      <c r="E345" t="n">
        <v>134</v>
      </c>
      <c r="F345" s="85">
        <f>无限之旅!K23</f>
        <v/>
      </c>
      <c r="G345" s="85">
        <f>无限之旅!L23</f>
        <v/>
      </c>
      <c r="H345" s="85" t="n">
        <v>43.8003250341078</v>
      </c>
      <c r="I345" s="85">
        <f>无限之旅!X23</f>
        <v/>
      </c>
      <c r="J345" s="85">
        <f>I345/H345</f>
        <v/>
      </c>
      <c r="K345" s="85" t="n">
        <v>49.9363667986694</v>
      </c>
      <c r="L345" s="85">
        <f>无限之旅!Y23</f>
        <v/>
      </c>
      <c r="M345" s="85">
        <f>L345/K345</f>
        <v/>
      </c>
      <c r="N345" t="inlineStr">
        <is>
          <t>等效进度估算</t>
        </is>
      </c>
    </row>
    <row r="346">
      <c r="A346" t="inlineStr">
        <is>
          <t>无限之旅</t>
        </is>
      </c>
      <c r="B346" t="inlineStr">
        <is>
          <t>难度1-层20</t>
        </is>
      </c>
      <c r="C346" t="n">
        <v>80</v>
      </c>
      <c r="D346" t="n">
        <v>170</v>
      </c>
      <c r="E346" t="n">
        <v>140</v>
      </c>
      <c r="F346" s="85">
        <f>无限之旅!K24</f>
        <v/>
      </c>
      <c r="G346" s="85">
        <f>无限之旅!L24</f>
        <v/>
      </c>
      <c r="H346" s="85" t="n">
        <v>44.3098338060085</v>
      </c>
      <c r="I346" s="85">
        <f>无限之旅!X24</f>
        <v/>
      </c>
      <c r="J346" s="85">
        <f>I346/H346</f>
        <v/>
      </c>
      <c r="K346" s="85" t="n">
        <v>50.8136166324231</v>
      </c>
      <c r="L346" s="85">
        <f>无限之旅!Y24</f>
        <v/>
      </c>
      <c r="M346" s="85">
        <f>L346/K346</f>
        <v/>
      </c>
      <c r="N346" t="inlineStr">
        <is>
          <t>等效进度估算</t>
        </is>
      </c>
    </row>
    <row r="347">
      <c r="A347" t="inlineStr">
        <is>
          <t>无限之旅</t>
        </is>
      </c>
      <c r="B347" t="inlineStr">
        <is>
          <t>难度1-层21</t>
        </is>
      </c>
      <c r="C347" t="n">
        <v>84</v>
      </c>
      <c r="D347" t="n">
        <v>176</v>
      </c>
      <c r="E347" t="n">
        <v>145</v>
      </c>
      <c r="F347" s="85">
        <f>无限之旅!K25</f>
        <v/>
      </c>
      <c r="G347" s="85">
        <f>无限之旅!L25</f>
        <v/>
      </c>
      <c r="H347" s="85" t="n">
        <v>44.4354502488853</v>
      </c>
      <c r="I347" s="85">
        <f>无限之旅!X25</f>
        <v/>
      </c>
      <c r="J347" s="85">
        <f>I347/H347</f>
        <v/>
      </c>
      <c r="K347" s="85" t="n">
        <v>51.8474317370939</v>
      </c>
      <c r="L347" s="85">
        <f>无限之旅!Y25</f>
        <v/>
      </c>
      <c r="M347" s="85">
        <f>L347/K347</f>
        <v/>
      </c>
      <c r="N347" t="inlineStr">
        <is>
          <t>等效进度估算</t>
        </is>
      </c>
    </row>
    <row r="348">
      <c r="A348" t="inlineStr">
        <is>
          <t>无限之旅</t>
        </is>
      </c>
      <c r="B348" t="inlineStr">
        <is>
          <t>难度1-层22</t>
        </is>
      </c>
      <c r="C348" t="n">
        <v>89</v>
      </c>
      <c r="D348" t="n">
        <v>183</v>
      </c>
      <c r="E348" t="n">
        <v>151</v>
      </c>
      <c r="F348" s="85">
        <f>无限之旅!K26</f>
        <v/>
      </c>
      <c r="G348" s="85">
        <f>无限之旅!L26</f>
        <v/>
      </c>
      <c r="H348" s="85" t="n">
        <v>44.7012882520538</v>
      </c>
      <c r="I348" s="85">
        <f>无限之旅!X26</f>
        <v/>
      </c>
      <c r="J348" s="85">
        <f>I348/H348</f>
        <v/>
      </c>
      <c r="K348" s="85" t="n">
        <v>52.9098249720267</v>
      </c>
      <c r="L348" s="85">
        <f>无限之旅!Y26</f>
        <v/>
      </c>
      <c r="M348" s="85">
        <f>L348/K348</f>
        <v/>
      </c>
      <c r="N348" t="inlineStr">
        <is>
          <t>等效进度估算</t>
        </is>
      </c>
    </row>
    <row r="349">
      <c r="A349" t="inlineStr">
        <is>
          <t>无限之旅</t>
        </is>
      </c>
      <c r="B349" t="inlineStr">
        <is>
          <t>难度1-层23</t>
        </is>
      </c>
      <c r="C349" t="n">
        <v>94</v>
      </c>
      <c r="D349" t="n">
        <v>189</v>
      </c>
      <c r="E349" t="n">
        <v>156</v>
      </c>
      <c r="F349" s="85">
        <f>无限之旅!K27</f>
        <v/>
      </c>
      <c r="G349" s="85">
        <f>无限之旅!L27</f>
        <v/>
      </c>
      <c r="H349" s="85" t="n">
        <v>44.7052091074597</v>
      </c>
      <c r="I349" s="85">
        <f>无限之旅!X27</f>
        <v/>
      </c>
      <c r="J349" s="85">
        <f>I349/H349</f>
        <v/>
      </c>
      <c r="K349" s="85" t="n">
        <v>54.0246308967476</v>
      </c>
      <c r="L349" s="85">
        <f>无限之旅!Y27</f>
        <v/>
      </c>
      <c r="M349" s="85">
        <f>L349/K349</f>
        <v/>
      </c>
      <c r="N349" t="inlineStr">
        <is>
          <t>等效进度估算</t>
        </is>
      </c>
    </row>
    <row r="350">
      <c r="A350" t="inlineStr">
        <is>
          <t>无限之旅</t>
        </is>
      </c>
      <c r="B350" t="inlineStr">
        <is>
          <t>难度1-层24</t>
        </is>
      </c>
      <c r="C350" t="n">
        <v>99</v>
      </c>
      <c r="D350" t="n">
        <v>195</v>
      </c>
      <c r="E350" t="n">
        <v>161</v>
      </c>
      <c r="F350" s="85">
        <f>无限之旅!K28</f>
        <v/>
      </c>
      <c r="G350" s="85">
        <f>无限之旅!L28</f>
        <v/>
      </c>
      <c r="H350" s="85" t="n">
        <v>45.1278291426989</v>
      </c>
      <c r="I350" s="85">
        <f>无限之旅!X28</f>
        <v/>
      </c>
      <c r="J350" s="85">
        <f>I350/H350</f>
        <v/>
      </c>
      <c r="K350" s="85" t="n">
        <v>54.6945988001419</v>
      </c>
      <c r="L350" s="85">
        <f>无限之旅!Y28</f>
        <v/>
      </c>
      <c r="M350" s="85">
        <f>L350/K350</f>
        <v/>
      </c>
      <c r="N350" t="inlineStr">
        <is>
          <t>等效进度估算</t>
        </is>
      </c>
    </row>
    <row r="351">
      <c r="A351" t="inlineStr">
        <is>
          <t>无限之旅</t>
        </is>
      </c>
      <c r="B351" t="inlineStr">
        <is>
          <t>难度1-层25</t>
        </is>
      </c>
      <c r="C351" t="n">
        <v>103</v>
      </c>
      <c r="D351" t="n">
        <v>201</v>
      </c>
      <c r="E351" t="n">
        <v>166</v>
      </c>
      <c r="F351" s="85">
        <f>无限之旅!K29</f>
        <v/>
      </c>
      <c r="G351" s="85">
        <f>无限之旅!L29</f>
        <v/>
      </c>
      <c r="H351" s="85" t="n">
        <v>44.962730345138</v>
      </c>
      <c r="I351" s="85">
        <f>无限之旅!X29</f>
        <v/>
      </c>
      <c r="J351" s="85">
        <f>I351/H351</f>
        <v/>
      </c>
      <c r="K351" s="85" t="n">
        <v>55.4675528870582</v>
      </c>
      <c r="L351" s="85">
        <f>无限之旅!Y29</f>
        <v/>
      </c>
      <c r="M351" s="85">
        <f>L351/K351</f>
        <v/>
      </c>
      <c r="N351" t="inlineStr">
        <is>
          <t>等效进度估算</t>
        </is>
      </c>
    </row>
    <row r="352">
      <c r="A352" t="inlineStr">
        <is>
          <t>无限之旅</t>
        </is>
      </c>
      <c r="B352" t="inlineStr">
        <is>
          <t>难度1-层26</t>
        </is>
      </c>
      <c r="C352" t="n">
        <v>106</v>
      </c>
      <c r="D352" t="n">
        <v>207</v>
      </c>
      <c r="E352" t="n">
        <v>172</v>
      </c>
      <c r="F352" s="85">
        <f>无限之旅!K30</f>
        <v/>
      </c>
      <c r="G352" s="85">
        <f>无限之旅!L30</f>
        <v/>
      </c>
      <c r="H352" s="85" t="n">
        <v>45.7373338228556</v>
      </c>
      <c r="I352" s="85">
        <f>无限之旅!X30</f>
        <v/>
      </c>
      <c r="J352" s="85">
        <f>I352/H352</f>
        <v/>
      </c>
      <c r="K352" s="85" t="n">
        <v>55.2849335408931</v>
      </c>
      <c r="L352" s="85">
        <f>无限之旅!Y30</f>
        <v/>
      </c>
      <c r="M352" s="85">
        <f>L352/K352</f>
        <v/>
      </c>
      <c r="N352" t="inlineStr">
        <is>
          <t>等效进度估算</t>
        </is>
      </c>
    </row>
    <row r="353">
      <c r="A353" t="inlineStr">
        <is>
          <t>无限之旅</t>
        </is>
      </c>
      <c r="B353" t="inlineStr">
        <is>
          <t>难度1-层27</t>
        </is>
      </c>
      <c r="C353" t="n">
        <v>109</v>
      </c>
      <c r="D353" t="n">
        <v>212</v>
      </c>
      <c r="E353" t="n">
        <v>177</v>
      </c>
      <c r="F353" s="85">
        <f>无限之旅!K31</f>
        <v/>
      </c>
      <c r="G353" s="85">
        <f>无限之旅!L31</f>
        <v/>
      </c>
      <c r="H353" s="85" t="n">
        <v>46.0081789476578</v>
      </c>
      <c r="I353" s="85">
        <f>无限之旅!X31</f>
        <v/>
      </c>
      <c r="J353" s="85">
        <f>I353/H353</f>
        <v/>
      </c>
      <c r="K353" s="85" t="n">
        <v>55.4586023800057</v>
      </c>
      <c r="L353" s="85">
        <f>无限之旅!Y31</f>
        <v/>
      </c>
      <c r="M353" s="85">
        <f>L353/K353</f>
        <v/>
      </c>
      <c r="N353" t="inlineStr">
        <is>
          <t>等效进度估算</t>
        </is>
      </c>
    </row>
    <row r="354">
      <c r="A354" t="inlineStr">
        <is>
          <t>无限之旅</t>
        </is>
      </c>
      <c r="B354" t="inlineStr">
        <is>
          <t>难度1-层28</t>
        </is>
      </c>
      <c r="C354" t="n">
        <v>113</v>
      </c>
      <c r="D354" t="n">
        <v>218</v>
      </c>
      <c r="E354" t="n">
        <v>183</v>
      </c>
      <c r="F354" s="85">
        <f>无限之旅!K32</f>
        <v/>
      </c>
      <c r="G354" s="85">
        <f>无限之旅!L32</f>
        <v/>
      </c>
      <c r="H354" s="85" t="n">
        <v>46.1974290985025</v>
      </c>
      <c r="I354" s="85">
        <f>无限之旅!X32</f>
        <v/>
      </c>
      <c r="J354" s="85">
        <f>I354/H354</f>
        <v/>
      </c>
      <c r="K354" s="85" t="n">
        <v>55.7725388020625</v>
      </c>
      <c r="L354" s="85">
        <f>无限之旅!Y32</f>
        <v/>
      </c>
      <c r="M354" s="85">
        <f>L354/K354</f>
        <v/>
      </c>
      <c r="N354" t="inlineStr">
        <is>
          <t>等效进度估算</t>
        </is>
      </c>
    </row>
    <row r="355">
      <c r="A355" t="inlineStr">
        <is>
          <t>无限之旅</t>
        </is>
      </c>
      <c r="B355" t="inlineStr">
        <is>
          <t>难度1-层29</t>
        </is>
      </c>
      <c r="C355" t="n">
        <v>118</v>
      </c>
      <c r="D355" t="n">
        <v>224</v>
      </c>
      <c r="E355" t="n">
        <v>189</v>
      </c>
      <c r="F355" s="85">
        <f>无限之旅!K33</f>
        <v/>
      </c>
      <c r="G355" s="85">
        <f>无限之旅!L33</f>
        <v/>
      </c>
      <c r="H355" s="85" t="n">
        <v>45.838294511273</v>
      </c>
      <c r="I355" s="85">
        <f>无限之旅!X33</f>
        <v/>
      </c>
      <c r="J355" s="85">
        <f>I355/H355</f>
        <v/>
      </c>
      <c r="K355" s="85" t="n">
        <v>56.5562951184238</v>
      </c>
      <c r="L355" s="85">
        <f>无限之旅!Y33</f>
        <v/>
      </c>
      <c r="M355" s="85">
        <f>L355/K355</f>
        <v/>
      </c>
      <c r="N355" t="inlineStr">
        <is>
          <t>等效进度估算</t>
        </is>
      </c>
    </row>
    <row r="356">
      <c r="A356" t="inlineStr">
        <is>
          <t>无限之旅</t>
        </is>
      </c>
      <c r="B356" t="inlineStr">
        <is>
          <t>难度1-层30</t>
        </is>
      </c>
      <c r="C356" t="n">
        <v>122</v>
      </c>
      <c r="D356" t="n">
        <v>229</v>
      </c>
      <c r="E356" t="n">
        <v>194</v>
      </c>
      <c r="F356" s="85">
        <f>无限之旅!K34</f>
        <v/>
      </c>
      <c r="G356" s="85">
        <f>无限之旅!L34</f>
        <v/>
      </c>
      <c r="H356" s="85" t="n">
        <v>46.0002975546321</v>
      </c>
      <c r="I356" s="85">
        <f>无限之旅!X34</f>
        <v/>
      </c>
      <c r="J356" s="85">
        <f>I356/H356</f>
        <v/>
      </c>
      <c r="K356" s="85" t="n">
        <v>56.7909879427633</v>
      </c>
      <c r="L356" s="85">
        <f>无限之旅!Y34</f>
        <v/>
      </c>
      <c r="M356" s="85">
        <f>L356/K356</f>
        <v/>
      </c>
      <c r="N356" t="inlineStr">
        <is>
          <t>等效进度估算</t>
        </is>
      </c>
    </row>
    <row r="357">
      <c r="A357" t="inlineStr">
        <is>
          <t>无限之旅</t>
        </is>
      </c>
      <c r="B357" t="inlineStr">
        <is>
          <t>难度2-层101</t>
        </is>
      </c>
      <c r="C357" t="n">
        <v>127</v>
      </c>
      <c r="D357" t="n">
        <v>235</v>
      </c>
      <c r="E357" t="n">
        <v>201</v>
      </c>
      <c r="F357" s="85">
        <f>无限之旅!K35</f>
        <v/>
      </c>
      <c r="G357" s="85">
        <f>无限之旅!L35</f>
        <v/>
      </c>
      <c r="H357" s="85" t="n">
        <v>46.3764539902756</v>
      </c>
      <c r="I357" s="85">
        <f>无限之旅!X35</f>
        <v/>
      </c>
      <c r="J357" s="85">
        <f>I357/H357</f>
        <v/>
      </c>
      <c r="K357" s="85" t="n">
        <v>56.9002120327917</v>
      </c>
      <c r="L357" s="85">
        <f>无限之旅!Y35</f>
        <v/>
      </c>
      <c r="M357" s="85">
        <f>L357/K357</f>
        <v/>
      </c>
      <c r="N357" t="inlineStr">
        <is>
          <t>等效进度估算</t>
        </is>
      </c>
    </row>
    <row r="358">
      <c r="A358" t="inlineStr">
        <is>
          <t>无限之旅</t>
        </is>
      </c>
      <c r="B358" t="inlineStr">
        <is>
          <t>难度2-层102</t>
        </is>
      </c>
      <c r="C358" t="n">
        <v>132</v>
      </c>
      <c r="D358" t="n">
        <v>240</v>
      </c>
      <c r="E358" t="n">
        <v>206</v>
      </c>
      <c r="F358" s="85">
        <f>无限之旅!K36</f>
        <v/>
      </c>
      <c r="G358" s="85">
        <f>无限之旅!L36</f>
        <v/>
      </c>
      <c r="H358" s="85" t="n">
        <v>46.4331692198807</v>
      </c>
      <c r="I358" s="85">
        <f>无限之旅!X36</f>
        <v/>
      </c>
      <c r="J358" s="85">
        <f>I358/H358</f>
        <v/>
      </c>
      <c r="K358" s="85" t="n">
        <v>57.209137886108</v>
      </c>
      <c r="L358" s="85">
        <f>无限之旅!Y36</f>
        <v/>
      </c>
      <c r="M358" s="85">
        <f>L358/K358</f>
        <v/>
      </c>
      <c r="N358" t="inlineStr">
        <is>
          <t>等效进度估算</t>
        </is>
      </c>
    </row>
    <row r="359">
      <c r="A359" t="inlineStr">
        <is>
          <t>无限之旅</t>
        </is>
      </c>
      <c r="B359" t="inlineStr">
        <is>
          <t>难度2-层103</t>
        </is>
      </c>
      <c r="C359" t="n">
        <v>138</v>
      </c>
      <c r="D359" t="n">
        <v>246</v>
      </c>
      <c r="E359" t="n">
        <v>213</v>
      </c>
      <c r="F359" s="85">
        <f>无限之旅!K37</f>
        <v/>
      </c>
      <c r="G359" s="85">
        <f>无限之旅!L37</f>
        <v/>
      </c>
      <c r="H359" s="85" t="n">
        <v>46.9031617464853</v>
      </c>
      <c r="I359" s="85">
        <f>无限之旅!X37</f>
        <v/>
      </c>
      <c r="J359" s="85">
        <f>I359/H359</f>
        <v/>
      </c>
      <c r="K359" s="85" t="n">
        <v>57.2193826815649</v>
      </c>
      <c r="L359" s="85">
        <f>无限之旅!Y37</f>
        <v/>
      </c>
      <c r="M359" s="85">
        <f>L359/K359</f>
        <v/>
      </c>
      <c r="N359" t="inlineStr">
        <is>
          <t>等效进度估算</t>
        </is>
      </c>
    </row>
    <row r="360">
      <c r="A360" t="inlineStr">
        <is>
          <t>无限之旅</t>
        </is>
      </c>
      <c r="B360" t="inlineStr">
        <is>
          <t>难度2-层104</t>
        </is>
      </c>
      <c r="C360" t="n">
        <v>143</v>
      </c>
      <c r="D360" t="n">
        <v>251</v>
      </c>
      <c r="E360" t="n">
        <v>219</v>
      </c>
      <c r="F360" s="85">
        <f>无限之旅!K38</f>
        <v/>
      </c>
      <c r="G360" s="85">
        <f>无限之旅!L38</f>
        <v/>
      </c>
      <c r="H360" s="85" t="n">
        <v>47.5912124240242</v>
      </c>
      <c r="I360" s="85">
        <f>无限之旅!X38</f>
        <v/>
      </c>
      <c r="J360" s="85">
        <f>I360/H360</f>
        <v/>
      </c>
      <c r="K360" s="85" t="n">
        <v>56.9697481759943</v>
      </c>
      <c r="L360" s="85">
        <f>无限之旅!Y38</f>
        <v/>
      </c>
      <c r="M360" s="85">
        <f>L360/K360</f>
        <v/>
      </c>
      <c r="N360" t="inlineStr">
        <is>
          <t>等效进度估算</t>
        </is>
      </c>
    </row>
    <row r="361">
      <c r="A361" t="inlineStr">
        <is>
          <t>无限之旅</t>
        </is>
      </c>
      <c r="B361" t="inlineStr">
        <is>
          <t>难度2-层105</t>
        </is>
      </c>
      <c r="C361" t="n">
        <v>150</v>
      </c>
      <c r="D361" t="n">
        <v>256</v>
      </c>
      <c r="E361" t="n">
        <v>225</v>
      </c>
      <c r="F361" s="85">
        <f>无限之旅!K39</f>
        <v/>
      </c>
      <c r="G361" s="85">
        <f>无限之旅!L39</f>
        <v/>
      </c>
      <c r="H361" s="85" t="n">
        <v>47.6517799013849</v>
      </c>
      <c r="I361" s="85">
        <f>无限之旅!X39</f>
        <v/>
      </c>
      <c r="J361" s="85">
        <f>I361/H361</f>
        <v/>
      </c>
      <c r="K361" s="85" t="n">
        <v>57.2556946471774</v>
      </c>
      <c r="L361" s="85">
        <f>无限之旅!Y39</f>
        <v/>
      </c>
      <c r="M361" s="85">
        <f>L361/K361</f>
        <v/>
      </c>
      <c r="N361" t="inlineStr">
        <is>
          <t>等效进度估算</t>
        </is>
      </c>
    </row>
    <row r="362">
      <c r="A362" t="inlineStr">
        <is>
          <t>无限之旅</t>
        </is>
      </c>
      <c r="B362" t="inlineStr">
        <is>
          <t>难度2-层106</t>
        </is>
      </c>
      <c r="C362" t="n">
        <v>158</v>
      </c>
      <c r="D362" t="n">
        <v>262</v>
      </c>
      <c r="E362" t="n">
        <v>233</v>
      </c>
      <c r="F362" s="85">
        <f>无限之旅!K40</f>
        <v/>
      </c>
      <c r="G362" s="85">
        <f>无限之旅!L40</f>
        <v/>
      </c>
      <c r="H362" s="85" t="n">
        <v>48.408309212921</v>
      </c>
      <c r="I362" s="85">
        <f>无限之旅!X40</f>
        <v/>
      </c>
      <c r="J362" s="85">
        <f>I362/H362</f>
        <v/>
      </c>
      <c r="K362" s="85" t="n">
        <v>57.0162186228824</v>
      </c>
      <c r="L362" s="85">
        <f>无限之旅!Y40</f>
        <v/>
      </c>
      <c r="M362" s="85">
        <f>L362/K362</f>
        <v/>
      </c>
      <c r="N362" t="inlineStr">
        <is>
          <t>等效进度估算</t>
        </is>
      </c>
    </row>
    <row r="363">
      <c r="A363" t="inlineStr">
        <is>
          <t>无限之旅</t>
        </is>
      </c>
      <c r="B363" t="inlineStr">
        <is>
          <t>难度2-层107</t>
        </is>
      </c>
      <c r="C363" t="n">
        <v>166</v>
      </c>
      <c r="D363" t="n">
        <v>267</v>
      </c>
      <c r="E363" t="n">
        <v>240</v>
      </c>
      <c r="F363" s="85">
        <f>无限之旅!K41</f>
        <v/>
      </c>
      <c r="G363" s="85">
        <f>无限之旅!L41</f>
        <v/>
      </c>
      <c r="H363" s="85" t="n">
        <v>48.974829408284</v>
      </c>
      <c r="I363" s="85">
        <f>无限之旅!X41</f>
        <v/>
      </c>
      <c r="J363" s="85">
        <f>I363/H363</f>
        <v/>
      </c>
      <c r="K363" s="85" t="n">
        <v>56.8749553574937</v>
      </c>
      <c r="L363" s="85">
        <f>无限之旅!Y41</f>
        <v/>
      </c>
      <c r="M363" s="85">
        <f>L363/K363</f>
        <v/>
      </c>
      <c r="N363" t="inlineStr">
        <is>
          <t>等效进度估算</t>
        </is>
      </c>
    </row>
    <row r="364">
      <c r="A364" t="inlineStr">
        <is>
          <t>无限之旅</t>
        </is>
      </c>
      <c r="B364" t="inlineStr">
        <is>
          <t>难度2-层108</t>
        </is>
      </c>
      <c r="C364" t="n">
        <v>174</v>
      </c>
      <c r="D364" t="n">
        <v>272</v>
      </c>
      <c r="E364" t="n">
        <v>247</v>
      </c>
      <c r="F364" s="85">
        <f>无限之旅!K42</f>
        <v/>
      </c>
      <c r="G364" s="85">
        <f>无限之旅!L42</f>
        <v/>
      </c>
      <c r="H364" s="85" t="n">
        <v>49.9350960730773</v>
      </c>
      <c r="I364" s="85">
        <f>无限之旅!X42</f>
        <v/>
      </c>
      <c r="J364" s="85">
        <f>I364/H364</f>
        <v/>
      </c>
      <c r="K364" s="85" t="n">
        <v>56.4219957648227</v>
      </c>
      <c r="L364" s="85">
        <f>无限之旅!Y42</f>
        <v/>
      </c>
      <c r="M364" s="85">
        <f>L364/K364</f>
        <v/>
      </c>
      <c r="N364" t="inlineStr">
        <is>
          <t>等效进度估算</t>
        </is>
      </c>
    </row>
    <row r="365">
      <c r="A365" t="inlineStr">
        <is>
          <t>无限之旅</t>
        </is>
      </c>
      <c r="B365" t="inlineStr">
        <is>
          <t>难度2-层109</t>
        </is>
      </c>
      <c r="C365" t="n">
        <v>184</v>
      </c>
      <c r="D365" t="n">
        <v>277</v>
      </c>
      <c r="E365" t="n">
        <v>255</v>
      </c>
      <c r="F365" s="85">
        <f>无限之旅!K43</f>
        <v/>
      </c>
      <c r="G365" s="85">
        <f>无限之旅!L43</f>
        <v/>
      </c>
      <c r="H365" s="85" t="n">
        <v>50.7898114075097</v>
      </c>
      <c r="I365" s="85">
        <f>无限之旅!X43</f>
        <v/>
      </c>
      <c r="J365" s="85">
        <f>I365/H365</f>
        <v/>
      </c>
      <c r="K365" s="85" t="n">
        <v>56.0695110068802</v>
      </c>
      <c r="L365" s="85">
        <f>无限之旅!Y43</f>
        <v/>
      </c>
      <c r="M365" s="85">
        <f>L365/K365</f>
        <v/>
      </c>
      <c r="N365" t="inlineStr">
        <is>
          <t>等效进度估算</t>
        </is>
      </c>
    </row>
    <row r="366">
      <c r="A366" t="inlineStr">
        <is>
          <t>无限之旅</t>
        </is>
      </c>
      <c r="B366" t="inlineStr">
        <is>
          <t>难度2-层110</t>
        </is>
      </c>
      <c r="C366" t="n">
        <v>195</v>
      </c>
      <c r="D366" t="n">
        <v>282</v>
      </c>
      <c r="E366" t="n">
        <v>263</v>
      </c>
      <c r="F366" s="85">
        <f>无限之旅!K44</f>
        <v/>
      </c>
      <c r="G366" s="85">
        <f>无限之旅!L44</f>
        <v/>
      </c>
      <c r="H366" s="85" t="n">
        <v>51.9069697669197</v>
      </c>
      <c r="I366" s="85">
        <f>无限之旅!X44</f>
        <v/>
      </c>
      <c r="J366" s="85">
        <f>I366/H366</f>
        <v/>
      </c>
      <c r="K366" s="85" t="n">
        <v>55.5321933607485</v>
      </c>
      <c r="L366" s="85">
        <f>无限之旅!Y44</f>
        <v/>
      </c>
      <c r="M366" s="85">
        <f>L366/K366</f>
        <v/>
      </c>
      <c r="N366" t="inlineStr">
        <is>
          <t>等效进度估算</t>
        </is>
      </c>
    </row>
    <row r="367">
      <c r="A367" t="inlineStr">
        <is>
          <t>无限之旅</t>
        </is>
      </c>
      <c r="B367" t="inlineStr">
        <is>
          <t>难度2-层111</t>
        </is>
      </c>
      <c r="C367" t="n">
        <v>207</v>
      </c>
      <c r="D367" t="n">
        <v>287</v>
      </c>
      <c r="E367" t="n">
        <v>272</v>
      </c>
      <c r="F367" s="85">
        <f>无限之旅!K45</f>
        <v/>
      </c>
      <c r="G367" s="85">
        <f>无限之旅!L45</f>
        <v/>
      </c>
      <c r="H367" s="85" t="n">
        <v>53.3263976611952</v>
      </c>
      <c r="I367" s="85">
        <f>无限之旅!X45</f>
        <v/>
      </c>
      <c r="J367" s="85">
        <f>I367/H367</f>
        <v/>
      </c>
      <c r="K367" s="85" t="n">
        <v>54.7996281256193</v>
      </c>
      <c r="L367" s="85">
        <f>无限之旅!Y45</f>
        <v/>
      </c>
      <c r="M367" s="85">
        <f>L367/K367</f>
        <v/>
      </c>
      <c r="N367" t="inlineStr">
        <is>
          <t>等效进度估算</t>
        </is>
      </c>
    </row>
    <row r="368">
      <c r="A368" t="inlineStr">
        <is>
          <t>无限之旅</t>
        </is>
      </c>
      <c r="B368" t="inlineStr">
        <is>
          <t>难度2-层112</t>
        </is>
      </c>
      <c r="C368" t="n">
        <v>217</v>
      </c>
      <c r="D368" t="n">
        <v>291</v>
      </c>
      <c r="E368" t="n">
        <v>279</v>
      </c>
      <c r="F368" s="85">
        <f>无限之旅!K46</f>
        <v/>
      </c>
      <c r="G368" s="85">
        <f>无限之旅!L46</f>
        <v/>
      </c>
      <c r="H368" s="85" t="n">
        <v>54.7331508398622</v>
      </c>
      <c r="I368" s="85">
        <f>无限之旅!X46</f>
        <v/>
      </c>
      <c r="J368" s="85">
        <f>I368/H368</f>
        <v/>
      </c>
      <c r="K368" s="85" t="n">
        <v>54.0517826451766</v>
      </c>
      <c r="L368" s="85">
        <f>无限之旅!Y46</f>
        <v/>
      </c>
      <c r="M368" s="85">
        <f>L368/K368</f>
        <v/>
      </c>
      <c r="N368" t="inlineStr">
        <is>
          <t>等效进度估算</t>
        </is>
      </c>
    </row>
    <row r="369">
      <c r="A369" t="inlineStr">
        <is>
          <t>无限之旅</t>
        </is>
      </c>
      <c r="B369" t="inlineStr">
        <is>
          <t>难度2-层113</t>
        </is>
      </c>
      <c r="C369" t="n">
        <v>230</v>
      </c>
      <c r="D369" t="n">
        <v>296</v>
      </c>
      <c r="E369" t="n">
        <v>288</v>
      </c>
      <c r="F369" s="85">
        <f>无限之旅!K47</f>
        <v/>
      </c>
      <c r="G369" s="85">
        <f>无限之旅!L47</f>
        <v/>
      </c>
      <c r="H369" s="85" t="n">
        <v>56.8153661280439</v>
      </c>
      <c r="I369" s="85">
        <f>无限之旅!X47</f>
        <v/>
      </c>
      <c r="J369" s="85">
        <f>I369/H369</f>
        <v/>
      </c>
      <c r="K369" s="85" t="n">
        <v>52.9522320984801</v>
      </c>
      <c r="L369" s="85">
        <f>无限之旅!Y47</f>
        <v/>
      </c>
      <c r="M369" s="85">
        <f>L369/K369</f>
        <v/>
      </c>
      <c r="N369" t="inlineStr">
        <is>
          <t>等效进度估算</t>
        </is>
      </c>
    </row>
    <row r="370">
      <c r="A370" t="inlineStr">
        <is>
          <t>无限之旅</t>
        </is>
      </c>
      <c r="B370" t="inlineStr">
        <is>
          <t>难度2-层114</t>
        </is>
      </c>
      <c r="C370" t="n">
        <v>245</v>
      </c>
      <c r="D370" t="n">
        <v>301</v>
      </c>
      <c r="E370" t="n">
        <v>298</v>
      </c>
      <c r="F370" s="85">
        <f>无限之旅!K48</f>
        <v/>
      </c>
      <c r="G370" s="85">
        <f>无限之旅!L48</f>
        <v/>
      </c>
      <c r="H370" s="85" t="n">
        <v>59.1331107340819</v>
      </c>
      <c r="I370" s="85">
        <f>无限之旅!X48</f>
        <v/>
      </c>
      <c r="J370" s="85">
        <f>I370/H370</f>
        <v/>
      </c>
      <c r="K370" s="85" t="n">
        <v>51.7817875257766</v>
      </c>
      <c r="L370" s="85">
        <f>无限之旅!Y48</f>
        <v/>
      </c>
      <c r="M370" s="85">
        <f>L370/K370</f>
        <v/>
      </c>
      <c r="N370" t="inlineStr">
        <is>
          <t>等效进度估算</t>
        </is>
      </c>
    </row>
    <row r="371">
      <c r="A371" t="inlineStr">
        <is>
          <t>无限之旅</t>
        </is>
      </c>
      <c r="B371" t="inlineStr">
        <is>
          <t>难度2-层115</t>
        </is>
      </c>
      <c r="C371" t="n">
        <v>256</v>
      </c>
      <c r="D371" t="n">
        <v>305</v>
      </c>
      <c r="E371" t="n">
        <v>306</v>
      </c>
      <c r="F371" s="85">
        <f>无限之旅!K49</f>
        <v/>
      </c>
      <c r="G371" s="85">
        <f>无限之旅!L49</f>
        <v/>
      </c>
      <c r="H371" s="85" t="n">
        <v>61.34735381149</v>
      </c>
      <c r="I371" s="85">
        <f>无限之旅!X49</f>
        <v/>
      </c>
      <c r="J371" s="85">
        <f>I371/H371</f>
        <v/>
      </c>
      <c r="K371" s="85" t="n">
        <v>50.6908061299706</v>
      </c>
      <c r="L371" s="85">
        <f>无限之旅!Y49</f>
        <v/>
      </c>
      <c r="M371" s="85">
        <f>L371/K371</f>
        <v/>
      </c>
      <c r="N371" t="inlineStr">
        <is>
          <t>等效进度估算</t>
        </is>
      </c>
    </row>
    <row r="372">
      <c r="A372" t="inlineStr">
        <is>
          <t>无限之旅</t>
        </is>
      </c>
      <c r="B372" t="inlineStr">
        <is>
          <t>难度2-层116</t>
        </is>
      </c>
      <c r="C372" t="n">
        <v>270</v>
      </c>
      <c r="D372" t="n">
        <v>310</v>
      </c>
      <c r="E372" t="n">
        <v>316</v>
      </c>
      <c r="F372" s="85">
        <f>无限之旅!K50</f>
        <v/>
      </c>
      <c r="G372" s="85">
        <f>无限之旅!L50</f>
        <v/>
      </c>
      <c r="H372" s="85" t="n">
        <v>64.4056633538983</v>
      </c>
      <c r="I372" s="85">
        <f>无限之旅!X50</f>
        <v/>
      </c>
      <c r="J372" s="85">
        <f>I372/H372</f>
        <v/>
      </c>
      <c r="K372" s="85" t="n">
        <v>49.2655642558386</v>
      </c>
      <c r="L372" s="85">
        <f>无限之旅!Y50</f>
        <v/>
      </c>
      <c r="M372" s="85">
        <f>L372/K372</f>
        <v/>
      </c>
      <c r="N372" t="inlineStr">
        <is>
          <t>等效进度估算</t>
        </is>
      </c>
    </row>
    <row r="373">
      <c r="A373" t="inlineStr">
        <is>
          <t>无限之旅</t>
        </is>
      </c>
      <c r="B373" t="inlineStr">
        <is>
          <t>难度2-层117</t>
        </is>
      </c>
      <c r="C373" t="n">
        <v>278</v>
      </c>
      <c r="D373" t="n">
        <v>314</v>
      </c>
      <c r="E373" t="n">
        <v>323</v>
      </c>
      <c r="F373" s="85">
        <f>无限之旅!K51</f>
        <v/>
      </c>
      <c r="G373" s="85">
        <f>无限之旅!L51</f>
        <v/>
      </c>
      <c r="H373" s="85" t="n">
        <v>67.2230574858507</v>
      </c>
      <c r="I373" s="85">
        <f>无限之旅!X51</f>
        <v/>
      </c>
      <c r="J373" s="85">
        <f>I373/H373</f>
        <v/>
      </c>
      <c r="K373" s="85" t="n">
        <v>48.01886445485</v>
      </c>
      <c r="L373" s="85">
        <f>无限之旅!Y51</f>
        <v/>
      </c>
      <c r="M373" s="85">
        <f>L373/K373</f>
        <v/>
      </c>
      <c r="N373" t="inlineStr">
        <is>
          <t>等效进度估算</t>
        </is>
      </c>
    </row>
    <row r="374">
      <c r="A374" t="inlineStr">
        <is>
          <t>无限之旅</t>
        </is>
      </c>
      <c r="B374" t="inlineStr">
        <is>
          <t>难度2-层118</t>
        </is>
      </c>
      <c r="C374" t="n">
        <v>278</v>
      </c>
      <c r="D374" t="n">
        <v>319</v>
      </c>
      <c r="E374" t="n">
        <v>328</v>
      </c>
      <c r="F374" s="85">
        <f>无限之旅!K52</f>
        <v/>
      </c>
      <c r="G374" s="85">
        <f>无限之旅!L52</f>
        <v/>
      </c>
      <c r="H374" s="85" t="n">
        <v>71.3945782039728</v>
      </c>
      <c r="I374" s="85">
        <f>无限之旅!X52</f>
        <v/>
      </c>
      <c r="J374" s="85">
        <f>I374/H374</f>
        <v/>
      </c>
      <c r="K374" s="85" t="n">
        <v>46.2774182211332</v>
      </c>
      <c r="L374" s="85">
        <f>无限之旅!Y52</f>
        <v/>
      </c>
      <c r="M374" s="85">
        <f>L374/K374</f>
        <v/>
      </c>
      <c r="N374" t="inlineStr">
        <is>
          <t>等效进度估算</t>
        </is>
      </c>
    </row>
    <row r="375">
      <c r="A375" t="inlineStr">
        <is>
          <t>无限之旅</t>
        </is>
      </c>
      <c r="B375" t="inlineStr">
        <is>
          <t>难度2-层119</t>
        </is>
      </c>
      <c r="C375" t="n">
        <v>278</v>
      </c>
      <c r="D375" t="n">
        <v>323</v>
      </c>
      <c r="E375" t="n">
        <v>332</v>
      </c>
      <c r="F375" s="85">
        <f>无限之旅!K53</f>
        <v/>
      </c>
      <c r="G375" s="85">
        <f>无限之旅!L53</f>
        <v/>
      </c>
      <c r="H375" s="85" t="n">
        <v>74.8895195458088</v>
      </c>
      <c r="I375" s="85">
        <f>无限之旅!X53</f>
        <v/>
      </c>
      <c r="J375" s="85">
        <f>I375/H375</f>
        <v/>
      </c>
      <c r="K375" s="85" t="n">
        <v>44.9424186126896</v>
      </c>
      <c r="L375" s="85">
        <f>无限之旅!Y53</f>
        <v/>
      </c>
      <c r="M375" s="85">
        <f>L375/K375</f>
        <v/>
      </c>
      <c r="N375" t="inlineStr">
        <is>
          <t>等效进度估算</t>
        </is>
      </c>
    </row>
    <row r="376">
      <c r="A376" t="inlineStr">
        <is>
          <t>无限之旅</t>
        </is>
      </c>
      <c r="B376" t="inlineStr">
        <is>
          <t>难度2-层120</t>
        </is>
      </c>
      <c r="C376" t="n">
        <v>278</v>
      </c>
      <c r="D376" t="n">
        <v>327</v>
      </c>
      <c r="E376" t="n">
        <v>336</v>
      </c>
      <c r="F376" s="85">
        <f>无限之旅!K54</f>
        <v/>
      </c>
      <c r="G376" s="85">
        <f>无限之旅!L54</f>
        <v/>
      </c>
      <c r="H376" s="85" t="n">
        <v>78.5292669580907</v>
      </c>
      <c r="I376" s="85">
        <f>无限之旅!X54</f>
        <v/>
      </c>
      <c r="J376" s="85">
        <f>I376/H376</f>
        <v/>
      </c>
      <c r="K376" s="85" t="n">
        <v>43.6553101362709</v>
      </c>
      <c r="L376" s="85">
        <f>无限之旅!Y54</f>
        <v/>
      </c>
      <c r="M376" s="85">
        <f>L376/K376</f>
        <v/>
      </c>
      <c r="N376" t="inlineStr">
        <is>
          <t>等效进度估算</t>
        </is>
      </c>
    </row>
    <row r="377">
      <c r="A377" t="inlineStr">
        <is>
          <t>无限之旅</t>
        </is>
      </c>
      <c r="B377" t="inlineStr">
        <is>
          <t>难度2-层121</t>
        </is>
      </c>
      <c r="C377" t="n">
        <v>278</v>
      </c>
      <c r="D377" t="n">
        <v>332</v>
      </c>
      <c r="E377" t="n">
        <v>342</v>
      </c>
      <c r="F377" s="85">
        <f>无限之旅!K55</f>
        <v/>
      </c>
      <c r="G377" s="85">
        <f>无限之旅!L55</f>
        <v/>
      </c>
      <c r="H377" s="85" t="n">
        <v>83.2905299302231</v>
      </c>
      <c r="I377" s="85">
        <f>无限之旅!X55</f>
        <v/>
      </c>
      <c r="J377" s="85">
        <f>I377/H377</f>
        <v/>
      </c>
      <c r="K377" s="85" t="n">
        <v>42.1124440180825</v>
      </c>
      <c r="L377" s="85">
        <f>无限之旅!Y55</f>
        <v/>
      </c>
      <c r="M377" s="85">
        <f>L377/K377</f>
        <v/>
      </c>
      <c r="N377" t="inlineStr">
        <is>
          <t>等效进度估算</t>
        </is>
      </c>
    </row>
    <row r="378">
      <c r="A378" t="inlineStr">
        <is>
          <t>无限之旅</t>
        </is>
      </c>
      <c r="B378" t="inlineStr">
        <is>
          <t>难度2-层122</t>
        </is>
      </c>
      <c r="C378" t="n">
        <v>278</v>
      </c>
      <c r="D378" t="n">
        <v>336</v>
      </c>
      <c r="E378" t="n">
        <v>346</v>
      </c>
      <c r="F378" s="85">
        <f>无限之旅!K56</f>
        <v/>
      </c>
      <c r="G378" s="85">
        <f>无限之旅!L56</f>
        <v/>
      </c>
      <c r="H378" s="85" t="n">
        <v>87.27390844418279</v>
      </c>
      <c r="I378" s="85">
        <f>无限之旅!X56</f>
        <v/>
      </c>
      <c r="J378" s="85">
        <f>I378/H378</f>
        <v/>
      </c>
      <c r="K378" s="85" t="n">
        <v>40.9271917103223</v>
      </c>
      <c r="L378" s="85">
        <f>无限之旅!Y56</f>
        <v/>
      </c>
      <c r="M378" s="85">
        <f>L378/K378</f>
        <v/>
      </c>
      <c r="N378" t="inlineStr">
        <is>
          <t>等效进度估算</t>
        </is>
      </c>
    </row>
    <row r="379">
      <c r="A379" t="inlineStr">
        <is>
          <t>无限之旅</t>
        </is>
      </c>
      <c r="B379" t="inlineStr">
        <is>
          <t>难度2-层123</t>
        </is>
      </c>
      <c r="C379" t="n">
        <v>278</v>
      </c>
      <c r="D379" t="n">
        <v>340</v>
      </c>
      <c r="E379" t="n">
        <v>350</v>
      </c>
      <c r="F379" s="85">
        <f>无限之旅!K57</f>
        <v/>
      </c>
      <c r="G379" s="85">
        <f>无限之旅!L57</f>
        <v/>
      </c>
      <c r="H379" s="85" t="n">
        <v>91.41924823556791</v>
      </c>
      <c r="I379" s="85">
        <f>无限之旅!X57</f>
        <v/>
      </c>
      <c r="J379" s="85">
        <f>I379/H379</f>
        <v/>
      </c>
      <c r="K379" s="85" t="n">
        <v>39.7844305124672</v>
      </c>
      <c r="L379" s="85">
        <f>无限之旅!Y57</f>
        <v/>
      </c>
      <c r="M379" s="85">
        <f>L379/K379</f>
        <v/>
      </c>
      <c r="N379" t="inlineStr">
        <is>
          <t>等效进度估算</t>
        </is>
      </c>
    </row>
    <row r="380">
      <c r="A380" t="inlineStr">
        <is>
          <t>无限之旅</t>
        </is>
      </c>
      <c r="B380" t="inlineStr">
        <is>
          <t>难度2-层124</t>
        </is>
      </c>
      <c r="C380" t="n">
        <v>278</v>
      </c>
      <c r="D380" t="n">
        <v>344</v>
      </c>
      <c r="E380" t="n">
        <v>354</v>
      </c>
      <c r="F380" s="85">
        <f>无限之旅!K58</f>
        <v/>
      </c>
      <c r="G380" s="85">
        <f>无限之旅!L58</f>
        <v/>
      </c>
      <c r="H380" s="85" t="n">
        <v>95.7337104680081</v>
      </c>
      <c r="I380" s="85">
        <f>无限之旅!X58</f>
        <v/>
      </c>
      <c r="J380" s="85">
        <f>I380/H380</f>
        <v/>
      </c>
      <c r="K380" s="85" t="n">
        <v>38.6820715460243</v>
      </c>
      <c r="L380" s="85">
        <f>无限之旅!Y58</f>
        <v/>
      </c>
      <c r="M380" s="85">
        <f>L380/K380</f>
        <v/>
      </c>
      <c r="N380" t="inlineStr">
        <is>
          <t>等效进度估算</t>
        </is>
      </c>
    </row>
    <row r="381">
      <c r="A381" t="inlineStr">
        <is>
          <t>无限之旅</t>
        </is>
      </c>
      <c r="B381" t="inlineStr">
        <is>
          <t>难度2-层125</t>
        </is>
      </c>
      <c r="C381" t="n">
        <v>278</v>
      </c>
      <c r="D381" t="n">
        <v>348</v>
      </c>
      <c r="E381" t="n">
        <v>358</v>
      </c>
      <c r="F381" s="85">
        <f>无限之旅!K59</f>
        <v/>
      </c>
      <c r="G381" s="85">
        <f>无限之旅!L59</f>
        <v/>
      </c>
      <c r="H381" s="85" t="n">
        <v>100.219862896681</v>
      </c>
      <c r="I381" s="85">
        <f>无限之旅!X59</f>
        <v/>
      </c>
      <c r="J381" s="85">
        <f>I381/H381</f>
        <v/>
      </c>
      <c r="K381" s="85" t="n">
        <v>37.6176971237333</v>
      </c>
      <c r="L381" s="85">
        <f>无限之旅!Y59</f>
        <v/>
      </c>
      <c r="M381" s="85">
        <f>L381/K381</f>
        <v/>
      </c>
      <c r="N381" t="inlineStr">
        <is>
          <t>等效进度估算</t>
        </is>
      </c>
    </row>
    <row r="382">
      <c r="A382" t="inlineStr">
        <is>
          <t>无限之旅</t>
        </is>
      </c>
      <c r="B382" t="inlineStr">
        <is>
          <t>难度2-层126</t>
        </is>
      </c>
      <c r="C382" t="n">
        <v>278</v>
      </c>
      <c r="D382" t="n">
        <v>352</v>
      </c>
      <c r="E382" t="n">
        <v>362</v>
      </c>
      <c r="F382" s="85">
        <f>无限之旅!K60</f>
        <v/>
      </c>
      <c r="G382" s="85">
        <f>无限之旅!L60</f>
        <v/>
      </c>
      <c r="H382" s="85" t="n">
        <v>104.885188677311</v>
      </c>
      <c r="I382" s="85">
        <f>无限之旅!X60</f>
        <v/>
      </c>
      <c r="J382" s="85">
        <f>I382/H382</f>
        <v/>
      </c>
      <c r="K382" s="85" t="n">
        <v>36.5900279738151</v>
      </c>
      <c r="L382" s="85">
        <f>无限之旅!Y60</f>
        <v/>
      </c>
      <c r="M382" s="85">
        <f>L382/K382</f>
        <v/>
      </c>
      <c r="N382" t="inlineStr">
        <is>
          <t>等效进度估算</t>
        </is>
      </c>
    </row>
    <row r="383">
      <c r="A383" t="inlineStr">
        <is>
          <t>无限之旅</t>
        </is>
      </c>
      <c r="B383" t="inlineStr">
        <is>
          <t>难度2-层127</t>
        </is>
      </c>
      <c r="C383" t="n">
        <v>278</v>
      </c>
      <c r="D383" t="n">
        <v>356</v>
      </c>
      <c r="E383" t="n">
        <v>366</v>
      </c>
      <c r="F383" s="85">
        <f>无限之旅!K61</f>
        <v/>
      </c>
      <c r="G383" s="85">
        <f>无限之旅!L61</f>
        <v/>
      </c>
      <c r="H383" s="85" t="n">
        <v>109.735810738208</v>
      </c>
      <c r="I383" s="85">
        <f>无限之旅!X61</f>
        <v/>
      </c>
      <c r="J383" s="85">
        <f>I383/H383</f>
        <v/>
      </c>
      <c r="K383" s="85" t="n">
        <v>35.5978006372836</v>
      </c>
      <c r="L383" s="85">
        <f>无限之旅!Y61</f>
        <v/>
      </c>
      <c r="M383" s="85">
        <f>L383/K383</f>
        <v/>
      </c>
      <c r="N383" t="inlineStr">
        <is>
          <t>等效进度估算</t>
        </is>
      </c>
    </row>
    <row r="384">
      <c r="A384" t="inlineStr">
        <is>
          <t>无限之旅</t>
        </is>
      </c>
      <c r="B384" t="inlineStr">
        <is>
          <t>难度2-层128</t>
        </is>
      </c>
      <c r="C384" t="n">
        <v>278</v>
      </c>
      <c r="D384" t="n">
        <v>360</v>
      </c>
      <c r="E384" t="n">
        <v>370</v>
      </c>
      <c r="F384" s="85">
        <f>无限之旅!K62</f>
        <v/>
      </c>
      <c r="G384" s="85">
        <f>无限之旅!L62</f>
        <v/>
      </c>
      <c r="H384" s="85" t="n">
        <v>114.779924992467</v>
      </c>
      <c r="I384" s="85">
        <f>无限之旅!X62</f>
        <v/>
      </c>
      <c r="J384" s="85">
        <f>I384/H384</f>
        <v/>
      </c>
      <c r="K384" s="85" t="n">
        <v>34.6393679661119</v>
      </c>
      <c r="L384" s="85">
        <f>无限之旅!Y62</f>
        <v/>
      </c>
      <c r="M384" s="85">
        <f>L384/K384</f>
        <v/>
      </c>
      <c r="N384" t="inlineStr">
        <is>
          <t>等效进度估算</t>
        </is>
      </c>
    </row>
    <row r="385">
      <c r="A385" t="inlineStr">
        <is>
          <t>无限之旅</t>
        </is>
      </c>
      <c r="B385" t="inlineStr">
        <is>
          <t>难度2-层129</t>
        </is>
      </c>
      <c r="C385" t="n">
        <v>278</v>
      </c>
      <c r="D385" t="n">
        <v>364</v>
      </c>
      <c r="E385" t="n">
        <v>374</v>
      </c>
      <c r="F385" s="85">
        <f>无限之旅!K63</f>
        <v/>
      </c>
      <c r="G385" s="85">
        <f>无限之旅!L63</f>
        <v/>
      </c>
      <c r="H385" s="85" t="n">
        <v>120.020243333565</v>
      </c>
      <c r="I385" s="85">
        <f>无限之旅!X63</f>
        <v/>
      </c>
      <c r="J385" s="85">
        <f>I385/H385</f>
        <v/>
      </c>
      <c r="K385" s="85" t="n">
        <v>33.7131921723814</v>
      </c>
      <c r="L385" s="85">
        <f>无限之旅!Y63</f>
        <v/>
      </c>
      <c r="M385" s="85">
        <f>L385/K385</f>
        <v/>
      </c>
      <c r="N385" t="inlineStr">
        <is>
          <t>等效进度估算</t>
        </is>
      </c>
    </row>
    <row r="386">
      <c r="A386" t="inlineStr">
        <is>
          <t>无限之旅</t>
        </is>
      </c>
      <c r="B386" t="inlineStr">
        <is>
          <t>难度2-层130</t>
        </is>
      </c>
      <c r="C386" t="n">
        <v>278</v>
      </c>
      <c r="D386" t="n">
        <v>368</v>
      </c>
      <c r="E386" t="n">
        <v>378</v>
      </c>
      <c r="F386" s="85">
        <f>无限之旅!K64</f>
        <v/>
      </c>
      <c r="G386" s="85">
        <f>无限之旅!L64</f>
        <v/>
      </c>
      <c r="H386" s="85" t="n">
        <v>125.465305184338</v>
      </c>
      <c r="I386" s="85">
        <f>无限之旅!X64</f>
        <v/>
      </c>
      <c r="J386" s="85">
        <f>I386/H386</f>
        <v/>
      </c>
      <c r="K386" s="85" t="n">
        <v>32.8178351273639</v>
      </c>
      <c r="L386" s="85">
        <f>无限之旅!Y64</f>
        <v/>
      </c>
      <c r="M386" s="85">
        <f>L386/K386</f>
        <v/>
      </c>
      <c r="N386" t="inlineStr">
        <is>
          <t>等效进度估算</t>
        </is>
      </c>
    </row>
    <row r="387">
      <c r="A387" t="inlineStr">
        <is>
          <t>无限之旅</t>
        </is>
      </c>
      <c r="B387" t="inlineStr">
        <is>
          <t>难度3-层201</t>
        </is>
      </c>
      <c r="C387" t="n">
        <v>278</v>
      </c>
      <c r="D387" t="n">
        <v>372</v>
      </c>
      <c r="E387" t="n">
        <v>383</v>
      </c>
      <c r="F387" s="85">
        <f>无限之旅!K65</f>
        <v/>
      </c>
      <c r="G387" s="85">
        <f>无限之旅!L65</f>
        <v/>
      </c>
      <c r="H387" s="85" t="n">
        <v>131.121910940032</v>
      </c>
      <c r="I387" s="85">
        <f>无限之旅!X65</f>
        <v/>
      </c>
      <c r="J387" s="85">
        <f>I387/H387</f>
        <v/>
      </c>
      <c r="K387" s="85" t="n">
        <v>31.9522935066394</v>
      </c>
      <c r="L387" s="85">
        <f>无限之旅!Y65</f>
        <v/>
      </c>
      <c r="M387" s="85">
        <f>L387/K387</f>
        <v/>
      </c>
      <c r="N387" t="inlineStr">
        <is>
          <t>等效进度估算</t>
        </is>
      </c>
    </row>
    <row r="388">
      <c r="A388" t="inlineStr">
        <is>
          <t>无限之旅</t>
        </is>
      </c>
      <c r="B388" t="inlineStr">
        <is>
          <t>难度3-层202</t>
        </is>
      </c>
      <c r="C388" t="n">
        <v>278</v>
      </c>
      <c r="D388" t="n">
        <v>376</v>
      </c>
      <c r="E388" t="n">
        <v>387</v>
      </c>
      <c r="F388" s="85">
        <f>无限之旅!K66</f>
        <v/>
      </c>
      <c r="G388" s="85">
        <f>无限之旅!L66</f>
        <v/>
      </c>
      <c r="H388" s="85" t="n">
        <v>136.994923091773</v>
      </c>
      <c r="I388" s="85">
        <f>无限之旅!X66</f>
        <v/>
      </c>
      <c r="J388" s="85">
        <f>I388/H388</f>
        <v/>
      </c>
      <c r="K388" s="85" t="n">
        <v>31.1152500226236</v>
      </c>
      <c r="L388" s="85">
        <f>无限之旅!Y66</f>
        <v/>
      </c>
      <c r="M388" s="85">
        <f>L388/K388</f>
        <v/>
      </c>
      <c r="N388" t="inlineStr">
        <is>
          <t>等效进度估算</t>
        </is>
      </c>
    </row>
    <row r="389">
      <c r="A389" t="inlineStr">
        <is>
          <t>无限之旅</t>
        </is>
      </c>
      <c r="B389" t="inlineStr">
        <is>
          <t>难度3-层203</t>
        </is>
      </c>
      <c r="C389" t="n">
        <v>278</v>
      </c>
      <c r="D389" t="n">
        <v>379</v>
      </c>
      <c r="E389" t="n">
        <v>390</v>
      </c>
      <c r="F389" s="85">
        <f>无限之旅!K67</f>
        <v/>
      </c>
      <c r="G389" s="85">
        <f>无限之旅!L67</f>
        <v/>
      </c>
      <c r="H389" s="85" t="n">
        <v>141.550797105099</v>
      </c>
      <c r="I389" s="85">
        <f>无限之旅!X67</f>
        <v/>
      </c>
      <c r="J389" s="85">
        <f>I389/H389</f>
        <v/>
      </c>
      <c r="K389" s="85" t="n">
        <v>30.5056610419155</v>
      </c>
      <c r="L389" s="85">
        <f>无限之旅!Y67</f>
        <v/>
      </c>
      <c r="M389" s="85">
        <f>L389/K389</f>
        <v/>
      </c>
      <c r="N389" t="inlineStr">
        <is>
          <t>等效进度估算</t>
        </is>
      </c>
    </row>
    <row r="390">
      <c r="A390" t="inlineStr">
        <is>
          <t>无限之旅</t>
        </is>
      </c>
      <c r="B390" t="inlineStr">
        <is>
          <t>难度3-层204</t>
        </is>
      </c>
      <c r="C390" t="n">
        <v>278</v>
      </c>
      <c r="D390" t="n">
        <v>383</v>
      </c>
      <c r="E390" t="n">
        <v>394</v>
      </c>
      <c r="F390" s="85">
        <f>无限之旅!K68</f>
        <v/>
      </c>
      <c r="G390" s="85">
        <f>无限之旅!L68</f>
        <v/>
      </c>
      <c r="H390" s="85" t="n">
        <v>147.825442195279</v>
      </c>
      <c r="I390" s="85">
        <f>无限之旅!X68</f>
        <v/>
      </c>
      <c r="J390" s="85">
        <f>I390/H390</f>
        <v/>
      </c>
      <c r="K390" s="85" t="n">
        <v>29.7158951640115</v>
      </c>
      <c r="L390" s="85">
        <f>无限之旅!Y68</f>
        <v/>
      </c>
      <c r="M390" s="85">
        <f>L390/K390</f>
        <v/>
      </c>
      <c r="N390" t="inlineStr">
        <is>
          <t>等效进度估算</t>
        </is>
      </c>
    </row>
    <row r="391">
      <c r="A391" t="inlineStr">
        <is>
          <t>无限之旅</t>
        </is>
      </c>
      <c r="B391" t="inlineStr">
        <is>
          <t>难度3-层205</t>
        </is>
      </c>
      <c r="C391" t="n">
        <v>278</v>
      </c>
      <c r="D391" t="n">
        <v>387</v>
      </c>
      <c r="E391" t="n">
        <v>398</v>
      </c>
      <c r="F391" s="85">
        <f>无限之旅!K69</f>
        <v/>
      </c>
      <c r="G391" s="85">
        <f>无限之旅!L69</f>
        <v/>
      </c>
      <c r="H391" s="85" t="n">
        <v>154.339087578392</v>
      </c>
      <c r="I391" s="85">
        <f>无限之旅!X69</f>
        <v/>
      </c>
      <c r="J391" s="85">
        <f>I391/H391</f>
        <v/>
      </c>
      <c r="K391" s="85" t="n">
        <v>28.9513044426365</v>
      </c>
      <c r="L391" s="85">
        <f>无限之旅!Y69</f>
        <v/>
      </c>
      <c r="M391" s="85">
        <f>L391/K391</f>
        <v/>
      </c>
      <c r="N391" t="inlineStr">
        <is>
          <t>等效进度估算</t>
        </is>
      </c>
    </row>
    <row r="392">
      <c r="A392" t="inlineStr">
        <is>
          <t>无限之旅</t>
        </is>
      </c>
      <c r="B392" t="inlineStr">
        <is>
          <t>难度3-层206</t>
        </is>
      </c>
      <c r="C392" t="n">
        <v>278</v>
      </c>
      <c r="D392" t="n">
        <v>390</v>
      </c>
      <c r="E392" t="n">
        <v>401</v>
      </c>
      <c r="F392" s="85">
        <f>无限之旅!K70</f>
        <v/>
      </c>
      <c r="G392" s="85">
        <f>无限之旅!L70</f>
        <v/>
      </c>
      <c r="H392" s="85" t="n">
        <v>159.385293221673</v>
      </c>
      <c r="I392" s="85">
        <f>无限之旅!X70</f>
        <v/>
      </c>
      <c r="J392" s="85">
        <f>I392/H392</f>
        <v/>
      </c>
      <c r="K392" s="85" t="n">
        <v>28.3940268522922</v>
      </c>
      <c r="L392" s="85">
        <f>无限之旅!Y70</f>
        <v/>
      </c>
      <c r="M392" s="85">
        <f>L392/K392</f>
        <v/>
      </c>
      <c r="N392" t="inlineStr">
        <is>
          <t>等效进度估算</t>
        </is>
      </c>
    </row>
    <row r="393">
      <c r="A393" t="inlineStr">
        <is>
          <t>无限之旅</t>
        </is>
      </c>
      <c r="B393" t="inlineStr">
        <is>
          <t>难度3-层207</t>
        </is>
      </c>
      <c r="C393" t="n">
        <v>278</v>
      </c>
      <c r="D393" t="n">
        <v>394</v>
      </c>
      <c r="E393" t="n">
        <v>405</v>
      </c>
      <c r="F393" s="85">
        <f>无限之旅!K71</f>
        <v/>
      </c>
      <c r="G393" s="85">
        <f>无限之旅!L71</f>
        <v/>
      </c>
      <c r="H393" s="85" t="n">
        <v>166.33530373071</v>
      </c>
      <c r="I393" s="85">
        <f>无限之旅!X71</f>
        <v/>
      </c>
      <c r="J393" s="85">
        <f>I393/H393</f>
        <v/>
      </c>
      <c r="K393" s="85" t="n">
        <v>27.6719183292703</v>
      </c>
      <c r="L393" s="85">
        <f>无限之旅!Y71</f>
        <v/>
      </c>
      <c r="M393" s="85">
        <f>L393/K393</f>
        <v/>
      </c>
      <c r="N393" t="inlineStr">
        <is>
          <t>等效进度估算</t>
        </is>
      </c>
    </row>
    <row r="394">
      <c r="A394" t="inlineStr">
        <is>
          <t>无限之旅</t>
        </is>
      </c>
      <c r="B394" t="inlineStr">
        <is>
          <t>难度3-层208</t>
        </is>
      </c>
      <c r="C394" t="n">
        <v>278</v>
      </c>
      <c r="D394" t="n">
        <v>397</v>
      </c>
      <c r="E394" t="n">
        <v>408</v>
      </c>
      <c r="F394" s="85">
        <f>无限之旅!K72</f>
        <v/>
      </c>
      <c r="G394" s="85">
        <f>无限之旅!L72</f>
        <v/>
      </c>
      <c r="H394" s="85" t="n">
        <v>171.718656812052</v>
      </c>
      <c r="I394" s="85">
        <f>无限之旅!X72</f>
        <v/>
      </c>
      <c r="J394" s="85">
        <f>I394/H394</f>
        <v/>
      </c>
      <c r="K394" s="85" t="n">
        <v>27.1452389194436</v>
      </c>
      <c r="L394" s="85">
        <f>无限之旅!Y72</f>
        <v/>
      </c>
      <c r="M394" s="85">
        <f>L394/K394</f>
        <v/>
      </c>
      <c r="N394" t="inlineStr">
        <is>
          <t>等效进度估算</t>
        </is>
      </c>
    </row>
    <row r="395">
      <c r="A395" t="inlineStr">
        <is>
          <t>无限之旅</t>
        </is>
      </c>
      <c r="B395" t="inlineStr">
        <is>
          <t>难度3-层209</t>
        </is>
      </c>
      <c r="C395" t="n">
        <v>278</v>
      </c>
      <c r="D395" t="n">
        <v>401</v>
      </c>
      <c r="E395" t="n">
        <v>412</v>
      </c>
      <c r="F395" s="85">
        <f>无限之旅!K73</f>
        <v/>
      </c>
      <c r="G395" s="85">
        <f>无限之旅!L73</f>
        <v/>
      </c>
      <c r="H395" s="85" t="n">
        <v>179.13017829536</v>
      </c>
      <c r="I395" s="85">
        <f>无限之旅!X73</f>
        <v/>
      </c>
      <c r="J395" s="85">
        <f>I395/H395</f>
        <v/>
      </c>
      <c r="K395" s="85" t="n">
        <v>26.4623261340945</v>
      </c>
      <c r="L395" s="85">
        <f>无限之旅!Y73</f>
        <v/>
      </c>
      <c r="M395" s="85">
        <f>L395/K395</f>
        <v/>
      </c>
      <c r="N395" t="inlineStr">
        <is>
          <t>等效进度估算</t>
        </is>
      </c>
    </row>
    <row r="396">
      <c r="A396" t="inlineStr">
        <is>
          <t>无限之旅</t>
        </is>
      </c>
      <c r="B396" t="inlineStr">
        <is>
          <t>难度3-层210</t>
        </is>
      </c>
      <c r="C396" t="n">
        <v>278</v>
      </c>
      <c r="D396" t="n">
        <v>404</v>
      </c>
      <c r="E396" t="n">
        <v>415</v>
      </c>
      <c r="F396" s="85">
        <f>无限之旅!K74</f>
        <v/>
      </c>
      <c r="G396" s="85">
        <f>无限之旅!L74</f>
        <v/>
      </c>
      <c r="H396" s="85" t="n">
        <v>184.869998928256</v>
      </c>
      <c r="I396" s="85">
        <f>无限之旅!X74</f>
        <v/>
      </c>
      <c r="J396" s="85">
        <f>I396/H396</f>
        <v/>
      </c>
      <c r="K396" s="85" t="n">
        <v>25.9641545941417</v>
      </c>
      <c r="L396" s="85">
        <f>无限之旅!Y74</f>
        <v/>
      </c>
      <c r="M396" s="85">
        <f>L396/K396</f>
        <v/>
      </c>
      <c r="N396" t="inlineStr">
        <is>
          <t>等效进度估算</t>
        </is>
      </c>
    </row>
    <row r="397">
      <c r="A397" t="inlineStr">
        <is>
          <t>无限之旅</t>
        </is>
      </c>
      <c r="B397" t="inlineStr">
        <is>
          <t>难度3-层211</t>
        </is>
      </c>
      <c r="C397" t="n">
        <v>278</v>
      </c>
      <c r="D397" t="n">
        <v>407</v>
      </c>
      <c r="E397" t="n">
        <v>418</v>
      </c>
      <c r="F397" s="85">
        <f>无限之旅!K75</f>
        <v/>
      </c>
      <c r="G397" s="85">
        <f>无限之旅!L75</f>
        <v/>
      </c>
      <c r="H397" s="85" t="n">
        <v>190.769598699849</v>
      </c>
      <c r="I397" s="85">
        <f>无限之旅!X75</f>
        <v/>
      </c>
      <c r="J397" s="85">
        <f>I397/H397</f>
        <v/>
      </c>
      <c r="K397" s="85" t="n">
        <v>25.4773963119606</v>
      </c>
      <c r="L397" s="85">
        <f>无限之旅!Y75</f>
        <v/>
      </c>
      <c r="M397" s="85">
        <f>L397/K397</f>
        <v/>
      </c>
      <c r="N397" t="inlineStr">
        <is>
          <t>等效进度估算</t>
        </is>
      </c>
    </row>
    <row r="398">
      <c r="A398" t="inlineStr">
        <is>
          <t>无限之旅</t>
        </is>
      </c>
      <c r="B398" t="inlineStr">
        <is>
          <t>难度3-层212</t>
        </is>
      </c>
      <c r="C398" t="n">
        <v>278</v>
      </c>
      <c r="D398" t="n">
        <v>411</v>
      </c>
      <c r="E398" t="n">
        <v>422</v>
      </c>
      <c r="F398" s="85">
        <f>无限之旅!K76</f>
        <v/>
      </c>
      <c r="G398" s="85">
        <f>无限之旅!L76</f>
        <v/>
      </c>
      <c r="H398" s="85" t="n">
        <v>198.888638312418</v>
      </c>
      <c r="I398" s="85">
        <f>无限之旅!X76</f>
        <v/>
      </c>
      <c r="J398" s="85">
        <f>I398/H398</f>
        <v/>
      </c>
      <c r="K398" s="85" t="n">
        <v>24.8463772082588</v>
      </c>
      <c r="L398" s="85">
        <f>无限之旅!Y76</f>
        <v/>
      </c>
      <c r="M398" s="85">
        <f>L398/K398</f>
        <v/>
      </c>
      <c r="N398" t="inlineStr">
        <is>
          <t>等效进度估算</t>
        </is>
      </c>
    </row>
    <row r="399">
      <c r="A399" t="inlineStr">
        <is>
          <t>无限之旅</t>
        </is>
      </c>
      <c r="B399" t="inlineStr">
        <is>
          <t>难度3-层213</t>
        </is>
      </c>
      <c r="C399" t="n">
        <v>278</v>
      </c>
      <c r="D399" t="n">
        <v>414</v>
      </c>
      <c r="E399" t="n">
        <v>425</v>
      </c>
      <c r="F399" s="85">
        <f>无限之旅!K77</f>
        <v/>
      </c>
      <c r="G399" s="85">
        <f>无限之旅!L77</f>
        <v/>
      </c>
      <c r="H399" s="85" t="n">
        <v>205.171075960127</v>
      </c>
      <c r="I399" s="85">
        <f>无限之旅!X77</f>
        <v/>
      </c>
      <c r="J399" s="85">
        <f>I399/H399</f>
        <v/>
      </c>
      <c r="K399" s="85" t="n">
        <v>24.3856394139594</v>
      </c>
      <c r="L399" s="85">
        <f>无限之旅!Y77</f>
        <v/>
      </c>
      <c r="M399" s="85">
        <f>L399/K399</f>
        <v/>
      </c>
      <c r="N399" t="inlineStr">
        <is>
          <t>等效进度估算</t>
        </is>
      </c>
    </row>
    <row r="400">
      <c r="A400" t="inlineStr">
        <is>
          <t>无限之旅</t>
        </is>
      </c>
      <c r="B400" t="inlineStr">
        <is>
          <t>难度3-层214</t>
        </is>
      </c>
      <c r="C400" t="n">
        <v>278</v>
      </c>
      <c r="D400" t="n">
        <v>417</v>
      </c>
      <c r="E400" t="n">
        <v>428</v>
      </c>
      <c r="F400" s="85">
        <f>无限之旅!K78</f>
        <v/>
      </c>
      <c r="G400" s="85">
        <f>无限之旅!L78</f>
        <v/>
      </c>
      <c r="H400" s="85" t="n">
        <v>211.626122550884</v>
      </c>
      <c r="I400" s="85">
        <f>无限之旅!X78</f>
        <v/>
      </c>
      <c r="J400" s="85">
        <f>I400/H400</f>
        <v/>
      </c>
      <c r="K400" s="85" t="n">
        <v>23.9355022663513</v>
      </c>
      <c r="L400" s="85">
        <f>无限之旅!Y78</f>
        <v/>
      </c>
      <c r="M400" s="85">
        <f>L400/K400</f>
        <v/>
      </c>
      <c r="N400" t="inlineStr">
        <is>
          <t>等效进度估算</t>
        </is>
      </c>
    </row>
    <row r="401">
      <c r="A401" t="inlineStr">
        <is>
          <t>无限之旅</t>
        </is>
      </c>
      <c r="B401" t="inlineStr">
        <is>
          <t>难度3-层215</t>
        </is>
      </c>
      <c r="C401" t="n">
        <v>278</v>
      </c>
      <c r="D401" t="n">
        <v>421</v>
      </c>
      <c r="E401" t="n">
        <v>433</v>
      </c>
      <c r="F401" s="85">
        <f>无限之旅!K79</f>
        <v/>
      </c>
      <c r="G401" s="85">
        <f>无限之旅!L79</f>
        <v/>
      </c>
      <c r="H401" s="85" t="n">
        <v>220.50722290242</v>
      </c>
      <c r="I401" s="85">
        <f>无限之旅!X79</f>
        <v/>
      </c>
      <c r="J401" s="85">
        <f>I401/H401</f>
        <v/>
      </c>
      <c r="K401" s="85" t="n">
        <v>23.3512412525677</v>
      </c>
      <c r="L401" s="85">
        <f>无限之旅!Y79</f>
        <v/>
      </c>
      <c r="M401" s="85">
        <f>L401/K401</f>
        <v/>
      </c>
      <c r="N401" t="inlineStr">
        <is>
          <t>等效进度估算</t>
        </is>
      </c>
    </row>
    <row r="402">
      <c r="A402" t="inlineStr">
        <is>
          <t>无限之旅</t>
        </is>
      </c>
      <c r="B402" t="inlineStr">
        <is>
          <t>难度3-层216</t>
        </is>
      </c>
      <c r="C402" t="n">
        <v>278</v>
      </c>
      <c r="D402" t="n">
        <v>424</v>
      </c>
      <c r="E402" t="n">
        <v>436</v>
      </c>
      <c r="F402" s="85">
        <f>无限之旅!K80</f>
        <v/>
      </c>
      <c r="G402" s="85">
        <f>无限之旅!L80</f>
        <v/>
      </c>
      <c r="H402" s="85" t="n">
        <v>227.379138047711</v>
      </c>
      <c r="I402" s="85">
        <f>无限之旅!X80</f>
        <v/>
      </c>
      <c r="J402" s="85">
        <f>I402/H402</f>
        <v/>
      </c>
      <c r="K402" s="85" t="n">
        <v>22.9246999888751</v>
      </c>
      <c r="L402" s="85">
        <f>无限之旅!Y80</f>
        <v/>
      </c>
      <c r="M402" s="85">
        <f>L402/K402</f>
        <v/>
      </c>
      <c r="N402" t="inlineStr">
        <is>
          <t>等效进度估算</t>
        </is>
      </c>
    </row>
    <row r="403">
      <c r="A403" t="inlineStr">
        <is>
          <t>无限之旅</t>
        </is>
      </c>
      <c r="B403" t="inlineStr">
        <is>
          <t>难度3-层217</t>
        </is>
      </c>
      <c r="C403" t="n">
        <v>278</v>
      </c>
      <c r="D403" t="n">
        <v>427</v>
      </c>
      <c r="E403" t="n">
        <v>439</v>
      </c>
      <c r="F403" s="85">
        <f>无限之旅!K81</f>
        <v/>
      </c>
      <c r="G403" s="85">
        <f>无限之旅!L81</f>
        <v/>
      </c>
      <c r="H403" s="85" t="n">
        <v>234.437699775448</v>
      </c>
      <c r="I403" s="85">
        <f>无限之旅!X81</f>
        <v/>
      </c>
      <c r="J403" s="85">
        <f>I403/H403</f>
        <v/>
      </c>
      <c r="K403" s="85" t="n">
        <v>22.5078303922549</v>
      </c>
      <c r="L403" s="85">
        <f>无限之旅!Y81</f>
        <v/>
      </c>
      <c r="M403" s="85">
        <f>L403/K403</f>
        <v/>
      </c>
      <c r="N403" t="inlineStr">
        <is>
          <t>等效进度估算</t>
        </is>
      </c>
    </row>
    <row r="404">
      <c r="A404" t="inlineStr">
        <is>
          <t>无限之旅</t>
        </is>
      </c>
      <c r="B404" t="inlineStr">
        <is>
          <t>难度3-层218</t>
        </is>
      </c>
      <c r="C404" t="n">
        <v>278</v>
      </c>
      <c r="D404" t="n">
        <v>430</v>
      </c>
      <c r="E404" t="n">
        <v>442</v>
      </c>
      <c r="F404" s="85">
        <f>无限之旅!K82</f>
        <v/>
      </c>
      <c r="G404" s="85">
        <f>无限之旅!L82</f>
        <v/>
      </c>
      <c r="H404" s="85" t="n">
        <v>241.683904963896</v>
      </c>
      <c r="I404" s="85">
        <f>无限之旅!X82</f>
        <v/>
      </c>
      <c r="J404" s="85">
        <f>I404/H404</f>
        <v/>
      </c>
      <c r="K404" s="85" t="n">
        <v>22.1000925875739</v>
      </c>
      <c r="L404" s="85">
        <f>无限之旅!Y82</f>
        <v/>
      </c>
      <c r="M404" s="85">
        <f>L404/K404</f>
        <v/>
      </c>
      <c r="N404" t="inlineStr">
        <is>
          <t>等效进度估算</t>
        </is>
      </c>
    </row>
    <row r="405">
      <c r="A405" t="inlineStr">
        <is>
          <t>无限之旅</t>
        </is>
      </c>
      <c r="B405" t="inlineStr">
        <is>
          <t>难度3-层219</t>
        </is>
      </c>
      <c r="C405" t="n">
        <v>278</v>
      </c>
      <c r="D405" t="n">
        <v>433</v>
      </c>
      <c r="E405" t="n">
        <v>445</v>
      </c>
      <c r="F405" s="85">
        <f>无限之旅!K83</f>
        <v/>
      </c>
      <c r="G405" s="85">
        <f>无限之旅!L83</f>
        <v/>
      </c>
      <c r="H405" s="85" t="n">
        <v>249.12549856601</v>
      </c>
      <c r="I405" s="85">
        <f>无限之旅!X83</f>
        <v/>
      </c>
      <c r="J405" s="85">
        <f>I405/H405</f>
        <v/>
      </c>
      <c r="K405" s="85" t="n">
        <v>21.7016293460331</v>
      </c>
      <c r="L405" s="85">
        <f>无限之旅!Y83</f>
        <v/>
      </c>
      <c r="M405" s="85">
        <f>L405/K405</f>
        <v/>
      </c>
      <c r="N405" t="inlineStr">
        <is>
          <t>等效进度估算</t>
        </is>
      </c>
    </row>
    <row r="406">
      <c r="A406" t="inlineStr">
        <is>
          <t>无限之旅</t>
        </is>
      </c>
      <c r="B406" t="inlineStr">
        <is>
          <t>难度3-层220</t>
        </is>
      </c>
      <c r="C406" t="n">
        <v>278</v>
      </c>
      <c r="D406" t="n">
        <v>436</v>
      </c>
      <c r="E406" t="n">
        <v>448</v>
      </c>
      <c r="F406" s="85">
        <f>无限之旅!K84</f>
        <v/>
      </c>
      <c r="G406" s="85">
        <f>无限之旅!L84</f>
        <v/>
      </c>
      <c r="H406" s="85" t="n">
        <v>256.766984306347</v>
      </c>
      <c r="I406" s="85">
        <f>无限之旅!X84</f>
        <v/>
      </c>
      <c r="J406" s="85">
        <f>I406/H406</f>
        <v/>
      </c>
      <c r="K406" s="85" t="n">
        <v>21.3119252146631</v>
      </c>
      <c r="L406" s="85">
        <f>无限之旅!Y84</f>
        <v/>
      </c>
      <c r="M406" s="85">
        <f>L406/K406</f>
        <v/>
      </c>
      <c r="N406" t="inlineStr">
        <is>
          <t>等效进度估算</t>
        </is>
      </c>
    </row>
    <row r="407">
      <c r="A407" t="inlineStr">
        <is>
          <t>无限之旅</t>
        </is>
      </c>
      <c r="B407" t="inlineStr">
        <is>
          <t>难度3-层221</t>
        </is>
      </c>
      <c r="C407" t="n">
        <v>278</v>
      </c>
      <c r="D407" t="n">
        <v>439</v>
      </c>
      <c r="E407" t="n">
        <v>451</v>
      </c>
      <c r="F407" s="85">
        <f>无限之旅!K85</f>
        <v/>
      </c>
      <c r="G407" s="85">
        <f>无限之旅!L85</f>
        <v/>
      </c>
      <c r="H407" s="85" t="n">
        <v>264.60947380342</v>
      </c>
      <c r="I407" s="85">
        <f>无限之旅!X85</f>
        <v/>
      </c>
      <c r="J407" s="85">
        <f>I407/H407</f>
        <v/>
      </c>
      <c r="K407" s="85" t="n">
        <v>20.9309527311619</v>
      </c>
      <c r="L407" s="85">
        <f>无限之旅!Y85</f>
        <v/>
      </c>
      <c r="M407" s="85">
        <f>L407/K407</f>
        <v/>
      </c>
      <c r="N407" t="inlineStr">
        <is>
          <t>等效进度估算</t>
        </is>
      </c>
    </row>
    <row r="408">
      <c r="A408" t="inlineStr">
        <is>
          <t>无限之旅</t>
        </is>
      </c>
      <c r="B408" t="inlineStr">
        <is>
          <t>难度3-层222</t>
        </is>
      </c>
      <c r="C408" t="n">
        <v>278</v>
      </c>
      <c r="D408" t="n">
        <v>442</v>
      </c>
      <c r="E408" t="n">
        <v>454</v>
      </c>
      <c r="F408" s="85">
        <f>无限之旅!K86</f>
        <v/>
      </c>
      <c r="G408" s="85">
        <f>无限之旅!L86</f>
        <v/>
      </c>
      <c r="H408" s="85" t="n">
        <v>272.661151366749</v>
      </c>
      <c r="I408" s="85">
        <f>无限之旅!X86</f>
        <v/>
      </c>
      <c r="J408" s="85">
        <f>I408/H408</f>
        <v/>
      </c>
      <c r="K408" s="85" t="n">
        <v>20.558236337799</v>
      </c>
      <c r="L408" s="85">
        <f>无限之旅!Y86</f>
        <v/>
      </c>
      <c r="M408" s="85">
        <f>L408/K408</f>
        <v/>
      </c>
      <c r="N408" t="inlineStr">
        <is>
          <t>等效进度估算</t>
        </is>
      </c>
    </row>
    <row r="409">
      <c r="A409" t="inlineStr">
        <is>
          <t>无限之旅</t>
        </is>
      </c>
      <c r="B409" t="inlineStr">
        <is>
          <t>难度3-层223</t>
        </is>
      </c>
      <c r="C409" t="n">
        <v>278</v>
      </c>
      <c r="D409" t="n">
        <v>445</v>
      </c>
      <c r="E409" t="n">
        <v>457</v>
      </c>
      <c r="F409" s="85">
        <f>无限之旅!K87</f>
        <v/>
      </c>
      <c r="G409" s="85">
        <f>无限之旅!L87</f>
        <v/>
      </c>
      <c r="H409" s="85" t="n">
        <v>280.923086546106</v>
      </c>
      <c r="I409" s="85">
        <f>无限之旅!X87</f>
        <v/>
      </c>
      <c r="J409" s="85">
        <f>I409/H409</f>
        <v/>
      </c>
      <c r="K409" s="85" t="n">
        <v>20.1937538859466</v>
      </c>
      <c r="L409" s="85">
        <f>无限之旅!Y87</f>
        <v/>
      </c>
      <c r="M409" s="85">
        <f>L409/K409</f>
        <v/>
      </c>
      <c r="N409" t="inlineStr">
        <is>
          <t>等效进度估算</t>
        </is>
      </c>
    </row>
    <row r="410">
      <c r="A410" t="inlineStr">
        <is>
          <t>无限之旅</t>
        </is>
      </c>
      <c r="B410" t="inlineStr">
        <is>
          <t>难度3-层224</t>
        </is>
      </c>
      <c r="C410" t="n">
        <v>278</v>
      </c>
      <c r="D410" t="n">
        <v>448</v>
      </c>
      <c r="E410" t="n">
        <v>460</v>
      </c>
      <c r="F410" s="85">
        <f>无限之旅!K88</f>
        <v/>
      </c>
      <c r="G410" s="85">
        <f>无限之旅!L88</f>
        <v/>
      </c>
      <c r="H410" s="85" t="n">
        <v>289.407844875535</v>
      </c>
      <c r="I410" s="85">
        <f>无限之旅!X88</f>
        <v/>
      </c>
      <c r="J410" s="85">
        <f>I410/H410</f>
        <v/>
      </c>
      <c r="K410" s="85" t="n">
        <v>19.8371983068717</v>
      </c>
      <c r="L410" s="85">
        <f>无限之旅!Y88</f>
        <v/>
      </c>
      <c r="M410" s="85">
        <f>L410/K410</f>
        <v/>
      </c>
      <c r="N410" t="inlineStr">
        <is>
          <t>等效进度估算</t>
        </is>
      </c>
    </row>
    <row r="411">
      <c r="A411" t="inlineStr">
        <is>
          <t>无限之旅</t>
        </is>
      </c>
      <c r="B411" t="inlineStr">
        <is>
          <t>难度3-层225</t>
        </is>
      </c>
      <c r="C411" t="n">
        <v>278</v>
      </c>
      <c r="D411" t="n">
        <v>451</v>
      </c>
      <c r="E411" t="n">
        <v>463</v>
      </c>
      <c r="F411" s="85">
        <f>无限之旅!K89</f>
        <v/>
      </c>
      <c r="G411" s="85">
        <f>无限之旅!L89</f>
        <v/>
      </c>
      <c r="H411" s="85" t="n">
        <v>298.10865571265</v>
      </c>
      <c r="I411" s="85">
        <f>无限之旅!X89</f>
        <v/>
      </c>
      <c r="J411" s="85">
        <f>I411/H411</f>
        <v/>
      </c>
      <c r="K411" s="85" t="n">
        <v>19.4884098273183</v>
      </c>
      <c r="L411" s="85">
        <f>无限之旅!Y89</f>
        <v/>
      </c>
      <c r="M411" s="85">
        <f>L411/K411</f>
        <v/>
      </c>
      <c r="N411" t="inlineStr">
        <is>
          <t>等效进度估算</t>
        </is>
      </c>
    </row>
    <row r="412">
      <c r="A412" t="inlineStr">
        <is>
          <t>无限之旅</t>
        </is>
      </c>
      <c r="B412" t="inlineStr">
        <is>
          <t>难度3-层226</t>
        </is>
      </c>
      <c r="C412" t="n">
        <v>278</v>
      </c>
      <c r="D412" t="n">
        <v>454</v>
      </c>
      <c r="E412" t="n">
        <v>466</v>
      </c>
      <c r="F412" s="85">
        <f>无限之旅!K90</f>
        <v/>
      </c>
      <c r="G412" s="85">
        <f>无限之旅!L90</f>
        <v/>
      </c>
      <c r="H412" s="85" t="n">
        <v>307.042486260742</v>
      </c>
      <c r="I412" s="85">
        <f>无限之旅!X90</f>
        <v/>
      </c>
      <c r="J412" s="85">
        <f>I412/H412</f>
        <v/>
      </c>
      <c r="K412" s="85" t="n">
        <v>19.1471053575119</v>
      </c>
      <c r="L412" s="85">
        <f>无限之旅!Y90</f>
        <v/>
      </c>
      <c r="M412" s="85">
        <f>L412/K412</f>
        <v/>
      </c>
      <c r="N412" t="inlineStr">
        <is>
          <t>等效进度估算</t>
        </is>
      </c>
    </row>
    <row r="413">
      <c r="A413" t="inlineStr">
        <is>
          <t>无限之旅</t>
        </is>
      </c>
      <c r="B413" t="inlineStr">
        <is>
          <t>难度3-层227</t>
        </is>
      </c>
      <c r="C413" t="n">
        <v>278</v>
      </c>
      <c r="D413" t="n">
        <v>457</v>
      </c>
      <c r="E413" t="n">
        <v>469</v>
      </c>
      <c r="F413" s="85">
        <f>无限之旅!K91</f>
        <v/>
      </c>
      <c r="G413" s="85">
        <f>无限之旅!L91</f>
        <v/>
      </c>
      <c r="H413" s="85" t="n">
        <v>316.206418823404</v>
      </c>
      <c r="I413" s="85">
        <f>无限之旅!X91</f>
        <v/>
      </c>
      <c r="J413" s="85">
        <f>I413/H413</f>
        <v/>
      </c>
      <c r="K413" s="85" t="n">
        <v>18.813019381761</v>
      </c>
      <c r="L413" s="85">
        <f>无限之旅!Y91</f>
        <v/>
      </c>
      <c r="M413" s="85">
        <f>L413/K413</f>
        <v/>
      </c>
      <c r="N413" t="inlineStr">
        <is>
          <t>等效进度估算</t>
        </is>
      </c>
    </row>
    <row r="414">
      <c r="A414" t="inlineStr">
        <is>
          <t>无限之旅</t>
        </is>
      </c>
      <c r="B414" t="inlineStr">
        <is>
          <t>难度3-层228</t>
        </is>
      </c>
      <c r="C414" t="n">
        <v>278</v>
      </c>
      <c r="D414" t="n">
        <v>460</v>
      </c>
      <c r="E414" t="n">
        <v>472</v>
      </c>
      <c r="F414" s="85">
        <f>无限之旅!K92</f>
        <v/>
      </c>
      <c r="G414" s="85">
        <f>无限之旅!L92</f>
        <v/>
      </c>
      <c r="H414" s="85" t="n">
        <v>325.609860217274</v>
      </c>
      <c r="I414" s="85">
        <f>无限之旅!X92</f>
        <v/>
      </c>
      <c r="J414" s="85">
        <f>I414/H414</f>
        <v/>
      </c>
      <c r="K414" s="85" t="n">
        <v>18.4862478920668</v>
      </c>
      <c r="L414" s="85">
        <f>无限之旅!Y92</f>
        <v/>
      </c>
      <c r="M414" s="85">
        <f>L414/K414</f>
        <v/>
      </c>
      <c r="N414" t="inlineStr">
        <is>
          <t>等效进度估算</t>
        </is>
      </c>
    </row>
    <row r="415">
      <c r="A415" t="inlineStr">
        <is>
          <t>无限之旅</t>
        </is>
      </c>
      <c r="B415" t="inlineStr">
        <is>
          <t>难度3-层229</t>
        </is>
      </c>
      <c r="C415" t="n">
        <v>278</v>
      </c>
      <c r="D415" t="n">
        <v>463</v>
      </c>
      <c r="E415" t="n">
        <v>475</v>
      </c>
      <c r="F415" s="85">
        <f>无限之旅!K93</f>
        <v/>
      </c>
      <c r="G415" s="85">
        <f>无限之旅!L93</f>
        <v/>
      </c>
      <c r="H415" s="85" t="n">
        <v>335.258303543846</v>
      </c>
      <c r="I415" s="85">
        <f>无限之旅!X93</f>
        <v/>
      </c>
      <c r="J415" s="85">
        <f>I415/H415</f>
        <v/>
      </c>
      <c r="K415" s="85" t="n">
        <v>18.1662988214505</v>
      </c>
      <c r="L415" s="85">
        <f>无限之旅!Y93</f>
        <v/>
      </c>
      <c r="M415" s="85">
        <f>L415/K415</f>
        <v/>
      </c>
      <c r="N415" t="inlineStr">
        <is>
          <t>等效进度估算</t>
        </is>
      </c>
    </row>
    <row r="416">
      <c r="A416" t="inlineStr">
        <is>
          <t>无限之旅</t>
        </is>
      </c>
      <c r="B416" t="inlineStr">
        <is>
          <t>难度3-层230</t>
        </is>
      </c>
      <c r="C416" t="n">
        <v>278</v>
      </c>
      <c r="D416" t="n">
        <v>465</v>
      </c>
      <c r="E416" t="n">
        <v>477</v>
      </c>
      <c r="F416" s="85">
        <f>无限之旅!K94</f>
        <v/>
      </c>
      <c r="G416" s="85">
        <f>无限之旅!L94</f>
        <v/>
      </c>
      <c r="H416" s="85" t="n">
        <v>341.824423917313</v>
      </c>
      <c r="I416" s="85">
        <f>无限之旅!X94</f>
        <v/>
      </c>
      <c r="J416" s="85">
        <f>I416/H416</f>
        <v/>
      </c>
      <c r="K416" s="85" t="n">
        <v>17.9568013410437</v>
      </c>
      <c r="L416" s="85">
        <f>无限之旅!Y94</f>
        <v/>
      </c>
      <c r="M416" s="85">
        <f>L416/K416</f>
        <v/>
      </c>
      <c r="N416" t="inlineStr">
        <is>
          <t>等效进度估算</t>
        </is>
      </c>
    </row>
    <row r="417">
      <c r="A417" t="inlineStr">
        <is>
          <t>无限之旅</t>
        </is>
      </c>
      <c r="B417" t="inlineStr">
        <is>
          <t>难度4-层301</t>
        </is>
      </c>
      <c r="C417" t="n">
        <v>278</v>
      </c>
      <c r="D417" t="n">
        <v>468</v>
      </c>
      <c r="E417" t="n">
        <v>480</v>
      </c>
      <c r="F417" s="85">
        <f>无限之旅!K95</f>
        <v/>
      </c>
      <c r="G417" s="85">
        <f>无限之旅!L95</f>
        <v/>
      </c>
      <c r="H417" s="85" t="n">
        <v>351.891941353229</v>
      </c>
      <c r="I417" s="85">
        <f>无限之旅!X95</f>
        <v/>
      </c>
      <c r="J417" s="85">
        <f>I417/H417</f>
        <v/>
      </c>
      <c r="K417" s="85" t="n">
        <v>17.6481563113073</v>
      </c>
      <c r="L417" s="85">
        <f>无限之旅!Y95</f>
        <v/>
      </c>
      <c r="M417" s="85">
        <f>L417/K417</f>
        <v/>
      </c>
      <c r="N417" t="inlineStr">
        <is>
          <t>等效进度估算</t>
        </is>
      </c>
    </row>
    <row r="418">
      <c r="A418" t="inlineStr">
        <is>
          <t>无限之旅</t>
        </is>
      </c>
      <c r="B418" t="inlineStr">
        <is>
          <t>难度4-层302</t>
        </is>
      </c>
      <c r="C418" t="n">
        <v>278</v>
      </c>
      <c r="D418" t="n">
        <v>471</v>
      </c>
      <c r="E418" t="n">
        <v>483</v>
      </c>
      <c r="F418" s="85">
        <f>无限之旅!K96</f>
        <v/>
      </c>
      <c r="G418" s="85">
        <f>无限之旅!L96</f>
        <v/>
      </c>
      <c r="H418" s="85" t="n">
        <v>362.210048664639</v>
      </c>
      <c r="I418" s="85">
        <f>无限之旅!X96</f>
        <v/>
      </c>
      <c r="J418" s="85">
        <f>I418/H418</f>
        <v/>
      </c>
      <c r="K418" s="85" t="n">
        <v>17.345888064859</v>
      </c>
      <c r="L418" s="85">
        <f>无限之旅!Y96</f>
        <v/>
      </c>
      <c r="M418" s="85">
        <f>L418/K418</f>
        <v/>
      </c>
      <c r="N418" t="inlineStr">
        <is>
          <t>等效进度估算</t>
        </is>
      </c>
    </row>
    <row r="419">
      <c r="A419" t="inlineStr">
        <is>
          <t>无限之旅</t>
        </is>
      </c>
      <c r="B419" t="inlineStr">
        <is>
          <t>难度4-层303</t>
        </is>
      </c>
      <c r="C419" t="n">
        <v>278</v>
      </c>
      <c r="D419" t="n">
        <v>473</v>
      </c>
      <c r="E419" t="n">
        <v>485</v>
      </c>
      <c r="F419" s="85">
        <f>无限之旅!K97</f>
        <v/>
      </c>
      <c r="G419" s="85">
        <f>无限之旅!L97</f>
        <v/>
      </c>
      <c r="H419" s="85" t="n">
        <v>369.240149100582</v>
      </c>
      <c r="I419" s="85">
        <f>无限之旅!X97</f>
        <v/>
      </c>
      <c r="J419" s="85">
        <f>I419/H419</f>
        <v/>
      </c>
      <c r="K419" s="85" t="n">
        <v>17.1479504291275</v>
      </c>
      <c r="L419" s="85">
        <f>无限之旅!Y97</f>
        <v/>
      </c>
      <c r="M419" s="85">
        <f>L419/K419</f>
        <v/>
      </c>
      <c r="N419" t="inlineStr">
        <is>
          <t>等效进度估算</t>
        </is>
      </c>
    </row>
    <row r="420">
      <c r="A420" t="inlineStr">
        <is>
          <t>无限之旅</t>
        </is>
      </c>
      <c r="B420" t="inlineStr">
        <is>
          <t>难度4-层304</t>
        </is>
      </c>
      <c r="C420" t="n">
        <v>278</v>
      </c>
      <c r="D420" t="n">
        <v>476</v>
      </c>
      <c r="E420" t="n">
        <v>488</v>
      </c>
      <c r="F420" s="85">
        <f>无限之旅!K98</f>
        <v/>
      </c>
      <c r="G420" s="85">
        <f>无限之旅!L98</f>
        <v/>
      </c>
      <c r="H420" s="85" t="n">
        <v>380.00724143374</v>
      </c>
      <c r="I420" s="85">
        <f>无限之旅!X98</f>
        <v/>
      </c>
      <c r="J420" s="85">
        <f>I420/H420</f>
        <v/>
      </c>
      <c r="K420" s="85" t="n">
        <v>16.8562133296947</v>
      </c>
      <c r="L420" s="85">
        <f>无限之旅!Y98</f>
        <v/>
      </c>
      <c r="M420" s="85">
        <f>L420/K420</f>
        <v/>
      </c>
      <c r="N420" t="inlineStr">
        <is>
          <t>等效进度估算</t>
        </is>
      </c>
    </row>
    <row r="421">
      <c r="A421" t="inlineStr">
        <is>
          <t>无限之旅</t>
        </is>
      </c>
      <c r="B421" t="inlineStr">
        <is>
          <t>难度4-层305</t>
        </is>
      </c>
      <c r="C421" t="n">
        <v>278</v>
      </c>
      <c r="D421" t="n">
        <v>479</v>
      </c>
      <c r="E421" t="n">
        <v>491</v>
      </c>
      <c r="F421" s="85">
        <f>无限之旅!K99</f>
        <v/>
      </c>
      <c r="G421" s="85">
        <f>无限之旅!L99</f>
        <v/>
      </c>
      <c r="H421" s="85" t="n">
        <v>391.045004834022</v>
      </c>
      <c r="I421" s="85">
        <f>无限之旅!X99</f>
        <v/>
      </c>
      <c r="J421" s="85">
        <f>I421/H421</f>
        <v/>
      </c>
      <c r="K421" s="85" t="n">
        <v>16.5704446487071</v>
      </c>
      <c r="L421" s="85">
        <f>无限之旅!Y99</f>
        <v/>
      </c>
      <c r="M421" s="85">
        <f>L421/K421</f>
        <v/>
      </c>
      <c r="N421" t="inlineStr">
        <is>
          <t>等效进度估算</t>
        </is>
      </c>
    </row>
    <row r="422">
      <c r="A422" t="inlineStr">
        <is>
          <t>无限之旅</t>
        </is>
      </c>
      <c r="B422" t="inlineStr">
        <is>
          <t>难度4-层306</t>
        </is>
      </c>
      <c r="C422" t="n">
        <v>278</v>
      </c>
      <c r="D422" t="n">
        <v>481</v>
      </c>
      <c r="E422" t="n">
        <v>493</v>
      </c>
      <c r="F422" s="85">
        <f>无限之旅!K100</f>
        <v/>
      </c>
      <c r="G422" s="85">
        <f>无限之旅!L100</f>
        <v/>
      </c>
      <c r="H422" s="85" t="n">
        <v>398.562373548101</v>
      </c>
      <c r="I422" s="85">
        <f>无限之旅!X100</f>
        <v/>
      </c>
      <c r="J422" s="85">
        <f>I422/H422</f>
        <v/>
      </c>
      <c r="K422" s="85" t="n">
        <v>16.3832963124997</v>
      </c>
      <c r="L422" s="85">
        <f>无限之旅!Y100</f>
        <v/>
      </c>
      <c r="M422" s="85">
        <f>L422/K422</f>
        <v/>
      </c>
      <c r="N422" t="inlineStr">
        <is>
          <t>等效进度估算</t>
        </is>
      </c>
    </row>
    <row r="423">
      <c r="A423" t="inlineStr">
        <is>
          <t>无限之旅</t>
        </is>
      </c>
      <c r="B423" t="inlineStr">
        <is>
          <t>难度4-层307</t>
        </is>
      </c>
      <c r="C423" t="n">
        <v>278</v>
      </c>
      <c r="D423" t="n">
        <v>484</v>
      </c>
      <c r="E423" t="n">
        <v>496</v>
      </c>
      <c r="F423" s="85">
        <f>无限之旅!K101</f>
        <v/>
      </c>
      <c r="G423" s="85">
        <f>无限之旅!L101</f>
        <v/>
      </c>
      <c r="H423" s="85" t="n">
        <v>410.071142025166</v>
      </c>
      <c r="I423" s="85">
        <f>无限之旅!X101</f>
        <v/>
      </c>
      <c r="J423" s="85">
        <f>I423/H423</f>
        <v/>
      </c>
      <c r="K423" s="85" t="n">
        <v>16.1072657059577</v>
      </c>
      <c r="L423" s="85">
        <f>无限之旅!Y101</f>
        <v/>
      </c>
      <c r="M423" s="85">
        <f>L423/K423</f>
        <v/>
      </c>
      <c r="N423" t="inlineStr">
        <is>
          <t>等效进度估算</t>
        </is>
      </c>
    </row>
    <row r="424">
      <c r="A424" t="inlineStr">
        <is>
          <t>无限之旅</t>
        </is>
      </c>
      <c r="B424" t="inlineStr">
        <is>
          <t>难度4-层308</t>
        </is>
      </c>
      <c r="C424" t="n">
        <v>278</v>
      </c>
      <c r="D424" t="n">
        <v>487</v>
      </c>
      <c r="E424" t="n">
        <v>499</v>
      </c>
      <c r="F424" s="85">
        <f>无限之旅!K102</f>
        <v/>
      </c>
      <c r="G424" s="85">
        <f>无限之旅!L102</f>
        <v/>
      </c>
      <c r="H424" s="85" t="n">
        <v>421.866759434699</v>
      </c>
      <c r="I424" s="85">
        <f>无限之旅!X102</f>
        <v/>
      </c>
      <c r="J424" s="85">
        <f>I424/H424</f>
        <v/>
      </c>
      <c r="K424" s="85" t="n">
        <v>15.8370029395618</v>
      </c>
      <c r="L424" s="85">
        <f>无限之旅!Y102</f>
        <v/>
      </c>
      <c r="M424" s="85">
        <f>L424/K424</f>
        <v/>
      </c>
      <c r="N424" t="inlineStr">
        <is>
          <t>等效进度估算</t>
        </is>
      </c>
    </row>
    <row r="425">
      <c r="A425" t="inlineStr">
        <is>
          <t>无限之旅</t>
        </is>
      </c>
      <c r="B425" t="inlineStr">
        <is>
          <t>难度4-层309</t>
        </is>
      </c>
      <c r="C425" t="n">
        <v>278</v>
      </c>
      <c r="D425" t="n">
        <v>489</v>
      </c>
      <c r="E425" t="n">
        <v>500</v>
      </c>
      <c r="F425" s="85">
        <f>无限之旅!K103</f>
        <v/>
      </c>
      <c r="G425" s="85">
        <f>无限之旅!L103</f>
        <v/>
      </c>
      <c r="H425" s="85" t="n">
        <v>429.90048919219</v>
      </c>
      <c r="I425" s="85">
        <f>无限之旅!X103</f>
        <v/>
      </c>
      <c r="J425" s="85">
        <f>I425/H425</f>
        <v/>
      </c>
      <c r="K425" s="85" t="n">
        <v>15.6598558162148</v>
      </c>
      <c r="L425" s="85">
        <f>无限之旅!Y103</f>
        <v/>
      </c>
      <c r="M425" s="85">
        <f>L425/K425</f>
        <v/>
      </c>
      <c r="N425" t="inlineStr">
        <is>
          <t>等效进度估算</t>
        </is>
      </c>
    </row>
    <row r="426">
      <c r="A426" t="inlineStr">
        <is>
          <t>无限之旅</t>
        </is>
      </c>
      <c r="B426" t="inlineStr">
        <is>
          <t>难度4-层310</t>
        </is>
      </c>
      <c r="C426" t="n">
        <v>278</v>
      </c>
      <c r="D426" t="n">
        <v>492</v>
      </c>
      <c r="E426" t="n">
        <v>500</v>
      </c>
      <c r="F426" s="85">
        <f>无限之旅!K104</f>
        <v/>
      </c>
      <c r="G426" s="85">
        <f>无限之旅!L104</f>
        <v/>
      </c>
      <c r="H426" s="85" t="n">
        <v>442.19503685864</v>
      </c>
      <c r="I426" s="85">
        <f>无限之旅!X104</f>
        <v/>
      </c>
      <c r="J426" s="85">
        <f>I426/H426</f>
        <v/>
      </c>
      <c r="K426" s="85" t="n">
        <v>15.3986876803832</v>
      </c>
      <c r="L426" s="85">
        <f>无限之旅!Y104</f>
        <v/>
      </c>
      <c r="M426" s="85">
        <f>L426/K426</f>
        <v/>
      </c>
      <c r="N426" t="inlineStr">
        <is>
          <t>等效进度估算</t>
        </is>
      </c>
    </row>
    <row r="427">
      <c r="A427" t="inlineStr">
        <is>
          <t>无限之旅</t>
        </is>
      </c>
      <c r="B427" t="inlineStr">
        <is>
          <t>难度4-层311</t>
        </is>
      </c>
      <c r="C427" t="n">
        <v>278</v>
      </c>
      <c r="D427" t="n">
        <v>494</v>
      </c>
      <c r="E427" t="n">
        <v>500</v>
      </c>
      <c r="F427" s="85">
        <f>无限之旅!K105</f>
        <v/>
      </c>
      <c r="G427" s="85">
        <f>无限之旅!L105</f>
        <v/>
      </c>
      <c r="H427" s="85" t="n">
        <v>450.567686271529</v>
      </c>
      <c r="I427" s="85">
        <f>无限之旅!X105</f>
        <v/>
      </c>
      <c r="J427" s="85">
        <f>I427/H427</f>
        <v/>
      </c>
      <c r="K427" s="85" t="n">
        <v>15.2275657056067</v>
      </c>
      <c r="L427" s="85">
        <f>无限之旅!Y105</f>
        <v/>
      </c>
      <c r="M427" s="85">
        <f>L427/K427</f>
        <v/>
      </c>
      <c r="N427" t="inlineStr">
        <is>
          <t>等效进度估算</t>
        </is>
      </c>
    </row>
    <row r="428">
      <c r="A428" t="inlineStr">
        <is>
          <t>无限之旅</t>
        </is>
      </c>
      <c r="B428" t="inlineStr">
        <is>
          <t>难度4-层312</t>
        </is>
      </c>
      <c r="C428" t="n">
        <v>278</v>
      </c>
      <c r="D428" t="n">
        <v>497</v>
      </c>
      <c r="E428" t="n">
        <v>500</v>
      </c>
      <c r="F428" s="85">
        <f>无限之旅!K106</f>
        <v/>
      </c>
      <c r="G428" s="85">
        <f>无限之旅!L106</f>
        <v/>
      </c>
      <c r="H428" s="85" t="n">
        <v>463.379673291126</v>
      </c>
      <c r="I428" s="85">
        <f>无限之旅!X106</f>
        <v/>
      </c>
      <c r="J428" s="85">
        <f>I428/H428</f>
        <v/>
      </c>
      <c r="K428" s="85" t="n">
        <v>14.9751398983247</v>
      </c>
      <c r="L428" s="85">
        <f>无限之旅!Y106</f>
        <v/>
      </c>
      <c r="M428" s="85">
        <f>L428/K428</f>
        <v/>
      </c>
      <c r="N428" t="inlineStr">
        <is>
          <t>等效进度估算</t>
        </is>
      </c>
    </row>
    <row r="429">
      <c r="A429" t="inlineStr">
        <is>
          <t>无限之旅</t>
        </is>
      </c>
      <c r="B429" t="inlineStr">
        <is>
          <t>难度4-层313</t>
        </is>
      </c>
      <c r="C429" t="n">
        <v>278</v>
      </c>
      <c r="D429" t="n">
        <v>499</v>
      </c>
      <c r="E429" t="n">
        <v>500</v>
      </c>
      <c r="F429" s="85">
        <f>无限之旅!K107</f>
        <v/>
      </c>
      <c r="G429" s="85">
        <f>无限之旅!L107</f>
        <v/>
      </c>
      <c r="H429" s="85" t="n">
        <v>472.098056021429</v>
      </c>
      <c r="I429" s="85">
        <f>无限之旅!X107</f>
        <v/>
      </c>
      <c r="J429" s="85">
        <f>I429/H429</f>
        <v/>
      </c>
      <c r="K429" s="85" t="n">
        <v>14.809706289477</v>
      </c>
      <c r="L429" s="85">
        <f>无限之旅!Y107</f>
        <v/>
      </c>
      <c r="M429" s="85">
        <f>L429/K429</f>
        <v/>
      </c>
      <c r="N429" t="inlineStr">
        <is>
          <t>等效进度估算</t>
        </is>
      </c>
    </row>
    <row r="430">
      <c r="A430" t="inlineStr">
        <is>
          <t>无限之旅</t>
        </is>
      </c>
      <c r="B430" t="inlineStr">
        <is>
          <t>难度4-层314</t>
        </is>
      </c>
      <c r="C430" t="n">
        <v>278</v>
      </c>
      <c r="D430" t="n">
        <v>499</v>
      </c>
      <c r="E430" t="n">
        <v>500</v>
      </c>
      <c r="F430" s="85">
        <f>无限之旅!K108</f>
        <v/>
      </c>
      <c r="G430" s="85">
        <f>无限之旅!L108</f>
        <v/>
      </c>
      <c r="H430" s="85" t="n">
        <v>472.098056021429</v>
      </c>
      <c r="I430" s="85">
        <f>无限之旅!X108</f>
        <v/>
      </c>
      <c r="J430" s="85">
        <f>I430/H430</f>
        <v/>
      </c>
      <c r="K430" s="85" t="n">
        <v>14.809706289477</v>
      </c>
      <c r="L430" s="85">
        <f>无限之旅!Y108</f>
        <v/>
      </c>
      <c r="M430" s="85">
        <f>L430/K430</f>
        <v/>
      </c>
      <c r="N430" t="inlineStr">
        <is>
          <t>等效进度估算</t>
        </is>
      </c>
    </row>
    <row r="431">
      <c r="A431" t="inlineStr">
        <is>
          <t>无限之旅</t>
        </is>
      </c>
      <c r="B431" t="inlineStr">
        <is>
          <t>难度4-层315</t>
        </is>
      </c>
      <c r="C431" t="n">
        <v>278</v>
      </c>
      <c r="D431" t="n">
        <v>500</v>
      </c>
      <c r="E431" t="n">
        <v>500</v>
      </c>
      <c r="F431" s="85">
        <f>无限之旅!K109</f>
        <v/>
      </c>
      <c r="G431" s="85">
        <f>无限之旅!L109</f>
        <v/>
      </c>
      <c r="H431" s="85" t="n">
        <v>476.512185562052</v>
      </c>
      <c r="I431" s="85">
        <f>无限之旅!X109</f>
        <v/>
      </c>
      <c r="J431" s="85">
        <f>I431/H431</f>
        <v/>
      </c>
      <c r="K431" s="85" t="n">
        <v>14.7278047602844</v>
      </c>
      <c r="L431" s="85">
        <f>无限之旅!Y109</f>
        <v/>
      </c>
      <c r="M431" s="85">
        <f>L431/K431</f>
        <v/>
      </c>
      <c r="N431" t="inlineStr">
        <is>
          <t>等效进度估算</t>
        </is>
      </c>
    </row>
    <row r="432">
      <c r="A432" t="inlineStr">
        <is>
          <t>无限之旅</t>
        </is>
      </c>
      <c r="B432" t="inlineStr">
        <is>
          <t>难度4-层316</t>
        </is>
      </c>
      <c r="C432" t="n">
        <v>278</v>
      </c>
      <c r="D432" t="n">
        <v>500</v>
      </c>
      <c r="E432" t="n">
        <v>500</v>
      </c>
      <c r="F432" s="85">
        <f>无限之旅!K110</f>
        <v/>
      </c>
      <c r="G432" s="85">
        <f>无限之旅!L110</f>
        <v/>
      </c>
      <c r="H432" s="85" t="n">
        <v>410.777780412269</v>
      </c>
      <c r="I432" s="85">
        <f>无限之旅!X110</f>
        <v/>
      </c>
      <c r="J432" s="85">
        <f>I432/H432</f>
        <v/>
      </c>
      <c r="K432" s="85" t="n">
        <v>14.4390242747886</v>
      </c>
      <c r="L432" s="85">
        <f>无限之旅!Y110</f>
        <v/>
      </c>
      <c r="M432" s="85">
        <f>L432/K432</f>
        <v/>
      </c>
      <c r="N432" t="inlineStr">
        <is>
          <t>等效进度估算</t>
        </is>
      </c>
    </row>
    <row r="433">
      <c r="A433" t="inlineStr">
        <is>
          <t>无限之旅</t>
        </is>
      </c>
      <c r="B433" t="inlineStr">
        <is>
          <t>难度4-层317</t>
        </is>
      </c>
      <c r="C433" t="n">
        <v>278</v>
      </c>
      <c r="D433" t="n">
        <v>500</v>
      </c>
      <c r="E433" t="n">
        <v>500</v>
      </c>
      <c r="F433" s="85">
        <f>无限之旅!K111</f>
        <v/>
      </c>
      <c r="G433" s="85">
        <f>无限之旅!L111</f>
        <v/>
      </c>
      <c r="H433" s="85" t="n">
        <v>424.687265902612</v>
      </c>
      <c r="I433" s="85">
        <f>无限之旅!X111</f>
        <v/>
      </c>
      <c r="J433" s="85">
        <f>I433/H433</f>
        <v/>
      </c>
      <c r="K433" s="85" t="n">
        <v>14.1613507310427</v>
      </c>
      <c r="L433" s="85">
        <f>无限之旅!Y111</f>
        <v/>
      </c>
      <c r="M433" s="85">
        <f>L433/K433</f>
        <v/>
      </c>
      <c r="N433" t="inlineStr">
        <is>
          <t>等效进度估算</t>
        </is>
      </c>
    </row>
    <row r="434">
      <c r="A434" t="inlineStr">
        <is>
          <t>无限之旅</t>
        </is>
      </c>
      <c r="B434" t="inlineStr">
        <is>
          <t>难度4-层318</t>
        </is>
      </c>
      <c r="C434" t="n">
        <v>278</v>
      </c>
      <c r="D434" t="n">
        <v>500</v>
      </c>
      <c r="E434" t="n">
        <v>500</v>
      </c>
      <c r="F434" s="85">
        <f>无限之旅!K112</f>
        <v/>
      </c>
      <c r="G434" s="85">
        <f>无限之旅!L112</f>
        <v/>
      </c>
      <c r="H434" s="85" t="n">
        <v>438.821944439408</v>
      </c>
      <c r="I434" s="85">
        <f>无限之旅!X112</f>
        <v/>
      </c>
      <c r="J434" s="85">
        <f>I434/H434</f>
        <v/>
      </c>
      <c r="K434" s="85" t="n">
        <v>13.8941554342305</v>
      </c>
      <c r="L434" s="85">
        <f>无限之旅!Y112</f>
        <v/>
      </c>
      <c r="M434" s="85">
        <f>L434/K434</f>
        <v/>
      </c>
      <c r="N434" t="inlineStr">
        <is>
          <t>等效进度估算</t>
        </is>
      </c>
    </row>
    <row r="435">
      <c r="A435" t="inlineStr">
        <is>
          <t>无限之旅</t>
        </is>
      </c>
      <c r="B435" t="inlineStr">
        <is>
          <t>难度4-层319</t>
        </is>
      </c>
      <c r="C435" t="n">
        <v>278</v>
      </c>
      <c r="D435" t="n">
        <v>500</v>
      </c>
      <c r="E435" t="n">
        <v>500</v>
      </c>
      <c r="F435" s="85">
        <f>无限之旅!K113</f>
        <v/>
      </c>
      <c r="G435" s="85">
        <f>无限之旅!L113</f>
        <v/>
      </c>
      <c r="H435" s="85" t="n">
        <v>453.181816022656</v>
      </c>
      <c r="I435" s="85">
        <f>无限之旅!X113</f>
        <v/>
      </c>
      <c r="J435" s="85">
        <f>I435/H435</f>
        <v/>
      </c>
      <c r="K435" s="85" t="n">
        <v>13.6368562595226</v>
      </c>
      <c r="L435" s="85">
        <f>无限之旅!Y113</f>
        <v/>
      </c>
      <c r="M435" s="85">
        <f>L435/K435</f>
        <v/>
      </c>
      <c r="N435" t="inlineStr">
        <is>
          <t>等效进度估算</t>
        </is>
      </c>
    </row>
    <row r="436">
      <c r="A436" t="inlineStr">
        <is>
          <t>无限之旅</t>
        </is>
      </c>
      <c r="B436" t="inlineStr">
        <is>
          <t>难度4-层320</t>
        </is>
      </c>
      <c r="C436" t="n">
        <v>278</v>
      </c>
      <c r="D436" t="n">
        <v>500</v>
      </c>
      <c r="E436" t="n">
        <v>500</v>
      </c>
      <c r="F436" s="85">
        <f>无限之旅!K114</f>
        <v/>
      </c>
      <c r="G436" s="85">
        <f>无限之旅!L114</f>
        <v/>
      </c>
      <c r="H436" s="85" t="n">
        <v>467.766880652355</v>
      </c>
      <c r="I436" s="85">
        <f>无限之旅!X114</f>
        <v/>
      </c>
      <c r="J436" s="85">
        <f>I436/H436</f>
        <v/>
      </c>
      <c r="K436" s="85" t="n">
        <v>13.3889134184403</v>
      </c>
      <c r="L436" s="85">
        <f>无限之旅!Y114</f>
        <v/>
      </c>
      <c r="M436" s="85">
        <f>L436/K436</f>
        <v/>
      </c>
      <c r="N436" t="inlineStr">
        <is>
          <t>等效进度估算</t>
        </is>
      </c>
    </row>
    <row r="437">
      <c r="A437" t="inlineStr">
        <is>
          <t>无限之旅</t>
        </is>
      </c>
      <c r="B437" t="inlineStr">
        <is>
          <t>难度4-层321</t>
        </is>
      </c>
      <c r="C437" t="n">
        <v>278</v>
      </c>
      <c r="D437" t="n">
        <v>500</v>
      </c>
      <c r="E437" t="n">
        <v>500</v>
      </c>
      <c r="F437" s="85">
        <f>无限之旅!K115</f>
        <v/>
      </c>
      <c r="G437" s="85">
        <f>无限之旅!L115</f>
        <v/>
      </c>
      <c r="H437" s="85" t="n">
        <v>490.066714559002</v>
      </c>
      <c r="I437" s="85">
        <f>无限之旅!X115</f>
        <v/>
      </c>
      <c r="J437" s="85">
        <f>I437/H437</f>
        <v/>
      </c>
      <c r="K437" s="85" t="n">
        <v>13.0334555400747</v>
      </c>
      <c r="L437" s="85">
        <f>无限之旅!Y115</f>
        <v/>
      </c>
      <c r="M437" s="85">
        <f>L437/K437</f>
        <v/>
      </c>
      <c r="N437" t="inlineStr">
        <is>
          <t>等效进度估算</t>
        </is>
      </c>
    </row>
    <row r="438">
      <c r="A438" t="inlineStr">
        <is>
          <t>无限之旅</t>
        </is>
      </c>
      <c r="B438" t="inlineStr">
        <is>
          <t>难度4-层322</t>
        </is>
      </c>
      <c r="C438" t="n">
        <v>278</v>
      </c>
      <c r="D438" t="n">
        <v>500</v>
      </c>
      <c r="E438" t="n">
        <v>500</v>
      </c>
      <c r="F438" s="85">
        <f>无限之旅!K116</f>
        <v/>
      </c>
      <c r="G438" s="85">
        <f>无限之旅!L116</f>
        <v/>
      </c>
      <c r="H438" s="85" t="n">
        <v>505.214761804831</v>
      </c>
      <c r="I438" s="85">
        <f>无限之旅!X116</f>
        <v/>
      </c>
      <c r="J438" s="85">
        <f>I438/H438</f>
        <v/>
      </c>
      <c r="K438" s="85" t="n">
        <v>12.8067867480734</v>
      </c>
      <c r="L438" s="85">
        <f>无限之旅!Y116</f>
        <v/>
      </c>
      <c r="M438" s="85">
        <f>L438/K438</f>
        <v/>
      </c>
      <c r="N438" t="inlineStr">
        <is>
          <t>等效进度估算</t>
        </is>
      </c>
    </row>
    <row r="439">
      <c r="A439" t="inlineStr">
        <is>
          <t>无限之旅</t>
        </is>
      </c>
      <c r="B439" t="inlineStr">
        <is>
          <t>难度4-层323</t>
        </is>
      </c>
      <c r="C439" t="n">
        <v>278</v>
      </c>
      <c r="D439" t="n">
        <v>500</v>
      </c>
      <c r="E439" t="n">
        <v>500</v>
      </c>
      <c r="F439" s="85">
        <f>无限之旅!K117</f>
        <v/>
      </c>
      <c r="G439" s="85">
        <f>无限之旅!L117</f>
        <v/>
      </c>
      <c r="H439" s="85" t="n">
        <v>520.588002097113</v>
      </c>
      <c r="I439" s="85">
        <f>无限之旅!X117</f>
        <v/>
      </c>
      <c r="J439" s="85">
        <f>I439/H439</f>
        <v/>
      </c>
      <c r="K439" s="85" t="n">
        <v>12.5878673164824</v>
      </c>
      <c r="L439" s="85">
        <f>无限之旅!Y117</f>
        <v/>
      </c>
      <c r="M439" s="85">
        <f>L439/K439</f>
        <v/>
      </c>
      <c r="N439" t="inlineStr">
        <is>
          <t>等效进度估算</t>
        </is>
      </c>
    </row>
    <row r="440">
      <c r="A440" t="inlineStr">
        <is>
          <t>无限之旅</t>
        </is>
      </c>
      <c r="B440" t="inlineStr">
        <is>
          <t>难度4-层324</t>
        </is>
      </c>
      <c r="C440" t="n">
        <v>278</v>
      </c>
      <c r="D440" t="n">
        <v>500</v>
      </c>
      <c r="E440" t="n">
        <v>500</v>
      </c>
      <c r="F440" s="85">
        <f>无限之旅!K118</f>
        <v/>
      </c>
      <c r="G440" s="85">
        <f>无限之旅!L118</f>
        <v/>
      </c>
      <c r="H440" s="85" t="n">
        <v>544.070099497632</v>
      </c>
      <c r="I440" s="85">
        <f>无限之旅!X118</f>
        <v/>
      </c>
      <c r="J440" s="85">
        <f>I440/H440</f>
        <v/>
      </c>
      <c r="K440" s="85" t="n">
        <v>12.2731706335703</v>
      </c>
      <c r="L440" s="85">
        <f>无限之旅!Y118</f>
        <v/>
      </c>
      <c r="M440" s="85">
        <f>L440/K440</f>
        <v/>
      </c>
      <c r="N440" t="inlineStr">
        <is>
          <t>等效进度估算</t>
        </is>
      </c>
    </row>
    <row r="441">
      <c r="A441" t="inlineStr">
        <is>
          <t>无限之旅</t>
        </is>
      </c>
      <c r="B441" t="inlineStr">
        <is>
          <t>难度4-层325</t>
        </is>
      </c>
      <c r="C441" t="n">
        <v>278</v>
      </c>
      <c r="D441" t="n">
        <v>500</v>
      </c>
      <c r="E441" t="n">
        <v>500</v>
      </c>
      <c r="F441" s="85">
        <f>无限之旅!K119</f>
        <v/>
      </c>
      <c r="G441" s="85">
        <f>无限之旅!L119</f>
        <v/>
      </c>
      <c r="H441" s="85" t="n">
        <v>560.006322406044</v>
      </c>
      <c r="I441" s="85">
        <f>无限之旅!X119</f>
        <v/>
      </c>
      <c r="J441" s="85">
        <f>I441/H441</f>
        <v/>
      </c>
      <c r="K441" s="85" t="n">
        <v>12.0719711149872</v>
      </c>
      <c r="L441" s="85">
        <f>无限之旅!Y119</f>
        <v/>
      </c>
      <c r="M441" s="85">
        <f>L441/K441</f>
        <v/>
      </c>
      <c r="N441" t="inlineStr">
        <is>
          <t>等效进度估算</t>
        </is>
      </c>
    </row>
    <row r="442">
      <c r="A442" t="inlineStr">
        <is>
          <t>无限之旅</t>
        </is>
      </c>
      <c r="B442" t="inlineStr">
        <is>
          <t>难度4-层326</t>
        </is>
      </c>
      <c r="C442" t="n">
        <v>278</v>
      </c>
      <c r="D442" t="n">
        <v>500</v>
      </c>
      <c r="E442" t="n">
        <v>500</v>
      </c>
      <c r="F442" s="85">
        <f>无限之旅!K120</f>
        <v/>
      </c>
      <c r="G442" s="85">
        <f>无限之旅!L120</f>
        <v/>
      </c>
      <c r="H442" s="85" t="n">
        <v>573.386812321149</v>
      </c>
      <c r="I442" s="85">
        <f>无限之旅!X120</f>
        <v/>
      </c>
      <c r="J442" s="85">
        <f>I442/H442</f>
        <v/>
      </c>
      <c r="K442" s="85" t="n">
        <v>11.8772619034551</v>
      </c>
      <c r="L442" s="85">
        <f>无限之旅!Y120</f>
        <v/>
      </c>
      <c r="M442" s="85">
        <f>L442/K442</f>
        <v/>
      </c>
      <c r="N442" t="inlineStr">
        <is>
          <t>等效进度估算</t>
        </is>
      </c>
    </row>
    <row r="443">
      <c r="A443" t="inlineStr">
        <is>
          <t>无限之旅</t>
        </is>
      </c>
      <c r="B443" t="inlineStr">
        <is>
          <t>难度4-层327</t>
        </is>
      </c>
      <c r="C443" t="n">
        <v>278</v>
      </c>
      <c r="D443" t="n">
        <v>500</v>
      </c>
      <c r="E443" t="n">
        <v>500</v>
      </c>
      <c r="F443" s="85">
        <f>无限之旅!K121</f>
        <v/>
      </c>
      <c r="G443" s="85">
        <f>无限之旅!L121</f>
        <v/>
      </c>
      <c r="H443" s="85" t="n">
        <v>587.259073909564</v>
      </c>
      <c r="I443" s="85">
        <f>无限之旅!X121</f>
        <v/>
      </c>
      <c r="J443" s="85">
        <f>I443/H443</f>
        <v/>
      </c>
      <c r="K443" s="85" t="n">
        <v>11.5966966616412</v>
      </c>
      <c r="L443" s="85">
        <f>无限之旅!Y121</f>
        <v/>
      </c>
      <c r="M443" s="85">
        <f>L443/K443</f>
        <v/>
      </c>
      <c r="N443" t="inlineStr">
        <is>
          <t>等效进度估算</t>
        </is>
      </c>
    </row>
    <row r="444">
      <c r="A444" t="inlineStr">
        <is>
          <t>无限之旅</t>
        </is>
      </c>
      <c r="B444" t="inlineStr">
        <is>
          <t>难度4-层328</t>
        </is>
      </c>
      <c r="C444" t="n">
        <v>278</v>
      </c>
      <c r="D444" t="n">
        <v>500</v>
      </c>
      <c r="E444" t="n">
        <v>500</v>
      </c>
      <c r="F444" s="85">
        <f>无限之旅!K122</f>
        <v/>
      </c>
      <c r="G444" s="85">
        <f>无限之旅!L122</f>
        <v/>
      </c>
      <c r="H444" s="85" t="n">
        <v>596.5072483018409</v>
      </c>
      <c r="I444" s="85">
        <f>无限之旅!X122</f>
        <v/>
      </c>
      <c r="J444" s="85">
        <f>I444/H444</f>
        <v/>
      </c>
      <c r="K444" s="85" t="n">
        <v>11.4169029149491</v>
      </c>
      <c r="L444" s="85">
        <f>无限之旅!Y122</f>
        <v/>
      </c>
      <c r="M444" s="85">
        <f>L444/K444</f>
        <v/>
      </c>
      <c r="N444" t="inlineStr">
        <is>
          <t>等效进度估算</t>
        </is>
      </c>
    </row>
    <row r="445">
      <c r="A445" t="inlineStr">
        <is>
          <t>无限之旅</t>
        </is>
      </c>
      <c r="B445" t="inlineStr">
        <is>
          <t>难度4-层329</t>
        </is>
      </c>
      <c r="C445" t="n">
        <v>278</v>
      </c>
      <c r="D445" t="n">
        <v>500</v>
      </c>
      <c r="E445" t="n">
        <v>500</v>
      </c>
      <c r="F445" s="85">
        <f>无限之旅!K123</f>
        <v/>
      </c>
      <c r="G445" s="85">
        <f>无限之旅!L123</f>
        <v/>
      </c>
      <c r="H445" s="85" t="n">
        <v>610.379509890256</v>
      </c>
      <c r="I445" s="85">
        <f>无限之旅!X123</f>
        <v/>
      </c>
      <c r="J445" s="85">
        <f>I445/H445</f>
        <v/>
      </c>
      <c r="K445" s="85" t="n">
        <v>11.1574278487003</v>
      </c>
      <c r="L445" s="85">
        <f>无限之旅!Y123</f>
        <v/>
      </c>
      <c r="M445" s="85">
        <f>L445/K445</f>
        <v/>
      </c>
      <c r="N445" t="inlineStr">
        <is>
          <t>等效进度估算</t>
        </is>
      </c>
    </row>
    <row r="446">
      <c r="A446" t="inlineStr">
        <is>
          <t>无限之旅</t>
        </is>
      </c>
      <c r="B446" t="inlineStr">
        <is>
          <t>难度4-层330</t>
        </is>
      </c>
      <c r="C446" t="n">
        <v>278</v>
      </c>
      <c r="D446" t="n">
        <v>500</v>
      </c>
      <c r="E446" t="n">
        <v>500</v>
      </c>
      <c r="F446" s="85">
        <f>无限之旅!K124</f>
        <v/>
      </c>
      <c r="G446" s="85">
        <f>无限之旅!L124</f>
        <v/>
      </c>
      <c r="H446" s="85" t="n">
        <v>624.251771478671</v>
      </c>
      <c r="I446" s="85">
        <f>无限之旅!X124</f>
        <v/>
      </c>
      <c r="J446" s="85">
        <f>I446/H446</f>
        <v/>
      </c>
      <c r="K446" s="85" t="n">
        <v>10.909485007618</v>
      </c>
      <c r="L446" s="85">
        <f>无限之旅!Y124</f>
        <v/>
      </c>
      <c r="M446" s="85">
        <f>L446/K446</f>
        <v/>
      </c>
      <c r="N446" t="inlineStr">
        <is>
          <t>等效进度估算</t>
        </is>
      </c>
    </row>
    <row r="447">
      <c r="A447" t="inlineStr">
        <is>
          <t>其他战斗玩法</t>
        </is>
      </c>
      <c r="B447" t="inlineStr">
        <is>
          <t>雪怪王 难度1</t>
        </is>
      </c>
      <c r="C447" t="n">
        <v>53</v>
      </c>
      <c r="D447" t="n">
        <v>120</v>
      </c>
      <c r="E447" t="n">
        <v>98</v>
      </c>
      <c r="F447" s="85">
        <f>其他战斗玩法!K5</f>
        <v/>
      </c>
      <c r="G447" s="85">
        <f>其他战斗玩法!L5</f>
        <v/>
      </c>
      <c r="H447" s="85" t="n">
        <v>35.9270793257236</v>
      </c>
      <c r="I447" s="85">
        <f>其他战斗玩法!X5</f>
        <v/>
      </c>
      <c r="J447" s="85">
        <f>I447/H447</f>
        <v/>
      </c>
      <c r="K447" s="85" t="n">
        <v>43.3946544649266</v>
      </c>
      <c r="L447" s="85">
        <f>其他战斗玩法!Y5</f>
        <v/>
      </c>
      <c r="M447" s="85">
        <f>L447/K447</f>
        <v/>
      </c>
      <c r="N447" t="inlineStr">
        <is>
          <t>等效进度估算</t>
        </is>
      </c>
    </row>
    <row r="448">
      <c r="A448" t="inlineStr">
        <is>
          <t>其他战斗玩法</t>
        </is>
      </c>
      <c r="B448" t="inlineStr">
        <is>
          <t>莫尔拉 难度1</t>
        </is>
      </c>
      <c r="C448" t="n">
        <v>53</v>
      </c>
      <c r="D448" t="n">
        <v>120</v>
      </c>
      <c r="E448" t="n">
        <v>98</v>
      </c>
      <c r="F448" s="85">
        <f>其他战斗玩法!K6</f>
        <v/>
      </c>
      <c r="G448" s="85">
        <f>其他战斗玩法!L6</f>
        <v/>
      </c>
      <c r="H448" s="85" t="n">
        <v>35.9270793257236</v>
      </c>
      <c r="I448" s="85">
        <f>其他战斗玩法!X6</f>
        <v/>
      </c>
      <c r="J448" s="85">
        <f>I448/H448</f>
        <v/>
      </c>
      <c r="K448" s="85" t="n">
        <v>43.3946544649266</v>
      </c>
      <c r="L448" s="85">
        <f>其他战斗玩法!Y6</f>
        <v/>
      </c>
      <c r="M448" s="85">
        <f>L448/K448</f>
        <v/>
      </c>
      <c r="N448" t="inlineStr">
        <is>
          <t>等效进度估算</t>
        </is>
      </c>
    </row>
    <row r="449">
      <c r="A449" t="inlineStr">
        <is>
          <t>其他战斗玩法</t>
        </is>
      </c>
      <c r="B449" t="inlineStr">
        <is>
          <t>雪怪王 难度2</t>
        </is>
      </c>
      <c r="C449" t="n">
        <v>64</v>
      </c>
      <c r="D449" t="n">
        <v>140</v>
      </c>
      <c r="E449" t="n">
        <v>115</v>
      </c>
      <c r="F449" s="85">
        <f>其他战斗玩法!K7</f>
        <v/>
      </c>
      <c r="G449" s="85">
        <f>其他战斗玩法!L7</f>
        <v/>
      </c>
      <c r="H449" s="85" t="n">
        <v>36.3073932234264</v>
      </c>
      <c r="I449" s="85">
        <f>其他战斗玩法!X7</f>
        <v/>
      </c>
      <c r="J449" s="85">
        <f>I449/H449</f>
        <v/>
      </c>
      <c r="K449" s="85" t="n">
        <v>45.4112888721346</v>
      </c>
      <c r="L449" s="85">
        <f>其他战斗玩法!Y7</f>
        <v/>
      </c>
      <c r="M449" s="85">
        <f>L449/K449</f>
        <v/>
      </c>
      <c r="N449" t="inlineStr">
        <is>
          <t>等效进度估算</t>
        </is>
      </c>
    </row>
    <row r="450">
      <c r="A450" t="inlineStr">
        <is>
          <t>其他战斗玩法</t>
        </is>
      </c>
      <c r="B450" t="inlineStr">
        <is>
          <t>莫尔拉 难度2</t>
        </is>
      </c>
      <c r="C450" t="n">
        <v>64</v>
      </c>
      <c r="D450" t="n">
        <v>140</v>
      </c>
      <c r="E450" t="n">
        <v>115</v>
      </c>
      <c r="F450" s="85">
        <f>其他战斗玩法!K8</f>
        <v/>
      </c>
      <c r="G450" s="85">
        <f>其他战斗玩法!L8</f>
        <v/>
      </c>
      <c r="H450" s="85" t="n">
        <v>36.3073932234264</v>
      </c>
      <c r="I450" s="85">
        <f>其他战斗玩法!X8</f>
        <v/>
      </c>
      <c r="J450" s="85">
        <f>I450/H450</f>
        <v/>
      </c>
      <c r="K450" s="85" t="n">
        <v>45.4112888721346</v>
      </c>
      <c r="L450" s="85">
        <f>其他战斗玩法!Y8</f>
        <v/>
      </c>
      <c r="M450" s="85">
        <f>L450/K450</f>
        <v/>
      </c>
      <c r="N450" t="inlineStr">
        <is>
          <t>等效进度估算</t>
        </is>
      </c>
    </row>
    <row r="451">
      <c r="A451" t="inlineStr">
        <is>
          <t>其他战斗玩法</t>
        </is>
      </c>
      <c r="B451" t="inlineStr">
        <is>
          <t>雪怪王 难度3</t>
        </is>
      </c>
      <c r="C451" t="n">
        <v>74</v>
      </c>
      <c r="D451" t="n">
        <v>160</v>
      </c>
      <c r="E451" t="n">
        <v>132</v>
      </c>
      <c r="F451" s="85">
        <f>其他战斗玩法!K9</f>
        <v/>
      </c>
      <c r="G451" s="85">
        <f>其他战斗玩法!L9</f>
        <v/>
      </c>
      <c r="H451" s="85" t="n">
        <v>36.7512501798507</v>
      </c>
      <c r="I451" s="85">
        <f>其他战斗玩法!X9</f>
        <v/>
      </c>
      <c r="J451" s="85">
        <f>I451/H451</f>
        <v/>
      </c>
      <c r="K451" s="85" t="n">
        <v>49.0418556679711</v>
      </c>
      <c r="L451" s="85">
        <f>其他战斗玩法!Y9</f>
        <v/>
      </c>
      <c r="M451" s="85">
        <f>L451/K451</f>
        <v/>
      </c>
      <c r="N451" t="inlineStr">
        <is>
          <t>等效进度估算</t>
        </is>
      </c>
    </row>
    <row r="452">
      <c r="A452" t="inlineStr">
        <is>
          <t>其他战斗玩法</t>
        </is>
      </c>
      <c r="B452" t="inlineStr">
        <is>
          <t>莫尔拉 难度3</t>
        </is>
      </c>
      <c r="C452" t="n">
        <v>74</v>
      </c>
      <c r="D452" t="n">
        <v>160</v>
      </c>
      <c r="E452" t="n">
        <v>132</v>
      </c>
      <c r="F452" s="85">
        <f>其他战斗玩法!K10</f>
        <v/>
      </c>
      <c r="G452" s="85">
        <f>其他战斗玩法!L10</f>
        <v/>
      </c>
      <c r="H452" s="85" t="n">
        <v>36.7512501798507</v>
      </c>
      <c r="I452" s="85">
        <f>其他战斗玩法!X10</f>
        <v/>
      </c>
      <c r="J452" s="85">
        <f>I452/H452</f>
        <v/>
      </c>
      <c r="K452" s="85" t="n">
        <v>49.0418556679711</v>
      </c>
      <c r="L452" s="85">
        <f>其他战斗玩法!Y10</f>
        <v/>
      </c>
      <c r="M452" s="85">
        <f>L452/K452</f>
        <v/>
      </c>
      <c r="N452" t="inlineStr">
        <is>
          <t>等效进度估算</t>
        </is>
      </c>
    </row>
    <row r="453">
      <c r="A453" t="inlineStr">
        <is>
          <t>其他战斗玩法</t>
        </is>
      </c>
      <c r="B453" t="inlineStr">
        <is>
          <t>雪怪王 难度4</t>
        </is>
      </c>
      <c r="C453" t="n">
        <v>87</v>
      </c>
      <c r="D453" t="n">
        <v>180</v>
      </c>
      <c r="E453" t="n">
        <v>149</v>
      </c>
      <c r="F453" s="85">
        <f>其他战斗玩法!K11</f>
        <v/>
      </c>
      <c r="G453" s="85">
        <f>其他战斗玩法!L11</f>
        <v/>
      </c>
      <c r="H453" s="85" t="n">
        <v>36.9876182383789</v>
      </c>
      <c r="I453" s="85">
        <f>其他战斗玩法!X11</f>
        <v/>
      </c>
      <c r="J453" s="85">
        <f>I453/H453</f>
        <v/>
      </c>
      <c r="K453" s="85" t="n">
        <v>52.6616471887537</v>
      </c>
      <c r="L453" s="85">
        <f>其他战斗玩法!Y11</f>
        <v/>
      </c>
      <c r="M453" s="85">
        <f>L453/K453</f>
        <v/>
      </c>
      <c r="N453" t="inlineStr">
        <is>
          <t>等效进度估算</t>
        </is>
      </c>
    </row>
    <row r="454">
      <c r="A454" t="inlineStr">
        <is>
          <t>其他战斗玩法</t>
        </is>
      </c>
      <c r="B454" t="inlineStr">
        <is>
          <t>莫尔拉 难度4</t>
        </is>
      </c>
      <c r="C454" t="n">
        <v>87</v>
      </c>
      <c r="D454" t="n">
        <v>180</v>
      </c>
      <c r="E454" t="n">
        <v>149</v>
      </c>
      <c r="F454" s="85">
        <f>其他战斗玩法!K12</f>
        <v/>
      </c>
      <c r="G454" s="85">
        <f>其他战斗玩法!L12</f>
        <v/>
      </c>
      <c r="H454" s="85" t="n">
        <v>36.9876182383789</v>
      </c>
      <c r="I454" s="85">
        <f>其他战斗玩法!X12</f>
        <v/>
      </c>
      <c r="J454" s="85">
        <f>I454/H454</f>
        <v/>
      </c>
      <c r="K454" s="85" t="n">
        <v>52.6616471887537</v>
      </c>
      <c r="L454" s="85">
        <f>其他战斗玩法!Y12</f>
        <v/>
      </c>
      <c r="M454" s="85">
        <f>L454/K454</f>
        <v/>
      </c>
      <c r="N454" t="inlineStr">
        <is>
          <t>等效进度估算</t>
        </is>
      </c>
    </row>
    <row r="455">
      <c r="A455" t="inlineStr">
        <is>
          <t>其他战斗玩法</t>
        </is>
      </c>
      <c r="B455" t="inlineStr">
        <is>
          <t>雪怪王 难度5</t>
        </is>
      </c>
      <c r="C455" t="n">
        <v>102</v>
      </c>
      <c r="D455" t="n">
        <v>200</v>
      </c>
      <c r="E455" t="n">
        <v>166</v>
      </c>
      <c r="F455" s="85">
        <f>其他战斗玩法!K13</f>
        <v/>
      </c>
      <c r="G455" s="85">
        <f>其他战斗玩法!L13</f>
        <v/>
      </c>
      <c r="H455" s="85" t="n">
        <v>37.8844814031346</v>
      </c>
      <c r="I455" s="85">
        <f>其他战斗玩法!X13</f>
        <v/>
      </c>
      <c r="J455" s="85">
        <f>I455/H455</f>
        <v/>
      </c>
      <c r="K455" s="85" t="n">
        <v>54.9321813275553</v>
      </c>
      <c r="L455" s="85">
        <f>其他战斗玩法!Y13</f>
        <v/>
      </c>
      <c r="M455" s="85">
        <f>L455/K455</f>
        <v/>
      </c>
      <c r="N455" t="inlineStr">
        <is>
          <t>等效进度估算</t>
        </is>
      </c>
    </row>
    <row r="456">
      <c r="A456" t="inlineStr">
        <is>
          <t>其他战斗玩法</t>
        </is>
      </c>
      <c r="B456" t="inlineStr">
        <is>
          <t>莫尔拉 难度5</t>
        </is>
      </c>
      <c r="C456" t="n">
        <v>102</v>
      </c>
      <c r="D456" t="n">
        <v>200</v>
      </c>
      <c r="E456" t="n">
        <v>166</v>
      </c>
      <c r="F456" s="85">
        <f>其他战斗玩法!K14</f>
        <v/>
      </c>
      <c r="G456" s="85">
        <f>其他战斗玩法!L14</f>
        <v/>
      </c>
      <c r="H456" s="85" t="n">
        <v>37.8844814031346</v>
      </c>
      <c r="I456" s="85">
        <f>其他战斗玩法!X14</f>
        <v/>
      </c>
      <c r="J456" s="85">
        <f>I456/H456</f>
        <v/>
      </c>
      <c r="K456" s="85" t="n">
        <v>54.9321813275553</v>
      </c>
      <c r="L456" s="85">
        <f>其他战斗玩法!Y14</f>
        <v/>
      </c>
      <c r="M456" s="85">
        <f>L456/K456</f>
        <v/>
      </c>
      <c r="N456" t="inlineStr">
        <is>
          <t>等效进度估算</t>
        </is>
      </c>
    </row>
    <row r="457">
      <c r="A457" t="inlineStr">
        <is>
          <t>其他战斗玩法</t>
        </is>
      </c>
      <c r="B457" t="inlineStr">
        <is>
          <t>雪怪王 难度6</t>
        </is>
      </c>
      <c r="C457" t="n">
        <v>123</v>
      </c>
      <c r="D457" t="n">
        <v>230</v>
      </c>
      <c r="E457" t="n">
        <v>195</v>
      </c>
      <c r="F457" s="85">
        <f>其他战斗玩法!K15</f>
        <v/>
      </c>
      <c r="G457" s="85">
        <f>其他战斗玩法!L15</f>
        <v/>
      </c>
      <c r="H457" s="85" t="n">
        <v>38.2610103506263</v>
      </c>
      <c r="I457" s="85">
        <f>其他战斗玩法!X15</f>
        <v/>
      </c>
      <c r="J457" s="85">
        <f>I457/H457</f>
        <v/>
      </c>
      <c r="K457" s="85" t="n">
        <v>56.9439825067522</v>
      </c>
      <c r="L457" s="85">
        <f>其他战斗玩法!Y15</f>
        <v/>
      </c>
      <c r="M457" s="85">
        <f>L457/K457</f>
        <v/>
      </c>
      <c r="N457" t="inlineStr">
        <is>
          <t>等效进度估算</t>
        </is>
      </c>
    </row>
    <row r="458">
      <c r="A458" t="inlineStr">
        <is>
          <t>其他战斗玩法</t>
        </is>
      </c>
      <c r="B458" t="inlineStr">
        <is>
          <t>莫尔拉 难度6</t>
        </is>
      </c>
      <c r="C458" t="n">
        <v>123</v>
      </c>
      <c r="D458" t="n">
        <v>230</v>
      </c>
      <c r="E458" t="n">
        <v>195</v>
      </c>
      <c r="F458" s="85">
        <f>其他战斗玩法!K16</f>
        <v/>
      </c>
      <c r="G458" s="85">
        <f>其他战斗玩法!L16</f>
        <v/>
      </c>
      <c r="H458" s="85" t="n">
        <v>38.2610103506263</v>
      </c>
      <c r="I458" s="85">
        <f>其他战斗玩法!X16</f>
        <v/>
      </c>
      <c r="J458" s="85">
        <f>I458/H458</f>
        <v/>
      </c>
      <c r="K458" s="85" t="n">
        <v>56.9439825067522</v>
      </c>
      <c r="L458" s="85">
        <f>其他战斗玩法!Y16</f>
        <v/>
      </c>
      <c r="M458" s="85">
        <f>L458/K458</f>
        <v/>
      </c>
      <c r="N458" t="inlineStr">
        <is>
          <t>等效进度估算</t>
        </is>
      </c>
    </row>
    <row r="459">
      <c r="A459" t="inlineStr">
        <is>
          <t>其他战斗玩法</t>
        </is>
      </c>
      <c r="B459" t="inlineStr">
        <is>
          <t>雪怪王 难度7</t>
        </is>
      </c>
      <c r="C459" t="n">
        <v>155</v>
      </c>
      <c r="D459" t="n">
        <v>260</v>
      </c>
      <c r="E459" t="n">
        <v>230</v>
      </c>
      <c r="F459" s="85">
        <f>其他战斗玩法!K17</f>
        <v/>
      </c>
      <c r="G459" s="85">
        <f>其他战斗玩法!L17</f>
        <v/>
      </c>
      <c r="H459" s="85" t="n">
        <v>40.1908286134743</v>
      </c>
      <c r="I459" s="85">
        <f>其他战斗玩法!X17</f>
        <v/>
      </c>
      <c r="J459" s="85">
        <f>I459/H459</f>
        <v/>
      </c>
      <c r="K459" s="85" t="n">
        <v>57.0338932710357</v>
      </c>
      <c r="L459" s="85">
        <f>其他战斗玩法!Y17</f>
        <v/>
      </c>
      <c r="M459" s="85">
        <f>L459/K459</f>
        <v/>
      </c>
      <c r="N459" t="inlineStr">
        <is>
          <t>等效进度估算</t>
        </is>
      </c>
    </row>
    <row r="460">
      <c r="A460" t="inlineStr">
        <is>
          <t>其他战斗玩法</t>
        </is>
      </c>
      <c r="B460" t="inlineStr">
        <is>
          <t>莫尔拉 难度7</t>
        </is>
      </c>
      <c r="C460" t="n">
        <v>155</v>
      </c>
      <c r="D460" t="n">
        <v>260</v>
      </c>
      <c r="E460" t="n">
        <v>230</v>
      </c>
      <c r="F460" s="85">
        <f>其他战斗玩法!K18</f>
        <v/>
      </c>
      <c r="G460" s="85">
        <f>其他战斗玩法!L18</f>
        <v/>
      </c>
      <c r="H460" s="85" t="n">
        <v>40.1908286134743</v>
      </c>
      <c r="I460" s="85">
        <f>其他战斗玩法!X18</f>
        <v/>
      </c>
      <c r="J460" s="85">
        <f>I460/H460</f>
        <v/>
      </c>
      <c r="K460" s="85" t="n">
        <v>57.0338932710357</v>
      </c>
      <c r="L460" s="85">
        <f>其他战斗玩法!Y18</f>
        <v/>
      </c>
      <c r="M460" s="85">
        <f>L460/K460</f>
        <v/>
      </c>
      <c r="N460" t="inlineStr">
        <is>
          <t>等效进度估算</t>
        </is>
      </c>
    </row>
    <row r="461">
      <c r="A461" t="inlineStr">
        <is>
          <t>其他战斗玩法</t>
        </is>
      </c>
      <c r="B461" t="inlineStr">
        <is>
          <t>雪怪王 难度8</t>
        </is>
      </c>
      <c r="C461" t="n">
        <v>214</v>
      </c>
      <c r="D461" t="n">
        <v>290</v>
      </c>
      <c r="E461" t="n">
        <v>277</v>
      </c>
      <c r="F461" s="85">
        <f>其他战斗玩法!K19</f>
        <v/>
      </c>
      <c r="G461" s="85">
        <f>其他战斗玩法!L19</f>
        <v/>
      </c>
      <c r="H461" s="85" t="n">
        <v>45.3496314351031</v>
      </c>
      <c r="I461" s="85">
        <f>其他战斗玩法!X19</f>
        <v/>
      </c>
      <c r="J461" s="85">
        <f>I461/H461</f>
        <v/>
      </c>
      <c r="K461" s="85" t="n">
        <v>54.2083816379589</v>
      </c>
      <c r="L461" s="85">
        <f>其他战斗玩法!Y19</f>
        <v/>
      </c>
      <c r="M461" s="85">
        <f>L461/K461</f>
        <v/>
      </c>
      <c r="N461" t="inlineStr">
        <is>
          <t>等效进度估算</t>
        </is>
      </c>
    </row>
    <row r="462">
      <c r="A462" t="inlineStr">
        <is>
          <t>其他战斗玩法</t>
        </is>
      </c>
      <c r="B462" t="inlineStr">
        <is>
          <t>莫尔拉 难度8</t>
        </is>
      </c>
      <c r="C462" t="n">
        <v>214</v>
      </c>
      <c r="D462" t="n">
        <v>290</v>
      </c>
      <c r="E462" t="n">
        <v>277</v>
      </c>
      <c r="F462" s="85">
        <f>其他战斗玩法!K20</f>
        <v/>
      </c>
      <c r="G462" s="85">
        <f>其他战斗玩法!L20</f>
        <v/>
      </c>
      <c r="H462" s="85" t="n">
        <v>45.3496314351031</v>
      </c>
      <c r="I462" s="85">
        <f>其他战斗玩法!X20</f>
        <v/>
      </c>
      <c r="J462" s="85">
        <f>I462/H462</f>
        <v/>
      </c>
      <c r="K462" s="85" t="n">
        <v>54.2083816379589</v>
      </c>
      <c r="L462" s="85">
        <f>其他战斗玩法!Y20</f>
        <v/>
      </c>
      <c r="M462" s="85">
        <f>L462/K462</f>
        <v/>
      </c>
      <c r="N462" t="inlineStr">
        <is>
          <t>等效进度估算</t>
        </is>
      </c>
    </row>
    <row r="463">
      <c r="A463" t="inlineStr">
        <is>
          <t>其他战斗玩法</t>
        </is>
      </c>
      <c r="B463" t="inlineStr">
        <is>
          <t>雪怪王 难度9</t>
        </is>
      </c>
      <c r="C463" t="n">
        <v>278</v>
      </c>
      <c r="D463" t="n">
        <v>320</v>
      </c>
      <c r="E463" t="n">
        <v>329</v>
      </c>
      <c r="F463" s="85">
        <f>其他战斗玩法!K21</f>
        <v/>
      </c>
      <c r="G463" s="85">
        <f>其他战斗玩法!L21</f>
        <v/>
      </c>
      <c r="H463" s="85" t="n">
        <v>60.2127783653</v>
      </c>
      <c r="I463" s="85">
        <f>其他战斗玩法!X21</f>
        <v/>
      </c>
      <c r="J463" s="85">
        <f>I463/H463</f>
        <v/>
      </c>
      <c r="K463" s="85" t="n">
        <v>45.9394857459197</v>
      </c>
      <c r="L463" s="85">
        <f>其他战斗玩法!Y21</f>
        <v/>
      </c>
      <c r="M463" s="85">
        <f>L463/K463</f>
        <v/>
      </c>
      <c r="N463" t="inlineStr">
        <is>
          <t>等效进度估算</t>
        </is>
      </c>
    </row>
    <row r="464">
      <c r="A464" t="inlineStr">
        <is>
          <t>其他战斗玩法</t>
        </is>
      </c>
      <c r="B464" t="inlineStr">
        <is>
          <t>莫尔拉 难度9</t>
        </is>
      </c>
      <c r="C464" t="n">
        <v>278</v>
      </c>
      <c r="D464" t="n">
        <v>320</v>
      </c>
      <c r="E464" t="n">
        <v>329</v>
      </c>
      <c r="F464" s="85">
        <f>其他战斗玩法!K22</f>
        <v/>
      </c>
      <c r="G464" s="85">
        <f>其他战斗玩法!L22</f>
        <v/>
      </c>
      <c r="H464" s="85" t="n">
        <v>60.2127783653</v>
      </c>
      <c r="I464" s="85">
        <f>其他战斗玩法!X22</f>
        <v/>
      </c>
      <c r="J464" s="85">
        <f>I464/H464</f>
        <v/>
      </c>
      <c r="K464" s="85" t="n">
        <v>45.9394857459197</v>
      </c>
      <c r="L464" s="85">
        <f>其他战斗玩法!Y22</f>
        <v/>
      </c>
      <c r="M464" s="85">
        <f>L464/K464</f>
        <v/>
      </c>
      <c r="N464" t="inlineStr">
        <is>
          <t>等效进度估算</t>
        </is>
      </c>
    </row>
    <row r="465">
      <c r="A465" t="inlineStr">
        <is>
          <t>其他战斗玩法</t>
        </is>
      </c>
      <c r="B465" t="inlineStr">
        <is>
          <t>雪怪王 难度10</t>
        </is>
      </c>
      <c r="C465" t="n">
        <v>278</v>
      </c>
      <c r="D465" t="n">
        <v>350</v>
      </c>
      <c r="E465" t="n">
        <v>360</v>
      </c>
      <c r="F465" s="85">
        <f>其他战斗玩法!K23</f>
        <v/>
      </c>
      <c r="G465" s="85">
        <f>其他战斗玩法!L23</f>
        <v/>
      </c>
      <c r="H465" s="85" t="n">
        <v>85.4412423689003</v>
      </c>
      <c r="I465" s="85">
        <f>其他战斗玩法!X23</f>
        <v/>
      </c>
      <c r="J465" s="85">
        <f>I465/H465</f>
        <v/>
      </c>
      <c r="K465" s="85" t="n">
        <v>37.0992958452631</v>
      </c>
      <c r="L465" s="85">
        <f>其他战斗玩法!Y23</f>
        <v/>
      </c>
      <c r="M465" s="85">
        <f>L465/K465</f>
        <v/>
      </c>
      <c r="N465" t="inlineStr">
        <is>
          <t>等效进度估算</t>
        </is>
      </c>
    </row>
    <row r="466">
      <c r="A466" t="inlineStr">
        <is>
          <t>其他战斗玩法</t>
        </is>
      </c>
      <c r="B466" t="inlineStr">
        <is>
          <t>莫尔拉 难度10</t>
        </is>
      </c>
      <c r="C466" t="n">
        <v>278</v>
      </c>
      <c r="D466" t="n">
        <v>350</v>
      </c>
      <c r="E466" t="n">
        <v>360</v>
      </c>
      <c r="F466" s="85">
        <f>其他战斗玩法!K24</f>
        <v/>
      </c>
      <c r="G466" s="85">
        <f>其他战斗玩法!L24</f>
        <v/>
      </c>
      <c r="H466" s="85" t="n">
        <v>85.4412423689003</v>
      </c>
      <c r="I466" s="85">
        <f>其他战斗玩法!X24</f>
        <v/>
      </c>
      <c r="J466" s="85">
        <f>I466/H466</f>
        <v/>
      </c>
      <c r="K466" s="85" t="n">
        <v>37.0992958452631</v>
      </c>
      <c r="L466" s="85">
        <f>其他战斗玩法!Y24</f>
        <v/>
      </c>
      <c r="M466" s="85">
        <f>L466/K466</f>
        <v/>
      </c>
      <c r="N466" t="inlineStr">
        <is>
          <t>等效进度估算</t>
        </is>
      </c>
    </row>
    <row r="467">
      <c r="A467" t="inlineStr">
        <is>
          <t>其他战斗玩法</t>
        </is>
      </c>
      <c r="B467" t="inlineStr">
        <is>
          <t>危机四伏</t>
        </is>
      </c>
      <c r="C467" t="n">
        <v>7</v>
      </c>
      <c r="D467" t="n">
        <v>14</v>
      </c>
      <c r="E467" t="n">
        <v>13</v>
      </c>
      <c r="F467" s="85">
        <f>其他战斗玩法!K25</f>
        <v/>
      </c>
      <c r="G467" s="85">
        <f>其他战斗玩法!L25</f>
        <v/>
      </c>
      <c r="H467" s="85" t="n">
        <v>0.382434921929684</v>
      </c>
      <c r="I467" s="85">
        <f>其他战斗玩法!X25</f>
        <v/>
      </c>
      <c r="J467" s="85">
        <f>I467/H467</f>
        <v/>
      </c>
      <c r="K467" s="85" t="n">
        <v>33.9887415275869</v>
      </c>
      <c r="L467" s="85">
        <f>其他战斗玩法!Y25</f>
        <v/>
      </c>
      <c r="M467" s="85">
        <f>L467/K467</f>
        <v/>
      </c>
      <c r="N467" t="inlineStr">
        <is>
          <t>等效进度估算</t>
        </is>
      </c>
    </row>
    <row r="468">
      <c r="A468" t="inlineStr">
        <is>
          <t>其他战斗玩法</t>
        </is>
      </c>
      <c r="B468" t="inlineStr">
        <is>
          <t>结伴同行</t>
        </is>
      </c>
      <c r="C468" t="n">
        <v>7</v>
      </c>
      <c r="D468" t="n">
        <v>15</v>
      </c>
      <c r="E468" t="n">
        <v>14</v>
      </c>
      <c r="F468" s="85">
        <f>其他战斗玩法!K26</f>
        <v/>
      </c>
      <c r="G468" s="85">
        <f>其他战斗玩法!L26</f>
        <v/>
      </c>
      <c r="H468" s="85" t="n">
        <v>0.418858868567819</v>
      </c>
      <c r="I468" s="85">
        <f>其他战斗玩法!X26</f>
        <v/>
      </c>
      <c r="J468" s="85">
        <f>I468/H468</f>
        <v/>
      </c>
      <c r="K468" s="85" t="n">
        <v>31.4757107307228</v>
      </c>
      <c r="L468" s="85">
        <f>其他战斗玩法!Y26</f>
        <v/>
      </c>
      <c r="M468" s="85">
        <f>L468/K468</f>
        <v/>
      </c>
      <c r="N468" t="inlineStr">
        <is>
          <t>等效进度估算</t>
        </is>
      </c>
    </row>
    <row r="469">
      <c r="A469" t="inlineStr">
        <is>
          <t>其他战斗玩法</t>
        </is>
      </c>
      <c r="B469" t="inlineStr">
        <is>
          <t>雪境聚落</t>
        </is>
      </c>
      <c r="C469" t="n">
        <v>11</v>
      </c>
      <c r="D469" t="n">
        <v>22</v>
      </c>
      <c r="E469" t="n">
        <v>20</v>
      </c>
      <c r="F469" s="85">
        <f>其他战斗玩法!K27</f>
        <v/>
      </c>
      <c r="G469" s="85">
        <f>其他战斗玩法!L27</f>
        <v/>
      </c>
      <c r="H469" s="85" t="n">
        <v>0.415937257137191</v>
      </c>
      <c r="I469" s="85">
        <f>其他战斗玩法!X27</f>
        <v/>
      </c>
      <c r="J469" s="85">
        <f>I469/H469</f>
        <v/>
      </c>
      <c r="K469" s="85" t="n">
        <v>34.8050626345015</v>
      </c>
      <c r="L469" s="85">
        <f>其他战斗玩法!Y27</f>
        <v/>
      </c>
      <c r="M469" s="85">
        <f>L469/K469</f>
        <v/>
      </c>
      <c r="N469" t="inlineStr">
        <is>
          <t>等效进度估算</t>
        </is>
      </c>
    </row>
    <row r="470">
      <c r="A470" t="inlineStr">
        <is>
          <t>其他战斗玩法</t>
        </is>
      </c>
      <c r="B470" t="inlineStr">
        <is>
          <t>战斗</t>
        </is>
      </c>
      <c r="C470" t="n">
        <v>11</v>
      </c>
      <c r="D470" t="n">
        <v>22</v>
      </c>
      <c r="E470" t="n">
        <v>20</v>
      </c>
      <c r="F470" s="85">
        <f>其他战斗玩法!K28</f>
        <v/>
      </c>
      <c r="G470" s="85">
        <f>其他战斗玩法!L28</f>
        <v/>
      </c>
      <c r="H470" s="85" t="n">
        <v>0.415937257137191</v>
      </c>
      <c r="I470" s="85">
        <f>其他战斗玩法!X28</f>
        <v/>
      </c>
      <c r="J470" s="85">
        <f>I470/H470</f>
        <v/>
      </c>
      <c r="K470" s="85" t="n">
        <v>34.8050626345015</v>
      </c>
      <c r="L470" s="85">
        <f>其他战斗玩法!Y28</f>
        <v/>
      </c>
      <c r="M470" s="85">
        <f>L470/K470</f>
        <v/>
      </c>
      <c r="N470" t="inlineStr">
        <is>
          <t>等效进度估算</t>
        </is>
      </c>
    </row>
    <row r="471">
      <c r="A471" t="inlineStr">
        <is>
          <t>其他战斗玩法</t>
        </is>
      </c>
      <c r="B471" t="inlineStr">
        <is>
          <t>战斗</t>
        </is>
      </c>
      <c r="C471" t="n">
        <v>11</v>
      </c>
      <c r="D471" t="n">
        <v>22</v>
      </c>
      <c r="E471" t="n">
        <v>20</v>
      </c>
      <c r="F471" s="85">
        <f>其他战斗玩法!K29</f>
        <v/>
      </c>
      <c r="G471" s="85">
        <f>其他战斗玩法!L29</f>
        <v/>
      </c>
      <c r="H471" s="85" t="n">
        <v>0.415937257137191</v>
      </c>
      <c r="I471" s="85">
        <f>其他战斗玩法!X29</f>
        <v/>
      </c>
      <c r="J471" s="85">
        <f>I471/H471</f>
        <v/>
      </c>
      <c r="K471" s="85" t="n">
        <v>34.8050626345015</v>
      </c>
      <c r="L471" s="85">
        <f>其他战斗玩法!Y29</f>
        <v/>
      </c>
      <c r="M471" s="85">
        <f>L471/K471</f>
        <v/>
      </c>
      <c r="N471" t="inlineStr">
        <is>
          <t>等效进度估算</t>
        </is>
      </c>
    </row>
    <row r="472">
      <c r="A472" t="inlineStr">
        <is>
          <t>其他战斗玩法</t>
        </is>
      </c>
      <c r="B472" t="inlineStr">
        <is>
          <t>战斗</t>
        </is>
      </c>
      <c r="C472" t="n">
        <v>11</v>
      </c>
      <c r="D472" t="n">
        <v>22</v>
      </c>
      <c r="E472" t="n">
        <v>20</v>
      </c>
      <c r="F472" s="85">
        <f>其他战斗玩法!K30</f>
        <v/>
      </c>
      <c r="G472" s="85">
        <f>其他战斗玩法!L30</f>
        <v/>
      </c>
      <c r="H472" s="85" t="n">
        <v>0.415937257137191</v>
      </c>
      <c r="I472" s="85">
        <f>其他战斗玩法!X30</f>
        <v/>
      </c>
      <c r="J472" s="85">
        <f>I472/H472</f>
        <v/>
      </c>
      <c r="K472" s="85" t="n">
        <v>34.8050626345015</v>
      </c>
      <c r="L472" s="85">
        <f>其他战斗玩法!Y30</f>
        <v/>
      </c>
      <c r="M472" s="85">
        <f>L472/K472</f>
        <v/>
      </c>
      <c r="N472" t="inlineStr">
        <is>
          <t>等效进度估算</t>
        </is>
      </c>
    </row>
    <row r="473">
      <c r="A473" t="inlineStr">
        <is>
          <t>其他战斗玩法</t>
        </is>
      </c>
      <c r="B473" t="inlineStr">
        <is>
          <t>战斗</t>
        </is>
      </c>
      <c r="C473" t="n">
        <v>11</v>
      </c>
      <c r="D473" t="n">
        <v>22</v>
      </c>
      <c r="E473" t="n">
        <v>20</v>
      </c>
      <c r="F473" s="85">
        <f>其他战斗玩法!K31</f>
        <v/>
      </c>
      <c r="G473" s="85">
        <f>其他战斗玩法!L31</f>
        <v/>
      </c>
      <c r="H473" s="85" t="n">
        <v>0.415937257137191</v>
      </c>
      <c r="I473" s="85">
        <f>其他战斗玩法!X31</f>
        <v/>
      </c>
      <c r="J473" s="85">
        <f>I473/H473</f>
        <v/>
      </c>
      <c r="K473" s="85" t="n">
        <v>34.8050626345015</v>
      </c>
      <c r="L473" s="85">
        <f>其他战斗玩法!Y31</f>
        <v/>
      </c>
      <c r="M473" s="85">
        <f>L473/K473</f>
        <v/>
      </c>
      <c r="N473" t="inlineStr">
        <is>
          <t>等效进度估算</t>
        </is>
      </c>
    </row>
    <row r="474">
      <c r="A474" t="inlineStr">
        <is>
          <t>其他战斗玩法</t>
        </is>
      </c>
      <c r="B474" t="inlineStr">
        <is>
          <t>暗中窥影</t>
        </is>
      </c>
      <c r="C474" t="n">
        <v>11</v>
      </c>
      <c r="D474" t="n">
        <v>23</v>
      </c>
      <c r="E474" t="n">
        <v>21</v>
      </c>
      <c r="F474" s="85">
        <f>其他战斗玩法!K32</f>
        <v/>
      </c>
      <c r="G474" s="85">
        <f>其他战斗玩法!L32</f>
        <v/>
      </c>
      <c r="H474" s="85" t="n">
        <v>0.443291346652538</v>
      </c>
      <c r="I474" s="85">
        <f>其他战斗玩法!X32</f>
        <v/>
      </c>
      <c r="J474" s="85">
        <f>I474/H474</f>
        <v/>
      </c>
      <c r="K474" s="85" t="n">
        <v>33.0393041017478</v>
      </c>
      <c r="L474" s="85">
        <f>其他战斗玩法!Y32</f>
        <v/>
      </c>
      <c r="M474" s="85">
        <f>L474/K474</f>
        <v/>
      </c>
      <c r="N474" t="inlineStr">
        <is>
          <t>等效进度估算</t>
        </is>
      </c>
    </row>
    <row r="475">
      <c r="A475" t="inlineStr">
        <is>
          <t>其他战斗玩法</t>
        </is>
      </c>
      <c r="B475" t="inlineStr">
        <is>
          <t>整备前行</t>
        </is>
      </c>
      <c r="C475" t="n">
        <v>12</v>
      </c>
      <c r="D475" t="n">
        <v>24</v>
      </c>
      <c r="E475" t="n">
        <v>22</v>
      </c>
      <c r="F475" s="85">
        <f>其他战斗玩法!K33</f>
        <v/>
      </c>
      <c r="G475" s="85">
        <f>其他战斗玩法!L33</f>
        <v/>
      </c>
      <c r="H475" s="85" t="n">
        <v>0.430180246751498</v>
      </c>
      <c r="I475" s="85">
        <f>其他战斗玩法!X33</f>
        <v/>
      </c>
      <c r="J475" s="85">
        <f>I475/H475</f>
        <v/>
      </c>
      <c r="K475" s="85" t="n">
        <v>34.4985982946369</v>
      </c>
      <c r="L475" s="85">
        <f>其他战斗玩法!Y33</f>
        <v/>
      </c>
      <c r="M475" s="85">
        <f>L475/K475</f>
        <v/>
      </c>
      <c r="N475" t="inlineStr">
        <is>
          <t>等效进度估算</t>
        </is>
      </c>
    </row>
    <row r="476">
      <c r="A476" t="inlineStr">
        <is>
          <t>其他战斗玩法</t>
        </is>
      </c>
      <c r="B476" t="inlineStr">
        <is>
          <t>暴风残雪</t>
        </is>
      </c>
      <c r="C476" t="n">
        <v>16</v>
      </c>
      <c r="D476" t="n">
        <v>31</v>
      </c>
      <c r="E476" t="n">
        <v>29</v>
      </c>
      <c r="F476" s="85">
        <f>其他战斗玩法!K34</f>
        <v/>
      </c>
      <c r="G476" s="85">
        <f>其他战斗玩法!L34</f>
        <v/>
      </c>
      <c r="H476" s="85" t="n">
        <v>0.455296696414133</v>
      </c>
      <c r="I476" s="85">
        <f>其他战斗玩法!X34</f>
        <v/>
      </c>
      <c r="J476" s="85">
        <f>I476/H476</f>
        <v/>
      </c>
      <c r="K476" s="85" t="n">
        <v>34.1057096944216</v>
      </c>
      <c r="L476" s="85">
        <f>其他战斗玩法!Y34</f>
        <v/>
      </c>
      <c r="M476" s="85">
        <f>L476/K476</f>
        <v/>
      </c>
      <c r="N476" t="inlineStr">
        <is>
          <t>等效进度估算</t>
        </is>
      </c>
    </row>
    <row r="477">
      <c r="A477" t="inlineStr">
        <is>
          <t>其他战斗玩法</t>
        </is>
      </c>
      <c r="B477" t="inlineStr">
        <is>
          <t>沉眠之森</t>
        </is>
      </c>
      <c r="C477" t="n">
        <v>18</v>
      </c>
      <c r="D477" t="n">
        <v>34</v>
      </c>
      <c r="E477" t="n">
        <v>32</v>
      </c>
      <c r="F477" s="85">
        <f>其他战斗玩法!K41</f>
        <v/>
      </c>
      <c r="G477" s="85">
        <f>其他战斗玩法!L41</f>
        <v/>
      </c>
      <c r="H477" s="85" t="n">
        <v>0.438065627640766</v>
      </c>
      <c r="I477" s="85">
        <f>其他战斗玩法!X41</f>
        <v/>
      </c>
      <c r="J477" s="85">
        <f>I477/H477</f>
        <v/>
      </c>
      <c r="K477" s="85" t="n">
        <v>35.1638867117558</v>
      </c>
      <c r="L477" s="85">
        <f>其他战斗玩法!Y41</f>
        <v/>
      </c>
      <c r="M477" s="85">
        <f>L477/K477</f>
        <v/>
      </c>
      <c r="N477" t="inlineStr">
        <is>
          <t>等效进度估算</t>
        </is>
      </c>
    </row>
    <row r="478">
      <c r="A478" t="inlineStr">
        <is>
          <t>其他战斗玩法</t>
        </is>
      </c>
      <c r="B478" t="inlineStr">
        <is>
          <t>赏金猎人</t>
        </is>
      </c>
      <c r="C478" t="n">
        <v>18</v>
      </c>
      <c r="D478" t="n">
        <v>35</v>
      </c>
      <c r="E478" t="n">
        <v>33</v>
      </c>
      <c r="F478" s="85">
        <f>其他战斗玩法!K42</f>
        <v/>
      </c>
      <c r="G478" s="85">
        <f>其他战斗玩法!L42</f>
        <v/>
      </c>
      <c r="H478" s="85" t="n">
        <v>0.458367115344619</v>
      </c>
      <c r="I478" s="85">
        <f>其他战斗玩法!X42</f>
        <v/>
      </c>
      <c r="J478" s="85">
        <f>I478/H478</f>
        <v/>
      </c>
      <c r="K478" s="85" t="n">
        <v>33.8860604113286</v>
      </c>
      <c r="L478" s="85">
        <f>其他战斗玩法!Y42</f>
        <v/>
      </c>
      <c r="M478" s="85">
        <f>L478/K478</f>
        <v/>
      </c>
      <c r="N478" t="inlineStr">
        <is>
          <t>等效进度估算</t>
        </is>
      </c>
    </row>
    <row r="479">
      <c r="A479" t="inlineStr">
        <is>
          <t>其他战斗玩法</t>
        </is>
      </c>
      <c r="B479" t="inlineStr">
        <is>
          <t>林中对峙</t>
        </is>
      </c>
      <c r="C479" t="n">
        <v>19</v>
      </c>
      <c r="D479" t="n">
        <v>37</v>
      </c>
      <c r="E479" t="n">
        <v>35</v>
      </c>
      <c r="F479" s="85">
        <f>其他战斗玩法!K43</f>
        <v/>
      </c>
      <c r="G479" s="85">
        <f>其他战斗玩法!L43</f>
        <v/>
      </c>
      <c r="H479" s="85" t="n">
        <v>0.460828933017874</v>
      </c>
      <c r="I479" s="85">
        <f>其他战斗玩法!X43</f>
        <v/>
      </c>
      <c r="J479" s="85">
        <f>I479/H479</f>
        <v/>
      </c>
      <c r="K479" s="85" t="n">
        <v>33.7252387781683</v>
      </c>
      <c r="L479" s="85">
        <f>其他战斗玩法!Y43</f>
        <v/>
      </c>
      <c r="M479" s="85">
        <f>L479/K479</f>
        <v/>
      </c>
      <c r="N479" t="inlineStr">
        <is>
          <t>等效进度估算</t>
        </is>
      </c>
    </row>
    <row r="480">
      <c r="A480" t="inlineStr">
        <is>
          <t>其他战斗玩法</t>
        </is>
      </c>
      <c r="B480" t="inlineStr">
        <is>
          <t>浊影初现</t>
        </is>
      </c>
      <c r="C480" t="n">
        <v>20</v>
      </c>
      <c r="D480" t="n">
        <v>40</v>
      </c>
      <c r="E480" t="n">
        <v>38</v>
      </c>
      <c r="F480" s="85">
        <f>其他战斗玩法!K44</f>
        <v/>
      </c>
      <c r="G480" s="85">
        <f>其他战斗玩法!L44</f>
        <v/>
      </c>
      <c r="H480" s="85" t="n">
        <v>0.471401392658733</v>
      </c>
      <c r="I480" s="85">
        <f>其他战斗玩法!X44</f>
        <v/>
      </c>
      <c r="J480" s="85">
        <f>I480/H480</f>
        <v/>
      </c>
      <c r="K480" s="85" t="n">
        <v>33.2346295308698</v>
      </c>
      <c r="L480" s="85">
        <f>其他战斗玩法!Y44</f>
        <v/>
      </c>
      <c r="M480" s="85">
        <f>L480/K480</f>
        <v/>
      </c>
      <c r="N480" t="inlineStr">
        <is>
          <t>等效进度估算</t>
        </is>
      </c>
    </row>
    <row r="481">
      <c r="A481" t="inlineStr">
        <is>
          <t>其他战斗玩法</t>
        </is>
      </c>
      <c r="B481" t="inlineStr">
        <is>
          <t>阴谋初现</t>
        </is>
      </c>
      <c r="C481" t="n">
        <v>22</v>
      </c>
      <c r="D481" t="n">
        <v>43</v>
      </c>
      <c r="E481" t="n">
        <v>41</v>
      </c>
      <c r="F481" s="85">
        <f>其他战斗玩法!K45</f>
        <v/>
      </c>
      <c r="G481" s="85">
        <f>其他战斗玩法!L45</f>
        <v/>
      </c>
      <c r="H481" s="85" t="n">
        <v>0.438221292377313</v>
      </c>
      <c r="I481" s="85">
        <f>其他战斗玩法!X45</f>
        <v/>
      </c>
      <c r="J481" s="85">
        <f>I481/H481</f>
        <v/>
      </c>
      <c r="K481" s="85" t="n">
        <v>35.4983774574322</v>
      </c>
      <c r="L481" s="85">
        <f>其他战斗玩法!Y45</f>
        <v/>
      </c>
      <c r="M481" s="85">
        <f>L481/K481</f>
        <v/>
      </c>
      <c r="N481" t="inlineStr">
        <is>
          <t>等效进度估算</t>
        </is>
      </c>
    </row>
    <row r="482">
      <c r="A482" t="inlineStr">
        <is>
          <t>其他战斗玩法</t>
        </is>
      </c>
      <c r="B482" t="inlineStr">
        <is>
          <t>神树之村</t>
        </is>
      </c>
      <c r="C482" t="n">
        <v>23</v>
      </c>
      <c r="D482" t="n">
        <v>45</v>
      </c>
      <c r="E482" t="n">
        <v>43</v>
      </c>
      <c r="F482" s="85">
        <f>其他战斗玩法!K46</f>
        <v/>
      </c>
      <c r="G482" s="85">
        <f>其他战斗玩法!L46</f>
        <v/>
      </c>
      <c r="H482" s="85" t="n">
        <v>0.432080722084332</v>
      </c>
      <c r="I482" s="85">
        <f>其他战斗玩法!X46</f>
        <v/>
      </c>
      <c r="J482" s="85">
        <f>I482/H482</f>
        <v/>
      </c>
      <c r="K482" s="85" t="n">
        <v>36.0208985155668</v>
      </c>
      <c r="L482" s="85">
        <f>其他战斗玩法!Y46</f>
        <v/>
      </c>
      <c r="M482" s="85">
        <f>L482/K482</f>
        <v/>
      </c>
      <c r="N482" t="inlineStr">
        <is>
          <t>等效进度估算</t>
        </is>
      </c>
    </row>
    <row r="483">
      <c r="A483" t="inlineStr">
        <is>
          <t>其他战斗玩法</t>
        </is>
      </c>
      <c r="B483" t="inlineStr">
        <is>
          <t>霜途归阙</t>
        </is>
      </c>
      <c r="C483" t="n">
        <v>33</v>
      </c>
      <c r="D483" t="n">
        <v>70</v>
      </c>
      <c r="E483" t="n">
        <v>58</v>
      </c>
      <c r="F483" s="85">
        <f>其他战斗玩法!K53</f>
        <v/>
      </c>
      <c r="G483" s="85">
        <f>其他战斗玩法!L53</f>
        <v/>
      </c>
      <c r="H483" s="85" t="n">
        <v>0.416499247312832</v>
      </c>
      <c r="I483" s="85">
        <f>其他战斗玩法!X53</f>
        <v/>
      </c>
      <c r="J483" s="85">
        <f>I483/H483</f>
        <v/>
      </c>
      <c r="K483" s="85" t="n">
        <v>37.9756825401632</v>
      </c>
      <c r="L483" s="85">
        <f>其他战斗玩法!Y53</f>
        <v/>
      </c>
      <c r="M483" s="85">
        <f>L483/K483</f>
        <v/>
      </c>
      <c r="N483" t="inlineStr">
        <is>
          <t>等效进度估算</t>
        </is>
      </c>
    </row>
    <row r="484">
      <c r="A484" t="inlineStr">
        <is>
          <t>其他战斗玩法</t>
        </is>
      </c>
      <c r="B484" t="inlineStr">
        <is>
          <t>狼城叩门</t>
        </is>
      </c>
      <c r="C484" t="n">
        <v>33</v>
      </c>
      <c r="D484" t="n">
        <v>72</v>
      </c>
      <c r="E484" t="n">
        <v>60</v>
      </c>
      <c r="F484" s="85">
        <f>其他战斗玩法!K54</f>
        <v/>
      </c>
      <c r="G484" s="85">
        <f>其他战斗玩法!L54</f>
        <v/>
      </c>
      <c r="H484" s="85" t="n">
        <v>0.439577034131632</v>
      </c>
      <c r="I484" s="85">
        <f>其他战斗玩法!X54</f>
        <v/>
      </c>
      <c r="J484" s="85">
        <f>I484/H484</f>
        <v/>
      </c>
      <c r="K484" s="85" t="n">
        <v>36.4186795560165</v>
      </c>
      <c r="L484" s="85">
        <f>其他战斗玩法!Y54</f>
        <v/>
      </c>
      <c r="M484" s="85">
        <f>L484/K484</f>
        <v/>
      </c>
      <c r="N484" t="inlineStr">
        <is>
          <t>等效进度估算</t>
        </is>
      </c>
    </row>
    <row r="485">
      <c r="A485" t="inlineStr">
        <is>
          <t>其他战斗玩法</t>
        </is>
      </c>
      <c r="B485" t="inlineStr">
        <is>
          <t>宫城逆焰</t>
        </is>
      </c>
      <c r="C485" t="n">
        <v>34</v>
      </c>
      <c r="D485" t="n">
        <v>74</v>
      </c>
      <c r="E485" t="n">
        <v>60</v>
      </c>
      <c r="F485" s="85">
        <f>其他战斗玩法!K55</f>
        <v/>
      </c>
      <c r="G485" s="85">
        <f>其他战斗玩法!L55</f>
        <v/>
      </c>
      <c r="H485" s="85" t="n">
        <v>0.4236467076854</v>
      </c>
      <c r="I485" s="85">
        <f>其他战斗玩法!X55</f>
        <v/>
      </c>
      <c r="J485" s="85">
        <f>I485/H485</f>
        <v/>
      </c>
      <c r="K485" s="85" t="n">
        <v>37.5807587309625</v>
      </c>
      <c r="L485" s="85">
        <f>其他战斗玩法!Y55</f>
        <v/>
      </c>
      <c r="M485" s="85">
        <f>L485/K485</f>
        <v/>
      </c>
      <c r="N485" t="inlineStr">
        <is>
          <t>等效进度估算</t>
        </is>
      </c>
    </row>
    <row r="486">
      <c r="A486" t="inlineStr">
        <is>
          <t>其他战斗玩法</t>
        </is>
      </c>
      <c r="B486" t="inlineStr">
        <is>
          <t>突变</t>
        </is>
      </c>
      <c r="C486" t="n">
        <v>35</v>
      </c>
      <c r="D486" t="n">
        <v>76</v>
      </c>
      <c r="E486" t="n">
        <v>61</v>
      </c>
      <c r="F486" s="85">
        <f>其他战斗玩法!K56</f>
        <v/>
      </c>
      <c r="G486" s="85">
        <f>其他战斗玩法!L56</f>
        <v/>
      </c>
      <c r="H486" s="85" t="n">
        <v>0.409835024827256</v>
      </c>
      <c r="I486" s="85">
        <f>其他战斗玩法!X56</f>
        <v/>
      </c>
      <c r="J486" s="85">
        <f>I486/H486</f>
        <v/>
      </c>
      <c r="K486" s="85" t="n">
        <v>38.6733069373335</v>
      </c>
      <c r="L486" s="85">
        <f>其他战斗玩法!Y56</f>
        <v/>
      </c>
      <c r="M486" s="85">
        <f>L486/K486</f>
        <v/>
      </c>
      <c r="N486" t="inlineStr">
        <is>
          <t>等效进度估算</t>
        </is>
      </c>
    </row>
    <row r="487">
      <c r="A487" t="inlineStr">
        <is>
          <t>其他战斗玩法</t>
        </is>
      </c>
      <c r="B487" t="inlineStr">
        <is>
          <t>寒街喋血</t>
        </is>
      </c>
      <c r="C487" t="n">
        <v>36</v>
      </c>
      <c r="D487" t="n">
        <v>79</v>
      </c>
      <c r="E487" t="n">
        <v>62</v>
      </c>
      <c r="F487" s="85">
        <f>其他战斗玩法!K57</f>
        <v/>
      </c>
      <c r="G487" s="85">
        <f>其他战斗玩法!L57</f>
        <v/>
      </c>
      <c r="H487" s="85" t="n">
        <v>0.407962903898219</v>
      </c>
      <c r="I487" s="85">
        <f>其他战斗玩法!X57</f>
        <v/>
      </c>
      <c r="J487" s="85">
        <f>I487/H487</f>
        <v/>
      </c>
      <c r="K487" s="85" t="n">
        <v>38.9319840881801</v>
      </c>
      <c r="L487" s="85">
        <f>其他战斗玩法!Y57</f>
        <v/>
      </c>
      <c r="M487" s="85">
        <f>L487/K487</f>
        <v/>
      </c>
      <c r="N487" t="inlineStr">
        <is>
          <t>等效进度估算</t>
        </is>
      </c>
    </row>
    <row r="488">
      <c r="A488" t="inlineStr">
        <is>
          <t>其他战斗玩法</t>
        </is>
      </c>
      <c r="B488" t="inlineStr">
        <is>
          <t>乱军围城</t>
        </is>
      </c>
      <c r="C488" t="n">
        <v>36</v>
      </c>
      <c r="D488" t="n">
        <v>81</v>
      </c>
      <c r="E488" t="n">
        <v>64</v>
      </c>
      <c r="F488" s="85">
        <f>其他战斗玩法!K58</f>
        <v/>
      </c>
      <c r="G488" s="85">
        <f>其他战斗玩法!L58</f>
        <v/>
      </c>
      <c r="H488" s="85" t="n">
        <v>0.428831057914551</v>
      </c>
      <c r="I488" s="85">
        <f>其他战斗玩法!X58</f>
        <v/>
      </c>
      <c r="J488" s="85">
        <f>I488/H488</f>
        <v/>
      </c>
      <c r="K488" s="85" t="n">
        <v>37.4743758154789</v>
      </c>
      <c r="L488" s="85">
        <f>其他战斗玩法!Y58</f>
        <v/>
      </c>
      <c r="M488" s="85">
        <f>L488/K488</f>
        <v/>
      </c>
      <c r="N488" t="inlineStr">
        <is>
          <t>等效进度估算</t>
        </is>
      </c>
    </row>
    <row r="489">
      <c r="A489" t="inlineStr">
        <is>
          <t>其他战斗玩法</t>
        </is>
      </c>
      <c r="B489" t="inlineStr">
        <is>
          <t>霜途归阙</t>
        </is>
      </c>
      <c r="C489" t="n">
        <v>52</v>
      </c>
      <c r="D489" t="n">
        <v>118</v>
      </c>
      <c r="E489" t="n">
        <v>91</v>
      </c>
      <c r="F489" s="85">
        <f>其他战斗玩法!K65</f>
        <v/>
      </c>
      <c r="G489" s="85">
        <f>其他战斗玩法!L65</f>
        <v/>
      </c>
      <c r="H489" s="85" t="n">
        <v>0.380676296307494</v>
      </c>
      <c r="I489" s="85">
        <f>其他战斗玩法!X65</f>
        <v/>
      </c>
      <c r="J489" s="85">
        <f>I489/H489</f>
        <v/>
      </c>
      <c r="K489" s="85" t="n">
        <v>43.1565975708613</v>
      </c>
      <c r="L489" s="85">
        <f>其他战斗玩法!Y65</f>
        <v/>
      </c>
      <c r="M489" s="85">
        <f>L489/K489</f>
        <v/>
      </c>
      <c r="N489" t="inlineStr">
        <is>
          <t>等效进度估算</t>
        </is>
      </c>
    </row>
    <row r="490">
      <c r="A490" t="inlineStr">
        <is>
          <t>其他战斗玩法</t>
        </is>
      </c>
      <c r="B490" t="inlineStr">
        <is>
          <t>狼城叩门</t>
        </is>
      </c>
      <c r="C490" t="n">
        <v>53</v>
      </c>
      <c r="D490" t="n">
        <v>121</v>
      </c>
      <c r="E490" t="n">
        <v>94</v>
      </c>
      <c r="F490" s="85">
        <f>其他战斗玩法!K66</f>
        <v/>
      </c>
      <c r="G490" s="85">
        <f>其他战斗玩法!L66</f>
        <v/>
      </c>
      <c r="H490" s="85" t="n">
        <v>0.386811228871293</v>
      </c>
      <c r="I490" s="85">
        <f>其他战斗玩法!X66</f>
        <v/>
      </c>
      <c r="J490" s="85">
        <f>I490/H490</f>
        <v/>
      </c>
      <c r="K490" s="85" t="n">
        <v>42.7799323247456</v>
      </c>
      <c r="L490" s="85">
        <f>其他战斗玩法!Y66</f>
        <v/>
      </c>
      <c r="M490" s="85">
        <f>L490/K490</f>
        <v/>
      </c>
      <c r="N490" t="inlineStr">
        <is>
          <t>等效进度估算</t>
        </is>
      </c>
    </row>
    <row r="491">
      <c r="A491" t="inlineStr">
        <is>
          <t>其他战斗玩法</t>
        </is>
      </c>
      <c r="B491" t="inlineStr">
        <is>
          <t>宫城逆焰</t>
        </is>
      </c>
      <c r="C491" t="n">
        <v>55</v>
      </c>
      <c r="D491" t="n">
        <v>125</v>
      </c>
      <c r="E491" t="n">
        <v>97</v>
      </c>
      <c r="F491" s="85">
        <f>其他战斗玩法!K67</f>
        <v/>
      </c>
      <c r="G491" s="85">
        <f>其他战斗玩法!L67</f>
        <v/>
      </c>
      <c r="H491" s="85" t="n">
        <v>0.384910163479594</v>
      </c>
      <c r="I491" s="85">
        <f>其他战斗玩法!X67</f>
        <v/>
      </c>
      <c r="J491" s="85">
        <f>I491/H491</f>
        <v/>
      </c>
      <c r="K491" s="85" t="n">
        <v>43.1731951863751</v>
      </c>
      <c r="L491" s="85">
        <f>其他战斗玩法!Y67</f>
        <v/>
      </c>
      <c r="M491" s="85">
        <f>L491/K491</f>
        <v/>
      </c>
      <c r="N491" t="inlineStr">
        <is>
          <t>等效进度估算</t>
        </is>
      </c>
    </row>
    <row r="492">
      <c r="A492" t="inlineStr">
        <is>
          <t>其他战斗玩法</t>
        </is>
      </c>
      <c r="B492" t="inlineStr">
        <is>
          <t>突变</t>
        </is>
      </c>
      <c r="C492" t="n">
        <v>57</v>
      </c>
      <c r="D492" t="n">
        <v>128</v>
      </c>
      <c r="E492" t="n">
        <v>99</v>
      </c>
      <c r="F492" s="85">
        <f>其他战斗玩法!K68</f>
        <v/>
      </c>
      <c r="G492" s="85">
        <f>其他战斗玩法!L68</f>
        <v/>
      </c>
      <c r="H492" s="85" t="n">
        <v>0.37708702952377</v>
      </c>
      <c r="I492" s="85">
        <f>其他战斗玩法!X68</f>
        <v/>
      </c>
      <c r="J492" s="85">
        <f>I492/H492</f>
        <v/>
      </c>
      <c r="K492" s="85" t="n">
        <v>44.0531672399238</v>
      </c>
      <c r="L492" s="85">
        <f>其他战斗玩法!Y68</f>
        <v/>
      </c>
      <c r="M492" s="85">
        <f>L492/K492</f>
        <v/>
      </c>
      <c r="N492" t="inlineStr">
        <is>
          <t>等效进度估算</t>
        </is>
      </c>
    </row>
    <row r="493">
      <c r="A493" t="inlineStr">
        <is>
          <t>其他战斗玩法</t>
        </is>
      </c>
      <c r="B493" t="inlineStr">
        <is>
          <t>寒街喋血</t>
        </is>
      </c>
      <c r="C493" t="n">
        <v>58</v>
      </c>
      <c r="D493" t="n">
        <v>131</v>
      </c>
      <c r="E493" t="n">
        <v>102</v>
      </c>
      <c r="F493" s="85">
        <f>其他战斗玩法!K69</f>
        <v/>
      </c>
      <c r="G493" s="85">
        <f>其他战斗玩法!L69</f>
        <v/>
      </c>
      <c r="H493" s="85" t="n">
        <v>0.384387748628141</v>
      </c>
      <c r="I493" s="85">
        <f>其他战斗玩法!X69</f>
        <v/>
      </c>
      <c r="J493" s="85">
        <f>I493/H493</f>
        <v/>
      </c>
      <c r="K493" s="85" t="n">
        <v>43.558325623625</v>
      </c>
      <c r="L493" s="85">
        <f>其他战斗玩法!Y69</f>
        <v/>
      </c>
      <c r="M493" s="85">
        <f>L493/K493</f>
        <v/>
      </c>
      <c r="N493" t="inlineStr">
        <is>
          <t>等效进度估算</t>
        </is>
      </c>
    </row>
    <row r="494">
      <c r="A494" t="inlineStr">
        <is>
          <t>其他战斗玩法</t>
        </is>
      </c>
      <c r="B494" t="inlineStr">
        <is>
          <t>乱军围城</t>
        </is>
      </c>
      <c r="C494" t="n">
        <v>60</v>
      </c>
      <c r="D494" t="n">
        <v>134</v>
      </c>
      <c r="E494" t="n">
        <v>104</v>
      </c>
      <c r="F494" s="85">
        <f>其他战斗玩法!K70</f>
        <v/>
      </c>
      <c r="G494" s="85">
        <f>其他战斗玩法!L70</f>
        <v/>
      </c>
      <c r="H494" s="85" t="n">
        <v>0.378407082586889</v>
      </c>
      <c r="I494" s="85">
        <f>其他战斗玩法!X70</f>
        <v/>
      </c>
      <c r="J494" s="85">
        <f>I494/H494</f>
        <v/>
      </c>
      <c r="K494" s="85" t="n">
        <v>44.2766576748708</v>
      </c>
      <c r="L494" s="85">
        <f>其他战斗玩法!Y70</f>
        <v/>
      </c>
      <c r="M494" s="85">
        <f>L494/K494</f>
        <v/>
      </c>
      <c r="N494" t="inlineStr">
        <is>
          <t>等效进度估算</t>
        </is>
      </c>
    </row>
    <row r="495">
      <c r="A495" t="inlineStr">
        <is>
          <t>其他战斗玩法</t>
        </is>
      </c>
      <c r="B495" t="inlineStr">
        <is>
          <t>怒涛哨戒</t>
        </is>
      </c>
      <c r="C495" t="n">
        <v>74</v>
      </c>
      <c r="D495" t="n">
        <v>160</v>
      </c>
      <c r="E495" t="n">
        <v>125</v>
      </c>
      <c r="F495" s="85">
        <f>其他战斗玩法!K77</f>
        <v/>
      </c>
      <c r="G495" s="85">
        <f>其他战斗玩法!L77</f>
        <v/>
      </c>
      <c r="H495" s="85" t="n">
        <v>0.363911410585384</v>
      </c>
      <c r="I495" s="85">
        <f>其他战斗玩法!X77</f>
        <v/>
      </c>
      <c r="J495" s="85">
        <f>I495/H495</f>
        <v/>
      </c>
      <c r="K495" s="85" t="n">
        <v>49.0418556679711</v>
      </c>
      <c r="L495" s="85">
        <f>其他战斗玩法!Y77</f>
        <v/>
      </c>
      <c r="M495" s="85">
        <f>L495/K495</f>
        <v/>
      </c>
      <c r="N495" t="inlineStr">
        <is>
          <t>等效进度估算</t>
        </is>
      </c>
    </row>
    <row r="496">
      <c r="A496" t="inlineStr">
        <is>
          <t>其他战斗玩法</t>
        </is>
      </c>
      <c r="B496" t="inlineStr">
        <is>
          <t>暗礁拦截</t>
        </is>
      </c>
      <c r="C496" t="n">
        <v>76</v>
      </c>
      <c r="D496" t="n">
        <v>163</v>
      </c>
      <c r="E496" t="n">
        <v>127</v>
      </c>
      <c r="F496" s="85">
        <f>其他战斗玩法!K78</f>
        <v/>
      </c>
      <c r="G496" s="85">
        <f>其他战斗玩法!L78</f>
        <v/>
      </c>
      <c r="H496" s="85" t="n">
        <v>0.360023023588689</v>
      </c>
      <c r="I496" s="85">
        <f>其他战斗玩法!X78</f>
        <v/>
      </c>
      <c r="J496" s="85">
        <f>I496/H496</f>
        <v/>
      </c>
      <c r="K496" s="85" t="n">
        <v>49.9363667986694</v>
      </c>
      <c r="L496" s="85">
        <f>其他战斗玩法!Y78</f>
        <v/>
      </c>
      <c r="M496" s="85">
        <f>L496/K496</f>
        <v/>
      </c>
      <c r="N496" t="inlineStr">
        <is>
          <t>等效进度估算</t>
        </is>
      </c>
    </row>
    <row r="497">
      <c r="A497" t="inlineStr">
        <is>
          <t>其他战斗玩法</t>
        </is>
      </c>
      <c r="B497" t="inlineStr">
        <is>
          <t>钢舰破浪</t>
        </is>
      </c>
      <c r="C497" t="n">
        <v>77</v>
      </c>
      <c r="D497" t="n">
        <v>165</v>
      </c>
      <c r="E497" t="n">
        <v>129</v>
      </c>
      <c r="F497" s="85">
        <f>其他战斗玩法!K79</f>
        <v/>
      </c>
      <c r="G497" s="85">
        <f>其他战斗玩法!L79</f>
        <v/>
      </c>
      <c r="H497" s="85" t="n">
        <v>0.361434723734176</v>
      </c>
      <c r="I497" s="85">
        <f>其他战斗玩法!X79</f>
        <v/>
      </c>
      <c r="J497" s="85">
        <f>I497/H497</f>
        <v/>
      </c>
      <c r="K497" s="85" t="n">
        <v>50.0540322232955</v>
      </c>
      <c r="L497" s="85">
        <f>其他战斗玩法!Y79</f>
        <v/>
      </c>
      <c r="M497" s="85">
        <f>L497/K497</f>
        <v/>
      </c>
      <c r="N497" t="inlineStr">
        <is>
          <t>等效进度估算</t>
        </is>
      </c>
    </row>
    <row r="498">
      <c r="A498" t="inlineStr">
        <is>
          <t>其他战斗玩法</t>
        </is>
      </c>
      <c r="B498" t="inlineStr">
        <is>
          <t>雾海信号</t>
        </is>
      </c>
      <c r="C498" t="n">
        <v>78</v>
      </c>
      <c r="D498" t="n">
        <v>167</v>
      </c>
      <c r="E498" t="n">
        <v>131</v>
      </c>
      <c r="F498" s="85">
        <f>其他战斗玩法!K80</f>
        <v/>
      </c>
      <c r="G498" s="85">
        <f>其他战斗玩法!L80</f>
        <v/>
      </c>
      <c r="H498" s="85" t="n">
        <v>0.363062762483342</v>
      </c>
      <c r="I498" s="85">
        <f>其他战斗玩法!X80</f>
        <v/>
      </c>
      <c r="J498" s="85">
        <f>I498/H498</f>
        <v/>
      </c>
      <c r="K498" s="85" t="n">
        <v>50.142848832274</v>
      </c>
      <c r="L498" s="85">
        <f>其他战斗玩法!Y80</f>
        <v/>
      </c>
      <c r="M498" s="85">
        <f>L498/K498</f>
        <v/>
      </c>
      <c r="N498" t="inlineStr">
        <is>
          <t>等效进度估算</t>
        </is>
      </c>
    </row>
    <row r="499">
      <c r="A499" t="inlineStr">
        <is>
          <t>其他战斗玩法</t>
        </is>
      </c>
      <c r="B499" t="inlineStr">
        <is>
          <t>空天猎鹰</t>
        </is>
      </c>
      <c r="C499" t="n">
        <v>79</v>
      </c>
      <c r="D499" t="n">
        <v>169</v>
      </c>
      <c r="E499" t="n">
        <v>132</v>
      </c>
      <c r="F499" s="85">
        <f>其他战斗玩法!K81</f>
        <v/>
      </c>
      <c r="G499" s="85">
        <f>其他战斗玩法!L81</f>
        <v/>
      </c>
      <c r="H499" s="85" t="n">
        <v>0.364897941483171</v>
      </c>
      <c r="I499" s="85">
        <f>其他战斗玩法!X81</f>
        <v/>
      </c>
      <c r="J499" s="85">
        <f>I499/H499</f>
        <v/>
      </c>
      <c r="K499" s="85" t="n">
        <v>50.2071972453721</v>
      </c>
      <c r="L499" s="85">
        <f>其他战斗玩法!Y81</f>
        <v/>
      </c>
      <c r="M499" s="85">
        <f>L499/K499</f>
        <v/>
      </c>
      <c r="N499" t="inlineStr">
        <is>
          <t>等效进度估算</t>
        </is>
      </c>
    </row>
    <row r="500">
      <c r="A500" t="inlineStr">
        <is>
          <t>其他战斗玩法</t>
        </is>
      </c>
      <c r="B500" t="inlineStr">
        <is>
          <t>舷炮共鸣</t>
        </is>
      </c>
      <c r="C500" t="n">
        <v>81</v>
      </c>
      <c r="D500" t="n">
        <v>172</v>
      </c>
      <c r="E500" t="n">
        <v>135</v>
      </c>
      <c r="F500" s="85">
        <f>其他战斗玩法!K82</f>
        <v/>
      </c>
      <c r="G500" s="85">
        <f>其他战斗玩法!L82</f>
        <v/>
      </c>
      <c r="H500" s="85" t="n">
        <v>0.363279952219467</v>
      </c>
      <c r="I500" s="85">
        <f>其他战斗玩法!X82</f>
        <v/>
      </c>
      <c r="J500" s="85">
        <f>I500/H500</f>
        <v/>
      </c>
      <c r="K500" s="85" t="n">
        <v>50.8259744074841</v>
      </c>
      <c r="L500" s="85">
        <f>其他战斗玩法!Y82</f>
        <v/>
      </c>
      <c r="M500" s="85">
        <f>L500/K500</f>
        <v/>
      </c>
      <c r="N500" t="inlineStr">
        <is>
          <t>等效进度估算</t>
        </is>
      </c>
    </row>
    <row r="501">
      <c r="A501" t="inlineStr">
        <is>
          <t>其他战斗玩法</t>
        </is>
      </c>
      <c r="B501" t="inlineStr">
        <is>
          <t>雪怪王 难度1</t>
        </is>
      </c>
      <c r="C501" t="n">
        <v>42</v>
      </c>
      <c r="D501" t="n">
        <v>96</v>
      </c>
      <c r="E501" t="n">
        <v>77</v>
      </c>
      <c r="F501" s="85">
        <f>其他战斗玩法!K89</f>
        <v/>
      </c>
      <c r="G501" s="85">
        <f>其他战斗玩法!L89</f>
        <v/>
      </c>
      <c r="H501" s="85" t="n">
        <v>36.1515757283703</v>
      </c>
      <c r="I501" s="85">
        <f>其他战斗玩法!X89</f>
        <v/>
      </c>
      <c r="J501" s="85">
        <f>I501/H501</f>
        <v/>
      </c>
      <c r="K501" s="85" t="n">
        <v>40.161999857251</v>
      </c>
      <c r="L501" s="85">
        <f>其他战斗玩法!Y89</f>
        <v/>
      </c>
      <c r="M501" s="85">
        <f>L501/K501</f>
        <v/>
      </c>
      <c r="N501" t="inlineStr">
        <is>
          <t>等效进度估算</t>
        </is>
      </c>
    </row>
    <row r="502">
      <c r="A502" t="inlineStr">
        <is>
          <t>其他战斗玩法</t>
        </is>
      </c>
      <c r="B502" t="inlineStr">
        <is>
          <t>莫尔拉 难度1</t>
        </is>
      </c>
      <c r="C502" t="n">
        <v>42</v>
      </c>
      <c r="D502" t="n">
        <v>96</v>
      </c>
      <c r="E502" t="n">
        <v>77</v>
      </c>
      <c r="F502" s="85">
        <f>其他战斗玩法!K90</f>
        <v/>
      </c>
      <c r="G502" s="85">
        <f>其他战斗玩法!L90</f>
        <v/>
      </c>
      <c r="H502" s="85" t="n">
        <v>36.1515757283703</v>
      </c>
      <c r="I502" s="85">
        <f>其他战斗玩法!X90</f>
        <v/>
      </c>
      <c r="J502" s="85">
        <f>I502/H502</f>
        <v/>
      </c>
      <c r="K502" s="85" t="n">
        <v>40.161999857251</v>
      </c>
      <c r="L502" s="85">
        <f>其他战斗玩法!Y90</f>
        <v/>
      </c>
      <c r="M502" s="85">
        <f>L502/K502</f>
        <v/>
      </c>
      <c r="N502" t="inlineStr">
        <is>
          <t>等效进度估算</t>
        </is>
      </c>
    </row>
    <row r="503">
      <c r="A503" t="inlineStr">
        <is>
          <t>其他战斗玩法</t>
        </is>
      </c>
      <c r="B503" t="inlineStr">
        <is>
          <t>异变林猿 难度1</t>
        </is>
      </c>
      <c r="C503" t="n">
        <v>42</v>
      </c>
      <c r="D503" t="n">
        <v>96</v>
      </c>
      <c r="E503" t="n">
        <v>77</v>
      </c>
      <c r="F503" s="85">
        <f>其他战斗玩法!K91</f>
        <v/>
      </c>
      <c r="G503" s="85">
        <f>其他战斗玩法!L91</f>
        <v/>
      </c>
      <c r="H503" s="85" t="n">
        <v>36.1515757283703</v>
      </c>
      <c r="I503" s="85">
        <f>其他战斗玩法!X91</f>
        <v/>
      </c>
      <c r="J503" s="85">
        <f>I503/H503</f>
        <v/>
      </c>
      <c r="K503" s="85" t="n">
        <v>40.161999857251</v>
      </c>
      <c r="L503" s="85">
        <f>其他战斗玩法!Y91</f>
        <v/>
      </c>
      <c r="M503" s="85">
        <f>L503/K503</f>
        <v/>
      </c>
      <c r="N503" t="inlineStr">
        <is>
          <t>等效进度估算</t>
        </is>
      </c>
    </row>
    <row r="504">
      <c r="A504" t="inlineStr">
        <is>
          <t>其他战斗玩法</t>
        </is>
      </c>
      <c r="B504" t="inlineStr">
        <is>
          <t>雪怪王 难度2</t>
        </is>
      </c>
      <c r="C504" t="n">
        <v>58</v>
      </c>
      <c r="D504" t="n">
        <v>130</v>
      </c>
      <c r="E504" t="n">
        <v>107</v>
      </c>
      <c r="F504" s="85">
        <f>其他战斗玩法!K92</f>
        <v/>
      </c>
      <c r="G504" s="85">
        <f>其他战斗玩法!L92</f>
        <v/>
      </c>
      <c r="H504" s="85" t="n">
        <v>36.3998358068056</v>
      </c>
      <c r="I504" s="85">
        <f>其他战斗玩法!X92</f>
        <v/>
      </c>
      <c r="J504" s="85">
        <f>I504/H504</f>
        <v/>
      </c>
      <c r="K504" s="85" t="n">
        <v>44.1491600548834</v>
      </c>
      <c r="L504" s="85">
        <f>其他战斗玩法!Y92</f>
        <v/>
      </c>
      <c r="M504" s="85">
        <f>L504/K504</f>
        <v/>
      </c>
      <c r="N504" t="inlineStr">
        <is>
          <t>等效进度估算</t>
        </is>
      </c>
    </row>
    <row r="505">
      <c r="A505" t="inlineStr">
        <is>
          <t>其他战斗玩法</t>
        </is>
      </c>
      <c r="B505" t="inlineStr">
        <is>
          <t>莫尔拉 难度2</t>
        </is>
      </c>
      <c r="C505" t="n">
        <v>58</v>
      </c>
      <c r="D505" t="n">
        <v>130</v>
      </c>
      <c r="E505" t="n">
        <v>107</v>
      </c>
      <c r="F505" s="85">
        <f>其他战斗玩法!K93</f>
        <v/>
      </c>
      <c r="G505" s="85">
        <f>其他战斗玩法!L93</f>
        <v/>
      </c>
      <c r="H505" s="85" t="n">
        <v>36.3998358068056</v>
      </c>
      <c r="I505" s="85">
        <f>其他战斗玩法!X93</f>
        <v/>
      </c>
      <c r="J505" s="85">
        <f>I505/H505</f>
        <v/>
      </c>
      <c r="K505" s="85" t="n">
        <v>44.1491600548834</v>
      </c>
      <c r="L505" s="85">
        <f>其他战斗玩法!Y93</f>
        <v/>
      </c>
      <c r="M505" s="85">
        <f>L505/K505</f>
        <v/>
      </c>
      <c r="N505" t="inlineStr">
        <is>
          <t>等效进度估算</t>
        </is>
      </c>
    </row>
    <row r="506">
      <c r="A506" t="inlineStr">
        <is>
          <t>其他战斗玩法</t>
        </is>
      </c>
      <c r="B506" t="inlineStr">
        <is>
          <t>异变林猿 难度2</t>
        </is>
      </c>
      <c r="C506" t="n">
        <v>58</v>
      </c>
      <c r="D506" t="n">
        <v>130</v>
      </c>
      <c r="E506" t="n">
        <v>107</v>
      </c>
      <c r="F506" s="85">
        <f>其他战斗玩法!K94</f>
        <v/>
      </c>
      <c r="G506" s="85">
        <f>其他战斗玩法!L94</f>
        <v/>
      </c>
      <c r="H506" s="85" t="n">
        <v>36.3998358068056</v>
      </c>
      <c r="I506" s="85">
        <f>其他战斗玩法!X94</f>
        <v/>
      </c>
      <c r="J506" s="85">
        <f>I506/H506</f>
        <v/>
      </c>
      <c r="K506" s="85" t="n">
        <v>44.1491600548834</v>
      </c>
      <c r="L506" s="85">
        <f>其他战斗玩法!Y94</f>
        <v/>
      </c>
      <c r="M506" s="85">
        <f>L506/K506</f>
        <v/>
      </c>
      <c r="N506" t="inlineStr">
        <is>
          <t>等效进度估算</t>
        </is>
      </c>
    </row>
    <row r="507">
      <c r="A507" t="inlineStr">
        <is>
          <t>其他战斗玩法</t>
        </is>
      </c>
      <c r="B507" t="inlineStr">
        <is>
          <t>雪怪王 难度3</t>
        </is>
      </c>
      <c r="C507" t="n">
        <v>76</v>
      </c>
      <c r="D507" t="n">
        <v>163</v>
      </c>
      <c r="E507" t="n">
        <v>134</v>
      </c>
      <c r="F507" s="85">
        <f>其他战斗玩法!K95</f>
        <v/>
      </c>
      <c r="G507" s="85">
        <f>其他战斗玩法!L95</f>
        <v/>
      </c>
      <c r="H507" s="85" t="n">
        <v>36.5002708617565</v>
      </c>
      <c r="I507" s="85">
        <f>其他战斗玩法!X95</f>
        <v/>
      </c>
      <c r="J507" s="85">
        <f>I507/H507</f>
        <v/>
      </c>
      <c r="K507" s="85" t="n">
        <v>49.9363667986694</v>
      </c>
      <c r="L507" s="85">
        <f>其他战斗玩法!Y95</f>
        <v/>
      </c>
      <c r="M507" s="85">
        <f>L507/K507</f>
        <v/>
      </c>
      <c r="N507" t="inlineStr">
        <is>
          <t>等效进度估算</t>
        </is>
      </c>
    </row>
    <row r="508">
      <c r="A508" t="inlineStr">
        <is>
          <t>其他战斗玩法</t>
        </is>
      </c>
      <c r="B508" t="inlineStr">
        <is>
          <t>莫尔拉 难度3</t>
        </is>
      </c>
      <c r="C508" t="n">
        <v>76</v>
      </c>
      <c r="D508" t="n">
        <v>163</v>
      </c>
      <c r="E508" t="n">
        <v>134</v>
      </c>
      <c r="F508" s="85">
        <f>其他战斗玩法!K96</f>
        <v/>
      </c>
      <c r="G508" s="85">
        <f>其他战斗玩法!L96</f>
        <v/>
      </c>
      <c r="H508" s="85" t="n">
        <v>36.5002708617565</v>
      </c>
      <c r="I508" s="85">
        <f>其他战斗玩法!X96</f>
        <v/>
      </c>
      <c r="J508" s="85">
        <f>I508/H508</f>
        <v/>
      </c>
      <c r="K508" s="85" t="n">
        <v>49.9363667986694</v>
      </c>
      <c r="L508" s="85">
        <f>其他战斗玩法!Y96</f>
        <v/>
      </c>
      <c r="M508" s="85">
        <f>L508/K508</f>
        <v/>
      </c>
      <c r="N508" t="inlineStr">
        <is>
          <t>等效进度估算</t>
        </is>
      </c>
    </row>
    <row r="509">
      <c r="A509" t="inlineStr">
        <is>
          <t>其他战斗玩法</t>
        </is>
      </c>
      <c r="B509" t="inlineStr">
        <is>
          <t>异变林猿 难度3</t>
        </is>
      </c>
      <c r="C509" t="n">
        <v>76</v>
      </c>
      <c r="D509" t="n">
        <v>163</v>
      </c>
      <c r="E509" t="n">
        <v>134</v>
      </c>
      <c r="F509" s="85">
        <f>其他战斗玩法!K97</f>
        <v/>
      </c>
      <c r="G509" s="85">
        <f>其他战斗玩法!L97</f>
        <v/>
      </c>
      <c r="H509" s="85" t="n">
        <v>36.5002708617565</v>
      </c>
      <c r="I509" s="85">
        <f>其他战斗玩法!X97</f>
        <v/>
      </c>
      <c r="J509" s="85">
        <f>I509/H509</f>
        <v/>
      </c>
      <c r="K509" s="85" t="n">
        <v>49.9363667986694</v>
      </c>
      <c r="L509" s="85">
        <f>其他战斗玩法!Y97</f>
        <v/>
      </c>
      <c r="M509" s="85">
        <f>L509/K509</f>
        <v/>
      </c>
      <c r="N509" t="inlineStr">
        <is>
          <t>等效进度估算</t>
        </is>
      </c>
    </row>
    <row r="510">
      <c r="A510" t="inlineStr">
        <is>
          <t>其他战斗玩法</t>
        </is>
      </c>
      <c r="B510" t="inlineStr">
        <is>
          <t>雪怪王 难度4</t>
        </is>
      </c>
      <c r="C510" t="n">
        <v>93</v>
      </c>
      <c r="D510" t="n">
        <v>188</v>
      </c>
      <c r="E510" t="n">
        <v>155</v>
      </c>
      <c r="F510" s="85">
        <f>其他战斗玩法!K98</f>
        <v/>
      </c>
      <c r="G510" s="85">
        <f>其他战斗玩法!L98</f>
        <v/>
      </c>
      <c r="H510" s="85" t="n">
        <v>37.3454925150758</v>
      </c>
      <c r="I510" s="85">
        <f>其他战斗玩法!X98</f>
        <v/>
      </c>
      <c r="J510" s="85">
        <f>I510/H510</f>
        <v/>
      </c>
      <c r="K510" s="85" t="n">
        <v>53.7281339307239</v>
      </c>
      <c r="L510" s="85">
        <f>其他战斗玩法!Y98</f>
        <v/>
      </c>
      <c r="M510" s="85">
        <f>L510/K510</f>
        <v/>
      </c>
      <c r="N510" t="inlineStr">
        <is>
          <t>等效进度估算</t>
        </is>
      </c>
    </row>
    <row r="511">
      <c r="A511" t="inlineStr">
        <is>
          <t>其他战斗玩法</t>
        </is>
      </c>
      <c r="B511" t="inlineStr">
        <is>
          <t>莫尔拉 难度4</t>
        </is>
      </c>
      <c r="C511" t="n">
        <v>93</v>
      </c>
      <c r="D511" t="n">
        <v>188</v>
      </c>
      <c r="E511" t="n">
        <v>155</v>
      </c>
      <c r="F511" s="85">
        <f>其他战斗玩法!K99</f>
        <v/>
      </c>
      <c r="G511" s="85">
        <f>其他战斗玩法!L99</f>
        <v/>
      </c>
      <c r="H511" s="85" t="n">
        <v>37.3454925150758</v>
      </c>
      <c r="I511" s="85">
        <f>其他战斗玩法!X99</f>
        <v/>
      </c>
      <c r="J511" s="85">
        <f>I511/H511</f>
        <v/>
      </c>
      <c r="K511" s="85" t="n">
        <v>53.7281339307239</v>
      </c>
      <c r="L511" s="85">
        <f>其他战斗玩法!Y99</f>
        <v/>
      </c>
      <c r="M511" s="85">
        <f>L511/K511</f>
        <v/>
      </c>
      <c r="N511" t="inlineStr">
        <is>
          <t>等效进度估算</t>
        </is>
      </c>
    </row>
    <row r="512">
      <c r="A512" t="inlineStr">
        <is>
          <t>其他战斗玩法</t>
        </is>
      </c>
      <c r="B512" t="inlineStr">
        <is>
          <t>异变林猿 难度4</t>
        </is>
      </c>
      <c r="C512" t="n">
        <v>93</v>
      </c>
      <c r="D512" t="n">
        <v>188</v>
      </c>
      <c r="E512" t="n">
        <v>155</v>
      </c>
      <c r="F512" s="85">
        <f>其他战斗玩法!K100</f>
        <v/>
      </c>
      <c r="G512" s="85">
        <f>其他战斗玩法!L100</f>
        <v/>
      </c>
      <c r="H512" s="85" t="n">
        <v>37.3454925150758</v>
      </c>
      <c r="I512" s="85">
        <f>其他战斗玩法!X100</f>
        <v/>
      </c>
      <c r="J512" s="85">
        <f>I512/H512</f>
        <v/>
      </c>
      <c r="K512" s="85" t="n">
        <v>53.7281339307239</v>
      </c>
      <c r="L512" s="85">
        <f>其他战斗玩法!Y100</f>
        <v/>
      </c>
      <c r="M512" s="85">
        <f>L512/K512</f>
        <v/>
      </c>
      <c r="N512" t="inlineStr">
        <is>
          <t>等效进度估算</t>
        </is>
      </c>
    </row>
    <row r="513">
      <c r="A513" t="inlineStr">
        <is>
          <t>其他战斗玩法</t>
        </is>
      </c>
      <c r="B513" t="inlineStr">
        <is>
          <t>雪怪王 难度5</t>
        </is>
      </c>
      <c r="C513" t="n">
        <v>111</v>
      </c>
      <c r="D513" t="n">
        <v>214</v>
      </c>
      <c r="E513" t="n">
        <v>179</v>
      </c>
      <c r="F513" s="85">
        <f>其他战斗玩法!K101</f>
        <v/>
      </c>
      <c r="G513" s="85">
        <f>其他战斗玩法!L101</f>
        <v/>
      </c>
      <c r="H513" s="85" t="n">
        <v>37.8109349293775</v>
      </c>
      <c r="I513" s="85">
        <f>其他战斗玩法!X101</f>
        <v/>
      </c>
      <c r="J513" s="85">
        <f>I513/H513</f>
        <v/>
      </c>
      <c r="K513" s="85" t="n">
        <v>56.1878735050552</v>
      </c>
      <c r="L513" s="85">
        <f>其他战斗玩法!Y101</f>
        <v/>
      </c>
      <c r="M513" s="85">
        <f>L513/K513</f>
        <v/>
      </c>
      <c r="N513" t="inlineStr">
        <is>
          <t>等效进度估算</t>
        </is>
      </c>
    </row>
    <row r="514">
      <c r="A514" t="inlineStr">
        <is>
          <t>其他战斗玩法</t>
        </is>
      </c>
      <c r="B514" t="inlineStr">
        <is>
          <t>莫尔拉 难度5</t>
        </is>
      </c>
      <c r="C514" t="n">
        <v>111</v>
      </c>
      <c r="D514" t="n">
        <v>214</v>
      </c>
      <c r="E514" t="n">
        <v>179</v>
      </c>
      <c r="F514" s="85">
        <f>其他战斗玩法!K102</f>
        <v/>
      </c>
      <c r="G514" s="85">
        <f>其他战斗玩法!L102</f>
        <v/>
      </c>
      <c r="H514" s="85" t="n">
        <v>37.8109349293775</v>
      </c>
      <c r="I514" s="85">
        <f>其他战斗玩法!X102</f>
        <v/>
      </c>
      <c r="J514" s="85">
        <f>I514/H514</f>
        <v/>
      </c>
      <c r="K514" s="85" t="n">
        <v>56.1878735050552</v>
      </c>
      <c r="L514" s="85">
        <f>其他战斗玩法!Y102</f>
        <v/>
      </c>
      <c r="M514" s="85">
        <f>L514/K514</f>
        <v/>
      </c>
      <c r="N514" t="inlineStr">
        <is>
          <t>等效进度估算</t>
        </is>
      </c>
    </row>
    <row r="515">
      <c r="A515" t="inlineStr">
        <is>
          <t>其他战斗玩法</t>
        </is>
      </c>
      <c r="B515" t="inlineStr">
        <is>
          <t>异变林猿 难度5</t>
        </is>
      </c>
      <c r="C515" t="n">
        <v>111</v>
      </c>
      <c r="D515" t="n">
        <v>214</v>
      </c>
      <c r="E515" t="n">
        <v>179</v>
      </c>
      <c r="F515" s="85">
        <f>其他战斗玩法!K103</f>
        <v/>
      </c>
      <c r="G515" s="85">
        <f>其他战斗玩法!L103</f>
        <v/>
      </c>
      <c r="H515" s="85" t="n">
        <v>37.8109349293775</v>
      </c>
      <c r="I515" s="85">
        <f>其他战斗玩法!X103</f>
        <v/>
      </c>
      <c r="J515" s="85">
        <f>I515/H515</f>
        <v/>
      </c>
      <c r="K515" s="85" t="n">
        <v>56.1878735050552</v>
      </c>
      <c r="L515" s="85">
        <f>其他战斗玩法!Y103</f>
        <v/>
      </c>
      <c r="M515" s="85">
        <f>L515/K515</f>
        <v/>
      </c>
      <c r="N515" t="inlineStr">
        <is>
          <t>等效进度估算</t>
        </is>
      </c>
    </row>
    <row r="516">
      <c r="A516" t="inlineStr">
        <is>
          <t>其他战斗玩法</t>
        </is>
      </c>
      <c r="B516" t="inlineStr">
        <is>
          <t>雪怪王 难度6</t>
        </is>
      </c>
      <c r="C516" t="n">
        <v>136</v>
      </c>
      <c r="D516" t="n">
        <v>244</v>
      </c>
      <c r="E516" t="n">
        <v>211</v>
      </c>
      <c r="F516" s="85">
        <f>其他战斗玩法!K104</f>
        <v/>
      </c>
      <c r="G516" s="85">
        <f>其他战斗玩法!L104</f>
        <v/>
      </c>
      <c r="H516" s="85" t="n">
        <v>38.9177754768656</v>
      </c>
      <c r="I516" s="85">
        <f>其他战斗玩法!X104</f>
        <v/>
      </c>
      <c r="J516" s="85">
        <f>I516/H516</f>
        <v/>
      </c>
      <c r="K516" s="85" t="n">
        <v>57.2559533786203</v>
      </c>
      <c r="L516" s="85">
        <f>其他战斗玩法!Y104</f>
        <v/>
      </c>
      <c r="M516" s="85">
        <f>L516/K516</f>
        <v/>
      </c>
      <c r="N516" t="inlineStr">
        <is>
          <t>等效进度估算</t>
        </is>
      </c>
    </row>
    <row r="517">
      <c r="A517" t="inlineStr">
        <is>
          <t>其他战斗玩法</t>
        </is>
      </c>
      <c r="B517" t="inlineStr">
        <is>
          <t>莫尔拉 难度6</t>
        </is>
      </c>
      <c r="C517" t="n">
        <v>136</v>
      </c>
      <c r="D517" t="n">
        <v>244</v>
      </c>
      <c r="E517" t="n">
        <v>211</v>
      </c>
      <c r="F517" s="85">
        <f>其他战斗玩法!K105</f>
        <v/>
      </c>
      <c r="G517" s="85">
        <f>其他战斗玩法!L105</f>
        <v/>
      </c>
      <c r="H517" s="85" t="n">
        <v>38.9177754768656</v>
      </c>
      <c r="I517" s="85">
        <f>其他战斗玩法!X105</f>
        <v/>
      </c>
      <c r="J517" s="85">
        <f>I517/H517</f>
        <v/>
      </c>
      <c r="K517" s="85" t="n">
        <v>57.2559533786203</v>
      </c>
      <c r="L517" s="85">
        <f>其他战斗玩法!Y105</f>
        <v/>
      </c>
      <c r="M517" s="85">
        <f>L517/K517</f>
        <v/>
      </c>
      <c r="N517" t="inlineStr">
        <is>
          <t>等效进度估算</t>
        </is>
      </c>
    </row>
    <row r="518">
      <c r="A518" t="inlineStr">
        <is>
          <t>其他战斗玩法</t>
        </is>
      </c>
      <c r="B518" t="inlineStr">
        <is>
          <t>异变林猿 难度6</t>
        </is>
      </c>
      <c r="C518" t="n">
        <v>136</v>
      </c>
      <c r="D518" t="n">
        <v>244</v>
      </c>
      <c r="E518" t="n">
        <v>211</v>
      </c>
      <c r="F518" s="85">
        <f>其他战斗玩法!K106</f>
        <v/>
      </c>
      <c r="G518" s="85">
        <f>其他战斗玩法!L106</f>
        <v/>
      </c>
      <c r="H518" s="85" t="n">
        <v>38.9177754768656</v>
      </c>
      <c r="I518" s="85">
        <f>其他战斗玩法!X106</f>
        <v/>
      </c>
      <c r="J518" s="85">
        <f>I518/H518</f>
        <v/>
      </c>
      <c r="K518" s="85" t="n">
        <v>57.2559533786203</v>
      </c>
      <c r="L518" s="85">
        <f>其他战斗玩法!Y106</f>
        <v/>
      </c>
      <c r="M518" s="85">
        <f>L518/K518</f>
        <v/>
      </c>
      <c r="N518" t="inlineStr">
        <is>
          <t>等效进度估算</t>
        </is>
      </c>
    </row>
    <row r="519">
      <c r="A519" t="inlineStr">
        <is>
          <t>其他战斗玩法</t>
        </is>
      </c>
      <c r="B519" t="inlineStr">
        <is>
          <t>雪怪王 难度7</t>
        </is>
      </c>
      <c r="C519" t="n">
        <v>164</v>
      </c>
      <c r="D519" t="n">
        <v>266</v>
      </c>
      <c r="E519" t="n">
        <v>238</v>
      </c>
      <c r="F519" s="85">
        <f>其他战斗玩法!K107</f>
        <v/>
      </c>
      <c r="G519" s="85">
        <f>其他战斗玩法!L107</f>
        <v/>
      </c>
      <c r="H519" s="85" t="n">
        <v>40.7971797866134</v>
      </c>
      <c r="I519" s="85">
        <f>其他战斗玩法!X107</f>
        <v/>
      </c>
      <c r="J519" s="85">
        <f>I519/H519</f>
        <v/>
      </c>
      <c r="K519" s="85" t="n">
        <v>56.8249148432927</v>
      </c>
      <c r="L519" s="85">
        <f>其他战斗玩法!Y107</f>
        <v/>
      </c>
      <c r="M519" s="85">
        <f>L519/K519</f>
        <v/>
      </c>
      <c r="N519" t="inlineStr">
        <is>
          <t>等效进度估算</t>
        </is>
      </c>
    </row>
    <row r="520">
      <c r="A520" t="inlineStr">
        <is>
          <t>其他战斗玩法</t>
        </is>
      </c>
      <c r="B520" t="inlineStr">
        <is>
          <t>莫尔拉 难度7</t>
        </is>
      </c>
      <c r="C520" t="n">
        <v>164</v>
      </c>
      <c r="D520" t="n">
        <v>266</v>
      </c>
      <c r="E520" t="n">
        <v>238</v>
      </c>
      <c r="F520" s="85">
        <f>其他战斗玩法!K108</f>
        <v/>
      </c>
      <c r="G520" s="85">
        <f>其他战斗玩法!L108</f>
        <v/>
      </c>
      <c r="H520" s="85" t="n">
        <v>40.7971797866134</v>
      </c>
      <c r="I520" s="85">
        <f>其他战斗玩法!X108</f>
        <v/>
      </c>
      <c r="J520" s="85">
        <f>I520/H520</f>
        <v/>
      </c>
      <c r="K520" s="85" t="n">
        <v>56.8249148432927</v>
      </c>
      <c r="L520" s="85">
        <f>其他战斗玩法!Y108</f>
        <v/>
      </c>
      <c r="M520" s="85">
        <f>L520/K520</f>
        <v/>
      </c>
      <c r="N520" t="inlineStr">
        <is>
          <t>等效进度估算</t>
        </is>
      </c>
    </row>
    <row r="521">
      <c r="A521" t="inlineStr">
        <is>
          <t>其他战斗玩法</t>
        </is>
      </c>
      <c r="B521" t="inlineStr">
        <is>
          <t>异变林猿 难度7</t>
        </is>
      </c>
      <c r="C521" t="n">
        <v>164</v>
      </c>
      <c r="D521" t="n">
        <v>266</v>
      </c>
      <c r="E521" t="n">
        <v>238</v>
      </c>
      <c r="F521" s="85">
        <f>其他战斗玩法!K109</f>
        <v/>
      </c>
      <c r="G521" s="85">
        <f>其他战斗玩法!L109</f>
        <v/>
      </c>
      <c r="H521" s="85" t="n">
        <v>40.7971797866134</v>
      </c>
      <c r="I521" s="85">
        <f>其他战斗玩法!X109</f>
        <v/>
      </c>
      <c r="J521" s="85">
        <f>I521/H521</f>
        <v/>
      </c>
      <c r="K521" s="85" t="n">
        <v>56.8249148432927</v>
      </c>
      <c r="L521" s="85">
        <f>其他战斗玩法!Y109</f>
        <v/>
      </c>
      <c r="M521" s="85">
        <f>L521/K521</f>
        <v/>
      </c>
      <c r="N521" t="inlineStr">
        <is>
          <t>等效进度估算</t>
        </is>
      </c>
    </row>
    <row r="522">
      <c r="A522" t="inlineStr">
        <is>
          <t>其他战斗玩法</t>
        </is>
      </c>
      <c r="B522" t="inlineStr">
        <is>
          <t>雪怪王 难度8</t>
        </is>
      </c>
      <c r="C522" t="n">
        <v>202</v>
      </c>
      <c r="D522" t="n">
        <v>285</v>
      </c>
      <c r="E522" t="n">
        <v>268</v>
      </c>
      <c r="F522" s="85">
        <f>其他战斗玩法!K110</f>
        <v/>
      </c>
      <c r="G522" s="85">
        <f>其他战斗玩法!L110</f>
        <v/>
      </c>
      <c r="H522" s="85" t="n">
        <v>43.9448192974819</v>
      </c>
      <c r="I522" s="85">
        <f>其他战斗玩法!X110</f>
        <v/>
      </c>
      <c r="J522" s="85">
        <f>I522/H522</f>
        <v/>
      </c>
      <c r="K522" s="85" t="n">
        <v>55.106174818668</v>
      </c>
      <c r="L522" s="85">
        <f>其他战斗玩法!Y110</f>
        <v/>
      </c>
      <c r="M522" s="85">
        <f>L522/K522</f>
        <v/>
      </c>
      <c r="N522" t="inlineStr">
        <is>
          <t>等效进度估算</t>
        </is>
      </c>
    </row>
    <row r="523">
      <c r="A523" t="inlineStr">
        <is>
          <t>其他战斗玩法</t>
        </is>
      </c>
      <c r="B523" t="inlineStr">
        <is>
          <t>莫尔拉 难度8</t>
        </is>
      </c>
      <c r="C523" t="n">
        <v>202</v>
      </c>
      <c r="D523" t="n">
        <v>285</v>
      </c>
      <c r="E523" t="n">
        <v>268</v>
      </c>
      <c r="F523" s="85">
        <f>其他战斗玩法!K111</f>
        <v/>
      </c>
      <c r="G523" s="85">
        <f>其他战斗玩法!L111</f>
        <v/>
      </c>
      <c r="H523" s="85" t="n">
        <v>43.9448192974819</v>
      </c>
      <c r="I523" s="85">
        <f>其他战斗玩法!X111</f>
        <v/>
      </c>
      <c r="J523" s="85">
        <f>I523/H523</f>
        <v/>
      </c>
      <c r="K523" s="85" t="n">
        <v>55.106174818668</v>
      </c>
      <c r="L523" s="85">
        <f>其他战斗玩法!Y111</f>
        <v/>
      </c>
      <c r="M523" s="85">
        <f>L523/K523</f>
        <v/>
      </c>
      <c r="N523" t="inlineStr">
        <is>
          <t>等效进度估算</t>
        </is>
      </c>
    </row>
    <row r="524">
      <c r="A524" t="inlineStr">
        <is>
          <t>其他战斗玩法</t>
        </is>
      </c>
      <c r="B524" t="inlineStr">
        <is>
          <t>异变林猿 难度8</t>
        </is>
      </c>
      <c r="C524" t="n">
        <v>202</v>
      </c>
      <c r="D524" t="n">
        <v>285</v>
      </c>
      <c r="E524" t="n">
        <v>268</v>
      </c>
      <c r="F524" s="85">
        <f>其他战斗玩法!K112</f>
        <v/>
      </c>
      <c r="G524" s="85">
        <f>其他战斗玩法!L112</f>
        <v/>
      </c>
      <c r="H524" s="85" t="n">
        <v>43.9448192974819</v>
      </c>
      <c r="I524" s="85">
        <f>其他战斗玩法!X112</f>
        <v/>
      </c>
      <c r="J524" s="85">
        <f>I524/H524</f>
        <v/>
      </c>
      <c r="K524" s="85" t="n">
        <v>55.106174818668</v>
      </c>
      <c r="L524" s="85">
        <f>其他战斗玩法!Y112</f>
        <v/>
      </c>
      <c r="M524" s="85">
        <f>L524/K524</f>
        <v/>
      </c>
      <c r="N524" t="inlineStr">
        <is>
          <t>等效进度估算</t>
        </is>
      </c>
    </row>
    <row r="525">
      <c r="A525" t="inlineStr">
        <is>
          <t>其他战斗玩法</t>
        </is>
      </c>
      <c r="B525" t="inlineStr">
        <is>
          <t>雪怪王 难度9</t>
        </is>
      </c>
      <c r="C525" t="n">
        <v>247</v>
      </c>
      <c r="D525" t="n">
        <v>302</v>
      </c>
      <c r="E525" t="n">
        <v>300</v>
      </c>
      <c r="F525" s="85">
        <f>其他战斗玩法!K113</f>
        <v/>
      </c>
      <c r="G525" s="85">
        <f>其他战斗玩法!L113</f>
        <v/>
      </c>
      <c r="H525" s="85" t="n">
        <v>49.7664468024278</v>
      </c>
      <c r="I525" s="85">
        <f>其他战斗玩法!X113</f>
        <v/>
      </c>
      <c r="J525" s="85">
        <f>I525/H525</f>
        <v/>
      </c>
      <c r="K525" s="85" t="n">
        <v>51.4814131650759</v>
      </c>
      <c r="L525" s="85">
        <f>其他战斗玩法!Y113</f>
        <v/>
      </c>
      <c r="M525" s="85">
        <f>L525/K525</f>
        <v/>
      </c>
      <c r="N525" t="inlineStr">
        <is>
          <t>等效进度估算</t>
        </is>
      </c>
    </row>
    <row r="526">
      <c r="A526" t="inlineStr">
        <is>
          <t>其他战斗玩法</t>
        </is>
      </c>
      <c r="B526" t="inlineStr">
        <is>
          <t>莫尔拉 难度9</t>
        </is>
      </c>
      <c r="C526" t="n">
        <v>247</v>
      </c>
      <c r="D526" t="n">
        <v>302</v>
      </c>
      <c r="E526" t="n">
        <v>300</v>
      </c>
      <c r="F526" s="85">
        <f>其他战斗玩法!K114</f>
        <v/>
      </c>
      <c r="G526" s="85">
        <f>其他战斗玩法!L114</f>
        <v/>
      </c>
      <c r="H526" s="85" t="n">
        <v>49.7664468024278</v>
      </c>
      <c r="I526" s="85">
        <f>其他战斗玩法!X114</f>
        <v/>
      </c>
      <c r="J526" s="85">
        <f>I526/H526</f>
        <v/>
      </c>
      <c r="K526" s="85" t="n">
        <v>51.4814131650759</v>
      </c>
      <c r="L526" s="85">
        <f>其他战斗玩法!Y114</f>
        <v/>
      </c>
      <c r="M526" s="85">
        <f>L526/K526</f>
        <v/>
      </c>
      <c r="N526" t="inlineStr">
        <is>
          <t>等效进度估算</t>
        </is>
      </c>
    </row>
    <row r="527">
      <c r="A527" t="inlineStr">
        <is>
          <t>其他战斗玩法</t>
        </is>
      </c>
      <c r="B527" t="inlineStr">
        <is>
          <t>异变林猿 难度9</t>
        </is>
      </c>
      <c r="C527" t="n">
        <v>247</v>
      </c>
      <c r="D527" t="n">
        <v>302</v>
      </c>
      <c r="E527" t="n">
        <v>300</v>
      </c>
      <c r="F527" s="85">
        <f>其他战斗玩法!K115</f>
        <v/>
      </c>
      <c r="G527" s="85">
        <f>其他战斗玩法!L115</f>
        <v/>
      </c>
      <c r="H527" s="85" t="n">
        <v>49.7664468024278</v>
      </c>
      <c r="I527" s="85">
        <f>其他战斗玩法!X115</f>
        <v/>
      </c>
      <c r="J527" s="85">
        <f>I527/H527</f>
        <v/>
      </c>
      <c r="K527" s="85" t="n">
        <v>51.4814131650759</v>
      </c>
      <c r="L527" s="85">
        <f>其他战斗玩法!Y115</f>
        <v/>
      </c>
      <c r="M527" s="85">
        <f>L527/K527</f>
        <v/>
      </c>
      <c r="N527" t="inlineStr">
        <is>
          <t>等效进度估算</t>
        </is>
      </c>
    </row>
    <row r="528">
      <c r="A528" t="inlineStr">
        <is>
          <t>其他战斗玩法</t>
        </is>
      </c>
      <c r="B528" t="inlineStr">
        <is>
          <t>雪怪王 难度10</t>
        </is>
      </c>
      <c r="C528" t="n">
        <v>278</v>
      </c>
      <c r="D528" t="n">
        <v>318</v>
      </c>
      <c r="E528" t="n">
        <v>327</v>
      </c>
      <c r="F528" s="85">
        <f>其他战斗玩法!K116</f>
        <v/>
      </c>
      <c r="G528" s="85">
        <f>其他战斗玩法!L116</f>
        <v/>
      </c>
      <c r="H528" s="85" t="n">
        <v>58.7862851553518</v>
      </c>
      <c r="I528" s="85">
        <f>其他战斗玩法!X116</f>
        <v/>
      </c>
      <c r="J528" s="85">
        <f>I528/H528</f>
        <v/>
      </c>
      <c r="K528" s="85" t="n">
        <v>46.6196272829311</v>
      </c>
      <c r="L528" s="85">
        <f>其他战斗玩法!Y116</f>
        <v/>
      </c>
      <c r="M528" s="85">
        <f>L528/K528</f>
        <v/>
      </c>
      <c r="N528" t="inlineStr">
        <is>
          <t>等效进度估算</t>
        </is>
      </c>
    </row>
    <row r="529">
      <c r="A529" t="inlineStr">
        <is>
          <t>其他战斗玩法</t>
        </is>
      </c>
      <c r="B529" t="inlineStr">
        <is>
          <t>雪怪王 难度11</t>
        </is>
      </c>
      <c r="C529" t="n">
        <v>278</v>
      </c>
      <c r="D529" t="n">
        <v>318</v>
      </c>
      <c r="E529" t="n">
        <v>327</v>
      </c>
      <c r="F529" s="85">
        <f>其他战斗玩法!K117</f>
        <v/>
      </c>
      <c r="G529" s="85">
        <f>其他战斗玩法!L117</f>
        <v/>
      </c>
      <c r="H529" s="85" t="n">
        <v>58.7862851553518</v>
      </c>
      <c r="I529" s="85">
        <f>其他战斗玩法!X117</f>
        <v/>
      </c>
      <c r="J529" s="85">
        <f>I529/H529</f>
        <v/>
      </c>
      <c r="K529" s="85" t="n">
        <v>46.6196272829311</v>
      </c>
      <c r="L529" s="85">
        <f>其他战斗玩法!Y117</f>
        <v/>
      </c>
      <c r="M529" s="85">
        <f>L529/K529</f>
        <v/>
      </c>
      <c r="N529" t="inlineStr">
        <is>
          <t>等效进度估算</t>
        </is>
      </c>
    </row>
    <row r="530">
      <c r="A530" t="inlineStr">
        <is>
          <t>其他战斗玩法</t>
        </is>
      </c>
      <c r="B530" t="inlineStr">
        <is>
          <t>雪怪王 难度12</t>
        </is>
      </c>
      <c r="C530" t="n">
        <v>278</v>
      </c>
      <c r="D530" t="n">
        <v>318</v>
      </c>
      <c r="E530" t="n">
        <v>327</v>
      </c>
      <c r="F530" s="85">
        <f>其他战斗玩法!K118</f>
        <v/>
      </c>
      <c r="G530" s="85">
        <f>其他战斗玩法!L118</f>
        <v/>
      </c>
      <c r="H530" s="85" t="n">
        <v>58.7862851553518</v>
      </c>
      <c r="I530" s="85">
        <f>其他战斗玩法!X118</f>
        <v/>
      </c>
      <c r="J530" s="85">
        <f>I530/H530</f>
        <v/>
      </c>
      <c r="K530" s="85" t="n">
        <v>46.6196272829311</v>
      </c>
      <c r="L530" s="85">
        <f>其他战斗玩法!Y118</f>
        <v/>
      </c>
      <c r="M530" s="85">
        <f>L530/K530</f>
        <v/>
      </c>
      <c r="N530" t="inlineStr">
        <is>
          <t>等效进度估算</t>
        </is>
      </c>
    </row>
    <row r="531">
      <c r="A531" t="inlineStr">
        <is>
          <t>其他战斗玩法</t>
        </is>
      </c>
      <c r="B531" t="inlineStr">
        <is>
          <t>雪怪王 难度13</t>
        </is>
      </c>
      <c r="C531" t="n">
        <v>278</v>
      </c>
      <c r="D531" t="n">
        <v>318</v>
      </c>
      <c r="E531" t="n">
        <v>327</v>
      </c>
      <c r="F531" s="85">
        <f>其他战斗玩法!K119</f>
        <v/>
      </c>
      <c r="G531" s="85">
        <f>其他战斗玩法!L119</f>
        <v/>
      </c>
      <c r="H531" s="85" t="n">
        <v>58.7862851553518</v>
      </c>
      <c r="I531" s="85">
        <f>其他战斗玩法!X119</f>
        <v/>
      </c>
      <c r="J531" s="85">
        <f>I531/H531</f>
        <v/>
      </c>
      <c r="K531" s="85" t="n">
        <v>46.6196272829311</v>
      </c>
      <c r="L531" s="85">
        <f>其他战斗玩法!Y119</f>
        <v/>
      </c>
      <c r="M531" s="85">
        <f>L531/K531</f>
        <v/>
      </c>
      <c r="N531" t="inlineStr">
        <is>
          <t>等效进度估算</t>
        </is>
      </c>
    </row>
    <row r="532">
      <c r="A532" t="inlineStr">
        <is>
          <t>其他战斗玩法</t>
        </is>
      </c>
      <c r="B532" t="inlineStr">
        <is>
          <t>雪怪王 难度14</t>
        </is>
      </c>
      <c r="C532" t="n">
        <v>278</v>
      </c>
      <c r="D532" t="n">
        <v>318</v>
      </c>
      <c r="E532" t="n">
        <v>327</v>
      </c>
      <c r="F532" s="85">
        <f>其他战斗玩法!K120</f>
        <v/>
      </c>
      <c r="G532" s="85">
        <f>其他战斗玩法!L120</f>
        <v/>
      </c>
      <c r="H532" s="85" t="n">
        <v>58.7862851553518</v>
      </c>
      <c r="I532" s="85">
        <f>其他战斗玩法!X120</f>
        <v/>
      </c>
      <c r="J532" s="85">
        <f>I532/H532</f>
        <v/>
      </c>
      <c r="K532" s="85" t="n">
        <v>46.6196272829311</v>
      </c>
      <c r="L532" s="85">
        <f>其他战斗玩法!Y120</f>
        <v/>
      </c>
      <c r="M532" s="85">
        <f>L532/K532</f>
        <v/>
      </c>
      <c r="N532" t="inlineStr">
        <is>
          <t>等效进度估算</t>
        </is>
      </c>
    </row>
    <row r="533">
      <c r="A533" t="inlineStr">
        <is>
          <t>其他战斗玩法</t>
        </is>
      </c>
      <c r="B533" t="inlineStr">
        <is>
          <t>雪怪王 难度15</t>
        </is>
      </c>
      <c r="C533" t="n">
        <v>278</v>
      </c>
      <c r="D533" t="n">
        <v>318</v>
      </c>
      <c r="E533" t="n">
        <v>327</v>
      </c>
      <c r="F533" s="85">
        <f>其他战斗玩法!K121</f>
        <v/>
      </c>
      <c r="G533" s="85">
        <f>其他战斗玩法!L121</f>
        <v/>
      </c>
      <c r="H533" s="85" t="n">
        <v>58.7862851553518</v>
      </c>
      <c r="I533" s="85">
        <f>其他战斗玩法!X121</f>
        <v/>
      </c>
      <c r="J533" s="85">
        <f>I533/H533</f>
        <v/>
      </c>
      <c r="K533" s="85" t="n">
        <v>46.6196272829311</v>
      </c>
      <c r="L533" s="85">
        <f>其他战斗玩法!Y121</f>
        <v/>
      </c>
      <c r="M533" s="85">
        <f>L533/K533</f>
        <v/>
      </c>
      <c r="N533" t="inlineStr">
        <is>
          <t>等效进度估算</t>
        </is>
      </c>
    </row>
    <row r="534">
      <c r="A534" t="inlineStr">
        <is>
          <t>其他战斗玩法</t>
        </is>
      </c>
      <c r="B534" t="inlineStr">
        <is>
          <t>雪怪王 难度16</t>
        </is>
      </c>
      <c r="C534" t="n">
        <v>278</v>
      </c>
      <c r="D534" t="n">
        <v>318</v>
      </c>
      <c r="E534" t="n">
        <v>327</v>
      </c>
      <c r="F534" s="85">
        <f>其他战斗玩法!K122</f>
        <v/>
      </c>
      <c r="G534" s="85">
        <f>其他战斗玩法!L122</f>
        <v/>
      </c>
      <c r="H534" s="85" t="n">
        <v>58.7862851553518</v>
      </c>
      <c r="I534" s="85">
        <f>其他战斗玩法!X122</f>
        <v/>
      </c>
      <c r="J534" s="85">
        <f>I534/H534</f>
        <v/>
      </c>
      <c r="K534" s="85" t="n">
        <v>46.6196272829311</v>
      </c>
      <c r="L534" s="85">
        <f>其他战斗玩法!Y122</f>
        <v/>
      </c>
      <c r="M534" s="85">
        <f>L534/K534</f>
        <v/>
      </c>
      <c r="N534" t="inlineStr">
        <is>
          <t>等效进度估算</t>
        </is>
      </c>
    </row>
    <row r="535">
      <c r="A535" t="inlineStr">
        <is>
          <t>其他战斗玩法</t>
        </is>
      </c>
      <c r="B535" t="inlineStr">
        <is>
          <t>雪怪王 难度17</t>
        </is>
      </c>
      <c r="C535" t="n">
        <v>278</v>
      </c>
      <c r="D535" t="n">
        <v>318</v>
      </c>
      <c r="E535" t="n">
        <v>327</v>
      </c>
      <c r="F535" s="85">
        <f>其他战斗玩法!K123</f>
        <v/>
      </c>
      <c r="G535" s="85">
        <f>其他战斗玩法!L123</f>
        <v/>
      </c>
      <c r="H535" s="85" t="n">
        <v>58.7862851553518</v>
      </c>
      <c r="I535" s="85">
        <f>其他战斗玩法!X123</f>
        <v/>
      </c>
      <c r="J535" s="85">
        <f>I535/H535</f>
        <v/>
      </c>
      <c r="K535" s="85" t="n">
        <v>46.6196272829311</v>
      </c>
      <c r="L535" s="85">
        <f>其他战斗玩法!Y123</f>
        <v/>
      </c>
      <c r="M535" s="85">
        <f>L535/K535</f>
        <v/>
      </c>
      <c r="N535" t="inlineStr">
        <is>
          <t>等效进度估算</t>
        </is>
      </c>
    </row>
    <row r="536">
      <c r="A536" t="inlineStr">
        <is>
          <t>其他战斗玩法</t>
        </is>
      </c>
      <c r="B536" t="inlineStr">
        <is>
          <t>雪怪王 难度18</t>
        </is>
      </c>
      <c r="C536" t="n">
        <v>278</v>
      </c>
      <c r="D536" t="n">
        <v>318</v>
      </c>
      <c r="E536" t="n">
        <v>327</v>
      </c>
      <c r="F536" s="85">
        <f>其他战斗玩法!K124</f>
        <v/>
      </c>
      <c r="G536" s="85">
        <f>其他战斗玩法!L124</f>
        <v/>
      </c>
      <c r="H536" s="85" t="n">
        <v>58.7862851553518</v>
      </c>
      <c r="I536" s="85">
        <f>其他战斗玩法!X124</f>
        <v/>
      </c>
      <c r="J536" s="85">
        <f>I536/H536</f>
        <v/>
      </c>
      <c r="K536" s="85" t="n">
        <v>46.6196272829311</v>
      </c>
      <c r="L536" s="85">
        <f>其他战斗玩法!Y124</f>
        <v/>
      </c>
      <c r="M536" s="85">
        <f>L536/K536</f>
        <v/>
      </c>
      <c r="N536" t="inlineStr">
        <is>
          <t>等效进度估算</t>
        </is>
      </c>
    </row>
    <row r="537">
      <c r="A537" t="inlineStr">
        <is>
          <t>其他战斗玩法</t>
        </is>
      </c>
      <c r="B537" t="inlineStr">
        <is>
          <t>雪怪王 难度19</t>
        </is>
      </c>
      <c r="C537" t="n">
        <v>278</v>
      </c>
      <c r="D537" t="n">
        <v>318</v>
      </c>
      <c r="E537" t="n">
        <v>327</v>
      </c>
      <c r="F537" s="85">
        <f>其他战斗玩法!K125</f>
        <v/>
      </c>
      <c r="G537" s="85">
        <f>其他战斗玩法!L125</f>
        <v/>
      </c>
      <c r="H537" s="85" t="n">
        <v>58.7862851553518</v>
      </c>
      <c r="I537" s="85">
        <f>其他战斗玩法!X125</f>
        <v/>
      </c>
      <c r="J537" s="85">
        <f>I537/H537</f>
        <v/>
      </c>
      <c r="K537" s="85" t="n">
        <v>46.6196272829311</v>
      </c>
      <c r="L537" s="85">
        <f>其他战斗玩法!Y125</f>
        <v/>
      </c>
      <c r="M537" s="85">
        <f>L537/K537</f>
        <v/>
      </c>
      <c r="N537" t="inlineStr">
        <is>
          <t>等效进度估算</t>
        </is>
      </c>
    </row>
    <row r="538">
      <c r="A538" t="inlineStr">
        <is>
          <t>其他战斗玩法</t>
        </is>
      </c>
      <c r="B538" t="inlineStr">
        <is>
          <t>雪怪王 难度20</t>
        </is>
      </c>
      <c r="C538" t="n">
        <v>278</v>
      </c>
      <c r="D538" t="n">
        <v>318</v>
      </c>
      <c r="E538" t="n">
        <v>327</v>
      </c>
      <c r="F538" s="85">
        <f>其他战斗玩法!K126</f>
        <v/>
      </c>
      <c r="G538" s="85">
        <f>其他战斗玩法!L126</f>
        <v/>
      </c>
      <c r="H538" s="85" t="n">
        <v>58.7862851553518</v>
      </c>
      <c r="I538" s="85">
        <f>其他战斗玩法!X126</f>
        <v/>
      </c>
      <c r="J538" s="85">
        <f>I538/H538</f>
        <v/>
      </c>
      <c r="K538" s="85" t="n">
        <v>46.6196272829311</v>
      </c>
      <c r="L538" s="85">
        <f>其他战斗玩法!Y126</f>
        <v/>
      </c>
      <c r="M538" s="85">
        <f>L538/K538</f>
        <v/>
      </c>
      <c r="N538" t="inlineStr">
        <is>
          <t>等效进度估算</t>
        </is>
      </c>
    </row>
    <row r="539">
      <c r="A539" t="inlineStr">
        <is>
          <t>其他战斗玩法</t>
        </is>
      </c>
      <c r="B539" t="inlineStr">
        <is>
          <t>莫尔拉 难度10</t>
        </is>
      </c>
      <c r="C539" t="n">
        <v>278</v>
      </c>
      <c r="D539" t="n">
        <v>318</v>
      </c>
      <c r="E539" t="n">
        <v>327</v>
      </c>
      <c r="F539" s="85">
        <f>其他战斗玩法!K127</f>
        <v/>
      </c>
      <c r="G539" s="85">
        <f>其他战斗玩法!L127</f>
        <v/>
      </c>
      <c r="H539" s="85" t="n">
        <v>58.7862851553518</v>
      </c>
      <c r="I539" s="85">
        <f>其他战斗玩法!X127</f>
        <v/>
      </c>
      <c r="J539" s="85">
        <f>I539/H539</f>
        <v/>
      </c>
      <c r="K539" s="85" t="n">
        <v>46.6196272829311</v>
      </c>
      <c r="L539" s="85">
        <f>其他战斗玩法!Y127</f>
        <v/>
      </c>
      <c r="M539" s="85">
        <f>L539/K539</f>
        <v/>
      </c>
      <c r="N539" t="inlineStr">
        <is>
          <t>等效进度估算</t>
        </is>
      </c>
    </row>
    <row r="540">
      <c r="A540" t="inlineStr">
        <is>
          <t>其他战斗玩法</t>
        </is>
      </c>
      <c r="B540" t="inlineStr">
        <is>
          <t>莫尔拉 难度11</t>
        </is>
      </c>
      <c r="C540" t="n">
        <v>278</v>
      </c>
      <c r="D540" t="n">
        <v>318</v>
      </c>
      <c r="E540" t="n">
        <v>327</v>
      </c>
      <c r="F540" s="85">
        <f>其他战斗玩法!K128</f>
        <v/>
      </c>
      <c r="G540" s="85">
        <f>其他战斗玩法!L128</f>
        <v/>
      </c>
      <c r="H540" s="85" t="n">
        <v>58.7862851553518</v>
      </c>
      <c r="I540" s="85">
        <f>其他战斗玩法!X128</f>
        <v/>
      </c>
      <c r="J540" s="85">
        <f>I540/H540</f>
        <v/>
      </c>
      <c r="K540" s="85" t="n">
        <v>46.6196272829311</v>
      </c>
      <c r="L540" s="85">
        <f>其他战斗玩法!Y128</f>
        <v/>
      </c>
      <c r="M540" s="85">
        <f>L540/K540</f>
        <v/>
      </c>
      <c r="N540" t="inlineStr">
        <is>
          <t>等效进度估算</t>
        </is>
      </c>
    </row>
    <row r="541">
      <c r="A541" t="inlineStr">
        <is>
          <t>其他战斗玩法</t>
        </is>
      </c>
      <c r="B541" t="inlineStr">
        <is>
          <t>莫尔拉 难度12</t>
        </is>
      </c>
      <c r="C541" t="n">
        <v>278</v>
      </c>
      <c r="D541" t="n">
        <v>318</v>
      </c>
      <c r="E541" t="n">
        <v>327</v>
      </c>
      <c r="F541" s="85">
        <f>其他战斗玩法!K129</f>
        <v/>
      </c>
      <c r="G541" s="85">
        <f>其他战斗玩法!L129</f>
        <v/>
      </c>
      <c r="H541" s="85" t="n">
        <v>58.7862851553518</v>
      </c>
      <c r="I541" s="85">
        <f>其他战斗玩法!X129</f>
        <v/>
      </c>
      <c r="J541" s="85">
        <f>I541/H541</f>
        <v/>
      </c>
      <c r="K541" s="85" t="n">
        <v>46.6196272829311</v>
      </c>
      <c r="L541" s="85">
        <f>其他战斗玩法!Y129</f>
        <v/>
      </c>
      <c r="M541" s="85">
        <f>L541/K541</f>
        <v/>
      </c>
      <c r="N541" t="inlineStr">
        <is>
          <t>等效进度估算</t>
        </is>
      </c>
    </row>
    <row r="542">
      <c r="A542" t="inlineStr">
        <is>
          <t>其他战斗玩法</t>
        </is>
      </c>
      <c r="B542" t="inlineStr">
        <is>
          <t>莫尔拉 难度13</t>
        </is>
      </c>
      <c r="C542" t="n">
        <v>278</v>
      </c>
      <c r="D542" t="n">
        <v>318</v>
      </c>
      <c r="E542" t="n">
        <v>327</v>
      </c>
      <c r="F542" s="85">
        <f>其他战斗玩法!K130</f>
        <v/>
      </c>
      <c r="G542" s="85">
        <f>其他战斗玩法!L130</f>
        <v/>
      </c>
      <c r="H542" s="85" t="n">
        <v>58.7862851553518</v>
      </c>
      <c r="I542" s="85">
        <f>其他战斗玩法!X130</f>
        <v/>
      </c>
      <c r="J542" s="85">
        <f>I542/H542</f>
        <v/>
      </c>
      <c r="K542" s="85" t="n">
        <v>46.6196272829311</v>
      </c>
      <c r="L542" s="85">
        <f>其他战斗玩法!Y130</f>
        <v/>
      </c>
      <c r="M542" s="85">
        <f>L542/K542</f>
        <v/>
      </c>
      <c r="N542" t="inlineStr">
        <is>
          <t>等效进度估算</t>
        </is>
      </c>
    </row>
    <row r="543">
      <c r="A543" t="inlineStr">
        <is>
          <t>其他战斗玩法</t>
        </is>
      </c>
      <c r="B543" t="inlineStr">
        <is>
          <t>莫尔拉 难度14</t>
        </is>
      </c>
      <c r="C543" t="n">
        <v>278</v>
      </c>
      <c r="D543" t="n">
        <v>318</v>
      </c>
      <c r="E543" t="n">
        <v>327</v>
      </c>
      <c r="F543" s="85">
        <f>其他战斗玩法!K131</f>
        <v/>
      </c>
      <c r="G543" s="85">
        <f>其他战斗玩法!L131</f>
        <v/>
      </c>
      <c r="H543" s="85" t="n">
        <v>58.7862851553518</v>
      </c>
      <c r="I543" s="85">
        <f>其他战斗玩法!X131</f>
        <v/>
      </c>
      <c r="J543" s="85">
        <f>I543/H543</f>
        <v/>
      </c>
      <c r="K543" s="85" t="n">
        <v>46.6196272829311</v>
      </c>
      <c r="L543" s="85">
        <f>其他战斗玩法!Y131</f>
        <v/>
      </c>
      <c r="M543" s="85">
        <f>L543/K543</f>
        <v/>
      </c>
      <c r="N543" t="inlineStr">
        <is>
          <t>等效进度估算</t>
        </is>
      </c>
    </row>
    <row r="544">
      <c r="A544" t="inlineStr">
        <is>
          <t>其他战斗玩法</t>
        </is>
      </c>
      <c r="B544" t="inlineStr">
        <is>
          <t>莫尔拉 难度15</t>
        </is>
      </c>
      <c r="C544" t="n">
        <v>278</v>
      </c>
      <c r="D544" t="n">
        <v>318</v>
      </c>
      <c r="E544" t="n">
        <v>327</v>
      </c>
      <c r="F544" s="85">
        <f>其他战斗玩法!K132</f>
        <v/>
      </c>
      <c r="G544" s="85">
        <f>其他战斗玩法!L132</f>
        <v/>
      </c>
      <c r="H544" s="85" t="n">
        <v>58.7862851553518</v>
      </c>
      <c r="I544" s="85">
        <f>其他战斗玩法!X132</f>
        <v/>
      </c>
      <c r="J544" s="85">
        <f>I544/H544</f>
        <v/>
      </c>
      <c r="K544" s="85" t="n">
        <v>46.6196272829311</v>
      </c>
      <c r="L544" s="85">
        <f>其他战斗玩法!Y132</f>
        <v/>
      </c>
      <c r="M544" s="85">
        <f>L544/K544</f>
        <v/>
      </c>
      <c r="N544" t="inlineStr">
        <is>
          <t>等效进度估算</t>
        </is>
      </c>
    </row>
    <row r="545">
      <c r="A545" t="inlineStr">
        <is>
          <t>其他战斗玩法</t>
        </is>
      </c>
      <c r="B545" t="inlineStr">
        <is>
          <t>莫尔拉 难度16</t>
        </is>
      </c>
      <c r="C545" t="n">
        <v>278</v>
      </c>
      <c r="D545" t="n">
        <v>318</v>
      </c>
      <c r="E545" t="n">
        <v>327</v>
      </c>
      <c r="F545" s="85">
        <f>其他战斗玩法!K133</f>
        <v/>
      </c>
      <c r="G545" s="85">
        <f>其他战斗玩法!L133</f>
        <v/>
      </c>
      <c r="H545" s="85" t="n">
        <v>58.7862851553518</v>
      </c>
      <c r="I545" s="85">
        <f>其他战斗玩法!X133</f>
        <v/>
      </c>
      <c r="J545" s="85">
        <f>I545/H545</f>
        <v/>
      </c>
      <c r="K545" s="85" t="n">
        <v>46.6196272829311</v>
      </c>
      <c r="L545" s="85">
        <f>其他战斗玩法!Y133</f>
        <v/>
      </c>
      <c r="M545" s="85">
        <f>L545/K545</f>
        <v/>
      </c>
      <c r="N545" t="inlineStr">
        <is>
          <t>等效进度估算</t>
        </is>
      </c>
    </row>
    <row r="546">
      <c r="A546" t="inlineStr">
        <is>
          <t>其他战斗玩法</t>
        </is>
      </c>
      <c r="B546" t="inlineStr">
        <is>
          <t>莫尔拉 难度17</t>
        </is>
      </c>
      <c r="C546" t="n">
        <v>278</v>
      </c>
      <c r="D546" t="n">
        <v>318</v>
      </c>
      <c r="E546" t="n">
        <v>327</v>
      </c>
      <c r="F546" s="85">
        <f>其他战斗玩法!K134</f>
        <v/>
      </c>
      <c r="G546" s="85">
        <f>其他战斗玩法!L134</f>
        <v/>
      </c>
      <c r="H546" s="85" t="n">
        <v>58.7862851553518</v>
      </c>
      <c r="I546" s="85">
        <f>其他战斗玩法!X134</f>
        <v/>
      </c>
      <c r="J546" s="85">
        <f>I546/H546</f>
        <v/>
      </c>
      <c r="K546" s="85" t="n">
        <v>46.6196272829311</v>
      </c>
      <c r="L546" s="85">
        <f>其他战斗玩法!Y134</f>
        <v/>
      </c>
      <c r="M546" s="85">
        <f>L546/K546</f>
        <v/>
      </c>
      <c r="N546" t="inlineStr">
        <is>
          <t>等效进度估算</t>
        </is>
      </c>
    </row>
    <row r="547">
      <c r="A547" t="inlineStr">
        <is>
          <t>其他战斗玩法</t>
        </is>
      </c>
      <c r="B547" t="inlineStr">
        <is>
          <t>莫尔拉 难度18</t>
        </is>
      </c>
      <c r="C547" t="n">
        <v>278</v>
      </c>
      <c r="D547" t="n">
        <v>318</v>
      </c>
      <c r="E547" t="n">
        <v>327</v>
      </c>
      <c r="F547" s="85">
        <f>其他战斗玩法!K135</f>
        <v/>
      </c>
      <c r="G547" s="85">
        <f>其他战斗玩法!L135</f>
        <v/>
      </c>
      <c r="H547" s="85" t="n">
        <v>58.7862851553518</v>
      </c>
      <c r="I547" s="85">
        <f>其他战斗玩法!X135</f>
        <v/>
      </c>
      <c r="J547" s="85">
        <f>I547/H547</f>
        <v/>
      </c>
      <c r="K547" s="85" t="n">
        <v>46.6196272829311</v>
      </c>
      <c r="L547" s="85">
        <f>其他战斗玩法!Y135</f>
        <v/>
      </c>
      <c r="M547" s="85">
        <f>L547/K547</f>
        <v/>
      </c>
      <c r="N547" t="inlineStr">
        <is>
          <t>等效进度估算</t>
        </is>
      </c>
    </row>
    <row r="548">
      <c r="A548" t="inlineStr">
        <is>
          <t>其他战斗玩法</t>
        </is>
      </c>
      <c r="B548" t="inlineStr">
        <is>
          <t>莫尔拉 难度19</t>
        </is>
      </c>
      <c r="C548" t="n">
        <v>278</v>
      </c>
      <c r="D548" t="n">
        <v>318</v>
      </c>
      <c r="E548" t="n">
        <v>327</v>
      </c>
      <c r="F548" s="85">
        <f>其他战斗玩法!K136</f>
        <v/>
      </c>
      <c r="G548" s="85">
        <f>其他战斗玩法!L136</f>
        <v/>
      </c>
      <c r="H548" s="85" t="n">
        <v>58.7862851553518</v>
      </c>
      <c r="I548" s="85">
        <f>其他战斗玩法!X136</f>
        <v/>
      </c>
      <c r="J548" s="85">
        <f>I548/H548</f>
        <v/>
      </c>
      <c r="K548" s="85" t="n">
        <v>46.6196272829311</v>
      </c>
      <c r="L548" s="85">
        <f>其他战斗玩法!Y136</f>
        <v/>
      </c>
      <c r="M548" s="85">
        <f>L548/K548</f>
        <v/>
      </c>
      <c r="N548" t="inlineStr">
        <is>
          <t>等效进度估算</t>
        </is>
      </c>
    </row>
    <row r="549">
      <c r="A549" t="inlineStr">
        <is>
          <t>其他战斗玩法</t>
        </is>
      </c>
      <c r="B549" t="inlineStr">
        <is>
          <t>莫尔拉 难度20</t>
        </is>
      </c>
      <c r="C549" t="n">
        <v>278</v>
      </c>
      <c r="D549" t="n">
        <v>318</v>
      </c>
      <c r="E549" t="n">
        <v>327</v>
      </c>
      <c r="F549" s="85">
        <f>其他战斗玩法!K137</f>
        <v/>
      </c>
      <c r="G549" s="85">
        <f>其他战斗玩法!L137</f>
        <v/>
      </c>
      <c r="H549" s="85" t="n">
        <v>58.7862851553518</v>
      </c>
      <c r="I549" s="85">
        <f>其他战斗玩法!X137</f>
        <v/>
      </c>
      <c r="J549" s="85">
        <f>I549/H549</f>
        <v/>
      </c>
      <c r="K549" s="85" t="n">
        <v>46.6196272829311</v>
      </c>
      <c r="L549" s="85">
        <f>其他战斗玩法!Y137</f>
        <v/>
      </c>
      <c r="M549" s="85">
        <f>L549/K549</f>
        <v/>
      </c>
      <c r="N549" t="inlineStr">
        <is>
          <t>等效进度估算</t>
        </is>
      </c>
    </row>
    <row r="550">
      <c r="A550" t="inlineStr">
        <is>
          <t>其他战斗玩法</t>
        </is>
      </c>
      <c r="B550" t="inlineStr">
        <is>
          <t>异变林猿 难度10</t>
        </is>
      </c>
      <c r="C550" t="n">
        <v>278</v>
      </c>
      <c r="D550" t="n">
        <v>318</v>
      </c>
      <c r="E550" t="n">
        <v>327</v>
      </c>
      <c r="F550" s="85">
        <f>其他战斗玩法!K138</f>
        <v/>
      </c>
      <c r="G550" s="85">
        <f>其他战斗玩法!L138</f>
        <v/>
      </c>
      <c r="H550" s="85" t="n">
        <v>58.7862851553518</v>
      </c>
      <c r="I550" s="85">
        <f>其他战斗玩法!X138</f>
        <v/>
      </c>
      <c r="J550" s="85">
        <f>I550/H550</f>
        <v/>
      </c>
      <c r="K550" s="85" t="n">
        <v>46.6196272829311</v>
      </c>
      <c r="L550" s="85">
        <f>其他战斗玩法!Y138</f>
        <v/>
      </c>
      <c r="M550" s="85">
        <f>L550/K550</f>
        <v/>
      </c>
      <c r="N550" t="inlineStr">
        <is>
          <t>等效进度估算</t>
        </is>
      </c>
    </row>
    <row r="551">
      <c r="A551" t="inlineStr">
        <is>
          <t>其他战斗玩法</t>
        </is>
      </c>
      <c r="B551" t="inlineStr">
        <is>
          <t>异变林猿 难度11</t>
        </is>
      </c>
      <c r="C551" t="n">
        <v>278</v>
      </c>
      <c r="D551" t="n">
        <v>318</v>
      </c>
      <c r="E551" t="n">
        <v>327</v>
      </c>
      <c r="F551" s="85">
        <f>其他战斗玩法!K139</f>
        <v/>
      </c>
      <c r="G551" s="85">
        <f>其他战斗玩法!L139</f>
        <v/>
      </c>
      <c r="H551" s="85" t="n">
        <v>58.7862851553518</v>
      </c>
      <c r="I551" s="85">
        <f>其他战斗玩法!X139</f>
        <v/>
      </c>
      <c r="J551" s="85">
        <f>I551/H551</f>
        <v/>
      </c>
      <c r="K551" s="85" t="n">
        <v>46.6196272829311</v>
      </c>
      <c r="L551" s="85">
        <f>其他战斗玩法!Y139</f>
        <v/>
      </c>
      <c r="M551" s="85">
        <f>L551/K551</f>
        <v/>
      </c>
      <c r="N551" t="inlineStr">
        <is>
          <t>等效进度估算</t>
        </is>
      </c>
    </row>
    <row r="552">
      <c r="A552" t="inlineStr">
        <is>
          <t>其他战斗玩法</t>
        </is>
      </c>
      <c r="B552" t="inlineStr">
        <is>
          <t>异变林猿 难度12</t>
        </is>
      </c>
      <c r="C552" t="n">
        <v>278</v>
      </c>
      <c r="D552" t="n">
        <v>318</v>
      </c>
      <c r="E552" t="n">
        <v>327</v>
      </c>
      <c r="F552" s="85">
        <f>其他战斗玩法!K140</f>
        <v/>
      </c>
      <c r="G552" s="85">
        <f>其他战斗玩法!L140</f>
        <v/>
      </c>
      <c r="H552" s="85" t="n">
        <v>58.7862851553518</v>
      </c>
      <c r="I552" s="85">
        <f>其他战斗玩法!X140</f>
        <v/>
      </c>
      <c r="J552" s="85">
        <f>I552/H552</f>
        <v/>
      </c>
      <c r="K552" s="85" t="n">
        <v>46.6196272829311</v>
      </c>
      <c r="L552" s="85">
        <f>其他战斗玩法!Y140</f>
        <v/>
      </c>
      <c r="M552" s="85">
        <f>L552/K552</f>
        <v/>
      </c>
      <c r="N552" t="inlineStr">
        <is>
          <t>等效进度估算</t>
        </is>
      </c>
    </row>
    <row r="553">
      <c r="A553" t="inlineStr">
        <is>
          <t>其他战斗玩法</t>
        </is>
      </c>
      <c r="B553" t="inlineStr">
        <is>
          <t>异变林猿 难度13</t>
        </is>
      </c>
      <c r="C553" t="n">
        <v>278</v>
      </c>
      <c r="D553" t="n">
        <v>318</v>
      </c>
      <c r="E553" t="n">
        <v>327</v>
      </c>
      <c r="F553" s="85">
        <f>其他战斗玩法!K141</f>
        <v/>
      </c>
      <c r="G553" s="85">
        <f>其他战斗玩法!L141</f>
        <v/>
      </c>
      <c r="H553" s="85" t="n">
        <v>58.7862851553518</v>
      </c>
      <c r="I553" s="85">
        <f>其他战斗玩法!X141</f>
        <v/>
      </c>
      <c r="J553" s="85">
        <f>I553/H553</f>
        <v/>
      </c>
      <c r="K553" s="85" t="n">
        <v>46.6196272829311</v>
      </c>
      <c r="L553" s="85">
        <f>其他战斗玩法!Y141</f>
        <v/>
      </c>
      <c r="M553" s="85">
        <f>L553/K553</f>
        <v/>
      </c>
      <c r="N553" t="inlineStr">
        <is>
          <t>等效进度估算</t>
        </is>
      </c>
    </row>
    <row r="554">
      <c r="A554" t="inlineStr">
        <is>
          <t>其他战斗玩法</t>
        </is>
      </c>
      <c r="B554" t="inlineStr">
        <is>
          <t>异变林猿 难度14</t>
        </is>
      </c>
      <c r="C554" t="n">
        <v>278</v>
      </c>
      <c r="D554" t="n">
        <v>318</v>
      </c>
      <c r="E554" t="n">
        <v>327</v>
      </c>
      <c r="F554" s="85">
        <f>其他战斗玩法!K142</f>
        <v/>
      </c>
      <c r="G554" s="85">
        <f>其他战斗玩法!L142</f>
        <v/>
      </c>
      <c r="H554" s="85" t="n">
        <v>58.7862851553518</v>
      </c>
      <c r="I554" s="85">
        <f>其他战斗玩法!X142</f>
        <v/>
      </c>
      <c r="J554" s="85">
        <f>I554/H554</f>
        <v/>
      </c>
      <c r="K554" s="85" t="n">
        <v>46.6196272829311</v>
      </c>
      <c r="L554" s="85">
        <f>其他战斗玩法!Y142</f>
        <v/>
      </c>
      <c r="M554" s="85">
        <f>L554/K554</f>
        <v/>
      </c>
      <c r="N554" t="inlineStr">
        <is>
          <t>等效进度估算</t>
        </is>
      </c>
    </row>
    <row r="555">
      <c r="A555" t="inlineStr">
        <is>
          <t>其他战斗玩法</t>
        </is>
      </c>
      <c r="B555" t="inlineStr">
        <is>
          <t>异变林猿 难度15</t>
        </is>
      </c>
      <c r="C555" t="n">
        <v>278</v>
      </c>
      <c r="D555" t="n">
        <v>318</v>
      </c>
      <c r="E555" t="n">
        <v>327</v>
      </c>
      <c r="F555" s="85">
        <f>其他战斗玩法!K143</f>
        <v/>
      </c>
      <c r="G555" s="85">
        <f>其他战斗玩法!L143</f>
        <v/>
      </c>
      <c r="H555" s="85" t="n">
        <v>58.7862851553518</v>
      </c>
      <c r="I555" s="85">
        <f>其他战斗玩法!X143</f>
        <v/>
      </c>
      <c r="J555" s="85">
        <f>I555/H555</f>
        <v/>
      </c>
      <c r="K555" s="85" t="n">
        <v>46.6196272829311</v>
      </c>
      <c r="L555" s="85">
        <f>其他战斗玩法!Y143</f>
        <v/>
      </c>
      <c r="M555" s="85">
        <f>L555/K555</f>
        <v/>
      </c>
      <c r="N555" t="inlineStr">
        <is>
          <t>等效进度估算</t>
        </is>
      </c>
    </row>
    <row r="556">
      <c r="A556" t="inlineStr">
        <is>
          <t>其他战斗玩法</t>
        </is>
      </c>
      <c r="B556" t="inlineStr">
        <is>
          <t>异变林猿 难度16</t>
        </is>
      </c>
      <c r="C556" t="n">
        <v>278</v>
      </c>
      <c r="D556" t="n">
        <v>318</v>
      </c>
      <c r="E556" t="n">
        <v>327</v>
      </c>
      <c r="F556" s="85">
        <f>其他战斗玩法!K144</f>
        <v/>
      </c>
      <c r="G556" s="85">
        <f>其他战斗玩法!L144</f>
        <v/>
      </c>
      <c r="H556" s="85" t="n">
        <v>58.7862851553518</v>
      </c>
      <c r="I556" s="85">
        <f>其他战斗玩法!X144</f>
        <v/>
      </c>
      <c r="J556" s="85">
        <f>I556/H556</f>
        <v/>
      </c>
      <c r="K556" s="85" t="n">
        <v>46.6196272829311</v>
      </c>
      <c r="L556" s="85">
        <f>其他战斗玩法!Y144</f>
        <v/>
      </c>
      <c r="M556" s="85">
        <f>L556/K556</f>
        <v/>
      </c>
      <c r="N556" t="inlineStr">
        <is>
          <t>等效进度估算</t>
        </is>
      </c>
    </row>
    <row r="557">
      <c r="A557" t="inlineStr">
        <is>
          <t>其他战斗玩法</t>
        </is>
      </c>
      <c r="B557" t="inlineStr">
        <is>
          <t>异变林猿 难度17</t>
        </is>
      </c>
      <c r="C557" t="n">
        <v>278</v>
      </c>
      <c r="D557" t="n">
        <v>318</v>
      </c>
      <c r="E557" t="n">
        <v>327</v>
      </c>
      <c r="F557" s="85">
        <f>其他战斗玩法!K145</f>
        <v/>
      </c>
      <c r="G557" s="85">
        <f>其他战斗玩法!L145</f>
        <v/>
      </c>
      <c r="H557" s="85" t="n">
        <v>58.7862851553518</v>
      </c>
      <c r="I557" s="85">
        <f>其他战斗玩法!X145</f>
        <v/>
      </c>
      <c r="J557" s="85">
        <f>I557/H557</f>
        <v/>
      </c>
      <c r="K557" s="85" t="n">
        <v>46.6196272829311</v>
      </c>
      <c r="L557" s="85">
        <f>其他战斗玩法!Y145</f>
        <v/>
      </c>
      <c r="M557" s="85">
        <f>L557/K557</f>
        <v/>
      </c>
      <c r="N557" t="inlineStr">
        <is>
          <t>等效进度估算</t>
        </is>
      </c>
    </row>
    <row r="558">
      <c r="A558" t="inlineStr">
        <is>
          <t>其他战斗玩法</t>
        </is>
      </c>
      <c r="B558" t="inlineStr">
        <is>
          <t>异变林猿 难度18</t>
        </is>
      </c>
      <c r="C558" t="n">
        <v>278</v>
      </c>
      <c r="D558" t="n">
        <v>318</v>
      </c>
      <c r="E558" t="n">
        <v>327</v>
      </c>
      <c r="F558" s="85">
        <f>其他战斗玩法!K146</f>
        <v/>
      </c>
      <c r="G558" s="85">
        <f>其他战斗玩法!L146</f>
        <v/>
      </c>
      <c r="H558" s="85" t="n">
        <v>58.7862851553518</v>
      </c>
      <c r="I558" s="85">
        <f>其他战斗玩法!X146</f>
        <v/>
      </c>
      <c r="J558" s="85">
        <f>I558/H558</f>
        <v/>
      </c>
      <c r="K558" s="85" t="n">
        <v>46.6196272829311</v>
      </c>
      <c r="L558" s="85">
        <f>其他战斗玩法!Y146</f>
        <v/>
      </c>
      <c r="M558" s="85">
        <f>L558/K558</f>
        <v/>
      </c>
      <c r="N558" t="inlineStr">
        <is>
          <t>等效进度估算</t>
        </is>
      </c>
    </row>
    <row r="559">
      <c r="A559" t="inlineStr">
        <is>
          <t>其他战斗玩法</t>
        </is>
      </c>
      <c r="B559" t="inlineStr">
        <is>
          <t>异变林猿 难度19</t>
        </is>
      </c>
      <c r="C559" t="n">
        <v>278</v>
      </c>
      <c r="D559" t="n">
        <v>318</v>
      </c>
      <c r="E559" t="n">
        <v>327</v>
      </c>
      <c r="F559" s="85">
        <f>其他战斗玩法!K147</f>
        <v/>
      </c>
      <c r="G559" s="85">
        <f>其他战斗玩法!L147</f>
        <v/>
      </c>
      <c r="H559" s="85" t="n">
        <v>58.7862851553518</v>
      </c>
      <c r="I559" s="85">
        <f>其他战斗玩法!X147</f>
        <v/>
      </c>
      <c r="J559" s="85">
        <f>I559/H559</f>
        <v/>
      </c>
      <c r="K559" s="85" t="n">
        <v>46.6196272829311</v>
      </c>
      <c r="L559" s="85">
        <f>其他战斗玩法!Y147</f>
        <v/>
      </c>
      <c r="M559" s="85">
        <f>L559/K559</f>
        <v/>
      </c>
      <c r="N559" t="inlineStr">
        <is>
          <t>等效进度估算</t>
        </is>
      </c>
    </row>
    <row r="560">
      <c r="A560" t="inlineStr">
        <is>
          <t>其他战斗玩法</t>
        </is>
      </c>
      <c r="B560" t="inlineStr">
        <is>
          <t>异变林猿 难度20</t>
        </is>
      </c>
      <c r="C560" t="n">
        <v>278</v>
      </c>
      <c r="D560" t="n">
        <v>318</v>
      </c>
      <c r="E560" t="n">
        <v>327</v>
      </c>
      <c r="F560" s="85">
        <f>其他战斗玩法!K148</f>
        <v/>
      </c>
      <c r="G560" s="85">
        <f>其他战斗玩法!L148</f>
        <v/>
      </c>
      <c r="H560" s="85" t="n">
        <v>58.7862851553518</v>
      </c>
      <c r="I560" s="85">
        <f>其他战斗玩法!X148</f>
        <v/>
      </c>
      <c r="J560" s="85">
        <f>I560/H560</f>
        <v/>
      </c>
      <c r="K560" s="85" t="n">
        <v>46.6196272829311</v>
      </c>
      <c r="L560" s="85">
        <f>其他战斗玩法!Y148</f>
        <v/>
      </c>
      <c r="M560" s="85">
        <f>L560/K560</f>
        <v/>
      </c>
      <c r="N560" t="inlineStr">
        <is>
          <t>等效进度估算</t>
        </is>
      </c>
    </row>
    <row r="561">
      <c r="A561" t="inlineStr">
        <is>
          <t>其他战斗玩法</t>
        </is>
      </c>
      <c r="B561" t="inlineStr">
        <is>
          <t>战斗</t>
        </is>
      </c>
      <c r="C561" t="n">
        <v>14</v>
      </c>
      <c r="D561" t="n">
        <v>27</v>
      </c>
      <c r="E561" t="n">
        <v>25</v>
      </c>
      <c r="F561" s="85">
        <f>其他战斗玩法!K149</f>
        <v/>
      </c>
      <c r="G561" s="85">
        <f>其他战斗玩法!L149</f>
        <v/>
      </c>
      <c r="H561" s="85" t="n">
        <v>0.43158465215541</v>
      </c>
      <c r="I561" s="85">
        <f>其他战斗玩法!X149</f>
        <v/>
      </c>
      <c r="J561" s="85">
        <f>I561/H561</f>
        <v/>
      </c>
      <c r="K561" s="85" t="n">
        <v>35.5887438385536</v>
      </c>
      <c r="L561" s="85">
        <f>其他战斗玩法!Y149</f>
        <v/>
      </c>
      <c r="M561" s="85">
        <f>L561/K561</f>
        <v/>
      </c>
      <c r="N561" t="inlineStr">
        <is>
          <t>等效进度估算</t>
        </is>
      </c>
    </row>
    <row r="562">
      <c r="A562" t="inlineStr">
        <is>
          <t>其他战斗玩法</t>
        </is>
      </c>
      <c r="B562" t="inlineStr">
        <is>
          <t>战斗</t>
        </is>
      </c>
      <c r="C562" t="n">
        <v>14</v>
      </c>
      <c r="D562" t="n">
        <v>27</v>
      </c>
      <c r="E562" t="n">
        <v>25</v>
      </c>
      <c r="F562" s="85">
        <f>其他战斗玩法!K150</f>
        <v/>
      </c>
      <c r="G562" s="85">
        <f>其他战斗玩法!L150</f>
        <v/>
      </c>
      <c r="H562" s="85" t="n">
        <v>0.43158465215541</v>
      </c>
      <c r="I562" s="85">
        <f>其他战斗玩法!X150</f>
        <v/>
      </c>
      <c r="J562" s="85">
        <f>I562/H562</f>
        <v/>
      </c>
      <c r="K562" s="85" t="n">
        <v>35.5887438385536</v>
      </c>
      <c r="L562" s="85">
        <f>其他战斗玩法!Y150</f>
        <v/>
      </c>
      <c r="M562" s="85">
        <f>L562/K562</f>
        <v/>
      </c>
      <c r="N562" t="inlineStr">
        <is>
          <t>等效进度估算</t>
        </is>
      </c>
    </row>
    <row r="563">
      <c r="A563" t="inlineStr">
        <is>
          <t>其他战斗玩法</t>
        </is>
      </c>
      <c r="B563" t="inlineStr">
        <is>
          <t>战斗</t>
        </is>
      </c>
      <c r="C563" t="n">
        <v>14</v>
      </c>
      <c r="D563" t="n">
        <v>27</v>
      </c>
      <c r="E563" t="n">
        <v>25</v>
      </c>
      <c r="F563" s="85">
        <f>其他战斗玩法!K151</f>
        <v/>
      </c>
      <c r="G563" s="85">
        <f>其他战斗玩法!L151</f>
        <v/>
      </c>
      <c r="H563" s="85" t="n">
        <v>0.43158465215541</v>
      </c>
      <c r="I563" s="85">
        <f>其他战斗玩法!X151</f>
        <v/>
      </c>
      <c r="J563" s="85">
        <f>I563/H563</f>
        <v/>
      </c>
      <c r="K563" s="85" t="n">
        <v>35.5887438385536</v>
      </c>
      <c r="L563" s="85">
        <f>其他战斗玩法!Y151</f>
        <v/>
      </c>
      <c r="M563" s="85">
        <f>L563/K563</f>
        <v/>
      </c>
      <c r="N563" t="inlineStr">
        <is>
          <t>等效进度估算</t>
        </is>
      </c>
    </row>
    <row r="564">
      <c r="A564" t="inlineStr">
        <is>
          <t>其他战斗玩法</t>
        </is>
      </c>
      <c r="B564" t="inlineStr">
        <is>
          <t>战斗</t>
        </is>
      </c>
      <c r="C564" t="n">
        <v>14</v>
      </c>
      <c r="D564" t="n">
        <v>27</v>
      </c>
      <c r="E564" t="n">
        <v>25</v>
      </c>
      <c r="F564" s="85">
        <f>其他战斗玩法!K152</f>
        <v/>
      </c>
      <c r="G564" s="85">
        <f>其他战斗玩法!L152</f>
        <v/>
      </c>
      <c r="H564" s="85" t="n">
        <v>0.43158465215541</v>
      </c>
      <c r="I564" s="85">
        <f>其他战斗玩法!X152</f>
        <v/>
      </c>
      <c r="J564" s="85">
        <f>I564/H564</f>
        <v/>
      </c>
      <c r="K564" s="85" t="n">
        <v>35.5887438385536</v>
      </c>
      <c r="L564" s="85">
        <f>其他战斗玩法!Y152</f>
        <v/>
      </c>
      <c r="M564" s="85">
        <f>L564/K564</f>
        <v/>
      </c>
      <c r="N564" t="inlineStr">
        <is>
          <t>等效进度估算</t>
        </is>
      </c>
    </row>
    <row r="565">
      <c r="A565" t="inlineStr">
        <is>
          <t>其他战斗玩法</t>
        </is>
      </c>
      <c r="B565" t="inlineStr">
        <is>
          <t>战斗</t>
        </is>
      </c>
      <c r="C565" t="n">
        <v>14</v>
      </c>
      <c r="D565" t="n">
        <v>27</v>
      </c>
      <c r="E565" t="n">
        <v>25</v>
      </c>
      <c r="F565" s="85">
        <f>其他战斗玩法!K153</f>
        <v/>
      </c>
      <c r="G565" s="85">
        <f>其他战斗玩法!L153</f>
        <v/>
      </c>
      <c r="H565" s="85" t="n">
        <v>0.43158465215541</v>
      </c>
      <c r="I565" s="85">
        <f>其他战斗玩法!X153</f>
        <v/>
      </c>
      <c r="J565" s="85">
        <f>I565/H565</f>
        <v/>
      </c>
      <c r="K565" s="85" t="n">
        <v>35.5887438385536</v>
      </c>
      <c r="L565" s="85">
        <f>其他战斗玩法!Y153</f>
        <v/>
      </c>
      <c r="M565" s="85">
        <f>L565/K565</f>
        <v/>
      </c>
      <c r="N565" t="inlineStr">
        <is>
          <t>等效进度估算</t>
        </is>
      </c>
    </row>
    <row r="566">
      <c r="A566" t="inlineStr">
        <is>
          <t>其他战斗玩法</t>
        </is>
      </c>
      <c r="B566" t="inlineStr">
        <is>
          <t>战斗</t>
        </is>
      </c>
      <c r="C566" t="n">
        <v>14</v>
      </c>
      <c r="D566" t="n">
        <v>27</v>
      </c>
      <c r="E566" t="n">
        <v>25</v>
      </c>
      <c r="F566" s="85">
        <f>其他战斗玩法!K154</f>
        <v/>
      </c>
      <c r="G566" s="85">
        <f>其他战斗玩法!L154</f>
        <v/>
      </c>
      <c r="H566" s="85" t="n">
        <v>0.43158465215541</v>
      </c>
      <c r="I566" s="85">
        <f>其他战斗玩法!X154</f>
        <v/>
      </c>
      <c r="J566" s="85">
        <f>I566/H566</f>
        <v/>
      </c>
      <c r="K566" s="85" t="n">
        <v>35.5887438385536</v>
      </c>
      <c r="L566" s="85">
        <f>其他战斗玩法!Y154</f>
        <v/>
      </c>
      <c r="M566" s="85">
        <f>L566/K566</f>
        <v/>
      </c>
      <c r="N566" t="inlineStr">
        <is>
          <t>等效进度估算</t>
        </is>
      </c>
    </row>
    <row r="567">
      <c r="A567" t="inlineStr">
        <is>
          <t>其他战斗玩法</t>
        </is>
      </c>
      <c r="B567" t="inlineStr">
        <is>
          <t>战斗</t>
        </is>
      </c>
      <c r="C567" t="n">
        <v>14</v>
      </c>
      <c r="D567" t="n">
        <v>27</v>
      </c>
      <c r="E567" t="n">
        <v>25</v>
      </c>
      <c r="F567" s="85">
        <f>其他战斗玩法!K155</f>
        <v/>
      </c>
      <c r="G567" s="85">
        <f>其他战斗玩法!L155</f>
        <v/>
      </c>
      <c r="H567" s="85" t="n">
        <v>0.43158465215541</v>
      </c>
      <c r="I567" s="85">
        <f>其他战斗玩法!X155</f>
        <v/>
      </c>
      <c r="J567" s="85">
        <f>I567/H567</f>
        <v/>
      </c>
      <c r="K567" s="85" t="n">
        <v>35.5887438385536</v>
      </c>
      <c r="L567" s="85">
        <f>其他战斗玩法!Y155</f>
        <v/>
      </c>
      <c r="M567" s="85">
        <f>L567/K567</f>
        <v/>
      </c>
      <c r="N567" t="inlineStr">
        <is>
          <t>等效进度估算</t>
        </is>
      </c>
    </row>
    <row r="568">
      <c r="A568" t="inlineStr">
        <is>
          <t>其他战斗玩法</t>
        </is>
      </c>
      <c r="B568" t="inlineStr">
        <is>
          <t>战斗</t>
        </is>
      </c>
      <c r="C568" t="n">
        <v>14</v>
      </c>
      <c r="D568" t="n">
        <v>27</v>
      </c>
      <c r="E568" t="n">
        <v>25</v>
      </c>
      <c r="F568" s="85">
        <f>其他战斗玩法!K156</f>
        <v/>
      </c>
      <c r="G568" s="85">
        <f>其他战斗玩法!L156</f>
        <v/>
      </c>
      <c r="H568" s="85" t="n">
        <v>0.43158465215541</v>
      </c>
      <c r="I568" s="85">
        <f>其他战斗玩法!X156</f>
        <v/>
      </c>
      <c r="J568" s="85">
        <f>I568/H568</f>
        <v/>
      </c>
      <c r="K568" s="85" t="n">
        <v>35.5887438385536</v>
      </c>
      <c r="L568" s="85">
        <f>其他战斗玩法!Y156</f>
        <v/>
      </c>
      <c r="M568" s="85">
        <f>L568/K568</f>
        <v/>
      </c>
      <c r="N568" t="inlineStr">
        <is>
          <t>等效进度估算</t>
        </is>
      </c>
    </row>
    <row r="569">
      <c r="A569" t="inlineStr">
        <is>
          <t>其他战斗玩法</t>
        </is>
      </c>
      <c r="B569" t="inlineStr">
        <is>
          <t>战斗</t>
        </is>
      </c>
      <c r="C569" t="n">
        <v>14</v>
      </c>
      <c r="D569" t="n">
        <v>27</v>
      </c>
      <c r="E569" t="n">
        <v>25</v>
      </c>
      <c r="F569" s="85">
        <f>其他战斗玩法!K157</f>
        <v/>
      </c>
      <c r="G569" s="85">
        <f>其他战斗玩法!L157</f>
        <v/>
      </c>
      <c r="H569" s="85" t="n">
        <v>0.43158465215541</v>
      </c>
      <c r="I569" s="85">
        <f>其他战斗玩法!X157</f>
        <v/>
      </c>
      <c r="J569" s="85">
        <f>I569/H569</f>
        <v/>
      </c>
      <c r="K569" s="85" t="n">
        <v>35.5887438385536</v>
      </c>
      <c r="L569" s="85">
        <f>其他战斗玩法!Y157</f>
        <v/>
      </c>
      <c r="M569" s="85">
        <f>L569/K569</f>
        <v/>
      </c>
      <c r="N569" t="inlineStr">
        <is>
          <t>等效进度估算</t>
        </is>
      </c>
    </row>
    <row r="570">
      <c r="A570" t="inlineStr">
        <is>
          <t>其他战斗玩法</t>
        </is>
      </c>
      <c r="B570" t="inlineStr">
        <is>
          <t>战斗</t>
        </is>
      </c>
      <c r="C570" t="n">
        <v>14</v>
      </c>
      <c r="D570" t="n">
        <v>27</v>
      </c>
      <c r="E570" t="n">
        <v>25</v>
      </c>
      <c r="F570" s="85">
        <f>其他战斗玩法!K158</f>
        <v/>
      </c>
      <c r="G570" s="85">
        <f>其他战斗玩法!L158</f>
        <v/>
      </c>
      <c r="H570" s="85" t="n">
        <v>0.43158465215541</v>
      </c>
      <c r="I570" s="85">
        <f>其他战斗玩法!X158</f>
        <v/>
      </c>
      <c r="J570" s="85">
        <f>I570/H570</f>
        <v/>
      </c>
      <c r="K570" s="85" t="n">
        <v>35.5887438385536</v>
      </c>
      <c r="L570" s="85">
        <f>其他战斗玩法!Y158</f>
        <v/>
      </c>
      <c r="M570" s="85">
        <f>L570/K570</f>
        <v/>
      </c>
      <c r="N570" t="inlineStr">
        <is>
          <t>等效进度估算</t>
        </is>
      </c>
    </row>
    <row r="571">
      <c r="A571" t="inlineStr">
        <is>
          <t>其他战斗玩法</t>
        </is>
      </c>
      <c r="B571" t="inlineStr">
        <is>
          <t>战斗</t>
        </is>
      </c>
      <c r="C571" t="n">
        <v>14</v>
      </c>
      <c r="D571" t="n">
        <v>27</v>
      </c>
      <c r="E571" t="n">
        <v>25</v>
      </c>
      <c r="F571" s="85">
        <f>其他战斗玩法!K159</f>
        <v/>
      </c>
      <c r="G571" s="85">
        <f>其他战斗玩法!L159</f>
        <v/>
      </c>
      <c r="H571" s="85" t="n">
        <v>0.43158465215541</v>
      </c>
      <c r="I571" s="85">
        <f>其他战斗玩法!X159</f>
        <v/>
      </c>
      <c r="J571" s="85">
        <f>I571/H571</f>
        <v/>
      </c>
      <c r="K571" s="85" t="n">
        <v>35.5887438385536</v>
      </c>
      <c r="L571" s="85">
        <f>其他战斗玩法!Y159</f>
        <v/>
      </c>
      <c r="M571" s="85">
        <f>L571/K571</f>
        <v/>
      </c>
      <c r="N571" t="inlineStr">
        <is>
          <t>等效进度估算</t>
        </is>
      </c>
    </row>
    <row r="572">
      <c r="A572" t="inlineStr">
        <is>
          <t>其他战斗玩法</t>
        </is>
      </c>
      <c r="B572" t="inlineStr">
        <is>
          <t>战斗</t>
        </is>
      </c>
      <c r="C572" t="n">
        <v>14</v>
      </c>
      <c r="D572" t="n">
        <v>27</v>
      </c>
      <c r="E572" t="n">
        <v>25</v>
      </c>
      <c r="F572" s="85">
        <f>其他战斗玩法!K160</f>
        <v/>
      </c>
      <c r="G572" s="85">
        <f>其他战斗玩法!L160</f>
        <v/>
      </c>
      <c r="H572" s="85" t="n">
        <v>0.43158465215541</v>
      </c>
      <c r="I572" s="85">
        <f>其他战斗玩法!X160</f>
        <v/>
      </c>
      <c r="J572" s="85">
        <f>I572/H572</f>
        <v/>
      </c>
      <c r="K572" s="85" t="n">
        <v>35.5887438385536</v>
      </c>
      <c r="L572" s="85">
        <f>其他战斗玩法!Y160</f>
        <v/>
      </c>
      <c r="M572" s="85">
        <f>L572/K572</f>
        <v/>
      </c>
      <c r="N572" t="inlineStr">
        <is>
          <t>等效进度估算</t>
        </is>
      </c>
    </row>
    <row r="573">
      <c r="A573" t="inlineStr">
        <is>
          <t>其他战斗玩法</t>
        </is>
      </c>
      <c r="B573" t="inlineStr">
        <is>
          <t>战斗</t>
        </is>
      </c>
      <c r="C573" t="n">
        <v>14</v>
      </c>
      <c r="D573" t="n">
        <v>27</v>
      </c>
      <c r="E573" t="n">
        <v>25</v>
      </c>
      <c r="F573" s="85">
        <f>其他战斗玩法!K161</f>
        <v/>
      </c>
      <c r="G573" s="85">
        <f>其他战斗玩法!L161</f>
        <v/>
      </c>
      <c r="H573" s="85" t="n">
        <v>0.43158465215541</v>
      </c>
      <c r="I573" s="85">
        <f>其他战斗玩法!X161</f>
        <v/>
      </c>
      <c r="J573" s="85">
        <f>I573/H573</f>
        <v/>
      </c>
      <c r="K573" s="85" t="n">
        <v>35.5887438385536</v>
      </c>
      <c r="L573" s="85">
        <f>其他战斗玩法!Y161</f>
        <v/>
      </c>
      <c r="M573" s="85">
        <f>L573/K573</f>
        <v/>
      </c>
      <c r="N573" t="inlineStr">
        <is>
          <t>等效进度估算</t>
        </is>
      </c>
    </row>
    <row r="574">
      <c r="A574" t="inlineStr">
        <is>
          <t>其他战斗玩法</t>
        </is>
      </c>
      <c r="B574" t="inlineStr">
        <is>
          <t>冰原野怪</t>
        </is>
      </c>
      <c r="C574" t="n">
        <v>7</v>
      </c>
      <c r="D574" t="n">
        <v>15</v>
      </c>
      <c r="E574" t="n">
        <v>14</v>
      </c>
      <c r="F574" s="85">
        <f>其他战斗玩法!K162</f>
        <v/>
      </c>
      <c r="G574" s="85">
        <f>其他战斗玩法!L162</f>
        <v/>
      </c>
      <c r="H574" s="85" t="n">
        <v>0.418858868567819</v>
      </c>
      <c r="I574" s="85">
        <f>其他战斗玩法!X162</f>
        <v/>
      </c>
      <c r="J574" s="85">
        <f>I574/H574</f>
        <v/>
      </c>
      <c r="K574" s="85" t="n">
        <v>31.4757107307228</v>
      </c>
      <c r="L574" s="85">
        <f>其他战斗玩法!Y162</f>
        <v/>
      </c>
      <c r="M574" s="85">
        <f>L574/K574</f>
        <v/>
      </c>
      <c r="N574" t="inlineStr">
        <is>
          <t>等效进度估算</t>
        </is>
      </c>
    </row>
    <row r="575">
      <c r="A575" t="inlineStr">
        <is>
          <t>其他战斗玩法</t>
        </is>
      </c>
      <c r="B575" t="inlineStr">
        <is>
          <t>冰原野怪</t>
        </is>
      </c>
      <c r="C575" t="n">
        <v>7</v>
      </c>
      <c r="D575" t="n">
        <v>15</v>
      </c>
      <c r="E575" t="n">
        <v>14</v>
      </c>
      <c r="F575" s="85">
        <f>其他战斗玩法!K163</f>
        <v/>
      </c>
      <c r="G575" s="85">
        <f>其他战斗玩法!L163</f>
        <v/>
      </c>
      <c r="H575" s="85" t="n">
        <v>0.418858868567819</v>
      </c>
      <c r="I575" s="85">
        <f>其他战斗玩法!X163</f>
        <v/>
      </c>
      <c r="J575" s="85">
        <f>I575/H575</f>
        <v/>
      </c>
      <c r="K575" s="85" t="n">
        <v>31.4757107307228</v>
      </c>
      <c r="L575" s="85">
        <f>其他战斗玩法!Y163</f>
        <v/>
      </c>
      <c r="M575" s="85">
        <f>L575/K575</f>
        <v/>
      </c>
      <c r="N575" t="inlineStr">
        <is>
          <t>等效进度估算</t>
        </is>
      </c>
    </row>
    <row r="576">
      <c r="A576" t="inlineStr">
        <is>
          <t>其他战斗玩法</t>
        </is>
      </c>
      <c r="B576" t="inlineStr">
        <is>
          <t>冰原野怪</t>
        </is>
      </c>
      <c r="C576" t="n">
        <v>7</v>
      </c>
      <c r="D576" t="n">
        <v>15</v>
      </c>
      <c r="E576" t="n">
        <v>14</v>
      </c>
      <c r="F576" s="85">
        <f>其他战斗玩法!K164</f>
        <v/>
      </c>
      <c r="G576" s="85">
        <f>其他战斗玩法!L164</f>
        <v/>
      </c>
      <c r="H576" s="85" t="n">
        <v>0.418858868567819</v>
      </c>
      <c r="I576" s="85">
        <f>其他战斗玩法!X164</f>
        <v/>
      </c>
      <c r="J576" s="85">
        <f>I576/H576</f>
        <v/>
      </c>
      <c r="K576" s="85" t="n">
        <v>31.4757107307228</v>
      </c>
      <c r="L576" s="85">
        <f>其他战斗玩法!Y164</f>
        <v/>
      </c>
      <c r="M576" s="85">
        <f>L576/K576</f>
        <v/>
      </c>
      <c r="N576" t="inlineStr">
        <is>
          <t>等效进度估算</t>
        </is>
      </c>
    </row>
    <row r="577">
      <c r="A577" t="inlineStr">
        <is>
          <t>其他战斗玩法</t>
        </is>
      </c>
      <c r="B577" t="inlineStr">
        <is>
          <t>冰原野怪</t>
        </is>
      </c>
      <c r="C577" t="n">
        <v>7</v>
      </c>
      <c r="D577" t="n">
        <v>15</v>
      </c>
      <c r="E577" t="n">
        <v>14</v>
      </c>
      <c r="F577" s="85">
        <f>其他战斗玩法!K165</f>
        <v/>
      </c>
      <c r="G577" s="85">
        <f>其他战斗玩法!L165</f>
        <v/>
      </c>
      <c r="H577" s="85" t="n">
        <v>0.418858868567819</v>
      </c>
      <c r="I577" s="85">
        <f>其他战斗玩法!X165</f>
        <v/>
      </c>
      <c r="J577" s="85">
        <f>I577/H577</f>
        <v/>
      </c>
      <c r="K577" s="85" t="n">
        <v>31.4757107307228</v>
      </c>
      <c r="L577" s="85">
        <f>其他战斗玩法!Y165</f>
        <v/>
      </c>
      <c r="M577" s="85">
        <f>L577/K577</f>
        <v/>
      </c>
      <c r="N577" t="inlineStr">
        <is>
          <t>等效进度估算</t>
        </is>
      </c>
    </row>
    <row r="578">
      <c r="A578" t="inlineStr">
        <is>
          <t>其他战斗玩法</t>
        </is>
      </c>
      <c r="B578" t="inlineStr">
        <is>
          <t>冰原野怪</t>
        </is>
      </c>
      <c r="C578" t="n">
        <v>7</v>
      </c>
      <c r="D578" t="n">
        <v>15</v>
      </c>
      <c r="E578" t="n">
        <v>14</v>
      </c>
      <c r="F578" s="85">
        <f>其他战斗玩法!K166</f>
        <v/>
      </c>
      <c r="G578" s="85">
        <f>其他战斗玩法!L166</f>
        <v/>
      </c>
      <c r="H578" s="85" t="n">
        <v>0.418858868567819</v>
      </c>
      <c r="I578" s="85">
        <f>其他战斗玩法!X166</f>
        <v/>
      </c>
      <c r="J578" s="85">
        <f>I578/H578</f>
        <v/>
      </c>
      <c r="K578" s="85" t="n">
        <v>31.4757107307228</v>
      </c>
      <c r="L578" s="85">
        <f>其他战斗玩法!Y166</f>
        <v/>
      </c>
      <c r="M578" s="85">
        <f>L578/K578</f>
        <v/>
      </c>
      <c r="N578" t="inlineStr">
        <is>
          <t>等效进度估算</t>
        </is>
      </c>
    </row>
    <row r="579">
      <c r="A579" t="inlineStr">
        <is>
          <t>其他战斗玩法</t>
        </is>
      </c>
      <c r="B579" t="inlineStr">
        <is>
          <t>冰原野怪</t>
        </is>
      </c>
      <c r="C579" t="n">
        <v>7</v>
      </c>
      <c r="D579" t="n">
        <v>15</v>
      </c>
      <c r="E579" t="n">
        <v>14</v>
      </c>
      <c r="F579" s="85">
        <f>其他战斗玩法!K167</f>
        <v/>
      </c>
      <c r="G579" s="85">
        <f>其他战斗玩法!L167</f>
        <v/>
      </c>
      <c r="H579" s="85" t="n">
        <v>0.418858868567819</v>
      </c>
      <c r="I579" s="85">
        <f>其他战斗玩法!X167</f>
        <v/>
      </c>
      <c r="J579" s="85">
        <f>I579/H579</f>
        <v/>
      </c>
      <c r="K579" s="85" t="n">
        <v>31.4757107307228</v>
      </c>
      <c r="L579" s="85">
        <f>其他战斗玩法!Y167</f>
        <v/>
      </c>
      <c r="M579" s="85">
        <f>L579/K579</f>
        <v/>
      </c>
      <c r="N579" t="inlineStr">
        <is>
          <t>等效进度估算</t>
        </is>
      </c>
    </row>
    <row r="580">
      <c r="A580" t="inlineStr">
        <is>
          <t>其他战斗玩法</t>
        </is>
      </c>
      <c r="B580" t="inlineStr">
        <is>
          <t>任务野怪1</t>
        </is>
      </c>
      <c r="C580" t="n">
        <v>7</v>
      </c>
      <c r="D580" t="n">
        <v>15</v>
      </c>
      <c r="E580" t="n">
        <v>14</v>
      </c>
      <c r="F580" s="85">
        <f>其他战斗玩法!K168</f>
        <v/>
      </c>
      <c r="G580" s="85">
        <f>其他战斗玩法!L168</f>
        <v/>
      </c>
      <c r="H580" s="85" t="n">
        <v>0.418858868567819</v>
      </c>
      <c r="I580" s="85">
        <f>其他战斗玩法!X168</f>
        <v/>
      </c>
      <c r="J580" s="85">
        <f>I580/H580</f>
        <v/>
      </c>
      <c r="K580" s="85" t="n">
        <v>31.4757107307228</v>
      </c>
      <c r="L580" s="85">
        <f>其他战斗玩法!Y168</f>
        <v/>
      </c>
      <c r="M580" s="85">
        <f>L580/K580</f>
        <v/>
      </c>
      <c r="N580" t="inlineStr">
        <is>
          <t>等效进度估算</t>
        </is>
      </c>
    </row>
    <row r="581">
      <c r="A581" t="inlineStr">
        <is>
          <t>其他战斗玩法</t>
        </is>
      </c>
      <c r="B581" t="inlineStr">
        <is>
          <t>任务野怪1</t>
        </is>
      </c>
      <c r="C581" t="n">
        <v>7</v>
      </c>
      <c r="D581" t="n">
        <v>15</v>
      </c>
      <c r="E581" t="n">
        <v>14</v>
      </c>
      <c r="F581" s="85">
        <f>其他战斗玩法!K169</f>
        <v/>
      </c>
      <c r="G581" s="85">
        <f>其他战斗玩法!L169</f>
        <v/>
      </c>
      <c r="H581" s="85" t="n">
        <v>0.418858868567819</v>
      </c>
      <c r="I581" s="85">
        <f>其他战斗玩法!X169</f>
        <v/>
      </c>
      <c r="J581" s="85">
        <f>I581/H581</f>
        <v/>
      </c>
      <c r="K581" s="85" t="n">
        <v>31.4757107307228</v>
      </c>
      <c r="L581" s="85">
        <f>其他战斗玩法!Y169</f>
        <v/>
      </c>
      <c r="M581" s="85">
        <f>L581/K581</f>
        <v/>
      </c>
      <c r="N581" t="inlineStr">
        <is>
          <t>等效进度估算</t>
        </is>
      </c>
    </row>
    <row r="582">
      <c r="A582" t="inlineStr">
        <is>
          <t>其他战斗玩法</t>
        </is>
      </c>
      <c r="B582" t="inlineStr">
        <is>
          <t>冰原野怪</t>
        </is>
      </c>
      <c r="C582" t="n">
        <v>7</v>
      </c>
      <c r="D582" t="n">
        <v>15</v>
      </c>
      <c r="E582" t="n">
        <v>14</v>
      </c>
      <c r="F582" s="85">
        <f>其他战斗玩法!K170</f>
        <v/>
      </c>
      <c r="G582" s="85">
        <f>其他战斗玩法!L170</f>
        <v/>
      </c>
      <c r="H582" s="85" t="n">
        <v>0.418858868567819</v>
      </c>
      <c r="I582" s="85">
        <f>其他战斗玩法!X170</f>
        <v/>
      </c>
      <c r="J582" s="85">
        <f>I582/H582</f>
        <v/>
      </c>
      <c r="K582" s="85" t="n">
        <v>31.4757107307228</v>
      </c>
      <c r="L582" s="85">
        <f>其他战斗玩法!Y170</f>
        <v/>
      </c>
      <c r="M582" s="85">
        <f>L582/K582</f>
        <v/>
      </c>
      <c r="N582" t="inlineStr">
        <is>
          <t>等效进度估算</t>
        </is>
      </c>
    </row>
    <row r="583">
      <c r="A583" t="inlineStr">
        <is>
          <t>其他战斗玩法</t>
        </is>
      </c>
      <c r="B583" t="inlineStr">
        <is>
          <t>冰原野怪</t>
        </is>
      </c>
      <c r="C583" t="n">
        <v>7</v>
      </c>
      <c r="D583" t="n">
        <v>15</v>
      </c>
      <c r="E583" t="n">
        <v>14</v>
      </c>
      <c r="F583" s="85">
        <f>其他战斗玩法!K171</f>
        <v/>
      </c>
      <c r="G583" s="85">
        <f>其他战斗玩法!L171</f>
        <v/>
      </c>
      <c r="H583" s="85" t="n">
        <v>0.418858868567819</v>
      </c>
      <c r="I583" s="85">
        <f>其他战斗玩法!X171</f>
        <v/>
      </c>
      <c r="J583" s="85">
        <f>I583/H583</f>
        <v/>
      </c>
      <c r="K583" s="85" t="n">
        <v>31.4757107307228</v>
      </c>
      <c r="L583" s="85">
        <f>其他战斗玩法!Y171</f>
        <v/>
      </c>
      <c r="M583" s="85">
        <f>L583/K583</f>
        <v/>
      </c>
      <c r="N583" t="inlineStr">
        <is>
          <t>等效进度估算</t>
        </is>
      </c>
    </row>
    <row r="584">
      <c r="A584" t="inlineStr">
        <is>
          <t>其他战斗玩法</t>
        </is>
      </c>
      <c r="B584" t="inlineStr">
        <is>
          <t>冰原野怪</t>
        </is>
      </c>
      <c r="C584" t="n">
        <v>7</v>
      </c>
      <c r="D584" t="n">
        <v>15</v>
      </c>
      <c r="E584" t="n">
        <v>14</v>
      </c>
      <c r="F584" s="85">
        <f>其他战斗玩法!K172</f>
        <v/>
      </c>
      <c r="G584" s="85">
        <f>其他战斗玩法!L172</f>
        <v/>
      </c>
      <c r="H584" s="85" t="n">
        <v>0.418858868567819</v>
      </c>
      <c r="I584" s="85">
        <f>其他战斗玩法!X172</f>
        <v/>
      </c>
      <c r="J584" s="85">
        <f>I584/H584</f>
        <v/>
      </c>
      <c r="K584" s="85" t="n">
        <v>31.4757107307228</v>
      </c>
      <c r="L584" s="85">
        <f>其他战斗玩法!Y172</f>
        <v/>
      </c>
      <c r="M584" s="85">
        <f>L584/K584</f>
        <v/>
      </c>
      <c r="N584" t="inlineStr">
        <is>
          <t>等效进度估算</t>
        </is>
      </c>
    </row>
    <row r="585">
      <c r="A585" t="inlineStr">
        <is>
          <t>其他战斗玩法</t>
        </is>
      </c>
      <c r="B585" t="inlineStr">
        <is>
          <t>冰原野怪</t>
        </is>
      </c>
      <c r="C585" t="n">
        <v>7</v>
      </c>
      <c r="D585" t="n">
        <v>15</v>
      </c>
      <c r="E585" t="n">
        <v>14</v>
      </c>
      <c r="F585" s="85">
        <f>其他战斗玩法!K173</f>
        <v/>
      </c>
      <c r="G585" s="85">
        <f>其他战斗玩法!L173</f>
        <v/>
      </c>
      <c r="H585" s="85" t="n">
        <v>0.418858868567819</v>
      </c>
      <c r="I585" s="85">
        <f>其他战斗玩法!X173</f>
        <v/>
      </c>
      <c r="J585" s="85">
        <f>I585/H585</f>
        <v/>
      </c>
      <c r="K585" s="85" t="n">
        <v>31.4757107307228</v>
      </c>
      <c r="L585" s="85">
        <f>其他战斗玩法!Y173</f>
        <v/>
      </c>
      <c r="M585" s="85">
        <f>L585/K585</f>
        <v/>
      </c>
      <c r="N585" t="inlineStr">
        <is>
          <t>等效进度估算</t>
        </is>
      </c>
    </row>
    <row r="586">
      <c r="A586" t="inlineStr">
        <is>
          <t>其他战斗玩法</t>
        </is>
      </c>
      <c r="B586" t="inlineStr">
        <is>
          <t>冰原野怪</t>
        </is>
      </c>
      <c r="C586" t="n">
        <v>7</v>
      </c>
      <c r="D586" t="n">
        <v>15</v>
      </c>
      <c r="E586" t="n">
        <v>14</v>
      </c>
      <c r="F586" s="85">
        <f>其他战斗玩法!K174</f>
        <v/>
      </c>
      <c r="G586" s="85">
        <f>其他战斗玩法!L174</f>
        <v/>
      </c>
      <c r="H586" s="85" t="n">
        <v>0.418858868567819</v>
      </c>
      <c r="I586" s="85">
        <f>其他战斗玩法!X174</f>
        <v/>
      </c>
      <c r="J586" s="85">
        <f>I586/H586</f>
        <v/>
      </c>
      <c r="K586" s="85" t="n">
        <v>31.4757107307228</v>
      </c>
      <c r="L586" s="85">
        <f>其他战斗玩法!Y174</f>
        <v/>
      </c>
      <c r="M586" s="85">
        <f>L586/K586</f>
        <v/>
      </c>
      <c r="N586" t="inlineStr">
        <is>
          <t>等效进度估算</t>
        </is>
      </c>
    </row>
    <row r="587">
      <c r="A587" t="inlineStr">
        <is>
          <t>其他战斗玩法</t>
        </is>
      </c>
      <c r="B587" t="inlineStr">
        <is>
          <t>冰原野怪</t>
        </is>
      </c>
      <c r="C587" t="n">
        <v>7</v>
      </c>
      <c r="D587" t="n">
        <v>15</v>
      </c>
      <c r="E587" t="n">
        <v>14</v>
      </c>
      <c r="F587" s="85">
        <f>其他战斗玩法!K175</f>
        <v/>
      </c>
      <c r="G587" s="85">
        <f>其他战斗玩法!L175</f>
        <v/>
      </c>
      <c r="H587" s="85" t="n">
        <v>0.418858868567819</v>
      </c>
      <c r="I587" s="85">
        <f>其他战斗玩法!X175</f>
        <v/>
      </c>
      <c r="J587" s="85">
        <f>I587/H587</f>
        <v/>
      </c>
      <c r="K587" s="85" t="n">
        <v>31.4757107307228</v>
      </c>
      <c r="L587" s="85">
        <f>其他战斗玩法!Y175</f>
        <v/>
      </c>
      <c r="M587" s="85">
        <f>L587/K587</f>
        <v/>
      </c>
      <c r="N587" t="inlineStr">
        <is>
          <t>等效进度估算</t>
        </is>
      </c>
    </row>
    <row r="588">
      <c r="A588" t="inlineStr">
        <is>
          <t>其他战斗玩法</t>
        </is>
      </c>
      <c r="B588" t="inlineStr">
        <is>
          <t>冰原野怪</t>
        </is>
      </c>
      <c r="C588" t="n">
        <v>7</v>
      </c>
      <c r="D588" t="n">
        <v>15</v>
      </c>
      <c r="E588" t="n">
        <v>14</v>
      </c>
      <c r="F588" s="85">
        <f>其他战斗玩法!K176</f>
        <v/>
      </c>
      <c r="G588" s="85">
        <f>其他战斗玩法!L176</f>
        <v/>
      </c>
      <c r="H588" s="85" t="n">
        <v>0.418858868567819</v>
      </c>
      <c r="I588" s="85">
        <f>其他战斗玩法!X176</f>
        <v/>
      </c>
      <c r="J588" s="85">
        <f>I588/H588</f>
        <v/>
      </c>
      <c r="K588" s="85" t="n">
        <v>31.4757107307228</v>
      </c>
      <c r="L588" s="85">
        <f>其他战斗玩法!Y176</f>
        <v/>
      </c>
      <c r="M588" s="85">
        <f>L588/K588</f>
        <v/>
      </c>
      <c r="N588" t="inlineStr">
        <is>
          <t>等效进度估算</t>
        </is>
      </c>
    </row>
    <row r="589">
      <c r="A589" t="inlineStr">
        <is>
          <t>其他战斗玩法</t>
        </is>
      </c>
      <c r="B589" t="inlineStr">
        <is>
          <t>冰原野怪</t>
        </is>
      </c>
      <c r="C589" t="n">
        <v>7</v>
      </c>
      <c r="D589" t="n">
        <v>15</v>
      </c>
      <c r="E589" t="n">
        <v>14</v>
      </c>
      <c r="F589" s="85">
        <f>其他战斗玩法!K177</f>
        <v/>
      </c>
      <c r="G589" s="85">
        <f>其他战斗玩法!L177</f>
        <v/>
      </c>
      <c r="H589" s="85" t="n">
        <v>0.418858868567819</v>
      </c>
      <c r="I589" s="85">
        <f>其他战斗玩法!X177</f>
        <v/>
      </c>
      <c r="J589" s="85">
        <f>I589/H589</f>
        <v/>
      </c>
      <c r="K589" s="85" t="n">
        <v>31.4757107307228</v>
      </c>
      <c r="L589" s="85">
        <f>其他战斗玩法!Y177</f>
        <v/>
      </c>
      <c r="M589" s="85">
        <f>L589/K589</f>
        <v/>
      </c>
      <c r="N589" t="inlineStr">
        <is>
          <t>等效进度估算</t>
        </is>
      </c>
    </row>
    <row r="590">
      <c r="A590" t="inlineStr">
        <is>
          <t>其他战斗玩法</t>
        </is>
      </c>
      <c r="B590" t="inlineStr">
        <is>
          <t>森林野怪</t>
        </is>
      </c>
      <c r="C590" t="n">
        <v>7</v>
      </c>
      <c r="D590" t="n">
        <v>15</v>
      </c>
      <c r="E590" t="n">
        <v>14</v>
      </c>
      <c r="F590" s="85">
        <f>其他战斗玩法!K178</f>
        <v/>
      </c>
      <c r="G590" s="85">
        <f>其他战斗玩法!L178</f>
        <v/>
      </c>
      <c r="H590" s="85" t="n">
        <v>0.418858868567819</v>
      </c>
      <c r="I590" s="85">
        <f>其他战斗玩法!X178</f>
        <v/>
      </c>
      <c r="J590" s="85">
        <f>I590/H590</f>
        <v/>
      </c>
      <c r="K590" s="85" t="n">
        <v>31.4757107307228</v>
      </c>
      <c r="L590" s="85">
        <f>其他战斗玩法!Y178</f>
        <v/>
      </c>
      <c r="M590" s="85">
        <f>L590/K590</f>
        <v/>
      </c>
      <c r="N590" t="inlineStr">
        <is>
          <t>等效进度估算</t>
        </is>
      </c>
    </row>
    <row r="591">
      <c r="A591" t="inlineStr">
        <is>
          <t>其他战斗玩法</t>
        </is>
      </c>
      <c r="B591" t="inlineStr">
        <is>
          <t>森林野怪</t>
        </is>
      </c>
      <c r="C591" t="n">
        <v>7</v>
      </c>
      <c r="D591" t="n">
        <v>15</v>
      </c>
      <c r="E591" t="n">
        <v>14</v>
      </c>
      <c r="F591" s="85">
        <f>其他战斗玩法!K179</f>
        <v/>
      </c>
      <c r="G591" s="85">
        <f>其他战斗玩法!L179</f>
        <v/>
      </c>
      <c r="H591" s="85" t="n">
        <v>0.418858868567819</v>
      </c>
      <c r="I591" s="85">
        <f>其他战斗玩法!X179</f>
        <v/>
      </c>
      <c r="J591" s="85">
        <f>I591/H591</f>
        <v/>
      </c>
      <c r="K591" s="85" t="n">
        <v>31.4757107307228</v>
      </c>
      <c r="L591" s="85">
        <f>其他战斗玩法!Y179</f>
        <v/>
      </c>
      <c r="M591" s="85">
        <f>L591/K591</f>
        <v/>
      </c>
      <c r="N591" t="inlineStr">
        <is>
          <t>等效进度估算</t>
        </is>
      </c>
    </row>
    <row r="592">
      <c r="A592" t="inlineStr">
        <is>
          <t>其他战斗玩法</t>
        </is>
      </c>
      <c r="B592" t="inlineStr">
        <is>
          <t>森林野怪</t>
        </is>
      </c>
      <c r="C592" t="n">
        <v>7</v>
      </c>
      <c r="D592" t="n">
        <v>15</v>
      </c>
      <c r="E592" t="n">
        <v>14</v>
      </c>
      <c r="F592" s="85">
        <f>其他战斗玩法!K180</f>
        <v/>
      </c>
      <c r="G592" s="85">
        <f>其他战斗玩法!L180</f>
        <v/>
      </c>
      <c r="H592" s="85" t="n">
        <v>0.418858868567819</v>
      </c>
      <c r="I592" s="85">
        <f>其他战斗玩法!X180</f>
        <v/>
      </c>
      <c r="J592" s="85">
        <f>I592/H592</f>
        <v/>
      </c>
      <c r="K592" s="85" t="n">
        <v>31.4757107307228</v>
      </c>
      <c r="L592" s="85">
        <f>其他战斗玩法!Y180</f>
        <v/>
      </c>
      <c r="M592" s="85">
        <f>L592/K592</f>
        <v/>
      </c>
      <c r="N592" t="inlineStr">
        <is>
          <t>等效进度估算</t>
        </is>
      </c>
    </row>
    <row r="593">
      <c r="A593" t="inlineStr">
        <is>
          <t>其他战斗玩法</t>
        </is>
      </c>
      <c r="B593" t="inlineStr">
        <is>
          <t>森林野怪</t>
        </is>
      </c>
      <c r="C593" t="n">
        <v>7</v>
      </c>
      <c r="D593" t="n">
        <v>15</v>
      </c>
      <c r="E593" t="n">
        <v>14</v>
      </c>
      <c r="F593" s="85">
        <f>其他战斗玩法!K181</f>
        <v/>
      </c>
      <c r="G593" s="85">
        <f>其他战斗玩法!L181</f>
        <v/>
      </c>
      <c r="H593" s="85" t="n">
        <v>0.418858868567819</v>
      </c>
      <c r="I593" s="85">
        <f>其他战斗玩法!X181</f>
        <v/>
      </c>
      <c r="J593" s="85">
        <f>I593/H593</f>
        <v/>
      </c>
      <c r="K593" s="85" t="n">
        <v>31.4757107307228</v>
      </c>
      <c r="L593" s="85">
        <f>其他战斗玩法!Y181</f>
        <v/>
      </c>
      <c r="M593" s="85">
        <f>L593/K593</f>
        <v/>
      </c>
      <c r="N593" t="inlineStr">
        <is>
          <t>等效进度估算</t>
        </is>
      </c>
    </row>
    <row r="594">
      <c r="A594" t="inlineStr">
        <is>
          <t>其他战斗玩法</t>
        </is>
      </c>
      <c r="B594" t="inlineStr">
        <is>
          <t>森林野怪</t>
        </is>
      </c>
      <c r="C594" t="n">
        <v>7</v>
      </c>
      <c r="D594" t="n">
        <v>15</v>
      </c>
      <c r="E594" t="n">
        <v>14</v>
      </c>
      <c r="F594" s="85">
        <f>其他战斗玩法!K182</f>
        <v/>
      </c>
      <c r="G594" s="85">
        <f>其他战斗玩法!L182</f>
        <v/>
      </c>
      <c r="H594" s="85" t="n">
        <v>0.418858868567819</v>
      </c>
      <c r="I594" s="85">
        <f>其他战斗玩法!X182</f>
        <v/>
      </c>
      <c r="J594" s="85">
        <f>I594/H594</f>
        <v/>
      </c>
      <c r="K594" s="85" t="n">
        <v>31.4757107307228</v>
      </c>
      <c r="L594" s="85">
        <f>其他战斗玩法!Y182</f>
        <v/>
      </c>
      <c r="M594" s="85">
        <f>L594/K594</f>
        <v/>
      </c>
      <c r="N594" t="inlineStr">
        <is>
          <t>等效进度估算</t>
        </is>
      </c>
    </row>
    <row r="595">
      <c r="A595" t="inlineStr">
        <is>
          <t>其他战斗玩法</t>
        </is>
      </c>
      <c r="B595" t="inlineStr">
        <is>
          <t>森林野怪</t>
        </is>
      </c>
      <c r="C595" t="n">
        <v>7</v>
      </c>
      <c r="D595" t="n">
        <v>15</v>
      </c>
      <c r="E595" t="n">
        <v>14</v>
      </c>
      <c r="F595" s="85">
        <f>其他战斗玩法!K183</f>
        <v/>
      </c>
      <c r="G595" s="85">
        <f>其他战斗玩法!L183</f>
        <v/>
      </c>
      <c r="H595" s="85" t="n">
        <v>0.418858868567819</v>
      </c>
      <c r="I595" s="85">
        <f>其他战斗玩法!X183</f>
        <v/>
      </c>
      <c r="J595" s="85">
        <f>I595/H595</f>
        <v/>
      </c>
      <c r="K595" s="85" t="n">
        <v>31.4757107307228</v>
      </c>
      <c r="L595" s="85">
        <f>其他战斗玩法!Y183</f>
        <v/>
      </c>
      <c r="M595" s="85">
        <f>L595/K595</f>
        <v/>
      </c>
      <c r="N595" t="inlineStr">
        <is>
          <t>等效进度估算</t>
        </is>
      </c>
    </row>
    <row r="596">
      <c r="A596" t="inlineStr">
        <is>
          <t>其他战斗玩法</t>
        </is>
      </c>
      <c r="B596" t="inlineStr">
        <is>
          <t>森林野怪</t>
        </is>
      </c>
      <c r="C596" t="n">
        <v>7</v>
      </c>
      <c r="D596" t="n">
        <v>15</v>
      </c>
      <c r="E596" t="n">
        <v>14</v>
      </c>
      <c r="F596" s="85">
        <f>其他战斗玩法!K184</f>
        <v/>
      </c>
      <c r="G596" s="85">
        <f>其他战斗玩法!L184</f>
        <v/>
      </c>
      <c r="H596" s="85" t="n">
        <v>0.418858868567819</v>
      </c>
      <c r="I596" s="85">
        <f>其他战斗玩法!X184</f>
        <v/>
      </c>
      <c r="J596" s="85">
        <f>I596/H596</f>
        <v/>
      </c>
      <c r="K596" s="85" t="n">
        <v>31.4757107307228</v>
      </c>
      <c r="L596" s="85">
        <f>其他战斗玩法!Y184</f>
        <v/>
      </c>
      <c r="M596" s="85">
        <f>L596/K596</f>
        <v/>
      </c>
      <c r="N596" t="inlineStr">
        <is>
          <t>等效进度估算</t>
        </is>
      </c>
    </row>
    <row r="597">
      <c r="A597" t="inlineStr">
        <is>
          <t>其他战斗玩法</t>
        </is>
      </c>
      <c r="B597" t="inlineStr">
        <is>
          <t>森林野怪</t>
        </is>
      </c>
      <c r="C597" t="n">
        <v>7</v>
      </c>
      <c r="D597" t="n">
        <v>15</v>
      </c>
      <c r="E597" t="n">
        <v>14</v>
      </c>
      <c r="F597" s="85">
        <f>其他战斗玩法!K185</f>
        <v/>
      </c>
      <c r="G597" s="85">
        <f>其他战斗玩法!L185</f>
        <v/>
      </c>
      <c r="H597" s="85" t="n">
        <v>0.418858868567819</v>
      </c>
      <c r="I597" s="85">
        <f>其他战斗玩法!X185</f>
        <v/>
      </c>
      <c r="J597" s="85">
        <f>I597/H597</f>
        <v/>
      </c>
      <c r="K597" s="85" t="n">
        <v>31.4757107307228</v>
      </c>
      <c r="L597" s="85">
        <f>其他战斗玩法!Y185</f>
        <v/>
      </c>
      <c r="M597" s="85">
        <f>L597/K597</f>
        <v/>
      </c>
      <c r="N597" t="inlineStr">
        <is>
          <t>等效进度估算</t>
        </is>
      </c>
    </row>
    <row r="598">
      <c r="A598" t="inlineStr">
        <is>
          <t>其他战斗玩法</t>
        </is>
      </c>
      <c r="B598" t="inlineStr">
        <is>
          <t>森林野怪</t>
        </is>
      </c>
      <c r="C598" t="n">
        <v>7</v>
      </c>
      <c r="D598" t="n">
        <v>15</v>
      </c>
      <c r="E598" t="n">
        <v>14</v>
      </c>
      <c r="F598" s="85">
        <f>其他战斗玩法!K186</f>
        <v/>
      </c>
      <c r="G598" s="85">
        <f>其他战斗玩法!L186</f>
        <v/>
      </c>
      <c r="H598" s="85" t="n">
        <v>0.418858868567819</v>
      </c>
      <c r="I598" s="85">
        <f>其他战斗玩法!X186</f>
        <v/>
      </c>
      <c r="J598" s="85">
        <f>I598/H598</f>
        <v/>
      </c>
      <c r="K598" s="85" t="n">
        <v>31.4757107307228</v>
      </c>
      <c r="L598" s="85">
        <f>其他战斗玩法!Y186</f>
        <v/>
      </c>
      <c r="M598" s="85">
        <f>L598/K598</f>
        <v/>
      </c>
      <c r="N598" t="inlineStr">
        <is>
          <t>等效进度估算</t>
        </is>
      </c>
    </row>
    <row r="599">
      <c r="A599" t="inlineStr">
        <is>
          <t>其他战斗玩法</t>
        </is>
      </c>
      <c r="B599" t="inlineStr">
        <is>
          <t>冰原野怪</t>
        </is>
      </c>
      <c r="C599" t="n">
        <v>7</v>
      </c>
      <c r="D599" t="n">
        <v>15</v>
      </c>
      <c r="E599" t="n">
        <v>14</v>
      </c>
      <c r="F599" s="85">
        <f>其他战斗玩法!K187</f>
        <v/>
      </c>
      <c r="G599" s="85">
        <f>其他战斗玩法!L187</f>
        <v/>
      </c>
      <c r="H599" s="85" t="n">
        <v>0.418858868567819</v>
      </c>
      <c r="I599" s="85">
        <f>其他战斗玩法!X187</f>
        <v/>
      </c>
      <c r="J599" s="85">
        <f>I599/H599</f>
        <v/>
      </c>
      <c r="K599" s="85" t="n">
        <v>31.4757107307228</v>
      </c>
      <c r="L599" s="85">
        <f>其他战斗玩法!Y187</f>
        <v/>
      </c>
      <c r="M599" s="85">
        <f>L599/K599</f>
        <v/>
      </c>
      <c r="N599" t="inlineStr">
        <is>
          <t>等效进度估算</t>
        </is>
      </c>
    </row>
    <row r="600">
      <c r="A600" t="inlineStr">
        <is>
          <t>其他战斗玩法</t>
        </is>
      </c>
      <c r="B600" t="inlineStr">
        <is>
          <t>冰原野怪</t>
        </is>
      </c>
      <c r="C600" t="n">
        <v>7</v>
      </c>
      <c r="D600" t="n">
        <v>15</v>
      </c>
      <c r="E600" t="n">
        <v>14</v>
      </c>
      <c r="F600" s="85">
        <f>其他战斗玩法!K188</f>
        <v/>
      </c>
      <c r="G600" s="85">
        <f>其他战斗玩法!L188</f>
        <v/>
      </c>
      <c r="H600" s="85" t="n">
        <v>0.418858868567819</v>
      </c>
      <c r="I600" s="85">
        <f>其他战斗玩法!X188</f>
        <v/>
      </c>
      <c r="J600" s="85">
        <f>I600/H600</f>
        <v/>
      </c>
      <c r="K600" s="85" t="n">
        <v>31.4757107307228</v>
      </c>
      <c r="L600" s="85">
        <f>其他战斗玩法!Y188</f>
        <v/>
      </c>
      <c r="M600" s="85">
        <f>L600/K600</f>
        <v/>
      </c>
      <c r="N600" t="inlineStr">
        <is>
          <t>等效进度估算</t>
        </is>
      </c>
    </row>
    <row r="601">
      <c r="A601" t="inlineStr">
        <is>
          <t>其他战斗玩法</t>
        </is>
      </c>
      <c r="B601" t="inlineStr">
        <is>
          <t>冰原野怪</t>
        </is>
      </c>
      <c r="C601" t="n">
        <v>7</v>
      </c>
      <c r="D601" t="n">
        <v>15</v>
      </c>
      <c r="E601" t="n">
        <v>14</v>
      </c>
      <c r="F601" s="85">
        <f>其他战斗玩法!K189</f>
        <v/>
      </c>
      <c r="G601" s="85">
        <f>其他战斗玩法!L189</f>
        <v/>
      </c>
      <c r="H601" s="85" t="n">
        <v>0.418858868567819</v>
      </c>
      <c r="I601" s="85">
        <f>其他战斗玩法!X189</f>
        <v/>
      </c>
      <c r="J601" s="85">
        <f>I601/H601</f>
        <v/>
      </c>
      <c r="K601" s="85" t="n">
        <v>31.4757107307228</v>
      </c>
      <c r="L601" s="85">
        <f>其他战斗玩法!Y189</f>
        <v/>
      </c>
      <c r="M601" s="85">
        <f>L601/K601</f>
        <v/>
      </c>
      <c r="N601" t="inlineStr">
        <is>
          <t>等效进度估算</t>
        </is>
      </c>
    </row>
    <row r="602">
      <c r="A602" t="inlineStr">
        <is>
          <t>其他战斗玩法</t>
        </is>
      </c>
      <c r="B602" t="inlineStr">
        <is>
          <t>冰原野怪</t>
        </is>
      </c>
      <c r="C602" t="n">
        <v>7</v>
      </c>
      <c r="D602" t="n">
        <v>15</v>
      </c>
      <c r="E602" t="n">
        <v>14</v>
      </c>
      <c r="F602" s="85">
        <f>其他战斗玩法!K190</f>
        <v/>
      </c>
      <c r="G602" s="85">
        <f>其他战斗玩法!L190</f>
        <v/>
      </c>
      <c r="H602" s="85" t="n">
        <v>0.418858868567819</v>
      </c>
      <c r="I602" s="85">
        <f>其他战斗玩法!X190</f>
        <v/>
      </c>
      <c r="J602" s="85">
        <f>I602/H602</f>
        <v/>
      </c>
      <c r="K602" s="85" t="n">
        <v>31.4757107307228</v>
      </c>
      <c r="L602" s="85">
        <f>其他战斗玩法!Y190</f>
        <v/>
      </c>
      <c r="M602" s="85">
        <f>L602/K602</f>
        <v/>
      </c>
      <c r="N602" t="inlineStr">
        <is>
          <t>等效进度估算</t>
        </is>
      </c>
    </row>
    <row r="603">
      <c r="A603" t="inlineStr">
        <is>
          <t>其他战斗玩法</t>
        </is>
      </c>
      <c r="B603" t="inlineStr">
        <is>
          <t>冰原野怪</t>
        </is>
      </c>
      <c r="C603" t="n">
        <v>7</v>
      </c>
      <c r="D603" t="n">
        <v>15</v>
      </c>
      <c r="E603" t="n">
        <v>14</v>
      </c>
      <c r="F603" s="85">
        <f>其他战斗玩法!K191</f>
        <v/>
      </c>
      <c r="G603" s="85">
        <f>其他战斗玩法!L191</f>
        <v/>
      </c>
      <c r="H603" s="85" t="n">
        <v>0.418858868567819</v>
      </c>
      <c r="I603" s="85">
        <f>其他战斗玩法!X191</f>
        <v/>
      </c>
      <c r="J603" s="85">
        <f>I603/H603</f>
        <v/>
      </c>
      <c r="K603" s="85" t="n">
        <v>31.4757107307228</v>
      </c>
      <c r="L603" s="85">
        <f>其他战斗玩法!Y191</f>
        <v/>
      </c>
      <c r="M603" s="85">
        <f>L603/K603</f>
        <v/>
      </c>
      <c r="N603" t="inlineStr">
        <is>
          <t>等效进度估算</t>
        </is>
      </c>
    </row>
    <row r="604">
      <c r="A604" t="inlineStr">
        <is>
          <t>其他战斗玩法</t>
        </is>
      </c>
      <c r="B604" t="inlineStr">
        <is>
          <t>冰原野怪</t>
        </is>
      </c>
      <c r="C604" t="n">
        <v>7</v>
      </c>
      <c r="D604" t="n">
        <v>15</v>
      </c>
      <c r="E604" t="n">
        <v>14</v>
      </c>
      <c r="F604" s="85">
        <f>其他战斗玩法!K192</f>
        <v/>
      </c>
      <c r="G604" s="85">
        <f>其他战斗玩法!L192</f>
        <v/>
      </c>
      <c r="H604" s="85" t="n">
        <v>0.418858868567819</v>
      </c>
      <c r="I604" s="85">
        <f>其他战斗玩法!X192</f>
        <v/>
      </c>
      <c r="J604" s="85">
        <f>I604/H604</f>
        <v/>
      </c>
      <c r="K604" s="85" t="n">
        <v>31.4757107307228</v>
      </c>
      <c r="L604" s="85">
        <f>其他战斗玩法!Y192</f>
        <v/>
      </c>
      <c r="M604" s="85">
        <f>L604/K604</f>
        <v/>
      </c>
      <c r="N604" t="inlineStr">
        <is>
          <t>等效进度估算</t>
        </is>
      </c>
    </row>
    <row r="605">
      <c r="A605" t="inlineStr">
        <is>
          <t>其他战斗玩法</t>
        </is>
      </c>
      <c r="B605" t="inlineStr">
        <is>
          <t>冰原野怪</t>
        </is>
      </c>
      <c r="C605" t="n">
        <v>7</v>
      </c>
      <c r="D605" t="n">
        <v>15</v>
      </c>
      <c r="E605" t="n">
        <v>14</v>
      </c>
      <c r="F605" s="85">
        <f>其他战斗玩法!K193</f>
        <v/>
      </c>
      <c r="G605" s="85">
        <f>其他战斗玩法!L193</f>
        <v/>
      </c>
      <c r="H605" s="85" t="n">
        <v>0.418858868567819</v>
      </c>
      <c r="I605" s="85">
        <f>其他战斗玩法!X193</f>
        <v/>
      </c>
      <c r="J605" s="85">
        <f>I605/H605</f>
        <v/>
      </c>
      <c r="K605" s="85" t="n">
        <v>31.4757107307228</v>
      </c>
      <c r="L605" s="85">
        <f>其他战斗玩法!Y193</f>
        <v/>
      </c>
      <c r="M605" s="85">
        <f>L605/K605</f>
        <v/>
      </c>
      <c r="N605" t="inlineStr">
        <is>
          <t>等效进度估算</t>
        </is>
      </c>
    </row>
    <row r="606">
      <c r="A606" t="inlineStr">
        <is>
          <t>其他战斗玩法</t>
        </is>
      </c>
      <c r="B606" t="inlineStr">
        <is>
          <t>冰原野怪</t>
        </is>
      </c>
      <c r="C606" t="n">
        <v>7</v>
      </c>
      <c r="D606" t="n">
        <v>15</v>
      </c>
      <c r="E606" t="n">
        <v>14</v>
      </c>
      <c r="F606" s="85">
        <f>其他战斗玩法!K194</f>
        <v/>
      </c>
      <c r="G606" s="85">
        <f>其他战斗玩法!L194</f>
        <v/>
      </c>
      <c r="H606" s="85" t="n">
        <v>0.418858868567819</v>
      </c>
      <c r="I606" s="85">
        <f>其他战斗玩法!X194</f>
        <v/>
      </c>
      <c r="J606" s="85">
        <f>I606/H606</f>
        <v/>
      </c>
      <c r="K606" s="85" t="n">
        <v>31.4757107307228</v>
      </c>
      <c r="L606" s="85">
        <f>其他战斗玩法!Y194</f>
        <v/>
      </c>
      <c r="M606" s="85">
        <f>L606/K606</f>
        <v/>
      </c>
      <c r="N606" t="inlineStr">
        <is>
          <t>等效进度估算</t>
        </is>
      </c>
    </row>
    <row r="607">
      <c r="A607" t="inlineStr">
        <is>
          <t>其他战斗玩法</t>
        </is>
      </c>
      <c r="B607" t="inlineStr">
        <is>
          <t>冰原野怪</t>
        </is>
      </c>
      <c r="C607" t="n">
        <v>7</v>
      </c>
      <c r="D607" t="n">
        <v>15</v>
      </c>
      <c r="E607" t="n">
        <v>14</v>
      </c>
      <c r="F607" s="85">
        <f>其他战斗玩法!K195</f>
        <v/>
      </c>
      <c r="G607" s="85">
        <f>其他战斗玩法!L195</f>
        <v/>
      </c>
      <c r="H607" s="85" t="n">
        <v>0.418858868567819</v>
      </c>
      <c r="I607" s="85">
        <f>其他战斗玩法!X195</f>
        <v/>
      </c>
      <c r="J607" s="85">
        <f>I607/H607</f>
        <v/>
      </c>
      <c r="K607" s="85" t="n">
        <v>31.4757107307228</v>
      </c>
      <c r="L607" s="85">
        <f>其他战斗玩法!Y195</f>
        <v/>
      </c>
      <c r="M607" s="85">
        <f>L607/K607</f>
        <v/>
      </c>
      <c r="N607" t="inlineStr">
        <is>
          <t>等效进度估算</t>
        </is>
      </c>
    </row>
    <row r="608">
      <c r="A608" t="inlineStr">
        <is>
          <t>其他战斗玩法</t>
        </is>
      </c>
      <c r="B608" t="inlineStr">
        <is>
          <t>冰原野怪</t>
        </is>
      </c>
      <c r="C608" t="n">
        <v>7</v>
      </c>
      <c r="D608" t="n">
        <v>15</v>
      </c>
      <c r="E608" t="n">
        <v>14</v>
      </c>
      <c r="F608" s="85">
        <f>其他战斗玩法!K196</f>
        <v/>
      </c>
      <c r="G608" s="85">
        <f>其他战斗玩法!L196</f>
        <v/>
      </c>
      <c r="H608" s="85" t="n">
        <v>0.418858868567819</v>
      </c>
      <c r="I608" s="85">
        <f>其他战斗玩法!X196</f>
        <v/>
      </c>
      <c r="J608" s="85">
        <f>I608/H608</f>
        <v/>
      </c>
      <c r="K608" s="85" t="n">
        <v>31.4757107307228</v>
      </c>
      <c r="L608" s="85">
        <f>其他战斗玩法!Y196</f>
        <v/>
      </c>
      <c r="M608" s="85">
        <f>L608/K608</f>
        <v/>
      </c>
      <c r="N608" t="inlineStr">
        <is>
          <t>等效进度估算</t>
        </is>
      </c>
    </row>
    <row r="609">
      <c r="A609" t="inlineStr">
        <is>
          <t>其他战斗玩法</t>
        </is>
      </c>
      <c r="B609" t="inlineStr">
        <is>
          <t>冰原野怪</t>
        </is>
      </c>
      <c r="C609" t="n">
        <v>7</v>
      </c>
      <c r="D609" t="n">
        <v>15</v>
      </c>
      <c r="E609" t="n">
        <v>14</v>
      </c>
      <c r="F609" s="85">
        <f>其他战斗玩法!K197</f>
        <v/>
      </c>
      <c r="G609" s="85">
        <f>其他战斗玩法!L197</f>
        <v/>
      </c>
      <c r="H609" s="85" t="n">
        <v>0.418858868567819</v>
      </c>
      <c r="I609" s="85">
        <f>其他战斗玩法!X197</f>
        <v/>
      </c>
      <c r="J609" s="85">
        <f>I609/H609</f>
        <v/>
      </c>
      <c r="K609" s="85" t="n">
        <v>31.4757107307228</v>
      </c>
      <c r="L609" s="85">
        <f>其他战斗玩法!Y197</f>
        <v/>
      </c>
      <c r="M609" s="85">
        <f>L609/K609</f>
        <v/>
      </c>
      <c r="N609" t="inlineStr">
        <is>
          <t>等效进度估算</t>
        </is>
      </c>
    </row>
    <row r="610">
      <c r="A610" t="inlineStr">
        <is>
          <t>其他战斗玩法</t>
        </is>
      </c>
      <c r="B610" t="inlineStr">
        <is>
          <t>冰原野怪</t>
        </is>
      </c>
      <c r="C610" t="n">
        <v>7</v>
      </c>
      <c r="D610" t="n">
        <v>15</v>
      </c>
      <c r="E610" t="n">
        <v>14</v>
      </c>
      <c r="F610" s="85">
        <f>其他战斗玩法!K198</f>
        <v/>
      </c>
      <c r="G610" s="85">
        <f>其他战斗玩法!L198</f>
        <v/>
      </c>
      <c r="H610" s="85" t="n">
        <v>0.418858868567819</v>
      </c>
      <c r="I610" s="85">
        <f>其他战斗玩法!X198</f>
        <v/>
      </c>
      <c r="J610" s="85">
        <f>I610/H610</f>
        <v/>
      </c>
      <c r="K610" s="85" t="n">
        <v>31.4757107307228</v>
      </c>
      <c r="L610" s="85">
        <f>其他战斗玩法!Y198</f>
        <v/>
      </c>
      <c r="M610" s="85">
        <f>L610/K610</f>
        <v/>
      </c>
      <c r="N610" t="inlineStr">
        <is>
          <t>等效进度估算</t>
        </is>
      </c>
    </row>
    <row r="611">
      <c r="A611" t="inlineStr">
        <is>
          <t>其他战斗玩法</t>
        </is>
      </c>
      <c r="B611" t="inlineStr">
        <is>
          <t>冰原野怪</t>
        </is>
      </c>
      <c r="C611" t="n">
        <v>7</v>
      </c>
      <c r="D611" t="n">
        <v>15</v>
      </c>
      <c r="E611" t="n">
        <v>14</v>
      </c>
      <c r="F611" s="85">
        <f>其他战斗玩法!K199</f>
        <v/>
      </c>
      <c r="G611" s="85">
        <f>其他战斗玩法!L199</f>
        <v/>
      </c>
      <c r="H611" s="85" t="n">
        <v>0.418858868567819</v>
      </c>
      <c r="I611" s="85">
        <f>其他战斗玩法!X199</f>
        <v/>
      </c>
      <c r="J611" s="85">
        <f>I611/H611</f>
        <v/>
      </c>
      <c r="K611" s="85" t="n">
        <v>31.4757107307228</v>
      </c>
      <c r="L611" s="85">
        <f>其他战斗玩法!Y199</f>
        <v/>
      </c>
      <c r="M611" s="85">
        <f>L611/K611</f>
        <v/>
      </c>
      <c r="N611" t="inlineStr">
        <is>
          <t>等效进度估算</t>
        </is>
      </c>
    </row>
    <row r="612">
      <c r="A612" t="inlineStr">
        <is>
          <t>其他战斗玩法</t>
        </is>
      </c>
      <c r="B612" t="inlineStr">
        <is>
          <t>冰原野怪</t>
        </is>
      </c>
      <c r="C612" t="n">
        <v>7</v>
      </c>
      <c r="D612" t="n">
        <v>15</v>
      </c>
      <c r="E612" t="n">
        <v>14</v>
      </c>
      <c r="F612" s="85">
        <f>其他战斗玩法!K200</f>
        <v/>
      </c>
      <c r="G612" s="85">
        <f>其他战斗玩法!L200</f>
        <v/>
      </c>
      <c r="H612" s="85" t="n">
        <v>0.418858868567819</v>
      </c>
      <c r="I612" s="85">
        <f>其他战斗玩法!X200</f>
        <v/>
      </c>
      <c r="J612" s="85">
        <f>I612/H612</f>
        <v/>
      </c>
      <c r="K612" s="85" t="n">
        <v>31.4757107307228</v>
      </c>
      <c r="L612" s="85">
        <f>其他战斗玩法!Y200</f>
        <v/>
      </c>
      <c r="M612" s="85">
        <f>L612/K612</f>
        <v/>
      </c>
      <c r="N612" t="inlineStr">
        <is>
          <t>等效进度估算</t>
        </is>
      </c>
    </row>
    <row r="613">
      <c r="A613" t="inlineStr">
        <is>
          <t>其他战斗玩法</t>
        </is>
      </c>
      <c r="B613" t="inlineStr">
        <is>
          <t>冰原野怪</t>
        </is>
      </c>
      <c r="C613" t="n">
        <v>7</v>
      </c>
      <c r="D613" t="n">
        <v>15</v>
      </c>
      <c r="E613" t="n">
        <v>14</v>
      </c>
      <c r="F613" s="85">
        <f>其他战斗玩法!K201</f>
        <v/>
      </c>
      <c r="G613" s="85">
        <f>其他战斗玩法!L201</f>
        <v/>
      </c>
      <c r="H613" s="85" t="n">
        <v>0.418858868567819</v>
      </c>
      <c r="I613" s="85">
        <f>其他战斗玩法!X201</f>
        <v/>
      </c>
      <c r="J613" s="85">
        <f>I613/H613</f>
        <v/>
      </c>
      <c r="K613" s="85" t="n">
        <v>31.4757107307228</v>
      </c>
      <c r="L613" s="85">
        <f>其他战斗玩法!Y201</f>
        <v/>
      </c>
      <c r="M613" s="85">
        <f>L613/K613</f>
        <v/>
      </c>
      <c r="N613" t="inlineStr">
        <is>
          <t>等效进度估算</t>
        </is>
      </c>
    </row>
    <row r="614">
      <c r="A614" t="inlineStr">
        <is>
          <t>其他战斗玩法</t>
        </is>
      </c>
      <c r="B614" t="inlineStr">
        <is>
          <t>冰原野怪</t>
        </is>
      </c>
      <c r="C614" t="n">
        <v>7</v>
      </c>
      <c r="D614" t="n">
        <v>15</v>
      </c>
      <c r="E614" t="n">
        <v>14</v>
      </c>
      <c r="F614" s="85">
        <f>其他战斗玩法!K202</f>
        <v/>
      </c>
      <c r="G614" s="85">
        <f>其他战斗玩法!L202</f>
        <v/>
      </c>
      <c r="H614" s="85" t="n">
        <v>0.418858868567819</v>
      </c>
      <c r="I614" s="85">
        <f>其他战斗玩法!X202</f>
        <v/>
      </c>
      <c r="J614" s="85">
        <f>I614/H614</f>
        <v/>
      </c>
      <c r="K614" s="85" t="n">
        <v>31.4757107307228</v>
      </c>
      <c r="L614" s="85">
        <f>其他战斗玩法!Y202</f>
        <v/>
      </c>
      <c r="M614" s="85">
        <f>L614/K614</f>
        <v/>
      </c>
      <c r="N614" t="inlineStr">
        <is>
          <t>等效进度估算</t>
        </is>
      </c>
    </row>
    <row r="615">
      <c r="A615" t="inlineStr">
        <is>
          <t>其他战斗玩法</t>
        </is>
      </c>
      <c r="B615" t="inlineStr">
        <is>
          <t>冰原野怪</t>
        </is>
      </c>
      <c r="C615" t="n">
        <v>7</v>
      </c>
      <c r="D615" t="n">
        <v>15</v>
      </c>
      <c r="E615" t="n">
        <v>14</v>
      </c>
      <c r="F615" s="85">
        <f>其他战斗玩法!K203</f>
        <v/>
      </c>
      <c r="G615" s="85">
        <f>其他战斗玩法!L203</f>
        <v/>
      </c>
      <c r="H615" s="85" t="n">
        <v>0.418858868567819</v>
      </c>
      <c r="I615" s="85">
        <f>其他战斗玩法!X203</f>
        <v/>
      </c>
      <c r="J615" s="85">
        <f>I615/H615</f>
        <v/>
      </c>
      <c r="K615" s="85" t="n">
        <v>31.4757107307228</v>
      </c>
      <c r="L615" s="85">
        <f>其他战斗玩法!Y203</f>
        <v/>
      </c>
      <c r="M615" s="85">
        <f>L615/K615</f>
        <v/>
      </c>
      <c r="N615" t="inlineStr">
        <is>
          <t>等效进度估算</t>
        </is>
      </c>
    </row>
    <row r="616">
      <c r="A616" t="inlineStr">
        <is>
          <t>其他战斗玩法</t>
        </is>
      </c>
      <c r="B616" t="inlineStr">
        <is>
          <t>冰原野怪</t>
        </is>
      </c>
      <c r="C616" t="n">
        <v>7</v>
      </c>
      <c r="D616" t="n">
        <v>15</v>
      </c>
      <c r="E616" t="n">
        <v>14</v>
      </c>
      <c r="F616" s="85">
        <f>其他战斗玩法!K204</f>
        <v/>
      </c>
      <c r="G616" s="85">
        <f>其他战斗玩法!L204</f>
        <v/>
      </c>
      <c r="H616" s="85" t="n">
        <v>0.418858868567819</v>
      </c>
      <c r="I616" s="85">
        <f>其他战斗玩法!X204</f>
        <v/>
      </c>
      <c r="J616" s="85">
        <f>I616/H616</f>
        <v/>
      </c>
      <c r="K616" s="85" t="n">
        <v>31.4757107307228</v>
      </c>
      <c r="L616" s="85">
        <f>其他战斗玩法!Y204</f>
        <v/>
      </c>
      <c r="M616" s="85">
        <f>L616/K616</f>
        <v/>
      </c>
      <c r="N616" t="inlineStr">
        <is>
          <t>等效进度估算</t>
        </is>
      </c>
    </row>
    <row r="617">
      <c r="A617" t="inlineStr">
        <is>
          <t>其他战斗玩法</t>
        </is>
      </c>
      <c r="B617" t="inlineStr">
        <is>
          <t>冰原野怪</t>
        </is>
      </c>
      <c r="C617" t="n">
        <v>7</v>
      </c>
      <c r="D617" t="n">
        <v>15</v>
      </c>
      <c r="E617" t="n">
        <v>14</v>
      </c>
      <c r="F617" s="85">
        <f>其他战斗玩法!K205</f>
        <v/>
      </c>
      <c r="G617" s="85">
        <f>其他战斗玩法!L205</f>
        <v/>
      </c>
      <c r="H617" s="85" t="n">
        <v>0.418858868567819</v>
      </c>
      <c r="I617" s="85">
        <f>其他战斗玩法!X205</f>
        <v/>
      </c>
      <c r="J617" s="85">
        <f>I617/H617</f>
        <v/>
      </c>
      <c r="K617" s="85" t="n">
        <v>31.4757107307228</v>
      </c>
      <c r="L617" s="85">
        <f>其他战斗玩法!Y205</f>
        <v/>
      </c>
      <c r="M617" s="85">
        <f>L617/K617</f>
        <v/>
      </c>
      <c r="N617" t="inlineStr">
        <is>
          <t>等效进度估算</t>
        </is>
      </c>
    </row>
    <row r="618">
      <c r="A618" t="inlineStr">
        <is>
          <t>其他战斗玩法</t>
        </is>
      </c>
      <c r="B618" t="inlineStr">
        <is>
          <t>冰原野怪</t>
        </is>
      </c>
      <c r="C618" t="n">
        <v>7</v>
      </c>
      <c r="D618" t="n">
        <v>15</v>
      </c>
      <c r="E618" t="n">
        <v>14</v>
      </c>
      <c r="F618" s="85">
        <f>其他战斗玩法!K206</f>
        <v/>
      </c>
      <c r="G618" s="85">
        <f>其他战斗玩法!L206</f>
        <v/>
      </c>
      <c r="H618" s="85" t="n">
        <v>0.418858868567819</v>
      </c>
      <c r="I618" s="85">
        <f>其他战斗玩法!X206</f>
        <v/>
      </c>
      <c r="J618" s="85">
        <f>I618/H618</f>
        <v/>
      </c>
      <c r="K618" s="85" t="n">
        <v>31.4757107307228</v>
      </c>
      <c r="L618" s="85">
        <f>其他战斗玩法!Y206</f>
        <v/>
      </c>
      <c r="M618" s="85">
        <f>L618/K618</f>
        <v/>
      </c>
      <c r="N618" t="inlineStr">
        <is>
          <t>等效进度估算</t>
        </is>
      </c>
    </row>
    <row r="619">
      <c r="A619" t="inlineStr">
        <is>
          <t>其他战斗玩法</t>
        </is>
      </c>
      <c r="B619" t="inlineStr">
        <is>
          <t>冰原野怪</t>
        </is>
      </c>
      <c r="C619" t="n">
        <v>7</v>
      </c>
      <c r="D619" t="n">
        <v>15</v>
      </c>
      <c r="E619" t="n">
        <v>14</v>
      </c>
      <c r="F619" s="85">
        <f>其他战斗玩法!K207</f>
        <v/>
      </c>
      <c r="G619" s="85">
        <f>其他战斗玩法!L207</f>
        <v/>
      </c>
      <c r="H619" s="85" t="n">
        <v>0.418858868567819</v>
      </c>
      <c r="I619" s="85">
        <f>其他战斗玩法!X207</f>
        <v/>
      </c>
      <c r="J619" s="85">
        <f>I619/H619</f>
        <v/>
      </c>
      <c r="K619" s="85" t="n">
        <v>31.4757107307228</v>
      </c>
      <c r="L619" s="85">
        <f>其他战斗玩法!Y207</f>
        <v/>
      </c>
      <c r="M619" s="85">
        <f>L619/K619</f>
        <v/>
      </c>
      <c r="N619" t="inlineStr">
        <is>
          <t>等效进度估算</t>
        </is>
      </c>
    </row>
    <row r="620">
      <c r="A620" t="inlineStr">
        <is>
          <t>其他战斗玩法</t>
        </is>
      </c>
      <c r="B620" t="inlineStr">
        <is>
          <t>冰原野怪</t>
        </is>
      </c>
      <c r="C620" t="n">
        <v>7</v>
      </c>
      <c r="D620" t="n">
        <v>15</v>
      </c>
      <c r="E620" t="n">
        <v>14</v>
      </c>
      <c r="F620" s="85">
        <f>其他战斗玩法!K208</f>
        <v/>
      </c>
      <c r="G620" s="85">
        <f>其他战斗玩法!L208</f>
        <v/>
      </c>
      <c r="H620" s="85" t="n">
        <v>0.418858868567819</v>
      </c>
      <c r="I620" s="85">
        <f>其他战斗玩法!X208</f>
        <v/>
      </c>
      <c r="J620" s="85">
        <f>I620/H620</f>
        <v/>
      </c>
      <c r="K620" s="85" t="n">
        <v>31.4757107307228</v>
      </c>
      <c r="L620" s="85">
        <f>其他战斗玩法!Y208</f>
        <v/>
      </c>
      <c r="M620" s="85">
        <f>L620/K620</f>
        <v/>
      </c>
      <c r="N620" t="inlineStr">
        <is>
          <t>等效进度估算</t>
        </is>
      </c>
    </row>
    <row r="621">
      <c r="A621" t="inlineStr">
        <is>
          <t>其他战斗玩法</t>
        </is>
      </c>
      <c r="B621" t="inlineStr">
        <is>
          <t>冰原野怪</t>
        </is>
      </c>
      <c r="C621" t="n">
        <v>7</v>
      </c>
      <c r="D621" t="n">
        <v>15</v>
      </c>
      <c r="E621" t="n">
        <v>14</v>
      </c>
      <c r="F621" s="85">
        <f>其他战斗玩法!K209</f>
        <v/>
      </c>
      <c r="G621" s="85">
        <f>其他战斗玩法!L209</f>
        <v/>
      </c>
      <c r="H621" s="85" t="n">
        <v>0.418858868567819</v>
      </c>
      <c r="I621" s="85">
        <f>其他战斗玩法!X209</f>
        <v/>
      </c>
      <c r="J621" s="85">
        <f>I621/H621</f>
        <v/>
      </c>
      <c r="K621" s="85" t="n">
        <v>31.4757107307228</v>
      </c>
      <c r="L621" s="85">
        <f>其他战斗玩法!Y209</f>
        <v/>
      </c>
      <c r="M621" s="85">
        <f>L621/K621</f>
        <v/>
      </c>
      <c r="N621" t="inlineStr">
        <is>
          <t>等效进度估算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ColWidth="9" defaultRowHeight="13.5"/>
  <cols>
    <col width="20" customWidth="1" min="1" max="1"/>
    <col width="100" customWidth="1" min="2" max="2"/>
  </cols>
  <sheetData>
    <row r="1" ht="42" customHeight="1">
      <c r="A1" s="3" t="inlineStr">
        <is>
          <t>项目</t>
        </is>
      </c>
      <c r="B1" s="3" t="inlineStr">
        <is>
          <t>说明</t>
        </is>
      </c>
    </row>
    <row r="2" ht="42" customHeight="1">
      <c r="A2" t="inlineStr">
        <is>
          <t>版本</t>
        </is>
      </c>
      <c r="B2" s="18" t="inlineStr">
        <is>
          <t>2026-08-27 已批准3～7章放缓节点版；仅源表更新</t>
        </is>
      </c>
    </row>
    <row r="3" ht="46" customHeight="1">
      <c r="A3" t="inlineStr">
        <is>
          <t>玩家战力</t>
        </is>
      </c>
      <c r="B3" s="18" t="inlineStr">
        <is>
          <t>统一玩家战力曲线不变。映射原推荐×独立系数0.5；爬塔按新敌方属性反查所需玩家进度，最终推荐均取3位有效数字。</t>
        </is>
      </c>
    </row>
    <row r="4" ht="42" customHeight="1">
      <c r="A4" t="inlineStr">
        <is>
          <t>标准等级战力</t>
        </is>
      </c>
      <c r="B4" s="18" t="inlineStr">
        <is>
          <t>战斗公式.xlsx / 怪物标准模型 BD；这是无玩法倍率的等级基准，不等于所有同级玩法推荐值</t>
        </is>
      </c>
    </row>
    <row r="5" ht="42" customHeight="1">
      <c r="A5" t="inlineStr">
        <is>
          <t>怪物属性</t>
        </is>
      </c>
      <c r="B5" s="18" t="inlineStr">
        <is>
          <t>统一取战斗公式.xlsx的AS:BA、AQ/AN、AO；不再沿用旧缓存</t>
        </is>
      </c>
    </row>
    <row r="6" ht="42" customHeight="1">
      <c r="A6" t="inlineStr">
        <is>
          <t>难度倍率</t>
        </is>
      </c>
      <c r="B6" s="18" t="inlineStr">
        <is>
          <t>整数等级先拟合；生命/攻击倍率保留调前击杀时间和生存压力定位</t>
        </is>
      </c>
    </row>
    <row r="7" ht="42" customHeight="1">
      <c r="A7" t="inlineStr">
        <is>
          <t>前两章</t>
        </is>
      </c>
      <c r="B7" s="18" t="inlineStr">
        <is>
          <t>主线前24节点最终怪物生命/攻击/防御与调前源表一致</t>
        </is>
      </c>
    </row>
    <row r="8" ht="46" customHeight="1">
      <c r="A8" t="inlineStr">
        <is>
          <t>爬塔</t>
        </is>
      </c>
      <c r="B8" s="18" t="inlineStr">
        <is>
          <t>爬塔100层仍280级；推荐战力见“爬塔战力校准”，按降难前节奏反查玩家曲线。等级/队伍缓存仍须跨表同步。</t>
        </is>
      </c>
    </row>
    <row r="9" ht="42" customHeight="1">
      <c r="A9" t="inlineStr">
        <is>
          <t>无限之旅</t>
        </is>
      </c>
      <c r="B9" s="18" t="inlineStr">
        <is>
          <t>现行NR_Layer四难度120层；保留修正ID，新增倍率是源表建议，未写配置</t>
        </is>
      </c>
    </row>
    <row r="10" ht="42" customHeight="1">
      <c r="A10" t="inlineStr">
        <is>
          <t>补充玩法</t>
        </is>
      </c>
      <c r="B10" s="18" t="inlineStr">
        <is>
          <t>缺少已确认进度映射，使用旧等级反查等效进度；H列可覆盖，不当作解锁规则</t>
        </is>
      </c>
    </row>
    <row r="11" ht="42" customHeight="1">
      <c r="A11" t="inlineStr">
        <is>
          <t>非固定难度</t>
        </is>
      </c>
      <c r="B11" s="18" t="inlineStr">
        <is>
          <t>PVP/PVPVE跟随真实队伍；非战斗小游戏不硬套怪物等级；停用玩法不恢复</t>
        </is>
      </c>
    </row>
    <row r="12" ht="42" customHeight="1">
      <c r="A12" t="inlineStr">
        <is>
          <t>缓存刷新</t>
        </is>
      </c>
      <c r="B12" s="18" t="inlineStr">
        <is>
          <t>四份xlsx之间无实时链接；以后改玩家节点须重跑同步流程</t>
        </is>
      </c>
    </row>
    <row r="13" ht="42" customHeight="1">
      <c r="A13" t="inlineStr">
        <is>
          <t>边界</t>
        </is>
      </c>
      <c r="B13" s="18" t="inlineStr">
        <is>
          <t>PVPVE：按双方实际属性生成，保留权重和玩法倍率，不能套用固定怪物等级。</t>
        </is>
      </c>
    </row>
    <row r="14" ht="42" customHeight="1">
      <c r="A14" t="inlineStr">
        <is>
          <t>边界</t>
        </is>
      </c>
      <c r="B14" s="18" t="inlineStr">
        <is>
          <t>资源本保留既有对照S；新五层等级门槛与旧对照S并不一致，本次不擅改首挑战节点。</t>
        </is>
      </c>
    </row>
    <row r="15" ht="42" customHeight="1">
      <c r="A15" t="inlineStr">
        <is>
          <t>边界</t>
        </is>
      </c>
      <c r="B15" s="18" t="inlineStr">
        <is>
          <t>已停用肉鸽/旧装备玩法不恢复；补充页使用旧等级反查等效玩家进度，仅为难度校准基准，不代表玩法解锁条件。</t>
        </is>
      </c>
    </row>
    <row r="16">
      <c r="A16" t="inlineStr">
        <is>
          <t>标准等级战力修复</t>
        </is>
      </c>
      <c r="B16" t="inlineStr">
        <is>
          <t>2026-08-31 按现行主线99关节点重排 战斗公式!_推荐战力映射 U/V/W 节点块（进度1~99=实际怪物等级+现行统一曲线，100以后沿用原延伸计划）；标准等级战力口径=首个怪物等级≥L的主线关卡的推荐战力；_统一战力 B列缓存已同步。玩法推荐战力、怪物等级与敌方属性未改动。</t>
        </is>
      </c>
    </row>
    <row r="17">
      <c r="A17" t="inlineStr">
        <is>
          <t>主线推荐战力口径</t>
        </is>
      </c>
      <c r="B17" t="inlineStr">
        <is>
          <t>2026-08-31 用户确认：主线玩法推荐战力改为反查最早通关进度——按本章Boss可在60秒内击杀且玩家能扛其攻击20秒，在统一玩家曲线上取最早满足的进度为锚点（写在AE公式内），普通关按章节Boss锚点。难度模拟（G/I对照、玩家DPS/EHP、TTK/存活）与怪物等级、敌方属性均未改动；标准等级战力维持等级基准口径。后续如需同步UIlevel正式配置，按2026-08-27任务流程单独授权执行。</t>
        </is>
      </c>
    </row>
    <row r="18">
      <c r="A18" t="inlineStr">
        <is>
          <t>主线推荐战力口径v3</t>
        </is>
      </c>
      <c r="B18" t="inlineStr">
        <is>
          <t>2026-08-31 用户反馈整章单值不上升，修订为：本章Boss反查锚点战力（60s击杀/扛20s口径不变）为章末值，章内自上一章锚点战力线性递增，逐关取3位有效数字，全主线严格递增；Boss关仍精确等于反查值。AE列改为静态值，重算入口为 recommend_ramp_v3 生成脚本。难度模拟、怪物等级、敌方属性、标准等级战力均未改动。</t>
        </is>
      </c>
    </row>
    <row r="19">
      <c r="A19" t="inlineStr">
        <is>
          <t>全玩法推荐战力口径v3</t>
        </is>
      </c>
      <c r="B19" t="inlineStr">
        <is>
          <t>2026-08-31 用户确认将主线推荐战力口径推广至其他玩法：统一按“60秒内击杀该关敌人、且能扛其攻击20秒”反查统一玩家曲线上最早通关进度，组内（玩法进度/世界Boss难度梯子/支线小节）单调、锚点变化行之间线性递增、取3位有效数字；AE列改为静态值。爬塔82-100层、无限之旅部分高层为60秒无解的终局墙，保留原值并封顶至曲线满配。PVPVE（跟随真实队伍）与肉鸽（已停用）不适用本口径、未改动。映射×0.5系数与爬塔旧节奏校准自本版起由本口径取代（回滚备份保留）。UIlevel正式配置Power字段随本轮同步。</t>
        </is>
      </c>
    </row>
    <row r="20">
      <c r="A20" t="inlineStr">
        <is>
          <t>支线战斗与支线后半段补充</t>
        </is>
      </c>
      <c r="B20" t="inlineStr">
        <is>
          <t>2026-08-31 用户确认两项支线补充：①13个120组支线“战斗”节点由全游戏统一25级怪改为按所在章节主线中位普通怪等级（19/36/54/76/100/120/136级），属性由怪物标准模型公式自动生成，推荐战力反查后为 7,220→9,400 梯度（1章~7章）；②150支线每章后半段30关（源表原缺失、UIlevel残留旧口径值）已按“锚定行等级+1~+6、G对照顺延、系数继承本组”补进源表并反查重算，章内与前后段衔接单调。非战斗节点（宝箱/答题/小游戏/逃出围困等无Power行）未处理。UIlevel已同步43格。</t>
        </is>
      </c>
    </row>
    <row r="21" ht="54" customHeight="1">
      <c r="A21" t="inlineStr">
        <is>
          <t>支线战斗拆分定级</t>
        </is>
      </c>
      <c r="B21" s="18" t="inlineStr">
        <is>
          <t xml:space="preserve">2026-08-31 用户确认拆分定级：同章两个支线“战斗”节点不再共用一个等级，改为章内普通怪等级25%/75%分位（1章15/22级、2章30级单节点、3章49/59级、4章70/83级、5章94/105级、6章115/125级、7章133/141级），推荐战力反查后为 5,910 → 101,000 全链递增，UIlevel已同步13格。前一条中的“中位等级”方案作废，以此为准。
</t>
        </is>
      </c>
    </row>
    <row r="22" ht="94.5" customHeight="1">
      <c r="A22" t="inlineStr">
        <is>
          <t>高难加陡与支线番外强度倍率</t>
        </is>
      </c>
      <c r="B22" s="18" t="inlineStr">
        <is>
          <t xml:space="preserve">2026-08-31 用户确认三项难度调整：①困难主线曲线变陡：等级由116~152改为116~207（斜率约2.5倍），高难5-5锚定180级，6/7章按同斜率外推，推荐战力重算为82,700~249,000；②支线（120组13节点）生命/攻击系数统一设为1.1（等级保持与主线同位置关卡一致），推荐7,220~125,000；③番外（150组60节点+170组4节点）系数统一设为1.3，推荐7,220~151,000。系数采用干净绝对值而非在8-27拟合系数上连乘，level.xlsx中这些行原先系数为空（游戏按默认1.0运行）已同步落值；主线本体、其他玩法未改动。发现遗留：8-27校准拟合的K/L系数（0.93~1.09）主线及各玩法均未落level.xlsx，属既有同步缺口，待单独裁决。
</t>
        </is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ColWidth="9" defaultRowHeight="13.5"/>
  <cols>
    <col width="16" customWidth="1" min="1" max="1"/>
  </cols>
  <sheetData>
    <row r="1" ht="32" customHeight="1">
      <c r="A1" s="3" t="inlineStr">
        <is>
          <t>模型顺序</t>
        </is>
      </c>
    </row>
    <row r="2">
      <c r="A2" t="inlineStr">
        <is>
          <t>普通怪</t>
        </is>
      </c>
    </row>
    <row r="3">
      <c r="A3" t="inlineStr">
        <is>
          <t>盾怪</t>
        </is>
      </c>
    </row>
    <row r="4">
      <c r="A4" t="inlineStr">
        <is>
          <t>二级普通怪</t>
        </is>
      </c>
    </row>
    <row r="5">
      <c r="A5" t="inlineStr">
        <is>
          <t>站桩怪</t>
        </is>
      </c>
    </row>
    <row r="6">
      <c r="A6" t="inlineStr">
        <is>
          <t>炮灰怪</t>
        </is>
      </c>
    </row>
    <row r="7">
      <c r="A7" t="inlineStr">
        <is>
          <t>精英怪</t>
        </is>
      </c>
    </row>
    <row r="8">
      <c r="A8" t="inlineStr">
        <is>
          <t>精英盾怪</t>
        </is>
      </c>
    </row>
    <row r="9">
      <c r="A9" t="inlineStr">
        <is>
          <t>Boss</t>
        </is>
      </c>
    </row>
    <row r="10">
      <c r="A10" t="inlineStr">
        <is>
          <t>装备副本Boss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ColWidth="9" defaultRowHeight="13.5"/>
  <cols>
    <col width="16" customWidth="1" min="1" max="2"/>
    <col width="24" customWidth="1" min="3" max="3"/>
    <col width="16" customWidth="1" min="4" max="7"/>
  </cols>
  <sheetData>
    <row r="1" ht="32" customHeight="1">
      <c r="A1" s="3" t="inlineStr">
        <is>
          <t>档位</t>
        </is>
      </c>
      <c r="B1" s="3" t="inlineStr">
        <is>
          <t>调前等级</t>
        </is>
      </c>
      <c r="C1" s="3" t="inlineStr">
        <is>
          <t>当前等级（输入）</t>
        </is>
      </c>
      <c r="D1" s="3" t="inlineStr">
        <is>
          <t>等级变化</t>
        </is>
      </c>
      <c r="E1" s="3" t="inlineStr">
        <is>
          <t>击杀时间(s)</t>
        </is>
      </c>
      <c r="F1" s="3" t="inlineStr">
        <is>
          <t>生存时间(s)</t>
        </is>
      </c>
      <c r="G1" s="3" t="inlineStr">
        <is>
          <t>推荐战力</t>
        </is>
      </c>
    </row>
    <row r="2">
      <c r="A2" t="inlineStr">
        <is>
          <t>难度1</t>
        </is>
      </c>
      <c r="B2" t="n">
        <v>26</v>
      </c>
      <c r="C2" s="16" t="n">
        <v>40</v>
      </c>
      <c r="D2">
        <f>C2-B2</f>
        <v/>
      </c>
      <c r="E2" s="17">
        <f>映射!X5</f>
        <v/>
      </c>
      <c r="F2" s="17">
        <f>映射!Y5</f>
        <v/>
      </c>
      <c r="G2" s="4">
        <f>映射!AE5</f>
        <v/>
      </c>
    </row>
    <row r="3">
      <c r="A3" t="inlineStr">
        <is>
          <t>难度2</t>
        </is>
      </c>
      <c r="B3" t="n">
        <v>35</v>
      </c>
      <c r="C3" s="16" t="n">
        <v>52</v>
      </c>
      <c r="D3">
        <f>C3-B3</f>
        <v/>
      </c>
      <c r="E3" s="17">
        <f>映射!X6</f>
        <v/>
      </c>
      <c r="F3" s="17">
        <f>映射!Y6</f>
        <v/>
      </c>
      <c r="G3" s="4">
        <f>映射!AE6</f>
        <v/>
      </c>
    </row>
    <row r="4">
      <c r="A4" t="inlineStr">
        <is>
          <t>难度3</t>
        </is>
      </c>
      <c r="B4" t="n">
        <v>45</v>
      </c>
      <c r="C4" s="16" t="n">
        <v>62</v>
      </c>
      <c r="D4">
        <f>C4-B4</f>
        <v/>
      </c>
      <c r="E4" s="17">
        <f>映射!X7</f>
        <v/>
      </c>
      <c r="F4" s="17">
        <f>映射!Y7</f>
        <v/>
      </c>
      <c r="G4" s="4">
        <f>映射!AE7</f>
        <v/>
      </c>
    </row>
    <row r="5">
      <c r="A5" t="inlineStr">
        <is>
          <t>难度4</t>
        </is>
      </c>
      <c r="B5" t="n">
        <v>54</v>
      </c>
      <c r="C5" s="16" t="n">
        <v>71</v>
      </c>
      <c r="D5">
        <f>C5-B5</f>
        <v/>
      </c>
      <c r="E5" s="17">
        <f>映射!X8</f>
        <v/>
      </c>
      <c r="F5" s="17">
        <f>映射!Y8</f>
        <v/>
      </c>
      <c r="G5" s="4">
        <f>映射!AE8</f>
        <v/>
      </c>
    </row>
    <row r="6">
      <c r="A6" t="inlineStr">
        <is>
          <t>难度5</t>
        </is>
      </c>
      <c r="B6" t="n">
        <v>63</v>
      </c>
      <c r="C6" s="16" t="n">
        <v>80</v>
      </c>
      <c r="D6">
        <f>C6-B6</f>
        <v/>
      </c>
      <c r="E6" s="17">
        <f>映射!X9</f>
        <v/>
      </c>
      <c r="F6" s="17">
        <f>映射!Y9</f>
        <v/>
      </c>
      <c r="G6" s="4">
        <f>映射!AE9</f>
        <v/>
      </c>
    </row>
    <row r="7">
      <c r="A7" t="inlineStr">
        <is>
          <t>难度6</t>
        </is>
      </c>
      <c r="B7" t="n">
        <v>73</v>
      </c>
      <c r="C7" s="16" t="n">
        <v>89</v>
      </c>
      <c r="D7">
        <f>C7-B7</f>
        <v/>
      </c>
      <c r="E7" s="17">
        <f>映射!X10</f>
        <v/>
      </c>
      <c r="F7" s="17">
        <f>映射!Y10</f>
        <v/>
      </c>
      <c r="G7" s="4">
        <f>映射!AE10</f>
        <v/>
      </c>
    </row>
    <row r="8">
      <c r="A8" t="inlineStr">
        <is>
          <t>难度7</t>
        </is>
      </c>
      <c r="B8" t="n">
        <v>82</v>
      </c>
      <c r="C8" s="16" t="n">
        <v>97</v>
      </c>
      <c r="D8">
        <f>C8-B8</f>
        <v/>
      </c>
      <c r="E8" s="17">
        <f>映射!X11</f>
        <v/>
      </c>
      <c r="F8" s="17">
        <f>映射!Y11</f>
        <v/>
      </c>
      <c r="G8" s="4">
        <f>映射!AE11</f>
        <v/>
      </c>
    </row>
    <row r="9">
      <c r="A9" t="inlineStr">
        <is>
          <t>难度8</t>
        </is>
      </c>
      <c r="B9" t="n">
        <v>91</v>
      </c>
      <c r="C9" s="16" t="n">
        <v>105</v>
      </c>
      <c r="D9">
        <f>C9-B9</f>
        <v/>
      </c>
      <c r="E9" s="17">
        <f>映射!X12</f>
        <v/>
      </c>
      <c r="F9" s="17">
        <f>映射!Y12</f>
        <v/>
      </c>
      <c r="G9" s="4">
        <f>映射!AE12</f>
        <v/>
      </c>
    </row>
    <row r="10">
      <c r="A10" t="inlineStr">
        <is>
          <t>难度9</t>
        </is>
      </c>
      <c r="B10" t="n">
        <v>100</v>
      </c>
      <c r="C10" s="16" t="n">
        <v>112</v>
      </c>
      <c r="D10">
        <f>C10-B10</f>
        <v/>
      </c>
      <c r="E10" s="17">
        <f>映射!X13</f>
        <v/>
      </c>
      <c r="F10" s="17">
        <f>映射!Y13</f>
        <v/>
      </c>
      <c r="G10" s="4">
        <f>映射!AE13</f>
        <v/>
      </c>
    </row>
    <row r="11">
      <c r="A11" t="inlineStr">
        <is>
          <t>难度10</t>
        </is>
      </c>
      <c r="B11" t="n">
        <v>110</v>
      </c>
      <c r="C11" s="16" t="n">
        <v>120</v>
      </c>
      <c r="D11">
        <f>C11-B11</f>
        <v/>
      </c>
      <c r="E11" s="17">
        <f>映射!X14</f>
        <v/>
      </c>
      <c r="F11" s="17">
        <f>映射!Y14</f>
        <v/>
      </c>
      <c r="G11" s="4">
        <f>映射!AE14</f>
        <v/>
      </c>
    </row>
    <row r="12">
      <c r="A12" t="inlineStr">
        <is>
          <t>难度11</t>
        </is>
      </c>
      <c r="B12" t="n">
        <v>119</v>
      </c>
      <c r="C12" s="16" t="n">
        <v>129</v>
      </c>
      <c r="D12">
        <f>C12-B12</f>
        <v/>
      </c>
      <c r="E12" s="17">
        <f>映射!X15</f>
        <v/>
      </c>
      <c r="F12" s="17">
        <f>映射!Y15</f>
        <v/>
      </c>
      <c r="G12" s="4">
        <f>映射!AE15</f>
        <v/>
      </c>
    </row>
    <row r="13">
      <c r="A13" t="inlineStr">
        <is>
          <t>难度12</t>
        </is>
      </c>
      <c r="B13" t="n">
        <v>128</v>
      </c>
      <c r="C13" s="16" t="n">
        <v>139</v>
      </c>
      <c r="D13">
        <f>C13-B13</f>
        <v/>
      </c>
      <c r="E13" s="17">
        <f>映射!X16</f>
        <v/>
      </c>
      <c r="F13" s="17">
        <f>映射!Y16</f>
        <v/>
      </c>
      <c r="G13" s="4">
        <f>映射!AE16</f>
        <v/>
      </c>
    </row>
    <row r="14">
      <c r="A14" t="inlineStr">
        <is>
          <t>难度13</t>
        </is>
      </c>
      <c r="B14" t="n">
        <v>138</v>
      </c>
      <c r="C14" s="16" t="n">
        <v>149</v>
      </c>
      <c r="D14">
        <f>C14-B14</f>
        <v/>
      </c>
      <c r="E14" s="17">
        <f>映射!X17</f>
        <v/>
      </c>
      <c r="F14" s="17">
        <f>映射!Y17</f>
        <v/>
      </c>
      <c r="G14" s="4">
        <f>映射!AE17</f>
        <v/>
      </c>
    </row>
    <row r="15">
      <c r="A15" t="inlineStr">
        <is>
          <t>难度14</t>
        </is>
      </c>
      <c r="B15" t="n">
        <v>147</v>
      </c>
      <c r="C15" s="16" t="n">
        <v>159</v>
      </c>
      <c r="D15">
        <f>C15-B15</f>
        <v/>
      </c>
      <c r="E15" s="17">
        <f>映射!X18</f>
        <v/>
      </c>
      <c r="F15" s="17">
        <f>映射!Y18</f>
        <v/>
      </c>
      <c r="G15" s="4">
        <f>映射!AE18</f>
        <v/>
      </c>
    </row>
    <row r="16">
      <c r="A16" t="inlineStr">
        <is>
          <t>难度15</t>
        </is>
      </c>
      <c r="B16" t="n">
        <v>156</v>
      </c>
      <c r="C16" s="16" t="n">
        <v>169</v>
      </c>
      <c r="D16">
        <f>C16-B16</f>
        <v/>
      </c>
      <c r="E16" s="17">
        <f>映射!X19</f>
        <v/>
      </c>
      <c r="F16" s="17">
        <f>映射!Y19</f>
        <v/>
      </c>
      <c r="G16" s="4">
        <f>映射!AE19</f>
        <v/>
      </c>
    </row>
    <row r="17">
      <c r="A17" t="inlineStr">
        <is>
          <t>难度16</t>
        </is>
      </c>
      <c r="B17" t="n">
        <v>166</v>
      </c>
      <c r="C17" s="16" t="n">
        <v>179</v>
      </c>
      <c r="D17">
        <f>C17-B17</f>
        <v/>
      </c>
      <c r="E17" s="17">
        <f>映射!X20</f>
        <v/>
      </c>
      <c r="F17" s="17">
        <f>映射!Y20</f>
        <v/>
      </c>
      <c r="G17" s="4">
        <f>映射!AE20</f>
        <v/>
      </c>
    </row>
    <row r="18">
      <c r="A18" t="inlineStr">
        <is>
          <t>难度17</t>
        </is>
      </c>
      <c r="B18" t="n">
        <v>175</v>
      </c>
      <c r="C18" s="16" t="n">
        <v>190</v>
      </c>
      <c r="D18">
        <f>C18-B18</f>
        <v/>
      </c>
      <c r="E18" s="17">
        <f>映射!X21</f>
        <v/>
      </c>
      <c r="F18" s="17">
        <f>映射!Y21</f>
        <v/>
      </c>
      <c r="G18" s="4">
        <f>映射!AE21</f>
        <v/>
      </c>
    </row>
    <row r="19">
      <c r="A19" t="inlineStr">
        <is>
          <t>难度18</t>
        </is>
      </c>
      <c r="B19" t="n">
        <v>184</v>
      </c>
      <c r="C19" s="16" t="n">
        <v>200</v>
      </c>
      <c r="D19">
        <f>C19-B19</f>
        <v/>
      </c>
      <c r="E19" s="17">
        <f>映射!X22</f>
        <v/>
      </c>
      <c r="F19" s="17">
        <f>映射!Y22</f>
        <v/>
      </c>
      <c r="G19" s="4">
        <f>映射!AE22</f>
        <v/>
      </c>
    </row>
    <row r="20">
      <c r="A20" t="inlineStr">
        <is>
          <t>难度19</t>
        </is>
      </c>
      <c r="B20" t="n">
        <v>194</v>
      </c>
      <c r="C20" s="16" t="n">
        <v>211</v>
      </c>
      <c r="D20">
        <f>C20-B20</f>
        <v/>
      </c>
      <c r="E20" s="17">
        <f>映射!X23</f>
        <v/>
      </c>
      <c r="F20" s="17">
        <f>映射!Y23</f>
        <v/>
      </c>
      <c r="G20" s="4">
        <f>映射!AE23</f>
        <v/>
      </c>
    </row>
    <row r="21">
      <c r="A21" t="inlineStr">
        <is>
          <t>难度20</t>
        </is>
      </c>
      <c r="B21" t="n">
        <v>203</v>
      </c>
      <c r="C21" s="16" t="n">
        <v>221</v>
      </c>
      <c r="D21">
        <f>C21-B21</f>
        <v/>
      </c>
      <c r="E21" s="17">
        <f>映射!X24</f>
        <v/>
      </c>
      <c r="F21" s="17">
        <f>映射!Y24</f>
        <v/>
      </c>
      <c r="G21" s="4">
        <f>映射!AE24</f>
        <v/>
      </c>
    </row>
    <row r="22">
      <c r="A22" t="inlineStr">
        <is>
          <t>难度21</t>
        </is>
      </c>
      <c r="B22" t="n">
        <v>212</v>
      </c>
      <c r="C22" s="16" t="n">
        <v>232</v>
      </c>
      <c r="D22">
        <f>C22-B22</f>
        <v/>
      </c>
      <c r="E22" s="17">
        <f>映射!X25</f>
        <v/>
      </c>
      <c r="F22" s="17">
        <f>映射!Y25</f>
        <v/>
      </c>
      <c r="G22" s="4">
        <f>映射!AE25</f>
        <v/>
      </c>
    </row>
    <row r="23">
      <c r="A23" t="inlineStr">
        <is>
          <t>难度22</t>
        </is>
      </c>
      <c r="B23" t="n">
        <v>222</v>
      </c>
      <c r="C23" s="16" t="n">
        <v>243</v>
      </c>
      <c r="D23">
        <f>C23-B23</f>
        <v/>
      </c>
      <c r="E23" s="17">
        <f>映射!X26</f>
        <v/>
      </c>
      <c r="F23" s="17">
        <f>映射!Y26</f>
        <v/>
      </c>
      <c r="G23" s="4">
        <f>映射!AE26</f>
        <v/>
      </c>
    </row>
    <row r="24">
      <c r="A24" t="inlineStr">
        <is>
          <t>难度23</t>
        </is>
      </c>
      <c r="B24" t="n">
        <v>231</v>
      </c>
      <c r="C24" s="16" t="n">
        <v>254</v>
      </c>
      <c r="D24">
        <f>C24-B24</f>
        <v/>
      </c>
      <c r="E24" s="17">
        <f>映射!X27</f>
        <v/>
      </c>
      <c r="F24" s="17">
        <f>映射!Y27</f>
        <v/>
      </c>
      <c r="G24" s="4">
        <f>映射!AE27</f>
        <v/>
      </c>
    </row>
    <row r="25">
      <c r="A25" t="inlineStr">
        <is>
          <t>难度24</t>
        </is>
      </c>
      <c r="B25" t="n">
        <v>240</v>
      </c>
      <c r="C25" s="16" t="n">
        <v>264</v>
      </c>
      <c r="D25">
        <f>C25-B25</f>
        <v/>
      </c>
      <c r="E25" s="17">
        <f>映射!X28</f>
        <v/>
      </c>
      <c r="F25" s="17">
        <f>映射!Y28</f>
        <v/>
      </c>
      <c r="G25" s="4">
        <f>映射!AE28</f>
        <v/>
      </c>
    </row>
    <row r="26">
      <c r="A26" t="inlineStr">
        <is>
          <t>难度25</t>
        </is>
      </c>
      <c r="B26" t="n">
        <v>249</v>
      </c>
      <c r="C26" s="16" t="n">
        <v>275</v>
      </c>
      <c r="D26">
        <f>C26-B26</f>
        <v/>
      </c>
      <c r="E26" s="17">
        <f>映射!X29</f>
        <v/>
      </c>
      <c r="F26" s="17">
        <f>映射!Y29</f>
        <v/>
      </c>
      <c r="G26" s="4">
        <f>映射!AE29</f>
        <v/>
      </c>
    </row>
    <row r="27">
      <c r="A27" t="inlineStr">
        <is>
          <t>难度26</t>
        </is>
      </c>
      <c r="B27" t="n">
        <v>259</v>
      </c>
      <c r="C27" s="16" t="n">
        <v>286</v>
      </c>
      <c r="D27">
        <f>C27-B27</f>
        <v/>
      </c>
      <c r="E27" s="17">
        <f>映射!X30</f>
        <v/>
      </c>
      <c r="F27" s="17">
        <f>映射!Y30</f>
        <v/>
      </c>
      <c r="G27" s="4">
        <f>映射!AE30</f>
        <v/>
      </c>
    </row>
    <row r="28">
      <c r="A28" t="inlineStr">
        <is>
          <t>难度27</t>
        </is>
      </c>
      <c r="B28" t="n">
        <v>268</v>
      </c>
      <c r="C28" s="16" t="n">
        <v>297</v>
      </c>
      <c r="D28">
        <f>C28-B28</f>
        <v/>
      </c>
      <c r="E28" s="17">
        <f>映射!X31</f>
        <v/>
      </c>
      <c r="F28" s="17">
        <f>映射!Y31</f>
        <v/>
      </c>
      <c r="G28" s="4">
        <f>映射!AE31</f>
        <v/>
      </c>
    </row>
    <row r="29">
      <c r="A29" t="inlineStr">
        <is>
          <t>难度28</t>
        </is>
      </c>
      <c r="B29" t="n">
        <v>277</v>
      </c>
      <c r="C29" s="16" t="n">
        <v>308</v>
      </c>
      <c r="D29">
        <f>C29-B29</f>
        <v/>
      </c>
      <c r="E29" s="17">
        <f>映射!X32</f>
        <v/>
      </c>
      <c r="F29" s="17">
        <f>映射!Y32</f>
        <v/>
      </c>
      <c r="G29" s="4">
        <f>映射!AE32</f>
        <v/>
      </c>
    </row>
    <row r="30">
      <c r="A30" t="inlineStr">
        <is>
          <t>难度29</t>
        </is>
      </c>
      <c r="B30" t="n">
        <v>287</v>
      </c>
      <c r="C30" s="16" t="n">
        <v>319</v>
      </c>
      <c r="D30">
        <f>C30-B30</f>
        <v/>
      </c>
      <c r="E30" s="17">
        <f>映射!X33</f>
        <v/>
      </c>
      <c r="F30" s="17">
        <f>映射!Y33</f>
        <v/>
      </c>
      <c r="G30" s="4">
        <f>映射!AE33</f>
        <v/>
      </c>
    </row>
    <row r="31">
      <c r="A31" t="inlineStr">
        <is>
          <t>难度30</t>
        </is>
      </c>
      <c r="B31" t="n">
        <v>296</v>
      </c>
      <c r="C31" s="16" t="n">
        <v>330</v>
      </c>
      <c r="D31">
        <f>C31-B31</f>
        <v/>
      </c>
      <c r="E31" s="17">
        <f>映射!X34</f>
        <v/>
      </c>
      <c r="F31" s="17">
        <f>映射!Y34</f>
        <v/>
      </c>
      <c r="G31" s="4">
        <f>映射!AE34</f>
        <v/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J101"/>
  <sheetViews>
    <sheetView showGridLines="0" workbookViewId="0">
      <selection activeCell="A1" sqref="A1"/>
    </sheetView>
  </sheetViews>
  <sheetFormatPr baseColWidth="8" defaultColWidth="9" defaultRowHeight="13.5"/>
  <cols>
    <col width="15" customWidth="1" min="1" max="10"/>
  </cols>
  <sheetData>
    <row r="1" ht="36" customHeight="1">
      <c r="A1" s="12" t="inlineStr">
        <is>
          <t>楼层</t>
        </is>
      </c>
      <c r="B1" s="12" t="inlineStr">
        <is>
          <t>调前等级</t>
        </is>
      </c>
      <c r="C1" s="12" t="inlineStr">
        <is>
          <t>当前等级</t>
        </is>
      </c>
      <c r="D1" s="12" t="inlineStr">
        <is>
          <t>等级变化</t>
        </is>
      </c>
      <c r="E1" s="12" t="inlineStr">
        <is>
          <t>调前击杀秒</t>
        </is>
      </c>
      <c r="F1" s="12" t="inlineStr">
        <is>
          <t>当前击杀秒</t>
        </is>
      </c>
      <c r="G1" s="12" t="inlineStr">
        <is>
          <t>调前存活秒</t>
        </is>
      </c>
      <c r="H1" s="12" t="inlineStr">
        <is>
          <t>当前存活秒</t>
        </is>
      </c>
      <c r="I1" s="12" t="inlineStr">
        <is>
          <t>敌方EHP变化</t>
        </is>
      </c>
      <c r="J1" s="12" t="inlineStr">
        <is>
          <t>敌方攻击变化</t>
        </is>
      </c>
    </row>
    <row r="2" ht="25" customHeight="1">
      <c r="A2" s="13" t="n">
        <v>1</v>
      </c>
      <c r="B2" s="13" t="n">
        <v>28</v>
      </c>
      <c r="C2" s="13">
        <f>爬塔!J5</f>
        <v/>
      </c>
      <c r="D2" s="13">
        <f>C2-B2</f>
        <v/>
      </c>
      <c r="E2" s="14" t="n">
        <v>4.78684942210594</v>
      </c>
      <c r="F2" s="14">
        <f>爬塔!X5</f>
        <v/>
      </c>
      <c r="G2" s="14" t="n">
        <v>9.72855049284485</v>
      </c>
      <c r="H2" s="14">
        <f>爬塔!Y5</f>
        <v/>
      </c>
      <c r="I2" s="86">
        <f>F2/E2-1</f>
        <v/>
      </c>
      <c r="J2" s="86">
        <f>G2/H2-1</f>
        <v/>
      </c>
    </row>
    <row r="3" ht="25" customHeight="1">
      <c r="A3" s="13" t="n">
        <v>2</v>
      </c>
      <c r="B3" s="13" t="n">
        <v>33</v>
      </c>
      <c r="C3" s="13">
        <f>爬塔!J6</f>
        <v/>
      </c>
      <c r="D3" s="13">
        <f>C3-B3</f>
        <v/>
      </c>
      <c r="E3" s="14" t="n">
        <v>5.67908166575604</v>
      </c>
      <c r="F3" s="14">
        <f>爬塔!X6</f>
        <v/>
      </c>
      <c r="G3" s="14" t="n">
        <v>8.179604231289931</v>
      </c>
      <c r="H3" s="14">
        <f>爬塔!Y6</f>
        <v/>
      </c>
      <c r="I3" s="86">
        <f>F3/E3-1</f>
        <v/>
      </c>
      <c r="J3" s="86">
        <f>G3/H3-1</f>
        <v/>
      </c>
    </row>
    <row r="4" ht="25" customHeight="1">
      <c r="A4" s="13" t="n">
        <v>3</v>
      </c>
      <c r="B4" s="13" t="n">
        <v>37</v>
      </c>
      <c r="C4" s="13">
        <f>爬塔!J7</f>
        <v/>
      </c>
      <c r="D4" s="13">
        <f>C4-B4</f>
        <v/>
      </c>
      <c r="E4" s="14" t="n">
        <v>7.93960068130614</v>
      </c>
      <c r="F4" s="14">
        <f>爬塔!X7</f>
        <v/>
      </c>
      <c r="G4" s="14" t="n">
        <v>9.33459652089855</v>
      </c>
      <c r="H4" s="14">
        <f>爬塔!Y7</f>
        <v/>
      </c>
      <c r="I4" s="86">
        <f>F4/E4-1</f>
        <v/>
      </c>
      <c r="J4" s="86">
        <f>G4/H4-1</f>
        <v/>
      </c>
    </row>
    <row r="5" ht="25" customHeight="1">
      <c r="A5" s="13" t="n">
        <v>4</v>
      </c>
      <c r="B5" s="13" t="n">
        <v>42</v>
      </c>
      <c r="C5" s="13">
        <f>爬塔!J8</f>
        <v/>
      </c>
      <c r="D5" s="13">
        <f>C5-B5</f>
        <v/>
      </c>
      <c r="E5" s="14" t="n">
        <v>6.52218281223549</v>
      </c>
      <c r="F5" s="14">
        <f>爬塔!X8</f>
        <v/>
      </c>
      <c r="G5" s="14" t="n">
        <v>7.59459303691341</v>
      </c>
      <c r="H5" s="14">
        <f>爬塔!Y8</f>
        <v/>
      </c>
      <c r="I5" s="86">
        <f>F5/E5-1</f>
        <v/>
      </c>
      <c r="J5" s="86">
        <f>G5/H5-1</f>
        <v/>
      </c>
    </row>
    <row r="6" ht="25" customHeight="1">
      <c r="A6" s="13" t="n">
        <v>5</v>
      </c>
      <c r="B6" s="13" t="n">
        <v>46</v>
      </c>
      <c r="C6" s="13">
        <f>爬塔!J9</f>
        <v/>
      </c>
      <c r="D6" s="13">
        <f>C6-B6</f>
        <v/>
      </c>
      <c r="E6" s="14" t="n">
        <v>8.848386942617109</v>
      </c>
      <c r="F6" s="14">
        <f>爬塔!X9</f>
        <v/>
      </c>
      <c r="G6" s="14" t="n">
        <v>7.98525203517759</v>
      </c>
      <c r="H6" s="14">
        <f>爬塔!Y9</f>
        <v/>
      </c>
      <c r="I6" s="86">
        <f>F6/E6-1</f>
        <v/>
      </c>
      <c r="J6" s="86">
        <f>G6/H6-1</f>
        <v/>
      </c>
    </row>
    <row r="7" ht="25" customHeight="1">
      <c r="A7" s="13" t="n">
        <v>6</v>
      </c>
      <c r="B7" s="13" t="n">
        <v>49</v>
      </c>
      <c r="C7" s="13">
        <f>爬塔!J10</f>
        <v/>
      </c>
      <c r="D7" s="13">
        <f>C7-B7</f>
        <v/>
      </c>
      <c r="E7" s="14" t="n">
        <v>8.22546855959305</v>
      </c>
      <c r="F7" s="14">
        <f>爬塔!X10</f>
        <v/>
      </c>
      <c r="G7" s="14" t="n">
        <v>7.59544093857104</v>
      </c>
      <c r="H7" s="14">
        <f>爬塔!Y10</f>
        <v/>
      </c>
      <c r="I7" s="86">
        <f>F7/E7-1</f>
        <v/>
      </c>
      <c r="J7" s="86">
        <f>G7/H7-1</f>
        <v/>
      </c>
    </row>
    <row r="8" ht="25" customHeight="1">
      <c r="A8" s="13" t="n">
        <v>7</v>
      </c>
      <c r="B8" s="13" t="n">
        <v>52</v>
      </c>
      <c r="C8" s="13">
        <f>爬塔!J11</f>
        <v/>
      </c>
      <c r="D8" s="13">
        <f>C8-B8</f>
        <v/>
      </c>
      <c r="E8" s="14" t="n">
        <v>8.735392405103561</v>
      </c>
      <c r="F8" s="14">
        <f>爬塔!X11</f>
        <v/>
      </c>
      <c r="G8" s="14" t="n">
        <v>8.091366482944901</v>
      </c>
      <c r="H8" s="14">
        <f>爬塔!Y11</f>
        <v/>
      </c>
      <c r="I8" s="86">
        <f>F8/E8-1</f>
        <v/>
      </c>
      <c r="J8" s="86">
        <f>G8/H8-1</f>
        <v/>
      </c>
    </row>
    <row r="9" ht="25" customHeight="1">
      <c r="A9" s="13" t="n">
        <v>8</v>
      </c>
      <c r="B9" s="13" t="n">
        <v>54</v>
      </c>
      <c r="C9" s="13">
        <f>爬塔!J12</f>
        <v/>
      </c>
      <c r="D9" s="13">
        <f>C9-B9</f>
        <v/>
      </c>
      <c r="E9" s="14" t="n">
        <v>9.108557141788941</v>
      </c>
      <c r="F9" s="14">
        <f>爬塔!X12</f>
        <v/>
      </c>
      <c r="G9" s="14" t="n">
        <v>9.372357744196529</v>
      </c>
      <c r="H9" s="14">
        <f>爬塔!Y12</f>
        <v/>
      </c>
      <c r="I9" s="86">
        <f>F9/E9-1</f>
        <v/>
      </c>
      <c r="J9" s="86">
        <f>G9/H9-1</f>
        <v/>
      </c>
    </row>
    <row r="10" ht="25" customHeight="1">
      <c r="A10" s="13" t="n">
        <v>9</v>
      </c>
      <c r="B10" s="13" t="n">
        <v>57</v>
      </c>
      <c r="C10" s="13">
        <f>爬塔!J13</f>
        <v/>
      </c>
      <c r="D10" s="13">
        <f>C10-B10</f>
        <v/>
      </c>
      <c r="E10" s="14" t="n">
        <v>8.47714280647693</v>
      </c>
      <c r="F10" s="14">
        <f>爬塔!X13</f>
        <v/>
      </c>
      <c r="G10" s="14" t="n">
        <v>8.84529420246538</v>
      </c>
      <c r="H10" s="14">
        <f>爬塔!Y13</f>
        <v/>
      </c>
      <c r="I10" s="86">
        <f>F10/E10-1</f>
        <v/>
      </c>
      <c r="J10" s="86">
        <f>G10/H10-1</f>
        <v/>
      </c>
    </row>
    <row r="11" ht="25" customHeight="1">
      <c r="A11" s="13" t="n">
        <v>10</v>
      </c>
      <c r="B11" s="13" t="n">
        <v>60</v>
      </c>
      <c r="C11" s="13">
        <f>爬塔!J14</f>
        <v/>
      </c>
      <c r="D11" s="13">
        <f>C11-B11</f>
        <v/>
      </c>
      <c r="E11" s="14" t="n">
        <v>7.79512015028338</v>
      </c>
      <c r="F11" s="14">
        <f>爬塔!X14</f>
        <v/>
      </c>
      <c r="G11" s="14" t="n">
        <v>8.663848698855819</v>
      </c>
      <c r="H11" s="14">
        <f>爬塔!Y14</f>
        <v/>
      </c>
      <c r="I11" s="86">
        <f>F11/E11-1</f>
        <v/>
      </c>
      <c r="J11" s="86">
        <f>G11/H11-1</f>
        <v/>
      </c>
    </row>
    <row r="12" ht="25" customHeight="1">
      <c r="A12" s="13" t="n">
        <v>11</v>
      </c>
      <c r="B12" s="13" t="n">
        <v>64</v>
      </c>
      <c r="C12" s="13">
        <f>爬塔!J15</f>
        <v/>
      </c>
      <c r="D12" s="13">
        <f>C12-B12</f>
        <v/>
      </c>
      <c r="E12" s="14" t="n">
        <v>7.86414116417078</v>
      </c>
      <c r="F12" s="14">
        <f>爬塔!X15</f>
        <v/>
      </c>
      <c r="G12" s="14" t="n">
        <v>8.8624957724965</v>
      </c>
      <c r="H12" s="14">
        <f>爬塔!Y15</f>
        <v/>
      </c>
      <c r="I12" s="86">
        <f>F12/E12-1</f>
        <v/>
      </c>
      <c r="J12" s="86">
        <f>G12/H12-1</f>
        <v/>
      </c>
    </row>
    <row r="13" ht="25" customHeight="1">
      <c r="A13" s="13" t="n">
        <v>12</v>
      </c>
      <c r="B13" s="13" t="n">
        <v>69</v>
      </c>
      <c r="C13" s="13">
        <f>爬塔!J16</f>
        <v/>
      </c>
      <c r="D13" s="13">
        <f>C13-B13</f>
        <v/>
      </c>
      <c r="E13" s="14" t="n">
        <v>9.11606596323047</v>
      </c>
      <c r="F13" s="14">
        <f>爬塔!X16</f>
        <v/>
      </c>
      <c r="G13" s="14" t="n">
        <v>9.23823083881657</v>
      </c>
      <c r="H13" s="14">
        <f>爬塔!Y16</f>
        <v/>
      </c>
      <c r="I13" s="86">
        <f>F13/E13-1</f>
        <v/>
      </c>
      <c r="J13" s="86">
        <f>G13/H13-1</f>
        <v/>
      </c>
    </row>
    <row r="14" ht="25" customHeight="1">
      <c r="A14" s="13" t="n">
        <v>13</v>
      </c>
      <c r="B14" s="13" t="n">
        <v>73</v>
      </c>
      <c r="C14" s="13">
        <f>爬塔!J17</f>
        <v/>
      </c>
      <c r="D14" s="13">
        <f>C14-B14</f>
        <v/>
      </c>
      <c r="E14" s="14" t="n">
        <v>7.36267508849558</v>
      </c>
      <c r="F14" s="14">
        <f>爬塔!X17</f>
        <v/>
      </c>
      <c r="G14" s="14" t="n">
        <v>9.15868254112153</v>
      </c>
      <c r="H14" s="14">
        <f>爬塔!Y17</f>
        <v/>
      </c>
      <c r="I14" s="86">
        <f>F14/E14-1</f>
        <v/>
      </c>
      <c r="J14" s="86">
        <f>G14/H14-1</f>
        <v/>
      </c>
    </row>
    <row r="15" ht="25" customHeight="1">
      <c r="A15" s="13" t="n">
        <v>14</v>
      </c>
      <c r="B15" s="13" t="n">
        <v>78</v>
      </c>
      <c r="C15" s="13">
        <f>爬塔!J18</f>
        <v/>
      </c>
      <c r="D15" s="13">
        <f>C15-B15</f>
        <v/>
      </c>
      <c r="E15" s="14" t="n">
        <v>9.44577716161108</v>
      </c>
      <c r="F15" s="14">
        <f>爬塔!X18</f>
        <v/>
      </c>
      <c r="G15" s="14" t="n">
        <v>10.3037882854288</v>
      </c>
      <c r="H15" s="14">
        <f>爬塔!Y18</f>
        <v/>
      </c>
      <c r="I15" s="86">
        <f>F15/E15-1</f>
        <v/>
      </c>
      <c r="J15" s="86">
        <f>G15/H15-1</f>
        <v/>
      </c>
    </row>
    <row r="16" ht="25" customHeight="1">
      <c r="A16" s="13" t="n">
        <v>15</v>
      </c>
      <c r="B16" s="13" t="n">
        <v>82</v>
      </c>
      <c r="C16" s="13">
        <f>爬塔!J19</f>
        <v/>
      </c>
      <c r="D16" s="13">
        <f>C16-B16</f>
        <v/>
      </c>
      <c r="E16" s="14" t="n">
        <v>9.17402404172147</v>
      </c>
      <c r="F16" s="14">
        <f>爬塔!X19</f>
        <v/>
      </c>
      <c r="G16" s="14" t="n">
        <v>10.0405634017709</v>
      </c>
      <c r="H16" s="14">
        <f>爬塔!Y19</f>
        <v/>
      </c>
      <c r="I16" s="86">
        <f>F16/E16-1</f>
        <v/>
      </c>
      <c r="J16" s="86">
        <f>G16/H16-1</f>
        <v/>
      </c>
    </row>
    <row r="17" ht="25" customHeight="1">
      <c r="A17" s="13" t="n">
        <v>16</v>
      </c>
      <c r="B17" s="13" t="n">
        <v>86</v>
      </c>
      <c r="C17" s="13">
        <f>爬塔!J20</f>
        <v/>
      </c>
      <c r="D17" s="13">
        <f>C17-B17</f>
        <v/>
      </c>
      <c r="E17" s="14" t="n">
        <v>9.893172668053159</v>
      </c>
      <c r="F17" s="14">
        <f>爬塔!X20</f>
        <v/>
      </c>
      <c r="G17" s="14" t="n">
        <v>10.1766897034662</v>
      </c>
      <c r="H17" s="14">
        <f>爬塔!Y20</f>
        <v/>
      </c>
      <c r="I17" s="86">
        <f>F17/E17-1</f>
        <v/>
      </c>
      <c r="J17" s="86">
        <f>G17/H17-1</f>
        <v/>
      </c>
    </row>
    <row r="18" ht="25" customHeight="1">
      <c r="A18" s="13" t="n">
        <v>17</v>
      </c>
      <c r="B18" s="13" t="n">
        <v>91</v>
      </c>
      <c r="C18" s="13">
        <f>爬塔!J21</f>
        <v/>
      </c>
      <c r="D18" s="13">
        <f>C18-B18</f>
        <v/>
      </c>
      <c r="E18" s="14" t="n">
        <v>10.1799454077605</v>
      </c>
      <c r="F18" s="14">
        <f>爬塔!X21</f>
        <v/>
      </c>
      <c r="G18" s="14" t="n">
        <v>10.2318611683992</v>
      </c>
      <c r="H18" s="14">
        <f>爬塔!Y21</f>
        <v/>
      </c>
      <c r="I18" s="86">
        <f>F18/E18-1</f>
        <v/>
      </c>
      <c r="J18" s="86">
        <f>G18/H18-1</f>
        <v/>
      </c>
    </row>
    <row r="19" ht="25" customHeight="1">
      <c r="A19" s="13" t="n">
        <v>18</v>
      </c>
      <c r="B19" s="13" t="n">
        <v>95</v>
      </c>
      <c r="C19" s="13">
        <f>爬塔!J22</f>
        <v/>
      </c>
      <c r="D19" s="13">
        <f>C19-B19</f>
        <v/>
      </c>
      <c r="E19" s="14" t="n">
        <v>9.163580564706519</v>
      </c>
      <c r="F19" s="14">
        <f>爬塔!X22</f>
        <v/>
      </c>
      <c r="G19" s="14" t="n">
        <v>10.4440762956241</v>
      </c>
      <c r="H19" s="14">
        <f>爬塔!Y22</f>
        <v/>
      </c>
      <c r="I19" s="86">
        <f>F19/E19-1</f>
        <v/>
      </c>
      <c r="J19" s="86">
        <f>G19/H19-1</f>
        <v/>
      </c>
    </row>
    <row r="20" ht="25" customHeight="1">
      <c r="A20" s="13" t="n">
        <v>19</v>
      </c>
      <c r="B20" s="13" t="n">
        <v>100</v>
      </c>
      <c r="C20" s="13">
        <f>爬塔!J23</f>
        <v/>
      </c>
      <c r="D20" s="13">
        <f>C20-B20</f>
        <v/>
      </c>
      <c r="E20" s="14" t="n">
        <v>10.6118938737652</v>
      </c>
      <c r="F20" s="14">
        <f>爬塔!X23</f>
        <v/>
      </c>
      <c r="G20" s="14" t="n">
        <v>10.8418845680597</v>
      </c>
      <c r="H20" s="14">
        <f>爬塔!Y23</f>
        <v/>
      </c>
      <c r="I20" s="86">
        <f>F20/E20-1</f>
        <v/>
      </c>
      <c r="J20" s="86">
        <f>G20/H20-1</f>
        <v/>
      </c>
    </row>
    <row r="21" ht="25" customHeight="1">
      <c r="A21" s="13" t="n">
        <v>20</v>
      </c>
      <c r="B21" s="13" t="n">
        <v>104</v>
      </c>
      <c r="C21" s="13">
        <f>爬塔!J24</f>
        <v/>
      </c>
      <c r="D21" s="13">
        <f>C21-B21</f>
        <v/>
      </c>
      <c r="E21" s="14" t="n">
        <v>9.21487583796976</v>
      </c>
      <c r="F21" s="14">
        <f>爬塔!X24</f>
        <v/>
      </c>
      <c r="G21" s="14" t="n">
        <v>10.0613818487085</v>
      </c>
      <c r="H21" s="14">
        <f>爬塔!Y24</f>
        <v/>
      </c>
      <c r="I21" s="86">
        <f>F21/E21-1</f>
        <v/>
      </c>
      <c r="J21" s="86">
        <f>G21/H21-1</f>
        <v/>
      </c>
    </row>
    <row r="22" ht="25" customHeight="1">
      <c r="A22" s="13" t="n">
        <v>21</v>
      </c>
      <c r="B22" s="13" t="n">
        <v>107</v>
      </c>
      <c r="C22" s="13">
        <f>爬塔!J25</f>
        <v/>
      </c>
      <c r="D22" s="13">
        <f>C22-B22</f>
        <v/>
      </c>
      <c r="E22" s="14" t="n">
        <v>10.7302439982058</v>
      </c>
      <c r="F22" s="14">
        <f>爬塔!X25</f>
        <v/>
      </c>
      <c r="G22" s="14" t="n">
        <v>10.9488300963556</v>
      </c>
      <c r="H22" s="14">
        <f>爬塔!Y25</f>
        <v/>
      </c>
      <c r="I22" s="86">
        <f>F22/E22-1</f>
        <v/>
      </c>
      <c r="J22" s="86">
        <f>G22/H22-1</f>
        <v/>
      </c>
    </row>
    <row r="23" ht="25" customHeight="1">
      <c r="A23" s="13" t="n">
        <v>22</v>
      </c>
      <c r="B23" s="13" t="n">
        <v>111</v>
      </c>
      <c r="C23" s="13">
        <f>爬塔!J26</f>
        <v/>
      </c>
      <c r="D23" s="13">
        <f>C23-B23</f>
        <v/>
      </c>
      <c r="E23" s="14" t="n">
        <v>10.4011487793987</v>
      </c>
      <c r="F23" s="14">
        <f>爬塔!X26</f>
        <v/>
      </c>
      <c r="G23" s="14" t="n">
        <v>10.7228952559359</v>
      </c>
      <c r="H23" s="14">
        <f>爬塔!Y26</f>
        <v/>
      </c>
      <c r="I23" s="86">
        <f>F23/E23-1</f>
        <v/>
      </c>
      <c r="J23" s="86">
        <f>G23/H23-1</f>
        <v/>
      </c>
    </row>
    <row r="24" ht="25" customHeight="1">
      <c r="A24" s="13" t="n">
        <v>23</v>
      </c>
      <c r="B24" s="13" t="n">
        <v>114</v>
      </c>
      <c r="C24" s="13">
        <f>爬塔!J27</f>
        <v/>
      </c>
      <c r="D24" s="13">
        <f>C24-B24</f>
        <v/>
      </c>
      <c r="E24" s="14" t="n">
        <v>11.2296013165847</v>
      </c>
      <c r="F24" s="14">
        <f>爬塔!X27</f>
        <v/>
      </c>
      <c r="G24" s="14" t="n">
        <v>12.0317196377704</v>
      </c>
      <c r="H24" s="14">
        <f>爬塔!Y27</f>
        <v/>
      </c>
      <c r="I24" s="86">
        <f>F24/E24-1</f>
        <v/>
      </c>
      <c r="J24" s="86">
        <f>G24/H24-1</f>
        <v/>
      </c>
    </row>
    <row r="25" ht="25" customHeight="1">
      <c r="A25" s="13" t="n">
        <v>24</v>
      </c>
      <c r="B25" s="13" t="n">
        <v>117</v>
      </c>
      <c r="C25" s="13">
        <f>爬塔!J28</f>
        <v/>
      </c>
      <c r="D25" s="13">
        <f>C25-B25</f>
        <v/>
      </c>
      <c r="E25" s="14" t="n">
        <v>11.0457681453635</v>
      </c>
      <c r="F25" s="14">
        <f>爬塔!X28</f>
        <v/>
      </c>
      <c r="G25" s="14" t="n">
        <v>13.0520433360235</v>
      </c>
      <c r="H25" s="14">
        <f>爬塔!Y28</f>
        <v/>
      </c>
      <c r="I25" s="86">
        <f>F25/E25-1</f>
        <v/>
      </c>
      <c r="J25" s="86">
        <f>G25/H25-1</f>
        <v/>
      </c>
    </row>
    <row r="26" ht="25" customHeight="1">
      <c r="A26" s="13" t="n">
        <v>25</v>
      </c>
      <c r="B26" s="13" t="n">
        <v>121</v>
      </c>
      <c r="C26" s="13">
        <f>爬塔!J29</f>
        <v/>
      </c>
      <c r="D26" s="13">
        <f>C26-B26</f>
        <v/>
      </c>
      <c r="E26" s="14" t="n">
        <v>10.6757642657763</v>
      </c>
      <c r="F26" s="14">
        <f>爬塔!X29</f>
        <v/>
      </c>
      <c r="G26" s="14" t="n">
        <v>12.7012776125098</v>
      </c>
      <c r="H26" s="14">
        <f>爬塔!Y29</f>
        <v/>
      </c>
      <c r="I26" s="86">
        <f>F26/E26-1</f>
        <v/>
      </c>
      <c r="J26" s="86">
        <f>G26/H26-1</f>
        <v/>
      </c>
    </row>
    <row r="27" ht="25" customHeight="1">
      <c r="A27" s="13" t="n">
        <v>26</v>
      </c>
      <c r="B27" s="13" t="n">
        <v>124</v>
      </c>
      <c r="C27" s="13">
        <f>爬塔!J30</f>
        <v/>
      </c>
      <c r="D27" s="13">
        <f>C27-B27</f>
        <v/>
      </c>
      <c r="E27" s="14" t="n">
        <v>9.789183648171839</v>
      </c>
      <c r="F27" s="14">
        <f>爬塔!X30</f>
        <v/>
      </c>
      <c r="G27" s="14" t="n">
        <v>11.8403857340178</v>
      </c>
      <c r="H27" s="14">
        <f>爬塔!Y30</f>
        <v/>
      </c>
      <c r="I27" s="86">
        <f>F27/E27-1</f>
        <v/>
      </c>
      <c r="J27" s="86">
        <f>G27/H27-1</f>
        <v/>
      </c>
    </row>
    <row r="28" ht="25" customHeight="1">
      <c r="A28" s="13" t="n">
        <v>27</v>
      </c>
      <c r="B28" s="13" t="n">
        <v>127</v>
      </c>
      <c r="C28" s="13">
        <f>爬塔!J31</f>
        <v/>
      </c>
      <c r="D28" s="13">
        <f>C28-B28</f>
        <v/>
      </c>
      <c r="E28" s="14" t="n">
        <v>11.2699068905005</v>
      </c>
      <c r="F28" s="14">
        <f>爬塔!X31</f>
        <v/>
      </c>
      <c r="G28" s="14" t="n">
        <v>13.348705673548</v>
      </c>
      <c r="H28" s="14">
        <f>爬塔!Y31</f>
        <v/>
      </c>
      <c r="I28" s="86">
        <f>F28/E28-1</f>
        <v/>
      </c>
      <c r="J28" s="86">
        <f>G28/H28-1</f>
        <v/>
      </c>
    </row>
    <row r="29" ht="25" customHeight="1">
      <c r="A29" s="13" t="n">
        <v>28</v>
      </c>
      <c r="B29" s="13" t="n">
        <v>130</v>
      </c>
      <c r="C29" s="13">
        <f>爬塔!J32</f>
        <v/>
      </c>
      <c r="D29" s="13">
        <f>C29-B29</f>
        <v/>
      </c>
      <c r="E29" s="14" t="n">
        <v>11.4499539078052</v>
      </c>
      <c r="F29" s="14">
        <f>爬塔!X32</f>
        <v/>
      </c>
      <c r="G29" s="14" t="n">
        <v>13.0074761927164</v>
      </c>
      <c r="H29" s="14">
        <f>爬塔!Y32</f>
        <v/>
      </c>
      <c r="I29" s="86">
        <f>F29/E29-1</f>
        <v/>
      </c>
      <c r="J29" s="86">
        <f>G29/H29-1</f>
        <v/>
      </c>
    </row>
    <row r="30" ht="25" customHeight="1">
      <c r="A30" s="13" t="n">
        <v>29</v>
      </c>
      <c r="B30" s="13" t="n">
        <v>134</v>
      </c>
      <c r="C30" s="13">
        <f>爬塔!J33</f>
        <v/>
      </c>
      <c r="D30" s="13">
        <f>C30-B30</f>
        <v/>
      </c>
      <c r="E30" s="14" t="n">
        <v>10.2520919490385</v>
      </c>
      <c r="F30" s="14">
        <f>爬塔!X33</f>
        <v/>
      </c>
      <c r="G30" s="14" t="n">
        <v>12.8263142375498</v>
      </c>
      <c r="H30" s="14">
        <f>爬塔!Y33</f>
        <v/>
      </c>
      <c r="I30" s="86">
        <f>F30/E30-1</f>
        <v/>
      </c>
      <c r="J30" s="86">
        <f>G30/H30-1</f>
        <v/>
      </c>
    </row>
    <row r="31" ht="25" customHeight="1">
      <c r="A31" s="13" t="n">
        <v>30</v>
      </c>
      <c r="B31" s="13" t="n">
        <v>137</v>
      </c>
      <c r="C31" s="13">
        <f>爬塔!J34</f>
        <v/>
      </c>
      <c r="D31" s="13">
        <f>C31-B31</f>
        <v/>
      </c>
      <c r="E31" s="14" t="n">
        <v>10.3160654539509</v>
      </c>
      <c r="F31" s="14">
        <f>爬塔!X34</f>
        <v/>
      </c>
      <c r="G31" s="14" t="n">
        <v>13.393509199702</v>
      </c>
      <c r="H31" s="14">
        <f>爬塔!Y34</f>
        <v/>
      </c>
      <c r="I31" s="86">
        <f>F31/E31-1</f>
        <v/>
      </c>
      <c r="J31" s="86">
        <f>G31/H31-1</f>
        <v/>
      </c>
    </row>
    <row r="32" ht="25" customHeight="1">
      <c r="A32" s="13" t="n">
        <v>31</v>
      </c>
      <c r="B32" s="13" t="n">
        <v>140</v>
      </c>
      <c r="C32" s="13">
        <f>爬塔!J35</f>
        <v/>
      </c>
      <c r="D32" s="13">
        <f>C32-B32</f>
        <v/>
      </c>
      <c r="E32" s="14" t="n">
        <v>10.435434777637</v>
      </c>
      <c r="F32" s="14">
        <f>爬塔!X35</f>
        <v/>
      </c>
      <c r="G32" s="14" t="n">
        <v>13.5709269381506</v>
      </c>
      <c r="H32" s="14">
        <f>爬塔!Y35</f>
        <v/>
      </c>
      <c r="I32" s="86">
        <f>F32/E32-1</f>
        <v/>
      </c>
      <c r="J32" s="86">
        <f>G32/H32-1</f>
        <v/>
      </c>
    </row>
    <row r="33" ht="25" customHeight="1">
      <c r="A33" s="13" t="n">
        <v>32</v>
      </c>
      <c r="B33" s="13" t="n">
        <v>143</v>
      </c>
      <c r="C33" s="13">
        <f>爬塔!J36</f>
        <v/>
      </c>
      <c r="D33" s="13">
        <f>C33-B33</f>
        <v/>
      </c>
      <c r="E33" s="14" t="n">
        <v>11.2710984687078</v>
      </c>
      <c r="F33" s="14">
        <f>爬塔!X36</f>
        <v/>
      </c>
      <c r="G33" s="14" t="n">
        <v>14.095414609408</v>
      </c>
      <c r="H33" s="14">
        <f>爬塔!Y36</f>
        <v/>
      </c>
      <c r="I33" s="86">
        <f>F33/E33-1</f>
        <v/>
      </c>
      <c r="J33" s="86">
        <f>G33/H33-1</f>
        <v/>
      </c>
    </row>
    <row r="34" ht="25" customHeight="1">
      <c r="A34" s="13" t="n">
        <v>33</v>
      </c>
      <c r="B34" s="13" t="n">
        <v>146</v>
      </c>
      <c r="C34" s="13">
        <f>爬塔!J37</f>
        <v/>
      </c>
      <c r="D34" s="13">
        <f>C34-B34</f>
        <v/>
      </c>
      <c r="E34" s="14" t="n">
        <v>10.6585052193572</v>
      </c>
      <c r="F34" s="14">
        <f>爬塔!X37</f>
        <v/>
      </c>
      <c r="G34" s="14" t="n">
        <v>13.8147538532296</v>
      </c>
      <c r="H34" s="14">
        <f>爬塔!Y37</f>
        <v/>
      </c>
      <c r="I34" s="86">
        <f>F34/E34-1</f>
        <v/>
      </c>
      <c r="J34" s="86">
        <f>G34/H34-1</f>
        <v/>
      </c>
    </row>
    <row r="35" ht="25" customHeight="1">
      <c r="A35" s="13" t="n">
        <v>34</v>
      </c>
      <c r="B35" s="13" t="n">
        <v>149</v>
      </c>
      <c r="C35" s="13">
        <f>爬塔!J38</f>
        <v/>
      </c>
      <c r="D35" s="13">
        <f>C35-B35</f>
        <v/>
      </c>
      <c r="E35" s="14" t="n">
        <v>10.9215582683434</v>
      </c>
      <c r="F35" s="14">
        <f>爬塔!X38</f>
        <v/>
      </c>
      <c r="G35" s="14" t="n">
        <v>13.7709989729482</v>
      </c>
      <c r="H35" s="14">
        <f>爬塔!Y38</f>
        <v/>
      </c>
      <c r="I35" s="86">
        <f>F35/E35-1</f>
        <v/>
      </c>
      <c r="J35" s="86">
        <f>G35/H35-1</f>
        <v/>
      </c>
    </row>
    <row r="36" ht="25" customHeight="1">
      <c r="A36" s="13" t="n">
        <v>35</v>
      </c>
      <c r="B36" s="13" t="n">
        <v>152</v>
      </c>
      <c r="C36" s="13">
        <f>爬塔!J39</f>
        <v/>
      </c>
      <c r="D36" s="13">
        <f>C36-B36</f>
        <v/>
      </c>
      <c r="E36" s="14" t="n">
        <v>11.4224000554252</v>
      </c>
      <c r="F36" s="14">
        <f>爬塔!X39</f>
        <v/>
      </c>
      <c r="G36" s="14" t="n">
        <v>14.6232099732788</v>
      </c>
      <c r="H36" s="14">
        <f>爬塔!Y39</f>
        <v/>
      </c>
      <c r="I36" s="86">
        <f>F36/E36-1</f>
        <v/>
      </c>
      <c r="J36" s="86">
        <f>G36/H36-1</f>
        <v/>
      </c>
    </row>
    <row r="37" ht="25" customHeight="1">
      <c r="A37" s="13" t="n">
        <v>36</v>
      </c>
      <c r="B37" s="13" t="n">
        <v>155</v>
      </c>
      <c r="C37" s="13">
        <f>爬塔!J40</f>
        <v/>
      </c>
      <c r="D37" s="13">
        <f>C37-B37</f>
        <v/>
      </c>
      <c r="E37" s="14" t="n">
        <v>11.0658374421036</v>
      </c>
      <c r="F37" s="14">
        <f>爬塔!X40</f>
        <v/>
      </c>
      <c r="G37" s="14" t="n">
        <v>14.0354941022917</v>
      </c>
      <c r="H37" s="14">
        <f>爬塔!Y40</f>
        <v/>
      </c>
      <c r="I37" s="86">
        <f>F37/E37-1</f>
        <v/>
      </c>
      <c r="J37" s="86">
        <f>G37/H37-1</f>
        <v/>
      </c>
    </row>
    <row r="38" ht="25" customHeight="1">
      <c r="A38" s="13" t="n">
        <v>37</v>
      </c>
      <c r="B38" s="13" t="n">
        <v>158</v>
      </c>
      <c r="C38" s="13">
        <f>爬塔!J41</f>
        <v/>
      </c>
      <c r="D38" s="13">
        <f>C38-B38</f>
        <v/>
      </c>
      <c r="E38" s="14" t="n">
        <v>12.0621658655487</v>
      </c>
      <c r="F38" s="14">
        <f>爬塔!X41</f>
        <v/>
      </c>
      <c r="G38" s="14" t="n">
        <v>15.0737083595409</v>
      </c>
      <c r="H38" s="14">
        <f>爬塔!Y41</f>
        <v/>
      </c>
      <c r="I38" s="86">
        <f>F38/E38-1</f>
        <v/>
      </c>
      <c r="J38" s="86">
        <f>G38/H38-1</f>
        <v/>
      </c>
    </row>
    <row r="39" ht="25" customHeight="1">
      <c r="A39" s="13" t="n">
        <v>38</v>
      </c>
      <c r="B39" s="13" t="n">
        <v>161</v>
      </c>
      <c r="C39" s="13">
        <f>爬塔!J42</f>
        <v/>
      </c>
      <c r="D39" s="13">
        <f>C39-B39</f>
        <v/>
      </c>
      <c r="E39" s="14" t="n">
        <v>10.1358643396099</v>
      </c>
      <c r="F39" s="14">
        <f>爬塔!X42</f>
        <v/>
      </c>
      <c r="G39" s="14" t="n">
        <v>14.0903128794409</v>
      </c>
      <c r="H39" s="14">
        <f>爬塔!Y42</f>
        <v/>
      </c>
      <c r="I39" s="86">
        <f>F39/E39-1</f>
        <v/>
      </c>
      <c r="J39" s="86">
        <f>G39/H39-1</f>
        <v/>
      </c>
    </row>
    <row r="40" ht="25" customHeight="1">
      <c r="A40" s="13" t="n">
        <v>39</v>
      </c>
      <c r="B40" s="13" t="n">
        <v>164</v>
      </c>
      <c r="C40" s="13">
        <f>爬塔!J43</f>
        <v/>
      </c>
      <c r="D40" s="13">
        <f>C40-B40</f>
        <v/>
      </c>
      <c r="E40" s="14" t="n">
        <v>10.6461672336972</v>
      </c>
      <c r="F40" s="14">
        <f>爬塔!X43</f>
        <v/>
      </c>
      <c r="G40" s="14" t="n">
        <v>14.4324412765497</v>
      </c>
      <c r="H40" s="14">
        <f>爬塔!Y43</f>
        <v/>
      </c>
      <c r="I40" s="86">
        <f>F40/E40-1</f>
        <v/>
      </c>
      <c r="J40" s="86">
        <f>G40/H40-1</f>
        <v/>
      </c>
    </row>
    <row r="41" ht="25" customHeight="1">
      <c r="A41" s="13" t="n">
        <v>40</v>
      </c>
      <c r="B41" s="13" t="n">
        <v>167</v>
      </c>
      <c r="C41" s="13">
        <f>爬塔!J44</f>
        <v/>
      </c>
      <c r="D41" s="13">
        <f>C41-B41</f>
        <v/>
      </c>
      <c r="E41" s="14" t="n">
        <v>11.0730458051177</v>
      </c>
      <c r="F41" s="14">
        <f>爬塔!X44</f>
        <v/>
      </c>
      <c r="G41" s="14" t="n">
        <v>15.7613528937623</v>
      </c>
      <c r="H41" s="14">
        <f>爬塔!Y44</f>
        <v/>
      </c>
      <c r="I41" s="86">
        <f>F41/E41-1</f>
        <v/>
      </c>
      <c r="J41" s="86">
        <f>G41/H41-1</f>
        <v/>
      </c>
    </row>
    <row r="42" ht="25" customHeight="1">
      <c r="A42" s="13" t="n">
        <v>41</v>
      </c>
      <c r="B42" s="13" t="n">
        <v>170</v>
      </c>
      <c r="C42" s="13">
        <f>爬塔!J45</f>
        <v/>
      </c>
      <c r="D42" s="13">
        <f>C42-B42</f>
        <v/>
      </c>
      <c r="E42" s="14" t="n">
        <v>11.530243808811</v>
      </c>
      <c r="F42" s="14">
        <f>爬塔!X45</f>
        <v/>
      </c>
      <c r="G42" s="14" t="n">
        <v>16.1218172188679</v>
      </c>
      <c r="H42" s="14">
        <f>爬塔!Y45</f>
        <v/>
      </c>
      <c r="I42" s="86">
        <f>F42/E42-1</f>
        <v/>
      </c>
      <c r="J42" s="86">
        <f>G42/H42-1</f>
        <v/>
      </c>
    </row>
    <row r="43" ht="25" customHeight="1">
      <c r="A43" s="13" t="n">
        <v>42</v>
      </c>
      <c r="B43" s="13" t="n">
        <v>173</v>
      </c>
      <c r="C43" s="13">
        <f>爬塔!J46</f>
        <v/>
      </c>
      <c r="D43" s="13">
        <f>C43-B43</f>
        <v/>
      </c>
      <c r="E43" s="14" t="n">
        <v>10.7163921589406</v>
      </c>
      <c r="F43" s="14">
        <f>爬塔!X46</f>
        <v/>
      </c>
      <c r="G43" s="14" t="n">
        <v>16.3932767719281</v>
      </c>
      <c r="H43" s="14">
        <f>爬塔!Y46</f>
        <v/>
      </c>
      <c r="I43" s="86">
        <f>F43/E43-1</f>
        <v/>
      </c>
      <c r="J43" s="86">
        <f>G43/H43-1</f>
        <v/>
      </c>
    </row>
    <row r="44" ht="25" customHeight="1">
      <c r="A44" s="13" t="n">
        <v>43</v>
      </c>
      <c r="B44" s="13" t="n">
        <v>176</v>
      </c>
      <c r="C44" s="13">
        <f>爬塔!J47</f>
        <v/>
      </c>
      <c r="D44" s="13">
        <f>C44-B44</f>
        <v/>
      </c>
      <c r="E44" s="14" t="n">
        <v>11.4498410544805</v>
      </c>
      <c r="F44" s="14">
        <f>爬塔!X47</f>
        <v/>
      </c>
      <c r="G44" s="14" t="n">
        <v>16.4555029111947</v>
      </c>
      <c r="H44" s="14">
        <f>爬塔!Y47</f>
        <v/>
      </c>
      <c r="I44" s="86">
        <f>F44/E44-1</f>
        <v/>
      </c>
      <c r="J44" s="86">
        <f>G44/H44-1</f>
        <v/>
      </c>
    </row>
    <row r="45" ht="25" customHeight="1">
      <c r="A45" s="13" t="n">
        <v>44</v>
      </c>
      <c r="B45" s="13" t="n">
        <v>179</v>
      </c>
      <c r="C45" s="13">
        <f>爬塔!J48</f>
        <v/>
      </c>
      <c r="D45" s="13">
        <f>C45-B45</f>
        <v/>
      </c>
      <c r="E45" s="14" t="n">
        <v>11.4596616411063</v>
      </c>
      <c r="F45" s="14">
        <f>爬塔!X48</f>
        <v/>
      </c>
      <c r="G45" s="14" t="n">
        <v>16.5879699439707</v>
      </c>
      <c r="H45" s="14">
        <f>爬塔!Y48</f>
        <v/>
      </c>
      <c r="I45" s="86">
        <f>F45/E45-1</f>
        <v/>
      </c>
      <c r="J45" s="86">
        <f>G45/H45-1</f>
        <v/>
      </c>
    </row>
    <row r="46" ht="25" customHeight="1">
      <c r="A46" s="13" t="n">
        <v>45</v>
      </c>
      <c r="B46" s="13" t="n">
        <v>182</v>
      </c>
      <c r="C46" s="13">
        <f>爬塔!J49</f>
        <v/>
      </c>
      <c r="D46" s="13">
        <f>C46-B46</f>
        <v/>
      </c>
      <c r="E46" s="14" t="n">
        <v>10.2297485202165</v>
      </c>
      <c r="F46" s="14">
        <f>爬塔!X49</f>
        <v/>
      </c>
      <c r="G46" s="14" t="n">
        <v>15.9909190500114</v>
      </c>
      <c r="H46" s="14">
        <f>爬塔!Y49</f>
        <v/>
      </c>
      <c r="I46" s="86">
        <f>F46/E46-1</f>
        <v/>
      </c>
      <c r="J46" s="86">
        <f>G46/H46-1</f>
        <v/>
      </c>
    </row>
    <row r="47" ht="25" customHeight="1">
      <c r="A47" s="13" t="n">
        <v>46</v>
      </c>
      <c r="B47" s="13" t="n">
        <v>184</v>
      </c>
      <c r="C47" s="13">
        <f>爬塔!J50</f>
        <v/>
      </c>
      <c r="D47" s="13">
        <f>C47-B47</f>
        <v/>
      </c>
      <c r="E47" s="14" t="n">
        <v>11.1647582683711</v>
      </c>
      <c r="F47" s="14">
        <f>爬塔!X50</f>
        <v/>
      </c>
      <c r="G47" s="14" t="n">
        <v>17.6536593276554</v>
      </c>
      <c r="H47" s="14">
        <f>爬塔!Y50</f>
        <v/>
      </c>
      <c r="I47" s="86">
        <f>F47/E47-1</f>
        <v/>
      </c>
      <c r="J47" s="86">
        <f>G47/H47-1</f>
        <v/>
      </c>
    </row>
    <row r="48" ht="25" customHeight="1">
      <c r="A48" s="13" t="n">
        <v>47</v>
      </c>
      <c r="B48" s="13" t="n">
        <v>187</v>
      </c>
      <c r="C48" s="13">
        <f>爬塔!J51</f>
        <v/>
      </c>
      <c r="D48" s="13">
        <f>C48-B48</f>
        <v/>
      </c>
      <c r="E48" s="14" t="n">
        <v>9.93262662007781</v>
      </c>
      <c r="F48" s="14">
        <f>爬塔!X51</f>
        <v/>
      </c>
      <c r="G48" s="14" t="n">
        <v>16.4865582285333</v>
      </c>
      <c r="H48" s="14">
        <f>爬塔!Y51</f>
        <v/>
      </c>
      <c r="I48" s="86">
        <f>F48/E48-1</f>
        <v/>
      </c>
      <c r="J48" s="86">
        <f>G48/H48-1</f>
        <v/>
      </c>
    </row>
    <row r="49" ht="25" customHeight="1">
      <c r="A49" s="13" t="n">
        <v>48</v>
      </c>
      <c r="B49" s="13" t="n">
        <v>190</v>
      </c>
      <c r="C49" s="13">
        <f>爬塔!J52</f>
        <v/>
      </c>
      <c r="D49" s="13">
        <f>C49-B49</f>
        <v/>
      </c>
      <c r="E49" s="14" t="n">
        <v>10.6846953197538</v>
      </c>
      <c r="F49" s="14">
        <f>爬塔!X52</f>
        <v/>
      </c>
      <c r="G49" s="14" t="n">
        <v>17.0450742137858</v>
      </c>
      <c r="H49" s="14">
        <f>爬塔!Y52</f>
        <v/>
      </c>
      <c r="I49" s="86">
        <f>F49/E49-1</f>
        <v/>
      </c>
      <c r="J49" s="86">
        <f>G49/H49-1</f>
        <v/>
      </c>
    </row>
    <row r="50" ht="25" customHeight="1">
      <c r="A50" s="13" t="n">
        <v>49</v>
      </c>
      <c r="B50" s="13" t="n">
        <v>193</v>
      </c>
      <c r="C50" s="13">
        <f>爬塔!J53</f>
        <v/>
      </c>
      <c r="D50" s="13">
        <f>C50-B50</f>
        <v/>
      </c>
      <c r="E50" s="14" t="n">
        <v>12.0527908735751</v>
      </c>
      <c r="F50" s="14">
        <f>爬塔!X53</f>
        <v/>
      </c>
      <c r="G50" s="14" t="n">
        <v>17.1702258550606</v>
      </c>
      <c r="H50" s="14">
        <f>爬塔!Y53</f>
        <v/>
      </c>
      <c r="I50" s="86">
        <f>F50/E50-1</f>
        <v/>
      </c>
      <c r="J50" s="86">
        <f>G50/H50-1</f>
        <v/>
      </c>
    </row>
    <row r="51" ht="25" customHeight="1">
      <c r="A51" s="13" t="n">
        <v>50</v>
      </c>
      <c r="B51" s="13" t="n">
        <v>196</v>
      </c>
      <c r="C51" s="13">
        <f>爬塔!J54</f>
        <v/>
      </c>
      <c r="D51" s="13">
        <f>C51-B51</f>
        <v/>
      </c>
      <c r="E51" s="14" t="n">
        <v>10.8098637482623</v>
      </c>
      <c r="F51" s="14">
        <f>爬塔!X54</f>
        <v/>
      </c>
      <c r="G51" s="14" t="n">
        <v>17.1204548784085</v>
      </c>
      <c r="H51" s="14">
        <f>爬塔!Y54</f>
        <v/>
      </c>
      <c r="I51" s="86">
        <f>F51/E51-1</f>
        <v/>
      </c>
      <c r="J51" s="86">
        <f>G51/H51-1</f>
        <v/>
      </c>
    </row>
    <row r="52" ht="25" customHeight="1">
      <c r="A52" s="13" t="n">
        <v>51</v>
      </c>
      <c r="B52" s="13" t="n">
        <v>198</v>
      </c>
      <c r="C52" s="13">
        <f>爬塔!J55</f>
        <v/>
      </c>
      <c r="D52" s="13">
        <f>C52-B52</f>
        <v/>
      </c>
      <c r="E52" s="14" t="n">
        <v>9.60170873153309</v>
      </c>
      <c r="F52" s="14">
        <f>爬塔!X55</f>
        <v/>
      </c>
      <c r="G52" s="14" t="n">
        <v>15.9241659100522</v>
      </c>
      <c r="H52" s="14">
        <f>爬塔!Y55</f>
        <v/>
      </c>
      <c r="I52" s="86">
        <f>F52/E52-1</f>
        <v/>
      </c>
      <c r="J52" s="86">
        <f>G52/H52-1</f>
        <v/>
      </c>
    </row>
    <row r="53" ht="25" customHeight="1">
      <c r="A53" s="13" t="n">
        <v>52</v>
      </c>
      <c r="B53" s="13" t="n">
        <v>201</v>
      </c>
      <c r="C53" s="13">
        <f>爬塔!J56</f>
        <v/>
      </c>
      <c r="D53" s="13">
        <f>C53-B53</f>
        <v/>
      </c>
      <c r="E53" s="14" t="n">
        <v>10.1594476611792</v>
      </c>
      <c r="F53" s="14">
        <f>爬塔!X56</f>
        <v/>
      </c>
      <c r="G53" s="14" t="n">
        <v>16.6441428422043</v>
      </c>
      <c r="H53" s="14">
        <f>爬塔!Y56</f>
        <v/>
      </c>
      <c r="I53" s="86">
        <f>F53/E53-1</f>
        <v/>
      </c>
      <c r="J53" s="86">
        <f>G53/H53-1</f>
        <v/>
      </c>
    </row>
    <row r="54" ht="25" customHeight="1">
      <c r="A54" s="13" t="n">
        <v>53</v>
      </c>
      <c r="B54" s="13" t="n">
        <v>203</v>
      </c>
      <c r="C54" s="13">
        <f>爬塔!J57</f>
        <v/>
      </c>
      <c r="D54" s="13">
        <f>C54-B54</f>
        <v/>
      </c>
      <c r="E54" s="14" t="n">
        <v>10.0817705744539</v>
      </c>
      <c r="F54" s="14">
        <f>爬塔!X57</f>
        <v/>
      </c>
      <c r="G54" s="14" t="n">
        <v>16.7889952169028</v>
      </c>
      <c r="H54" s="14">
        <f>爬塔!Y57</f>
        <v/>
      </c>
      <c r="I54" s="86">
        <f>F54/E54-1</f>
        <v/>
      </c>
      <c r="J54" s="86">
        <f>G54/H54-1</f>
        <v/>
      </c>
    </row>
    <row r="55" ht="25" customHeight="1">
      <c r="A55" s="13" t="n">
        <v>54</v>
      </c>
      <c r="B55" s="13" t="n">
        <v>205</v>
      </c>
      <c r="C55" s="13">
        <f>爬塔!J58</f>
        <v/>
      </c>
      <c r="D55" s="13">
        <f>C55-B55</f>
        <v/>
      </c>
      <c r="E55" s="14" t="n">
        <v>10.1417124681757</v>
      </c>
      <c r="F55" s="14">
        <f>爬塔!X58</f>
        <v/>
      </c>
      <c r="G55" s="14" t="n">
        <v>16.7748211250345</v>
      </c>
      <c r="H55" s="14">
        <f>爬塔!Y58</f>
        <v/>
      </c>
      <c r="I55" s="86">
        <f>F55/E55-1</f>
        <v/>
      </c>
      <c r="J55" s="86">
        <f>G55/H55-1</f>
        <v/>
      </c>
    </row>
    <row r="56" ht="25" customHeight="1">
      <c r="A56" s="13" t="n">
        <v>55</v>
      </c>
      <c r="B56" s="13" t="n">
        <v>208</v>
      </c>
      <c r="C56" s="13">
        <f>爬塔!J59</f>
        <v/>
      </c>
      <c r="D56" s="13">
        <f>C56-B56</f>
        <v/>
      </c>
      <c r="E56" s="14" t="n">
        <v>10.8976594947199</v>
      </c>
      <c r="F56" s="14">
        <f>爬塔!X59</f>
        <v/>
      </c>
      <c r="G56" s="14" t="n">
        <v>17.353477572298</v>
      </c>
      <c r="H56" s="14">
        <f>爬塔!Y59</f>
        <v/>
      </c>
      <c r="I56" s="86">
        <f>F56/E56-1</f>
        <v/>
      </c>
      <c r="J56" s="86">
        <f>G56/H56-1</f>
        <v/>
      </c>
    </row>
    <row r="57" ht="25" customHeight="1">
      <c r="A57" s="13" t="n">
        <v>56</v>
      </c>
      <c r="B57" s="13" t="n">
        <v>210</v>
      </c>
      <c r="C57" s="13">
        <f>爬塔!J60</f>
        <v/>
      </c>
      <c r="D57" s="13">
        <f>C57-B57</f>
        <v/>
      </c>
      <c r="E57" s="14" t="n">
        <v>10.1228091733563</v>
      </c>
      <c r="F57" s="14">
        <f>爬塔!X60</f>
        <v/>
      </c>
      <c r="G57" s="14" t="n">
        <v>16.9089942652189</v>
      </c>
      <c r="H57" s="14">
        <f>爬塔!Y60</f>
        <v/>
      </c>
      <c r="I57" s="86">
        <f>F57/E57-1</f>
        <v/>
      </c>
      <c r="J57" s="86">
        <f>G57/H57-1</f>
        <v/>
      </c>
    </row>
    <row r="58" ht="25" customHeight="1">
      <c r="A58" s="13" t="n">
        <v>57</v>
      </c>
      <c r="B58" s="13" t="n">
        <v>212</v>
      </c>
      <c r="C58" s="13">
        <f>爬塔!J61</f>
        <v/>
      </c>
      <c r="D58" s="13">
        <f>C58-B58</f>
        <v/>
      </c>
      <c r="E58" s="14" t="n">
        <v>9.58621598919764</v>
      </c>
      <c r="F58" s="14">
        <f>爬塔!X61</f>
        <v/>
      </c>
      <c r="G58" s="14" t="n">
        <v>16.2584070280235</v>
      </c>
      <c r="H58" s="14">
        <f>爬塔!Y61</f>
        <v/>
      </c>
      <c r="I58" s="86">
        <f>F58/E58-1</f>
        <v/>
      </c>
      <c r="J58" s="86">
        <f>G58/H58-1</f>
        <v/>
      </c>
    </row>
    <row r="59" ht="25" customHeight="1">
      <c r="A59" s="13" t="n">
        <v>58</v>
      </c>
      <c r="B59" s="13" t="n">
        <v>214</v>
      </c>
      <c r="C59" s="13">
        <f>爬塔!J62</f>
        <v/>
      </c>
      <c r="D59" s="13">
        <f>C59-B59</f>
        <v/>
      </c>
      <c r="E59" s="14" t="n">
        <v>9.602097357338691</v>
      </c>
      <c r="F59" s="14">
        <f>爬塔!X62</f>
        <v/>
      </c>
      <c r="G59" s="14" t="n">
        <v>16.2909024168792</v>
      </c>
      <c r="H59" s="14">
        <f>爬塔!Y62</f>
        <v/>
      </c>
      <c r="I59" s="86">
        <f>F59/E59-1</f>
        <v/>
      </c>
      <c r="J59" s="86">
        <f>G59/H59-1</f>
        <v/>
      </c>
    </row>
    <row r="60" ht="25" customHeight="1">
      <c r="A60" s="13" t="n">
        <v>59</v>
      </c>
      <c r="B60" s="13" t="n">
        <v>217</v>
      </c>
      <c r="C60" s="13">
        <f>爬塔!J63</f>
        <v/>
      </c>
      <c r="D60" s="13">
        <f>C60-B60</f>
        <v/>
      </c>
      <c r="E60" s="14" t="n">
        <v>10.2671996660421</v>
      </c>
      <c r="F60" s="14">
        <f>爬塔!X63</f>
        <v/>
      </c>
      <c r="G60" s="14" t="n">
        <v>16.9026350083476</v>
      </c>
      <c r="H60" s="14">
        <f>爬塔!Y63</f>
        <v/>
      </c>
      <c r="I60" s="86">
        <f>F60/E60-1</f>
        <v/>
      </c>
      <c r="J60" s="86">
        <f>G60/H60-1</f>
        <v/>
      </c>
    </row>
    <row r="61" ht="25" customHeight="1">
      <c r="A61" s="13" t="n">
        <v>60</v>
      </c>
      <c r="B61" s="13" t="n">
        <v>219</v>
      </c>
      <c r="C61" s="13">
        <f>爬塔!J64</f>
        <v/>
      </c>
      <c r="D61" s="13">
        <f>C61-B61</f>
        <v/>
      </c>
      <c r="E61" s="14" t="n">
        <v>10.9159716830819</v>
      </c>
      <c r="F61" s="14">
        <f>爬塔!X64</f>
        <v/>
      </c>
      <c r="G61" s="14" t="n">
        <v>17.5787149944251</v>
      </c>
      <c r="H61" s="14">
        <f>爬塔!Y64</f>
        <v/>
      </c>
      <c r="I61" s="86">
        <f>F61/E61-1</f>
        <v/>
      </c>
      <c r="J61" s="86">
        <f>G61/H61-1</f>
        <v/>
      </c>
    </row>
    <row r="62" ht="25" customHeight="1">
      <c r="A62" s="13" t="n">
        <v>61</v>
      </c>
      <c r="B62" s="13" t="n">
        <v>221</v>
      </c>
      <c r="C62" s="13">
        <f>爬塔!J65</f>
        <v/>
      </c>
      <c r="D62" s="13">
        <f>C62-B62</f>
        <v/>
      </c>
      <c r="E62" s="14" t="n">
        <v>9.788429842005071</v>
      </c>
      <c r="F62" s="14">
        <f>爬塔!X65</f>
        <v/>
      </c>
      <c r="G62" s="14" t="n">
        <v>16.2188223358888</v>
      </c>
      <c r="H62" s="14">
        <f>爬塔!Y65</f>
        <v/>
      </c>
      <c r="I62" s="86">
        <f>F62/E62-1</f>
        <v/>
      </c>
      <c r="J62" s="86">
        <f>G62/H62-1</f>
        <v/>
      </c>
    </row>
    <row r="63" ht="25" customHeight="1">
      <c r="A63" s="13" t="n">
        <v>62</v>
      </c>
      <c r="B63" s="13" t="n">
        <v>223</v>
      </c>
      <c r="C63" s="13">
        <f>爬塔!J66</f>
        <v/>
      </c>
      <c r="D63" s="13">
        <f>C63-B63</f>
        <v/>
      </c>
      <c r="E63" s="14" t="n">
        <v>9.714994155714351</v>
      </c>
      <c r="F63" s="14">
        <f>爬塔!X66</f>
        <v/>
      </c>
      <c r="G63" s="14" t="n">
        <v>16.3268147332401</v>
      </c>
      <c r="H63" s="14">
        <f>爬塔!Y66</f>
        <v/>
      </c>
      <c r="I63" s="86">
        <f>F63/E63-1</f>
        <v/>
      </c>
      <c r="J63" s="86">
        <f>G63/H63-1</f>
        <v/>
      </c>
    </row>
    <row r="64" ht="25" customHeight="1">
      <c r="A64" s="13" t="n">
        <v>63</v>
      </c>
      <c r="B64" s="13" t="n">
        <v>225</v>
      </c>
      <c r="C64" s="13">
        <f>爬塔!J67</f>
        <v/>
      </c>
      <c r="D64" s="13">
        <f>C64-B64</f>
        <v/>
      </c>
      <c r="E64" s="14" t="n">
        <v>10.2853736519762</v>
      </c>
      <c r="F64" s="14">
        <f>爬塔!X67</f>
        <v/>
      </c>
      <c r="G64" s="14" t="n">
        <v>17.0291167576264</v>
      </c>
      <c r="H64" s="14">
        <f>爬塔!Y67</f>
        <v/>
      </c>
      <c r="I64" s="86">
        <f>F64/E64-1</f>
        <v/>
      </c>
      <c r="J64" s="86">
        <f>G64/H64-1</f>
        <v/>
      </c>
    </row>
    <row r="65" ht="25" customHeight="1">
      <c r="A65" s="13" t="n">
        <v>64</v>
      </c>
      <c r="B65" s="13" t="n">
        <v>227</v>
      </c>
      <c r="C65" s="13">
        <f>爬塔!J68</f>
        <v/>
      </c>
      <c r="D65" s="13">
        <f>C65-B65</f>
        <v/>
      </c>
      <c r="E65" s="14" t="n">
        <v>9.72979110088894</v>
      </c>
      <c r="F65" s="14">
        <f>爬塔!X68</f>
        <v/>
      </c>
      <c r="G65" s="14" t="n">
        <v>16.3773676614582</v>
      </c>
      <c r="H65" s="14">
        <f>爬塔!Y68</f>
        <v/>
      </c>
      <c r="I65" s="86">
        <f>F65/E65-1</f>
        <v/>
      </c>
      <c r="J65" s="86">
        <f>G65/H65-1</f>
        <v/>
      </c>
    </row>
    <row r="66" ht="25" customHeight="1">
      <c r="A66" s="13" t="n">
        <v>65</v>
      </c>
      <c r="B66" s="13" t="n">
        <v>229</v>
      </c>
      <c r="C66" s="13">
        <f>爬塔!J69</f>
        <v/>
      </c>
      <c r="D66" s="13">
        <f>C66-B66</f>
        <v/>
      </c>
      <c r="E66" s="14" t="n">
        <v>11.0366472208682</v>
      </c>
      <c r="F66" s="14">
        <f>爬塔!X69</f>
        <v/>
      </c>
      <c r="G66" s="14" t="n">
        <v>17.6309503993359</v>
      </c>
      <c r="H66" s="14">
        <f>爬塔!Y69</f>
        <v/>
      </c>
      <c r="I66" s="86">
        <f>F66/E66-1</f>
        <v/>
      </c>
      <c r="J66" s="86">
        <f>G66/H66-1</f>
        <v/>
      </c>
    </row>
    <row r="67" ht="25" customHeight="1">
      <c r="A67" s="13" t="n">
        <v>66</v>
      </c>
      <c r="B67" s="13" t="n">
        <v>230</v>
      </c>
      <c r="C67" s="13">
        <f>爬塔!J70</f>
        <v/>
      </c>
      <c r="D67" s="13">
        <f>C67-B67</f>
        <v/>
      </c>
      <c r="E67" s="14" t="n">
        <v>9.7313451113959</v>
      </c>
      <c r="F67" s="14">
        <f>爬塔!X70</f>
        <v/>
      </c>
      <c r="G67" s="14" t="n">
        <v>16.4232839610159</v>
      </c>
      <c r="H67" s="14">
        <f>爬塔!Y70</f>
        <v/>
      </c>
      <c r="I67" s="86">
        <f>F67/E67-1</f>
        <v/>
      </c>
      <c r="J67" s="86">
        <f>G67/H67-1</f>
        <v/>
      </c>
    </row>
    <row r="68" ht="25" customHeight="1">
      <c r="A68" s="13" t="n">
        <v>67</v>
      </c>
      <c r="B68" s="13" t="n">
        <v>232</v>
      </c>
      <c r="C68" s="13">
        <f>爬塔!J71</f>
        <v/>
      </c>
      <c r="D68" s="13">
        <f>C68-B68</f>
        <v/>
      </c>
      <c r="E68" s="14" t="n">
        <v>9.70265115380386</v>
      </c>
      <c r="F68" s="14">
        <f>爬塔!X71</f>
        <v/>
      </c>
      <c r="G68" s="14" t="n">
        <v>16.4784519199414</v>
      </c>
      <c r="H68" s="14">
        <f>爬塔!Y71</f>
        <v/>
      </c>
      <c r="I68" s="86">
        <f>F68/E68-1</f>
        <v/>
      </c>
      <c r="J68" s="86">
        <f>G68/H68-1</f>
        <v/>
      </c>
    </row>
    <row r="69" ht="25" customHeight="1">
      <c r="A69" s="13" t="n">
        <v>68</v>
      </c>
      <c r="B69" s="13" t="n">
        <v>234</v>
      </c>
      <c r="C69" s="13">
        <f>爬塔!J72</f>
        <v/>
      </c>
      <c r="D69" s="13">
        <f>C69-B69</f>
        <v/>
      </c>
      <c r="E69" s="14" t="n">
        <v>10.3406851596388</v>
      </c>
      <c r="F69" s="14">
        <f>爬塔!X72</f>
        <v/>
      </c>
      <c r="G69" s="14" t="n">
        <v>17.114367234118</v>
      </c>
      <c r="H69" s="14">
        <f>爬塔!Y72</f>
        <v/>
      </c>
      <c r="I69" s="86">
        <f>F69/E69-1</f>
        <v/>
      </c>
      <c r="J69" s="86">
        <f>G69/H69-1</f>
        <v/>
      </c>
    </row>
    <row r="70" ht="25" customHeight="1">
      <c r="A70" s="13" t="n">
        <v>69</v>
      </c>
      <c r="B70" s="13" t="n">
        <v>236</v>
      </c>
      <c r="C70" s="13">
        <f>爬塔!J73</f>
        <v/>
      </c>
      <c r="D70" s="13">
        <f>C70-B70</f>
        <v/>
      </c>
      <c r="E70" s="14" t="n">
        <v>10.3269992839145</v>
      </c>
      <c r="F70" s="14">
        <f>爬塔!X73</f>
        <v/>
      </c>
      <c r="G70" s="14" t="n">
        <v>17.1513043492812</v>
      </c>
      <c r="H70" s="14">
        <f>爬塔!Y73</f>
        <v/>
      </c>
      <c r="I70" s="86">
        <f>F70/E70-1</f>
        <v/>
      </c>
      <c r="J70" s="86">
        <f>G70/H70-1</f>
        <v/>
      </c>
    </row>
    <row r="71" ht="25" customHeight="1">
      <c r="A71" s="13" t="n">
        <v>70</v>
      </c>
      <c r="B71" s="13" t="n">
        <v>238</v>
      </c>
      <c r="C71" s="13">
        <f>爬塔!J74</f>
        <v/>
      </c>
      <c r="D71" s="13">
        <f>C71-B71</f>
        <v/>
      </c>
      <c r="E71" s="14" t="n">
        <v>10.4932777027536</v>
      </c>
      <c r="F71" s="14">
        <f>爬塔!X74</f>
        <v/>
      </c>
      <c r="G71" s="14" t="n">
        <v>17.0047061254489</v>
      </c>
      <c r="H71" s="14">
        <f>爬塔!Y74</f>
        <v/>
      </c>
      <c r="I71" s="86">
        <f>F71/E71-1</f>
        <v/>
      </c>
      <c r="J71" s="86">
        <f>G71/H71-1</f>
        <v/>
      </c>
    </row>
    <row r="72" ht="25" customHeight="1">
      <c r="A72" s="13" t="n">
        <v>71</v>
      </c>
      <c r="B72" s="13" t="n">
        <v>240</v>
      </c>
      <c r="C72" s="13">
        <f>爬塔!J75</f>
        <v/>
      </c>
      <c r="D72" s="13">
        <f>C72-B72</f>
        <v/>
      </c>
      <c r="E72" s="14" t="n">
        <v>9.88226688505816</v>
      </c>
      <c r="F72" s="14">
        <f>爬塔!X75</f>
        <v/>
      </c>
      <c r="G72" s="14" t="n">
        <v>16.3844358443186</v>
      </c>
      <c r="H72" s="14">
        <f>爬塔!Y75</f>
        <v/>
      </c>
      <c r="I72" s="86">
        <f>F72/E72-1</f>
        <v/>
      </c>
      <c r="J72" s="86">
        <f>G72/H72-1</f>
        <v/>
      </c>
    </row>
    <row r="73" ht="25" customHeight="1">
      <c r="A73" s="13" t="n">
        <v>72</v>
      </c>
      <c r="B73" s="13" t="n">
        <v>241</v>
      </c>
      <c r="C73" s="13">
        <f>爬塔!J76</f>
        <v/>
      </c>
      <c r="D73" s="13">
        <f>C73-B73</f>
        <v/>
      </c>
      <c r="E73" s="14" t="n">
        <v>9.771245479534119</v>
      </c>
      <c r="F73" s="14">
        <f>爬塔!X76</f>
        <v/>
      </c>
      <c r="G73" s="14" t="n">
        <v>16.512374447814</v>
      </c>
      <c r="H73" s="14">
        <f>爬塔!Y76</f>
        <v/>
      </c>
      <c r="I73" s="86">
        <f>F73/E73-1</f>
        <v/>
      </c>
      <c r="J73" s="86">
        <f>G73/H73-1</f>
        <v/>
      </c>
    </row>
    <row r="74" ht="25" customHeight="1">
      <c r="A74" s="13" t="n">
        <v>73</v>
      </c>
      <c r="B74" s="13" t="n">
        <v>243</v>
      </c>
      <c r="C74" s="13">
        <f>爬塔!J77</f>
        <v/>
      </c>
      <c r="D74" s="13">
        <f>C74-B74</f>
        <v/>
      </c>
      <c r="E74" s="14" t="n">
        <v>9.906591998290541</v>
      </c>
      <c r="F74" s="14">
        <f>爬塔!X77</f>
        <v/>
      </c>
      <c r="G74" s="14" t="n">
        <v>16.396732871645</v>
      </c>
      <c r="H74" s="14">
        <f>爬塔!Y77</f>
        <v/>
      </c>
      <c r="I74" s="86">
        <f>F74/E74-1</f>
        <v/>
      </c>
      <c r="J74" s="86">
        <f>G74/H74-1</f>
        <v/>
      </c>
    </row>
    <row r="75" ht="25" customHeight="1">
      <c r="A75" s="13" t="n">
        <v>74</v>
      </c>
      <c r="B75" s="13" t="n">
        <v>245</v>
      </c>
      <c r="C75" s="13">
        <f>爬塔!J78</f>
        <v/>
      </c>
      <c r="D75" s="13">
        <f>C75-B75</f>
        <v/>
      </c>
      <c r="E75" s="14" t="n">
        <v>9.94118080071873</v>
      </c>
      <c r="F75" s="14">
        <f>爬塔!X78</f>
        <v/>
      </c>
      <c r="G75" s="14" t="n">
        <v>16.3808941393841</v>
      </c>
      <c r="H75" s="14">
        <f>爬塔!Y78</f>
        <v/>
      </c>
      <c r="I75" s="86">
        <f>F75/E75-1</f>
        <v/>
      </c>
      <c r="J75" s="86">
        <f>G75/H75-1</f>
        <v/>
      </c>
    </row>
    <row r="76" ht="25" customHeight="1">
      <c r="A76" s="13" t="n">
        <v>75</v>
      </c>
      <c r="B76" s="13" t="n">
        <v>247</v>
      </c>
      <c r="C76" s="13">
        <f>爬塔!J79</f>
        <v/>
      </c>
      <c r="D76" s="13">
        <f>C76-B76</f>
        <v/>
      </c>
      <c r="E76" s="14" t="n">
        <v>10.670341457098</v>
      </c>
      <c r="F76" s="14">
        <f>爬塔!X79</f>
        <v/>
      </c>
      <c r="G76" s="14" t="n">
        <v>16.9322868139394</v>
      </c>
      <c r="H76" s="14">
        <f>爬塔!Y79</f>
        <v/>
      </c>
      <c r="I76" s="86">
        <f>F76/E76-1</f>
        <v/>
      </c>
      <c r="J76" s="86">
        <f>G76/H76-1</f>
        <v/>
      </c>
    </row>
    <row r="77" ht="25" customHeight="1">
      <c r="A77" s="13" t="n">
        <v>76</v>
      </c>
      <c r="B77" s="13" t="n">
        <v>248</v>
      </c>
      <c r="C77" s="13">
        <f>爬塔!J80</f>
        <v/>
      </c>
      <c r="D77" s="13">
        <f>C77-B77</f>
        <v/>
      </c>
      <c r="E77" s="14" t="n">
        <v>10.0427099653838</v>
      </c>
      <c r="F77" s="14">
        <f>爬塔!X80</f>
        <v/>
      </c>
      <c r="G77" s="14" t="n">
        <v>16.3092902474322</v>
      </c>
      <c r="H77" s="14">
        <f>爬塔!Y80</f>
        <v/>
      </c>
      <c r="I77" s="86">
        <f>F77/E77-1</f>
        <v/>
      </c>
      <c r="J77" s="86">
        <f>G77/H77-1</f>
        <v/>
      </c>
    </row>
    <row r="78" ht="25" customHeight="1">
      <c r="A78" s="13" t="n">
        <v>77</v>
      </c>
      <c r="B78" s="13" t="n">
        <v>250</v>
      </c>
      <c r="C78" s="13">
        <f>爬塔!J81</f>
        <v/>
      </c>
      <c r="D78" s="13">
        <f>C78-B78</f>
        <v/>
      </c>
      <c r="E78" s="14" t="n">
        <v>10.0715497219829</v>
      </c>
      <c r="F78" s="14">
        <f>爬塔!X81</f>
        <v/>
      </c>
      <c r="G78" s="14" t="n">
        <v>16.2937745686602</v>
      </c>
      <c r="H78" s="14">
        <f>爬塔!Y81</f>
        <v/>
      </c>
      <c r="I78" s="86">
        <f>F78/E78-1</f>
        <v/>
      </c>
      <c r="J78" s="86">
        <f>G78/H78-1</f>
        <v/>
      </c>
    </row>
    <row r="79" ht="25" customHeight="1">
      <c r="A79" s="13" t="n">
        <v>78</v>
      </c>
      <c r="B79" s="13" t="n">
        <v>252</v>
      </c>
      <c r="C79" s="13">
        <f>爬塔!J82</f>
        <v/>
      </c>
      <c r="D79" s="13">
        <f>C79-B79</f>
        <v/>
      </c>
      <c r="E79" s="14" t="n">
        <v>10.123631803088</v>
      </c>
      <c r="F79" s="14">
        <f>爬塔!X82</f>
        <v/>
      </c>
      <c r="G79" s="14" t="n">
        <v>16.2576654362461</v>
      </c>
      <c r="H79" s="14">
        <f>爬塔!Y82</f>
        <v/>
      </c>
      <c r="I79" s="86">
        <f>F79/E79-1</f>
        <v/>
      </c>
      <c r="J79" s="86">
        <f>G79/H79-1</f>
        <v/>
      </c>
    </row>
    <row r="80" ht="25" customHeight="1">
      <c r="A80" s="13" t="n">
        <v>79</v>
      </c>
      <c r="B80" s="13" t="n">
        <v>253</v>
      </c>
      <c r="C80" s="13">
        <f>爬塔!J83</f>
        <v/>
      </c>
      <c r="D80" s="13">
        <f>C80-B80</f>
        <v/>
      </c>
      <c r="E80" s="14" t="n">
        <v>10.0456986566508</v>
      </c>
      <c r="F80" s="14">
        <f>爬塔!X83</f>
        <v/>
      </c>
      <c r="G80" s="14" t="n">
        <v>16.3430602570063</v>
      </c>
      <c r="H80" s="14">
        <f>爬塔!Y83</f>
        <v/>
      </c>
      <c r="I80" s="86">
        <f>F80/E80-1</f>
        <v/>
      </c>
      <c r="J80" s="86">
        <f>G80/H80-1</f>
        <v/>
      </c>
    </row>
    <row r="81" ht="25" customHeight="1">
      <c r="A81" s="13" t="n">
        <v>80</v>
      </c>
      <c r="B81" s="13" t="n">
        <v>255</v>
      </c>
      <c r="C81" s="13">
        <f>爬塔!J84</f>
        <v/>
      </c>
      <c r="D81" s="13">
        <f>C81-B81</f>
        <v/>
      </c>
      <c r="E81" s="14" t="n">
        <v>11.4264120796314</v>
      </c>
      <c r="F81" s="14">
        <f>爬塔!X84</f>
        <v/>
      </c>
      <c r="G81" s="14" t="n">
        <v>17.5664835505845</v>
      </c>
      <c r="H81" s="14">
        <f>爬塔!Y84</f>
        <v/>
      </c>
      <c r="I81" s="86">
        <f>F81/E81-1</f>
        <v/>
      </c>
      <c r="J81" s="86">
        <f>G81/H81-1</f>
        <v/>
      </c>
    </row>
    <row r="82" ht="25" customHeight="1">
      <c r="A82" s="13" t="n">
        <v>81</v>
      </c>
      <c r="B82" s="13" t="n">
        <v>256</v>
      </c>
      <c r="C82" s="13">
        <f>爬塔!J85</f>
        <v/>
      </c>
      <c r="D82" s="13">
        <f>C82-B82</f>
        <v/>
      </c>
      <c r="E82" s="14" t="n">
        <v>10.0190384675833</v>
      </c>
      <c r="F82" s="14">
        <f>爬塔!X85</f>
        <v/>
      </c>
      <c r="G82" s="14" t="n">
        <v>16.3871513179355</v>
      </c>
      <c r="H82" s="14">
        <f>爬塔!Y85</f>
        <v/>
      </c>
      <c r="I82" s="86">
        <f>F82/E82-1</f>
        <v/>
      </c>
      <c r="J82" s="86">
        <f>G82/H82-1</f>
        <v/>
      </c>
    </row>
    <row r="83" ht="25" customHeight="1">
      <c r="A83" s="13" t="n">
        <v>82</v>
      </c>
      <c r="B83" s="13" t="n">
        <v>258</v>
      </c>
      <c r="C83" s="13">
        <f>爬塔!J86</f>
        <v/>
      </c>
      <c r="D83" s="13">
        <f>C83-B83</f>
        <v/>
      </c>
      <c r="E83" s="14" t="n">
        <v>10.2298564390103</v>
      </c>
      <c r="F83" s="14">
        <f>爬塔!X86</f>
        <v/>
      </c>
      <c r="G83" s="14" t="n">
        <v>16.1942174389692</v>
      </c>
      <c r="H83" s="14">
        <f>爬塔!Y86</f>
        <v/>
      </c>
      <c r="I83" s="86">
        <f>F83/E83-1</f>
        <v/>
      </c>
      <c r="J83" s="86">
        <f>G83/H83-1</f>
        <v/>
      </c>
    </row>
    <row r="84" ht="25" customHeight="1">
      <c r="A84" s="13" t="n">
        <v>83</v>
      </c>
      <c r="B84" s="13" t="n">
        <v>259</v>
      </c>
      <c r="C84" s="13">
        <f>爬塔!J87</f>
        <v/>
      </c>
      <c r="D84" s="13">
        <f>C84-B84</f>
        <v/>
      </c>
      <c r="E84" s="14" t="n">
        <v>10.1660370428796</v>
      </c>
      <c r="F84" s="14">
        <f>爬塔!X87</f>
        <v/>
      </c>
      <c r="G84" s="14" t="n">
        <v>16.2637966145646</v>
      </c>
      <c r="H84" s="14">
        <f>爬塔!Y87</f>
        <v/>
      </c>
      <c r="I84" s="86">
        <f>F84/E84-1</f>
        <v/>
      </c>
      <c r="J84" s="86">
        <f>G84/H84-1</f>
        <v/>
      </c>
    </row>
    <row r="85" ht="25" customHeight="1">
      <c r="A85" s="13" t="n">
        <v>84</v>
      </c>
      <c r="B85" s="13" t="n">
        <v>260</v>
      </c>
      <c r="C85" s="13">
        <f>爬塔!J88</f>
        <v/>
      </c>
      <c r="D85" s="13">
        <f>C85-B85</f>
        <v/>
      </c>
      <c r="E85" s="14" t="n">
        <v>10.1061083407288</v>
      </c>
      <c r="F85" s="14">
        <f>爬塔!X88</f>
        <v/>
      </c>
      <c r="G85" s="14" t="n">
        <v>16.3280583519833</v>
      </c>
      <c r="H85" s="14">
        <f>爬塔!Y88</f>
        <v/>
      </c>
      <c r="I85" s="86">
        <f>F85/E85-1</f>
        <v/>
      </c>
      <c r="J85" s="86">
        <f>G85/H85-1</f>
        <v/>
      </c>
    </row>
    <row r="86" ht="25" customHeight="1">
      <c r="A86" s="13" t="n">
        <v>85</v>
      </c>
      <c r="B86" s="13" t="n">
        <v>262</v>
      </c>
      <c r="C86" s="13">
        <f>爬塔!J89</f>
        <v/>
      </c>
      <c r="D86" s="13">
        <f>C86-B86</f>
        <v/>
      </c>
      <c r="E86" s="14" t="n">
        <v>10.8590745539877</v>
      </c>
      <c r="F86" s="14">
        <f>爬塔!X89</f>
        <v/>
      </c>
      <c r="G86" s="14" t="n">
        <v>16.8674350630957</v>
      </c>
      <c r="H86" s="14">
        <f>爬塔!Y89</f>
        <v/>
      </c>
      <c r="I86" s="86">
        <f>F86/E86-1</f>
        <v/>
      </c>
      <c r="J86" s="86">
        <f>G86/H86-1</f>
        <v/>
      </c>
    </row>
    <row r="87" ht="25" customHeight="1">
      <c r="A87" s="13" t="n">
        <v>86</v>
      </c>
      <c r="B87" s="13" t="n">
        <v>263</v>
      </c>
      <c r="C87" s="13">
        <f>爬塔!J90</f>
        <v/>
      </c>
      <c r="D87" s="13">
        <f>C87-B87</f>
        <v/>
      </c>
      <c r="E87" s="14" t="n">
        <v>10.1286706008907</v>
      </c>
      <c r="F87" s="14">
        <f>爬塔!X90</f>
        <v/>
      </c>
      <c r="G87" s="14" t="n">
        <v>16.322480082425</v>
      </c>
      <c r="H87" s="14">
        <f>爬塔!Y90</f>
        <v/>
      </c>
      <c r="I87" s="86">
        <f>F87/E87-1</f>
        <v/>
      </c>
      <c r="J87" s="86">
        <f>G87/H87-1</f>
        <v/>
      </c>
    </row>
    <row r="88" ht="25" customHeight="1">
      <c r="A88" s="13" t="n">
        <v>87</v>
      </c>
      <c r="B88" s="13" t="n">
        <v>264</v>
      </c>
      <c r="C88" s="13">
        <f>爬塔!J91</f>
        <v/>
      </c>
      <c r="D88" s="13">
        <f>C88-B88</f>
        <v/>
      </c>
      <c r="E88" s="14" t="n">
        <v>10.0788601718692</v>
      </c>
      <c r="F88" s="14">
        <f>爬塔!X91</f>
        <v/>
      </c>
      <c r="G88" s="14" t="n">
        <v>16.3760302690653</v>
      </c>
      <c r="H88" s="14">
        <f>爬塔!Y91</f>
        <v/>
      </c>
      <c r="I88" s="86">
        <f>F88/E88-1</f>
        <v/>
      </c>
      <c r="J88" s="86">
        <f>G88/H88-1</f>
        <v/>
      </c>
    </row>
    <row r="89" ht="25" customHeight="1">
      <c r="A89" s="13" t="n">
        <v>88</v>
      </c>
      <c r="B89" s="13" t="n">
        <v>265</v>
      </c>
      <c r="C89" s="13">
        <f>爬塔!J92</f>
        <v/>
      </c>
      <c r="D89" s="13">
        <f>C89-B89</f>
        <v/>
      </c>
      <c r="E89" s="14" t="n">
        <v>10.0322741024051</v>
      </c>
      <c r="F89" s="14">
        <f>爬塔!X92</f>
        <v/>
      </c>
      <c r="G89" s="14" t="n">
        <v>16.4268522324806</v>
      </c>
      <c r="H89" s="14">
        <f>爬塔!Y92</f>
        <v/>
      </c>
      <c r="I89" s="86">
        <f>F89/E89-1</f>
        <v/>
      </c>
      <c r="J89" s="86">
        <f>G89/H89-1</f>
        <v/>
      </c>
    </row>
    <row r="90" ht="25" customHeight="1">
      <c r="A90" s="13" t="n">
        <v>89</v>
      </c>
      <c r="B90" s="13" t="n">
        <v>267</v>
      </c>
      <c r="C90" s="13">
        <f>爬塔!J93</f>
        <v/>
      </c>
      <c r="D90" s="13">
        <f>C90-B90</f>
        <v/>
      </c>
      <c r="E90" s="14" t="n">
        <v>10.1180743916035</v>
      </c>
      <c r="F90" s="14">
        <f>爬塔!X93</f>
        <v/>
      </c>
      <c r="G90" s="14" t="n">
        <v>16.3511829392918</v>
      </c>
      <c r="H90" s="14">
        <f>爬塔!Y93</f>
        <v/>
      </c>
      <c r="I90" s="86">
        <f>F90/E90-1</f>
        <v/>
      </c>
      <c r="J90" s="86">
        <f>G90/H90-1</f>
        <v/>
      </c>
    </row>
    <row r="91" ht="25" customHeight="1">
      <c r="A91" s="13" t="n">
        <v>90</v>
      </c>
      <c r="B91" s="13" t="n">
        <v>268</v>
      </c>
      <c r="C91" s="13">
        <f>爬塔!J94</f>
        <v/>
      </c>
      <c r="D91" s="13">
        <f>C91-B91</f>
        <v/>
      </c>
      <c r="E91" s="14" t="n">
        <v>10.8594371050346</v>
      </c>
      <c r="F91" s="14">
        <f>爬塔!X94</f>
        <v/>
      </c>
      <c r="G91" s="14" t="n">
        <v>16.8952957535221</v>
      </c>
      <c r="H91" s="14">
        <f>爬塔!Y94</f>
        <v/>
      </c>
      <c r="I91" s="86">
        <f>F91/E91-1</f>
        <v/>
      </c>
      <c r="J91" s="86">
        <f>G91/H91-1</f>
        <v/>
      </c>
    </row>
    <row r="92" ht="25" customHeight="1">
      <c r="A92" s="13" t="n">
        <v>91</v>
      </c>
      <c r="B92" s="13" t="n">
        <v>269</v>
      </c>
      <c r="C92" s="13">
        <f>爬塔!J95</f>
        <v/>
      </c>
      <c r="D92" s="13">
        <f>C92-B92</f>
        <v/>
      </c>
      <c r="E92" s="14" t="n">
        <v>10.1421679799433</v>
      </c>
      <c r="F92" s="14">
        <f>爬塔!X95</f>
        <v/>
      </c>
      <c r="G92" s="14" t="n">
        <v>16.3343241138849</v>
      </c>
      <c r="H92" s="14">
        <f>爬塔!Y95</f>
        <v/>
      </c>
      <c r="I92" s="86">
        <f>F92/E92-1</f>
        <v/>
      </c>
      <c r="J92" s="86">
        <f>G92/H92-1</f>
        <v/>
      </c>
    </row>
    <row r="93" ht="25" customHeight="1">
      <c r="A93" s="13" t="n">
        <v>92</v>
      </c>
      <c r="B93" s="13" t="n">
        <v>270</v>
      </c>
      <c r="C93" s="13">
        <f>爬塔!J96</f>
        <v/>
      </c>
      <c r="D93" s="13">
        <f>C93-B93</f>
        <v/>
      </c>
      <c r="E93" s="14" t="n">
        <v>10.1302375334849</v>
      </c>
      <c r="F93" s="14">
        <f>爬塔!X96</f>
        <v/>
      </c>
      <c r="G93" s="14" t="n">
        <v>16.3511096147507</v>
      </c>
      <c r="H93" s="14">
        <f>爬塔!Y96</f>
        <v/>
      </c>
      <c r="I93" s="86">
        <f>F93/E93-1</f>
        <v/>
      </c>
      <c r="J93" s="86">
        <f>G93/H93-1</f>
        <v/>
      </c>
    </row>
    <row r="94" ht="25" customHeight="1">
      <c r="A94" s="13" t="n">
        <v>93</v>
      </c>
      <c r="B94" s="13" t="n">
        <v>272</v>
      </c>
      <c r="C94" s="13">
        <f>爬塔!J97</f>
        <v/>
      </c>
      <c r="D94" s="13">
        <f>C94-B94</f>
        <v/>
      </c>
      <c r="E94" s="14" t="n">
        <v>10.2094542522233</v>
      </c>
      <c r="F94" s="14">
        <f>爬塔!X97</f>
        <v/>
      </c>
      <c r="G94" s="14" t="n">
        <v>16.2764231801046</v>
      </c>
      <c r="H94" s="14">
        <f>爬塔!Y97</f>
        <v/>
      </c>
      <c r="I94" s="86">
        <f>F94/E94-1</f>
        <v/>
      </c>
      <c r="J94" s="86">
        <f>G94/H94-1</f>
        <v/>
      </c>
    </row>
    <row r="95" ht="25" customHeight="1">
      <c r="A95" s="13" t="n">
        <v>94</v>
      </c>
      <c r="B95" s="13" t="n">
        <v>273</v>
      </c>
      <c r="C95" s="13">
        <f>爬塔!J98</f>
        <v/>
      </c>
      <c r="D95" s="13">
        <f>C95-B95</f>
        <v/>
      </c>
      <c r="E95" s="14" t="n">
        <v>10.1757908694178</v>
      </c>
      <c r="F95" s="14">
        <f>爬塔!X98</f>
        <v/>
      </c>
      <c r="G95" s="14" t="n">
        <v>16.3112648137538</v>
      </c>
      <c r="H95" s="14">
        <f>爬塔!Y98</f>
        <v/>
      </c>
      <c r="I95" s="86">
        <f>F95/E95-1</f>
        <v/>
      </c>
      <c r="J95" s="86">
        <f>G95/H95-1</f>
        <v/>
      </c>
    </row>
    <row r="96" ht="25" customHeight="1">
      <c r="A96" s="13" t="n">
        <v>95</v>
      </c>
      <c r="B96" s="13" t="n">
        <v>274</v>
      </c>
      <c r="C96" s="13">
        <f>爬塔!J99</f>
        <v/>
      </c>
      <c r="D96" s="13">
        <f>C96-B96</f>
        <v/>
      </c>
      <c r="E96" s="14" t="n">
        <v>10.1444067482369</v>
      </c>
      <c r="F96" s="14">
        <f>爬塔!X99</f>
        <v/>
      </c>
      <c r="G96" s="14" t="n">
        <v>16.3447671358059</v>
      </c>
      <c r="H96" s="14">
        <f>爬塔!Y99</f>
        <v/>
      </c>
      <c r="I96" s="86">
        <f>F96/E96-1</f>
        <v/>
      </c>
      <c r="J96" s="86">
        <f>G96/H96-1</f>
        <v/>
      </c>
    </row>
    <row r="97" ht="25" customHeight="1">
      <c r="A97" s="13" t="n">
        <v>96</v>
      </c>
      <c r="B97" s="13" t="n">
        <v>275</v>
      </c>
      <c r="C97" s="13">
        <f>爬塔!J100</f>
        <v/>
      </c>
      <c r="D97" s="13">
        <f>C97-B97</f>
        <v/>
      </c>
      <c r="E97" s="14" t="n">
        <v>10.115158031245</v>
      </c>
      <c r="F97" s="14">
        <f>爬塔!X100</f>
        <v/>
      </c>
      <c r="G97" s="14" t="n">
        <v>16.3757737431693</v>
      </c>
      <c r="H97" s="14">
        <f>爬塔!Y100</f>
        <v/>
      </c>
      <c r="I97" s="86">
        <f>F97/E97-1</f>
        <v/>
      </c>
      <c r="J97" s="86">
        <f>G97/H97-1</f>
        <v/>
      </c>
    </row>
    <row r="98" ht="25" customHeight="1">
      <c r="A98" s="13" t="n">
        <v>97</v>
      </c>
      <c r="B98" s="13" t="n">
        <v>276</v>
      </c>
      <c r="C98" s="13">
        <f>爬塔!J101</f>
        <v/>
      </c>
      <c r="D98" s="13">
        <f>C98-B98</f>
        <v/>
      </c>
      <c r="E98" s="14" t="n">
        <v>10.0879200618806</v>
      </c>
      <c r="F98" s="14">
        <f>爬塔!X101</f>
        <v/>
      </c>
      <c r="G98" s="14" t="n">
        <v>16.4039883728109</v>
      </c>
      <c r="H98" s="14">
        <f>爬塔!Y101</f>
        <v/>
      </c>
      <c r="I98" s="86">
        <f>F98/E98-1</f>
        <v/>
      </c>
      <c r="J98" s="86">
        <f>G98/H98-1</f>
        <v/>
      </c>
    </row>
    <row r="99" ht="25" customHeight="1">
      <c r="A99" s="13" t="n">
        <v>98</v>
      </c>
      <c r="B99" s="13" t="n">
        <v>278</v>
      </c>
      <c r="C99" s="13">
        <f>爬塔!J102</f>
        <v/>
      </c>
      <c r="D99" s="13">
        <f>C99-B99</f>
        <v/>
      </c>
      <c r="E99" s="14" t="n">
        <v>10.1898231512443</v>
      </c>
      <c r="F99" s="14">
        <f>爬塔!X102</f>
        <v/>
      </c>
      <c r="G99" s="14" t="n">
        <v>16.3096575798843</v>
      </c>
      <c r="H99" s="14">
        <f>爬塔!Y102</f>
        <v/>
      </c>
      <c r="I99" s="86">
        <f>F99/E99-1</f>
        <v/>
      </c>
      <c r="J99" s="86">
        <f>G99/H99-1</f>
        <v/>
      </c>
    </row>
    <row r="100" ht="25" customHeight="1">
      <c r="A100" s="13" t="n">
        <v>99</v>
      </c>
      <c r="B100" s="13" t="n">
        <v>279</v>
      </c>
      <c r="C100" s="13">
        <f>爬塔!J103</f>
        <v/>
      </c>
      <c r="D100" s="13">
        <f>C100-B100</f>
        <v/>
      </c>
      <c r="E100" s="14" t="n">
        <v>10.1528097107269</v>
      </c>
      <c r="F100" s="14">
        <f>爬塔!X103</f>
        <v/>
      </c>
      <c r="G100" s="14" t="n">
        <v>16.3424134013775</v>
      </c>
      <c r="H100" s="14">
        <f>爬塔!Y103</f>
        <v/>
      </c>
      <c r="I100" s="86">
        <f>F100/E100-1</f>
        <v/>
      </c>
      <c r="J100" s="86">
        <f>G100/H100-1</f>
        <v/>
      </c>
    </row>
    <row r="101" ht="25" customHeight="1">
      <c r="A101" s="13" t="n">
        <v>100</v>
      </c>
      <c r="B101" s="13" t="n">
        <v>280</v>
      </c>
      <c r="C101" s="13">
        <f>爬塔!J104</f>
        <v/>
      </c>
      <c r="D101" s="13">
        <f>C101-B101</f>
        <v/>
      </c>
      <c r="E101" s="14" t="n">
        <v>10.1430142197331</v>
      </c>
      <c r="F101" s="14">
        <f>爬塔!X104</f>
        <v/>
      </c>
      <c r="G101" s="14" t="n">
        <v>16.3577145901043</v>
      </c>
      <c r="H101" s="14">
        <f>爬塔!Y104</f>
        <v/>
      </c>
      <c r="I101" s="86">
        <f>F101/E101-1</f>
        <v/>
      </c>
      <c r="J101" s="86">
        <f>G101/H101-1</f>
        <v/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:D1"/>
    </sheetView>
  </sheetViews>
  <sheetFormatPr baseColWidth="8" defaultColWidth="9" defaultRowHeight="13.5"/>
  <cols>
    <col width="24" customWidth="1" min="1" max="1"/>
    <col width="14" customWidth="1" min="2" max="2"/>
    <col width="28" customWidth="1" min="3" max="3"/>
    <col width="36" customWidth="1" min="4" max="4"/>
  </cols>
  <sheetData>
    <row r="1" ht="36" customHeight="1">
      <c r="A1" s="8" t="inlineStr">
        <is>
          <t>玩法推荐战力｜参数与口径</t>
        </is>
      </c>
    </row>
    <row r="2" ht="28" customHeight="1"/>
    <row r="3" ht="28" customHeight="1">
      <c r="A3" s="9" t="inlineStr">
        <is>
          <t>参数</t>
        </is>
      </c>
      <c r="B3" s="9" t="inlineStr">
        <is>
          <t>当前值</t>
        </is>
      </c>
      <c r="C3" s="9" t="inlineStr">
        <is>
          <t>用途</t>
        </is>
      </c>
      <c r="D3" s="9" t="inlineStr">
        <is>
          <t>修改影响</t>
        </is>
      </c>
    </row>
    <row r="4" ht="28" customHeight="1">
      <c r="A4" t="inlineStr">
        <is>
          <t>映射推荐战力系数</t>
        </is>
      </c>
      <c r="B4" s="10" t="n">
        <v>0.5</v>
      </c>
      <c r="C4" t="inlineStr">
        <is>
          <t>用户确认：乘0.5</t>
        </is>
      </c>
      <c r="D4" t="inlineStr">
        <is>
          <t>只改推荐战力，不改敌人属性</t>
        </is>
      </c>
    </row>
    <row r="5" ht="28" customHeight="1">
      <c r="A5" t="inlineStr">
        <is>
          <t>保留有效数字</t>
        </is>
      </c>
      <c r="B5" s="11" t="n">
        <v>3</v>
      </c>
      <c r="C5" t="inlineStr">
        <is>
          <t>统一四舍五入</t>
        </is>
      </c>
      <c r="D5" t="inlineStr">
        <is>
          <t>2422 → 2420</t>
        </is>
      </c>
    </row>
    <row r="6" ht="28" customHeight="1"/>
    <row r="7" ht="36" customHeight="1">
      <c r="A7" s="2" t="inlineStr">
        <is>
          <t>映射：现有系数前推荐值 × B4，再取3位有效数字；所有30档共用一个系数。</t>
        </is>
      </c>
    </row>
    <row r="8" ht="36" customHeight="1">
      <c r="A8" s="2" t="inlineStr">
        <is>
          <t>爬塔：按降难前每层击杀/存活节奏，反查满足新敌方属性的玩家进度，再查统一玩家战力。</t>
        </is>
      </c>
    </row>
    <row r="9" ht="36" customHeight="1">
      <c r="A9" s="2" t="inlineStr">
        <is>
          <t>爬塔I列和Q～Y列仍为原玩家快照对照；新推荐进度与计算过程见“爬塔战力校准”。</t>
        </is>
      </c>
    </row>
    <row r="10" ht="36" customHeight="1">
      <c r="A10" s="2" t="inlineStr">
        <is>
          <t>只更新源表；不修改等级、敌方属性、玩家成长、奖励或SVN。跨工作簿仍需同步缓存。</t>
        </is>
      </c>
    </row>
  </sheetData>
  <mergeCells count="5">
    <mergeCell ref="A1:D1"/>
    <mergeCell ref="A9:D9"/>
    <mergeCell ref="A8:D8"/>
    <mergeCell ref="A7:D7"/>
    <mergeCell ref="A10:D10"/>
  </mergeCells>
  <dataValidations count="1">
    <dataValidation sqref="B4" showDropDown="0" showInputMessage="0" showErrorMessage="0" allowBlank="0" type="decimal" operator="greaterThan">
      <formula1>0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R104"/>
  <sheetViews>
    <sheetView showGridLines="0" workbookViewId="0">
      <selection activeCell="A1" sqref="A1:H1"/>
    </sheetView>
  </sheetViews>
  <sheetFormatPr baseColWidth="8" defaultColWidth="9" defaultRowHeight="13.5"/>
  <cols>
    <col width="12" customWidth="1" min="1" max="2"/>
    <col width="20" customWidth="1" min="3" max="4"/>
    <col width="14" customWidth="1" min="5" max="5"/>
    <col width="16" customWidth="1" min="6" max="15"/>
    <col width="25" customWidth="1" min="16" max="16"/>
    <col width="16" customWidth="1" min="17" max="18"/>
  </cols>
  <sheetData>
    <row r="1" ht="36" customHeight="1">
      <c r="A1" s="1" t="inlineStr">
        <is>
          <t>爬塔推荐战力｜按新难度反查同一玩家曲线</t>
        </is>
      </c>
      <c r="I1" s="1" t="inlineStr">
        <is>
          <t>校准明细｜历史节奏 + 当前五人队伍属性</t>
        </is>
      </c>
    </row>
    <row r="2" ht="30" customHeight="1">
      <c r="A2" s="2" t="inlineStr">
        <is>
          <t>基准为280级降难之前的31～326级版本；保留每层原击杀、存活节奏。</t>
        </is>
      </c>
      <c r="I2" s="2" t="inlineStr">
        <is>
          <t>I/J列为固定历史校准，不随降难重置。K/L列引用当前整队属性，M/N为所需玩家输出与生存能力；推荐战力统一取玩家曲线，不取普通怪单体战力。</t>
        </is>
      </c>
    </row>
    <row r="3" ht="30" customHeight="1">
      <c r="A3" s="2" t="inlineStr">
        <is>
          <t>推荐取同时满足输出和生存的最早玩家进度；不改敌人属性或原对照快照。</t>
        </is>
      </c>
    </row>
    <row r="4" ht="36" customHeight="1">
      <c r="A4" s="3" t="inlineStr">
        <is>
          <t>楼层</t>
        </is>
      </c>
      <c r="B4" s="3" t="inlineStr">
        <is>
          <t>当前等级</t>
        </is>
      </c>
      <c r="C4" s="3" t="inlineStr">
        <is>
          <t>原推荐战力</t>
        </is>
      </c>
      <c r="D4" s="3" t="inlineStr">
        <is>
          <t>新推荐战力</t>
        </is>
      </c>
      <c r="E4" s="3" t="inlineStr">
        <is>
          <t>变化</t>
        </is>
      </c>
      <c r="F4" s="3" t="inlineStr">
        <is>
          <t>推荐玩家进度</t>
        </is>
      </c>
      <c r="G4" s="3" t="inlineStr">
        <is>
          <t>输出所需进度</t>
        </is>
      </c>
      <c r="H4" s="3" t="inlineStr">
        <is>
          <t>生存所需进度</t>
        </is>
      </c>
      <c r="I4" s="3" t="inlineStr">
        <is>
          <t>校准击杀秒</t>
        </is>
      </c>
      <c r="J4" s="3" t="inlineStr">
        <is>
          <t>校准存活秒</t>
        </is>
      </c>
      <c r="K4" s="3" t="inlineStr">
        <is>
          <t>敌方队伍EHP</t>
        </is>
      </c>
      <c r="L4" s="3" t="inlineStr">
        <is>
          <t>敌方队伍攻击</t>
        </is>
      </c>
      <c r="M4" s="3" t="inlineStr">
        <is>
          <t>所需玩家DPS</t>
        </is>
      </c>
      <c r="N4" s="3" t="inlineStr">
        <is>
          <t>所需玩家EHP</t>
        </is>
      </c>
      <c r="O4" s="3" t="inlineStr">
        <is>
          <t>玩家精确战力</t>
        </is>
      </c>
      <c r="P4" s="3" t="inlineStr">
        <is>
          <t>校准检查</t>
        </is>
      </c>
      <c r="Q4" s="3" t="inlineStr">
        <is>
          <t>校准旧等级</t>
        </is>
      </c>
      <c r="R4" s="3" t="inlineStr">
        <is>
          <t>校准旧进度</t>
        </is>
      </c>
    </row>
    <row r="5" ht="25" customHeight="1">
      <c r="A5" s="4" t="n">
        <v>1</v>
      </c>
      <c r="B5" s="4">
        <f>爬塔!J5</f>
        <v/>
      </c>
      <c r="C5" s="4" t="n">
        <v>35500</v>
      </c>
      <c r="D5" s="5">
        <f>IF(P5="通过",ROUND(O5,-MAX(0,INT(LOG10(O5))-推荐战力参数!$B$5+1)),0)</f>
        <v/>
      </c>
      <c r="E5" s="84">
        <f>D5/C5-1</f>
        <v/>
      </c>
      <c r="F5" s="4">
        <f>MAX(G5,H5)</f>
        <v/>
      </c>
      <c r="G5" s="4">
        <f>MIN(ROWS(_玩家曲线!$H$2:$H$280),COUNTIF(_玩家曲线!$H$2:$H$280,"&lt;"&amp;M5)+1)</f>
        <v/>
      </c>
      <c r="H5" s="4">
        <f>MIN(ROWS(_玩家曲线!$I$2:$I$280),COUNTIF(_玩家曲线!$I$2:$I$280,"&lt;"&amp;N5)+1)</f>
        <v/>
      </c>
      <c r="I5" s="7" t="n">
        <v>5.59548573011629</v>
      </c>
      <c r="J5" s="7" t="n">
        <v>8.68099067253635</v>
      </c>
      <c r="K5" s="4">
        <f>爬塔!W5</f>
        <v/>
      </c>
      <c r="L5" s="4">
        <f>爬塔!T5*IF(爬塔!O5="",1,爬塔!O5)</f>
        <v/>
      </c>
      <c r="M5" s="4">
        <f>K5/I5</f>
        <v/>
      </c>
      <c r="N5" s="4">
        <f>L5*J5</f>
        <v/>
      </c>
      <c r="O5" s="4">
        <f>INDEX(_统一战力!$D$2:$D$280,MATCH(F5,_统一战力!$C$2:$C$280,0))</f>
        <v/>
      </c>
      <c r="P5" s="4">
        <f>IF(AND(INDEX(_玩家曲线!$H$2:$H$280,F5)&gt;=M5,INDEX(_玩家曲线!$I$2:$I$280,F5)&gt;=N5),"通过","超出玩家曲线")</f>
        <v/>
      </c>
      <c r="Q5" s="4" t="n">
        <v>31</v>
      </c>
      <c r="R5" s="4" t="n">
        <v>24</v>
      </c>
    </row>
    <row r="6" ht="25" customHeight="1">
      <c r="A6" s="4" t="n">
        <v>2</v>
      </c>
      <c r="B6" s="4">
        <f>爬塔!J6</f>
        <v/>
      </c>
      <c r="C6" s="4" t="n">
        <v>37400</v>
      </c>
      <c r="D6" s="5">
        <f>IF(P6="通过",ROUND(O6,-MAX(0,INT(LOG10(O6))-推荐战力参数!$B$5+1)),0)</f>
        <v/>
      </c>
      <c r="E6" s="84">
        <f>D6/C6-1</f>
        <v/>
      </c>
      <c r="F6" s="4">
        <f>MAX(G6,H6)</f>
        <v/>
      </c>
      <c r="G6" s="4">
        <f>MIN(ROWS(_玩家曲线!$H$2:$H$280),COUNTIF(_玩家曲线!$H$2:$H$280,"&lt;"&amp;M6)+1)</f>
        <v/>
      </c>
      <c r="H6" s="4">
        <f>MIN(ROWS(_玩家曲线!$I$2:$I$280),COUNTIF(_玩家曲线!$I$2:$I$280,"&lt;"&amp;N6)+1)</f>
        <v/>
      </c>
      <c r="I6" s="7" t="n">
        <v>6.51758894880623</v>
      </c>
      <c r="J6" s="7" t="n">
        <v>7.410779239939</v>
      </c>
      <c r="K6" s="4">
        <f>爬塔!W6</f>
        <v/>
      </c>
      <c r="L6" s="4">
        <f>爬塔!T6*IF(爬塔!O6="",1,爬塔!O6)</f>
        <v/>
      </c>
      <c r="M6" s="4">
        <f>K6/I6</f>
        <v/>
      </c>
      <c r="N6" s="4">
        <f>L6*J6</f>
        <v/>
      </c>
      <c r="O6" s="4">
        <f>INDEX(_统一战力!$D$2:$D$280,MATCH(F6,_统一战力!$C$2:$C$280,0))</f>
        <v/>
      </c>
      <c r="P6" s="4">
        <f>IF(AND(INDEX(_玩家曲线!$H$2:$H$280,F6)&gt;=M6,INDEX(_玩家曲线!$I$2:$I$280,F6)&gt;=N6),"通过","超出玩家曲线")</f>
        <v/>
      </c>
      <c r="Q6" s="4" t="n">
        <v>36</v>
      </c>
      <c r="R6" s="4" t="n">
        <v>25</v>
      </c>
    </row>
    <row r="7" ht="25" customHeight="1">
      <c r="A7" s="4" t="n">
        <v>3</v>
      </c>
      <c r="B7" s="4">
        <f>爬塔!J7</f>
        <v/>
      </c>
      <c r="C7" s="4" t="n">
        <v>41300</v>
      </c>
      <c r="D7" s="5">
        <f>IF(P7="通过",ROUND(O7,-MAX(0,INT(LOG10(O7))-推荐战力参数!$B$5+1)),0)</f>
        <v/>
      </c>
      <c r="E7" s="84">
        <f>D7/C7-1</f>
        <v/>
      </c>
      <c r="F7" s="4">
        <f>MAX(G7,H7)</f>
        <v/>
      </c>
      <c r="G7" s="4">
        <f>MIN(ROWS(_玩家曲线!$H$2:$H$280),COUNTIF(_玩家曲线!$H$2:$H$280,"&lt;"&amp;M7)+1)</f>
        <v/>
      </c>
      <c r="H7" s="4">
        <f>MIN(ROWS(_玩家曲线!$I$2:$I$280),COUNTIF(_玩家曲线!$I$2:$I$280,"&lt;"&amp;N7)+1)</f>
        <v/>
      </c>
      <c r="I7" s="7" t="n">
        <v>9.414219602750149</v>
      </c>
      <c r="J7" s="7" t="n">
        <v>8.29043006370909</v>
      </c>
      <c r="K7" s="4">
        <f>爬塔!W7</f>
        <v/>
      </c>
      <c r="L7" s="4">
        <f>爬塔!T7*IF(爬塔!O7="",1,爬塔!O7)</f>
        <v/>
      </c>
      <c r="M7" s="4">
        <f>K7/I7</f>
        <v/>
      </c>
      <c r="N7" s="4">
        <f>L7*J7</f>
        <v/>
      </c>
      <c r="O7" s="4">
        <f>INDEX(_统一战力!$D$2:$D$280,MATCH(F7,_统一战力!$C$2:$C$280,0))</f>
        <v/>
      </c>
      <c r="P7" s="4">
        <f>IF(AND(INDEX(_玩家曲线!$H$2:$H$280,F7)&gt;=M7,INDEX(_玩家曲线!$I$2:$I$280,F7)&gt;=N7),"通过","超出玩家曲线")</f>
        <v/>
      </c>
      <c r="Q7" s="4" t="n">
        <v>41</v>
      </c>
      <c r="R7" s="4" t="n">
        <v>27</v>
      </c>
    </row>
    <row r="8" ht="25" customHeight="1">
      <c r="A8" s="4" t="n">
        <v>4</v>
      </c>
      <c r="B8" s="4">
        <f>爬塔!J8</f>
        <v/>
      </c>
      <c r="C8" s="4" t="n">
        <v>45400</v>
      </c>
      <c r="D8" s="5">
        <f>IF(P8="通过",ROUND(O8,-MAX(0,INT(LOG10(O8))-推荐战力参数!$B$5+1)),0)</f>
        <v/>
      </c>
      <c r="E8" s="84">
        <f>D8/C8-1</f>
        <v/>
      </c>
      <c r="F8" s="4">
        <f>MAX(G8,H8)</f>
        <v/>
      </c>
      <c r="G8" s="4">
        <f>MIN(ROWS(_玩家曲线!$H$2:$H$280),COUNTIF(_玩家曲线!$H$2:$H$280,"&lt;"&amp;M8)+1)</f>
        <v/>
      </c>
      <c r="H8" s="4">
        <f>MIN(ROWS(_玩家曲线!$I$2:$I$280),COUNTIF(_玩家曲线!$I$2:$I$280,"&lt;"&amp;N8)+1)</f>
        <v/>
      </c>
      <c r="I8" s="7" t="n">
        <v>7.59464047244333</v>
      </c>
      <c r="J8" s="7" t="n">
        <v>6.82406767752878</v>
      </c>
      <c r="K8" s="4">
        <f>爬塔!W8</f>
        <v/>
      </c>
      <c r="L8" s="4">
        <f>爬塔!T8*IF(爬塔!O8="",1,爬塔!O8)</f>
        <v/>
      </c>
      <c r="M8" s="4">
        <f>K8/I8</f>
        <v/>
      </c>
      <c r="N8" s="4">
        <f>L8*J8</f>
        <v/>
      </c>
      <c r="O8" s="4">
        <f>INDEX(_统一战力!$D$2:$D$280,MATCH(F8,_统一战力!$C$2:$C$280,0))</f>
        <v/>
      </c>
      <c r="P8" s="4">
        <f>IF(AND(INDEX(_玩家曲线!$H$2:$H$280,F8)&gt;=M8,INDEX(_玩家曲线!$I$2:$I$280,F8)&gt;=N8),"通过","超出玩家曲线")</f>
        <v/>
      </c>
      <c r="Q8" s="4" t="n">
        <v>46</v>
      </c>
      <c r="R8" s="4" t="n">
        <v>29</v>
      </c>
    </row>
    <row r="9" ht="25" customHeight="1">
      <c r="A9" s="4" t="n">
        <v>5</v>
      </c>
      <c r="B9" s="4">
        <f>爬塔!J9</f>
        <v/>
      </c>
      <c r="C9" s="4" t="n">
        <v>46600</v>
      </c>
      <c r="D9" s="5">
        <f>IF(P9="通过",ROUND(O9,-MAX(0,INT(LOG10(O9))-推荐战力参数!$B$5+1)),0)</f>
        <v/>
      </c>
      <c r="E9" s="84">
        <f>D9/C9-1</f>
        <v/>
      </c>
      <c r="F9" s="4">
        <f>MAX(G9,H9)</f>
        <v/>
      </c>
      <c r="G9" s="4">
        <f>MIN(ROWS(_玩家曲线!$H$2:$H$280),COUNTIF(_玩家曲线!$H$2:$H$280,"&lt;"&amp;M9)+1)</f>
        <v/>
      </c>
      <c r="H9" s="4">
        <f>MIN(ROWS(_玩家曲线!$I$2:$I$280),COUNTIF(_玩家曲线!$I$2:$I$280,"&lt;"&amp;N9)+1)</f>
        <v/>
      </c>
      <c r="I9" s="7" t="n">
        <v>10.5939633376518</v>
      </c>
      <c r="J9" s="7" t="n">
        <v>7.05812539438918</v>
      </c>
      <c r="K9" s="4">
        <f>爬塔!W9</f>
        <v/>
      </c>
      <c r="L9" s="4">
        <f>爬塔!T9*IF(爬塔!O9="",1,爬塔!O9)</f>
        <v/>
      </c>
      <c r="M9" s="4">
        <f>K9/I9</f>
        <v/>
      </c>
      <c r="N9" s="4">
        <f>L9*J9</f>
        <v/>
      </c>
      <c r="O9" s="4">
        <f>INDEX(_统一战力!$D$2:$D$280,MATCH(F9,_统一战力!$C$2:$C$280,0))</f>
        <v/>
      </c>
      <c r="P9" s="4">
        <f>IF(AND(INDEX(_玩家曲线!$H$2:$H$280,F9)&gt;=M9,INDEX(_玩家曲线!$I$2:$I$280,F9)&gt;=N9),"通过","超出玩家曲线")</f>
        <v/>
      </c>
      <c r="Q9" s="4" t="n">
        <v>51</v>
      </c>
      <c r="R9" s="4" t="n">
        <v>30</v>
      </c>
    </row>
    <row r="10" ht="25" customHeight="1">
      <c r="A10" s="4" t="n">
        <v>6</v>
      </c>
      <c r="B10" s="4">
        <f>爬塔!J10</f>
        <v/>
      </c>
      <c r="C10" s="4" t="n">
        <v>51500</v>
      </c>
      <c r="D10" s="5">
        <f>IF(P10="通过",ROUND(O10,-MAX(0,INT(LOG10(O10))-推荐战力参数!$B$5+1)),0)</f>
        <v/>
      </c>
      <c r="E10" s="84">
        <f>D10/C10-1</f>
        <v/>
      </c>
      <c r="F10" s="4">
        <f>MAX(G10,H10)</f>
        <v/>
      </c>
      <c r="G10" s="4">
        <f>MIN(ROWS(_玩家曲线!$H$2:$H$280),COUNTIF(_玩家曲线!$H$2:$H$280,"&lt;"&amp;M10)+1)</f>
        <v/>
      </c>
      <c r="H10" s="4">
        <f>MIN(ROWS(_玩家曲线!$I$2:$I$280),COUNTIF(_玩家曲线!$I$2:$I$280,"&lt;"&amp;N10)+1)</f>
        <v/>
      </c>
      <c r="I10" s="7" t="n">
        <v>9.76353117292066</v>
      </c>
      <c r="J10" s="7" t="n">
        <v>6.75347204295174</v>
      </c>
      <c r="K10" s="4">
        <f>爬塔!W10</f>
        <v/>
      </c>
      <c r="L10" s="4">
        <f>爬塔!T10*IF(爬塔!O10="",1,爬塔!O10)</f>
        <v/>
      </c>
      <c r="M10" s="4">
        <f>K10/I10</f>
        <v/>
      </c>
      <c r="N10" s="4">
        <f>L10*J10</f>
        <v/>
      </c>
      <c r="O10" s="4">
        <f>INDEX(_统一战力!$D$2:$D$280,MATCH(F10,_统一战力!$C$2:$C$280,0))</f>
        <v/>
      </c>
      <c r="P10" s="4">
        <f>IF(AND(INDEX(_玩家曲线!$H$2:$H$280,F10)&gt;=M10,INDEX(_玩家曲线!$I$2:$I$280,F10)&gt;=N10),"通过","超出玩家曲线")</f>
        <v/>
      </c>
      <c r="Q10" s="4" t="n">
        <v>54</v>
      </c>
      <c r="R10" s="4" t="n">
        <v>32</v>
      </c>
    </row>
    <row r="11" ht="25" customHeight="1">
      <c r="A11" s="4" t="n">
        <v>7</v>
      </c>
      <c r="B11" s="4">
        <f>爬塔!J11</f>
        <v/>
      </c>
      <c r="C11" s="4" t="n">
        <v>56700</v>
      </c>
      <c r="D11" s="5">
        <f>IF(P11="通过",ROUND(O11,-MAX(0,INT(LOG10(O11))-推荐战力参数!$B$5+1)),0)</f>
        <v/>
      </c>
      <c r="E11" s="84">
        <f>D11/C11-1</f>
        <v/>
      </c>
      <c r="F11" s="4">
        <f>MAX(G11,H11)</f>
        <v/>
      </c>
      <c r="G11" s="4">
        <f>MIN(ROWS(_玩家曲线!$H$2:$H$280),COUNTIF(_玩家曲线!$H$2:$H$280,"&lt;"&amp;M11)+1)</f>
        <v/>
      </c>
      <c r="H11" s="4">
        <f>MIN(ROWS(_玩家曲线!$I$2:$I$280),COUNTIF(_玩家曲线!$I$2:$I$280,"&lt;"&amp;N11)+1)</f>
        <v/>
      </c>
      <c r="I11" s="7" t="n">
        <v>9.97887244411419</v>
      </c>
      <c r="J11" s="7" t="n">
        <v>7.39048566080056</v>
      </c>
      <c r="K11" s="4">
        <f>爬塔!W11</f>
        <v/>
      </c>
      <c r="L11" s="4">
        <f>爬塔!T11*IF(爬塔!O11="",1,爬塔!O11)</f>
        <v/>
      </c>
      <c r="M11" s="4">
        <f>K11/I11</f>
        <v/>
      </c>
      <c r="N11" s="4">
        <f>L11*J11</f>
        <v/>
      </c>
      <c r="O11" s="4">
        <f>INDEX(_统一战力!$D$2:$D$280,MATCH(F11,_统一战力!$C$2:$C$280,0))</f>
        <v/>
      </c>
      <c r="P11" s="4">
        <f>IF(AND(INDEX(_玩家曲线!$H$2:$H$280,F11)&gt;=M11,INDEX(_玩家曲线!$I$2:$I$280,F11)&gt;=N11),"通过","超出玩家曲线")</f>
        <v/>
      </c>
      <c r="Q11" s="4" t="n">
        <v>56</v>
      </c>
      <c r="R11" s="4" t="n">
        <v>34</v>
      </c>
    </row>
    <row r="12" ht="25" customHeight="1">
      <c r="A12" s="4" t="n">
        <v>8</v>
      </c>
      <c r="B12" s="4">
        <f>爬塔!J12</f>
        <v/>
      </c>
      <c r="C12" s="4" t="n">
        <v>62400</v>
      </c>
      <c r="D12" s="5">
        <f>IF(P12="通过",ROUND(O12,-MAX(0,INT(LOG10(O12))-推荐战力参数!$B$5+1)),0)</f>
        <v/>
      </c>
      <c r="E12" s="84">
        <f>D12/C12-1</f>
        <v/>
      </c>
      <c r="F12" s="4">
        <f>MAX(G12,H12)</f>
        <v/>
      </c>
      <c r="G12" s="4">
        <f>MIN(ROWS(_玩家曲线!$H$2:$H$280),COUNTIF(_玩家曲线!$H$2:$H$280,"&lt;"&amp;M12)+1)</f>
        <v/>
      </c>
      <c r="H12" s="4">
        <f>MIN(ROWS(_玩家曲线!$I$2:$I$280),COUNTIF(_玩家曲线!$I$2:$I$280,"&lt;"&amp;N12)+1)</f>
        <v/>
      </c>
      <c r="I12" s="7" t="n">
        <v>11.0521665745845</v>
      </c>
      <c r="J12" s="7" t="n">
        <v>8.2338500789579</v>
      </c>
      <c r="K12" s="4">
        <f>爬塔!W12</f>
        <v/>
      </c>
      <c r="L12" s="4">
        <f>爬塔!T12*IF(爬塔!O12="",1,爬塔!O12)</f>
        <v/>
      </c>
      <c r="M12" s="4">
        <f>K12/I12</f>
        <v/>
      </c>
      <c r="N12" s="4">
        <f>L12*J12</f>
        <v/>
      </c>
      <c r="O12" s="4">
        <f>INDEX(_统一战力!$D$2:$D$280,MATCH(F12,_统一战力!$C$2:$C$280,0))</f>
        <v/>
      </c>
      <c r="P12" s="4">
        <f>IF(AND(INDEX(_玩家曲线!$H$2:$H$280,F12)&gt;=M12,INDEX(_玩家曲线!$I$2:$I$280,F12)&gt;=N12),"通过","超出玩家曲线")</f>
        <v/>
      </c>
      <c r="Q12" s="4" t="n">
        <v>60</v>
      </c>
      <c r="R12" s="4" t="n">
        <v>36</v>
      </c>
    </row>
    <row r="13" ht="25" customHeight="1">
      <c r="A13" s="4" t="n">
        <v>9</v>
      </c>
      <c r="B13" s="4">
        <f>爬塔!J13</f>
        <v/>
      </c>
      <c r="C13" s="4" t="n">
        <v>68300</v>
      </c>
      <c r="D13" s="5">
        <f>IF(P13="通过",ROUND(O13,-MAX(0,INT(LOG10(O13))-推荐战力参数!$B$5+1)),0)</f>
        <v/>
      </c>
      <c r="E13" s="84">
        <f>D13/C13-1</f>
        <v/>
      </c>
      <c r="F13" s="4">
        <f>MAX(G13,H13)</f>
        <v/>
      </c>
      <c r="G13" s="4">
        <f>MIN(ROWS(_玩家曲线!$H$2:$H$280),COUNTIF(_玩家曲线!$H$2:$H$280,"&lt;"&amp;M13)+1)</f>
        <v/>
      </c>
      <c r="H13" s="4">
        <f>MIN(ROWS(_玩家曲线!$I$2:$I$280),COUNTIF(_玩家曲线!$I$2:$I$280,"&lt;"&amp;N13)+1)</f>
        <v/>
      </c>
      <c r="I13" s="7" t="n">
        <v>10.2061736266774</v>
      </c>
      <c r="J13" s="7" t="n">
        <v>7.81313469510556</v>
      </c>
      <c r="K13" s="4">
        <f>爬塔!W13</f>
        <v/>
      </c>
      <c r="L13" s="4">
        <f>爬塔!T13*IF(爬塔!O13="",1,爬塔!O13)</f>
        <v/>
      </c>
      <c r="M13" s="4">
        <f>K13/I13</f>
        <v/>
      </c>
      <c r="N13" s="4">
        <f>L13*J13</f>
        <v/>
      </c>
      <c r="O13" s="4">
        <f>INDEX(_统一战力!$D$2:$D$280,MATCH(F13,_统一战力!$C$2:$C$280,0))</f>
        <v/>
      </c>
      <c r="P13" s="4">
        <f>IF(AND(INDEX(_玩家曲线!$H$2:$H$280,F13)&gt;=M13,INDEX(_玩家曲线!$I$2:$I$280,F13)&gt;=N13),"通过","超出玩家曲线")</f>
        <v/>
      </c>
      <c r="Q13" s="4" t="n">
        <v>63</v>
      </c>
      <c r="R13" s="4" t="n">
        <v>38</v>
      </c>
    </row>
    <row r="14" ht="25" customHeight="1">
      <c r="A14" s="4" t="n">
        <v>10</v>
      </c>
      <c r="B14" s="4">
        <f>爬塔!J14</f>
        <v/>
      </c>
      <c r="C14" s="4" t="n">
        <v>74500</v>
      </c>
      <c r="D14" s="5">
        <f>IF(P14="通过",ROUND(O14,-MAX(0,INT(LOG10(O14))-推荐战力参数!$B$5+1)),0)</f>
        <v/>
      </c>
      <c r="E14" s="84">
        <f>D14/C14-1</f>
        <v/>
      </c>
      <c r="F14" s="4">
        <f>MAX(G14,H14)</f>
        <v/>
      </c>
      <c r="G14" s="4">
        <f>MIN(ROWS(_玩家曲线!$H$2:$H$280),COUNTIF(_玩家曲线!$H$2:$H$280,"&lt;"&amp;M14)+1)</f>
        <v/>
      </c>
      <c r="H14" s="4">
        <f>MIN(ROWS(_玩家曲线!$I$2:$I$280),COUNTIF(_玩家曲线!$I$2:$I$280,"&lt;"&amp;N14)+1)</f>
        <v/>
      </c>
      <c r="I14" s="7" t="n">
        <v>9.31390848009875</v>
      </c>
      <c r="J14" s="7" t="n">
        <v>7.68829468986938</v>
      </c>
      <c r="K14" s="4">
        <f>爬塔!W14</f>
        <v/>
      </c>
      <c r="L14" s="4">
        <f>爬塔!T14*IF(爬塔!O14="",1,爬塔!O14)</f>
        <v/>
      </c>
      <c r="M14" s="4">
        <f>K14/I14</f>
        <v/>
      </c>
      <c r="N14" s="4">
        <f>L14*J14</f>
        <v/>
      </c>
      <c r="O14" s="4">
        <f>INDEX(_统一战力!$D$2:$D$280,MATCH(F14,_统一战力!$C$2:$C$280,0))</f>
        <v/>
      </c>
      <c r="P14" s="4">
        <f>IF(AND(INDEX(_玩家曲线!$H$2:$H$280,F14)&gt;=M14,INDEX(_玩家曲线!$I$2:$I$280,F14)&gt;=N14),"通过","超出玩家曲线")</f>
        <v/>
      </c>
      <c r="Q14" s="4" t="n">
        <v>66</v>
      </c>
      <c r="R14" s="4" t="n">
        <v>40</v>
      </c>
    </row>
    <row r="15" ht="25" customHeight="1">
      <c r="A15" s="4" t="n">
        <v>11</v>
      </c>
      <c r="B15" s="4">
        <f>爬塔!J15</f>
        <v/>
      </c>
      <c r="C15" s="4" t="n">
        <v>82700</v>
      </c>
      <c r="D15" s="5">
        <f>IF(P15="通过",ROUND(O15,-MAX(0,INT(LOG10(O15))-推荐战力参数!$B$5+1)),0)</f>
        <v/>
      </c>
      <c r="E15" s="84">
        <f>D15/C15-1</f>
        <v/>
      </c>
      <c r="F15" s="4">
        <f>MAX(G15,H15)</f>
        <v/>
      </c>
      <c r="G15" s="4">
        <f>MIN(ROWS(_玩家曲线!$H$2:$H$280),COUNTIF(_玩家曲线!$H$2:$H$280,"&lt;"&amp;M15)+1)</f>
        <v/>
      </c>
      <c r="H15" s="4">
        <f>MIN(ROWS(_玩家曲线!$I$2:$I$280),COUNTIF(_玩家曲线!$I$2:$I$280,"&lt;"&amp;N15)+1)</f>
        <v/>
      </c>
      <c r="I15" s="7" t="n">
        <v>9.32988815066755</v>
      </c>
      <c r="J15" s="7" t="n">
        <v>7.90921404229295</v>
      </c>
      <c r="K15" s="4">
        <f>爬塔!W15</f>
        <v/>
      </c>
      <c r="L15" s="4">
        <f>爬塔!T15*IF(爬塔!O15="",1,爬塔!O15)</f>
        <v/>
      </c>
      <c r="M15" s="4">
        <f>K15/I15</f>
        <v/>
      </c>
      <c r="N15" s="4">
        <f>L15*J15</f>
        <v/>
      </c>
      <c r="O15" s="4">
        <f>INDEX(_统一战力!$D$2:$D$280,MATCH(F15,_统一战力!$C$2:$C$280,0))</f>
        <v/>
      </c>
      <c r="P15" s="4">
        <f>IF(AND(INDEX(_玩家曲线!$H$2:$H$280,F15)&gt;=M15,INDEX(_玩家曲线!$I$2:$I$280,F15)&gt;=N15),"通过","超出玩家曲线")</f>
        <v/>
      </c>
      <c r="Q15" s="4" t="n">
        <v>70</v>
      </c>
      <c r="R15" s="4" t="n">
        <v>42</v>
      </c>
    </row>
    <row r="16" ht="25" customHeight="1">
      <c r="A16" s="4" t="n">
        <v>12</v>
      </c>
      <c r="B16" s="4">
        <f>爬塔!J16</f>
        <v/>
      </c>
      <c r="C16" s="4" t="n">
        <v>91400</v>
      </c>
      <c r="D16" s="5">
        <f>IF(P16="通过",ROUND(O16,-MAX(0,INT(LOG10(O16))-推荐战力参数!$B$5+1)),0)</f>
        <v/>
      </c>
      <c r="E16" s="84">
        <f>D16/C16-1</f>
        <v/>
      </c>
      <c r="F16" s="4">
        <f>MAX(G16,H16)</f>
        <v/>
      </c>
      <c r="G16" s="4">
        <f>MIN(ROWS(_玩家曲线!$H$2:$H$280),COUNTIF(_玩家曲线!$H$2:$H$280,"&lt;"&amp;M16)+1)</f>
        <v/>
      </c>
      <c r="H16" s="4">
        <f>MIN(ROWS(_玩家曲线!$I$2:$I$280),COUNTIF(_玩家曲线!$I$2:$I$280,"&lt;"&amp;N16)+1)</f>
        <v/>
      </c>
      <c r="I16" s="7" t="n">
        <v>10.7465543406297</v>
      </c>
      <c r="J16" s="7" t="n">
        <v>8.29855223914776</v>
      </c>
      <c r="K16" s="4">
        <f>爬塔!W16</f>
        <v/>
      </c>
      <c r="L16" s="4">
        <f>爬塔!T16*IF(爬塔!O16="",1,爬塔!O16)</f>
        <v/>
      </c>
      <c r="M16" s="4">
        <f>K16/I16</f>
        <v/>
      </c>
      <c r="N16" s="4">
        <f>L16*J16</f>
        <v/>
      </c>
      <c r="O16" s="4">
        <f>INDEX(_统一战力!$D$2:$D$280,MATCH(F16,_统一战力!$C$2:$C$280,0))</f>
        <v/>
      </c>
      <c r="P16" s="4">
        <f>IF(AND(INDEX(_玩家曲线!$H$2:$H$280,F16)&gt;=M16,INDEX(_玩家曲线!$I$2:$I$280,F16)&gt;=N16),"通过","超出玩家曲线")</f>
        <v/>
      </c>
      <c r="Q16" s="4" t="n">
        <v>75</v>
      </c>
      <c r="R16" s="4" t="n">
        <v>44</v>
      </c>
    </row>
    <row r="17" ht="25" customHeight="1">
      <c r="A17" s="4" t="n">
        <v>13</v>
      </c>
      <c r="B17" s="4">
        <f>爬塔!J17</f>
        <v/>
      </c>
      <c r="C17" s="4" t="n">
        <v>105000</v>
      </c>
      <c r="D17" s="5">
        <f>IF(P17="通过",ROUND(O17,-MAX(0,INT(LOG10(O17))-推荐战力参数!$B$5+1)),0)</f>
        <v/>
      </c>
      <c r="E17" s="84">
        <f>D17/C17-1</f>
        <v/>
      </c>
      <c r="F17" s="4">
        <f>MAX(G17,H17)</f>
        <v/>
      </c>
      <c r="G17" s="4">
        <f>MIN(ROWS(_玩家曲线!$H$2:$H$280),COUNTIF(_玩家曲线!$H$2:$H$280,"&lt;"&amp;M17)+1)</f>
        <v/>
      </c>
      <c r="H17" s="4">
        <f>MIN(ROWS(_玩家曲线!$I$2:$I$280),COUNTIF(_玩家曲线!$I$2:$I$280,"&lt;"&amp;N17)+1)</f>
        <v/>
      </c>
      <c r="I17" s="7" t="n">
        <v>8.833326149872841</v>
      </c>
      <c r="J17" s="7" t="n">
        <v>8.129323619689909</v>
      </c>
      <c r="K17" s="4">
        <f>爬塔!W17</f>
        <v/>
      </c>
      <c r="L17" s="4">
        <f>爬塔!T17*IF(爬塔!O17="",1,爬塔!O17)</f>
        <v/>
      </c>
      <c r="M17" s="4">
        <f>K17/I17</f>
        <v/>
      </c>
      <c r="N17" s="4">
        <f>L17*J17</f>
        <v/>
      </c>
      <c r="O17" s="4">
        <f>INDEX(_统一战力!$D$2:$D$280,MATCH(F17,_统一战力!$C$2:$C$280,0))</f>
        <v/>
      </c>
      <c r="P17" s="4">
        <f>IF(AND(INDEX(_玩家曲线!$H$2:$H$280,F17)&gt;=M17,INDEX(_玩家曲线!$I$2:$I$280,F17)&gt;=N17),"通过","超出玩家曲线")</f>
        <v/>
      </c>
      <c r="Q17" s="4" t="n">
        <v>80</v>
      </c>
      <c r="R17" s="4" t="n">
        <v>47</v>
      </c>
    </row>
    <row r="18" ht="25" customHeight="1">
      <c r="A18" s="4" t="n">
        <v>14</v>
      </c>
      <c r="B18" s="4">
        <f>爬塔!J18</f>
        <v/>
      </c>
      <c r="C18" s="4" t="n">
        <v>115000</v>
      </c>
      <c r="D18" s="5">
        <f>IF(P18="通过",ROUND(O18,-MAX(0,INT(LOG10(O18))-推荐战力参数!$B$5+1)),0)</f>
        <v/>
      </c>
      <c r="E18" s="84">
        <f>D18/C18-1</f>
        <v/>
      </c>
      <c r="F18" s="4">
        <f>MAX(G18,H18)</f>
        <v/>
      </c>
      <c r="G18" s="4">
        <f>MIN(ROWS(_玩家曲线!$H$2:$H$280),COUNTIF(_玩家曲线!$H$2:$H$280,"&lt;"&amp;M18)+1)</f>
        <v/>
      </c>
      <c r="H18" s="4">
        <f>MIN(ROWS(_玩家曲线!$I$2:$I$280),COUNTIF(_玩家曲线!$I$2:$I$280,"&lt;"&amp;N18)+1)</f>
        <v/>
      </c>
      <c r="I18" s="7" t="n">
        <v>11.2881875033337</v>
      </c>
      <c r="J18" s="7" t="n">
        <v>9.195899356946461</v>
      </c>
      <c r="K18" s="4">
        <f>爬塔!W18</f>
        <v/>
      </c>
      <c r="L18" s="4">
        <f>爬塔!T18*IF(爬塔!O18="",1,爬塔!O18)</f>
        <v/>
      </c>
      <c r="M18" s="4">
        <f>K18/I18</f>
        <v/>
      </c>
      <c r="N18" s="4">
        <f>L18*J18</f>
        <v/>
      </c>
      <c r="O18" s="4">
        <f>INDEX(_统一战力!$D$2:$D$280,MATCH(F18,_统一战力!$C$2:$C$280,0))</f>
        <v/>
      </c>
      <c r="P18" s="4">
        <f>IF(AND(INDEX(_玩家曲线!$H$2:$H$280,F18)&gt;=M18,INDEX(_玩家曲线!$I$2:$I$280,F18)&gt;=N18),"通过","超出玩家曲线")</f>
        <v/>
      </c>
      <c r="Q18" s="4" t="n">
        <v>85</v>
      </c>
      <c r="R18" s="4" t="n">
        <v>49</v>
      </c>
    </row>
    <row r="19" ht="25" customHeight="1">
      <c r="A19" s="4" t="n">
        <v>15</v>
      </c>
      <c r="B19" s="4">
        <f>爬塔!J19</f>
        <v/>
      </c>
      <c r="C19" s="4" t="n">
        <v>125000</v>
      </c>
      <c r="D19" s="5">
        <f>IF(P19="通过",ROUND(O19,-MAX(0,INT(LOG10(O19))-推荐战力参数!$B$5+1)),0)</f>
        <v/>
      </c>
      <c r="E19" s="84">
        <f>D19/C19-1</f>
        <v/>
      </c>
      <c r="F19" s="4">
        <f>MAX(G19,H19)</f>
        <v/>
      </c>
      <c r="G19" s="4">
        <f>MIN(ROWS(_玩家曲线!$H$2:$H$280),COUNTIF(_玩家曲线!$H$2:$H$280,"&lt;"&amp;M19)+1)</f>
        <v/>
      </c>
      <c r="H19" s="4">
        <f>MIN(ROWS(_玩家曲线!$I$2:$I$280),COUNTIF(_玩家曲线!$I$2:$I$280,"&lt;"&amp;N19)+1)</f>
        <v/>
      </c>
      <c r="I19" s="7" t="n">
        <v>11.1656674615391</v>
      </c>
      <c r="J19" s="7" t="n">
        <v>8.862450082941439</v>
      </c>
      <c r="K19" s="4">
        <f>爬塔!W19</f>
        <v/>
      </c>
      <c r="L19" s="4">
        <f>爬塔!T19*IF(爬塔!O19="",1,爬塔!O19)</f>
        <v/>
      </c>
      <c r="M19" s="4">
        <f>K19/I19</f>
        <v/>
      </c>
      <c r="N19" s="4">
        <f>L19*J19</f>
        <v/>
      </c>
      <c r="O19" s="4">
        <f>INDEX(_统一战力!$D$2:$D$280,MATCH(F19,_统一战力!$C$2:$C$280,0))</f>
        <v/>
      </c>
      <c r="P19" s="4">
        <f>IF(AND(INDEX(_玩家曲线!$H$2:$H$280,F19)&gt;=M19,INDEX(_玩家曲线!$I$2:$I$280,F19)&gt;=N19),"通过","超出玩家曲线")</f>
        <v/>
      </c>
      <c r="Q19" s="4" t="n">
        <v>90</v>
      </c>
      <c r="R19" s="4" t="n">
        <v>51</v>
      </c>
    </row>
    <row r="20" ht="25" customHeight="1">
      <c r="A20" s="4" t="n">
        <v>16</v>
      </c>
      <c r="B20" s="4">
        <f>爬塔!J20</f>
        <v/>
      </c>
      <c r="C20" s="4" t="n">
        <v>136000</v>
      </c>
      <c r="D20" s="5">
        <f>IF(P20="通过",ROUND(O20,-MAX(0,INT(LOG10(O20))-推荐战力参数!$B$5+1)),0)</f>
        <v/>
      </c>
      <c r="E20" s="84">
        <f>D20/C20-1</f>
        <v/>
      </c>
      <c r="F20" s="4">
        <f>MAX(G20,H20)</f>
        <v/>
      </c>
      <c r="G20" s="4">
        <f>MIN(ROWS(_玩家曲线!$H$2:$H$280),COUNTIF(_玩家曲线!$H$2:$H$280,"&lt;"&amp;M20)+1)</f>
        <v/>
      </c>
      <c r="H20" s="4">
        <f>MIN(ROWS(_玩家曲线!$I$2:$I$280),COUNTIF(_玩家曲线!$I$2:$I$280,"&lt;"&amp;N20)+1)</f>
        <v/>
      </c>
      <c r="I20" s="7" t="n">
        <v>12.5594166659718</v>
      </c>
      <c r="J20" s="7" t="n">
        <v>8.76301372396944</v>
      </c>
      <c r="K20" s="4">
        <f>爬塔!W20</f>
        <v/>
      </c>
      <c r="L20" s="4">
        <f>爬塔!T20*IF(爬塔!O20="",1,爬塔!O20)</f>
        <v/>
      </c>
      <c r="M20" s="4">
        <f>K20/I20</f>
        <v/>
      </c>
      <c r="N20" s="4">
        <f>L20*J20</f>
        <v/>
      </c>
      <c r="O20" s="4">
        <f>INDEX(_统一战力!$D$2:$D$280,MATCH(F20,_统一战力!$C$2:$C$280,0))</f>
        <v/>
      </c>
      <c r="P20" s="4">
        <f>IF(AND(INDEX(_玩家曲线!$H$2:$H$280,F20)&gt;=M20,INDEX(_玩家曲线!$I$2:$I$280,F20)&gt;=N20),"通过","超出玩家曲线")</f>
        <v/>
      </c>
      <c r="Q20" s="4" t="n">
        <v>96</v>
      </c>
      <c r="R20" s="4" t="n">
        <v>53</v>
      </c>
    </row>
    <row r="21" ht="25" customHeight="1">
      <c r="A21" s="4" t="n">
        <v>17</v>
      </c>
      <c r="B21" s="4">
        <f>爬塔!J21</f>
        <v/>
      </c>
      <c r="C21" s="4" t="n">
        <v>147000</v>
      </c>
      <c r="D21" s="5">
        <f>IF(P21="通过",ROUND(O21,-MAX(0,INT(LOG10(O21))-推荐战力参数!$B$5+1)),0)</f>
        <v/>
      </c>
      <c r="E21" s="84">
        <f>D21/C21-1</f>
        <v/>
      </c>
      <c r="F21" s="4">
        <f>MAX(G21,H21)</f>
        <v/>
      </c>
      <c r="G21" s="4">
        <f>MIN(ROWS(_玩家曲线!$H$2:$H$280),COUNTIF(_玩家曲线!$H$2:$H$280,"&lt;"&amp;M21)+1)</f>
        <v/>
      </c>
      <c r="H21" s="4">
        <f>MIN(ROWS(_玩家曲线!$I$2:$I$280),COUNTIF(_玩家曲线!$I$2:$I$280,"&lt;"&amp;N21)+1)</f>
        <v/>
      </c>
      <c r="I21" s="7" t="n">
        <v>13.1176924700102</v>
      </c>
      <c r="J21" s="7" t="n">
        <v>8.74032966921796</v>
      </c>
      <c r="K21" s="4">
        <f>爬塔!W21</f>
        <v/>
      </c>
      <c r="L21" s="4">
        <f>爬塔!T21*IF(爬塔!O21="",1,爬塔!O21)</f>
        <v/>
      </c>
      <c r="M21" s="4">
        <f>K21/I21</f>
        <v/>
      </c>
      <c r="N21" s="4">
        <f>L21*J21</f>
        <v/>
      </c>
      <c r="O21" s="4">
        <f>INDEX(_统一战力!$D$2:$D$280,MATCH(F21,_统一战力!$C$2:$C$280,0))</f>
        <v/>
      </c>
      <c r="P21" s="4">
        <f>IF(AND(INDEX(_玩家曲线!$H$2:$H$280,F21)&gt;=M21,INDEX(_玩家曲线!$I$2:$I$280,F21)&gt;=N21),"通过","超出玩家曲线")</f>
        <v/>
      </c>
      <c r="Q21" s="4" t="n">
        <v>102</v>
      </c>
      <c r="R21" s="4" t="n">
        <v>55</v>
      </c>
    </row>
    <row r="22" ht="25" customHeight="1">
      <c r="A22" s="4" t="n">
        <v>18</v>
      </c>
      <c r="B22" s="4">
        <f>爬塔!J22</f>
        <v/>
      </c>
      <c r="C22" s="4" t="n">
        <v>161000</v>
      </c>
      <c r="D22" s="5">
        <f>IF(P22="通过",ROUND(O22,-MAX(0,INT(LOG10(O22))-推荐战力参数!$B$5+1)),0)</f>
        <v/>
      </c>
      <c r="E22" s="84">
        <f>D22/C22-1</f>
        <v/>
      </c>
      <c r="F22" s="4">
        <f>MAX(G22,H22)</f>
        <v/>
      </c>
      <c r="G22" s="4">
        <f>MIN(ROWS(_玩家曲线!$H$2:$H$280),COUNTIF(_玩家曲线!$H$2:$H$280,"&lt;"&amp;M22)+1)</f>
        <v/>
      </c>
      <c r="H22" s="4">
        <f>MIN(ROWS(_玩家曲线!$I$2:$I$280),COUNTIF(_玩家曲线!$I$2:$I$280,"&lt;"&amp;N22)+1)</f>
        <v/>
      </c>
      <c r="I22" s="7" t="n">
        <v>11.7061367130464</v>
      </c>
      <c r="J22" s="7" t="n">
        <v>8.962682172098649</v>
      </c>
      <c r="K22" s="4">
        <f>爬塔!W22</f>
        <v/>
      </c>
      <c r="L22" s="4">
        <f>爬塔!T22*IF(爬塔!O22="",1,爬塔!O22)</f>
        <v/>
      </c>
      <c r="M22" s="4">
        <f>K22/I22</f>
        <v/>
      </c>
      <c r="N22" s="4">
        <f>L22*J22</f>
        <v/>
      </c>
      <c r="O22" s="4">
        <f>INDEX(_统一战力!$D$2:$D$280,MATCH(F22,_统一战力!$C$2:$C$280,0))</f>
        <v/>
      </c>
      <c r="P22" s="4">
        <f>IF(AND(INDEX(_玩家曲线!$H$2:$H$280,F22)&gt;=M22,INDEX(_玩家曲线!$I$2:$I$280,F22)&gt;=N22),"通过","超出玩家曲线")</f>
        <v/>
      </c>
      <c r="Q22" s="4" t="n">
        <v>106</v>
      </c>
      <c r="R22" s="4" t="n">
        <v>58</v>
      </c>
    </row>
    <row r="23" ht="25" customHeight="1">
      <c r="A23" s="4" t="n">
        <v>19</v>
      </c>
      <c r="B23" s="4">
        <f>爬塔!J23</f>
        <v/>
      </c>
      <c r="C23" s="4" t="n">
        <v>170000</v>
      </c>
      <c r="D23" s="5">
        <f>IF(P23="通过",ROUND(O23,-MAX(0,INT(LOG10(O23))-推荐战力参数!$B$5+1)),0)</f>
        <v/>
      </c>
      <c r="E23" s="84">
        <f>D23/C23-1</f>
        <v/>
      </c>
      <c r="F23" s="4">
        <f>MAX(G23,H23)</f>
        <v/>
      </c>
      <c r="G23" s="4">
        <f>MIN(ROWS(_玩家曲线!$H$2:$H$280),COUNTIF(_玩家曲线!$H$2:$H$280,"&lt;"&amp;M23)+1)</f>
        <v/>
      </c>
      <c r="H23" s="4">
        <f>MIN(ROWS(_玩家曲线!$I$2:$I$280),COUNTIF(_玩家曲线!$I$2:$I$280,"&lt;"&amp;N23)+1)</f>
        <v/>
      </c>
      <c r="I23" s="7" t="n">
        <v>13.7833561236789</v>
      </c>
      <c r="J23" s="7" t="n">
        <v>9.23549323098009</v>
      </c>
      <c r="K23" s="4">
        <f>爬塔!W23</f>
        <v/>
      </c>
      <c r="L23" s="4">
        <f>爬塔!T23*IF(爬塔!O23="",1,爬塔!O23)</f>
        <v/>
      </c>
      <c r="M23" s="4">
        <f>K23/I23</f>
        <v/>
      </c>
      <c r="N23" s="4">
        <f>L23*J23</f>
        <v/>
      </c>
      <c r="O23" s="4">
        <f>INDEX(_统一战力!$D$2:$D$280,MATCH(F23,_统一战力!$C$2:$C$280,0))</f>
        <v/>
      </c>
      <c r="P23" s="4">
        <f>IF(AND(INDEX(_玩家曲线!$H$2:$H$280,F23)&gt;=M23,INDEX(_玩家曲线!$I$2:$I$280,F23)&gt;=N23),"通过","超出玩家曲线")</f>
        <v/>
      </c>
      <c r="Q23" s="4" t="n">
        <v>112</v>
      </c>
      <c r="R23" s="4" t="n">
        <v>60</v>
      </c>
    </row>
    <row r="24" ht="25" customHeight="1">
      <c r="A24" s="4" t="n">
        <v>20</v>
      </c>
      <c r="B24" s="4">
        <f>爬塔!J24</f>
        <v/>
      </c>
      <c r="C24" s="4" t="n">
        <v>180000</v>
      </c>
      <c r="D24" s="5">
        <f>IF(P24="通过",ROUND(O24,-MAX(0,INT(LOG10(O24))-推荐战力参数!$B$5+1)),0)</f>
        <v/>
      </c>
      <c r="E24" s="84">
        <f>D24/C24-1</f>
        <v/>
      </c>
      <c r="F24" s="4">
        <f>MAX(G24,H24)</f>
        <v/>
      </c>
      <c r="G24" s="4">
        <f>MIN(ROWS(_玩家曲线!$H$2:$H$280),COUNTIF(_玩家曲线!$H$2:$H$280,"&lt;"&amp;M24)+1)</f>
        <v/>
      </c>
      <c r="H24" s="4">
        <f>MIN(ROWS(_玩家曲线!$I$2:$I$280),COUNTIF(_玩家曲线!$I$2:$I$280,"&lt;"&amp;N24)+1)</f>
        <v/>
      </c>
      <c r="I24" s="7" t="n">
        <v>12.1046699241379</v>
      </c>
      <c r="J24" s="7" t="n">
        <v>8.49973304346376</v>
      </c>
      <c r="K24" s="4">
        <f>爬塔!W24</f>
        <v/>
      </c>
      <c r="L24" s="4">
        <f>爬塔!T24*IF(爬塔!O24="",1,爬塔!O24)</f>
        <v/>
      </c>
      <c r="M24" s="4">
        <f>K24/I24</f>
        <v/>
      </c>
      <c r="N24" s="4">
        <f>L24*J24</f>
        <v/>
      </c>
      <c r="O24" s="4">
        <f>INDEX(_统一战力!$D$2:$D$280,MATCH(F24,_统一战力!$C$2:$C$280,0))</f>
        <v/>
      </c>
      <c r="P24" s="4">
        <f>IF(AND(INDEX(_玩家曲线!$H$2:$H$280,F24)&gt;=M24,INDEX(_玩家曲线!$I$2:$I$280,F24)&gt;=N24),"通过","超出玩家曲线")</f>
        <v/>
      </c>
      <c r="Q24" s="4" t="n">
        <v>117</v>
      </c>
      <c r="R24" s="4" t="n">
        <v>62</v>
      </c>
    </row>
    <row r="25" ht="25" customHeight="1">
      <c r="A25" s="4" t="n">
        <v>21</v>
      </c>
      <c r="B25" s="4">
        <f>爬塔!J25</f>
        <v/>
      </c>
      <c r="C25" s="4" t="n">
        <v>197000</v>
      </c>
      <c r="D25" s="5">
        <f>IF(P25="通过",ROUND(O25,-MAX(0,INT(LOG10(O25))-推荐战力参数!$B$5+1)),0)</f>
        <v/>
      </c>
      <c r="E25" s="84">
        <f>D25/C25-1</f>
        <v/>
      </c>
      <c r="F25" s="4">
        <f>MAX(G25,H25)</f>
        <v/>
      </c>
      <c r="G25" s="4">
        <f>MIN(ROWS(_玩家曲线!$H$2:$H$280),COUNTIF(_玩家曲线!$H$2:$H$280,"&lt;"&amp;M25)+1)</f>
        <v/>
      </c>
      <c r="H25" s="4">
        <f>MIN(ROWS(_玩家曲线!$I$2:$I$280),COUNTIF(_玩家曲线!$I$2:$I$280,"&lt;"&amp;N25)+1)</f>
        <v/>
      </c>
      <c r="I25" s="7" t="n">
        <v>14.6794150850065</v>
      </c>
      <c r="J25" s="7" t="n">
        <v>9.05466564783957</v>
      </c>
      <c r="K25" s="4">
        <f>爬塔!W25</f>
        <v/>
      </c>
      <c r="L25" s="4">
        <f>爬塔!T25*IF(爬塔!O25="",1,爬塔!O25)</f>
        <v/>
      </c>
      <c r="M25" s="4">
        <f>K25/I25</f>
        <v/>
      </c>
      <c r="N25" s="4">
        <f>L25*J25</f>
        <v/>
      </c>
      <c r="O25" s="4">
        <f>INDEX(_统一战力!$D$2:$D$280,MATCH(F25,_统一战力!$C$2:$C$280,0))</f>
        <v/>
      </c>
      <c r="P25" s="4">
        <f>IF(AND(INDEX(_玩家曲线!$H$2:$H$280,F25)&gt;=M25,INDEX(_玩家曲线!$I$2:$I$280,F25)&gt;=N25),"通过","超出玩家曲线")</f>
        <v/>
      </c>
      <c r="Q25" s="4" t="n">
        <v>122</v>
      </c>
      <c r="R25" s="4" t="n">
        <v>65</v>
      </c>
    </row>
    <row r="26" ht="25" customHeight="1">
      <c r="A26" s="4" t="n">
        <v>22</v>
      </c>
      <c r="B26" s="4">
        <f>爬塔!J26</f>
        <v/>
      </c>
      <c r="C26" s="4" t="n">
        <v>211000</v>
      </c>
      <c r="D26" s="5">
        <f>IF(P26="通过",ROUND(O26,-MAX(0,INT(LOG10(O26))-推荐战力参数!$B$5+1)),0)</f>
        <v/>
      </c>
      <c r="E26" s="84">
        <f>D26/C26-1</f>
        <v/>
      </c>
      <c r="F26" s="4">
        <f>MAX(G26,H26)</f>
        <v/>
      </c>
      <c r="G26" s="4">
        <f>MIN(ROWS(_玩家曲线!$H$2:$H$280),COUNTIF(_玩家曲线!$H$2:$H$280,"&lt;"&amp;M26)+1)</f>
        <v/>
      </c>
      <c r="H26" s="4">
        <f>MIN(ROWS(_玩家曲线!$I$2:$I$280),COUNTIF(_玩家曲线!$I$2:$I$280,"&lt;"&amp;N26)+1)</f>
        <v/>
      </c>
      <c r="I26" s="7" t="n">
        <v>14.1292339549844</v>
      </c>
      <c r="J26" s="7" t="n">
        <v>8.9075122025921</v>
      </c>
      <c r="K26" s="4">
        <f>爬塔!W26</f>
        <v/>
      </c>
      <c r="L26" s="4">
        <f>爬塔!T26*IF(爬塔!O26="",1,爬塔!O26)</f>
        <v/>
      </c>
      <c r="M26" s="4">
        <f>K26/I26</f>
        <v/>
      </c>
      <c r="N26" s="4">
        <f>L26*J26</f>
        <v/>
      </c>
      <c r="O26" s="4">
        <f>INDEX(_统一战力!$D$2:$D$280,MATCH(F26,_统一战力!$C$2:$C$280,0))</f>
        <v/>
      </c>
      <c r="P26" s="4">
        <f>IF(AND(INDEX(_玩家曲线!$H$2:$H$280,F26)&gt;=M26,INDEX(_玩家曲线!$I$2:$I$280,F26)&gt;=N26),"通过","超出玩家曲线")</f>
        <v/>
      </c>
      <c r="Q26" s="4" t="n">
        <v>126</v>
      </c>
      <c r="R26" s="4" t="n">
        <v>67</v>
      </c>
    </row>
    <row r="27" ht="25" customHeight="1">
      <c r="A27" s="4" t="n">
        <v>23</v>
      </c>
      <c r="B27" s="4">
        <f>爬塔!J27</f>
        <v/>
      </c>
      <c r="C27" s="4" t="n">
        <v>225000</v>
      </c>
      <c r="D27" s="5">
        <f>IF(P27="通过",ROUND(O27,-MAX(0,INT(LOG10(O27))-推荐战力参数!$B$5+1)),0)</f>
        <v/>
      </c>
      <c r="E27" s="84">
        <f>D27/C27-1</f>
        <v/>
      </c>
      <c r="F27" s="4">
        <f>MAX(G27,H27)</f>
        <v/>
      </c>
      <c r="G27" s="4">
        <f>MIN(ROWS(_玩家曲线!$H$2:$H$280),COUNTIF(_玩家曲线!$H$2:$H$280,"&lt;"&amp;M27)+1)</f>
        <v/>
      </c>
      <c r="H27" s="4">
        <f>MIN(ROWS(_玩家曲线!$I$2:$I$280),COUNTIF(_玩家曲线!$I$2:$I$280,"&lt;"&amp;N27)+1)</f>
        <v/>
      </c>
      <c r="I27" s="7" t="n">
        <v>15.5197120113035</v>
      </c>
      <c r="J27" s="7" t="n">
        <v>9.91095885646733</v>
      </c>
      <c r="K27" s="4">
        <f>爬塔!W27</f>
        <v/>
      </c>
      <c r="L27" s="4">
        <f>爬塔!T27*IF(爬塔!O27="",1,爬塔!O27)</f>
        <v/>
      </c>
      <c r="M27" s="4">
        <f>K27/I27</f>
        <v/>
      </c>
      <c r="N27" s="4">
        <f>L27*J27</f>
        <v/>
      </c>
      <c r="O27" s="4">
        <f>INDEX(_统一战力!$D$2:$D$280,MATCH(F27,_统一战力!$C$2:$C$280,0))</f>
        <v/>
      </c>
      <c r="P27" s="4">
        <f>IF(AND(INDEX(_玩家曲线!$H$2:$H$280,F27)&gt;=M27,INDEX(_玩家曲线!$I$2:$I$280,F27)&gt;=N27),"通过","超出玩家曲线")</f>
        <v/>
      </c>
      <c r="Q27" s="4" t="n">
        <v>130</v>
      </c>
      <c r="R27" s="4" t="n">
        <v>69</v>
      </c>
    </row>
    <row r="28" ht="25" customHeight="1">
      <c r="A28" s="4" t="n">
        <v>24</v>
      </c>
      <c r="B28" s="4">
        <f>爬塔!J28</f>
        <v/>
      </c>
      <c r="C28" s="4" t="n">
        <v>243000</v>
      </c>
      <c r="D28" s="5">
        <f>IF(P28="通过",ROUND(O28,-MAX(0,INT(LOG10(O28))-推荐战力参数!$B$5+1)),0)</f>
        <v/>
      </c>
      <c r="E28" s="84">
        <f>D28/C28-1</f>
        <v/>
      </c>
      <c r="F28" s="4">
        <f>MAX(G28,H28)</f>
        <v/>
      </c>
      <c r="G28" s="4">
        <f>MIN(ROWS(_玩家曲线!$H$2:$H$280),COUNTIF(_玩家曲线!$H$2:$H$280,"&lt;"&amp;M28)+1)</f>
        <v/>
      </c>
      <c r="H28" s="4">
        <f>MIN(ROWS(_玩家曲线!$I$2:$I$280),COUNTIF(_玩家曲线!$I$2:$I$280,"&lt;"&amp;N28)+1)</f>
        <v/>
      </c>
      <c r="I28" s="7" t="n">
        <v>15.4856145395847</v>
      </c>
      <c r="J28" s="7" t="n">
        <v>10.6637377914468</v>
      </c>
      <c r="K28" s="4">
        <f>爬塔!W28</f>
        <v/>
      </c>
      <c r="L28" s="4">
        <f>爬塔!T28*IF(爬塔!O28="",1,爬塔!O28)</f>
        <v/>
      </c>
      <c r="M28" s="4">
        <f>K28/I28</f>
        <v/>
      </c>
      <c r="N28" s="4">
        <f>L28*J28</f>
        <v/>
      </c>
      <c r="O28" s="4">
        <f>INDEX(_统一战力!$D$2:$D$280,MATCH(F28,_统一战力!$C$2:$C$280,0))</f>
        <v/>
      </c>
      <c r="P28" s="4">
        <f>IF(AND(INDEX(_玩家曲线!$H$2:$H$280,F28)&gt;=M28,INDEX(_玩家曲线!$I$2:$I$280,F28)&gt;=N28),"通过","超出玩家曲线")</f>
        <v/>
      </c>
      <c r="Q28" s="4" t="n">
        <v>134</v>
      </c>
      <c r="R28" s="4" t="n">
        <v>72</v>
      </c>
    </row>
    <row r="29" ht="25" customHeight="1">
      <c r="A29" s="4" t="n">
        <v>25</v>
      </c>
      <c r="B29" s="4">
        <f>爬塔!J29</f>
        <v/>
      </c>
      <c r="C29" s="4" t="n">
        <v>255000</v>
      </c>
      <c r="D29" s="5">
        <f>IF(P29="通过",ROUND(O29,-MAX(0,INT(LOG10(O29))-推荐战力参数!$B$5+1)),0)</f>
        <v/>
      </c>
      <c r="E29" s="84">
        <f>D29/C29-1</f>
        <v/>
      </c>
      <c r="F29" s="4">
        <f>MAX(G29,H29)</f>
        <v/>
      </c>
      <c r="G29" s="4">
        <f>MIN(ROWS(_玩家曲线!$H$2:$H$280),COUNTIF(_玩家曲线!$H$2:$H$280,"&lt;"&amp;M29)+1)</f>
        <v/>
      </c>
      <c r="H29" s="4">
        <f>MIN(ROWS(_玩家曲线!$I$2:$I$280),COUNTIF(_玩家曲线!$I$2:$I$280,"&lt;"&amp;N29)+1)</f>
        <v/>
      </c>
      <c r="I29" s="7" t="n">
        <v>14.8636989012013</v>
      </c>
      <c r="J29" s="7" t="n">
        <v>10.4211582611178</v>
      </c>
      <c r="K29" s="4">
        <f>爬塔!W29</f>
        <v/>
      </c>
      <c r="L29" s="4">
        <f>爬塔!T29*IF(爬塔!O29="",1,爬塔!O29)</f>
        <v/>
      </c>
      <c r="M29" s="4">
        <f>K29/I29</f>
        <v/>
      </c>
      <c r="N29" s="4">
        <f>L29*J29</f>
        <v/>
      </c>
      <c r="O29" s="4">
        <f>INDEX(_统一战力!$D$2:$D$280,MATCH(F29,_统一战力!$C$2:$C$280,0))</f>
        <v/>
      </c>
      <c r="P29" s="4">
        <f>IF(AND(INDEX(_玩家曲线!$H$2:$H$280,F29)&gt;=M29,INDEX(_玩家曲线!$I$2:$I$280,F29)&gt;=N29),"通过","超出玩家曲线")</f>
        <v/>
      </c>
      <c r="Q29" s="4" t="n">
        <v>138</v>
      </c>
      <c r="R29" s="4" t="n">
        <v>74</v>
      </c>
    </row>
    <row r="30" ht="25" customHeight="1">
      <c r="A30" s="4" t="n">
        <v>26</v>
      </c>
      <c r="B30" s="4">
        <f>爬塔!J30</f>
        <v/>
      </c>
      <c r="C30" s="4" t="n">
        <v>268000</v>
      </c>
      <c r="D30" s="5">
        <f>IF(P30="通过",ROUND(O30,-MAX(0,INT(LOG10(O30))-推荐战力参数!$B$5+1)),0)</f>
        <v/>
      </c>
      <c r="E30" s="84">
        <f>D30/C30-1</f>
        <v/>
      </c>
      <c r="F30" s="4">
        <f>MAX(G30,H30)</f>
        <v/>
      </c>
      <c r="G30" s="4">
        <f>MIN(ROWS(_玩家曲线!$H$2:$H$280),COUNTIF(_玩家曲线!$H$2:$H$280,"&lt;"&amp;M30)+1)</f>
        <v/>
      </c>
      <c r="H30" s="4">
        <f>MIN(ROWS(_玩家曲线!$I$2:$I$280),COUNTIF(_玩家曲线!$I$2:$I$280,"&lt;"&amp;N30)+1)</f>
        <v/>
      </c>
      <c r="I30" s="7" t="n">
        <v>13.0474549918587</v>
      </c>
      <c r="J30" s="7" t="n">
        <v>9.962495598476799</v>
      </c>
      <c r="K30" s="4">
        <f>爬塔!W30</f>
        <v/>
      </c>
      <c r="L30" s="4">
        <f>爬塔!T30*IF(爬塔!O30="",1,爬塔!O30)</f>
        <v/>
      </c>
      <c r="M30" s="4">
        <f>K30/I30</f>
        <v/>
      </c>
      <c r="N30" s="4">
        <f>L30*J30</f>
        <v/>
      </c>
      <c r="O30" s="4">
        <f>INDEX(_统一战力!$D$2:$D$280,MATCH(F30,_统一战力!$C$2:$C$280,0))</f>
        <v/>
      </c>
      <c r="P30" s="4">
        <f>IF(AND(INDEX(_玩家曲线!$H$2:$H$280,F30)&gt;=M30,INDEX(_玩家曲线!$I$2:$I$280,F30)&gt;=N30),"通过","超出玩家曲线")</f>
        <v/>
      </c>
      <c r="Q30" s="4" t="n">
        <v>139</v>
      </c>
      <c r="R30" s="4" t="n">
        <v>76</v>
      </c>
    </row>
    <row r="31" ht="25" customHeight="1">
      <c r="A31" s="4" t="n">
        <v>27</v>
      </c>
      <c r="B31" s="4">
        <f>爬塔!J31</f>
        <v/>
      </c>
      <c r="C31" s="4" t="n">
        <v>287000</v>
      </c>
      <c r="D31" s="5">
        <f>IF(P31="通过",ROUND(O31,-MAX(0,INT(LOG10(O31))-推荐战力参数!$B$5+1)),0)</f>
        <v/>
      </c>
      <c r="E31" s="84">
        <f>D31/C31-1</f>
        <v/>
      </c>
      <c r="F31" s="4">
        <f>MAX(G31,H31)</f>
        <v/>
      </c>
      <c r="G31" s="4">
        <f>MIN(ROWS(_玩家曲线!$H$2:$H$280),COUNTIF(_玩家曲线!$H$2:$H$280,"&lt;"&amp;M31)+1)</f>
        <v/>
      </c>
      <c r="H31" s="4">
        <f>MIN(ROWS(_玩家曲线!$I$2:$I$280),COUNTIF(_玩家曲线!$I$2:$I$280,"&lt;"&amp;N31)+1)</f>
        <v/>
      </c>
      <c r="I31" s="7" t="n">
        <v>15.5854293715865</v>
      </c>
      <c r="J31" s="7" t="n">
        <v>11.0194664398993</v>
      </c>
      <c r="K31" s="4">
        <f>爬塔!W31</f>
        <v/>
      </c>
      <c r="L31" s="4">
        <f>爬塔!T31*IF(爬塔!O31="",1,爬塔!O31)</f>
        <v/>
      </c>
      <c r="M31" s="4">
        <f>K31/I31</f>
        <v/>
      </c>
      <c r="N31" s="4">
        <f>L31*J31</f>
        <v/>
      </c>
      <c r="O31" s="4">
        <f>INDEX(_统一战力!$D$2:$D$280,MATCH(F31,_统一战力!$C$2:$C$280,0))</f>
        <v/>
      </c>
      <c r="P31" s="4">
        <f>IF(AND(INDEX(_玩家曲线!$H$2:$H$280,F31)&gt;=M31,INDEX(_玩家曲线!$I$2:$I$280,F31)&gt;=N31),"通过","超出玩家曲线")</f>
        <v/>
      </c>
      <c r="Q31" s="4" t="n">
        <v>144</v>
      </c>
      <c r="R31" s="4" t="n">
        <v>79</v>
      </c>
    </row>
    <row r="32" ht="25" customHeight="1">
      <c r="A32" s="4" t="n">
        <v>28</v>
      </c>
      <c r="B32" s="4">
        <f>爬塔!J32</f>
        <v/>
      </c>
      <c r="C32" s="4" t="n">
        <v>300000</v>
      </c>
      <c r="D32" s="5">
        <f>IF(P32="通过",ROUND(O32,-MAX(0,INT(LOG10(O32))-推荐战力参数!$B$5+1)),0)</f>
        <v/>
      </c>
      <c r="E32" s="84">
        <f>D32/C32-1</f>
        <v/>
      </c>
      <c r="F32" s="4">
        <f>MAX(G32,H32)</f>
        <v/>
      </c>
      <c r="G32" s="4">
        <f>MIN(ROWS(_玩家曲线!$H$2:$H$280),COUNTIF(_玩家曲线!$H$2:$H$280,"&lt;"&amp;M32)+1)</f>
        <v/>
      </c>
      <c r="H32" s="4">
        <f>MIN(ROWS(_玩家曲线!$I$2:$I$280),COUNTIF(_玩家曲线!$I$2:$I$280,"&lt;"&amp;N32)+1)</f>
        <v/>
      </c>
      <c r="I32" s="7" t="n">
        <v>15.7806114246783</v>
      </c>
      <c r="J32" s="7" t="n">
        <v>10.7686869996477</v>
      </c>
      <c r="K32" s="4">
        <f>爬塔!W32</f>
        <v/>
      </c>
      <c r="L32" s="4">
        <f>爬塔!T32*IF(爬塔!O32="",1,爬塔!O32)</f>
        <v/>
      </c>
      <c r="M32" s="4">
        <f>K32/I32</f>
        <v/>
      </c>
      <c r="N32" s="4">
        <f>L32*J32</f>
        <v/>
      </c>
      <c r="O32" s="4">
        <f>INDEX(_统一战力!$D$2:$D$280,MATCH(F32,_统一战力!$C$2:$C$280,0))</f>
        <v/>
      </c>
      <c r="P32" s="4">
        <f>IF(AND(INDEX(_玩家曲线!$H$2:$H$280,F32)&gt;=M32,INDEX(_玩家曲线!$I$2:$I$280,F32)&gt;=N32),"通过","超出玩家曲线")</f>
        <v/>
      </c>
      <c r="Q32" s="4" t="n">
        <v>147</v>
      </c>
      <c r="R32" s="4" t="n">
        <v>81</v>
      </c>
    </row>
    <row r="33" ht="25" customHeight="1">
      <c r="A33" s="4" t="n">
        <v>29</v>
      </c>
      <c r="B33" s="4">
        <f>爬塔!J33</f>
        <v/>
      </c>
      <c r="C33" s="4" t="n">
        <v>320000</v>
      </c>
      <c r="D33" s="5">
        <f>IF(P33="通过",ROUND(O33,-MAX(0,INT(LOG10(O33))-推荐战力参数!$B$5+1)),0)</f>
        <v/>
      </c>
      <c r="E33" s="84">
        <f>D33/C33-1</f>
        <v/>
      </c>
      <c r="F33" s="4">
        <f>MAX(G33,H33)</f>
        <v/>
      </c>
      <c r="G33" s="4">
        <f>MIN(ROWS(_玩家曲线!$H$2:$H$280),COUNTIF(_玩家曲线!$H$2:$H$280,"&lt;"&amp;M33)+1)</f>
        <v/>
      </c>
      <c r="H33" s="4">
        <f>MIN(ROWS(_玩家曲线!$I$2:$I$280),COUNTIF(_玩家曲线!$I$2:$I$280,"&lt;"&amp;N33)+1)</f>
        <v/>
      </c>
      <c r="I33" s="7" t="n">
        <v>14.0236499733922</v>
      </c>
      <c r="J33" s="7" t="n">
        <v>10.6540248873655</v>
      </c>
      <c r="K33" s="4">
        <f>爬塔!W33</f>
        <v/>
      </c>
      <c r="L33" s="4">
        <f>爬塔!T33*IF(爬塔!O33="",1,爬塔!O33)</f>
        <v/>
      </c>
      <c r="M33" s="4">
        <f>K33/I33</f>
        <v/>
      </c>
      <c r="N33" s="4">
        <f>L33*J33</f>
        <v/>
      </c>
      <c r="O33" s="4">
        <f>INDEX(_统一战力!$D$2:$D$280,MATCH(F33,_统一战力!$C$2:$C$280,0))</f>
        <v/>
      </c>
      <c r="P33" s="4">
        <f>IF(AND(INDEX(_玩家曲线!$H$2:$H$280,F33)&gt;=M33,INDEX(_玩家曲线!$I$2:$I$280,F33)&gt;=N33),"通过","超出玩家曲线")</f>
        <v/>
      </c>
      <c r="Q33" s="4" t="n">
        <v>151</v>
      </c>
      <c r="R33" s="4" t="n">
        <v>84</v>
      </c>
    </row>
    <row r="34" ht="25" customHeight="1">
      <c r="A34" s="4" t="n">
        <v>30</v>
      </c>
      <c r="B34" s="4">
        <f>爬塔!J34</f>
        <v/>
      </c>
      <c r="C34" s="4" t="n">
        <v>332000</v>
      </c>
      <c r="D34" s="5">
        <f>IF(P34="通过",ROUND(O34,-MAX(0,INT(LOG10(O34))-推荐战力参数!$B$5+1)),0)</f>
        <v/>
      </c>
      <c r="E34" s="84">
        <f>D34/C34-1</f>
        <v/>
      </c>
      <c r="F34" s="4">
        <f>MAX(G34,H34)</f>
        <v/>
      </c>
      <c r="G34" s="4">
        <f>MIN(ROWS(_玩家曲线!$H$2:$H$280),COUNTIF(_玩家曲线!$H$2:$H$280,"&lt;"&amp;M34)+1)</f>
        <v/>
      </c>
      <c r="H34" s="4">
        <f>MIN(ROWS(_玩家曲线!$I$2:$I$280),COUNTIF(_玩家曲线!$I$2:$I$280,"&lt;"&amp;N34)+1)</f>
        <v/>
      </c>
      <c r="I34" s="7" t="n">
        <v>14.0528913278515</v>
      </c>
      <c r="J34" s="7" t="n">
        <v>11.155586089803</v>
      </c>
      <c r="K34" s="4">
        <f>爬塔!W34</f>
        <v/>
      </c>
      <c r="L34" s="4">
        <f>爬塔!T34*IF(爬塔!O34="",1,爬塔!O34)</f>
        <v/>
      </c>
      <c r="M34" s="4">
        <f>K34/I34</f>
        <v/>
      </c>
      <c r="N34" s="4">
        <f>L34*J34</f>
        <v/>
      </c>
      <c r="O34" s="4">
        <f>INDEX(_统一战力!$D$2:$D$280,MATCH(F34,_统一战力!$C$2:$C$280,0))</f>
        <v/>
      </c>
      <c r="P34" s="4">
        <f>IF(AND(INDEX(_玩家曲线!$H$2:$H$280,F34)&gt;=M34,INDEX(_玩家曲线!$I$2:$I$280,F34)&gt;=N34),"通过","超出玩家曲线")</f>
        <v/>
      </c>
      <c r="Q34" s="4" t="n">
        <v>154</v>
      </c>
      <c r="R34" s="4" t="n">
        <v>86</v>
      </c>
    </row>
    <row r="35" ht="25" customHeight="1">
      <c r="A35" s="4" t="n">
        <v>31</v>
      </c>
      <c r="B35" s="4">
        <f>爬塔!J35</f>
        <v/>
      </c>
      <c r="C35" s="4" t="n">
        <v>347000</v>
      </c>
      <c r="D35" s="5">
        <f>IF(P35="通过",ROUND(O35,-MAX(0,INT(LOG10(O35))-推荐战力参数!$B$5+1)),0)</f>
        <v/>
      </c>
      <c r="E35" s="84">
        <f>D35/C35-1</f>
        <v/>
      </c>
      <c r="F35" s="4">
        <f>MAX(G35,H35)</f>
        <v/>
      </c>
      <c r="G35" s="4">
        <f>MIN(ROWS(_玩家曲线!$H$2:$H$280),COUNTIF(_玩家曲线!$H$2:$H$280,"&lt;"&amp;M35)+1)</f>
        <v/>
      </c>
      <c r="H35" s="4">
        <f>MIN(ROWS(_玩家曲线!$I$2:$I$280),COUNTIF(_玩家曲线!$I$2:$I$280,"&lt;"&amp;N35)+1)</f>
        <v/>
      </c>
      <c r="I35" s="7" t="n">
        <v>13.9209424410824</v>
      </c>
      <c r="J35" s="7" t="n">
        <v>11.447435485562</v>
      </c>
      <c r="K35" s="4">
        <f>爬塔!W35</f>
        <v/>
      </c>
      <c r="L35" s="4">
        <f>爬塔!T35*IF(爬塔!O35="",1,爬塔!O35)</f>
        <v/>
      </c>
      <c r="M35" s="4">
        <f>K35/I35</f>
        <v/>
      </c>
      <c r="N35" s="4">
        <f>L35*J35</f>
        <v/>
      </c>
      <c r="O35" s="4">
        <f>INDEX(_统一战力!$D$2:$D$280,MATCH(F35,_统一战力!$C$2:$C$280,0))</f>
        <v/>
      </c>
      <c r="P35" s="4">
        <f>IF(AND(INDEX(_玩家曲线!$H$2:$H$280,F35)&gt;=M35,INDEX(_玩家曲线!$I$2:$I$280,F35)&gt;=N35),"通过","超出玩家曲线")</f>
        <v/>
      </c>
      <c r="Q35" s="4" t="n">
        <v>156</v>
      </c>
      <c r="R35" s="4" t="n">
        <v>89</v>
      </c>
    </row>
    <row r="36" ht="25" customHeight="1">
      <c r="A36" s="4" t="n">
        <v>32</v>
      </c>
      <c r="B36" s="4">
        <f>爬塔!J36</f>
        <v/>
      </c>
      <c r="C36" s="4" t="n">
        <v>358000</v>
      </c>
      <c r="D36" s="5">
        <f>IF(P36="通过",ROUND(O36,-MAX(0,INT(LOG10(O36))-推荐战力参数!$B$5+1)),0)</f>
        <v/>
      </c>
      <c r="E36" s="84">
        <f>D36/C36-1</f>
        <v/>
      </c>
      <c r="F36" s="4">
        <f>MAX(G36,H36)</f>
        <v/>
      </c>
      <c r="G36" s="4">
        <f>MIN(ROWS(_玩家曲线!$H$2:$H$280),COUNTIF(_玩家曲线!$H$2:$H$280,"&lt;"&amp;M36)+1)</f>
        <v/>
      </c>
      <c r="H36" s="4">
        <f>MIN(ROWS(_玩家曲线!$I$2:$I$280),COUNTIF(_玩家曲线!$I$2:$I$280,"&lt;"&amp;N36)+1)</f>
        <v/>
      </c>
      <c r="I36" s="7" t="n">
        <v>14.7441599903037</v>
      </c>
      <c r="J36" s="7" t="n">
        <v>12.0386485146227</v>
      </c>
      <c r="K36" s="4">
        <f>爬塔!W36</f>
        <v/>
      </c>
      <c r="L36" s="4">
        <f>爬塔!T36*IF(爬塔!O36="",1,爬塔!O36)</f>
        <v/>
      </c>
      <c r="M36" s="4">
        <f>K36/I36</f>
        <v/>
      </c>
      <c r="N36" s="4">
        <f>L36*J36</f>
        <v/>
      </c>
      <c r="O36" s="4">
        <f>INDEX(_统一战力!$D$2:$D$280,MATCH(F36,_统一战力!$C$2:$C$280,0))</f>
        <v/>
      </c>
      <c r="P36" s="4">
        <f>IF(AND(INDEX(_玩家曲线!$H$2:$H$280,F36)&gt;=M36,INDEX(_玩家曲线!$I$2:$I$280,F36)&gt;=N36),"通过","超出玩家曲线")</f>
        <v/>
      </c>
      <c r="Q36" s="4" t="n">
        <v>158</v>
      </c>
      <c r="R36" s="4" t="n">
        <v>91</v>
      </c>
    </row>
    <row r="37" ht="25" customHeight="1">
      <c r="A37" s="4" t="n">
        <v>33</v>
      </c>
      <c r="B37" s="4">
        <f>爬塔!J37</f>
        <v/>
      </c>
      <c r="C37" s="4" t="n">
        <v>375000</v>
      </c>
      <c r="D37" s="5">
        <f>IF(P37="通过",ROUND(O37,-MAX(0,INT(LOG10(O37))-推荐战力参数!$B$5+1)),0)</f>
        <v/>
      </c>
      <c r="E37" s="84">
        <f>D37/C37-1</f>
        <v/>
      </c>
      <c r="F37" s="4">
        <f>MAX(G37,H37)</f>
        <v/>
      </c>
      <c r="G37" s="4">
        <f>MIN(ROWS(_玩家曲线!$H$2:$H$280),COUNTIF(_玩家曲线!$H$2:$H$280,"&lt;"&amp;M37)+1)</f>
        <v/>
      </c>
      <c r="H37" s="4">
        <f>MIN(ROWS(_玩家曲线!$I$2:$I$280),COUNTIF(_玩家曲线!$I$2:$I$280,"&lt;"&amp;N37)+1)</f>
        <v/>
      </c>
      <c r="I37" s="7" t="n">
        <v>13.8890428510489</v>
      </c>
      <c r="J37" s="7" t="n">
        <v>11.8214346933289</v>
      </c>
      <c r="K37" s="4">
        <f>爬塔!W37</f>
        <v/>
      </c>
      <c r="L37" s="4">
        <f>爬塔!T37*IF(爬塔!O37="",1,爬塔!O37)</f>
        <v/>
      </c>
      <c r="M37" s="4">
        <f>K37/I37</f>
        <v/>
      </c>
      <c r="N37" s="4">
        <f>L37*J37</f>
        <v/>
      </c>
      <c r="O37" s="4">
        <f>INDEX(_统一战力!$D$2:$D$280,MATCH(F37,_统一战力!$C$2:$C$280,0))</f>
        <v/>
      </c>
      <c r="P37" s="4">
        <f>IF(AND(INDEX(_玩家曲线!$H$2:$H$280,F37)&gt;=M37,INDEX(_玩家曲线!$I$2:$I$280,F37)&gt;=N37),"通过","超出玩家曲线")</f>
        <v/>
      </c>
      <c r="Q37" s="4" t="n">
        <v>161</v>
      </c>
      <c r="R37" s="4" t="n">
        <v>94</v>
      </c>
    </row>
    <row r="38" ht="25" customHeight="1">
      <c r="A38" s="4" t="n">
        <v>34</v>
      </c>
      <c r="B38" s="4">
        <f>爬塔!J38</f>
        <v/>
      </c>
      <c r="C38" s="4" t="n">
        <v>386000</v>
      </c>
      <c r="D38" s="5">
        <f>IF(P38="通过",ROUND(O38,-MAX(0,INT(LOG10(O38))-推荐战力参数!$B$5+1)),0)</f>
        <v/>
      </c>
      <c r="E38" s="84">
        <f>D38/C38-1</f>
        <v/>
      </c>
      <c r="F38" s="4">
        <f>MAX(G38,H38)</f>
        <v/>
      </c>
      <c r="G38" s="4">
        <f>MIN(ROWS(_玩家曲线!$H$2:$H$280),COUNTIF(_玩家曲线!$H$2:$H$280,"&lt;"&amp;M38)+1)</f>
        <v/>
      </c>
      <c r="H38" s="4">
        <f>MIN(ROWS(_玩家曲线!$I$2:$I$280),COUNTIF(_玩家曲线!$I$2:$I$280,"&lt;"&amp;N38)+1)</f>
        <v/>
      </c>
      <c r="I38" s="7" t="n">
        <v>13.9521170669626</v>
      </c>
      <c r="J38" s="7" t="n">
        <v>11.9257687664948</v>
      </c>
      <c r="K38" s="4">
        <f>爬塔!W38</f>
        <v/>
      </c>
      <c r="L38" s="4">
        <f>爬塔!T38*IF(爬塔!O38="",1,爬塔!O38)</f>
        <v/>
      </c>
      <c r="M38" s="4">
        <f>K38/I38</f>
        <v/>
      </c>
      <c r="N38" s="4">
        <f>L38*J38</f>
        <v/>
      </c>
      <c r="O38" s="4">
        <f>INDEX(_统一战力!$D$2:$D$280,MATCH(F38,_统一战力!$C$2:$C$280,0))</f>
        <v/>
      </c>
      <c r="P38" s="4">
        <f>IF(AND(INDEX(_玩家曲线!$H$2:$H$280,F38)&gt;=M38,INDEX(_玩家曲线!$I$2:$I$280,F38)&gt;=N38),"通过","超出玩家曲线")</f>
        <v/>
      </c>
      <c r="Q38" s="4" t="n">
        <v>163</v>
      </c>
      <c r="R38" s="4" t="n">
        <v>96</v>
      </c>
    </row>
    <row r="39" ht="25" customHeight="1">
      <c r="A39" s="4" t="n">
        <v>35</v>
      </c>
      <c r="B39" s="4">
        <f>爬塔!J39</f>
        <v/>
      </c>
      <c r="C39" s="4" t="n">
        <v>403000</v>
      </c>
      <c r="D39" s="5">
        <f>IF(P39="通过",ROUND(O39,-MAX(0,INT(LOG10(O39))-推荐战力参数!$B$5+1)),0)</f>
        <v/>
      </c>
      <c r="E39" s="84">
        <f>D39/C39-1</f>
        <v/>
      </c>
      <c r="F39" s="4">
        <f>MAX(G39,H39)</f>
        <v/>
      </c>
      <c r="G39" s="4">
        <f>MIN(ROWS(_玩家曲线!$H$2:$H$280),COUNTIF(_玩家曲线!$H$2:$H$280,"&lt;"&amp;M39)+1)</f>
        <v/>
      </c>
      <c r="H39" s="4">
        <f>MIN(ROWS(_玩家曲线!$I$2:$I$280),COUNTIF(_玩家曲线!$I$2:$I$280,"&lt;"&amp;N39)+1)</f>
        <v/>
      </c>
      <c r="I39" s="7" t="n">
        <v>14.8156515000677</v>
      </c>
      <c r="J39" s="7" t="n">
        <v>12.5616580257489</v>
      </c>
      <c r="K39" s="4">
        <f>爬塔!W39</f>
        <v/>
      </c>
      <c r="L39" s="4">
        <f>爬塔!T39*IF(爬塔!O39="",1,爬塔!O39)</f>
        <v/>
      </c>
      <c r="M39" s="4">
        <f>K39/I39</f>
        <v/>
      </c>
      <c r="N39" s="4">
        <f>L39*J39</f>
        <v/>
      </c>
      <c r="O39" s="4">
        <f>INDEX(_统一战力!$D$2:$D$280,MATCH(F39,_统一战力!$C$2:$C$280,0))</f>
        <v/>
      </c>
      <c r="P39" s="4">
        <f>IF(AND(INDEX(_玩家曲线!$H$2:$H$280,F39)&gt;=M39,INDEX(_玩家曲线!$I$2:$I$280,F39)&gt;=N39),"通过","超出玩家曲线")</f>
        <v/>
      </c>
      <c r="Q39" s="4" t="n">
        <v>167</v>
      </c>
      <c r="R39" s="4" t="n">
        <v>99</v>
      </c>
    </row>
    <row r="40" ht="25" customHeight="1">
      <c r="A40" s="4" t="n">
        <v>36</v>
      </c>
      <c r="B40" s="4">
        <f>爬塔!J40</f>
        <v/>
      </c>
      <c r="C40" s="4" t="n">
        <v>417000</v>
      </c>
      <c r="D40" s="5">
        <f>IF(P40="通过",ROUND(O40,-MAX(0,INT(LOG10(O40))-推荐战力参数!$B$5+1)),0)</f>
        <v/>
      </c>
      <c r="E40" s="84">
        <f>D40/C40-1</f>
        <v/>
      </c>
      <c r="F40" s="4">
        <f>MAX(G40,H40)</f>
        <v/>
      </c>
      <c r="G40" s="4">
        <f>MIN(ROWS(_玩家曲线!$H$2:$H$280),COUNTIF(_玩家曲线!$H$2:$H$280,"&lt;"&amp;M40)+1)</f>
        <v/>
      </c>
      <c r="H40" s="4">
        <f>MIN(ROWS(_玩家曲线!$I$2:$I$280),COUNTIF(_玩家曲线!$I$2:$I$280,"&lt;"&amp;N40)+1)</f>
        <v/>
      </c>
      <c r="I40" s="7" t="n">
        <v>14.301515753009</v>
      </c>
      <c r="J40" s="7" t="n">
        <v>12.077565700487</v>
      </c>
      <c r="K40" s="4">
        <f>爬塔!W40</f>
        <v/>
      </c>
      <c r="L40" s="4">
        <f>爬塔!T40*IF(爬塔!O40="",1,爬塔!O40)</f>
        <v/>
      </c>
      <c r="M40" s="4">
        <f>K40/I40</f>
        <v/>
      </c>
      <c r="N40" s="4">
        <f>L40*J40</f>
        <v/>
      </c>
      <c r="O40" s="4">
        <f>INDEX(_统一战力!$D$2:$D$280,MATCH(F40,_统一战力!$C$2:$C$280,0))</f>
        <v/>
      </c>
      <c r="P40" s="4">
        <f>IF(AND(INDEX(_玩家曲线!$H$2:$H$280,F40)&gt;=M40,INDEX(_玩家曲线!$I$2:$I$280,F40)&gt;=N40),"通过","超出玩家曲线")</f>
        <v/>
      </c>
      <c r="Q40" s="4" t="n">
        <v>170</v>
      </c>
      <c r="R40" s="4" t="n">
        <v>101</v>
      </c>
    </row>
    <row r="41" ht="25" customHeight="1">
      <c r="A41" s="4" t="n">
        <v>37</v>
      </c>
      <c r="B41" s="4">
        <f>爬塔!J41</f>
        <v/>
      </c>
      <c r="C41" s="4" t="n">
        <v>445000</v>
      </c>
      <c r="D41" s="5">
        <f>IF(P41="通过",ROUND(O41,-MAX(0,INT(LOG10(O41))-推荐战力参数!$B$5+1)),0)</f>
        <v/>
      </c>
      <c r="E41" s="84">
        <f>D41/C41-1</f>
        <v/>
      </c>
      <c r="F41" s="4">
        <f>MAX(G41,H41)</f>
        <v/>
      </c>
      <c r="G41" s="4">
        <f>MIN(ROWS(_玩家曲线!$H$2:$H$280),COUNTIF(_玩家曲线!$H$2:$H$280,"&lt;"&amp;M41)+1)</f>
        <v/>
      </c>
      <c r="H41" s="4">
        <f>MIN(ROWS(_玩家曲线!$I$2:$I$280),COUNTIF(_玩家曲线!$I$2:$I$280,"&lt;"&amp;N41)+1)</f>
        <v/>
      </c>
      <c r="I41" s="7" t="n">
        <v>16.107243611418</v>
      </c>
      <c r="J41" s="7" t="n">
        <v>12.7478426444045</v>
      </c>
      <c r="K41" s="4">
        <f>爬塔!W41</f>
        <v/>
      </c>
      <c r="L41" s="4">
        <f>爬塔!T41*IF(爬塔!O41="",1,爬塔!O41)</f>
        <v/>
      </c>
      <c r="M41" s="4">
        <f>K41/I41</f>
        <v/>
      </c>
      <c r="N41" s="4">
        <f>L41*J41</f>
        <v/>
      </c>
      <c r="O41" s="4">
        <f>INDEX(_统一战力!$D$2:$D$280,MATCH(F41,_统一战力!$C$2:$C$280,0))</f>
        <v/>
      </c>
      <c r="P41" s="4">
        <f>IF(AND(INDEX(_玩家曲线!$H$2:$H$280,F41)&gt;=M41,INDEX(_玩家曲线!$I$2:$I$280,F41)&gt;=N41),"通过","超出玩家曲线")</f>
        <v/>
      </c>
      <c r="Q41" s="4" t="n">
        <v>175</v>
      </c>
      <c r="R41" s="4" t="n">
        <v>104</v>
      </c>
    </row>
    <row r="42" ht="25" customHeight="1">
      <c r="A42" s="4" t="n">
        <v>38</v>
      </c>
      <c r="B42" s="4">
        <f>爬塔!J42</f>
        <v/>
      </c>
      <c r="C42" s="4" t="n">
        <v>463000</v>
      </c>
      <c r="D42" s="5">
        <f>IF(P42="通过",ROUND(O42,-MAX(0,INT(LOG10(O42))-推荐战力参数!$B$5+1)),0)</f>
        <v/>
      </c>
      <c r="E42" s="84">
        <f>D42/C42-1</f>
        <v/>
      </c>
      <c r="F42" s="4">
        <f>MAX(G42,H42)</f>
        <v/>
      </c>
      <c r="G42" s="4">
        <f>MIN(ROWS(_玩家曲线!$H$2:$H$280),COUNTIF(_玩家曲线!$H$2:$H$280,"&lt;"&amp;M42)+1)</f>
        <v/>
      </c>
      <c r="H42" s="4">
        <f>MIN(ROWS(_玩家曲线!$I$2:$I$280),COUNTIF(_玩家曲线!$I$2:$I$280,"&lt;"&amp;N42)+1)</f>
        <v/>
      </c>
      <c r="I42" s="7" t="n">
        <v>13.450367464329</v>
      </c>
      <c r="J42" s="7" t="n">
        <v>11.9376616426997</v>
      </c>
      <c r="K42" s="4">
        <f>爬塔!W42</f>
        <v/>
      </c>
      <c r="L42" s="4">
        <f>爬塔!T42*IF(爬塔!O42="",1,爬塔!O42)</f>
        <v/>
      </c>
      <c r="M42" s="4">
        <f>K42/I42</f>
        <v/>
      </c>
      <c r="N42" s="4">
        <f>L42*J42</f>
        <v/>
      </c>
      <c r="O42" s="4">
        <f>INDEX(_统一战力!$D$2:$D$280,MATCH(F42,_统一战力!$C$2:$C$280,0))</f>
        <v/>
      </c>
      <c r="P42" s="4">
        <f>IF(AND(INDEX(_玩家曲线!$H$2:$H$280,F42)&gt;=M42,INDEX(_玩家曲线!$I$2:$I$280,F42)&gt;=N42),"通过","超出玩家曲线")</f>
        <v/>
      </c>
      <c r="Q42" s="4" t="n">
        <v>178</v>
      </c>
      <c r="R42" s="4" t="n">
        <v>106</v>
      </c>
    </row>
    <row r="43" ht="25" customHeight="1">
      <c r="A43" s="4" t="n">
        <v>39</v>
      </c>
      <c r="B43" s="4">
        <f>爬塔!J43</f>
        <v/>
      </c>
      <c r="C43" s="4" t="n">
        <v>492000</v>
      </c>
      <c r="D43" s="5">
        <f>IF(P43="通过",ROUND(O43,-MAX(0,INT(LOG10(O43))-推荐战力参数!$B$5+1)),0)</f>
        <v/>
      </c>
      <c r="E43" s="84">
        <f>D43/C43-1</f>
        <v/>
      </c>
      <c r="F43" s="4">
        <f>MAX(G43,H43)</f>
        <v/>
      </c>
      <c r="G43" s="4">
        <f>MIN(ROWS(_玩家曲线!$H$2:$H$280),COUNTIF(_玩家曲线!$H$2:$H$280,"&lt;"&amp;M43)+1)</f>
        <v/>
      </c>
      <c r="H43" s="4">
        <f>MIN(ROWS(_玩家曲线!$I$2:$I$280),COUNTIF(_玩家曲线!$I$2:$I$280,"&lt;"&amp;N43)+1)</f>
        <v/>
      </c>
      <c r="I43" s="7" t="n">
        <v>14.3407592549446</v>
      </c>
      <c r="J43" s="7" t="n">
        <v>12.1359057611971</v>
      </c>
      <c r="K43" s="4">
        <f>爬塔!W43</f>
        <v/>
      </c>
      <c r="L43" s="4">
        <f>爬塔!T43*IF(爬塔!O43="",1,爬塔!O43)</f>
        <v/>
      </c>
      <c r="M43" s="4">
        <f>K43/I43</f>
        <v/>
      </c>
      <c r="N43" s="4">
        <f>L43*J43</f>
        <v/>
      </c>
      <c r="O43" s="4">
        <f>INDEX(_统一战力!$D$2:$D$280,MATCH(F43,_统一战力!$C$2:$C$280,0))</f>
        <v/>
      </c>
      <c r="P43" s="4">
        <f>IF(AND(INDEX(_玩家曲线!$H$2:$H$280,F43)&gt;=M43,INDEX(_玩家曲线!$I$2:$I$280,F43)&gt;=N43),"通过","超出玩家曲线")</f>
        <v/>
      </c>
      <c r="Q43" s="4" t="n">
        <v>182</v>
      </c>
      <c r="R43" s="4" t="n">
        <v>109</v>
      </c>
    </row>
    <row r="44" ht="25" customHeight="1">
      <c r="A44" s="4" t="n">
        <v>40</v>
      </c>
      <c r="B44" s="4">
        <f>爬塔!J44</f>
        <v/>
      </c>
      <c r="C44" s="4" t="n">
        <v>512000</v>
      </c>
      <c r="D44" s="5">
        <f>IF(P44="通过",ROUND(O44,-MAX(0,INT(LOG10(O44))-推荐战力参数!$B$5+1)),0)</f>
        <v/>
      </c>
      <c r="E44" s="84">
        <f>D44/C44-1</f>
        <v/>
      </c>
      <c r="F44" s="4">
        <f>MAX(G44,H44)</f>
        <v/>
      </c>
      <c r="G44" s="4">
        <f>MIN(ROWS(_玩家曲线!$H$2:$H$280),COUNTIF(_玩家曲线!$H$2:$H$280,"&lt;"&amp;M44)+1)</f>
        <v/>
      </c>
      <c r="H44" s="4">
        <f>MIN(ROWS(_玩家曲线!$I$2:$I$280),COUNTIF(_玩家曲线!$I$2:$I$280,"&lt;"&amp;N44)+1)</f>
        <v/>
      </c>
      <c r="I44" s="7" t="n">
        <v>15.3614952152703</v>
      </c>
      <c r="J44" s="7" t="n">
        <v>13.0350341484455</v>
      </c>
      <c r="K44" s="4">
        <f>爬塔!W44</f>
        <v/>
      </c>
      <c r="L44" s="4">
        <f>爬塔!T44*IF(爬塔!O44="",1,爬塔!O44)</f>
        <v/>
      </c>
      <c r="M44" s="4">
        <f>K44/I44</f>
        <v/>
      </c>
      <c r="N44" s="4">
        <f>L44*J44</f>
        <v/>
      </c>
      <c r="O44" s="4">
        <f>INDEX(_统一战力!$D$2:$D$280,MATCH(F44,_统一战力!$C$2:$C$280,0))</f>
        <v/>
      </c>
      <c r="P44" s="4">
        <f>IF(AND(INDEX(_玩家曲线!$H$2:$H$280,F44)&gt;=M44,INDEX(_玩家曲线!$I$2:$I$280,F44)&gt;=N44),"通过","超出玩家曲线")</f>
        <v/>
      </c>
      <c r="Q44" s="4" t="n">
        <v>187</v>
      </c>
      <c r="R44" s="4" t="n">
        <v>111</v>
      </c>
    </row>
    <row r="45" ht="25" customHeight="1">
      <c r="A45" s="4" t="n">
        <v>41</v>
      </c>
      <c r="B45" s="4">
        <f>爬塔!J45</f>
        <v/>
      </c>
      <c r="C45" s="4" t="n">
        <v>542000</v>
      </c>
      <c r="D45" s="5">
        <f>IF(P45="通过",ROUND(O45,-MAX(0,INT(LOG10(O45))-推荐战力参数!$B$5+1)),0)</f>
        <v/>
      </c>
      <c r="E45" s="84">
        <f>D45/C45-1</f>
        <v/>
      </c>
      <c r="F45" s="4">
        <f>MAX(G45,H45)</f>
        <v/>
      </c>
      <c r="G45" s="4">
        <f>MIN(ROWS(_玩家曲线!$H$2:$H$280),COUNTIF(_玩家曲线!$H$2:$H$280,"&lt;"&amp;M45)+1)</f>
        <v/>
      </c>
      <c r="H45" s="4">
        <f>MIN(ROWS(_玩家曲线!$I$2:$I$280),COUNTIF(_玩家曲线!$I$2:$I$280,"&lt;"&amp;N45)+1)</f>
        <v/>
      </c>
      <c r="I45" s="7" t="n">
        <v>15.9711317012272</v>
      </c>
      <c r="J45" s="7" t="n">
        <v>13.3598225191747</v>
      </c>
      <c r="K45" s="4">
        <f>爬塔!W45</f>
        <v/>
      </c>
      <c r="L45" s="4">
        <f>爬塔!T45*IF(爬塔!O45="",1,爬塔!O45)</f>
        <v/>
      </c>
      <c r="M45" s="4">
        <f>K45/I45</f>
        <v/>
      </c>
      <c r="N45" s="4">
        <f>L45*J45</f>
        <v/>
      </c>
      <c r="O45" s="4">
        <f>INDEX(_统一战力!$D$2:$D$280,MATCH(F45,_统一战力!$C$2:$C$280,0))</f>
        <v/>
      </c>
      <c r="P45" s="4">
        <f>IF(AND(INDEX(_玩家曲线!$H$2:$H$280,F45)&gt;=M45,INDEX(_玩家曲线!$I$2:$I$280,F45)&gt;=N45),"通过","超出玩家曲线")</f>
        <v/>
      </c>
      <c r="Q45" s="4" t="n">
        <v>190</v>
      </c>
      <c r="R45" s="4" t="n">
        <v>114</v>
      </c>
    </row>
    <row r="46" ht="25" customHeight="1">
      <c r="A46" s="4" t="n">
        <v>42</v>
      </c>
      <c r="B46" s="4">
        <f>爬塔!J46</f>
        <v/>
      </c>
      <c r="C46" s="4" t="n">
        <v>569000</v>
      </c>
      <c r="D46" s="5">
        <f>IF(P46="通过",ROUND(O46,-MAX(0,INT(LOG10(O46))-推荐战力参数!$B$5+1)),0)</f>
        <v/>
      </c>
      <c r="E46" s="84">
        <f>D46/C46-1</f>
        <v/>
      </c>
      <c r="F46" s="4">
        <f>MAX(G46,H46)</f>
        <v/>
      </c>
      <c r="G46" s="4">
        <f>MIN(ROWS(_玩家曲线!$H$2:$H$280),COUNTIF(_玩家曲线!$H$2:$H$280,"&lt;"&amp;M46)+1)</f>
        <v/>
      </c>
      <c r="H46" s="4">
        <f>MIN(ROWS(_玩家曲线!$I$2:$I$280),COUNTIF(_玩家曲线!$I$2:$I$280,"&lt;"&amp;N46)+1)</f>
        <v/>
      </c>
      <c r="I46" s="7" t="n">
        <v>15.2438857898809</v>
      </c>
      <c r="J46" s="7" t="n">
        <v>13.3685299773235</v>
      </c>
      <c r="K46" s="4">
        <f>爬塔!W46</f>
        <v/>
      </c>
      <c r="L46" s="4">
        <f>爬塔!T46*IF(爬塔!O46="",1,爬塔!O46)</f>
        <v/>
      </c>
      <c r="M46" s="4">
        <f>K46/I46</f>
        <v/>
      </c>
      <c r="N46" s="4">
        <f>L46*J46</f>
        <v/>
      </c>
      <c r="O46" s="4">
        <f>INDEX(_统一战力!$D$2:$D$280,MATCH(F46,_统一战力!$C$2:$C$280,0))</f>
        <v/>
      </c>
      <c r="P46" s="4">
        <f>IF(AND(INDEX(_玩家曲线!$H$2:$H$280,F46)&gt;=M46,INDEX(_玩家曲线!$I$2:$I$280,F46)&gt;=N46),"通过","超出玩家曲线")</f>
        <v/>
      </c>
      <c r="Q46" s="4" t="n">
        <v>195</v>
      </c>
      <c r="R46" s="4" t="n">
        <v>117</v>
      </c>
    </row>
    <row r="47" ht="25" customHeight="1">
      <c r="A47" s="4" t="n">
        <v>43</v>
      </c>
      <c r="B47" s="4">
        <f>爬塔!J47</f>
        <v/>
      </c>
      <c r="C47" s="4" t="n">
        <v>586000</v>
      </c>
      <c r="D47" s="5">
        <f>IF(P47="通过",ROUND(O47,-MAX(0,INT(LOG10(O47))-推荐战力参数!$B$5+1)),0)</f>
        <v/>
      </c>
      <c r="E47" s="84">
        <f>D47/C47-1</f>
        <v/>
      </c>
      <c r="F47" s="4">
        <f>MAX(G47,H47)</f>
        <v/>
      </c>
      <c r="G47" s="4">
        <f>MIN(ROWS(_玩家曲线!$H$2:$H$280),COUNTIF(_玩家曲线!$H$2:$H$280,"&lt;"&amp;M47)+1)</f>
        <v/>
      </c>
      <c r="H47" s="4">
        <f>MIN(ROWS(_玩家曲线!$I$2:$I$280),COUNTIF(_玩家曲线!$I$2:$I$280,"&lt;"&amp;N47)+1)</f>
        <v/>
      </c>
      <c r="I47" s="7" t="n">
        <v>16.2613445362629</v>
      </c>
      <c r="J47" s="7" t="n">
        <v>13.446541520712</v>
      </c>
      <c r="K47" s="4">
        <f>爬塔!W47</f>
        <v/>
      </c>
      <c r="L47" s="4">
        <f>爬塔!T47*IF(爬塔!O47="",1,爬塔!O47)</f>
        <v/>
      </c>
      <c r="M47" s="4">
        <f>K47/I47</f>
        <v/>
      </c>
      <c r="N47" s="4">
        <f>L47*J47</f>
        <v/>
      </c>
      <c r="O47" s="4">
        <f>INDEX(_统一战力!$D$2:$D$280,MATCH(F47,_统一战力!$C$2:$C$280,0))</f>
        <v/>
      </c>
      <c r="P47" s="4">
        <f>IF(AND(INDEX(_玩家曲线!$H$2:$H$280,F47)&gt;=M47,INDEX(_玩家曲线!$I$2:$I$280,F47)&gt;=N47),"通过","超出玩家曲线")</f>
        <v/>
      </c>
      <c r="Q47" s="4" t="n">
        <v>198</v>
      </c>
      <c r="R47" s="4" t="n">
        <v>119</v>
      </c>
    </row>
    <row r="48" ht="25" customHeight="1">
      <c r="A48" s="4" t="n">
        <v>44</v>
      </c>
      <c r="B48" s="4">
        <f>爬塔!J48</f>
        <v/>
      </c>
      <c r="C48" s="4" t="n">
        <v>613000</v>
      </c>
      <c r="D48" s="5">
        <f>IF(P48="通过",ROUND(O48,-MAX(0,INT(LOG10(O48))-推荐战力参数!$B$5+1)),0)</f>
        <v/>
      </c>
      <c r="E48" s="84">
        <f>D48/C48-1</f>
        <v/>
      </c>
      <c r="F48" s="4">
        <f>MAX(G48,H48)</f>
        <v/>
      </c>
      <c r="G48" s="4">
        <f>MIN(ROWS(_玩家曲线!$H$2:$H$280),COUNTIF(_玩家曲线!$H$2:$H$280,"&lt;"&amp;M48)+1)</f>
        <v/>
      </c>
      <c r="H48" s="4">
        <f>MIN(ROWS(_玩家曲线!$I$2:$I$280),COUNTIF(_玩家曲线!$I$2:$I$280,"&lt;"&amp;N48)+1)</f>
        <v/>
      </c>
      <c r="I48" s="7" t="n">
        <v>16.2244164224072</v>
      </c>
      <c r="J48" s="7" t="n">
        <v>13.5792836025766</v>
      </c>
      <c r="K48" s="4">
        <f>爬塔!W48</f>
        <v/>
      </c>
      <c r="L48" s="4">
        <f>爬塔!T48*IF(爬塔!O48="",1,爬塔!O48)</f>
        <v/>
      </c>
      <c r="M48" s="4">
        <f>K48/I48</f>
        <v/>
      </c>
      <c r="N48" s="4">
        <f>L48*J48</f>
        <v/>
      </c>
      <c r="O48" s="4">
        <f>INDEX(_统一战力!$D$2:$D$280,MATCH(F48,_统一战力!$C$2:$C$280,0))</f>
        <v/>
      </c>
      <c r="P48" s="4">
        <f>IF(AND(INDEX(_玩家曲线!$H$2:$H$280,F48)&gt;=M48,INDEX(_玩家曲线!$I$2:$I$280,F48)&gt;=N48),"通过","超出玩家曲线")</f>
        <v/>
      </c>
      <c r="Q48" s="4" t="n">
        <v>201</v>
      </c>
      <c r="R48" s="4" t="n">
        <v>122</v>
      </c>
    </row>
    <row r="49" ht="25" customHeight="1">
      <c r="A49" s="4" t="n">
        <v>45</v>
      </c>
      <c r="B49" s="4">
        <f>爬塔!J49</f>
        <v/>
      </c>
      <c r="C49" s="4" t="n">
        <v>631000</v>
      </c>
      <c r="D49" s="5">
        <f>IF(P49="通过",ROUND(O49,-MAX(0,INT(LOG10(O49))-推荐战力参数!$B$5+1)),0)</f>
        <v/>
      </c>
      <c r="E49" s="84">
        <f>D49/C49-1</f>
        <v/>
      </c>
      <c r="F49" s="4">
        <f>MAX(G49,H49)</f>
        <v/>
      </c>
      <c r="G49" s="4">
        <f>MIN(ROWS(_玩家曲线!$H$2:$H$280),COUNTIF(_玩家曲线!$H$2:$H$280,"&lt;"&amp;M49)+1)</f>
        <v/>
      </c>
      <c r="H49" s="4">
        <f>MIN(ROWS(_玩家曲线!$I$2:$I$280),COUNTIF(_玩家曲线!$I$2:$I$280,"&lt;"&amp;N49)+1)</f>
        <v/>
      </c>
      <c r="I49" s="7" t="n">
        <v>14.3998485410277</v>
      </c>
      <c r="J49" s="7" t="n">
        <v>13.1155958278818</v>
      </c>
      <c r="K49" s="4">
        <f>爬塔!W49</f>
        <v/>
      </c>
      <c r="L49" s="4">
        <f>爬塔!T49*IF(爬塔!O49="",1,爬塔!O49)</f>
        <v/>
      </c>
      <c r="M49" s="4">
        <f>K49/I49</f>
        <v/>
      </c>
      <c r="N49" s="4">
        <f>L49*J49</f>
        <v/>
      </c>
      <c r="O49" s="4">
        <f>INDEX(_统一战力!$D$2:$D$280,MATCH(F49,_统一战力!$C$2:$C$280,0))</f>
        <v/>
      </c>
      <c r="P49" s="4">
        <f>IF(AND(INDEX(_玩家曲线!$H$2:$H$280,F49)&gt;=M49,INDEX(_玩家曲线!$I$2:$I$280,F49)&gt;=N49),"通过","超出玩家曲线")</f>
        <v/>
      </c>
      <c r="Q49" s="4" t="n">
        <v>204</v>
      </c>
      <c r="R49" s="4" t="n">
        <v>124</v>
      </c>
    </row>
    <row r="50" ht="25" customHeight="1">
      <c r="A50" s="4" t="n">
        <v>46</v>
      </c>
      <c r="B50" s="4">
        <f>爬塔!J50</f>
        <v/>
      </c>
      <c r="C50" s="4" t="n">
        <v>659000</v>
      </c>
      <c r="D50" s="5">
        <f>IF(P50="通过",ROUND(O50,-MAX(0,INT(LOG10(O50))-推荐战力参数!$B$5+1)),0)</f>
        <v/>
      </c>
      <c r="E50" s="84">
        <f>D50/C50-1</f>
        <v/>
      </c>
      <c r="F50" s="4">
        <f>MAX(G50,H50)</f>
        <v/>
      </c>
      <c r="G50" s="4">
        <f>MIN(ROWS(_玩家曲线!$H$2:$H$280),COUNTIF(_玩家曲线!$H$2:$H$280,"&lt;"&amp;M50)+1)</f>
        <v/>
      </c>
      <c r="H50" s="4">
        <f>MIN(ROWS(_玩家曲线!$I$2:$I$280),COUNTIF(_玩家曲线!$I$2:$I$280,"&lt;"&amp;N50)+1)</f>
        <v/>
      </c>
      <c r="I50" s="7" t="n">
        <v>16.199171534605</v>
      </c>
      <c r="J50" s="7" t="n">
        <v>14.2492423479061</v>
      </c>
      <c r="K50" s="4">
        <f>爬塔!W50</f>
        <v/>
      </c>
      <c r="L50" s="4">
        <f>爬塔!T50*IF(爬塔!O50="",1,爬塔!O50)</f>
        <v/>
      </c>
      <c r="M50" s="4">
        <f>K50/I50</f>
        <v/>
      </c>
      <c r="N50" s="4">
        <f>L50*J50</f>
        <v/>
      </c>
      <c r="O50" s="4">
        <f>INDEX(_统一战力!$D$2:$D$280,MATCH(F50,_统一战力!$C$2:$C$280,0))</f>
        <v/>
      </c>
      <c r="P50" s="4">
        <f>IF(AND(INDEX(_玩家曲线!$H$2:$H$280,F50)&gt;=M50,INDEX(_玩家曲线!$I$2:$I$280,F50)&gt;=N50),"通过","超出玩家曲线")</f>
        <v/>
      </c>
      <c r="Q50" s="4" t="n">
        <v>208</v>
      </c>
      <c r="R50" s="4" t="n">
        <v>127</v>
      </c>
    </row>
    <row r="51" ht="25" customHeight="1">
      <c r="A51" s="4" t="n">
        <v>47</v>
      </c>
      <c r="B51" s="4">
        <f>爬塔!J51</f>
        <v/>
      </c>
      <c r="C51" s="4" t="n">
        <v>686000</v>
      </c>
      <c r="D51" s="5">
        <f>IF(P51="通过",ROUND(O51,-MAX(0,INT(LOG10(O51))-推荐战力参数!$B$5+1)),0)</f>
        <v/>
      </c>
      <c r="E51" s="84">
        <f>D51/C51-1</f>
        <v/>
      </c>
      <c r="F51" s="4">
        <f>MAX(G51,H51)</f>
        <v/>
      </c>
      <c r="G51" s="4">
        <f>MIN(ROWS(_玩家曲线!$H$2:$H$280),COUNTIF(_玩家曲线!$H$2:$H$280,"&lt;"&amp;M51)+1)</f>
        <v/>
      </c>
      <c r="H51" s="4">
        <f>MIN(ROWS(_玩家曲线!$I$2:$I$280),COUNTIF(_玩家曲线!$I$2:$I$280,"&lt;"&amp;N51)+1)</f>
        <v/>
      </c>
      <c r="I51" s="7" t="n">
        <v>14.3322979960428</v>
      </c>
      <c r="J51" s="7" t="n">
        <v>13.3332055212407</v>
      </c>
      <c r="K51" s="4">
        <f>爬塔!W51</f>
        <v/>
      </c>
      <c r="L51" s="4">
        <f>爬塔!T51*IF(爬塔!O51="",1,爬塔!O51)</f>
        <v/>
      </c>
      <c r="M51" s="4">
        <f>K51/I51</f>
        <v/>
      </c>
      <c r="N51" s="4">
        <f>L51*J51</f>
        <v/>
      </c>
      <c r="O51" s="4">
        <f>INDEX(_统一战力!$D$2:$D$280,MATCH(F51,_统一战力!$C$2:$C$280,0))</f>
        <v/>
      </c>
      <c r="P51" s="4">
        <f>IF(AND(INDEX(_玩家曲线!$H$2:$H$280,F51)&gt;=M51,INDEX(_玩家曲线!$I$2:$I$280,F51)&gt;=N51),"通过","超出玩家曲线")</f>
        <v/>
      </c>
      <c r="Q51" s="4" t="n">
        <v>211</v>
      </c>
      <c r="R51" s="4" t="n">
        <v>130</v>
      </c>
    </row>
    <row r="52" ht="25" customHeight="1">
      <c r="A52" s="4" t="n">
        <v>48</v>
      </c>
      <c r="B52" s="4">
        <f>爬塔!J52</f>
        <v/>
      </c>
      <c r="C52" s="4" t="n">
        <v>702000</v>
      </c>
      <c r="D52" s="5">
        <f>IF(P52="通过",ROUND(O52,-MAX(0,INT(LOG10(O52))-推荐战力参数!$B$5+1)),0)</f>
        <v/>
      </c>
      <c r="E52" s="84">
        <f>D52/C52-1</f>
        <v/>
      </c>
      <c r="F52" s="4">
        <f>MAX(G52,H52)</f>
        <v/>
      </c>
      <c r="G52" s="4">
        <f>MIN(ROWS(_玩家曲线!$H$2:$H$280),COUNTIF(_玩家曲线!$H$2:$H$280,"&lt;"&amp;M52)+1)</f>
        <v/>
      </c>
      <c r="H52" s="4">
        <f>MIN(ROWS(_玩家曲线!$I$2:$I$280),COUNTIF(_玩家曲线!$I$2:$I$280,"&lt;"&amp;N52)+1)</f>
        <v/>
      </c>
      <c r="I52" s="7" t="n">
        <v>15.1636428479388</v>
      </c>
      <c r="J52" s="7" t="n">
        <v>13.9275833727987</v>
      </c>
      <c r="K52" s="4">
        <f>爬塔!W52</f>
        <v/>
      </c>
      <c r="L52" s="4">
        <f>爬塔!T52*IF(爬塔!O52="",1,爬塔!O52)</f>
        <v/>
      </c>
      <c r="M52" s="4">
        <f>K52/I52</f>
        <v/>
      </c>
      <c r="N52" s="4">
        <f>L52*J52</f>
        <v/>
      </c>
      <c r="O52" s="4">
        <f>INDEX(_统一战力!$D$2:$D$280,MATCH(F52,_统一战力!$C$2:$C$280,0))</f>
        <v/>
      </c>
      <c r="P52" s="4">
        <f>IF(AND(INDEX(_玩家曲线!$H$2:$H$280,F52)&gt;=M52,INDEX(_玩家曲线!$I$2:$I$280,F52)&gt;=N52),"通过","超出玩家曲线")</f>
        <v/>
      </c>
      <c r="Q52" s="4" t="n">
        <v>213</v>
      </c>
      <c r="R52" s="4" t="n">
        <v>132</v>
      </c>
    </row>
    <row r="53" ht="25" customHeight="1">
      <c r="A53" s="4" t="n">
        <v>49</v>
      </c>
      <c r="B53" s="4">
        <f>爬塔!J53</f>
        <v/>
      </c>
      <c r="C53" s="4" t="n">
        <v>726000</v>
      </c>
      <c r="D53" s="5">
        <f>IF(P53="通过",ROUND(O53,-MAX(0,INT(LOG10(O53))-推荐战力参数!$B$5+1)),0)</f>
        <v/>
      </c>
      <c r="E53" s="84">
        <f>D53/C53-1</f>
        <v/>
      </c>
      <c r="F53" s="4">
        <f>MAX(G53,H53)</f>
        <v/>
      </c>
      <c r="G53" s="4">
        <f>MIN(ROWS(_玩家曲线!$H$2:$H$280),COUNTIF(_玩家曲线!$H$2:$H$280,"&lt;"&amp;M53)+1)</f>
        <v/>
      </c>
      <c r="H53" s="4">
        <f>MIN(ROWS(_玩家曲线!$I$2:$I$280),COUNTIF(_玩家曲线!$I$2:$I$280,"&lt;"&amp;N53)+1)</f>
        <v/>
      </c>
      <c r="I53" s="7" t="n">
        <v>17.3581900041584</v>
      </c>
      <c r="J53" s="7" t="n">
        <v>13.9353687984088</v>
      </c>
      <c r="K53" s="4">
        <f>爬塔!W53</f>
        <v/>
      </c>
      <c r="L53" s="4">
        <f>爬塔!T53*IF(爬塔!O53="",1,爬塔!O53)</f>
        <v/>
      </c>
      <c r="M53" s="4">
        <f>K53/I53</f>
        <v/>
      </c>
      <c r="N53" s="4">
        <f>L53*J53</f>
        <v/>
      </c>
      <c r="O53" s="4">
        <f>INDEX(_统一战力!$D$2:$D$280,MATCH(F53,_统一战力!$C$2:$C$280,0))</f>
        <v/>
      </c>
      <c r="P53" s="4">
        <f>IF(AND(INDEX(_玩家曲线!$H$2:$H$280,F53)&gt;=M53,INDEX(_玩家曲线!$I$2:$I$280,F53)&gt;=N53),"通过","超出玩家曲线")</f>
        <v/>
      </c>
      <c r="Q53" s="4" t="n">
        <v>217</v>
      </c>
      <c r="R53" s="4" t="n">
        <v>135</v>
      </c>
    </row>
    <row r="54" ht="25" customHeight="1">
      <c r="A54" s="4" t="n">
        <v>50</v>
      </c>
      <c r="B54" s="4">
        <f>爬塔!J54</f>
        <v/>
      </c>
      <c r="C54" s="4" t="n">
        <v>751000</v>
      </c>
      <c r="D54" s="5">
        <f>IF(P54="通过",ROUND(O54,-MAX(0,INT(LOG10(O54))-推荐战力参数!$B$5+1)),0)</f>
        <v/>
      </c>
      <c r="E54" s="84">
        <f>D54/C54-1</f>
        <v/>
      </c>
      <c r="F54" s="4">
        <f>MAX(G54,H54)</f>
        <v/>
      </c>
      <c r="G54" s="4">
        <f>MIN(ROWS(_玩家曲线!$H$2:$H$280),COUNTIF(_玩家曲线!$H$2:$H$280,"&lt;"&amp;M54)+1)</f>
        <v/>
      </c>
      <c r="H54" s="4">
        <f>MIN(ROWS(_玩家曲线!$I$2:$I$280),COUNTIF(_玩家曲线!$I$2:$I$280,"&lt;"&amp;N54)+1)</f>
        <v/>
      </c>
      <c r="I54" s="7" t="n">
        <v>15.475710494529</v>
      </c>
      <c r="J54" s="7" t="n">
        <v>13.9201689240783</v>
      </c>
      <c r="K54" s="4">
        <f>爬塔!W54</f>
        <v/>
      </c>
      <c r="L54" s="4">
        <f>爬塔!T54*IF(爬塔!O54="",1,爬塔!O54)</f>
        <v/>
      </c>
      <c r="M54" s="4">
        <f>K54/I54</f>
        <v/>
      </c>
      <c r="N54" s="4">
        <f>L54*J54</f>
        <v/>
      </c>
      <c r="O54" s="4">
        <f>INDEX(_统一战力!$D$2:$D$280,MATCH(F54,_统一战力!$C$2:$C$280,0))</f>
        <v/>
      </c>
      <c r="P54" s="4">
        <f>IF(AND(INDEX(_玩家曲线!$H$2:$H$280,F54)&gt;=M54,INDEX(_玩家曲线!$I$2:$I$280,F54)&gt;=N54),"通过","超出玩家曲线")</f>
        <v/>
      </c>
      <c r="Q54" s="4" t="n">
        <v>220</v>
      </c>
      <c r="R54" s="4" t="n">
        <v>138</v>
      </c>
    </row>
    <row r="55" ht="25" customHeight="1">
      <c r="A55" s="4" t="n">
        <v>51</v>
      </c>
      <c r="B55" s="4">
        <f>爬塔!J55</f>
        <v/>
      </c>
      <c r="C55" s="4" t="n">
        <v>768000</v>
      </c>
      <c r="D55" s="5">
        <f>IF(P55="通过",ROUND(O55,-MAX(0,INT(LOG10(O55))-推荐战力参数!$B$5+1)),0)</f>
        <v/>
      </c>
      <c r="E55" s="84">
        <f>D55/C55-1</f>
        <v/>
      </c>
      <c r="F55" s="4">
        <f>MAX(G55,H55)</f>
        <v/>
      </c>
      <c r="G55" s="4">
        <f>MIN(ROWS(_玩家曲线!$H$2:$H$280),COUNTIF(_玩家曲线!$H$2:$H$280,"&lt;"&amp;M55)+1)</f>
        <v/>
      </c>
      <c r="H55" s="4">
        <f>MIN(ROWS(_玩家曲线!$I$2:$I$280),COUNTIF(_玩家曲线!$I$2:$I$280,"&lt;"&amp;N55)+1)</f>
        <v/>
      </c>
      <c r="I55" s="7" t="n">
        <v>13.6856298647161</v>
      </c>
      <c r="J55" s="7" t="n">
        <v>12.9622710507825</v>
      </c>
      <c r="K55" s="4">
        <f>爬塔!W55</f>
        <v/>
      </c>
      <c r="L55" s="4">
        <f>爬塔!T55*IF(爬塔!O55="",1,爬塔!O55)</f>
        <v/>
      </c>
      <c r="M55" s="4">
        <f>K55/I55</f>
        <v/>
      </c>
      <c r="N55" s="4">
        <f>L55*J55</f>
        <v/>
      </c>
      <c r="O55" s="4">
        <f>INDEX(_统一战力!$D$2:$D$280,MATCH(F55,_统一战力!$C$2:$C$280,0))</f>
        <v/>
      </c>
      <c r="P55" s="4">
        <f>IF(AND(INDEX(_玩家曲线!$H$2:$H$280,F55)&gt;=M55,INDEX(_玩家曲线!$I$2:$I$280,F55)&gt;=N55),"通过","超出玩家曲线")</f>
        <v/>
      </c>
      <c r="Q55" s="4" t="n">
        <v>222</v>
      </c>
      <c r="R55" s="4" t="n">
        <v>140</v>
      </c>
    </row>
    <row r="56" ht="25" customHeight="1">
      <c r="A56" s="4" t="n">
        <v>52</v>
      </c>
      <c r="B56" s="4">
        <f>爬塔!J56</f>
        <v/>
      </c>
      <c r="C56" s="4" t="n">
        <v>794000</v>
      </c>
      <c r="D56" s="5">
        <f>IF(P56="通过",ROUND(O56,-MAX(0,INT(LOG10(O56))-推荐战力参数!$B$5+1)),0)</f>
        <v/>
      </c>
      <c r="E56" s="84">
        <f>D56/C56-1</f>
        <v/>
      </c>
      <c r="F56" s="4">
        <f>MAX(G56,H56)</f>
        <v/>
      </c>
      <c r="G56" s="4">
        <f>MIN(ROWS(_玩家曲线!$H$2:$H$280),COUNTIF(_玩家曲线!$H$2:$H$280,"&lt;"&amp;M56)+1)</f>
        <v/>
      </c>
      <c r="H56" s="4">
        <f>MIN(ROWS(_玩家曲线!$I$2:$I$280),COUNTIF(_玩家曲线!$I$2:$I$280,"&lt;"&amp;N56)+1)</f>
        <v/>
      </c>
      <c r="I56" s="7" t="n">
        <v>14.4582862050034</v>
      </c>
      <c r="J56" s="7" t="n">
        <v>13.5718054024503</v>
      </c>
      <c r="K56" s="4">
        <f>爬塔!W56</f>
        <v/>
      </c>
      <c r="L56" s="4">
        <f>爬塔!T56*IF(爬塔!O56="",1,爬塔!O56)</f>
        <v/>
      </c>
      <c r="M56" s="4">
        <f>K56/I56</f>
        <v/>
      </c>
      <c r="N56" s="4">
        <f>L56*J56</f>
        <v/>
      </c>
      <c r="O56" s="4">
        <f>INDEX(_统一战力!$D$2:$D$280,MATCH(F56,_统一战力!$C$2:$C$280,0))</f>
        <v/>
      </c>
      <c r="P56" s="4">
        <f>IF(AND(INDEX(_玩家曲线!$H$2:$H$280,F56)&gt;=M56,INDEX(_玩家曲线!$I$2:$I$280,F56)&gt;=N56),"通过","超出玩家曲线")</f>
        <v/>
      </c>
      <c r="Q56" s="4" t="n">
        <v>225</v>
      </c>
      <c r="R56" s="4" t="n">
        <v>143</v>
      </c>
    </row>
    <row r="57" ht="25" customHeight="1">
      <c r="A57" s="4" t="n">
        <v>53</v>
      </c>
      <c r="B57" s="4">
        <f>爬塔!J57</f>
        <v/>
      </c>
      <c r="C57" s="4" t="n">
        <v>817000</v>
      </c>
      <c r="D57" s="5">
        <f>IF(P57="通过",ROUND(O57,-MAX(0,INT(LOG10(O57))-推荐战力参数!$B$5+1)),0)</f>
        <v/>
      </c>
      <c r="E57" s="84">
        <f>D57/C57-1</f>
        <v/>
      </c>
      <c r="F57" s="4">
        <f>MAX(G57,H57)</f>
        <v/>
      </c>
      <c r="G57" s="4">
        <f>MIN(ROWS(_玩家曲线!$H$2:$H$280),COUNTIF(_玩家曲线!$H$2:$H$280,"&lt;"&amp;M57)+1)</f>
        <v/>
      </c>
      <c r="H57" s="4">
        <f>MIN(ROWS(_玩家曲线!$I$2:$I$280),COUNTIF(_玩家曲线!$I$2:$I$280,"&lt;"&amp;N57)+1)</f>
        <v/>
      </c>
      <c r="I57" s="7" t="n">
        <v>14.5253367865898</v>
      </c>
      <c r="J57" s="7" t="n">
        <v>13.5923303749199</v>
      </c>
      <c r="K57" s="4">
        <f>爬塔!W57</f>
        <v/>
      </c>
      <c r="L57" s="4">
        <f>爬塔!T57*IF(爬塔!O57="",1,爬塔!O57)</f>
        <v/>
      </c>
      <c r="M57" s="4">
        <f>K57/I57</f>
        <v/>
      </c>
      <c r="N57" s="4">
        <f>L57*J57</f>
        <v/>
      </c>
      <c r="O57" s="4">
        <f>INDEX(_统一战力!$D$2:$D$280,MATCH(F57,_统一战力!$C$2:$C$280,0))</f>
        <v/>
      </c>
      <c r="P57" s="4">
        <f>IF(AND(INDEX(_玩家曲线!$H$2:$H$280,F57)&gt;=M57,INDEX(_玩家曲线!$I$2:$I$280,F57)&gt;=N57),"通过","超出玩家曲线")</f>
        <v/>
      </c>
      <c r="Q57" s="4" t="n">
        <v>228</v>
      </c>
      <c r="R57" s="4" t="n">
        <v>146</v>
      </c>
    </row>
    <row r="58" ht="25" customHeight="1">
      <c r="A58" s="4" t="n">
        <v>54</v>
      </c>
      <c r="B58" s="4">
        <f>爬塔!J58</f>
        <v/>
      </c>
      <c r="C58" s="4" t="n">
        <v>832000</v>
      </c>
      <c r="D58" s="5">
        <f>IF(P58="通过",ROUND(O58,-MAX(0,INT(LOG10(O58))-推荐战力参数!$B$5+1)),0)</f>
        <v/>
      </c>
      <c r="E58" s="84">
        <f>D58/C58-1</f>
        <v/>
      </c>
      <c r="F58" s="4">
        <f>MAX(G58,H58)</f>
        <v/>
      </c>
      <c r="G58" s="4">
        <f>MIN(ROWS(_玩家曲线!$H$2:$H$280),COUNTIF(_玩家曲线!$H$2:$H$280,"&lt;"&amp;M58)+1)</f>
        <v/>
      </c>
      <c r="H58" s="4">
        <f>MIN(ROWS(_玩家曲线!$I$2:$I$280),COUNTIF(_玩家曲线!$I$2:$I$280,"&lt;"&amp;N58)+1)</f>
        <v/>
      </c>
      <c r="I58" s="7" t="n">
        <v>14.5836963367914</v>
      </c>
      <c r="J58" s="7" t="n">
        <v>13.596157123129</v>
      </c>
      <c r="K58" s="4">
        <f>爬塔!W58</f>
        <v/>
      </c>
      <c r="L58" s="4">
        <f>爬塔!T58*IF(爬塔!O58="",1,爬塔!O58)</f>
        <v/>
      </c>
      <c r="M58" s="4">
        <f>K58/I58</f>
        <v/>
      </c>
      <c r="N58" s="4">
        <f>L58*J58</f>
        <v/>
      </c>
      <c r="O58" s="4">
        <f>INDEX(_统一战力!$D$2:$D$280,MATCH(F58,_统一战力!$C$2:$C$280,0))</f>
        <v/>
      </c>
      <c r="P58" s="4">
        <f>IF(AND(INDEX(_玩家曲线!$H$2:$H$280,F58)&gt;=M58,INDEX(_玩家曲线!$I$2:$I$280,F58)&gt;=N58),"通过","超出玩家曲线")</f>
        <v/>
      </c>
      <c r="Q58" s="4" t="n">
        <v>230</v>
      </c>
      <c r="R58" s="4" t="n">
        <v>148</v>
      </c>
    </row>
    <row r="59" ht="25" customHeight="1">
      <c r="A59" s="4" t="n">
        <v>55</v>
      </c>
      <c r="B59" s="4">
        <f>爬塔!J59</f>
        <v/>
      </c>
      <c r="C59" s="4" t="n">
        <v>855000</v>
      </c>
      <c r="D59" s="5">
        <f>IF(P59="通过",ROUND(O59,-MAX(0,INT(LOG10(O59))-推荐战力参数!$B$5+1)),0)</f>
        <v/>
      </c>
      <c r="E59" s="84">
        <f>D59/C59-1</f>
        <v/>
      </c>
      <c r="F59" s="4">
        <f>MAX(G59,H59)</f>
        <v/>
      </c>
      <c r="G59" s="4">
        <f>MIN(ROWS(_玩家曲线!$H$2:$H$280),COUNTIF(_玩家曲线!$H$2:$H$280,"&lt;"&amp;M59)+1)</f>
        <v/>
      </c>
      <c r="H59" s="4">
        <f>MIN(ROWS(_玩家曲线!$I$2:$I$280),COUNTIF(_玩家曲线!$I$2:$I$280,"&lt;"&amp;N59)+1)</f>
        <v/>
      </c>
      <c r="I59" s="7" t="n">
        <v>15.4268799627553</v>
      </c>
      <c r="J59" s="7" t="n">
        <v>14.203158356187</v>
      </c>
      <c r="K59" s="4">
        <f>爬塔!W59</f>
        <v/>
      </c>
      <c r="L59" s="4">
        <f>爬塔!T59*IF(爬塔!O59="",1,爬塔!O59)</f>
        <v/>
      </c>
      <c r="M59" s="4">
        <f>K59/I59</f>
        <v/>
      </c>
      <c r="N59" s="4">
        <f>L59*J59</f>
        <v/>
      </c>
      <c r="O59" s="4">
        <f>INDEX(_统一战力!$D$2:$D$280,MATCH(F59,_统一战力!$C$2:$C$280,0))</f>
        <v/>
      </c>
      <c r="P59" s="4">
        <f>IF(AND(INDEX(_玩家曲线!$H$2:$H$280,F59)&gt;=M59,INDEX(_玩家曲线!$I$2:$I$280,F59)&gt;=N59),"通过","超出玩家曲线")</f>
        <v/>
      </c>
      <c r="Q59" s="4" t="n">
        <v>232</v>
      </c>
      <c r="R59" s="4" t="n">
        <v>151</v>
      </c>
    </row>
    <row r="60" ht="25" customHeight="1">
      <c r="A60" s="4" t="n">
        <v>56</v>
      </c>
      <c r="B60" s="4">
        <f>爬塔!J60</f>
        <v/>
      </c>
      <c r="C60" s="4" t="n">
        <v>878000</v>
      </c>
      <c r="D60" s="5">
        <f>IF(P60="通过",ROUND(O60,-MAX(0,INT(LOG10(O60))-推荐战力参数!$B$5+1)),0)</f>
        <v/>
      </c>
      <c r="E60" s="84">
        <f>D60/C60-1</f>
        <v/>
      </c>
      <c r="F60" s="4">
        <f>MAX(G60,H60)</f>
        <v/>
      </c>
      <c r="G60" s="4">
        <f>MIN(ROWS(_玩家曲线!$H$2:$H$280),COUNTIF(_玩家曲线!$H$2:$H$280,"&lt;"&amp;M60)+1)</f>
        <v/>
      </c>
      <c r="H60" s="4">
        <f>MIN(ROWS(_玩家曲线!$I$2:$I$280),COUNTIF(_玩家曲线!$I$2:$I$280,"&lt;"&amp;N60)+1)</f>
        <v/>
      </c>
      <c r="I60" s="7" t="n">
        <v>14.4888068727641</v>
      </c>
      <c r="J60" s="7" t="n">
        <v>13.7426658295693</v>
      </c>
      <c r="K60" s="4">
        <f>爬塔!W60</f>
        <v/>
      </c>
      <c r="L60" s="4">
        <f>爬塔!T60*IF(爬塔!O60="",1,爬塔!O60)</f>
        <v/>
      </c>
      <c r="M60" s="4">
        <f>K60/I60</f>
        <v/>
      </c>
      <c r="N60" s="4">
        <f>L60*J60</f>
        <v/>
      </c>
      <c r="O60" s="4">
        <f>INDEX(_统一战力!$D$2:$D$280,MATCH(F60,_统一战力!$C$2:$C$280,0))</f>
        <v/>
      </c>
      <c r="P60" s="4">
        <f>IF(AND(INDEX(_玩家曲线!$H$2:$H$280,F60)&gt;=M60,INDEX(_玩家曲线!$I$2:$I$280,F60)&gt;=N60),"通过","超出玩家曲线")</f>
        <v/>
      </c>
      <c r="Q60" s="4" t="n">
        <v>235</v>
      </c>
      <c r="R60" s="4" t="n">
        <v>154</v>
      </c>
    </row>
    <row r="61" ht="25" customHeight="1">
      <c r="A61" s="4" t="n">
        <v>57</v>
      </c>
      <c r="B61" s="4">
        <f>爬塔!J61</f>
        <v/>
      </c>
      <c r="C61" s="4" t="n">
        <v>893000</v>
      </c>
      <c r="D61" s="5">
        <f>IF(P61="通过",ROUND(O61,-MAX(0,INT(LOG10(O61))-推荐战力参数!$B$5+1)),0)</f>
        <v/>
      </c>
      <c r="E61" s="84">
        <f>D61/C61-1</f>
        <v/>
      </c>
      <c r="F61" s="4">
        <f>MAX(G61,H61)</f>
        <v/>
      </c>
      <c r="G61" s="4">
        <f>MIN(ROWS(_玩家曲线!$H$2:$H$280),COUNTIF(_玩家曲线!$H$2:$H$280,"&lt;"&amp;M61)+1)</f>
        <v/>
      </c>
      <c r="H61" s="4">
        <f>MIN(ROWS(_玩家曲线!$I$2:$I$280),COUNTIF(_玩家曲线!$I$2:$I$280,"&lt;"&amp;N61)+1)</f>
        <v/>
      </c>
      <c r="I61" s="7" t="n">
        <v>13.6784404035805</v>
      </c>
      <c r="J61" s="7" t="n">
        <v>13.2281310557952</v>
      </c>
      <c r="K61" s="4">
        <f>爬塔!W61</f>
        <v/>
      </c>
      <c r="L61" s="4">
        <f>爬塔!T61*IF(爬塔!O61="",1,爬塔!O61)</f>
        <v/>
      </c>
      <c r="M61" s="4">
        <f>K61/I61</f>
        <v/>
      </c>
      <c r="N61" s="4">
        <f>L61*J61</f>
        <v/>
      </c>
      <c r="O61" s="4">
        <f>INDEX(_统一战力!$D$2:$D$280,MATCH(F61,_统一战力!$C$2:$C$280,0))</f>
        <v/>
      </c>
      <c r="P61" s="4">
        <f>IF(AND(INDEX(_玩家曲线!$H$2:$H$280,F61)&gt;=M61,INDEX(_玩家曲线!$I$2:$I$280,F61)&gt;=N61),"通过","超出玩家曲线")</f>
        <v/>
      </c>
      <c r="Q61" s="4" t="n">
        <v>237</v>
      </c>
      <c r="R61" s="4" t="n">
        <v>156</v>
      </c>
    </row>
    <row r="62" ht="25" customHeight="1">
      <c r="A62" s="4" t="n">
        <v>58</v>
      </c>
      <c r="B62" s="4">
        <f>爬塔!J62</f>
        <v/>
      </c>
      <c r="C62" s="4" t="n">
        <v>917000</v>
      </c>
      <c r="D62" s="5">
        <f>IF(P62="通过",ROUND(O62,-MAX(0,INT(LOG10(O62))-推荐战力参数!$B$5+1)),0)</f>
        <v/>
      </c>
      <c r="E62" s="84">
        <f>D62/C62-1</f>
        <v/>
      </c>
      <c r="F62" s="4">
        <f>MAX(G62,H62)</f>
        <v/>
      </c>
      <c r="G62" s="4">
        <f>MIN(ROWS(_玩家曲线!$H$2:$H$280),COUNTIF(_玩家曲线!$H$2:$H$280,"&lt;"&amp;M62)+1)</f>
        <v/>
      </c>
      <c r="H62" s="4">
        <f>MIN(ROWS(_玩家曲线!$I$2:$I$280),COUNTIF(_玩家曲线!$I$2:$I$280,"&lt;"&amp;N62)+1)</f>
        <v/>
      </c>
      <c r="I62" s="7" t="n">
        <v>13.6762481757798</v>
      </c>
      <c r="J62" s="7" t="n">
        <v>13.2680938012621</v>
      </c>
      <c r="K62" s="4">
        <f>爬塔!W62</f>
        <v/>
      </c>
      <c r="L62" s="4">
        <f>爬塔!T62*IF(爬塔!O62="",1,爬塔!O62)</f>
        <v/>
      </c>
      <c r="M62" s="4">
        <f>K62/I62</f>
        <v/>
      </c>
      <c r="N62" s="4">
        <f>L62*J62</f>
        <v/>
      </c>
      <c r="O62" s="4">
        <f>INDEX(_统一战力!$D$2:$D$280,MATCH(F62,_统一战力!$C$2:$C$280,0))</f>
        <v/>
      </c>
      <c r="P62" s="4">
        <f>IF(AND(INDEX(_玩家曲线!$H$2:$H$280,F62)&gt;=M62,INDEX(_玩家曲线!$I$2:$I$280,F62)&gt;=N62),"通过","超出玩家曲线")</f>
        <v/>
      </c>
      <c r="Q62" s="4" t="n">
        <v>239</v>
      </c>
      <c r="R62" s="4" t="n">
        <v>159</v>
      </c>
    </row>
    <row r="63" ht="25" customHeight="1">
      <c r="A63" s="4" t="n">
        <v>59</v>
      </c>
      <c r="B63" s="4">
        <f>爬塔!J63</f>
        <v/>
      </c>
      <c r="C63" s="4" t="n">
        <v>937000</v>
      </c>
      <c r="D63" s="5">
        <f>IF(P63="通过",ROUND(O63,-MAX(0,INT(LOG10(O63))-推荐战力参数!$B$5+1)),0)</f>
        <v/>
      </c>
      <c r="E63" s="84">
        <f>D63/C63-1</f>
        <v/>
      </c>
      <c r="F63" s="4">
        <f>MAX(G63,H63)</f>
        <v/>
      </c>
      <c r="G63" s="4">
        <f>MIN(ROWS(_玩家曲线!$H$2:$H$280),COUNTIF(_玩家曲线!$H$2:$H$280,"&lt;"&amp;M63)+1)</f>
        <v/>
      </c>
      <c r="H63" s="4">
        <f>MIN(ROWS(_玩家曲线!$I$2:$I$280),COUNTIF(_玩家曲线!$I$2:$I$280,"&lt;"&amp;N63)+1)</f>
        <v/>
      </c>
      <c r="I63" s="7" t="n">
        <v>14.603539760978</v>
      </c>
      <c r="J63" s="7" t="n">
        <v>13.7870215366215</v>
      </c>
      <c r="K63" s="4">
        <f>爬塔!W63</f>
        <v/>
      </c>
      <c r="L63" s="4">
        <f>爬塔!T63*IF(爬塔!O63="",1,爬塔!O63)</f>
        <v/>
      </c>
      <c r="M63" s="4">
        <f>K63/I63</f>
        <v/>
      </c>
      <c r="N63" s="4">
        <f>L63*J63</f>
        <v/>
      </c>
      <c r="O63" s="4">
        <f>INDEX(_统一战力!$D$2:$D$280,MATCH(F63,_统一战力!$C$2:$C$280,0))</f>
        <v/>
      </c>
      <c r="P63" s="4">
        <f>IF(AND(INDEX(_玩家曲线!$H$2:$H$280,F63)&gt;=M63,INDEX(_玩家曲线!$I$2:$I$280,F63)&gt;=N63),"通过","超出玩家曲线")</f>
        <v/>
      </c>
      <c r="Q63" s="4" t="n">
        <v>242</v>
      </c>
      <c r="R63" s="4" t="n">
        <v>162</v>
      </c>
    </row>
    <row r="64" ht="25" customHeight="1">
      <c r="A64" s="4" t="n">
        <v>60</v>
      </c>
      <c r="B64" s="4">
        <f>爬塔!J64</f>
        <v/>
      </c>
      <c r="C64" s="4" t="n">
        <v>958000</v>
      </c>
      <c r="D64" s="5">
        <f>IF(P64="通过",ROUND(O64,-MAX(0,INT(LOG10(O64))-推荐战力参数!$B$5+1)),0)</f>
        <v/>
      </c>
      <c r="E64" s="84">
        <f>D64/C64-1</f>
        <v/>
      </c>
      <c r="F64" s="4">
        <f>MAX(G64,H64)</f>
        <v/>
      </c>
      <c r="G64" s="4">
        <f>MIN(ROWS(_玩家曲线!$H$2:$H$280),COUNTIF(_玩家曲线!$H$2:$H$280,"&lt;"&amp;M64)+1)</f>
        <v/>
      </c>
      <c r="H64" s="4">
        <f>MIN(ROWS(_玩家曲线!$I$2:$I$280),COUNTIF(_玩家曲线!$I$2:$I$280,"&lt;"&amp;N64)+1)</f>
        <v/>
      </c>
      <c r="I64" s="7" t="n">
        <v>15.7294751410084</v>
      </c>
      <c r="J64" s="7" t="n">
        <v>14.2399738357423</v>
      </c>
      <c r="K64" s="4">
        <f>爬塔!W64</f>
        <v/>
      </c>
      <c r="L64" s="4">
        <f>爬塔!T64*IF(爬塔!O64="",1,爬塔!O64)</f>
        <v/>
      </c>
      <c r="M64" s="4">
        <f>K64/I64</f>
        <v/>
      </c>
      <c r="N64" s="4">
        <f>L64*J64</f>
        <v/>
      </c>
      <c r="O64" s="4">
        <f>INDEX(_统一战力!$D$2:$D$280,MATCH(F64,_统一战力!$C$2:$C$280,0))</f>
        <v/>
      </c>
      <c r="P64" s="4">
        <f>IF(AND(INDEX(_玩家曲线!$H$2:$H$280,F64)&gt;=M64,INDEX(_玩家曲线!$I$2:$I$280,F64)&gt;=N64),"通过","超出玩家曲线")</f>
        <v/>
      </c>
      <c r="Q64" s="4" t="n">
        <v>245</v>
      </c>
      <c r="R64" s="4" t="n">
        <v>165</v>
      </c>
    </row>
    <row r="65" ht="25" customHeight="1">
      <c r="A65" s="4" t="n">
        <v>61</v>
      </c>
      <c r="B65" s="4">
        <f>爬塔!J65</f>
        <v/>
      </c>
      <c r="C65" s="4" t="n">
        <v>972000</v>
      </c>
      <c r="D65" s="5">
        <f>IF(P65="通过",ROUND(O65,-MAX(0,INT(LOG10(O65))-推荐战力参数!$B$5+1)),0)</f>
        <v/>
      </c>
      <c r="E65" s="84">
        <f>D65/C65-1</f>
        <v/>
      </c>
      <c r="F65" s="4">
        <f>MAX(G65,H65)</f>
        <v/>
      </c>
      <c r="G65" s="4">
        <f>MIN(ROWS(_玩家曲线!$H$2:$H$280),COUNTIF(_玩家曲线!$H$2:$H$280,"&lt;"&amp;M65)+1)</f>
        <v/>
      </c>
      <c r="H65" s="4">
        <f>MIN(ROWS(_玩家曲线!$I$2:$I$280),COUNTIF(_玩家曲线!$I$2:$I$280,"&lt;"&amp;N65)+1)</f>
        <v/>
      </c>
      <c r="I65" s="7" t="n">
        <v>13.8571406695576</v>
      </c>
      <c r="J65" s="7" t="n">
        <v>13.2550106802931</v>
      </c>
      <c r="K65" s="4">
        <f>爬塔!W65</f>
        <v/>
      </c>
      <c r="L65" s="4">
        <f>爬塔!T65*IF(爬塔!O65="",1,爬塔!O65)</f>
        <v/>
      </c>
      <c r="M65" s="4">
        <f>K65/I65</f>
        <v/>
      </c>
      <c r="N65" s="4">
        <f>L65*J65</f>
        <v/>
      </c>
      <c r="O65" s="4">
        <f>INDEX(_统一战力!$D$2:$D$280,MATCH(F65,_统一战力!$C$2:$C$280,0))</f>
        <v/>
      </c>
      <c r="P65" s="4">
        <f>IF(AND(INDEX(_玩家曲线!$H$2:$H$280,F65)&gt;=M65,INDEX(_玩家曲线!$I$2:$I$280,F65)&gt;=N65),"通过","超出玩家曲线")</f>
        <v/>
      </c>
      <c r="Q65" s="4" t="n">
        <v>246</v>
      </c>
      <c r="R65" s="4" t="n">
        <v>167</v>
      </c>
    </row>
    <row r="66" ht="25" customHeight="1">
      <c r="A66" s="4" t="n">
        <v>62</v>
      </c>
      <c r="B66" s="4">
        <f>爬塔!J66</f>
        <v/>
      </c>
      <c r="C66" s="4" t="n">
        <v>993000</v>
      </c>
      <c r="D66" s="5">
        <f>IF(P66="通过",ROUND(O66,-MAX(0,INT(LOG10(O66))-推荐战力参数!$B$5+1)),0)</f>
        <v/>
      </c>
      <c r="E66" s="84">
        <f>D66/C66-1</f>
        <v/>
      </c>
      <c r="F66" s="4">
        <f>MAX(G66,H66)</f>
        <v/>
      </c>
      <c r="G66" s="4">
        <f>MIN(ROWS(_玩家曲线!$H$2:$H$280),COUNTIF(_玩家曲线!$H$2:$H$280,"&lt;"&amp;M66)+1)</f>
        <v/>
      </c>
      <c r="H66" s="4">
        <f>MIN(ROWS(_玩家曲线!$I$2:$I$280),COUNTIF(_玩家曲线!$I$2:$I$280,"&lt;"&amp;N66)+1)</f>
        <v/>
      </c>
      <c r="I66" s="7" t="n">
        <v>13.9154289570336</v>
      </c>
      <c r="J66" s="7" t="n">
        <v>13.2517090847415</v>
      </c>
      <c r="K66" s="4">
        <f>爬塔!W66</f>
        <v/>
      </c>
      <c r="L66" s="4">
        <f>爬塔!T66*IF(爬塔!O66="",1,爬塔!O66)</f>
        <v/>
      </c>
      <c r="M66" s="4">
        <f>K66/I66</f>
        <v/>
      </c>
      <c r="N66" s="4">
        <f>L66*J66</f>
        <v/>
      </c>
      <c r="O66" s="4">
        <f>INDEX(_统一战力!$D$2:$D$280,MATCH(F66,_统一战力!$C$2:$C$280,0))</f>
        <v/>
      </c>
      <c r="P66" s="4">
        <f>IF(AND(INDEX(_玩家曲线!$H$2:$H$280,F66)&gt;=M66,INDEX(_玩家曲线!$I$2:$I$280,F66)&gt;=N66),"通过","超出玩家曲线")</f>
        <v/>
      </c>
      <c r="Q66" s="4" t="n">
        <v>249</v>
      </c>
      <c r="R66" s="4" t="n">
        <v>170</v>
      </c>
    </row>
    <row r="67" ht="25" customHeight="1">
      <c r="A67" s="4" t="n">
        <v>63</v>
      </c>
      <c r="B67" s="4">
        <f>爬塔!J67</f>
        <v/>
      </c>
      <c r="C67" s="4" t="n">
        <v>1010000</v>
      </c>
      <c r="D67" s="5">
        <f>IF(P67="通过",ROUND(O67,-MAX(0,INT(LOG10(O67))-推荐战力参数!$B$5+1)),0)</f>
        <v/>
      </c>
      <c r="E67" s="84">
        <f>D67/C67-1</f>
        <v/>
      </c>
      <c r="F67" s="4">
        <f>MAX(G67,H67)</f>
        <v/>
      </c>
      <c r="G67" s="4">
        <f>MIN(ROWS(_玩家曲线!$H$2:$H$280),COUNTIF(_玩家曲线!$H$2:$H$280,"&lt;"&amp;M67)+1)</f>
        <v/>
      </c>
      <c r="H67" s="4">
        <f>MIN(ROWS(_玩家曲线!$I$2:$I$280),COUNTIF(_玩家曲线!$I$2:$I$280,"&lt;"&amp;N67)+1)</f>
        <v/>
      </c>
      <c r="I67" s="7" t="n">
        <v>14.9236893176219</v>
      </c>
      <c r="J67" s="7" t="n">
        <v>13.728852081512</v>
      </c>
      <c r="K67" s="4">
        <f>爬塔!W67</f>
        <v/>
      </c>
      <c r="L67" s="4">
        <f>爬塔!T67*IF(爬塔!O67="",1,爬塔!O67)</f>
        <v/>
      </c>
      <c r="M67" s="4">
        <f>K67/I67</f>
        <v/>
      </c>
      <c r="N67" s="4">
        <f>L67*J67</f>
        <v/>
      </c>
      <c r="O67" s="4">
        <f>INDEX(_统一战力!$D$2:$D$280,MATCH(F67,_统一战力!$C$2:$C$280,0))</f>
        <v/>
      </c>
      <c r="P67" s="4">
        <f>IF(AND(INDEX(_玩家曲线!$H$2:$H$280,F67)&gt;=M67,INDEX(_玩家曲线!$I$2:$I$280,F67)&gt;=N67),"通过","超出玩家曲线")</f>
        <v/>
      </c>
      <c r="Q67" s="4" t="n">
        <v>252</v>
      </c>
      <c r="R67" s="4" t="n">
        <v>173</v>
      </c>
    </row>
    <row r="68" ht="25" customHeight="1">
      <c r="A68" s="4" t="n">
        <v>64</v>
      </c>
      <c r="B68" s="4">
        <f>爬塔!J68</f>
        <v/>
      </c>
      <c r="C68" s="4" t="n">
        <v>1030000</v>
      </c>
      <c r="D68" s="5">
        <f>IF(P68="通过",ROUND(O68,-MAX(0,INT(LOG10(O68))-推荐战力参数!$B$5+1)),0)</f>
        <v/>
      </c>
      <c r="E68" s="84">
        <f>D68/C68-1</f>
        <v/>
      </c>
      <c r="F68" s="4">
        <f>MAX(G68,H68)</f>
        <v/>
      </c>
      <c r="G68" s="4">
        <f>MIN(ROWS(_玩家曲线!$H$2:$H$280),COUNTIF(_玩家曲线!$H$2:$H$280,"&lt;"&amp;M68)+1)</f>
        <v/>
      </c>
      <c r="H68" s="4">
        <f>MIN(ROWS(_玩家曲线!$I$2:$I$280),COUNTIF(_玩家曲线!$I$2:$I$280,"&lt;"&amp;N68)+1)</f>
        <v/>
      </c>
      <c r="I68" s="7" t="n">
        <v>14.0741722358235</v>
      </c>
      <c r="J68" s="7" t="n">
        <v>13.2158280537046</v>
      </c>
      <c r="K68" s="4">
        <f>爬塔!W68</f>
        <v/>
      </c>
      <c r="L68" s="4">
        <f>爬塔!T68*IF(爬塔!O68="",1,爬塔!O68)</f>
        <v/>
      </c>
      <c r="M68" s="4">
        <f>K68/I68</f>
        <v/>
      </c>
      <c r="N68" s="4">
        <f>L68*J68</f>
        <v/>
      </c>
      <c r="O68" s="4">
        <f>INDEX(_统一战力!$D$2:$D$280,MATCH(F68,_统一战力!$C$2:$C$280,0))</f>
        <v/>
      </c>
      <c r="P68" s="4">
        <f>IF(AND(INDEX(_玩家曲线!$H$2:$H$280,F68)&gt;=M68,INDEX(_玩家曲线!$I$2:$I$280,F68)&gt;=N68),"通过","超出玩家曲线")</f>
        <v/>
      </c>
      <c r="Q68" s="4" t="n">
        <v>254</v>
      </c>
      <c r="R68" s="4" t="n">
        <v>176</v>
      </c>
    </row>
    <row r="69" ht="25" customHeight="1">
      <c r="A69" s="4" t="n">
        <v>65</v>
      </c>
      <c r="B69" s="4">
        <f>爬塔!J69</f>
        <v/>
      </c>
      <c r="C69" s="4" t="n">
        <v>1050000</v>
      </c>
      <c r="D69" s="5">
        <f>IF(P69="通过",ROUND(O69,-MAX(0,INT(LOG10(O69))-推荐战力参数!$B$5+1)),0)</f>
        <v/>
      </c>
      <c r="E69" s="84">
        <f>D69/C69-1</f>
        <v/>
      </c>
      <c r="F69" s="4">
        <f>MAX(G69,H69)</f>
        <v/>
      </c>
      <c r="G69" s="4">
        <f>MIN(ROWS(_玩家曲线!$H$2:$H$280),COUNTIF(_玩家曲线!$H$2:$H$280,"&lt;"&amp;M69)+1)</f>
        <v/>
      </c>
      <c r="H69" s="4">
        <f>MIN(ROWS(_玩家曲线!$I$2:$I$280),COUNTIF(_玩家曲线!$I$2:$I$280,"&lt;"&amp;N69)+1)</f>
        <v/>
      </c>
      <c r="I69" s="7" t="n">
        <v>15.9754019729614</v>
      </c>
      <c r="J69" s="7" t="n">
        <v>14.2415666362711</v>
      </c>
      <c r="K69" s="4">
        <f>爬塔!W69</f>
        <v/>
      </c>
      <c r="L69" s="4">
        <f>爬塔!T69*IF(爬塔!O69="",1,爬塔!O69)</f>
        <v/>
      </c>
      <c r="M69" s="4">
        <f>K69/I69</f>
        <v/>
      </c>
      <c r="N69" s="4">
        <f>L69*J69</f>
        <v/>
      </c>
      <c r="O69" s="4">
        <f>INDEX(_统一战力!$D$2:$D$280,MATCH(F69,_统一战力!$C$2:$C$280,0))</f>
        <v/>
      </c>
      <c r="P69" s="4">
        <f>IF(AND(INDEX(_玩家曲线!$H$2:$H$280,F69)&gt;=M69,INDEX(_玩家曲线!$I$2:$I$280,F69)&gt;=N69),"通过","超出玩家曲线")</f>
        <v/>
      </c>
      <c r="Q69" s="4" t="n">
        <v>256</v>
      </c>
      <c r="R69" s="4" t="n">
        <v>178</v>
      </c>
    </row>
    <row r="70" ht="25" customHeight="1">
      <c r="A70" s="4" t="n">
        <v>66</v>
      </c>
      <c r="B70" s="4">
        <f>爬塔!J70</f>
        <v/>
      </c>
      <c r="C70" s="4" t="n">
        <v>1070000</v>
      </c>
      <c r="D70" s="5">
        <f>IF(P70="通过",ROUND(O70,-MAX(0,INT(LOG10(O70))-推荐战力参数!$B$5+1)),0)</f>
        <v/>
      </c>
      <c r="E70" s="84">
        <f>D70/C70-1</f>
        <v/>
      </c>
      <c r="F70" s="4">
        <f>MAX(G70,H70)</f>
        <v/>
      </c>
      <c r="G70" s="4">
        <f>MIN(ROWS(_玩家曲线!$H$2:$H$280),COUNTIF(_玩家曲线!$H$2:$H$280,"&lt;"&amp;M70)+1)</f>
        <v/>
      </c>
      <c r="H70" s="4">
        <f>MIN(ROWS(_玩家曲线!$I$2:$I$280),COUNTIF(_玩家曲线!$I$2:$I$280,"&lt;"&amp;N70)+1)</f>
        <v/>
      </c>
      <c r="I70" s="7" t="n">
        <v>14.0398002325421</v>
      </c>
      <c r="J70" s="7" t="n">
        <v>13.2732075290781</v>
      </c>
      <c r="K70" s="4">
        <f>爬塔!W70</f>
        <v/>
      </c>
      <c r="L70" s="4">
        <f>爬塔!T70*IF(爬塔!O70="",1,爬塔!O70)</f>
        <v/>
      </c>
      <c r="M70" s="4">
        <f>K70/I70</f>
        <v/>
      </c>
      <c r="N70" s="4">
        <f>L70*J70</f>
        <v/>
      </c>
      <c r="O70" s="4">
        <f>INDEX(_统一战力!$D$2:$D$280,MATCH(F70,_统一战力!$C$2:$C$280,0))</f>
        <v/>
      </c>
      <c r="P70" s="4">
        <f>IF(AND(INDEX(_玩家曲线!$H$2:$H$280,F70)&gt;=M70,INDEX(_玩家曲线!$I$2:$I$280,F70)&gt;=N70),"通过","超出玩家曲线")</f>
        <v/>
      </c>
      <c r="Q70" s="4" t="n">
        <v>257</v>
      </c>
      <c r="R70" s="4" t="n">
        <v>181</v>
      </c>
    </row>
    <row r="71" ht="25" customHeight="1">
      <c r="A71" s="4" t="n">
        <v>67</v>
      </c>
      <c r="B71" s="4">
        <f>爬塔!J71</f>
        <v/>
      </c>
      <c r="C71" s="4" t="n">
        <v>1090000</v>
      </c>
      <c r="D71" s="5">
        <f>IF(P71="通过",ROUND(O71,-MAX(0,INT(LOG10(O71))-推荐战力参数!$B$5+1)),0)</f>
        <v/>
      </c>
      <c r="E71" s="84">
        <f>D71/C71-1</f>
        <v/>
      </c>
      <c r="F71" s="4">
        <f>MAX(G71,H71)</f>
        <v/>
      </c>
      <c r="G71" s="4">
        <f>MIN(ROWS(_玩家曲线!$H$2:$H$280),COUNTIF(_玩家曲线!$H$2:$H$280,"&lt;"&amp;M71)+1)</f>
        <v/>
      </c>
      <c r="H71" s="4">
        <f>MIN(ROWS(_玩家曲线!$I$2:$I$280),COUNTIF(_玩家曲线!$I$2:$I$280,"&lt;"&amp;N71)+1)</f>
        <v/>
      </c>
      <c r="I71" s="7" t="n">
        <v>14.1581800645204</v>
      </c>
      <c r="J71" s="7" t="n">
        <v>13.2281353497002</v>
      </c>
      <c r="K71" s="4">
        <f>爬塔!W71</f>
        <v/>
      </c>
      <c r="L71" s="4">
        <f>爬塔!T71*IF(爬塔!O71="",1,爬塔!O71)</f>
        <v/>
      </c>
      <c r="M71" s="4">
        <f>K71/I71</f>
        <v/>
      </c>
      <c r="N71" s="4">
        <f>L71*J71</f>
        <v/>
      </c>
      <c r="O71" s="4">
        <f>INDEX(_统一战力!$D$2:$D$280,MATCH(F71,_统一战力!$C$2:$C$280,0))</f>
        <v/>
      </c>
      <c r="P71" s="4">
        <f>IF(AND(INDEX(_玩家曲线!$H$2:$H$280,F71)&gt;=M71,INDEX(_玩家曲线!$I$2:$I$280,F71)&gt;=N71),"通过","超出玩家曲线")</f>
        <v/>
      </c>
      <c r="Q71" s="4" t="n">
        <v>260</v>
      </c>
      <c r="R71" s="4" t="n">
        <v>184</v>
      </c>
    </row>
    <row r="72" ht="25" customHeight="1">
      <c r="A72" s="4" t="n">
        <v>68</v>
      </c>
      <c r="B72" s="4">
        <f>爬塔!J72</f>
        <v/>
      </c>
      <c r="C72" s="4" t="n">
        <v>1110000</v>
      </c>
      <c r="D72" s="5">
        <f>IF(P72="通过",ROUND(O72,-MAX(0,INT(LOG10(O72))-推荐战力参数!$B$5+1)),0)</f>
        <v/>
      </c>
      <c r="E72" s="84">
        <f>D72/C72-1</f>
        <v/>
      </c>
      <c r="F72" s="4">
        <f>MAX(G72,H72)</f>
        <v/>
      </c>
      <c r="G72" s="4">
        <f>MIN(ROWS(_玩家曲线!$H$2:$H$280),COUNTIF(_玩家曲线!$H$2:$H$280,"&lt;"&amp;M72)+1)</f>
        <v/>
      </c>
      <c r="H72" s="4">
        <f>MIN(ROWS(_玩家曲线!$I$2:$I$280),COUNTIF(_玩家曲线!$I$2:$I$280,"&lt;"&amp;N72)+1)</f>
        <v/>
      </c>
      <c r="I72" s="7" t="n">
        <v>15.0829161197936</v>
      </c>
      <c r="J72" s="7" t="n">
        <v>13.7522274024843</v>
      </c>
      <c r="K72" s="4">
        <f>爬塔!W72</f>
        <v/>
      </c>
      <c r="L72" s="4">
        <f>爬塔!T72*IF(爬塔!O72="",1,爬塔!O72)</f>
        <v/>
      </c>
      <c r="M72" s="4">
        <f>K72/I72</f>
        <v/>
      </c>
      <c r="N72" s="4">
        <f>L72*J72</f>
        <v/>
      </c>
      <c r="O72" s="4">
        <f>INDEX(_统一战力!$D$2:$D$280,MATCH(F72,_统一战力!$C$2:$C$280,0))</f>
        <v/>
      </c>
      <c r="P72" s="4">
        <f>IF(AND(INDEX(_玩家曲线!$H$2:$H$280,F72)&gt;=M72,INDEX(_玩家曲线!$I$2:$I$280,F72)&gt;=N72),"通过","超出玩家曲线")</f>
        <v/>
      </c>
      <c r="Q72" s="4" t="n">
        <v>262</v>
      </c>
      <c r="R72" s="4" t="n">
        <v>187</v>
      </c>
    </row>
    <row r="73" ht="25" customHeight="1">
      <c r="A73" s="4" t="n">
        <v>69</v>
      </c>
      <c r="B73" s="4">
        <f>爬塔!J73</f>
        <v/>
      </c>
      <c r="C73" s="4" t="n">
        <v>1120000</v>
      </c>
      <c r="D73" s="5">
        <f>IF(P73="通过",ROUND(O73,-MAX(0,INT(LOG10(O73))-推荐战力参数!$B$5+1)),0)</f>
        <v/>
      </c>
      <c r="E73" s="84">
        <f>D73/C73-1</f>
        <v/>
      </c>
      <c r="F73" s="4">
        <f>MAX(G73,H73)</f>
        <v/>
      </c>
      <c r="G73" s="4">
        <f>MIN(ROWS(_玩家曲线!$H$2:$H$280),COUNTIF(_玩家曲线!$H$2:$H$280,"&lt;"&amp;M73)+1)</f>
        <v/>
      </c>
      <c r="H73" s="4">
        <f>MIN(ROWS(_玩家曲线!$I$2:$I$280),COUNTIF(_玩家曲线!$I$2:$I$280,"&lt;"&amp;N73)+1)</f>
        <v/>
      </c>
      <c r="I73" s="7" t="n">
        <v>15.233004805333</v>
      </c>
      <c r="J73" s="7" t="n">
        <v>13.6909373565362</v>
      </c>
      <c r="K73" s="4">
        <f>爬塔!W73</f>
        <v/>
      </c>
      <c r="L73" s="4">
        <f>爬塔!T73*IF(爬塔!O73="",1,爬塔!O73)</f>
        <v/>
      </c>
      <c r="M73" s="4">
        <f>K73/I73</f>
        <v/>
      </c>
      <c r="N73" s="4">
        <f>L73*J73</f>
        <v/>
      </c>
      <c r="O73" s="4">
        <f>INDEX(_统一战力!$D$2:$D$280,MATCH(F73,_统一战力!$C$2:$C$280,0))</f>
        <v/>
      </c>
      <c r="P73" s="4">
        <f>IF(AND(INDEX(_玩家曲线!$H$2:$H$280,F73)&gt;=M73,INDEX(_玩家曲线!$I$2:$I$280,F73)&gt;=N73),"通过","超出玩家曲线")</f>
        <v/>
      </c>
      <c r="Q73" s="4" t="n">
        <v>265</v>
      </c>
      <c r="R73" s="4" t="n">
        <v>190</v>
      </c>
    </row>
    <row r="74" ht="25" customHeight="1">
      <c r="A74" s="4" t="n">
        <v>70</v>
      </c>
      <c r="B74" s="4">
        <f>爬塔!J74</f>
        <v/>
      </c>
      <c r="C74" s="4" t="n">
        <v>1140000</v>
      </c>
      <c r="D74" s="5">
        <f>IF(P74="通过",ROUND(O74,-MAX(0,INT(LOG10(O74))-推荐战力参数!$B$5+1)),0)</f>
        <v/>
      </c>
      <c r="E74" s="84">
        <f>D74/C74-1</f>
        <v/>
      </c>
      <c r="F74" s="4">
        <f>MAX(G74,H74)</f>
        <v/>
      </c>
      <c r="G74" s="4">
        <f>MIN(ROWS(_玩家曲线!$H$2:$H$280),COUNTIF(_玩家曲线!$H$2:$H$280,"&lt;"&amp;M74)+1)</f>
        <v/>
      </c>
      <c r="H74" s="4">
        <f>MIN(ROWS(_玩家曲线!$I$2:$I$280),COUNTIF(_玩家曲线!$I$2:$I$280,"&lt;"&amp;N74)+1)</f>
        <v/>
      </c>
      <c r="I74" s="7" t="n">
        <v>15.4510331917501</v>
      </c>
      <c r="J74" s="7" t="n">
        <v>13.5876694740466</v>
      </c>
      <c r="K74" s="4">
        <f>爬塔!W74</f>
        <v/>
      </c>
      <c r="L74" s="4">
        <f>爬塔!T74*IF(爬塔!O74="",1,爬塔!O74)</f>
        <v/>
      </c>
      <c r="M74" s="4">
        <f>K74/I74</f>
        <v/>
      </c>
      <c r="N74" s="4">
        <f>L74*J74</f>
        <v/>
      </c>
      <c r="O74" s="4">
        <f>INDEX(_统一战力!$D$2:$D$280,MATCH(F74,_统一战力!$C$2:$C$280,0))</f>
        <v/>
      </c>
      <c r="P74" s="4">
        <f>IF(AND(INDEX(_玩家曲线!$H$2:$H$280,F74)&gt;=M74,INDEX(_玩家曲线!$I$2:$I$280,F74)&gt;=N74),"通过","超出玩家曲线")</f>
        <v/>
      </c>
      <c r="Q74" s="4" t="n">
        <v>267</v>
      </c>
      <c r="R74" s="4" t="n">
        <v>192</v>
      </c>
    </row>
    <row r="75" ht="25" customHeight="1">
      <c r="A75" s="4" t="n">
        <v>71</v>
      </c>
      <c r="B75" s="4">
        <f>爬塔!J75</f>
        <v/>
      </c>
      <c r="C75" s="4" t="n">
        <v>1150000</v>
      </c>
      <c r="D75" s="5">
        <f>IF(P75="通过",ROUND(O75,-MAX(0,INT(LOG10(O75))-推荐战力参数!$B$5+1)),0)</f>
        <v/>
      </c>
      <c r="E75" s="84">
        <f>D75/C75-1</f>
        <v/>
      </c>
      <c r="F75" s="4">
        <f>MAX(G75,H75)</f>
        <v/>
      </c>
      <c r="G75" s="4">
        <f>MIN(ROWS(_玩家曲线!$H$2:$H$280),COUNTIF(_玩家曲线!$H$2:$H$280,"&lt;"&amp;M75)+1)</f>
        <v/>
      </c>
      <c r="H75" s="4">
        <f>MIN(ROWS(_玩家曲线!$I$2:$I$280),COUNTIF(_玩家曲线!$I$2:$I$280,"&lt;"&amp;N75)+1)</f>
        <v/>
      </c>
      <c r="I75" s="7" t="n">
        <v>14.3213689249027</v>
      </c>
      <c r="J75" s="7" t="n">
        <v>13.2026810532266</v>
      </c>
      <c r="K75" s="4">
        <f>爬塔!W75</f>
        <v/>
      </c>
      <c r="L75" s="4">
        <f>爬塔!T75*IF(爬塔!O75="",1,爬塔!O75)</f>
        <v/>
      </c>
      <c r="M75" s="4">
        <f>K75/I75</f>
        <v/>
      </c>
      <c r="N75" s="4">
        <f>L75*J75</f>
        <v/>
      </c>
      <c r="O75" s="4">
        <f>INDEX(_统一战力!$D$2:$D$280,MATCH(F75,_统一战力!$C$2:$C$280,0))</f>
        <v/>
      </c>
      <c r="P75" s="4">
        <f>IF(AND(INDEX(_玩家曲线!$H$2:$H$280,F75)&gt;=M75,INDEX(_玩家曲线!$I$2:$I$280,F75)&gt;=N75),"通过","超出玩家曲线")</f>
        <v/>
      </c>
      <c r="Q75" s="4" t="n">
        <v>268</v>
      </c>
      <c r="R75" s="4" t="n">
        <v>195</v>
      </c>
    </row>
    <row r="76" ht="25" customHeight="1">
      <c r="A76" s="4" t="n">
        <v>72</v>
      </c>
      <c r="B76" s="4">
        <f>爬塔!J76</f>
        <v/>
      </c>
      <c r="C76" s="4" t="n">
        <v>1170000</v>
      </c>
      <c r="D76" s="5">
        <f>IF(P76="通过",ROUND(O76,-MAX(0,INT(LOG10(O76))-推荐战力参数!$B$5+1)),0)</f>
        <v/>
      </c>
      <c r="E76" s="84">
        <f>D76/C76-1</f>
        <v/>
      </c>
      <c r="F76" s="4">
        <f>MAX(G76,H76)</f>
        <v/>
      </c>
      <c r="G76" s="4">
        <f>MIN(ROWS(_玩家曲线!$H$2:$H$280),COUNTIF(_玩家曲线!$H$2:$H$280,"&lt;"&amp;M76)+1)</f>
        <v/>
      </c>
      <c r="H76" s="4">
        <f>MIN(ROWS(_玩家曲线!$I$2:$I$280),COUNTIF(_玩家曲线!$I$2:$I$280,"&lt;"&amp;N76)+1)</f>
        <v/>
      </c>
      <c r="I76" s="7" t="n">
        <v>14.3310846091238</v>
      </c>
      <c r="J76" s="7" t="n">
        <v>13.2127003101291</v>
      </c>
      <c r="K76" s="4">
        <f>爬塔!W76</f>
        <v/>
      </c>
      <c r="L76" s="4">
        <f>爬塔!T76*IF(爬塔!O76="",1,爬塔!O76)</f>
        <v/>
      </c>
      <c r="M76" s="4">
        <f>K76/I76</f>
        <v/>
      </c>
      <c r="N76" s="4">
        <f>L76*J76</f>
        <v/>
      </c>
      <c r="O76" s="4">
        <f>INDEX(_统一战力!$D$2:$D$280,MATCH(F76,_统一战力!$C$2:$C$280,0))</f>
        <v/>
      </c>
      <c r="P76" s="4">
        <f>IF(AND(INDEX(_玩家曲线!$H$2:$H$280,F76)&gt;=M76,INDEX(_玩家曲线!$I$2:$I$280,F76)&gt;=N76),"通过","超出玩家曲线")</f>
        <v/>
      </c>
      <c r="Q76" s="4" t="n">
        <v>270</v>
      </c>
      <c r="R76" s="4" t="n">
        <v>198</v>
      </c>
    </row>
    <row r="77" ht="25" customHeight="1">
      <c r="A77" s="4" t="n">
        <v>73</v>
      </c>
      <c r="B77" s="4">
        <f>爬塔!J77</f>
        <v/>
      </c>
      <c r="C77" s="4" t="n">
        <v>1190000</v>
      </c>
      <c r="D77" s="5">
        <f>IF(P77="通过",ROUND(O77,-MAX(0,INT(LOG10(O77))-推荐战力参数!$B$5+1)),0)</f>
        <v/>
      </c>
      <c r="E77" s="84">
        <f>D77/C77-1</f>
        <v/>
      </c>
      <c r="F77" s="4">
        <f>MAX(G77,H77)</f>
        <v/>
      </c>
      <c r="G77" s="4">
        <f>MIN(ROWS(_玩家曲线!$H$2:$H$280),COUNTIF(_玩家曲线!$H$2:$H$280,"&lt;"&amp;M77)+1)</f>
        <v/>
      </c>
      <c r="H77" s="4">
        <f>MIN(ROWS(_玩家曲线!$I$2:$I$280),COUNTIF(_玩家曲线!$I$2:$I$280,"&lt;"&amp;N77)+1)</f>
        <v/>
      </c>
      <c r="I77" s="7" t="n">
        <v>14.5046153499977</v>
      </c>
      <c r="J77" s="7" t="n">
        <v>13.1324990426095</v>
      </c>
      <c r="K77" s="4">
        <f>爬塔!W77</f>
        <v/>
      </c>
      <c r="L77" s="4">
        <f>爬塔!T77*IF(爬塔!O77="",1,爬塔!O77)</f>
        <v/>
      </c>
      <c r="M77" s="4">
        <f>K77/I77</f>
        <v/>
      </c>
      <c r="N77" s="4">
        <f>L77*J77</f>
        <v/>
      </c>
      <c r="O77" s="4">
        <f>INDEX(_统一战力!$D$2:$D$280,MATCH(F77,_统一战力!$C$2:$C$280,0))</f>
        <v/>
      </c>
      <c r="P77" s="4">
        <f>IF(AND(INDEX(_玩家曲线!$H$2:$H$280,F77)&gt;=M77,INDEX(_玩家曲线!$I$2:$I$280,F77)&gt;=N77),"通过","超出玩家曲线")</f>
        <v/>
      </c>
      <c r="Q77" s="4" t="n">
        <v>272</v>
      </c>
      <c r="R77" s="4" t="n">
        <v>201</v>
      </c>
    </row>
    <row r="78" ht="25" customHeight="1">
      <c r="A78" s="4" t="n">
        <v>74</v>
      </c>
      <c r="B78" s="4">
        <f>爬塔!J78</f>
        <v/>
      </c>
      <c r="C78" s="4" t="n">
        <v>1210000</v>
      </c>
      <c r="D78" s="5">
        <f>IF(P78="通过",ROUND(O78,-MAX(0,INT(LOG10(O78))-推荐战力参数!$B$5+1)),0)</f>
        <v/>
      </c>
      <c r="E78" s="84">
        <f>D78/C78-1</f>
        <v/>
      </c>
      <c r="F78" s="4">
        <f>MAX(G78,H78)</f>
        <v/>
      </c>
      <c r="G78" s="4">
        <f>MIN(ROWS(_玩家曲线!$H$2:$H$280),COUNTIF(_玩家曲线!$H$2:$H$280,"&lt;"&amp;M78)+1)</f>
        <v/>
      </c>
      <c r="H78" s="4">
        <f>MIN(ROWS(_玩家曲线!$I$2:$I$280),COUNTIF(_玩家曲线!$I$2:$I$280,"&lt;"&amp;N78)+1)</f>
        <v/>
      </c>
      <c r="I78" s="7" t="n">
        <v>14.5305464027428</v>
      </c>
      <c r="J78" s="7" t="n">
        <v>13.1313893309074</v>
      </c>
      <c r="K78" s="4">
        <f>爬塔!W78</f>
        <v/>
      </c>
      <c r="L78" s="4">
        <f>爬塔!T78*IF(爬塔!O78="",1,爬塔!O78)</f>
        <v/>
      </c>
      <c r="M78" s="4">
        <f>K78/I78</f>
        <v/>
      </c>
      <c r="N78" s="4">
        <f>L78*J78</f>
        <v/>
      </c>
      <c r="O78" s="4">
        <f>INDEX(_统一战力!$D$2:$D$280,MATCH(F78,_统一战力!$C$2:$C$280,0))</f>
        <v/>
      </c>
      <c r="P78" s="4">
        <f>IF(AND(INDEX(_玩家曲线!$H$2:$H$280,F78)&gt;=M78,INDEX(_玩家曲线!$I$2:$I$280,F78)&gt;=N78),"通过","超出玩家曲线")</f>
        <v/>
      </c>
      <c r="Q78" s="4" t="n">
        <v>274</v>
      </c>
      <c r="R78" s="4" t="n">
        <v>204</v>
      </c>
    </row>
    <row r="79" ht="25" customHeight="1">
      <c r="A79" s="4" t="n">
        <v>75</v>
      </c>
      <c r="B79" s="4">
        <f>爬塔!J79</f>
        <v/>
      </c>
      <c r="C79" s="4" t="n">
        <v>1220000</v>
      </c>
      <c r="D79" s="5">
        <f>IF(P79="通过",ROUND(O79,-MAX(0,INT(LOG10(O79))-推荐战力参数!$B$5+1)),0)</f>
        <v/>
      </c>
      <c r="E79" s="84">
        <f>D79/C79-1</f>
        <v/>
      </c>
      <c r="F79" s="4">
        <f>MAX(G79,H79)</f>
        <v/>
      </c>
      <c r="G79" s="4">
        <f>MIN(ROWS(_玩家曲线!$H$2:$H$280),COUNTIF(_玩家曲线!$H$2:$H$280,"&lt;"&amp;M79)+1)</f>
        <v/>
      </c>
      <c r="H79" s="4">
        <f>MIN(ROWS(_玩家曲线!$I$2:$I$280),COUNTIF(_玩家曲线!$I$2:$I$280,"&lt;"&amp;N79)+1)</f>
        <v/>
      </c>
      <c r="I79" s="7" t="n">
        <v>15.5904731913892</v>
      </c>
      <c r="J79" s="7" t="n">
        <v>13.5854316974936</v>
      </c>
      <c r="K79" s="4">
        <f>爬塔!W79</f>
        <v/>
      </c>
      <c r="L79" s="4">
        <f>爬塔!T79*IF(爬塔!O79="",1,爬塔!O79)</f>
        <v/>
      </c>
      <c r="M79" s="4">
        <f>K79/I79</f>
        <v/>
      </c>
      <c r="N79" s="4">
        <f>L79*J79</f>
        <v/>
      </c>
      <c r="O79" s="4">
        <f>INDEX(_统一战力!$D$2:$D$280,MATCH(F79,_统一战力!$C$2:$C$280,0))</f>
        <v/>
      </c>
      <c r="P79" s="4">
        <f>IF(AND(INDEX(_玩家曲线!$H$2:$H$280,F79)&gt;=M79,INDEX(_玩家曲线!$I$2:$I$280,F79)&gt;=N79),"通过","超出玩家曲线")</f>
        <v/>
      </c>
      <c r="Q79" s="4" t="n">
        <v>276</v>
      </c>
      <c r="R79" s="4" t="n">
        <v>206</v>
      </c>
    </row>
    <row r="80" ht="25" customHeight="1">
      <c r="A80" s="4" t="n">
        <v>76</v>
      </c>
      <c r="B80" s="4">
        <f>爬塔!J80</f>
        <v/>
      </c>
      <c r="C80" s="4" t="n">
        <v>1240000</v>
      </c>
      <c r="D80" s="5">
        <f>IF(P80="通过",ROUND(O80,-MAX(0,INT(LOG10(O80))-推荐战力参数!$B$5+1)),0)</f>
        <v/>
      </c>
      <c r="E80" s="84">
        <f>D80/C80-1</f>
        <v/>
      </c>
      <c r="F80" s="4">
        <f>MAX(G80,H80)</f>
        <v/>
      </c>
      <c r="G80" s="4">
        <f>MIN(ROWS(_玩家曲线!$H$2:$H$280),COUNTIF(_玩家曲线!$H$2:$H$280,"&lt;"&amp;M80)+1)</f>
        <v/>
      </c>
      <c r="H80" s="4">
        <f>MIN(ROWS(_玩家曲线!$I$2:$I$280),COUNTIF(_玩家曲线!$I$2:$I$280,"&lt;"&amp;N80)+1)</f>
        <v/>
      </c>
      <c r="I80" s="7" t="n">
        <v>14.6425715066217</v>
      </c>
      <c r="J80" s="7" t="n">
        <v>13.0912975729498</v>
      </c>
      <c r="K80" s="4">
        <f>爬塔!W80</f>
        <v/>
      </c>
      <c r="L80" s="4">
        <f>爬塔!T80*IF(爬塔!O80="",1,爬塔!O80)</f>
        <v/>
      </c>
      <c r="M80" s="4">
        <f>K80/I80</f>
        <v/>
      </c>
      <c r="N80" s="4">
        <f>L80*J80</f>
        <v/>
      </c>
      <c r="O80" s="4">
        <f>INDEX(_统一战力!$D$2:$D$280,MATCH(F80,_统一战力!$C$2:$C$280,0))</f>
        <v/>
      </c>
      <c r="P80" s="4">
        <f>IF(AND(INDEX(_玩家曲线!$H$2:$H$280,F80)&gt;=M80,INDEX(_玩家曲线!$I$2:$I$280,F80)&gt;=N80),"通过","超出玩家曲线")</f>
        <v/>
      </c>
      <c r="Q80" s="4" t="n">
        <v>277</v>
      </c>
      <c r="R80" s="4" t="n">
        <v>209</v>
      </c>
    </row>
    <row r="81" ht="25" customHeight="1">
      <c r="A81" s="4" t="n">
        <v>77</v>
      </c>
      <c r="B81" s="4">
        <f>爬塔!J81</f>
        <v/>
      </c>
      <c r="C81" s="4" t="n">
        <v>1250000</v>
      </c>
      <c r="D81" s="5">
        <f>IF(P81="通过",ROUND(O81,-MAX(0,INT(LOG10(O81))-推荐战力参数!$B$5+1)),0)</f>
        <v/>
      </c>
      <c r="E81" s="84">
        <f>D81/C81-1</f>
        <v/>
      </c>
      <c r="F81" s="4">
        <f>MAX(G81,H81)</f>
        <v/>
      </c>
      <c r="G81" s="4">
        <f>MIN(ROWS(_玩家曲线!$H$2:$H$280),COUNTIF(_玩家曲线!$H$2:$H$280,"&lt;"&amp;M81)+1)</f>
        <v/>
      </c>
      <c r="H81" s="4">
        <f>MIN(ROWS(_玩家曲线!$I$2:$I$280),COUNTIF(_玩家曲线!$I$2:$I$280,"&lt;"&amp;N81)+1)</f>
        <v/>
      </c>
      <c r="I81" s="7" t="n">
        <v>14.8451472093238</v>
      </c>
      <c r="J81" s="7" t="n">
        <v>12.9949605793647</v>
      </c>
      <c r="K81" s="4">
        <f>爬塔!W81</f>
        <v/>
      </c>
      <c r="L81" s="4">
        <f>爬塔!T81*IF(爬塔!O81="",1,爬塔!O81)</f>
        <v/>
      </c>
      <c r="M81" s="4">
        <f>K81/I81</f>
        <v/>
      </c>
      <c r="N81" s="4">
        <f>L81*J81</f>
        <v/>
      </c>
      <c r="O81" s="4">
        <f>INDEX(_统一战力!$D$2:$D$280,MATCH(F81,_统一战力!$C$2:$C$280,0))</f>
        <v/>
      </c>
      <c r="P81" s="4">
        <f>IF(AND(INDEX(_玩家曲线!$H$2:$H$280,F81)&gt;=M81,INDEX(_玩家曲线!$I$2:$I$280,F81)&gt;=N81),"通过","超出玩家曲线")</f>
        <v/>
      </c>
      <c r="Q81" s="4" t="n">
        <v>280</v>
      </c>
      <c r="R81" s="4" t="n">
        <v>212</v>
      </c>
    </row>
    <row r="82" ht="25" customHeight="1">
      <c r="A82" s="4" t="n">
        <v>78</v>
      </c>
      <c r="B82" s="4">
        <f>爬塔!J82</f>
        <v/>
      </c>
      <c r="C82" s="4" t="n">
        <v>1270000</v>
      </c>
      <c r="D82" s="5">
        <f>IF(P82="通过",ROUND(O82,-MAX(0,INT(LOG10(O82))-推荐战力参数!$B$5+1)),0)</f>
        <v/>
      </c>
      <c r="E82" s="84">
        <f>D82/C82-1</f>
        <v/>
      </c>
      <c r="F82" s="4">
        <f>MAX(G82,H82)</f>
        <v/>
      </c>
      <c r="G82" s="4">
        <f>MIN(ROWS(_玩家曲线!$H$2:$H$280),COUNTIF(_玩家曲线!$H$2:$H$280,"&lt;"&amp;M82)+1)</f>
        <v/>
      </c>
      <c r="H82" s="4">
        <f>MIN(ROWS(_玩家曲线!$I$2:$I$280),COUNTIF(_玩家曲线!$I$2:$I$280,"&lt;"&amp;N82)+1)</f>
        <v/>
      </c>
      <c r="I82" s="7" t="n">
        <v>14.8967249422039</v>
      </c>
      <c r="J82" s="7" t="n">
        <v>12.9778445528964</v>
      </c>
      <c r="K82" s="4">
        <f>爬塔!W82</f>
        <v/>
      </c>
      <c r="L82" s="4">
        <f>爬塔!T82*IF(爬塔!O82="",1,爬塔!O82)</f>
        <v/>
      </c>
      <c r="M82" s="4">
        <f>K82/I82</f>
        <v/>
      </c>
      <c r="N82" s="4">
        <f>L82*J82</f>
        <v/>
      </c>
      <c r="O82" s="4">
        <f>INDEX(_统一战力!$D$2:$D$280,MATCH(F82,_统一战力!$C$2:$C$280,0))</f>
        <v/>
      </c>
      <c r="P82" s="4">
        <f>IF(AND(INDEX(_玩家曲线!$H$2:$H$280,F82)&gt;=M82,INDEX(_玩家曲线!$I$2:$I$280,F82)&gt;=N82),"通过","超出玩家曲线")</f>
        <v/>
      </c>
      <c r="Q82" s="4" t="n">
        <v>282</v>
      </c>
      <c r="R82" s="4" t="n">
        <v>215</v>
      </c>
    </row>
    <row r="83" ht="25" customHeight="1">
      <c r="A83" s="4" t="n">
        <v>79</v>
      </c>
      <c r="B83" s="4">
        <f>爬塔!J83</f>
        <v/>
      </c>
      <c r="C83" s="4" t="n">
        <v>1290000</v>
      </c>
      <c r="D83" s="5">
        <f>IF(P83="通过",ROUND(O83,-MAX(0,INT(LOG10(O83))-推荐战力参数!$B$5+1)),0)</f>
        <v/>
      </c>
      <c r="E83" s="84">
        <f>D83/C83-1</f>
        <v/>
      </c>
      <c r="F83" s="4">
        <f>MAX(G83,H83)</f>
        <v/>
      </c>
      <c r="G83" s="4">
        <f>MIN(ROWS(_玩家曲线!$H$2:$H$280),COUNTIF(_玩家曲线!$H$2:$H$280,"&lt;"&amp;M83)+1)</f>
        <v/>
      </c>
      <c r="H83" s="4">
        <f>MIN(ROWS(_玩家曲线!$I$2:$I$280),COUNTIF(_玩家曲线!$I$2:$I$280,"&lt;"&amp;N83)+1)</f>
        <v/>
      </c>
      <c r="I83" s="7" t="n">
        <v>14.9547672197014</v>
      </c>
      <c r="J83" s="7" t="n">
        <v>12.9572114941852</v>
      </c>
      <c r="K83" s="4">
        <f>爬塔!W83</f>
        <v/>
      </c>
      <c r="L83" s="4">
        <f>爬塔!T83*IF(爬塔!O83="",1,爬塔!O83)</f>
        <v/>
      </c>
      <c r="M83" s="4">
        <f>K83/I83</f>
        <v/>
      </c>
      <c r="N83" s="4">
        <f>L83*J83</f>
        <v/>
      </c>
      <c r="O83" s="4">
        <f>INDEX(_统一战力!$D$2:$D$280,MATCH(F83,_统一战力!$C$2:$C$280,0))</f>
        <v/>
      </c>
      <c r="P83" s="4">
        <f>IF(AND(INDEX(_玩家曲线!$H$2:$H$280,F83)&gt;=M83,INDEX(_玩家曲线!$I$2:$I$280,F83)&gt;=N83),"通过","超出玩家曲线")</f>
        <v/>
      </c>
      <c r="Q83" s="4" t="n">
        <v>284</v>
      </c>
      <c r="R83" s="4" t="n">
        <v>218</v>
      </c>
    </row>
    <row r="84" ht="25" customHeight="1">
      <c r="A84" s="4" t="n">
        <v>80</v>
      </c>
      <c r="B84" s="4">
        <f>爬塔!J84</f>
        <v/>
      </c>
      <c r="C84" s="4" t="n">
        <v>1300000</v>
      </c>
      <c r="D84" s="5">
        <f>IF(P84="通过",ROUND(O84,-MAX(0,INT(LOG10(O84))-推荐战力参数!$B$5+1)),0)</f>
        <v/>
      </c>
      <c r="E84" s="84">
        <f>D84/C84-1</f>
        <v/>
      </c>
      <c r="F84" s="4">
        <f>MAX(G84,H84)</f>
        <v/>
      </c>
      <c r="G84" s="4">
        <f>MIN(ROWS(_玩家曲线!$H$2:$H$280),COUNTIF(_玩家曲线!$H$2:$H$280,"&lt;"&amp;M84)+1)</f>
        <v/>
      </c>
      <c r="H84" s="4">
        <f>MIN(ROWS(_玩家曲线!$I$2:$I$280),COUNTIF(_玩家曲线!$I$2:$I$280,"&lt;"&amp;N84)+1)</f>
        <v/>
      </c>
      <c r="I84" s="7" t="n">
        <v>17.2365252196842</v>
      </c>
      <c r="J84" s="7" t="n">
        <v>13.8391110533209</v>
      </c>
      <c r="K84" s="4">
        <f>爬塔!W84</f>
        <v/>
      </c>
      <c r="L84" s="4">
        <f>爬塔!T84*IF(爬塔!O84="",1,爬塔!O84)</f>
        <v/>
      </c>
      <c r="M84" s="4">
        <f>K84/I84</f>
        <v/>
      </c>
      <c r="N84" s="4">
        <f>L84*J84</f>
        <v/>
      </c>
      <c r="O84" s="4">
        <f>INDEX(_统一战力!$D$2:$D$280,MATCH(F84,_统一战力!$C$2:$C$280,0))</f>
        <v/>
      </c>
      <c r="P84" s="4">
        <f>IF(AND(INDEX(_玩家曲线!$H$2:$H$280,F84)&gt;=M84,INDEX(_玩家曲线!$I$2:$I$280,F84)&gt;=N84),"通过","超出玩家曲线")</f>
        <v/>
      </c>
      <c r="Q84" s="4" t="n">
        <v>287</v>
      </c>
      <c r="R84" s="4" t="n">
        <v>221</v>
      </c>
    </row>
    <row r="85" ht="25" customHeight="1">
      <c r="A85" s="4" t="n">
        <v>81</v>
      </c>
      <c r="B85" s="4">
        <f>爬塔!J85</f>
        <v/>
      </c>
      <c r="C85" s="4" t="n">
        <v>1320000</v>
      </c>
      <c r="D85" s="5">
        <f>IF(P85="通过",ROUND(O85,-MAX(0,INT(LOG10(O85))-推荐战力参数!$B$5+1)),0)</f>
        <v/>
      </c>
      <c r="E85" s="84">
        <f>D85/C85-1</f>
        <v/>
      </c>
      <c r="F85" s="4">
        <f>MAX(G85,H85)</f>
        <v/>
      </c>
      <c r="G85" s="4">
        <f>MIN(ROWS(_玩家曲线!$H$2:$H$280),COUNTIF(_玩家曲线!$H$2:$H$280,"&lt;"&amp;M85)+1)</f>
        <v/>
      </c>
      <c r="H85" s="4">
        <f>MIN(ROWS(_玩家曲线!$I$2:$I$280),COUNTIF(_玩家曲线!$I$2:$I$280,"&lt;"&amp;N85)+1)</f>
        <v/>
      </c>
      <c r="I85" s="7" t="n">
        <v>15.2482501367799</v>
      </c>
      <c r="J85" s="7" t="n">
        <v>12.8232676663136</v>
      </c>
      <c r="K85" s="4">
        <f>爬塔!W85</f>
        <v/>
      </c>
      <c r="L85" s="4">
        <f>爬塔!T85*IF(爬塔!O85="",1,爬塔!O85)</f>
        <v/>
      </c>
      <c r="M85" s="4">
        <f>K85/I85</f>
        <v/>
      </c>
      <c r="N85" s="4">
        <f>L85*J85</f>
        <v/>
      </c>
      <c r="O85" s="4">
        <f>INDEX(_统一战力!$D$2:$D$280,MATCH(F85,_统一战力!$C$2:$C$280,0))</f>
        <v/>
      </c>
      <c r="P85" s="4">
        <f>IF(AND(INDEX(_玩家曲线!$H$2:$H$280,F85)&gt;=M85,INDEX(_玩家曲线!$I$2:$I$280,F85)&gt;=N85),"通过","超出玩家曲线")</f>
        <v/>
      </c>
      <c r="Q85" s="4" t="n">
        <v>289</v>
      </c>
      <c r="R85" s="4" t="n">
        <v>224</v>
      </c>
    </row>
    <row r="86" ht="25" customHeight="1">
      <c r="A86" s="4" t="n">
        <v>82</v>
      </c>
      <c r="B86" s="4">
        <f>爬塔!J86</f>
        <v/>
      </c>
      <c r="C86" s="4" t="n">
        <v>1330000</v>
      </c>
      <c r="D86" s="5">
        <f>IF(P86="通过",ROUND(O86,-MAX(0,INT(LOG10(O86))-推荐战力参数!$B$5+1)),0)</f>
        <v/>
      </c>
      <c r="E86" s="84">
        <f>D86/C86-1</f>
        <v/>
      </c>
      <c r="F86" s="4">
        <f>MAX(G86,H86)</f>
        <v/>
      </c>
      <c r="G86" s="4">
        <f>MIN(ROWS(_玩家曲线!$H$2:$H$280),COUNTIF(_玩家曲线!$H$2:$H$280,"&lt;"&amp;M86)+1)</f>
        <v/>
      </c>
      <c r="H86" s="4">
        <f>MIN(ROWS(_玩家曲线!$I$2:$I$280),COUNTIF(_玩家曲线!$I$2:$I$280,"&lt;"&amp;N86)+1)</f>
        <v/>
      </c>
      <c r="I86" s="7" t="n">
        <v>15.3518524874814</v>
      </c>
      <c r="J86" s="7" t="n">
        <v>12.7759721022389</v>
      </c>
      <c r="K86" s="4">
        <f>爬塔!W86</f>
        <v/>
      </c>
      <c r="L86" s="4">
        <f>爬塔!T86*IF(爬塔!O86="",1,爬塔!O86)</f>
        <v/>
      </c>
      <c r="M86" s="4">
        <f>K86/I86</f>
        <v/>
      </c>
      <c r="N86" s="4">
        <f>L86*J86</f>
        <v/>
      </c>
      <c r="O86" s="4">
        <f>INDEX(_统一战力!$D$2:$D$280,MATCH(F86,_统一战力!$C$2:$C$280,0))</f>
        <v/>
      </c>
      <c r="P86" s="4">
        <f>IF(AND(INDEX(_玩家曲线!$H$2:$H$280,F86)&gt;=M86,INDEX(_玩家曲线!$I$2:$I$280,F86)&gt;=N86),"通过","超出玩家曲线")</f>
        <v/>
      </c>
      <c r="Q86" s="4" t="n">
        <v>290</v>
      </c>
      <c r="R86" s="4" t="n">
        <v>226</v>
      </c>
    </row>
    <row r="87" ht="25" customHeight="1">
      <c r="A87" s="4" t="n">
        <v>83</v>
      </c>
      <c r="B87" s="4">
        <f>爬塔!J87</f>
        <v/>
      </c>
      <c r="C87" s="4" t="n">
        <v>1350000</v>
      </c>
      <c r="D87" s="5">
        <f>IF(P87="通过",ROUND(O87,-MAX(0,INT(LOG10(O87))-推荐战力参数!$B$5+1)),0)</f>
        <v/>
      </c>
      <c r="E87" s="84">
        <f>D87/C87-1</f>
        <v/>
      </c>
      <c r="F87" s="4">
        <f>MAX(G87,H87)</f>
        <v/>
      </c>
      <c r="G87" s="4">
        <f>MIN(ROWS(_玩家曲线!$H$2:$H$280),COUNTIF(_玩家曲线!$H$2:$H$280,"&lt;"&amp;M87)+1)</f>
        <v/>
      </c>
      <c r="H87" s="4">
        <f>MIN(ROWS(_玩家曲线!$I$2:$I$280),COUNTIF(_玩家曲线!$I$2:$I$280,"&lt;"&amp;N87)+1)</f>
        <v/>
      </c>
      <c r="I87" s="7" t="n">
        <v>15.43052452793</v>
      </c>
      <c r="J87" s="7" t="n">
        <v>12.7440228685798</v>
      </c>
      <c r="K87" s="4">
        <f>爬塔!W87</f>
        <v/>
      </c>
      <c r="L87" s="4">
        <f>爬塔!T87*IF(爬塔!O87="",1,爬塔!O87)</f>
        <v/>
      </c>
      <c r="M87" s="4">
        <f>K87/I87</f>
        <v/>
      </c>
      <c r="N87" s="4">
        <f>L87*J87</f>
        <v/>
      </c>
      <c r="O87" s="4">
        <f>INDEX(_统一战力!$D$2:$D$280,MATCH(F87,_统一战力!$C$2:$C$280,0))</f>
        <v/>
      </c>
      <c r="P87" s="4">
        <f>IF(AND(INDEX(_玩家曲线!$H$2:$H$280,F87)&gt;=M87,INDEX(_玩家曲线!$I$2:$I$280,F87)&gt;=N87),"通过","超出玩家曲线")</f>
        <v/>
      </c>
      <c r="Q87" s="4" t="n">
        <v>292</v>
      </c>
      <c r="R87" s="4" t="n">
        <v>229</v>
      </c>
    </row>
    <row r="88" ht="25" customHeight="1">
      <c r="A88" s="4" t="n">
        <v>84</v>
      </c>
      <c r="B88" s="4">
        <f>爬塔!J88</f>
        <v/>
      </c>
      <c r="C88" s="4" t="n">
        <v>1360000</v>
      </c>
      <c r="D88" s="5">
        <f>IF(P88="通过",ROUND(O88,-MAX(0,INT(LOG10(O88))-推荐战力参数!$B$5+1)),0)</f>
        <v/>
      </c>
      <c r="E88" s="84">
        <f>D88/C88-1</f>
        <v/>
      </c>
      <c r="F88" s="4">
        <f>MAX(G88,H88)</f>
        <v/>
      </c>
      <c r="G88" s="4">
        <f>MIN(ROWS(_玩家曲线!$H$2:$H$280),COUNTIF(_玩家曲线!$H$2:$H$280,"&lt;"&amp;M88)+1)</f>
        <v/>
      </c>
      <c r="H88" s="4">
        <f>MIN(ROWS(_玩家曲线!$I$2:$I$280),COUNTIF(_玩家曲线!$I$2:$I$280,"&lt;"&amp;N88)+1)</f>
        <v/>
      </c>
      <c r="I88" s="7" t="n">
        <v>15.5143614325267</v>
      </c>
      <c r="J88" s="7" t="n">
        <v>12.7093321950878</v>
      </c>
      <c r="K88" s="4">
        <f>爬塔!W88</f>
        <v/>
      </c>
      <c r="L88" s="4">
        <f>爬塔!T88*IF(爬塔!O88="",1,爬塔!O88)</f>
        <v/>
      </c>
      <c r="M88" s="4">
        <f>K88/I88</f>
        <v/>
      </c>
      <c r="N88" s="4">
        <f>L88*J88</f>
        <v/>
      </c>
      <c r="O88" s="4">
        <f>INDEX(_统一战力!$D$2:$D$280,MATCH(F88,_统一战力!$C$2:$C$280,0))</f>
        <v/>
      </c>
      <c r="P88" s="4">
        <f>IF(AND(INDEX(_玩家曲线!$H$2:$H$280,F88)&gt;=M88,INDEX(_玩家曲线!$I$2:$I$280,F88)&gt;=N88),"通过","超出玩家曲线")</f>
        <v/>
      </c>
      <c r="Q88" s="4" t="n">
        <v>294</v>
      </c>
      <c r="R88" s="4" t="n">
        <v>232</v>
      </c>
    </row>
    <row r="89" ht="25" customHeight="1">
      <c r="A89" s="4" t="n">
        <v>85</v>
      </c>
      <c r="B89" s="4">
        <f>爬塔!J89</f>
        <v/>
      </c>
      <c r="C89" s="4" t="n">
        <v>1380000</v>
      </c>
      <c r="D89" s="5">
        <f>IF(P89="通过",ROUND(O89,-MAX(0,INT(LOG10(O89))-推荐战力参数!$B$5+1)),0)</f>
        <v/>
      </c>
      <c r="E89" s="84">
        <f>D89/C89-1</f>
        <v/>
      </c>
      <c r="F89" s="4">
        <f>MAX(G89,H89)</f>
        <v/>
      </c>
      <c r="G89" s="4">
        <f>MIN(ROWS(_玩家曲线!$H$2:$H$280),COUNTIF(_玩家曲线!$H$2:$H$280,"&lt;"&amp;M89)+1)</f>
        <v/>
      </c>
      <c r="H89" s="4">
        <f>MIN(ROWS(_玩家曲线!$I$2:$I$280),COUNTIF(_玩家曲线!$I$2:$I$280,"&lt;"&amp;N89)+1)</f>
        <v/>
      </c>
      <c r="I89" s="7" t="n">
        <v>16.6638137975465</v>
      </c>
      <c r="J89" s="7" t="n">
        <v>13.1414280455807</v>
      </c>
      <c r="K89" s="4">
        <f>爬塔!W89</f>
        <v/>
      </c>
      <c r="L89" s="4">
        <f>爬塔!T89*IF(爬塔!O89="",1,爬塔!O89)</f>
        <v/>
      </c>
      <c r="M89" s="4">
        <f>K89/I89</f>
        <v/>
      </c>
      <c r="N89" s="4">
        <f>L89*J89</f>
        <v/>
      </c>
      <c r="O89" s="4">
        <f>INDEX(_统一战力!$D$2:$D$280,MATCH(F89,_统一战力!$C$2:$C$280,0))</f>
        <v/>
      </c>
      <c r="P89" s="4">
        <f>IF(AND(INDEX(_玩家曲线!$H$2:$H$280,F89)&gt;=M89,INDEX(_玩家曲线!$I$2:$I$280,F89)&gt;=N89),"通过","超出玩家曲线")</f>
        <v/>
      </c>
      <c r="Q89" s="4" t="n">
        <v>296</v>
      </c>
      <c r="R89" s="4" t="n">
        <v>235</v>
      </c>
    </row>
    <row r="90" ht="25" customHeight="1">
      <c r="A90" s="4" t="n">
        <v>86</v>
      </c>
      <c r="B90" s="4">
        <f>爬塔!J90</f>
        <v/>
      </c>
      <c r="C90" s="4" t="n">
        <v>1400000</v>
      </c>
      <c r="D90" s="5">
        <f>IF(P90="通过",ROUND(O90,-MAX(0,INT(LOG10(O90))-推荐战力参数!$B$5+1)),0)</f>
        <v/>
      </c>
      <c r="E90" s="84">
        <f>D90/C90-1</f>
        <v/>
      </c>
      <c r="F90" s="4">
        <f>MAX(G90,H90)</f>
        <v/>
      </c>
      <c r="G90" s="4">
        <f>MIN(ROWS(_玩家曲线!$H$2:$H$280),COUNTIF(_玩家曲线!$H$2:$H$280,"&lt;"&amp;M90)+1)</f>
        <v/>
      </c>
      <c r="H90" s="4">
        <f>MIN(ROWS(_玩家曲线!$I$2:$I$280),COUNTIF(_玩家曲线!$I$2:$I$280,"&lt;"&amp;N90)+1)</f>
        <v/>
      </c>
      <c r="I90" s="7" t="n">
        <v>15.6962567059756</v>
      </c>
      <c r="J90" s="7" t="n">
        <v>12.6323748623979</v>
      </c>
      <c r="K90" s="4">
        <f>爬塔!W90</f>
        <v/>
      </c>
      <c r="L90" s="4">
        <f>爬塔!T90*IF(爬塔!O90="",1,爬塔!O90)</f>
        <v/>
      </c>
      <c r="M90" s="4">
        <f>K90/I90</f>
        <v/>
      </c>
      <c r="N90" s="4">
        <f>L90*J90</f>
        <v/>
      </c>
      <c r="O90" s="4">
        <f>INDEX(_统一战力!$D$2:$D$280,MATCH(F90,_统一战力!$C$2:$C$280,0))</f>
        <v/>
      </c>
      <c r="P90" s="4">
        <f>IF(AND(INDEX(_玩家曲线!$H$2:$H$280,F90)&gt;=M90,INDEX(_玩家曲线!$I$2:$I$280,F90)&gt;=N90),"通过","超出玩家曲线")</f>
        <v/>
      </c>
      <c r="Q90" s="4" t="n">
        <v>298</v>
      </c>
      <c r="R90" s="4" t="n">
        <v>238</v>
      </c>
    </row>
    <row r="91" ht="25" customHeight="1">
      <c r="A91" s="4" t="n">
        <v>87</v>
      </c>
      <c r="B91" s="4">
        <f>爬塔!J91</f>
        <v/>
      </c>
      <c r="C91" s="4" t="n">
        <v>1410000</v>
      </c>
      <c r="D91" s="5">
        <f>IF(P91="通过",ROUND(O91,-MAX(0,INT(LOG10(O91))-推荐战力参数!$B$5+1)),0)</f>
        <v/>
      </c>
      <c r="E91" s="84">
        <f>D91/C91-1</f>
        <v/>
      </c>
      <c r="F91" s="4">
        <f>MAX(G91,H91)</f>
        <v/>
      </c>
      <c r="G91" s="4">
        <f>MIN(ROWS(_玩家曲线!$H$2:$H$280),COUNTIF(_玩家曲线!$H$2:$H$280,"&lt;"&amp;M91)+1)</f>
        <v/>
      </c>
      <c r="H91" s="4">
        <f>MIN(ROWS(_玩家曲线!$I$2:$I$280),COUNTIF(_玩家曲线!$I$2:$I$280,"&lt;"&amp;N91)+1)</f>
        <v/>
      </c>
      <c r="I91" s="7" t="n">
        <v>15.7940178322491</v>
      </c>
      <c r="J91" s="7" t="n">
        <v>12.5905134764684</v>
      </c>
      <c r="K91" s="4">
        <f>爬塔!W91</f>
        <v/>
      </c>
      <c r="L91" s="4">
        <f>爬塔!T91*IF(爬塔!O91="",1,爬塔!O91)</f>
        <v/>
      </c>
      <c r="M91" s="4">
        <f>K91/I91</f>
        <v/>
      </c>
      <c r="N91" s="4">
        <f>L91*J91</f>
        <v/>
      </c>
      <c r="O91" s="4">
        <f>INDEX(_统一战力!$D$2:$D$280,MATCH(F91,_统一战力!$C$2:$C$280,0))</f>
        <v/>
      </c>
      <c r="P91" s="4">
        <f>IF(AND(INDEX(_玩家曲线!$H$2:$H$280,F91)&gt;=M91,INDEX(_玩家曲线!$I$2:$I$280,F91)&gt;=N91),"通过","超出玩家曲线")</f>
        <v/>
      </c>
      <c r="Q91" s="4" t="n">
        <v>300</v>
      </c>
      <c r="R91" s="4" t="n">
        <v>241</v>
      </c>
    </row>
    <row r="92" ht="25" customHeight="1">
      <c r="A92" s="4" t="n">
        <v>88</v>
      </c>
      <c r="B92" s="4">
        <f>爬塔!J92</f>
        <v/>
      </c>
      <c r="C92" s="4" t="n">
        <v>1430000</v>
      </c>
      <c r="D92" s="5">
        <f>IF(P92="通过",ROUND(O92,-MAX(0,INT(LOG10(O92))-推荐战力参数!$B$5+1)),0)</f>
        <v/>
      </c>
      <c r="E92" s="84">
        <f>D92/C92-1</f>
        <v/>
      </c>
      <c r="F92" s="4">
        <f>MAX(G92,H92)</f>
        <v/>
      </c>
      <c r="G92" s="4">
        <f>MIN(ROWS(_玩家曲线!$H$2:$H$280),COUNTIF(_玩家曲线!$H$2:$H$280,"&lt;"&amp;M92)+1)</f>
        <v/>
      </c>
      <c r="H92" s="4">
        <f>MIN(ROWS(_玩家曲线!$I$2:$I$280),COUNTIF(_玩家曲线!$I$2:$I$280,"&lt;"&amp;N92)+1)</f>
        <v/>
      </c>
      <c r="I92" s="7" t="n">
        <v>15.8959465457073</v>
      </c>
      <c r="J92" s="7" t="n">
        <v>12.5468103797709</v>
      </c>
      <c r="K92" s="4">
        <f>爬塔!W92</f>
        <v/>
      </c>
      <c r="L92" s="4">
        <f>爬塔!T92*IF(爬塔!O92="",1,爬塔!O92)</f>
        <v/>
      </c>
      <c r="M92" s="4">
        <f>K92/I92</f>
        <v/>
      </c>
      <c r="N92" s="4">
        <f>L92*J92</f>
        <v/>
      </c>
      <c r="O92" s="4">
        <f>INDEX(_统一战力!$D$2:$D$280,MATCH(F92,_统一战力!$C$2:$C$280,0))</f>
        <v/>
      </c>
      <c r="P92" s="4">
        <f>IF(AND(INDEX(_玩家曲线!$H$2:$H$280,F92)&gt;=M92,INDEX(_玩家曲线!$I$2:$I$280,F92)&gt;=N92),"通过","超出玩家曲线")</f>
        <v/>
      </c>
      <c r="Q92" s="4" t="n">
        <v>302</v>
      </c>
      <c r="R92" s="4" t="n">
        <v>244</v>
      </c>
    </row>
    <row r="93" ht="25" customHeight="1">
      <c r="A93" s="4" t="n">
        <v>89</v>
      </c>
      <c r="B93" s="4">
        <f>爬塔!J93</f>
        <v/>
      </c>
      <c r="C93" s="4" t="n">
        <v>1440000</v>
      </c>
      <c r="D93" s="5">
        <f>IF(P93="通过",ROUND(O93,-MAX(0,INT(LOG10(O93))-推荐战力参数!$B$5+1)),0)</f>
        <v/>
      </c>
      <c r="E93" s="84">
        <f>D93/C93-1</f>
        <v/>
      </c>
      <c r="F93" s="4">
        <f>MAX(G93,H93)</f>
        <v/>
      </c>
      <c r="G93" s="4">
        <f>MIN(ROWS(_玩家曲线!$H$2:$H$280),COUNTIF(_玩家曲线!$H$2:$H$280,"&lt;"&amp;M93)+1)</f>
        <v/>
      </c>
      <c r="H93" s="4">
        <f>MIN(ROWS(_玩家曲线!$I$2:$I$280),COUNTIF(_玩家曲线!$I$2:$I$280,"&lt;"&amp;N93)+1)</f>
        <v/>
      </c>
      <c r="I93" s="7" t="n">
        <v>16.0019007342219</v>
      </c>
      <c r="J93" s="7" t="n">
        <v>12.5011030674076</v>
      </c>
      <c r="K93" s="4">
        <f>爬塔!W93</f>
        <v/>
      </c>
      <c r="L93" s="4">
        <f>爬塔!T93*IF(爬塔!O93="",1,爬塔!O93)</f>
        <v/>
      </c>
      <c r="M93" s="4">
        <f>K93/I93</f>
        <v/>
      </c>
      <c r="N93" s="4">
        <f>L93*J93</f>
        <v/>
      </c>
      <c r="O93" s="4">
        <f>INDEX(_统一战力!$D$2:$D$280,MATCH(F93,_统一战力!$C$2:$C$280,0))</f>
        <v/>
      </c>
      <c r="P93" s="4">
        <f>IF(AND(INDEX(_玩家曲线!$H$2:$H$280,F93)&gt;=M93,INDEX(_玩家曲线!$I$2:$I$280,F93)&gt;=N93),"通过","超出玩家曲线")</f>
        <v/>
      </c>
      <c r="Q93" s="4" t="n">
        <v>304</v>
      </c>
      <c r="R93" s="4" t="n">
        <v>247</v>
      </c>
    </row>
    <row r="94" ht="25" customHeight="1">
      <c r="A94" s="4" t="n">
        <v>90</v>
      </c>
      <c r="B94" s="4">
        <f>爬塔!J94</f>
        <v/>
      </c>
      <c r="C94" s="4" t="n">
        <v>1460000</v>
      </c>
      <c r="D94" s="5">
        <f>IF(P94="通过",ROUND(O94,-MAX(0,INT(LOG10(O94))-推荐战力参数!$B$5+1)),0)</f>
        <v/>
      </c>
      <c r="E94" s="84">
        <f>D94/C94-1</f>
        <v/>
      </c>
      <c r="F94" s="4">
        <f>MAX(G94,H94)</f>
        <v/>
      </c>
      <c r="G94" s="4">
        <f>MIN(ROWS(_玩家曲线!$H$2:$H$280),COUNTIF(_玩家曲线!$H$2:$H$280,"&lt;"&amp;M94)+1)</f>
        <v/>
      </c>
      <c r="H94" s="4">
        <f>MIN(ROWS(_玩家曲线!$I$2:$I$280),COUNTIF(_玩家曲线!$I$2:$I$280,"&lt;"&amp;N94)+1)</f>
        <v/>
      </c>
      <c r="I94" s="7" t="n">
        <v>17.3904982220902</v>
      </c>
      <c r="J94" s="7" t="n">
        <v>12.8328962135022</v>
      </c>
      <c r="K94" s="4">
        <f>爬塔!W94</f>
        <v/>
      </c>
      <c r="L94" s="4">
        <f>爬塔!T94*IF(爬塔!O94="",1,爬塔!O94)</f>
        <v/>
      </c>
      <c r="M94" s="4">
        <f>K94/I94</f>
        <v/>
      </c>
      <c r="N94" s="4">
        <f>L94*J94</f>
        <v/>
      </c>
      <c r="O94" s="4">
        <f>INDEX(_统一战力!$D$2:$D$280,MATCH(F94,_统一战力!$C$2:$C$280,0))</f>
        <v/>
      </c>
      <c r="P94" s="4">
        <f>IF(AND(INDEX(_玩家曲线!$H$2:$H$280,F94)&gt;=M94,INDEX(_玩家曲线!$I$2:$I$280,F94)&gt;=N94),"通过","超出玩家曲线")</f>
        <v/>
      </c>
      <c r="Q94" s="4" t="n">
        <v>306</v>
      </c>
      <c r="R94" s="4" t="n">
        <v>250</v>
      </c>
    </row>
    <row r="95" ht="25" customHeight="1">
      <c r="A95" s="4" t="n">
        <v>91</v>
      </c>
      <c r="B95" s="4">
        <f>爬塔!J95</f>
        <v/>
      </c>
      <c r="C95" s="4" t="n">
        <v>1470000</v>
      </c>
      <c r="D95" s="5">
        <f>IF(P95="通过",ROUND(O95,-MAX(0,INT(LOG10(O95))-推荐战力参数!$B$5+1)),0)</f>
        <v/>
      </c>
      <c r="E95" s="84">
        <f>D95/C95-1</f>
        <v/>
      </c>
      <c r="F95" s="4">
        <f>MAX(G95,H95)</f>
        <v/>
      </c>
      <c r="G95" s="4">
        <f>MIN(ROWS(_玩家曲线!$H$2:$H$280),COUNTIF(_玩家曲线!$H$2:$H$280,"&lt;"&amp;M95)+1)</f>
        <v/>
      </c>
      <c r="H95" s="4">
        <f>MIN(ROWS(_玩家曲线!$I$2:$I$280),COUNTIF(_玩家曲线!$I$2:$I$280,"&lt;"&amp;N95)+1)</f>
        <v/>
      </c>
      <c r="I95" s="7" t="n">
        <v>16.3948990527898</v>
      </c>
      <c r="J95" s="7" t="n">
        <v>12.3261601381999</v>
      </c>
      <c r="K95" s="4">
        <f>爬塔!W95</f>
        <v/>
      </c>
      <c r="L95" s="4">
        <f>爬塔!T95*IF(爬塔!O95="",1,爬塔!O95)</f>
        <v/>
      </c>
      <c r="M95" s="4">
        <f>K95/I95</f>
        <v/>
      </c>
      <c r="N95" s="4">
        <f>L95*J95</f>
        <v/>
      </c>
      <c r="O95" s="4">
        <f>INDEX(_统一战力!$D$2:$D$280,MATCH(F95,_统一战力!$C$2:$C$280,0))</f>
        <v/>
      </c>
      <c r="P95" s="4">
        <f>IF(AND(INDEX(_玩家曲线!$H$2:$H$280,F95)&gt;=M95,INDEX(_玩家曲线!$I$2:$I$280,F95)&gt;=N95),"通过","超出玩家曲线")</f>
        <v/>
      </c>
      <c r="Q95" s="4" t="n">
        <v>308</v>
      </c>
      <c r="R95" s="4" t="n">
        <v>253</v>
      </c>
    </row>
    <row r="96" ht="25" customHeight="1">
      <c r="A96" s="4" t="n">
        <v>92</v>
      </c>
      <c r="B96" s="4">
        <f>爬塔!J96</f>
        <v/>
      </c>
      <c r="C96" s="4" t="n">
        <v>1480000</v>
      </c>
      <c r="D96" s="5">
        <f>IF(P96="通过",ROUND(O96,-MAX(0,INT(LOG10(O96))-推荐战力参数!$B$5+1)),0)</f>
        <v/>
      </c>
      <c r="E96" s="84">
        <f>D96/C96-1</f>
        <v/>
      </c>
      <c r="F96" s="4">
        <f>MAX(G96,H96)</f>
        <v/>
      </c>
      <c r="G96" s="4">
        <f>MIN(ROWS(_玩家曲线!$H$2:$H$280),COUNTIF(_玩家曲线!$H$2:$H$280,"&lt;"&amp;M96)+1)</f>
        <v/>
      </c>
      <c r="H96" s="4">
        <f>MIN(ROWS(_玩家曲线!$I$2:$I$280),COUNTIF(_玩家曲线!$I$2:$I$280,"&lt;"&amp;N96)+1)</f>
        <v/>
      </c>
      <c r="I96" s="7" t="n">
        <v>16.35992155429</v>
      </c>
      <c r="J96" s="7" t="n">
        <v>12.3450630090194</v>
      </c>
      <c r="K96" s="4">
        <f>爬塔!W96</f>
        <v/>
      </c>
      <c r="L96" s="4">
        <f>爬塔!T96*IF(爬塔!O96="",1,爬塔!O96)</f>
        <v/>
      </c>
      <c r="M96" s="4">
        <f>K96/I96</f>
        <v/>
      </c>
      <c r="N96" s="4">
        <f>L96*J96</f>
        <v/>
      </c>
      <c r="O96" s="4">
        <f>INDEX(_统一战力!$D$2:$D$280,MATCH(F96,_统一战力!$C$2:$C$280,0))</f>
        <v/>
      </c>
      <c r="P96" s="4">
        <f>IF(AND(INDEX(_玩家曲线!$H$2:$H$280,F96)&gt;=M96,INDEX(_玩家曲线!$I$2:$I$280,F96)&gt;=N96),"通过","超出玩家曲线")</f>
        <v/>
      </c>
      <c r="Q96" s="4" t="n">
        <v>309</v>
      </c>
      <c r="R96" s="4" t="n">
        <v>255</v>
      </c>
    </row>
    <row r="97" ht="25" customHeight="1">
      <c r="A97" s="4" t="n">
        <v>93</v>
      </c>
      <c r="B97" s="4">
        <f>爬塔!J97</f>
        <v/>
      </c>
      <c r="C97" s="4" t="n">
        <v>1500000</v>
      </c>
      <c r="D97" s="5">
        <f>IF(P97="通过",ROUND(O97,-MAX(0,INT(LOG10(O97))-推荐战力参数!$B$5+1)),0)</f>
        <v/>
      </c>
      <c r="E97" s="84">
        <f>D97/C97-1</f>
        <v/>
      </c>
      <c r="F97" s="4">
        <f>MAX(G97,H97)</f>
        <v/>
      </c>
      <c r="G97" s="4">
        <f>MIN(ROWS(_玩家曲线!$H$2:$H$280),COUNTIF(_玩家曲线!$H$2:$H$280,"&lt;"&amp;M97)+1)</f>
        <v/>
      </c>
      <c r="H97" s="4">
        <f>MIN(ROWS(_玩家曲线!$I$2:$I$280),COUNTIF(_玩家曲线!$I$2:$I$280,"&lt;"&amp;N97)+1)</f>
        <v/>
      </c>
      <c r="I97" s="7" t="n">
        <v>16.6513569312811</v>
      </c>
      <c r="J97" s="7" t="n">
        <v>12.2156857723086</v>
      </c>
      <c r="K97" s="4">
        <f>爬塔!W97</f>
        <v/>
      </c>
      <c r="L97" s="4">
        <f>爬塔!T97*IF(爬塔!O97="",1,爬塔!O97)</f>
        <v/>
      </c>
      <c r="M97" s="4">
        <f>K97/I97</f>
        <v/>
      </c>
      <c r="N97" s="4">
        <f>L97*J97</f>
        <v/>
      </c>
      <c r="O97" s="4">
        <f>INDEX(_统一战力!$D$2:$D$280,MATCH(F97,_统一战力!$C$2:$C$280,0))</f>
        <v/>
      </c>
      <c r="P97" s="4">
        <f>IF(AND(INDEX(_玩家曲线!$H$2:$H$280,F97)&gt;=M97,INDEX(_玩家曲线!$I$2:$I$280,F97)&gt;=N97),"通过","超出玩家曲线")</f>
        <v/>
      </c>
      <c r="Q97" s="4" t="n">
        <v>312</v>
      </c>
      <c r="R97" s="4" t="n">
        <v>258</v>
      </c>
    </row>
    <row r="98" ht="25" customHeight="1">
      <c r="A98" s="4" t="n">
        <v>94</v>
      </c>
      <c r="B98" s="4">
        <f>爬塔!J98</f>
        <v/>
      </c>
      <c r="C98" s="4" t="n">
        <v>1510000</v>
      </c>
      <c r="D98" s="5">
        <f>IF(P98="通过",ROUND(O98,-MAX(0,INT(LOG10(O98))-推荐战力参数!$B$5+1)),0)</f>
        <v/>
      </c>
      <c r="E98" s="84">
        <f>D98/C98-1</f>
        <v/>
      </c>
      <c r="F98" s="4">
        <f>MAX(G98,H98)</f>
        <v/>
      </c>
      <c r="G98" s="4">
        <f>MIN(ROWS(_玩家曲线!$H$2:$H$280),COUNTIF(_玩家曲线!$H$2:$H$280,"&lt;"&amp;M98)+1)</f>
        <v/>
      </c>
      <c r="H98" s="4">
        <f>MIN(ROWS(_玩家曲线!$I$2:$I$280),COUNTIF(_玩家曲线!$I$2:$I$280,"&lt;"&amp;N98)+1)</f>
        <v/>
      </c>
      <c r="I98" s="7" t="n">
        <v>16.7758346937086</v>
      </c>
      <c r="J98" s="7" t="n">
        <v>12.1634743650547</v>
      </c>
      <c r="K98" s="4">
        <f>爬塔!W98</f>
        <v/>
      </c>
      <c r="L98" s="4">
        <f>爬塔!T98*IF(爬塔!O98="",1,爬塔!O98)</f>
        <v/>
      </c>
      <c r="M98" s="4">
        <f>K98/I98</f>
        <v/>
      </c>
      <c r="N98" s="4">
        <f>L98*J98</f>
        <v/>
      </c>
      <c r="O98" s="4">
        <f>INDEX(_统一战力!$D$2:$D$280,MATCH(F98,_统一战力!$C$2:$C$280,0))</f>
        <v/>
      </c>
      <c r="P98" s="4">
        <f>IF(AND(INDEX(_玩家曲线!$H$2:$H$280,F98)&gt;=M98,INDEX(_玩家曲线!$I$2:$I$280,F98)&gt;=N98),"通过","超出玩家曲线")</f>
        <v/>
      </c>
      <c r="Q98" s="4" t="n">
        <v>314</v>
      </c>
      <c r="R98" s="4" t="n">
        <v>261</v>
      </c>
    </row>
    <row r="99" ht="25" customHeight="1">
      <c r="A99" s="4" t="n">
        <v>95</v>
      </c>
      <c r="B99" s="4">
        <f>爬塔!J99</f>
        <v/>
      </c>
      <c r="C99" s="4" t="n">
        <v>1530000</v>
      </c>
      <c r="D99" s="5">
        <f>IF(P99="通过",ROUND(O99,-MAX(0,INT(LOG10(O99))-推荐战力参数!$B$5+1)),0)</f>
        <v/>
      </c>
      <c r="E99" s="84">
        <f>D99/C99-1</f>
        <v/>
      </c>
      <c r="F99" s="4">
        <f>MAX(G99,H99)</f>
        <v/>
      </c>
      <c r="G99" s="4">
        <f>MIN(ROWS(_玩家曲线!$H$2:$H$280),COUNTIF(_玩家曲线!$H$2:$H$280,"&lt;"&amp;M99)+1)</f>
        <v/>
      </c>
      <c r="H99" s="4">
        <f>MIN(ROWS(_玩家曲线!$I$2:$I$280),COUNTIF(_玩家曲线!$I$2:$I$280,"&lt;"&amp;N99)+1)</f>
        <v/>
      </c>
      <c r="I99" s="7" t="n">
        <v>16.9039365921598</v>
      </c>
      <c r="J99" s="7" t="n">
        <v>12.1103700512664</v>
      </c>
      <c r="K99" s="4">
        <f>爬塔!W99</f>
        <v/>
      </c>
      <c r="L99" s="4">
        <f>爬塔!T99*IF(爬塔!O99="",1,爬塔!O99)</f>
        <v/>
      </c>
      <c r="M99" s="4">
        <f>K99/I99</f>
        <v/>
      </c>
      <c r="N99" s="4">
        <f>L99*J99</f>
        <v/>
      </c>
      <c r="O99" s="4">
        <f>INDEX(_统一战力!$D$2:$D$280,MATCH(F99,_统一战力!$C$2:$C$280,0))</f>
        <v/>
      </c>
      <c r="P99" s="4">
        <f>IF(AND(INDEX(_玩家曲线!$H$2:$H$280,F99)&gt;=M99,INDEX(_玩家曲线!$I$2:$I$280,F99)&gt;=N99),"通过","超出玩家曲线")</f>
        <v/>
      </c>
      <c r="Q99" s="4" t="n">
        <v>316</v>
      </c>
      <c r="R99" s="4" t="n">
        <v>264</v>
      </c>
    </row>
    <row r="100" ht="25" customHeight="1">
      <c r="A100" s="4" t="n">
        <v>96</v>
      </c>
      <c r="B100" s="4">
        <f>爬塔!J100</f>
        <v/>
      </c>
      <c r="C100" s="4" t="n">
        <v>1540000</v>
      </c>
      <c r="D100" s="5">
        <f>IF(P100="通过",ROUND(O100,-MAX(0,INT(LOG10(O100))-推荐战力参数!$B$5+1)),0)</f>
        <v/>
      </c>
      <c r="E100" s="84">
        <f>D100/C100-1</f>
        <v/>
      </c>
      <c r="F100" s="4">
        <f>MAX(G100,H100)</f>
        <v/>
      </c>
      <c r="G100" s="4">
        <f>MIN(ROWS(_玩家曲线!$H$2:$H$280),COUNTIF(_玩家曲线!$H$2:$H$280,"&lt;"&amp;M100)+1)</f>
        <v/>
      </c>
      <c r="H100" s="4">
        <f>MIN(ROWS(_玩家曲线!$I$2:$I$280),COUNTIF(_玩家曲线!$I$2:$I$280,"&lt;"&amp;N100)+1)</f>
        <v/>
      </c>
      <c r="I100" s="7" t="n">
        <v>17.0353081072053</v>
      </c>
      <c r="J100" s="7" t="n">
        <v>12.056026435846</v>
      </c>
      <c r="K100" s="4">
        <f>爬塔!W100</f>
        <v/>
      </c>
      <c r="L100" s="4">
        <f>爬塔!T100*IF(爬塔!O100="",1,爬塔!O100)</f>
        <v/>
      </c>
      <c r="M100" s="4">
        <f>K100/I100</f>
        <v/>
      </c>
      <c r="N100" s="4">
        <f>L100*J100</f>
        <v/>
      </c>
      <c r="O100" s="4">
        <f>INDEX(_统一战力!$D$2:$D$280,MATCH(F100,_统一战力!$C$2:$C$280,0))</f>
        <v/>
      </c>
      <c r="P100" s="4">
        <f>IF(AND(INDEX(_玩家曲线!$H$2:$H$280,F100)&gt;=M100,INDEX(_玩家曲线!$I$2:$I$280,F100)&gt;=N100),"通过","超出玩家曲线")</f>
        <v/>
      </c>
      <c r="Q100" s="4" t="n">
        <v>318</v>
      </c>
      <c r="R100" s="4" t="n">
        <v>267</v>
      </c>
    </row>
    <row r="101" ht="25" customHeight="1">
      <c r="A101" s="4" t="n">
        <v>97</v>
      </c>
      <c r="B101" s="4">
        <f>爬塔!J101</f>
        <v/>
      </c>
      <c r="C101" s="4" t="n">
        <v>1560000</v>
      </c>
      <c r="D101" s="5">
        <f>IF(P101="通过",ROUND(O101,-MAX(0,INT(LOG10(O101))-推荐战力参数!$B$5+1)),0)</f>
        <v/>
      </c>
      <c r="E101" s="84">
        <f>D101/C101-1</f>
        <v/>
      </c>
      <c r="F101" s="4">
        <f>MAX(G101,H101)</f>
        <v/>
      </c>
      <c r="G101" s="4">
        <f>MIN(ROWS(_玩家曲线!$H$2:$H$280),COUNTIF(_玩家曲线!$H$2:$H$280,"&lt;"&amp;M101)+1)</f>
        <v/>
      </c>
      <c r="H101" s="4">
        <f>MIN(ROWS(_玩家曲线!$I$2:$I$280),COUNTIF(_玩家曲线!$I$2:$I$280,"&lt;"&amp;N101)+1)</f>
        <v/>
      </c>
      <c r="I101" s="7" t="n">
        <v>17.1699277941254</v>
      </c>
      <c r="J101" s="7" t="n">
        <v>12.0007586061643</v>
      </c>
      <c r="K101" s="4">
        <f>爬塔!W101</f>
        <v/>
      </c>
      <c r="L101" s="4">
        <f>爬塔!T101*IF(爬塔!O101="",1,爬塔!O101)</f>
        <v/>
      </c>
      <c r="M101" s="4">
        <f>K101/I101</f>
        <v/>
      </c>
      <c r="N101" s="4">
        <f>L101*J101</f>
        <v/>
      </c>
      <c r="O101" s="4">
        <f>INDEX(_统一战力!$D$2:$D$280,MATCH(F101,_统一战力!$C$2:$C$280,0))</f>
        <v/>
      </c>
      <c r="P101" s="4">
        <f>IF(AND(INDEX(_玩家曲线!$H$2:$H$280,F101)&gt;=M101,INDEX(_玩家曲线!$I$2:$I$280,F101)&gt;=N101),"通过","超出玩家曲线")</f>
        <v/>
      </c>
      <c r="Q101" s="4" t="n">
        <v>320</v>
      </c>
      <c r="R101" s="4" t="n">
        <v>270</v>
      </c>
    </row>
    <row r="102" ht="25" customHeight="1">
      <c r="A102" s="4" t="n">
        <v>98</v>
      </c>
      <c r="B102" s="4">
        <f>爬塔!J102</f>
        <v/>
      </c>
      <c r="C102" s="4" t="n">
        <v>1570000</v>
      </c>
      <c r="D102" s="5">
        <f>IF(P102="通过",ROUND(O102,-MAX(0,INT(LOG10(O102))-推荐战力参数!$B$5+1)),0)</f>
        <v/>
      </c>
      <c r="E102" s="84">
        <f>D102/C102-1</f>
        <v/>
      </c>
      <c r="F102" s="4">
        <f>MAX(G102,H102)</f>
        <v/>
      </c>
      <c r="G102" s="4">
        <f>MIN(ROWS(_玩家曲线!$H$2:$H$280),COUNTIF(_玩家曲线!$H$2:$H$280,"&lt;"&amp;M102)+1)</f>
        <v/>
      </c>
      <c r="H102" s="4">
        <f>MIN(ROWS(_玩家曲线!$I$2:$I$280),COUNTIF(_玩家曲线!$I$2:$I$280,"&lt;"&amp;N102)+1)</f>
        <v/>
      </c>
      <c r="I102" s="7" t="n">
        <v>17.3078532477952</v>
      </c>
      <c r="J102" s="7" t="n">
        <v>11.9442558313262</v>
      </c>
      <c r="K102" s="4">
        <f>爬塔!W102</f>
        <v/>
      </c>
      <c r="L102" s="4">
        <f>爬塔!T102*IF(爬塔!O102="",1,爬塔!O102)</f>
        <v/>
      </c>
      <c r="M102" s="4">
        <f>K102/I102</f>
        <v/>
      </c>
      <c r="N102" s="4">
        <f>L102*J102</f>
        <v/>
      </c>
      <c r="O102" s="4">
        <f>INDEX(_统一战力!$D$2:$D$280,MATCH(F102,_统一战力!$C$2:$C$280,0))</f>
        <v/>
      </c>
      <c r="P102" s="4">
        <f>IF(AND(INDEX(_玩家曲线!$H$2:$H$280,F102)&gt;=M102,INDEX(_玩家曲线!$I$2:$I$280,F102)&gt;=N102),"通过","超出玩家曲线")</f>
        <v/>
      </c>
      <c r="Q102" s="4" t="n">
        <v>322</v>
      </c>
      <c r="R102" s="4" t="n">
        <v>273</v>
      </c>
    </row>
    <row r="103" ht="25" customHeight="1">
      <c r="A103" s="4" t="n">
        <v>99</v>
      </c>
      <c r="B103" s="4">
        <f>爬塔!J103</f>
        <v/>
      </c>
      <c r="C103" s="4" t="n">
        <v>1590000</v>
      </c>
      <c r="D103" s="5">
        <f>IF(P103="通过",ROUND(O103,-MAX(0,INT(LOG10(O103))-推荐战力参数!$B$5+1)),0)</f>
        <v/>
      </c>
      <c r="E103" s="84">
        <f>D103/C103-1</f>
        <v/>
      </c>
      <c r="F103" s="4">
        <f>MAX(G103,H103)</f>
        <v/>
      </c>
      <c r="G103" s="4">
        <f>MIN(ROWS(_玩家曲线!$H$2:$H$280),COUNTIF(_玩家曲线!$H$2:$H$280,"&lt;"&amp;M103)+1)</f>
        <v/>
      </c>
      <c r="H103" s="4">
        <f>MIN(ROWS(_玩家曲线!$I$2:$I$280),COUNTIF(_玩家曲线!$I$2:$I$280,"&lt;"&amp;N103)+1)</f>
        <v/>
      </c>
      <c r="I103" s="7" t="n">
        <v>17.6278912331941</v>
      </c>
      <c r="J103" s="7" t="n">
        <v>11.8122411086379</v>
      </c>
      <c r="K103" s="4">
        <f>爬塔!W103</f>
        <v/>
      </c>
      <c r="L103" s="4">
        <f>爬塔!T103*IF(爬塔!O103="",1,爬塔!O103)</f>
        <v/>
      </c>
      <c r="M103" s="4">
        <f>K103/I103</f>
        <v/>
      </c>
      <c r="N103" s="4">
        <f>L103*J103</f>
        <v/>
      </c>
      <c r="O103" s="4">
        <f>INDEX(_统一战力!$D$2:$D$280,MATCH(F103,_统一战力!$C$2:$C$280,0))</f>
        <v/>
      </c>
      <c r="P103" s="4">
        <f>IF(AND(INDEX(_玩家曲线!$H$2:$H$280,F103)&gt;=M103,INDEX(_玩家曲线!$I$2:$I$280,F103)&gt;=N103),"通过","超出玩家曲线")</f>
        <v/>
      </c>
      <c r="Q103" s="4" t="n">
        <v>325</v>
      </c>
      <c r="R103" s="4" t="n">
        <v>276</v>
      </c>
    </row>
    <row r="104" ht="25" customHeight="1">
      <c r="A104" s="4" t="n">
        <v>100</v>
      </c>
      <c r="B104" s="4">
        <f>爬塔!J104</f>
        <v/>
      </c>
      <c r="C104" s="4" t="n">
        <v>1600000</v>
      </c>
      <c r="D104" s="5">
        <f>IF(P104="通过",ROUND(O104,-MAX(0,INT(LOG10(O104))-推荐战力参数!$B$5+1)),0)</f>
        <v/>
      </c>
      <c r="E104" s="84">
        <f>D104/C104-1</f>
        <v/>
      </c>
      <c r="F104" s="4">
        <f>MAX(G104,H104)</f>
        <v/>
      </c>
      <c r="G104" s="4">
        <f>MIN(ROWS(_玩家曲线!$H$2:$H$280),COUNTIF(_玩家曲线!$H$2:$H$280,"&lt;"&amp;M104)+1)</f>
        <v/>
      </c>
      <c r="H104" s="4">
        <f>MIN(ROWS(_玩家曲线!$I$2:$I$280),COUNTIF(_玩家曲线!$I$2:$I$280,"&lt;"&amp;N104)+1)</f>
        <v/>
      </c>
      <c r="I104" s="7" t="n">
        <v>17.5923616434232</v>
      </c>
      <c r="J104" s="7" t="n">
        <v>11.8297257736823</v>
      </c>
      <c r="K104" s="4">
        <f>爬塔!W104</f>
        <v/>
      </c>
      <c r="L104" s="4">
        <f>爬塔!T104*IF(爬塔!O104="",1,爬塔!O104)</f>
        <v/>
      </c>
      <c r="M104" s="4">
        <f>K104/I104</f>
        <v/>
      </c>
      <c r="N104" s="4">
        <f>L104*J104</f>
        <v/>
      </c>
      <c r="O104" s="4">
        <f>INDEX(_统一战力!$D$2:$D$280,MATCH(F104,_统一战力!$C$2:$C$280,0))</f>
        <v/>
      </c>
      <c r="P104" s="4">
        <f>IF(AND(INDEX(_玩家曲线!$H$2:$H$280,F104)&gt;=M104,INDEX(_玩家曲线!$I$2:$I$280,F104)&gt;=N104),"通过","超出玩家曲线")</f>
        <v/>
      </c>
      <c r="Q104" s="4" t="n">
        <v>326</v>
      </c>
      <c r="R104" s="4" t="n">
        <v>279</v>
      </c>
    </row>
  </sheetData>
  <mergeCells count="5">
    <mergeCell ref="I2:R3"/>
    <mergeCell ref="A3:H3"/>
    <mergeCell ref="I1:R1"/>
    <mergeCell ref="A2:H2"/>
    <mergeCell ref="A1:H1"/>
  </mergeCells>
  <conditionalFormatting sqref="P5:P104">
    <cfRule type="containsText" priority="1" operator="between" dxfId="5" text="超出">
      <formula>NOT(ISERROR(SEARCH("超出",P5)))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F17"/>
  <sheetViews>
    <sheetView workbookViewId="0">
      <selection activeCell="A1" sqref="A1"/>
    </sheetView>
  </sheetViews>
  <sheetFormatPr baseColWidth="8" defaultColWidth="9" defaultRowHeight="13.5"/>
  <sheetData>
    <row r="1">
      <c r="A1" t="inlineStr">
        <is>
          <t>全玩法难度填写｜肉鸽</t>
        </is>
      </c>
    </row>
    <row r="2">
      <c r="A2" t="inlineStr">
        <is>
          <t>当前页已按开启顺序和玩法定位填入首版怪物等级。黄色J列可直接覆盖；G列是本版使用的玩家曲线对照节点。</t>
        </is>
      </c>
    </row>
    <row r="3">
      <c r="A3" t="inlineStr">
        <is>
          <t>公式口径：怪物实际属性=战斗公式标准模型×可选系数；怪物EHP=实际生命÷(1-防御减伤)×整关EHP倍率；TTK=怪物EHP÷玩家DPS。</t>
        </is>
      </c>
    </row>
    <row r="4">
      <c r="A4" t="inlineStr">
        <is>
          <t>状态</t>
        </is>
      </c>
      <c r="B4" t="inlineStr">
        <is>
          <t>玩法</t>
        </is>
      </c>
      <c r="C4" t="inlineStr">
        <is>
          <t>子玩法/共用范围</t>
        </is>
      </c>
      <c r="D4" t="inlineStr">
        <is>
          <t>节点名称</t>
        </is>
      </c>
      <c r="E4" t="inlineStr">
        <is>
          <t>LevelId/配置映射</t>
        </is>
      </c>
      <c r="F4" t="inlineStr">
        <is>
          <t>怪物类型</t>
        </is>
      </c>
      <c r="G4" t="inlineStr">
        <is>
          <t>默认对照关卡</t>
        </is>
      </c>
      <c r="H4" t="inlineStr">
        <is>
          <t>手动对照关卡</t>
        </is>
      </c>
      <c r="I4" t="inlineStr">
        <is>
          <t>实际对照关卡</t>
        </is>
      </c>
      <c r="J4" t="inlineStr">
        <is>
          <t>怪物等级</t>
        </is>
      </c>
      <c r="K4" t="inlineStr">
        <is>
          <t>生命系数</t>
        </is>
      </c>
      <c r="L4" t="inlineStr">
        <is>
          <t>攻击系数</t>
        </is>
      </c>
      <c r="M4" t="inlineStr">
        <is>
          <t>防御系数</t>
        </is>
      </c>
      <c r="N4" t="inlineStr">
        <is>
          <t>整关EHP倍率</t>
        </is>
      </c>
      <c r="O4" t="inlineStr">
        <is>
          <t>攻击压力倍率</t>
        </is>
      </c>
      <c r="P4" t="inlineStr">
        <is>
          <t>目标时间(s)</t>
        </is>
      </c>
      <c r="Q4" t="inlineStr">
        <is>
          <t>玩家DPS</t>
        </is>
      </c>
      <c r="R4" t="inlineStr">
        <is>
          <t>玩家队伍EHP</t>
        </is>
      </c>
      <c r="S4" t="inlineStr">
        <is>
          <t>怪物实际生命</t>
        </is>
      </c>
      <c r="T4" t="inlineStr">
        <is>
          <t>怪物实际攻击</t>
        </is>
      </c>
      <c r="U4" t="inlineStr">
        <is>
          <t>怪物实际防御</t>
        </is>
      </c>
      <c r="V4" t="inlineStr">
        <is>
          <t>怪物减伤率</t>
        </is>
      </c>
      <c r="W4" t="inlineStr">
        <is>
          <t>整关目标EHP</t>
        </is>
      </c>
      <c r="X4" t="inlineStr">
        <is>
          <t>预测TTK(s)</t>
        </is>
      </c>
      <c r="Y4" t="inlineStr">
        <is>
          <t>预测存活(s)</t>
        </is>
      </c>
      <c r="Z4" t="inlineStr">
        <is>
          <t>TTK/目标</t>
        </is>
      </c>
      <c r="AA4" t="inlineStr">
        <is>
          <t>难度判断</t>
        </is>
      </c>
      <c r="AB4" t="inlineStr">
        <is>
          <t>等级检查</t>
        </is>
      </c>
      <c r="AC4" t="inlineStr">
        <is>
          <t>等级趋势</t>
        </is>
      </c>
      <c r="AD4" t="inlineStr">
        <is>
          <t>备注</t>
        </is>
      </c>
    </row>
    <row r="5">
      <c r="A5" t="inlineStr">
        <is>
          <t>当前配置</t>
        </is>
      </c>
      <c r="B5" t="inlineStr">
        <is>
          <t>肉鸽</t>
        </is>
      </c>
      <c r="C5" t="inlineStr">
        <is>
          <t>5张场景</t>
        </is>
      </c>
      <c r="D5" t="inlineStr">
        <is>
          <t>难度1</t>
        </is>
      </c>
      <c r="E5" t="n">
        <v>1000001</v>
      </c>
      <c r="F5" t="inlineStr">
        <is>
          <t>Boss</t>
        </is>
      </c>
      <c r="G5" t="n">
        <v>85</v>
      </c>
      <c r="I5">
        <f>IF($H5="",$G5,$H5)</f>
        <v/>
      </c>
      <c r="J5" t="n">
        <v>106</v>
      </c>
      <c r="Q5">
        <f>IF($I5="","",IFERROR(INDEX(_玩家曲线!$H$2:$H$286,MATCH($I5,_玩家曲线!$A$2:$A$286,0)),""))</f>
        <v/>
      </c>
      <c r="R5">
        <f>IF($I5="","",IFERROR(INDEX(_玩家曲线!$I$2:$I$286,MATCH($I5,_玩家曲线!$A$2:$A$286,0)),""))</f>
        <v/>
      </c>
      <c r="S5">
        <f>IF(OR($J5="",$F5="不适用"),"",IFERROR(INDEX(_怪物模型!$D$2:$D$4501,(INT($J5)-1)*ROWS(_怪物类型!$A$2:$A$10)+MATCH($F5,_怪物类型!$A$2:$A$10,0))*IF($K5="",1,$K5),""))</f>
        <v/>
      </c>
      <c r="T5">
        <f>IF(OR($J5="",$F5="不适用"),"",IFERROR(INDEX(_怪物模型!$E$2:$E$4501,(INT($J5)-1)*ROWS(_怪物类型!$A$2:$A$10)+MATCH($F5,_怪物类型!$A$2:$A$10,0))*IF($L5="",1,$L5),""))</f>
        <v/>
      </c>
      <c r="U5">
        <f>IF(OR($J5="",$F5="不适用"),"",IFERROR(INDEX(_怪物模型!$F$2:$F$4501,(INT($J5)-1)*ROWS(_怪物类型!$A$2:$A$10)+MATCH($F5,_怪物类型!$A$2:$A$10,0))*IF($M5="",1,$M5),""))</f>
        <v/>
      </c>
      <c r="V5">
        <f>IF($U5="","",MIN(0.75,$U5/($U5+24000)))</f>
        <v/>
      </c>
      <c r="W5">
        <f>IF($S5="","",$S5/(1-$V5)*IF($N5="",1,$N5))</f>
        <v/>
      </c>
      <c r="X5">
        <f>IF(OR($W5="",$Q5="",$Q5=0),"",$W5/$Q5)</f>
        <v/>
      </c>
      <c r="Y5">
        <f>IF(OR($R5="",$T5="",$T5=0),"",$R5/($T5*IF($O5="",1,$O5)))</f>
        <v/>
      </c>
      <c r="Z5">
        <f>IF(OR($X5="",$P5="",$P5=0),"",$X5/$P5)</f>
        <v/>
      </c>
      <c r="AA5">
        <f>IF($J5="","待填怪物等级",IF(OR($I5="",$Q5=""),"待填对照关卡",IF($P5="","已计算",IF(AND($Y5&lt;&gt;"",$Y5&lt;$X5),"生存不成立",IF($Z5&lt;0.5,"碾压",IF($Z5&lt;0.8,"偏简单",IF($Z5&lt;=1.2,"适中",IF($Z5&lt;=1.5,"偏难","过难"))))))))</f>
        <v/>
      </c>
      <c r="AB5">
        <f>IF($J5="","待填",IF(AND(ISNUMBER($J5),$J5&gt;=1,$J5&lt;=500,MOD($J5,1)=0),"有效","超范围"))</f>
        <v/>
      </c>
      <c r="AC5">
        <f>IF(OR($J5="",ROW()=5,$B5&lt;&gt;$B4,$J4=""),"",IF($J5&lt;$J4,"下降",""))</f>
        <v/>
      </c>
      <c r="AD5" t="inlineStr">
        <is>
          <t>肉鸽系统Lv35/S85开放；场景索引1000001｜修正版V4：前三档Lv140/210/285缓升，为开启与局内成长留容错；对照S85｜V4同步最新玩家曲线：Lv150→Lv140，保留原TTK/生存压力目标｜曲线同步20260811：Lv140→Lv118，保持原玩法定位与TTK/生存压力</t>
        </is>
      </c>
    </row>
    <row r="6">
      <c r="A6" t="inlineStr">
        <is>
          <t>当前配置</t>
        </is>
      </c>
      <c r="B6" t="inlineStr">
        <is>
          <t>肉鸽</t>
        </is>
      </c>
      <c r="C6" t="inlineStr">
        <is>
          <t>5张场景</t>
        </is>
      </c>
      <c r="D6" t="inlineStr">
        <is>
          <t>难度2</t>
        </is>
      </c>
      <c r="E6" t="n">
        <v>1000002</v>
      </c>
      <c r="F6" t="inlineStr">
        <is>
          <t>Boss</t>
        </is>
      </c>
      <c r="G6" t="n">
        <v>110</v>
      </c>
      <c r="I6">
        <f>IF($H6="",$G6,$H6)</f>
        <v/>
      </c>
      <c r="J6" t="n">
        <v>154</v>
      </c>
      <c r="Q6">
        <f>IF($I6="","",IFERROR(INDEX(_玩家曲线!$H$2:$H$286,MATCH($I6,_玩家曲线!$A$2:$A$286,0)),""))</f>
        <v/>
      </c>
      <c r="R6">
        <f>IF($I6="","",IFERROR(INDEX(_玩家曲线!$I$2:$I$286,MATCH($I6,_玩家曲线!$A$2:$A$286,0)),""))</f>
        <v/>
      </c>
      <c r="S6">
        <f>IF(OR($J6="",$F6="不适用"),"",IFERROR(INDEX(_怪物模型!$D$2:$D$4501,(INT($J6)-1)*ROWS(_怪物类型!$A$2:$A$10)+MATCH($F6,_怪物类型!$A$2:$A$10,0))*IF($K6="",1,$K6),""))</f>
        <v/>
      </c>
      <c r="T6">
        <f>IF(OR($J6="",$F6="不适用"),"",IFERROR(INDEX(_怪物模型!$E$2:$E$4501,(INT($J6)-1)*ROWS(_怪物类型!$A$2:$A$10)+MATCH($F6,_怪物类型!$A$2:$A$10,0))*IF($L6="",1,$L6),""))</f>
        <v/>
      </c>
      <c r="U6">
        <f>IF(OR($J6="",$F6="不适用"),"",IFERROR(INDEX(_怪物模型!$F$2:$F$4501,(INT($J6)-1)*ROWS(_怪物类型!$A$2:$A$10)+MATCH($F6,_怪物类型!$A$2:$A$10,0))*IF($M6="",1,$M6),""))</f>
        <v/>
      </c>
      <c r="V6">
        <f>IF($U6="","",MIN(0.75,$U6/($U6+24000)))</f>
        <v/>
      </c>
      <c r="W6">
        <f>IF($S6="","",$S6/(1-$V6)*IF($N6="",1,$N6))</f>
        <v/>
      </c>
      <c r="X6">
        <f>IF(OR($W6="",$Q6="",$Q6=0),"",$W6/$Q6)</f>
        <v/>
      </c>
      <c r="Y6">
        <f>IF(OR($R6="",$T6="",$T6=0),"",$R6/($T6*IF($O6="",1,$O6)))</f>
        <v/>
      </c>
      <c r="Z6">
        <f>IF(OR($X6="",$P6="",$P6=0),"",$X6/$P6)</f>
        <v/>
      </c>
      <c r="AA6">
        <f>IF($J6="","待填怪物等级",IF(OR($I6="",$Q6=""),"待填对照关卡",IF($P6="","已计算",IF(AND($Y6&lt;&gt;"",$Y6&lt;$X6),"生存不成立",IF($Z6&lt;0.5,"碾压",IF($Z6&lt;0.8,"偏简单",IF($Z6&lt;=1.2,"适中",IF($Z6&lt;=1.5,"偏难","过难"))))))))</f>
        <v/>
      </c>
      <c r="AB6">
        <f>IF($J6="","待填",IF(AND(ISNUMBER($J6),$J6&gt;=1,$J6&lt;=500,MOD($J6,1)=0),"有效","超范围"))</f>
        <v/>
      </c>
      <c r="AC6">
        <f>IF(OR($J6="",ROW()=5,$B6&lt;&gt;$B5,$J5=""),"",IF($J6&lt;$J5,"下降",""))</f>
        <v/>
      </c>
      <c r="AD6" t="inlineStr">
        <is>
          <t>肉鸽系统Lv35/S85开放；场景索引1000002｜修正版V4：前三档Lv150/210/285缓升，为开启与局内成长留容错；对照S110｜V4同步最新玩家曲线：Lv210→Lv199，保留原TTK/生存压力目标｜曲线同步20260811：Lv199→Lv170，保持原玩法定位与TTK/生存压力</t>
        </is>
      </c>
    </row>
    <row r="7">
      <c r="A7" t="inlineStr">
        <is>
          <t>当前配置</t>
        </is>
      </c>
      <c r="B7" t="inlineStr">
        <is>
          <t>肉鸽</t>
        </is>
      </c>
      <c r="C7" t="inlineStr">
        <is>
          <t>5张场景</t>
        </is>
      </c>
      <c r="D7" t="inlineStr">
        <is>
          <t>难度3</t>
        </is>
      </c>
      <c r="E7" t="n">
        <v>1000003</v>
      </c>
      <c r="F7" t="inlineStr">
        <is>
          <t>Boss</t>
        </is>
      </c>
      <c r="G7" t="n">
        <v>145</v>
      </c>
      <c r="I7">
        <f>IF($H7="",$G7,$H7)</f>
        <v/>
      </c>
      <c r="J7" t="n">
        <v>218</v>
      </c>
      <c r="Q7">
        <f>IF($I7="","",IFERROR(INDEX(_玩家曲线!$H$2:$H$286,MATCH($I7,_玩家曲线!$A$2:$A$286,0)),""))</f>
        <v/>
      </c>
      <c r="R7">
        <f>IF($I7="","",IFERROR(INDEX(_玩家曲线!$I$2:$I$286,MATCH($I7,_玩家曲线!$A$2:$A$286,0)),""))</f>
        <v/>
      </c>
      <c r="S7">
        <f>IF(OR($J7="",$F7="不适用"),"",IFERROR(INDEX(_怪物模型!$D$2:$D$4501,(INT($J7)-1)*ROWS(_怪物类型!$A$2:$A$10)+MATCH($F7,_怪物类型!$A$2:$A$10,0))*IF($K7="",1,$K7),""))</f>
        <v/>
      </c>
      <c r="T7">
        <f>IF(OR($J7="",$F7="不适用"),"",IFERROR(INDEX(_怪物模型!$E$2:$E$4501,(INT($J7)-1)*ROWS(_怪物类型!$A$2:$A$10)+MATCH($F7,_怪物类型!$A$2:$A$10,0))*IF($L7="",1,$L7),""))</f>
        <v/>
      </c>
      <c r="U7">
        <f>IF(OR($J7="",$F7="不适用"),"",IFERROR(INDEX(_怪物模型!$F$2:$F$4501,(INT($J7)-1)*ROWS(_怪物类型!$A$2:$A$10)+MATCH($F7,_怪物类型!$A$2:$A$10,0))*IF($M7="",1,$M7),""))</f>
        <v/>
      </c>
      <c r="V7">
        <f>IF($U7="","",MIN(0.75,$U7/($U7+24000)))</f>
        <v/>
      </c>
      <c r="W7">
        <f>IF($S7="","",$S7/(1-$V7)*IF($N7="",1,$N7))</f>
        <v/>
      </c>
      <c r="X7">
        <f>IF(OR($W7="",$Q7="",$Q7=0),"",$W7/$Q7)</f>
        <v/>
      </c>
      <c r="Y7">
        <f>IF(OR($R7="",$T7="",$T7=0),"",$R7/($T7*IF($O7="",1,$O7)))</f>
        <v/>
      </c>
      <c r="Z7">
        <f>IF(OR($X7="",$P7="",$P7=0),"",$X7/$P7)</f>
        <v/>
      </c>
      <c r="AA7">
        <f>IF($J7="","待填怪物等级",IF(OR($I7="",$Q7=""),"待填对照关卡",IF($P7="","已计算",IF(AND($Y7&lt;&gt;"",$Y7&lt;$X7),"生存不成立",IF($Z7&lt;0.5,"碾压",IF($Z7&lt;0.8,"偏简单",IF($Z7&lt;=1.2,"适中",IF($Z7&lt;=1.5,"偏难","过难"))))))))</f>
        <v/>
      </c>
      <c r="AB7">
        <f>IF($J7="","待填",IF(AND(ISNUMBER($J7),$J7&gt;=1,$J7&lt;=500,MOD($J7,1)=0),"有效","超范围"))</f>
        <v/>
      </c>
      <c r="AC7">
        <f>IF(OR($J7="",ROW()=5,$B7&lt;&gt;$B6,$J6=""),"",IF($J7&lt;$J6,"下降",""))</f>
        <v/>
      </c>
      <c r="AD7" t="inlineStr">
        <is>
          <t>肉鸽系统Lv35/S85开放；场景索引1000003｜修正版V4：前三档Lv150/210/285缓升，为开启与局内成长留容错；对照S145｜V4同步最新玩家曲线：Lv285→Lv274，保留原TTK/生存压力目标｜曲线同步20260811：Lv274→Lv238，保持原玩法定位与TTK/生存压力</t>
        </is>
      </c>
    </row>
    <row r="8">
      <c r="A8" t="inlineStr">
        <is>
          <t>当前配置</t>
        </is>
      </c>
      <c r="B8" t="inlineStr">
        <is>
          <t>肉鸽</t>
        </is>
      </c>
      <c r="C8" t="inlineStr">
        <is>
          <t>5张场景</t>
        </is>
      </c>
      <c r="D8" t="inlineStr">
        <is>
          <t>难度4</t>
        </is>
      </c>
      <c r="E8" t="n">
        <v>1000004</v>
      </c>
      <c r="F8" t="inlineStr">
        <is>
          <t>Boss</t>
        </is>
      </c>
      <c r="G8" t="n">
        <v>190</v>
      </c>
      <c r="I8">
        <f>IF($H8="",$G8,$H8)</f>
        <v/>
      </c>
      <c r="J8" t="n">
        <v>267</v>
      </c>
      <c r="Q8">
        <f>IF($I8="","",IFERROR(INDEX(_玩家曲线!$H$2:$H$286,MATCH($I8,_玩家曲线!$A$2:$A$286,0)),""))</f>
        <v/>
      </c>
      <c r="R8">
        <f>IF($I8="","",IFERROR(INDEX(_玩家曲线!$I$2:$I$286,MATCH($I8,_玩家曲线!$A$2:$A$286,0)),""))</f>
        <v/>
      </c>
      <c r="S8">
        <f>IF(OR($J8="",$F8="不适用"),"",IFERROR(INDEX(_怪物模型!$D$2:$D$4501,(INT($J8)-1)*ROWS(_怪物类型!$A$2:$A$10)+MATCH($F8,_怪物类型!$A$2:$A$10,0))*IF($K8="",1,$K8),""))</f>
        <v/>
      </c>
      <c r="T8">
        <f>IF(OR($J8="",$F8="不适用"),"",IFERROR(INDEX(_怪物模型!$E$2:$E$4501,(INT($J8)-1)*ROWS(_怪物类型!$A$2:$A$10)+MATCH($F8,_怪物类型!$A$2:$A$10,0))*IF($L8="",1,$L8),""))</f>
        <v/>
      </c>
      <c r="U8">
        <f>IF(OR($J8="",$F8="不适用"),"",IFERROR(INDEX(_怪物模型!$F$2:$F$4501,(INT($J8)-1)*ROWS(_怪物类型!$A$2:$A$10)+MATCH($F8,_怪物类型!$A$2:$A$10,0))*IF($M8="",1,$M8),""))</f>
        <v/>
      </c>
      <c r="V8">
        <f>IF($U8="","",MIN(0.75,$U8/($U8+24000)))</f>
        <v/>
      </c>
      <c r="W8">
        <f>IF($S8="","",$S8/(1-$V8)*IF($N8="",1,$N8))</f>
        <v/>
      </c>
      <c r="X8">
        <f>IF(OR($W8="",$Q8="",$Q8=0),"",$W8/$Q8)</f>
        <v/>
      </c>
      <c r="Y8">
        <f>IF(OR($R8="",$T8="",$T8=0),"",$R8/($T8*IF($O8="",1,$O8)))</f>
        <v/>
      </c>
      <c r="Z8">
        <f>IF(OR($X8="",$P8="",$P8=0),"",$X8/$P8)</f>
        <v/>
      </c>
      <c r="AA8">
        <f>IF($J8="","待填怪物等级",IF(OR($I8="",$Q8=""),"待填对照关卡",IF($P8="","已计算",IF(AND($Y8&lt;&gt;"",$Y8&lt;$X8),"生存不成立",IF($Z8&lt;0.5,"碾压",IF($Z8&lt;0.8,"偏简单",IF($Z8&lt;=1.2,"适中",IF($Z8&lt;=1.5,"偏难","过难"))))))))</f>
        <v/>
      </c>
      <c r="AB8">
        <f>IF($J8="","待填",IF(AND(ISNUMBER($J8),$J8&gt;=1,$J8&lt;=500,MOD($J8,1)=0),"有效","超范围"))</f>
        <v/>
      </c>
      <c r="AC8">
        <f>IF(OR($J8="",ROW()=5,$B8&lt;&gt;$B7,$J7=""),"",IF($J8&lt;$J7,"下降",""))</f>
        <v/>
      </c>
      <c r="AD8" t="inlineStr">
        <is>
          <t>肉鸽系统Lv35/S85开放；场景索引1000004｜修正版V4：前三档Lv150/210/285缓升，为开启与局内成长留容错；对照S190｜V4同步最新玩家曲线：Lv340→Lv330，保留原TTK/生存压力目标｜曲线同步20260811：Lv330→Lv289，保持原玩法定位与TTK/生存压力</t>
        </is>
      </c>
    </row>
    <row r="9">
      <c r="A9" t="inlineStr">
        <is>
          <t>当前配置</t>
        </is>
      </c>
      <c r="B9" t="inlineStr">
        <is>
          <t>肉鸽</t>
        </is>
      </c>
      <c r="C9" t="inlineStr">
        <is>
          <t>5张场景</t>
        </is>
      </c>
      <c r="D9" t="inlineStr">
        <is>
          <t>难度5</t>
        </is>
      </c>
      <c r="E9" t="n">
        <v>1000005</v>
      </c>
      <c r="F9" t="inlineStr">
        <is>
          <t>Boss</t>
        </is>
      </c>
      <c r="G9" t="n">
        <v>240</v>
      </c>
      <c r="I9">
        <f>IF($H9="",$G9,$H9)</f>
        <v/>
      </c>
      <c r="J9" t="n">
        <v>286</v>
      </c>
      <c r="Q9">
        <f>IF($I9="","",IFERROR(INDEX(_玩家曲线!$H$2:$H$286,MATCH($I9,_玩家曲线!$A$2:$A$286,0)),""))</f>
        <v/>
      </c>
      <c r="R9">
        <f>IF($I9="","",IFERROR(INDEX(_玩家曲线!$I$2:$I$286,MATCH($I9,_玩家曲线!$A$2:$A$286,0)),""))</f>
        <v/>
      </c>
      <c r="S9">
        <f>IF(OR($J9="",$F9="不适用"),"",IFERROR(INDEX(_怪物模型!$D$2:$D$4501,(INT($J9)-1)*ROWS(_怪物类型!$A$2:$A$10)+MATCH($F9,_怪物类型!$A$2:$A$10,0))*IF($K9="",1,$K9),""))</f>
        <v/>
      </c>
      <c r="T9">
        <f>IF(OR($J9="",$F9="不适用"),"",IFERROR(INDEX(_怪物模型!$E$2:$E$4501,(INT($J9)-1)*ROWS(_怪物类型!$A$2:$A$10)+MATCH($F9,_怪物类型!$A$2:$A$10,0))*IF($L9="",1,$L9),""))</f>
        <v/>
      </c>
      <c r="U9">
        <f>IF(OR($J9="",$F9="不适用"),"",IFERROR(INDEX(_怪物模型!$F$2:$F$4501,(INT($J9)-1)*ROWS(_怪物类型!$A$2:$A$10)+MATCH($F9,_怪物类型!$A$2:$A$10,0))*IF($M9="",1,$M9),""))</f>
        <v/>
      </c>
      <c r="V9">
        <f>IF($U9="","",MIN(0.75,$U9/($U9+24000)))</f>
        <v/>
      </c>
      <c r="W9">
        <f>IF($S9="","",$S9/(1-$V9)*IF($N9="",1,$N9))</f>
        <v/>
      </c>
      <c r="X9">
        <f>IF(OR($W9="",$Q9="",$Q9=0),"",$W9/$Q9)</f>
        <v/>
      </c>
      <c r="Y9">
        <f>IF(OR($R9="",$T9="",$T9=0),"",$R9/($T9*IF($O9="",1,$O9)))</f>
        <v/>
      </c>
      <c r="Z9">
        <f>IF(OR($X9="",$P9="",$P9=0),"",$X9/$P9)</f>
        <v/>
      </c>
      <c r="AA9">
        <f>IF($J9="","待填怪物等级",IF(OR($I9="",$Q9=""),"待填对照关卡",IF($P9="","已计算",IF(AND($Y9&lt;&gt;"",$Y9&lt;$X9),"生存不成立",IF($Z9&lt;0.5,"碾压",IF($Z9&lt;0.8,"偏简单",IF($Z9&lt;=1.2,"适中",IF($Z9&lt;=1.5,"偏难","过难"))))))))</f>
        <v/>
      </c>
      <c r="AB9">
        <f>IF($J9="","待填",IF(AND(ISNUMBER($J9),$J9&gt;=1,$J9&lt;=500,MOD($J9,1)=0),"有效","超范围"))</f>
        <v/>
      </c>
      <c r="AC9">
        <f>IF(OR($J9="",ROW()=5,$B9&lt;&gt;$B8,$J8=""),"",IF($J9&lt;$J8,"下降",""))</f>
        <v/>
      </c>
      <c r="AD9" t="inlineStr">
        <is>
          <t>肉鸽系统Lv35/S85开放；场景索引1000005｜修正版V4：前三档Lv150/210/285缓升，为开启与局内成长留容错；对照S240｜V4同步最新玩家曲线：Lv361→Lv351，保留原TTK/生存压力目标｜曲线同步20260811：Lv351→Lv309，保持原玩法定位与TTK/生存压力</t>
        </is>
      </c>
    </row>
    <row r="11">
      <c r="A11" t="inlineStr">
        <is>
          <t>——以下为 2026-09-14 +25% EHP 等级上调提案（未落配置；难度实体=正式 level.xlsx#LevelId 1000001~1000005/Type39 Grade 106/154/218/267/286；RoguelikeLevel.Grade 列与 level 不一致，以 level 为准）——</t>
        </is>
      </c>
    </row>
    <row r="12">
      <c r="A12" t="inlineStr">
        <is>
          <t>状态</t>
        </is>
      </c>
      <c r="B12" t="inlineStr">
        <is>
          <t>玩法</t>
        </is>
      </c>
      <c r="C12" t="inlineStr">
        <is>
          <t>子玩法/共用范围</t>
        </is>
      </c>
      <c r="D12" t="inlineStr">
        <is>
          <t>节点名称</t>
        </is>
      </c>
      <c r="E12" t="inlineStr">
        <is>
          <t>LevelId/配置映射</t>
        </is>
      </c>
      <c r="F12" t="inlineStr">
        <is>
          <t>怪物类型</t>
        </is>
      </c>
      <c r="G12" t="inlineStr">
        <is>
          <t>默认对照关卡</t>
        </is>
      </c>
      <c r="H12" t="inlineStr">
        <is>
          <t>手动对照关卡</t>
        </is>
      </c>
      <c r="I12" t="inlineStr">
        <is>
          <t>实际对照关卡</t>
        </is>
      </c>
      <c r="J12" t="inlineStr">
        <is>
          <t>怪物等级</t>
        </is>
      </c>
      <c r="K12" t="inlineStr">
        <is>
          <t>生命系数</t>
        </is>
      </c>
      <c r="L12" t="inlineStr">
        <is>
          <t>攻击系数</t>
        </is>
      </c>
      <c r="M12" t="inlineStr">
        <is>
          <t>防御系数</t>
        </is>
      </c>
      <c r="N12" t="inlineStr">
        <is>
          <t>整关EHP倍率</t>
        </is>
      </c>
      <c r="O12" t="inlineStr">
        <is>
          <t>攻击压力倍率</t>
        </is>
      </c>
      <c r="P12" t="inlineStr">
        <is>
          <t>目标时间(s)</t>
        </is>
      </c>
      <c r="Q12" t="inlineStr">
        <is>
          <t>玩家DPS</t>
        </is>
      </c>
      <c r="R12" t="inlineStr">
        <is>
          <t>玩家队伍EHP</t>
        </is>
      </c>
      <c r="S12" t="inlineStr">
        <is>
          <t>怪物实际生命</t>
        </is>
      </c>
      <c r="T12" t="inlineStr">
        <is>
          <t>怪物实际攻击</t>
        </is>
      </c>
      <c r="U12" t="inlineStr">
        <is>
          <t>怪物实际防御</t>
        </is>
      </c>
      <c r="V12" t="inlineStr">
        <is>
          <t>怪物减伤率</t>
        </is>
      </c>
      <c r="W12" t="inlineStr">
        <is>
          <t>整关目标EHP</t>
        </is>
      </c>
      <c r="X12" t="inlineStr">
        <is>
          <t>预测TTK(s)</t>
        </is>
      </c>
      <c r="Y12" t="inlineStr">
        <is>
          <t>预测存活(s)</t>
        </is>
      </c>
      <c r="Z12" t="inlineStr">
        <is>
          <t>TTK/目标</t>
        </is>
      </c>
      <c r="AA12" t="inlineStr">
        <is>
          <t>难度判断</t>
        </is>
      </c>
      <c r="AB12" t="inlineStr">
        <is>
          <t>等级检查</t>
        </is>
      </c>
      <c r="AC12" t="inlineStr">
        <is>
          <t>等级趋势</t>
        </is>
      </c>
      <c r="AD12" t="inlineStr">
        <is>
          <t>备注</t>
        </is>
      </c>
      <c r="AE12" t="inlineStr">
        <is>
          <t>玩法推荐战力</t>
        </is>
      </c>
      <c r="AF12" t="inlineStr">
        <is>
          <t>标准等级战力</t>
        </is>
      </c>
    </row>
    <row r="13">
      <c r="A13" t="inlineStr">
        <is>
          <t>提案（未落配置）</t>
        </is>
      </c>
      <c r="B13" t="inlineStr">
        <is>
          <t>肉鸽</t>
        </is>
      </c>
      <c r="C13" t="inlineStr">
        <is>
          <t>5档顺序解锁</t>
        </is>
      </c>
      <c r="D13" t="inlineStr">
        <is>
          <t>难度1</t>
        </is>
      </c>
      <c r="E13" t="n">
        <v>1000001</v>
      </c>
      <c r="F13" t="inlineStr">
        <is>
          <t>Boss</t>
        </is>
      </c>
      <c r="G13" t="n">
        <v>63</v>
      </c>
      <c r="I13" t="n">
        <v>63</v>
      </c>
      <c r="J13" t="n">
        <v>140</v>
      </c>
      <c r="K13" t="n">
        <v>1</v>
      </c>
      <c r="L13" t="n">
        <v>1</v>
      </c>
      <c r="M13" t="n">
        <v>1</v>
      </c>
      <c r="Q13">
        <f>IF($I13="","",IFERROR(INDEX(_玩家曲线!$H$2:$H$286,MATCH($I13,_玩家曲线!$A$2:$A$286,0)),""))</f>
        <v/>
      </c>
      <c r="R13">
        <f>IF($I13="","",IFERROR(INDEX(_玩家曲线!$I$2:$I$286,MATCH($I13,_玩家曲线!$A$2:$A$286,0)),""))</f>
        <v/>
      </c>
      <c r="S13">
        <f>IF(OR($J13="",$F13="不适用"),"",IFERROR(INDEX(_怪物模型!$D$2:$D$4501,(INT($J13)-1)*ROWS(_怪物类型!$A$2:$A$10)+MATCH($F13,_怪物类型!$A$2:$A$10,0))*IF($K13="",1,$K13),""))</f>
        <v/>
      </c>
      <c r="T13">
        <f>IF(OR($J13="",$F13="不适用"),"",IFERROR(INDEX(_怪物模型!$E$2:$E$4501,(INT($J13)-1)*ROWS(_怪物类型!$A$2:$A$10)+MATCH($F13,_怪物类型!$A$2:$A$10,0))*IF($L13="",1,$L13),""))</f>
        <v/>
      </c>
      <c r="U13">
        <f>IF(OR($J13="",$F13="不适用"),"",IFERROR(INDEX(_怪物模型!$F$2:$F$4501,(INT($J13)-1)*ROWS(_怪物类型!$A$2:$A$10)+MATCH($F13,_怪物类型!$A$2:$A$10,0))*IF($M13="",1,$M13),""))</f>
        <v/>
      </c>
      <c r="V13">
        <f>IF($U13="","",MIN(0.75,$U13/($U13+24000)))</f>
        <v/>
      </c>
      <c r="W13">
        <f>IF($S13="","",$S13/(1-$V13)*IF($N13="",1,$N13))</f>
        <v/>
      </c>
      <c r="X13">
        <f>IF(OR($W13="",$Q13="",$Q13=0),"",$W13/$Q13)</f>
        <v/>
      </c>
      <c r="Y13">
        <f>IF(OR($R13="",$T13="",$T13=0),"",$R13/($T13*IF($O13="",1,$O13)))</f>
        <v/>
      </c>
      <c r="Z13">
        <f>IF(OR($X13="",$P13="",$P13=0),"",$X13/$P13)</f>
        <v/>
      </c>
      <c r="AB13">
        <f>IF($J13="","待填",IF(AND(ISNUMBER($J13),$J13&gt;=1,$J13&lt;=500,MOD($J13,1)=0),"有效","超范围"))</f>
        <v/>
      </c>
      <c r="AD13" t="inlineStr">
        <is>
          <t>2026-09-14 提案v4（用户定档+中间补调）：Grade 140/180/230/280/304（起点140、末档304用户定，中间三档现值基础上+19%~+59%单调递增）；K/L/M=1.0；AE按60s/20s反查。｜2026-09-14 显示调整：UIlevel/NR_Difficult 显示值另按放宽口径(120s击杀/扛15s)重查=101000，难度字段与AE设计值不变。</t>
        </is>
      </c>
      <c r="AE13" t="n">
        <v>185000</v>
      </c>
      <c r="AF13">
        <f>INDEX(_统一战力!$B$2:$B$501,J13)</f>
        <v/>
      </c>
    </row>
    <row r="14">
      <c r="A14" t="inlineStr">
        <is>
          <t>提案（未落配置）</t>
        </is>
      </c>
      <c r="B14" t="inlineStr">
        <is>
          <t>肉鸽</t>
        </is>
      </c>
      <c r="C14" t="inlineStr">
        <is>
          <t>5档顺序解锁</t>
        </is>
      </c>
      <c r="D14" t="inlineStr">
        <is>
          <t>难度2</t>
        </is>
      </c>
      <c r="E14" t="n">
        <v>1000002</v>
      </c>
      <c r="F14" t="inlineStr">
        <is>
          <t>Boss</t>
        </is>
      </c>
      <c r="G14" t="n">
        <v>89</v>
      </c>
      <c r="I14" t="n">
        <v>89</v>
      </c>
      <c r="J14" t="n">
        <v>180</v>
      </c>
      <c r="K14" t="n">
        <v>1</v>
      </c>
      <c r="L14" t="n">
        <v>1</v>
      </c>
      <c r="M14" t="n">
        <v>1</v>
      </c>
      <c r="Q14">
        <f>IF($I14="","",IFERROR(INDEX(_玩家曲线!$H$2:$H$286,MATCH($I14,_玩家曲线!$A$2:$A$286,0)),""))</f>
        <v/>
      </c>
      <c r="R14">
        <f>IF($I14="","",IFERROR(INDEX(_玩家曲线!$I$2:$I$286,MATCH($I14,_玩家曲线!$A$2:$A$286,0)),""))</f>
        <v/>
      </c>
      <c r="S14">
        <f>IF(OR($J14="",$F14="不适用"),"",IFERROR(INDEX(_怪物模型!$D$2:$D$4501,(INT($J14)-1)*ROWS(_怪物类型!$A$2:$A$10)+MATCH($F14,_怪物类型!$A$2:$A$10,0))*IF($K14="",1,$K14),""))</f>
        <v/>
      </c>
      <c r="T14">
        <f>IF(OR($J14="",$F14="不适用"),"",IFERROR(INDEX(_怪物模型!$E$2:$E$4501,(INT($J14)-1)*ROWS(_怪物类型!$A$2:$A$10)+MATCH($F14,_怪物类型!$A$2:$A$10,0))*IF($L14="",1,$L14),""))</f>
        <v/>
      </c>
      <c r="U14">
        <f>IF(OR($J14="",$F14="不适用"),"",IFERROR(INDEX(_怪物模型!$F$2:$F$4501,(INT($J14)-1)*ROWS(_怪物类型!$A$2:$A$10)+MATCH($F14,_怪物类型!$A$2:$A$10,0))*IF($M14="",1,$M14),""))</f>
        <v/>
      </c>
      <c r="V14">
        <f>IF($U14="","",MIN(0.75,$U14/($U14+24000)))</f>
        <v/>
      </c>
      <c r="W14">
        <f>IF($S14="","",$S14/(1-$V14)*IF($N14="",1,$N14))</f>
        <v/>
      </c>
      <c r="X14">
        <f>IF(OR($W14="",$Q14="",$Q14=0),"",$W14/$Q14)</f>
        <v/>
      </c>
      <c r="Y14">
        <f>IF(OR($R14="",$T14="",$T14=0),"",$R14/($T14*IF($O14="",1,$O14)))</f>
        <v/>
      </c>
      <c r="Z14">
        <f>IF(OR($X14="",$P14="",$P14=0),"",$X14/$P14)</f>
        <v/>
      </c>
      <c r="AB14">
        <f>IF($J14="","待填",IF(AND(ISNUMBER($J14),$J14&gt;=1,$J14&lt;=500,MOD($J14,1)=0),"有效","超范围"))</f>
        <v/>
      </c>
      <c r="AD14" t="inlineStr">
        <is>
          <t>2026-09-14 提案v4（用户定档+中间补调）：Grade 140/180/230/280/304（起点140、末档304用户定，中间三档现值基础上+19%~+59%单调递增）；K/L/M=1.0；AE按60s/20s反查。｜2026-09-14 显示调整：UIlevel/NR_Difficult 显示值另按放宽口径(120s击杀/扛15s)重查=191000，难度字段与AE设计值不变。</t>
        </is>
      </c>
      <c r="AE14" t="n">
        <v>347000</v>
      </c>
      <c r="AF14">
        <f>INDEX(_统一战力!$B$2:$B$501,J14)</f>
        <v/>
      </c>
    </row>
    <row r="15">
      <c r="A15" t="inlineStr">
        <is>
          <t>提案（未落配置）</t>
        </is>
      </c>
      <c r="B15" t="inlineStr">
        <is>
          <t>肉鸽</t>
        </is>
      </c>
      <c r="C15" t="inlineStr">
        <is>
          <t>5档顺序解锁</t>
        </is>
      </c>
      <c r="D15" t="inlineStr">
        <is>
          <t>难度3</t>
        </is>
      </c>
      <c r="E15" t="n">
        <v>1000003</v>
      </c>
      <c r="F15" t="inlineStr">
        <is>
          <t>Boss</t>
        </is>
      </c>
      <c r="G15" t="n">
        <v>127</v>
      </c>
      <c r="I15" t="n">
        <v>127</v>
      </c>
      <c r="J15" t="n">
        <v>230</v>
      </c>
      <c r="K15" t="n">
        <v>1</v>
      </c>
      <c r="L15" t="n">
        <v>1</v>
      </c>
      <c r="M15" t="n">
        <v>1</v>
      </c>
      <c r="Q15">
        <f>IF($I15="","",IFERROR(INDEX(_玩家曲线!$H$2:$H$286,MATCH($I15,_玩家曲线!$A$2:$A$286,0)),""))</f>
        <v/>
      </c>
      <c r="R15">
        <f>IF($I15="","",IFERROR(INDEX(_玩家曲线!$I$2:$I$286,MATCH($I15,_玩家曲线!$A$2:$A$286,0)),""))</f>
        <v/>
      </c>
      <c r="S15">
        <f>IF(OR($J15="",$F15="不适用"),"",IFERROR(INDEX(_怪物模型!$D$2:$D$4501,(INT($J15)-1)*ROWS(_怪物类型!$A$2:$A$10)+MATCH($F15,_怪物类型!$A$2:$A$10,0))*IF($K15="",1,$K15),""))</f>
        <v/>
      </c>
      <c r="T15">
        <f>IF(OR($J15="",$F15="不适用"),"",IFERROR(INDEX(_怪物模型!$E$2:$E$4501,(INT($J15)-1)*ROWS(_怪物类型!$A$2:$A$10)+MATCH($F15,_怪物类型!$A$2:$A$10,0))*IF($L15="",1,$L15),""))</f>
        <v/>
      </c>
      <c r="U15">
        <f>IF(OR($J15="",$F15="不适用"),"",IFERROR(INDEX(_怪物模型!$F$2:$F$4501,(INT($J15)-1)*ROWS(_怪物类型!$A$2:$A$10)+MATCH($F15,_怪物类型!$A$2:$A$10,0))*IF($M15="",1,$M15),""))</f>
        <v/>
      </c>
      <c r="V15">
        <f>IF($U15="","",MIN(0.75,$U15/($U15+24000)))</f>
        <v/>
      </c>
      <c r="W15">
        <f>IF($S15="","",$S15/(1-$V15)*IF($N15="",1,$N15))</f>
        <v/>
      </c>
      <c r="X15">
        <f>IF(OR($W15="",$Q15="",$Q15=0),"",$W15/$Q15)</f>
        <v/>
      </c>
      <c r="Y15">
        <f>IF(OR($R15="",$T15="",$T15=0),"",$R15/($T15*IF($O15="",1,$O15)))</f>
        <v/>
      </c>
      <c r="Z15">
        <f>IF(OR($X15="",$P15="",$P15=0),"",$X15/$P15)</f>
        <v/>
      </c>
      <c r="AB15">
        <f>IF($J15="","待填",IF(AND(ISNUMBER($J15),$J15&gt;=1,$J15&lt;=500,MOD($J15,1)=0),"有效","超范围"))</f>
        <v/>
      </c>
      <c r="AD15" t="inlineStr">
        <is>
          <t>2026-09-14 提案v4（用户定档+中间补调）：Grade 140/180/230/280/304（起点140、末档304用户定，中间三档现值基础上+19%~+59%单调递增）；K/L/M=1.0；AE按60s/20s反查。｜2026-09-14 显示调整：UIlevel/NR_Difficult 显示值另按放宽口径(120s击杀/扛15s)重查=375000，难度字段与AE设计值不变。</t>
        </is>
      </c>
      <c r="AE15" t="n">
        <v>659000</v>
      </c>
      <c r="AF15">
        <f>INDEX(_统一战力!$B$2:$B$501,J15)</f>
        <v/>
      </c>
    </row>
    <row r="16">
      <c r="A16" t="inlineStr">
        <is>
          <t>提案（未落配置）</t>
        </is>
      </c>
      <c r="B16" t="inlineStr">
        <is>
          <t>肉鸽</t>
        </is>
      </c>
      <c r="C16" t="inlineStr">
        <is>
          <t>5档顺序解锁</t>
        </is>
      </c>
      <c r="D16" t="inlineStr">
        <is>
          <t>难度4</t>
        </is>
      </c>
      <c r="E16" t="n">
        <v>1000004</v>
      </c>
      <c r="F16" t="inlineStr">
        <is>
          <t>Boss</t>
        </is>
      </c>
      <c r="G16" t="n">
        <v>185</v>
      </c>
      <c r="I16" t="n">
        <v>185</v>
      </c>
      <c r="J16" t="n">
        <v>280</v>
      </c>
      <c r="K16" t="n">
        <v>1</v>
      </c>
      <c r="L16" t="n">
        <v>1</v>
      </c>
      <c r="M16" t="n">
        <v>1</v>
      </c>
      <c r="Q16">
        <f>IF($I16="","",IFERROR(INDEX(_玩家曲线!$H$2:$H$286,MATCH($I16,_玩家曲线!$A$2:$A$286,0)),""))</f>
        <v/>
      </c>
      <c r="R16">
        <f>IF($I16="","",IFERROR(INDEX(_玩家曲线!$I$2:$I$286,MATCH($I16,_玩家曲线!$A$2:$A$286,0)),""))</f>
        <v/>
      </c>
      <c r="S16">
        <f>IF(OR($J16="",$F16="不适用"),"",IFERROR(INDEX(_怪物模型!$D$2:$D$4501,(INT($J16)-1)*ROWS(_怪物类型!$A$2:$A$10)+MATCH($F16,_怪物类型!$A$2:$A$10,0))*IF($K16="",1,$K16),""))</f>
        <v/>
      </c>
      <c r="T16">
        <f>IF(OR($J16="",$F16="不适用"),"",IFERROR(INDEX(_怪物模型!$E$2:$E$4501,(INT($J16)-1)*ROWS(_怪物类型!$A$2:$A$10)+MATCH($F16,_怪物类型!$A$2:$A$10,0))*IF($L16="",1,$L16),""))</f>
        <v/>
      </c>
      <c r="U16">
        <f>IF(OR($J16="",$F16="不适用"),"",IFERROR(INDEX(_怪物模型!$F$2:$F$4501,(INT($J16)-1)*ROWS(_怪物类型!$A$2:$A$10)+MATCH($F16,_怪物类型!$A$2:$A$10,0))*IF($M16="",1,$M16),""))</f>
        <v/>
      </c>
      <c r="V16">
        <f>IF($U16="","",MIN(0.75,$U16/($U16+24000)))</f>
        <v/>
      </c>
      <c r="W16">
        <f>IF($S16="","",$S16/(1-$V16)*IF($N16="",1,$N16))</f>
        <v/>
      </c>
      <c r="X16">
        <f>IF(OR($W16="",$Q16="",$Q16=0),"",$W16/$Q16)</f>
        <v/>
      </c>
      <c r="Y16">
        <f>IF(OR($R16="",$T16="",$T16=0),"",$R16/($T16*IF($O16="",1,$O16)))</f>
        <v/>
      </c>
      <c r="Z16">
        <f>IF(OR($X16="",$P16="",$P16=0),"",$X16/$P16)</f>
        <v/>
      </c>
      <c r="AB16">
        <f>IF($J16="","待填",IF(AND(ISNUMBER($J16),$J16&gt;=1,$J16&lt;=500,MOD($J16,1)=0),"有效","超范围"))</f>
        <v/>
      </c>
      <c r="AD16" t="inlineStr">
        <is>
          <t>2026-09-14 提案v4（用户定档+中间补调）：Grade 140/180/230/280/304（起点140、末档304用户定，中间三档现值基础上+19%~+59%单调递增）；K/L/M=1.0；AE按60s/20s反查。｜2026-09-14 显示调整：UIlevel/NR_Difficult 显示值另按放宽口径(120s击杀/扛15s)重查=659000，难度字段与AE设计值不变。</t>
        </is>
      </c>
      <c r="AE16" t="n">
        <v>1090000</v>
      </c>
      <c r="AF16">
        <f>INDEX(_统一战力!$B$2:$B$501,J16)</f>
        <v/>
      </c>
    </row>
    <row r="17">
      <c r="A17" t="inlineStr">
        <is>
          <t>提案（未落配置）</t>
        </is>
      </c>
      <c r="B17" t="inlineStr">
        <is>
          <t>肉鸽</t>
        </is>
      </c>
      <c r="C17" t="inlineStr">
        <is>
          <t>5档顺序解锁</t>
        </is>
      </c>
      <c r="D17" t="inlineStr">
        <is>
          <t>难度5</t>
        </is>
      </c>
      <c r="E17" t="n">
        <v>1000005</v>
      </c>
      <c r="F17" t="inlineStr">
        <is>
          <t>Boss</t>
        </is>
      </c>
      <c r="G17" t="n">
        <v>229</v>
      </c>
      <c r="I17" t="n">
        <v>229</v>
      </c>
      <c r="J17" t="n">
        <v>304</v>
      </c>
      <c r="K17" t="n">
        <v>1</v>
      </c>
      <c r="L17" t="n">
        <v>1</v>
      </c>
      <c r="M17" t="n">
        <v>1</v>
      </c>
      <c r="Q17">
        <f>IF($I17="","",IFERROR(INDEX(_玩家曲线!$H$2:$H$286,MATCH($I17,_玩家曲线!$A$2:$A$286,0)),""))</f>
        <v/>
      </c>
      <c r="R17">
        <f>IF($I17="","",IFERROR(INDEX(_玩家曲线!$I$2:$I$286,MATCH($I17,_玩家曲线!$A$2:$A$286,0)),""))</f>
        <v/>
      </c>
      <c r="S17">
        <f>IF(OR($J17="",$F17="不适用"),"",IFERROR(INDEX(_怪物模型!$D$2:$D$4501,(INT($J17)-1)*ROWS(_怪物类型!$A$2:$A$10)+MATCH($F17,_怪物类型!$A$2:$A$10,0))*IF($K17="",1,$K17),""))</f>
        <v/>
      </c>
      <c r="T17">
        <f>IF(OR($J17="",$F17="不适用"),"",IFERROR(INDEX(_怪物模型!$E$2:$E$4501,(INT($J17)-1)*ROWS(_怪物类型!$A$2:$A$10)+MATCH($F17,_怪物类型!$A$2:$A$10,0))*IF($L17="",1,$L17),""))</f>
        <v/>
      </c>
      <c r="U17">
        <f>IF(OR($J17="",$F17="不适用"),"",IFERROR(INDEX(_怪物模型!$F$2:$F$4501,(INT($J17)-1)*ROWS(_怪物类型!$A$2:$A$10)+MATCH($F17,_怪物类型!$A$2:$A$10,0))*IF($M17="",1,$M17),""))</f>
        <v/>
      </c>
      <c r="V17">
        <f>IF($U17="","",MIN(0.75,$U17/($U17+24000)))</f>
        <v/>
      </c>
      <c r="W17">
        <f>IF($S17="","",$S17/(1-$V17)*IF($N17="",1,$N17))</f>
        <v/>
      </c>
      <c r="X17">
        <f>IF(OR($W17="",$Q17="",$Q17=0),"",$W17/$Q17)</f>
        <v/>
      </c>
      <c r="Y17">
        <f>IF(OR($R17="",$T17="",$T17=0),"",$R17/($T17*IF($O17="",1,$O17)))</f>
        <v/>
      </c>
      <c r="Z17">
        <f>IF(OR($X17="",$P17="",$P17=0),"",$X17/$P17)</f>
        <v/>
      </c>
      <c r="AB17">
        <f>IF($J17="","待填",IF(AND(ISNUMBER($J17),$J17&gt;=1,$J17&lt;=500,MOD($J17,1)=0),"有效","超范围"))</f>
        <v/>
      </c>
      <c r="AD17" t="inlineStr">
        <is>
          <t>2026-09-14 提案v4（用户定档+中间补调）：Grade 140/180/230/280/304（起点140、末档304用户定，中间三档现值基础上+19%~+59%单调递增）；K/L/M=1.0；AE按60s/20s反查。｜2026-09-14 显示调整：UIlevel/NR_Difficult 显示值另按放宽口径(120s击杀/扛15s)重查=825000，难度字段与AE设计值不变。</t>
        </is>
      </c>
      <c r="AE17" t="n">
        <v>1350000</v>
      </c>
      <c r="AF17">
        <f>INDEX(_统一战力!$B$2:$B$501,J17)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2026-08-31T06:10:00Z</dcterms:created>
  <dcterms:modified xmlns:dcterms="http://purl.org/dc/terms/" xmlns:xsi="http://www.w3.org/2001/XMLSchema-instance" xsi:type="dcterms:W3CDTF">2026-09-20T09:06:36Z</dcterms:modified>
  <cp:lastModifiedBy>企业用户_251728386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E7FDDE774AFF41B0A9517F94E63920E0_12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